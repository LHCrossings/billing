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5C1B97B7-EB1F-4C1A-B337-D8DA88216C5C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Friday!$A$1:$AD$67</definedName>
    <definedName name="_xlnm._FilterDatabase" localSheetId="1" hidden="1">Monday!$A$1:$AD$46</definedName>
    <definedName name="_xlnm._FilterDatabase" localSheetId="6" hidden="1">Saturday!$A$1:$AD$50</definedName>
    <definedName name="_xlnm._FilterDatabase" localSheetId="7" hidden="1">Sunday!$A$1:$AD$43</definedName>
    <definedName name="_xlnm._FilterDatabase" localSheetId="4" hidden="1">Thursday!$A$1:$AD$67</definedName>
    <definedName name="_xlnm._FilterDatabase" localSheetId="2" hidden="1">Tuesday!$A$1:$AD$67</definedName>
    <definedName name="_xlnm._FilterDatabase" localSheetId="3" hidden="1">Wednesday!$A$1:$AD$65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O14" i="63"/>
  <c r="O22" i="63"/>
  <c r="O8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O45" i="62"/>
  <c r="O37" i="62"/>
  <c r="O27" i="62"/>
  <c r="O8" i="62"/>
  <c r="AD2" i="61"/>
  <c r="AD3" i="61"/>
  <c r="AD4" i="61"/>
  <c r="AD5" i="61"/>
  <c r="AD6" i="61"/>
  <c r="AD7" i="61"/>
  <c r="AD8" i="61"/>
  <c r="AD9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10" i="61"/>
  <c r="AD11" i="61"/>
  <c r="AD12" i="61"/>
  <c r="O59" i="61"/>
  <c r="O50" i="61"/>
  <c r="O20" i="61"/>
  <c r="O26" i="61"/>
  <c r="O62" i="61"/>
  <c r="AD34" i="60"/>
  <c r="AD32" i="60"/>
  <c r="AD30" i="60"/>
  <c r="AD28" i="60"/>
  <c r="AD2" i="60"/>
  <c r="AD3" i="60"/>
  <c r="AD4" i="60"/>
  <c r="AD5" i="60"/>
  <c r="AD6" i="60"/>
  <c r="AD7" i="60"/>
  <c r="AD8" i="60"/>
  <c r="AD9" i="60"/>
  <c r="AD10" i="60"/>
  <c r="AD13" i="60"/>
  <c r="AD14" i="60"/>
  <c r="AD15" i="60"/>
  <c r="AD17" i="60"/>
  <c r="AD19" i="60"/>
  <c r="AD20" i="60"/>
  <c r="AD21" i="60"/>
  <c r="AD23" i="60"/>
  <c r="AD24" i="60"/>
  <c r="AD27" i="60"/>
  <c r="AD29" i="60"/>
  <c r="AD31" i="60"/>
  <c r="AD33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11" i="60"/>
  <c r="AD12" i="60"/>
  <c r="O57" i="60"/>
  <c r="O38" i="60"/>
  <c r="O39" i="60"/>
  <c r="O6" i="60"/>
  <c r="AD2" i="59"/>
  <c r="AD3" i="59"/>
  <c r="AD4" i="59"/>
  <c r="AD5" i="59"/>
  <c r="AD6" i="59"/>
  <c r="AD7" i="59"/>
  <c r="AD8" i="59"/>
  <c r="AD9" i="59"/>
  <c r="AD10" i="59"/>
  <c r="AD11" i="59"/>
  <c r="AD12" i="59"/>
  <c r="AD16" i="59"/>
  <c r="AD17" i="59"/>
  <c r="AD18" i="59"/>
  <c r="AD21" i="59"/>
  <c r="AD19" i="59"/>
  <c r="AD20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6" i="59"/>
  <c r="AD35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13" i="59"/>
  <c r="AD14" i="59"/>
  <c r="AD15" i="59"/>
  <c r="O52" i="59"/>
  <c r="O43" i="59"/>
  <c r="O11" i="59"/>
  <c r="O55" i="59"/>
  <c r="AD2" i="58"/>
  <c r="AD3" i="58"/>
  <c r="AD4" i="58"/>
  <c r="AD5" i="58"/>
  <c r="AD6" i="58"/>
  <c r="AD7" i="58"/>
  <c r="AD8" i="58"/>
  <c r="AD9" i="58"/>
  <c r="AD10" i="58"/>
  <c r="AD11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9" i="58"/>
  <c r="AD38" i="58"/>
  <c r="AD41" i="58"/>
  <c r="AD40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12" i="58"/>
  <c r="AD13" i="58"/>
  <c r="O55" i="58"/>
  <c r="O48" i="58"/>
  <c r="O21" i="58"/>
  <c r="O9" i="58"/>
  <c r="O10" i="58"/>
  <c r="O66" i="58"/>
  <c r="AD2" i="57" l="1"/>
  <c r="AD3" i="57"/>
  <c r="AD4" i="57"/>
  <c r="AD5" i="57"/>
  <c r="AD6" i="57"/>
  <c r="AD7" i="57"/>
  <c r="AD8" i="57"/>
  <c r="AD9" i="57"/>
  <c r="AD10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11" i="57"/>
  <c r="AD12" i="57"/>
  <c r="AD13" i="57"/>
  <c r="O36" i="57"/>
  <c r="O8" i="57"/>
  <c r="O5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<sst xmlns="http://schemas.openxmlformats.org/spreadsheetml/2006/main" count="11063" uniqueCount="243">
  <si>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</si>
  <si>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</si>
  <si>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</si>
  <si>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</si>
  <si>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</si>
  <si>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</si>
  <si>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</si>
  <si>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</si>
  <si>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</si>
  <si>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</si>
  <si>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</si>
  <si>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</si>
  <si>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</si>
  <si>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</si>
  <si>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</si>
  <si>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</si>
  <si>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</si>
  <si>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</si>
  <si>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</si>
  <si>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</si>
  <si>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</si>
  <si>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</si>
  <si>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</si>
  <si>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</si>
  <si>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</si>
  <si>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</si>
  <si>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</si>
  <si>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</si>
  <si>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</si>
  <si>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</si>
  <si>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</si>
  <si>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</si>
  <si>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</si>
  <si>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</si>
  <si>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</si>
  <si>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</si>
  <si>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</si>
  <si>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</si>
  <si>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SFO</t>
  </si>
  <si>
    <t>Phoenix TV</t>
  </si>
  <si>
    <t>Phoenix Evening Express</t>
  </si>
  <si>
    <t>M</t>
  </si>
  <si>
    <t>Programming</t>
  </si>
  <si>
    <t>Non-Agency</t>
  </si>
  <si>
    <t>Misfit:CA Community Colleges</t>
  </si>
  <si>
    <t>CALCC30M01: ICanGo AAPI MAN (CALCC30M01)</t>
  </si>
  <si>
    <t>BNS</t>
  </si>
  <si>
    <t>Charmaine Lane</t>
  </si>
  <si>
    <t>Internal Ad Sales</t>
  </si>
  <si>
    <t>Y</t>
  </si>
  <si>
    <t>2408</t>
  </si>
  <si>
    <t>OCA National Convention (T)</t>
  </si>
  <si>
    <t>OCANAT33E07: 2025_OCA_National_Crossings_TV</t>
  </si>
  <si>
    <t>COM</t>
  </si>
  <si>
    <t>Trade</t>
  </si>
  <si>
    <t>2090</t>
  </si>
  <si>
    <t>Da Ai TV</t>
  </si>
  <si>
    <t>Calling Dr. Marvelous</t>
  </si>
  <si>
    <t xml:space="preserve">ID15KIDS BEFORE SHOW </t>
  </si>
  <si>
    <t>MBC</t>
  </si>
  <si>
    <t>MBC Newsdesk</t>
  </si>
  <si>
    <t>K</t>
  </si>
  <si>
    <t>CALCC30K01: ICanGo AAPI KOR (CALCC30K01)</t>
  </si>
  <si>
    <t>MBC Korean Drama</t>
  </si>
  <si>
    <t>Fujisankei</t>
  </si>
  <si>
    <t>FCI News Catch</t>
  </si>
  <si>
    <t>J</t>
  </si>
  <si>
    <t>FUJICM30J705:  Minamoto Kichoan (AH9052)</t>
  </si>
  <si>
    <t>Non-agency</t>
  </si>
  <si>
    <t>FUJICM30J495:  NIJIYA Mentsuyu (AL4086)</t>
  </si>
  <si>
    <t>FUJICM30J275:  Nippon Kodo Mainichi candle (AA2724)</t>
  </si>
  <si>
    <t>VieTV</t>
  </si>
  <si>
    <t>Life Entertainment Weekly</t>
  </si>
  <si>
    <t>repeat</t>
  </si>
  <si>
    <t>iGraphix:Sky River Casino</t>
  </si>
  <si>
    <t>SRC30V44: High Limit Refresh 2025 2025 VIE (SRC0925-V)</t>
  </si>
  <si>
    <t>V</t>
  </si>
  <si>
    <t>30204</t>
  </si>
  <si>
    <t>Calendar</t>
  </si>
  <si>
    <t>2459</t>
  </si>
  <si>
    <t>Admerasia Inc.:McDonald's</t>
  </si>
  <si>
    <t>MD15V370: ACM ROD Like? Love_ Snack Wrap VIE (MCIV001526VH)</t>
  </si>
  <si>
    <t>15SF 2602</t>
  </si>
  <si>
    <t>2432</t>
  </si>
  <si>
    <t>SRC30V49: February Promotion VIE (FP0226-V)</t>
  </si>
  <si>
    <t>Oriental Medicine</t>
  </si>
  <si>
    <t>MD15V368: ACM Now We've Won_ Snack Wrap VIE (MCIV000526VH)</t>
  </si>
  <si>
    <t>VSTV</t>
  </si>
  <si>
    <t>Vietnamese Daily Drama</t>
  </si>
  <si>
    <t>Rodi Platcow Malin:Thunder Valley Casino</t>
  </si>
  <si>
    <t>TVC30V29: TVCR Thrill of the Moment SF VIE (RPM-12691-25-4)</t>
  </si>
  <si>
    <t>10882-SF</t>
  </si>
  <si>
    <t>2381</t>
  </si>
  <si>
    <t>MD15V369: ACM AM Corrected_Biscuit VIE (MCIV002526VH)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</si>
  <si>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</si>
  <si>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</si>
  <si>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</si>
  <si>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</si>
  <si>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</si>
  <si>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</si>
  <si>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</si>
  <si>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</si>
  <si>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</si>
  <si>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</si>
  <si>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</si>
  <si>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</si>
  <si>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SRC30E44: High Limit Refresh 2025 V3 ENG (SRC0925-E)</t>
  </si>
  <si>
    <t>30217</t>
  </si>
  <si>
    <t>2457</t>
  </si>
  <si>
    <t>CALCC30T01: ICanGo AAPI TAG (CALCC30T01)</t>
  </si>
  <si>
    <t>SRC30E49: February Promotion ENG (FP0226-E)</t>
  </si>
  <si>
    <t>TFC</t>
  </si>
  <si>
    <t>TV Patrol World</t>
  </si>
  <si>
    <t>Ikaw Lang Ang Iibigin</t>
  </si>
  <si>
    <t>Magandang Buhay</t>
  </si>
  <si>
    <t>Phoenix News Express P1</t>
  </si>
  <si>
    <t>C</t>
  </si>
  <si>
    <t>Time Advertising, Inc.:Graton Casino</t>
  </si>
  <si>
    <t>GRATON30C23: GRC FEB 30 TV C FINAL CAN</t>
  </si>
  <si>
    <t>2446</t>
  </si>
  <si>
    <t>News Decoder</t>
  </si>
  <si>
    <t>TVC30C29: TVCR Thrill of the Moment SF CAN (RPM-12687-25-4)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</si>
  <si>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</si>
  <si>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</si>
  <si>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</si>
  <si>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</si>
  <si>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</si>
  <si>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</si>
  <si>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</si>
  <si>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</si>
  <si>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Filipino News</t>
  </si>
  <si>
    <t>Cantonese Variety</t>
  </si>
  <si>
    <t>Tuesday</t>
  </si>
  <si>
    <t>VIVA Social Impact Partners:SF Dept of Early Childhood</t>
  </si>
  <si>
    <t>SFDEC15C01: Landscape 01 Cantonese (SFDEC15C01)</t>
  </si>
  <si>
    <t>2602</t>
  </si>
  <si>
    <t>2249</t>
  </si>
  <si>
    <t>SFDEC15M02: Landscape 02 Mandarin 0203 (SFDEC15M02)</t>
  </si>
  <si>
    <t>CALCC30C01: ICanGo AAPI CAN (CALCC30C01)</t>
  </si>
  <si>
    <t>TVC30M29: TVCR Thrill of the Moment SF MAN (RPM-12689-25-4)</t>
  </si>
  <si>
    <t>Science Around Us</t>
  </si>
  <si>
    <t>FUJICM30J714:  TOYOTA People are the Destination TWTW3477000H (AH9092)</t>
  </si>
  <si>
    <t>FUJICM30J511:  NIJIYA Dashi Kombu &amp; Dried Bonito Flakes (AL5024)</t>
  </si>
  <si>
    <t>Top News</t>
  </si>
  <si>
    <t>IW Group, Inc.:Lexus Dealer Association</t>
  </si>
  <si>
    <t>LEXUS15V267: MY26 TX Non-New VVIPs UVO VIE (TYIW26TN030HH)</t>
  </si>
  <si>
    <t>210</t>
  </si>
  <si>
    <t>SRC30V50: LNY Host Greeting VIE (SHG2026-V)</t>
  </si>
  <si>
    <t>LEXUS15V268: MY26 RX Sustain Colors UVO VIE (TYIW26TN040HH)</t>
  </si>
  <si>
    <t>CALCC30V01: ICanGo AAPI VIE (CALCC30V01)</t>
  </si>
  <si>
    <t>Talk With Celebrities</t>
  </si>
  <si>
    <t>LEXUS15E265: MY26 TX Non-New Here AVOL ENG (TYIW26TN034HH)</t>
  </si>
  <si>
    <t>208</t>
  </si>
  <si>
    <t>2372</t>
  </si>
  <si>
    <t>LEXUS15E266: MY26 RX Sustain Across the Line AVOL ENG (TYIW26TN044HH)</t>
  </si>
  <si>
    <t>Till I Met You</t>
  </si>
  <si>
    <t>GRATON30M23: GRC FEB 30 TV M FINAL MAN</t>
  </si>
  <si>
    <t>M/C</t>
  </si>
  <si>
    <t>SFDEC15C02: Landscape 02 Cantonese 0203 (SFDEC15C02)</t>
  </si>
  <si>
    <t>SFDEC15M01: Landscape 01 Mandarin (SFDEC15M01)</t>
  </si>
  <si>
    <t>Places We Must Go S3</t>
  </si>
  <si>
    <t>Spice</t>
  </si>
  <si>
    <t>Big</t>
  </si>
  <si>
    <t>Punjabi News</t>
  </si>
  <si>
    <t>Filipino Variety</t>
  </si>
  <si>
    <t>Chinese News</t>
  </si>
  <si>
    <t>Wednesday</t>
  </si>
  <si>
    <t>Children's Time</t>
  </si>
  <si>
    <t>FUJICM30J650:  Nipponkodo Mainichi Mou Hitotsuno Imi (AH8040)</t>
  </si>
  <si>
    <t>FUJICM30J701:  NIJIYA Online Store (AL9044)</t>
  </si>
  <si>
    <t>FUJICM30J685:  Doshisha School Doshisha Int'l 2024 (30) (AH8105)</t>
  </si>
  <si>
    <t>Healthy Life</t>
  </si>
  <si>
    <t>H&amp;L Partners:Northern California Toyota Dealer's Assocation</t>
  </si>
  <si>
    <t>TOY30T1201: 2026 Presidents Day Sales Event - PH1 - Truck :30 TAG (TYRN37801H)</t>
  </si>
  <si>
    <t>13929-SF</t>
  </si>
  <si>
    <t>2369</t>
  </si>
  <si>
    <t>The Poor Heiress</t>
  </si>
  <si>
    <t>TOY30M1201: 2026 Presidents Day Sales Event - PH1 - Truck :30 MAN (TYRN37791H)</t>
  </si>
  <si>
    <t>Who's Still Standing - Youth</t>
  </si>
  <si>
    <t>Thursday</t>
  </si>
  <si>
    <t>Save Our Earth Together</t>
  </si>
  <si>
    <t>ID15KIDS BEFORE SHOW</t>
  </si>
  <si>
    <t>FUJICM30J717:  TOYOTA Super Hero Belt TYTW3921000H (AH9099)</t>
  </si>
  <si>
    <t>FUJICM30J448:  Nijiya Organic Sushi Nori New (AH2549)</t>
  </si>
  <si>
    <t>Vietnamese Past &amp; Present Culture</t>
  </si>
  <si>
    <t>Never Say Goodbye</t>
  </si>
  <si>
    <t>My Hong Kong Perspectives</t>
  </si>
  <si>
    <t>Love Never Comes Late</t>
  </si>
  <si>
    <t>Filipino Drama</t>
  </si>
  <si>
    <t>11:06:15</t>
  </si>
  <si>
    <t>2373</t>
  </si>
  <si>
    <t>11:43:07</t>
  </si>
  <si>
    <t>12:29:47</t>
  </si>
  <si>
    <t>12:10:39</t>
  </si>
  <si>
    <t>12:51:53</t>
  </si>
  <si>
    <t>Friday</t>
  </si>
  <si>
    <t>Chinese Medicine</t>
  </si>
  <si>
    <t>FUJICM30J601:  Nijiya Market Shiitake Mushrooms (AL7007)</t>
  </si>
  <si>
    <t>FUJICM30J417:  RevMainichiKoukou2019_Tsuunen (AH3081)</t>
  </si>
  <si>
    <t>Technology in Our Life</t>
  </si>
  <si>
    <t>Hanggang Saan</t>
  </si>
  <si>
    <t>My Hong Kong Story</t>
  </si>
  <si>
    <t>The Hits</t>
  </si>
  <si>
    <t>Saturday</t>
  </si>
  <si>
    <t>IW Group, Inc.:California Department of Food and Agriculture (CDFA)</t>
  </si>
  <si>
    <t>CDFA15M01: CDFA LNY Pests - Mandarin (CDFA15M01)</t>
  </si>
  <si>
    <t>CDFA LNY 2026</t>
  </si>
  <si>
    <t>2502</t>
  </si>
  <si>
    <t>ID15KIDS BEFORE SHOW (REPLAY)</t>
  </si>
  <si>
    <t>REPLAY</t>
  </si>
  <si>
    <t>Vietnamese Weekend AM Drama</t>
  </si>
  <si>
    <t>LEXUS15V272-SF: MY26 RX Sustain Colors VIE (TYIW26TL150HH)</t>
  </si>
  <si>
    <t>CDFA15V01: CDFA LNY Pests - Vietnamese (CDFA15V01)</t>
  </si>
  <si>
    <t>LEXUS15V271-SF: MY26 TX Non-New VVIPs VIE (TYIW26TL102HH)</t>
  </si>
  <si>
    <t>Headline News</t>
  </si>
  <si>
    <t>Culture &amp; Travel</t>
  </si>
  <si>
    <t>Vietnamese Weekend Drama</t>
  </si>
  <si>
    <t>AVS Television Network</t>
  </si>
  <si>
    <t>AVS</t>
  </si>
  <si>
    <t>LEXUS15E274-SF: MY26 RX Sustain Across the Line ENG (TYIW26TL152HH)</t>
  </si>
  <si>
    <t>LEXUS15E273-SF: MY26 TX Non-New Here ENG (TYIW26TL104HH)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</si>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</sst>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5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0" fillId="28" borderId="10" xfId="0" applyFill="1" applyBorder="1"/>
    <xf numFmtId="0" fontId="15" fillId="29" borderId="10" xfId="0" applyFont="1" applyFill="1" applyBorder="1" applyAlignment="1">
      <alignment horizontal="center" vertical="center" wrapText="1"/>
    </xf>
    <xf numFmtId="0" fontId="0" fillId="29" borderId="10" xfId="0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38" fillId="32" borderId="10" xfId="0" applyFont="1" applyFill="1" applyBorder="1"/>
    <xf numFmtId="0" fontId="38" fillId="33" borderId="10" xfId="0" applyFont="1" applyFill="1" applyBorder="1"/>
    <xf numFmtId="0" fontId="38" fillId="34" borderId="10" xfId="0" applyFont="1" applyFill="1" applyBorder="1"/>
    <xf numFmtId="49" fontId="15" fillId="35" borderId="10" xfId="172" applyNumberFormat="1" applyFont="1" applyFill="1" applyBorder="1" applyAlignment="1">
      <alignment horizontal="center" vertical="top" wrapText="1"/>
    </xf>
    <xf numFmtId="0" fontId="15" fillId="0" borderId="10" xfId="174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49" fontId="15" fillId="35" borderId="0" xfId="172" applyNumberFormat="1" applyFont="1" applyFill="1" applyBorder="1" applyAlignment="1">
      <alignment horizontal="center" vertical="top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4" borderId="0" xfId="0" applyFont="1" applyFill="1" applyBorder="1"/>
    <xf numFmtId="0" fontId="38" fillId="31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  <xf numFmtId="0" fontId="38" fillId="27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CBCE3367-B504-4033-A9F1-CF6C8FFDAE6F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D9875-5D1E-4BC0-A8EE-85E3C07DFB2D}">
  <dimension ref="A1:AW2438"/>
  <sheetViews>
    <sheetView tabSelected="1" zoomScale="55" zoomScaleNormal="55" workbookViewId="0"/>
  </sheetViews>
  <sheetFormatPr defaultColWidth="0" defaultRowHeight="12.75" x14ac:dyDescent="0.2"/>
  <cols>
    <col min="1" max="1" width="52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1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241</v>
      </c>
    </row>
    <row r="2" spans="1:49" s="26" customFormat="1" ht="31.5" x14ac:dyDescent="0.25">
      <c r="A2" s="18" t="s">
        <v>80</v>
      </c>
      <c r="B2" s="19">
        <v>46062</v>
      </c>
      <c r="C2" s="19">
        <v>46062</v>
      </c>
      <c r="D2" s="18" t="s">
        <v>30</v>
      </c>
      <c r="E2" s="20">
        <v>0.45833333333333331</v>
      </c>
      <c r="F2" s="20">
        <v>0.47916666666666669</v>
      </c>
      <c r="G2" s="20">
        <v>1.7361111111111109E-4</v>
      </c>
      <c r="H2" s="18" t="s">
        <v>81</v>
      </c>
      <c r="I2" s="21">
        <v>0.47753472222222221</v>
      </c>
      <c r="J2" s="18" t="s">
        <v>76</v>
      </c>
      <c r="K2" s="18" t="s">
        <v>72</v>
      </c>
      <c r="L2" s="22">
        <v>1</v>
      </c>
      <c r="M2" s="22">
        <v>71172</v>
      </c>
      <c r="N2" s="18" t="s">
        <v>53</v>
      </c>
      <c r="O2" s="22" t="s">
        <v>82</v>
      </c>
      <c r="P2" s="23">
        <v>70</v>
      </c>
      <c r="Q2" s="22"/>
      <c r="R2" s="23">
        <v>70</v>
      </c>
      <c r="S2" s="24">
        <v>46062</v>
      </c>
      <c r="T2" s="23">
        <v>10.5</v>
      </c>
      <c r="U2" s="25">
        <v>4</v>
      </c>
      <c r="V2" s="23">
        <v>59.5</v>
      </c>
      <c r="W2" s="18" t="s">
        <v>47</v>
      </c>
      <c r="X2" s="18" t="s">
        <v>48</v>
      </c>
      <c r="Y2" s="18" t="s">
        <v>78</v>
      </c>
      <c r="Z2" s="18" t="s">
        <v>9</v>
      </c>
      <c r="AA2" s="18" t="s">
        <v>49</v>
      </c>
      <c r="AB2" s="18" t="s">
        <v>83</v>
      </c>
      <c r="AC2" s="18" t="s">
        <v>38</v>
      </c>
      <c r="AD2" s="7" t="s">
        <v>242</v>
      </c>
      <c r="AE2" s="29"/>
      <c r="AF2" s="29"/>
      <c r="AG2" s="29"/>
      <c r="AH2" s="29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26" customFormat="1" ht="31.5" x14ac:dyDescent="0.25">
      <c r="A3" s="18" t="s">
        <v>80</v>
      </c>
      <c r="B3" s="19">
        <v>46062</v>
      </c>
      <c r="C3" s="19">
        <v>46062</v>
      </c>
      <c r="D3" s="18" t="s">
        <v>30</v>
      </c>
      <c r="E3" s="20">
        <v>0.47916666666666669</v>
      </c>
      <c r="F3" s="20">
        <v>0.5</v>
      </c>
      <c r="G3" s="20">
        <v>1.7361111111111109E-4</v>
      </c>
      <c r="H3" s="18" t="s">
        <v>86</v>
      </c>
      <c r="I3" s="21">
        <v>0.4911226851851852</v>
      </c>
      <c r="J3" s="18" t="s">
        <v>76</v>
      </c>
      <c r="K3" s="18" t="s">
        <v>128</v>
      </c>
      <c r="L3" s="22">
        <v>1</v>
      </c>
      <c r="M3" s="22">
        <v>71175</v>
      </c>
      <c r="N3" s="18" t="s">
        <v>53</v>
      </c>
      <c r="O3" s="22" t="s">
        <v>82</v>
      </c>
      <c r="P3" s="23">
        <v>70</v>
      </c>
      <c r="Q3" s="22"/>
      <c r="R3" s="23">
        <v>70</v>
      </c>
      <c r="S3" s="24">
        <v>46062</v>
      </c>
      <c r="T3" s="23">
        <v>10.5</v>
      </c>
      <c r="U3" s="25">
        <v>4</v>
      </c>
      <c r="V3" s="23">
        <v>59.5</v>
      </c>
      <c r="W3" s="18" t="s">
        <v>47</v>
      </c>
      <c r="X3" s="18" t="s">
        <v>48</v>
      </c>
      <c r="Y3" s="18" t="s">
        <v>78</v>
      </c>
      <c r="Z3" s="18" t="s">
        <v>9</v>
      </c>
      <c r="AA3" s="18" t="s">
        <v>49</v>
      </c>
      <c r="AB3" s="18" t="s">
        <v>83</v>
      </c>
      <c r="AC3" s="18" t="s">
        <v>38</v>
      </c>
      <c r="AD3" s="7" t="s">
        <v>242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1.5" x14ac:dyDescent="0.25">
      <c r="A4" s="18" t="s">
        <v>80</v>
      </c>
      <c r="B4" s="19">
        <v>46062</v>
      </c>
      <c r="C4" s="19">
        <v>46062</v>
      </c>
      <c r="D4" s="18" t="s">
        <v>30</v>
      </c>
      <c r="E4" s="20">
        <v>0.47916666666666669</v>
      </c>
      <c r="F4" s="20">
        <v>0.5</v>
      </c>
      <c r="G4" s="20">
        <v>1.7361111111111109E-4</v>
      </c>
      <c r="H4" s="18" t="s">
        <v>86</v>
      </c>
      <c r="I4" s="21">
        <v>0.49755787037037036</v>
      </c>
      <c r="J4" s="18" t="s">
        <v>76</v>
      </c>
      <c r="K4" s="18" t="s">
        <v>128</v>
      </c>
      <c r="L4" s="22">
        <v>1</v>
      </c>
      <c r="M4" s="22">
        <v>71175</v>
      </c>
      <c r="N4" s="18" t="s">
        <v>53</v>
      </c>
      <c r="O4" s="22" t="s">
        <v>82</v>
      </c>
      <c r="P4" s="23">
        <v>70</v>
      </c>
      <c r="Q4" s="22"/>
      <c r="R4" s="23">
        <v>70</v>
      </c>
      <c r="S4" s="24">
        <v>46062</v>
      </c>
      <c r="T4" s="23">
        <v>10.5</v>
      </c>
      <c r="U4" s="25">
        <v>4</v>
      </c>
      <c r="V4" s="23">
        <v>59.5</v>
      </c>
      <c r="W4" s="18" t="s">
        <v>47</v>
      </c>
      <c r="X4" s="18" t="s">
        <v>48</v>
      </c>
      <c r="Y4" s="18" t="s">
        <v>78</v>
      </c>
      <c r="Z4" s="18" t="s">
        <v>9</v>
      </c>
      <c r="AA4" s="18" t="s">
        <v>49</v>
      </c>
      <c r="AB4" s="18" t="s">
        <v>83</v>
      </c>
      <c r="AC4" s="18" t="s">
        <v>38</v>
      </c>
      <c r="AD4" s="7" t="s">
        <v>242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80</v>
      </c>
      <c r="B5" s="19">
        <v>46062</v>
      </c>
      <c r="C5" s="19">
        <v>46062</v>
      </c>
      <c r="D5" s="18" t="s">
        <v>30</v>
      </c>
      <c r="E5" s="20">
        <v>0.5</v>
      </c>
      <c r="F5" s="20">
        <v>0.54166666666666663</v>
      </c>
      <c r="G5" s="20">
        <v>1.7361111111111109E-4</v>
      </c>
      <c r="H5" s="18" t="s">
        <v>93</v>
      </c>
      <c r="I5" s="21">
        <v>0.52737268518518521</v>
      </c>
      <c r="J5" s="18" t="s">
        <v>76</v>
      </c>
      <c r="K5" s="18" t="s">
        <v>129</v>
      </c>
      <c r="L5" s="22">
        <v>1</v>
      </c>
      <c r="M5" s="22">
        <v>71188</v>
      </c>
      <c r="N5" s="18" t="s">
        <v>53</v>
      </c>
      <c r="O5" s="22" t="s">
        <v>82</v>
      </c>
      <c r="P5" s="23">
        <v>70</v>
      </c>
      <c r="Q5" s="22"/>
      <c r="R5" s="23">
        <v>70</v>
      </c>
      <c r="S5" s="24">
        <v>46062</v>
      </c>
      <c r="T5" s="23">
        <v>10.5</v>
      </c>
      <c r="U5" s="25">
        <v>4</v>
      </c>
      <c r="V5" s="23">
        <v>59.5</v>
      </c>
      <c r="W5" s="18" t="s">
        <v>47</v>
      </c>
      <c r="X5" s="18" t="s">
        <v>48</v>
      </c>
      <c r="Y5" s="18" t="s">
        <v>78</v>
      </c>
      <c r="Z5" s="18" t="s">
        <v>9</v>
      </c>
      <c r="AA5" s="18" t="s">
        <v>49</v>
      </c>
      <c r="AB5" s="18" t="s">
        <v>83</v>
      </c>
      <c r="AC5" s="18" t="s">
        <v>38</v>
      </c>
      <c r="AD5" s="7" t="s">
        <v>242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1.5" x14ac:dyDescent="0.25">
      <c r="A6" s="18" t="s">
        <v>80</v>
      </c>
      <c r="B6" s="19">
        <v>46062</v>
      </c>
      <c r="C6" s="19">
        <v>46062</v>
      </c>
      <c r="D6" s="18" t="s">
        <v>30</v>
      </c>
      <c r="E6" s="20">
        <v>0.5</v>
      </c>
      <c r="F6" s="20">
        <v>0.54166666666666663</v>
      </c>
      <c r="G6" s="20">
        <v>1.7361111111111109E-4</v>
      </c>
      <c r="H6" s="18" t="s">
        <v>93</v>
      </c>
      <c r="I6" s="21">
        <v>0.54091435185185188</v>
      </c>
      <c r="J6" s="18" t="s">
        <v>76</v>
      </c>
      <c r="K6" s="18" t="s">
        <v>129</v>
      </c>
      <c r="L6" s="22">
        <v>1</v>
      </c>
      <c r="M6" s="22">
        <v>71188</v>
      </c>
      <c r="N6" s="18" t="s">
        <v>53</v>
      </c>
      <c r="O6" s="22" t="s">
        <v>82</v>
      </c>
      <c r="P6" s="23">
        <v>70</v>
      </c>
      <c r="Q6" s="22"/>
      <c r="R6" s="23">
        <v>70</v>
      </c>
      <c r="S6" s="24">
        <v>46062</v>
      </c>
      <c r="T6" s="23">
        <v>10.5</v>
      </c>
      <c r="U6" s="25">
        <v>4</v>
      </c>
      <c r="V6" s="23">
        <v>59.5</v>
      </c>
      <c r="W6" s="18" t="s">
        <v>47</v>
      </c>
      <c r="X6" s="18" t="s">
        <v>48</v>
      </c>
      <c r="Y6" s="18" t="s">
        <v>78</v>
      </c>
      <c r="Z6" s="18" t="s">
        <v>9</v>
      </c>
      <c r="AA6" s="18" t="s">
        <v>49</v>
      </c>
      <c r="AB6" s="18" t="s">
        <v>83</v>
      </c>
      <c r="AC6" s="18" t="s">
        <v>38</v>
      </c>
      <c r="AD6" s="7" t="s">
        <v>242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6" customFormat="1" ht="31.5" x14ac:dyDescent="0.25">
      <c r="A7" s="18" t="s">
        <v>80</v>
      </c>
      <c r="B7" s="19">
        <v>46063</v>
      </c>
      <c r="C7" s="19">
        <v>46063</v>
      </c>
      <c r="D7" s="18" t="s">
        <v>132</v>
      </c>
      <c r="E7" s="20">
        <v>0.45833333333333331</v>
      </c>
      <c r="F7" s="20">
        <v>0.47916666666666669</v>
      </c>
      <c r="G7" s="20">
        <v>1.7361111111111109E-4</v>
      </c>
      <c r="H7" s="18" t="s">
        <v>81</v>
      </c>
      <c r="I7" s="21">
        <v>0.46481481481481479</v>
      </c>
      <c r="J7" s="18" t="s">
        <v>76</v>
      </c>
      <c r="K7" s="18" t="s">
        <v>143</v>
      </c>
      <c r="L7" s="22">
        <v>1</v>
      </c>
      <c r="M7" s="22">
        <v>71172</v>
      </c>
      <c r="N7" s="18" t="s">
        <v>53</v>
      </c>
      <c r="O7" s="22" t="s">
        <v>82</v>
      </c>
      <c r="P7" s="23">
        <v>70</v>
      </c>
      <c r="Q7" s="22"/>
      <c r="R7" s="23">
        <v>70</v>
      </c>
      <c r="S7" s="24">
        <v>46063</v>
      </c>
      <c r="T7" s="23">
        <v>10.5</v>
      </c>
      <c r="U7" s="25">
        <v>4</v>
      </c>
      <c r="V7" s="23">
        <v>59.5</v>
      </c>
      <c r="W7" s="18" t="s">
        <v>47</v>
      </c>
      <c r="X7" s="18" t="s">
        <v>48</v>
      </c>
      <c r="Y7" s="18" t="s">
        <v>78</v>
      </c>
      <c r="Z7" s="18" t="s">
        <v>9</v>
      </c>
      <c r="AA7" s="18" t="s">
        <v>49</v>
      </c>
      <c r="AB7" s="18" t="s">
        <v>83</v>
      </c>
      <c r="AC7" s="18" t="s">
        <v>38</v>
      </c>
      <c r="AD7" s="7" t="s">
        <v>242</v>
      </c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17" customFormat="1" ht="31.5" x14ac:dyDescent="0.25">
      <c r="A8" s="18" t="s">
        <v>80</v>
      </c>
      <c r="B8" s="19">
        <v>46063</v>
      </c>
      <c r="C8" s="19">
        <v>46063</v>
      </c>
      <c r="D8" s="18" t="s">
        <v>132</v>
      </c>
      <c r="E8" s="20">
        <v>0.47916666666666669</v>
      </c>
      <c r="F8" s="20">
        <v>0.5</v>
      </c>
      <c r="G8" s="20">
        <v>1.7361111111111109E-4</v>
      </c>
      <c r="H8" s="18" t="s">
        <v>86</v>
      </c>
      <c r="I8" s="21">
        <v>0.4979513888888889</v>
      </c>
      <c r="J8" s="18" t="s">
        <v>76</v>
      </c>
      <c r="K8" s="18" t="s">
        <v>128</v>
      </c>
      <c r="L8" s="22">
        <v>1</v>
      </c>
      <c r="M8" s="22">
        <v>71176</v>
      </c>
      <c r="N8" s="18" t="s">
        <v>53</v>
      </c>
      <c r="O8" s="22" t="s">
        <v>82</v>
      </c>
      <c r="P8" s="23">
        <v>70</v>
      </c>
      <c r="Q8" s="22"/>
      <c r="R8" s="23">
        <v>70</v>
      </c>
      <c r="S8" s="24">
        <v>46063</v>
      </c>
      <c r="T8" s="23">
        <v>10.5</v>
      </c>
      <c r="U8" s="25">
        <v>4</v>
      </c>
      <c r="V8" s="23">
        <v>59.5</v>
      </c>
      <c r="W8" s="18" t="s">
        <v>47</v>
      </c>
      <c r="X8" s="18" t="s">
        <v>48</v>
      </c>
      <c r="Y8" s="18" t="s">
        <v>78</v>
      </c>
      <c r="Z8" s="18" t="s">
        <v>9</v>
      </c>
      <c r="AA8" s="18" t="s">
        <v>49</v>
      </c>
      <c r="AB8" s="18" t="s">
        <v>83</v>
      </c>
      <c r="AC8" s="18" t="s">
        <v>38</v>
      </c>
      <c r="AD8" s="7" t="s">
        <v>242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1.5" x14ac:dyDescent="0.25">
      <c r="A9" s="18" t="s">
        <v>80</v>
      </c>
      <c r="B9" s="19">
        <v>46063</v>
      </c>
      <c r="C9" s="19">
        <v>46063</v>
      </c>
      <c r="D9" s="18" t="s">
        <v>132</v>
      </c>
      <c r="E9" s="20">
        <v>0.5</v>
      </c>
      <c r="F9" s="20">
        <v>0.54166666666666663</v>
      </c>
      <c r="G9" s="20">
        <v>1.7361111111111109E-4</v>
      </c>
      <c r="H9" s="18" t="s">
        <v>93</v>
      </c>
      <c r="I9" s="21">
        <v>0.54098379629629634</v>
      </c>
      <c r="J9" s="18" t="s">
        <v>76</v>
      </c>
      <c r="K9" s="18" t="s">
        <v>129</v>
      </c>
      <c r="L9" s="22">
        <v>1</v>
      </c>
      <c r="M9" s="22">
        <v>71189</v>
      </c>
      <c r="N9" s="18" t="s">
        <v>53</v>
      </c>
      <c r="O9" s="22" t="s">
        <v>82</v>
      </c>
      <c r="P9" s="23">
        <v>70</v>
      </c>
      <c r="Q9" s="22"/>
      <c r="R9" s="23">
        <v>70</v>
      </c>
      <c r="S9" s="24">
        <v>46063</v>
      </c>
      <c r="T9" s="23">
        <v>10.5</v>
      </c>
      <c r="U9" s="25">
        <v>4</v>
      </c>
      <c r="V9" s="23">
        <v>59.5</v>
      </c>
      <c r="W9" s="18" t="s">
        <v>47</v>
      </c>
      <c r="X9" s="18" t="s">
        <v>48</v>
      </c>
      <c r="Y9" s="18" t="s">
        <v>78</v>
      </c>
      <c r="Z9" s="18" t="s">
        <v>9</v>
      </c>
      <c r="AA9" s="18" t="s">
        <v>49</v>
      </c>
      <c r="AB9" s="18" t="s">
        <v>83</v>
      </c>
      <c r="AC9" s="18" t="s">
        <v>38</v>
      </c>
      <c r="AD9" s="7" t="s">
        <v>242</v>
      </c>
    </row>
    <row r="10" spans="1:49" s="26" customFormat="1" ht="31.5" x14ac:dyDescent="0.25">
      <c r="A10" s="18" t="s">
        <v>80</v>
      </c>
      <c r="B10" s="19">
        <v>46064</v>
      </c>
      <c r="C10" s="19">
        <v>46064</v>
      </c>
      <c r="D10" s="18" t="s">
        <v>166</v>
      </c>
      <c r="E10" s="20">
        <v>0.45833333333333331</v>
      </c>
      <c r="F10" s="20">
        <v>0.47916666666666669</v>
      </c>
      <c r="G10" s="20">
        <v>1.7361111111111109E-4</v>
      </c>
      <c r="H10" s="18" t="s">
        <v>93</v>
      </c>
      <c r="I10" s="21">
        <v>0.47232939814814817</v>
      </c>
      <c r="J10" s="18" t="s">
        <v>76</v>
      </c>
      <c r="K10" s="18" t="s">
        <v>143</v>
      </c>
      <c r="L10" s="22">
        <v>1</v>
      </c>
      <c r="M10" s="22">
        <v>71172</v>
      </c>
      <c r="N10" s="18" t="s">
        <v>53</v>
      </c>
      <c r="O10" s="22" t="s">
        <v>82</v>
      </c>
      <c r="P10" s="23">
        <v>70</v>
      </c>
      <c r="Q10" s="22"/>
      <c r="R10" s="23">
        <v>70</v>
      </c>
      <c r="S10" s="24">
        <v>46064</v>
      </c>
      <c r="T10" s="23">
        <v>10.5</v>
      </c>
      <c r="U10" s="25">
        <v>4</v>
      </c>
      <c r="V10" s="23">
        <v>59.5</v>
      </c>
      <c r="W10" s="18" t="s">
        <v>47</v>
      </c>
      <c r="X10" s="18" t="s">
        <v>48</v>
      </c>
      <c r="Y10" s="18" t="s">
        <v>78</v>
      </c>
      <c r="Z10" s="18" t="s">
        <v>9</v>
      </c>
      <c r="AA10" s="18" t="s">
        <v>49</v>
      </c>
      <c r="AB10" s="18" t="s">
        <v>83</v>
      </c>
      <c r="AC10" s="18" t="s">
        <v>38</v>
      </c>
      <c r="AD10" s="7" t="s">
        <v>242</v>
      </c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</row>
    <row r="11" spans="1:49" s="26" customFormat="1" ht="31.5" x14ac:dyDescent="0.25">
      <c r="A11" s="18" t="s">
        <v>80</v>
      </c>
      <c r="B11" s="19">
        <v>46064</v>
      </c>
      <c r="C11" s="19">
        <v>46064</v>
      </c>
      <c r="D11" s="18" t="s">
        <v>166</v>
      </c>
      <c r="E11" s="20">
        <v>0.47916666666666669</v>
      </c>
      <c r="F11" s="20">
        <v>0.5</v>
      </c>
      <c r="G11" s="20">
        <v>1.7361111111111109E-4</v>
      </c>
      <c r="H11" s="18" t="s">
        <v>86</v>
      </c>
      <c r="I11" s="21">
        <v>0.4926388888888889</v>
      </c>
      <c r="J11" s="18" t="s">
        <v>76</v>
      </c>
      <c r="K11" s="18" t="s">
        <v>128</v>
      </c>
      <c r="L11" s="22">
        <v>1</v>
      </c>
      <c r="M11" s="22">
        <v>71176</v>
      </c>
      <c r="N11" s="18" t="s">
        <v>53</v>
      </c>
      <c r="O11" s="22" t="s">
        <v>82</v>
      </c>
      <c r="P11" s="23">
        <v>70</v>
      </c>
      <c r="Q11" s="22"/>
      <c r="R11" s="23">
        <v>70</v>
      </c>
      <c r="S11" s="24">
        <v>46064</v>
      </c>
      <c r="T11" s="23">
        <v>10.5</v>
      </c>
      <c r="U11" s="25">
        <v>4</v>
      </c>
      <c r="V11" s="23">
        <v>59.5</v>
      </c>
      <c r="W11" s="18" t="s">
        <v>47</v>
      </c>
      <c r="X11" s="18" t="s">
        <v>48</v>
      </c>
      <c r="Y11" s="18" t="s">
        <v>78</v>
      </c>
      <c r="Z11" s="18" t="s">
        <v>9</v>
      </c>
      <c r="AA11" s="18" t="s">
        <v>49</v>
      </c>
      <c r="AB11" s="18" t="s">
        <v>83</v>
      </c>
      <c r="AC11" s="18" t="s">
        <v>38</v>
      </c>
      <c r="AD11" s="7" t="s">
        <v>242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6" customFormat="1" ht="31.5" x14ac:dyDescent="0.25">
      <c r="A12" s="18" t="s">
        <v>80</v>
      </c>
      <c r="B12" s="19">
        <v>46064</v>
      </c>
      <c r="C12" s="19">
        <v>46064</v>
      </c>
      <c r="D12" s="18" t="s">
        <v>166</v>
      </c>
      <c r="E12" s="20">
        <v>0.5</v>
      </c>
      <c r="F12" s="20">
        <v>0.54166666666666663</v>
      </c>
      <c r="G12" s="20">
        <v>1.7361111111111109E-4</v>
      </c>
      <c r="H12" s="18" t="s">
        <v>93</v>
      </c>
      <c r="I12" s="21">
        <v>0.51325231481481481</v>
      </c>
      <c r="J12" s="18" t="s">
        <v>76</v>
      </c>
      <c r="K12" s="18" t="s">
        <v>129</v>
      </c>
      <c r="L12" s="22">
        <v>1</v>
      </c>
      <c r="M12" s="22">
        <v>71189</v>
      </c>
      <c r="N12" s="18" t="s">
        <v>53</v>
      </c>
      <c r="O12" s="22" t="s">
        <v>82</v>
      </c>
      <c r="P12" s="23">
        <v>70</v>
      </c>
      <c r="Q12" s="22"/>
      <c r="R12" s="23">
        <v>70</v>
      </c>
      <c r="S12" s="24">
        <v>46064</v>
      </c>
      <c r="T12" s="23">
        <v>10.5</v>
      </c>
      <c r="U12" s="25">
        <v>4</v>
      </c>
      <c r="V12" s="23">
        <v>59.5</v>
      </c>
      <c r="W12" s="18" t="s">
        <v>47</v>
      </c>
      <c r="X12" s="18" t="s">
        <v>48</v>
      </c>
      <c r="Y12" s="18" t="s">
        <v>78</v>
      </c>
      <c r="Z12" s="18" t="s">
        <v>9</v>
      </c>
      <c r="AA12" s="18" t="s">
        <v>49</v>
      </c>
      <c r="AB12" s="18" t="s">
        <v>83</v>
      </c>
      <c r="AC12" s="18" t="s">
        <v>38</v>
      </c>
      <c r="AD12" s="7" t="s">
        <v>242</v>
      </c>
    </row>
    <row r="13" spans="1:49" s="26" customFormat="1" ht="31.5" x14ac:dyDescent="0.25">
      <c r="A13" s="18" t="s">
        <v>80</v>
      </c>
      <c r="B13" s="19">
        <v>46065</v>
      </c>
      <c r="C13" s="19">
        <v>46065</v>
      </c>
      <c r="D13" s="18" t="s">
        <v>179</v>
      </c>
      <c r="E13" s="20">
        <v>0.45833333333333331</v>
      </c>
      <c r="F13" s="20">
        <v>0.47916666666666669</v>
      </c>
      <c r="G13" s="20">
        <v>1.7361111111111109E-4</v>
      </c>
      <c r="H13" s="18" t="s">
        <v>93</v>
      </c>
      <c r="I13" s="21">
        <v>0.47889004629629628</v>
      </c>
      <c r="J13" s="18" t="s">
        <v>76</v>
      </c>
      <c r="K13" s="18" t="s">
        <v>143</v>
      </c>
      <c r="L13" s="22">
        <v>1</v>
      </c>
      <c r="M13" s="22">
        <v>71172</v>
      </c>
      <c r="N13" s="18" t="s">
        <v>53</v>
      </c>
      <c r="O13" s="22" t="s">
        <v>82</v>
      </c>
      <c r="P13" s="23">
        <v>70</v>
      </c>
      <c r="Q13" s="22"/>
      <c r="R13" s="23">
        <v>70</v>
      </c>
      <c r="S13" s="24">
        <v>46065</v>
      </c>
      <c r="T13" s="23">
        <v>10.5</v>
      </c>
      <c r="U13" s="25">
        <v>4</v>
      </c>
      <c r="V13" s="23">
        <v>59.5</v>
      </c>
      <c r="W13" s="18" t="s">
        <v>47</v>
      </c>
      <c r="X13" s="18" t="s">
        <v>48</v>
      </c>
      <c r="Y13" s="18" t="s">
        <v>78</v>
      </c>
      <c r="Z13" s="18" t="s">
        <v>9</v>
      </c>
      <c r="AA13" s="18" t="s">
        <v>49</v>
      </c>
      <c r="AB13" s="18" t="s">
        <v>83</v>
      </c>
      <c r="AC13" s="18" t="s">
        <v>38</v>
      </c>
      <c r="AD13" s="7" t="s">
        <v>242</v>
      </c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2" customFormat="1" ht="31.5" x14ac:dyDescent="0.25">
      <c r="A14" s="18" t="s">
        <v>80</v>
      </c>
      <c r="B14" s="19">
        <v>46065</v>
      </c>
      <c r="C14" s="19">
        <v>46065</v>
      </c>
      <c r="D14" s="18" t="s">
        <v>179</v>
      </c>
      <c r="E14" s="20">
        <v>0.47916666666666669</v>
      </c>
      <c r="F14" s="20">
        <v>0.5</v>
      </c>
      <c r="G14" s="20">
        <v>1.7361111111111109E-4</v>
      </c>
      <c r="H14" s="18" t="s">
        <v>86</v>
      </c>
      <c r="I14" s="21">
        <v>0.48810219907407404</v>
      </c>
      <c r="J14" s="18" t="s">
        <v>76</v>
      </c>
      <c r="K14" s="18" t="s">
        <v>128</v>
      </c>
      <c r="L14" s="22">
        <v>1</v>
      </c>
      <c r="M14" s="22">
        <v>71176</v>
      </c>
      <c r="N14" s="18" t="s">
        <v>53</v>
      </c>
      <c r="O14" s="22" t="s">
        <v>82</v>
      </c>
      <c r="P14" s="23">
        <v>70</v>
      </c>
      <c r="Q14" s="22"/>
      <c r="R14" s="23">
        <v>70</v>
      </c>
      <c r="S14" s="24">
        <v>46065</v>
      </c>
      <c r="T14" s="23">
        <v>10.5</v>
      </c>
      <c r="U14" s="25">
        <v>4</v>
      </c>
      <c r="V14" s="23">
        <v>59.5</v>
      </c>
      <c r="W14" s="18" t="s">
        <v>47</v>
      </c>
      <c r="X14" s="18" t="s">
        <v>48</v>
      </c>
      <c r="Y14" s="18" t="s">
        <v>78</v>
      </c>
      <c r="Z14" s="18" t="s">
        <v>9</v>
      </c>
      <c r="AA14" s="18" t="s">
        <v>49</v>
      </c>
      <c r="AB14" s="18" t="s">
        <v>83</v>
      </c>
      <c r="AC14" s="18" t="s">
        <v>38</v>
      </c>
      <c r="AD14" s="7" t="s">
        <v>242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1.5" x14ac:dyDescent="0.25">
      <c r="A15" s="18" t="s">
        <v>80</v>
      </c>
      <c r="B15" s="19">
        <v>46065</v>
      </c>
      <c r="C15" s="19">
        <v>46065</v>
      </c>
      <c r="D15" s="18" t="s">
        <v>179</v>
      </c>
      <c r="E15" s="20">
        <v>0.5</v>
      </c>
      <c r="F15" s="20">
        <v>0.54166666666666663</v>
      </c>
      <c r="G15" s="20">
        <v>1.7361111111111109E-4</v>
      </c>
      <c r="H15" s="18" t="s">
        <v>93</v>
      </c>
      <c r="I15" s="21">
        <v>0.50757268518518517</v>
      </c>
      <c r="J15" s="18" t="s">
        <v>76</v>
      </c>
      <c r="K15" s="18" t="s">
        <v>129</v>
      </c>
      <c r="L15" s="22">
        <v>1</v>
      </c>
      <c r="M15" s="22">
        <v>71189</v>
      </c>
      <c r="N15" s="18" t="s">
        <v>53</v>
      </c>
      <c r="O15" s="22" t="s">
        <v>82</v>
      </c>
      <c r="P15" s="23">
        <v>70</v>
      </c>
      <c r="Q15" s="22"/>
      <c r="R15" s="23">
        <v>70</v>
      </c>
      <c r="S15" s="24">
        <v>46065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78</v>
      </c>
      <c r="Z15" s="18" t="s">
        <v>9</v>
      </c>
      <c r="AA15" s="18" t="s">
        <v>49</v>
      </c>
      <c r="AB15" s="18" t="s">
        <v>83</v>
      </c>
      <c r="AC15" s="18" t="s">
        <v>38</v>
      </c>
      <c r="AD15" s="7" t="s">
        <v>242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80</v>
      </c>
      <c r="B16" s="19">
        <v>46066</v>
      </c>
      <c r="C16" s="19">
        <v>46066</v>
      </c>
      <c r="D16" s="18" t="s">
        <v>195</v>
      </c>
      <c r="E16" s="20">
        <v>0.45833333333333331</v>
      </c>
      <c r="F16" s="20">
        <v>0.47916666666666669</v>
      </c>
      <c r="G16" s="20">
        <v>1.7361111111111109E-4</v>
      </c>
      <c r="H16" s="18" t="s">
        <v>93</v>
      </c>
      <c r="I16" s="21">
        <v>0.47221134259259256</v>
      </c>
      <c r="J16" s="18" t="s">
        <v>76</v>
      </c>
      <c r="K16" s="18" t="s">
        <v>143</v>
      </c>
      <c r="L16" s="22">
        <v>1</v>
      </c>
      <c r="M16" s="22">
        <v>71172</v>
      </c>
      <c r="N16" s="18" t="s">
        <v>53</v>
      </c>
      <c r="O16" s="22" t="s">
        <v>82</v>
      </c>
      <c r="P16" s="23">
        <v>70</v>
      </c>
      <c r="Q16" s="22"/>
      <c r="R16" s="23">
        <v>70</v>
      </c>
      <c r="S16" s="24">
        <v>46066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78</v>
      </c>
      <c r="Z16" s="18" t="s">
        <v>9</v>
      </c>
      <c r="AA16" s="18" t="s">
        <v>49</v>
      </c>
      <c r="AB16" s="18" t="s">
        <v>83</v>
      </c>
      <c r="AC16" s="18" t="s">
        <v>38</v>
      </c>
      <c r="AD16" s="7" t="s">
        <v>242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2" customFormat="1" ht="31.5" x14ac:dyDescent="0.25">
      <c r="A17" s="18" t="s">
        <v>80</v>
      </c>
      <c r="B17" s="19">
        <v>46066</v>
      </c>
      <c r="C17" s="19">
        <v>46066</v>
      </c>
      <c r="D17" s="18" t="s">
        <v>195</v>
      </c>
      <c r="E17" s="20">
        <v>0.47916666666666669</v>
      </c>
      <c r="F17" s="20">
        <v>0.5</v>
      </c>
      <c r="G17" s="20">
        <v>1.7361111111111109E-4</v>
      </c>
      <c r="H17" s="18" t="s">
        <v>86</v>
      </c>
      <c r="I17" s="21">
        <v>0.49916932870370373</v>
      </c>
      <c r="J17" s="18" t="s">
        <v>76</v>
      </c>
      <c r="K17" s="18" t="s">
        <v>128</v>
      </c>
      <c r="L17" s="22">
        <v>1</v>
      </c>
      <c r="M17" s="22">
        <v>71176</v>
      </c>
      <c r="N17" s="18" t="s">
        <v>53</v>
      </c>
      <c r="O17" s="22" t="s">
        <v>82</v>
      </c>
      <c r="P17" s="23">
        <v>70</v>
      </c>
      <c r="Q17" s="22"/>
      <c r="R17" s="23">
        <v>70</v>
      </c>
      <c r="S17" s="24">
        <v>46066</v>
      </c>
      <c r="T17" s="23">
        <v>10.5</v>
      </c>
      <c r="U17" s="25">
        <v>4</v>
      </c>
      <c r="V17" s="23">
        <v>59.5</v>
      </c>
      <c r="W17" s="18" t="s">
        <v>47</v>
      </c>
      <c r="X17" s="18" t="s">
        <v>48</v>
      </c>
      <c r="Y17" s="18" t="s">
        <v>78</v>
      </c>
      <c r="Z17" s="18" t="s">
        <v>9</v>
      </c>
      <c r="AA17" s="18" t="s">
        <v>49</v>
      </c>
      <c r="AB17" s="18" t="s">
        <v>83</v>
      </c>
      <c r="AC17" s="18" t="s">
        <v>38</v>
      </c>
      <c r="AD17" s="7" t="s">
        <v>242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80</v>
      </c>
      <c r="B18" s="19">
        <v>46066</v>
      </c>
      <c r="C18" s="19">
        <v>46066</v>
      </c>
      <c r="D18" s="18" t="s">
        <v>195</v>
      </c>
      <c r="E18" s="20">
        <v>0.5</v>
      </c>
      <c r="F18" s="20">
        <v>0.54166666666666663</v>
      </c>
      <c r="G18" s="20">
        <v>1.7361111111111109E-4</v>
      </c>
      <c r="H18" s="18" t="s">
        <v>93</v>
      </c>
      <c r="I18" s="21">
        <v>0.52027812500000004</v>
      </c>
      <c r="J18" s="18" t="s">
        <v>76</v>
      </c>
      <c r="K18" s="18" t="s">
        <v>129</v>
      </c>
      <c r="L18" s="22">
        <v>1</v>
      </c>
      <c r="M18" s="22">
        <v>71189</v>
      </c>
      <c r="N18" s="18" t="s">
        <v>53</v>
      </c>
      <c r="O18" s="22" t="s">
        <v>82</v>
      </c>
      <c r="P18" s="23">
        <v>70</v>
      </c>
      <c r="Q18" s="22"/>
      <c r="R18" s="23">
        <v>70</v>
      </c>
      <c r="S18" s="24">
        <v>46066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78</v>
      </c>
      <c r="Z18" s="18" t="s">
        <v>9</v>
      </c>
      <c r="AA18" s="18" t="s">
        <v>49</v>
      </c>
      <c r="AB18" s="18" t="s">
        <v>83</v>
      </c>
      <c r="AC18" s="18" t="s">
        <v>38</v>
      </c>
      <c r="AD18" s="7" t="s">
        <v>242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80</v>
      </c>
      <c r="B19" s="19">
        <v>46067</v>
      </c>
      <c r="C19" s="19">
        <v>46067</v>
      </c>
      <c r="D19" s="18" t="s">
        <v>203</v>
      </c>
      <c r="E19" s="20">
        <v>0.45833333333333331</v>
      </c>
      <c r="F19" s="20">
        <v>0.5</v>
      </c>
      <c r="G19" s="20">
        <v>1.7361111111111109E-4</v>
      </c>
      <c r="H19" s="18" t="s">
        <v>86</v>
      </c>
      <c r="I19" s="21">
        <v>0.46824386574074073</v>
      </c>
      <c r="J19" s="18" t="s">
        <v>76</v>
      </c>
      <c r="K19" s="18" t="s">
        <v>143</v>
      </c>
      <c r="L19" s="22">
        <v>1</v>
      </c>
      <c r="M19" s="22">
        <v>71182</v>
      </c>
      <c r="N19" s="18" t="s">
        <v>53</v>
      </c>
      <c r="O19" s="22" t="s">
        <v>82</v>
      </c>
      <c r="P19" s="23">
        <v>70</v>
      </c>
      <c r="Q19" s="22"/>
      <c r="R19" s="23">
        <v>70</v>
      </c>
      <c r="S19" s="24">
        <v>46067</v>
      </c>
      <c r="T19" s="23">
        <v>10.5</v>
      </c>
      <c r="U19" s="25">
        <v>4</v>
      </c>
      <c r="V19" s="23">
        <v>59.5</v>
      </c>
      <c r="W19" s="18" t="s">
        <v>47</v>
      </c>
      <c r="X19" s="18" t="s">
        <v>48</v>
      </c>
      <c r="Y19" s="18" t="s">
        <v>78</v>
      </c>
      <c r="Z19" s="18" t="s">
        <v>9</v>
      </c>
      <c r="AA19" s="18" t="s">
        <v>49</v>
      </c>
      <c r="AB19" s="18" t="s">
        <v>83</v>
      </c>
      <c r="AC19" s="18" t="s">
        <v>38</v>
      </c>
      <c r="AD19" s="7" t="s">
        <v>242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1.5" x14ac:dyDescent="0.25">
      <c r="A20" s="18" t="s">
        <v>80</v>
      </c>
      <c r="B20" s="19">
        <v>46067</v>
      </c>
      <c r="C20" s="19">
        <v>46067</v>
      </c>
      <c r="D20" s="18" t="s">
        <v>203</v>
      </c>
      <c r="E20" s="20">
        <v>0.45833333333333331</v>
      </c>
      <c r="F20" s="20">
        <v>0.5</v>
      </c>
      <c r="G20" s="20">
        <v>1.7361111111111109E-4</v>
      </c>
      <c r="H20" s="18" t="s">
        <v>86</v>
      </c>
      <c r="I20" s="21">
        <v>0.48919259259259257</v>
      </c>
      <c r="J20" s="18" t="s">
        <v>76</v>
      </c>
      <c r="K20" s="18" t="s">
        <v>214</v>
      </c>
      <c r="L20" s="22">
        <v>1</v>
      </c>
      <c r="M20" s="22">
        <v>71182</v>
      </c>
      <c r="N20" s="18" t="s">
        <v>53</v>
      </c>
      <c r="O20" s="22" t="s">
        <v>82</v>
      </c>
      <c r="P20" s="23">
        <v>70</v>
      </c>
      <c r="Q20" s="22"/>
      <c r="R20" s="23">
        <v>70</v>
      </c>
      <c r="S20" s="24">
        <v>46067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78</v>
      </c>
      <c r="Z20" s="18" t="s">
        <v>9</v>
      </c>
      <c r="AA20" s="18" t="s">
        <v>49</v>
      </c>
      <c r="AB20" s="18" t="s">
        <v>83</v>
      </c>
      <c r="AC20" s="18" t="s">
        <v>38</v>
      </c>
      <c r="AD20" s="7" t="s">
        <v>242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1.5" x14ac:dyDescent="0.25">
      <c r="A21" s="18" t="s">
        <v>80</v>
      </c>
      <c r="B21" s="19">
        <v>46068</v>
      </c>
      <c r="C21" s="19">
        <v>46068</v>
      </c>
      <c r="D21" s="18" t="s">
        <v>231</v>
      </c>
      <c r="E21" s="20">
        <v>0.45833333333333331</v>
      </c>
      <c r="F21" s="20">
        <v>0.5</v>
      </c>
      <c r="G21" s="20">
        <v>1.7361111111111109E-4</v>
      </c>
      <c r="H21" s="18" t="s">
        <v>86</v>
      </c>
      <c r="I21" s="21">
        <v>0.47642569444444444</v>
      </c>
      <c r="J21" s="18" t="s">
        <v>76</v>
      </c>
      <c r="K21" s="18" t="s">
        <v>72</v>
      </c>
      <c r="L21" s="22">
        <v>1</v>
      </c>
      <c r="M21" s="22">
        <v>71182</v>
      </c>
      <c r="N21" s="18" t="s">
        <v>53</v>
      </c>
      <c r="O21" s="22" t="s">
        <v>82</v>
      </c>
      <c r="P21" s="23">
        <v>70</v>
      </c>
      <c r="Q21" s="22"/>
      <c r="R21" s="23">
        <v>70</v>
      </c>
      <c r="S21" s="24">
        <v>46068</v>
      </c>
      <c r="T21" s="23">
        <v>10.5</v>
      </c>
      <c r="U21" s="25">
        <v>4</v>
      </c>
      <c r="V21" s="23">
        <v>59.5</v>
      </c>
      <c r="W21" s="18" t="s">
        <v>47</v>
      </c>
      <c r="X21" s="18" t="s">
        <v>48</v>
      </c>
      <c r="Y21" s="18" t="s">
        <v>78</v>
      </c>
      <c r="Z21" s="18" t="s">
        <v>9</v>
      </c>
      <c r="AA21" s="18" t="s">
        <v>49</v>
      </c>
      <c r="AB21" s="18" t="s">
        <v>83</v>
      </c>
      <c r="AC21" s="18" t="s">
        <v>38</v>
      </c>
      <c r="AD21" s="7" t="s">
        <v>242</v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17" customFormat="1" ht="31.5" x14ac:dyDescent="0.25">
      <c r="A22" s="18" t="s">
        <v>80</v>
      </c>
      <c r="B22" s="19">
        <v>46068</v>
      </c>
      <c r="C22" s="19">
        <v>46068</v>
      </c>
      <c r="D22" s="18" t="s">
        <v>231</v>
      </c>
      <c r="E22" s="20">
        <v>0.45833333333333331</v>
      </c>
      <c r="F22" s="20">
        <v>0.5</v>
      </c>
      <c r="G22" s="20">
        <v>1.7361111111111109E-4</v>
      </c>
      <c r="H22" s="18" t="s">
        <v>86</v>
      </c>
      <c r="I22" s="21">
        <v>0.48431712962962964</v>
      </c>
      <c r="J22" s="18" t="s">
        <v>76</v>
      </c>
      <c r="K22" s="18" t="s">
        <v>128</v>
      </c>
      <c r="L22" s="22">
        <v>1</v>
      </c>
      <c r="M22" s="22">
        <v>71182</v>
      </c>
      <c r="N22" s="18" t="s">
        <v>53</v>
      </c>
      <c r="O22" s="22" t="s">
        <v>82</v>
      </c>
      <c r="P22" s="23">
        <v>70</v>
      </c>
      <c r="Q22" s="22"/>
      <c r="R22" s="23">
        <v>70</v>
      </c>
      <c r="S22" s="24">
        <v>46068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78</v>
      </c>
      <c r="Z22" s="18" t="s">
        <v>9</v>
      </c>
      <c r="AA22" s="18" t="s">
        <v>49</v>
      </c>
      <c r="AB22" s="18" t="s">
        <v>83</v>
      </c>
      <c r="AC22" s="18" t="s">
        <v>38</v>
      </c>
      <c r="AD22" s="7" t="s">
        <v>242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1.5" x14ac:dyDescent="0.25">
      <c r="A23" s="9" t="s">
        <v>217</v>
      </c>
      <c r="B23" s="10">
        <v>46067</v>
      </c>
      <c r="C23" s="10">
        <v>46067</v>
      </c>
      <c r="D23" s="11" t="s">
        <v>203</v>
      </c>
      <c r="E23" s="12">
        <v>0.54166666666666663</v>
      </c>
      <c r="F23" s="12">
        <v>0.58333333333333337</v>
      </c>
      <c r="G23" s="12">
        <v>4.1666666666666664E-2</v>
      </c>
      <c r="H23" s="41" t="s">
        <v>217</v>
      </c>
      <c r="I23" s="13"/>
      <c r="J23" s="9" t="s">
        <v>96</v>
      </c>
      <c r="K23" s="9" t="s">
        <v>218</v>
      </c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1</v>
      </c>
      <c r="V23" s="16">
        <v>0</v>
      </c>
      <c r="W23" s="9" t="s">
        <v>34</v>
      </c>
      <c r="X23" s="9" t="s">
        <v>35</v>
      </c>
      <c r="Y23" s="9" t="s">
        <v>36</v>
      </c>
      <c r="Z23" s="9" t="s">
        <v>68</v>
      </c>
      <c r="AA23" s="9" t="s">
        <v>37</v>
      </c>
      <c r="AB23" s="9" t="s">
        <v>37</v>
      </c>
      <c r="AC23" s="9" t="s">
        <v>38</v>
      </c>
      <c r="AD23" s="7" t="s">
        <v>242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1.5" x14ac:dyDescent="0.2">
      <c r="A24" s="9" t="s">
        <v>239</v>
      </c>
      <c r="B24" s="10">
        <v>46068</v>
      </c>
      <c r="C24" s="10">
        <v>46068</v>
      </c>
      <c r="D24" s="11" t="s">
        <v>231</v>
      </c>
      <c r="E24" s="12">
        <v>0.625</v>
      </c>
      <c r="F24" s="12">
        <v>0.66666666666666663</v>
      </c>
      <c r="G24" s="12">
        <v>4.1666666666666664E-2</v>
      </c>
      <c r="H24" s="9" t="s">
        <v>240</v>
      </c>
      <c r="I24" s="13"/>
      <c r="J24" s="9" t="s">
        <v>96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46068</v>
      </c>
      <c r="T24" s="16">
        <v>0</v>
      </c>
      <c r="U24" s="14">
        <v>1</v>
      </c>
      <c r="V24" s="16">
        <v>0</v>
      </c>
      <c r="W24" s="9" t="s">
        <v>34</v>
      </c>
      <c r="X24" s="9" t="s">
        <v>42</v>
      </c>
      <c r="Y24" s="9" t="s">
        <v>78</v>
      </c>
      <c r="Z24" s="9" t="s">
        <v>68</v>
      </c>
      <c r="AA24" s="9" t="s">
        <v>37</v>
      </c>
      <c r="AB24" s="9" t="s">
        <v>37</v>
      </c>
      <c r="AC24" s="9" t="s">
        <v>38</v>
      </c>
      <c r="AD24" s="7" t="s">
        <v>242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1.5" x14ac:dyDescent="0.25">
      <c r="A25" s="9" t="s">
        <v>56</v>
      </c>
      <c r="B25" s="10">
        <v>46062</v>
      </c>
      <c r="C25" s="10">
        <v>46062</v>
      </c>
      <c r="D25" s="11" t="s">
        <v>30</v>
      </c>
      <c r="E25" s="12">
        <v>0.29166666666666669</v>
      </c>
      <c r="F25" s="12">
        <v>0.3125</v>
      </c>
      <c r="G25" s="12">
        <v>2.0833333333333332E-2</v>
      </c>
      <c r="H25" s="9" t="s">
        <v>57</v>
      </c>
      <c r="I25" s="13" t="s">
        <v>58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242</v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28" customFormat="1" ht="31.5" x14ac:dyDescent="0.25">
      <c r="A26" s="9" t="s">
        <v>56</v>
      </c>
      <c r="B26" s="10">
        <v>46062</v>
      </c>
      <c r="C26" s="10">
        <v>46062</v>
      </c>
      <c r="D26" s="11" t="s">
        <v>30</v>
      </c>
      <c r="E26" s="12">
        <v>0.3125</v>
      </c>
      <c r="F26" s="12">
        <v>0.33333333333333331</v>
      </c>
      <c r="G26" s="12">
        <v>2.0833333333333332E-2</v>
      </c>
      <c r="H26" s="9" t="s">
        <v>57</v>
      </c>
      <c r="I26" s="13" t="s">
        <v>58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242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8" customFormat="1" ht="31.5" x14ac:dyDescent="0.25">
      <c r="A27" s="9" t="s">
        <v>56</v>
      </c>
      <c r="B27" s="10">
        <v>46063</v>
      </c>
      <c r="C27" s="10">
        <v>46063</v>
      </c>
      <c r="D27" s="11" t="s">
        <v>132</v>
      </c>
      <c r="E27" s="12">
        <v>0.29166666666666669</v>
      </c>
      <c r="F27" s="12">
        <v>0.3125</v>
      </c>
      <c r="G27" s="12">
        <v>2.0833333333333332E-2</v>
      </c>
      <c r="H27" s="9" t="s">
        <v>140</v>
      </c>
      <c r="I27" s="13" t="s">
        <v>58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242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1.5" x14ac:dyDescent="0.25">
      <c r="A28" s="9" t="s">
        <v>56</v>
      </c>
      <c r="B28" s="10">
        <v>46063</v>
      </c>
      <c r="C28" s="10">
        <v>46063</v>
      </c>
      <c r="D28" s="11" t="s">
        <v>132</v>
      </c>
      <c r="E28" s="12">
        <v>0.3125</v>
      </c>
      <c r="F28" s="12">
        <v>0.33333333333333331</v>
      </c>
      <c r="G28" s="12">
        <v>2.0833333333333332E-2</v>
      </c>
      <c r="H28" s="9" t="s">
        <v>140</v>
      </c>
      <c r="I28" s="13" t="s">
        <v>58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">
        <v>242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9" t="s">
        <v>56</v>
      </c>
      <c r="B29" s="10">
        <v>46064</v>
      </c>
      <c r="C29" s="10">
        <v>46064</v>
      </c>
      <c r="D29" s="11" t="s">
        <v>166</v>
      </c>
      <c r="E29" s="12">
        <v>0.29166666666666669</v>
      </c>
      <c r="F29" s="12">
        <v>0.3125</v>
      </c>
      <c r="G29" s="12">
        <v>2.0833333333333332E-2</v>
      </c>
      <c r="H29" s="9" t="s">
        <v>167</v>
      </c>
      <c r="I29" s="13" t="s">
        <v>58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">
        <v>242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1.5" x14ac:dyDescent="0.25">
      <c r="A30" s="9" t="s">
        <v>56</v>
      </c>
      <c r="B30" s="10">
        <v>46064</v>
      </c>
      <c r="C30" s="10">
        <v>46064</v>
      </c>
      <c r="D30" s="11" t="s">
        <v>166</v>
      </c>
      <c r="E30" s="12">
        <v>0.3125</v>
      </c>
      <c r="F30" s="12">
        <v>0.33333333333333331</v>
      </c>
      <c r="G30" s="12">
        <v>2.0833333333333332E-2</v>
      </c>
      <c r="H30" s="9" t="s">
        <v>167</v>
      </c>
      <c r="I30" s="13" t="s">
        <v>58</v>
      </c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">
        <v>242</v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17" customFormat="1" ht="31.5" x14ac:dyDescent="0.25">
      <c r="A31" s="9" t="s">
        <v>56</v>
      </c>
      <c r="B31" s="10">
        <v>46065</v>
      </c>
      <c r="C31" s="10">
        <v>46065</v>
      </c>
      <c r="D31" s="11" t="s">
        <v>179</v>
      </c>
      <c r="E31" s="12">
        <v>0.29166666666666669</v>
      </c>
      <c r="F31" s="12">
        <v>0.3125</v>
      </c>
      <c r="G31" s="12">
        <v>2.0833333333333332E-2</v>
      </c>
      <c r="H31" s="9" t="s">
        <v>180</v>
      </c>
      <c r="I31" s="13" t="s">
        <v>181</v>
      </c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">
        <v>242</v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17" customFormat="1" ht="31.5" x14ac:dyDescent="0.25">
      <c r="A32" s="9" t="s">
        <v>56</v>
      </c>
      <c r="B32" s="10">
        <v>46065</v>
      </c>
      <c r="C32" s="10">
        <v>46065</v>
      </c>
      <c r="D32" s="11" t="s">
        <v>179</v>
      </c>
      <c r="E32" s="12">
        <v>0.3125</v>
      </c>
      <c r="F32" s="12">
        <v>0.33333333333333331</v>
      </c>
      <c r="G32" s="12">
        <v>2.0833333333333332E-2</v>
      </c>
      <c r="H32" s="9" t="s">
        <v>180</v>
      </c>
      <c r="I32" s="13" t="s">
        <v>181</v>
      </c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">
        <v>242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8" customFormat="1" ht="31.5" x14ac:dyDescent="0.25">
      <c r="A33" s="9" t="s">
        <v>56</v>
      </c>
      <c r="B33" s="10">
        <v>46066</v>
      </c>
      <c r="C33" s="10">
        <v>46066</v>
      </c>
      <c r="D33" s="11" t="s">
        <v>195</v>
      </c>
      <c r="E33" s="12">
        <v>0.29166666666666669</v>
      </c>
      <c r="F33" s="12">
        <v>0.3125</v>
      </c>
      <c r="G33" s="12">
        <v>2.0833333333333332E-2</v>
      </c>
      <c r="H33" s="9" t="s">
        <v>196</v>
      </c>
      <c r="I33" s="13" t="s">
        <v>181</v>
      </c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">
        <v>242</v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7" customFormat="1" ht="31.5" x14ac:dyDescent="0.25">
      <c r="A34" s="9" t="s">
        <v>56</v>
      </c>
      <c r="B34" s="10">
        <v>46066</v>
      </c>
      <c r="C34" s="10">
        <v>46066</v>
      </c>
      <c r="D34" s="11" t="s">
        <v>195</v>
      </c>
      <c r="E34" s="12">
        <v>0.3125</v>
      </c>
      <c r="F34" s="12">
        <v>0.33333333333333331</v>
      </c>
      <c r="G34" s="12">
        <v>2.0833333333333332E-2</v>
      </c>
      <c r="H34" s="9" t="s">
        <v>196</v>
      </c>
      <c r="I34" s="13" t="s">
        <v>181</v>
      </c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">
        <v>242</v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17" customFormat="1" ht="31.5" x14ac:dyDescent="0.25">
      <c r="A35" s="9" t="s">
        <v>56</v>
      </c>
      <c r="B35" s="10">
        <v>46067</v>
      </c>
      <c r="C35" s="10">
        <v>46067</v>
      </c>
      <c r="D35" s="11" t="s">
        <v>203</v>
      </c>
      <c r="E35" s="12">
        <v>0.29166666666666669</v>
      </c>
      <c r="F35" s="12">
        <v>0.3125</v>
      </c>
      <c r="G35" s="12">
        <v>2.0833333333333332E-2</v>
      </c>
      <c r="H35" s="9" t="s">
        <v>57</v>
      </c>
      <c r="I35" s="13" t="s">
        <v>208</v>
      </c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">
        <v>242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1.5" x14ac:dyDescent="0.25">
      <c r="A36" s="9" t="s">
        <v>56</v>
      </c>
      <c r="B36" s="10">
        <v>46067</v>
      </c>
      <c r="C36" s="10">
        <v>46067</v>
      </c>
      <c r="D36" s="11" t="s">
        <v>203</v>
      </c>
      <c r="E36" s="12">
        <v>0.3125</v>
      </c>
      <c r="F36" s="12">
        <v>0.33333333333333331</v>
      </c>
      <c r="G36" s="12">
        <v>2.0833333333333332E-2</v>
      </c>
      <c r="H36" s="9" t="s">
        <v>57</v>
      </c>
      <c r="I36" s="13" t="s">
        <v>208</v>
      </c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">
        <v>242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1" customFormat="1" ht="31.5" x14ac:dyDescent="0.25">
      <c r="A37" s="9" t="s">
        <v>56</v>
      </c>
      <c r="B37" s="10">
        <v>46068</v>
      </c>
      <c r="C37" s="10">
        <v>46068</v>
      </c>
      <c r="D37" s="11" t="s">
        <v>231</v>
      </c>
      <c r="E37" s="12">
        <v>0.29166666666666669</v>
      </c>
      <c r="F37" s="12">
        <v>0.3125</v>
      </c>
      <c r="G37" s="12">
        <v>2.0833333333333332E-2</v>
      </c>
      <c r="H37" s="9" t="s">
        <v>167</v>
      </c>
      <c r="I37" s="13" t="s">
        <v>208</v>
      </c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242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1.5" x14ac:dyDescent="0.25">
      <c r="A38" s="9" t="s">
        <v>56</v>
      </c>
      <c r="B38" s="10">
        <v>46068</v>
      </c>
      <c r="C38" s="10">
        <v>46068</v>
      </c>
      <c r="D38" s="11" t="s">
        <v>231</v>
      </c>
      <c r="E38" s="12">
        <v>0.3125</v>
      </c>
      <c r="F38" s="12">
        <v>0.33333333333333331</v>
      </c>
      <c r="G38" s="12">
        <v>2.0833333333333332E-2</v>
      </c>
      <c r="H38" s="9" t="s">
        <v>167</v>
      </c>
      <c r="I38" s="13" t="s">
        <v>208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">
        <v>242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1.5" x14ac:dyDescent="0.25">
      <c r="A39" s="9" t="s">
        <v>64</v>
      </c>
      <c r="B39" s="10">
        <v>46062</v>
      </c>
      <c r="C39" s="10">
        <v>46062</v>
      </c>
      <c r="D39" s="11" t="s">
        <v>30</v>
      </c>
      <c r="E39" s="12">
        <v>0.41666666666666669</v>
      </c>
      <c r="F39" s="12">
        <v>0.45833333333333331</v>
      </c>
      <c r="G39" s="12">
        <v>4.1666666666666664E-2</v>
      </c>
      <c r="H39" s="9" t="s">
        <v>65</v>
      </c>
      <c r="I39" s="13"/>
      <c r="J39" s="9" t="s">
        <v>66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">
        <v>242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1.5" x14ac:dyDescent="0.25">
      <c r="A40" s="18" t="s">
        <v>64</v>
      </c>
      <c r="B40" s="19">
        <v>46062</v>
      </c>
      <c r="C40" s="19">
        <v>46062</v>
      </c>
      <c r="D40" s="18" t="s">
        <v>30</v>
      </c>
      <c r="E40" s="20">
        <v>0.41666666666666669</v>
      </c>
      <c r="F40" s="20">
        <v>0.45833333333333331</v>
      </c>
      <c r="G40" s="20">
        <v>3.4722222222222224E-4</v>
      </c>
      <c r="H40" s="18" t="s">
        <v>67</v>
      </c>
      <c r="I40" s="21">
        <v>0.42231481481481481</v>
      </c>
      <c r="J40" s="18" t="s">
        <v>66</v>
      </c>
      <c r="K40" s="18" t="s">
        <v>64</v>
      </c>
      <c r="L40" s="22">
        <v>1</v>
      </c>
      <c r="M40" s="22">
        <v>3</v>
      </c>
      <c r="N40" s="18" t="s">
        <v>53</v>
      </c>
      <c r="O40" s="22"/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34</v>
      </c>
      <c r="X40" s="18" t="s">
        <v>35</v>
      </c>
      <c r="Y40" s="18" t="s">
        <v>36</v>
      </c>
      <c r="Z40" s="18" t="s">
        <v>68</v>
      </c>
      <c r="AA40" s="18" t="s">
        <v>49</v>
      </c>
      <c r="AB40" s="18">
        <v>1109</v>
      </c>
      <c r="AC40" s="18" t="s">
        <v>38</v>
      </c>
      <c r="AD40" s="7" t="s">
        <v>242</v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28" customFormat="1" ht="31.5" x14ac:dyDescent="0.25">
      <c r="A41" s="18" t="s">
        <v>64</v>
      </c>
      <c r="B41" s="19">
        <v>46062</v>
      </c>
      <c r="C41" s="19">
        <v>46062</v>
      </c>
      <c r="D41" s="18" t="s">
        <v>30</v>
      </c>
      <c r="E41" s="20">
        <v>0.41666666666666669</v>
      </c>
      <c r="F41" s="20">
        <v>0.45833333333333331</v>
      </c>
      <c r="G41" s="20">
        <v>3.4722222222222224E-4</v>
      </c>
      <c r="H41" s="18" t="s">
        <v>69</v>
      </c>
      <c r="I41" s="21">
        <v>0.42266203703703703</v>
      </c>
      <c r="J41" s="18" t="s">
        <v>66</v>
      </c>
      <c r="K41" s="18" t="s">
        <v>64</v>
      </c>
      <c r="L41" s="22">
        <v>1</v>
      </c>
      <c r="M41" s="22">
        <v>3</v>
      </c>
      <c r="N41" s="18" t="s">
        <v>53</v>
      </c>
      <c r="O41" s="22"/>
      <c r="P41" s="23">
        <v>0</v>
      </c>
      <c r="Q41" s="22"/>
      <c r="R41" s="23">
        <v>0</v>
      </c>
      <c r="S41" s="24">
        <v>46054</v>
      </c>
      <c r="T41" s="23">
        <v>0</v>
      </c>
      <c r="U41" s="25">
        <v>4</v>
      </c>
      <c r="V41" s="23">
        <v>0</v>
      </c>
      <c r="W41" s="18" t="s">
        <v>34</v>
      </c>
      <c r="X41" s="18" t="s">
        <v>35</v>
      </c>
      <c r="Y41" s="18" t="s">
        <v>36</v>
      </c>
      <c r="Z41" s="18" t="s">
        <v>68</v>
      </c>
      <c r="AA41" s="18" t="s">
        <v>49</v>
      </c>
      <c r="AB41" s="18">
        <v>1109</v>
      </c>
      <c r="AC41" s="18" t="s">
        <v>38</v>
      </c>
      <c r="AD41" s="7" t="s">
        <v>242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1.5" x14ac:dyDescent="0.25">
      <c r="A42" s="18" t="s">
        <v>64</v>
      </c>
      <c r="B42" s="19">
        <v>46062</v>
      </c>
      <c r="C42" s="19">
        <v>46062</v>
      </c>
      <c r="D42" s="18" t="s">
        <v>30</v>
      </c>
      <c r="E42" s="20">
        <v>0.41666666666666669</v>
      </c>
      <c r="F42" s="20">
        <v>0.45833333333333331</v>
      </c>
      <c r="G42" s="20">
        <v>3.4722222222222224E-4</v>
      </c>
      <c r="H42" s="18" t="s">
        <v>70</v>
      </c>
      <c r="I42" s="21">
        <v>0.42300925925925931</v>
      </c>
      <c r="J42" s="18" t="s">
        <v>66</v>
      </c>
      <c r="K42" s="18" t="s">
        <v>64</v>
      </c>
      <c r="L42" s="22">
        <v>1</v>
      </c>
      <c r="M42" s="22">
        <v>3</v>
      </c>
      <c r="N42" s="18" t="s">
        <v>53</v>
      </c>
      <c r="O42" s="22"/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34</v>
      </c>
      <c r="X42" s="18" t="s">
        <v>35</v>
      </c>
      <c r="Y42" s="18" t="s">
        <v>36</v>
      </c>
      <c r="Z42" s="18" t="s">
        <v>68</v>
      </c>
      <c r="AA42" s="18" t="s">
        <v>49</v>
      </c>
      <c r="AB42" s="18">
        <v>1109</v>
      </c>
      <c r="AC42" s="18" t="s">
        <v>38</v>
      </c>
      <c r="AD42" s="7" t="s">
        <v>242</v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1.5" x14ac:dyDescent="0.25">
      <c r="A43" s="9" t="s">
        <v>64</v>
      </c>
      <c r="B43" s="10">
        <v>46063</v>
      </c>
      <c r="C43" s="10">
        <v>46063</v>
      </c>
      <c r="D43" s="11" t="s">
        <v>132</v>
      </c>
      <c r="E43" s="12">
        <v>0.41666666666666669</v>
      </c>
      <c r="F43" s="12">
        <v>0.45833333333333331</v>
      </c>
      <c r="G43" s="12">
        <v>4.1666666666666664E-2</v>
      </c>
      <c r="H43" s="9" t="s">
        <v>65</v>
      </c>
      <c r="I43" s="13"/>
      <c r="J43" s="9" t="s">
        <v>66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">
        <v>242</v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17" customFormat="1" ht="31.5" x14ac:dyDescent="0.25">
      <c r="A44" s="18" t="s">
        <v>64</v>
      </c>
      <c r="B44" s="19">
        <v>46063</v>
      </c>
      <c r="C44" s="19">
        <v>46063</v>
      </c>
      <c r="D44" s="18" t="s">
        <v>132</v>
      </c>
      <c r="E44" s="20">
        <v>0.41666666666666669</v>
      </c>
      <c r="F44" s="20">
        <v>0.45833333333333331</v>
      </c>
      <c r="G44" s="20">
        <v>3.4722222222222224E-4</v>
      </c>
      <c r="H44" s="18" t="s">
        <v>141</v>
      </c>
      <c r="I44" s="21">
        <v>0.42496527777777776</v>
      </c>
      <c r="J44" s="18" t="s">
        <v>66</v>
      </c>
      <c r="K44" s="18" t="s">
        <v>64</v>
      </c>
      <c r="L44" s="22">
        <v>1</v>
      </c>
      <c r="M44" s="22">
        <v>3</v>
      </c>
      <c r="N44" s="18" t="s">
        <v>53</v>
      </c>
      <c r="O44" s="22"/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34</v>
      </c>
      <c r="X44" s="18" t="s">
        <v>35</v>
      </c>
      <c r="Y44" s="18" t="s">
        <v>36</v>
      </c>
      <c r="Z44" s="18" t="s">
        <v>68</v>
      </c>
      <c r="AA44" s="18" t="s">
        <v>49</v>
      </c>
      <c r="AB44" s="18">
        <v>1109</v>
      </c>
      <c r="AC44" s="18" t="s">
        <v>38</v>
      </c>
      <c r="AD44" s="7" t="s">
        <v>242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1.5" x14ac:dyDescent="0.25">
      <c r="A45" s="18" t="s">
        <v>64</v>
      </c>
      <c r="B45" s="19">
        <v>46063</v>
      </c>
      <c r="C45" s="19">
        <v>46063</v>
      </c>
      <c r="D45" s="18" t="s">
        <v>132</v>
      </c>
      <c r="E45" s="20">
        <v>0.41666666666666669</v>
      </c>
      <c r="F45" s="20">
        <v>0.45833333333333331</v>
      </c>
      <c r="G45" s="20">
        <v>3.4722222222222224E-4</v>
      </c>
      <c r="H45" s="18" t="s">
        <v>142</v>
      </c>
      <c r="I45" s="21">
        <v>0.42531249999999998</v>
      </c>
      <c r="J45" s="18" t="s">
        <v>66</v>
      </c>
      <c r="K45" s="18" t="s">
        <v>64</v>
      </c>
      <c r="L45" s="22">
        <v>1</v>
      </c>
      <c r="M45" s="22">
        <v>3</v>
      </c>
      <c r="N45" s="18" t="s">
        <v>53</v>
      </c>
      <c r="O45" s="22"/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34</v>
      </c>
      <c r="X45" s="18" t="s">
        <v>35</v>
      </c>
      <c r="Y45" s="18" t="s">
        <v>36</v>
      </c>
      <c r="Z45" s="18" t="s">
        <v>68</v>
      </c>
      <c r="AA45" s="18" t="s">
        <v>49</v>
      </c>
      <c r="AB45" s="18">
        <v>1109</v>
      </c>
      <c r="AC45" s="18" t="s">
        <v>38</v>
      </c>
      <c r="AD45" s="7" t="s">
        <v>242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6" customFormat="1" ht="31.5" x14ac:dyDescent="0.25">
      <c r="A46" s="9" t="s">
        <v>64</v>
      </c>
      <c r="B46" s="10">
        <v>46064</v>
      </c>
      <c r="C46" s="10">
        <v>46064</v>
      </c>
      <c r="D46" s="11" t="s">
        <v>166</v>
      </c>
      <c r="E46" s="12">
        <v>0.41666666666666669</v>
      </c>
      <c r="F46" s="12">
        <v>0.45833333333333331</v>
      </c>
      <c r="G46" s="12">
        <v>4.1666666666666664E-2</v>
      </c>
      <c r="H46" s="9" t="s">
        <v>65</v>
      </c>
      <c r="I46" s="13"/>
      <c r="J46" s="9" t="s">
        <v>66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">
        <v>242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ht="31.5" x14ac:dyDescent="0.25">
      <c r="A47" s="42" t="s">
        <v>64</v>
      </c>
      <c r="B47" s="44">
        <v>46064</v>
      </c>
      <c r="C47" s="44">
        <v>46064</v>
      </c>
      <c r="D47" s="42" t="s">
        <v>166</v>
      </c>
      <c r="E47" s="47">
        <v>0.41666666666666669</v>
      </c>
      <c r="F47" s="47">
        <v>0.45833333333333331</v>
      </c>
      <c r="G47" s="47">
        <v>3.4722222222222224E-4</v>
      </c>
      <c r="H47" s="42" t="s">
        <v>168</v>
      </c>
      <c r="I47" s="50">
        <v>0.42395868055555552</v>
      </c>
      <c r="J47" s="42" t="s">
        <v>66</v>
      </c>
      <c r="K47" s="42" t="s">
        <v>64</v>
      </c>
      <c r="L47" s="52">
        <v>1</v>
      </c>
      <c r="M47" s="52">
        <v>3</v>
      </c>
      <c r="N47" s="42" t="s">
        <v>53</v>
      </c>
      <c r="O47" s="52"/>
      <c r="P47" s="54">
        <v>0</v>
      </c>
      <c r="Q47" s="52"/>
      <c r="R47" s="54">
        <v>0</v>
      </c>
      <c r="S47" s="57">
        <v>46054</v>
      </c>
      <c r="T47" s="54">
        <v>0</v>
      </c>
      <c r="U47" s="58">
        <v>4</v>
      </c>
      <c r="V47" s="54">
        <v>0</v>
      </c>
      <c r="W47" s="42" t="s">
        <v>34</v>
      </c>
      <c r="X47" s="42" t="s">
        <v>35</v>
      </c>
      <c r="Y47" s="42" t="s">
        <v>36</v>
      </c>
      <c r="Z47" s="42" t="s">
        <v>68</v>
      </c>
      <c r="AA47" s="42" t="s">
        <v>49</v>
      </c>
      <c r="AB47" s="42">
        <v>1109</v>
      </c>
      <c r="AC47" s="42" t="s">
        <v>38</v>
      </c>
      <c r="AD47" s="59" t="s">
        <v>242</v>
      </c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</row>
    <row r="48" spans="1:49" ht="31.5" x14ac:dyDescent="0.2">
      <c r="A48" s="42" t="s">
        <v>64</v>
      </c>
      <c r="B48" s="44">
        <v>46064</v>
      </c>
      <c r="C48" s="44">
        <v>46064</v>
      </c>
      <c r="D48" s="42" t="s">
        <v>166</v>
      </c>
      <c r="E48" s="47">
        <v>0.41666666666666669</v>
      </c>
      <c r="F48" s="47">
        <v>0.45833333333333331</v>
      </c>
      <c r="G48" s="47">
        <v>3.4722222222222224E-4</v>
      </c>
      <c r="H48" s="42" t="s">
        <v>169</v>
      </c>
      <c r="I48" s="50">
        <v>0.42430613425925928</v>
      </c>
      <c r="J48" s="42" t="s">
        <v>66</v>
      </c>
      <c r="K48" s="42" t="s">
        <v>64</v>
      </c>
      <c r="L48" s="52">
        <v>1</v>
      </c>
      <c r="M48" s="52">
        <v>3</v>
      </c>
      <c r="N48" s="42" t="s">
        <v>53</v>
      </c>
      <c r="O48" s="52"/>
      <c r="P48" s="54">
        <v>0</v>
      </c>
      <c r="Q48" s="52"/>
      <c r="R48" s="54">
        <v>0</v>
      </c>
      <c r="S48" s="57">
        <v>46054</v>
      </c>
      <c r="T48" s="54">
        <v>0</v>
      </c>
      <c r="U48" s="58">
        <v>4</v>
      </c>
      <c r="V48" s="54">
        <v>0</v>
      </c>
      <c r="W48" s="42" t="s">
        <v>34</v>
      </c>
      <c r="X48" s="42" t="s">
        <v>35</v>
      </c>
      <c r="Y48" s="42" t="s">
        <v>36</v>
      </c>
      <c r="Z48" s="42" t="s">
        <v>68</v>
      </c>
      <c r="AA48" s="42" t="s">
        <v>49</v>
      </c>
      <c r="AB48" s="42">
        <v>1109</v>
      </c>
      <c r="AC48" s="42" t="s">
        <v>38</v>
      </c>
      <c r="AD48" s="59" t="s">
        <v>242</v>
      </c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1:49" ht="31.5" x14ac:dyDescent="0.2">
      <c r="A49" s="42" t="s">
        <v>64</v>
      </c>
      <c r="B49" s="44">
        <v>46064</v>
      </c>
      <c r="C49" s="44">
        <v>46064</v>
      </c>
      <c r="D49" s="42" t="s">
        <v>166</v>
      </c>
      <c r="E49" s="47">
        <v>0.41666666666666669</v>
      </c>
      <c r="F49" s="47">
        <v>0.45833333333333331</v>
      </c>
      <c r="G49" s="47">
        <v>3.4722222222222224E-4</v>
      </c>
      <c r="H49" s="42" t="s">
        <v>170</v>
      </c>
      <c r="I49" s="50">
        <v>0.4246533564814815</v>
      </c>
      <c r="J49" s="42" t="s">
        <v>66</v>
      </c>
      <c r="K49" s="42" t="s">
        <v>64</v>
      </c>
      <c r="L49" s="52">
        <v>1</v>
      </c>
      <c r="M49" s="52">
        <v>3</v>
      </c>
      <c r="N49" s="42" t="s">
        <v>53</v>
      </c>
      <c r="O49" s="52"/>
      <c r="P49" s="54">
        <v>0</v>
      </c>
      <c r="Q49" s="52"/>
      <c r="R49" s="54">
        <v>0</v>
      </c>
      <c r="S49" s="57">
        <v>46054</v>
      </c>
      <c r="T49" s="54">
        <v>0</v>
      </c>
      <c r="U49" s="58">
        <v>4</v>
      </c>
      <c r="V49" s="54">
        <v>0</v>
      </c>
      <c r="W49" s="42" t="s">
        <v>34</v>
      </c>
      <c r="X49" s="42" t="s">
        <v>35</v>
      </c>
      <c r="Y49" s="42" t="s">
        <v>36</v>
      </c>
      <c r="Z49" s="42" t="s">
        <v>68</v>
      </c>
      <c r="AA49" s="42" t="s">
        <v>49</v>
      </c>
      <c r="AB49" s="42">
        <v>1109</v>
      </c>
      <c r="AC49" s="42" t="s">
        <v>38</v>
      </c>
      <c r="AD49" s="59" t="s">
        <v>242</v>
      </c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</row>
    <row r="50" spans="1:49" ht="31.5" x14ac:dyDescent="0.2">
      <c r="A50" s="43" t="s">
        <v>64</v>
      </c>
      <c r="B50" s="45">
        <v>46065</v>
      </c>
      <c r="C50" s="45">
        <v>46065</v>
      </c>
      <c r="D50" s="46" t="s">
        <v>179</v>
      </c>
      <c r="E50" s="48">
        <v>0.41666666666666669</v>
      </c>
      <c r="F50" s="48">
        <v>0.45833333333333331</v>
      </c>
      <c r="G50" s="48">
        <v>4.1666666666666664E-2</v>
      </c>
      <c r="H50" s="43" t="s">
        <v>65</v>
      </c>
      <c r="I50" s="51"/>
      <c r="J50" s="43" t="s">
        <v>66</v>
      </c>
      <c r="K50" s="43"/>
      <c r="L50" s="53">
        <v>1</v>
      </c>
      <c r="M50" s="53">
        <v>1</v>
      </c>
      <c r="N50" s="43" t="s">
        <v>33</v>
      </c>
      <c r="O50" s="43"/>
      <c r="P50" s="55">
        <v>0</v>
      </c>
      <c r="Q50" s="53"/>
      <c r="R50" s="55">
        <v>0</v>
      </c>
      <c r="S50" s="43">
        <v>46054</v>
      </c>
      <c r="T50" s="55">
        <v>0</v>
      </c>
      <c r="U50" s="53">
        <v>2</v>
      </c>
      <c r="V50" s="55">
        <v>0</v>
      </c>
      <c r="W50" s="43" t="s">
        <v>34</v>
      </c>
      <c r="X50" s="43" t="s">
        <v>42</v>
      </c>
      <c r="Y50" s="43" t="s">
        <v>36</v>
      </c>
      <c r="Z50" s="43" t="s">
        <v>43</v>
      </c>
      <c r="AA50" s="43" t="s">
        <v>37</v>
      </c>
      <c r="AB50" s="43" t="s">
        <v>37</v>
      </c>
      <c r="AC50" s="43" t="s">
        <v>38</v>
      </c>
      <c r="AD50" s="59" t="s">
        <v>242</v>
      </c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</row>
    <row r="51" spans="1:49" ht="31.5" x14ac:dyDescent="0.25">
      <c r="A51" s="42" t="s">
        <v>64</v>
      </c>
      <c r="B51" s="44">
        <v>46065</v>
      </c>
      <c r="C51" s="44">
        <v>46065</v>
      </c>
      <c r="D51" s="42" t="s">
        <v>179</v>
      </c>
      <c r="E51" s="47">
        <v>0.41666666666666669</v>
      </c>
      <c r="F51" s="47">
        <v>0.45833333333333331</v>
      </c>
      <c r="G51" s="47">
        <v>3.4722222222222224E-4</v>
      </c>
      <c r="H51" s="42" t="s">
        <v>182</v>
      </c>
      <c r="I51" s="50">
        <v>0.42398414351851854</v>
      </c>
      <c r="J51" s="42" t="s">
        <v>66</v>
      </c>
      <c r="K51" s="42" t="s">
        <v>64</v>
      </c>
      <c r="L51" s="52">
        <v>1</v>
      </c>
      <c r="M51" s="52">
        <v>3</v>
      </c>
      <c r="N51" s="42" t="s">
        <v>53</v>
      </c>
      <c r="O51" s="52"/>
      <c r="P51" s="54">
        <v>0</v>
      </c>
      <c r="Q51" s="52"/>
      <c r="R51" s="54">
        <v>0</v>
      </c>
      <c r="S51" s="57">
        <v>46054</v>
      </c>
      <c r="T51" s="54">
        <v>0</v>
      </c>
      <c r="U51" s="58">
        <v>4</v>
      </c>
      <c r="V51" s="54">
        <v>0</v>
      </c>
      <c r="W51" s="42" t="s">
        <v>34</v>
      </c>
      <c r="X51" s="42" t="s">
        <v>35</v>
      </c>
      <c r="Y51" s="42" t="s">
        <v>36</v>
      </c>
      <c r="Z51" s="42" t="s">
        <v>68</v>
      </c>
      <c r="AA51" s="42" t="s">
        <v>49</v>
      </c>
      <c r="AB51" s="42">
        <v>1109</v>
      </c>
      <c r="AC51" s="42" t="s">
        <v>38</v>
      </c>
      <c r="AD51" s="59" t="s">
        <v>242</v>
      </c>
      <c r="AE51" s="60"/>
      <c r="AF51" s="60"/>
      <c r="AG51" s="60"/>
      <c r="AH51" s="60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</row>
    <row r="52" spans="1:49" ht="31.5" x14ac:dyDescent="0.25">
      <c r="A52" s="42" t="s">
        <v>64</v>
      </c>
      <c r="B52" s="44">
        <v>46065</v>
      </c>
      <c r="C52" s="44">
        <v>46065</v>
      </c>
      <c r="D52" s="42" t="s">
        <v>179</v>
      </c>
      <c r="E52" s="47">
        <v>0.41666666666666669</v>
      </c>
      <c r="F52" s="47">
        <v>0.45833333333333331</v>
      </c>
      <c r="G52" s="47">
        <v>3.4722222222222224E-4</v>
      </c>
      <c r="H52" s="42" t="s">
        <v>183</v>
      </c>
      <c r="I52" s="50">
        <v>0.42433159722222225</v>
      </c>
      <c r="J52" s="42" t="s">
        <v>66</v>
      </c>
      <c r="K52" s="42" t="s">
        <v>64</v>
      </c>
      <c r="L52" s="52">
        <v>1</v>
      </c>
      <c r="M52" s="52">
        <v>3</v>
      </c>
      <c r="N52" s="42" t="s">
        <v>53</v>
      </c>
      <c r="O52" s="52"/>
      <c r="P52" s="54">
        <v>0</v>
      </c>
      <c r="Q52" s="52"/>
      <c r="R52" s="54">
        <v>0</v>
      </c>
      <c r="S52" s="57">
        <v>46054</v>
      </c>
      <c r="T52" s="54">
        <v>0</v>
      </c>
      <c r="U52" s="58">
        <v>4</v>
      </c>
      <c r="V52" s="54">
        <v>0</v>
      </c>
      <c r="W52" s="42" t="s">
        <v>34</v>
      </c>
      <c r="X52" s="42" t="s">
        <v>35</v>
      </c>
      <c r="Y52" s="42" t="s">
        <v>36</v>
      </c>
      <c r="Z52" s="42" t="s">
        <v>68</v>
      </c>
      <c r="AA52" s="42" t="s">
        <v>49</v>
      </c>
      <c r="AB52" s="42">
        <v>1109</v>
      </c>
      <c r="AC52" s="42" t="s">
        <v>38</v>
      </c>
      <c r="AD52" s="59" t="s">
        <v>242</v>
      </c>
      <c r="AE52" s="60"/>
      <c r="AF52" s="60"/>
      <c r="AG52" s="60"/>
      <c r="AH52" s="60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</row>
    <row r="53" spans="1:49" ht="31.5" x14ac:dyDescent="0.2">
      <c r="A53" s="43" t="s">
        <v>64</v>
      </c>
      <c r="B53" s="45">
        <v>46066</v>
      </c>
      <c r="C53" s="45">
        <v>46066</v>
      </c>
      <c r="D53" s="46" t="s">
        <v>195</v>
      </c>
      <c r="E53" s="48">
        <v>0.41666666666666669</v>
      </c>
      <c r="F53" s="48">
        <v>0.45833333333333331</v>
      </c>
      <c r="G53" s="48">
        <v>4.1666666666666664E-2</v>
      </c>
      <c r="H53" s="43" t="s">
        <v>65</v>
      </c>
      <c r="I53" s="51"/>
      <c r="J53" s="43" t="s">
        <v>66</v>
      </c>
      <c r="K53" s="43"/>
      <c r="L53" s="53">
        <v>1</v>
      </c>
      <c r="M53" s="53">
        <v>1</v>
      </c>
      <c r="N53" s="43" t="s">
        <v>33</v>
      </c>
      <c r="O53" s="43"/>
      <c r="P53" s="55">
        <v>0</v>
      </c>
      <c r="Q53" s="53"/>
      <c r="R53" s="55">
        <v>0</v>
      </c>
      <c r="S53" s="43">
        <v>46054</v>
      </c>
      <c r="T53" s="55">
        <v>0</v>
      </c>
      <c r="U53" s="53">
        <v>2</v>
      </c>
      <c r="V53" s="55">
        <v>0</v>
      </c>
      <c r="W53" s="43" t="s">
        <v>34</v>
      </c>
      <c r="X53" s="43" t="s">
        <v>42</v>
      </c>
      <c r="Y53" s="43" t="s">
        <v>36</v>
      </c>
      <c r="Z53" s="43" t="s">
        <v>43</v>
      </c>
      <c r="AA53" s="43" t="s">
        <v>37</v>
      </c>
      <c r="AB53" s="43" t="s">
        <v>37</v>
      </c>
      <c r="AC53" s="43" t="s">
        <v>38</v>
      </c>
      <c r="AD53" s="59" t="s">
        <v>242</v>
      </c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</row>
    <row r="54" spans="1:49" ht="31.5" x14ac:dyDescent="0.25">
      <c r="A54" s="42" t="s">
        <v>64</v>
      </c>
      <c r="B54" s="44">
        <v>46066</v>
      </c>
      <c r="C54" s="44">
        <v>46066</v>
      </c>
      <c r="D54" s="42" t="s">
        <v>195</v>
      </c>
      <c r="E54" s="47">
        <v>0.41666666666666669</v>
      </c>
      <c r="F54" s="47">
        <v>0.45833333333333331</v>
      </c>
      <c r="G54" s="47">
        <v>3.4722222222222224E-4</v>
      </c>
      <c r="H54" s="42" t="s">
        <v>197</v>
      </c>
      <c r="I54" s="50">
        <v>0.42335648148148147</v>
      </c>
      <c r="J54" s="42" t="s">
        <v>66</v>
      </c>
      <c r="K54" s="42" t="s">
        <v>64</v>
      </c>
      <c r="L54" s="52">
        <v>1</v>
      </c>
      <c r="M54" s="52">
        <v>3</v>
      </c>
      <c r="N54" s="42" t="s">
        <v>53</v>
      </c>
      <c r="O54" s="52"/>
      <c r="P54" s="54">
        <v>0</v>
      </c>
      <c r="Q54" s="52"/>
      <c r="R54" s="54">
        <v>0</v>
      </c>
      <c r="S54" s="57">
        <v>46054</v>
      </c>
      <c r="T54" s="54">
        <v>0</v>
      </c>
      <c r="U54" s="58">
        <v>4</v>
      </c>
      <c r="V54" s="54">
        <v>0</v>
      </c>
      <c r="W54" s="42" t="s">
        <v>34</v>
      </c>
      <c r="X54" s="42" t="s">
        <v>35</v>
      </c>
      <c r="Y54" s="42" t="s">
        <v>36</v>
      </c>
      <c r="Z54" s="42" t="s">
        <v>68</v>
      </c>
      <c r="AA54" s="42" t="s">
        <v>49</v>
      </c>
      <c r="AB54" s="42">
        <v>1109</v>
      </c>
      <c r="AC54" s="42" t="s">
        <v>38</v>
      </c>
      <c r="AD54" s="59" t="s">
        <v>242</v>
      </c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ht="31.5" x14ac:dyDescent="0.2">
      <c r="A55" s="42" t="s">
        <v>64</v>
      </c>
      <c r="B55" s="44">
        <v>46066</v>
      </c>
      <c r="C55" s="44">
        <v>46066</v>
      </c>
      <c r="D55" s="42" t="s">
        <v>195</v>
      </c>
      <c r="E55" s="47">
        <v>0.41666666666666669</v>
      </c>
      <c r="F55" s="47">
        <v>0.45833333333333331</v>
      </c>
      <c r="G55" s="47">
        <v>3.4722222222222224E-4</v>
      </c>
      <c r="H55" s="42" t="s">
        <v>198</v>
      </c>
      <c r="I55" s="50">
        <v>0.42370370370370369</v>
      </c>
      <c r="J55" s="42" t="s">
        <v>66</v>
      </c>
      <c r="K55" s="42" t="s">
        <v>64</v>
      </c>
      <c r="L55" s="52">
        <v>1</v>
      </c>
      <c r="M55" s="52">
        <v>3</v>
      </c>
      <c r="N55" s="42" t="s">
        <v>53</v>
      </c>
      <c r="O55" s="52"/>
      <c r="P55" s="54">
        <v>0</v>
      </c>
      <c r="Q55" s="52"/>
      <c r="R55" s="54">
        <v>0</v>
      </c>
      <c r="S55" s="57">
        <v>46054</v>
      </c>
      <c r="T55" s="54">
        <v>0</v>
      </c>
      <c r="U55" s="58">
        <v>4</v>
      </c>
      <c r="V55" s="54">
        <v>0</v>
      </c>
      <c r="W55" s="42" t="s">
        <v>34</v>
      </c>
      <c r="X55" s="42" t="s">
        <v>35</v>
      </c>
      <c r="Y55" s="42" t="s">
        <v>36</v>
      </c>
      <c r="Z55" s="42" t="s">
        <v>68</v>
      </c>
      <c r="AA55" s="42" t="s">
        <v>49</v>
      </c>
      <c r="AB55" s="42">
        <v>1109</v>
      </c>
      <c r="AC55" s="42" t="s">
        <v>38</v>
      </c>
      <c r="AD55" s="59" t="s">
        <v>242</v>
      </c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</row>
    <row r="56" spans="1:49" ht="31.5" x14ac:dyDescent="0.2">
      <c r="A56" s="42" t="s">
        <v>64</v>
      </c>
      <c r="B56" s="44">
        <v>46066</v>
      </c>
      <c r="C56" s="44">
        <v>46066</v>
      </c>
      <c r="D56" s="42" t="s">
        <v>195</v>
      </c>
      <c r="E56" s="47">
        <v>0.41666666666666669</v>
      </c>
      <c r="F56" s="47">
        <v>0.45833333333333331</v>
      </c>
      <c r="G56" s="47">
        <v>3.4722222222222224E-4</v>
      </c>
      <c r="H56" s="42" t="s">
        <v>67</v>
      </c>
      <c r="I56" s="50">
        <v>0.42405092592592591</v>
      </c>
      <c r="J56" s="42" t="s">
        <v>66</v>
      </c>
      <c r="K56" s="42" t="s">
        <v>64</v>
      </c>
      <c r="L56" s="52">
        <v>1</v>
      </c>
      <c r="M56" s="52">
        <v>3</v>
      </c>
      <c r="N56" s="42" t="s">
        <v>53</v>
      </c>
      <c r="O56" s="52"/>
      <c r="P56" s="54">
        <v>0</v>
      </c>
      <c r="Q56" s="52"/>
      <c r="R56" s="54">
        <v>0</v>
      </c>
      <c r="S56" s="57">
        <v>46054</v>
      </c>
      <c r="T56" s="54">
        <v>0</v>
      </c>
      <c r="U56" s="58">
        <v>4</v>
      </c>
      <c r="V56" s="54">
        <v>0</v>
      </c>
      <c r="W56" s="42" t="s">
        <v>34</v>
      </c>
      <c r="X56" s="42" t="s">
        <v>35</v>
      </c>
      <c r="Y56" s="42" t="s">
        <v>36</v>
      </c>
      <c r="Z56" s="42" t="s">
        <v>68</v>
      </c>
      <c r="AA56" s="42" t="s">
        <v>49</v>
      </c>
      <c r="AB56" s="42">
        <v>1109</v>
      </c>
      <c r="AC56" s="42" t="s">
        <v>38</v>
      </c>
      <c r="AD56" s="59" t="s">
        <v>242</v>
      </c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1:49" ht="31.5" x14ac:dyDescent="0.25">
      <c r="A57" s="42" t="s">
        <v>172</v>
      </c>
      <c r="B57" s="44">
        <v>46064</v>
      </c>
      <c r="C57" s="44">
        <v>46064</v>
      </c>
      <c r="D57" s="42" t="s">
        <v>166</v>
      </c>
      <c r="E57" s="47">
        <v>0.66666666666666663</v>
      </c>
      <c r="F57" s="47">
        <v>0.79166666666666663</v>
      </c>
      <c r="G57" s="47">
        <v>3.4722222222222218E-4</v>
      </c>
      <c r="H57" s="42" t="s">
        <v>173</v>
      </c>
      <c r="I57" s="50">
        <v>0.72027777777777779</v>
      </c>
      <c r="J57" s="42" t="s">
        <v>105</v>
      </c>
      <c r="K57" s="42" t="s">
        <v>176</v>
      </c>
      <c r="L57" s="52">
        <v>1</v>
      </c>
      <c r="M57" s="52">
        <v>69901</v>
      </c>
      <c r="N57" s="42" t="s">
        <v>53</v>
      </c>
      <c r="O57" s="52" t="s">
        <v>174</v>
      </c>
      <c r="P57" s="54">
        <v>100</v>
      </c>
      <c r="Q57" s="52"/>
      <c r="R57" s="54">
        <v>100</v>
      </c>
      <c r="S57" s="57">
        <v>46054</v>
      </c>
      <c r="T57" s="54">
        <v>15</v>
      </c>
      <c r="U57" s="58">
        <v>4</v>
      </c>
      <c r="V57" s="54">
        <v>85</v>
      </c>
      <c r="W57" s="42" t="s">
        <v>47</v>
      </c>
      <c r="X57" s="42" t="s">
        <v>48</v>
      </c>
      <c r="Y57" s="42" t="s">
        <v>36</v>
      </c>
      <c r="Z57" s="42" t="s">
        <v>9</v>
      </c>
      <c r="AA57" s="42" t="s">
        <v>49</v>
      </c>
      <c r="AB57" s="42" t="s">
        <v>175</v>
      </c>
      <c r="AC57" s="42" t="s">
        <v>38</v>
      </c>
      <c r="AD57" s="59" t="s">
        <v>242</v>
      </c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</row>
    <row r="58" spans="1:49" ht="31.5" x14ac:dyDescent="0.25">
      <c r="A58" s="42" t="s">
        <v>172</v>
      </c>
      <c r="B58" s="44">
        <v>46064</v>
      </c>
      <c r="C58" s="44">
        <v>46064</v>
      </c>
      <c r="D58" s="42" t="s">
        <v>166</v>
      </c>
      <c r="E58" s="47">
        <v>0.66666666666666663</v>
      </c>
      <c r="F58" s="47">
        <v>0.79166666666666663</v>
      </c>
      <c r="G58" s="47">
        <v>3.4722222222222218E-4</v>
      </c>
      <c r="H58" s="42" t="s">
        <v>173</v>
      </c>
      <c r="I58" s="50">
        <v>0.7852662037037037</v>
      </c>
      <c r="J58" s="42" t="s">
        <v>105</v>
      </c>
      <c r="K58" s="42" t="s">
        <v>130</v>
      </c>
      <c r="L58" s="52">
        <v>1</v>
      </c>
      <c r="M58" s="52">
        <v>69901</v>
      </c>
      <c r="N58" s="42" t="s">
        <v>53</v>
      </c>
      <c r="O58" s="52" t="s">
        <v>174</v>
      </c>
      <c r="P58" s="54">
        <v>100</v>
      </c>
      <c r="Q58" s="52"/>
      <c r="R58" s="54">
        <v>100</v>
      </c>
      <c r="S58" s="57">
        <v>46054</v>
      </c>
      <c r="T58" s="54">
        <v>15</v>
      </c>
      <c r="U58" s="58">
        <v>4</v>
      </c>
      <c r="V58" s="54">
        <v>85</v>
      </c>
      <c r="W58" s="42" t="s">
        <v>47</v>
      </c>
      <c r="X58" s="42" t="s">
        <v>48</v>
      </c>
      <c r="Y58" s="42" t="s">
        <v>36</v>
      </c>
      <c r="Z58" s="42" t="s">
        <v>9</v>
      </c>
      <c r="AA58" s="42" t="s">
        <v>49</v>
      </c>
      <c r="AB58" s="42" t="s">
        <v>175</v>
      </c>
      <c r="AC58" s="42" t="s">
        <v>38</v>
      </c>
      <c r="AD58" s="59" t="s">
        <v>242</v>
      </c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</row>
    <row r="59" spans="1:49" ht="31.5" x14ac:dyDescent="0.2">
      <c r="A59" s="42" t="s">
        <v>172</v>
      </c>
      <c r="B59" s="44">
        <v>46064</v>
      </c>
      <c r="C59" s="44">
        <v>46064</v>
      </c>
      <c r="D59" s="42" t="s">
        <v>166</v>
      </c>
      <c r="E59" s="47">
        <v>0.83333333333333337</v>
      </c>
      <c r="F59" s="47">
        <v>0.95833333333333337</v>
      </c>
      <c r="G59" s="47">
        <v>3.4722222222222218E-4</v>
      </c>
      <c r="H59" s="42" t="s">
        <v>177</v>
      </c>
      <c r="I59" s="50">
        <v>0.8803009259259259</v>
      </c>
      <c r="J59" s="42" t="s">
        <v>41</v>
      </c>
      <c r="K59" s="42" t="s">
        <v>125</v>
      </c>
      <c r="L59" s="52">
        <v>1</v>
      </c>
      <c r="M59" s="52">
        <v>69902</v>
      </c>
      <c r="N59" s="42" t="s">
        <v>53</v>
      </c>
      <c r="O59" s="52" t="s">
        <v>174</v>
      </c>
      <c r="P59" s="54">
        <v>100</v>
      </c>
      <c r="Q59" s="52"/>
      <c r="R59" s="54">
        <v>100</v>
      </c>
      <c r="S59" s="57">
        <v>46054</v>
      </c>
      <c r="T59" s="54">
        <v>15</v>
      </c>
      <c r="U59" s="58">
        <v>4</v>
      </c>
      <c r="V59" s="54">
        <v>85</v>
      </c>
      <c r="W59" s="42" t="s">
        <v>47</v>
      </c>
      <c r="X59" s="42" t="s">
        <v>48</v>
      </c>
      <c r="Y59" s="42" t="s">
        <v>36</v>
      </c>
      <c r="Z59" s="42" t="s">
        <v>9</v>
      </c>
      <c r="AA59" s="42" t="s">
        <v>49</v>
      </c>
      <c r="AB59" s="42" t="s">
        <v>175</v>
      </c>
      <c r="AC59" s="42" t="s">
        <v>38</v>
      </c>
      <c r="AD59" s="59" t="s">
        <v>242</v>
      </c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</row>
    <row r="60" spans="1:49" ht="31.5" x14ac:dyDescent="0.25">
      <c r="A60" s="42" t="s">
        <v>172</v>
      </c>
      <c r="B60" s="44">
        <v>46064</v>
      </c>
      <c r="C60" s="44">
        <v>46064</v>
      </c>
      <c r="D60" s="42" t="s">
        <v>166</v>
      </c>
      <c r="E60" s="47">
        <v>0.83333333333333337</v>
      </c>
      <c r="F60" s="47">
        <v>0.95833333333333337</v>
      </c>
      <c r="G60" s="47">
        <v>3.4722222222222218E-4</v>
      </c>
      <c r="H60" s="42" t="s">
        <v>177</v>
      </c>
      <c r="I60" s="50">
        <v>0.91480324074074071</v>
      </c>
      <c r="J60" s="42" t="s">
        <v>41</v>
      </c>
      <c r="K60" s="42" t="s">
        <v>125</v>
      </c>
      <c r="L60" s="52">
        <v>1</v>
      </c>
      <c r="M60" s="52">
        <v>69902</v>
      </c>
      <c r="N60" s="42" t="s">
        <v>53</v>
      </c>
      <c r="O60" s="52" t="s">
        <v>174</v>
      </c>
      <c r="P60" s="54">
        <v>100</v>
      </c>
      <c r="Q60" s="52"/>
      <c r="R60" s="54">
        <v>100</v>
      </c>
      <c r="S60" s="57">
        <v>46054</v>
      </c>
      <c r="T60" s="54">
        <v>15</v>
      </c>
      <c r="U60" s="58">
        <v>4</v>
      </c>
      <c r="V60" s="54">
        <v>85</v>
      </c>
      <c r="W60" s="42" t="s">
        <v>47</v>
      </c>
      <c r="X60" s="42" t="s">
        <v>48</v>
      </c>
      <c r="Y60" s="42" t="s">
        <v>36</v>
      </c>
      <c r="Z60" s="42" t="s">
        <v>9</v>
      </c>
      <c r="AA60" s="42" t="s">
        <v>49</v>
      </c>
      <c r="AB60" s="42" t="s">
        <v>175</v>
      </c>
      <c r="AC60" s="42" t="s">
        <v>38</v>
      </c>
      <c r="AD60" s="59" t="s">
        <v>242</v>
      </c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</row>
    <row r="61" spans="1:49" ht="31.5" x14ac:dyDescent="0.25">
      <c r="A61" s="42" t="s">
        <v>172</v>
      </c>
      <c r="B61" s="44">
        <v>46065</v>
      </c>
      <c r="C61" s="44">
        <v>46065</v>
      </c>
      <c r="D61" s="42" t="s">
        <v>179</v>
      </c>
      <c r="E61" s="47">
        <v>0.66666666666666663</v>
      </c>
      <c r="F61" s="47">
        <v>0.79166666666666663</v>
      </c>
      <c r="G61" s="47">
        <v>3.4722222222222218E-4</v>
      </c>
      <c r="H61" s="42" t="s">
        <v>173</v>
      </c>
      <c r="I61" s="50">
        <v>0.67399386574074072</v>
      </c>
      <c r="J61" s="42" t="s">
        <v>105</v>
      </c>
      <c r="K61" s="42" t="s">
        <v>104</v>
      </c>
      <c r="L61" s="52">
        <v>1</v>
      </c>
      <c r="M61" s="52">
        <v>69904</v>
      </c>
      <c r="N61" s="42" t="s">
        <v>46</v>
      </c>
      <c r="O61" s="52" t="s">
        <v>174</v>
      </c>
      <c r="P61" s="54">
        <v>0</v>
      </c>
      <c r="Q61" s="52"/>
      <c r="R61" s="54">
        <v>0</v>
      </c>
      <c r="S61" s="57">
        <v>46054</v>
      </c>
      <c r="T61" s="54">
        <v>0</v>
      </c>
      <c r="U61" s="58">
        <v>4</v>
      </c>
      <c r="V61" s="54">
        <v>0</v>
      </c>
      <c r="W61" s="42" t="s">
        <v>47</v>
      </c>
      <c r="X61" s="42" t="s">
        <v>48</v>
      </c>
      <c r="Y61" s="42" t="s">
        <v>36</v>
      </c>
      <c r="Z61" s="42" t="s">
        <v>9</v>
      </c>
      <c r="AA61" s="42" t="s">
        <v>49</v>
      </c>
      <c r="AB61" s="42" t="s">
        <v>175</v>
      </c>
      <c r="AC61" s="42" t="s">
        <v>38</v>
      </c>
      <c r="AD61" s="59" t="s">
        <v>242</v>
      </c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</row>
    <row r="62" spans="1:49" ht="31.5" x14ac:dyDescent="0.25">
      <c r="A62" s="42" t="s">
        <v>172</v>
      </c>
      <c r="B62" s="44">
        <v>46065</v>
      </c>
      <c r="C62" s="44">
        <v>46065</v>
      </c>
      <c r="D62" s="42" t="s">
        <v>179</v>
      </c>
      <c r="E62" s="47">
        <v>0.66666666666666663</v>
      </c>
      <c r="F62" s="47">
        <v>0.79166666666666663</v>
      </c>
      <c r="G62" s="47">
        <v>3.4722222222222218E-4</v>
      </c>
      <c r="H62" s="42" t="s">
        <v>173</v>
      </c>
      <c r="I62" s="50">
        <v>0.71522280092592594</v>
      </c>
      <c r="J62" s="42" t="s">
        <v>105</v>
      </c>
      <c r="K62" s="42" t="s">
        <v>188</v>
      </c>
      <c r="L62" s="52">
        <v>1</v>
      </c>
      <c r="M62" s="52">
        <v>69901</v>
      </c>
      <c r="N62" s="42" t="s">
        <v>53</v>
      </c>
      <c r="O62" s="52" t="s">
        <v>174</v>
      </c>
      <c r="P62" s="54">
        <v>100</v>
      </c>
      <c r="Q62" s="52"/>
      <c r="R62" s="54">
        <v>100</v>
      </c>
      <c r="S62" s="57">
        <v>46054</v>
      </c>
      <c r="T62" s="54">
        <v>15</v>
      </c>
      <c r="U62" s="58">
        <v>4</v>
      </c>
      <c r="V62" s="54">
        <v>85</v>
      </c>
      <c r="W62" s="42" t="s">
        <v>47</v>
      </c>
      <c r="X62" s="42" t="s">
        <v>48</v>
      </c>
      <c r="Y62" s="42" t="s">
        <v>36</v>
      </c>
      <c r="Z62" s="42" t="s">
        <v>9</v>
      </c>
      <c r="AA62" s="42" t="s">
        <v>49</v>
      </c>
      <c r="AB62" s="42" t="s">
        <v>175</v>
      </c>
      <c r="AC62" s="42" t="s">
        <v>38</v>
      </c>
      <c r="AD62" s="59" t="s">
        <v>242</v>
      </c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</row>
    <row r="63" spans="1:49" ht="31.5" x14ac:dyDescent="0.25">
      <c r="A63" s="42" t="s">
        <v>172</v>
      </c>
      <c r="B63" s="44">
        <v>46065</v>
      </c>
      <c r="C63" s="44">
        <v>46065</v>
      </c>
      <c r="D63" s="42" t="s">
        <v>179</v>
      </c>
      <c r="E63" s="47">
        <v>0.66666666666666663</v>
      </c>
      <c r="F63" s="47">
        <v>0.79166666666666663</v>
      </c>
      <c r="G63" s="47">
        <v>3.4722222222222218E-4</v>
      </c>
      <c r="H63" s="42" t="s">
        <v>173</v>
      </c>
      <c r="I63" s="50">
        <v>0.7416325231481482</v>
      </c>
      <c r="J63" s="42" t="s">
        <v>105</v>
      </c>
      <c r="K63" s="42" t="s">
        <v>188</v>
      </c>
      <c r="L63" s="52">
        <v>1</v>
      </c>
      <c r="M63" s="52">
        <v>69901</v>
      </c>
      <c r="N63" s="42" t="s">
        <v>53</v>
      </c>
      <c r="O63" s="52" t="s">
        <v>174</v>
      </c>
      <c r="P63" s="54">
        <v>100</v>
      </c>
      <c r="Q63" s="52"/>
      <c r="R63" s="54">
        <v>100</v>
      </c>
      <c r="S63" s="57">
        <v>46054</v>
      </c>
      <c r="T63" s="54">
        <v>15</v>
      </c>
      <c r="U63" s="58">
        <v>4</v>
      </c>
      <c r="V63" s="54">
        <v>85</v>
      </c>
      <c r="W63" s="42" t="s">
        <v>47</v>
      </c>
      <c r="X63" s="42" t="s">
        <v>48</v>
      </c>
      <c r="Y63" s="42" t="s">
        <v>36</v>
      </c>
      <c r="Z63" s="42" t="s">
        <v>9</v>
      </c>
      <c r="AA63" s="42" t="s">
        <v>49</v>
      </c>
      <c r="AB63" s="42" t="s">
        <v>175</v>
      </c>
      <c r="AC63" s="42" t="s">
        <v>38</v>
      </c>
      <c r="AD63" s="59" t="s">
        <v>242</v>
      </c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</row>
    <row r="64" spans="1:49" ht="31.5" x14ac:dyDescent="0.2">
      <c r="A64" s="42" t="s">
        <v>172</v>
      </c>
      <c r="B64" s="44">
        <v>46065</v>
      </c>
      <c r="C64" s="44">
        <v>46065</v>
      </c>
      <c r="D64" s="42" t="s">
        <v>179</v>
      </c>
      <c r="E64" s="47">
        <v>0.66666666666666663</v>
      </c>
      <c r="F64" s="47">
        <v>0.79166666666666663</v>
      </c>
      <c r="G64" s="47">
        <v>3.4722222222222218E-4</v>
      </c>
      <c r="H64" s="42" t="s">
        <v>173</v>
      </c>
      <c r="I64" s="50">
        <v>0.77867152777777782</v>
      </c>
      <c r="J64" s="42" t="s">
        <v>105</v>
      </c>
      <c r="K64" s="42" t="s">
        <v>130</v>
      </c>
      <c r="L64" s="52">
        <v>1</v>
      </c>
      <c r="M64" s="52">
        <v>69901</v>
      </c>
      <c r="N64" s="42" t="s">
        <v>53</v>
      </c>
      <c r="O64" s="52" t="s">
        <v>174</v>
      </c>
      <c r="P64" s="54">
        <v>100</v>
      </c>
      <c r="Q64" s="52"/>
      <c r="R64" s="54">
        <v>100</v>
      </c>
      <c r="S64" s="57">
        <v>46054</v>
      </c>
      <c r="T64" s="54">
        <v>15</v>
      </c>
      <c r="U64" s="58">
        <v>4</v>
      </c>
      <c r="V64" s="54">
        <v>85</v>
      </c>
      <c r="W64" s="42" t="s">
        <v>47</v>
      </c>
      <c r="X64" s="42" t="s">
        <v>48</v>
      </c>
      <c r="Y64" s="42" t="s">
        <v>36</v>
      </c>
      <c r="Z64" s="42" t="s">
        <v>9</v>
      </c>
      <c r="AA64" s="42" t="s">
        <v>49</v>
      </c>
      <c r="AB64" s="42" t="s">
        <v>175</v>
      </c>
      <c r="AC64" s="42" t="s">
        <v>38</v>
      </c>
      <c r="AD64" s="59" t="s">
        <v>242</v>
      </c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1:49" ht="31.5" x14ac:dyDescent="0.25">
      <c r="A65" s="42" t="s">
        <v>172</v>
      </c>
      <c r="B65" s="44">
        <v>46065</v>
      </c>
      <c r="C65" s="44">
        <v>46065</v>
      </c>
      <c r="D65" s="42" t="s">
        <v>179</v>
      </c>
      <c r="E65" s="47">
        <v>0.83333333333333337</v>
      </c>
      <c r="F65" s="47">
        <v>0.95833333333333337</v>
      </c>
      <c r="G65" s="47">
        <v>3.4722222222222218E-4</v>
      </c>
      <c r="H65" s="42" t="s">
        <v>177</v>
      </c>
      <c r="I65" s="50">
        <v>0.84406250000000005</v>
      </c>
      <c r="J65" s="42" t="s">
        <v>41</v>
      </c>
      <c r="K65" s="42" t="s">
        <v>165</v>
      </c>
      <c r="L65" s="52">
        <v>1</v>
      </c>
      <c r="M65" s="52">
        <v>69902</v>
      </c>
      <c r="N65" s="42" t="s">
        <v>53</v>
      </c>
      <c r="O65" s="52" t="s">
        <v>174</v>
      </c>
      <c r="P65" s="54">
        <v>100</v>
      </c>
      <c r="Q65" s="52"/>
      <c r="R65" s="54">
        <v>100</v>
      </c>
      <c r="S65" s="57">
        <v>46054</v>
      </c>
      <c r="T65" s="54">
        <v>15</v>
      </c>
      <c r="U65" s="58">
        <v>4</v>
      </c>
      <c r="V65" s="54">
        <v>85</v>
      </c>
      <c r="W65" s="42" t="s">
        <v>47</v>
      </c>
      <c r="X65" s="42" t="s">
        <v>48</v>
      </c>
      <c r="Y65" s="42" t="s">
        <v>36</v>
      </c>
      <c r="Z65" s="42" t="s">
        <v>9</v>
      </c>
      <c r="AA65" s="42" t="s">
        <v>49</v>
      </c>
      <c r="AB65" s="42" t="s">
        <v>175</v>
      </c>
      <c r="AC65" s="42" t="s">
        <v>38</v>
      </c>
      <c r="AD65" s="59" t="s">
        <v>242</v>
      </c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</row>
    <row r="66" spans="1:49" ht="31.5" x14ac:dyDescent="0.25">
      <c r="A66" s="42" t="s">
        <v>172</v>
      </c>
      <c r="B66" s="44">
        <v>46065</v>
      </c>
      <c r="C66" s="44">
        <v>46065</v>
      </c>
      <c r="D66" s="42" t="s">
        <v>179</v>
      </c>
      <c r="E66" s="47">
        <v>0.83333333333333337</v>
      </c>
      <c r="F66" s="47">
        <v>0.95833333333333337</v>
      </c>
      <c r="G66" s="47">
        <v>3.4722222222222218E-4</v>
      </c>
      <c r="H66" s="42" t="s">
        <v>177</v>
      </c>
      <c r="I66" s="50">
        <v>0.88694756944444453</v>
      </c>
      <c r="J66" s="42" t="s">
        <v>41</v>
      </c>
      <c r="K66" s="42" t="s">
        <v>125</v>
      </c>
      <c r="L66" s="52">
        <v>1</v>
      </c>
      <c r="M66" s="52">
        <v>69902</v>
      </c>
      <c r="N66" s="42" t="s">
        <v>53</v>
      </c>
      <c r="O66" s="52" t="s">
        <v>174</v>
      </c>
      <c r="P66" s="54">
        <v>100</v>
      </c>
      <c r="Q66" s="52"/>
      <c r="R66" s="54">
        <v>100</v>
      </c>
      <c r="S66" s="57">
        <v>46054</v>
      </c>
      <c r="T66" s="54">
        <v>15</v>
      </c>
      <c r="U66" s="58">
        <v>4</v>
      </c>
      <c r="V66" s="54">
        <v>85</v>
      </c>
      <c r="W66" s="42" t="s">
        <v>47</v>
      </c>
      <c r="X66" s="42" t="s">
        <v>48</v>
      </c>
      <c r="Y66" s="42" t="s">
        <v>36</v>
      </c>
      <c r="Z66" s="42" t="s">
        <v>9</v>
      </c>
      <c r="AA66" s="42" t="s">
        <v>49</v>
      </c>
      <c r="AB66" s="42" t="s">
        <v>175</v>
      </c>
      <c r="AC66" s="42" t="s">
        <v>38</v>
      </c>
      <c r="AD66" s="59" t="s">
        <v>242</v>
      </c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ht="31.5" x14ac:dyDescent="0.25">
      <c r="A67" s="42" t="s">
        <v>172</v>
      </c>
      <c r="B67" s="44">
        <v>46066</v>
      </c>
      <c r="C67" s="44">
        <v>46066</v>
      </c>
      <c r="D67" s="42" t="s">
        <v>195</v>
      </c>
      <c r="E67" s="47">
        <v>0.66666666666666663</v>
      </c>
      <c r="F67" s="47">
        <v>0.79166666666666663</v>
      </c>
      <c r="G67" s="47">
        <v>3.4722222222222218E-4</v>
      </c>
      <c r="H67" s="42" t="s">
        <v>173</v>
      </c>
      <c r="I67" s="50">
        <v>0.69798611111111108</v>
      </c>
      <c r="J67" s="42" t="s">
        <v>105</v>
      </c>
      <c r="K67" s="42" t="s">
        <v>130</v>
      </c>
      <c r="L67" s="52">
        <v>1</v>
      </c>
      <c r="M67" s="52">
        <v>69901</v>
      </c>
      <c r="N67" s="42" t="s">
        <v>53</v>
      </c>
      <c r="O67" s="52" t="s">
        <v>174</v>
      </c>
      <c r="P67" s="54">
        <v>100</v>
      </c>
      <c r="Q67" s="52"/>
      <c r="R67" s="54">
        <v>100</v>
      </c>
      <c r="S67" s="57">
        <v>46054</v>
      </c>
      <c r="T67" s="54">
        <v>15</v>
      </c>
      <c r="U67" s="58">
        <v>4</v>
      </c>
      <c r="V67" s="54">
        <v>85</v>
      </c>
      <c r="W67" s="42" t="s">
        <v>47</v>
      </c>
      <c r="X67" s="42" t="s">
        <v>48</v>
      </c>
      <c r="Y67" s="42" t="s">
        <v>36</v>
      </c>
      <c r="Z67" s="42" t="s">
        <v>9</v>
      </c>
      <c r="AA67" s="42" t="s">
        <v>49</v>
      </c>
      <c r="AB67" s="42" t="s">
        <v>175</v>
      </c>
      <c r="AC67" s="42" t="s">
        <v>38</v>
      </c>
      <c r="AD67" s="59" t="s">
        <v>242</v>
      </c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</row>
    <row r="68" spans="1:49" ht="31.5" x14ac:dyDescent="0.25">
      <c r="A68" s="42" t="s">
        <v>172</v>
      </c>
      <c r="B68" s="44">
        <v>46066</v>
      </c>
      <c r="C68" s="44">
        <v>46066</v>
      </c>
      <c r="D68" s="42" t="s">
        <v>195</v>
      </c>
      <c r="E68" s="47">
        <v>0.66666666666666663</v>
      </c>
      <c r="F68" s="47">
        <v>0.79166666666666663</v>
      </c>
      <c r="G68" s="47">
        <v>3.4722222222222218E-4</v>
      </c>
      <c r="H68" s="42" t="s">
        <v>173</v>
      </c>
      <c r="I68" s="50">
        <v>0.7658811342592593</v>
      </c>
      <c r="J68" s="42" t="s">
        <v>105</v>
      </c>
      <c r="K68" s="42" t="s">
        <v>164</v>
      </c>
      <c r="L68" s="52">
        <v>1</v>
      </c>
      <c r="M68" s="52">
        <v>69901</v>
      </c>
      <c r="N68" s="42" t="s">
        <v>53</v>
      </c>
      <c r="O68" s="52" t="s">
        <v>174</v>
      </c>
      <c r="P68" s="54">
        <v>100</v>
      </c>
      <c r="Q68" s="52"/>
      <c r="R68" s="54">
        <v>100</v>
      </c>
      <c r="S68" s="57">
        <v>46054</v>
      </c>
      <c r="T68" s="54">
        <v>15</v>
      </c>
      <c r="U68" s="58">
        <v>4</v>
      </c>
      <c r="V68" s="54">
        <v>85</v>
      </c>
      <c r="W68" s="42" t="s">
        <v>47</v>
      </c>
      <c r="X68" s="42" t="s">
        <v>48</v>
      </c>
      <c r="Y68" s="42" t="s">
        <v>36</v>
      </c>
      <c r="Z68" s="42" t="s">
        <v>9</v>
      </c>
      <c r="AA68" s="42" t="s">
        <v>49</v>
      </c>
      <c r="AB68" s="42" t="s">
        <v>175</v>
      </c>
      <c r="AC68" s="42" t="s">
        <v>38</v>
      </c>
      <c r="AD68" s="59" t="s">
        <v>242</v>
      </c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</row>
    <row r="69" spans="1:49" ht="31.5" x14ac:dyDescent="0.25">
      <c r="A69" s="42" t="s">
        <v>172</v>
      </c>
      <c r="B69" s="44">
        <v>46066</v>
      </c>
      <c r="C69" s="44">
        <v>46066</v>
      </c>
      <c r="D69" s="42" t="s">
        <v>195</v>
      </c>
      <c r="E69" s="47">
        <v>0.66666666666666663</v>
      </c>
      <c r="F69" s="47">
        <v>0.79166666666666663</v>
      </c>
      <c r="G69" s="47">
        <v>3.4722222222222218E-4</v>
      </c>
      <c r="H69" s="42" t="s">
        <v>173</v>
      </c>
      <c r="I69" s="50">
        <v>0.79113553240740742</v>
      </c>
      <c r="J69" s="42" t="s">
        <v>105</v>
      </c>
      <c r="K69" s="42" t="s">
        <v>130</v>
      </c>
      <c r="L69" s="52">
        <v>1</v>
      </c>
      <c r="M69" s="52">
        <v>69901</v>
      </c>
      <c r="N69" s="42" t="s">
        <v>53</v>
      </c>
      <c r="O69" s="52" t="s">
        <v>174</v>
      </c>
      <c r="P69" s="54">
        <v>100</v>
      </c>
      <c r="Q69" s="52"/>
      <c r="R69" s="54">
        <v>100</v>
      </c>
      <c r="S69" s="57">
        <v>46054</v>
      </c>
      <c r="T69" s="54">
        <v>15</v>
      </c>
      <c r="U69" s="58">
        <v>4</v>
      </c>
      <c r="V69" s="54">
        <v>85</v>
      </c>
      <c r="W69" s="42" t="s">
        <v>47</v>
      </c>
      <c r="X69" s="42" t="s">
        <v>48</v>
      </c>
      <c r="Y69" s="42" t="s">
        <v>36</v>
      </c>
      <c r="Z69" s="42" t="s">
        <v>9</v>
      </c>
      <c r="AA69" s="42" t="s">
        <v>49</v>
      </c>
      <c r="AB69" s="42" t="s">
        <v>175</v>
      </c>
      <c r="AC69" s="42" t="s">
        <v>38</v>
      </c>
      <c r="AD69" s="59" t="s">
        <v>242</v>
      </c>
      <c r="AE69" s="60"/>
      <c r="AF69" s="60"/>
      <c r="AG69" s="60"/>
      <c r="AH69" s="60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</row>
    <row r="70" spans="1:49" ht="31.5" x14ac:dyDescent="0.25">
      <c r="A70" s="42" t="s">
        <v>172</v>
      </c>
      <c r="B70" s="44">
        <v>46066</v>
      </c>
      <c r="C70" s="44">
        <v>46066</v>
      </c>
      <c r="D70" s="42" t="s">
        <v>195</v>
      </c>
      <c r="E70" s="47">
        <v>0.83333333333333337</v>
      </c>
      <c r="F70" s="47">
        <v>0.95833333333333337</v>
      </c>
      <c r="G70" s="47">
        <v>3.4722222222222218E-4</v>
      </c>
      <c r="H70" s="42" t="s">
        <v>177</v>
      </c>
      <c r="I70" s="50">
        <v>0.85559027777777774</v>
      </c>
      <c r="J70" s="42" t="s">
        <v>41</v>
      </c>
      <c r="K70" s="42" t="s">
        <v>165</v>
      </c>
      <c r="L70" s="52">
        <v>1</v>
      </c>
      <c r="M70" s="52">
        <v>69902</v>
      </c>
      <c r="N70" s="42" t="s">
        <v>53</v>
      </c>
      <c r="O70" s="52" t="s">
        <v>174</v>
      </c>
      <c r="P70" s="54">
        <v>100</v>
      </c>
      <c r="Q70" s="52"/>
      <c r="R70" s="54">
        <v>100</v>
      </c>
      <c r="S70" s="57">
        <v>46054</v>
      </c>
      <c r="T70" s="54">
        <v>15</v>
      </c>
      <c r="U70" s="58">
        <v>4</v>
      </c>
      <c r="V70" s="54">
        <v>85</v>
      </c>
      <c r="W70" s="42" t="s">
        <v>47</v>
      </c>
      <c r="X70" s="42" t="s">
        <v>48</v>
      </c>
      <c r="Y70" s="42" t="s">
        <v>36</v>
      </c>
      <c r="Z70" s="42" t="s">
        <v>9</v>
      </c>
      <c r="AA70" s="42" t="s">
        <v>49</v>
      </c>
      <c r="AB70" s="42" t="s">
        <v>175</v>
      </c>
      <c r="AC70" s="42" t="s">
        <v>38</v>
      </c>
      <c r="AD70" s="59" t="s">
        <v>242</v>
      </c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</row>
    <row r="71" spans="1:49" ht="31.5" x14ac:dyDescent="0.25">
      <c r="A71" s="42" t="s">
        <v>172</v>
      </c>
      <c r="B71" s="44">
        <v>46066</v>
      </c>
      <c r="C71" s="44">
        <v>46066</v>
      </c>
      <c r="D71" s="42" t="s">
        <v>195</v>
      </c>
      <c r="E71" s="47">
        <v>0.83333333333333337</v>
      </c>
      <c r="F71" s="47">
        <v>0.95833333333333337</v>
      </c>
      <c r="G71" s="47">
        <v>3.4722222222222218E-4</v>
      </c>
      <c r="H71" s="42" t="s">
        <v>177</v>
      </c>
      <c r="I71" s="50">
        <v>0.93300972222222212</v>
      </c>
      <c r="J71" s="42" t="s">
        <v>41</v>
      </c>
      <c r="K71" s="42" t="s">
        <v>202</v>
      </c>
      <c r="L71" s="52">
        <v>1</v>
      </c>
      <c r="M71" s="52">
        <v>69902</v>
      </c>
      <c r="N71" s="42" t="s">
        <v>53</v>
      </c>
      <c r="O71" s="52" t="s">
        <v>174</v>
      </c>
      <c r="P71" s="54">
        <v>100</v>
      </c>
      <c r="Q71" s="52"/>
      <c r="R71" s="54">
        <v>100</v>
      </c>
      <c r="S71" s="57">
        <v>46054</v>
      </c>
      <c r="T71" s="54">
        <v>15</v>
      </c>
      <c r="U71" s="58">
        <v>4</v>
      </c>
      <c r="V71" s="54">
        <v>85</v>
      </c>
      <c r="W71" s="42" t="s">
        <v>47</v>
      </c>
      <c r="X71" s="42" t="s">
        <v>48</v>
      </c>
      <c r="Y71" s="42" t="s">
        <v>36</v>
      </c>
      <c r="Z71" s="42" t="s">
        <v>9</v>
      </c>
      <c r="AA71" s="42" t="s">
        <v>49</v>
      </c>
      <c r="AB71" s="42" t="s">
        <v>175</v>
      </c>
      <c r="AC71" s="42" t="s">
        <v>38</v>
      </c>
      <c r="AD71" s="59" t="s">
        <v>242</v>
      </c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ht="31.5" x14ac:dyDescent="0.25">
      <c r="A72" s="42" t="s">
        <v>172</v>
      </c>
      <c r="B72" s="44">
        <v>46067</v>
      </c>
      <c r="C72" s="44">
        <v>46067</v>
      </c>
      <c r="D72" s="42" t="s">
        <v>203</v>
      </c>
      <c r="E72" s="47">
        <v>0.66666666666666663</v>
      </c>
      <c r="F72" s="47">
        <v>0.75</v>
      </c>
      <c r="G72" s="47">
        <v>3.4722222222222218E-4</v>
      </c>
      <c r="H72" s="42" t="s">
        <v>173</v>
      </c>
      <c r="I72" s="50">
        <v>0.69213217592592591</v>
      </c>
      <c r="J72" s="42" t="s">
        <v>105</v>
      </c>
      <c r="K72" s="42" t="s">
        <v>113</v>
      </c>
      <c r="L72" s="52">
        <v>1</v>
      </c>
      <c r="M72" s="52">
        <v>69903</v>
      </c>
      <c r="N72" s="42" t="s">
        <v>53</v>
      </c>
      <c r="O72" s="52" t="s">
        <v>174</v>
      </c>
      <c r="P72" s="54">
        <v>100</v>
      </c>
      <c r="Q72" s="52"/>
      <c r="R72" s="54">
        <v>100</v>
      </c>
      <c r="S72" s="57">
        <v>46054</v>
      </c>
      <c r="T72" s="54">
        <v>15</v>
      </c>
      <c r="U72" s="58">
        <v>4</v>
      </c>
      <c r="V72" s="54">
        <v>85</v>
      </c>
      <c r="W72" s="42" t="s">
        <v>47</v>
      </c>
      <c r="X72" s="42" t="s">
        <v>48</v>
      </c>
      <c r="Y72" s="42" t="s">
        <v>36</v>
      </c>
      <c r="Z72" s="42" t="s">
        <v>9</v>
      </c>
      <c r="AA72" s="42" t="s">
        <v>49</v>
      </c>
      <c r="AB72" s="42" t="s">
        <v>175</v>
      </c>
      <c r="AC72" s="42" t="s">
        <v>38</v>
      </c>
      <c r="AD72" s="59" t="s">
        <v>242</v>
      </c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</row>
    <row r="73" spans="1:49" ht="31.5" x14ac:dyDescent="0.25">
      <c r="A73" s="42" t="s">
        <v>172</v>
      </c>
      <c r="B73" s="44">
        <v>46067</v>
      </c>
      <c r="C73" s="44">
        <v>46067</v>
      </c>
      <c r="D73" s="42" t="s">
        <v>203</v>
      </c>
      <c r="E73" s="47">
        <v>0.66666666666666663</v>
      </c>
      <c r="F73" s="47">
        <v>0.75</v>
      </c>
      <c r="G73" s="47">
        <v>3.4722222222222218E-4</v>
      </c>
      <c r="H73" s="42" t="s">
        <v>173</v>
      </c>
      <c r="I73" s="50">
        <v>0.71928252314814822</v>
      </c>
      <c r="J73" s="42" t="s">
        <v>105</v>
      </c>
      <c r="K73" s="42" t="s">
        <v>155</v>
      </c>
      <c r="L73" s="52">
        <v>1</v>
      </c>
      <c r="M73" s="52">
        <v>69903</v>
      </c>
      <c r="N73" s="42" t="s">
        <v>53</v>
      </c>
      <c r="O73" s="52" t="s">
        <v>174</v>
      </c>
      <c r="P73" s="54">
        <v>100</v>
      </c>
      <c r="Q73" s="52"/>
      <c r="R73" s="54">
        <v>100</v>
      </c>
      <c r="S73" s="57">
        <v>46054</v>
      </c>
      <c r="T73" s="54">
        <v>15</v>
      </c>
      <c r="U73" s="58">
        <v>4</v>
      </c>
      <c r="V73" s="54">
        <v>85</v>
      </c>
      <c r="W73" s="42" t="s">
        <v>47</v>
      </c>
      <c r="X73" s="42" t="s">
        <v>48</v>
      </c>
      <c r="Y73" s="42" t="s">
        <v>36</v>
      </c>
      <c r="Z73" s="42" t="s">
        <v>9</v>
      </c>
      <c r="AA73" s="42" t="s">
        <v>49</v>
      </c>
      <c r="AB73" s="42" t="s">
        <v>175</v>
      </c>
      <c r="AC73" s="42" t="s">
        <v>38</v>
      </c>
      <c r="AD73" s="59" t="s">
        <v>242</v>
      </c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</row>
    <row r="74" spans="1:49" ht="31.5" x14ac:dyDescent="0.2">
      <c r="A74" s="42" t="s">
        <v>172</v>
      </c>
      <c r="B74" s="44">
        <v>46067</v>
      </c>
      <c r="C74" s="44">
        <v>46067</v>
      </c>
      <c r="D74" s="42" t="s">
        <v>203</v>
      </c>
      <c r="E74" s="47">
        <v>0.66666666666666663</v>
      </c>
      <c r="F74" s="47">
        <v>0.79166666666666663</v>
      </c>
      <c r="G74" s="47">
        <v>3.4722222222222218E-4</v>
      </c>
      <c r="H74" s="42" t="s">
        <v>173</v>
      </c>
      <c r="I74" s="50">
        <v>0.73875243055555551</v>
      </c>
      <c r="J74" s="42" t="s">
        <v>105</v>
      </c>
      <c r="K74" s="42" t="s">
        <v>155</v>
      </c>
      <c r="L74" s="52">
        <v>1</v>
      </c>
      <c r="M74" s="52">
        <v>69904</v>
      </c>
      <c r="N74" s="42" t="s">
        <v>46</v>
      </c>
      <c r="O74" s="52" t="s">
        <v>174</v>
      </c>
      <c r="P74" s="54">
        <v>0</v>
      </c>
      <c r="Q74" s="52"/>
      <c r="R74" s="54">
        <v>0</v>
      </c>
      <c r="S74" s="57">
        <v>46054</v>
      </c>
      <c r="T74" s="54">
        <v>0</v>
      </c>
      <c r="U74" s="58">
        <v>4</v>
      </c>
      <c r="V74" s="54">
        <v>0</v>
      </c>
      <c r="W74" s="42" t="s">
        <v>47</v>
      </c>
      <c r="X74" s="42" t="s">
        <v>48</v>
      </c>
      <c r="Y74" s="42" t="s">
        <v>36</v>
      </c>
      <c r="Z74" s="42" t="s">
        <v>9</v>
      </c>
      <c r="AA74" s="42" t="s">
        <v>49</v>
      </c>
      <c r="AB74" s="42" t="s">
        <v>175</v>
      </c>
      <c r="AC74" s="42" t="s">
        <v>38</v>
      </c>
      <c r="AD74" s="59" t="s">
        <v>242</v>
      </c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</row>
    <row r="75" spans="1:49" ht="31.5" x14ac:dyDescent="0.2">
      <c r="A75" s="42" t="s">
        <v>172</v>
      </c>
      <c r="B75" s="44">
        <v>46067</v>
      </c>
      <c r="C75" s="44">
        <v>46067</v>
      </c>
      <c r="D75" s="42" t="s">
        <v>203</v>
      </c>
      <c r="E75" s="47">
        <v>0.83333333333333337</v>
      </c>
      <c r="F75" s="47">
        <v>0.95833333333333337</v>
      </c>
      <c r="G75" s="47">
        <v>3.4722222222222218E-4</v>
      </c>
      <c r="H75" s="42" t="s">
        <v>177</v>
      </c>
      <c r="I75" s="50">
        <v>0.86867083333333339</v>
      </c>
      <c r="J75" s="42" t="s">
        <v>41</v>
      </c>
      <c r="K75" s="42" t="s">
        <v>165</v>
      </c>
      <c r="L75" s="52">
        <v>1</v>
      </c>
      <c r="M75" s="52">
        <v>69902</v>
      </c>
      <c r="N75" s="42" t="s">
        <v>53</v>
      </c>
      <c r="O75" s="52" t="s">
        <v>174</v>
      </c>
      <c r="P75" s="54">
        <v>100</v>
      </c>
      <c r="Q75" s="52"/>
      <c r="R75" s="54">
        <v>100</v>
      </c>
      <c r="S75" s="57">
        <v>46054</v>
      </c>
      <c r="T75" s="54">
        <v>15</v>
      </c>
      <c r="U75" s="58">
        <v>4</v>
      </c>
      <c r="V75" s="54">
        <v>85</v>
      </c>
      <c r="W75" s="42" t="s">
        <v>47</v>
      </c>
      <c r="X75" s="42" t="s">
        <v>48</v>
      </c>
      <c r="Y75" s="42" t="s">
        <v>36</v>
      </c>
      <c r="Z75" s="42" t="s">
        <v>9</v>
      </c>
      <c r="AA75" s="42" t="s">
        <v>49</v>
      </c>
      <c r="AB75" s="42" t="s">
        <v>175</v>
      </c>
      <c r="AC75" s="42" t="s">
        <v>38</v>
      </c>
      <c r="AD75" s="59" t="s">
        <v>242</v>
      </c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</row>
    <row r="76" spans="1:49" ht="31.5" x14ac:dyDescent="0.25">
      <c r="A76" s="42" t="s">
        <v>172</v>
      </c>
      <c r="B76" s="44">
        <v>46067</v>
      </c>
      <c r="C76" s="44">
        <v>46067</v>
      </c>
      <c r="D76" s="42" t="s">
        <v>203</v>
      </c>
      <c r="E76" s="47">
        <v>0.83333333333333337</v>
      </c>
      <c r="F76" s="47">
        <v>0.95833333333333337</v>
      </c>
      <c r="G76" s="47">
        <v>3.4722222222222218E-4</v>
      </c>
      <c r="H76" s="42" t="s">
        <v>177</v>
      </c>
      <c r="I76" s="50">
        <v>0.94617002314814813</v>
      </c>
      <c r="J76" s="42" t="s">
        <v>41</v>
      </c>
      <c r="K76" s="42" t="s">
        <v>178</v>
      </c>
      <c r="L76" s="52">
        <v>1</v>
      </c>
      <c r="M76" s="52">
        <v>69902</v>
      </c>
      <c r="N76" s="42" t="s">
        <v>53</v>
      </c>
      <c r="O76" s="52" t="s">
        <v>174</v>
      </c>
      <c r="P76" s="54">
        <v>100</v>
      </c>
      <c r="Q76" s="52"/>
      <c r="R76" s="54">
        <v>100</v>
      </c>
      <c r="S76" s="57">
        <v>46054</v>
      </c>
      <c r="T76" s="54">
        <v>15</v>
      </c>
      <c r="U76" s="58">
        <v>4</v>
      </c>
      <c r="V76" s="54">
        <v>85</v>
      </c>
      <c r="W76" s="42" t="s">
        <v>47</v>
      </c>
      <c r="X76" s="42" t="s">
        <v>48</v>
      </c>
      <c r="Y76" s="42" t="s">
        <v>36</v>
      </c>
      <c r="Z76" s="42" t="s">
        <v>9</v>
      </c>
      <c r="AA76" s="42" t="s">
        <v>49</v>
      </c>
      <c r="AB76" s="42" t="s">
        <v>175</v>
      </c>
      <c r="AC76" s="42" t="s">
        <v>38</v>
      </c>
      <c r="AD76" s="59" t="s">
        <v>242</v>
      </c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</row>
    <row r="77" spans="1:49" ht="31.5" x14ac:dyDescent="0.25">
      <c r="A77" s="42" t="s">
        <v>172</v>
      </c>
      <c r="B77" s="44">
        <v>46068</v>
      </c>
      <c r="C77" s="44">
        <v>46068</v>
      </c>
      <c r="D77" s="42" t="s">
        <v>231</v>
      </c>
      <c r="E77" s="47">
        <v>0.66666666666666663</v>
      </c>
      <c r="F77" s="47">
        <v>0.79166666666666663</v>
      </c>
      <c r="G77" s="47">
        <v>3.4722222222222218E-4</v>
      </c>
      <c r="H77" s="42" t="s">
        <v>173</v>
      </c>
      <c r="I77" s="50">
        <v>0.67306990740740735</v>
      </c>
      <c r="J77" s="42" t="s">
        <v>105</v>
      </c>
      <c r="K77" s="42" t="s">
        <v>176</v>
      </c>
      <c r="L77" s="52">
        <v>1</v>
      </c>
      <c r="M77" s="52">
        <v>69904</v>
      </c>
      <c r="N77" s="42" t="s">
        <v>46</v>
      </c>
      <c r="O77" s="52" t="s">
        <v>174</v>
      </c>
      <c r="P77" s="54">
        <v>0</v>
      </c>
      <c r="Q77" s="52"/>
      <c r="R77" s="54">
        <v>0</v>
      </c>
      <c r="S77" s="57">
        <v>46054</v>
      </c>
      <c r="T77" s="54">
        <v>0</v>
      </c>
      <c r="U77" s="58">
        <v>4</v>
      </c>
      <c r="V77" s="54">
        <v>0</v>
      </c>
      <c r="W77" s="42" t="s">
        <v>47</v>
      </c>
      <c r="X77" s="42" t="s">
        <v>48</v>
      </c>
      <c r="Y77" s="42" t="s">
        <v>36</v>
      </c>
      <c r="Z77" s="42" t="s">
        <v>9</v>
      </c>
      <c r="AA77" s="42" t="s">
        <v>49</v>
      </c>
      <c r="AB77" s="42" t="s">
        <v>175</v>
      </c>
      <c r="AC77" s="42" t="s">
        <v>38</v>
      </c>
      <c r="AD77" s="59" t="s">
        <v>242</v>
      </c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</row>
    <row r="78" spans="1:49" ht="31.5" x14ac:dyDescent="0.25">
      <c r="A78" s="42" t="s">
        <v>172</v>
      </c>
      <c r="B78" s="44">
        <v>46068</v>
      </c>
      <c r="C78" s="44">
        <v>46068</v>
      </c>
      <c r="D78" s="42" t="s">
        <v>231</v>
      </c>
      <c r="E78" s="47">
        <v>0.66666666666666663</v>
      </c>
      <c r="F78" s="47">
        <v>0.75</v>
      </c>
      <c r="G78" s="47">
        <v>3.4722222222222218E-4</v>
      </c>
      <c r="H78" s="42" t="s">
        <v>173</v>
      </c>
      <c r="I78" s="50">
        <v>0.69608831018518513</v>
      </c>
      <c r="J78" s="42" t="s">
        <v>105</v>
      </c>
      <c r="K78" s="42" t="s">
        <v>176</v>
      </c>
      <c r="L78" s="52">
        <v>1</v>
      </c>
      <c r="M78" s="52">
        <v>69903</v>
      </c>
      <c r="N78" s="42" t="s">
        <v>53</v>
      </c>
      <c r="O78" s="52" t="s">
        <v>174</v>
      </c>
      <c r="P78" s="54">
        <v>100</v>
      </c>
      <c r="Q78" s="52"/>
      <c r="R78" s="54">
        <v>100</v>
      </c>
      <c r="S78" s="57">
        <v>46054</v>
      </c>
      <c r="T78" s="54">
        <v>15</v>
      </c>
      <c r="U78" s="58">
        <v>4</v>
      </c>
      <c r="V78" s="54">
        <v>85</v>
      </c>
      <c r="W78" s="42" t="s">
        <v>47</v>
      </c>
      <c r="X78" s="42" t="s">
        <v>48</v>
      </c>
      <c r="Y78" s="42" t="s">
        <v>36</v>
      </c>
      <c r="Z78" s="42" t="s">
        <v>9</v>
      </c>
      <c r="AA78" s="42" t="s">
        <v>49</v>
      </c>
      <c r="AB78" s="42" t="s">
        <v>175</v>
      </c>
      <c r="AC78" s="42" t="s">
        <v>38</v>
      </c>
      <c r="AD78" s="59" t="s">
        <v>242</v>
      </c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</row>
    <row r="79" spans="1:49" ht="31.5" x14ac:dyDescent="0.25">
      <c r="A79" s="42" t="s">
        <v>172</v>
      </c>
      <c r="B79" s="44">
        <v>46068</v>
      </c>
      <c r="C79" s="44">
        <v>46068</v>
      </c>
      <c r="D79" s="42" t="s">
        <v>231</v>
      </c>
      <c r="E79" s="47">
        <v>0.66666666666666663</v>
      </c>
      <c r="F79" s="47">
        <v>0.75</v>
      </c>
      <c r="G79" s="47">
        <v>3.4722222222222218E-4</v>
      </c>
      <c r="H79" s="42" t="s">
        <v>173</v>
      </c>
      <c r="I79" s="50">
        <v>0.7206738425925926</v>
      </c>
      <c r="J79" s="42" t="s">
        <v>105</v>
      </c>
      <c r="K79" s="42" t="s">
        <v>188</v>
      </c>
      <c r="L79" s="52">
        <v>1</v>
      </c>
      <c r="M79" s="52">
        <v>69903</v>
      </c>
      <c r="N79" s="42" t="s">
        <v>53</v>
      </c>
      <c r="O79" s="52" t="s">
        <v>174</v>
      </c>
      <c r="P79" s="54">
        <v>100</v>
      </c>
      <c r="Q79" s="52"/>
      <c r="R79" s="54">
        <v>100</v>
      </c>
      <c r="S79" s="57">
        <v>46054</v>
      </c>
      <c r="T79" s="54">
        <v>15</v>
      </c>
      <c r="U79" s="58">
        <v>4</v>
      </c>
      <c r="V79" s="54">
        <v>85</v>
      </c>
      <c r="W79" s="42" t="s">
        <v>47</v>
      </c>
      <c r="X79" s="42" t="s">
        <v>48</v>
      </c>
      <c r="Y79" s="42" t="s">
        <v>36</v>
      </c>
      <c r="Z79" s="42" t="s">
        <v>9</v>
      </c>
      <c r="AA79" s="42" t="s">
        <v>49</v>
      </c>
      <c r="AB79" s="42" t="s">
        <v>175</v>
      </c>
      <c r="AC79" s="42" t="s">
        <v>38</v>
      </c>
      <c r="AD79" s="59" t="s">
        <v>242</v>
      </c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</row>
    <row r="80" spans="1:49" ht="31.5" x14ac:dyDescent="0.25">
      <c r="A80" s="42" t="s">
        <v>172</v>
      </c>
      <c r="B80" s="44">
        <v>46068</v>
      </c>
      <c r="C80" s="44">
        <v>46068</v>
      </c>
      <c r="D80" s="42" t="s">
        <v>231</v>
      </c>
      <c r="E80" s="47">
        <v>0.83333333333333337</v>
      </c>
      <c r="F80" s="47">
        <v>0.95833333333333337</v>
      </c>
      <c r="G80" s="47">
        <v>3.4722222222222218E-4</v>
      </c>
      <c r="H80" s="42" t="s">
        <v>177</v>
      </c>
      <c r="I80" s="50">
        <v>0.8737152777777778</v>
      </c>
      <c r="J80" s="42" t="s">
        <v>41</v>
      </c>
      <c r="K80" s="42" t="s">
        <v>165</v>
      </c>
      <c r="L80" s="52">
        <v>1</v>
      </c>
      <c r="M80" s="52">
        <v>69902</v>
      </c>
      <c r="N80" s="42" t="s">
        <v>53</v>
      </c>
      <c r="O80" s="52" t="s">
        <v>174</v>
      </c>
      <c r="P80" s="54">
        <v>100</v>
      </c>
      <c r="Q80" s="52"/>
      <c r="R80" s="54">
        <v>100</v>
      </c>
      <c r="S80" s="57">
        <v>46054</v>
      </c>
      <c r="T80" s="54">
        <v>15</v>
      </c>
      <c r="U80" s="58">
        <v>4</v>
      </c>
      <c r="V80" s="54">
        <v>85</v>
      </c>
      <c r="W80" s="42" t="s">
        <v>47</v>
      </c>
      <c r="X80" s="42" t="s">
        <v>48</v>
      </c>
      <c r="Y80" s="42" t="s">
        <v>36</v>
      </c>
      <c r="Z80" s="42" t="s">
        <v>9</v>
      </c>
      <c r="AA80" s="42" t="s">
        <v>49</v>
      </c>
      <c r="AB80" s="42" t="s">
        <v>175</v>
      </c>
      <c r="AC80" s="42" t="s">
        <v>38</v>
      </c>
      <c r="AD80" s="59" t="s">
        <v>242</v>
      </c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ht="31.5" x14ac:dyDescent="0.2">
      <c r="A81" s="42" t="s">
        <v>172</v>
      </c>
      <c r="B81" s="44">
        <v>46068</v>
      </c>
      <c r="C81" s="44">
        <v>46068</v>
      </c>
      <c r="D81" s="42" t="s">
        <v>231</v>
      </c>
      <c r="E81" s="47">
        <v>0.83333333333333337</v>
      </c>
      <c r="F81" s="47">
        <v>0.95833333333333337</v>
      </c>
      <c r="G81" s="47">
        <v>3.4722222222222218E-4</v>
      </c>
      <c r="H81" s="42" t="s">
        <v>177</v>
      </c>
      <c r="I81" s="50">
        <v>0.91692164351851846</v>
      </c>
      <c r="J81" s="42" t="s">
        <v>41</v>
      </c>
      <c r="K81" s="42" t="s">
        <v>160</v>
      </c>
      <c r="L81" s="52">
        <v>1</v>
      </c>
      <c r="M81" s="52">
        <v>69902</v>
      </c>
      <c r="N81" s="42" t="s">
        <v>53</v>
      </c>
      <c r="O81" s="52" t="s">
        <v>174</v>
      </c>
      <c r="P81" s="54">
        <v>100</v>
      </c>
      <c r="Q81" s="52"/>
      <c r="R81" s="54">
        <v>100</v>
      </c>
      <c r="S81" s="57">
        <v>46054</v>
      </c>
      <c r="T81" s="54">
        <v>15</v>
      </c>
      <c r="U81" s="58">
        <v>4</v>
      </c>
      <c r="V81" s="54">
        <v>85</v>
      </c>
      <c r="W81" s="42" t="s">
        <v>47</v>
      </c>
      <c r="X81" s="42" t="s">
        <v>48</v>
      </c>
      <c r="Y81" s="42" t="s">
        <v>36</v>
      </c>
      <c r="Z81" s="42" t="s">
        <v>9</v>
      </c>
      <c r="AA81" s="42" t="s">
        <v>49</v>
      </c>
      <c r="AB81" s="42" t="s">
        <v>175</v>
      </c>
      <c r="AC81" s="42" t="s">
        <v>38</v>
      </c>
      <c r="AD81" s="59" t="s">
        <v>242</v>
      </c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</row>
    <row r="82" spans="1:49" ht="31.5" x14ac:dyDescent="0.25">
      <c r="A82" s="43" t="s">
        <v>225</v>
      </c>
      <c r="B82" s="45">
        <v>46067</v>
      </c>
      <c r="C82" s="45">
        <v>46067</v>
      </c>
      <c r="D82" s="46" t="s">
        <v>203</v>
      </c>
      <c r="E82" s="48">
        <v>0.75</v>
      </c>
      <c r="F82" s="48">
        <v>0.79166666666666663</v>
      </c>
      <c r="G82" s="48">
        <v>4.1666666666666664E-2</v>
      </c>
      <c r="H82" s="43" t="s">
        <v>226</v>
      </c>
      <c r="I82" s="51"/>
      <c r="J82" s="43" t="s">
        <v>227</v>
      </c>
      <c r="K82" s="43"/>
      <c r="L82" s="53">
        <v>1</v>
      </c>
      <c r="M82" s="53">
        <v>1</v>
      </c>
      <c r="N82" s="43" t="s">
        <v>33</v>
      </c>
      <c r="O82" s="43"/>
      <c r="P82" s="55">
        <v>0</v>
      </c>
      <c r="Q82" s="53"/>
      <c r="R82" s="55">
        <v>0</v>
      </c>
      <c r="S82" s="43">
        <v>46054</v>
      </c>
      <c r="T82" s="55">
        <v>0</v>
      </c>
      <c r="U82" s="53">
        <v>2</v>
      </c>
      <c r="V82" s="55">
        <v>0</v>
      </c>
      <c r="W82" s="43" t="s">
        <v>34</v>
      </c>
      <c r="X82" s="43" t="s">
        <v>42</v>
      </c>
      <c r="Y82" s="43" t="s">
        <v>36</v>
      </c>
      <c r="Z82" s="43" t="s">
        <v>43</v>
      </c>
      <c r="AA82" s="43" t="s">
        <v>37</v>
      </c>
      <c r="AB82" s="43" t="s">
        <v>37</v>
      </c>
      <c r="AC82" s="43" t="s">
        <v>38</v>
      </c>
      <c r="AD82" s="59" t="s">
        <v>242</v>
      </c>
      <c r="AE82" s="60"/>
      <c r="AF82" s="60"/>
      <c r="AG82" s="60"/>
      <c r="AH82" s="60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</row>
    <row r="83" spans="1:49" ht="31.5" x14ac:dyDescent="0.25">
      <c r="A83" s="43" t="s">
        <v>225</v>
      </c>
      <c r="B83" s="45">
        <v>46067</v>
      </c>
      <c r="C83" s="45">
        <v>46067</v>
      </c>
      <c r="D83" s="46" t="s">
        <v>203</v>
      </c>
      <c r="E83" s="48">
        <v>0.79166666666666663</v>
      </c>
      <c r="F83" s="48">
        <v>0.83333333333333337</v>
      </c>
      <c r="G83" s="48">
        <v>4.1666666666666664E-2</v>
      </c>
      <c r="H83" s="43" t="s">
        <v>228</v>
      </c>
      <c r="I83" s="51"/>
      <c r="J83" s="43" t="s">
        <v>227</v>
      </c>
      <c r="K83" s="43"/>
      <c r="L83" s="53">
        <v>1</v>
      </c>
      <c r="M83" s="53">
        <v>1</v>
      </c>
      <c r="N83" s="43" t="s">
        <v>33</v>
      </c>
      <c r="O83" s="43"/>
      <c r="P83" s="55">
        <v>0</v>
      </c>
      <c r="Q83" s="53"/>
      <c r="R83" s="55">
        <v>0</v>
      </c>
      <c r="S83" s="43">
        <v>46054</v>
      </c>
      <c r="T83" s="55">
        <v>0</v>
      </c>
      <c r="U83" s="53">
        <v>2</v>
      </c>
      <c r="V83" s="55">
        <v>0</v>
      </c>
      <c r="W83" s="43" t="s">
        <v>34</v>
      </c>
      <c r="X83" s="43" t="s">
        <v>42</v>
      </c>
      <c r="Y83" s="43" t="s">
        <v>36</v>
      </c>
      <c r="Z83" s="43" t="s">
        <v>43</v>
      </c>
      <c r="AA83" s="43" t="s">
        <v>37</v>
      </c>
      <c r="AB83" s="43" t="s">
        <v>37</v>
      </c>
      <c r="AC83" s="43" t="s">
        <v>38</v>
      </c>
      <c r="AD83" s="59" t="s">
        <v>242</v>
      </c>
      <c r="AE83" s="60"/>
      <c r="AF83" s="60"/>
      <c r="AG83" s="60"/>
      <c r="AH83" s="60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</row>
    <row r="84" spans="1:49" ht="31.5" x14ac:dyDescent="0.2">
      <c r="A84" s="43" t="s">
        <v>225</v>
      </c>
      <c r="B84" s="45">
        <v>46068</v>
      </c>
      <c r="C84" s="45">
        <v>46068</v>
      </c>
      <c r="D84" s="46" t="s">
        <v>231</v>
      </c>
      <c r="E84" s="48">
        <v>0.75</v>
      </c>
      <c r="F84" s="48">
        <v>0.79166666666666663</v>
      </c>
      <c r="G84" s="48">
        <v>4.1666666666666664E-2</v>
      </c>
      <c r="H84" s="43" t="s">
        <v>226</v>
      </c>
      <c r="I84" s="51"/>
      <c r="J84" s="43" t="s">
        <v>227</v>
      </c>
      <c r="K84" s="43"/>
      <c r="L84" s="53">
        <v>1</v>
      </c>
      <c r="M84" s="53">
        <v>1</v>
      </c>
      <c r="N84" s="43" t="s">
        <v>33</v>
      </c>
      <c r="O84" s="43"/>
      <c r="P84" s="55">
        <v>0</v>
      </c>
      <c r="Q84" s="53"/>
      <c r="R84" s="55">
        <v>0</v>
      </c>
      <c r="S84" s="43">
        <v>46054</v>
      </c>
      <c r="T84" s="55">
        <v>0</v>
      </c>
      <c r="U84" s="53">
        <v>2</v>
      </c>
      <c r="V84" s="55">
        <v>0</v>
      </c>
      <c r="W84" s="43" t="s">
        <v>34</v>
      </c>
      <c r="X84" s="43" t="s">
        <v>42</v>
      </c>
      <c r="Y84" s="43" t="s">
        <v>36</v>
      </c>
      <c r="Z84" s="43" t="s">
        <v>43</v>
      </c>
      <c r="AA84" s="43" t="s">
        <v>37</v>
      </c>
      <c r="AB84" s="43" t="s">
        <v>37</v>
      </c>
      <c r="AC84" s="43" t="s">
        <v>38</v>
      </c>
      <c r="AD84" s="59" t="s">
        <v>242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5">
      <c r="A85" s="43" t="s">
        <v>225</v>
      </c>
      <c r="B85" s="45">
        <v>46068</v>
      </c>
      <c r="C85" s="45">
        <v>46068</v>
      </c>
      <c r="D85" s="46" t="s">
        <v>231</v>
      </c>
      <c r="E85" s="48">
        <v>0.79166666666666663</v>
      </c>
      <c r="F85" s="48">
        <v>0.83333333333333337</v>
      </c>
      <c r="G85" s="48">
        <v>4.1666666666666664E-2</v>
      </c>
      <c r="H85" s="43" t="s">
        <v>228</v>
      </c>
      <c r="I85" s="51"/>
      <c r="J85" s="43" t="s">
        <v>227</v>
      </c>
      <c r="K85" s="43"/>
      <c r="L85" s="53">
        <v>1</v>
      </c>
      <c r="M85" s="53">
        <v>1</v>
      </c>
      <c r="N85" s="43" t="s">
        <v>33</v>
      </c>
      <c r="O85" s="43"/>
      <c r="P85" s="55">
        <v>0</v>
      </c>
      <c r="Q85" s="53"/>
      <c r="R85" s="55">
        <v>0</v>
      </c>
      <c r="S85" s="43">
        <v>46054</v>
      </c>
      <c r="T85" s="55">
        <v>0</v>
      </c>
      <c r="U85" s="53">
        <v>2</v>
      </c>
      <c r="V85" s="55">
        <v>0</v>
      </c>
      <c r="W85" s="43" t="s">
        <v>34</v>
      </c>
      <c r="X85" s="43" t="s">
        <v>42</v>
      </c>
      <c r="Y85" s="43" t="s">
        <v>36</v>
      </c>
      <c r="Z85" s="43" t="s">
        <v>43</v>
      </c>
      <c r="AA85" s="43" t="s">
        <v>37</v>
      </c>
      <c r="AB85" s="43" t="s">
        <v>37</v>
      </c>
      <c r="AC85" s="43" t="s">
        <v>38</v>
      </c>
      <c r="AD85" s="59" t="s">
        <v>242</v>
      </c>
      <c r="AE85" s="60"/>
      <c r="AF85" s="60"/>
      <c r="AG85" s="60"/>
      <c r="AH85" s="60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</row>
    <row r="86" spans="1:49" ht="31.5" x14ac:dyDescent="0.25">
      <c r="A86" s="42" t="s">
        <v>74</v>
      </c>
      <c r="B86" s="44">
        <v>46062</v>
      </c>
      <c r="C86" s="44">
        <v>46062</v>
      </c>
      <c r="D86" s="42" t="s">
        <v>30</v>
      </c>
      <c r="E86" s="47">
        <v>0.45833333333333331</v>
      </c>
      <c r="F86" s="47">
        <v>0.5</v>
      </c>
      <c r="G86" s="47">
        <v>3.4722222222222218E-4</v>
      </c>
      <c r="H86" s="42" t="s">
        <v>75</v>
      </c>
      <c r="I86" s="50">
        <v>0.46606481481481482</v>
      </c>
      <c r="J86" s="42" t="s">
        <v>76</v>
      </c>
      <c r="K86" s="42" t="s">
        <v>72</v>
      </c>
      <c r="L86" s="52">
        <v>1</v>
      </c>
      <c r="M86" s="52">
        <v>71446</v>
      </c>
      <c r="N86" s="42" t="s">
        <v>53</v>
      </c>
      <c r="O86" s="52" t="s">
        <v>77</v>
      </c>
      <c r="P86" s="54">
        <v>94.117647058823522</v>
      </c>
      <c r="Q86" s="52"/>
      <c r="R86" s="54">
        <v>94.117647058823522</v>
      </c>
      <c r="S86" s="57">
        <v>46062</v>
      </c>
      <c r="T86" s="54">
        <v>14.117647058823527</v>
      </c>
      <c r="U86" s="58">
        <v>4</v>
      </c>
      <c r="V86" s="54">
        <v>80</v>
      </c>
      <c r="W86" s="42" t="s">
        <v>47</v>
      </c>
      <c r="X86" s="42" t="s">
        <v>48</v>
      </c>
      <c r="Y86" s="42" t="s">
        <v>78</v>
      </c>
      <c r="Z86" s="42" t="s">
        <v>9</v>
      </c>
      <c r="AA86" s="42" t="s">
        <v>49</v>
      </c>
      <c r="AB86" s="42" t="s">
        <v>79</v>
      </c>
      <c r="AC86" s="42" t="s">
        <v>38</v>
      </c>
      <c r="AD86" s="59" t="s">
        <v>242</v>
      </c>
      <c r="AE86" s="60"/>
      <c r="AF86" s="60"/>
      <c r="AG86" s="60"/>
      <c r="AH86" s="60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</row>
    <row r="87" spans="1:49" ht="31.5" x14ac:dyDescent="0.2">
      <c r="A87" s="42" t="s">
        <v>74</v>
      </c>
      <c r="B87" s="44">
        <v>46062</v>
      </c>
      <c r="C87" s="44">
        <v>46062</v>
      </c>
      <c r="D87" s="42" t="s">
        <v>30</v>
      </c>
      <c r="E87" s="47">
        <v>0.45833333333333331</v>
      </c>
      <c r="F87" s="47">
        <v>0.5</v>
      </c>
      <c r="G87" s="47">
        <v>3.4722222222222218E-4</v>
      </c>
      <c r="H87" s="42" t="s">
        <v>84</v>
      </c>
      <c r="I87" s="50">
        <v>0.48586805555555557</v>
      </c>
      <c r="J87" s="42" t="s">
        <v>76</v>
      </c>
      <c r="K87" s="42" t="s">
        <v>128</v>
      </c>
      <c r="L87" s="52">
        <v>1</v>
      </c>
      <c r="M87" s="52">
        <v>71445</v>
      </c>
      <c r="N87" s="42" t="s">
        <v>53</v>
      </c>
      <c r="O87" s="52" t="s">
        <v>77</v>
      </c>
      <c r="P87" s="54">
        <v>94.117647058823522</v>
      </c>
      <c r="Q87" s="52"/>
      <c r="R87" s="54">
        <v>94.117647058823522</v>
      </c>
      <c r="S87" s="57">
        <v>46062</v>
      </c>
      <c r="T87" s="54">
        <v>14.117647058823527</v>
      </c>
      <c r="U87" s="58">
        <v>4</v>
      </c>
      <c r="V87" s="54">
        <v>80</v>
      </c>
      <c r="W87" s="42" t="s">
        <v>47</v>
      </c>
      <c r="X87" s="42" t="s">
        <v>48</v>
      </c>
      <c r="Y87" s="42" t="s">
        <v>78</v>
      </c>
      <c r="Z87" s="42" t="s">
        <v>9</v>
      </c>
      <c r="AA87" s="42" t="s">
        <v>49</v>
      </c>
      <c r="AB87" s="42" t="s">
        <v>79</v>
      </c>
      <c r="AC87" s="42" t="s">
        <v>38</v>
      </c>
      <c r="AD87" s="59" t="s">
        <v>242</v>
      </c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</row>
    <row r="88" spans="1:49" ht="31.5" x14ac:dyDescent="0.25">
      <c r="A88" s="42" t="s">
        <v>74</v>
      </c>
      <c r="B88" s="44">
        <v>46062</v>
      </c>
      <c r="C88" s="44">
        <v>46062</v>
      </c>
      <c r="D88" s="42" t="s">
        <v>30</v>
      </c>
      <c r="E88" s="47">
        <v>0.66666666666666663</v>
      </c>
      <c r="F88" s="47">
        <v>0.79166666666666663</v>
      </c>
      <c r="G88" s="47">
        <v>3.4722222222222218E-4</v>
      </c>
      <c r="H88" s="42" t="s">
        <v>106</v>
      </c>
      <c r="I88" s="50">
        <v>0.74817129629629631</v>
      </c>
      <c r="J88" s="42" t="s">
        <v>105</v>
      </c>
      <c r="K88" s="42" t="s">
        <v>113</v>
      </c>
      <c r="L88" s="52">
        <v>1</v>
      </c>
      <c r="M88" s="52">
        <v>71441</v>
      </c>
      <c r="N88" s="42" t="s">
        <v>46</v>
      </c>
      <c r="O88" s="52" t="s">
        <v>107</v>
      </c>
      <c r="P88" s="54">
        <v>0</v>
      </c>
      <c r="Q88" s="52"/>
      <c r="R88" s="54">
        <v>0</v>
      </c>
      <c r="S88" s="57">
        <v>46062</v>
      </c>
      <c r="T88" s="54">
        <v>0</v>
      </c>
      <c r="U88" s="58">
        <v>4</v>
      </c>
      <c r="V88" s="54">
        <v>0</v>
      </c>
      <c r="W88" s="42" t="s">
        <v>47</v>
      </c>
      <c r="X88" s="42" t="s">
        <v>48</v>
      </c>
      <c r="Y88" s="42" t="s">
        <v>78</v>
      </c>
      <c r="Z88" s="42" t="s">
        <v>9</v>
      </c>
      <c r="AA88" s="42" t="s">
        <v>49</v>
      </c>
      <c r="AB88" s="42" t="s">
        <v>108</v>
      </c>
      <c r="AC88" s="42" t="s">
        <v>38</v>
      </c>
      <c r="AD88" s="59" t="s">
        <v>242</v>
      </c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</row>
    <row r="89" spans="1:49" ht="31.5" x14ac:dyDescent="0.25">
      <c r="A89" s="42" t="s">
        <v>74</v>
      </c>
      <c r="B89" s="44">
        <v>46062</v>
      </c>
      <c r="C89" s="44">
        <v>46062</v>
      </c>
      <c r="D89" s="42" t="s">
        <v>30</v>
      </c>
      <c r="E89" s="47">
        <v>0.66666666666666663</v>
      </c>
      <c r="F89" s="47">
        <v>0.79166666666666663</v>
      </c>
      <c r="G89" s="47">
        <v>3.4722222222222218E-4</v>
      </c>
      <c r="H89" s="42" t="s">
        <v>110</v>
      </c>
      <c r="I89" s="50">
        <v>0.7848032407407407</v>
      </c>
      <c r="J89" s="42" t="s">
        <v>105</v>
      </c>
      <c r="K89" s="42" t="s">
        <v>130</v>
      </c>
      <c r="L89" s="52">
        <v>1</v>
      </c>
      <c r="M89" s="52">
        <v>71439</v>
      </c>
      <c r="N89" s="42" t="s">
        <v>53</v>
      </c>
      <c r="O89" s="52" t="s">
        <v>107</v>
      </c>
      <c r="P89" s="54">
        <v>105.88235294117646</v>
      </c>
      <c r="Q89" s="52"/>
      <c r="R89" s="54">
        <v>105.88235294117646</v>
      </c>
      <c r="S89" s="57">
        <v>46062</v>
      </c>
      <c r="T89" s="54">
        <v>15.882352941176469</v>
      </c>
      <c r="U89" s="58">
        <v>4</v>
      </c>
      <c r="V89" s="54">
        <v>90</v>
      </c>
      <c r="W89" s="42" t="s">
        <v>47</v>
      </c>
      <c r="X89" s="42" t="s">
        <v>48</v>
      </c>
      <c r="Y89" s="42" t="s">
        <v>78</v>
      </c>
      <c r="Z89" s="42" t="s">
        <v>9</v>
      </c>
      <c r="AA89" s="42" t="s">
        <v>49</v>
      </c>
      <c r="AB89" s="42" t="s">
        <v>108</v>
      </c>
      <c r="AC89" s="42" t="s">
        <v>38</v>
      </c>
      <c r="AD89" s="59" t="s">
        <v>242</v>
      </c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</row>
    <row r="90" spans="1:49" ht="31.5" x14ac:dyDescent="0.25">
      <c r="A90" s="42" t="s">
        <v>74</v>
      </c>
      <c r="B90" s="44">
        <v>46063</v>
      </c>
      <c r="C90" s="44">
        <v>46063</v>
      </c>
      <c r="D90" s="42" t="s">
        <v>132</v>
      </c>
      <c r="E90" s="47">
        <v>0.45833333333333331</v>
      </c>
      <c r="F90" s="47">
        <v>0.5</v>
      </c>
      <c r="G90" s="47">
        <v>3.4722222222222218E-4</v>
      </c>
      <c r="H90" s="42" t="s">
        <v>84</v>
      </c>
      <c r="I90" s="50">
        <v>0.48758101851851854</v>
      </c>
      <c r="J90" s="42" t="s">
        <v>76</v>
      </c>
      <c r="K90" s="42" t="s">
        <v>128</v>
      </c>
      <c r="L90" s="52">
        <v>1</v>
      </c>
      <c r="M90" s="52">
        <v>71445</v>
      </c>
      <c r="N90" s="42" t="s">
        <v>53</v>
      </c>
      <c r="O90" s="52" t="s">
        <v>77</v>
      </c>
      <c r="P90" s="54">
        <v>94.117647058823522</v>
      </c>
      <c r="Q90" s="52"/>
      <c r="R90" s="54">
        <v>94.117647058823522</v>
      </c>
      <c r="S90" s="57">
        <v>46063</v>
      </c>
      <c r="T90" s="54">
        <v>14.117647058823527</v>
      </c>
      <c r="U90" s="58">
        <v>4</v>
      </c>
      <c r="V90" s="54">
        <v>80</v>
      </c>
      <c r="W90" s="42" t="s">
        <v>47</v>
      </c>
      <c r="X90" s="42" t="s">
        <v>48</v>
      </c>
      <c r="Y90" s="42" t="s">
        <v>78</v>
      </c>
      <c r="Z90" s="42" t="s">
        <v>9</v>
      </c>
      <c r="AA90" s="42" t="s">
        <v>49</v>
      </c>
      <c r="AB90" s="42" t="s">
        <v>79</v>
      </c>
      <c r="AC90" s="42" t="s">
        <v>38</v>
      </c>
      <c r="AD90" s="59" t="s">
        <v>242</v>
      </c>
      <c r="AE90" s="60"/>
      <c r="AF90" s="60"/>
      <c r="AG90" s="60"/>
      <c r="AH90" s="60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</row>
    <row r="91" spans="1:49" ht="31.5" x14ac:dyDescent="0.25">
      <c r="A91" s="42" t="s">
        <v>74</v>
      </c>
      <c r="B91" s="44">
        <v>46063</v>
      </c>
      <c r="C91" s="44">
        <v>46063</v>
      </c>
      <c r="D91" s="42" t="s">
        <v>132</v>
      </c>
      <c r="E91" s="47">
        <v>0.45833333333333331</v>
      </c>
      <c r="F91" s="47">
        <v>0.54166666666666663</v>
      </c>
      <c r="G91" s="47">
        <v>3.4722222222222218E-4</v>
      </c>
      <c r="H91" s="42" t="s">
        <v>147</v>
      </c>
      <c r="I91" s="50">
        <v>0.53487268518518516</v>
      </c>
      <c r="J91" s="42" t="s">
        <v>76</v>
      </c>
      <c r="K91" s="42" t="s">
        <v>129</v>
      </c>
      <c r="L91" s="52">
        <v>1</v>
      </c>
      <c r="M91" s="52">
        <v>71448</v>
      </c>
      <c r="N91" s="42" t="s">
        <v>46</v>
      </c>
      <c r="O91" s="52" t="s">
        <v>77</v>
      </c>
      <c r="P91" s="54">
        <v>0</v>
      </c>
      <c r="Q91" s="52"/>
      <c r="R91" s="54">
        <v>0</v>
      </c>
      <c r="S91" s="57">
        <v>46063</v>
      </c>
      <c r="T91" s="54">
        <v>0</v>
      </c>
      <c r="U91" s="58">
        <v>4</v>
      </c>
      <c r="V91" s="54">
        <v>0</v>
      </c>
      <c r="W91" s="42" t="s">
        <v>47</v>
      </c>
      <c r="X91" s="42" t="s">
        <v>48</v>
      </c>
      <c r="Y91" s="42" t="s">
        <v>78</v>
      </c>
      <c r="Z91" s="42" t="s">
        <v>9</v>
      </c>
      <c r="AA91" s="42" t="s">
        <v>49</v>
      </c>
      <c r="AB91" s="42" t="s">
        <v>79</v>
      </c>
      <c r="AC91" s="42" t="s">
        <v>38</v>
      </c>
      <c r="AD91" s="59" t="s">
        <v>242</v>
      </c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</row>
    <row r="92" spans="1:49" ht="31.5" x14ac:dyDescent="0.25">
      <c r="A92" s="42" t="s">
        <v>74</v>
      </c>
      <c r="B92" s="44">
        <v>46063</v>
      </c>
      <c r="C92" s="44">
        <v>46063</v>
      </c>
      <c r="D92" s="42" t="s">
        <v>132</v>
      </c>
      <c r="E92" s="47">
        <v>0.66666666666666663</v>
      </c>
      <c r="F92" s="47">
        <v>0.79166666666666663</v>
      </c>
      <c r="G92" s="47">
        <v>3.4722222222222218E-4</v>
      </c>
      <c r="H92" s="42" t="s">
        <v>110</v>
      </c>
      <c r="I92" s="50">
        <v>0.71436342592592594</v>
      </c>
      <c r="J92" s="42" t="s">
        <v>105</v>
      </c>
      <c r="K92" s="42" t="s">
        <v>155</v>
      </c>
      <c r="L92" s="52">
        <v>1</v>
      </c>
      <c r="M92" s="52">
        <v>71439</v>
      </c>
      <c r="N92" s="42" t="s">
        <v>53</v>
      </c>
      <c r="O92" s="52" t="s">
        <v>107</v>
      </c>
      <c r="P92" s="54">
        <v>105.88235294117646</v>
      </c>
      <c r="Q92" s="52"/>
      <c r="R92" s="54">
        <v>105.88235294117646</v>
      </c>
      <c r="S92" s="57">
        <v>46063</v>
      </c>
      <c r="T92" s="54">
        <v>15.882352941176469</v>
      </c>
      <c r="U92" s="58">
        <v>4</v>
      </c>
      <c r="V92" s="54">
        <v>90</v>
      </c>
      <c r="W92" s="42" t="s">
        <v>47</v>
      </c>
      <c r="X92" s="42" t="s">
        <v>48</v>
      </c>
      <c r="Y92" s="42" t="s">
        <v>78</v>
      </c>
      <c r="Z92" s="42" t="s">
        <v>9</v>
      </c>
      <c r="AA92" s="42" t="s">
        <v>49</v>
      </c>
      <c r="AB92" s="42" t="s">
        <v>108</v>
      </c>
      <c r="AC92" s="42" t="s">
        <v>38</v>
      </c>
      <c r="AD92" s="59" t="s">
        <v>242</v>
      </c>
      <c r="AE92" s="60"/>
      <c r="AF92" s="60"/>
      <c r="AG92" s="60"/>
      <c r="AH92" s="60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</row>
    <row r="93" spans="1:49" ht="31.5" x14ac:dyDescent="0.25">
      <c r="A93" s="42" t="s">
        <v>74</v>
      </c>
      <c r="B93" s="44">
        <v>46063</v>
      </c>
      <c r="C93" s="44">
        <v>46063</v>
      </c>
      <c r="D93" s="42" t="s">
        <v>132</v>
      </c>
      <c r="E93" s="47">
        <v>0.66666666666666663</v>
      </c>
      <c r="F93" s="47">
        <v>0.79166666666666663</v>
      </c>
      <c r="G93" s="47">
        <v>3.4722222222222218E-4</v>
      </c>
      <c r="H93" s="42" t="s">
        <v>106</v>
      </c>
      <c r="I93" s="50">
        <v>0.73444444444444446</v>
      </c>
      <c r="J93" s="42" t="s">
        <v>105</v>
      </c>
      <c r="K93" s="42" t="s">
        <v>155</v>
      </c>
      <c r="L93" s="52">
        <v>1</v>
      </c>
      <c r="M93" s="52">
        <v>71441</v>
      </c>
      <c r="N93" s="42" t="s">
        <v>46</v>
      </c>
      <c r="O93" s="52" t="s">
        <v>107</v>
      </c>
      <c r="P93" s="54">
        <v>0</v>
      </c>
      <c r="Q93" s="52"/>
      <c r="R93" s="54">
        <v>0</v>
      </c>
      <c r="S93" s="57">
        <v>46063</v>
      </c>
      <c r="T93" s="54">
        <v>0</v>
      </c>
      <c r="U93" s="58">
        <v>4</v>
      </c>
      <c r="V93" s="54">
        <v>0</v>
      </c>
      <c r="W93" s="42" t="s">
        <v>47</v>
      </c>
      <c r="X93" s="42" t="s">
        <v>48</v>
      </c>
      <c r="Y93" s="42" t="s">
        <v>78</v>
      </c>
      <c r="Z93" s="42" t="s">
        <v>9</v>
      </c>
      <c r="AA93" s="42" t="s">
        <v>49</v>
      </c>
      <c r="AB93" s="42" t="s">
        <v>108</v>
      </c>
      <c r="AC93" s="42" t="s">
        <v>38</v>
      </c>
      <c r="AD93" s="59" t="s">
        <v>242</v>
      </c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</row>
    <row r="94" spans="1:49" ht="31.5" x14ac:dyDescent="0.2">
      <c r="A94" s="42" t="s">
        <v>74</v>
      </c>
      <c r="B94" s="44">
        <v>46064</v>
      </c>
      <c r="C94" s="44">
        <v>46064</v>
      </c>
      <c r="D94" s="42" t="s">
        <v>166</v>
      </c>
      <c r="E94" s="47">
        <v>0.45833333333333331</v>
      </c>
      <c r="F94" s="47">
        <v>0.5</v>
      </c>
      <c r="G94" s="47">
        <v>3.4722222222222218E-4</v>
      </c>
      <c r="H94" s="42" t="s">
        <v>84</v>
      </c>
      <c r="I94" s="50">
        <v>0.47745509259259261</v>
      </c>
      <c r="J94" s="42" t="s">
        <v>76</v>
      </c>
      <c r="K94" s="42" t="s">
        <v>143</v>
      </c>
      <c r="L94" s="52">
        <v>1</v>
      </c>
      <c r="M94" s="52">
        <v>71445</v>
      </c>
      <c r="N94" s="42" t="s">
        <v>53</v>
      </c>
      <c r="O94" s="52" t="s">
        <v>77</v>
      </c>
      <c r="P94" s="54">
        <v>94.117647058823522</v>
      </c>
      <c r="Q94" s="52"/>
      <c r="R94" s="54">
        <v>94.117647058823522</v>
      </c>
      <c r="S94" s="57">
        <v>46064</v>
      </c>
      <c r="T94" s="54">
        <v>14.117647058823527</v>
      </c>
      <c r="U94" s="58">
        <v>4</v>
      </c>
      <c r="V94" s="54">
        <v>80</v>
      </c>
      <c r="W94" s="42" t="s">
        <v>47</v>
      </c>
      <c r="X94" s="42" t="s">
        <v>48</v>
      </c>
      <c r="Y94" s="42" t="s">
        <v>78</v>
      </c>
      <c r="Z94" s="42" t="s">
        <v>9</v>
      </c>
      <c r="AA94" s="42" t="s">
        <v>49</v>
      </c>
      <c r="AB94" s="42" t="s">
        <v>79</v>
      </c>
      <c r="AC94" s="42" t="s">
        <v>38</v>
      </c>
      <c r="AD94" s="59" t="s">
        <v>242</v>
      </c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2" t="s">
        <v>74</v>
      </c>
      <c r="B95" s="44">
        <v>46064</v>
      </c>
      <c r="C95" s="44">
        <v>46064</v>
      </c>
      <c r="D95" s="42" t="s">
        <v>166</v>
      </c>
      <c r="E95" s="47">
        <v>0.66666666666666663</v>
      </c>
      <c r="F95" s="47">
        <v>0.79166666666666663</v>
      </c>
      <c r="G95" s="47">
        <v>3.4722222222222218E-4</v>
      </c>
      <c r="H95" s="42" t="s">
        <v>106</v>
      </c>
      <c r="I95" s="50">
        <v>0.78207175925925931</v>
      </c>
      <c r="J95" s="42" t="s">
        <v>105</v>
      </c>
      <c r="K95" s="42" t="s">
        <v>130</v>
      </c>
      <c r="L95" s="52">
        <v>1</v>
      </c>
      <c r="M95" s="52">
        <v>71441</v>
      </c>
      <c r="N95" s="42" t="s">
        <v>46</v>
      </c>
      <c r="O95" s="52" t="s">
        <v>107</v>
      </c>
      <c r="P95" s="54">
        <v>0</v>
      </c>
      <c r="Q95" s="52"/>
      <c r="R95" s="54">
        <v>0</v>
      </c>
      <c r="S95" s="57">
        <v>46064</v>
      </c>
      <c r="T95" s="54">
        <v>0</v>
      </c>
      <c r="U95" s="58">
        <v>4</v>
      </c>
      <c r="V95" s="54">
        <v>0</v>
      </c>
      <c r="W95" s="42" t="s">
        <v>47</v>
      </c>
      <c r="X95" s="42" t="s">
        <v>48</v>
      </c>
      <c r="Y95" s="42" t="s">
        <v>78</v>
      </c>
      <c r="Z95" s="42" t="s">
        <v>9</v>
      </c>
      <c r="AA95" s="42" t="s">
        <v>49</v>
      </c>
      <c r="AB95" s="42" t="s">
        <v>108</v>
      </c>
      <c r="AC95" s="42" t="s">
        <v>38</v>
      </c>
      <c r="AD95" s="59" t="s">
        <v>242</v>
      </c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5">
      <c r="A96" s="42" t="s">
        <v>74</v>
      </c>
      <c r="B96" s="44">
        <v>46065</v>
      </c>
      <c r="C96" s="44">
        <v>46065</v>
      </c>
      <c r="D96" s="42" t="s">
        <v>179</v>
      </c>
      <c r="E96" s="47">
        <v>0.45833333333333331</v>
      </c>
      <c r="F96" s="47">
        <v>0.5</v>
      </c>
      <c r="G96" s="47">
        <v>3.4722222222222218E-4</v>
      </c>
      <c r="H96" s="42" t="s">
        <v>147</v>
      </c>
      <c r="I96" s="50">
        <v>0.4628494212962963</v>
      </c>
      <c r="J96" s="42" t="s">
        <v>76</v>
      </c>
      <c r="K96" s="42" t="s">
        <v>143</v>
      </c>
      <c r="L96" s="52">
        <v>1</v>
      </c>
      <c r="M96" s="52">
        <v>71447</v>
      </c>
      <c r="N96" s="42" t="s">
        <v>53</v>
      </c>
      <c r="O96" s="52" t="s">
        <v>77</v>
      </c>
      <c r="P96" s="54">
        <v>94.117647058823522</v>
      </c>
      <c r="Q96" s="52"/>
      <c r="R96" s="54">
        <v>94.117647058823522</v>
      </c>
      <c r="S96" s="57">
        <v>46065</v>
      </c>
      <c r="T96" s="54">
        <v>14.117647058823527</v>
      </c>
      <c r="U96" s="58">
        <v>4</v>
      </c>
      <c r="V96" s="54">
        <v>80</v>
      </c>
      <c r="W96" s="42" t="s">
        <v>47</v>
      </c>
      <c r="X96" s="42" t="s">
        <v>48</v>
      </c>
      <c r="Y96" s="42" t="s">
        <v>78</v>
      </c>
      <c r="Z96" s="42" t="s">
        <v>9</v>
      </c>
      <c r="AA96" s="42" t="s">
        <v>49</v>
      </c>
      <c r="AB96" s="42" t="s">
        <v>79</v>
      </c>
      <c r="AC96" s="42" t="s">
        <v>38</v>
      </c>
      <c r="AD96" s="59" t="s">
        <v>242</v>
      </c>
      <c r="AE96" s="60"/>
      <c r="AF96" s="60"/>
      <c r="AG96" s="60"/>
      <c r="AH96" s="60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</row>
    <row r="97" spans="1:49" ht="31.5" x14ac:dyDescent="0.2">
      <c r="A97" s="42" t="s">
        <v>74</v>
      </c>
      <c r="B97" s="44">
        <v>46065</v>
      </c>
      <c r="C97" s="44">
        <v>46065</v>
      </c>
      <c r="D97" s="42" t="s">
        <v>179</v>
      </c>
      <c r="E97" s="47">
        <v>0.45833333333333331</v>
      </c>
      <c r="F97" s="47">
        <v>0.5</v>
      </c>
      <c r="G97" s="47">
        <v>3.4722222222222218E-4</v>
      </c>
      <c r="H97" s="42" t="s">
        <v>75</v>
      </c>
      <c r="I97" s="50">
        <v>0.49790833333333334</v>
      </c>
      <c r="J97" s="42" t="s">
        <v>76</v>
      </c>
      <c r="K97" s="42" t="s">
        <v>128</v>
      </c>
      <c r="L97" s="52">
        <v>1</v>
      </c>
      <c r="M97" s="52">
        <v>71446</v>
      </c>
      <c r="N97" s="42" t="s">
        <v>53</v>
      </c>
      <c r="O97" s="52" t="s">
        <v>77</v>
      </c>
      <c r="P97" s="54">
        <v>94.117647058823522</v>
      </c>
      <c r="Q97" s="52"/>
      <c r="R97" s="54">
        <v>94.117647058823522</v>
      </c>
      <c r="S97" s="57">
        <v>46065</v>
      </c>
      <c r="T97" s="54">
        <v>14.117647058823527</v>
      </c>
      <c r="U97" s="58">
        <v>4</v>
      </c>
      <c r="V97" s="54">
        <v>80</v>
      </c>
      <c r="W97" s="42" t="s">
        <v>47</v>
      </c>
      <c r="X97" s="42" t="s">
        <v>48</v>
      </c>
      <c r="Y97" s="42" t="s">
        <v>78</v>
      </c>
      <c r="Z97" s="42" t="s">
        <v>9</v>
      </c>
      <c r="AA97" s="42" t="s">
        <v>49</v>
      </c>
      <c r="AB97" s="42" t="s">
        <v>79</v>
      </c>
      <c r="AC97" s="42" t="s">
        <v>38</v>
      </c>
      <c r="AD97" s="59" t="s">
        <v>242</v>
      </c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</row>
    <row r="98" spans="1:49" ht="31.5" x14ac:dyDescent="0.25">
      <c r="A98" s="42" t="s">
        <v>74</v>
      </c>
      <c r="B98" s="44">
        <v>46065</v>
      </c>
      <c r="C98" s="44">
        <v>46065</v>
      </c>
      <c r="D98" s="42" t="s">
        <v>179</v>
      </c>
      <c r="E98" s="47">
        <v>0.66666666666666663</v>
      </c>
      <c r="F98" s="47">
        <v>0.79166666666666663</v>
      </c>
      <c r="G98" s="47">
        <v>3.4722222222222218E-4</v>
      </c>
      <c r="H98" s="42" t="s">
        <v>110</v>
      </c>
      <c r="I98" s="50">
        <v>0.76848564814814824</v>
      </c>
      <c r="J98" s="42" t="s">
        <v>105</v>
      </c>
      <c r="K98" s="42" t="s">
        <v>164</v>
      </c>
      <c r="L98" s="52">
        <v>1</v>
      </c>
      <c r="M98" s="52">
        <v>71439</v>
      </c>
      <c r="N98" s="42" t="s">
        <v>53</v>
      </c>
      <c r="O98" s="52" t="s">
        <v>107</v>
      </c>
      <c r="P98" s="54">
        <v>105.88235294117646</v>
      </c>
      <c r="Q98" s="52"/>
      <c r="R98" s="54">
        <v>105.88235294117646</v>
      </c>
      <c r="S98" s="57">
        <v>46065</v>
      </c>
      <c r="T98" s="54">
        <v>15.882352941176469</v>
      </c>
      <c r="U98" s="58">
        <v>4</v>
      </c>
      <c r="V98" s="54">
        <v>90</v>
      </c>
      <c r="W98" s="42" t="s">
        <v>47</v>
      </c>
      <c r="X98" s="42" t="s">
        <v>48</v>
      </c>
      <c r="Y98" s="42" t="s">
        <v>78</v>
      </c>
      <c r="Z98" s="42" t="s">
        <v>9</v>
      </c>
      <c r="AA98" s="42" t="s">
        <v>49</v>
      </c>
      <c r="AB98" s="42" t="s">
        <v>108</v>
      </c>
      <c r="AC98" s="42" t="s">
        <v>38</v>
      </c>
      <c r="AD98" s="59" t="s">
        <v>242</v>
      </c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</row>
    <row r="99" spans="1:49" ht="31.5" x14ac:dyDescent="0.25">
      <c r="A99" s="42" t="s">
        <v>74</v>
      </c>
      <c r="B99" s="44">
        <v>46066</v>
      </c>
      <c r="C99" s="44">
        <v>46066</v>
      </c>
      <c r="D99" s="42" t="s">
        <v>195</v>
      </c>
      <c r="E99" s="47">
        <v>0.45833333333333331</v>
      </c>
      <c r="F99" s="47">
        <v>0.5</v>
      </c>
      <c r="G99" s="47">
        <v>3.4722222222222218E-4</v>
      </c>
      <c r="H99" s="42" t="s">
        <v>84</v>
      </c>
      <c r="I99" s="50">
        <v>0.4723849537037037</v>
      </c>
      <c r="J99" s="42" t="s">
        <v>76</v>
      </c>
      <c r="K99" s="42" t="s">
        <v>143</v>
      </c>
      <c r="L99" s="52">
        <v>1</v>
      </c>
      <c r="M99" s="52">
        <v>71445</v>
      </c>
      <c r="N99" s="42" t="s">
        <v>53</v>
      </c>
      <c r="O99" s="52" t="s">
        <v>77</v>
      </c>
      <c r="P99" s="54">
        <v>94.117647058823522</v>
      </c>
      <c r="Q99" s="52"/>
      <c r="R99" s="54">
        <v>94.117647058823522</v>
      </c>
      <c r="S99" s="57">
        <v>46066</v>
      </c>
      <c r="T99" s="54">
        <v>14.117647058823527</v>
      </c>
      <c r="U99" s="58">
        <v>4</v>
      </c>
      <c r="V99" s="54">
        <v>80</v>
      </c>
      <c r="W99" s="42" t="s">
        <v>47</v>
      </c>
      <c r="X99" s="42" t="s">
        <v>48</v>
      </c>
      <c r="Y99" s="42" t="s">
        <v>78</v>
      </c>
      <c r="Z99" s="42" t="s">
        <v>9</v>
      </c>
      <c r="AA99" s="42" t="s">
        <v>49</v>
      </c>
      <c r="AB99" s="42" t="s">
        <v>79</v>
      </c>
      <c r="AC99" s="42" t="s">
        <v>38</v>
      </c>
      <c r="AD99" s="59" t="s">
        <v>242</v>
      </c>
      <c r="AE99" s="60"/>
      <c r="AF99" s="60"/>
      <c r="AG99" s="60"/>
      <c r="AH99" s="60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</row>
    <row r="100" spans="1:49" ht="31.5" x14ac:dyDescent="0.2">
      <c r="A100" s="42" t="s">
        <v>74</v>
      </c>
      <c r="B100" s="44">
        <v>46066</v>
      </c>
      <c r="C100" s="44">
        <v>46066</v>
      </c>
      <c r="D100" s="42" t="s">
        <v>195</v>
      </c>
      <c r="E100" s="47">
        <v>0.45833333333333331</v>
      </c>
      <c r="F100" s="47">
        <v>0.5</v>
      </c>
      <c r="G100" s="47">
        <v>3.4722222222222218E-4</v>
      </c>
      <c r="H100" s="42" t="s">
        <v>147</v>
      </c>
      <c r="I100" s="50">
        <v>0.4993431712962963</v>
      </c>
      <c r="J100" s="42" t="s">
        <v>76</v>
      </c>
      <c r="K100" s="42" t="s">
        <v>128</v>
      </c>
      <c r="L100" s="52">
        <v>1</v>
      </c>
      <c r="M100" s="52">
        <v>71447</v>
      </c>
      <c r="N100" s="42" t="s">
        <v>53</v>
      </c>
      <c r="O100" s="52" t="s">
        <v>77</v>
      </c>
      <c r="P100" s="54">
        <v>94.117647058823522</v>
      </c>
      <c r="Q100" s="52"/>
      <c r="R100" s="54">
        <v>94.117647058823522</v>
      </c>
      <c r="S100" s="57">
        <v>46066</v>
      </c>
      <c r="T100" s="54">
        <v>14.117647058823527</v>
      </c>
      <c r="U100" s="58">
        <v>4</v>
      </c>
      <c r="V100" s="54">
        <v>80</v>
      </c>
      <c r="W100" s="42" t="s">
        <v>47</v>
      </c>
      <c r="X100" s="42" t="s">
        <v>48</v>
      </c>
      <c r="Y100" s="42" t="s">
        <v>78</v>
      </c>
      <c r="Z100" s="42" t="s">
        <v>9</v>
      </c>
      <c r="AA100" s="42" t="s">
        <v>49</v>
      </c>
      <c r="AB100" s="42" t="s">
        <v>79</v>
      </c>
      <c r="AC100" s="42" t="s">
        <v>38</v>
      </c>
      <c r="AD100" s="59" t="s">
        <v>242</v>
      </c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</row>
    <row r="101" spans="1:49" ht="31.5" x14ac:dyDescent="0.25">
      <c r="A101" s="42" t="s">
        <v>74</v>
      </c>
      <c r="B101" s="44">
        <v>46066</v>
      </c>
      <c r="C101" s="44">
        <v>46066</v>
      </c>
      <c r="D101" s="42" t="s">
        <v>195</v>
      </c>
      <c r="E101" s="47">
        <v>0.66666666666666663</v>
      </c>
      <c r="F101" s="47">
        <v>0.79166666666666663</v>
      </c>
      <c r="G101" s="47">
        <v>3.4722222222222218E-4</v>
      </c>
      <c r="H101" s="42" t="s">
        <v>110</v>
      </c>
      <c r="I101" s="50">
        <v>0.6976420138888888</v>
      </c>
      <c r="J101" s="42" t="s">
        <v>105</v>
      </c>
      <c r="K101" s="42" t="s">
        <v>130</v>
      </c>
      <c r="L101" s="52">
        <v>1</v>
      </c>
      <c r="M101" s="52">
        <v>71439</v>
      </c>
      <c r="N101" s="42" t="s">
        <v>53</v>
      </c>
      <c r="O101" s="52" t="s">
        <v>107</v>
      </c>
      <c r="P101" s="54">
        <v>105.88235294117646</v>
      </c>
      <c r="Q101" s="52"/>
      <c r="R101" s="54">
        <v>105.88235294117646</v>
      </c>
      <c r="S101" s="57">
        <v>46066</v>
      </c>
      <c r="T101" s="54">
        <v>15.882352941176469</v>
      </c>
      <c r="U101" s="58">
        <v>4</v>
      </c>
      <c r="V101" s="54">
        <v>90</v>
      </c>
      <c r="W101" s="42" t="s">
        <v>47</v>
      </c>
      <c r="X101" s="42" t="s">
        <v>48</v>
      </c>
      <c r="Y101" s="42" t="s">
        <v>78</v>
      </c>
      <c r="Z101" s="42" t="s">
        <v>9</v>
      </c>
      <c r="AA101" s="42" t="s">
        <v>49</v>
      </c>
      <c r="AB101" s="42" t="s">
        <v>108</v>
      </c>
      <c r="AC101" s="42" t="s">
        <v>38</v>
      </c>
      <c r="AD101" s="59" t="s">
        <v>242</v>
      </c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</row>
    <row r="102" spans="1:49" ht="31.5" x14ac:dyDescent="0.2">
      <c r="A102" s="42" t="s">
        <v>74</v>
      </c>
      <c r="B102" s="44">
        <v>46067</v>
      </c>
      <c r="C102" s="44">
        <v>46067</v>
      </c>
      <c r="D102" s="42" t="s">
        <v>203</v>
      </c>
      <c r="E102" s="47">
        <v>0.45833333333333331</v>
      </c>
      <c r="F102" s="47">
        <v>0.54166666666666663</v>
      </c>
      <c r="G102" s="47">
        <v>3.4722222222222218E-4</v>
      </c>
      <c r="H102" s="42" t="s">
        <v>147</v>
      </c>
      <c r="I102" s="50">
        <v>0.48884513888888892</v>
      </c>
      <c r="J102" s="42" t="s">
        <v>76</v>
      </c>
      <c r="K102" s="42" t="s">
        <v>214</v>
      </c>
      <c r="L102" s="52">
        <v>1</v>
      </c>
      <c r="M102" s="52">
        <v>71448</v>
      </c>
      <c r="N102" s="42" t="s">
        <v>46</v>
      </c>
      <c r="O102" s="52" t="s">
        <v>77</v>
      </c>
      <c r="P102" s="54">
        <v>0</v>
      </c>
      <c r="Q102" s="52"/>
      <c r="R102" s="54">
        <v>0</v>
      </c>
      <c r="S102" s="57">
        <v>46067</v>
      </c>
      <c r="T102" s="54">
        <v>0</v>
      </c>
      <c r="U102" s="58">
        <v>4</v>
      </c>
      <c r="V102" s="54">
        <v>0</v>
      </c>
      <c r="W102" s="42" t="s">
        <v>47</v>
      </c>
      <c r="X102" s="42" t="s">
        <v>48</v>
      </c>
      <c r="Y102" s="42" t="s">
        <v>78</v>
      </c>
      <c r="Z102" s="42" t="s">
        <v>9</v>
      </c>
      <c r="AA102" s="42" t="s">
        <v>49</v>
      </c>
      <c r="AB102" s="42" t="s">
        <v>79</v>
      </c>
      <c r="AC102" s="42" t="s">
        <v>38</v>
      </c>
      <c r="AD102" s="59" t="s">
        <v>242</v>
      </c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</row>
    <row r="103" spans="1:49" ht="31.5" x14ac:dyDescent="0.25">
      <c r="A103" s="42" t="s">
        <v>74</v>
      </c>
      <c r="B103" s="44">
        <v>46068</v>
      </c>
      <c r="C103" s="44">
        <v>46068</v>
      </c>
      <c r="D103" s="42" t="s">
        <v>231</v>
      </c>
      <c r="E103" s="47">
        <v>0.66666666666666663</v>
      </c>
      <c r="F103" s="47">
        <v>0.79166666666666663</v>
      </c>
      <c r="G103" s="47">
        <v>3.4722222222222218E-4</v>
      </c>
      <c r="H103" s="42" t="s">
        <v>110</v>
      </c>
      <c r="I103" s="50">
        <v>0.69574085648148154</v>
      </c>
      <c r="J103" s="42" t="s">
        <v>105</v>
      </c>
      <c r="K103" s="42" t="s">
        <v>176</v>
      </c>
      <c r="L103" s="52">
        <v>1</v>
      </c>
      <c r="M103" s="52">
        <v>71440</v>
      </c>
      <c r="N103" s="42" t="s">
        <v>46</v>
      </c>
      <c r="O103" s="52" t="s">
        <v>107</v>
      </c>
      <c r="P103" s="54">
        <v>0</v>
      </c>
      <c r="Q103" s="52"/>
      <c r="R103" s="54">
        <v>0</v>
      </c>
      <c r="S103" s="57">
        <v>46068</v>
      </c>
      <c r="T103" s="54">
        <v>0</v>
      </c>
      <c r="U103" s="58">
        <v>4</v>
      </c>
      <c r="V103" s="54">
        <v>0</v>
      </c>
      <c r="W103" s="42" t="s">
        <v>47</v>
      </c>
      <c r="X103" s="42" t="s">
        <v>48</v>
      </c>
      <c r="Y103" s="42" t="s">
        <v>78</v>
      </c>
      <c r="Z103" s="42" t="s">
        <v>9</v>
      </c>
      <c r="AA103" s="42" t="s">
        <v>49</v>
      </c>
      <c r="AB103" s="42" t="s">
        <v>108</v>
      </c>
      <c r="AC103" s="42" t="s">
        <v>38</v>
      </c>
      <c r="AD103" s="59" t="s">
        <v>242</v>
      </c>
      <c r="AE103" s="60"/>
      <c r="AF103" s="60"/>
      <c r="AG103" s="60"/>
      <c r="AH103" s="60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</row>
    <row r="104" spans="1:49" ht="31.5" x14ac:dyDescent="0.2">
      <c r="A104" s="43" t="s">
        <v>224</v>
      </c>
      <c r="B104" s="45">
        <v>46067</v>
      </c>
      <c r="C104" s="45">
        <v>46067</v>
      </c>
      <c r="D104" s="46" t="s">
        <v>203</v>
      </c>
      <c r="E104" s="48">
        <v>0.625</v>
      </c>
      <c r="F104" s="48">
        <v>0.66666666666666663</v>
      </c>
      <c r="G104" s="48">
        <v>4.1666666666666664E-2</v>
      </c>
      <c r="H104" s="43" t="s">
        <v>224</v>
      </c>
      <c r="I104" s="51"/>
      <c r="J104" s="43" t="s">
        <v>96</v>
      </c>
      <c r="K104" s="43" t="s">
        <v>224</v>
      </c>
      <c r="L104" s="53">
        <v>1</v>
      </c>
      <c r="M104" s="53">
        <v>1</v>
      </c>
      <c r="N104" s="43" t="s">
        <v>33</v>
      </c>
      <c r="O104" s="43"/>
      <c r="P104" s="55">
        <v>0</v>
      </c>
      <c r="Q104" s="53"/>
      <c r="R104" s="55">
        <v>0</v>
      </c>
      <c r="S104" s="43">
        <v>46067</v>
      </c>
      <c r="T104" s="55">
        <v>0</v>
      </c>
      <c r="U104" s="53">
        <v>1</v>
      </c>
      <c r="V104" s="55">
        <v>0</v>
      </c>
      <c r="W104" s="43" t="s">
        <v>34</v>
      </c>
      <c r="X104" s="43" t="s">
        <v>42</v>
      </c>
      <c r="Y104" s="43" t="s">
        <v>78</v>
      </c>
      <c r="Z104" s="43" t="s">
        <v>68</v>
      </c>
      <c r="AA104" s="43" t="s">
        <v>37</v>
      </c>
      <c r="AB104" s="43" t="s">
        <v>37</v>
      </c>
      <c r="AC104" s="43" t="s">
        <v>38</v>
      </c>
      <c r="AD104" s="59" t="s">
        <v>242</v>
      </c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2" t="s">
        <v>204</v>
      </c>
      <c r="B105" s="44">
        <v>46067</v>
      </c>
      <c r="C105" s="44">
        <v>46067</v>
      </c>
      <c r="D105" s="42" t="s">
        <v>203</v>
      </c>
      <c r="E105" s="47">
        <v>0.25</v>
      </c>
      <c r="F105" s="47">
        <v>0.875</v>
      </c>
      <c r="G105" s="47">
        <v>1.7361111111111109E-4</v>
      </c>
      <c r="H105" s="42" t="s">
        <v>205</v>
      </c>
      <c r="I105" s="50">
        <v>0.2833134259259259</v>
      </c>
      <c r="J105" s="42" t="s">
        <v>41</v>
      </c>
      <c r="K105" s="42" t="s">
        <v>40</v>
      </c>
      <c r="L105" s="52">
        <v>1</v>
      </c>
      <c r="M105" s="52">
        <v>71977</v>
      </c>
      <c r="N105" s="42" t="s">
        <v>53</v>
      </c>
      <c r="O105" s="52" t="s">
        <v>206</v>
      </c>
      <c r="P105" s="54">
        <v>0</v>
      </c>
      <c r="Q105" s="52"/>
      <c r="R105" s="54">
        <v>90</v>
      </c>
      <c r="S105" s="57">
        <v>46054</v>
      </c>
      <c r="T105" s="54">
        <v>0</v>
      </c>
      <c r="U105" s="58">
        <v>4</v>
      </c>
      <c r="V105" s="54">
        <v>0</v>
      </c>
      <c r="W105" s="42" t="s">
        <v>47</v>
      </c>
      <c r="X105" s="42" t="s">
        <v>48</v>
      </c>
      <c r="Y105" s="42" t="s">
        <v>36</v>
      </c>
      <c r="Z105" s="42" t="s">
        <v>43</v>
      </c>
      <c r="AA105" s="42" t="s">
        <v>49</v>
      </c>
      <c r="AB105" s="42" t="s">
        <v>207</v>
      </c>
      <c r="AC105" s="42" t="s">
        <v>38</v>
      </c>
      <c r="AD105" s="59" t="s">
        <v>242</v>
      </c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5">
      <c r="A106" s="42" t="s">
        <v>204</v>
      </c>
      <c r="B106" s="44">
        <v>46067</v>
      </c>
      <c r="C106" s="44">
        <v>46067</v>
      </c>
      <c r="D106" s="42" t="s">
        <v>203</v>
      </c>
      <c r="E106" s="47">
        <v>0.25</v>
      </c>
      <c r="F106" s="47">
        <v>0.875</v>
      </c>
      <c r="G106" s="47">
        <v>1.7361111111111109E-4</v>
      </c>
      <c r="H106" s="42" t="s">
        <v>205</v>
      </c>
      <c r="I106" s="50">
        <v>0.28958483796296297</v>
      </c>
      <c r="J106" s="42" t="s">
        <v>41</v>
      </c>
      <c r="K106" s="42" t="s">
        <v>40</v>
      </c>
      <c r="L106" s="52">
        <v>1</v>
      </c>
      <c r="M106" s="52">
        <v>71977</v>
      </c>
      <c r="N106" s="42" t="s">
        <v>53</v>
      </c>
      <c r="O106" s="52" t="s">
        <v>206</v>
      </c>
      <c r="P106" s="54">
        <v>0</v>
      </c>
      <c r="Q106" s="52"/>
      <c r="R106" s="54">
        <v>90</v>
      </c>
      <c r="S106" s="57">
        <v>46054</v>
      </c>
      <c r="T106" s="54">
        <v>0</v>
      </c>
      <c r="U106" s="58">
        <v>4</v>
      </c>
      <c r="V106" s="54">
        <v>0</v>
      </c>
      <c r="W106" s="42" t="s">
        <v>47</v>
      </c>
      <c r="X106" s="42" t="s">
        <v>48</v>
      </c>
      <c r="Y106" s="42" t="s">
        <v>36</v>
      </c>
      <c r="Z106" s="42" t="s">
        <v>43</v>
      </c>
      <c r="AA106" s="42" t="s">
        <v>49</v>
      </c>
      <c r="AB106" s="42" t="s">
        <v>207</v>
      </c>
      <c r="AC106" s="42" t="s">
        <v>38</v>
      </c>
      <c r="AD106" s="59" t="s">
        <v>242</v>
      </c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</row>
    <row r="107" spans="1:49" ht="31.5" x14ac:dyDescent="0.25">
      <c r="A107" s="42" t="s">
        <v>204</v>
      </c>
      <c r="B107" s="44">
        <v>46067</v>
      </c>
      <c r="C107" s="44">
        <v>46067</v>
      </c>
      <c r="D107" s="42" t="s">
        <v>203</v>
      </c>
      <c r="E107" s="47">
        <v>0.25</v>
      </c>
      <c r="F107" s="47">
        <v>0.875</v>
      </c>
      <c r="G107" s="47">
        <v>1.7361111111111109E-4</v>
      </c>
      <c r="H107" s="42" t="s">
        <v>205</v>
      </c>
      <c r="I107" s="50">
        <v>0.87468946759259258</v>
      </c>
      <c r="J107" s="42" t="s">
        <v>41</v>
      </c>
      <c r="K107" s="42" t="s">
        <v>165</v>
      </c>
      <c r="L107" s="52">
        <v>1</v>
      </c>
      <c r="M107" s="52">
        <v>71977</v>
      </c>
      <c r="N107" s="42" t="s">
        <v>53</v>
      </c>
      <c r="O107" s="52" t="s">
        <v>206</v>
      </c>
      <c r="P107" s="54">
        <v>0</v>
      </c>
      <c r="Q107" s="52"/>
      <c r="R107" s="54">
        <v>90</v>
      </c>
      <c r="S107" s="57">
        <v>46054</v>
      </c>
      <c r="T107" s="54">
        <v>0</v>
      </c>
      <c r="U107" s="58">
        <v>4</v>
      </c>
      <c r="V107" s="54">
        <v>0</v>
      </c>
      <c r="W107" s="42" t="s">
        <v>47</v>
      </c>
      <c r="X107" s="42" t="s">
        <v>48</v>
      </c>
      <c r="Y107" s="42" t="s">
        <v>36</v>
      </c>
      <c r="Z107" s="42" t="s">
        <v>43</v>
      </c>
      <c r="AA107" s="42" t="s">
        <v>49</v>
      </c>
      <c r="AB107" s="42" t="s">
        <v>207</v>
      </c>
      <c r="AC107" s="42" t="s">
        <v>38</v>
      </c>
      <c r="AD107" s="59" t="s">
        <v>242</v>
      </c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</row>
    <row r="108" spans="1:49" ht="31.5" x14ac:dyDescent="0.25">
      <c r="A108" s="42" t="s">
        <v>204</v>
      </c>
      <c r="B108" s="44">
        <v>46067</v>
      </c>
      <c r="C108" s="44">
        <v>46067</v>
      </c>
      <c r="D108" s="42" t="s">
        <v>203</v>
      </c>
      <c r="E108" s="47">
        <v>0.45833333333333331</v>
      </c>
      <c r="F108" s="47">
        <v>0.5</v>
      </c>
      <c r="G108" s="47">
        <v>1.7361111111111109E-4</v>
      </c>
      <c r="H108" s="42" t="s">
        <v>212</v>
      </c>
      <c r="I108" s="50">
        <v>0.46341736111111115</v>
      </c>
      <c r="J108" s="42" t="s">
        <v>76</v>
      </c>
      <c r="K108" s="42" t="s">
        <v>143</v>
      </c>
      <c r="L108" s="52">
        <v>1</v>
      </c>
      <c r="M108" s="52">
        <v>71978</v>
      </c>
      <c r="N108" s="42" t="s">
        <v>53</v>
      </c>
      <c r="O108" s="52" t="s">
        <v>206</v>
      </c>
      <c r="P108" s="54">
        <v>0</v>
      </c>
      <c r="Q108" s="52"/>
      <c r="R108" s="54">
        <v>90</v>
      </c>
      <c r="S108" s="57">
        <v>46054</v>
      </c>
      <c r="T108" s="54">
        <v>0</v>
      </c>
      <c r="U108" s="58">
        <v>4</v>
      </c>
      <c r="V108" s="54">
        <v>0</v>
      </c>
      <c r="W108" s="42" t="s">
        <v>47</v>
      </c>
      <c r="X108" s="42" t="s">
        <v>48</v>
      </c>
      <c r="Y108" s="42" t="s">
        <v>36</v>
      </c>
      <c r="Z108" s="42" t="s">
        <v>43</v>
      </c>
      <c r="AA108" s="42" t="s">
        <v>49</v>
      </c>
      <c r="AB108" s="42" t="s">
        <v>207</v>
      </c>
      <c r="AC108" s="42" t="s">
        <v>38</v>
      </c>
      <c r="AD108" s="59" t="s">
        <v>242</v>
      </c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</row>
    <row r="109" spans="1:49" ht="31.5" x14ac:dyDescent="0.2">
      <c r="A109" s="42" t="s">
        <v>204</v>
      </c>
      <c r="B109" s="44">
        <v>46067</v>
      </c>
      <c r="C109" s="44">
        <v>46067</v>
      </c>
      <c r="D109" s="42" t="s">
        <v>203</v>
      </c>
      <c r="E109" s="47">
        <v>0.45833333333333331</v>
      </c>
      <c r="F109" s="47">
        <v>0.5</v>
      </c>
      <c r="G109" s="47">
        <v>1.7361111111111109E-4</v>
      </c>
      <c r="H109" s="42" t="s">
        <v>212</v>
      </c>
      <c r="I109" s="50">
        <v>0.47883287037037042</v>
      </c>
      <c r="J109" s="42" t="s">
        <v>76</v>
      </c>
      <c r="K109" s="42" t="s">
        <v>143</v>
      </c>
      <c r="L109" s="52">
        <v>1</v>
      </c>
      <c r="M109" s="52">
        <v>71978</v>
      </c>
      <c r="N109" s="42" t="s">
        <v>53</v>
      </c>
      <c r="O109" s="52" t="s">
        <v>206</v>
      </c>
      <c r="P109" s="54">
        <v>0</v>
      </c>
      <c r="Q109" s="52"/>
      <c r="R109" s="54">
        <v>90</v>
      </c>
      <c r="S109" s="57">
        <v>46054</v>
      </c>
      <c r="T109" s="54">
        <v>0</v>
      </c>
      <c r="U109" s="58">
        <v>4</v>
      </c>
      <c r="V109" s="54">
        <v>0</v>
      </c>
      <c r="W109" s="42" t="s">
        <v>47</v>
      </c>
      <c r="X109" s="42" t="s">
        <v>48</v>
      </c>
      <c r="Y109" s="42" t="s">
        <v>36</v>
      </c>
      <c r="Z109" s="42" t="s">
        <v>43</v>
      </c>
      <c r="AA109" s="42" t="s">
        <v>49</v>
      </c>
      <c r="AB109" s="42" t="s">
        <v>207</v>
      </c>
      <c r="AC109" s="42" t="s">
        <v>38</v>
      </c>
      <c r="AD109" s="59" t="s">
        <v>242</v>
      </c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">
      <c r="A110" s="42" t="s">
        <v>204</v>
      </c>
      <c r="B110" s="44">
        <v>46067</v>
      </c>
      <c r="C110" s="44">
        <v>46067</v>
      </c>
      <c r="D110" s="42" t="s">
        <v>203</v>
      </c>
      <c r="E110" s="47">
        <v>0.45833333333333331</v>
      </c>
      <c r="F110" s="47">
        <v>0.5</v>
      </c>
      <c r="G110" s="47">
        <v>1.7361111111111109E-4</v>
      </c>
      <c r="H110" s="42" t="s">
        <v>212</v>
      </c>
      <c r="I110" s="50">
        <v>0.48449178240740737</v>
      </c>
      <c r="J110" s="42" t="s">
        <v>76</v>
      </c>
      <c r="K110" s="42" t="s">
        <v>214</v>
      </c>
      <c r="L110" s="52">
        <v>1</v>
      </c>
      <c r="M110" s="52">
        <v>71978</v>
      </c>
      <c r="N110" s="42" t="s">
        <v>53</v>
      </c>
      <c r="O110" s="52" t="s">
        <v>206</v>
      </c>
      <c r="P110" s="54">
        <v>0</v>
      </c>
      <c r="Q110" s="52"/>
      <c r="R110" s="54">
        <v>90</v>
      </c>
      <c r="S110" s="57">
        <v>46054</v>
      </c>
      <c r="T110" s="54">
        <v>0</v>
      </c>
      <c r="U110" s="58">
        <v>4</v>
      </c>
      <c r="V110" s="54">
        <v>0</v>
      </c>
      <c r="W110" s="42" t="s">
        <v>47</v>
      </c>
      <c r="X110" s="42" t="s">
        <v>48</v>
      </c>
      <c r="Y110" s="42" t="s">
        <v>36</v>
      </c>
      <c r="Z110" s="42" t="s">
        <v>43</v>
      </c>
      <c r="AA110" s="42" t="s">
        <v>49</v>
      </c>
      <c r="AB110" s="42" t="s">
        <v>207</v>
      </c>
      <c r="AC110" s="42" t="s">
        <v>38</v>
      </c>
      <c r="AD110" s="59" t="s">
        <v>242</v>
      </c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5">
      <c r="A111" s="42" t="s">
        <v>204</v>
      </c>
      <c r="B111" s="44">
        <v>46068</v>
      </c>
      <c r="C111" s="44">
        <v>46068</v>
      </c>
      <c r="D111" s="42" t="s">
        <v>231</v>
      </c>
      <c r="E111" s="47">
        <v>0.25</v>
      </c>
      <c r="F111" s="47">
        <v>0.875</v>
      </c>
      <c r="G111" s="47">
        <v>1.7361111111111109E-4</v>
      </c>
      <c r="H111" s="42" t="s">
        <v>205</v>
      </c>
      <c r="I111" s="50">
        <v>0.86523148148148143</v>
      </c>
      <c r="J111" s="42" t="s">
        <v>41</v>
      </c>
      <c r="K111" s="42" t="s">
        <v>165</v>
      </c>
      <c r="L111" s="52">
        <v>1</v>
      </c>
      <c r="M111" s="52">
        <v>71977</v>
      </c>
      <c r="N111" s="42" t="s">
        <v>53</v>
      </c>
      <c r="O111" s="52" t="s">
        <v>206</v>
      </c>
      <c r="P111" s="54">
        <v>0</v>
      </c>
      <c r="Q111" s="52"/>
      <c r="R111" s="54">
        <v>90</v>
      </c>
      <c r="S111" s="57">
        <v>46054</v>
      </c>
      <c r="T111" s="54">
        <v>0</v>
      </c>
      <c r="U111" s="58">
        <v>4</v>
      </c>
      <c r="V111" s="54">
        <v>0</v>
      </c>
      <c r="W111" s="42" t="s">
        <v>47</v>
      </c>
      <c r="X111" s="42" t="s">
        <v>48</v>
      </c>
      <c r="Y111" s="42" t="s">
        <v>36</v>
      </c>
      <c r="Z111" s="42" t="s">
        <v>43</v>
      </c>
      <c r="AA111" s="42" t="s">
        <v>49</v>
      </c>
      <c r="AB111" s="42" t="s">
        <v>207</v>
      </c>
      <c r="AC111" s="42" t="s">
        <v>38</v>
      </c>
      <c r="AD111" s="59" t="s">
        <v>242</v>
      </c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</row>
    <row r="112" spans="1:49" ht="31.5" x14ac:dyDescent="0.25">
      <c r="A112" s="42" t="s">
        <v>204</v>
      </c>
      <c r="B112" s="44">
        <v>46068</v>
      </c>
      <c r="C112" s="44">
        <v>46068</v>
      </c>
      <c r="D112" s="42" t="s">
        <v>231</v>
      </c>
      <c r="E112" s="47">
        <v>0.45833333333333331</v>
      </c>
      <c r="F112" s="47">
        <v>0.5</v>
      </c>
      <c r="G112" s="47">
        <v>1.7361111111111109E-4</v>
      </c>
      <c r="H112" s="42" t="s">
        <v>212</v>
      </c>
      <c r="I112" s="50">
        <v>0.46652986111111111</v>
      </c>
      <c r="J112" s="42" t="s">
        <v>76</v>
      </c>
      <c r="K112" s="42" t="s">
        <v>72</v>
      </c>
      <c r="L112" s="52">
        <v>1</v>
      </c>
      <c r="M112" s="52">
        <v>71978</v>
      </c>
      <c r="N112" s="42" t="s">
        <v>53</v>
      </c>
      <c r="O112" s="52" t="s">
        <v>206</v>
      </c>
      <c r="P112" s="54">
        <v>0</v>
      </c>
      <c r="Q112" s="52"/>
      <c r="R112" s="54">
        <v>90</v>
      </c>
      <c r="S112" s="57">
        <v>46054</v>
      </c>
      <c r="T112" s="54">
        <v>0</v>
      </c>
      <c r="U112" s="58">
        <v>4</v>
      </c>
      <c r="V112" s="54">
        <v>0</v>
      </c>
      <c r="W112" s="42" t="s">
        <v>47</v>
      </c>
      <c r="X112" s="42" t="s">
        <v>48</v>
      </c>
      <c r="Y112" s="42" t="s">
        <v>36</v>
      </c>
      <c r="Z112" s="42" t="s">
        <v>43</v>
      </c>
      <c r="AA112" s="42" t="s">
        <v>49</v>
      </c>
      <c r="AB112" s="42" t="s">
        <v>207</v>
      </c>
      <c r="AC112" s="42" t="s">
        <v>38</v>
      </c>
      <c r="AD112" s="59" t="s">
        <v>242</v>
      </c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</row>
    <row r="113" spans="1:49" ht="31.5" x14ac:dyDescent="0.2">
      <c r="A113" s="42" t="s">
        <v>204</v>
      </c>
      <c r="B113" s="44">
        <v>46068</v>
      </c>
      <c r="C113" s="44">
        <v>46068</v>
      </c>
      <c r="D113" s="42" t="s">
        <v>231</v>
      </c>
      <c r="E113" s="47">
        <v>0.45833333333333331</v>
      </c>
      <c r="F113" s="47">
        <v>0.5</v>
      </c>
      <c r="G113" s="47">
        <v>1.7361111111111109E-4</v>
      </c>
      <c r="H113" s="42" t="s">
        <v>212</v>
      </c>
      <c r="I113" s="50">
        <v>0.48883275462962966</v>
      </c>
      <c r="J113" s="42" t="s">
        <v>76</v>
      </c>
      <c r="K113" s="42" t="s">
        <v>128</v>
      </c>
      <c r="L113" s="52">
        <v>1</v>
      </c>
      <c r="M113" s="52">
        <v>71978</v>
      </c>
      <c r="N113" s="42" t="s">
        <v>53</v>
      </c>
      <c r="O113" s="52" t="s">
        <v>206</v>
      </c>
      <c r="P113" s="54">
        <v>0</v>
      </c>
      <c r="Q113" s="52"/>
      <c r="R113" s="54">
        <v>90</v>
      </c>
      <c r="S113" s="57">
        <v>46054</v>
      </c>
      <c r="T113" s="54">
        <v>0</v>
      </c>
      <c r="U113" s="58">
        <v>4</v>
      </c>
      <c r="V113" s="54">
        <v>0</v>
      </c>
      <c r="W113" s="42" t="s">
        <v>47</v>
      </c>
      <c r="X113" s="42" t="s">
        <v>48</v>
      </c>
      <c r="Y113" s="42" t="s">
        <v>36</v>
      </c>
      <c r="Z113" s="42" t="s">
        <v>43</v>
      </c>
      <c r="AA113" s="42" t="s">
        <v>49</v>
      </c>
      <c r="AB113" s="42" t="s">
        <v>207</v>
      </c>
      <c r="AC113" s="42" t="s">
        <v>38</v>
      </c>
      <c r="AD113" s="59" t="s">
        <v>242</v>
      </c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</row>
    <row r="114" spans="1:49" ht="31.5" x14ac:dyDescent="0.2">
      <c r="A114" s="42" t="s">
        <v>204</v>
      </c>
      <c r="B114" s="44">
        <v>46068</v>
      </c>
      <c r="C114" s="44">
        <v>46068</v>
      </c>
      <c r="D114" s="42" t="s">
        <v>231</v>
      </c>
      <c r="E114" s="47">
        <v>0.45833333333333331</v>
      </c>
      <c r="F114" s="47">
        <v>0.5</v>
      </c>
      <c r="G114" s="47">
        <v>1.7361111111111109E-4</v>
      </c>
      <c r="H114" s="42" t="s">
        <v>212</v>
      </c>
      <c r="I114" s="50">
        <v>0.49469039351851851</v>
      </c>
      <c r="J114" s="42" t="s">
        <v>76</v>
      </c>
      <c r="K114" s="42" t="s">
        <v>128</v>
      </c>
      <c r="L114" s="52">
        <v>1</v>
      </c>
      <c r="M114" s="52">
        <v>71978</v>
      </c>
      <c r="N114" s="42" t="s">
        <v>53</v>
      </c>
      <c r="O114" s="52" t="s">
        <v>206</v>
      </c>
      <c r="P114" s="54">
        <v>0</v>
      </c>
      <c r="Q114" s="52"/>
      <c r="R114" s="54">
        <v>90</v>
      </c>
      <c r="S114" s="57">
        <v>46054</v>
      </c>
      <c r="T114" s="54">
        <v>0</v>
      </c>
      <c r="U114" s="58">
        <v>4</v>
      </c>
      <c r="V114" s="54">
        <v>0</v>
      </c>
      <c r="W114" s="42" t="s">
        <v>47</v>
      </c>
      <c r="X114" s="42" t="s">
        <v>48</v>
      </c>
      <c r="Y114" s="42" t="s">
        <v>36</v>
      </c>
      <c r="Z114" s="42" t="s">
        <v>43</v>
      </c>
      <c r="AA114" s="42" t="s">
        <v>49</v>
      </c>
      <c r="AB114" s="42" t="s">
        <v>207</v>
      </c>
      <c r="AC114" s="42" t="s">
        <v>38</v>
      </c>
      <c r="AD114" s="59" t="s">
        <v>242</v>
      </c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</row>
    <row r="115" spans="1:49" ht="31.5" x14ac:dyDescent="0.25">
      <c r="A115" s="42" t="s">
        <v>144</v>
      </c>
      <c r="B115" s="44">
        <v>46063</v>
      </c>
      <c r="C115" s="44">
        <v>46063</v>
      </c>
      <c r="D115" s="42" t="s">
        <v>132</v>
      </c>
      <c r="E115" s="47">
        <v>0.45833333333333331</v>
      </c>
      <c r="F115" s="47">
        <v>0.47916666666666669</v>
      </c>
      <c r="G115" s="47">
        <v>1.7361111111111109E-4</v>
      </c>
      <c r="H115" s="42" t="s">
        <v>145</v>
      </c>
      <c r="I115" s="50">
        <v>0.46429398148148149</v>
      </c>
      <c r="J115" s="42" t="s">
        <v>76</v>
      </c>
      <c r="K115" s="42" t="s">
        <v>143</v>
      </c>
      <c r="L115" s="52">
        <v>1</v>
      </c>
      <c r="M115" s="52">
        <v>70008</v>
      </c>
      <c r="N115" s="42" t="s">
        <v>53</v>
      </c>
      <c r="O115" s="52" t="s">
        <v>146</v>
      </c>
      <c r="P115" s="54">
        <v>64.705882352941174</v>
      </c>
      <c r="Q115" s="52"/>
      <c r="R115" s="54">
        <v>64.705882352941174</v>
      </c>
      <c r="S115" s="57">
        <v>46054</v>
      </c>
      <c r="T115" s="54">
        <v>9.7058823529411757</v>
      </c>
      <c r="U115" s="58">
        <v>4</v>
      </c>
      <c r="V115" s="54">
        <v>55</v>
      </c>
      <c r="W115" s="42" t="s">
        <v>47</v>
      </c>
      <c r="X115" s="42" t="s">
        <v>48</v>
      </c>
      <c r="Y115" s="42" t="s">
        <v>36</v>
      </c>
      <c r="Z115" s="42" t="s">
        <v>9</v>
      </c>
      <c r="AA115" s="42" t="s">
        <v>49</v>
      </c>
      <c r="AB115" s="42">
        <v>2373</v>
      </c>
      <c r="AC115" s="42" t="s">
        <v>38</v>
      </c>
      <c r="AD115" s="59" t="s">
        <v>242</v>
      </c>
      <c r="AE115" s="60"/>
      <c r="AF115" s="60"/>
      <c r="AG115" s="60"/>
      <c r="AH115" s="60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</row>
    <row r="116" spans="1:49" ht="31.5" x14ac:dyDescent="0.2">
      <c r="A116" s="42" t="s">
        <v>144</v>
      </c>
      <c r="B116" s="44">
        <v>46063</v>
      </c>
      <c r="C116" s="44">
        <v>46063</v>
      </c>
      <c r="D116" s="42" t="s">
        <v>132</v>
      </c>
      <c r="E116" s="47">
        <v>0.45833333333333331</v>
      </c>
      <c r="F116" s="47">
        <v>0.54166666666666663</v>
      </c>
      <c r="G116" s="47">
        <v>1.7361111111111109E-4</v>
      </c>
      <c r="H116" s="42" t="s">
        <v>145</v>
      </c>
      <c r="I116" s="50">
        <v>0.49777777777777776</v>
      </c>
      <c r="J116" s="42" t="s">
        <v>76</v>
      </c>
      <c r="K116" s="42" t="s">
        <v>128</v>
      </c>
      <c r="L116" s="52">
        <v>1</v>
      </c>
      <c r="M116" s="52">
        <v>70036</v>
      </c>
      <c r="N116" s="42" t="s">
        <v>46</v>
      </c>
      <c r="O116" s="52" t="s">
        <v>146</v>
      </c>
      <c r="P116" s="54">
        <v>0</v>
      </c>
      <c r="Q116" s="52"/>
      <c r="R116" s="54">
        <v>0</v>
      </c>
      <c r="S116" s="57">
        <v>46054</v>
      </c>
      <c r="T116" s="54">
        <v>0</v>
      </c>
      <c r="U116" s="58">
        <v>4</v>
      </c>
      <c r="V116" s="54">
        <v>0</v>
      </c>
      <c r="W116" s="42" t="s">
        <v>47</v>
      </c>
      <c r="X116" s="42" t="s">
        <v>48</v>
      </c>
      <c r="Y116" s="42" t="s">
        <v>36</v>
      </c>
      <c r="Z116" s="42" t="s">
        <v>9</v>
      </c>
      <c r="AA116" s="42" t="s">
        <v>49</v>
      </c>
      <c r="AB116" s="42">
        <v>2373</v>
      </c>
      <c r="AC116" s="42" t="s">
        <v>38</v>
      </c>
      <c r="AD116" s="59" t="s">
        <v>242</v>
      </c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</row>
    <row r="117" spans="1:49" ht="31.5" x14ac:dyDescent="0.25">
      <c r="A117" s="42" t="s">
        <v>144</v>
      </c>
      <c r="B117" s="44">
        <v>46063</v>
      </c>
      <c r="C117" s="44">
        <v>46063</v>
      </c>
      <c r="D117" s="42" t="s">
        <v>132</v>
      </c>
      <c r="E117" s="47">
        <v>0.45833333333333331</v>
      </c>
      <c r="F117" s="47">
        <v>0.54166666666666663</v>
      </c>
      <c r="G117" s="47">
        <v>1.7361111111111109E-4</v>
      </c>
      <c r="H117" s="42" t="s">
        <v>148</v>
      </c>
      <c r="I117" s="50">
        <v>0.51192129629629635</v>
      </c>
      <c r="J117" s="42" t="s">
        <v>76</v>
      </c>
      <c r="K117" s="42" t="s">
        <v>129</v>
      </c>
      <c r="L117" s="52">
        <v>1</v>
      </c>
      <c r="M117" s="52">
        <v>70036</v>
      </c>
      <c r="N117" s="42" t="s">
        <v>46</v>
      </c>
      <c r="O117" s="52" t="s">
        <v>146</v>
      </c>
      <c r="P117" s="54">
        <v>0</v>
      </c>
      <c r="Q117" s="52"/>
      <c r="R117" s="54">
        <v>0</v>
      </c>
      <c r="S117" s="57">
        <v>46054</v>
      </c>
      <c r="T117" s="54">
        <v>0</v>
      </c>
      <c r="U117" s="58">
        <v>4</v>
      </c>
      <c r="V117" s="54">
        <v>0</v>
      </c>
      <c r="W117" s="42" t="s">
        <v>47</v>
      </c>
      <c r="X117" s="42" t="s">
        <v>48</v>
      </c>
      <c r="Y117" s="42" t="s">
        <v>36</v>
      </c>
      <c r="Z117" s="42" t="s">
        <v>9</v>
      </c>
      <c r="AA117" s="42" t="s">
        <v>49</v>
      </c>
      <c r="AB117" s="42">
        <v>2373</v>
      </c>
      <c r="AC117" s="42" t="s">
        <v>38</v>
      </c>
      <c r="AD117" s="59" t="s">
        <v>242</v>
      </c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</row>
    <row r="118" spans="1:49" ht="31.5" x14ac:dyDescent="0.25">
      <c r="A118" s="42" t="s">
        <v>144</v>
      </c>
      <c r="B118" s="44">
        <v>46063</v>
      </c>
      <c r="C118" s="44">
        <v>46063</v>
      </c>
      <c r="D118" s="42" t="s">
        <v>132</v>
      </c>
      <c r="E118" s="47">
        <v>0.47916666666666669</v>
      </c>
      <c r="F118" s="47">
        <v>0.5</v>
      </c>
      <c r="G118" s="47">
        <v>1.7361111111111109E-4</v>
      </c>
      <c r="H118" s="42" t="s">
        <v>148</v>
      </c>
      <c r="I118" s="50">
        <v>0.48792824074074076</v>
      </c>
      <c r="J118" s="42" t="s">
        <v>76</v>
      </c>
      <c r="K118" s="42" t="s">
        <v>128</v>
      </c>
      <c r="L118" s="52">
        <v>1</v>
      </c>
      <c r="M118" s="52">
        <v>70009</v>
      </c>
      <c r="N118" s="42" t="s">
        <v>53</v>
      </c>
      <c r="O118" s="52" t="s">
        <v>146</v>
      </c>
      <c r="P118" s="54">
        <v>64.705882352941174</v>
      </c>
      <c r="Q118" s="52"/>
      <c r="R118" s="54">
        <v>64.705882352941174</v>
      </c>
      <c r="S118" s="57">
        <v>46054</v>
      </c>
      <c r="T118" s="54">
        <v>9.7058823529411757</v>
      </c>
      <c r="U118" s="58">
        <v>4</v>
      </c>
      <c r="V118" s="54">
        <v>55</v>
      </c>
      <c r="W118" s="42" t="s">
        <v>47</v>
      </c>
      <c r="X118" s="42" t="s">
        <v>48</v>
      </c>
      <c r="Y118" s="42" t="s">
        <v>36</v>
      </c>
      <c r="Z118" s="42" t="s">
        <v>9</v>
      </c>
      <c r="AA118" s="42" t="s">
        <v>49</v>
      </c>
      <c r="AB118" s="42">
        <v>2373</v>
      </c>
      <c r="AC118" s="42" t="s">
        <v>38</v>
      </c>
      <c r="AD118" s="59" t="s">
        <v>242</v>
      </c>
      <c r="AE118" s="60"/>
      <c r="AF118" s="60"/>
      <c r="AG118" s="60"/>
      <c r="AH118" s="60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</row>
    <row r="119" spans="1:49" ht="31.5" x14ac:dyDescent="0.25">
      <c r="A119" s="42" t="s">
        <v>144</v>
      </c>
      <c r="B119" s="44">
        <v>46063</v>
      </c>
      <c r="C119" s="44">
        <v>46063</v>
      </c>
      <c r="D119" s="42" t="s">
        <v>132</v>
      </c>
      <c r="E119" s="47">
        <v>0.5</v>
      </c>
      <c r="F119" s="47">
        <v>0.54166666666666663</v>
      </c>
      <c r="G119" s="47">
        <v>1.7361111111111109E-4</v>
      </c>
      <c r="H119" s="42" t="s">
        <v>145</v>
      </c>
      <c r="I119" s="50">
        <v>0.52589120370370368</v>
      </c>
      <c r="J119" s="42" t="s">
        <v>76</v>
      </c>
      <c r="K119" s="42" t="s">
        <v>129</v>
      </c>
      <c r="L119" s="52">
        <v>1</v>
      </c>
      <c r="M119" s="52">
        <v>70011</v>
      </c>
      <c r="N119" s="42" t="s">
        <v>53</v>
      </c>
      <c r="O119" s="52" t="s">
        <v>146</v>
      </c>
      <c r="P119" s="54">
        <v>64.705882352941174</v>
      </c>
      <c r="Q119" s="52"/>
      <c r="R119" s="54">
        <v>64.705882352941174</v>
      </c>
      <c r="S119" s="57">
        <v>46054</v>
      </c>
      <c r="T119" s="54">
        <v>9.7058823529411757</v>
      </c>
      <c r="U119" s="58">
        <v>4</v>
      </c>
      <c r="V119" s="54">
        <v>55</v>
      </c>
      <c r="W119" s="42" t="s">
        <v>47</v>
      </c>
      <c r="X119" s="42" t="s">
        <v>48</v>
      </c>
      <c r="Y119" s="42" t="s">
        <v>36</v>
      </c>
      <c r="Z119" s="42" t="s">
        <v>9</v>
      </c>
      <c r="AA119" s="42" t="s">
        <v>49</v>
      </c>
      <c r="AB119" s="42">
        <v>2373</v>
      </c>
      <c r="AC119" s="42" t="s">
        <v>38</v>
      </c>
      <c r="AD119" s="59" t="s">
        <v>242</v>
      </c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</row>
    <row r="120" spans="1:49" ht="31.5" x14ac:dyDescent="0.25">
      <c r="A120" s="42" t="s">
        <v>144</v>
      </c>
      <c r="B120" s="44">
        <v>46063</v>
      </c>
      <c r="C120" s="44">
        <v>46063</v>
      </c>
      <c r="D120" s="42" t="s">
        <v>132</v>
      </c>
      <c r="E120" s="47">
        <v>0.54166666666666663</v>
      </c>
      <c r="F120" s="47">
        <v>0.5625</v>
      </c>
      <c r="G120" s="47">
        <v>1.7361111111111109E-4</v>
      </c>
      <c r="H120" s="42" t="s">
        <v>151</v>
      </c>
      <c r="I120" s="50">
        <v>0.5473958333333333</v>
      </c>
      <c r="J120" s="42" t="s">
        <v>96</v>
      </c>
      <c r="K120" s="42" t="s">
        <v>161</v>
      </c>
      <c r="L120" s="52">
        <v>1</v>
      </c>
      <c r="M120" s="52">
        <v>69976</v>
      </c>
      <c r="N120" s="42" t="s">
        <v>53</v>
      </c>
      <c r="O120" s="52" t="s">
        <v>152</v>
      </c>
      <c r="P120" s="54">
        <v>64.705882352941174</v>
      </c>
      <c r="Q120" s="52"/>
      <c r="R120" s="54">
        <v>64.705882352941174</v>
      </c>
      <c r="S120" s="57">
        <v>46054</v>
      </c>
      <c r="T120" s="54">
        <v>9.7058823529411757</v>
      </c>
      <c r="U120" s="58">
        <v>4</v>
      </c>
      <c r="V120" s="54">
        <v>55</v>
      </c>
      <c r="W120" s="42" t="s">
        <v>47</v>
      </c>
      <c r="X120" s="42" t="s">
        <v>48</v>
      </c>
      <c r="Y120" s="42" t="s">
        <v>36</v>
      </c>
      <c r="Z120" s="42" t="s">
        <v>9</v>
      </c>
      <c r="AA120" s="42" t="s">
        <v>49</v>
      </c>
      <c r="AB120" s="42" t="s">
        <v>153</v>
      </c>
      <c r="AC120" s="42" t="s">
        <v>38</v>
      </c>
      <c r="AD120" s="59" t="s">
        <v>242</v>
      </c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</row>
    <row r="121" spans="1:49" ht="31.5" x14ac:dyDescent="0.25">
      <c r="A121" s="42" t="s">
        <v>144</v>
      </c>
      <c r="B121" s="44">
        <v>46063</v>
      </c>
      <c r="C121" s="44">
        <v>46063</v>
      </c>
      <c r="D121" s="42" t="s">
        <v>132</v>
      </c>
      <c r="E121" s="47">
        <v>0.54166666666666663</v>
      </c>
      <c r="F121" s="47">
        <v>0.5625</v>
      </c>
      <c r="G121" s="47">
        <v>1.7361111111111109E-4</v>
      </c>
      <c r="H121" s="42" t="s">
        <v>154</v>
      </c>
      <c r="I121" s="50">
        <v>0.5619791666666667</v>
      </c>
      <c r="J121" s="42" t="s">
        <v>96</v>
      </c>
      <c r="K121" s="42" t="s">
        <v>161</v>
      </c>
      <c r="L121" s="52">
        <v>1</v>
      </c>
      <c r="M121" s="52">
        <v>69976</v>
      </c>
      <c r="N121" s="42" t="s">
        <v>53</v>
      </c>
      <c r="O121" s="52" t="s">
        <v>152</v>
      </c>
      <c r="P121" s="54">
        <v>64.705882352941174</v>
      </c>
      <c r="Q121" s="52"/>
      <c r="R121" s="54">
        <v>64.705882352941174</v>
      </c>
      <c r="S121" s="57">
        <v>46054</v>
      </c>
      <c r="T121" s="54">
        <v>9.7058823529411757</v>
      </c>
      <c r="U121" s="58">
        <v>4</v>
      </c>
      <c r="V121" s="54">
        <v>55</v>
      </c>
      <c r="W121" s="42" t="s">
        <v>47</v>
      </c>
      <c r="X121" s="42" t="s">
        <v>48</v>
      </c>
      <c r="Y121" s="42" t="s">
        <v>36</v>
      </c>
      <c r="Z121" s="42" t="s">
        <v>9</v>
      </c>
      <c r="AA121" s="42" t="s">
        <v>49</v>
      </c>
      <c r="AB121" s="42" t="s">
        <v>153</v>
      </c>
      <c r="AC121" s="42" t="s">
        <v>38</v>
      </c>
      <c r="AD121" s="59" t="s">
        <v>242</v>
      </c>
      <c r="AE121" s="60"/>
      <c r="AF121" s="60"/>
      <c r="AG121" s="60"/>
      <c r="AH121" s="60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</row>
    <row r="122" spans="1:49" ht="31.5" x14ac:dyDescent="0.25">
      <c r="A122" s="42" t="s">
        <v>144</v>
      </c>
      <c r="B122" s="44">
        <v>46063</v>
      </c>
      <c r="C122" s="44">
        <v>46063</v>
      </c>
      <c r="D122" s="42" t="s">
        <v>132</v>
      </c>
      <c r="E122" s="47">
        <v>0.54166666666666663</v>
      </c>
      <c r="F122" s="47">
        <v>0.66666666666666663</v>
      </c>
      <c r="G122" s="47">
        <v>1.7361111111111109E-4</v>
      </c>
      <c r="H122" s="42" t="s">
        <v>151</v>
      </c>
      <c r="I122" s="50">
        <v>0.64523148148148146</v>
      </c>
      <c r="J122" s="42" t="s">
        <v>96</v>
      </c>
      <c r="K122" s="42" t="s">
        <v>163</v>
      </c>
      <c r="L122" s="52">
        <v>1</v>
      </c>
      <c r="M122" s="52">
        <v>70032</v>
      </c>
      <c r="N122" s="42" t="s">
        <v>46</v>
      </c>
      <c r="O122" s="52" t="s">
        <v>152</v>
      </c>
      <c r="P122" s="54">
        <v>0</v>
      </c>
      <c r="Q122" s="52"/>
      <c r="R122" s="54">
        <v>0</v>
      </c>
      <c r="S122" s="57">
        <v>46054</v>
      </c>
      <c r="T122" s="54">
        <v>0</v>
      </c>
      <c r="U122" s="58">
        <v>4</v>
      </c>
      <c r="V122" s="54">
        <v>0</v>
      </c>
      <c r="W122" s="42" t="s">
        <v>47</v>
      </c>
      <c r="X122" s="42" t="s">
        <v>48</v>
      </c>
      <c r="Y122" s="42" t="s">
        <v>36</v>
      </c>
      <c r="Z122" s="42" t="s">
        <v>9</v>
      </c>
      <c r="AA122" s="42" t="s">
        <v>49</v>
      </c>
      <c r="AB122" s="42" t="s">
        <v>153</v>
      </c>
      <c r="AC122" s="42" t="s">
        <v>38</v>
      </c>
      <c r="AD122" s="59" t="s">
        <v>242</v>
      </c>
      <c r="AE122" s="60"/>
      <c r="AF122" s="60"/>
      <c r="AG122" s="60"/>
      <c r="AH122" s="60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</row>
    <row r="123" spans="1:49" ht="31.5" x14ac:dyDescent="0.25">
      <c r="A123" s="42" t="s">
        <v>144</v>
      </c>
      <c r="B123" s="44">
        <v>46063</v>
      </c>
      <c r="C123" s="44">
        <v>46063</v>
      </c>
      <c r="D123" s="42" t="s">
        <v>132</v>
      </c>
      <c r="E123" s="47">
        <v>0.5625</v>
      </c>
      <c r="F123" s="47">
        <v>0.58333333333333337</v>
      </c>
      <c r="G123" s="47">
        <v>1.7361111111111109E-4</v>
      </c>
      <c r="H123" s="42" t="s">
        <v>151</v>
      </c>
      <c r="I123" s="50">
        <v>0.58297754629629628</v>
      </c>
      <c r="J123" s="42" t="s">
        <v>96</v>
      </c>
      <c r="K123" s="42" t="s">
        <v>162</v>
      </c>
      <c r="L123" s="52">
        <v>1</v>
      </c>
      <c r="M123" s="52">
        <v>69977</v>
      </c>
      <c r="N123" s="42" t="s">
        <v>53</v>
      </c>
      <c r="O123" s="52" t="s">
        <v>152</v>
      </c>
      <c r="P123" s="54">
        <v>64.705882352941174</v>
      </c>
      <c r="Q123" s="52"/>
      <c r="R123" s="54">
        <v>64.705882352941174</v>
      </c>
      <c r="S123" s="57">
        <v>46054</v>
      </c>
      <c r="T123" s="54">
        <v>9.7058823529411757</v>
      </c>
      <c r="U123" s="58">
        <v>4</v>
      </c>
      <c r="V123" s="54">
        <v>55</v>
      </c>
      <c r="W123" s="42" t="s">
        <v>47</v>
      </c>
      <c r="X123" s="42" t="s">
        <v>48</v>
      </c>
      <c r="Y123" s="42" t="s">
        <v>36</v>
      </c>
      <c r="Z123" s="42" t="s">
        <v>9</v>
      </c>
      <c r="AA123" s="42" t="s">
        <v>49</v>
      </c>
      <c r="AB123" s="42" t="s">
        <v>153</v>
      </c>
      <c r="AC123" s="42" t="s">
        <v>38</v>
      </c>
      <c r="AD123" s="59" t="s">
        <v>242</v>
      </c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</row>
    <row r="124" spans="1:49" ht="31.5" x14ac:dyDescent="0.25">
      <c r="A124" s="42" t="s">
        <v>144</v>
      </c>
      <c r="B124" s="44">
        <v>46063</v>
      </c>
      <c r="C124" s="44">
        <v>46063</v>
      </c>
      <c r="D124" s="42" t="s">
        <v>132</v>
      </c>
      <c r="E124" s="47">
        <v>0.58333333333333337</v>
      </c>
      <c r="F124" s="47">
        <v>0.66666666666666663</v>
      </c>
      <c r="G124" s="47">
        <v>1.7361111111111109E-4</v>
      </c>
      <c r="H124" s="42" t="s">
        <v>154</v>
      </c>
      <c r="I124" s="50">
        <v>0.63037037037037036</v>
      </c>
      <c r="J124" s="42" t="s">
        <v>96</v>
      </c>
      <c r="K124" s="42" t="s">
        <v>163</v>
      </c>
      <c r="L124" s="52">
        <v>1</v>
      </c>
      <c r="M124" s="52">
        <v>69978</v>
      </c>
      <c r="N124" s="42" t="s">
        <v>53</v>
      </c>
      <c r="O124" s="52" t="s">
        <v>152</v>
      </c>
      <c r="P124" s="54">
        <v>64.705882352941174</v>
      </c>
      <c r="Q124" s="52"/>
      <c r="R124" s="54">
        <v>64.705882352941174</v>
      </c>
      <c r="S124" s="57">
        <v>46054</v>
      </c>
      <c r="T124" s="54">
        <v>9.7058823529411757</v>
      </c>
      <c r="U124" s="58">
        <v>4</v>
      </c>
      <c r="V124" s="54">
        <v>55</v>
      </c>
      <c r="W124" s="42" t="s">
        <v>47</v>
      </c>
      <c r="X124" s="42" t="s">
        <v>48</v>
      </c>
      <c r="Y124" s="42" t="s">
        <v>36</v>
      </c>
      <c r="Z124" s="42" t="s">
        <v>9</v>
      </c>
      <c r="AA124" s="42" t="s">
        <v>49</v>
      </c>
      <c r="AB124" s="42" t="s">
        <v>153</v>
      </c>
      <c r="AC124" s="42" t="s">
        <v>38</v>
      </c>
      <c r="AD124" s="59" t="s">
        <v>242</v>
      </c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</row>
    <row r="125" spans="1:49" ht="31.5" x14ac:dyDescent="0.25">
      <c r="A125" s="42" t="s">
        <v>144</v>
      </c>
      <c r="B125" s="44">
        <v>46064</v>
      </c>
      <c r="C125" s="44">
        <v>46064</v>
      </c>
      <c r="D125" s="42" t="s">
        <v>166</v>
      </c>
      <c r="E125" s="47">
        <v>0.45833333333333331</v>
      </c>
      <c r="F125" s="47">
        <v>0.54166666666666663</v>
      </c>
      <c r="G125" s="47">
        <v>1.7361111111111109E-4</v>
      </c>
      <c r="H125" s="42" t="s">
        <v>145</v>
      </c>
      <c r="I125" s="50">
        <v>0.47215578703703703</v>
      </c>
      <c r="J125" s="42" t="s">
        <v>76</v>
      </c>
      <c r="K125" s="42" t="s">
        <v>143</v>
      </c>
      <c r="L125" s="52">
        <v>1</v>
      </c>
      <c r="M125" s="52">
        <v>70036</v>
      </c>
      <c r="N125" s="42" t="s">
        <v>46</v>
      </c>
      <c r="O125" s="52" t="s">
        <v>146</v>
      </c>
      <c r="P125" s="54">
        <v>0</v>
      </c>
      <c r="Q125" s="52"/>
      <c r="R125" s="54">
        <v>0</v>
      </c>
      <c r="S125" s="57">
        <v>46054</v>
      </c>
      <c r="T125" s="54">
        <v>0</v>
      </c>
      <c r="U125" s="58">
        <v>4</v>
      </c>
      <c r="V125" s="54">
        <v>0</v>
      </c>
      <c r="W125" s="42" t="s">
        <v>47</v>
      </c>
      <c r="X125" s="42" t="s">
        <v>48</v>
      </c>
      <c r="Y125" s="42" t="s">
        <v>36</v>
      </c>
      <c r="Z125" s="42" t="s">
        <v>9</v>
      </c>
      <c r="AA125" s="42" t="s">
        <v>49</v>
      </c>
      <c r="AB125" s="42">
        <v>2373</v>
      </c>
      <c r="AC125" s="42" t="s">
        <v>38</v>
      </c>
      <c r="AD125" s="59" t="s">
        <v>242</v>
      </c>
      <c r="AE125" s="60"/>
      <c r="AF125" s="60"/>
      <c r="AG125" s="60"/>
      <c r="AH125" s="60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</row>
    <row r="126" spans="1:49" ht="31.5" x14ac:dyDescent="0.2">
      <c r="A126" s="42" t="s">
        <v>144</v>
      </c>
      <c r="B126" s="44">
        <v>46064</v>
      </c>
      <c r="C126" s="44">
        <v>46064</v>
      </c>
      <c r="D126" s="42" t="s">
        <v>166</v>
      </c>
      <c r="E126" s="47">
        <v>0.45833333333333331</v>
      </c>
      <c r="F126" s="47">
        <v>0.5</v>
      </c>
      <c r="G126" s="47">
        <v>1.7361111111111109E-4</v>
      </c>
      <c r="H126" s="42" t="s">
        <v>148</v>
      </c>
      <c r="I126" s="50">
        <v>0.48753692129629633</v>
      </c>
      <c r="J126" s="42" t="s">
        <v>76</v>
      </c>
      <c r="K126" s="42" t="s">
        <v>128</v>
      </c>
      <c r="L126" s="52">
        <v>1</v>
      </c>
      <c r="M126" s="52">
        <v>70008</v>
      </c>
      <c r="N126" s="42" t="s">
        <v>53</v>
      </c>
      <c r="O126" s="52" t="s">
        <v>146</v>
      </c>
      <c r="P126" s="54">
        <v>64.705882352941174</v>
      </c>
      <c r="Q126" s="52"/>
      <c r="R126" s="54">
        <v>64.705882352941174</v>
      </c>
      <c r="S126" s="57">
        <v>46054</v>
      </c>
      <c r="T126" s="54">
        <v>9.7058823529411757</v>
      </c>
      <c r="U126" s="58">
        <v>4</v>
      </c>
      <c r="V126" s="54">
        <v>55</v>
      </c>
      <c r="W126" s="42" t="s">
        <v>47</v>
      </c>
      <c r="X126" s="42" t="s">
        <v>48</v>
      </c>
      <c r="Y126" s="42" t="s">
        <v>36</v>
      </c>
      <c r="Z126" s="42" t="s">
        <v>9</v>
      </c>
      <c r="AA126" s="42" t="s">
        <v>49</v>
      </c>
      <c r="AB126" s="42">
        <v>2373</v>
      </c>
      <c r="AC126" s="42" t="s">
        <v>38</v>
      </c>
      <c r="AD126" s="59" t="s">
        <v>242</v>
      </c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</row>
    <row r="127" spans="1:49" ht="31.5" x14ac:dyDescent="0.2">
      <c r="A127" s="42" t="s">
        <v>144</v>
      </c>
      <c r="B127" s="44">
        <v>46064</v>
      </c>
      <c r="C127" s="44">
        <v>46064</v>
      </c>
      <c r="D127" s="42" t="s">
        <v>166</v>
      </c>
      <c r="E127" s="47">
        <v>0.45833333333333331</v>
      </c>
      <c r="F127" s="47">
        <v>0.54166666666666663</v>
      </c>
      <c r="G127" s="47">
        <v>1.7361111111111109E-4</v>
      </c>
      <c r="H127" s="42" t="s">
        <v>148</v>
      </c>
      <c r="I127" s="50">
        <v>0.52082175925925922</v>
      </c>
      <c r="J127" s="42" t="s">
        <v>76</v>
      </c>
      <c r="K127" s="42" t="s">
        <v>129</v>
      </c>
      <c r="L127" s="52">
        <v>1</v>
      </c>
      <c r="M127" s="52">
        <v>70036</v>
      </c>
      <c r="N127" s="42" t="s">
        <v>46</v>
      </c>
      <c r="O127" s="52" t="s">
        <v>146</v>
      </c>
      <c r="P127" s="54">
        <v>0</v>
      </c>
      <c r="Q127" s="52"/>
      <c r="R127" s="54">
        <v>0</v>
      </c>
      <c r="S127" s="57">
        <v>46054</v>
      </c>
      <c r="T127" s="54">
        <v>0</v>
      </c>
      <c r="U127" s="58">
        <v>4</v>
      </c>
      <c r="V127" s="54">
        <v>0</v>
      </c>
      <c r="W127" s="42" t="s">
        <v>47</v>
      </c>
      <c r="X127" s="42" t="s">
        <v>48</v>
      </c>
      <c r="Y127" s="42" t="s">
        <v>36</v>
      </c>
      <c r="Z127" s="42" t="s">
        <v>9</v>
      </c>
      <c r="AA127" s="42" t="s">
        <v>49</v>
      </c>
      <c r="AB127" s="42">
        <v>2373</v>
      </c>
      <c r="AC127" s="42" t="s">
        <v>38</v>
      </c>
      <c r="AD127" s="59" t="s">
        <v>242</v>
      </c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</row>
    <row r="128" spans="1:49" ht="31.5" x14ac:dyDescent="0.25">
      <c r="A128" s="42" t="s">
        <v>144</v>
      </c>
      <c r="B128" s="44">
        <v>46064</v>
      </c>
      <c r="C128" s="44">
        <v>46064</v>
      </c>
      <c r="D128" s="42" t="s">
        <v>166</v>
      </c>
      <c r="E128" s="47">
        <v>0.47916666666666669</v>
      </c>
      <c r="F128" s="47">
        <v>0.5</v>
      </c>
      <c r="G128" s="47">
        <v>1.7361111111111109E-4</v>
      </c>
      <c r="H128" s="42" t="s">
        <v>148</v>
      </c>
      <c r="I128" s="50">
        <v>0.49790509259259258</v>
      </c>
      <c r="J128" s="42" t="s">
        <v>76</v>
      </c>
      <c r="K128" s="42" t="s">
        <v>128</v>
      </c>
      <c r="L128" s="52">
        <v>1</v>
      </c>
      <c r="M128" s="52">
        <v>70009</v>
      </c>
      <c r="N128" s="42" t="s">
        <v>53</v>
      </c>
      <c r="O128" s="52" t="s">
        <v>146</v>
      </c>
      <c r="P128" s="54">
        <v>64.705882352941174</v>
      </c>
      <c r="Q128" s="52"/>
      <c r="R128" s="54">
        <v>64.705882352941174</v>
      </c>
      <c r="S128" s="57">
        <v>46054</v>
      </c>
      <c r="T128" s="54">
        <v>9.7058823529411757</v>
      </c>
      <c r="U128" s="58">
        <v>4</v>
      </c>
      <c r="V128" s="54">
        <v>55</v>
      </c>
      <c r="W128" s="42" t="s">
        <v>47</v>
      </c>
      <c r="X128" s="42" t="s">
        <v>48</v>
      </c>
      <c r="Y128" s="42" t="s">
        <v>36</v>
      </c>
      <c r="Z128" s="42" t="s">
        <v>9</v>
      </c>
      <c r="AA128" s="42" t="s">
        <v>49</v>
      </c>
      <c r="AB128" s="42">
        <v>2373</v>
      </c>
      <c r="AC128" s="42" t="s">
        <v>38</v>
      </c>
      <c r="AD128" s="59" t="s">
        <v>242</v>
      </c>
      <c r="AE128" s="60"/>
      <c r="AF128" s="60"/>
      <c r="AG128" s="60"/>
      <c r="AH128" s="60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</row>
    <row r="129" spans="1:49" ht="31.5" x14ac:dyDescent="0.25">
      <c r="A129" s="42" t="s">
        <v>144</v>
      </c>
      <c r="B129" s="44">
        <v>46064</v>
      </c>
      <c r="C129" s="44">
        <v>46064</v>
      </c>
      <c r="D129" s="42" t="s">
        <v>166</v>
      </c>
      <c r="E129" s="47">
        <v>0.5</v>
      </c>
      <c r="F129" s="47">
        <v>0.54166666666666663</v>
      </c>
      <c r="G129" s="47">
        <v>1.7361111111111109E-4</v>
      </c>
      <c r="H129" s="42" t="s">
        <v>145</v>
      </c>
      <c r="I129" s="50">
        <v>0.54107638888888887</v>
      </c>
      <c r="J129" s="42" t="s">
        <v>76</v>
      </c>
      <c r="K129" s="42" t="s">
        <v>129</v>
      </c>
      <c r="L129" s="52">
        <v>1</v>
      </c>
      <c r="M129" s="52">
        <v>70011</v>
      </c>
      <c r="N129" s="42" t="s">
        <v>53</v>
      </c>
      <c r="O129" s="52" t="s">
        <v>146</v>
      </c>
      <c r="P129" s="54">
        <v>64.705882352941174</v>
      </c>
      <c r="Q129" s="52"/>
      <c r="R129" s="54">
        <v>64.705882352941174</v>
      </c>
      <c r="S129" s="57">
        <v>46054</v>
      </c>
      <c r="T129" s="54">
        <v>9.7058823529411757</v>
      </c>
      <c r="U129" s="58">
        <v>4</v>
      </c>
      <c r="V129" s="54">
        <v>55</v>
      </c>
      <c r="W129" s="42" t="s">
        <v>47</v>
      </c>
      <c r="X129" s="42" t="s">
        <v>48</v>
      </c>
      <c r="Y129" s="42" t="s">
        <v>36</v>
      </c>
      <c r="Z129" s="42" t="s">
        <v>9</v>
      </c>
      <c r="AA129" s="42" t="s">
        <v>49</v>
      </c>
      <c r="AB129" s="42">
        <v>2373</v>
      </c>
      <c r="AC129" s="42" t="s">
        <v>38</v>
      </c>
      <c r="AD129" s="59" t="s">
        <v>242</v>
      </c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</row>
    <row r="130" spans="1:49" ht="31.5" x14ac:dyDescent="0.25">
      <c r="A130" s="42" t="s">
        <v>144</v>
      </c>
      <c r="B130" s="44">
        <v>46064</v>
      </c>
      <c r="C130" s="44">
        <v>46064</v>
      </c>
      <c r="D130" s="42" t="s">
        <v>166</v>
      </c>
      <c r="E130" s="47">
        <v>0.54166666666666663</v>
      </c>
      <c r="F130" s="47">
        <v>0.5625</v>
      </c>
      <c r="G130" s="47">
        <v>1.7361111111111109E-4</v>
      </c>
      <c r="H130" s="42" t="s">
        <v>154</v>
      </c>
      <c r="I130" s="50">
        <v>0.5552083333333333</v>
      </c>
      <c r="J130" s="42" t="s">
        <v>96</v>
      </c>
      <c r="K130" s="42" t="s">
        <v>161</v>
      </c>
      <c r="L130" s="52">
        <v>1</v>
      </c>
      <c r="M130" s="52">
        <v>69976</v>
      </c>
      <c r="N130" s="42" t="s">
        <v>53</v>
      </c>
      <c r="O130" s="52" t="s">
        <v>152</v>
      </c>
      <c r="P130" s="54">
        <v>64.705882352941174</v>
      </c>
      <c r="Q130" s="52"/>
      <c r="R130" s="54">
        <v>64.705882352941174</v>
      </c>
      <c r="S130" s="57">
        <v>46054</v>
      </c>
      <c r="T130" s="54">
        <v>9.7058823529411757</v>
      </c>
      <c r="U130" s="58">
        <v>4</v>
      </c>
      <c r="V130" s="54">
        <v>55</v>
      </c>
      <c r="W130" s="42" t="s">
        <v>47</v>
      </c>
      <c r="X130" s="42" t="s">
        <v>48</v>
      </c>
      <c r="Y130" s="42" t="s">
        <v>36</v>
      </c>
      <c r="Z130" s="42" t="s">
        <v>9</v>
      </c>
      <c r="AA130" s="42" t="s">
        <v>49</v>
      </c>
      <c r="AB130" s="42" t="s">
        <v>153</v>
      </c>
      <c r="AC130" s="42" t="s">
        <v>38</v>
      </c>
      <c r="AD130" s="59" t="s">
        <v>242</v>
      </c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</row>
    <row r="131" spans="1:49" ht="31.5" x14ac:dyDescent="0.2">
      <c r="A131" s="42" t="s">
        <v>144</v>
      </c>
      <c r="B131" s="44">
        <v>46064</v>
      </c>
      <c r="C131" s="44">
        <v>46064</v>
      </c>
      <c r="D131" s="42" t="s">
        <v>166</v>
      </c>
      <c r="E131" s="47">
        <v>0.5625</v>
      </c>
      <c r="F131" s="47">
        <v>0.58333333333333337</v>
      </c>
      <c r="G131" s="47">
        <v>1.7361111111111109E-4</v>
      </c>
      <c r="H131" s="42" t="s">
        <v>154</v>
      </c>
      <c r="I131" s="50">
        <v>0.56905092592592588</v>
      </c>
      <c r="J131" s="42" t="s">
        <v>96</v>
      </c>
      <c r="K131" s="42" t="s">
        <v>162</v>
      </c>
      <c r="L131" s="52">
        <v>1</v>
      </c>
      <c r="M131" s="52">
        <v>69977</v>
      </c>
      <c r="N131" s="42" t="s">
        <v>53</v>
      </c>
      <c r="O131" s="52" t="s">
        <v>152</v>
      </c>
      <c r="P131" s="54">
        <v>64.705882352941174</v>
      </c>
      <c r="Q131" s="52"/>
      <c r="R131" s="54">
        <v>64.705882352941174</v>
      </c>
      <c r="S131" s="57">
        <v>46054</v>
      </c>
      <c r="T131" s="54">
        <v>9.7058823529411757</v>
      </c>
      <c r="U131" s="58">
        <v>4</v>
      </c>
      <c r="V131" s="54">
        <v>55</v>
      </c>
      <c r="W131" s="42" t="s">
        <v>47</v>
      </c>
      <c r="X131" s="42" t="s">
        <v>48</v>
      </c>
      <c r="Y131" s="42" t="s">
        <v>36</v>
      </c>
      <c r="Z131" s="42" t="s">
        <v>9</v>
      </c>
      <c r="AA131" s="42" t="s">
        <v>49</v>
      </c>
      <c r="AB131" s="42" t="s">
        <v>153</v>
      </c>
      <c r="AC131" s="42" t="s">
        <v>38</v>
      </c>
      <c r="AD131" s="59" t="s">
        <v>242</v>
      </c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</row>
    <row r="132" spans="1:49" ht="31.5" x14ac:dyDescent="0.25">
      <c r="A132" s="42" t="s">
        <v>144</v>
      </c>
      <c r="B132" s="44">
        <v>46064</v>
      </c>
      <c r="C132" s="44">
        <v>46064</v>
      </c>
      <c r="D132" s="42" t="s">
        <v>166</v>
      </c>
      <c r="E132" s="47">
        <v>0.5625</v>
      </c>
      <c r="F132" s="47">
        <v>0.58333333333333337</v>
      </c>
      <c r="G132" s="47">
        <v>1.7361111111111109E-4</v>
      </c>
      <c r="H132" s="42" t="s">
        <v>151</v>
      </c>
      <c r="I132" s="50">
        <v>0.58304664351851854</v>
      </c>
      <c r="J132" s="42" t="s">
        <v>96</v>
      </c>
      <c r="K132" s="42" t="s">
        <v>162</v>
      </c>
      <c r="L132" s="52">
        <v>1</v>
      </c>
      <c r="M132" s="52">
        <v>69977</v>
      </c>
      <c r="N132" s="42" t="s">
        <v>53</v>
      </c>
      <c r="O132" s="52" t="s">
        <v>152</v>
      </c>
      <c r="P132" s="54">
        <v>64.705882352941174</v>
      </c>
      <c r="Q132" s="52"/>
      <c r="R132" s="54">
        <v>64.705882352941174</v>
      </c>
      <c r="S132" s="57">
        <v>46054</v>
      </c>
      <c r="T132" s="54">
        <v>9.7058823529411757</v>
      </c>
      <c r="U132" s="58">
        <v>4</v>
      </c>
      <c r="V132" s="54">
        <v>55</v>
      </c>
      <c r="W132" s="42" t="s">
        <v>47</v>
      </c>
      <c r="X132" s="42" t="s">
        <v>48</v>
      </c>
      <c r="Y132" s="42" t="s">
        <v>36</v>
      </c>
      <c r="Z132" s="42" t="s">
        <v>9</v>
      </c>
      <c r="AA132" s="42" t="s">
        <v>49</v>
      </c>
      <c r="AB132" s="42" t="s">
        <v>153</v>
      </c>
      <c r="AC132" s="42" t="s">
        <v>38</v>
      </c>
      <c r="AD132" s="59" t="s">
        <v>242</v>
      </c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</row>
    <row r="133" spans="1:49" ht="31.5" x14ac:dyDescent="0.25">
      <c r="A133" s="42" t="s">
        <v>144</v>
      </c>
      <c r="B133" s="44">
        <v>46064</v>
      </c>
      <c r="C133" s="44">
        <v>46064</v>
      </c>
      <c r="D133" s="42" t="s">
        <v>166</v>
      </c>
      <c r="E133" s="47">
        <v>0.58333333333333337</v>
      </c>
      <c r="F133" s="47">
        <v>0.66666666666666663</v>
      </c>
      <c r="G133" s="47">
        <v>1.7361111111111109E-4</v>
      </c>
      <c r="H133" s="42" t="s">
        <v>154</v>
      </c>
      <c r="I133" s="50">
        <v>0.62379629629629629</v>
      </c>
      <c r="J133" s="42" t="s">
        <v>96</v>
      </c>
      <c r="K133" s="42" t="s">
        <v>163</v>
      </c>
      <c r="L133" s="52">
        <v>1</v>
      </c>
      <c r="M133" s="52">
        <v>69978</v>
      </c>
      <c r="N133" s="42" t="s">
        <v>53</v>
      </c>
      <c r="O133" s="52" t="s">
        <v>152</v>
      </c>
      <c r="P133" s="54">
        <v>64.705882352941174</v>
      </c>
      <c r="Q133" s="52"/>
      <c r="R133" s="54">
        <v>64.705882352941174</v>
      </c>
      <c r="S133" s="57">
        <v>46054</v>
      </c>
      <c r="T133" s="54">
        <v>9.7058823529411757</v>
      </c>
      <c r="U133" s="58">
        <v>4</v>
      </c>
      <c r="V133" s="54">
        <v>55</v>
      </c>
      <c r="W133" s="42" t="s">
        <v>47</v>
      </c>
      <c r="X133" s="42" t="s">
        <v>48</v>
      </c>
      <c r="Y133" s="42" t="s">
        <v>36</v>
      </c>
      <c r="Z133" s="42" t="s">
        <v>9</v>
      </c>
      <c r="AA133" s="42" t="s">
        <v>49</v>
      </c>
      <c r="AB133" s="42" t="s">
        <v>153</v>
      </c>
      <c r="AC133" s="42" t="s">
        <v>38</v>
      </c>
      <c r="AD133" s="59" t="s">
        <v>242</v>
      </c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</row>
    <row r="134" spans="1:49" ht="31.5" x14ac:dyDescent="0.25">
      <c r="A134" s="42" t="s">
        <v>144</v>
      </c>
      <c r="B134" s="44">
        <v>46064</v>
      </c>
      <c r="C134" s="44">
        <v>46064</v>
      </c>
      <c r="D134" s="42" t="s">
        <v>166</v>
      </c>
      <c r="E134" s="47">
        <v>0.58333333333333337</v>
      </c>
      <c r="F134" s="47">
        <v>0.66666666666666663</v>
      </c>
      <c r="G134" s="47">
        <v>1.7361111111111109E-4</v>
      </c>
      <c r="H134" s="42" t="s">
        <v>151</v>
      </c>
      <c r="I134" s="50">
        <v>0.66427083333333337</v>
      </c>
      <c r="J134" s="42" t="s">
        <v>96</v>
      </c>
      <c r="K134" s="42" t="s">
        <v>163</v>
      </c>
      <c r="L134" s="52">
        <v>1</v>
      </c>
      <c r="M134" s="52">
        <v>69978</v>
      </c>
      <c r="N134" s="42" t="s">
        <v>53</v>
      </c>
      <c r="O134" s="52" t="s">
        <v>152</v>
      </c>
      <c r="P134" s="54">
        <v>64.705882352941174</v>
      </c>
      <c r="Q134" s="52"/>
      <c r="R134" s="54">
        <v>64.705882352941174</v>
      </c>
      <c r="S134" s="57">
        <v>46054</v>
      </c>
      <c r="T134" s="54">
        <v>9.7058823529411757</v>
      </c>
      <c r="U134" s="58">
        <v>4</v>
      </c>
      <c r="V134" s="54">
        <v>55</v>
      </c>
      <c r="W134" s="42" t="s">
        <v>47</v>
      </c>
      <c r="X134" s="42" t="s">
        <v>48</v>
      </c>
      <c r="Y134" s="42" t="s">
        <v>36</v>
      </c>
      <c r="Z134" s="42" t="s">
        <v>9</v>
      </c>
      <c r="AA134" s="42" t="s">
        <v>49</v>
      </c>
      <c r="AB134" s="42" t="s">
        <v>153</v>
      </c>
      <c r="AC134" s="42" t="s">
        <v>38</v>
      </c>
      <c r="AD134" s="59" t="s">
        <v>242</v>
      </c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</row>
    <row r="135" spans="1:49" ht="31.5" x14ac:dyDescent="0.25">
      <c r="A135" s="42" t="s">
        <v>144</v>
      </c>
      <c r="B135" s="44">
        <v>46065</v>
      </c>
      <c r="C135" s="44">
        <v>46065</v>
      </c>
      <c r="D135" s="42" t="s">
        <v>179</v>
      </c>
      <c r="E135" s="47">
        <v>0.45833333333333331</v>
      </c>
      <c r="F135" s="47">
        <v>0.47916666666666669</v>
      </c>
      <c r="G135" s="47">
        <v>1.7361111111111109E-4</v>
      </c>
      <c r="H135" s="42" t="s">
        <v>145</v>
      </c>
      <c r="I135" s="50" t="s">
        <v>189</v>
      </c>
      <c r="J135" s="42" t="s">
        <v>76</v>
      </c>
      <c r="K135" s="42" t="s">
        <v>143</v>
      </c>
      <c r="L135" s="52">
        <v>1</v>
      </c>
      <c r="M135" s="52">
        <v>70008</v>
      </c>
      <c r="N135" s="42" t="s">
        <v>53</v>
      </c>
      <c r="O135" s="52" t="s">
        <v>146</v>
      </c>
      <c r="P135" s="54">
        <v>64.709999999999994</v>
      </c>
      <c r="Q135" s="52"/>
      <c r="R135" s="54">
        <v>64.709999999999994</v>
      </c>
      <c r="S135" s="57">
        <v>46054</v>
      </c>
      <c r="T135" s="54">
        <v>9.7064999999999984</v>
      </c>
      <c r="U135" s="58">
        <v>4</v>
      </c>
      <c r="V135" s="54">
        <v>55.003499999999995</v>
      </c>
      <c r="W135" s="42" t="s">
        <v>47</v>
      </c>
      <c r="X135" s="42" t="s">
        <v>48</v>
      </c>
      <c r="Y135" s="42" t="s">
        <v>36</v>
      </c>
      <c r="Z135" s="42" t="s">
        <v>9</v>
      </c>
      <c r="AA135" s="42" t="s">
        <v>49</v>
      </c>
      <c r="AB135" s="42" t="s">
        <v>190</v>
      </c>
      <c r="AC135" s="42" t="s">
        <v>38</v>
      </c>
      <c r="AD135" s="59"/>
      <c r="AE135" s="60"/>
      <c r="AF135" s="60"/>
      <c r="AG135" s="60"/>
      <c r="AH135" s="60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</row>
    <row r="136" spans="1:49" ht="31.5" x14ac:dyDescent="0.2">
      <c r="A136" s="42" t="s">
        <v>144</v>
      </c>
      <c r="B136" s="44">
        <v>46065</v>
      </c>
      <c r="C136" s="44">
        <v>46065</v>
      </c>
      <c r="D136" s="42" t="s">
        <v>179</v>
      </c>
      <c r="E136" s="47">
        <v>0.45833333333333331</v>
      </c>
      <c r="F136" s="47">
        <v>0.54166666666666663</v>
      </c>
      <c r="G136" s="47">
        <v>1.7361111111111109E-4</v>
      </c>
      <c r="H136" s="42" t="s">
        <v>145</v>
      </c>
      <c r="I136" s="50" t="s">
        <v>193</v>
      </c>
      <c r="J136" s="42" t="s">
        <v>76</v>
      </c>
      <c r="K136" s="42" t="s">
        <v>129</v>
      </c>
      <c r="L136" s="52">
        <v>1</v>
      </c>
      <c r="M136" s="52">
        <v>70036</v>
      </c>
      <c r="N136" s="42" t="s">
        <v>46</v>
      </c>
      <c r="O136" s="52" t="s">
        <v>146</v>
      </c>
      <c r="P136" s="54">
        <v>0</v>
      </c>
      <c r="Q136" s="52"/>
      <c r="R136" s="54">
        <v>0</v>
      </c>
      <c r="S136" s="57">
        <v>46054</v>
      </c>
      <c r="T136" s="54">
        <v>0</v>
      </c>
      <c r="U136" s="58">
        <v>4</v>
      </c>
      <c r="V136" s="54">
        <v>0</v>
      </c>
      <c r="W136" s="42" t="s">
        <v>47</v>
      </c>
      <c r="X136" s="42" t="s">
        <v>48</v>
      </c>
      <c r="Y136" s="42" t="s">
        <v>36</v>
      </c>
      <c r="Z136" s="42" t="s">
        <v>9</v>
      </c>
      <c r="AA136" s="42" t="s">
        <v>49</v>
      </c>
      <c r="AB136" s="42" t="s">
        <v>190</v>
      </c>
      <c r="AC136" s="42" t="s">
        <v>38</v>
      </c>
      <c r="AD136" s="59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">
      <c r="A137" s="42" t="s">
        <v>144</v>
      </c>
      <c r="B137" s="44">
        <v>46065</v>
      </c>
      <c r="C137" s="44">
        <v>46065</v>
      </c>
      <c r="D137" s="42" t="s">
        <v>179</v>
      </c>
      <c r="E137" s="47">
        <v>0.45833333333333331</v>
      </c>
      <c r="F137" s="47">
        <v>0.54166666666666663</v>
      </c>
      <c r="G137" s="47">
        <v>1.7361111111111109E-4</v>
      </c>
      <c r="H137" s="42" t="s">
        <v>145</v>
      </c>
      <c r="I137" s="50" t="s">
        <v>194</v>
      </c>
      <c r="J137" s="42" t="s">
        <v>76</v>
      </c>
      <c r="K137" s="42" t="s">
        <v>129</v>
      </c>
      <c r="L137" s="52">
        <v>1</v>
      </c>
      <c r="M137" s="52">
        <v>70036</v>
      </c>
      <c r="N137" s="42" t="s">
        <v>46</v>
      </c>
      <c r="O137" s="52" t="s">
        <v>146</v>
      </c>
      <c r="P137" s="54">
        <v>0</v>
      </c>
      <c r="Q137" s="52"/>
      <c r="R137" s="54">
        <v>0</v>
      </c>
      <c r="S137" s="57">
        <v>46054</v>
      </c>
      <c r="T137" s="54">
        <v>0</v>
      </c>
      <c r="U137" s="58">
        <v>4</v>
      </c>
      <c r="V137" s="54">
        <v>0</v>
      </c>
      <c r="W137" s="42" t="s">
        <v>47</v>
      </c>
      <c r="X137" s="42" t="s">
        <v>48</v>
      </c>
      <c r="Y137" s="42" t="s">
        <v>36</v>
      </c>
      <c r="Z137" s="42" t="s">
        <v>9</v>
      </c>
      <c r="AA137" s="42" t="s">
        <v>49</v>
      </c>
      <c r="AB137" s="42" t="s">
        <v>190</v>
      </c>
      <c r="AC137" s="42" t="s">
        <v>38</v>
      </c>
      <c r="AD137" s="59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</row>
    <row r="138" spans="1:49" ht="31.5" x14ac:dyDescent="0.25">
      <c r="A138" s="42" t="s">
        <v>144</v>
      </c>
      <c r="B138" s="44">
        <v>46065</v>
      </c>
      <c r="C138" s="44">
        <v>46065</v>
      </c>
      <c r="D138" s="42" t="s">
        <v>179</v>
      </c>
      <c r="E138" s="47">
        <v>0.47916666666666669</v>
      </c>
      <c r="F138" s="47">
        <v>0.5</v>
      </c>
      <c r="G138" s="47">
        <v>1.7361111111111109E-4</v>
      </c>
      <c r="H138" s="42" t="s">
        <v>148</v>
      </c>
      <c r="I138" s="50" t="s">
        <v>191</v>
      </c>
      <c r="J138" s="42" t="s">
        <v>76</v>
      </c>
      <c r="K138" s="42" t="s">
        <v>128</v>
      </c>
      <c r="L138" s="52">
        <v>1</v>
      </c>
      <c r="M138" s="52">
        <v>70009</v>
      </c>
      <c r="N138" s="42" t="s">
        <v>53</v>
      </c>
      <c r="O138" s="52" t="s">
        <v>146</v>
      </c>
      <c r="P138" s="54">
        <v>64.709999999999994</v>
      </c>
      <c r="Q138" s="52"/>
      <c r="R138" s="54">
        <v>64.709999999999994</v>
      </c>
      <c r="S138" s="57">
        <v>46054</v>
      </c>
      <c r="T138" s="54">
        <v>9.7064999999999984</v>
      </c>
      <c r="U138" s="58">
        <v>4</v>
      </c>
      <c r="V138" s="54">
        <v>55.003499999999995</v>
      </c>
      <c r="W138" s="42" t="s">
        <v>47</v>
      </c>
      <c r="X138" s="42" t="s">
        <v>48</v>
      </c>
      <c r="Y138" s="42" t="s">
        <v>36</v>
      </c>
      <c r="Z138" s="42" t="s">
        <v>9</v>
      </c>
      <c r="AA138" s="42" t="s">
        <v>49</v>
      </c>
      <c r="AB138" s="42" t="s">
        <v>190</v>
      </c>
      <c r="AC138" s="42" t="s">
        <v>38</v>
      </c>
      <c r="AD138" s="59"/>
      <c r="AE138" s="60"/>
      <c r="AF138" s="60"/>
      <c r="AG138" s="60"/>
      <c r="AH138" s="60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</row>
    <row r="139" spans="1:49" ht="31.5" x14ac:dyDescent="0.2">
      <c r="A139" s="42" t="s">
        <v>144</v>
      </c>
      <c r="B139" s="44">
        <v>46065</v>
      </c>
      <c r="C139" s="44">
        <v>46065</v>
      </c>
      <c r="D139" s="42" t="s">
        <v>179</v>
      </c>
      <c r="E139" s="47">
        <v>0.5</v>
      </c>
      <c r="F139" s="47">
        <v>0.54166666666666663</v>
      </c>
      <c r="G139" s="47">
        <v>1.7361111111111109E-4</v>
      </c>
      <c r="H139" s="42" t="s">
        <v>148</v>
      </c>
      <c r="I139" s="50" t="s">
        <v>192</v>
      </c>
      <c r="J139" s="42" t="s">
        <v>76</v>
      </c>
      <c r="K139" s="42" t="s">
        <v>129</v>
      </c>
      <c r="L139" s="52">
        <v>1</v>
      </c>
      <c r="M139" s="52">
        <v>70011</v>
      </c>
      <c r="N139" s="42" t="s">
        <v>53</v>
      </c>
      <c r="O139" s="52" t="s">
        <v>146</v>
      </c>
      <c r="P139" s="54">
        <v>64.709999999999994</v>
      </c>
      <c r="Q139" s="52"/>
      <c r="R139" s="54">
        <v>64.709999999999994</v>
      </c>
      <c r="S139" s="57">
        <v>46054</v>
      </c>
      <c r="T139" s="54">
        <v>9.7064999999999984</v>
      </c>
      <c r="U139" s="58">
        <v>4</v>
      </c>
      <c r="V139" s="54">
        <v>55.003499999999995</v>
      </c>
      <c r="W139" s="42" t="s">
        <v>47</v>
      </c>
      <c r="X139" s="42" t="s">
        <v>48</v>
      </c>
      <c r="Y139" s="42" t="s">
        <v>36</v>
      </c>
      <c r="Z139" s="42" t="s">
        <v>9</v>
      </c>
      <c r="AA139" s="42" t="s">
        <v>49</v>
      </c>
      <c r="AB139" s="42" t="s">
        <v>190</v>
      </c>
      <c r="AC139" s="42" t="s">
        <v>38</v>
      </c>
      <c r="AD139" s="59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</row>
    <row r="140" spans="1:49" ht="31.5" x14ac:dyDescent="0.25">
      <c r="A140" s="42" t="s">
        <v>144</v>
      </c>
      <c r="B140" s="44">
        <v>46065</v>
      </c>
      <c r="C140" s="44">
        <v>46065</v>
      </c>
      <c r="D140" s="42" t="s">
        <v>179</v>
      </c>
      <c r="E140" s="47">
        <v>0.54166666666666663</v>
      </c>
      <c r="F140" s="47">
        <v>0.5625</v>
      </c>
      <c r="G140" s="47">
        <v>1.7361111111111109E-4</v>
      </c>
      <c r="H140" s="49" t="s">
        <v>151</v>
      </c>
      <c r="I140" s="50">
        <v>0.56184027777777779</v>
      </c>
      <c r="J140" s="42" t="s">
        <v>96</v>
      </c>
      <c r="K140" s="42" t="s">
        <v>161</v>
      </c>
      <c r="L140" s="52">
        <v>1</v>
      </c>
      <c r="M140" s="52">
        <v>69976</v>
      </c>
      <c r="N140" s="42" t="s">
        <v>53</v>
      </c>
      <c r="O140" s="52" t="s">
        <v>152</v>
      </c>
      <c r="P140" s="54">
        <v>64.705882352941174</v>
      </c>
      <c r="Q140" s="52"/>
      <c r="R140" s="54">
        <v>64.705882352941174</v>
      </c>
      <c r="S140" s="57">
        <v>46054</v>
      </c>
      <c r="T140" s="54">
        <v>9.7058823529411757</v>
      </c>
      <c r="U140" s="58">
        <v>4</v>
      </c>
      <c r="V140" s="54">
        <v>55</v>
      </c>
      <c r="W140" s="42" t="s">
        <v>47</v>
      </c>
      <c r="X140" s="42" t="s">
        <v>48</v>
      </c>
      <c r="Y140" s="42" t="s">
        <v>36</v>
      </c>
      <c r="Z140" s="42" t="s">
        <v>9</v>
      </c>
      <c r="AA140" s="42" t="s">
        <v>49</v>
      </c>
      <c r="AB140" s="42" t="s">
        <v>153</v>
      </c>
      <c r="AC140" s="42" t="s">
        <v>38</v>
      </c>
      <c r="AD140" s="59" t="s">
        <v>242</v>
      </c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</row>
    <row r="141" spans="1:49" ht="31.5" x14ac:dyDescent="0.25">
      <c r="A141" s="42" t="s">
        <v>144</v>
      </c>
      <c r="B141" s="44">
        <v>46065</v>
      </c>
      <c r="C141" s="44">
        <v>46065</v>
      </c>
      <c r="D141" s="42" t="s">
        <v>179</v>
      </c>
      <c r="E141" s="47">
        <v>0.54166666666666663</v>
      </c>
      <c r="F141" s="47">
        <v>0.66666666666666663</v>
      </c>
      <c r="G141" s="47">
        <v>1.7361111111111109E-4</v>
      </c>
      <c r="H141" s="49" t="s">
        <v>154</v>
      </c>
      <c r="I141" s="50">
        <v>0.63597372685185183</v>
      </c>
      <c r="J141" s="42" t="s">
        <v>96</v>
      </c>
      <c r="K141" s="42" t="s">
        <v>163</v>
      </c>
      <c r="L141" s="52">
        <v>1</v>
      </c>
      <c r="M141" s="52">
        <v>70032</v>
      </c>
      <c r="N141" s="42" t="s">
        <v>46</v>
      </c>
      <c r="O141" s="52" t="s">
        <v>152</v>
      </c>
      <c r="P141" s="54">
        <v>0</v>
      </c>
      <c r="Q141" s="52"/>
      <c r="R141" s="54">
        <v>0</v>
      </c>
      <c r="S141" s="57">
        <v>46054</v>
      </c>
      <c r="T141" s="54">
        <v>0</v>
      </c>
      <c r="U141" s="58">
        <v>4</v>
      </c>
      <c r="V141" s="54">
        <v>0</v>
      </c>
      <c r="W141" s="42" t="s">
        <v>47</v>
      </c>
      <c r="X141" s="42" t="s">
        <v>48</v>
      </c>
      <c r="Y141" s="42" t="s">
        <v>36</v>
      </c>
      <c r="Z141" s="42" t="s">
        <v>9</v>
      </c>
      <c r="AA141" s="42" t="s">
        <v>49</v>
      </c>
      <c r="AB141" s="42" t="s">
        <v>153</v>
      </c>
      <c r="AC141" s="42" t="s">
        <v>38</v>
      </c>
      <c r="AD141" s="59" t="s">
        <v>242</v>
      </c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</row>
    <row r="142" spans="1:49" ht="31.5" x14ac:dyDescent="0.2">
      <c r="A142" s="42" t="s">
        <v>144</v>
      </c>
      <c r="B142" s="44">
        <v>46065</v>
      </c>
      <c r="C142" s="44">
        <v>46065</v>
      </c>
      <c r="D142" s="42" t="s">
        <v>179</v>
      </c>
      <c r="E142" s="47">
        <v>0.5625</v>
      </c>
      <c r="F142" s="47">
        <v>0.58333333333333337</v>
      </c>
      <c r="G142" s="47">
        <v>1.7361111111111109E-4</v>
      </c>
      <c r="H142" s="49" t="s">
        <v>154</v>
      </c>
      <c r="I142" s="50">
        <v>0.58289594907407405</v>
      </c>
      <c r="J142" s="42" t="s">
        <v>96</v>
      </c>
      <c r="K142" s="42" t="s">
        <v>162</v>
      </c>
      <c r="L142" s="52">
        <v>1</v>
      </c>
      <c r="M142" s="52">
        <v>69977</v>
      </c>
      <c r="N142" s="42" t="s">
        <v>53</v>
      </c>
      <c r="O142" s="52" t="s">
        <v>152</v>
      </c>
      <c r="P142" s="54">
        <v>64.705882352941174</v>
      </c>
      <c r="Q142" s="52"/>
      <c r="R142" s="54">
        <v>64.705882352941174</v>
      </c>
      <c r="S142" s="57">
        <v>46054</v>
      </c>
      <c r="T142" s="54">
        <v>9.7058823529411757</v>
      </c>
      <c r="U142" s="58">
        <v>4</v>
      </c>
      <c r="V142" s="54">
        <v>55</v>
      </c>
      <c r="W142" s="42" t="s">
        <v>47</v>
      </c>
      <c r="X142" s="42" t="s">
        <v>48</v>
      </c>
      <c r="Y142" s="42" t="s">
        <v>36</v>
      </c>
      <c r="Z142" s="42" t="s">
        <v>9</v>
      </c>
      <c r="AA142" s="42" t="s">
        <v>49</v>
      </c>
      <c r="AB142" s="42" t="s">
        <v>153</v>
      </c>
      <c r="AC142" s="42" t="s">
        <v>38</v>
      </c>
      <c r="AD142" s="59" t="s">
        <v>242</v>
      </c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</row>
    <row r="143" spans="1:49" ht="31.5" x14ac:dyDescent="0.25">
      <c r="A143" s="42" t="s">
        <v>144</v>
      </c>
      <c r="B143" s="44">
        <v>46065</v>
      </c>
      <c r="C143" s="44">
        <v>46065</v>
      </c>
      <c r="D143" s="42" t="s">
        <v>179</v>
      </c>
      <c r="E143" s="47">
        <v>0.58333333333333337</v>
      </c>
      <c r="F143" s="47">
        <v>0.66666666666666663</v>
      </c>
      <c r="G143" s="47">
        <v>1.7361111111111109E-4</v>
      </c>
      <c r="H143" s="49" t="s">
        <v>151</v>
      </c>
      <c r="I143" s="50">
        <v>0.6122002314814815</v>
      </c>
      <c r="J143" s="42" t="s">
        <v>96</v>
      </c>
      <c r="K143" s="42" t="s">
        <v>163</v>
      </c>
      <c r="L143" s="52">
        <v>1</v>
      </c>
      <c r="M143" s="52">
        <v>69978</v>
      </c>
      <c r="N143" s="42" t="s">
        <v>53</v>
      </c>
      <c r="O143" s="52" t="s">
        <v>152</v>
      </c>
      <c r="P143" s="54">
        <v>64.705882352941174</v>
      </c>
      <c r="Q143" s="52"/>
      <c r="R143" s="54">
        <v>64.705882352941174</v>
      </c>
      <c r="S143" s="57">
        <v>46054</v>
      </c>
      <c r="T143" s="54">
        <v>9.7058823529411757</v>
      </c>
      <c r="U143" s="58">
        <v>4</v>
      </c>
      <c r="V143" s="54">
        <v>55</v>
      </c>
      <c r="W143" s="42" t="s">
        <v>47</v>
      </c>
      <c r="X143" s="42" t="s">
        <v>48</v>
      </c>
      <c r="Y143" s="42" t="s">
        <v>36</v>
      </c>
      <c r="Z143" s="42" t="s">
        <v>9</v>
      </c>
      <c r="AA143" s="42" t="s">
        <v>49</v>
      </c>
      <c r="AB143" s="42" t="s">
        <v>153</v>
      </c>
      <c r="AC143" s="42" t="s">
        <v>38</v>
      </c>
      <c r="AD143" s="59" t="s">
        <v>242</v>
      </c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</row>
    <row r="144" spans="1:49" ht="31.5" x14ac:dyDescent="0.25">
      <c r="A144" s="42" t="s">
        <v>144</v>
      </c>
      <c r="B144" s="44">
        <v>46066</v>
      </c>
      <c r="C144" s="44">
        <v>46066</v>
      </c>
      <c r="D144" s="42" t="s">
        <v>195</v>
      </c>
      <c r="E144" s="47">
        <v>0.45833333333333331</v>
      </c>
      <c r="F144" s="47">
        <v>0.47916666666666669</v>
      </c>
      <c r="G144" s="47">
        <v>1.7361111111111109E-4</v>
      </c>
      <c r="H144" s="42" t="s">
        <v>148</v>
      </c>
      <c r="I144" s="50">
        <v>0.4777791666666667</v>
      </c>
      <c r="J144" s="42" t="s">
        <v>76</v>
      </c>
      <c r="K144" s="42" t="s">
        <v>143</v>
      </c>
      <c r="L144" s="52">
        <v>1</v>
      </c>
      <c r="M144" s="52">
        <v>70008</v>
      </c>
      <c r="N144" s="42" t="s">
        <v>53</v>
      </c>
      <c r="O144" s="52" t="s">
        <v>146</v>
      </c>
      <c r="P144" s="54">
        <v>64.709999999999994</v>
      </c>
      <c r="Q144" s="52"/>
      <c r="R144" s="54">
        <v>64.709999999999994</v>
      </c>
      <c r="S144" s="57">
        <v>46054</v>
      </c>
      <c r="T144" s="54">
        <v>9.7064999999999984</v>
      </c>
      <c r="U144" s="58">
        <v>4</v>
      </c>
      <c r="V144" s="54">
        <v>55.003499999999995</v>
      </c>
      <c r="W144" s="42" t="s">
        <v>47</v>
      </c>
      <c r="X144" s="42" t="s">
        <v>48</v>
      </c>
      <c r="Y144" s="42" t="s">
        <v>36</v>
      </c>
      <c r="Z144" s="42" t="s">
        <v>9</v>
      </c>
      <c r="AA144" s="42" t="s">
        <v>49</v>
      </c>
      <c r="AB144" s="42" t="s">
        <v>190</v>
      </c>
      <c r="AC144" s="42" t="s">
        <v>38</v>
      </c>
      <c r="AD144" s="59" t="s">
        <v>242</v>
      </c>
      <c r="AE144" s="60"/>
      <c r="AF144" s="60"/>
      <c r="AG144" s="60"/>
      <c r="AH144" s="60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</row>
    <row r="145" spans="1:49" ht="31.5" x14ac:dyDescent="0.2">
      <c r="A145" s="42" t="s">
        <v>144</v>
      </c>
      <c r="B145" s="44">
        <v>46066</v>
      </c>
      <c r="C145" s="44">
        <v>46066</v>
      </c>
      <c r="D145" s="42" t="s">
        <v>195</v>
      </c>
      <c r="E145" s="47">
        <v>0.47916666666666669</v>
      </c>
      <c r="F145" s="47">
        <v>0.5</v>
      </c>
      <c r="G145" s="47">
        <v>1.7361111111111109E-4</v>
      </c>
      <c r="H145" s="42" t="s">
        <v>145</v>
      </c>
      <c r="I145" s="50">
        <v>0.49899571759259265</v>
      </c>
      <c r="J145" s="42" t="s">
        <v>76</v>
      </c>
      <c r="K145" s="42" t="s">
        <v>128</v>
      </c>
      <c r="L145" s="52">
        <v>1</v>
      </c>
      <c r="M145" s="52">
        <v>70009</v>
      </c>
      <c r="N145" s="42" t="s">
        <v>53</v>
      </c>
      <c r="O145" s="52" t="s">
        <v>146</v>
      </c>
      <c r="P145" s="54">
        <v>64.709999999999994</v>
      </c>
      <c r="Q145" s="52"/>
      <c r="R145" s="54">
        <v>64.709999999999994</v>
      </c>
      <c r="S145" s="57">
        <v>46054</v>
      </c>
      <c r="T145" s="54">
        <v>9.7064999999999984</v>
      </c>
      <c r="U145" s="58">
        <v>4</v>
      </c>
      <c r="V145" s="54">
        <v>55.003499999999995</v>
      </c>
      <c r="W145" s="42" t="s">
        <v>47</v>
      </c>
      <c r="X145" s="42" t="s">
        <v>48</v>
      </c>
      <c r="Y145" s="42" t="s">
        <v>36</v>
      </c>
      <c r="Z145" s="42" t="s">
        <v>9</v>
      </c>
      <c r="AA145" s="42" t="s">
        <v>49</v>
      </c>
      <c r="AB145" s="42" t="s">
        <v>190</v>
      </c>
      <c r="AC145" s="42" t="s">
        <v>38</v>
      </c>
      <c r="AD145" s="59" t="s">
        <v>242</v>
      </c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</row>
    <row r="146" spans="1:49" ht="31.5" x14ac:dyDescent="0.25">
      <c r="A146" s="42" t="s">
        <v>144</v>
      </c>
      <c r="B146" s="44">
        <v>46066</v>
      </c>
      <c r="C146" s="44">
        <v>46066</v>
      </c>
      <c r="D146" s="42" t="s">
        <v>195</v>
      </c>
      <c r="E146" s="47">
        <v>0.5</v>
      </c>
      <c r="F146" s="47">
        <v>0.54166666666666663</v>
      </c>
      <c r="G146" s="47">
        <v>1.7361111111111109E-4</v>
      </c>
      <c r="H146" s="42" t="s">
        <v>148</v>
      </c>
      <c r="I146" s="50">
        <v>0.52768530092592592</v>
      </c>
      <c r="J146" s="42" t="s">
        <v>76</v>
      </c>
      <c r="K146" s="42" t="s">
        <v>129</v>
      </c>
      <c r="L146" s="52">
        <v>1</v>
      </c>
      <c r="M146" s="52">
        <v>70011</v>
      </c>
      <c r="N146" s="42" t="s">
        <v>53</v>
      </c>
      <c r="O146" s="52" t="s">
        <v>146</v>
      </c>
      <c r="P146" s="54">
        <v>64.709999999999994</v>
      </c>
      <c r="Q146" s="52"/>
      <c r="R146" s="54">
        <v>64.709999999999994</v>
      </c>
      <c r="S146" s="57">
        <v>46054</v>
      </c>
      <c r="T146" s="54">
        <v>9.7064999999999984</v>
      </c>
      <c r="U146" s="58">
        <v>4</v>
      </c>
      <c r="V146" s="54">
        <v>55.003499999999995</v>
      </c>
      <c r="W146" s="42" t="s">
        <v>47</v>
      </c>
      <c r="X146" s="42" t="s">
        <v>48</v>
      </c>
      <c r="Y146" s="42" t="s">
        <v>36</v>
      </c>
      <c r="Z146" s="42" t="s">
        <v>9</v>
      </c>
      <c r="AA146" s="42" t="s">
        <v>49</v>
      </c>
      <c r="AB146" s="42" t="s">
        <v>190</v>
      </c>
      <c r="AC146" s="42" t="s">
        <v>38</v>
      </c>
      <c r="AD146" s="59" t="s">
        <v>242</v>
      </c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</row>
    <row r="147" spans="1:49" ht="31.5" x14ac:dyDescent="0.25">
      <c r="A147" s="42" t="s">
        <v>144</v>
      </c>
      <c r="B147" s="44">
        <v>46066</v>
      </c>
      <c r="C147" s="44">
        <v>46066</v>
      </c>
      <c r="D147" s="42" t="s">
        <v>195</v>
      </c>
      <c r="E147" s="47">
        <v>0.54166666666666663</v>
      </c>
      <c r="F147" s="47">
        <v>0.5625</v>
      </c>
      <c r="G147" s="47">
        <v>1.7361111111111109E-4</v>
      </c>
      <c r="H147" s="42" t="s">
        <v>151</v>
      </c>
      <c r="I147" s="50">
        <v>0.56162037037037038</v>
      </c>
      <c r="J147" s="42" t="s">
        <v>96</v>
      </c>
      <c r="K147" s="42" t="s">
        <v>161</v>
      </c>
      <c r="L147" s="52">
        <v>1</v>
      </c>
      <c r="M147" s="52">
        <v>69976</v>
      </c>
      <c r="N147" s="42" t="s">
        <v>53</v>
      </c>
      <c r="O147" s="52" t="s">
        <v>152</v>
      </c>
      <c r="P147" s="54">
        <v>64.709999999999994</v>
      </c>
      <c r="Q147" s="52"/>
      <c r="R147" s="54">
        <v>64.709999999999994</v>
      </c>
      <c r="S147" s="57">
        <v>46054</v>
      </c>
      <c r="T147" s="54">
        <v>9.7064999999999984</v>
      </c>
      <c r="U147" s="58">
        <v>4</v>
      </c>
      <c r="V147" s="54">
        <v>55.003499999999995</v>
      </c>
      <c r="W147" s="42" t="s">
        <v>47</v>
      </c>
      <c r="X147" s="42" t="s">
        <v>48</v>
      </c>
      <c r="Y147" s="42" t="s">
        <v>36</v>
      </c>
      <c r="Z147" s="42" t="s">
        <v>9</v>
      </c>
      <c r="AA147" s="42" t="s">
        <v>49</v>
      </c>
      <c r="AB147" s="42" t="s">
        <v>153</v>
      </c>
      <c r="AC147" s="42" t="s">
        <v>38</v>
      </c>
      <c r="AD147" s="59" t="s">
        <v>242</v>
      </c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</row>
    <row r="148" spans="1:49" ht="31.5" x14ac:dyDescent="0.25">
      <c r="A148" s="42" t="s">
        <v>144</v>
      </c>
      <c r="B148" s="44">
        <v>46066</v>
      </c>
      <c r="C148" s="44">
        <v>46066</v>
      </c>
      <c r="D148" s="42" t="s">
        <v>195</v>
      </c>
      <c r="E148" s="47">
        <v>0.54166666666666663</v>
      </c>
      <c r="F148" s="47">
        <v>0.66666666666666663</v>
      </c>
      <c r="G148" s="47">
        <v>1.7361111111111109E-4</v>
      </c>
      <c r="H148" s="42" t="s">
        <v>154</v>
      </c>
      <c r="I148" s="50">
        <v>0.65184212962962962</v>
      </c>
      <c r="J148" s="42" t="s">
        <v>96</v>
      </c>
      <c r="K148" s="42" t="s">
        <v>163</v>
      </c>
      <c r="L148" s="52">
        <v>1</v>
      </c>
      <c r="M148" s="52">
        <v>70032</v>
      </c>
      <c r="N148" s="42" t="s">
        <v>46</v>
      </c>
      <c r="O148" s="52" t="s">
        <v>152</v>
      </c>
      <c r="P148" s="54">
        <v>0</v>
      </c>
      <c r="Q148" s="52"/>
      <c r="R148" s="54">
        <v>0</v>
      </c>
      <c r="S148" s="57">
        <v>46054</v>
      </c>
      <c r="T148" s="54">
        <v>0</v>
      </c>
      <c r="U148" s="58">
        <v>4</v>
      </c>
      <c r="V148" s="54">
        <v>0</v>
      </c>
      <c r="W148" s="42" t="s">
        <v>47</v>
      </c>
      <c r="X148" s="42" t="s">
        <v>48</v>
      </c>
      <c r="Y148" s="42" t="s">
        <v>36</v>
      </c>
      <c r="Z148" s="42" t="s">
        <v>9</v>
      </c>
      <c r="AA148" s="42" t="s">
        <v>49</v>
      </c>
      <c r="AB148" s="42" t="s">
        <v>153</v>
      </c>
      <c r="AC148" s="42" t="s">
        <v>38</v>
      </c>
      <c r="AD148" s="59" t="s">
        <v>242</v>
      </c>
      <c r="AE148" s="60"/>
      <c r="AF148" s="60"/>
      <c r="AG148" s="60"/>
      <c r="AH148" s="60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</row>
    <row r="149" spans="1:49" ht="31.5" x14ac:dyDescent="0.2">
      <c r="A149" s="42" t="s">
        <v>144</v>
      </c>
      <c r="B149" s="44">
        <v>46066</v>
      </c>
      <c r="C149" s="44">
        <v>46066</v>
      </c>
      <c r="D149" s="42" t="s">
        <v>195</v>
      </c>
      <c r="E149" s="47">
        <v>0.5625</v>
      </c>
      <c r="F149" s="47">
        <v>0.58333333333333337</v>
      </c>
      <c r="G149" s="47">
        <v>1.7361111111111109E-4</v>
      </c>
      <c r="H149" s="42" t="s">
        <v>154</v>
      </c>
      <c r="I149" s="50">
        <v>0.5816327546296296</v>
      </c>
      <c r="J149" s="42" t="s">
        <v>96</v>
      </c>
      <c r="K149" s="42" t="s">
        <v>162</v>
      </c>
      <c r="L149" s="52">
        <v>1</v>
      </c>
      <c r="M149" s="52">
        <v>69977</v>
      </c>
      <c r="N149" s="42" t="s">
        <v>53</v>
      </c>
      <c r="O149" s="52" t="s">
        <v>152</v>
      </c>
      <c r="P149" s="54">
        <v>64.709999999999994</v>
      </c>
      <c r="Q149" s="52"/>
      <c r="R149" s="54">
        <v>64.709999999999994</v>
      </c>
      <c r="S149" s="57">
        <v>46054</v>
      </c>
      <c r="T149" s="54">
        <v>9.7064999999999984</v>
      </c>
      <c r="U149" s="58">
        <v>4</v>
      </c>
      <c r="V149" s="54">
        <v>55.003499999999995</v>
      </c>
      <c r="W149" s="42" t="s">
        <v>47</v>
      </c>
      <c r="X149" s="42" t="s">
        <v>48</v>
      </c>
      <c r="Y149" s="42" t="s">
        <v>36</v>
      </c>
      <c r="Z149" s="42" t="s">
        <v>9</v>
      </c>
      <c r="AA149" s="42" t="s">
        <v>49</v>
      </c>
      <c r="AB149" s="42" t="s">
        <v>153</v>
      </c>
      <c r="AC149" s="42" t="s">
        <v>38</v>
      </c>
      <c r="AD149" s="59" t="s">
        <v>242</v>
      </c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</row>
    <row r="150" spans="1:49" ht="31.5" x14ac:dyDescent="0.25">
      <c r="A150" s="42" t="s">
        <v>144</v>
      </c>
      <c r="B150" s="44">
        <v>46066</v>
      </c>
      <c r="C150" s="44">
        <v>46066</v>
      </c>
      <c r="D150" s="42" t="s">
        <v>195</v>
      </c>
      <c r="E150" s="47">
        <v>0.58333333333333337</v>
      </c>
      <c r="F150" s="47">
        <v>0.66666666666666663</v>
      </c>
      <c r="G150" s="47">
        <v>1.7361111111111109E-4</v>
      </c>
      <c r="H150" s="42" t="s">
        <v>151</v>
      </c>
      <c r="I150" s="50">
        <v>0.59813657407407406</v>
      </c>
      <c r="J150" s="42" t="s">
        <v>96</v>
      </c>
      <c r="K150" s="42" t="s">
        <v>163</v>
      </c>
      <c r="L150" s="52">
        <v>1</v>
      </c>
      <c r="M150" s="52">
        <v>69978</v>
      </c>
      <c r="N150" s="42" t="s">
        <v>53</v>
      </c>
      <c r="O150" s="52" t="s">
        <v>152</v>
      </c>
      <c r="P150" s="54">
        <v>64.709999999999994</v>
      </c>
      <c r="Q150" s="52"/>
      <c r="R150" s="54">
        <v>64.709999999999994</v>
      </c>
      <c r="S150" s="57">
        <v>46054</v>
      </c>
      <c r="T150" s="54">
        <v>9.7064999999999984</v>
      </c>
      <c r="U150" s="58">
        <v>4</v>
      </c>
      <c r="V150" s="54">
        <v>55.003499999999995</v>
      </c>
      <c r="W150" s="42" t="s">
        <v>47</v>
      </c>
      <c r="X150" s="42" t="s">
        <v>48</v>
      </c>
      <c r="Y150" s="42" t="s">
        <v>36</v>
      </c>
      <c r="Z150" s="42" t="s">
        <v>9</v>
      </c>
      <c r="AA150" s="42" t="s">
        <v>49</v>
      </c>
      <c r="AB150" s="42" t="s">
        <v>153</v>
      </c>
      <c r="AC150" s="42" t="s">
        <v>38</v>
      </c>
      <c r="AD150" s="59" t="s">
        <v>242</v>
      </c>
      <c r="AE150" s="60"/>
      <c r="AF150" s="60"/>
      <c r="AG150" s="60"/>
      <c r="AH150" s="60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</row>
    <row r="151" spans="1:49" ht="31.5" x14ac:dyDescent="0.25">
      <c r="A151" s="42" t="s">
        <v>144</v>
      </c>
      <c r="B151" s="44">
        <v>46067</v>
      </c>
      <c r="C151" s="44">
        <v>46067</v>
      </c>
      <c r="D151" s="42" t="s">
        <v>203</v>
      </c>
      <c r="E151" s="47">
        <v>0.45833333333333331</v>
      </c>
      <c r="F151" s="47">
        <v>0.47916666666666669</v>
      </c>
      <c r="G151" s="47">
        <v>1.7361111111111109E-4</v>
      </c>
      <c r="H151" s="42" t="s">
        <v>213</v>
      </c>
      <c r="I151" s="50">
        <v>0.46324375000000001</v>
      </c>
      <c r="J151" s="42" t="s">
        <v>76</v>
      </c>
      <c r="K151" s="42" t="s">
        <v>143</v>
      </c>
      <c r="L151" s="52">
        <v>1</v>
      </c>
      <c r="M151" s="52">
        <v>70012</v>
      </c>
      <c r="N151" s="42" t="s">
        <v>53</v>
      </c>
      <c r="O151" s="52" t="s">
        <v>146</v>
      </c>
      <c r="P151" s="54">
        <v>44.71</v>
      </c>
      <c r="Q151" s="52"/>
      <c r="R151" s="54">
        <v>44.71</v>
      </c>
      <c r="S151" s="57">
        <v>46054</v>
      </c>
      <c r="T151" s="54">
        <v>6.7065000000000001</v>
      </c>
      <c r="U151" s="58">
        <v>4</v>
      </c>
      <c r="V151" s="54">
        <v>38.003500000000003</v>
      </c>
      <c r="W151" s="42" t="s">
        <v>47</v>
      </c>
      <c r="X151" s="42" t="s">
        <v>48</v>
      </c>
      <c r="Y151" s="42" t="s">
        <v>36</v>
      </c>
      <c r="Z151" s="42" t="s">
        <v>9</v>
      </c>
      <c r="AA151" s="42" t="s">
        <v>49</v>
      </c>
      <c r="AB151" s="42" t="s">
        <v>190</v>
      </c>
      <c r="AC151" s="42" t="s">
        <v>38</v>
      </c>
      <c r="AD151" s="59" t="s">
        <v>242</v>
      </c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</row>
    <row r="152" spans="1:49" ht="31.5" x14ac:dyDescent="0.2">
      <c r="A152" s="42" t="s">
        <v>144</v>
      </c>
      <c r="B152" s="44">
        <v>46067</v>
      </c>
      <c r="C152" s="44">
        <v>46067</v>
      </c>
      <c r="D152" s="42" t="s">
        <v>203</v>
      </c>
      <c r="E152" s="47">
        <v>0.45833333333333331</v>
      </c>
      <c r="F152" s="47">
        <v>0.54166666666666663</v>
      </c>
      <c r="G152" s="47">
        <v>1.7361111111111109E-4</v>
      </c>
      <c r="H152" s="42" t="s">
        <v>211</v>
      </c>
      <c r="I152" s="50">
        <v>0.49815972222222221</v>
      </c>
      <c r="J152" s="42" t="s">
        <v>76</v>
      </c>
      <c r="K152" s="42" t="s">
        <v>128</v>
      </c>
      <c r="L152" s="52">
        <v>1</v>
      </c>
      <c r="M152" s="52">
        <v>70036</v>
      </c>
      <c r="N152" s="42" t="s">
        <v>46</v>
      </c>
      <c r="O152" s="52" t="s">
        <v>146</v>
      </c>
      <c r="P152" s="54">
        <v>0</v>
      </c>
      <c r="Q152" s="52"/>
      <c r="R152" s="54">
        <v>0</v>
      </c>
      <c r="S152" s="57">
        <v>46054</v>
      </c>
      <c r="T152" s="54">
        <v>0</v>
      </c>
      <c r="U152" s="58">
        <v>4</v>
      </c>
      <c r="V152" s="54">
        <v>0</v>
      </c>
      <c r="W152" s="42" t="s">
        <v>47</v>
      </c>
      <c r="X152" s="42" t="s">
        <v>48</v>
      </c>
      <c r="Y152" s="42" t="s">
        <v>36</v>
      </c>
      <c r="Z152" s="42" t="s">
        <v>9</v>
      </c>
      <c r="AA152" s="42" t="s">
        <v>49</v>
      </c>
      <c r="AB152" s="42" t="s">
        <v>190</v>
      </c>
      <c r="AC152" s="42" t="s">
        <v>38</v>
      </c>
      <c r="AD152" s="59" t="s">
        <v>242</v>
      </c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5">
      <c r="A153" s="42" t="s">
        <v>144</v>
      </c>
      <c r="B153" s="44">
        <v>46067</v>
      </c>
      <c r="C153" s="44">
        <v>46067</v>
      </c>
      <c r="D153" s="42" t="s">
        <v>203</v>
      </c>
      <c r="E153" s="47">
        <v>0.45833333333333331</v>
      </c>
      <c r="F153" s="47">
        <v>0.54166666666666663</v>
      </c>
      <c r="G153" s="47">
        <v>1.7361111111111109E-4</v>
      </c>
      <c r="H153" s="42" t="s">
        <v>211</v>
      </c>
      <c r="I153" s="50">
        <v>0.52534756944444438</v>
      </c>
      <c r="J153" s="42" t="s">
        <v>76</v>
      </c>
      <c r="K153" s="42" t="s">
        <v>129</v>
      </c>
      <c r="L153" s="52">
        <v>1</v>
      </c>
      <c r="M153" s="52">
        <v>70036</v>
      </c>
      <c r="N153" s="42" t="s">
        <v>46</v>
      </c>
      <c r="O153" s="52" t="s">
        <v>146</v>
      </c>
      <c r="P153" s="54">
        <v>0</v>
      </c>
      <c r="Q153" s="52"/>
      <c r="R153" s="54">
        <v>0</v>
      </c>
      <c r="S153" s="57">
        <v>46054</v>
      </c>
      <c r="T153" s="54">
        <v>0</v>
      </c>
      <c r="U153" s="58">
        <v>4</v>
      </c>
      <c r="V153" s="54">
        <v>0</v>
      </c>
      <c r="W153" s="42" t="s">
        <v>47</v>
      </c>
      <c r="X153" s="42" t="s">
        <v>48</v>
      </c>
      <c r="Y153" s="42" t="s">
        <v>36</v>
      </c>
      <c r="Z153" s="42" t="s">
        <v>9</v>
      </c>
      <c r="AA153" s="42" t="s">
        <v>49</v>
      </c>
      <c r="AB153" s="42" t="s">
        <v>190</v>
      </c>
      <c r="AC153" s="42" t="s">
        <v>38</v>
      </c>
      <c r="AD153" s="59" t="s">
        <v>242</v>
      </c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</row>
    <row r="154" spans="1:49" ht="31.5" x14ac:dyDescent="0.25">
      <c r="A154" s="42" t="s">
        <v>144</v>
      </c>
      <c r="B154" s="44">
        <v>46067</v>
      </c>
      <c r="C154" s="44">
        <v>46067</v>
      </c>
      <c r="D154" s="42" t="s">
        <v>203</v>
      </c>
      <c r="E154" s="47">
        <v>0.5</v>
      </c>
      <c r="F154" s="47">
        <v>0.54166666666666663</v>
      </c>
      <c r="G154" s="47">
        <v>1.7361111111111109E-4</v>
      </c>
      <c r="H154" s="42" t="s">
        <v>213</v>
      </c>
      <c r="I154" s="50">
        <v>0.51215289351851856</v>
      </c>
      <c r="J154" s="42" t="s">
        <v>76</v>
      </c>
      <c r="K154" s="42" t="s">
        <v>129</v>
      </c>
      <c r="L154" s="52">
        <v>1</v>
      </c>
      <c r="M154" s="52">
        <v>70035</v>
      </c>
      <c r="N154" s="42" t="s">
        <v>53</v>
      </c>
      <c r="O154" s="52" t="s">
        <v>146</v>
      </c>
      <c r="P154" s="54">
        <v>44.71</v>
      </c>
      <c r="Q154" s="52"/>
      <c r="R154" s="54">
        <v>44.71</v>
      </c>
      <c r="S154" s="57">
        <v>46054</v>
      </c>
      <c r="T154" s="54">
        <v>6.7065000000000001</v>
      </c>
      <c r="U154" s="58">
        <v>4</v>
      </c>
      <c r="V154" s="54">
        <v>38.003500000000003</v>
      </c>
      <c r="W154" s="42" t="s">
        <v>47</v>
      </c>
      <c r="X154" s="42" t="s">
        <v>48</v>
      </c>
      <c r="Y154" s="42" t="s">
        <v>36</v>
      </c>
      <c r="Z154" s="42" t="s">
        <v>9</v>
      </c>
      <c r="AA154" s="42" t="s">
        <v>49</v>
      </c>
      <c r="AB154" s="42" t="s">
        <v>190</v>
      </c>
      <c r="AC154" s="42" t="s">
        <v>38</v>
      </c>
      <c r="AD154" s="59" t="s">
        <v>242</v>
      </c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</row>
    <row r="155" spans="1:49" ht="31.5" x14ac:dyDescent="0.25">
      <c r="A155" s="42" t="s">
        <v>144</v>
      </c>
      <c r="B155" s="44">
        <v>46067</v>
      </c>
      <c r="C155" s="44">
        <v>46067</v>
      </c>
      <c r="D155" s="42" t="s">
        <v>203</v>
      </c>
      <c r="E155" s="47">
        <v>0.54166666666666663</v>
      </c>
      <c r="F155" s="47">
        <v>0.66666666666666663</v>
      </c>
      <c r="G155" s="47">
        <v>1.7361111111111109E-4</v>
      </c>
      <c r="H155" s="42" t="s">
        <v>220</v>
      </c>
      <c r="I155" s="50">
        <v>0.55774456018518515</v>
      </c>
      <c r="J155" s="42" t="s">
        <v>96</v>
      </c>
      <c r="K155" s="42" t="s">
        <v>229</v>
      </c>
      <c r="L155" s="52">
        <v>1</v>
      </c>
      <c r="M155" s="52">
        <v>69979</v>
      </c>
      <c r="N155" s="42" t="s">
        <v>53</v>
      </c>
      <c r="O155" s="52" t="s">
        <v>152</v>
      </c>
      <c r="P155" s="54">
        <v>44.71</v>
      </c>
      <c r="Q155" s="52"/>
      <c r="R155" s="54">
        <v>44.71</v>
      </c>
      <c r="S155" s="57">
        <v>46054</v>
      </c>
      <c r="T155" s="54">
        <v>6.7065000000000001</v>
      </c>
      <c r="U155" s="58">
        <v>4</v>
      </c>
      <c r="V155" s="54">
        <v>38.003500000000003</v>
      </c>
      <c r="W155" s="42" t="s">
        <v>47</v>
      </c>
      <c r="X155" s="42" t="s">
        <v>48</v>
      </c>
      <c r="Y155" s="42" t="s">
        <v>36</v>
      </c>
      <c r="Z155" s="42" t="s">
        <v>9</v>
      </c>
      <c r="AA155" s="42" t="s">
        <v>49</v>
      </c>
      <c r="AB155" s="42" t="s">
        <v>153</v>
      </c>
      <c r="AC155" s="42" t="s">
        <v>38</v>
      </c>
      <c r="AD155" s="59" t="s">
        <v>242</v>
      </c>
      <c r="AE155" s="60"/>
      <c r="AF155" s="60"/>
      <c r="AG155" s="60"/>
      <c r="AH155" s="60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</row>
    <row r="156" spans="1:49" ht="31.5" x14ac:dyDescent="0.25">
      <c r="A156" s="42" t="s">
        <v>144</v>
      </c>
      <c r="B156" s="44">
        <v>46067</v>
      </c>
      <c r="C156" s="44">
        <v>46067</v>
      </c>
      <c r="D156" s="42" t="s">
        <v>203</v>
      </c>
      <c r="E156" s="47">
        <v>0.54166666666666663</v>
      </c>
      <c r="F156" s="47">
        <v>0.66666666666666663</v>
      </c>
      <c r="G156" s="47">
        <v>1.7361111111111109E-4</v>
      </c>
      <c r="H156" s="42" t="s">
        <v>219</v>
      </c>
      <c r="I156" s="50">
        <v>0.58281261574074072</v>
      </c>
      <c r="J156" s="42" t="s">
        <v>96</v>
      </c>
      <c r="K156" s="42" t="s">
        <v>229</v>
      </c>
      <c r="L156" s="52">
        <v>1</v>
      </c>
      <c r="M156" s="52">
        <v>70032</v>
      </c>
      <c r="N156" s="42" t="s">
        <v>46</v>
      </c>
      <c r="O156" s="52" t="s">
        <v>152</v>
      </c>
      <c r="P156" s="54">
        <v>0</v>
      </c>
      <c r="Q156" s="52"/>
      <c r="R156" s="54">
        <v>0</v>
      </c>
      <c r="S156" s="57">
        <v>46054</v>
      </c>
      <c r="T156" s="54">
        <v>0</v>
      </c>
      <c r="U156" s="58">
        <v>4</v>
      </c>
      <c r="V156" s="54">
        <v>0</v>
      </c>
      <c r="W156" s="42" t="s">
        <v>47</v>
      </c>
      <c r="X156" s="42" t="s">
        <v>48</v>
      </c>
      <c r="Y156" s="42" t="s">
        <v>36</v>
      </c>
      <c r="Z156" s="42" t="s">
        <v>9</v>
      </c>
      <c r="AA156" s="42" t="s">
        <v>49</v>
      </c>
      <c r="AB156" s="42" t="s">
        <v>153</v>
      </c>
      <c r="AC156" s="42" t="s">
        <v>38</v>
      </c>
      <c r="AD156" s="59" t="s">
        <v>242</v>
      </c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</row>
    <row r="157" spans="1:49" ht="31.5" x14ac:dyDescent="0.25">
      <c r="A157" s="42" t="s">
        <v>144</v>
      </c>
      <c r="B157" s="44">
        <v>46067</v>
      </c>
      <c r="C157" s="44">
        <v>46067</v>
      </c>
      <c r="D157" s="42" t="s">
        <v>203</v>
      </c>
      <c r="E157" s="47">
        <v>0.54166666666666663</v>
      </c>
      <c r="F157" s="47">
        <v>0.66666666666666663</v>
      </c>
      <c r="G157" s="47">
        <v>1.7361111111111109E-4</v>
      </c>
      <c r="H157" s="42" t="s">
        <v>220</v>
      </c>
      <c r="I157" s="50">
        <v>0.62394918981481484</v>
      </c>
      <c r="J157" s="42" t="s">
        <v>96</v>
      </c>
      <c r="K157" s="42" t="s">
        <v>229</v>
      </c>
      <c r="L157" s="52">
        <v>1</v>
      </c>
      <c r="M157" s="52">
        <v>69979</v>
      </c>
      <c r="N157" s="42" t="s">
        <v>53</v>
      </c>
      <c r="O157" s="52" t="s">
        <v>152</v>
      </c>
      <c r="P157" s="54">
        <v>44.71</v>
      </c>
      <c r="Q157" s="52"/>
      <c r="R157" s="54">
        <v>44.71</v>
      </c>
      <c r="S157" s="57">
        <v>46054</v>
      </c>
      <c r="T157" s="54">
        <v>6.7065000000000001</v>
      </c>
      <c r="U157" s="58">
        <v>4</v>
      </c>
      <c r="V157" s="54">
        <v>38.003500000000003</v>
      </c>
      <c r="W157" s="42" t="s">
        <v>47</v>
      </c>
      <c r="X157" s="42" t="s">
        <v>48</v>
      </c>
      <c r="Y157" s="42" t="s">
        <v>36</v>
      </c>
      <c r="Z157" s="42" t="s">
        <v>9</v>
      </c>
      <c r="AA157" s="42" t="s">
        <v>49</v>
      </c>
      <c r="AB157" s="42" t="s">
        <v>153</v>
      </c>
      <c r="AC157" s="42" t="s">
        <v>38</v>
      </c>
      <c r="AD157" s="59" t="s">
        <v>242</v>
      </c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</row>
    <row r="158" spans="1:49" ht="31.5" x14ac:dyDescent="0.25">
      <c r="A158" s="42" t="s">
        <v>144</v>
      </c>
      <c r="B158" s="44">
        <v>46067</v>
      </c>
      <c r="C158" s="44">
        <v>46067</v>
      </c>
      <c r="D158" s="42" t="s">
        <v>203</v>
      </c>
      <c r="E158" s="47">
        <v>0.54166666666666663</v>
      </c>
      <c r="F158" s="47">
        <v>0.66666666666666663</v>
      </c>
      <c r="G158" s="47">
        <v>1.7361111111111109E-4</v>
      </c>
      <c r="H158" s="42" t="s">
        <v>219</v>
      </c>
      <c r="I158" s="50">
        <v>0.64739583333333328</v>
      </c>
      <c r="J158" s="42" t="s">
        <v>96</v>
      </c>
      <c r="K158" s="42" t="s">
        <v>229</v>
      </c>
      <c r="L158" s="52">
        <v>1</v>
      </c>
      <c r="M158" s="52">
        <v>69979</v>
      </c>
      <c r="N158" s="42" t="s">
        <v>53</v>
      </c>
      <c r="O158" s="52" t="s">
        <v>152</v>
      </c>
      <c r="P158" s="54">
        <v>44.71</v>
      </c>
      <c r="Q158" s="52"/>
      <c r="R158" s="54">
        <v>44.71</v>
      </c>
      <c r="S158" s="57">
        <v>46054</v>
      </c>
      <c r="T158" s="54">
        <v>6.7065000000000001</v>
      </c>
      <c r="U158" s="58">
        <v>4</v>
      </c>
      <c r="V158" s="54">
        <v>38.003500000000003</v>
      </c>
      <c r="W158" s="42" t="s">
        <v>47</v>
      </c>
      <c r="X158" s="42" t="s">
        <v>48</v>
      </c>
      <c r="Y158" s="42" t="s">
        <v>36</v>
      </c>
      <c r="Z158" s="42" t="s">
        <v>9</v>
      </c>
      <c r="AA158" s="42" t="s">
        <v>49</v>
      </c>
      <c r="AB158" s="42" t="s">
        <v>153</v>
      </c>
      <c r="AC158" s="42" t="s">
        <v>38</v>
      </c>
      <c r="AD158" s="59" t="s">
        <v>242</v>
      </c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</row>
    <row r="159" spans="1:49" ht="31.5" x14ac:dyDescent="0.25">
      <c r="A159" s="42" t="s">
        <v>144</v>
      </c>
      <c r="B159" s="44">
        <v>46068</v>
      </c>
      <c r="C159" s="44">
        <v>46068</v>
      </c>
      <c r="D159" s="42" t="s">
        <v>231</v>
      </c>
      <c r="E159" s="47">
        <v>0.47916666666666669</v>
      </c>
      <c r="F159" s="47">
        <v>0.5</v>
      </c>
      <c r="G159" s="47">
        <v>1.7361111111111109E-4</v>
      </c>
      <c r="H159" s="42" t="s">
        <v>213</v>
      </c>
      <c r="I159" s="50">
        <v>0.49935462962962962</v>
      </c>
      <c r="J159" s="42" t="s">
        <v>76</v>
      </c>
      <c r="K159" s="42" t="s">
        <v>128</v>
      </c>
      <c r="L159" s="52">
        <v>1</v>
      </c>
      <c r="M159" s="52">
        <v>70034</v>
      </c>
      <c r="N159" s="42" t="s">
        <v>53</v>
      </c>
      <c r="O159" s="52" t="s">
        <v>146</v>
      </c>
      <c r="P159" s="54">
        <v>44.71</v>
      </c>
      <c r="Q159" s="52"/>
      <c r="R159" s="54">
        <v>44.71</v>
      </c>
      <c r="S159" s="57">
        <v>46054</v>
      </c>
      <c r="T159" s="54">
        <v>6.7065000000000001</v>
      </c>
      <c r="U159" s="58">
        <v>4</v>
      </c>
      <c r="V159" s="54">
        <v>38.003500000000003</v>
      </c>
      <c r="W159" s="42" t="s">
        <v>47</v>
      </c>
      <c r="X159" s="42" t="s">
        <v>48</v>
      </c>
      <c r="Y159" s="42" t="s">
        <v>36</v>
      </c>
      <c r="Z159" s="42" t="s">
        <v>9</v>
      </c>
      <c r="AA159" s="42" t="s">
        <v>49</v>
      </c>
      <c r="AB159" s="42" t="s">
        <v>190</v>
      </c>
      <c r="AC159" s="42" t="s">
        <v>38</v>
      </c>
      <c r="AD159" s="59" t="s">
        <v>242</v>
      </c>
      <c r="AE159" s="60"/>
      <c r="AF159" s="60"/>
      <c r="AG159" s="60"/>
      <c r="AH159" s="60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</row>
    <row r="160" spans="1:49" ht="31.5" x14ac:dyDescent="0.2">
      <c r="A160" s="42" t="s">
        <v>144</v>
      </c>
      <c r="B160" s="44">
        <v>46068</v>
      </c>
      <c r="C160" s="44">
        <v>46068</v>
      </c>
      <c r="D160" s="42" t="s">
        <v>231</v>
      </c>
      <c r="E160" s="47">
        <v>0.54166666666666663</v>
      </c>
      <c r="F160" s="47">
        <v>0.66666666666666663</v>
      </c>
      <c r="G160" s="47">
        <v>1.7361111111111109E-4</v>
      </c>
      <c r="H160" s="42" t="s">
        <v>220</v>
      </c>
      <c r="I160" s="50">
        <v>0.55487581018518517</v>
      </c>
      <c r="J160" s="42" t="s">
        <v>96</v>
      </c>
      <c r="K160" s="42" t="s">
        <v>229</v>
      </c>
      <c r="L160" s="52">
        <v>1</v>
      </c>
      <c r="M160" s="52">
        <v>70032</v>
      </c>
      <c r="N160" s="42" t="s">
        <v>46</v>
      </c>
      <c r="O160" s="52" t="s">
        <v>152</v>
      </c>
      <c r="P160" s="54">
        <v>0</v>
      </c>
      <c r="Q160" s="52"/>
      <c r="R160" s="54">
        <v>0</v>
      </c>
      <c r="S160" s="57">
        <v>46054</v>
      </c>
      <c r="T160" s="54">
        <v>0</v>
      </c>
      <c r="U160" s="58">
        <v>4</v>
      </c>
      <c r="V160" s="54">
        <v>0</v>
      </c>
      <c r="W160" s="42" t="s">
        <v>47</v>
      </c>
      <c r="X160" s="42" t="s">
        <v>48</v>
      </c>
      <c r="Y160" s="42" t="s">
        <v>36</v>
      </c>
      <c r="Z160" s="42" t="s">
        <v>9</v>
      </c>
      <c r="AA160" s="42" t="s">
        <v>49</v>
      </c>
      <c r="AB160" s="42" t="s">
        <v>153</v>
      </c>
      <c r="AC160" s="42" t="s">
        <v>38</v>
      </c>
      <c r="AD160" s="59" t="s">
        <v>242</v>
      </c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</row>
    <row r="161" spans="1:49" ht="31.5" x14ac:dyDescent="0.25">
      <c r="A161" s="42" t="s">
        <v>144</v>
      </c>
      <c r="B161" s="44">
        <v>46068</v>
      </c>
      <c r="C161" s="44">
        <v>46068</v>
      </c>
      <c r="D161" s="42" t="s">
        <v>231</v>
      </c>
      <c r="E161" s="47">
        <v>0.54166666666666663</v>
      </c>
      <c r="F161" s="47">
        <v>0.66666666666666663</v>
      </c>
      <c r="G161" s="47">
        <v>1.7361111111111109E-4</v>
      </c>
      <c r="H161" s="42" t="s">
        <v>219</v>
      </c>
      <c r="I161" s="50">
        <v>0.59955196759259255</v>
      </c>
      <c r="J161" s="42" t="s">
        <v>96</v>
      </c>
      <c r="K161" s="42" t="s">
        <v>229</v>
      </c>
      <c r="L161" s="52">
        <v>1</v>
      </c>
      <c r="M161" s="52">
        <v>70031</v>
      </c>
      <c r="N161" s="42" t="s">
        <v>53</v>
      </c>
      <c r="O161" s="52" t="s">
        <v>152</v>
      </c>
      <c r="P161" s="54">
        <v>44.71</v>
      </c>
      <c r="Q161" s="52"/>
      <c r="R161" s="54">
        <v>44.71</v>
      </c>
      <c r="S161" s="57">
        <v>46054</v>
      </c>
      <c r="T161" s="54">
        <v>6.7065000000000001</v>
      </c>
      <c r="U161" s="58">
        <v>4</v>
      </c>
      <c r="V161" s="54">
        <v>38.003500000000003</v>
      </c>
      <c r="W161" s="42" t="s">
        <v>47</v>
      </c>
      <c r="X161" s="42" t="s">
        <v>48</v>
      </c>
      <c r="Y161" s="42" t="s">
        <v>36</v>
      </c>
      <c r="Z161" s="42" t="s">
        <v>9</v>
      </c>
      <c r="AA161" s="42" t="s">
        <v>49</v>
      </c>
      <c r="AB161" s="42" t="s">
        <v>153</v>
      </c>
      <c r="AC161" s="42" t="s">
        <v>38</v>
      </c>
      <c r="AD161" s="59" t="s">
        <v>242</v>
      </c>
      <c r="AE161" s="60"/>
      <c r="AF161" s="60"/>
      <c r="AG161" s="60"/>
      <c r="AH161" s="60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</row>
    <row r="162" spans="1:49" ht="31.5" x14ac:dyDescent="0.25">
      <c r="A162" s="42" t="s">
        <v>144</v>
      </c>
      <c r="B162" s="44">
        <v>46068</v>
      </c>
      <c r="C162" s="44">
        <v>46068</v>
      </c>
      <c r="D162" s="42" t="s">
        <v>231</v>
      </c>
      <c r="E162" s="47">
        <v>0.54166666666666663</v>
      </c>
      <c r="F162" s="47">
        <v>0.66666666666666663</v>
      </c>
      <c r="G162" s="47">
        <v>1.7361111111111109E-4</v>
      </c>
      <c r="H162" s="42" t="s">
        <v>220</v>
      </c>
      <c r="I162" s="50">
        <v>0.64172476851851845</v>
      </c>
      <c r="J162" s="42" t="s">
        <v>96</v>
      </c>
      <c r="K162" s="42" t="s">
        <v>240</v>
      </c>
      <c r="L162" s="52">
        <v>1</v>
      </c>
      <c r="M162" s="52">
        <v>70031</v>
      </c>
      <c r="N162" s="42" t="s">
        <v>53</v>
      </c>
      <c r="O162" s="52" t="s">
        <v>152</v>
      </c>
      <c r="P162" s="54">
        <v>44.71</v>
      </c>
      <c r="Q162" s="52"/>
      <c r="R162" s="54">
        <v>44.71</v>
      </c>
      <c r="S162" s="57">
        <v>46054</v>
      </c>
      <c r="T162" s="54">
        <v>6.7065000000000001</v>
      </c>
      <c r="U162" s="58">
        <v>4</v>
      </c>
      <c r="V162" s="54">
        <v>38.003500000000003</v>
      </c>
      <c r="W162" s="42" t="s">
        <v>47</v>
      </c>
      <c r="X162" s="42" t="s">
        <v>48</v>
      </c>
      <c r="Y162" s="42" t="s">
        <v>36</v>
      </c>
      <c r="Z162" s="42" t="s">
        <v>9</v>
      </c>
      <c r="AA162" s="42" t="s">
        <v>49</v>
      </c>
      <c r="AB162" s="42" t="s">
        <v>153</v>
      </c>
      <c r="AC162" s="42" t="s">
        <v>38</v>
      </c>
      <c r="AD162" s="59" t="s">
        <v>242</v>
      </c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</row>
    <row r="163" spans="1:49" ht="31.5" x14ac:dyDescent="0.2">
      <c r="A163" s="43" t="s">
        <v>124</v>
      </c>
      <c r="B163" s="45">
        <v>46062</v>
      </c>
      <c r="C163" s="45">
        <v>46062</v>
      </c>
      <c r="D163" s="46" t="s">
        <v>30</v>
      </c>
      <c r="E163" s="48">
        <v>0.875</v>
      </c>
      <c r="F163" s="48">
        <v>0.91666666666666663</v>
      </c>
      <c r="G163" s="48">
        <v>4.1666666666666664E-2</v>
      </c>
      <c r="H163" s="43" t="s">
        <v>125</v>
      </c>
      <c r="I163" s="51"/>
      <c r="J163" s="43" t="s">
        <v>41</v>
      </c>
      <c r="K163" s="43"/>
      <c r="L163" s="53">
        <v>1</v>
      </c>
      <c r="M163" s="53">
        <v>1</v>
      </c>
      <c r="N163" s="43" t="s">
        <v>33</v>
      </c>
      <c r="O163" s="43"/>
      <c r="P163" s="55">
        <v>0</v>
      </c>
      <c r="Q163" s="53"/>
      <c r="R163" s="55">
        <v>0</v>
      </c>
      <c r="S163" s="43">
        <v>46054</v>
      </c>
      <c r="T163" s="55">
        <v>0</v>
      </c>
      <c r="U163" s="53">
        <v>2</v>
      </c>
      <c r="V163" s="55">
        <v>0</v>
      </c>
      <c r="W163" s="43" t="s">
        <v>34</v>
      </c>
      <c r="X163" s="43" t="s">
        <v>42</v>
      </c>
      <c r="Y163" s="43" t="s">
        <v>36</v>
      </c>
      <c r="Z163" s="43" t="s">
        <v>43</v>
      </c>
      <c r="AA163" s="43" t="s">
        <v>37</v>
      </c>
      <c r="AB163" s="43" t="s">
        <v>37</v>
      </c>
      <c r="AC163" s="43" t="s">
        <v>38</v>
      </c>
      <c r="AD163" s="59" t="s">
        <v>242</v>
      </c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</row>
    <row r="164" spans="1:49" ht="31.5" x14ac:dyDescent="0.2">
      <c r="A164" s="43" t="s">
        <v>124</v>
      </c>
      <c r="B164" s="45">
        <v>46062</v>
      </c>
      <c r="C164" s="45">
        <v>46062</v>
      </c>
      <c r="D164" s="46" t="s">
        <v>30</v>
      </c>
      <c r="E164" s="48">
        <v>0.91666666666666663</v>
      </c>
      <c r="F164" s="48">
        <v>0.97916666666666663</v>
      </c>
      <c r="G164" s="48">
        <v>6.25E-2</v>
      </c>
      <c r="H164" s="43" t="s">
        <v>126</v>
      </c>
      <c r="I164" s="51"/>
      <c r="J164" s="43" t="s">
        <v>41</v>
      </c>
      <c r="K164" s="43"/>
      <c r="L164" s="53">
        <v>1</v>
      </c>
      <c r="M164" s="53">
        <v>1</v>
      </c>
      <c r="N164" s="43" t="s">
        <v>33</v>
      </c>
      <c r="O164" s="43"/>
      <c r="P164" s="55">
        <v>0</v>
      </c>
      <c r="Q164" s="53"/>
      <c r="R164" s="55">
        <v>0</v>
      </c>
      <c r="S164" s="43">
        <v>46054</v>
      </c>
      <c r="T164" s="55">
        <v>0</v>
      </c>
      <c r="U164" s="53">
        <v>2</v>
      </c>
      <c r="V164" s="55">
        <v>0</v>
      </c>
      <c r="W164" s="43" t="s">
        <v>34</v>
      </c>
      <c r="X164" s="43" t="s">
        <v>42</v>
      </c>
      <c r="Y164" s="43" t="s">
        <v>36</v>
      </c>
      <c r="Z164" s="43" t="s">
        <v>43</v>
      </c>
      <c r="AA164" s="43" t="s">
        <v>37</v>
      </c>
      <c r="AB164" s="43" t="s">
        <v>37</v>
      </c>
      <c r="AC164" s="43" t="s">
        <v>38</v>
      </c>
      <c r="AD164" s="59" t="s">
        <v>242</v>
      </c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</row>
    <row r="165" spans="1:49" ht="31.5" x14ac:dyDescent="0.2">
      <c r="A165" s="43" t="s">
        <v>124</v>
      </c>
      <c r="B165" s="45">
        <v>46063</v>
      </c>
      <c r="C165" s="45">
        <v>46063</v>
      </c>
      <c r="D165" s="46" t="s">
        <v>132</v>
      </c>
      <c r="E165" s="48">
        <v>0.875</v>
      </c>
      <c r="F165" s="48">
        <v>0.91666666666666663</v>
      </c>
      <c r="G165" s="48">
        <v>4.1666666666666664E-2</v>
      </c>
      <c r="H165" s="43" t="s">
        <v>125</v>
      </c>
      <c r="I165" s="51"/>
      <c r="J165" s="43" t="s">
        <v>41</v>
      </c>
      <c r="K165" s="43"/>
      <c r="L165" s="53">
        <v>1</v>
      </c>
      <c r="M165" s="53">
        <v>1</v>
      </c>
      <c r="N165" s="43" t="s">
        <v>33</v>
      </c>
      <c r="O165" s="43"/>
      <c r="P165" s="55">
        <v>0</v>
      </c>
      <c r="Q165" s="53"/>
      <c r="R165" s="55">
        <v>0</v>
      </c>
      <c r="S165" s="43">
        <v>46054</v>
      </c>
      <c r="T165" s="55">
        <v>0</v>
      </c>
      <c r="U165" s="53">
        <v>2</v>
      </c>
      <c r="V165" s="55">
        <v>0</v>
      </c>
      <c r="W165" s="43" t="s">
        <v>34</v>
      </c>
      <c r="X165" s="43" t="s">
        <v>42</v>
      </c>
      <c r="Y165" s="43" t="s">
        <v>36</v>
      </c>
      <c r="Z165" s="43" t="s">
        <v>43</v>
      </c>
      <c r="AA165" s="43" t="s">
        <v>37</v>
      </c>
      <c r="AB165" s="43" t="s">
        <v>37</v>
      </c>
      <c r="AC165" s="43" t="s">
        <v>38</v>
      </c>
      <c r="AD165" s="59" t="s">
        <v>242</v>
      </c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</row>
    <row r="166" spans="1:49" ht="31.5" x14ac:dyDescent="0.2">
      <c r="A166" s="43" t="s">
        <v>124</v>
      </c>
      <c r="B166" s="45">
        <v>46063</v>
      </c>
      <c r="C166" s="45">
        <v>46063</v>
      </c>
      <c r="D166" s="46" t="s">
        <v>132</v>
      </c>
      <c r="E166" s="48">
        <v>0.91666666666666663</v>
      </c>
      <c r="F166" s="48">
        <v>0.97916666666666663</v>
      </c>
      <c r="G166" s="48">
        <v>6.25E-2</v>
      </c>
      <c r="H166" s="43" t="s">
        <v>160</v>
      </c>
      <c r="I166" s="51"/>
      <c r="J166" s="43" t="s">
        <v>41</v>
      </c>
      <c r="K166" s="43"/>
      <c r="L166" s="53">
        <v>1</v>
      </c>
      <c r="M166" s="53">
        <v>1</v>
      </c>
      <c r="N166" s="43" t="s">
        <v>33</v>
      </c>
      <c r="O166" s="43"/>
      <c r="P166" s="55">
        <v>0</v>
      </c>
      <c r="Q166" s="53"/>
      <c r="R166" s="55">
        <v>0</v>
      </c>
      <c r="S166" s="43">
        <v>46054</v>
      </c>
      <c r="T166" s="55">
        <v>0</v>
      </c>
      <c r="U166" s="53">
        <v>2</v>
      </c>
      <c r="V166" s="55">
        <v>0</v>
      </c>
      <c r="W166" s="43" t="s">
        <v>34</v>
      </c>
      <c r="X166" s="43" t="s">
        <v>42</v>
      </c>
      <c r="Y166" s="43" t="s">
        <v>36</v>
      </c>
      <c r="Z166" s="43" t="s">
        <v>43</v>
      </c>
      <c r="AA166" s="43" t="s">
        <v>37</v>
      </c>
      <c r="AB166" s="43" t="s">
        <v>37</v>
      </c>
      <c r="AC166" s="43" t="s">
        <v>38</v>
      </c>
      <c r="AD166" s="59" t="s">
        <v>242</v>
      </c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</row>
    <row r="167" spans="1:49" ht="31.5" x14ac:dyDescent="0.2">
      <c r="A167" s="43" t="s">
        <v>124</v>
      </c>
      <c r="B167" s="45">
        <v>46064</v>
      </c>
      <c r="C167" s="45">
        <v>46064</v>
      </c>
      <c r="D167" s="46" t="s">
        <v>166</v>
      </c>
      <c r="E167" s="48">
        <v>0.875</v>
      </c>
      <c r="F167" s="48">
        <v>0.91666666666666663</v>
      </c>
      <c r="G167" s="48">
        <v>4.1666666666666664E-2</v>
      </c>
      <c r="H167" s="43" t="s">
        <v>125</v>
      </c>
      <c r="I167" s="51"/>
      <c r="J167" s="43" t="s">
        <v>41</v>
      </c>
      <c r="K167" s="43"/>
      <c r="L167" s="53">
        <v>1</v>
      </c>
      <c r="M167" s="53">
        <v>1</v>
      </c>
      <c r="N167" s="43" t="s">
        <v>33</v>
      </c>
      <c r="O167" s="43"/>
      <c r="P167" s="55">
        <v>0</v>
      </c>
      <c r="Q167" s="53"/>
      <c r="R167" s="55">
        <v>0</v>
      </c>
      <c r="S167" s="43">
        <v>46054</v>
      </c>
      <c r="T167" s="55">
        <v>0</v>
      </c>
      <c r="U167" s="53">
        <v>2</v>
      </c>
      <c r="V167" s="55">
        <v>0</v>
      </c>
      <c r="W167" s="43" t="s">
        <v>34</v>
      </c>
      <c r="X167" s="43" t="s">
        <v>42</v>
      </c>
      <c r="Y167" s="43" t="s">
        <v>36</v>
      </c>
      <c r="Z167" s="43" t="s">
        <v>43</v>
      </c>
      <c r="AA167" s="43" t="s">
        <v>37</v>
      </c>
      <c r="AB167" s="43" t="s">
        <v>37</v>
      </c>
      <c r="AC167" s="43" t="s">
        <v>38</v>
      </c>
      <c r="AD167" s="59" t="s">
        <v>242</v>
      </c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</row>
    <row r="168" spans="1:49" ht="31.5" x14ac:dyDescent="0.2">
      <c r="A168" s="43" t="s">
        <v>124</v>
      </c>
      <c r="B168" s="45">
        <v>46064</v>
      </c>
      <c r="C168" s="45">
        <v>46064</v>
      </c>
      <c r="D168" s="46" t="s">
        <v>166</v>
      </c>
      <c r="E168" s="48">
        <v>0.91666666666666663</v>
      </c>
      <c r="F168" s="48">
        <v>0.97916666666666663</v>
      </c>
      <c r="G168" s="48">
        <v>6.25E-2</v>
      </c>
      <c r="H168" s="43" t="s">
        <v>178</v>
      </c>
      <c r="I168" s="51"/>
      <c r="J168" s="43" t="s">
        <v>41</v>
      </c>
      <c r="K168" s="43"/>
      <c r="L168" s="53">
        <v>1</v>
      </c>
      <c r="M168" s="53">
        <v>1</v>
      </c>
      <c r="N168" s="43" t="s">
        <v>33</v>
      </c>
      <c r="O168" s="43"/>
      <c r="P168" s="55">
        <v>0</v>
      </c>
      <c r="Q168" s="53"/>
      <c r="R168" s="55">
        <v>0</v>
      </c>
      <c r="S168" s="43">
        <v>46054</v>
      </c>
      <c r="T168" s="55">
        <v>0</v>
      </c>
      <c r="U168" s="53">
        <v>2</v>
      </c>
      <c r="V168" s="55">
        <v>0</v>
      </c>
      <c r="W168" s="43" t="s">
        <v>34</v>
      </c>
      <c r="X168" s="43" t="s">
        <v>42</v>
      </c>
      <c r="Y168" s="43" t="s">
        <v>36</v>
      </c>
      <c r="Z168" s="43" t="s">
        <v>43</v>
      </c>
      <c r="AA168" s="43" t="s">
        <v>37</v>
      </c>
      <c r="AB168" s="43" t="s">
        <v>37</v>
      </c>
      <c r="AC168" s="43" t="s">
        <v>38</v>
      </c>
      <c r="AD168" s="59" t="s">
        <v>242</v>
      </c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</row>
    <row r="169" spans="1:49" ht="31.5" x14ac:dyDescent="0.2">
      <c r="A169" s="43" t="s">
        <v>124</v>
      </c>
      <c r="B169" s="45">
        <v>46065</v>
      </c>
      <c r="C169" s="45">
        <v>46065</v>
      </c>
      <c r="D169" s="46" t="s">
        <v>179</v>
      </c>
      <c r="E169" s="48">
        <v>0.875</v>
      </c>
      <c r="F169" s="48">
        <v>0.91666666666666663</v>
      </c>
      <c r="G169" s="48">
        <v>4.1666666666666664E-2</v>
      </c>
      <c r="H169" s="43" t="s">
        <v>125</v>
      </c>
      <c r="I169" s="51"/>
      <c r="J169" s="43" t="s">
        <v>41</v>
      </c>
      <c r="K169" s="43"/>
      <c r="L169" s="53">
        <v>1</v>
      </c>
      <c r="M169" s="53">
        <v>1</v>
      </c>
      <c r="N169" s="43" t="s">
        <v>33</v>
      </c>
      <c r="O169" s="43"/>
      <c r="P169" s="55">
        <v>0</v>
      </c>
      <c r="Q169" s="53"/>
      <c r="R169" s="55">
        <v>0</v>
      </c>
      <c r="S169" s="43">
        <v>46054</v>
      </c>
      <c r="T169" s="55">
        <v>0</v>
      </c>
      <c r="U169" s="53">
        <v>2</v>
      </c>
      <c r="V169" s="55">
        <v>0</v>
      </c>
      <c r="W169" s="43" t="s">
        <v>34</v>
      </c>
      <c r="X169" s="43" t="s">
        <v>42</v>
      </c>
      <c r="Y169" s="43" t="s">
        <v>36</v>
      </c>
      <c r="Z169" s="43" t="s">
        <v>43</v>
      </c>
      <c r="AA169" s="43" t="s">
        <v>37</v>
      </c>
      <c r="AB169" s="43" t="s">
        <v>37</v>
      </c>
      <c r="AC169" s="43" t="s">
        <v>38</v>
      </c>
      <c r="AD169" s="59" t="s">
        <v>242</v>
      </c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">
      <c r="A170" s="43" t="s">
        <v>124</v>
      </c>
      <c r="B170" s="45">
        <v>46065</v>
      </c>
      <c r="C170" s="45">
        <v>46065</v>
      </c>
      <c r="D170" s="46" t="s">
        <v>179</v>
      </c>
      <c r="E170" s="48">
        <v>0.91666666666666663</v>
      </c>
      <c r="F170" s="48">
        <v>0.97916666666666663</v>
      </c>
      <c r="G170" s="48">
        <v>6.25E-2</v>
      </c>
      <c r="H170" s="43" t="s">
        <v>187</v>
      </c>
      <c r="I170" s="51"/>
      <c r="J170" s="43" t="s">
        <v>41</v>
      </c>
      <c r="K170" s="43"/>
      <c r="L170" s="53">
        <v>1</v>
      </c>
      <c r="M170" s="53">
        <v>1</v>
      </c>
      <c r="N170" s="43" t="s">
        <v>33</v>
      </c>
      <c r="O170" s="43"/>
      <c r="P170" s="55">
        <v>0</v>
      </c>
      <c r="Q170" s="53"/>
      <c r="R170" s="55">
        <v>0</v>
      </c>
      <c r="S170" s="43">
        <v>46054</v>
      </c>
      <c r="T170" s="55">
        <v>0</v>
      </c>
      <c r="U170" s="53">
        <v>2</v>
      </c>
      <c r="V170" s="55">
        <v>0</v>
      </c>
      <c r="W170" s="43" t="s">
        <v>34</v>
      </c>
      <c r="X170" s="43" t="s">
        <v>42</v>
      </c>
      <c r="Y170" s="43" t="s">
        <v>36</v>
      </c>
      <c r="Z170" s="43" t="s">
        <v>43</v>
      </c>
      <c r="AA170" s="43" t="s">
        <v>37</v>
      </c>
      <c r="AB170" s="43" t="s">
        <v>37</v>
      </c>
      <c r="AC170" s="43" t="s">
        <v>38</v>
      </c>
      <c r="AD170" s="59" t="s">
        <v>242</v>
      </c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</row>
    <row r="171" spans="1:49" ht="31.5" x14ac:dyDescent="0.2">
      <c r="A171" s="43" t="s">
        <v>124</v>
      </c>
      <c r="B171" s="45">
        <v>46066</v>
      </c>
      <c r="C171" s="45">
        <v>46066</v>
      </c>
      <c r="D171" s="46" t="s">
        <v>195</v>
      </c>
      <c r="E171" s="48">
        <v>0.875</v>
      </c>
      <c r="F171" s="48">
        <v>0.91666666666666663</v>
      </c>
      <c r="G171" s="48">
        <v>4.1666666666666664E-2</v>
      </c>
      <c r="H171" s="43" t="s">
        <v>125</v>
      </c>
      <c r="I171" s="51"/>
      <c r="J171" s="43" t="s">
        <v>41</v>
      </c>
      <c r="K171" s="43"/>
      <c r="L171" s="53">
        <v>1</v>
      </c>
      <c r="M171" s="53">
        <v>1</v>
      </c>
      <c r="N171" s="43" t="s">
        <v>33</v>
      </c>
      <c r="O171" s="43"/>
      <c r="P171" s="55">
        <v>0</v>
      </c>
      <c r="Q171" s="53"/>
      <c r="R171" s="55">
        <v>0</v>
      </c>
      <c r="S171" s="43">
        <v>46054</v>
      </c>
      <c r="T171" s="55">
        <v>0</v>
      </c>
      <c r="U171" s="53">
        <v>2</v>
      </c>
      <c r="V171" s="55">
        <v>0</v>
      </c>
      <c r="W171" s="43" t="s">
        <v>34</v>
      </c>
      <c r="X171" s="43" t="s">
        <v>42</v>
      </c>
      <c r="Y171" s="43" t="s">
        <v>36</v>
      </c>
      <c r="Z171" s="43" t="s">
        <v>43</v>
      </c>
      <c r="AA171" s="43" t="s">
        <v>37</v>
      </c>
      <c r="AB171" s="43" t="s">
        <v>37</v>
      </c>
      <c r="AC171" s="43" t="s">
        <v>38</v>
      </c>
      <c r="AD171" s="59" t="s">
        <v>242</v>
      </c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</row>
    <row r="172" spans="1:49" ht="31.5" x14ac:dyDescent="0.2">
      <c r="A172" s="43" t="s">
        <v>124</v>
      </c>
      <c r="B172" s="45">
        <v>46066</v>
      </c>
      <c r="C172" s="45">
        <v>46066</v>
      </c>
      <c r="D172" s="46" t="s">
        <v>195</v>
      </c>
      <c r="E172" s="48">
        <v>0.91666666666666663</v>
      </c>
      <c r="F172" s="48">
        <v>0.97916666666666663</v>
      </c>
      <c r="G172" s="48">
        <v>6.25E-2</v>
      </c>
      <c r="H172" s="43" t="s">
        <v>202</v>
      </c>
      <c r="I172" s="51"/>
      <c r="J172" s="43" t="s">
        <v>41</v>
      </c>
      <c r="K172" s="43"/>
      <c r="L172" s="53">
        <v>1</v>
      </c>
      <c r="M172" s="53">
        <v>1</v>
      </c>
      <c r="N172" s="43" t="s">
        <v>33</v>
      </c>
      <c r="O172" s="43"/>
      <c r="P172" s="55">
        <v>0</v>
      </c>
      <c r="Q172" s="53"/>
      <c r="R172" s="55">
        <v>0</v>
      </c>
      <c r="S172" s="43">
        <v>46054</v>
      </c>
      <c r="T172" s="55">
        <v>0</v>
      </c>
      <c r="U172" s="53">
        <v>2</v>
      </c>
      <c r="V172" s="55">
        <v>0</v>
      </c>
      <c r="W172" s="43" t="s">
        <v>34</v>
      </c>
      <c r="X172" s="43" t="s">
        <v>42</v>
      </c>
      <c r="Y172" s="43" t="s">
        <v>36</v>
      </c>
      <c r="Z172" s="43" t="s">
        <v>43</v>
      </c>
      <c r="AA172" s="43" t="s">
        <v>37</v>
      </c>
      <c r="AB172" s="43" t="s">
        <v>37</v>
      </c>
      <c r="AC172" s="43" t="s">
        <v>38</v>
      </c>
      <c r="AD172" s="59" t="s">
        <v>242</v>
      </c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</row>
    <row r="173" spans="1:49" ht="31.5" x14ac:dyDescent="0.25">
      <c r="A173" s="43" t="s">
        <v>124</v>
      </c>
      <c r="B173" s="45">
        <v>46067</v>
      </c>
      <c r="C173" s="45">
        <v>46067</v>
      </c>
      <c r="D173" s="46" t="s">
        <v>203</v>
      </c>
      <c r="E173" s="48">
        <v>0.875</v>
      </c>
      <c r="F173" s="48">
        <v>0.9375</v>
      </c>
      <c r="G173" s="48">
        <v>6.25E-2</v>
      </c>
      <c r="H173" s="43" t="s">
        <v>126</v>
      </c>
      <c r="I173" s="51" t="s">
        <v>209</v>
      </c>
      <c r="J173" s="43" t="s">
        <v>41</v>
      </c>
      <c r="K173" s="43"/>
      <c r="L173" s="53">
        <v>1</v>
      </c>
      <c r="M173" s="53">
        <v>1</v>
      </c>
      <c r="N173" s="43" t="s">
        <v>33</v>
      </c>
      <c r="O173" s="43"/>
      <c r="P173" s="55">
        <v>0</v>
      </c>
      <c r="Q173" s="53"/>
      <c r="R173" s="55">
        <v>0</v>
      </c>
      <c r="S173" s="43">
        <v>46054</v>
      </c>
      <c r="T173" s="55">
        <v>0</v>
      </c>
      <c r="U173" s="53">
        <v>2</v>
      </c>
      <c r="V173" s="55">
        <v>0</v>
      </c>
      <c r="W173" s="43" t="s">
        <v>34</v>
      </c>
      <c r="X173" s="43" t="s">
        <v>42</v>
      </c>
      <c r="Y173" s="43" t="s">
        <v>36</v>
      </c>
      <c r="Z173" s="43" t="s">
        <v>43</v>
      </c>
      <c r="AA173" s="43" t="s">
        <v>37</v>
      </c>
      <c r="AB173" s="43" t="s">
        <v>37</v>
      </c>
      <c r="AC173" s="43" t="s">
        <v>38</v>
      </c>
      <c r="AD173" s="59" t="s">
        <v>242</v>
      </c>
      <c r="AE173" s="60"/>
      <c r="AF173" s="60"/>
      <c r="AG173" s="60"/>
      <c r="AH173" s="60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</row>
    <row r="174" spans="1:49" ht="31.5" x14ac:dyDescent="0.2">
      <c r="A174" s="43" t="s">
        <v>124</v>
      </c>
      <c r="B174" s="45">
        <v>46067</v>
      </c>
      <c r="C174" s="45">
        <v>46067</v>
      </c>
      <c r="D174" s="46" t="s">
        <v>203</v>
      </c>
      <c r="E174" s="48">
        <v>0.9375</v>
      </c>
      <c r="F174" s="48">
        <v>1</v>
      </c>
      <c r="G174" s="48">
        <v>6.25E-2</v>
      </c>
      <c r="H174" s="43" t="s">
        <v>178</v>
      </c>
      <c r="I174" s="51" t="s">
        <v>209</v>
      </c>
      <c r="J174" s="43" t="s">
        <v>41</v>
      </c>
      <c r="K174" s="43"/>
      <c r="L174" s="53">
        <v>1</v>
      </c>
      <c r="M174" s="53">
        <v>1</v>
      </c>
      <c r="N174" s="43" t="s">
        <v>33</v>
      </c>
      <c r="O174" s="43"/>
      <c r="P174" s="55">
        <v>0</v>
      </c>
      <c r="Q174" s="53"/>
      <c r="R174" s="55">
        <v>0</v>
      </c>
      <c r="S174" s="43">
        <v>46054</v>
      </c>
      <c r="T174" s="55">
        <v>0</v>
      </c>
      <c r="U174" s="53">
        <v>2</v>
      </c>
      <c r="V174" s="55">
        <v>0</v>
      </c>
      <c r="W174" s="43" t="s">
        <v>34</v>
      </c>
      <c r="X174" s="43" t="s">
        <v>42</v>
      </c>
      <c r="Y174" s="43" t="s">
        <v>36</v>
      </c>
      <c r="Z174" s="43" t="s">
        <v>43</v>
      </c>
      <c r="AA174" s="43" t="s">
        <v>37</v>
      </c>
      <c r="AB174" s="43" t="s">
        <v>37</v>
      </c>
      <c r="AC174" s="43" t="s">
        <v>38</v>
      </c>
      <c r="AD174" s="59" t="s">
        <v>242</v>
      </c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</row>
    <row r="175" spans="1:49" ht="31.5" x14ac:dyDescent="0.2">
      <c r="A175" s="43" t="s">
        <v>124</v>
      </c>
      <c r="B175" s="45">
        <v>46068</v>
      </c>
      <c r="C175" s="45">
        <v>46068</v>
      </c>
      <c r="D175" s="46" t="s">
        <v>231</v>
      </c>
      <c r="E175" s="48">
        <v>0.875</v>
      </c>
      <c r="F175" s="48">
        <v>0.9375</v>
      </c>
      <c r="G175" s="48">
        <v>6.25E-2</v>
      </c>
      <c r="H175" s="43" t="s">
        <v>160</v>
      </c>
      <c r="I175" s="51" t="s">
        <v>209</v>
      </c>
      <c r="J175" s="43" t="s">
        <v>41</v>
      </c>
      <c r="K175" s="43"/>
      <c r="L175" s="53">
        <v>1</v>
      </c>
      <c r="M175" s="53">
        <v>1</v>
      </c>
      <c r="N175" s="43" t="s">
        <v>33</v>
      </c>
      <c r="O175" s="43"/>
      <c r="P175" s="55">
        <v>0</v>
      </c>
      <c r="Q175" s="53"/>
      <c r="R175" s="55">
        <v>0</v>
      </c>
      <c r="S175" s="43">
        <v>46054</v>
      </c>
      <c r="T175" s="55">
        <v>0</v>
      </c>
      <c r="U175" s="53">
        <v>2</v>
      </c>
      <c r="V175" s="55">
        <v>0</v>
      </c>
      <c r="W175" s="43" t="s">
        <v>34</v>
      </c>
      <c r="X175" s="43" t="s">
        <v>42</v>
      </c>
      <c r="Y175" s="43" t="s">
        <v>36</v>
      </c>
      <c r="Z175" s="43" t="s">
        <v>43</v>
      </c>
      <c r="AA175" s="43" t="s">
        <v>37</v>
      </c>
      <c r="AB175" s="43" t="s">
        <v>37</v>
      </c>
      <c r="AC175" s="43" t="s">
        <v>38</v>
      </c>
      <c r="AD175" s="59" t="s">
        <v>242</v>
      </c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</row>
    <row r="176" spans="1:49" ht="31.5" x14ac:dyDescent="0.2">
      <c r="A176" s="43" t="s">
        <v>124</v>
      </c>
      <c r="B176" s="45">
        <v>46068</v>
      </c>
      <c r="C176" s="45">
        <v>46068</v>
      </c>
      <c r="D176" s="46" t="s">
        <v>231</v>
      </c>
      <c r="E176" s="48">
        <v>0.9375</v>
      </c>
      <c r="F176" s="48">
        <v>1</v>
      </c>
      <c r="G176" s="48">
        <v>6.25E-2</v>
      </c>
      <c r="H176" s="43" t="s">
        <v>187</v>
      </c>
      <c r="I176" s="51" t="s">
        <v>209</v>
      </c>
      <c r="J176" s="43" t="s">
        <v>41</v>
      </c>
      <c r="K176" s="43"/>
      <c r="L176" s="53">
        <v>1</v>
      </c>
      <c r="M176" s="53">
        <v>1</v>
      </c>
      <c r="N176" s="43" t="s">
        <v>33</v>
      </c>
      <c r="O176" s="43"/>
      <c r="P176" s="55">
        <v>0</v>
      </c>
      <c r="Q176" s="53"/>
      <c r="R176" s="55">
        <v>0</v>
      </c>
      <c r="S176" s="43">
        <v>46054</v>
      </c>
      <c r="T176" s="55">
        <v>0</v>
      </c>
      <c r="U176" s="53">
        <v>2</v>
      </c>
      <c r="V176" s="55">
        <v>0</v>
      </c>
      <c r="W176" s="43" t="s">
        <v>34</v>
      </c>
      <c r="X176" s="43" t="s">
        <v>42</v>
      </c>
      <c r="Y176" s="43" t="s">
        <v>36</v>
      </c>
      <c r="Z176" s="43" t="s">
        <v>43</v>
      </c>
      <c r="AA176" s="43" t="s">
        <v>37</v>
      </c>
      <c r="AB176" s="43" t="s">
        <v>37</v>
      </c>
      <c r="AC176" s="43" t="s">
        <v>38</v>
      </c>
      <c r="AD176" s="59" t="s">
        <v>242</v>
      </c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</row>
    <row r="177" spans="1:49" ht="31.5" x14ac:dyDescent="0.2">
      <c r="A177" s="43" t="s">
        <v>221</v>
      </c>
      <c r="B177" s="45">
        <v>46067</v>
      </c>
      <c r="C177" s="45">
        <v>46067</v>
      </c>
      <c r="D177" s="46" t="s">
        <v>203</v>
      </c>
      <c r="E177" s="48">
        <v>0.58333333333333337</v>
      </c>
      <c r="F177" s="48">
        <v>0.625</v>
      </c>
      <c r="G177" s="48">
        <v>4.1666666666666664E-2</v>
      </c>
      <c r="H177" s="43" t="s">
        <v>222</v>
      </c>
      <c r="I177" s="51"/>
      <c r="J177" s="43" t="s">
        <v>96</v>
      </c>
      <c r="K177" s="43" t="s">
        <v>223</v>
      </c>
      <c r="L177" s="53">
        <v>1</v>
      </c>
      <c r="M177" s="53">
        <v>1</v>
      </c>
      <c r="N177" s="43" t="s">
        <v>33</v>
      </c>
      <c r="O177" s="43"/>
      <c r="P177" s="56">
        <v>0</v>
      </c>
      <c r="Q177" s="53"/>
      <c r="R177" s="55">
        <v>0</v>
      </c>
      <c r="S177" s="43">
        <v>46054</v>
      </c>
      <c r="T177" s="55">
        <v>0</v>
      </c>
      <c r="U177" s="53">
        <v>1</v>
      </c>
      <c r="V177" s="55">
        <v>0</v>
      </c>
      <c r="W177" s="43" t="s">
        <v>34</v>
      </c>
      <c r="X177" s="43" t="s">
        <v>35</v>
      </c>
      <c r="Y177" s="43" t="s">
        <v>36</v>
      </c>
      <c r="Z177" s="43" t="s">
        <v>68</v>
      </c>
      <c r="AA177" s="43" t="s">
        <v>37</v>
      </c>
      <c r="AB177" s="43" t="s">
        <v>37</v>
      </c>
      <c r="AC177" s="43" t="s">
        <v>38</v>
      </c>
      <c r="AD177" s="59" t="s">
        <v>242</v>
      </c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</row>
    <row r="178" spans="1:49" ht="31.5" x14ac:dyDescent="0.25">
      <c r="A178" s="43" t="s">
        <v>98</v>
      </c>
      <c r="B178" s="45">
        <v>46062</v>
      </c>
      <c r="C178" s="45">
        <v>46062</v>
      </c>
      <c r="D178" s="46" t="s">
        <v>30</v>
      </c>
      <c r="E178" s="48">
        <v>0.58333333333333337</v>
      </c>
      <c r="F178" s="48">
        <v>0.625</v>
      </c>
      <c r="G178" s="48">
        <v>4.1666666666666664E-2</v>
      </c>
      <c r="H178" s="43" t="s">
        <v>99</v>
      </c>
      <c r="I178" s="51"/>
      <c r="J178" s="43" t="s">
        <v>100</v>
      </c>
      <c r="K178" s="43"/>
      <c r="L178" s="53">
        <v>1</v>
      </c>
      <c r="M178" s="53">
        <v>1</v>
      </c>
      <c r="N178" s="43" t="s">
        <v>33</v>
      </c>
      <c r="O178" s="43"/>
      <c r="P178" s="55">
        <v>0</v>
      </c>
      <c r="Q178" s="53"/>
      <c r="R178" s="55">
        <v>0</v>
      </c>
      <c r="S178" s="43">
        <v>46054</v>
      </c>
      <c r="T178" s="55">
        <v>0</v>
      </c>
      <c r="U178" s="53">
        <v>2</v>
      </c>
      <c r="V178" s="55">
        <v>0</v>
      </c>
      <c r="W178" s="43" t="s">
        <v>34</v>
      </c>
      <c r="X178" s="43" t="s">
        <v>42</v>
      </c>
      <c r="Y178" s="43" t="s">
        <v>36</v>
      </c>
      <c r="Z178" s="43" t="s">
        <v>43</v>
      </c>
      <c r="AA178" s="43" t="s">
        <v>37</v>
      </c>
      <c r="AB178" s="43" t="s">
        <v>37</v>
      </c>
      <c r="AC178" s="43" t="s">
        <v>38</v>
      </c>
      <c r="AD178" s="59" t="s">
        <v>242</v>
      </c>
      <c r="AE178" s="60"/>
      <c r="AF178" s="60"/>
      <c r="AG178" s="60"/>
      <c r="AH178" s="60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</row>
    <row r="179" spans="1:49" ht="31.5" x14ac:dyDescent="0.25">
      <c r="A179" s="43" t="s">
        <v>98</v>
      </c>
      <c r="B179" s="45">
        <v>46062</v>
      </c>
      <c r="C179" s="45">
        <v>46062</v>
      </c>
      <c r="D179" s="46" t="s">
        <v>30</v>
      </c>
      <c r="E179" s="48">
        <v>0.625</v>
      </c>
      <c r="F179" s="48">
        <v>0.64583333333333337</v>
      </c>
      <c r="G179" s="48">
        <v>2.0833333333333332E-2</v>
      </c>
      <c r="H179" s="43" t="s">
        <v>101</v>
      </c>
      <c r="I179" s="51"/>
      <c r="J179" s="43" t="s">
        <v>100</v>
      </c>
      <c r="K179" s="43"/>
      <c r="L179" s="53">
        <v>1</v>
      </c>
      <c r="M179" s="53">
        <v>1</v>
      </c>
      <c r="N179" s="43" t="s">
        <v>33</v>
      </c>
      <c r="O179" s="43"/>
      <c r="P179" s="55">
        <v>0</v>
      </c>
      <c r="Q179" s="53"/>
      <c r="R179" s="55">
        <v>0</v>
      </c>
      <c r="S179" s="43">
        <v>46054</v>
      </c>
      <c r="T179" s="55">
        <v>0</v>
      </c>
      <c r="U179" s="53">
        <v>2</v>
      </c>
      <c r="V179" s="55">
        <v>0</v>
      </c>
      <c r="W179" s="43" t="s">
        <v>34</v>
      </c>
      <c r="X179" s="43" t="s">
        <v>42</v>
      </c>
      <c r="Y179" s="43" t="s">
        <v>36</v>
      </c>
      <c r="Z179" s="43" t="s">
        <v>43</v>
      </c>
      <c r="AA179" s="43" t="s">
        <v>37</v>
      </c>
      <c r="AB179" s="43" t="s">
        <v>37</v>
      </c>
      <c r="AC179" s="43" t="s">
        <v>38</v>
      </c>
      <c r="AD179" s="59" t="s">
        <v>242</v>
      </c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</row>
    <row r="180" spans="1:49" ht="31.5" x14ac:dyDescent="0.2">
      <c r="A180" s="43" t="s">
        <v>98</v>
      </c>
      <c r="B180" s="45">
        <v>46062</v>
      </c>
      <c r="C180" s="45">
        <v>46062</v>
      </c>
      <c r="D180" s="46" t="s">
        <v>30</v>
      </c>
      <c r="E180" s="48">
        <v>0.64583333333333337</v>
      </c>
      <c r="F180" s="48">
        <v>0.66666666666666663</v>
      </c>
      <c r="G180" s="48">
        <v>2.0833333333333332E-2</v>
      </c>
      <c r="H180" s="43" t="s">
        <v>102</v>
      </c>
      <c r="I180" s="51"/>
      <c r="J180" s="43" t="s">
        <v>100</v>
      </c>
      <c r="K180" s="43"/>
      <c r="L180" s="53">
        <v>1</v>
      </c>
      <c r="M180" s="53">
        <v>1</v>
      </c>
      <c r="N180" s="43" t="s">
        <v>33</v>
      </c>
      <c r="O180" s="43"/>
      <c r="P180" s="55">
        <v>0</v>
      </c>
      <c r="Q180" s="53"/>
      <c r="R180" s="55">
        <v>0</v>
      </c>
      <c r="S180" s="43">
        <v>46054</v>
      </c>
      <c r="T180" s="55">
        <v>0</v>
      </c>
      <c r="U180" s="53">
        <v>2</v>
      </c>
      <c r="V180" s="55">
        <v>0</v>
      </c>
      <c r="W180" s="43" t="s">
        <v>34</v>
      </c>
      <c r="X180" s="43" t="s">
        <v>42</v>
      </c>
      <c r="Y180" s="43" t="s">
        <v>36</v>
      </c>
      <c r="Z180" s="43" t="s">
        <v>43</v>
      </c>
      <c r="AA180" s="43" t="s">
        <v>37</v>
      </c>
      <c r="AB180" s="43" t="s">
        <v>37</v>
      </c>
      <c r="AC180" s="43" t="s">
        <v>38</v>
      </c>
      <c r="AD180" s="59" t="s">
        <v>242</v>
      </c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</row>
    <row r="181" spans="1:49" ht="31.5" x14ac:dyDescent="0.25">
      <c r="A181" s="43" t="s">
        <v>98</v>
      </c>
      <c r="B181" s="45">
        <v>46063</v>
      </c>
      <c r="C181" s="45">
        <v>46063</v>
      </c>
      <c r="D181" s="46" t="s">
        <v>132</v>
      </c>
      <c r="E181" s="48">
        <v>0.58333333333333337</v>
      </c>
      <c r="F181" s="48">
        <v>0.625</v>
      </c>
      <c r="G181" s="48">
        <v>4.1666666666666664E-2</v>
      </c>
      <c r="H181" s="43" t="s">
        <v>99</v>
      </c>
      <c r="I181" s="51"/>
      <c r="J181" s="43" t="s">
        <v>100</v>
      </c>
      <c r="K181" s="43"/>
      <c r="L181" s="53">
        <v>1</v>
      </c>
      <c r="M181" s="53">
        <v>1</v>
      </c>
      <c r="N181" s="43" t="s">
        <v>33</v>
      </c>
      <c r="O181" s="43"/>
      <c r="P181" s="55">
        <v>0</v>
      </c>
      <c r="Q181" s="53"/>
      <c r="R181" s="55">
        <v>0</v>
      </c>
      <c r="S181" s="43">
        <v>46054</v>
      </c>
      <c r="T181" s="55">
        <v>0</v>
      </c>
      <c r="U181" s="53">
        <v>2</v>
      </c>
      <c r="V181" s="55">
        <v>0</v>
      </c>
      <c r="W181" s="43" t="s">
        <v>34</v>
      </c>
      <c r="X181" s="43" t="s">
        <v>42</v>
      </c>
      <c r="Y181" s="43" t="s">
        <v>36</v>
      </c>
      <c r="Z181" s="43" t="s">
        <v>43</v>
      </c>
      <c r="AA181" s="43" t="s">
        <v>37</v>
      </c>
      <c r="AB181" s="43" t="s">
        <v>37</v>
      </c>
      <c r="AC181" s="43" t="s">
        <v>38</v>
      </c>
      <c r="AD181" s="59" t="s">
        <v>242</v>
      </c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</row>
    <row r="182" spans="1:49" ht="31.5" x14ac:dyDescent="0.25">
      <c r="A182" s="43" t="s">
        <v>98</v>
      </c>
      <c r="B182" s="45">
        <v>46063</v>
      </c>
      <c r="C182" s="45">
        <v>46063</v>
      </c>
      <c r="D182" s="46" t="s">
        <v>132</v>
      </c>
      <c r="E182" s="48">
        <v>0.625</v>
      </c>
      <c r="F182" s="48">
        <v>0.64583333333333337</v>
      </c>
      <c r="G182" s="48">
        <v>2.0833333333333332E-2</v>
      </c>
      <c r="H182" s="43" t="s">
        <v>101</v>
      </c>
      <c r="I182" s="51"/>
      <c r="J182" s="43" t="s">
        <v>100</v>
      </c>
      <c r="K182" s="43"/>
      <c r="L182" s="53">
        <v>1</v>
      </c>
      <c r="M182" s="53">
        <v>1</v>
      </c>
      <c r="N182" s="43" t="s">
        <v>33</v>
      </c>
      <c r="O182" s="43"/>
      <c r="P182" s="55">
        <v>0</v>
      </c>
      <c r="Q182" s="53"/>
      <c r="R182" s="55">
        <v>0</v>
      </c>
      <c r="S182" s="43">
        <v>46054</v>
      </c>
      <c r="T182" s="55">
        <v>0</v>
      </c>
      <c r="U182" s="53">
        <v>2</v>
      </c>
      <c r="V182" s="55">
        <v>0</v>
      </c>
      <c r="W182" s="43" t="s">
        <v>34</v>
      </c>
      <c r="X182" s="43" t="s">
        <v>42</v>
      </c>
      <c r="Y182" s="43" t="s">
        <v>36</v>
      </c>
      <c r="Z182" s="43" t="s">
        <v>43</v>
      </c>
      <c r="AA182" s="43" t="s">
        <v>37</v>
      </c>
      <c r="AB182" s="43" t="s">
        <v>37</v>
      </c>
      <c r="AC182" s="43" t="s">
        <v>38</v>
      </c>
      <c r="AD182" s="59" t="s">
        <v>242</v>
      </c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</row>
    <row r="183" spans="1:49" ht="31.5" x14ac:dyDescent="0.25">
      <c r="A183" s="43" t="s">
        <v>98</v>
      </c>
      <c r="B183" s="45">
        <v>46063</v>
      </c>
      <c r="C183" s="45">
        <v>46063</v>
      </c>
      <c r="D183" s="46" t="s">
        <v>132</v>
      </c>
      <c r="E183" s="48">
        <v>0.64583333333333337</v>
      </c>
      <c r="F183" s="48">
        <v>0.66666666666666663</v>
      </c>
      <c r="G183" s="48">
        <v>2.0833333333333332E-2</v>
      </c>
      <c r="H183" s="43" t="s">
        <v>102</v>
      </c>
      <c r="I183" s="51"/>
      <c r="J183" s="43" t="s">
        <v>100</v>
      </c>
      <c r="K183" s="43"/>
      <c r="L183" s="53">
        <v>1</v>
      </c>
      <c r="M183" s="53">
        <v>1</v>
      </c>
      <c r="N183" s="43" t="s">
        <v>33</v>
      </c>
      <c r="O183" s="43"/>
      <c r="P183" s="55">
        <v>0</v>
      </c>
      <c r="Q183" s="53"/>
      <c r="R183" s="55">
        <v>0</v>
      </c>
      <c r="S183" s="43">
        <v>46054</v>
      </c>
      <c r="T183" s="55">
        <v>0</v>
      </c>
      <c r="U183" s="53">
        <v>2</v>
      </c>
      <c r="V183" s="55">
        <v>0</v>
      </c>
      <c r="W183" s="43" t="s">
        <v>34</v>
      </c>
      <c r="X183" s="43" t="s">
        <v>42</v>
      </c>
      <c r="Y183" s="43" t="s">
        <v>36</v>
      </c>
      <c r="Z183" s="43" t="s">
        <v>43</v>
      </c>
      <c r="AA183" s="43" t="s">
        <v>37</v>
      </c>
      <c r="AB183" s="43" t="s">
        <v>37</v>
      </c>
      <c r="AC183" s="43" t="s">
        <v>38</v>
      </c>
      <c r="AD183" s="59" t="s">
        <v>242</v>
      </c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</row>
    <row r="184" spans="1:49" ht="31.5" x14ac:dyDescent="0.25">
      <c r="A184" s="43" t="s">
        <v>98</v>
      </c>
      <c r="B184" s="45">
        <v>46064</v>
      </c>
      <c r="C184" s="45">
        <v>46064</v>
      </c>
      <c r="D184" s="46" t="s">
        <v>166</v>
      </c>
      <c r="E184" s="48">
        <v>0.58333333333333337</v>
      </c>
      <c r="F184" s="48">
        <v>0.625</v>
      </c>
      <c r="G184" s="48">
        <v>4.1666666666666664E-2</v>
      </c>
      <c r="H184" s="43" t="s">
        <v>99</v>
      </c>
      <c r="I184" s="51"/>
      <c r="J184" s="43" t="s">
        <v>100</v>
      </c>
      <c r="K184" s="43"/>
      <c r="L184" s="53">
        <v>1</v>
      </c>
      <c r="M184" s="53">
        <v>1</v>
      </c>
      <c r="N184" s="43" t="s">
        <v>33</v>
      </c>
      <c r="O184" s="43"/>
      <c r="P184" s="55">
        <v>0</v>
      </c>
      <c r="Q184" s="53"/>
      <c r="R184" s="55">
        <v>0</v>
      </c>
      <c r="S184" s="43">
        <v>46054</v>
      </c>
      <c r="T184" s="55">
        <v>0</v>
      </c>
      <c r="U184" s="53">
        <v>2</v>
      </c>
      <c r="V184" s="55">
        <v>0</v>
      </c>
      <c r="W184" s="43" t="s">
        <v>34</v>
      </c>
      <c r="X184" s="43" t="s">
        <v>42</v>
      </c>
      <c r="Y184" s="43" t="s">
        <v>36</v>
      </c>
      <c r="Z184" s="43" t="s">
        <v>43</v>
      </c>
      <c r="AA184" s="43" t="s">
        <v>37</v>
      </c>
      <c r="AB184" s="43" t="s">
        <v>37</v>
      </c>
      <c r="AC184" s="43" t="s">
        <v>38</v>
      </c>
      <c r="AD184" s="59" t="s">
        <v>242</v>
      </c>
      <c r="AE184" s="60"/>
      <c r="AF184" s="60"/>
      <c r="AG184" s="60"/>
      <c r="AH184" s="60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</row>
    <row r="185" spans="1:49" ht="31.5" x14ac:dyDescent="0.25">
      <c r="A185" s="43" t="s">
        <v>98</v>
      </c>
      <c r="B185" s="45">
        <v>46064</v>
      </c>
      <c r="C185" s="45">
        <v>46064</v>
      </c>
      <c r="D185" s="46" t="s">
        <v>166</v>
      </c>
      <c r="E185" s="48">
        <v>0.625</v>
      </c>
      <c r="F185" s="48">
        <v>0.64583333333333337</v>
      </c>
      <c r="G185" s="48">
        <v>2.0833333333333332E-2</v>
      </c>
      <c r="H185" s="43" t="s">
        <v>101</v>
      </c>
      <c r="I185" s="51"/>
      <c r="J185" s="43" t="s">
        <v>100</v>
      </c>
      <c r="K185" s="43"/>
      <c r="L185" s="53">
        <v>1</v>
      </c>
      <c r="M185" s="53">
        <v>1</v>
      </c>
      <c r="N185" s="43" t="s">
        <v>33</v>
      </c>
      <c r="O185" s="43"/>
      <c r="P185" s="55">
        <v>0</v>
      </c>
      <c r="Q185" s="53"/>
      <c r="R185" s="55">
        <v>0</v>
      </c>
      <c r="S185" s="43">
        <v>46054</v>
      </c>
      <c r="T185" s="55">
        <v>0</v>
      </c>
      <c r="U185" s="53">
        <v>2</v>
      </c>
      <c r="V185" s="55">
        <v>0</v>
      </c>
      <c r="W185" s="43" t="s">
        <v>34</v>
      </c>
      <c r="X185" s="43" t="s">
        <v>42</v>
      </c>
      <c r="Y185" s="43" t="s">
        <v>36</v>
      </c>
      <c r="Z185" s="43" t="s">
        <v>43</v>
      </c>
      <c r="AA185" s="43" t="s">
        <v>37</v>
      </c>
      <c r="AB185" s="43" t="s">
        <v>37</v>
      </c>
      <c r="AC185" s="43" t="s">
        <v>38</v>
      </c>
      <c r="AD185" s="59" t="s">
        <v>242</v>
      </c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</row>
    <row r="186" spans="1:49" ht="31.5" x14ac:dyDescent="0.25">
      <c r="A186" s="43" t="s">
        <v>98</v>
      </c>
      <c r="B186" s="45">
        <v>46064</v>
      </c>
      <c r="C186" s="45">
        <v>46064</v>
      </c>
      <c r="D186" s="46" t="s">
        <v>166</v>
      </c>
      <c r="E186" s="48">
        <v>0.64583333333333337</v>
      </c>
      <c r="F186" s="48">
        <v>0.66666666666666663</v>
      </c>
      <c r="G186" s="48">
        <v>2.0833333333333332E-2</v>
      </c>
      <c r="H186" s="43" t="s">
        <v>102</v>
      </c>
      <c r="I186" s="51"/>
      <c r="J186" s="43" t="s">
        <v>100</v>
      </c>
      <c r="K186" s="43"/>
      <c r="L186" s="53">
        <v>1</v>
      </c>
      <c r="M186" s="53">
        <v>1</v>
      </c>
      <c r="N186" s="43" t="s">
        <v>33</v>
      </c>
      <c r="O186" s="43"/>
      <c r="P186" s="55">
        <v>0</v>
      </c>
      <c r="Q186" s="53"/>
      <c r="R186" s="55">
        <v>0</v>
      </c>
      <c r="S186" s="43">
        <v>46054</v>
      </c>
      <c r="T186" s="55">
        <v>0</v>
      </c>
      <c r="U186" s="53">
        <v>2</v>
      </c>
      <c r="V186" s="55">
        <v>0</v>
      </c>
      <c r="W186" s="43" t="s">
        <v>34</v>
      </c>
      <c r="X186" s="43" t="s">
        <v>42</v>
      </c>
      <c r="Y186" s="43" t="s">
        <v>36</v>
      </c>
      <c r="Z186" s="43" t="s">
        <v>43</v>
      </c>
      <c r="AA186" s="43" t="s">
        <v>37</v>
      </c>
      <c r="AB186" s="43" t="s">
        <v>37</v>
      </c>
      <c r="AC186" s="43" t="s">
        <v>38</v>
      </c>
      <c r="AD186" s="59" t="s">
        <v>242</v>
      </c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</row>
    <row r="187" spans="1:49" ht="31.5" x14ac:dyDescent="0.25">
      <c r="A187" s="43" t="s">
        <v>98</v>
      </c>
      <c r="B187" s="45">
        <v>46065</v>
      </c>
      <c r="C187" s="45">
        <v>46065</v>
      </c>
      <c r="D187" s="46" t="s">
        <v>179</v>
      </c>
      <c r="E187" s="48">
        <v>0.58333333333333337</v>
      </c>
      <c r="F187" s="48">
        <v>0.625</v>
      </c>
      <c r="G187" s="48">
        <v>4.1666666666666664E-2</v>
      </c>
      <c r="H187" s="43" t="s">
        <v>99</v>
      </c>
      <c r="I187" s="51"/>
      <c r="J187" s="43" t="s">
        <v>100</v>
      </c>
      <c r="K187" s="43"/>
      <c r="L187" s="53">
        <v>1</v>
      </c>
      <c r="M187" s="53">
        <v>1</v>
      </c>
      <c r="N187" s="43" t="s">
        <v>33</v>
      </c>
      <c r="O187" s="43"/>
      <c r="P187" s="55">
        <v>0</v>
      </c>
      <c r="Q187" s="53"/>
      <c r="R187" s="55">
        <v>0</v>
      </c>
      <c r="S187" s="43">
        <v>46054</v>
      </c>
      <c r="T187" s="55">
        <v>0</v>
      </c>
      <c r="U187" s="53">
        <v>2</v>
      </c>
      <c r="V187" s="55">
        <v>0</v>
      </c>
      <c r="W187" s="43" t="s">
        <v>34</v>
      </c>
      <c r="X187" s="43" t="s">
        <v>42</v>
      </c>
      <c r="Y187" s="43" t="s">
        <v>36</v>
      </c>
      <c r="Z187" s="43" t="s">
        <v>43</v>
      </c>
      <c r="AA187" s="43" t="s">
        <v>37</v>
      </c>
      <c r="AB187" s="43" t="s">
        <v>37</v>
      </c>
      <c r="AC187" s="43" t="s">
        <v>38</v>
      </c>
      <c r="AD187" s="59" t="s">
        <v>242</v>
      </c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</row>
    <row r="188" spans="1:49" ht="31.5" x14ac:dyDescent="0.2">
      <c r="A188" s="43" t="s">
        <v>98</v>
      </c>
      <c r="B188" s="45">
        <v>46065</v>
      </c>
      <c r="C188" s="45">
        <v>46065</v>
      </c>
      <c r="D188" s="46" t="s">
        <v>179</v>
      </c>
      <c r="E188" s="48">
        <v>0.625</v>
      </c>
      <c r="F188" s="48">
        <v>0.64583333333333337</v>
      </c>
      <c r="G188" s="48">
        <v>2.0833333333333332E-2</v>
      </c>
      <c r="H188" s="43" t="s">
        <v>101</v>
      </c>
      <c r="I188" s="51"/>
      <c r="J188" s="43" t="s">
        <v>100</v>
      </c>
      <c r="K188" s="43"/>
      <c r="L188" s="53">
        <v>1</v>
      </c>
      <c r="M188" s="53">
        <v>1</v>
      </c>
      <c r="N188" s="43" t="s">
        <v>33</v>
      </c>
      <c r="O188" s="43"/>
      <c r="P188" s="55">
        <v>0</v>
      </c>
      <c r="Q188" s="53"/>
      <c r="R188" s="55">
        <v>0</v>
      </c>
      <c r="S188" s="43">
        <v>46054</v>
      </c>
      <c r="T188" s="55">
        <v>0</v>
      </c>
      <c r="U188" s="53">
        <v>2</v>
      </c>
      <c r="V188" s="55">
        <v>0</v>
      </c>
      <c r="W188" s="43" t="s">
        <v>34</v>
      </c>
      <c r="X188" s="43" t="s">
        <v>42</v>
      </c>
      <c r="Y188" s="43" t="s">
        <v>36</v>
      </c>
      <c r="Z188" s="43" t="s">
        <v>43</v>
      </c>
      <c r="AA188" s="43" t="s">
        <v>37</v>
      </c>
      <c r="AB188" s="43" t="s">
        <v>37</v>
      </c>
      <c r="AC188" s="43" t="s">
        <v>38</v>
      </c>
      <c r="AD188" s="59" t="s">
        <v>242</v>
      </c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</row>
    <row r="189" spans="1:49" ht="31.5" x14ac:dyDescent="0.2">
      <c r="A189" s="43" t="s">
        <v>98</v>
      </c>
      <c r="B189" s="45">
        <v>46065</v>
      </c>
      <c r="C189" s="45">
        <v>46065</v>
      </c>
      <c r="D189" s="46" t="s">
        <v>179</v>
      </c>
      <c r="E189" s="48">
        <v>0.64583333333333337</v>
      </c>
      <c r="F189" s="48">
        <v>0.66666666666666663</v>
      </c>
      <c r="G189" s="48">
        <v>2.0833333333333332E-2</v>
      </c>
      <c r="H189" s="43" t="s">
        <v>102</v>
      </c>
      <c r="I189" s="51"/>
      <c r="J189" s="43" t="s">
        <v>100</v>
      </c>
      <c r="K189" s="43"/>
      <c r="L189" s="53">
        <v>1</v>
      </c>
      <c r="M189" s="53">
        <v>1</v>
      </c>
      <c r="N189" s="43" t="s">
        <v>33</v>
      </c>
      <c r="O189" s="43"/>
      <c r="P189" s="55">
        <v>0</v>
      </c>
      <c r="Q189" s="53"/>
      <c r="R189" s="55">
        <v>0</v>
      </c>
      <c r="S189" s="43">
        <v>46054</v>
      </c>
      <c r="T189" s="55">
        <v>0</v>
      </c>
      <c r="U189" s="53">
        <v>2</v>
      </c>
      <c r="V189" s="55">
        <v>0</v>
      </c>
      <c r="W189" s="43" t="s">
        <v>34</v>
      </c>
      <c r="X189" s="43" t="s">
        <v>42</v>
      </c>
      <c r="Y189" s="43" t="s">
        <v>36</v>
      </c>
      <c r="Z189" s="43" t="s">
        <v>43</v>
      </c>
      <c r="AA189" s="43" t="s">
        <v>37</v>
      </c>
      <c r="AB189" s="43" t="s">
        <v>37</v>
      </c>
      <c r="AC189" s="43" t="s">
        <v>38</v>
      </c>
      <c r="AD189" s="59" t="s">
        <v>242</v>
      </c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</row>
    <row r="190" spans="1:49" ht="31.5" x14ac:dyDescent="0.25">
      <c r="A190" s="43" t="s">
        <v>98</v>
      </c>
      <c r="B190" s="45">
        <v>46066</v>
      </c>
      <c r="C190" s="45">
        <v>46066</v>
      </c>
      <c r="D190" s="46" t="s">
        <v>195</v>
      </c>
      <c r="E190" s="48">
        <v>0.58333333333333337</v>
      </c>
      <c r="F190" s="48">
        <v>0.625</v>
      </c>
      <c r="G190" s="48">
        <v>4.1666666666666664E-2</v>
      </c>
      <c r="H190" s="43" t="s">
        <v>99</v>
      </c>
      <c r="I190" s="51"/>
      <c r="J190" s="43" t="s">
        <v>100</v>
      </c>
      <c r="K190" s="43"/>
      <c r="L190" s="53">
        <v>1</v>
      </c>
      <c r="M190" s="53">
        <v>1</v>
      </c>
      <c r="N190" s="43" t="s">
        <v>33</v>
      </c>
      <c r="O190" s="43"/>
      <c r="P190" s="55">
        <v>0</v>
      </c>
      <c r="Q190" s="53"/>
      <c r="R190" s="55">
        <v>0</v>
      </c>
      <c r="S190" s="43">
        <v>46054</v>
      </c>
      <c r="T190" s="55">
        <v>0</v>
      </c>
      <c r="U190" s="53">
        <v>2</v>
      </c>
      <c r="V190" s="55">
        <v>0</v>
      </c>
      <c r="W190" s="43" t="s">
        <v>34</v>
      </c>
      <c r="X190" s="43" t="s">
        <v>42</v>
      </c>
      <c r="Y190" s="43" t="s">
        <v>36</v>
      </c>
      <c r="Z190" s="43" t="s">
        <v>43</v>
      </c>
      <c r="AA190" s="43" t="s">
        <v>37</v>
      </c>
      <c r="AB190" s="43" t="s">
        <v>37</v>
      </c>
      <c r="AC190" s="43" t="s">
        <v>38</v>
      </c>
      <c r="AD190" s="59" t="s">
        <v>242</v>
      </c>
      <c r="AE190" s="60"/>
      <c r="AF190" s="60"/>
      <c r="AG190" s="60"/>
      <c r="AH190" s="60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</row>
    <row r="191" spans="1:49" ht="31.5" x14ac:dyDescent="0.25">
      <c r="A191" s="43" t="s">
        <v>98</v>
      </c>
      <c r="B191" s="45">
        <v>46066</v>
      </c>
      <c r="C191" s="45">
        <v>46066</v>
      </c>
      <c r="D191" s="46" t="s">
        <v>195</v>
      </c>
      <c r="E191" s="48">
        <v>0.625</v>
      </c>
      <c r="F191" s="48">
        <v>0.64583333333333337</v>
      </c>
      <c r="G191" s="48">
        <v>2.0833333333333332E-2</v>
      </c>
      <c r="H191" s="43" t="s">
        <v>101</v>
      </c>
      <c r="I191" s="51"/>
      <c r="J191" s="43" t="s">
        <v>100</v>
      </c>
      <c r="K191" s="43"/>
      <c r="L191" s="53">
        <v>1</v>
      </c>
      <c r="M191" s="53">
        <v>1</v>
      </c>
      <c r="N191" s="43" t="s">
        <v>33</v>
      </c>
      <c r="O191" s="43"/>
      <c r="P191" s="55">
        <v>0</v>
      </c>
      <c r="Q191" s="53"/>
      <c r="R191" s="55">
        <v>0</v>
      </c>
      <c r="S191" s="43">
        <v>46054</v>
      </c>
      <c r="T191" s="55">
        <v>0</v>
      </c>
      <c r="U191" s="53">
        <v>2</v>
      </c>
      <c r="V191" s="55">
        <v>0</v>
      </c>
      <c r="W191" s="43" t="s">
        <v>34</v>
      </c>
      <c r="X191" s="43" t="s">
        <v>42</v>
      </c>
      <c r="Y191" s="43" t="s">
        <v>36</v>
      </c>
      <c r="Z191" s="43" t="s">
        <v>43</v>
      </c>
      <c r="AA191" s="43" t="s">
        <v>37</v>
      </c>
      <c r="AB191" s="43" t="s">
        <v>37</v>
      </c>
      <c r="AC191" s="43" t="s">
        <v>38</v>
      </c>
      <c r="AD191" s="59" t="s">
        <v>242</v>
      </c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</row>
    <row r="192" spans="1:49" ht="31.5" x14ac:dyDescent="0.25">
      <c r="A192" s="43" t="s">
        <v>98</v>
      </c>
      <c r="B192" s="45">
        <v>46066</v>
      </c>
      <c r="C192" s="45">
        <v>46066</v>
      </c>
      <c r="D192" s="46" t="s">
        <v>195</v>
      </c>
      <c r="E192" s="48">
        <v>0.64583333333333337</v>
      </c>
      <c r="F192" s="48">
        <v>0.66666666666666663</v>
      </c>
      <c r="G192" s="48">
        <v>2.0833333333333332E-2</v>
      </c>
      <c r="H192" s="43" t="s">
        <v>102</v>
      </c>
      <c r="I192" s="51"/>
      <c r="J192" s="43" t="s">
        <v>100</v>
      </c>
      <c r="K192" s="43"/>
      <c r="L192" s="53">
        <v>1</v>
      </c>
      <c r="M192" s="53">
        <v>1</v>
      </c>
      <c r="N192" s="43" t="s">
        <v>33</v>
      </c>
      <c r="O192" s="43"/>
      <c r="P192" s="55">
        <v>0</v>
      </c>
      <c r="Q192" s="53"/>
      <c r="R192" s="55">
        <v>0</v>
      </c>
      <c r="S192" s="43">
        <v>46054</v>
      </c>
      <c r="T192" s="55">
        <v>0</v>
      </c>
      <c r="U192" s="53">
        <v>2</v>
      </c>
      <c r="V192" s="55">
        <v>0</v>
      </c>
      <c r="W192" s="43" t="s">
        <v>34</v>
      </c>
      <c r="X192" s="43" t="s">
        <v>42</v>
      </c>
      <c r="Y192" s="43" t="s">
        <v>36</v>
      </c>
      <c r="Z192" s="43" t="s">
        <v>43</v>
      </c>
      <c r="AA192" s="43" t="s">
        <v>37</v>
      </c>
      <c r="AB192" s="43" t="s">
        <v>37</v>
      </c>
      <c r="AC192" s="43" t="s">
        <v>38</v>
      </c>
      <c r="AD192" s="59" t="s">
        <v>242</v>
      </c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</row>
    <row r="193" spans="1:49" ht="31.5" x14ac:dyDescent="0.25">
      <c r="A193" s="43" t="s">
        <v>59</v>
      </c>
      <c r="B193" s="45">
        <v>46062</v>
      </c>
      <c r="C193" s="45">
        <v>46062</v>
      </c>
      <c r="D193" s="46" t="s">
        <v>30</v>
      </c>
      <c r="E193" s="48">
        <v>0.33333333333333331</v>
      </c>
      <c r="F193" s="48">
        <v>0.375</v>
      </c>
      <c r="G193" s="48">
        <v>4.1666666666666664E-2</v>
      </c>
      <c r="H193" s="43" t="s">
        <v>60</v>
      </c>
      <c r="I193" s="51"/>
      <c r="J193" s="43" t="s">
        <v>61</v>
      </c>
      <c r="K193" s="43"/>
      <c r="L193" s="53">
        <v>1</v>
      </c>
      <c r="M193" s="53">
        <v>1</v>
      </c>
      <c r="N193" s="43" t="s">
        <v>33</v>
      </c>
      <c r="O193" s="43"/>
      <c r="P193" s="55">
        <v>0</v>
      </c>
      <c r="Q193" s="53"/>
      <c r="R193" s="55">
        <v>0</v>
      </c>
      <c r="S193" s="43">
        <v>46054</v>
      </c>
      <c r="T193" s="55">
        <v>0</v>
      </c>
      <c r="U193" s="53">
        <v>2</v>
      </c>
      <c r="V193" s="55">
        <v>0</v>
      </c>
      <c r="W193" s="43" t="s">
        <v>34</v>
      </c>
      <c r="X193" s="43" t="s">
        <v>42</v>
      </c>
      <c r="Y193" s="43" t="s">
        <v>36</v>
      </c>
      <c r="Z193" s="43" t="s">
        <v>43</v>
      </c>
      <c r="AA193" s="43" t="s">
        <v>37</v>
      </c>
      <c r="AB193" s="43" t="s">
        <v>37</v>
      </c>
      <c r="AC193" s="43" t="s">
        <v>38</v>
      </c>
      <c r="AD193" s="59" t="s">
        <v>242</v>
      </c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</row>
    <row r="194" spans="1:49" ht="31.5" x14ac:dyDescent="0.2">
      <c r="A194" s="43" t="s">
        <v>59</v>
      </c>
      <c r="B194" s="45">
        <v>46062</v>
      </c>
      <c r="C194" s="45">
        <v>46062</v>
      </c>
      <c r="D194" s="46" t="s">
        <v>30</v>
      </c>
      <c r="E194" s="48">
        <v>0.375</v>
      </c>
      <c r="F194" s="48">
        <v>0.41666666666666669</v>
      </c>
      <c r="G194" s="48">
        <v>4.1666666666666664E-2</v>
      </c>
      <c r="H194" s="43" t="s">
        <v>63</v>
      </c>
      <c r="I194" s="51"/>
      <c r="J194" s="43" t="s">
        <v>61</v>
      </c>
      <c r="K194" s="43"/>
      <c r="L194" s="53">
        <v>1</v>
      </c>
      <c r="M194" s="53">
        <v>1</v>
      </c>
      <c r="N194" s="43" t="s">
        <v>33</v>
      </c>
      <c r="O194" s="43"/>
      <c r="P194" s="55">
        <v>0</v>
      </c>
      <c r="Q194" s="53"/>
      <c r="R194" s="55">
        <v>0</v>
      </c>
      <c r="S194" s="43">
        <v>46054</v>
      </c>
      <c r="T194" s="55">
        <v>0</v>
      </c>
      <c r="U194" s="53">
        <v>2</v>
      </c>
      <c r="V194" s="55">
        <v>0</v>
      </c>
      <c r="W194" s="43" t="s">
        <v>34</v>
      </c>
      <c r="X194" s="43" t="s">
        <v>42</v>
      </c>
      <c r="Y194" s="43" t="s">
        <v>36</v>
      </c>
      <c r="Z194" s="43" t="s">
        <v>43</v>
      </c>
      <c r="AA194" s="43" t="s">
        <v>37</v>
      </c>
      <c r="AB194" s="43" t="s">
        <v>37</v>
      </c>
      <c r="AC194" s="43" t="s">
        <v>38</v>
      </c>
      <c r="AD194" s="59" t="s">
        <v>242</v>
      </c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</row>
    <row r="195" spans="1:49" ht="31.5" x14ac:dyDescent="0.25">
      <c r="A195" s="43" t="s">
        <v>59</v>
      </c>
      <c r="B195" s="45">
        <v>46063</v>
      </c>
      <c r="C195" s="45">
        <v>46063</v>
      </c>
      <c r="D195" s="46" t="s">
        <v>132</v>
      </c>
      <c r="E195" s="48">
        <v>0.33333333333333331</v>
      </c>
      <c r="F195" s="48">
        <v>0.375</v>
      </c>
      <c r="G195" s="48">
        <v>4.1666666666666664E-2</v>
      </c>
      <c r="H195" s="43" t="s">
        <v>60</v>
      </c>
      <c r="I195" s="51"/>
      <c r="J195" s="43" t="s">
        <v>61</v>
      </c>
      <c r="K195" s="43"/>
      <c r="L195" s="53">
        <v>1</v>
      </c>
      <c r="M195" s="53">
        <v>1</v>
      </c>
      <c r="N195" s="43" t="s">
        <v>33</v>
      </c>
      <c r="O195" s="43"/>
      <c r="P195" s="55">
        <v>0</v>
      </c>
      <c r="Q195" s="53"/>
      <c r="R195" s="55">
        <v>0</v>
      </c>
      <c r="S195" s="43">
        <v>46054</v>
      </c>
      <c r="T195" s="55">
        <v>0</v>
      </c>
      <c r="U195" s="53">
        <v>2</v>
      </c>
      <c r="V195" s="55">
        <v>0</v>
      </c>
      <c r="W195" s="43" t="s">
        <v>34</v>
      </c>
      <c r="X195" s="43" t="s">
        <v>42</v>
      </c>
      <c r="Y195" s="43" t="s">
        <v>36</v>
      </c>
      <c r="Z195" s="43" t="s">
        <v>43</v>
      </c>
      <c r="AA195" s="43" t="s">
        <v>37</v>
      </c>
      <c r="AB195" s="43" t="s">
        <v>37</v>
      </c>
      <c r="AC195" s="43" t="s">
        <v>38</v>
      </c>
      <c r="AD195" s="59" t="s">
        <v>242</v>
      </c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</row>
    <row r="196" spans="1:49" ht="31.5" x14ac:dyDescent="0.25">
      <c r="A196" s="43" t="s">
        <v>59</v>
      </c>
      <c r="B196" s="45">
        <v>46063</v>
      </c>
      <c r="C196" s="45">
        <v>46063</v>
      </c>
      <c r="D196" s="46" t="s">
        <v>132</v>
      </c>
      <c r="E196" s="48">
        <v>0.375</v>
      </c>
      <c r="F196" s="48">
        <v>0.41666666666666669</v>
      </c>
      <c r="G196" s="48">
        <v>4.1666666666666664E-2</v>
      </c>
      <c r="H196" s="43" t="s">
        <v>63</v>
      </c>
      <c r="I196" s="51"/>
      <c r="J196" s="43" t="s">
        <v>61</v>
      </c>
      <c r="K196" s="43"/>
      <c r="L196" s="53">
        <v>1</v>
      </c>
      <c r="M196" s="53">
        <v>1</v>
      </c>
      <c r="N196" s="43" t="s">
        <v>33</v>
      </c>
      <c r="O196" s="43"/>
      <c r="P196" s="55">
        <v>0</v>
      </c>
      <c r="Q196" s="53"/>
      <c r="R196" s="55">
        <v>0</v>
      </c>
      <c r="S196" s="43">
        <v>46054</v>
      </c>
      <c r="T196" s="55">
        <v>0</v>
      </c>
      <c r="U196" s="53">
        <v>2</v>
      </c>
      <c r="V196" s="55">
        <v>0</v>
      </c>
      <c r="W196" s="43" t="s">
        <v>34</v>
      </c>
      <c r="X196" s="43" t="s">
        <v>42</v>
      </c>
      <c r="Y196" s="43" t="s">
        <v>36</v>
      </c>
      <c r="Z196" s="43" t="s">
        <v>43</v>
      </c>
      <c r="AA196" s="43" t="s">
        <v>37</v>
      </c>
      <c r="AB196" s="43" t="s">
        <v>37</v>
      </c>
      <c r="AC196" s="43" t="s">
        <v>38</v>
      </c>
      <c r="AD196" s="59" t="s">
        <v>242</v>
      </c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</row>
    <row r="197" spans="1:49" ht="31.5" x14ac:dyDescent="0.25">
      <c r="A197" s="43" t="s">
        <v>59</v>
      </c>
      <c r="B197" s="45">
        <v>46064</v>
      </c>
      <c r="C197" s="45">
        <v>46064</v>
      </c>
      <c r="D197" s="46" t="s">
        <v>166</v>
      </c>
      <c r="E197" s="48">
        <v>0.33333333333333331</v>
      </c>
      <c r="F197" s="48">
        <v>0.375</v>
      </c>
      <c r="G197" s="48">
        <v>4.1666666666666664E-2</v>
      </c>
      <c r="H197" s="43" t="s">
        <v>60</v>
      </c>
      <c r="I197" s="51"/>
      <c r="J197" s="43" t="s">
        <v>61</v>
      </c>
      <c r="K197" s="43"/>
      <c r="L197" s="53">
        <v>1</v>
      </c>
      <c r="M197" s="53">
        <v>1</v>
      </c>
      <c r="N197" s="43" t="s">
        <v>33</v>
      </c>
      <c r="O197" s="43"/>
      <c r="P197" s="55">
        <v>0</v>
      </c>
      <c r="Q197" s="53"/>
      <c r="R197" s="55">
        <v>0</v>
      </c>
      <c r="S197" s="43">
        <v>46054</v>
      </c>
      <c r="T197" s="55">
        <v>0</v>
      </c>
      <c r="U197" s="53">
        <v>2</v>
      </c>
      <c r="V197" s="55">
        <v>0</v>
      </c>
      <c r="W197" s="43" t="s">
        <v>34</v>
      </c>
      <c r="X197" s="43" t="s">
        <v>42</v>
      </c>
      <c r="Y197" s="43" t="s">
        <v>36</v>
      </c>
      <c r="Z197" s="43" t="s">
        <v>43</v>
      </c>
      <c r="AA197" s="43" t="s">
        <v>37</v>
      </c>
      <c r="AB197" s="43" t="s">
        <v>37</v>
      </c>
      <c r="AC197" s="43" t="s">
        <v>38</v>
      </c>
      <c r="AD197" s="59" t="s">
        <v>242</v>
      </c>
      <c r="AE197" s="60"/>
      <c r="AF197" s="60"/>
      <c r="AG197" s="60"/>
      <c r="AH197" s="60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</row>
    <row r="198" spans="1:49" ht="31.5" x14ac:dyDescent="0.2">
      <c r="A198" s="43" t="s">
        <v>59</v>
      </c>
      <c r="B198" s="45">
        <v>46064</v>
      </c>
      <c r="C198" s="45">
        <v>46064</v>
      </c>
      <c r="D198" s="46" t="s">
        <v>166</v>
      </c>
      <c r="E198" s="48">
        <v>0.375</v>
      </c>
      <c r="F198" s="48">
        <v>0.41666666666666669</v>
      </c>
      <c r="G198" s="48">
        <v>4.1666666666666664E-2</v>
      </c>
      <c r="H198" s="43" t="s">
        <v>63</v>
      </c>
      <c r="I198" s="51"/>
      <c r="J198" s="43" t="s">
        <v>61</v>
      </c>
      <c r="K198" s="43"/>
      <c r="L198" s="53">
        <v>1</v>
      </c>
      <c r="M198" s="53">
        <v>1</v>
      </c>
      <c r="N198" s="43" t="s">
        <v>33</v>
      </c>
      <c r="O198" s="43"/>
      <c r="P198" s="55">
        <v>0</v>
      </c>
      <c r="Q198" s="53"/>
      <c r="R198" s="55">
        <v>0</v>
      </c>
      <c r="S198" s="43">
        <v>46054</v>
      </c>
      <c r="T198" s="55">
        <v>0</v>
      </c>
      <c r="U198" s="53">
        <v>2</v>
      </c>
      <c r="V198" s="55">
        <v>0</v>
      </c>
      <c r="W198" s="43" t="s">
        <v>34</v>
      </c>
      <c r="X198" s="43" t="s">
        <v>42</v>
      </c>
      <c r="Y198" s="43" t="s">
        <v>36</v>
      </c>
      <c r="Z198" s="43" t="s">
        <v>43</v>
      </c>
      <c r="AA198" s="43" t="s">
        <v>37</v>
      </c>
      <c r="AB198" s="43" t="s">
        <v>37</v>
      </c>
      <c r="AC198" s="43" t="s">
        <v>38</v>
      </c>
      <c r="AD198" s="59" t="s">
        <v>242</v>
      </c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</row>
    <row r="199" spans="1:49" ht="31.5" x14ac:dyDescent="0.25">
      <c r="A199" s="43" t="s">
        <v>59</v>
      </c>
      <c r="B199" s="45">
        <v>46065</v>
      </c>
      <c r="C199" s="45">
        <v>46065</v>
      </c>
      <c r="D199" s="46" t="s">
        <v>179</v>
      </c>
      <c r="E199" s="48">
        <v>0.33333333333333331</v>
      </c>
      <c r="F199" s="48">
        <v>0.375</v>
      </c>
      <c r="G199" s="48">
        <v>4.1666666666666664E-2</v>
      </c>
      <c r="H199" s="43" t="s">
        <v>60</v>
      </c>
      <c r="I199" s="51"/>
      <c r="J199" s="43" t="s">
        <v>61</v>
      </c>
      <c r="K199" s="43"/>
      <c r="L199" s="53">
        <v>1</v>
      </c>
      <c r="M199" s="53">
        <v>1</v>
      </c>
      <c r="N199" s="43" t="s">
        <v>33</v>
      </c>
      <c r="O199" s="43"/>
      <c r="P199" s="55">
        <v>0</v>
      </c>
      <c r="Q199" s="53"/>
      <c r="R199" s="55">
        <v>0</v>
      </c>
      <c r="S199" s="43">
        <v>46054</v>
      </c>
      <c r="T199" s="55">
        <v>0</v>
      </c>
      <c r="U199" s="53">
        <v>2</v>
      </c>
      <c r="V199" s="55">
        <v>0</v>
      </c>
      <c r="W199" s="43" t="s">
        <v>34</v>
      </c>
      <c r="X199" s="43" t="s">
        <v>42</v>
      </c>
      <c r="Y199" s="43" t="s">
        <v>36</v>
      </c>
      <c r="Z199" s="43" t="s">
        <v>43</v>
      </c>
      <c r="AA199" s="43" t="s">
        <v>37</v>
      </c>
      <c r="AB199" s="43" t="s">
        <v>37</v>
      </c>
      <c r="AC199" s="43" t="s">
        <v>38</v>
      </c>
      <c r="AD199" s="59" t="s">
        <v>242</v>
      </c>
      <c r="AE199" s="60"/>
      <c r="AF199" s="60"/>
      <c r="AG199" s="60"/>
      <c r="AH199" s="60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</row>
    <row r="200" spans="1:49" ht="31.5" x14ac:dyDescent="0.2">
      <c r="A200" s="43" t="s">
        <v>59</v>
      </c>
      <c r="B200" s="45">
        <v>46065</v>
      </c>
      <c r="C200" s="45">
        <v>46065</v>
      </c>
      <c r="D200" s="46" t="s">
        <v>179</v>
      </c>
      <c r="E200" s="48">
        <v>0.375</v>
      </c>
      <c r="F200" s="48">
        <v>0.41666666666666669</v>
      </c>
      <c r="G200" s="48">
        <v>4.1666666666666664E-2</v>
      </c>
      <c r="H200" s="43" t="s">
        <v>63</v>
      </c>
      <c r="I200" s="51"/>
      <c r="J200" s="43" t="s">
        <v>61</v>
      </c>
      <c r="K200" s="43"/>
      <c r="L200" s="53">
        <v>1</v>
      </c>
      <c r="M200" s="53">
        <v>1</v>
      </c>
      <c r="N200" s="43" t="s">
        <v>33</v>
      </c>
      <c r="O200" s="43"/>
      <c r="P200" s="55">
        <v>0</v>
      </c>
      <c r="Q200" s="53"/>
      <c r="R200" s="55">
        <v>0</v>
      </c>
      <c r="S200" s="43">
        <v>46054</v>
      </c>
      <c r="T200" s="55">
        <v>0</v>
      </c>
      <c r="U200" s="53">
        <v>2</v>
      </c>
      <c r="V200" s="55">
        <v>0</v>
      </c>
      <c r="W200" s="43" t="s">
        <v>34</v>
      </c>
      <c r="X200" s="43" t="s">
        <v>42</v>
      </c>
      <c r="Y200" s="43" t="s">
        <v>36</v>
      </c>
      <c r="Z200" s="43" t="s">
        <v>43</v>
      </c>
      <c r="AA200" s="43" t="s">
        <v>37</v>
      </c>
      <c r="AB200" s="43" t="s">
        <v>37</v>
      </c>
      <c r="AC200" s="43" t="s">
        <v>38</v>
      </c>
      <c r="AD200" s="59" t="s">
        <v>242</v>
      </c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</row>
    <row r="201" spans="1:49" ht="31.5" x14ac:dyDescent="0.25">
      <c r="A201" s="43" t="s">
        <v>59</v>
      </c>
      <c r="B201" s="45">
        <v>46066</v>
      </c>
      <c r="C201" s="45">
        <v>46066</v>
      </c>
      <c r="D201" s="46" t="s">
        <v>195</v>
      </c>
      <c r="E201" s="48">
        <v>0.33333333333333331</v>
      </c>
      <c r="F201" s="48">
        <v>0.375</v>
      </c>
      <c r="G201" s="48">
        <v>4.1666666666666664E-2</v>
      </c>
      <c r="H201" s="43" t="s">
        <v>60</v>
      </c>
      <c r="I201" s="51"/>
      <c r="J201" s="43" t="s">
        <v>61</v>
      </c>
      <c r="K201" s="43"/>
      <c r="L201" s="53">
        <v>1</v>
      </c>
      <c r="M201" s="53">
        <v>1</v>
      </c>
      <c r="N201" s="43" t="s">
        <v>33</v>
      </c>
      <c r="O201" s="43"/>
      <c r="P201" s="55">
        <v>0</v>
      </c>
      <c r="Q201" s="53"/>
      <c r="R201" s="55">
        <v>0</v>
      </c>
      <c r="S201" s="43">
        <v>46054</v>
      </c>
      <c r="T201" s="55">
        <v>0</v>
      </c>
      <c r="U201" s="53">
        <v>2</v>
      </c>
      <c r="V201" s="55">
        <v>0</v>
      </c>
      <c r="W201" s="43" t="s">
        <v>34</v>
      </c>
      <c r="X201" s="43" t="s">
        <v>42</v>
      </c>
      <c r="Y201" s="43" t="s">
        <v>36</v>
      </c>
      <c r="Z201" s="43" t="s">
        <v>43</v>
      </c>
      <c r="AA201" s="43" t="s">
        <v>37</v>
      </c>
      <c r="AB201" s="43" t="s">
        <v>37</v>
      </c>
      <c r="AC201" s="43" t="s">
        <v>38</v>
      </c>
      <c r="AD201" s="59" t="s">
        <v>242</v>
      </c>
      <c r="AE201" s="60"/>
      <c r="AF201" s="60"/>
      <c r="AG201" s="60"/>
      <c r="AH201" s="60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</row>
    <row r="202" spans="1:49" ht="31.5" x14ac:dyDescent="0.2">
      <c r="A202" s="43" t="s">
        <v>59</v>
      </c>
      <c r="B202" s="45">
        <v>46066</v>
      </c>
      <c r="C202" s="45">
        <v>46066</v>
      </c>
      <c r="D202" s="46" t="s">
        <v>195</v>
      </c>
      <c r="E202" s="48">
        <v>0.375</v>
      </c>
      <c r="F202" s="48">
        <v>0.41666666666666669</v>
      </c>
      <c r="G202" s="48">
        <v>4.1666666666666664E-2</v>
      </c>
      <c r="H202" s="43" t="s">
        <v>63</v>
      </c>
      <c r="I202" s="51"/>
      <c r="J202" s="43" t="s">
        <v>61</v>
      </c>
      <c r="K202" s="43"/>
      <c r="L202" s="53">
        <v>1</v>
      </c>
      <c r="M202" s="53">
        <v>1</v>
      </c>
      <c r="N202" s="43" t="s">
        <v>33</v>
      </c>
      <c r="O202" s="43"/>
      <c r="P202" s="55">
        <v>0</v>
      </c>
      <c r="Q202" s="53"/>
      <c r="R202" s="55">
        <v>0</v>
      </c>
      <c r="S202" s="43">
        <v>46054</v>
      </c>
      <c r="T202" s="55">
        <v>0</v>
      </c>
      <c r="U202" s="53">
        <v>2</v>
      </c>
      <c r="V202" s="55">
        <v>0</v>
      </c>
      <c r="W202" s="43" t="s">
        <v>34</v>
      </c>
      <c r="X202" s="43" t="s">
        <v>42</v>
      </c>
      <c r="Y202" s="43" t="s">
        <v>36</v>
      </c>
      <c r="Z202" s="43" t="s">
        <v>43</v>
      </c>
      <c r="AA202" s="43" t="s">
        <v>37</v>
      </c>
      <c r="AB202" s="43" t="s">
        <v>37</v>
      </c>
      <c r="AC202" s="43" t="s">
        <v>38</v>
      </c>
      <c r="AD202" s="59" t="s">
        <v>242</v>
      </c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</row>
    <row r="203" spans="1:49" ht="31.5" x14ac:dyDescent="0.2">
      <c r="A203" s="43" t="s">
        <v>59</v>
      </c>
      <c r="B203" s="45">
        <v>46067</v>
      </c>
      <c r="C203" s="45">
        <v>46067</v>
      </c>
      <c r="D203" s="46" t="s">
        <v>203</v>
      </c>
      <c r="E203" s="48">
        <v>0.33333333333333331</v>
      </c>
      <c r="F203" s="48">
        <v>0.41666666666666669</v>
      </c>
      <c r="G203" s="48">
        <v>8.3333333333333329E-2</v>
      </c>
      <c r="H203" s="43" t="s">
        <v>63</v>
      </c>
      <c r="I203" s="51" t="s">
        <v>209</v>
      </c>
      <c r="J203" s="43" t="s">
        <v>61</v>
      </c>
      <c r="K203" s="43"/>
      <c r="L203" s="53">
        <v>1</v>
      </c>
      <c r="M203" s="53">
        <v>1</v>
      </c>
      <c r="N203" s="43" t="s">
        <v>33</v>
      </c>
      <c r="O203" s="43"/>
      <c r="P203" s="55">
        <v>0</v>
      </c>
      <c r="Q203" s="53"/>
      <c r="R203" s="55">
        <v>0</v>
      </c>
      <c r="S203" s="43">
        <v>46054</v>
      </c>
      <c r="T203" s="55">
        <v>0</v>
      </c>
      <c r="U203" s="53">
        <v>2</v>
      </c>
      <c r="V203" s="55">
        <v>0</v>
      </c>
      <c r="W203" s="43" t="s">
        <v>34</v>
      </c>
      <c r="X203" s="43" t="s">
        <v>42</v>
      </c>
      <c r="Y203" s="43" t="s">
        <v>36</v>
      </c>
      <c r="Z203" s="43" t="s">
        <v>43</v>
      </c>
      <c r="AA203" s="43" t="s">
        <v>37</v>
      </c>
      <c r="AB203" s="43" t="s">
        <v>37</v>
      </c>
      <c r="AC203" s="43" t="s">
        <v>38</v>
      </c>
      <c r="AD203" s="59" t="s">
        <v>242</v>
      </c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</row>
    <row r="204" spans="1:49" ht="31.5" x14ac:dyDescent="0.25">
      <c r="A204" s="43" t="s">
        <v>59</v>
      </c>
      <c r="B204" s="45">
        <v>46068</v>
      </c>
      <c r="C204" s="45">
        <v>46068</v>
      </c>
      <c r="D204" s="46" t="s">
        <v>231</v>
      </c>
      <c r="E204" s="48">
        <v>0.33333333333333331</v>
      </c>
      <c r="F204" s="48">
        <v>0.41666666666666669</v>
      </c>
      <c r="G204" s="48">
        <v>8.3333333333333329E-2</v>
      </c>
      <c r="H204" s="43" t="s">
        <v>63</v>
      </c>
      <c r="I204" s="51" t="s">
        <v>209</v>
      </c>
      <c r="J204" s="43" t="s">
        <v>61</v>
      </c>
      <c r="K204" s="43"/>
      <c r="L204" s="53">
        <v>1</v>
      </c>
      <c r="M204" s="53">
        <v>1</v>
      </c>
      <c r="N204" s="43" t="s">
        <v>33</v>
      </c>
      <c r="O204" s="43"/>
      <c r="P204" s="55">
        <v>0</v>
      </c>
      <c r="Q204" s="53"/>
      <c r="R204" s="55">
        <v>0</v>
      </c>
      <c r="S204" s="43">
        <v>46054</v>
      </c>
      <c r="T204" s="55">
        <v>0</v>
      </c>
      <c r="U204" s="53">
        <v>2</v>
      </c>
      <c r="V204" s="55">
        <v>0</v>
      </c>
      <c r="W204" s="43" t="s">
        <v>34</v>
      </c>
      <c r="X204" s="43" t="s">
        <v>42</v>
      </c>
      <c r="Y204" s="43" t="s">
        <v>36</v>
      </c>
      <c r="Z204" s="43" t="s">
        <v>43</v>
      </c>
      <c r="AA204" s="43" t="s">
        <v>37</v>
      </c>
      <c r="AB204" s="43" t="s">
        <v>37</v>
      </c>
      <c r="AC204" s="43" t="s">
        <v>38</v>
      </c>
      <c r="AD204" s="59" t="s">
        <v>242</v>
      </c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</row>
    <row r="205" spans="1:49" ht="63" x14ac:dyDescent="0.2">
      <c r="A205" s="43" t="s">
        <v>232</v>
      </c>
      <c r="B205" s="45">
        <v>46068</v>
      </c>
      <c r="C205" s="45">
        <v>46068</v>
      </c>
      <c r="D205" s="46" t="s">
        <v>231</v>
      </c>
      <c r="E205" s="48">
        <v>0.25</v>
      </c>
      <c r="F205" s="48">
        <v>0.29166666666666669</v>
      </c>
      <c r="G205" s="48">
        <v>4.1666666666666664E-2</v>
      </c>
      <c r="H205" s="43" t="s">
        <v>233</v>
      </c>
      <c r="I205" s="51"/>
      <c r="J205" s="43" t="s">
        <v>32</v>
      </c>
      <c r="K205" s="43" t="s">
        <v>233</v>
      </c>
      <c r="L205" s="53">
        <v>1</v>
      </c>
      <c r="M205" s="53">
        <v>1</v>
      </c>
      <c r="N205" s="43" t="s">
        <v>33</v>
      </c>
      <c r="O205" s="43"/>
      <c r="P205" s="56">
        <v>0</v>
      </c>
      <c r="Q205" s="53"/>
      <c r="R205" s="55">
        <v>0</v>
      </c>
      <c r="S205" s="43">
        <v>46054</v>
      </c>
      <c r="T205" s="55">
        <v>0</v>
      </c>
      <c r="U205" s="53">
        <v>1</v>
      </c>
      <c r="V205" s="55">
        <v>0</v>
      </c>
      <c r="W205" s="43" t="s">
        <v>234</v>
      </c>
      <c r="X205" s="43" t="s">
        <v>35</v>
      </c>
      <c r="Y205" s="43" t="s">
        <v>36</v>
      </c>
      <c r="Z205" s="43" t="s">
        <v>9</v>
      </c>
      <c r="AA205" s="43" t="s">
        <v>49</v>
      </c>
      <c r="AB205" s="43" t="s">
        <v>37</v>
      </c>
      <c r="AC205" s="43" t="s">
        <v>38</v>
      </c>
      <c r="AD205" s="59" t="s">
        <v>242</v>
      </c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</row>
    <row r="206" spans="1:49" ht="31.5" x14ac:dyDescent="0.2">
      <c r="A206" s="42" t="s">
        <v>44</v>
      </c>
      <c r="B206" s="44">
        <v>46062</v>
      </c>
      <c r="C206" s="44">
        <v>46062</v>
      </c>
      <c r="D206" s="42" t="s">
        <v>30</v>
      </c>
      <c r="E206" s="47">
        <v>0.25</v>
      </c>
      <c r="F206" s="47">
        <v>0.99930555555555556</v>
      </c>
      <c r="G206" s="47">
        <v>3.4722222222222218E-4</v>
      </c>
      <c r="H206" s="42" t="s">
        <v>45</v>
      </c>
      <c r="I206" s="50">
        <v>0.30692129629629628</v>
      </c>
      <c r="J206" s="42" t="s">
        <v>41</v>
      </c>
      <c r="K206" s="42" t="s">
        <v>56</v>
      </c>
      <c r="L206" s="52">
        <v>1</v>
      </c>
      <c r="M206" s="52">
        <v>70964</v>
      </c>
      <c r="N206" s="42" t="s">
        <v>46</v>
      </c>
      <c r="O206" s="52" t="s">
        <v>38</v>
      </c>
      <c r="P206" s="54">
        <v>0</v>
      </c>
      <c r="Q206" s="52"/>
      <c r="R206" s="54">
        <v>0</v>
      </c>
      <c r="S206" s="57">
        <v>46054</v>
      </c>
      <c r="T206" s="54">
        <v>0</v>
      </c>
      <c r="U206" s="58">
        <v>4</v>
      </c>
      <c r="V206" s="54">
        <v>0</v>
      </c>
      <c r="W206" s="42" t="s">
        <v>47</v>
      </c>
      <c r="X206" s="42" t="s">
        <v>48</v>
      </c>
      <c r="Y206" s="42" t="s">
        <v>36</v>
      </c>
      <c r="Z206" s="42" t="s">
        <v>9</v>
      </c>
      <c r="AA206" s="42" t="s">
        <v>49</v>
      </c>
      <c r="AB206" s="42" t="s">
        <v>50</v>
      </c>
      <c r="AC206" s="42" t="s">
        <v>38</v>
      </c>
      <c r="AD206" s="59" t="s">
        <v>242</v>
      </c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</row>
    <row r="207" spans="1:49" ht="31.5" x14ac:dyDescent="0.2">
      <c r="A207" s="42" t="s">
        <v>44</v>
      </c>
      <c r="B207" s="44">
        <v>46062</v>
      </c>
      <c r="C207" s="44">
        <v>46062</v>
      </c>
      <c r="D207" s="42" t="s">
        <v>30</v>
      </c>
      <c r="E207" s="47">
        <v>0.33333333333333331</v>
      </c>
      <c r="F207" s="47">
        <v>0.41666666666666669</v>
      </c>
      <c r="G207" s="47">
        <v>3.4722222222222218E-4</v>
      </c>
      <c r="H207" s="42" t="s">
        <v>62</v>
      </c>
      <c r="I207" s="50">
        <v>0.34923611111111108</v>
      </c>
      <c r="J207" s="42" t="s">
        <v>61</v>
      </c>
      <c r="K207" s="42" t="s">
        <v>60</v>
      </c>
      <c r="L207" s="52">
        <v>1</v>
      </c>
      <c r="M207" s="52">
        <v>70970</v>
      </c>
      <c r="N207" s="42" t="s">
        <v>53</v>
      </c>
      <c r="O207" s="52" t="s">
        <v>38</v>
      </c>
      <c r="P207" s="54">
        <v>117.65</v>
      </c>
      <c r="Q207" s="52"/>
      <c r="R207" s="54">
        <v>117.65</v>
      </c>
      <c r="S207" s="57">
        <v>46054</v>
      </c>
      <c r="T207" s="54">
        <v>8.8237500000000004</v>
      </c>
      <c r="U207" s="58">
        <v>4</v>
      </c>
      <c r="V207" s="54">
        <v>108.82625</v>
      </c>
      <c r="W207" s="42" t="s">
        <v>47</v>
      </c>
      <c r="X207" s="42" t="s">
        <v>48</v>
      </c>
      <c r="Y207" s="42" t="s">
        <v>36</v>
      </c>
      <c r="Z207" s="42" t="s">
        <v>9</v>
      </c>
      <c r="AA207" s="42" t="s">
        <v>49</v>
      </c>
      <c r="AB207" s="42" t="s">
        <v>50</v>
      </c>
      <c r="AC207" s="42" t="s">
        <v>38</v>
      </c>
      <c r="AD207" s="59" t="s">
        <v>242</v>
      </c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</row>
    <row r="208" spans="1:49" ht="31.5" x14ac:dyDescent="0.25">
      <c r="A208" s="42" t="s">
        <v>44</v>
      </c>
      <c r="B208" s="44">
        <v>46062</v>
      </c>
      <c r="C208" s="44">
        <v>46062</v>
      </c>
      <c r="D208" s="42" t="s">
        <v>30</v>
      </c>
      <c r="E208" s="47">
        <v>0.66666666666666663</v>
      </c>
      <c r="F208" s="47">
        <v>0.79166666666666663</v>
      </c>
      <c r="G208" s="47">
        <v>3.4722222222222218E-4</v>
      </c>
      <c r="H208" s="42" t="s">
        <v>109</v>
      </c>
      <c r="I208" s="50">
        <v>0.77958333333333329</v>
      </c>
      <c r="J208" s="42" t="s">
        <v>105</v>
      </c>
      <c r="K208" s="42" t="s">
        <v>130</v>
      </c>
      <c r="L208" s="52">
        <v>1</v>
      </c>
      <c r="M208" s="52">
        <v>70966</v>
      </c>
      <c r="N208" s="42" t="s">
        <v>53</v>
      </c>
      <c r="O208" s="52" t="s">
        <v>38</v>
      </c>
      <c r="P208" s="54">
        <v>117.65</v>
      </c>
      <c r="Q208" s="52"/>
      <c r="R208" s="54">
        <v>117.65</v>
      </c>
      <c r="S208" s="57">
        <v>46054</v>
      </c>
      <c r="T208" s="54">
        <v>8.8237500000000004</v>
      </c>
      <c r="U208" s="58">
        <v>4</v>
      </c>
      <c r="V208" s="54">
        <v>108.82625</v>
      </c>
      <c r="W208" s="42" t="s">
        <v>47</v>
      </c>
      <c r="X208" s="42" t="s">
        <v>48</v>
      </c>
      <c r="Y208" s="42" t="s">
        <v>36</v>
      </c>
      <c r="Z208" s="42" t="s">
        <v>9</v>
      </c>
      <c r="AA208" s="42" t="s">
        <v>49</v>
      </c>
      <c r="AB208" s="42" t="s">
        <v>50</v>
      </c>
      <c r="AC208" s="42" t="s">
        <v>38</v>
      </c>
      <c r="AD208" s="59" t="s">
        <v>242</v>
      </c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</row>
    <row r="209" spans="1:49" ht="31.5" x14ac:dyDescent="0.25">
      <c r="A209" s="42" t="s">
        <v>44</v>
      </c>
      <c r="B209" s="44">
        <v>46063</v>
      </c>
      <c r="C209" s="44">
        <v>46063</v>
      </c>
      <c r="D209" s="42" t="s">
        <v>132</v>
      </c>
      <c r="E209" s="47">
        <v>0.25</v>
      </c>
      <c r="F209" s="47">
        <v>0.99930555555555556</v>
      </c>
      <c r="G209" s="47">
        <v>3.4722222222222218E-4</v>
      </c>
      <c r="H209" s="42" t="s">
        <v>138</v>
      </c>
      <c r="I209" s="50">
        <v>0.98673854166666675</v>
      </c>
      <c r="J209" s="42" t="s">
        <v>41</v>
      </c>
      <c r="K209" s="42" t="s">
        <v>127</v>
      </c>
      <c r="L209" s="52">
        <v>1</v>
      </c>
      <c r="M209" s="52">
        <v>70964</v>
      </c>
      <c r="N209" s="42" t="s">
        <v>46</v>
      </c>
      <c r="O209" s="52" t="s">
        <v>38</v>
      </c>
      <c r="P209" s="54">
        <v>0</v>
      </c>
      <c r="Q209" s="52"/>
      <c r="R209" s="54">
        <v>0</v>
      </c>
      <c r="S209" s="57">
        <v>46054</v>
      </c>
      <c r="T209" s="54">
        <v>0</v>
      </c>
      <c r="U209" s="58">
        <v>4</v>
      </c>
      <c r="V209" s="54">
        <v>0</v>
      </c>
      <c r="W209" s="42" t="s">
        <v>47</v>
      </c>
      <c r="X209" s="42" t="s">
        <v>48</v>
      </c>
      <c r="Y209" s="42" t="s">
        <v>36</v>
      </c>
      <c r="Z209" s="42" t="s">
        <v>9</v>
      </c>
      <c r="AA209" s="42" t="s">
        <v>49</v>
      </c>
      <c r="AB209" s="42" t="s">
        <v>50</v>
      </c>
      <c r="AC209" s="42" t="s">
        <v>38</v>
      </c>
      <c r="AD209" s="59" t="s">
        <v>242</v>
      </c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</row>
    <row r="210" spans="1:49" ht="31.5" x14ac:dyDescent="0.2">
      <c r="A210" s="42" t="s">
        <v>44</v>
      </c>
      <c r="B210" s="44">
        <v>46063</v>
      </c>
      <c r="C210" s="44">
        <v>46063</v>
      </c>
      <c r="D210" s="42" t="s">
        <v>132</v>
      </c>
      <c r="E210" s="47">
        <v>0.33333333333333331</v>
      </c>
      <c r="F210" s="47">
        <v>0.41666666666666669</v>
      </c>
      <c r="G210" s="47">
        <v>3.4722222222222218E-4</v>
      </c>
      <c r="H210" s="42" t="s">
        <v>62</v>
      </c>
      <c r="I210" s="50">
        <v>0.40025462962962965</v>
      </c>
      <c r="J210" s="42" t="s">
        <v>61</v>
      </c>
      <c r="K210" s="42" t="s">
        <v>63</v>
      </c>
      <c r="L210" s="52">
        <v>1</v>
      </c>
      <c r="M210" s="52">
        <v>70970</v>
      </c>
      <c r="N210" s="42" t="s">
        <v>53</v>
      </c>
      <c r="O210" s="52" t="s">
        <v>38</v>
      </c>
      <c r="P210" s="54">
        <v>117.65</v>
      </c>
      <c r="Q210" s="52"/>
      <c r="R210" s="54">
        <v>117.65</v>
      </c>
      <c r="S210" s="57">
        <v>46054</v>
      </c>
      <c r="T210" s="54">
        <v>8.8237500000000004</v>
      </c>
      <c r="U210" s="58">
        <v>4</v>
      </c>
      <c r="V210" s="54">
        <v>108.82625</v>
      </c>
      <c r="W210" s="42" t="s">
        <v>47</v>
      </c>
      <c r="X210" s="42" t="s">
        <v>48</v>
      </c>
      <c r="Y210" s="42" t="s">
        <v>36</v>
      </c>
      <c r="Z210" s="42" t="s">
        <v>9</v>
      </c>
      <c r="AA210" s="42" t="s">
        <v>49</v>
      </c>
      <c r="AB210" s="42" t="s">
        <v>50</v>
      </c>
      <c r="AC210" s="42" t="s">
        <v>38</v>
      </c>
      <c r="AD210" s="59" t="s">
        <v>242</v>
      </c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</row>
    <row r="211" spans="1:49" ht="31.5" x14ac:dyDescent="0.25">
      <c r="A211" s="42" t="s">
        <v>44</v>
      </c>
      <c r="B211" s="44">
        <v>46063</v>
      </c>
      <c r="C211" s="44">
        <v>46063</v>
      </c>
      <c r="D211" s="42" t="s">
        <v>132</v>
      </c>
      <c r="E211" s="47">
        <v>0.33333333333333331</v>
      </c>
      <c r="F211" s="47">
        <v>0.41666666666666669</v>
      </c>
      <c r="G211" s="47">
        <v>3.4722222222222218E-4</v>
      </c>
      <c r="H211" s="42" t="s">
        <v>62</v>
      </c>
      <c r="I211" s="50">
        <v>0.41515046296296299</v>
      </c>
      <c r="J211" s="42" t="s">
        <v>61</v>
      </c>
      <c r="K211" s="42" t="s">
        <v>63</v>
      </c>
      <c r="L211" s="52">
        <v>1</v>
      </c>
      <c r="M211" s="52">
        <v>70972</v>
      </c>
      <c r="N211" s="42" t="s">
        <v>46</v>
      </c>
      <c r="O211" s="52" t="s">
        <v>38</v>
      </c>
      <c r="P211" s="54">
        <v>0</v>
      </c>
      <c r="Q211" s="52"/>
      <c r="R211" s="54">
        <v>0</v>
      </c>
      <c r="S211" s="57">
        <v>46054</v>
      </c>
      <c r="T211" s="54">
        <v>0</v>
      </c>
      <c r="U211" s="58">
        <v>4</v>
      </c>
      <c r="V211" s="54">
        <v>0</v>
      </c>
      <c r="W211" s="42" t="s">
        <v>47</v>
      </c>
      <c r="X211" s="42" t="s">
        <v>48</v>
      </c>
      <c r="Y211" s="42" t="s">
        <v>36</v>
      </c>
      <c r="Z211" s="42" t="s">
        <v>9</v>
      </c>
      <c r="AA211" s="42" t="s">
        <v>49</v>
      </c>
      <c r="AB211" s="42" t="s">
        <v>50</v>
      </c>
      <c r="AC211" s="42" t="s">
        <v>38</v>
      </c>
      <c r="AD211" s="59" t="s">
        <v>242</v>
      </c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</row>
    <row r="212" spans="1:49" ht="31.5" x14ac:dyDescent="0.2">
      <c r="A212" s="42" t="s">
        <v>44</v>
      </c>
      <c r="B212" s="44">
        <v>46063</v>
      </c>
      <c r="C212" s="44">
        <v>46063</v>
      </c>
      <c r="D212" s="42" t="s">
        <v>132</v>
      </c>
      <c r="E212" s="47">
        <v>0.45833333333333331</v>
      </c>
      <c r="F212" s="47">
        <v>0.5</v>
      </c>
      <c r="G212" s="47">
        <v>3.4722222222222218E-4</v>
      </c>
      <c r="H212" s="42" t="s">
        <v>149</v>
      </c>
      <c r="I212" s="50">
        <v>0.48723379629629632</v>
      </c>
      <c r="J212" s="42" t="s">
        <v>76</v>
      </c>
      <c r="K212" s="42" t="s">
        <v>128</v>
      </c>
      <c r="L212" s="52">
        <v>1</v>
      </c>
      <c r="M212" s="52">
        <v>70974</v>
      </c>
      <c r="N212" s="42" t="s">
        <v>53</v>
      </c>
      <c r="O212" s="52" t="s">
        <v>38</v>
      </c>
      <c r="P212" s="54">
        <v>117.65</v>
      </c>
      <c r="Q212" s="52"/>
      <c r="R212" s="54">
        <v>117.65</v>
      </c>
      <c r="S212" s="57">
        <v>46054</v>
      </c>
      <c r="T212" s="54">
        <v>8.8237500000000004</v>
      </c>
      <c r="U212" s="58">
        <v>4</v>
      </c>
      <c r="V212" s="54">
        <v>108.82625</v>
      </c>
      <c r="W212" s="42" t="s">
        <v>47</v>
      </c>
      <c r="X212" s="42" t="s">
        <v>48</v>
      </c>
      <c r="Y212" s="42" t="s">
        <v>36</v>
      </c>
      <c r="Z212" s="42" t="s">
        <v>9</v>
      </c>
      <c r="AA212" s="42" t="s">
        <v>49</v>
      </c>
      <c r="AB212" s="42" t="s">
        <v>50</v>
      </c>
      <c r="AC212" s="42" t="s">
        <v>38</v>
      </c>
      <c r="AD212" s="59" t="s">
        <v>242</v>
      </c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</row>
    <row r="213" spans="1:49" ht="31.5" x14ac:dyDescent="0.2">
      <c r="A213" s="42" t="s">
        <v>44</v>
      </c>
      <c r="B213" s="44">
        <v>46063</v>
      </c>
      <c r="C213" s="44">
        <v>46063</v>
      </c>
      <c r="D213" s="42" t="s">
        <v>132</v>
      </c>
      <c r="E213" s="47">
        <v>0.66666666666666663</v>
      </c>
      <c r="F213" s="47">
        <v>0.79166666666666663</v>
      </c>
      <c r="G213" s="47">
        <v>3.4722222222222218E-4</v>
      </c>
      <c r="H213" s="42" t="s">
        <v>109</v>
      </c>
      <c r="I213" s="50">
        <v>0.76893518518518522</v>
      </c>
      <c r="J213" s="42" t="s">
        <v>105</v>
      </c>
      <c r="K213" s="42" t="s">
        <v>164</v>
      </c>
      <c r="L213" s="52">
        <v>1</v>
      </c>
      <c r="M213" s="52">
        <v>70966</v>
      </c>
      <c r="N213" s="42" t="s">
        <v>53</v>
      </c>
      <c r="O213" s="52" t="s">
        <v>38</v>
      </c>
      <c r="P213" s="54">
        <v>117.65</v>
      </c>
      <c r="Q213" s="52"/>
      <c r="R213" s="54">
        <v>117.65</v>
      </c>
      <c r="S213" s="57">
        <v>46054</v>
      </c>
      <c r="T213" s="54">
        <v>8.8237500000000004</v>
      </c>
      <c r="U213" s="58">
        <v>4</v>
      </c>
      <c r="V213" s="54">
        <v>108.82625</v>
      </c>
      <c r="W213" s="42" t="s">
        <v>47</v>
      </c>
      <c r="X213" s="42" t="s">
        <v>48</v>
      </c>
      <c r="Y213" s="42" t="s">
        <v>36</v>
      </c>
      <c r="Z213" s="42" t="s">
        <v>9</v>
      </c>
      <c r="AA213" s="42" t="s">
        <v>49</v>
      </c>
      <c r="AB213" s="42" t="s">
        <v>50</v>
      </c>
      <c r="AC213" s="42" t="s">
        <v>38</v>
      </c>
      <c r="AD213" s="59" t="s">
        <v>242</v>
      </c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</row>
    <row r="214" spans="1:49" ht="31.5" x14ac:dyDescent="0.25">
      <c r="A214" s="42" t="s">
        <v>44</v>
      </c>
      <c r="B214" s="44">
        <v>46063</v>
      </c>
      <c r="C214" s="44">
        <v>46063</v>
      </c>
      <c r="D214" s="42" t="s">
        <v>132</v>
      </c>
      <c r="E214" s="47">
        <v>0.79166666666666663</v>
      </c>
      <c r="F214" s="47">
        <v>0.83333333333333337</v>
      </c>
      <c r="G214" s="47">
        <v>3.4722222222222218E-4</v>
      </c>
      <c r="H214" s="42" t="s">
        <v>138</v>
      </c>
      <c r="I214" s="50">
        <v>0.82096122685185191</v>
      </c>
      <c r="J214" s="42" t="s">
        <v>116</v>
      </c>
      <c r="K214" s="42" t="s">
        <v>131</v>
      </c>
      <c r="L214" s="52">
        <v>1</v>
      </c>
      <c r="M214" s="52">
        <v>70960</v>
      </c>
      <c r="N214" s="42" t="s">
        <v>53</v>
      </c>
      <c r="O214" s="52" t="s">
        <v>38</v>
      </c>
      <c r="P214" s="54">
        <v>117.65</v>
      </c>
      <c r="Q214" s="52"/>
      <c r="R214" s="54">
        <v>117.65</v>
      </c>
      <c r="S214" s="57">
        <v>46054</v>
      </c>
      <c r="T214" s="54">
        <v>8.8237500000000004</v>
      </c>
      <c r="U214" s="58">
        <v>4</v>
      </c>
      <c r="V214" s="54">
        <v>108.82625</v>
      </c>
      <c r="W214" s="42" t="s">
        <v>47</v>
      </c>
      <c r="X214" s="42" t="s">
        <v>48</v>
      </c>
      <c r="Y214" s="42" t="s">
        <v>36</v>
      </c>
      <c r="Z214" s="42" t="s">
        <v>9</v>
      </c>
      <c r="AA214" s="42" t="s">
        <v>49</v>
      </c>
      <c r="AB214" s="42" t="s">
        <v>50</v>
      </c>
      <c r="AC214" s="42" t="s">
        <v>38</v>
      </c>
      <c r="AD214" s="59" t="s">
        <v>242</v>
      </c>
      <c r="AE214" s="60"/>
      <c r="AF214" s="60"/>
      <c r="AG214" s="60"/>
      <c r="AH214" s="60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</row>
    <row r="215" spans="1:49" ht="31.5" x14ac:dyDescent="0.2">
      <c r="A215" s="42" t="s">
        <v>44</v>
      </c>
      <c r="B215" s="44">
        <v>46064</v>
      </c>
      <c r="C215" s="44">
        <v>46064</v>
      </c>
      <c r="D215" s="42" t="s">
        <v>166</v>
      </c>
      <c r="E215" s="47">
        <v>0.25</v>
      </c>
      <c r="F215" s="47">
        <v>0.99930555555555556</v>
      </c>
      <c r="G215" s="47">
        <v>3.4722222222222218E-4</v>
      </c>
      <c r="H215" s="42" t="s">
        <v>138</v>
      </c>
      <c r="I215" s="50">
        <v>0.83157407407407402</v>
      </c>
      <c r="J215" s="42" t="s">
        <v>41</v>
      </c>
      <c r="K215" s="42" t="s">
        <v>131</v>
      </c>
      <c r="L215" s="52">
        <v>1</v>
      </c>
      <c r="M215" s="52">
        <v>70964</v>
      </c>
      <c r="N215" s="42" t="s">
        <v>46</v>
      </c>
      <c r="O215" s="52" t="s">
        <v>38</v>
      </c>
      <c r="P215" s="54">
        <v>0</v>
      </c>
      <c r="Q215" s="52"/>
      <c r="R215" s="54">
        <v>0</v>
      </c>
      <c r="S215" s="57">
        <v>46054</v>
      </c>
      <c r="T215" s="54">
        <v>0</v>
      </c>
      <c r="U215" s="58">
        <v>4</v>
      </c>
      <c r="V215" s="54">
        <v>0</v>
      </c>
      <c r="W215" s="42" t="s">
        <v>47</v>
      </c>
      <c r="X215" s="42" t="s">
        <v>48</v>
      </c>
      <c r="Y215" s="42" t="s">
        <v>36</v>
      </c>
      <c r="Z215" s="42" t="s">
        <v>9</v>
      </c>
      <c r="AA215" s="42" t="s">
        <v>49</v>
      </c>
      <c r="AB215" s="42" t="s">
        <v>50</v>
      </c>
      <c r="AC215" s="42" t="s">
        <v>38</v>
      </c>
      <c r="AD215" s="59" t="s">
        <v>242</v>
      </c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</row>
    <row r="216" spans="1:49" ht="31.5" x14ac:dyDescent="0.25">
      <c r="A216" s="42" t="s">
        <v>44</v>
      </c>
      <c r="B216" s="44">
        <v>46064</v>
      </c>
      <c r="C216" s="44">
        <v>46064</v>
      </c>
      <c r="D216" s="42" t="s">
        <v>166</v>
      </c>
      <c r="E216" s="47">
        <v>0.33333333333333331</v>
      </c>
      <c r="F216" s="47">
        <v>0.41666666666666669</v>
      </c>
      <c r="G216" s="47">
        <v>3.4722222222222218E-4</v>
      </c>
      <c r="H216" s="42" t="s">
        <v>62</v>
      </c>
      <c r="I216" s="50">
        <v>0.39026620370370368</v>
      </c>
      <c r="J216" s="42" t="s">
        <v>61</v>
      </c>
      <c r="K216" s="42" t="s">
        <v>63</v>
      </c>
      <c r="L216" s="52">
        <v>1</v>
      </c>
      <c r="M216" s="52">
        <v>70970</v>
      </c>
      <c r="N216" s="42" t="s">
        <v>53</v>
      </c>
      <c r="O216" s="52" t="s">
        <v>38</v>
      </c>
      <c r="P216" s="54">
        <v>117.65</v>
      </c>
      <c r="Q216" s="52"/>
      <c r="R216" s="54">
        <v>117.65</v>
      </c>
      <c r="S216" s="57">
        <v>46054</v>
      </c>
      <c r="T216" s="54">
        <v>8.8237500000000004</v>
      </c>
      <c r="U216" s="58">
        <v>4</v>
      </c>
      <c r="V216" s="54">
        <v>108.82625</v>
      </c>
      <c r="W216" s="42" t="s">
        <v>47</v>
      </c>
      <c r="X216" s="42" t="s">
        <v>48</v>
      </c>
      <c r="Y216" s="42" t="s">
        <v>36</v>
      </c>
      <c r="Z216" s="42" t="s">
        <v>9</v>
      </c>
      <c r="AA216" s="42" t="s">
        <v>49</v>
      </c>
      <c r="AB216" s="42" t="s">
        <v>50</v>
      </c>
      <c r="AC216" s="42" t="s">
        <v>38</v>
      </c>
      <c r="AD216" s="59" t="s">
        <v>242</v>
      </c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</row>
    <row r="217" spans="1:49" ht="31.5" x14ac:dyDescent="0.25">
      <c r="A217" s="42" t="s">
        <v>44</v>
      </c>
      <c r="B217" s="44">
        <v>46064</v>
      </c>
      <c r="C217" s="44">
        <v>46064</v>
      </c>
      <c r="D217" s="42" t="s">
        <v>166</v>
      </c>
      <c r="E217" s="47">
        <v>0.66666666666666663</v>
      </c>
      <c r="F217" s="47">
        <v>0.79166666666666663</v>
      </c>
      <c r="G217" s="47">
        <v>3.4722222222222218E-4</v>
      </c>
      <c r="H217" s="42" t="s">
        <v>109</v>
      </c>
      <c r="I217" s="50">
        <v>0.73671296296296296</v>
      </c>
      <c r="J217" s="42" t="s">
        <v>105</v>
      </c>
      <c r="K217" s="42" t="s">
        <v>176</v>
      </c>
      <c r="L217" s="52">
        <v>1</v>
      </c>
      <c r="M217" s="52">
        <v>70968</v>
      </c>
      <c r="N217" s="42" t="s">
        <v>46</v>
      </c>
      <c r="O217" s="52" t="s">
        <v>38</v>
      </c>
      <c r="P217" s="54">
        <v>0</v>
      </c>
      <c r="Q217" s="52"/>
      <c r="R217" s="54">
        <v>0</v>
      </c>
      <c r="S217" s="57">
        <v>46054</v>
      </c>
      <c r="T217" s="54">
        <v>0</v>
      </c>
      <c r="U217" s="58">
        <v>4</v>
      </c>
      <c r="V217" s="54">
        <v>0</v>
      </c>
      <c r="W217" s="42" t="s">
        <v>47</v>
      </c>
      <c r="X217" s="42" t="s">
        <v>48</v>
      </c>
      <c r="Y217" s="42" t="s">
        <v>36</v>
      </c>
      <c r="Z217" s="42" t="s">
        <v>9</v>
      </c>
      <c r="AA217" s="42" t="s">
        <v>49</v>
      </c>
      <c r="AB217" s="42" t="s">
        <v>50</v>
      </c>
      <c r="AC217" s="42" t="s">
        <v>38</v>
      </c>
      <c r="AD217" s="59" t="s">
        <v>242</v>
      </c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</row>
    <row r="218" spans="1:49" ht="31.5" x14ac:dyDescent="0.25">
      <c r="A218" s="42" t="s">
        <v>44</v>
      </c>
      <c r="B218" s="44">
        <v>46064</v>
      </c>
      <c r="C218" s="44">
        <v>46064</v>
      </c>
      <c r="D218" s="42" t="s">
        <v>166</v>
      </c>
      <c r="E218" s="47">
        <v>0.79166666666666663</v>
      </c>
      <c r="F218" s="47">
        <v>0.83333333333333337</v>
      </c>
      <c r="G218" s="47">
        <v>3.4722222222222218E-4</v>
      </c>
      <c r="H218" s="42" t="s">
        <v>138</v>
      </c>
      <c r="I218" s="50">
        <v>0.82034722222222223</v>
      </c>
      <c r="J218" s="42" t="s">
        <v>116</v>
      </c>
      <c r="K218" s="42" t="s">
        <v>131</v>
      </c>
      <c r="L218" s="52">
        <v>1</v>
      </c>
      <c r="M218" s="52">
        <v>70960</v>
      </c>
      <c r="N218" s="42" t="s">
        <v>53</v>
      </c>
      <c r="O218" s="52" t="s">
        <v>38</v>
      </c>
      <c r="P218" s="54">
        <v>117.65</v>
      </c>
      <c r="Q218" s="52"/>
      <c r="R218" s="54">
        <v>117.65</v>
      </c>
      <c r="S218" s="57">
        <v>46054</v>
      </c>
      <c r="T218" s="54">
        <v>8.8237500000000004</v>
      </c>
      <c r="U218" s="58">
        <v>4</v>
      </c>
      <c r="V218" s="54">
        <v>108.82625</v>
      </c>
      <c r="W218" s="42" t="s">
        <v>47</v>
      </c>
      <c r="X218" s="42" t="s">
        <v>48</v>
      </c>
      <c r="Y218" s="42" t="s">
        <v>36</v>
      </c>
      <c r="Z218" s="42" t="s">
        <v>9</v>
      </c>
      <c r="AA218" s="42" t="s">
        <v>49</v>
      </c>
      <c r="AB218" s="42" t="s">
        <v>50</v>
      </c>
      <c r="AC218" s="42" t="s">
        <v>38</v>
      </c>
      <c r="AD218" s="59" t="s">
        <v>242</v>
      </c>
      <c r="AE218" s="60"/>
      <c r="AF218" s="60"/>
      <c r="AG218" s="60"/>
      <c r="AH218" s="60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</row>
    <row r="219" spans="1:49" ht="31.5" x14ac:dyDescent="0.2">
      <c r="A219" s="42" t="s">
        <v>44</v>
      </c>
      <c r="B219" s="44">
        <v>46065</v>
      </c>
      <c r="C219" s="44">
        <v>46065</v>
      </c>
      <c r="D219" s="42" t="s">
        <v>179</v>
      </c>
      <c r="E219" s="47">
        <v>0.25</v>
      </c>
      <c r="F219" s="47">
        <v>0.99930555555555556</v>
      </c>
      <c r="G219" s="47">
        <v>3.4722222222222218E-4</v>
      </c>
      <c r="H219" s="42" t="s">
        <v>45</v>
      </c>
      <c r="I219" s="50">
        <v>0.30029236111111107</v>
      </c>
      <c r="J219" s="42" t="s">
        <v>41</v>
      </c>
      <c r="K219" s="42" t="s">
        <v>180</v>
      </c>
      <c r="L219" s="52">
        <v>1</v>
      </c>
      <c r="M219" s="52">
        <v>70964</v>
      </c>
      <c r="N219" s="42" t="s">
        <v>46</v>
      </c>
      <c r="O219" s="52" t="s">
        <v>38</v>
      </c>
      <c r="P219" s="54">
        <v>0</v>
      </c>
      <c r="Q219" s="52"/>
      <c r="R219" s="54">
        <v>0</v>
      </c>
      <c r="S219" s="57">
        <v>46054</v>
      </c>
      <c r="T219" s="54">
        <v>0</v>
      </c>
      <c r="U219" s="58">
        <v>4</v>
      </c>
      <c r="V219" s="54">
        <v>0</v>
      </c>
      <c r="W219" s="42" t="s">
        <v>47</v>
      </c>
      <c r="X219" s="42" t="s">
        <v>48</v>
      </c>
      <c r="Y219" s="42" t="s">
        <v>36</v>
      </c>
      <c r="Z219" s="42" t="s">
        <v>9</v>
      </c>
      <c r="AA219" s="42" t="s">
        <v>49</v>
      </c>
      <c r="AB219" s="42" t="s">
        <v>50</v>
      </c>
      <c r="AC219" s="42" t="s">
        <v>38</v>
      </c>
      <c r="AD219" s="59" t="s">
        <v>242</v>
      </c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</row>
    <row r="220" spans="1:49" ht="31.5" x14ac:dyDescent="0.25">
      <c r="A220" s="42" t="s">
        <v>44</v>
      </c>
      <c r="B220" s="44">
        <v>46065</v>
      </c>
      <c r="C220" s="44">
        <v>46065</v>
      </c>
      <c r="D220" s="42" t="s">
        <v>179</v>
      </c>
      <c r="E220" s="47">
        <v>0.66666666666666663</v>
      </c>
      <c r="F220" s="47">
        <v>0.79166666666666663</v>
      </c>
      <c r="G220" s="47">
        <v>3.4722222222222218E-4</v>
      </c>
      <c r="H220" s="42" t="s">
        <v>109</v>
      </c>
      <c r="I220" s="50">
        <v>0.67486203703703707</v>
      </c>
      <c r="J220" s="42" t="s">
        <v>105</v>
      </c>
      <c r="K220" s="42" t="s">
        <v>104</v>
      </c>
      <c r="L220" s="52">
        <v>1</v>
      </c>
      <c r="M220" s="52">
        <v>70966</v>
      </c>
      <c r="N220" s="42" t="s">
        <v>53</v>
      </c>
      <c r="O220" s="52" t="s">
        <v>38</v>
      </c>
      <c r="P220" s="54">
        <v>117.65</v>
      </c>
      <c r="Q220" s="52"/>
      <c r="R220" s="54">
        <v>117.65</v>
      </c>
      <c r="S220" s="57">
        <v>46054</v>
      </c>
      <c r="T220" s="54">
        <v>8.8237500000000004</v>
      </c>
      <c r="U220" s="58">
        <v>4</v>
      </c>
      <c r="V220" s="54">
        <v>108.82625</v>
      </c>
      <c r="W220" s="42" t="s">
        <v>47</v>
      </c>
      <c r="X220" s="42" t="s">
        <v>48</v>
      </c>
      <c r="Y220" s="42" t="s">
        <v>36</v>
      </c>
      <c r="Z220" s="42" t="s">
        <v>9</v>
      </c>
      <c r="AA220" s="42" t="s">
        <v>49</v>
      </c>
      <c r="AB220" s="42" t="s">
        <v>50</v>
      </c>
      <c r="AC220" s="42" t="s">
        <v>38</v>
      </c>
      <c r="AD220" s="59" t="s">
        <v>242</v>
      </c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</row>
    <row r="221" spans="1:49" ht="31.5" x14ac:dyDescent="0.25">
      <c r="A221" s="42" t="s">
        <v>44</v>
      </c>
      <c r="B221" s="44">
        <v>46065</v>
      </c>
      <c r="C221" s="44">
        <v>46065</v>
      </c>
      <c r="D221" s="42" t="s">
        <v>179</v>
      </c>
      <c r="E221" s="47">
        <v>0.66666666666666663</v>
      </c>
      <c r="F221" s="47">
        <v>0.79166666666666663</v>
      </c>
      <c r="G221" s="47">
        <v>3.4722222222222218E-4</v>
      </c>
      <c r="H221" s="42" t="s">
        <v>109</v>
      </c>
      <c r="I221" s="50">
        <v>0.68695902777777784</v>
      </c>
      <c r="J221" s="42" t="s">
        <v>105</v>
      </c>
      <c r="K221" s="42" t="s">
        <v>104</v>
      </c>
      <c r="L221" s="52">
        <v>1</v>
      </c>
      <c r="M221" s="52">
        <v>70968</v>
      </c>
      <c r="N221" s="42" t="s">
        <v>46</v>
      </c>
      <c r="O221" s="52" t="s">
        <v>38</v>
      </c>
      <c r="P221" s="54">
        <v>0</v>
      </c>
      <c r="Q221" s="52"/>
      <c r="R221" s="54">
        <v>0</v>
      </c>
      <c r="S221" s="57">
        <v>46054</v>
      </c>
      <c r="T221" s="54">
        <v>0</v>
      </c>
      <c r="U221" s="58">
        <v>4</v>
      </c>
      <c r="V221" s="54">
        <v>0</v>
      </c>
      <c r="W221" s="42" t="s">
        <v>47</v>
      </c>
      <c r="X221" s="42" t="s">
        <v>48</v>
      </c>
      <c r="Y221" s="42" t="s">
        <v>36</v>
      </c>
      <c r="Z221" s="42" t="s">
        <v>9</v>
      </c>
      <c r="AA221" s="42" t="s">
        <v>49</v>
      </c>
      <c r="AB221" s="42" t="s">
        <v>50</v>
      </c>
      <c r="AC221" s="42" t="s">
        <v>38</v>
      </c>
      <c r="AD221" s="59" t="s">
        <v>242</v>
      </c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</row>
    <row r="222" spans="1:49" ht="31.5" x14ac:dyDescent="0.25">
      <c r="A222" s="42" t="s">
        <v>44</v>
      </c>
      <c r="B222" s="44">
        <v>46065</v>
      </c>
      <c r="C222" s="44">
        <v>46065</v>
      </c>
      <c r="D222" s="42" t="s">
        <v>179</v>
      </c>
      <c r="E222" s="47">
        <v>0.83333333333333337</v>
      </c>
      <c r="F222" s="47">
        <v>0.875</v>
      </c>
      <c r="G222" s="47">
        <v>3.4722222222222218E-4</v>
      </c>
      <c r="H222" s="42" t="s">
        <v>45</v>
      </c>
      <c r="I222" s="50">
        <v>0.85462060185185185</v>
      </c>
      <c r="J222" s="42" t="s">
        <v>41</v>
      </c>
      <c r="K222" s="42" t="s">
        <v>165</v>
      </c>
      <c r="L222" s="52">
        <v>1</v>
      </c>
      <c r="M222" s="52">
        <v>70962</v>
      </c>
      <c r="N222" s="42" t="s">
        <v>53</v>
      </c>
      <c r="O222" s="52" t="s">
        <v>38</v>
      </c>
      <c r="P222" s="54">
        <v>117.65</v>
      </c>
      <c r="Q222" s="52"/>
      <c r="R222" s="54">
        <v>117.65</v>
      </c>
      <c r="S222" s="57">
        <v>46054</v>
      </c>
      <c r="T222" s="54">
        <v>8.8237500000000004</v>
      </c>
      <c r="U222" s="58">
        <v>4</v>
      </c>
      <c r="V222" s="54">
        <v>108.82625</v>
      </c>
      <c r="W222" s="42" t="s">
        <v>47</v>
      </c>
      <c r="X222" s="42" t="s">
        <v>48</v>
      </c>
      <c r="Y222" s="42" t="s">
        <v>36</v>
      </c>
      <c r="Z222" s="42" t="s">
        <v>9</v>
      </c>
      <c r="AA222" s="42" t="s">
        <v>49</v>
      </c>
      <c r="AB222" s="42" t="s">
        <v>50</v>
      </c>
      <c r="AC222" s="42" t="s">
        <v>38</v>
      </c>
      <c r="AD222" s="59" t="s">
        <v>242</v>
      </c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</row>
    <row r="223" spans="1:49" ht="31.5" x14ac:dyDescent="0.25">
      <c r="A223" s="42" t="s">
        <v>44</v>
      </c>
      <c r="B223" s="44">
        <v>46066</v>
      </c>
      <c r="C223" s="44">
        <v>46066</v>
      </c>
      <c r="D223" s="42" t="s">
        <v>195</v>
      </c>
      <c r="E223" s="47">
        <v>0.25</v>
      </c>
      <c r="F223" s="47">
        <v>0.99930555555555556</v>
      </c>
      <c r="G223" s="47">
        <v>3.4722222222222218E-4</v>
      </c>
      <c r="H223" s="42" t="s">
        <v>45</v>
      </c>
      <c r="I223" s="50">
        <v>0.9011717592592593</v>
      </c>
      <c r="J223" s="42" t="s">
        <v>41</v>
      </c>
      <c r="K223" s="42" t="s">
        <v>125</v>
      </c>
      <c r="L223" s="52">
        <v>1</v>
      </c>
      <c r="M223" s="52">
        <v>70964</v>
      </c>
      <c r="N223" s="42" t="s">
        <v>46</v>
      </c>
      <c r="O223" s="52" t="s">
        <v>38</v>
      </c>
      <c r="P223" s="54">
        <v>0</v>
      </c>
      <c r="Q223" s="52"/>
      <c r="R223" s="54">
        <v>0</v>
      </c>
      <c r="S223" s="57">
        <v>46054</v>
      </c>
      <c r="T223" s="54">
        <v>0</v>
      </c>
      <c r="U223" s="58">
        <v>4</v>
      </c>
      <c r="V223" s="54">
        <v>0</v>
      </c>
      <c r="W223" s="42" t="s">
        <v>47</v>
      </c>
      <c r="X223" s="42" t="s">
        <v>48</v>
      </c>
      <c r="Y223" s="42" t="s">
        <v>36</v>
      </c>
      <c r="Z223" s="42" t="s">
        <v>9</v>
      </c>
      <c r="AA223" s="42" t="s">
        <v>49</v>
      </c>
      <c r="AB223" s="42" t="s">
        <v>50</v>
      </c>
      <c r="AC223" s="42" t="s">
        <v>38</v>
      </c>
      <c r="AD223" s="59" t="s">
        <v>242</v>
      </c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</row>
    <row r="224" spans="1:49" ht="31.5" x14ac:dyDescent="0.25">
      <c r="A224" s="42" t="s">
        <v>44</v>
      </c>
      <c r="B224" s="44">
        <v>46066</v>
      </c>
      <c r="C224" s="44">
        <v>46066</v>
      </c>
      <c r="D224" s="42" t="s">
        <v>195</v>
      </c>
      <c r="E224" s="47">
        <v>0.45833333333333331</v>
      </c>
      <c r="F224" s="47">
        <v>0.5</v>
      </c>
      <c r="G224" s="47">
        <v>3.4722222222222218E-4</v>
      </c>
      <c r="H224" s="42" t="s">
        <v>149</v>
      </c>
      <c r="I224" s="50">
        <v>0.48816099537037039</v>
      </c>
      <c r="J224" s="42" t="s">
        <v>76</v>
      </c>
      <c r="K224" s="42" t="s">
        <v>128</v>
      </c>
      <c r="L224" s="52">
        <v>1</v>
      </c>
      <c r="M224" s="52">
        <v>70974</v>
      </c>
      <c r="N224" s="42" t="s">
        <v>53</v>
      </c>
      <c r="O224" s="52" t="s">
        <v>38</v>
      </c>
      <c r="P224" s="54">
        <v>117.65</v>
      </c>
      <c r="Q224" s="52"/>
      <c r="R224" s="54">
        <v>117.65</v>
      </c>
      <c r="S224" s="57">
        <v>46054</v>
      </c>
      <c r="T224" s="54">
        <v>8.8237500000000004</v>
      </c>
      <c r="U224" s="58">
        <v>4</v>
      </c>
      <c r="V224" s="54">
        <v>108.82625</v>
      </c>
      <c r="W224" s="42" t="s">
        <v>47</v>
      </c>
      <c r="X224" s="42" t="s">
        <v>48</v>
      </c>
      <c r="Y224" s="42" t="s">
        <v>36</v>
      </c>
      <c r="Z224" s="42" t="s">
        <v>9</v>
      </c>
      <c r="AA224" s="42" t="s">
        <v>49</v>
      </c>
      <c r="AB224" s="42" t="s">
        <v>50</v>
      </c>
      <c r="AC224" s="42" t="s">
        <v>38</v>
      </c>
      <c r="AD224" s="59" t="s">
        <v>242</v>
      </c>
      <c r="AE224" s="60"/>
      <c r="AF224" s="60"/>
      <c r="AG224" s="60"/>
      <c r="AH224" s="60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</row>
    <row r="225" spans="1:49" ht="31.5" x14ac:dyDescent="0.2">
      <c r="A225" s="42" t="s">
        <v>44</v>
      </c>
      <c r="B225" s="44">
        <v>46066</v>
      </c>
      <c r="C225" s="44">
        <v>46066</v>
      </c>
      <c r="D225" s="42" t="s">
        <v>195</v>
      </c>
      <c r="E225" s="47">
        <v>0.45833333333333331</v>
      </c>
      <c r="F225" s="47">
        <v>0.54166666666666663</v>
      </c>
      <c r="G225" s="47">
        <v>3.4722222222222218E-4</v>
      </c>
      <c r="H225" s="42" t="s">
        <v>149</v>
      </c>
      <c r="I225" s="50">
        <v>0.52045173611111106</v>
      </c>
      <c r="J225" s="42" t="s">
        <v>76</v>
      </c>
      <c r="K225" s="42" t="s">
        <v>129</v>
      </c>
      <c r="L225" s="52">
        <v>1</v>
      </c>
      <c r="M225" s="52">
        <v>70976</v>
      </c>
      <c r="N225" s="42" t="s">
        <v>46</v>
      </c>
      <c r="O225" s="52" t="s">
        <v>38</v>
      </c>
      <c r="P225" s="54">
        <v>0</v>
      </c>
      <c r="Q225" s="52"/>
      <c r="R225" s="54">
        <v>0</v>
      </c>
      <c r="S225" s="57">
        <v>46054</v>
      </c>
      <c r="T225" s="54">
        <v>0</v>
      </c>
      <c r="U225" s="58">
        <v>4</v>
      </c>
      <c r="V225" s="54">
        <v>0</v>
      </c>
      <c r="W225" s="42" t="s">
        <v>47</v>
      </c>
      <c r="X225" s="42" t="s">
        <v>48</v>
      </c>
      <c r="Y225" s="42" t="s">
        <v>36</v>
      </c>
      <c r="Z225" s="42" t="s">
        <v>9</v>
      </c>
      <c r="AA225" s="42" t="s">
        <v>49</v>
      </c>
      <c r="AB225" s="42" t="s">
        <v>50</v>
      </c>
      <c r="AC225" s="42" t="s">
        <v>38</v>
      </c>
      <c r="AD225" s="59" t="s">
        <v>242</v>
      </c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</row>
    <row r="226" spans="1:49" ht="31.5" x14ac:dyDescent="0.2">
      <c r="A226" s="42" t="s">
        <v>44</v>
      </c>
      <c r="B226" s="44">
        <v>46066</v>
      </c>
      <c r="C226" s="44">
        <v>46066</v>
      </c>
      <c r="D226" s="42" t="s">
        <v>195</v>
      </c>
      <c r="E226" s="47">
        <v>0.79166666666666663</v>
      </c>
      <c r="F226" s="47">
        <v>0.83333333333333337</v>
      </c>
      <c r="G226" s="47">
        <v>3.4722222222222218E-4</v>
      </c>
      <c r="H226" s="42" t="s">
        <v>138</v>
      </c>
      <c r="I226" s="50">
        <v>0.80458333333333332</v>
      </c>
      <c r="J226" s="42" t="s">
        <v>116</v>
      </c>
      <c r="K226" s="42" t="s">
        <v>115</v>
      </c>
      <c r="L226" s="52">
        <v>1</v>
      </c>
      <c r="M226" s="52">
        <v>70960</v>
      </c>
      <c r="N226" s="42" t="s">
        <v>53</v>
      </c>
      <c r="O226" s="52" t="s">
        <v>38</v>
      </c>
      <c r="P226" s="54">
        <v>117.65</v>
      </c>
      <c r="Q226" s="52"/>
      <c r="R226" s="54">
        <v>117.65</v>
      </c>
      <c r="S226" s="57">
        <v>46054</v>
      </c>
      <c r="T226" s="54">
        <v>8.8237500000000004</v>
      </c>
      <c r="U226" s="58">
        <v>4</v>
      </c>
      <c r="V226" s="54">
        <v>108.82625</v>
      </c>
      <c r="W226" s="42" t="s">
        <v>47</v>
      </c>
      <c r="X226" s="42" t="s">
        <v>48</v>
      </c>
      <c r="Y226" s="42" t="s">
        <v>36</v>
      </c>
      <c r="Z226" s="42" t="s">
        <v>9</v>
      </c>
      <c r="AA226" s="42" t="s">
        <v>49</v>
      </c>
      <c r="AB226" s="42" t="s">
        <v>50</v>
      </c>
      <c r="AC226" s="42" t="s">
        <v>38</v>
      </c>
      <c r="AD226" s="59" t="s">
        <v>242</v>
      </c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</row>
    <row r="227" spans="1:49" ht="31.5" x14ac:dyDescent="0.2">
      <c r="A227" s="42" t="s">
        <v>44</v>
      </c>
      <c r="B227" s="44">
        <v>46066</v>
      </c>
      <c r="C227" s="44">
        <v>46066</v>
      </c>
      <c r="D227" s="42" t="s">
        <v>195</v>
      </c>
      <c r="E227" s="47">
        <v>0.83333333333333337</v>
      </c>
      <c r="F227" s="47">
        <v>0.875</v>
      </c>
      <c r="G227" s="47">
        <v>3.4722222222222218E-4</v>
      </c>
      <c r="H227" s="42" t="s">
        <v>45</v>
      </c>
      <c r="I227" s="50">
        <v>0.87446759259259255</v>
      </c>
      <c r="J227" s="42" t="s">
        <v>41</v>
      </c>
      <c r="K227" s="42" t="s">
        <v>165</v>
      </c>
      <c r="L227" s="52">
        <v>1</v>
      </c>
      <c r="M227" s="52">
        <v>70962</v>
      </c>
      <c r="N227" s="42" t="s">
        <v>53</v>
      </c>
      <c r="O227" s="52" t="s">
        <v>38</v>
      </c>
      <c r="P227" s="54">
        <v>117.65</v>
      </c>
      <c r="Q227" s="52"/>
      <c r="R227" s="54">
        <v>117.65</v>
      </c>
      <c r="S227" s="57">
        <v>46054</v>
      </c>
      <c r="T227" s="54">
        <v>8.8237500000000004</v>
      </c>
      <c r="U227" s="58">
        <v>4</v>
      </c>
      <c r="V227" s="54">
        <v>108.82625</v>
      </c>
      <c r="W227" s="42" t="s">
        <v>47</v>
      </c>
      <c r="X227" s="42" t="s">
        <v>48</v>
      </c>
      <c r="Y227" s="42" t="s">
        <v>36</v>
      </c>
      <c r="Z227" s="42" t="s">
        <v>9</v>
      </c>
      <c r="AA227" s="42" t="s">
        <v>49</v>
      </c>
      <c r="AB227" s="42" t="s">
        <v>50</v>
      </c>
      <c r="AC227" s="42" t="s">
        <v>38</v>
      </c>
      <c r="AD227" s="59" t="s">
        <v>242</v>
      </c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</row>
    <row r="228" spans="1:49" ht="31.5" x14ac:dyDescent="0.25">
      <c r="A228" s="42" t="s">
        <v>44</v>
      </c>
      <c r="B228" s="44">
        <v>46067</v>
      </c>
      <c r="C228" s="44">
        <v>46067</v>
      </c>
      <c r="D228" s="42" t="s">
        <v>203</v>
      </c>
      <c r="E228" s="47">
        <v>0.25</v>
      </c>
      <c r="F228" s="47">
        <v>0.99930555555555556</v>
      </c>
      <c r="G228" s="47">
        <v>3.4722222222222218E-4</v>
      </c>
      <c r="H228" s="42" t="s">
        <v>45</v>
      </c>
      <c r="I228" s="50">
        <v>0.31145868055555553</v>
      </c>
      <c r="J228" s="42" t="s">
        <v>41</v>
      </c>
      <c r="K228" s="42" t="s">
        <v>56</v>
      </c>
      <c r="L228" s="52">
        <v>1</v>
      </c>
      <c r="M228" s="52">
        <v>70964</v>
      </c>
      <c r="N228" s="42" t="s">
        <v>46</v>
      </c>
      <c r="O228" s="52" t="s">
        <v>38</v>
      </c>
      <c r="P228" s="54">
        <v>0</v>
      </c>
      <c r="Q228" s="52"/>
      <c r="R228" s="54">
        <v>0</v>
      </c>
      <c r="S228" s="57">
        <v>46054</v>
      </c>
      <c r="T228" s="54">
        <v>0</v>
      </c>
      <c r="U228" s="58">
        <v>4</v>
      </c>
      <c r="V228" s="54">
        <v>0</v>
      </c>
      <c r="W228" s="42" t="s">
        <v>47</v>
      </c>
      <c r="X228" s="42" t="s">
        <v>48</v>
      </c>
      <c r="Y228" s="42" t="s">
        <v>36</v>
      </c>
      <c r="Z228" s="42" t="s">
        <v>9</v>
      </c>
      <c r="AA228" s="42" t="s">
        <v>49</v>
      </c>
      <c r="AB228" s="42" t="s">
        <v>50</v>
      </c>
      <c r="AC228" s="42" t="s">
        <v>38</v>
      </c>
      <c r="AD228" s="59" t="s">
        <v>242</v>
      </c>
      <c r="AE228" s="60"/>
      <c r="AF228" s="60"/>
      <c r="AG228" s="60"/>
      <c r="AH228" s="60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</row>
    <row r="229" spans="1:49" ht="31.5" x14ac:dyDescent="0.25">
      <c r="A229" s="42" t="s">
        <v>44</v>
      </c>
      <c r="B229" s="44">
        <v>46067</v>
      </c>
      <c r="C229" s="44">
        <v>46067</v>
      </c>
      <c r="D229" s="42" t="s">
        <v>203</v>
      </c>
      <c r="E229" s="47">
        <v>0.45833333333333331</v>
      </c>
      <c r="F229" s="47">
        <v>0.54166666666666663</v>
      </c>
      <c r="G229" s="47">
        <v>3.4722222222222218E-4</v>
      </c>
      <c r="H229" s="42" t="s">
        <v>149</v>
      </c>
      <c r="I229" s="50">
        <v>0.53950451388888887</v>
      </c>
      <c r="J229" s="42" t="s">
        <v>76</v>
      </c>
      <c r="K229" s="42" t="s">
        <v>129</v>
      </c>
      <c r="L229" s="52">
        <v>1</v>
      </c>
      <c r="M229" s="52">
        <v>70976</v>
      </c>
      <c r="N229" s="42" t="s">
        <v>46</v>
      </c>
      <c r="O229" s="52" t="s">
        <v>38</v>
      </c>
      <c r="P229" s="54">
        <v>0</v>
      </c>
      <c r="Q229" s="52"/>
      <c r="R229" s="54">
        <v>0</v>
      </c>
      <c r="S229" s="57">
        <v>46054</v>
      </c>
      <c r="T229" s="54">
        <v>0</v>
      </c>
      <c r="U229" s="58">
        <v>4</v>
      </c>
      <c r="V229" s="54">
        <v>0</v>
      </c>
      <c r="W229" s="42" t="s">
        <v>47</v>
      </c>
      <c r="X229" s="42" t="s">
        <v>48</v>
      </c>
      <c r="Y229" s="42" t="s">
        <v>36</v>
      </c>
      <c r="Z229" s="42" t="s">
        <v>9</v>
      </c>
      <c r="AA229" s="42" t="s">
        <v>49</v>
      </c>
      <c r="AB229" s="42" t="s">
        <v>50</v>
      </c>
      <c r="AC229" s="42" t="s">
        <v>38</v>
      </c>
      <c r="AD229" s="59" t="s">
        <v>242</v>
      </c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</row>
    <row r="230" spans="1:49" ht="31.5" x14ac:dyDescent="0.25">
      <c r="A230" s="42" t="s">
        <v>44</v>
      </c>
      <c r="B230" s="44">
        <v>46067</v>
      </c>
      <c r="C230" s="44">
        <v>46067</v>
      </c>
      <c r="D230" s="42" t="s">
        <v>203</v>
      </c>
      <c r="E230" s="47">
        <v>0.66666666666666663</v>
      </c>
      <c r="F230" s="47">
        <v>0.79166666666666663</v>
      </c>
      <c r="G230" s="47">
        <v>3.4722222222222218E-4</v>
      </c>
      <c r="H230" s="42" t="s">
        <v>109</v>
      </c>
      <c r="I230" s="50">
        <v>0.7064583333333333</v>
      </c>
      <c r="J230" s="42" t="s">
        <v>105</v>
      </c>
      <c r="K230" s="42" t="s">
        <v>113</v>
      </c>
      <c r="L230" s="52">
        <v>1</v>
      </c>
      <c r="M230" s="52">
        <v>70968</v>
      </c>
      <c r="N230" s="42" t="s">
        <v>46</v>
      </c>
      <c r="O230" s="52" t="s">
        <v>38</v>
      </c>
      <c r="P230" s="54">
        <v>0</v>
      </c>
      <c r="Q230" s="52"/>
      <c r="R230" s="54">
        <v>0</v>
      </c>
      <c r="S230" s="57">
        <v>46054</v>
      </c>
      <c r="T230" s="54">
        <v>0</v>
      </c>
      <c r="U230" s="58">
        <v>4</v>
      </c>
      <c r="V230" s="54">
        <v>0</v>
      </c>
      <c r="W230" s="42" t="s">
        <v>47</v>
      </c>
      <c r="X230" s="42" t="s">
        <v>48</v>
      </c>
      <c r="Y230" s="42" t="s">
        <v>36</v>
      </c>
      <c r="Z230" s="42" t="s">
        <v>9</v>
      </c>
      <c r="AA230" s="42" t="s">
        <v>49</v>
      </c>
      <c r="AB230" s="42" t="s">
        <v>50</v>
      </c>
      <c r="AC230" s="42" t="s">
        <v>38</v>
      </c>
      <c r="AD230" s="59" t="s">
        <v>242</v>
      </c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</row>
    <row r="231" spans="1:49" ht="31.5" x14ac:dyDescent="0.2">
      <c r="A231" s="42" t="s">
        <v>44</v>
      </c>
      <c r="B231" s="44">
        <v>46067</v>
      </c>
      <c r="C231" s="44">
        <v>46067</v>
      </c>
      <c r="D231" s="42" t="s">
        <v>203</v>
      </c>
      <c r="E231" s="47">
        <v>0.83333333333333337</v>
      </c>
      <c r="F231" s="47">
        <v>0.875</v>
      </c>
      <c r="G231" s="47">
        <v>3.4722222222222218E-4</v>
      </c>
      <c r="H231" s="42" t="s">
        <v>45</v>
      </c>
      <c r="I231" s="50">
        <v>0.86936550925925915</v>
      </c>
      <c r="J231" s="42" t="s">
        <v>41</v>
      </c>
      <c r="K231" s="42" t="s">
        <v>165</v>
      </c>
      <c r="L231" s="52">
        <v>1</v>
      </c>
      <c r="M231" s="52">
        <v>70962</v>
      </c>
      <c r="N231" s="42" t="s">
        <v>53</v>
      </c>
      <c r="O231" s="52" t="s">
        <v>38</v>
      </c>
      <c r="P231" s="54">
        <v>117.65</v>
      </c>
      <c r="Q231" s="52"/>
      <c r="R231" s="54">
        <v>117.65</v>
      </c>
      <c r="S231" s="57">
        <v>46054</v>
      </c>
      <c r="T231" s="54">
        <v>8.8237500000000004</v>
      </c>
      <c r="U231" s="58">
        <v>4</v>
      </c>
      <c r="V231" s="54">
        <v>108.82625</v>
      </c>
      <c r="W231" s="42" t="s">
        <v>47</v>
      </c>
      <c r="X231" s="42" t="s">
        <v>48</v>
      </c>
      <c r="Y231" s="42" t="s">
        <v>36</v>
      </c>
      <c r="Z231" s="42" t="s">
        <v>9</v>
      </c>
      <c r="AA231" s="42" t="s">
        <v>49</v>
      </c>
      <c r="AB231" s="42" t="s">
        <v>50</v>
      </c>
      <c r="AC231" s="42" t="s">
        <v>38</v>
      </c>
      <c r="AD231" s="59" t="s">
        <v>242</v>
      </c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</row>
    <row r="232" spans="1:49" ht="31.5" x14ac:dyDescent="0.2">
      <c r="A232" s="42" t="s">
        <v>44</v>
      </c>
      <c r="B232" s="44">
        <v>46068</v>
      </c>
      <c r="C232" s="44">
        <v>46068</v>
      </c>
      <c r="D232" s="42" t="s">
        <v>231</v>
      </c>
      <c r="E232" s="47">
        <v>0.33333333333333331</v>
      </c>
      <c r="F232" s="47">
        <v>0.41666666666666669</v>
      </c>
      <c r="G232" s="47">
        <v>3.4722222222222218E-4</v>
      </c>
      <c r="H232" s="42" t="s">
        <v>62</v>
      </c>
      <c r="I232" s="50">
        <v>0.35893784722222222</v>
      </c>
      <c r="J232" s="42" t="s">
        <v>61</v>
      </c>
      <c r="K232" s="42" t="s">
        <v>63</v>
      </c>
      <c r="L232" s="52">
        <v>1</v>
      </c>
      <c r="M232" s="52">
        <v>70972</v>
      </c>
      <c r="N232" s="42" t="s">
        <v>46</v>
      </c>
      <c r="O232" s="52" t="s">
        <v>38</v>
      </c>
      <c r="P232" s="54">
        <v>0</v>
      </c>
      <c r="Q232" s="52"/>
      <c r="R232" s="54">
        <v>0</v>
      </c>
      <c r="S232" s="57">
        <v>46054</v>
      </c>
      <c r="T232" s="54">
        <v>0</v>
      </c>
      <c r="U232" s="58">
        <v>4</v>
      </c>
      <c r="V232" s="54">
        <v>0</v>
      </c>
      <c r="W232" s="42" t="s">
        <v>47</v>
      </c>
      <c r="X232" s="42" t="s">
        <v>48</v>
      </c>
      <c r="Y232" s="42" t="s">
        <v>36</v>
      </c>
      <c r="Z232" s="42" t="s">
        <v>9</v>
      </c>
      <c r="AA232" s="42" t="s">
        <v>49</v>
      </c>
      <c r="AB232" s="42" t="s">
        <v>50</v>
      </c>
      <c r="AC232" s="42" t="s">
        <v>38</v>
      </c>
      <c r="AD232" s="59" t="s">
        <v>242</v>
      </c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</row>
    <row r="233" spans="1:49" ht="31.5" x14ac:dyDescent="0.25">
      <c r="A233" s="42" t="s">
        <v>44</v>
      </c>
      <c r="B233" s="44">
        <v>46068</v>
      </c>
      <c r="C233" s="44">
        <v>46068</v>
      </c>
      <c r="D233" s="42" t="s">
        <v>231</v>
      </c>
      <c r="E233" s="47">
        <v>0.45833333333333331</v>
      </c>
      <c r="F233" s="47">
        <v>0.5</v>
      </c>
      <c r="G233" s="47">
        <v>3.4722222222222218E-4</v>
      </c>
      <c r="H233" s="42" t="s">
        <v>149</v>
      </c>
      <c r="I233" s="50">
        <v>0.48326701388888887</v>
      </c>
      <c r="J233" s="42" t="s">
        <v>76</v>
      </c>
      <c r="K233" s="42" t="s">
        <v>128</v>
      </c>
      <c r="L233" s="52">
        <v>1</v>
      </c>
      <c r="M233" s="52">
        <v>70974</v>
      </c>
      <c r="N233" s="42" t="s">
        <v>53</v>
      </c>
      <c r="O233" s="52" t="s">
        <v>38</v>
      </c>
      <c r="P233" s="54">
        <v>117.65</v>
      </c>
      <c r="Q233" s="52"/>
      <c r="R233" s="54">
        <v>117.65</v>
      </c>
      <c r="S233" s="57">
        <v>46054</v>
      </c>
      <c r="T233" s="54">
        <v>8.8237500000000004</v>
      </c>
      <c r="U233" s="58">
        <v>4</v>
      </c>
      <c r="V233" s="54">
        <v>108.82625</v>
      </c>
      <c r="W233" s="42" t="s">
        <v>47</v>
      </c>
      <c r="X233" s="42" t="s">
        <v>48</v>
      </c>
      <c r="Y233" s="42" t="s">
        <v>36</v>
      </c>
      <c r="Z233" s="42" t="s">
        <v>9</v>
      </c>
      <c r="AA233" s="42" t="s">
        <v>49</v>
      </c>
      <c r="AB233" s="42" t="s">
        <v>50</v>
      </c>
      <c r="AC233" s="42" t="s">
        <v>38</v>
      </c>
      <c r="AD233" s="59" t="s">
        <v>242</v>
      </c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</row>
    <row r="234" spans="1:49" ht="31.5" x14ac:dyDescent="0.2">
      <c r="A234" s="42" t="s">
        <v>44</v>
      </c>
      <c r="B234" s="44">
        <v>46068</v>
      </c>
      <c r="C234" s="44">
        <v>46068</v>
      </c>
      <c r="D234" s="42" t="s">
        <v>231</v>
      </c>
      <c r="E234" s="47">
        <v>0.45833333333333331</v>
      </c>
      <c r="F234" s="47">
        <v>0.54166666666666663</v>
      </c>
      <c r="G234" s="47">
        <v>3.4722222222222218E-4</v>
      </c>
      <c r="H234" s="42" t="s">
        <v>149</v>
      </c>
      <c r="I234" s="50">
        <v>0.51876458333333331</v>
      </c>
      <c r="J234" s="42" t="s">
        <v>76</v>
      </c>
      <c r="K234" s="42" t="s">
        <v>129</v>
      </c>
      <c r="L234" s="52">
        <v>1</v>
      </c>
      <c r="M234" s="52">
        <v>70976</v>
      </c>
      <c r="N234" s="42" t="s">
        <v>46</v>
      </c>
      <c r="O234" s="52" t="s">
        <v>38</v>
      </c>
      <c r="P234" s="54">
        <v>0</v>
      </c>
      <c r="Q234" s="52"/>
      <c r="R234" s="54">
        <v>0</v>
      </c>
      <c r="S234" s="57">
        <v>46054</v>
      </c>
      <c r="T234" s="54">
        <v>0</v>
      </c>
      <c r="U234" s="58">
        <v>4</v>
      </c>
      <c r="V234" s="54">
        <v>0</v>
      </c>
      <c r="W234" s="42" t="s">
        <v>47</v>
      </c>
      <c r="X234" s="42" t="s">
        <v>48</v>
      </c>
      <c r="Y234" s="42" t="s">
        <v>36</v>
      </c>
      <c r="Z234" s="42" t="s">
        <v>9</v>
      </c>
      <c r="AA234" s="42" t="s">
        <v>49</v>
      </c>
      <c r="AB234" s="42" t="s">
        <v>50</v>
      </c>
      <c r="AC234" s="42" t="s">
        <v>38</v>
      </c>
      <c r="AD234" s="59" t="s">
        <v>242</v>
      </c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</row>
    <row r="235" spans="1:49" ht="31.5" x14ac:dyDescent="0.25">
      <c r="A235" s="43" t="s">
        <v>29</v>
      </c>
      <c r="B235" s="45">
        <v>46062</v>
      </c>
      <c r="C235" s="45">
        <v>46062</v>
      </c>
      <c r="D235" s="46" t="s">
        <v>30</v>
      </c>
      <c r="E235" s="48">
        <v>0</v>
      </c>
      <c r="F235" s="48">
        <v>0.25</v>
      </c>
      <c r="G235" s="48">
        <v>0.25</v>
      </c>
      <c r="H235" s="43" t="s">
        <v>31</v>
      </c>
      <c r="I235" s="51"/>
      <c r="J235" s="43" t="s">
        <v>32</v>
      </c>
      <c r="K235" s="43" t="s">
        <v>31</v>
      </c>
      <c r="L235" s="53">
        <v>1</v>
      </c>
      <c r="M235" s="53">
        <v>1</v>
      </c>
      <c r="N235" s="43" t="s">
        <v>33</v>
      </c>
      <c r="O235" s="43"/>
      <c r="P235" s="56">
        <v>0</v>
      </c>
      <c r="Q235" s="53"/>
      <c r="R235" s="56">
        <v>0</v>
      </c>
      <c r="S235" s="43">
        <v>46054</v>
      </c>
      <c r="T235" s="55">
        <v>0</v>
      </c>
      <c r="U235" s="53">
        <v>1</v>
      </c>
      <c r="V235" s="55">
        <v>0</v>
      </c>
      <c r="W235" s="43" t="s">
        <v>34</v>
      </c>
      <c r="X235" s="43" t="s">
        <v>35</v>
      </c>
      <c r="Y235" s="43" t="s">
        <v>36</v>
      </c>
      <c r="Z235" s="43" t="s">
        <v>9</v>
      </c>
      <c r="AA235" s="43" t="s">
        <v>37</v>
      </c>
      <c r="AB235" s="43" t="s">
        <v>37</v>
      </c>
      <c r="AC235" s="43" t="s">
        <v>38</v>
      </c>
      <c r="AD235" s="59" t="s">
        <v>242</v>
      </c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</row>
    <row r="236" spans="1:49" ht="31.5" x14ac:dyDescent="0.25">
      <c r="A236" s="43" t="s">
        <v>29</v>
      </c>
      <c r="B236" s="45">
        <v>46063</v>
      </c>
      <c r="C236" s="45">
        <v>46063</v>
      </c>
      <c r="D236" s="46" t="s">
        <v>132</v>
      </c>
      <c r="E236" s="48">
        <v>0</v>
      </c>
      <c r="F236" s="48">
        <v>0.25</v>
      </c>
      <c r="G236" s="48">
        <v>0.25</v>
      </c>
      <c r="H236" s="43" t="s">
        <v>31</v>
      </c>
      <c r="I236" s="51"/>
      <c r="J236" s="43" t="s">
        <v>32</v>
      </c>
      <c r="K236" s="43" t="s">
        <v>31</v>
      </c>
      <c r="L236" s="53">
        <v>1</v>
      </c>
      <c r="M236" s="53">
        <v>1</v>
      </c>
      <c r="N236" s="43" t="s">
        <v>33</v>
      </c>
      <c r="O236" s="43"/>
      <c r="P236" s="56">
        <v>0</v>
      </c>
      <c r="Q236" s="53"/>
      <c r="R236" s="56">
        <v>0</v>
      </c>
      <c r="S236" s="43">
        <v>46054</v>
      </c>
      <c r="T236" s="55">
        <v>0</v>
      </c>
      <c r="U236" s="53">
        <v>1</v>
      </c>
      <c r="V236" s="55">
        <v>0</v>
      </c>
      <c r="W236" s="43" t="s">
        <v>34</v>
      </c>
      <c r="X236" s="43" t="s">
        <v>35</v>
      </c>
      <c r="Y236" s="43" t="s">
        <v>36</v>
      </c>
      <c r="Z236" s="43" t="s">
        <v>9</v>
      </c>
      <c r="AA236" s="43" t="s">
        <v>37</v>
      </c>
      <c r="AB236" s="43" t="s">
        <v>37</v>
      </c>
      <c r="AC236" s="43" t="s">
        <v>38</v>
      </c>
      <c r="AD236" s="59" t="s">
        <v>242</v>
      </c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</row>
    <row r="237" spans="1:49" ht="31.5" x14ac:dyDescent="0.2">
      <c r="A237" s="43" t="s">
        <v>29</v>
      </c>
      <c r="B237" s="45">
        <v>46064</v>
      </c>
      <c r="C237" s="45">
        <v>46064</v>
      </c>
      <c r="D237" s="46" t="s">
        <v>166</v>
      </c>
      <c r="E237" s="48">
        <v>0</v>
      </c>
      <c r="F237" s="48">
        <v>0.25</v>
      </c>
      <c r="G237" s="48">
        <v>0.25</v>
      </c>
      <c r="H237" s="43" t="s">
        <v>31</v>
      </c>
      <c r="I237" s="51"/>
      <c r="J237" s="43" t="s">
        <v>32</v>
      </c>
      <c r="K237" s="43" t="s">
        <v>31</v>
      </c>
      <c r="L237" s="53">
        <v>1</v>
      </c>
      <c r="M237" s="53">
        <v>1</v>
      </c>
      <c r="N237" s="43" t="s">
        <v>33</v>
      </c>
      <c r="O237" s="43"/>
      <c r="P237" s="56">
        <v>0</v>
      </c>
      <c r="Q237" s="53"/>
      <c r="R237" s="56">
        <v>0</v>
      </c>
      <c r="S237" s="43">
        <v>46054</v>
      </c>
      <c r="T237" s="55">
        <v>0</v>
      </c>
      <c r="U237" s="53">
        <v>1</v>
      </c>
      <c r="V237" s="55">
        <v>0</v>
      </c>
      <c r="W237" s="43" t="s">
        <v>34</v>
      </c>
      <c r="X237" s="43" t="s">
        <v>35</v>
      </c>
      <c r="Y237" s="43" t="s">
        <v>36</v>
      </c>
      <c r="Z237" s="43" t="s">
        <v>9</v>
      </c>
      <c r="AA237" s="43" t="s">
        <v>37</v>
      </c>
      <c r="AB237" s="43" t="s">
        <v>37</v>
      </c>
      <c r="AC237" s="43" t="s">
        <v>38</v>
      </c>
      <c r="AD237" s="59" t="s">
        <v>242</v>
      </c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</row>
    <row r="238" spans="1:49" ht="31.5" x14ac:dyDescent="0.25">
      <c r="A238" s="43" t="s">
        <v>29</v>
      </c>
      <c r="B238" s="45">
        <v>46065</v>
      </c>
      <c r="C238" s="45">
        <v>46065</v>
      </c>
      <c r="D238" s="46" t="s">
        <v>179</v>
      </c>
      <c r="E238" s="48">
        <v>0</v>
      </c>
      <c r="F238" s="48">
        <v>0.25</v>
      </c>
      <c r="G238" s="48">
        <v>0.25</v>
      </c>
      <c r="H238" s="43" t="s">
        <v>31</v>
      </c>
      <c r="I238" s="51"/>
      <c r="J238" s="43" t="s">
        <v>32</v>
      </c>
      <c r="K238" s="43" t="s">
        <v>31</v>
      </c>
      <c r="L238" s="53">
        <v>1</v>
      </c>
      <c r="M238" s="53">
        <v>1</v>
      </c>
      <c r="N238" s="43" t="s">
        <v>33</v>
      </c>
      <c r="O238" s="43"/>
      <c r="P238" s="56">
        <v>0</v>
      </c>
      <c r="Q238" s="53"/>
      <c r="R238" s="56">
        <v>0</v>
      </c>
      <c r="S238" s="43">
        <v>46054</v>
      </c>
      <c r="T238" s="55">
        <v>0</v>
      </c>
      <c r="U238" s="53">
        <v>1</v>
      </c>
      <c r="V238" s="55">
        <v>0</v>
      </c>
      <c r="W238" s="43" t="s">
        <v>34</v>
      </c>
      <c r="X238" s="43" t="s">
        <v>35</v>
      </c>
      <c r="Y238" s="43" t="s">
        <v>36</v>
      </c>
      <c r="Z238" s="43" t="s">
        <v>9</v>
      </c>
      <c r="AA238" s="43" t="s">
        <v>37</v>
      </c>
      <c r="AB238" s="43" t="s">
        <v>37</v>
      </c>
      <c r="AC238" s="43" t="s">
        <v>38</v>
      </c>
      <c r="AD238" s="59" t="s">
        <v>242</v>
      </c>
      <c r="AE238" s="60"/>
      <c r="AF238" s="60"/>
      <c r="AG238" s="60"/>
      <c r="AH238" s="60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</row>
    <row r="239" spans="1:49" ht="31.5" x14ac:dyDescent="0.2">
      <c r="A239" s="43" t="s">
        <v>29</v>
      </c>
      <c r="B239" s="45">
        <v>46066</v>
      </c>
      <c r="C239" s="45">
        <v>46066</v>
      </c>
      <c r="D239" s="46" t="s">
        <v>195</v>
      </c>
      <c r="E239" s="48">
        <v>0</v>
      </c>
      <c r="F239" s="48">
        <v>0.25</v>
      </c>
      <c r="G239" s="48">
        <v>0.25</v>
      </c>
      <c r="H239" s="43" t="s">
        <v>31</v>
      </c>
      <c r="I239" s="51"/>
      <c r="J239" s="43" t="s">
        <v>32</v>
      </c>
      <c r="K239" s="43" t="s">
        <v>31</v>
      </c>
      <c r="L239" s="53">
        <v>1</v>
      </c>
      <c r="M239" s="53">
        <v>1</v>
      </c>
      <c r="N239" s="43" t="s">
        <v>33</v>
      </c>
      <c r="O239" s="43"/>
      <c r="P239" s="56">
        <v>0</v>
      </c>
      <c r="Q239" s="53"/>
      <c r="R239" s="56">
        <v>0</v>
      </c>
      <c r="S239" s="43">
        <v>46054</v>
      </c>
      <c r="T239" s="55">
        <v>0</v>
      </c>
      <c r="U239" s="53">
        <v>1</v>
      </c>
      <c r="V239" s="55">
        <v>0</v>
      </c>
      <c r="W239" s="43" t="s">
        <v>34</v>
      </c>
      <c r="X239" s="43" t="s">
        <v>35</v>
      </c>
      <c r="Y239" s="43" t="s">
        <v>36</v>
      </c>
      <c r="Z239" s="43" t="s">
        <v>9</v>
      </c>
      <c r="AA239" s="43" t="s">
        <v>37</v>
      </c>
      <c r="AB239" s="43" t="s">
        <v>37</v>
      </c>
      <c r="AC239" s="43" t="s">
        <v>38</v>
      </c>
      <c r="AD239" s="59" t="s">
        <v>242</v>
      </c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</row>
    <row r="240" spans="1:49" ht="31.5" x14ac:dyDescent="0.25">
      <c r="A240" s="43" t="s">
        <v>29</v>
      </c>
      <c r="B240" s="45">
        <v>46067</v>
      </c>
      <c r="C240" s="45">
        <v>46067</v>
      </c>
      <c r="D240" s="46" t="s">
        <v>203</v>
      </c>
      <c r="E240" s="48">
        <v>0</v>
      </c>
      <c r="F240" s="48">
        <v>0.25</v>
      </c>
      <c r="G240" s="48">
        <v>0.25</v>
      </c>
      <c r="H240" s="43" t="s">
        <v>31</v>
      </c>
      <c r="I240" s="51"/>
      <c r="J240" s="43" t="s">
        <v>32</v>
      </c>
      <c r="K240" s="43" t="s">
        <v>31</v>
      </c>
      <c r="L240" s="53">
        <v>1</v>
      </c>
      <c r="M240" s="53">
        <v>1</v>
      </c>
      <c r="N240" s="43" t="s">
        <v>33</v>
      </c>
      <c r="O240" s="43"/>
      <c r="P240" s="56">
        <v>0</v>
      </c>
      <c r="Q240" s="53"/>
      <c r="R240" s="56">
        <v>0</v>
      </c>
      <c r="S240" s="43">
        <v>46054</v>
      </c>
      <c r="T240" s="55">
        <v>0</v>
      </c>
      <c r="U240" s="53">
        <v>1</v>
      </c>
      <c r="V240" s="55">
        <v>0</v>
      </c>
      <c r="W240" s="43" t="s">
        <v>34</v>
      </c>
      <c r="X240" s="43" t="s">
        <v>35</v>
      </c>
      <c r="Y240" s="43" t="s">
        <v>36</v>
      </c>
      <c r="Z240" s="43" t="s">
        <v>9</v>
      </c>
      <c r="AA240" s="43" t="s">
        <v>37</v>
      </c>
      <c r="AB240" s="43" t="s">
        <v>37</v>
      </c>
      <c r="AC240" s="43" t="s">
        <v>38</v>
      </c>
      <c r="AD240" s="59" t="s">
        <v>242</v>
      </c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</row>
    <row r="241" spans="1:49" ht="31.5" x14ac:dyDescent="0.2">
      <c r="A241" s="43" t="s">
        <v>29</v>
      </c>
      <c r="B241" s="45">
        <v>46068</v>
      </c>
      <c r="C241" s="45">
        <v>46068</v>
      </c>
      <c r="D241" s="46" t="s">
        <v>231</v>
      </c>
      <c r="E241" s="48">
        <v>0</v>
      </c>
      <c r="F241" s="48">
        <v>0.25</v>
      </c>
      <c r="G241" s="48">
        <v>0.25</v>
      </c>
      <c r="H241" s="43" t="s">
        <v>31</v>
      </c>
      <c r="I241" s="51"/>
      <c r="J241" s="43" t="s">
        <v>32</v>
      </c>
      <c r="K241" s="43" t="s">
        <v>31</v>
      </c>
      <c r="L241" s="53">
        <v>1</v>
      </c>
      <c r="M241" s="53">
        <v>1</v>
      </c>
      <c r="N241" s="43" t="s">
        <v>33</v>
      </c>
      <c r="O241" s="43"/>
      <c r="P241" s="56">
        <v>0</v>
      </c>
      <c r="Q241" s="53"/>
      <c r="R241" s="56">
        <v>0</v>
      </c>
      <c r="S241" s="43">
        <v>46054</v>
      </c>
      <c r="T241" s="55">
        <v>0</v>
      </c>
      <c r="U241" s="53">
        <v>1</v>
      </c>
      <c r="V241" s="55">
        <v>0</v>
      </c>
      <c r="W241" s="43" t="s">
        <v>34</v>
      </c>
      <c r="X241" s="43" t="s">
        <v>35</v>
      </c>
      <c r="Y241" s="43" t="s">
        <v>36</v>
      </c>
      <c r="Z241" s="43" t="s">
        <v>9</v>
      </c>
      <c r="AA241" s="43" t="s">
        <v>37</v>
      </c>
      <c r="AB241" s="43" t="s">
        <v>37</v>
      </c>
      <c r="AC241" s="43" t="s">
        <v>38</v>
      </c>
      <c r="AD241" s="59" t="s">
        <v>242</v>
      </c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</row>
    <row r="242" spans="1:49" ht="31.5" x14ac:dyDescent="0.25">
      <c r="A242" s="42" t="s">
        <v>51</v>
      </c>
      <c r="B242" s="44">
        <v>46062</v>
      </c>
      <c r="C242" s="44">
        <v>46062</v>
      </c>
      <c r="D242" s="42" t="s">
        <v>30</v>
      </c>
      <c r="E242" s="47">
        <v>0.25</v>
      </c>
      <c r="F242" s="47">
        <v>0.99930555555555556</v>
      </c>
      <c r="G242" s="47">
        <v>3.8194444444444446E-4</v>
      </c>
      <c r="H242" s="42" t="s">
        <v>52</v>
      </c>
      <c r="I242" s="50">
        <v>0.98277777777777775</v>
      </c>
      <c r="J242" s="42" t="s">
        <v>32</v>
      </c>
      <c r="K242" s="42" t="s">
        <v>127</v>
      </c>
      <c r="L242" s="52">
        <v>1</v>
      </c>
      <c r="M242" s="52">
        <v>61683</v>
      </c>
      <c r="N242" s="42" t="s">
        <v>53</v>
      </c>
      <c r="O242" s="52"/>
      <c r="P242" s="54">
        <v>92.592592592592595</v>
      </c>
      <c r="Q242" s="52"/>
      <c r="R242" s="54">
        <v>92.592592592592595</v>
      </c>
      <c r="S242" s="57">
        <v>46054</v>
      </c>
      <c r="T242" s="54">
        <v>0</v>
      </c>
      <c r="U242" s="58">
        <v>4</v>
      </c>
      <c r="V242" s="54">
        <v>92.592592592592595</v>
      </c>
      <c r="W242" s="42" t="s">
        <v>34</v>
      </c>
      <c r="X242" s="42" t="s">
        <v>54</v>
      </c>
      <c r="Y242" s="42" t="s">
        <v>36</v>
      </c>
      <c r="Z242" s="42" t="s">
        <v>54</v>
      </c>
      <c r="AA242" s="42" t="s">
        <v>49</v>
      </c>
      <c r="AB242" s="42" t="s">
        <v>55</v>
      </c>
      <c r="AC242" s="42" t="s">
        <v>38</v>
      </c>
      <c r="AD242" s="59" t="s">
        <v>242</v>
      </c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</row>
    <row r="243" spans="1:49" ht="31.5" x14ac:dyDescent="0.25">
      <c r="A243" s="42" t="s">
        <v>51</v>
      </c>
      <c r="B243" s="44">
        <v>46064</v>
      </c>
      <c r="C243" s="44">
        <v>46064</v>
      </c>
      <c r="D243" s="42" t="s">
        <v>166</v>
      </c>
      <c r="E243" s="47">
        <v>0.25</v>
      </c>
      <c r="F243" s="47">
        <v>0.99930555555555556</v>
      </c>
      <c r="G243" s="47">
        <v>3.8194444444444446E-4</v>
      </c>
      <c r="H243" s="42" t="s">
        <v>52</v>
      </c>
      <c r="I243" s="50">
        <v>0.3818287037037037</v>
      </c>
      <c r="J243" s="42" t="s">
        <v>32</v>
      </c>
      <c r="K243" s="42" t="s">
        <v>63</v>
      </c>
      <c r="L243" s="52">
        <v>1</v>
      </c>
      <c r="M243" s="52">
        <v>61683</v>
      </c>
      <c r="N243" s="42" t="s">
        <v>53</v>
      </c>
      <c r="O243" s="52"/>
      <c r="P243" s="54">
        <v>92.592592592592595</v>
      </c>
      <c r="Q243" s="52"/>
      <c r="R243" s="54">
        <v>92.592592592592595</v>
      </c>
      <c r="S243" s="57">
        <v>46054</v>
      </c>
      <c r="T243" s="54">
        <v>0</v>
      </c>
      <c r="U243" s="58">
        <v>4</v>
      </c>
      <c r="V243" s="54">
        <v>92.592592592592595</v>
      </c>
      <c r="W243" s="42" t="s">
        <v>34</v>
      </c>
      <c r="X243" s="42" t="s">
        <v>54</v>
      </c>
      <c r="Y243" s="42" t="s">
        <v>36</v>
      </c>
      <c r="Z243" s="42" t="s">
        <v>54</v>
      </c>
      <c r="AA243" s="42" t="s">
        <v>49</v>
      </c>
      <c r="AB243" s="42" t="s">
        <v>55</v>
      </c>
      <c r="AC243" s="42" t="s">
        <v>38</v>
      </c>
      <c r="AD243" s="59" t="s">
        <v>242</v>
      </c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</row>
    <row r="244" spans="1:49" ht="31.5" x14ac:dyDescent="0.2">
      <c r="A244" s="42" t="s">
        <v>51</v>
      </c>
      <c r="B244" s="44">
        <v>46065</v>
      </c>
      <c r="C244" s="44">
        <v>46065</v>
      </c>
      <c r="D244" s="42" t="s">
        <v>179</v>
      </c>
      <c r="E244" s="47">
        <v>0.25</v>
      </c>
      <c r="F244" s="47">
        <v>0.99930555555555556</v>
      </c>
      <c r="G244" s="47">
        <v>3.8194444444444446E-4</v>
      </c>
      <c r="H244" s="42" t="s">
        <v>52</v>
      </c>
      <c r="I244" s="50">
        <v>0.72856782407407406</v>
      </c>
      <c r="J244" s="42" t="s">
        <v>32</v>
      </c>
      <c r="K244" s="42" t="s">
        <v>188</v>
      </c>
      <c r="L244" s="52">
        <v>1</v>
      </c>
      <c r="M244" s="52">
        <v>61683</v>
      </c>
      <c r="N244" s="42" t="s">
        <v>53</v>
      </c>
      <c r="O244" s="52"/>
      <c r="P244" s="54">
        <v>92.592592592592595</v>
      </c>
      <c r="Q244" s="52"/>
      <c r="R244" s="54">
        <v>92.592592592592595</v>
      </c>
      <c r="S244" s="57">
        <v>46054</v>
      </c>
      <c r="T244" s="54">
        <v>0</v>
      </c>
      <c r="U244" s="58">
        <v>4</v>
      </c>
      <c r="V244" s="54">
        <v>92.592592592592595</v>
      </c>
      <c r="W244" s="42" t="s">
        <v>34</v>
      </c>
      <c r="X244" s="42" t="s">
        <v>54</v>
      </c>
      <c r="Y244" s="42" t="s">
        <v>36</v>
      </c>
      <c r="Z244" s="42" t="s">
        <v>54</v>
      </c>
      <c r="AA244" s="42" t="s">
        <v>49</v>
      </c>
      <c r="AB244" s="42" t="s">
        <v>55</v>
      </c>
      <c r="AC244" s="42" t="s">
        <v>38</v>
      </c>
      <c r="AD244" s="59" t="s">
        <v>242</v>
      </c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</row>
    <row r="245" spans="1:49" ht="31.5" x14ac:dyDescent="0.25">
      <c r="A245" s="42" t="s">
        <v>51</v>
      </c>
      <c r="B245" s="44">
        <v>46066</v>
      </c>
      <c r="C245" s="44">
        <v>46066</v>
      </c>
      <c r="D245" s="42" t="s">
        <v>195</v>
      </c>
      <c r="E245" s="47">
        <v>0.25</v>
      </c>
      <c r="F245" s="47">
        <v>0.99930555555555556</v>
      </c>
      <c r="G245" s="47">
        <v>3.8194444444444446E-4</v>
      </c>
      <c r="H245" s="42" t="s">
        <v>52</v>
      </c>
      <c r="I245" s="50">
        <v>0.89501354166666669</v>
      </c>
      <c r="J245" s="42" t="s">
        <v>32</v>
      </c>
      <c r="K245" s="42" t="s">
        <v>125</v>
      </c>
      <c r="L245" s="52">
        <v>1</v>
      </c>
      <c r="M245" s="52">
        <v>61683</v>
      </c>
      <c r="N245" s="42" t="s">
        <v>53</v>
      </c>
      <c r="O245" s="52"/>
      <c r="P245" s="54">
        <v>92.592592592592595</v>
      </c>
      <c r="Q245" s="52"/>
      <c r="R245" s="54">
        <v>92.592592592592595</v>
      </c>
      <c r="S245" s="57">
        <v>46054</v>
      </c>
      <c r="T245" s="54">
        <v>0</v>
      </c>
      <c r="U245" s="58">
        <v>4</v>
      </c>
      <c r="V245" s="54">
        <v>92.592592592592595</v>
      </c>
      <c r="W245" s="42" t="s">
        <v>34</v>
      </c>
      <c r="X245" s="42" t="s">
        <v>54</v>
      </c>
      <c r="Y245" s="42" t="s">
        <v>36</v>
      </c>
      <c r="Z245" s="42" t="s">
        <v>54</v>
      </c>
      <c r="AA245" s="42" t="s">
        <v>49</v>
      </c>
      <c r="AB245" s="42" t="s">
        <v>55</v>
      </c>
      <c r="AC245" s="42" t="s">
        <v>38</v>
      </c>
      <c r="AD245" s="59" t="s">
        <v>242</v>
      </c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</row>
    <row r="246" spans="1:49" ht="31.5" x14ac:dyDescent="0.2">
      <c r="A246" s="43" t="s">
        <v>39</v>
      </c>
      <c r="B246" s="45">
        <v>46062</v>
      </c>
      <c r="C246" s="45">
        <v>46062</v>
      </c>
      <c r="D246" s="46" t="s">
        <v>30</v>
      </c>
      <c r="E246" s="48">
        <v>0.25</v>
      </c>
      <c r="F246" s="48">
        <v>0.29166666666666669</v>
      </c>
      <c r="G246" s="48">
        <v>4.1666666666666664E-2</v>
      </c>
      <c r="H246" s="43" t="s">
        <v>40</v>
      </c>
      <c r="I246" s="51"/>
      <c r="J246" s="43" t="s">
        <v>41</v>
      </c>
      <c r="K246" s="43"/>
      <c r="L246" s="53">
        <v>1</v>
      </c>
      <c r="M246" s="53">
        <v>1</v>
      </c>
      <c r="N246" s="43" t="s">
        <v>33</v>
      </c>
      <c r="O246" s="43"/>
      <c r="P246" s="56">
        <v>0</v>
      </c>
      <c r="Q246" s="53"/>
      <c r="R246" s="56">
        <v>0</v>
      </c>
      <c r="S246" s="43">
        <v>46054</v>
      </c>
      <c r="T246" s="56">
        <v>0</v>
      </c>
      <c r="U246" s="53">
        <v>2</v>
      </c>
      <c r="V246" s="56">
        <v>0</v>
      </c>
      <c r="W246" s="43" t="s">
        <v>34</v>
      </c>
      <c r="X246" s="43" t="s">
        <v>42</v>
      </c>
      <c r="Y246" s="43" t="s">
        <v>36</v>
      </c>
      <c r="Z246" s="43" t="s">
        <v>43</v>
      </c>
      <c r="AA246" s="43" t="s">
        <v>37</v>
      </c>
      <c r="AB246" s="43" t="s">
        <v>37</v>
      </c>
      <c r="AC246" s="43" t="s">
        <v>38</v>
      </c>
      <c r="AD246" s="59" t="s">
        <v>242</v>
      </c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</row>
    <row r="247" spans="1:49" ht="31.5" x14ac:dyDescent="0.2">
      <c r="A247" s="43" t="s">
        <v>39</v>
      </c>
      <c r="B247" s="45">
        <v>46062</v>
      </c>
      <c r="C247" s="45">
        <v>46062</v>
      </c>
      <c r="D247" s="46" t="s">
        <v>30</v>
      </c>
      <c r="E247" s="48">
        <v>0.79166666666666663</v>
      </c>
      <c r="F247" s="48">
        <v>0.8125</v>
      </c>
      <c r="G247" s="48">
        <v>2.0833333333333332E-2</v>
      </c>
      <c r="H247" s="43" t="s">
        <v>115</v>
      </c>
      <c r="I247" s="51"/>
      <c r="J247" s="43" t="s">
        <v>116</v>
      </c>
      <c r="K247" s="43"/>
      <c r="L247" s="53">
        <v>1</v>
      </c>
      <c r="M247" s="53">
        <v>1</v>
      </c>
      <c r="N247" s="43" t="s">
        <v>33</v>
      </c>
      <c r="O247" s="43"/>
      <c r="P247" s="55">
        <v>0</v>
      </c>
      <c r="Q247" s="53"/>
      <c r="R247" s="55">
        <v>0</v>
      </c>
      <c r="S247" s="43">
        <v>46054</v>
      </c>
      <c r="T247" s="55">
        <v>0</v>
      </c>
      <c r="U247" s="53">
        <v>2</v>
      </c>
      <c r="V247" s="55">
        <v>0</v>
      </c>
      <c r="W247" s="43" t="s">
        <v>34</v>
      </c>
      <c r="X247" s="43" t="s">
        <v>42</v>
      </c>
      <c r="Y247" s="43" t="s">
        <v>36</v>
      </c>
      <c r="Z247" s="43" t="s">
        <v>43</v>
      </c>
      <c r="AA247" s="43" t="s">
        <v>37</v>
      </c>
      <c r="AB247" s="43" t="s">
        <v>37</v>
      </c>
      <c r="AC247" s="43" t="s">
        <v>38</v>
      </c>
      <c r="AD247" s="59" t="s">
        <v>242</v>
      </c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</row>
    <row r="248" spans="1:49" ht="31.5" x14ac:dyDescent="0.25">
      <c r="A248" s="43" t="s">
        <v>39</v>
      </c>
      <c r="B248" s="45">
        <v>46062</v>
      </c>
      <c r="C248" s="45">
        <v>46062</v>
      </c>
      <c r="D248" s="46" t="s">
        <v>30</v>
      </c>
      <c r="E248" s="48">
        <v>0.8125</v>
      </c>
      <c r="F248" s="48">
        <v>0.83333333333333337</v>
      </c>
      <c r="G248" s="48">
        <v>2.0833333333333332E-2</v>
      </c>
      <c r="H248" s="43" t="s">
        <v>120</v>
      </c>
      <c r="I248" s="51"/>
      <c r="J248" s="43" t="s">
        <v>116</v>
      </c>
      <c r="K248" s="43"/>
      <c r="L248" s="53">
        <v>1</v>
      </c>
      <c r="M248" s="53">
        <v>1</v>
      </c>
      <c r="N248" s="43" t="s">
        <v>33</v>
      </c>
      <c r="O248" s="43"/>
      <c r="P248" s="55">
        <v>0</v>
      </c>
      <c r="Q248" s="53"/>
      <c r="R248" s="55">
        <v>0</v>
      </c>
      <c r="S248" s="43">
        <v>46054</v>
      </c>
      <c r="T248" s="55">
        <v>0</v>
      </c>
      <c r="U248" s="53">
        <v>2</v>
      </c>
      <c r="V248" s="55">
        <v>0</v>
      </c>
      <c r="W248" s="43" t="s">
        <v>34</v>
      </c>
      <c r="X248" s="43" t="s">
        <v>42</v>
      </c>
      <c r="Y248" s="43" t="s">
        <v>36</v>
      </c>
      <c r="Z248" s="43" t="s">
        <v>43</v>
      </c>
      <c r="AA248" s="43" t="s">
        <v>37</v>
      </c>
      <c r="AB248" s="43" t="s">
        <v>37</v>
      </c>
      <c r="AC248" s="43" t="s">
        <v>38</v>
      </c>
      <c r="AD248" s="59" t="s">
        <v>242</v>
      </c>
      <c r="AE248" s="60"/>
      <c r="AF248" s="60"/>
      <c r="AG248" s="60"/>
      <c r="AH248" s="60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</row>
    <row r="249" spans="1:49" ht="31.5" x14ac:dyDescent="0.2">
      <c r="A249" s="43" t="s">
        <v>39</v>
      </c>
      <c r="B249" s="45">
        <v>46062</v>
      </c>
      <c r="C249" s="45">
        <v>46062</v>
      </c>
      <c r="D249" s="46" t="s">
        <v>30</v>
      </c>
      <c r="E249" s="48">
        <v>0.97916666666666663</v>
      </c>
      <c r="F249" s="48">
        <v>1</v>
      </c>
      <c r="G249" s="48">
        <v>2.0833333333333332E-2</v>
      </c>
      <c r="H249" s="43" t="s">
        <v>127</v>
      </c>
      <c r="I249" s="51"/>
      <c r="J249" s="43" t="s">
        <v>116</v>
      </c>
      <c r="K249" s="43"/>
      <c r="L249" s="53">
        <v>1</v>
      </c>
      <c r="M249" s="53">
        <v>1</v>
      </c>
      <c r="N249" s="43" t="s">
        <v>33</v>
      </c>
      <c r="O249" s="43"/>
      <c r="P249" s="55">
        <v>0</v>
      </c>
      <c r="Q249" s="53"/>
      <c r="R249" s="55">
        <v>0</v>
      </c>
      <c r="S249" s="43">
        <v>46054</v>
      </c>
      <c r="T249" s="55">
        <v>0</v>
      </c>
      <c r="U249" s="53">
        <v>2</v>
      </c>
      <c r="V249" s="55">
        <v>0</v>
      </c>
      <c r="W249" s="43" t="s">
        <v>34</v>
      </c>
      <c r="X249" s="43" t="s">
        <v>42</v>
      </c>
      <c r="Y249" s="43" t="s">
        <v>36</v>
      </c>
      <c r="Z249" s="43" t="s">
        <v>43</v>
      </c>
      <c r="AA249" s="43" t="s">
        <v>37</v>
      </c>
      <c r="AB249" s="43" t="s">
        <v>37</v>
      </c>
      <c r="AC249" s="43" t="s">
        <v>38</v>
      </c>
      <c r="AD249" s="59" t="s">
        <v>242</v>
      </c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</row>
    <row r="250" spans="1:49" ht="31.5" x14ac:dyDescent="0.2">
      <c r="A250" s="43" t="s">
        <v>39</v>
      </c>
      <c r="B250" s="45">
        <v>46063</v>
      </c>
      <c r="C250" s="45">
        <v>46063</v>
      </c>
      <c r="D250" s="46" t="s">
        <v>132</v>
      </c>
      <c r="E250" s="48">
        <v>0.25</v>
      </c>
      <c r="F250" s="48">
        <v>0.29166666666666669</v>
      </c>
      <c r="G250" s="48">
        <v>4.1666666666666664E-2</v>
      </c>
      <c r="H250" s="43" t="s">
        <v>40</v>
      </c>
      <c r="I250" s="51"/>
      <c r="J250" s="43" t="s">
        <v>41</v>
      </c>
      <c r="K250" s="43"/>
      <c r="L250" s="53">
        <v>1</v>
      </c>
      <c r="M250" s="53">
        <v>1</v>
      </c>
      <c r="N250" s="43" t="s">
        <v>33</v>
      </c>
      <c r="O250" s="43"/>
      <c r="P250" s="56">
        <v>0</v>
      </c>
      <c r="Q250" s="53"/>
      <c r="R250" s="56">
        <v>0</v>
      </c>
      <c r="S250" s="43">
        <v>46054</v>
      </c>
      <c r="T250" s="56">
        <v>0</v>
      </c>
      <c r="U250" s="53">
        <v>2</v>
      </c>
      <c r="V250" s="56">
        <v>0</v>
      </c>
      <c r="W250" s="43" t="s">
        <v>34</v>
      </c>
      <c r="X250" s="43" t="s">
        <v>42</v>
      </c>
      <c r="Y250" s="43" t="s">
        <v>36</v>
      </c>
      <c r="Z250" s="43" t="s">
        <v>43</v>
      </c>
      <c r="AA250" s="43" t="s">
        <v>37</v>
      </c>
      <c r="AB250" s="43" t="s">
        <v>37</v>
      </c>
      <c r="AC250" s="43" t="s">
        <v>38</v>
      </c>
      <c r="AD250" s="59" t="s">
        <v>242</v>
      </c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</row>
    <row r="251" spans="1:49" ht="31.5" x14ac:dyDescent="0.25">
      <c r="A251" s="43" t="s">
        <v>39</v>
      </c>
      <c r="B251" s="45">
        <v>46063</v>
      </c>
      <c r="C251" s="45">
        <v>46063</v>
      </c>
      <c r="D251" s="46" t="s">
        <v>132</v>
      </c>
      <c r="E251" s="48">
        <v>0.79166666666666663</v>
      </c>
      <c r="F251" s="48">
        <v>0.8125</v>
      </c>
      <c r="G251" s="48">
        <v>2.0833333333333332E-2</v>
      </c>
      <c r="H251" s="43" t="s">
        <v>115</v>
      </c>
      <c r="I251" s="51"/>
      <c r="J251" s="43" t="s">
        <v>116</v>
      </c>
      <c r="K251" s="43"/>
      <c r="L251" s="53">
        <v>1</v>
      </c>
      <c r="M251" s="53">
        <v>1</v>
      </c>
      <c r="N251" s="43" t="s">
        <v>33</v>
      </c>
      <c r="O251" s="43"/>
      <c r="P251" s="55">
        <v>0</v>
      </c>
      <c r="Q251" s="53"/>
      <c r="R251" s="55">
        <v>0</v>
      </c>
      <c r="S251" s="43">
        <v>46054</v>
      </c>
      <c r="T251" s="55">
        <v>0</v>
      </c>
      <c r="U251" s="53">
        <v>2</v>
      </c>
      <c r="V251" s="55">
        <v>0</v>
      </c>
      <c r="W251" s="43" t="s">
        <v>34</v>
      </c>
      <c r="X251" s="43" t="s">
        <v>42</v>
      </c>
      <c r="Y251" s="43" t="s">
        <v>36</v>
      </c>
      <c r="Z251" s="43" t="s">
        <v>43</v>
      </c>
      <c r="AA251" s="43" t="s">
        <v>37</v>
      </c>
      <c r="AB251" s="43" t="s">
        <v>37</v>
      </c>
      <c r="AC251" s="43" t="s">
        <v>38</v>
      </c>
      <c r="AD251" s="59" t="s">
        <v>242</v>
      </c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</row>
    <row r="252" spans="1:49" ht="31.5" x14ac:dyDescent="0.25">
      <c r="A252" s="43" t="s">
        <v>39</v>
      </c>
      <c r="B252" s="45">
        <v>46063</v>
      </c>
      <c r="C252" s="45">
        <v>46063</v>
      </c>
      <c r="D252" s="46" t="s">
        <v>132</v>
      </c>
      <c r="E252" s="48">
        <v>0.8125</v>
      </c>
      <c r="F252" s="48">
        <v>0.83333333333333337</v>
      </c>
      <c r="G252" s="48">
        <v>2.0833333333333332E-2</v>
      </c>
      <c r="H252" s="43" t="s">
        <v>120</v>
      </c>
      <c r="I252" s="51"/>
      <c r="J252" s="43" t="s">
        <v>116</v>
      </c>
      <c r="K252" s="43"/>
      <c r="L252" s="53">
        <v>1</v>
      </c>
      <c r="M252" s="53">
        <v>1</v>
      </c>
      <c r="N252" s="43" t="s">
        <v>33</v>
      </c>
      <c r="O252" s="43"/>
      <c r="P252" s="55">
        <v>0</v>
      </c>
      <c r="Q252" s="53"/>
      <c r="R252" s="55">
        <v>0</v>
      </c>
      <c r="S252" s="43">
        <v>46054</v>
      </c>
      <c r="T252" s="55">
        <v>0</v>
      </c>
      <c r="U252" s="53">
        <v>2</v>
      </c>
      <c r="V252" s="55">
        <v>0</v>
      </c>
      <c r="W252" s="43" t="s">
        <v>34</v>
      </c>
      <c r="X252" s="43" t="s">
        <v>42</v>
      </c>
      <c r="Y252" s="43" t="s">
        <v>36</v>
      </c>
      <c r="Z252" s="43" t="s">
        <v>43</v>
      </c>
      <c r="AA252" s="43" t="s">
        <v>37</v>
      </c>
      <c r="AB252" s="43" t="s">
        <v>37</v>
      </c>
      <c r="AC252" s="43" t="s">
        <v>38</v>
      </c>
      <c r="AD252" s="59" t="s">
        <v>242</v>
      </c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</row>
    <row r="253" spans="1:49" ht="31.5" x14ac:dyDescent="0.2">
      <c r="A253" s="43" t="s">
        <v>39</v>
      </c>
      <c r="B253" s="45">
        <v>46063</v>
      </c>
      <c r="C253" s="45">
        <v>46063</v>
      </c>
      <c r="D253" s="46" t="s">
        <v>132</v>
      </c>
      <c r="E253" s="48">
        <v>0.97916666666666663</v>
      </c>
      <c r="F253" s="48">
        <v>1</v>
      </c>
      <c r="G253" s="48">
        <v>2.0833333333333332E-2</v>
      </c>
      <c r="H253" s="43" t="s">
        <v>127</v>
      </c>
      <c r="I253" s="51"/>
      <c r="J253" s="43" t="s">
        <v>116</v>
      </c>
      <c r="K253" s="43"/>
      <c r="L253" s="53">
        <v>1</v>
      </c>
      <c r="M253" s="53">
        <v>1</v>
      </c>
      <c r="N253" s="43" t="s">
        <v>33</v>
      </c>
      <c r="O253" s="43"/>
      <c r="P253" s="55">
        <v>0</v>
      </c>
      <c r="Q253" s="53"/>
      <c r="R253" s="55">
        <v>0</v>
      </c>
      <c r="S253" s="43">
        <v>46054</v>
      </c>
      <c r="T253" s="55">
        <v>0</v>
      </c>
      <c r="U253" s="53">
        <v>2</v>
      </c>
      <c r="V253" s="55">
        <v>0</v>
      </c>
      <c r="W253" s="43" t="s">
        <v>34</v>
      </c>
      <c r="X253" s="43" t="s">
        <v>42</v>
      </c>
      <c r="Y253" s="43" t="s">
        <v>36</v>
      </c>
      <c r="Z253" s="43" t="s">
        <v>43</v>
      </c>
      <c r="AA253" s="43" t="s">
        <v>37</v>
      </c>
      <c r="AB253" s="43" t="s">
        <v>37</v>
      </c>
      <c r="AC253" s="43" t="s">
        <v>38</v>
      </c>
      <c r="AD253" s="59" t="s">
        <v>242</v>
      </c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</row>
    <row r="254" spans="1:49" ht="31.5" x14ac:dyDescent="0.25">
      <c r="A254" s="43" t="s">
        <v>39</v>
      </c>
      <c r="B254" s="45">
        <v>46064</v>
      </c>
      <c r="C254" s="45">
        <v>46064</v>
      </c>
      <c r="D254" s="46" t="s">
        <v>166</v>
      </c>
      <c r="E254" s="48">
        <v>0.25</v>
      </c>
      <c r="F254" s="48">
        <v>0.29166666666666669</v>
      </c>
      <c r="G254" s="48">
        <v>4.1666666666666664E-2</v>
      </c>
      <c r="H254" s="43" t="s">
        <v>40</v>
      </c>
      <c r="I254" s="51"/>
      <c r="J254" s="43" t="s">
        <v>41</v>
      </c>
      <c r="K254" s="43"/>
      <c r="L254" s="53">
        <v>1</v>
      </c>
      <c r="M254" s="53">
        <v>1</v>
      </c>
      <c r="N254" s="43" t="s">
        <v>33</v>
      </c>
      <c r="O254" s="43"/>
      <c r="P254" s="56">
        <v>0</v>
      </c>
      <c r="Q254" s="53"/>
      <c r="R254" s="56">
        <v>0</v>
      </c>
      <c r="S254" s="43">
        <v>46054</v>
      </c>
      <c r="T254" s="56">
        <v>0</v>
      </c>
      <c r="U254" s="53">
        <v>2</v>
      </c>
      <c r="V254" s="56">
        <v>0</v>
      </c>
      <c r="W254" s="43" t="s">
        <v>34</v>
      </c>
      <c r="X254" s="43" t="s">
        <v>42</v>
      </c>
      <c r="Y254" s="43" t="s">
        <v>36</v>
      </c>
      <c r="Z254" s="43" t="s">
        <v>43</v>
      </c>
      <c r="AA254" s="43" t="s">
        <v>37</v>
      </c>
      <c r="AB254" s="43" t="s">
        <v>37</v>
      </c>
      <c r="AC254" s="43" t="s">
        <v>38</v>
      </c>
      <c r="AD254" s="59" t="s">
        <v>242</v>
      </c>
      <c r="AE254" s="60"/>
      <c r="AF254" s="60"/>
      <c r="AG254" s="60"/>
      <c r="AH254" s="60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</row>
    <row r="255" spans="1:49" ht="31.5" x14ac:dyDescent="0.25">
      <c r="A255" s="43" t="s">
        <v>39</v>
      </c>
      <c r="B255" s="45">
        <v>46064</v>
      </c>
      <c r="C255" s="45">
        <v>46064</v>
      </c>
      <c r="D255" s="46" t="s">
        <v>166</v>
      </c>
      <c r="E255" s="48">
        <v>0.79166666666666663</v>
      </c>
      <c r="F255" s="48">
        <v>0.8125</v>
      </c>
      <c r="G255" s="48">
        <v>2.0833333333333332E-2</v>
      </c>
      <c r="H255" s="43" t="s">
        <v>115</v>
      </c>
      <c r="I255" s="51"/>
      <c r="J255" s="43" t="s">
        <v>116</v>
      </c>
      <c r="K255" s="43"/>
      <c r="L255" s="53">
        <v>1</v>
      </c>
      <c r="M255" s="53">
        <v>1</v>
      </c>
      <c r="N255" s="43" t="s">
        <v>33</v>
      </c>
      <c r="O255" s="43"/>
      <c r="P255" s="55">
        <v>0</v>
      </c>
      <c r="Q255" s="53"/>
      <c r="R255" s="55">
        <v>0</v>
      </c>
      <c r="S255" s="43">
        <v>46054</v>
      </c>
      <c r="T255" s="55">
        <v>0</v>
      </c>
      <c r="U255" s="53">
        <v>2</v>
      </c>
      <c r="V255" s="55">
        <v>0</v>
      </c>
      <c r="W255" s="43" t="s">
        <v>34</v>
      </c>
      <c r="X255" s="43" t="s">
        <v>42</v>
      </c>
      <c r="Y255" s="43" t="s">
        <v>36</v>
      </c>
      <c r="Z255" s="43" t="s">
        <v>43</v>
      </c>
      <c r="AA255" s="43" t="s">
        <v>37</v>
      </c>
      <c r="AB255" s="43" t="s">
        <v>37</v>
      </c>
      <c r="AC255" s="43" t="s">
        <v>38</v>
      </c>
      <c r="AD255" s="59" t="s">
        <v>242</v>
      </c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</row>
    <row r="256" spans="1:49" ht="31.5" x14ac:dyDescent="0.25">
      <c r="A256" s="43" t="s">
        <v>39</v>
      </c>
      <c r="B256" s="45">
        <v>46064</v>
      </c>
      <c r="C256" s="45">
        <v>46064</v>
      </c>
      <c r="D256" s="46" t="s">
        <v>166</v>
      </c>
      <c r="E256" s="48">
        <v>0.8125</v>
      </c>
      <c r="F256" s="48">
        <v>0.83333333333333337</v>
      </c>
      <c r="G256" s="48">
        <v>2.0833333333333332E-2</v>
      </c>
      <c r="H256" s="43" t="s">
        <v>120</v>
      </c>
      <c r="I256" s="51"/>
      <c r="J256" s="43" t="s">
        <v>116</v>
      </c>
      <c r="K256" s="43"/>
      <c r="L256" s="53">
        <v>1</v>
      </c>
      <c r="M256" s="53">
        <v>1</v>
      </c>
      <c r="N256" s="43" t="s">
        <v>33</v>
      </c>
      <c r="O256" s="43"/>
      <c r="P256" s="55">
        <v>0</v>
      </c>
      <c r="Q256" s="53"/>
      <c r="R256" s="55">
        <v>0</v>
      </c>
      <c r="S256" s="43">
        <v>46054</v>
      </c>
      <c r="T256" s="55">
        <v>0</v>
      </c>
      <c r="U256" s="53">
        <v>2</v>
      </c>
      <c r="V256" s="55">
        <v>0</v>
      </c>
      <c r="W256" s="43" t="s">
        <v>34</v>
      </c>
      <c r="X256" s="43" t="s">
        <v>42</v>
      </c>
      <c r="Y256" s="43" t="s">
        <v>36</v>
      </c>
      <c r="Z256" s="43" t="s">
        <v>43</v>
      </c>
      <c r="AA256" s="43" t="s">
        <v>37</v>
      </c>
      <c r="AB256" s="43" t="s">
        <v>37</v>
      </c>
      <c r="AC256" s="43" t="s">
        <v>38</v>
      </c>
      <c r="AD256" s="59" t="s">
        <v>242</v>
      </c>
      <c r="AE256" s="60"/>
      <c r="AF256" s="60"/>
      <c r="AG256" s="60"/>
      <c r="AH256" s="60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</row>
    <row r="257" spans="1:49" ht="31.5" x14ac:dyDescent="0.2">
      <c r="A257" s="43" t="s">
        <v>39</v>
      </c>
      <c r="B257" s="45">
        <v>46064</v>
      </c>
      <c r="C257" s="45">
        <v>46064</v>
      </c>
      <c r="D257" s="46" t="s">
        <v>166</v>
      </c>
      <c r="E257" s="48">
        <v>0.97916666666666663</v>
      </c>
      <c r="F257" s="48">
        <v>1</v>
      </c>
      <c r="G257" s="48">
        <v>2.0833333333333332E-2</v>
      </c>
      <c r="H257" s="43" t="s">
        <v>127</v>
      </c>
      <c r="I257" s="51"/>
      <c r="J257" s="43" t="s">
        <v>116</v>
      </c>
      <c r="K257" s="43"/>
      <c r="L257" s="53">
        <v>1</v>
      </c>
      <c r="M257" s="53">
        <v>1</v>
      </c>
      <c r="N257" s="43" t="s">
        <v>33</v>
      </c>
      <c r="O257" s="43"/>
      <c r="P257" s="55">
        <v>0</v>
      </c>
      <c r="Q257" s="53"/>
      <c r="R257" s="55">
        <v>0</v>
      </c>
      <c r="S257" s="43">
        <v>46054</v>
      </c>
      <c r="T257" s="55">
        <v>0</v>
      </c>
      <c r="U257" s="53">
        <v>2</v>
      </c>
      <c r="V257" s="55">
        <v>0</v>
      </c>
      <c r="W257" s="43" t="s">
        <v>34</v>
      </c>
      <c r="X257" s="43" t="s">
        <v>42</v>
      </c>
      <c r="Y257" s="43" t="s">
        <v>36</v>
      </c>
      <c r="Z257" s="43" t="s">
        <v>43</v>
      </c>
      <c r="AA257" s="43" t="s">
        <v>37</v>
      </c>
      <c r="AB257" s="43" t="s">
        <v>37</v>
      </c>
      <c r="AC257" s="43" t="s">
        <v>38</v>
      </c>
      <c r="AD257" s="59" t="s">
        <v>242</v>
      </c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</row>
    <row r="258" spans="1:49" ht="31.5" x14ac:dyDescent="0.25">
      <c r="A258" s="43" t="s">
        <v>39</v>
      </c>
      <c r="B258" s="45">
        <v>46065</v>
      </c>
      <c r="C258" s="45">
        <v>46065</v>
      </c>
      <c r="D258" s="46" t="s">
        <v>179</v>
      </c>
      <c r="E258" s="48">
        <v>0.25</v>
      </c>
      <c r="F258" s="48">
        <v>0.29166666666666669</v>
      </c>
      <c r="G258" s="48">
        <v>4.1666666666666664E-2</v>
      </c>
      <c r="H258" s="43" t="s">
        <v>40</v>
      </c>
      <c r="I258" s="51"/>
      <c r="J258" s="43" t="s">
        <v>41</v>
      </c>
      <c r="K258" s="43"/>
      <c r="L258" s="53">
        <v>1</v>
      </c>
      <c r="M258" s="53">
        <v>1</v>
      </c>
      <c r="N258" s="43" t="s">
        <v>33</v>
      </c>
      <c r="O258" s="43"/>
      <c r="P258" s="56">
        <v>0</v>
      </c>
      <c r="Q258" s="53"/>
      <c r="R258" s="56">
        <v>0</v>
      </c>
      <c r="S258" s="43">
        <v>46054</v>
      </c>
      <c r="T258" s="56">
        <v>0</v>
      </c>
      <c r="U258" s="53">
        <v>2</v>
      </c>
      <c r="V258" s="56">
        <v>0</v>
      </c>
      <c r="W258" s="43" t="s">
        <v>34</v>
      </c>
      <c r="X258" s="43" t="s">
        <v>42</v>
      </c>
      <c r="Y258" s="43" t="s">
        <v>36</v>
      </c>
      <c r="Z258" s="43" t="s">
        <v>43</v>
      </c>
      <c r="AA258" s="43" t="s">
        <v>37</v>
      </c>
      <c r="AB258" s="43" t="s">
        <v>37</v>
      </c>
      <c r="AC258" s="43" t="s">
        <v>38</v>
      </c>
      <c r="AD258" s="59" t="s">
        <v>242</v>
      </c>
      <c r="AE258" s="60"/>
      <c r="AF258" s="60"/>
      <c r="AG258" s="60"/>
      <c r="AH258" s="60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</row>
    <row r="259" spans="1:49" ht="31.5" x14ac:dyDescent="0.25">
      <c r="A259" s="43" t="s">
        <v>39</v>
      </c>
      <c r="B259" s="45">
        <v>46065</v>
      </c>
      <c r="C259" s="45">
        <v>46065</v>
      </c>
      <c r="D259" s="46" t="s">
        <v>179</v>
      </c>
      <c r="E259" s="48">
        <v>0.79166666666666663</v>
      </c>
      <c r="F259" s="48">
        <v>0.8125</v>
      </c>
      <c r="G259" s="48">
        <v>2.0833333333333332E-2</v>
      </c>
      <c r="H259" s="43" t="s">
        <v>115</v>
      </c>
      <c r="I259" s="51"/>
      <c r="J259" s="43" t="s">
        <v>116</v>
      </c>
      <c r="K259" s="43"/>
      <c r="L259" s="53">
        <v>1</v>
      </c>
      <c r="M259" s="53">
        <v>1</v>
      </c>
      <c r="N259" s="43" t="s">
        <v>33</v>
      </c>
      <c r="O259" s="43"/>
      <c r="P259" s="55">
        <v>0</v>
      </c>
      <c r="Q259" s="53"/>
      <c r="R259" s="55">
        <v>0</v>
      </c>
      <c r="S259" s="43">
        <v>46054</v>
      </c>
      <c r="T259" s="55">
        <v>0</v>
      </c>
      <c r="U259" s="53">
        <v>2</v>
      </c>
      <c r="V259" s="55">
        <v>0</v>
      </c>
      <c r="W259" s="43" t="s">
        <v>34</v>
      </c>
      <c r="X259" s="43" t="s">
        <v>42</v>
      </c>
      <c r="Y259" s="43" t="s">
        <v>36</v>
      </c>
      <c r="Z259" s="43" t="s">
        <v>43</v>
      </c>
      <c r="AA259" s="43" t="s">
        <v>37</v>
      </c>
      <c r="AB259" s="43" t="s">
        <v>37</v>
      </c>
      <c r="AC259" s="43" t="s">
        <v>38</v>
      </c>
      <c r="AD259" s="59" t="s">
        <v>242</v>
      </c>
      <c r="AE259" s="60"/>
      <c r="AF259" s="60"/>
      <c r="AG259" s="60"/>
      <c r="AH259" s="60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</row>
    <row r="260" spans="1:49" ht="31.5" x14ac:dyDescent="0.25">
      <c r="A260" s="43" t="s">
        <v>39</v>
      </c>
      <c r="B260" s="45">
        <v>46065</v>
      </c>
      <c r="C260" s="45">
        <v>46065</v>
      </c>
      <c r="D260" s="46" t="s">
        <v>179</v>
      </c>
      <c r="E260" s="48">
        <v>0.8125</v>
      </c>
      <c r="F260" s="48">
        <v>0.83333333333333337</v>
      </c>
      <c r="G260" s="48">
        <v>2.0833333333333332E-2</v>
      </c>
      <c r="H260" s="43" t="s">
        <v>186</v>
      </c>
      <c r="I260" s="51"/>
      <c r="J260" s="43" t="s">
        <v>116</v>
      </c>
      <c r="K260" s="43"/>
      <c r="L260" s="53">
        <v>1</v>
      </c>
      <c r="M260" s="53">
        <v>1</v>
      </c>
      <c r="N260" s="43" t="s">
        <v>33</v>
      </c>
      <c r="O260" s="43"/>
      <c r="P260" s="55">
        <v>0</v>
      </c>
      <c r="Q260" s="53"/>
      <c r="R260" s="55">
        <v>0</v>
      </c>
      <c r="S260" s="43">
        <v>46054</v>
      </c>
      <c r="T260" s="55">
        <v>0</v>
      </c>
      <c r="U260" s="53">
        <v>2</v>
      </c>
      <c r="V260" s="55">
        <v>0</v>
      </c>
      <c r="W260" s="43" t="s">
        <v>34</v>
      </c>
      <c r="X260" s="43" t="s">
        <v>42</v>
      </c>
      <c r="Y260" s="43" t="s">
        <v>36</v>
      </c>
      <c r="Z260" s="43" t="s">
        <v>43</v>
      </c>
      <c r="AA260" s="43" t="s">
        <v>37</v>
      </c>
      <c r="AB260" s="43" t="s">
        <v>37</v>
      </c>
      <c r="AC260" s="43" t="s">
        <v>38</v>
      </c>
      <c r="AD260" s="59" t="s">
        <v>242</v>
      </c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</row>
    <row r="261" spans="1:49" ht="31.5" x14ac:dyDescent="0.2">
      <c r="A261" s="43" t="s">
        <v>39</v>
      </c>
      <c r="B261" s="45">
        <v>46065</v>
      </c>
      <c r="C261" s="45">
        <v>46065</v>
      </c>
      <c r="D261" s="46" t="s">
        <v>179</v>
      </c>
      <c r="E261" s="48">
        <v>0.97916666666666663</v>
      </c>
      <c r="F261" s="48">
        <v>1</v>
      </c>
      <c r="G261" s="48">
        <v>2.0833333333333332E-2</v>
      </c>
      <c r="H261" s="43" t="s">
        <v>127</v>
      </c>
      <c r="I261" s="51"/>
      <c r="J261" s="43" t="s">
        <v>116</v>
      </c>
      <c r="K261" s="43"/>
      <c r="L261" s="53">
        <v>1</v>
      </c>
      <c r="M261" s="53">
        <v>1</v>
      </c>
      <c r="N261" s="43" t="s">
        <v>33</v>
      </c>
      <c r="O261" s="43"/>
      <c r="P261" s="55">
        <v>0</v>
      </c>
      <c r="Q261" s="53"/>
      <c r="R261" s="55">
        <v>0</v>
      </c>
      <c r="S261" s="43">
        <v>46054</v>
      </c>
      <c r="T261" s="55">
        <v>0</v>
      </c>
      <c r="U261" s="53">
        <v>2</v>
      </c>
      <c r="V261" s="55">
        <v>0</v>
      </c>
      <c r="W261" s="43" t="s">
        <v>34</v>
      </c>
      <c r="X261" s="43" t="s">
        <v>42</v>
      </c>
      <c r="Y261" s="43" t="s">
        <v>36</v>
      </c>
      <c r="Z261" s="43" t="s">
        <v>43</v>
      </c>
      <c r="AA261" s="43" t="s">
        <v>37</v>
      </c>
      <c r="AB261" s="43" t="s">
        <v>37</v>
      </c>
      <c r="AC261" s="43" t="s">
        <v>38</v>
      </c>
      <c r="AD261" s="59" t="s">
        <v>242</v>
      </c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</row>
    <row r="262" spans="1:49" ht="31.5" x14ac:dyDescent="0.25">
      <c r="A262" s="43" t="s">
        <v>39</v>
      </c>
      <c r="B262" s="45">
        <v>46066</v>
      </c>
      <c r="C262" s="45">
        <v>46066</v>
      </c>
      <c r="D262" s="46" t="s">
        <v>195</v>
      </c>
      <c r="E262" s="48">
        <v>0.25</v>
      </c>
      <c r="F262" s="48">
        <v>0.29166666666666669</v>
      </c>
      <c r="G262" s="48">
        <v>4.1666666666666664E-2</v>
      </c>
      <c r="H262" s="43" t="s">
        <v>40</v>
      </c>
      <c r="I262" s="51"/>
      <c r="J262" s="43" t="s">
        <v>41</v>
      </c>
      <c r="K262" s="43"/>
      <c r="L262" s="53">
        <v>1</v>
      </c>
      <c r="M262" s="53">
        <v>1</v>
      </c>
      <c r="N262" s="43" t="s">
        <v>33</v>
      </c>
      <c r="O262" s="43"/>
      <c r="P262" s="56">
        <v>0</v>
      </c>
      <c r="Q262" s="53"/>
      <c r="R262" s="56">
        <v>0</v>
      </c>
      <c r="S262" s="43">
        <v>46054</v>
      </c>
      <c r="T262" s="56">
        <v>0</v>
      </c>
      <c r="U262" s="53">
        <v>2</v>
      </c>
      <c r="V262" s="56">
        <v>0</v>
      </c>
      <c r="W262" s="43" t="s">
        <v>34</v>
      </c>
      <c r="X262" s="43" t="s">
        <v>42</v>
      </c>
      <c r="Y262" s="43" t="s">
        <v>36</v>
      </c>
      <c r="Z262" s="43" t="s">
        <v>43</v>
      </c>
      <c r="AA262" s="43" t="s">
        <v>37</v>
      </c>
      <c r="AB262" s="43" t="s">
        <v>37</v>
      </c>
      <c r="AC262" s="43" t="s">
        <v>38</v>
      </c>
      <c r="AD262" s="59" t="s">
        <v>242</v>
      </c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</row>
    <row r="263" spans="1:49" ht="31.5" x14ac:dyDescent="0.25">
      <c r="A263" s="43" t="s">
        <v>39</v>
      </c>
      <c r="B263" s="45">
        <v>46066</v>
      </c>
      <c r="C263" s="45">
        <v>46066</v>
      </c>
      <c r="D263" s="46" t="s">
        <v>195</v>
      </c>
      <c r="E263" s="48">
        <v>0.79166666666666663</v>
      </c>
      <c r="F263" s="48">
        <v>0.8125</v>
      </c>
      <c r="G263" s="48">
        <v>2.0833333333333332E-2</v>
      </c>
      <c r="H263" s="43" t="s">
        <v>115</v>
      </c>
      <c r="I263" s="51"/>
      <c r="J263" s="43" t="s">
        <v>116</v>
      </c>
      <c r="K263" s="43"/>
      <c r="L263" s="53">
        <v>1</v>
      </c>
      <c r="M263" s="53">
        <v>1</v>
      </c>
      <c r="N263" s="43" t="s">
        <v>33</v>
      </c>
      <c r="O263" s="43"/>
      <c r="P263" s="55">
        <v>0</v>
      </c>
      <c r="Q263" s="53"/>
      <c r="R263" s="55">
        <v>0</v>
      </c>
      <c r="S263" s="43">
        <v>46054</v>
      </c>
      <c r="T263" s="55">
        <v>0</v>
      </c>
      <c r="U263" s="53">
        <v>2</v>
      </c>
      <c r="V263" s="55">
        <v>0</v>
      </c>
      <c r="W263" s="43" t="s">
        <v>34</v>
      </c>
      <c r="X263" s="43" t="s">
        <v>42</v>
      </c>
      <c r="Y263" s="43" t="s">
        <v>36</v>
      </c>
      <c r="Z263" s="43" t="s">
        <v>43</v>
      </c>
      <c r="AA263" s="43" t="s">
        <v>37</v>
      </c>
      <c r="AB263" s="43" t="s">
        <v>37</v>
      </c>
      <c r="AC263" s="43" t="s">
        <v>38</v>
      </c>
      <c r="AD263" s="59" t="s">
        <v>242</v>
      </c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</row>
    <row r="264" spans="1:49" ht="31.5" x14ac:dyDescent="0.25">
      <c r="A264" s="43" t="s">
        <v>39</v>
      </c>
      <c r="B264" s="45">
        <v>46066</v>
      </c>
      <c r="C264" s="45">
        <v>46066</v>
      </c>
      <c r="D264" s="46" t="s">
        <v>195</v>
      </c>
      <c r="E264" s="48">
        <v>0.8125</v>
      </c>
      <c r="F264" s="48">
        <v>0.83333333333333337</v>
      </c>
      <c r="G264" s="48">
        <v>2.0833333333333332E-2</v>
      </c>
      <c r="H264" s="43" t="s">
        <v>201</v>
      </c>
      <c r="I264" s="51"/>
      <c r="J264" s="43" t="s">
        <v>116</v>
      </c>
      <c r="K264" s="43"/>
      <c r="L264" s="53">
        <v>1</v>
      </c>
      <c r="M264" s="53">
        <v>1</v>
      </c>
      <c r="N264" s="43" t="s">
        <v>33</v>
      </c>
      <c r="O264" s="43"/>
      <c r="P264" s="55">
        <v>0</v>
      </c>
      <c r="Q264" s="53"/>
      <c r="R264" s="55">
        <v>0</v>
      </c>
      <c r="S264" s="43">
        <v>46054</v>
      </c>
      <c r="T264" s="55">
        <v>0</v>
      </c>
      <c r="U264" s="53">
        <v>2</v>
      </c>
      <c r="V264" s="55">
        <v>0</v>
      </c>
      <c r="W264" s="43" t="s">
        <v>34</v>
      </c>
      <c r="X264" s="43" t="s">
        <v>42</v>
      </c>
      <c r="Y264" s="43" t="s">
        <v>36</v>
      </c>
      <c r="Z264" s="43" t="s">
        <v>43</v>
      </c>
      <c r="AA264" s="43" t="s">
        <v>37</v>
      </c>
      <c r="AB264" s="43" t="s">
        <v>37</v>
      </c>
      <c r="AC264" s="43" t="s">
        <v>38</v>
      </c>
      <c r="AD264" s="59" t="s">
        <v>242</v>
      </c>
      <c r="AE264" s="60"/>
      <c r="AF264" s="60"/>
      <c r="AG264" s="60"/>
      <c r="AH264" s="60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</row>
    <row r="265" spans="1:49" ht="31.5" x14ac:dyDescent="0.2">
      <c r="A265" s="43" t="s">
        <v>39</v>
      </c>
      <c r="B265" s="45">
        <v>46066</v>
      </c>
      <c r="C265" s="45">
        <v>46066</v>
      </c>
      <c r="D265" s="46" t="s">
        <v>195</v>
      </c>
      <c r="E265" s="48">
        <v>0.97916666666666663</v>
      </c>
      <c r="F265" s="48">
        <v>1</v>
      </c>
      <c r="G265" s="48">
        <v>2.0833333333333332E-2</v>
      </c>
      <c r="H265" s="43" t="s">
        <v>127</v>
      </c>
      <c r="I265" s="51"/>
      <c r="J265" s="43" t="s">
        <v>116</v>
      </c>
      <c r="K265" s="43"/>
      <c r="L265" s="53">
        <v>1</v>
      </c>
      <c r="M265" s="53">
        <v>1</v>
      </c>
      <c r="N265" s="43" t="s">
        <v>33</v>
      </c>
      <c r="O265" s="43"/>
      <c r="P265" s="55">
        <v>0</v>
      </c>
      <c r="Q265" s="53"/>
      <c r="R265" s="55">
        <v>0</v>
      </c>
      <c r="S265" s="43">
        <v>46054</v>
      </c>
      <c r="T265" s="55">
        <v>0</v>
      </c>
      <c r="U265" s="53">
        <v>2</v>
      </c>
      <c r="V265" s="55">
        <v>0</v>
      </c>
      <c r="W265" s="43" t="s">
        <v>34</v>
      </c>
      <c r="X265" s="43" t="s">
        <v>42</v>
      </c>
      <c r="Y265" s="43" t="s">
        <v>36</v>
      </c>
      <c r="Z265" s="43" t="s">
        <v>43</v>
      </c>
      <c r="AA265" s="43" t="s">
        <v>37</v>
      </c>
      <c r="AB265" s="43" t="s">
        <v>37</v>
      </c>
      <c r="AC265" s="43" t="s">
        <v>38</v>
      </c>
      <c r="AD265" s="59" t="s">
        <v>242</v>
      </c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</row>
    <row r="266" spans="1:49" ht="31.5" x14ac:dyDescent="0.25">
      <c r="A266" s="43" t="s">
        <v>39</v>
      </c>
      <c r="B266" s="45">
        <v>46067</v>
      </c>
      <c r="C266" s="45">
        <v>46067</v>
      </c>
      <c r="D266" s="46" t="s">
        <v>203</v>
      </c>
      <c r="E266" s="48">
        <v>0.25</v>
      </c>
      <c r="F266" s="48">
        <v>0.29166666666666669</v>
      </c>
      <c r="G266" s="48">
        <v>4.1666666666666664E-2</v>
      </c>
      <c r="H266" s="43" t="s">
        <v>40</v>
      </c>
      <c r="I266" s="51"/>
      <c r="J266" s="43" t="s">
        <v>41</v>
      </c>
      <c r="K266" s="43"/>
      <c r="L266" s="53">
        <v>1</v>
      </c>
      <c r="M266" s="53">
        <v>1</v>
      </c>
      <c r="N266" s="43" t="s">
        <v>33</v>
      </c>
      <c r="O266" s="43"/>
      <c r="P266" s="56">
        <v>0</v>
      </c>
      <c r="Q266" s="53"/>
      <c r="R266" s="56">
        <v>0</v>
      </c>
      <c r="S266" s="43">
        <v>46054</v>
      </c>
      <c r="T266" s="56">
        <v>0</v>
      </c>
      <c r="U266" s="53">
        <v>2</v>
      </c>
      <c r="V266" s="56">
        <v>0</v>
      </c>
      <c r="W266" s="43" t="s">
        <v>34</v>
      </c>
      <c r="X266" s="43" t="s">
        <v>42</v>
      </c>
      <c r="Y266" s="43" t="s">
        <v>36</v>
      </c>
      <c r="Z266" s="43" t="s">
        <v>43</v>
      </c>
      <c r="AA266" s="43" t="s">
        <v>37</v>
      </c>
      <c r="AB266" s="43" t="s">
        <v>37</v>
      </c>
      <c r="AC266" s="43" t="s">
        <v>38</v>
      </c>
      <c r="AD266" s="59" t="s">
        <v>242</v>
      </c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</row>
    <row r="267" spans="1:49" ht="31.5" x14ac:dyDescent="0.25">
      <c r="A267" s="42" t="s">
        <v>89</v>
      </c>
      <c r="B267" s="44">
        <v>46062</v>
      </c>
      <c r="C267" s="44">
        <v>46062</v>
      </c>
      <c r="D267" s="42" t="s">
        <v>30</v>
      </c>
      <c r="E267" s="47">
        <v>0.5</v>
      </c>
      <c r="F267" s="47">
        <v>0.54166666666666663</v>
      </c>
      <c r="G267" s="47">
        <v>3.4722222222222218E-4</v>
      </c>
      <c r="H267" s="42" t="s">
        <v>90</v>
      </c>
      <c r="I267" s="50">
        <v>0.52702546296296293</v>
      </c>
      <c r="J267" s="42" t="s">
        <v>76</v>
      </c>
      <c r="K267" s="42" t="s">
        <v>129</v>
      </c>
      <c r="L267" s="52">
        <v>1</v>
      </c>
      <c r="M267" s="52">
        <v>70398</v>
      </c>
      <c r="N267" s="42" t="s">
        <v>53</v>
      </c>
      <c r="O267" s="52" t="s">
        <v>91</v>
      </c>
      <c r="P267" s="54">
        <v>120</v>
      </c>
      <c r="Q267" s="52"/>
      <c r="R267" s="54">
        <v>120</v>
      </c>
      <c r="S267" s="57">
        <v>46054</v>
      </c>
      <c r="T267" s="54">
        <v>18</v>
      </c>
      <c r="U267" s="58">
        <v>4</v>
      </c>
      <c r="V267" s="54">
        <v>102</v>
      </c>
      <c r="W267" s="42" t="s">
        <v>47</v>
      </c>
      <c r="X267" s="42" t="s">
        <v>48</v>
      </c>
      <c r="Y267" s="42" t="s">
        <v>36</v>
      </c>
      <c r="Z267" s="42" t="s">
        <v>9</v>
      </c>
      <c r="AA267" s="42" t="s">
        <v>49</v>
      </c>
      <c r="AB267" s="42" t="s">
        <v>92</v>
      </c>
      <c r="AC267" s="42" t="s">
        <v>38</v>
      </c>
      <c r="AD267" s="59" t="s">
        <v>242</v>
      </c>
      <c r="AE267" s="60"/>
      <c r="AF267" s="60"/>
      <c r="AG267" s="60"/>
      <c r="AH267" s="60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</row>
    <row r="268" spans="1:49" ht="31.5" x14ac:dyDescent="0.25">
      <c r="A268" s="42" t="s">
        <v>89</v>
      </c>
      <c r="B268" s="44">
        <v>46062</v>
      </c>
      <c r="C268" s="44">
        <v>46062</v>
      </c>
      <c r="D268" s="42" t="s">
        <v>30</v>
      </c>
      <c r="E268" s="47">
        <v>0.8125</v>
      </c>
      <c r="F268" s="47">
        <v>0.83333333333333337</v>
      </c>
      <c r="G268" s="47">
        <v>3.4722222222222218E-4</v>
      </c>
      <c r="H268" s="42" t="s">
        <v>121</v>
      </c>
      <c r="I268" s="50">
        <v>0.83251157407407406</v>
      </c>
      <c r="J268" s="42" t="s">
        <v>116</v>
      </c>
      <c r="K268" s="42" t="s">
        <v>131</v>
      </c>
      <c r="L268" s="52">
        <v>1</v>
      </c>
      <c r="M268" s="52">
        <v>70392</v>
      </c>
      <c r="N268" s="42" t="s">
        <v>53</v>
      </c>
      <c r="O268" s="52" t="s">
        <v>91</v>
      </c>
      <c r="P268" s="54">
        <v>160</v>
      </c>
      <c r="Q268" s="52"/>
      <c r="R268" s="54">
        <v>160</v>
      </c>
      <c r="S268" s="57">
        <v>46054</v>
      </c>
      <c r="T268" s="54">
        <v>24</v>
      </c>
      <c r="U268" s="58">
        <v>4</v>
      </c>
      <c r="V268" s="54">
        <v>136</v>
      </c>
      <c r="W268" s="42" t="s">
        <v>47</v>
      </c>
      <c r="X268" s="42" t="s">
        <v>48</v>
      </c>
      <c r="Y268" s="42" t="s">
        <v>36</v>
      </c>
      <c r="Z268" s="42" t="s">
        <v>9</v>
      </c>
      <c r="AA268" s="42" t="s">
        <v>49</v>
      </c>
      <c r="AB268" s="42" t="s">
        <v>92</v>
      </c>
      <c r="AC268" s="42" t="s">
        <v>38</v>
      </c>
      <c r="AD268" s="59" t="s">
        <v>242</v>
      </c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</row>
    <row r="269" spans="1:49" ht="31.5" x14ac:dyDescent="0.2">
      <c r="A269" s="42" t="s">
        <v>89</v>
      </c>
      <c r="B269" s="44">
        <v>46063</v>
      </c>
      <c r="C269" s="44">
        <v>46063</v>
      </c>
      <c r="D269" s="42" t="s">
        <v>132</v>
      </c>
      <c r="E269" s="47">
        <v>0.25</v>
      </c>
      <c r="F269" s="47">
        <v>0.29166666666666669</v>
      </c>
      <c r="G269" s="47">
        <v>3.4722222222222218E-4</v>
      </c>
      <c r="H269" s="42" t="s">
        <v>139</v>
      </c>
      <c r="I269" s="50">
        <v>0.26565972222222223</v>
      </c>
      <c r="J269" s="42" t="s">
        <v>41</v>
      </c>
      <c r="K269" s="42" t="s">
        <v>40</v>
      </c>
      <c r="L269" s="52">
        <v>1</v>
      </c>
      <c r="M269" s="52">
        <v>70390</v>
      </c>
      <c r="N269" s="42" t="s">
        <v>53</v>
      </c>
      <c r="O269" s="52" t="s">
        <v>91</v>
      </c>
      <c r="P269" s="54">
        <v>120</v>
      </c>
      <c r="Q269" s="52"/>
      <c r="R269" s="54">
        <v>120</v>
      </c>
      <c r="S269" s="57">
        <v>46054</v>
      </c>
      <c r="T269" s="54">
        <v>18</v>
      </c>
      <c r="U269" s="58">
        <v>4</v>
      </c>
      <c r="V269" s="54">
        <v>102</v>
      </c>
      <c r="W269" s="42" t="s">
        <v>47</v>
      </c>
      <c r="X269" s="42" t="s">
        <v>48</v>
      </c>
      <c r="Y269" s="42" t="s">
        <v>36</v>
      </c>
      <c r="Z269" s="42" t="s">
        <v>9</v>
      </c>
      <c r="AA269" s="42" t="s">
        <v>49</v>
      </c>
      <c r="AB269" s="42" t="s">
        <v>92</v>
      </c>
      <c r="AC269" s="42" t="s">
        <v>38</v>
      </c>
      <c r="AD269" s="59" t="s">
        <v>242</v>
      </c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</row>
    <row r="270" spans="1:49" ht="31.5" x14ac:dyDescent="0.25">
      <c r="A270" s="42" t="s">
        <v>89</v>
      </c>
      <c r="B270" s="44">
        <v>46063</v>
      </c>
      <c r="C270" s="44">
        <v>46063</v>
      </c>
      <c r="D270" s="42" t="s">
        <v>132</v>
      </c>
      <c r="E270" s="47">
        <v>0.45833333333333331</v>
      </c>
      <c r="F270" s="47">
        <v>0.47916666666666669</v>
      </c>
      <c r="G270" s="47">
        <v>3.4722222222222218E-4</v>
      </c>
      <c r="H270" s="42" t="s">
        <v>90</v>
      </c>
      <c r="I270" s="50">
        <v>0.46446759259259257</v>
      </c>
      <c r="J270" s="42" t="s">
        <v>76</v>
      </c>
      <c r="K270" s="42" t="s">
        <v>143</v>
      </c>
      <c r="L270" s="52">
        <v>1</v>
      </c>
      <c r="M270" s="52">
        <v>70395</v>
      </c>
      <c r="N270" s="42" t="s">
        <v>53</v>
      </c>
      <c r="O270" s="52" t="s">
        <v>91</v>
      </c>
      <c r="P270" s="54">
        <v>140</v>
      </c>
      <c r="Q270" s="52"/>
      <c r="R270" s="54">
        <v>140</v>
      </c>
      <c r="S270" s="57">
        <v>46054</v>
      </c>
      <c r="T270" s="54">
        <v>21</v>
      </c>
      <c r="U270" s="58">
        <v>4</v>
      </c>
      <c r="V270" s="54">
        <v>119</v>
      </c>
      <c r="W270" s="42" t="s">
        <v>47</v>
      </c>
      <c r="X270" s="42" t="s">
        <v>48</v>
      </c>
      <c r="Y270" s="42" t="s">
        <v>36</v>
      </c>
      <c r="Z270" s="42" t="s">
        <v>9</v>
      </c>
      <c r="AA270" s="42" t="s">
        <v>49</v>
      </c>
      <c r="AB270" s="42" t="s">
        <v>92</v>
      </c>
      <c r="AC270" s="42" t="s">
        <v>38</v>
      </c>
      <c r="AD270" s="59" t="s">
        <v>242</v>
      </c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</row>
    <row r="271" spans="1:49" ht="31.5" x14ac:dyDescent="0.2">
      <c r="A271" s="42" t="s">
        <v>89</v>
      </c>
      <c r="B271" s="44">
        <v>46063</v>
      </c>
      <c r="C271" s="44">
        <v>46063</v>
      </c>
      <c r="D271" s="42" t="s">
        <v>132</v>
      </c>
      <c r="E271" s="47">
        <v>0.45833333333333331</v>
      </c>
      <c r="F271" s="47">
        <v>0.5</v>
      </c>
      <c r="G271" s="47">
        <v>3.4722222222222218E-4</v>
      </c>
      <c r="H271" s="42" t="s">
        <v>90</v>
      </c>
      <c r="I271" s="50">
        <v>0.48810185185185184</v>
      </c>
      <c r="J271" s="42" t="s">
        <v>76</v>
      </c>
      <c r="K271" s="42" t="s">
        <v>128</v>
      </c>
      <c r="L271" s="52">
        <v>1</v>
      </c>
      <c r="M271" s="52">
        <v>70397</v>
      </c>
      <c r="N271" s="42" t="s">
        <v>53</v>
      </c>
      <c r="O271" s="52" t="s">
        <v>91</v>
      </c>
      <c r="P271" s="54">
        <v>120</v>
      </c>
      <c r="Q271" s="52"/>
      <c r="R271" s="54">
        <v>120</v>
      </c>
      <c r="S271" s="57">
        <v>46054</v>
      </c>
      <c r="T271" s="54">
        <v>18</v>
      </c>
      <c r="U271" s="58">
        <v>4</v>
      </c>
      <c r="V271" s="54">
        <v>102</v>
      </c>
      <c r="W271" s="42" t="s">
        <v>47</v>
      </c>
      <c r="X271" s="42" t="s">
        <v>48</v>
      </c>
      <c r="Y271" s="42" t="s">
        <v>36</v>
      </c>
      <c r="Z271" s="42" t="s">
        <v>9</v>
      </c>
      <c r="AA271" s="42" t="s">
        <v>49</v>
      </c>
      <c r="AB271" s="42" t="s">
        <v>92</v>
      </c>
      <c r="AC271" s="42" t="s">
        <v>38</v>
      </c>
      <c r="AD271" s="59" t="s">
        <v>242</v>
      </c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</row>
    <row r="272" spans="1:49" ht="31.5" x14ac:dyDescent="0.2">
      <c r="A272" s="42" t="s">
        <v>89</v>
      </c>
      <c r="B272" s="44">
        <v>46063</v>
      </c>
      <c r="C272" s="44">
        <v>46063</v>
      </c>
      <c r="D272" s="42" t="s">
        <v>132</v>
      </c>
      <c r="E272" s="47">
        <v>0.5</v>
      </c>
      <c r="F272" s="47">
        <v>0.54166666666666663</v>
      </c>
      <c r="G272" s="47">
        <v>3.4722222222222218E-4</v>
      </c>
      <c r="H272" s="42" t="s">
        <v>90</v>
      </c>
      <c r="I272" s="50">
        <v>0.51157407407407407</v>
      </c>
      <c r="J272" s="42" t="s">
        <v>76</v>
      </c>
      <c r="K272" s="42" t="s">
        <v>129</v>
      </c>
      <c r="L272" s="52">
        <v>1</v>
      </c>
      <c r="M272" s="52">
        <v>70398</v>
      </c>
      <c r="N272" s="42" t="s">
        <v>53</v>
      </c>
      <c r="O272" s="52" t="s">
        <v>91</v>
      </c>
      <c r="P272" s="54">
        <v>120</v>
      </c>
      <c r="Q272" s="52"/>
      <c r="R272" s="54">
        <v>120</v>
      </c>
      <c r="S272" s="57">
        <v>46054</v>
      </c>
      <c r="T272" s="54">
        <v>18</v>
      </c>
      <c r="U272" s="58">
        <v>4</v>
      </c>
      <c r="V272" s="54">
        <v>102</v>
      </c>
      <c r="W272" s="42" t="s">
        <v>47</v>
      </c>
      <c r="X272" s="42" t="s">
        <v>48</v>
      </c>
      <c r="Y272" s="42" t="s">
        <v>36</v>
      </c>
      <c r="Z272" s="42" t="s">
        <v>9</v>
      </c>
      <c r="AA272" s="42" t="s">
        <v>49</v>
      </c>
      <c r="AB272" s="42" t="s">
        <v>92</v>
      </c>
      <c r="AC272" s="42" t="s">
        <v>38</v>
      </c>
      <c r="AD272" s="59" t="s">
        <v>242</v>
      </c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</row>
    <row r="273" spans="1:49" ht="31.5" x14ac:dyDescent="0.2">
      <c r="A273" s="42" t="s">
        <v>89</v>
      </c>
      <c r="B273" s="44">
        <v>46063</v>
      </c>
      <c r="C273" s="44">
        <v>46063</v>
      </c>
      <c r="D273" s="42" t="s">
        <v>132</v>
      </c>
      <c r="E273" s="47">
        <v>0.5</v>
      </c>
      <c r="F273" s="47">
        <v>0.54166666666666663</v>
      </c>
      <c r="G273" s="47">
        <v>3.4722222222222218E-4</v>
      </c>
      <c r="H273" s="42" t="s">
        <v>90</v>
      </c>
      <c r="I273" s="50">
        <v>0.53452546296296299</v>
      </c>
      <c r="J273" s="42" t="s">
        <v>76</v>
      </c>
      <c r="K273" s="42" t="s">
        <v>129</v>
      </c>
      <c r="L273" s="52">
        <v>1</v>
      </c>
      <c r="M273" s="52">
        <v>70396</v>
      </c>
      <c r="N273" s="42" t="s">
        <v>53</v>
      </c>
      <c r="O273" s="52" t="s">
        <v>91</v>
      </c>
      <c r="P273" s="54">
        <v>140</v>
      </c>
      <c r="Q273" s="52"/>
      <c r="R273" s="54">
        <v>140</v>
      </c>
      <c r="S273" s="57">
        <v>46054</v>
      </c>
      <c r="T273" s="54">
        <v>21</v>
      </c>
      <c r="U273" s="58">
        <v>4</v>
      </c>
      <c r="V273" s="54">
        <v>119</v>
      </c>
      <c r="W273" s="42" t="s">
        <v>47</v>
      </c>
      <c r="X273" s="42" t="s">
        <v>48</v>
      </c>
      <c r="Y273" s="42" t="s">
        <v>36</v>
      </c>
      <c r="Z273" s="42" t="s">
        <v>9</v>
      </c>
      <c r="AA273" s="42" t="s">
        <v>49</v>
      </c>
      <c r="AB273" s="42" t="s">
        <v>92</v>
      </c>
      <c r="AC273" s="42" t="s">
        <v>38</v>
      </c>
      <c r="AD273" s="59" t="s">
        <v>242</v>
      </c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</row>
    <row r="274" spans="1:49" ht="31.5" x14ac:dyDescent="0.2">
      <c r="A274" s="42" t="s">
        <v>89</v>
      </c>
      <c r="B274" s="44">
        <v>46063</v>
      </c>
      <c r="C274" s="44">
        <v>46063</v>
      </c>
      <c r="D274" s="42" t="s">
        <v>132</v>
      </c>
      <c r="E274" s="47">
        <v>0.8125</v>
      </c>
      <c r="F274" s="47">
        <v>0.83333333333333337</v>
      </c>
      <c r="G274" s="47">
        <v>3.4722222222222218E-4</v>
      </c>
      <c r="H274" s="42" t="s">
        <v>121</v>
      </c>
      <c r="I274" s="50">
        <v>0.8206137731481481</v>
      </c>
      <c r="J274" s="42" t="s">
        <v>116</v>
      </c>
      <c r="K274" s="42" t="s">
        <v>131</v>
      </c>
      <c r="L274" s="52">
        <v>1</v>
      </c>
      <c r="M274" s="52">
        <v>70392</v>
      </c>
      <c r="N274" s="42" t="s">
        <v>53</v>
      </c>
      <c r="O274" s="52" t="s">
        <v>91</v>
      </c>
      <c r="P274" s="54">
        <v>160</v>
      </c>
      <c r="Q274" s="52"/>
      <c r="R274" s="54">
        <v>160</v>
      </c>
      <c r="S274" s="57">
        <v>46054</v>
      </c>
      <c r="T274" s="54">
        <v>24</v>
      </c>
      <c r="U274" s="58">
        <v>4</v>
      </c>
      <c r="V274" s="54">
        <v>136</v>
      </c>
      <c r="W274" s="42" t="s">
        <v>47</v>
      </c>
      <c r="X274" s="42" t="s">
        <v>48</v>
      </c>
      <c r="Y274" s="42" t="s">
        <v>36</v>
      </c>
      <c r="Z274" s="42" t="s">
        <v>9</v>
      </c>
      <c r="AA274" s="42" t="s">
        <v>49</v>
      </c>
      <c r="AB274" s="42" t="s">
        <v>92</v>
      </c>
      <c r="AC274" s="42" t="s">
        <v>38</v>
      </c>
      <c r="AD274" s="59" t="s">
        <v>242</v>
      </c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</row>
    <row r="275" spans="1:49" ht="31.5" x14ac:dyDescent="0.2">
      <c r="A275" s="42" t="s">
        <v>89</v>
      </c>
      <c r="B275" s="44">
        <v>46064</v>
      </c>
      <c r="C275" s="44">
        <v>46064</v>
      </c>
      <c r="D275" s="42" t="s">
        <v>166</v>
      </c>
      <c r="E275" s="47">
        <v>0.5</v>
      </c>
      <c r="F275" s="47">
        <v>0.54166666666666663</v>
      </c>
      <c r="G275" s="47">
        <v>3.4722222222222218E-4</v>
      </c>
      <c r="H275" s="42" t="s">
        <v>90</v>
      </c>
      <c r="I275" s="50">
        <v>0.50577546296296294</v>
      </c>
      <c r="J275" s="42" t="s">
        <v>76</v>
      </c>
      <c r="K275" s="42" t="s">
        <v>129</v>
      </c>
      <c r="L275" s="52">
        <v>1</v>
      </c>
      <c r="M275" s="52">
        <v>70398</v>
      </c>
      <c r="N275" s="42" t="s">
        <v>53</v>
      </c>
      <c r="O275" s="52" t="s">
        <v>91</v>
      </c>
      <c r="P275" s="54">
        <v>120</v>
      </c>
      <c r="Q275" s="52"/>
      <c r="R275" s="54">
        <v>120</v>
      </c>
      <c r="S275" s="57">
        <v>46054</v>
      </c>
      <c r="T275" s="54">
        <v>18</v>
      </c>
      <c r="U275" s="58">
        <v>4</v>
      </c>
      <c r="V275" s="54">
        <v>102</v>
      </c>
      <c r="W275" s="42" t="s">
        <v>47</v>
      </c>
      <c r="X275" s="42" t="s">
        <v>48</v>
      </c>
      <c r="Y275" s="42" t="s">
        <v>36</v>
      </c>
      <c r="Z275" s="42" t="s">
        <v>9</v>
      </c>
      <c r="AA275" s="42" t="s">
        <v>49</v>
      </c>
      <c r="AB275" s="42" t="s">
        <v>92</v>
      </c>
      <c r="AC275" s="42" t="s">
        <v>38</v>
      </c>
      <c r="AD275" s="59" t="s">
        <v>242</v>
      </c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</row>
    <row r="276" spans="1:49" ht="31.5" x14ac:dyDescent="0.25">
      <c r="A276" s="42" t="s">
        <v>89</v>
      </c>
      <c r="B276" s="44">
        <v>46064</v>
      </c>
      <c r="C276" s="44">
        <v>46064</v>
      </c>
      <c r="D276" s="42" t="s">
        <v>166</v>
      </c>
      <c r="E276" s="47">
        <v>0.79166666666666663</v>
      </c>
      <c r="F276" s="47">
        <v>0.8125</v>
      </c>
      <c r="G276" s="47">
        <v>3.4722222222222218E-4</v>
      </c>
      <c r="H276" s="42" t="s">
        <v>121</v>
      </c>
      <c r="I276" s="50">
        <v>0.79738425925925926</v>
      </c>
      <c r="J276" s="42" t="s">
        <v>116</v>
      </c>
      <c r="K276" s="42" t="s">
        <v>115</v>
      </c>
      <c r="L276" s="52">
        <v>1</v>
      </c>
      <c r="M276" s="52">
        <v>70391</v>
      </c>
      <c r="N276" s="42" t="s">
        <v>53</v>
      </c>
      <c r="O276" s="52" t="s">
        <v>91</v>
      </c>
      <c r="P276" s="54">
        <v>160</v>
      </c>
      <c r="Q276" s="52"/>
      <c r="R276" s="54">
        <v>160</v>
      </c>
      <c r="S276" s="57">
        <v>46054</v>
      </c>
      <c r="T276" s="54">
        <v>24</v>
      </c>
      <c r="U276" s="58">
        <v>4</v>
      </c>
      <c r="V276" s="54">
        <v>136</v>
      </c>
      <c r="W276" s="42" t="s">
        <v>47</v>
      </c>
      <c r="X276" s="42" t="s">
        <v>48</v>
      </c>
      <c r="Y276" s="42" t="s">
        <v>36</v>
      </c>
      <c r="Z276" s="42" t="s">
        <v>9</v>
      </c>
      <c r="AA276" s="42" t="s">
        <v>49</v>
      </c>
      <c r="AB276" s="42" t="s">
        <v>92</v>
      </c>
      <c r="AC276" s="42" t="s">
        <v>38</v>
      </c>
      <c r="AD276" s="59" t="s">
        <v>242</v>
      </c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</row>
    <row r="277" spans="1:49" ht="31.5" x14ac:dyDescent="0.2">
      <c r="A277" s="42" t="s">
        <v>89</v>
      </c>
      <c r="B277" s="44">
        <v>46065</v>
      </c>
      <c r="C277" s="44">
        <v>46065</v>
      </c>
      <c r="D277" s="42" t="s">
        <v>179</v>
      </c>
      <c r="E277" s="47">
        <v>0.25</v>
      </c>
      <c r="F277" s="47">
        <v>0.29166666666666669</v>
      </c>
      <c r="G277" s="47">
        <v>3.4722222222222218E-4</v>
      </c>
      <c r="H277" s="42" t="s">
        <v>139</v>
      </c>
      <c r="I277" s="50">
        <v>0.28212962962962962</v>
      </c>
      <c r="J277" s="42" t="s">
        <v>41</v>
      </c>
      <c r="K277" s="42" t="s">
        <v>40</v>
      </c>
      <c r="L277" s="52">
        <v>1</v>
      </c>
      <c r="M277" s="52">
        <v>70390</v>
      </c>
      <c r="N277" s="42" t="s">
        <v>53</v>
      </c>
      <c r="O277" s="52" t="s">
        <v>91</v>
      </c>
      <c r="P277" s="54">
        <v>120</v>
      </c>
      <c r="Q277" s="52"/>
      <c r="R277" s="54">
        <v>120</v>
      </c>
      <c r="S277" s="57">
        <v>46054</v>
      </c>
      <c r="T277" s="54">
        <v>18</v>
      </c>
      <c r="U277" s="58">
        <v>4</v>
      </c>
      <c r="V277" s="54">
        <v>102</v>
      </c>
      <c r="W277" s="42" t="s">
        <v>47</v>
      </c>
      <c r="X277" s="42" t="s">
        <v>48</v>
      </c>
      <c r="Y277" s="42" t="s">
        <v>36</v>
      </c>
      <c r="Z277" s="42" t="s">
        <v>9</v>
      </c>
      <c r="AA277" s="42" t="s">
        <v>49</v>
      </c>
      <c r="AB277" s="42" t="s">
        <v>92</v>
      </c>
      <c r="AC277" s="42" t="s">
        <v>38</v>
      </c>
      <c r="AD277" s="59" t="s">
        <v>242</v>
      </c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</row>
    <row r="278" spans="1:49" ht="31.5" x14ac:dyDescent="0.2">
      <c r="A278" s="42" t="s">
        <v>89</v>
      </c>
      <c r="B278" s="44">
        <v>46065</v>
      </c>
      <c r="C278" s="44">
        <v>46065</v>
      </c>
      <c r="D278" s="42" t="s">
        <v>179</v>
      </c>
      <c r="E278" s="47">
        <v>0.5</v>
      </c>
      <c r="F278" s="47">
        <v>0.54166666666666663</v>
      </c>
      <c r="G278" s="47">
        <v>3.4722222222222218E-4</v>
      </c>
      <c r="H278" s="42" t="s">
        <v>90</v>
      </c>
      <c r="I278" s="50">
        <v>0.52818576388888894</v>
      </c>
      <c r="J278" s="42" t="s">
        <v>76</v>
      </c>
      <c r="K278" s="42" t="s">
        <v>129</v>
      </c>
      <c r="L278" s="52">
        <v>1</v>
      </c>
      <c r="M278" s="52">
        <v>70396</v>
      </c>
      <c r="N278" s="42" t="s">
        <v>53</v>
      </c>
      <c r="O278" s="52" t="s">
        <v>91</v>
      </c>
      <c r="P278" s="54">
        <v>140</v>
      </c>
      <c r="Q278" s="52"/>
      <c r="R278" s="54">
        <v>140</v>
      </c>
      <c r="S278" s="57">
        <v>46054</v>
      </c>
      <c r="T278" s="54">
        <v>21</v>
      </c>
      <c r="U278" s="58">
        <v>4</v>
      </c>
      <c r="V278" s="54">
        <v>119</v>
      </c>
      <c r="W278" s="42" t="s">
        <v>47</v>
      </c>
      <c r="X278" s="42" t="s">
        <v>48</v>
      </c>
      <c r="Y278" s="42" t="s">
        <v>36</v>
      </c>
      <c r="Z278" s="42" t="s">
        <v>9</v>
      </c>
      <c r="AA278" s="42" t="s">
        <v>49</v>
      </c>
      <c r="AB278" s="42" t="s">
        <v>92</v>
      </c>
      <c r="AC278" s="42" t="s">
        <v>38</v>
      </c>
      <c r="AD278" s="59" t="s">
        <v>242</v>
      </c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</row>
    <row r="279" spans="1:49" ht="31.5" x14ac:dyDescent="0.25">
      <c r="A279" s="42" t="s">
        <v>89</v>
      </c>
      <c r="B279" s="44">
        <v>46065</v>
      </c>
      <c r="C279" s="44">
        <v>46065</v>
      </c>
      <c r="D279" s="42" t="s">
        <v>179</v>
      </c>
      <c r="E279" s="47">
        <v>0.79166666666666663</v>
      </c>
      <c r="F279" s="47">
        <v>0.8125</v>
      </c>
      <c r="G279" s="47">
        <v>3.4722222222222218E-4</v>
      </c>
      <c r="H279" s="42" t="s">
        <v>121</v>
      </c>
      <c r="I279" s="50">
        <v>0.79720034722222222</v>
      </c>
      <c r="J279" s="42" t="s">
        <v>116</v>
      </c>
      <c r="K279" s="42" t="s">
        <v>115</v>
      </c>
      <c r="L279" s="52">
        <v>1</v>
      </c>
      <c r="M279" s="52">
        <v>70391</v>
      </c>
      <c r="N279" s="42" t="s">
        <v>53</v>
      </c>
      <c r="O279" s="52" t="s">
        <v>91</v>
      </c>
      <c r="P279" s="54">
        <v>160</v>
      </c>
      <c r="Q279" s="52"/>
      <c r="R279" s="54">
        <v>160</v>
      </c>
      <c r="S279" s="57">
        <v>46054</v>
      </c>
      <c r="T279" s="54">
        <v>24</v>
      </c>
      <c r="U279" s="58">
        <v>4</v>
      </c>
      <c r="V279" s="54">
        <v>136</v>
      </c>
      <c r="W279" s="42" t="s">
        <v>47</v>
      </c>
      <c r="X279" s="42" t="s">
        <v>48</v>
      </c>
      <c r="Y279" s="42" t="s">
        <v>36</v>
      </c>
      <c r="Z279" s="42" t="s">
        <v>9</v>
      </c>
      <c r="AA279" s="42" t="s">
        <v>49</v>
      </c>
      <c r="AB279" s="42" t="s">
        <v>92</v>
      </c>
      <c r="AC279" s="42" t="s">
        <v>38</v>
      </c>
      <c r="AD279" s="59" t="s">
        <v>242</v>
      </c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</row>
    <row r="280" spans="1:49" ht="31.5" x14ac:dyDescent="0.25">
      <c r="A280" s="42" t="s">
        <v>89</v>
      </c>
      <c r="B280" s="44">
        <v>46065</v>
      </c>
      <c r="C280" s="44">
        <v>46065</v>
      </c>
      <c r="D280" s="42" t="s">
        <v>179</v>
      </c>
      <c r="E280" s="47">
        <v>0.83333333333333337</v>
      </c>
      <c r="F280" s="47">
        <v>0.875</v>
      </c>
      <c r="G280" s="47">
        <v>3.4722222222222218E-4</v>
      </c>
      <c r="H280" s="42" t="s">
        <v>139</v>
      </c>
      <c r="I280" s="50">
        <v>0.87457268518518516</v>
      </c>
      <c r="J280" s="42" t="s">
        <v>41</v>
      </c>
      <c r="K280" s="42" t="s">
        <v>165</v>
      </c>
      <c r="L280" s="52">
        <v>1</v>
      </c>
      <c r="M280" s="52">
        <v>70393</v>
      </c>
      <c r="N280" s="42" t="s">
        <v>53</v>
      </c>
      <c r="O280" s="52" t="s">
        <v>91</v>
      </c>
      <c r="P280" s="54">
        <v>160</v>
      </c>
      <c r="Q280" s="52"/>
      <c r="R280" s="54">
        <v>160</v>
      </c>
      <c r="S280" s="57">
        <v>46054</v>
      </c>
      <c r="T280" s="54">
        <v>24</v>
      </c>
      <c r="U280" s="58">
        <v>4</v>
      </c>
      <c r="V280" s="54">
        <v>136</v>
      </c>
      <c r="W280" s="42" t="s">
        <v>47</v>
      </c>
      <c r="X280" s="42" t="s">
        <v>48</v>
      </c>
      <c r="Y280" s="42" t="s">
        <v>36</v>
      </c>
      <c r="Z280" s="42" t="s">
        <v>9</v>
      </c>
      <c r="AA280" s="42" t="s">
        <v>49</v>
      </c>
      <c r="AB280" s="42" t="s">
        <v>92</v>
      </c>
      <c r="AC280" s="42" t="s">
        <v>38</v>
      </c>
      <c r="AD280" s="59" t="s">
        <v>242</v>
      </c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</row>
    <row r="281" spans="1:49" ht="31.5" x14ac:dyDescent="0.2">
      <c r="A281" s="42" t="s">
        <v>89</v>
      </c>
      <c r="B281" s="44">
        <v>46066</v>
      </c>
      <c r="C281" s="44">
        <v>46066</v>
      </c>
      <c r="D281" s="42" t="s">
        <v>195</v>
      </c>
      <c r="E281" s="47">
        <v>0.25</v>
      </c>
      <c r="F281" s="47">
        <v>0.99930555555555556</v>
      </c>
      <c r="G281" s="47">
        <v>3.4722222222222218E-4</v>
      </c>
      <c r="H281" s="42" t="s">
        <v>139</v>
      </c>
      <c r="I281" s="50">
        <v>0.92378553240740746</v>
      </c>
      <c r="J281" s="42" t="s">
        <v>41</v>
      </c>
      <c r="K281" s="42" t="s">
        <v>202</v>
      </c>
      <c r="L281" s="52">
        <v>1</v>
      </c>
      <c r="M281" s="52">
        <v>70409</v>
      </c>
      <c r="N281" s="42" t="s">
        <v>46</v>
      </c>
      <c r="O281" s="52" t="s">
        <v>91</v>
      </c>
      <c r="P281" s="54">
        <v>0</v>
      </c>
      <c r="Q281" s="52"/>
      <c r="R281" s="54">
        <v>0</v>
      </c>
      <c r="S281" s="57">
        <v>46054</v>
      </c>
      <c r="T281" s="54">
        <v>0</v>
      </c>
      <c r="U281" s="58">
        <v>4</v>
      </c>
      <c r="V281" s="54">
        <v>0</v>
      </c>
      <c r="W281" s="42" t="s">
        <v>47</v>
      </c>
      <c r="X281" s="42" t="s">
        <v>48</v>
      </c>
      <c r="Y281" s="42" t="s">
        <v>36</v>
      </c>
      <c r="Z281" s="42" t="s">
        <v>9</v>
      </c>
      <c r="AA281" s="42" t="s">
        <v>49</v>
      </c>
      <c r="AB281" s="42" t="s">
        <v>92</v>
      </c>
      <c r="AC281" s="42" t="s">
        <v>38</v>
      </c>
      <c r="AD281" s="59" t="s">
        <v>242</v>
      </c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</row>
    <row r="282" spans="1:49" ht="31.5" x14ac:dyDescent="0.2">
      <c r="A282" s="42" t="s">
        <v>89</v>
      </c>
      <c r="B282" s="44">
        <v>46066</v>
      </c>
      <c r="C282" s="44">
        <v>46066</v>
      </c>
      <c r="D282" s="42" t="s">
        <v>195</v>
      </c>
      <c r="E282" s="47">
        <v>0.45833333333333331</v>
      </c>
      <c r="F282" s="47">
        <v>0.47916666666666669</v>
      </c>
      <c r="G282" s="47">
        <v>3.4722222222222218E-4</v>
      </c>
      <c r="H282" s="42" t="s">
        <v>90</v>
      </c>
      <c r="I282" s="50">
        <v>0.46473541666666668</v>
      </c>
      <c r="J282" s="42" t="s">
        <v>76</v>
      </c>
      <c r="K282" s="42" t="s">
        <v>143</v>
      </c>
      <c r="L282" s="52">
        <v>1</v>
      </c>
      <c r="M282" s="52">
        <v>70395</v>
      </c>
      <c r="N282" s="42" t="s">
        <v>53</v>
      </c>
      <c r="O282" s="52" t="s">
        <v>91</v>
      </c>
      <c r="P282" s="54">
        <v>140</v>
      </c>
      <c r="Q282" s="52"/>
      <c r="R282" s="54">
        <v>140</v>
      </c>
      <c r="S282" s="57">
        <v>46054</v>
      </c>
      <c r="T282" s="54">
        <v>21</v>
      </c>
      <c r="U282" s="58">
        <v>4</v>
      </c>
      <c r="V282" s="54">
        <v>119</v>
      </c>
      <c r="W282" s="42" t="s">
        <v>47</v>
      </c>
      <c r="X282" s="42" t="s">
        <v>48</v>
      </c>
      <c r="Y282" s="42" t="s">
        <v>36</v>
      </c>
      <c r="Z282" s="42" t="s">
        <v>9</v>
      </c>
      <c r="AA282" s="42" t="s">
        <v>49</v>
      </c>
      <c r="AB282" s="42" t="s">
        <v>92</v>
      </c>
      <c r="AC282" s="42" t="s">
        <v>38</v>
      </c>
      <c r="AD282" s="59" t="s">
        <v>242</v>
      </c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</row>
    <row r="283" spans="1:49" ht="31.5" x14ac:dyDescent="0.25">
      <c r="A283" s="42" t="s">
        <v>89</v>
      </c>
      <c r="B283" s="44">
        <v>46066</v>
      </c>
      <c r="C283" s="44">
        <v>46066</v>
      </c>
      <c r="D283" s="42" t="s">
        <v>195</v>
      </c>
      <c r="E283" s="47">
        <v>0.45833333333333331</v>
      </c>
      <c r="F283" s="47">
        <v>0.5</v>
      </c>
      <c r="G283" s="47">
        <v>3.4722222222222218E-4</v>
      </c>
      <c r="H283" s="42" t="s">
        <v>90</v>
      </c>
      <c r="I283" s="50">
        <v>0.48781377314814817</v>
      </c>
      <c r="J283" s="42" t="s">
        <v>76</v>
      </c>
      <c r="K283" s="42" t="s">
        <v>128</v>
      </c>
      <c r="L283" s="52">
        <v>1</v>
      </c>
      <c r="M283" s="52">
        <v>70397</v>
      </c>
      <c r="N283" s="42" t="s">
        <v>53</v>
      </c>
      <c r="O283" s="52" t="s">
        <v>91</v>
      </c>
      <c r="P283" s="54">
        <v>120</v>
      </c>
      <c r="Q283" s="52"/>
      <c r="R283" s="54">
        <v>120</v>
      </c>
      <c r="S283" s="57">
        <v>46054</v>
      </c>
      <c r="T283" s="54">
        <v>18</v>
      </c>
      <c r="U283" s="58">
        <v>4</v>
      </c>
      <c r="V283" s="54">
        <v>102</v>
      </c>
      <c r="W283" s="42" t="s">
        <v>47</v>
      </c>
      <c r="X283" s="42" t="s">
        <v>48</v>
      </c>
      <c r="Y283" s="42" t="s">
        <v>36</v>
      </c>
      <c r="Z283" s="42" t="s">
        <v>9</v>
      </c>
      <c r="AA283" s="42" t="s">
        <v>49</v>
      </c>
      <c r="AB283" s="42" t="s">
        <v>92</v>
      </c>
      <c r="AC283" s="42" t="s">
        <v>38</v>
      </c>
      <c r="AD283" s="59" t="s">
        <v>242</v>
      </c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</row>
    <row r="284" spans="1:49" ht="31.5" x14ac:dyDescent="0.25">
      <c r="A284" s="42" t="s">
        <v>89</v>
      </c>
      <c r="B284" s="44">
        <v>46066</v>
      </c>
      <c r="C284" s="44">
        <v>46066</v>
      </c>
      <c r="D284" s="42" t="s">
        <v>195</v>
      </c>
      <c r="E284" s="47">
        <v>0.5</v>
      </c>
      <c r="F284" s="47">
        <v>0.54166666666666663</v>
      </c>
      <c r="G284" s="47">
        <v>3.4722222222222218E-4</v>
      </c>
      <c r="H284" s="42" t="s">
        <v>90</v>
      </c>
      <c r="I284" s="50">
        <v>0.54104386574074081</v>
      </c>
      <c r="J284" s="42" t="s">
        <v>76</v>
      </c>
      <c r="K284" s="42" t="s">
        <v>129</v>
      </c>
      <c r="L284" s="52">
        <v>1</v>
      </c>
      <c r="M284" s="52">
        <v>70396</v>
      </c>
      <c r="N284" s="42" t="s">
        <v>53</v>
      </c>
      <c r="O284" s="52" t="s">
        <v>91</v>
      </c>
      <c r="P284" s="54">
        <v>140</v>
      </c>
      <c r="Q284" s="52"/>
      <c r="R284" s="54">
        <v>140</v>
      </c>
      <c r="S284" s="57">
        <v>46054</v>
      </c>
      <c r="T284" s="54">
        <v>21</v>
      </c>
      <c r="U284" s="58">
        <v>4</v>
      </c>
      <c r="V284" s="54">
        <v>119</v>
      </c>
      <c r="W284" s="42" t="s">
        <v>47</v>
      </c>
      <c r="X284" s="42" t="s">
        <v>48</v>
      </c>
      <c r="Y284" s="42" t="s">
        <v>36</v>
      </c>
      <c r="Z284" s="42" t="s">
        <v>9</v>
      </c>
      <c r="AA284" s="42" t="s">
        <v>49</v>
      </c>
      <c r="AB284" s="42" t="s">
        <v>92</v>
      </c>
      <c r="AC284" s="42" t="s">
        <v>38</v>
      </c>
      <c r="AD284" s="59" t="s">
        <v>242</v>
      </c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</row>
    <row r="285" spans="1:49" ht="31.5" x14ac:dyDescent="0.25">
      <c r="A285" s="42" t="s">
        <v>89</v>
      </c>
      <c r="B285" s="44">
        <v>46066</v>
      </c>
      <c r="C285" s="44">
        <v>46066</v>
      </c>
      <c r="D285" s="42" t="s">
        <v>195</v>
      </c>
      <c r="E285" s="47">
        <v>0.79166666666666663</v>
      </c>
      <c r="F285" s="47">
        <v>0.8125</v>
      </c>
      <c r="G285" s="47">
        <v>3.4722222222222218E-4</v>
      </c>
      <c r="H285" s="42" t="s">
        <v>121</v>
      </c>
      <c r="I285" s="50">
        <v>0.80423611111111115</v>
      </c>
      <c r="J285" s="42" t="s">
        <v>116</v>
      </c>
      <c r="K285" s="42" t="s">
        <v>115</v>
      </c>
      <c r="L285" s="52">
        <v>1</v>
      </c>
      <c r="M285" s="52">
        <v>70391</v>
      </c>
      <c r="N285" s="42" t="s">
        <v>53</v>
      </c>
      <c r="O285" s="52" t="s">
        <v>91</v>
      </c>
      <c r="P285" s="54">
        <v>160</v>
      </c>
      <c r="Q285" s="52"/>
      <c r="R285" s="54">
        <v>160</v>
      </c>
      <c r="S285" s="57">
        <v>46054</v>
      </c>
      <c r="T285" s="54">
        <v>24</v>
      </c>
      <c r="U285" s="58">
        <v>4</v>
      </c>
      <c r="V285" s="54">
        <v>136</v>
      </c>
      <c r="W285" s="42" t="s">
        <v>47</v>
      </c>
      <c r="X285" s="42" t="s">
        <v>48</v>
      </c>
      <c r="Y285" s="42" t="s">
        <v>36</v>
      </c>
      <c r="Z285" s="42" t="s">
        <v>9</v>
      </c>
      <c r="AA285" s="42" t="s">
        <v>49</v>
      </c>
      <c r="AB285" s="42" t="s">
        <v>92</v>
      </c>
      <c r="AC285" s="42" t="s">
        <v>38</v>
      </c>
      <c r="AD285" s="59" t="s">
        <v>242</v>
      </c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</row>
    <row r="286" spans="1:49" ht="31.5" x14ac:dyDescent="0.25">
      <c r="A286" s="42" t="s">
        <v>89</v>
      </c>
      <c r="B286" s="44">
        <v>46066</v>
      </c>
      <c r="C286" s="44">
        <v>46066</v>
      </c>
      <c r="D286" s="42" t="s">
        <v>195</v>
      </c>
      <c r="E286" s="47">
        <v>0.83333333333333337</v>
      </c>
      <c r="F286" s="47">
        <v>0.875</v>
      </c>
      <c r="G286" s="47">
        <v>3.4722222222222218E-4</v>
      </c>
      <c r="H286" s="42" t="s">
        <v>139</v>
      </c>
      <c r="I286" s="50">
        <v>0.86861111111111111</v>
      </c>
      <c r="J286" s="42" t="s">
        <v>41</v>
      </c>
      <c r="K286" s="42" t="s">
        <v>165</v>
      </c>
      <c r="L286" s="52">
        <v>1</v>
      </c>
      <c r="M286" s="52">
        <v>70393</v>
      </c>
      <c r="N286" s="42" t="s">
        <v>53</v>
      </c>
      <c r="O286" s="52" t="s">
        <v>91</v>
      </c>
      <c r="P286" s="54">
        <v>160</v>
      </c>
      <c r="Q286" s="52"/>
      <c r="R286" s="54">
        <v>160</v>
      </c>
      <c r="S286" s="57">
        <v>46054</v>
      </c>
      <c r="T286" s="54">
        <v>24</v>
      </c>
      <c r="U286" s="58">
        <v>4</v>
      </c>
      <c r="V286" s="54">
        <v>136</v>
      </c>
      <c r="W286" s="42" t="s">
        <v>47</v>
      </c>
      <c r="X286" s="42" t="s">
        <v>48</v>
      </c>
      <c r="Y286" s="42" t="s">
        <v>36</v>
      </c>
      <c r="Z286" s="42" t="s">
        <v>9</v>
      </c>
      <c r="AA286" s="42" t="s">
        <v>49</v>
      </c>
      <c r="AB286" s="42" t="s">
        <v>92</v>
      </c>
      <c r="AC286" s="42" t="s">
        <v>38</v>
      </c>
      <c r="AD286" s="59" t="s">
        <v>242</v>
      </c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</row>
    <row r="287" spans="1:49" ht="31.5" x14ac:dyDescent="0.2">
      <c r="A287" s="42" t="s">
        <v>89</v>
      </c>
      <c r="B287" s="44">
        <v>46067</v>
      </c>
      <c r="C287" s="44">
        <v>46067</v>
      </c>
      <c r="D287" s="42" t="s">
        <v>203</v>
      </c>
      <c r="E287" s="47">
        <v>0.875</v>
      </c>
      <c r="F287" s="47">
        <v>0.99930555555555556</v>
      </c>
      <c r="G287" s="47">
        <v>3.4722222222222218E-4</v>
      </c>
      <c r="H287" s="42" t="s">
        <v>139</v>
      </c>
      <c r="I287" s="50">
        <v>0.91619513888888882</v>
      </c>
      <c r="J287" s="42" t="s">
        <v>41</v>
      </c>
      <c r="K287" s="42" t="s">
        <v>230</v>
      </c>
      <c r="L287" s="52">
        <v>1</v>
      </c>
      <c r="M287" s="52">
        <v>70394</v>
      </c>
      <c r="N287" s="42" t="s">
        <v>53</v>
      </c>
      <c r="O287" s="52" t="s">
        <v>91</v>
      </c>
      <c r="P287" s="54">
        <v>130</v>
      </c>
      <c r="Q287" s="52"/>
      <c r="R287" s="54">
        <v>130</v>
      </c>
      <c r="S287" s="57">
        <v>46054</v>
      </c>
      <c r="T287" s="54">
        <v>19.5</v>
      </c>
      <c r="U287" s="58">
        <v>4</v>
      </c>
      <c r="V287" s="54">
        <v>110.5</v>
      </c>
      <c r="W287" s="42" t="s">
        <v>47</v>
      </c>
      <c r="X287" s="42" t="s">
        <v>48</v>
      </c>
      <c r="Y287" s="42" t="s">
        <v>36</v>
      </c>
      <c r="Z287" s="42" t="s">
        <v>9</v>
      </c>
      <c r="AA287" s="42" t="s">
        <v>49</v>
      </c>
      <c r="AB287" s="42" t="s">
        <v>92</v>
      </c>
      <c r="AC287" s="42" t="s">
        <v>38</v>
      </c>
      <c r="AD287" s="59" t="s">
        <v>242</v>
      </c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</row>
    <row r="288" spans="1:49" ht="31.5" x14ac:dyDescent="0.2">
      <c r="A288" s="42" t="s">
        <v>89</v>
      </c>
      <c r="B288" s="44">
        <v>46068</v>
      </c>
      <c r="C288" s="44">
        <v>46068</v>
      </c>
      <c r="D288" s="42" t="s">
        <v>231</v>
      </c>
      <c r="E288" s="47">
        <v>0.25</v>
      </c>
      <c r="F288" s="47">
        <v>0.99930555555555556</v>
      </c>
      <c r="G288" s="47">
        <v>3.4722222222222218E-4</v>
      </c>
      <c r="H288" s="42" t="s">
        <v>139</v>
      </c>
      <c r="I288" s="50">
        <v>0.4995282407407407</v>
      </c>
      <c r="J288" s="42" t="s">
        <v>41</v>
      </c>
      <c r="K288" s="42" t="s">
        <v>128</v>
      </c>
      <c r="L288" s="52">
        <v>1</v>
      </c>
      <c r="M288" s="52">
        <v>70409</v>
      </c>
      <c r="N288" s="42" t="s">
        <v>46</v>
      </c>
      <c r="O288" s="52" t="s">
        <v>91</v>
      </c>
      <c r="P288" s="54">
        <v>0</v>
      </c>
      <c r="Q288" s="52"/>
      <c r="R288" s="54">
        <v>0</v>
      </c>
      <c r="S288" s="57">
        <v>46054</v>
      </c>
      <c r="T288" s="54">
        <v>0</v>
      </c>
      <c r="U288" s="58">
        <v>4</v>
      </c>
      <c r="V288" s="54">
        <v>0</v>
      </c>
      <c r="W288" s="42" t="s">
        <v>47</v>
      </c>
      <c r="X288" s="42" t="s">
        <v>48</v>
      </c>
      <c r="Y288" s="42" t="s">
        <v>36</v>
      </c>
      <c r="Z288" s="42" t="s">
        <v>9</v>
      </c>
      <c r="AA288" s="42" t="s">
        <v>49</v>
      </c>
      <c r="AB288" s="42" t="s">
        <v>92</v>
      </c>
      <c r="AC288" s="42" t="s">
        <v>38</v>
      </c>
      <c r="AD288" s="59" t="s">
        <v>242</v>
      </c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</row>
    <row r="289" spans="1:49" ht="31.5" x14ac:dyDescent="0.2">
      <c r="A289" s="43" t="s">
        <v>122</v>
      </c>
      <c r="B289" s="45">
        <v>46062</v>
      </c>
      <c r="C289" s="45">
        <v>46062</v>
      </c>
      <c r="D289" s="46" t="s">
        <v>30</v>
      </c>
      <c r="E289" s="48">
        <v>0.83333333333333337</v>
      </c>
      <c r="F289" s="48">
        <v>0.875</v>
      </c>
      <c r="G289" s="48">
        <v>4.1666666666666664E-2</v>
      </c>
      <c r="H289" s="43" t="s">
        <v>123</v>
      </c>
      <c r="I289" s="51"/>
      <c r="J289" s="43" t="s">
        <v>41</v>
      </c>
      <c r="K289" s="43"/>
      <c r="L289" s="53">
        <v>1</v>
      </c>
      <c r="M289" s="53">
        <v>1</v>
      </c>
      <c r="N289" s="43" t="s">
        <v>33</v>
      </c>
      <c r="O289" s="43"/>
      <c r="P289" s="55">
        <v>0</v>
      </c>
      <c r="Q289" s="53"/>
      <c r="R289" s="55">
        <v>0</v>
      </c>
      <c r="S289" s="43">
        <v>46054</v>
      </c>
      <c r="T289" s="55">
        <v>0</v>
      </c>
      <c r="U289" s="53">
        <v>2</v>
      </c>
      <c r="V289" s="55">
        <v>0</v>
      </c>
      <c r="W289" s="43" t="s">
        <v>34</v>
      </c>
      <c r="X289" s="43" t="s">
        <v>42</v>
      </c>
      <c r="Y289" s="43" t="s">
        <v>36</v>
      </c>
      <c r="Z289" s="43" t="s">
        <v>43</v>
      </c>
      <c r="AA289" s="43" t="s">
        <v>37</v>
      </c>
      <c r="AB289" s="43" t="s">
        <v>37</v>
      </c>
      <c r="AC289" s="43" t="s">
        <v>38</v>
      </c>
      <c r="AD289" s="59" t="s">
        <v>242</v>
      </c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</row>
    <row r="290" spans="1:49" ht="31.5" x14ac:dyDescent="0.25">
      <c r="A290" s="43" t="s">
        <v>122</v>
      </c>
      <c r="B290" s="45">
        <v>46063</v>
      </c>
      <c r="C290" s="45">
        <v>46063</v>
      </c>
      <c r="D290" s="46" t="s">
        <v>132</v>
      </c>
      <c r="E290" s="48">
        <v>0.83333333333333337</v>
      </c>
      <c r="F290" s="48">
        <v>0.875</v>
      </c>
      <c r="G290" s="48">
        <v>4.1666666666666664E-2</v>
      </c>
      <c r="H290" s="43" t="s">
        <v>123</v>
      </c>
      <c r="I290" s="51"/>
      <c r="J290" s="43" t="s">
        <v>41</v>
      </c>
      <c r="K290" s="43"/>
      <c r="L290" s="53">
        <v>1</v>
      </c>
      <c r="M290" s="53">
        <v>1</v>
      </c>
      <c r="N290" s="43" t="s">
        <v>33</v>
      </c>
      <c r="O290" s="43"/>
      <c r="P290" s="55">
        <v>0</v>
      </c>
      <c r="Q290" s="53"/>
      <c r="R290" s="55">
        <v>0</v>
      </c>
      <c r="S290" s="43">
        <v>46054</v>
      </c>
      <c r="T290" s="55">
        <v>0</v>
      </c>
      <c r="U290" s="53">
        <v>2</v>
      </c>
      <c r="V290" s="55">
        <v>0</v>
      </c>
      <c r="W290" s="43" t="s">
        <v>34</v>
      </c>
      <c r="X290" s="43" t="s">
        <v>42</v>
      </c>
      <c r="Y290" s="43" t="s">
        <v>36</v>
      </c>
      <c r="Z290" s="43" t="s">
        <v>43</v>
      </c>
      <c r="AA290" s="43" t="s">
        <v>37</v>
      </c>
      <c r="AB290" s="43" t="s">
        <v>37</v>
      </c>
      <c r="AC290" s="43" t="s">
        <v>38</v>
      </c>
      <c r="AD290" s="59" t="s">
        <v>242</v>
      </c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</row>
    <row r="291" spans="1:49" ht="31.5" x14ac:dyDescent="0.25">
      <c r="A291" s="43" t="s">
        <v>122</v>
      </c>
      <c r="B291" s="45">
        <v>46064</v>
      </c>
      <c r="C291" s="45">
        <v>46064</v>
      </c>
      <c r="D291" s="46" t="s">
        <v>166</v>
      </c>
      <c r="E291" s="48">
        <v>0.83333333333333337</v>
      </c>
      <c r="F291" s="48">
        <v>0.875</v>
      </c>
      <c r="G291" s="48">
        <v>4.1666666666666664E-2</v>
      </c>
      <c r="H291" s="43" t="s">
        <v>123</v>
      </c>
      <c r="I291" s="51"/>
      <c r="J291" s="43" t="s">
        <v>41</v>
      </c>
      <c r="K291" s="43"/>
      <c r="L291" s="53">
        <v>1</v>
      </c>
      <c r="M291" s="53">
        <v>1</v>
      </c>
      <c r="N291" s="43" t="s">
        <v>33</v>
      </c>
      <c r="O291" s="43"/>
      <c r="P291" s="55">
        <v>0</v>
      </c>
      <c r="Q291" s="53"/>
      <c r="R291" s="55">
        <v>0</v>
      </c>
      <c r="S291" s="43">
        <v>46054</v>
      </c>
      <c r="T291" s="55">
        <v>0</v>
      </c>
      <c r="U291" s="53">
        <v>2</v>
      </c>
      <c r="V291" s="55">
        <v>0</v>
      </c>
      <c r="W291" s="43" t="s">
        <v>34</v>
      </c>
      <c r="X291" s="43" t="s">
        <v>42</v>
      </c>
      <c r="Y291" s="43" t="s">
        <v>36</v>
      </c>
      <c r="Z291" s="43" t="s">
        <v>43</v>
      </c>
      <c r="AA291" s="43" t="s">
        <v>37</v>
      </c>
      <c r="AB291" s="43" t="s">
        <v>37</v>
      </c>
      <c r="AC291" s="43" t="s">
        <v>38</v>
      </c>
      <c r="AD291" s="59" t="s">
        <v>242</v>
      </c>
      <c r="AE291" s="60"/>
      <c r="AF291" s="60"/>
      <c r="AG291" s="60"/>
      <c r="AH291" s="60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</row>
    <row r="292" spans="1:49" ht="31.5" x14ac:dyDescent="0.25">
      <c r="A292" s="43" t="s">
        <v>122</v>
      </c>
      <c r="B292" s="45">
        <v>46065</v>
      </c>
      <c r="C292" s="45">
        <v>46065</v>
      </c>
      <c r="D292" s="46" t="s">
        <v>179</v>
      </c>
      <c r="E292" s="48">
        <v>0.83333333333333337</v>
      </c>
      <c r="F292" s="48">
        <v>0.875</v>
      </c>
      <c r="G292" s="48">
        <v>4.1666666666666664E-2</v>
      </c>
      <c r="H292" s="43" t="s">
        <v>123</v>
      </c>
      <c r="I292" s="51"/>
      <c r="J292" s="43" t="s">
        <v>41</v>
      </c>
      <c r="K292" s="43"/>
      <c r="L292" s="53">
        <v>1</v>
      </c>
      <c r="M292" s="53">
        <v>1</v>
      </c>
      <c r="N292" s="43" t="s">
        <v>33</v>
      </c>
      <c r="O292" s="43"/>
      <c r="P292" s="55">
        <v>0</v>
      </c>
      <c r="Q292" s="53"/>
      <c r="R292" s="55">
        <v>0</v>
      </c>
      <c r="S292" s="43">
        <v>46054</v>
      </c>
      <c r="T292" s="55">
        <v>0</v>
      </c>
      <c r="U292" s="53">
        <v>2</v>
      </c>
      <c r="V292" s="55">
        <v>0</v>
      </c>
      <c r="W292" s="43" t="s">
        <v>34</v>
      </c>
      <c r="X292" s="43" t="s">
        <v>42</v>
      </c>
      <c r="Y292" s="43" t="s">
        <v>36</v>
      </c>
      <c r="Z292" s="43" t="s">
        <v>43</v>
      </c>
      <c r="AA292" s="43" t="s">
        <v>37</v>
      </c>
      <c r="AB292" s="43" t="s">
        <v>37</v>
      </c>
      <c r="AC292" s="43" t="s">
        <v>38</v>
      </c>
      <c r="AD292" s="59" t="s">
        <v>242</v>
      </c>
      <c r="AE292" s="60"/>
      <c r="AF292" s="60"/>
      <c r="AG292" s="60"/>
      <c r="AH292" s="60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</row>
    <row r="293" spans="1:49" ht="31.5" x14ac:dyDescent="0.25">
      <c r="A293" s="43" t="s">
        <v>122</v>
      </c>
      <c r="B293" s="45">
        <v>46066</v>
      </c>
      <c r="C293" s="45">
        <v>46066</v>
      </c>
      <c r="D293" s="46" t="s">
        <v>195</v>
      </c>
      <c r="E293" s="48">
        <v>0.83333333333333337</v>
      </c>
      <c r="F293" s="48">
        <v>0.875</v>
      </c>
      <c r="G293" s="48">
        <v>4.1666666666666664E-2</v>
      </c>
      <c r="H293" s="43" t="s">
        <v>123</v>
      </c>
      <c r="I293" s="51"/>
      <c r="J293" s="43" t="s">
        <v>41</v>
      </c>
      <c r="K293" s="43"/>
      <c r="L293" s="53">
        <v>1</v>
      </c>
      <c r="M293" s="53">
        <v>1</v>
      </c>
      <c r="N293" s="43" t="s">
        <v>33</v>
      </c>
      <c r="O293" s="43"/>
      <c r="P293" s="55">
        <v>0</v>
      </c>
      <c r="Q293" s="53"/>
      <c r="R293" s="55">
        <v>0</v>
      </c>
      <c r="S293" s="43">
        <v>46054</v>
      </c>
      <c r="T293" s="55">
        <v>0</v>
      </c>
      <c r="U293" s="53">
        <v>2</v>
      </c>
      <c r="V293" s="55">
        <v>0</v>
      </c>
      <c r="W293" s="43" t="s">
        <v>34</v>
      </c>
      <c r="X293" s="43" t="s">
        <v>42</v>
      </c>
      <c r="Y293" s="43" t="s">
        <v>36</v>
      </c>
      <c r="Z293" s="43" t="s">
        <v>43</v>
      </c>
      <c r="AA293" s="43" t="s">
        <v>37</v>
      </c>
      <c r="AB293" s="43" t="s">
        <v>37</v>
      </c>
      <c r="AC293" s="43" t="s">
        <v>38</v>
      </c>
      <c r="AD293" s="59" t="s">
        <v>242</v>
      </c>
      <c r="AE293" s="60"/>
      <c r="AF293" s="60"/>
      <c r="AG293" s="60"/>
      <c r="AH293" s="60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</row>
    <row r="294" spans="1:49" ht="31.5" x14ac:dyDescent="0.2">
      <c r="A294" s="43" t="s">
        <v>122</v>
      </c>
      <c r="B294" s="45">
        <v>46067</v>
      </c>
      <c r="C294" s="45">
        <v>46067</v>
      </c>
      <c r="D294" s="46" t="s">
        <v>203</v>
      </c>
      <c r="E294" s="48">
        <v>0.83333333333333337</v>
      </c>
      <c r="F294" s="48">
        <v>0.875</v>
      </c>
      <c r="G294" s="48">
        <v>4.1666666666666664E-2</v>
      </c>
      <c r="H294" s="43" t="s">
        <v>123</v>
      </c>
      <c r="I294" s="51"/>
      <c r="J294" s="43" t="s">
        <v>41</v>
      </c>
      <c r="K294" s="43"/>
      <c r="L294" s="53">
        <v>1</v>
      </c>
      <c r="M294" s="53">
        <v>1</v>
      </c>
      <c r="N294" s="43" t="s">
        <v>33</v>
      </c>
      <c r="O294" s="43"/>
      <c r="P294" s="55">
        <v>0</v>
      </c>
      <c r="Q294" s="53"/>
      <c r="R294" s="55">
        <v>0</v>
      </c>
      <c r="S294" s="43">
        <v>46054</v>
      </c>
      <c r="T294" s="55">
        <v>0</v>
      </c>
      <c r="U294" s="53">
        <v>2</v>
      </c>
      <c r="V294" s="55">
        <v>0</v>
      </c>
      <c r="W294" s="43" t="s">
        <v>34</v>
      </c>
      <c r="X294" s="43" t="s">
        <v>42</v>
      </c>
      <c r="Y294" s="43" t="s">
        <v>36</v>
      </c>
      <c r="Z294" s="43" t="s">
        <v>43</v>
      </c>
      <c r="AA294" s="43" t="s">
        <v>37</v>
      </c>
      <c r="AB294" s="43" t="s">
        <v>37</v>
      </c>
      <c r="AC294" s="43" t="s">
        <v>38</v>
      </c>
      <c r="AD294" s="59" t="s">
        <v>242</v>
      </c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</row>
    <row r="295" spans="1:49" ht="31.5" x14ac:dyDescent="0.25">
      <c r="A295" s="43" t="s">
        <v>122</v>
      </c>
      <c r="B295" s="45">
        <v>46068</v>
      </c>
      <c r="C295" s="45">
        <v>46068</v>
      </c>
      <c r="D295" s="46" t="s">
        <v>231</v>
      </c>
      <c r="E295" s="48">
        <v>0.83333333333333337</v>
      </c>
      <c r="F295" s="48">
        <v>0.875</v>
      </c>
      <c r="G295" s="48">
        <v>4.1666666666666664E-2</v>
      </c>
      <c r="H295" s="43" t="s">
        <v>123</v>
      </c>
      <c r="I295" s="51"/>
      <c r="J295" s="43" t="s">
        <v>41</v>
      </c>
      <c r="K295" s="43"/>
      <c r="L295" s="53">
        <v>1</v>
      </c>
      <c r="M295" s="53">
        <v>1</v>
      </c>
      <c r="N295" s="43" t="s">
        <v>33</v>
      </c>
      <c r="O295" s="43"/>
      <c r="P295" s="55">
        <v>0</v>
      </c>
      <c r="Q295" s="53"/>
      <c r="R295" s="55">
        <v>0</v>
      </c>
      <c r="S295" s="43">
        <v>46054</v>
      </c>
      <c r="T295" s="55">
        <v>0</v>
      </c>
      <c r="U295" s="53">
        <v>2</v>
      </c>
      <c r="V295" s="55">
        <v>0</v>
      </c>
      <c r="W295" s="43" t="s">
        <v>34</v>
      </c>
      <c r="X295" s="43" t="s">
        <v>42</v>
      </c>
      <c r="Y295" s="43" t="s">
        <v>36</v>
      </c>
      <c r="Z295" s="43" t="s">
        <v>43</v>
      </c>
      <c r="AA295" s="43" t="s">
        <v>37</v>
      </c>
      <c r="AB295" s="43" t="s">
        <v>37</v>
      </c>
      <c r="AC295" s="43" t="s">
        <v>38</v>
      </c>
      <c r="AD295" s="59" t="s">
        <v>242</v>
      </c>
      <c r="AE295" s="60"/>
      <c r="AF295" s="60"/>
      <c r="AG295" s="60"/>
      <c r="AH295" s="60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</row>
    <row r="296" spans="1:49" ht="31.5" x14ac:dyDescent="0.25">
      <c r="A296" s="43" t="s">
        <v>238</v>
      </c>
      <c r="B296" s="45">
        <v>46068</v>
      </c>
      <c r="C296" s="45">
        <v>46068</v>
      </c>
      <c r="D296" s="46" t="s">
        <v>231</v>
      </c>
      <c r="E296" s="48">
        <v>0.58333333333333337</v>
      </c>
      <c r="F296" s="48">
        <v>0.625</v>
      </c>
      <c r="G296" s="48">
        <v>4.1666666666666664E-2</v>
      </c>
      <c r="H296" s="43" t="s">
        <v>238</v>
      </c>
      <c r="I296" s="51"/>
      <c r="J296" s="43" t="s">
        <v>96</v>
      </c>
      <c r="K296" s="43"/>
      <c r="L296" s="53">
        <v>1</v>
      </c>
      <c r="M296" s="53">
        <v>1</v>
      </c>
      <c r="N296" s="43" t="s">
        <v>33</v>
      </c>
      <c r="O296" s="43"/>
      <c r="P296" s="55">
        <v>0</v>
      </c>
      <c r="Q296" s="53"/>
      <c r="R296" s="55">
        <v>0</v>
      </c>
      <c r="S296" s="43">
        <v>46068</v>
      </c>
      <c r="T296" s="55">
        <v>0</v>
      </c>
      <c r="U296" s="53">
        <v>1</v>
      </c>
      <c r="V296" s="55">
        <v>0</v>
      </c>
      <c r="W296" s="43" t="s">
        <v>34</v>
      </c>
      <c r="X296" s="43" t="s">
        <v>35</v>
      </c>
      <c r="Y296" s="43" t="s">
        <v>78</v>
      </c>
      <c r="Z296" s="43" t="s">
        <v>68</v>
      </c>
      <c r="AA296" s="43" t="s">
        <v>37</v>
      </c>
      <c r="AB296" s="43" t="s">
        <v>37</v>
      </c>
      <c r="AC296" s="43" t="s">
        <v>38</v>
      </c>
      <c r="AD296" s="59" t="s">
        <v>242</v>
      </c>
      <c r="AE296" s="60"/>
      <c r="AF296" s="60"/>
      <c r="AG296" s="60"/>
      <c r="AH296" s="60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</row>
    <row r="297" spans="1:49" ht="31.5" x14ac:dyDescent="0.25">
      <c r="A297" s="43" t="s">
        <v>237</v>
      </c>
      <c r="B297" s="45">
        <v>46068</v>
      </c>
      <c r="C297" s="45">
        <v>46068</v>
      </c>
      <c r="D297" s="46" t="s">
        <v>231</v>
      </c>
      <c r="E297" s="48">
        <v>0.54166666666666663</v>
      </c>
      <c r="F297" s="48">
        <v>0.58333333333333337</v>
      </c>
      <c r="G297" s="48">
        <v>4.1666666666666664E-2</v>
      </c>
      <c r="H297" s="43" t="s">
        <v>237</v>
      </c>
      <c r="I297" s="51"/>
      <c r="J297" s="43" t="s">
        <v>96</v>
      </c>
      <c r="K297" s="43"/>
      <c r="L297" s="53">
        <v>1</v>
      </c>
      <c r="M297" s="53">
        <v>1</v>
      </c>
      <c r="N297" s="43" t="s">
        <v>33</v>
      </c>
      <c r="O297" s="43"/>
      <c r="P297" s="55">
        <v>0</v>
      </c>
      <c r="Q297" s="53"/>
      <c r="R297" s="55">
        <v>0</v>
      </c>
      <c r="S297" s="43">
        <v>46054</v>
      </c>
      <c r="T297" s="55">
        <v>0</v>
      </c>
      <c r="U297" s="53">
        <v>2</v>
      </c>
      <c r="V297" s="55">
        <v>0</v>
      </c>
      <c r="W297" s="43" t="s">
        <v>34</v>
      </c>
      <c r="X297" s="43" t="s">
        <v>42</v>
      </c>
      <c r="Y297" s="43" t="s">
        <v>36</v>
      </c>
      <c r="Z297" s="43" t="s">
        <v>43</v>
      </c>
      <c r="AA297" s="43" t="s">
        <v>37</v>
      </c>
      <c r="AB297" s="43" t="s">
        <v>37</v>
      </c>
      <c r="AC297" s="43" t="s">
        <v>38</v>
      </c>
      <c r="AD297" s="59" t="s">
        <v>242</v>
      </c>
      <c r="AE297" s="60"/>
      <c r="AF297" s="60"/>
      <c r="AG297" s="60"/>
      <c r="AH297" s="60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</row>
    <row r="298" spans="1:49" ht="31.5" x14ac:dyDescent="0.2">
      <c r="A298" s="43" t="s">
        <v>111</v>
      </c>
      <c r="B298" s="45">
        <v>46062</v>
      </c>
      <c r="C298" s="45">
        <v>46062</v>
      </c>
      <c r="D298" s="46" t="s">
        <v>30</v>
      </c>
      <c r="E298" s="48">
        <v>0.6875</v>
      </c>
      <c r="F298" s="48">
        <v>0.70833333333333337</v>
      </c>
      <c r="G298" s="48">
        <v>2.0833333333333332E-2</v>
      </c>
      <c r="H298" s="43" t="s">
        <v>112</v>
      </c>
      <c r="I298" s="51"/>
      <c r="J298" s="43" t="s">
        <v>105</v>
      </c>
      <c r="K298" s="43"/>
      <c r="L298" s="53">
        <v>1</v>
      </c>
      <c r="M298" s="53">
        <v>1</v>
      </c>
      <c r="N298" s="43" t="s">
        <v>33</v>
      </c>
      <c r="O298" s="43"/>
      <c r="P298" s="55">
        <v>0</v>
      </c>
      <c r="Q298" s="53"/>
      <c r="R298" s="55">
        <v>0</v>
      </c>
      <c r="S298" s="43">
        <v>46054</v>
      </c>
      <c r="T298" s="55">
        <v>0</v>
      </c>
      <c r="U298" s="53">
        <v>2</v>
      </c>
      <c r="V298" s="55">
        <v>0</v>
      </c>
      <c r="W298" s="43" t="s">
        <v>34</v>
      </c>
      <c r="X298" s="43" t="s">
        <v>42</v>
      </c>
      <c r="Y298" s="43" t="s">
        <v>36</v>
      </c>
      <c r="Z298" s="43" t="s">
        <v>43</v>
      </c>
      <c r="AA298" s="43" t="s">
        <v>37</v>
      </c>
      <c r="AB298" s="43" t="s">
        <v>37</v>
      </c>
      <c r="AC298" s="43" t="s">
        <v>38</v>
      </c>
      <c r="AD298" s="59" t="s">
        <v>242</v>
      </c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</row>
    <row r="299" spans="1:49" ht="31.5" x14ac:dyDescent="0.2">
      <c r="A299" s="43" t="s">
        <v>111</v>
      </c>
      <c r="B299" s="45">
        <v>46062</v>
      </c>
      <c r="C299" s="45">
        <v>46062</v>
      </c>
      <c r="D299" s="46" t="s">
        <v>30</v>
      </c>
      <c r="E299" s="48">
        <v>0.75</v>
      </c>
      <c r="F299" s="48">
        <v>0.77083333333333337</v>
      </c>
      <c r="G299" s="48">
        <v>2.0833333333333332E-2</v>
      </c>
      <c r="H299" s="43" t="s">
        <v>114</v>
      </c>
      <c r="I299" s="51"/>
      <c r="J299" s="43" t="s">
        <v>105</v>
      </c>
      <c r="K299" s="43"/>
      <c r="L299" s="53">
        <v>1</v>
      </c>
      <c r="M299" s="53">
        <v>1</v>
      </c>
      <c r="N299" s="43" t="s">
        <v>33</v>
      </c>
      <c r="O299" s="43"/>
      <c r="P299" s="55">
        <v>0</v>
      </c>
      <c r="Q299" s="53"/>
      <c r="R299" s="55">
        <v>0</v>
      </c>
      <c r="S299" s="43">
        <v>46054</v>
      </c>
      <c r="T299" s="55">
        <v>0</v>
      </c>
      <c r="U299" s="53">
        <v>2</v>
      </c>
      <c r="V299" s="55">
        <v>0</v>
      </c>
      <c r="W299" s="43" t="s">
        <v>34</v>
      </c>
      <c r="X299" s="43" t="s">
        <v>42</v>
      </c>
      <c r="Y299" s="43" t="s">
        <v>36</v>
      </c>
      <c r="Z299" s="43" t="s">
        <v>43</v>
      </c>
      <c r="AA299" s="43" t="s">
        <v>37</v>
      </c>
      <c r="AB299" s="43" t="s">
        <v>37</v>
      </c>
      <c r="AC299" s="43" t="s">
        <v>38</v>
      </c>
      <c r="AD299" s="59" t="s">
        <v>242</v>
      </c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</row>
    <row r="300" spans="1:49" ht="31.5" x14ac:dyDescent="0.25">
      <c r="A300" s="43" t="s">
        <v>111</v>
      </c>
      <c r="B300" s="45">
        <v>46062</v>
      </c>
      <c r="C300" s="45">
        <v>46062</v>
      </c>
      <c r="D300" s="46" t="s">
        <v>30</v>
      </c>
      <c r="E300" s="48">
        <v>0.77083333333333337</v>
      </c>
      <c r="F300" s="48">
        <v>0.79166666666666663</v>
      </c>
      <c r="G300" s="48">
        <v>2.0833333333333332E-2</v>
      </c>
      <c r="H300" s="43" t="s">
        <v>112</v>
      </c>
      <c r="I300" s="51"/>
      <c r="J300" s="43" t="s">
        <v>105</v>
      </c>
      <c r="K300" s="43"/>
      <c r="L300" s="53">
        <v>1</v>
      </c>
      <c r="M300" s="53">
        <v>1</v>
      </c>
      <c r="N300" s="43" t="s">
        <v>33</v>
      </c>
      <c r="O300" s="43"/>
      <c r="P300" s="55">
        <v>0</v>
      </c>
      <c r="Q300" s="53"/>
      <c r="R300" s="55">
        <v>0</v>
      </c>
      <c r="S300" s="43">
        <v>46054</v>
      </c>
      <c r="T300" s="55">
        <v>0</v>
      </c>
      <c r="U300" s="53">
        <v>2</v>
      </c>
      <c r="V300" s="55">
        <v>0</v>
      </c>
      <c r="W300" s="43" t="s">
        <v>34</v>
      </c>
      <c r="X300" s="43" t="s">
        <v>42</v>
      </c>
      <c r="Y300" s="43" t="s">
        <v>36</v>
      </c>
      <c r="Z300" s="43" t="s">
        <v>43</v>
      </c>
      <c r="AA300" s="43" t="s">
        <v>37</v>
      </c>
      <c r="AB300" s="43" t="s">
        <v>37</v>
      </c>
      <c r="AC300" s="43" t="s">
        <v>38</v>
      </c>
      <c r="AD300" s="59" t="s">
        <v>242</v>
      </c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</row>
    <row r="301" spans="1:49" ht="31.5" x14ac:dyDescent="0.25">
      <c r="A301" s="43" t="s">
        <v>111</v>
      </c>
      <c r="B301" s="45">
        <v>46063</v>
      </c>
      <c r="C301" s="45">
        <v>46063</v>
      </c>
      <c r="D301" s="46" t="s">
        <v>132</v>
      </c>
      <c r="E301" s="48">
        <v>0.6875</v>
      </c>
      <c r="F301" s="48">
        <v>0.70833333333333337</v>
      </c>
      <c r="G301" s="48">
        <v>2.0833333333333332E-2</v>
      </c>
      <c r="H301" s="43" t="s">
        <v>112</v>
      </c>
      <c r="I301" s="51"/>
      <c r="J301" s="43" t="s">
        <v>105</v>
      </c>
      <c r="K301" s="43"/>
      <c r="L301" s="53">
        <v>1</v>
      </c>
      <c r="M301" s="53">
        <v>1</v>
      </c>
      <c r="N301" s="43" t="s">
        <v>33</v>
      </c>
      <c r="O301" s="43"/>
      <c r="P301" s="55">
        <v>0</v>
      </c>
      <c r="Q301" s="53"/>
      <c r="R301" s="55">
        <v>0</v>
      </c>
      <c r="S301" s="43">
        <v>46054</v>
      </c>
      <c r="T301" s="55">
        <v>0</v>
      </c>
      <c r="U301" s="53">
        <v>2</v>
      </c>
      <c r="V301" s="55">
        <v>0</v>
      </c>
      <c r="W301" s="43" t="s">
        <v>34</v>
      </c>
      <c r="X301" s="43" t="s">
        <v>42</v>
      </c>
      <c r="Y301" s="43" t="s">
        <v>36</v>
      </c>
      <c r="Z301" s="43" t="s">
        <v>43</v>
      </c>
      <c r="AA301" s="43" t="s">
        <v>37</v>
      </c>
      <c r="AB301" s="43" t="s">
        <v>37</v>
      </c>
      <c r="AC301" s="43" t="s">
        <v>38</v>
      </c>
      <c r="AD301" s="59" t="s">
        <v>242</v>
      </c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</row>
    <row r="302" spans="1:49" ht="31.5" x14ac:dyDescent="0.25">
      <c r="A302" s="43" t="s">
        <v>111</v>
      </c>
      <c r="B302" s="45">
        <v>46063</v>
      </c>
      <c r="C302" s="45">
        <v>46063</v>
      </c>
      <c r="D302" s="46" t="s">
        <v>132</v>
      </c>
      <c r="E302" s="48">
        <v>0.75</v>
      </c>
      <c r="F302" s="48">
        <v>0.77083333333333337</v>
      </c>
      <c r="G302" s="48">
        <v>2.0833333333333332E-2</v>
      </c>
      <c r="H302" s="43" t="s">
        <v>114</v>
      </c>
      <c r="I302" s="51"/>
      <c r="J302" s="43" t="s">
        <v>105</v>
      </c>
      <c r="K302" s="43"/>
      <c r="L302" s="53">
        <v>1</v>
      </c>
      <c r="M302" s="53">
        <v>1</v>
      </c>
      <c r="N302" s="43" t="s">
        <v>33</v>
      </c>
      <c r="O302" s="43"/>
      <c r="P302" s="55">
        <v>0</v>
      </c>
      <c r="Q302" s="53"/>
      <c r="R302" s="55">
        <v>0</v>
      </c>
      <c r="S302" s="43">
        <v>46054</v>
      </c>
      <c r="T302" s="55">
        <v>0</v>
      </c>
      <c r="U302" s="53">
        <v>2</v>
      </c>
      <c r="V302" s="55">
        <v>0</v>
      </c>
      <c r="W302" s="43" t="s">
        <v>34</v>
      </c>
      <c r="X302" s="43" t="s">
        <v>42</v>
      </c>
      <c r="Y302" s="43" t="s">
        <v>36</v>
      </c>
      <c r="Z302" s="43" t="s">
        <v>43</v>
      </c>
      <c r="AA302" s="43" t="s">
        <v>37</v>
      </c>
      <c r="AB302" s="43" t="s">
        <v>37</v>
      </c>
      <c r="AC302" s="43" t="s">
        <v>38</v>
      </c>
      <c r="AD302" s="59" t="s">
        <v>242</v>
      </c>
      <c r="AE302" s="60"/>
      <c r="AF302" s="60"/>
      <c r="AG302" s="60"/>
      <c r="AH302" s="60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</row>
    <row r="303" spans="1:49" ht="31.5" x14ac:dyDescent="0.2">
      <c r="A303" s="43" t="s">
        <v>111</v>
      </c>
      <c r="B303" s="45">
        <v>46063</v>
      </c>
      <c r="C303" s="45">
        <v>46063</v>
      </c>
      <c r="D303" s="46" t="s">
        <v>132</v>
      </c>
      <c r="E303" s="48">
        <v>0.77083333333333337</v>
      </c>
      <c r="F303" s="48">
        <v>0.79166666666666663</v>
      </c>
      <c r="G303" s="48">
        <v>2.0833333333333332E-2</v>
      </c>
      <c r="H303" s="43" t="s">
        <v>112</v>
      </c>
      <c r="I303" s="51"/>
      <c r="J303" s="43" t="s">
        <v>105</v>
      </c>
      <c r="K303" s="43"/>
      <c r="L303" s="53">
        <v>1</v>
      </c>
      <c r="M303" s="53">
        <v>1</v>
      </c>
      <c r="N303" s="43" t="s">
        <v>33</v>
      </c>
      <c r="O303" s="43"/>
      <c r="P303" s="55">
        <v>0</v>
      </c>
      <c r="Q303" s="53"/>
      <c r="R303" s="55">
        <v>0</v>
      </c>
      <c r="S303" s="43">
        <v>46054</v>
      </c>
      <c r="T303" s="55">
        <v>0</v>
      </c>
      <c r="U303" s="53">
        <v>2</v>
      </c>
      <c r="V303" s="55">
        <v>0</v>
      </c>
      <c r="W303" s="43" t="s">
        <v>34</v>
      </c>
      <c r="X303" s="43" t="s">
        <v>42</v>
      </c>
      <c r="Y303" s="43" t="s">
        <v>36</v>
      </c>
      <c r="Z303" s="43" t="s">
        <v>43</v>
      </c>
      <c r="AA303" s="43" t="s">
        <v>37</v>
      </c>
      <c r="AB303" s="43" t="s">
        <v>37</v>
      </c>
      <c r="AC303" s="43" t="s">
        <v>38</v>
      </c>
      <c r="AD303" s="59" t="s">
        <v>242</v>
      </c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</row>
    <row r="304" spans="1:49" ht="31.5" x14ac:dyDescent="0.2">
      <c r="A304" s="43" t="s">
        <v>111</v>
      </c>
      <c r="B304" s="45">
        <v>46064</v>
      </c>
      <c r="C304" s="45">
        <v>46064</v>
      </c>
      <c r="D304" s="46" t="s">
        <v>166</v>
      </c>
      <c r="E304" s="48">
        <v>0.6875</v>
      </c>
      <c r="F304" s="48">
        <v>0.70833333333333337</v>
      </c>
      <c r="G304" s="48">
        <v>2.0833333333333332E-2</v>
      </c>
      <c r="H304" s="43" t="s">
        <v>112</v>
      </c>
      <c r="I304" s="51"/>
      <c r="J304" s="43" t="s">
        <v>105</v>
      </c>
      <c r="K304" s="43"/>
      <c r="L304" s="53">
        <v>1</v>
      </c>
      <c r="M304" s="53">
        <v>1</v>
      </c>
      <c r="N304" s="43" t="s">
        <v>33</v>
      </c>
      <c r="O304" s="43"/>
      <c r="P304" s="55">
        <v>0</v>
      </c>
      <c r="Q304" s="53"/>
      <c r="R304" s="55">
        <v>0</v>
      </c>
      <c r="S304" s="43">
        <v>46054</v>
      </c>
      <c r="T304" s="55">
        <v>0</v>
      </c>
      <c r="U304" s="53">
        <v>2</v>
      </c>
      <c r="V304" s="55">
        <v>0</v>
      </c>
      <c r="W304" s="43" t="s">
        <v>34</v>
      </c>
      <c r="X304" s="43" t="s">
        <v>42</v>
      </c>
      <c r="Y304" s="43" t="s">
        <v>36</v>
      </c>
      <c r="Z304" s="43" t="s">
        <v>43</v>
      </c>
      <c r="AA304" s="43" t="s">
        <v>37</v>
      </c>
      <c r="AB304" s="43" t="s">
        <v>37</v>
      </c>
      <c r="AC304" s="43" t="s">
        <v>38</v>
      </c>
      <c r="AD304" s="59" t="s">
        <v>242</v>
      </c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</row>
    <row r="305" spans="1:49" ht="31.5" x14ac:dyDescent="0.25">
      <c r="A305" s="43" t="s">
        <v>111</v>
      </c>
      <c r="B305" s="45">
        <v>46064</v>
      </c>
      <c r="C305" s="45">
        <v>46064</v>
      </c>
      <c r="D305" s="46" t="s">
        <v>166</v>
      </c>
      <c r="E305" s="48">
        <v>0.75</v>
      </c>
      <c r="F305" s="48">
        <v>0.77083333333333337</v>
      </c>
      <c r="G305" s="48">
        <v>2.0833333333333332E-2</v>
      </c>
      <c r="H305" s="43" t="s">
        <v>114</v>
      </c>
      <c r="I305" s="51"/>
      <c r="J305" s="43" t="s">
        <v>105</v>
      </c>
      <c r="K305" s="43"/>
      <c r="L305" s="53">
        <v>1</v>
      </c>
      <c r="M305" s="53">
        <v>1</v>
      </c>
      <c r="N305" s="43" t="s">
        <v>33</v>
      </c>
      <c r="O305" s="43"/>
      <c r="P305" s="55">
        <v>0</v>
      </c>
      <c r="Q305" s="53"/>
      <c r="R305" s="55">
        <v>0</v>
      </c>
      <c r="S305" s="43">
        <v>46054</v>
      </c>
      <c r="T305" s="55">
        <v>0</v>
      </c>
      <c r="U305" s="53">
        <v>2</v>
      </c>
      <c r="V305" s="55">
        <v>0</v>
      </c>
      <c r="W305" s="43" t="s">
        <v>34</v>
      </c>
      <c r="X305" s="43" t="s">
        <v>42</v>
      </c>
      <c r="Y305" s="43" t="s">
        <v>36</v>
      </c>
      <c r="Z305" s="43" t="s">
        <v>43</v>
      </c>
      <c r="AA305" s="43" t="s">
        <v>37</v>
      </c>
      <c r="AB305" s="43" t="s">
        <v>37</v>
      </c>
      <c r="AC305" s="43" t="s">
        <v>38</v>
      </c>
      <c r="AD305" s="59" t="s">
        <v>242</v>
      </c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</row>
    <row r="306" spans="1:49" ht="31.5" x14ac:dyDescent="0.25">
      <c r="A306" s="43" t="s">
        <v>111</v>
      </c>
      <c r="B306" s="45">
        <v>46064</v>
      </c>
      <c r="C306" s="45">
        <v>46064</v>
      </c>
      <c r="D306" s="46" t="s">
        <v>166</v>
      </c>
      <c r="E306" s="48">
        <v>0.77083333333333337</v>
      </c>
      <c r="F306" s="48">
        <v>0.79166666666666663</v>
      </c>
      <c r="G306" s="48">
        <v>2.0833333333333332E-2</v>
      </c>
      <c r="H306" s="43" t="s">
        <v>112</v>
      </c>
      <c r="I306" s="51"/>
      <c r="J306" s="43" t="s">
        <v>105</v>
      </c>
      <c r="K306" s="43"/>
      <c r="L306" s="53">
        <v>1</v>
      </c>
      <c r="M306" s="53">
        <v>1</v>
      </c>
      <c r="N306" s="43" t="s">
        <v>33</v>
      </c>
      <c r="O306" s="43"/>
      <c r="P306" s="55">
        <v>0</v>
      </c>
      <c r="Q306" s="53"/>
      <c r="R306" s="55">
        <v>0</v>
      </c>
      <c r="S306" s="43">
        <v>46054</v>
      </c>
      <c r="T306" s="55">
        <v>0</v>
      </c>
      <c r="U306" s="53">
        <v>2</v>
      </c>
      <c r="V306" s="55">
        <v>0</v>
      </c>
      <c r="W306" s="43" t="s">
        <v>34</v>
      </c>
      <c r="X306" s="43" t="s">
        <v>42</v>
      </c>
      <c r="Y306" s="43" t="s">
        <v>36</v>
      </c>
      <c r="Z306" s="43" t="s">
        <v>43</v>
      </c>
      <c r="AA306" s="43" t="s">
        <v>37</v>
      </c>
      <c r="AB306" s="43" t="s">
        <v>37</v>
      </c>
      <c r="AC306" s="43" t="s">
        <v>38</v>
      </c>
      <c r="AD306" s="59" t="s">
        <v>242</v>
      </c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</row>
    <row r="307" spans="1:49" ht="31.5" x14ac:dyDescent="0.25">
      <c r="A307" s="43" t="s">
        <v>111</v>
      </c>
      <c r="B307" s="45">
        <v>46065</v>
      </c>
      <c r="C307" s="45">
        <v>46065</v>
      </c>
      <c r="D307" s="46" t="s">
        <v>179</v>
      </c>
      <c r="E307" s="48">
        <v>0.6875</v>
      </c>
      <c r="F307" s="48">
        <v>0.70833333333333337</v>
      </c>
      <c r="G307" s="48">
        <v>2.0833333333333332E-2</v>
      </c>
      <c r="H307" s="43" t="s">
        <v>112</v>
      </c>
      <c r="I307" s="51"/>
      <c r="J307" s="43" t="s">
        <v>105</v>
      </c>
      <c r="K307" s="43"/>
      <c r="L307" s="53">
        <v>1</v>
      </c>
      <c r="M307" s="53">
        <v>1</v>
      </c>
      <c r="N307" s="43" t="s">
        <v>33</v>
      </c>
      <c r="O307" s="43"/>
      <c r="P307" s="55">
        <v>0</v>
      </c>
      <c r="Q307" s="53"/>
      <c r="R307" s="55">
        <v>0</v>
      </c>
      <c r="S307" s="43">
        <v>46054</v>
      </c>
      <c r="T307" s="55">
        <v>0</v>
      </c>
      <c r="U307" s="53">
        <v>2</v>
      </c>
      <c r="V307" s="55">
        <v>0</v>
      </c>
      <c r="W307" s="43" t="s">
        <v>34</v>
      </c>
      <c r="X307" s="43" t="s">
        <v>42</v>
      </c>
      <c r="Y307" s="43" t="s">
        <v>36</v>
      </c>
      <c r="Z307" s="43" t="s">
        <v>43</v>
      </c>
      <c r="AA307" s="43" t="s">
        <v>37</v>
      </c>
      <c r="AB307" s="43" t="s">
        <v>37</v>
      </c>
      <c r="AC307" s="43" t="s">
        <v>38</v>
      </c>
      <c r="AD307" s="59" t="s">
        <v>242</v>
      </c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</row>
    <row r="308" spans="1:49" ht="31.5" x14ac:dyDescent="0.25">
      <c r="A308" s="43" t="s">
        <v>111</v>
      </c>
      <c r="B308" s="45">
        <v>46065</v>
      </c>
      <c r="C308" s="45">
        <v>46065</v>
      </c>
      <c r="D308" s="46" t="s">
        <v>179</v>
      </c>
      <c r="E308" s="48">
        <v>0.75</v>
      </c>
      <c r="F308" s="48">
        <v>0.77083333333333337</v>
      </c>
      <c r="G308" s="48">
        <v>2.0833333333333332E-2</v>
      </c>
      <c r="H308" s="43" t="s">
        <v>114</v>
      </c>
      <c r="I308" s="51"/>
      <c r="J308" s="43" t="s">
        <v>105</v>
      </c>
      <c r="K308" s="43"/>
      <c r="L308" s="53">
        <v>1</v>
      </c>
      <c r="M308" s="53">
        <v>1</v>
      </c>
      <c r="N308" s="43" t="s">
        <v>33</v>
      </c>
      <c r="O308" s="43"/>
      <c r="P308" s="55">
        <v>0</v>
      </c>
      <c r="Q308" s="53"/>
      <c r="R308" s="55">
        <v>0</v>
      </c>
      <c r="S308" s="43">
        <v>46054</v>
      </c>
      <c r="T308" s="55">
        <v>0</v>
      </c>
      <c r="U308" s="53">
        <v>2</v>
      </c>
      <c r="V308" s="55">
        <v>0</v>
      </c>
      <c r="W308" s="43" t="s">
        <v>34</v>
      </c>
      <c r="X308" s="43" t="s">
        <v>42</v>
      </c>
      <c r="Y308" s="43" t="s">
        <v>36</v>
      </c>
      <c r="Z308" s="43" t="s">
        <v>43</v>
      </c>
      <c r="AA308" s="43" t="s">
        <v>37</v>
      </c>
      <c r="AB308" s="43" t="s">
        <v>37</v>
      </c>
      <c r="AC308" s="43" t="s">
        <v>38</v>
      </c>
      <c r="AD308" s="59" t="s">
        <v>242</v>
      </c>
      <c r="AE308" s="60"/>
      <c r="AF308" s="60"/>
      <c r="AG308" s="60"/>
      <c r="AH308" s="60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</row>
    <row r="309" spans="1:49" ht="31.5" x14ac:dyDescent="0.25">
      <c r="A309" s="43" t="s">
        <v>111</v>
      </c>
      <c r="B309" s="45">
        <v>46065</v>
      </c>
      <c r="C309" s="45">
        <v>46065</v>
      </c>
      <c r="D309" s="46" t="s">
        <v>179</v>
      </c>
      <c r="E309" s="48">
        <v>0.77083333333333337</v>
      </c>
      <c r="F309" s="48">
        <v>0.79166666666666663</v>
      </c>
      <c r="G309" s="48">
        <v>2.0833333333333332E-2</v>
      </c>
      <c r="H309" s="43" t="s">
        <v>112</v>
      </c>
      <c r="I309" s="51"/>
      <c r="J309" s="43" t="s">
        <v>105</v>
      </c>
      <c r="K309" s="43"/>
      <c r="L309" s="53">
        <v>1</v>
      </c>
      <c r="M309" s="53">
        <v>1</v>
      </c>
      <c r="N309" s="43" t="s">
        <v>33</v>
      </c>
      <c r="O309" s="43"/>
      <c r="P309" s="55">
        <v>0</v>
      </c>
      <c r="Q309" s="53"/>
      <c r="R309" s="55">
        <v>0</v>
      </c>
      <c r="S309" s="43">
        <v>46054</v>
      </c>
      <c r="T309" s="55">
        <v>0</v>
      </c>
      <c r="U309" s="53">
        <v>2</v>
      </c>
      <c r="V309" s="55">
        <v>0</v>
      </c>
      <c r="W309" s="43" t="s">
        <v>34</v>
      </c>
      <c r="X309" s="43" t="s">
        <v>42</v>
      </c>
      <c r="Y309" s="43" t="s">
        <v>36</v>
      </c>
      <c r="Z309" s="43" t="s">
        <v>43</v>
      </c>
      <c r="AA309" s="43" t="s">
        <v>37</v>
      </c>
      <c r="AB309" s="43" t="s">
        <v>37</v>
      </c>
      <c r="AC309" s="43" t="s">
        <v>38</v>
      </c>
      <c r="AD309" s="59" t="s">
        <v>242</v>
      </c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</row>
    <row r="310" spans="1:49" ht="31.5" x14ac:dyDescent="0.2">
      <c r="A310" s="43" t="s">
        <v>111</v>
      </c>
      <c r="B310" s="45">
        <v>46066</v>
      </c>
      <c r="C310" s="45">
        <v>46066</v>
      </c>
      <c r="D310" s="46" t="s">
        <v>195</v>
      </c>
      <c r="E310" s="48">
        <v>0.6875</v>
      </c>
      <c r="F310" s="48">
        <v>0.70833333333333337</v>
      </c>
      <c r="G310" s="48">
        <v>2.0833333333333332E-2</v>
      </c>
      <c r="H310" s="43" t="s">
        <v>112</v>
      </c>
      <c r="I310" s="51"/>
      <c r="J310" s="43" t="s">
        <v>105</v>
      </c>
      <c r="K310" s="43"/>
      <c r="L310" s="53">
        <v>1</v>
      </c>
      <c r="M310" s="53">
        <v>1</v>
      </c>
      <c r="N310" s="43" t="s">
        <v>33</v>
      </c>
      <c r="O310" s="43"/>
      <c r="P310" s="55">
        <v>0</v>
      </c>
      <c r="Q310" s="53"/>
      <c r="R310" s="55">
        <v>0</v>
      </c>
      <c r="S310" s="43">
        <v>46054</v>
      </c>
      <c r="T310" s="55">
        <v>0</v>
      </c>
      <c r="U310" s="53">
        <v>2</v>
      </c>
      <c r="V310" s="55">
        <v>0</v>
      </c>
      <c r="W310" s="43" t="s">
        <v>34</v>
      </c>
      <c r="X310" s="43" t="s">
        <v>42</v>
      </c>
      <c r="Y310" s="43" t="s">
        <v>36</v>
      </c>
      <c r="Z310" s="43" t="s">
        <v>43</v>
      </c>
      <c r="AA310" s="43" t="s">
        <v>37</v>
      </c>
      <c r="AB310" s="43" t="s">
        <v>37</v>
      </c>
      <c r="AC310" s="43" t="s">
        <v>38</v>
      </c>
      <c r="AD310" s="59" t="s">
        <v>242</v>
      </c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</row>
    <row r="311" spans="1:49" ht="31.5" x14ac:dyDescent="0.25">
      <c r="A311" s="43" t="s">
        <v>111</v>
      </c>
      <c r="B311" s="45">
        <v>46066</v>
      </c>
      <c r="C311" s="45">
        <v>46066</v>
      </c>
      <c r="D311" s="46" t="s">
        <v>195</v>
      </c>
      <c r="E311" s="48">
        <v>0.75</v>
      </c>
      <c r="F311" s="48">
        <v>0.77083333333333337</v>
      </c>
      <c r="G311" s="48">
        <v>2.0833333333333332E-2</v>
      </c>
      <c r="H311" s="43" t="s">
        <v>114</v>
      </c>
      <c r="I311" s="51"/>
      <c r="J311" s="43" t="s">
        <v>105</v>
      </c>
      <c r="K311" s="43"/>
      <c r="L311" s="53">
        <v>1</v>
      </c>
      <c r="M311" s="53">
        <v>1</v>
      </c>
      <c r="N311" s="43" t="s">
        <v>33</v>
      </c>
      <c r="O311" s="43"/>
      <c r="P311" s="55">
        <v>0</v>
      </c>
      <c r="Q311" s="53"/>
      <c r="R311" s="55">
        <v>0</v>
      </c>
      <c r="S311" s="43">
        <v>46054</v>
      </c>
      <c r="T311" s="55">
        <v>0</v>
      </c>
      <c r="U311" s="53">
        <v>2</v>
      </c>
      <c r="V311" s="55">
        <v>0</v>
      </c>
      <c r="W311" s="43" t="s">
        <v>34</v>
      </c>
      <c r="X311" s="43" t="s">
        <v>42</v>
      </c>
      <c r="Y311" s="43" t="s">
        <v>36</v>
      </c>
      <c r="Z311" s="43" t="s">
        <v>43</v>
      </c>
      <c r="AA311" s="43" t="s">
        <v>37</v>
      </c>
      <c r="AB311" s="43" t="s">
        <v>37</v>
      </c>
      <c r="AC311" s="43" t="s">
        <v>38</v>
      </c>
      <c r="AD311" s="59" t="s">
        <v>242</v>
      </c>
      <c r="AE311" s="60"/>
      <c r="AF311" s="60"/>
      <c r="AG311" s="60"/>
      <c r="AH311" s="60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</row>
    <row r="312" spans="1:49" ht="31.5" x14ac:dyDescent="0.25">
      <c r="A312" s="43" t="s">
        <v>111</v>
      </c>
      <c r="B312" s="45">
        <v>46066</v>
      </c>
      <c r="C312" s="45">
        <v>46066</v>
      </c>
      <c r="D312" s="46" t="s">
        <v>195</v>
      </c>
      <c r="E312" s="48">
        <v>0.77083333333333337</v>
      </c>
      <c r="F312" s="48">
        <v>0.79166666666666663</v>
      </c>
      <c r="G312" s="48">
        <v>2.0833333333333332E-2</v>
      </c>
      <c r="H312" s="43" t="s">
        <v>112</v>
      </c>
      <c r="I312" s="51"/>
      <c r="J312" s="43" t="s">
        <v>105</v>
      </c>
      <c r="K312" s="43"/>
      <c r="L312" s="53">
        <v>1</v>
      </c>
      <c r="M312" s="53">
        <v>1</v>
      </c>
      <c r="N312" s="43" t="s">
        <v>33</v>
      </c>
      <c r="O312" s="43"/>
      <c r="P312" s="55">
        <v>0</v>
      </c>
      <c r="Q312" s="53"/>
      <c r="R312" s="55">
        <v>0</v>
      </c>
      <c r="S312" s="43">
        <v>46054</v>
      </c>
      <c r="T312" s="55">
        <v>0</v>
      </c>
      <c r="U312" s="53">
        <v>2</v>
      </c>
      <c r="V312" s="55">
        <v>0</v>
      </c>
      <c r="W312" s="43" t="s">
        <v>34</v>
      </c>
      <c r="X312" s="43" t="s">
        <v>42</v>
      </c>
      <c r="Y312" s="43" t="s">
        <v>36</v>
      </c>
      <c r="Z312" s="43" t="s">
        <v>43</v>
      </c>
      <c r="AA312" s="43" t="s">
        <v>37</v>
      </c>
      <c r="AB312" s="43" t="s">
        <v>37</v>
      </c>
      <c r="AC312" s="43" t="s">
        <v>38</v>
      </c>
      <c r="AD312" s="59" t="s">
        <v>242</v>
      </c>
      <c r="AE312" s="60"/>
      <c r="AF312" s="60"/>
      <c r="AG312" s="60"/>
      <c r="AH312" s="60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</row>
    <row r="313" spans="1:49" ht="31.5" x14ac:dyDescent="0.25">
      <c r="A313" s="43" t="s">
        <v>111</v>
      </c>
      <c r="B313" s="45">
        <v>46067</v>
      </c>
      <c r="C313" s="45">
        <v>46067</v>
      </c>
      <c r="D313" s="46" t="s">
        <v>203</v>
      </c>
      <c r="E313" s="48">
        <v>0.70833333333333337</v>
      </c>
      <c r="F313" s="48">
        <v>0.75</v>
      </c>
      <c r="G313" s="48">
        <v>4.1666666666666664E-2</v>
      </c>
      <c r="H313" s="43" t="s">
        <v>155</v>
      </c>
      <c r="I313" s="51" t="s">
        <v>209</v>
      </c>
      <c r="J313" s="43" t="s">
        <v>105</v>
      </c>
      <c r="K313" s="43"/>
      <c r="L313" s="53">
        <v>1</v>
      </c>
      <c r="M313" s="53">
        <v>1</v>
      </c>
      <c r="N313" s="43" t="s">
        <v>33</v>
      </c>
      <c r="O313" s="43"/>
      <c r="P313" s="55">
        <v>0</v>
      </c>
      <c r="Q313" s="53"/>
      <c r="R313" s="55">
        <v>0</v>
      </c>
      <c r="S313" s="43">
        <v>46054</v>
      </c>
      <c r="T313" s="55">
        <v>0</v>
      </c>
      <c r="U313" s="53">
        <v>2</v>
      </c>
      <c r="V313" s="55">
        <v>0</v>
      </c>
      <c r="W313" s="43" t="s">
        <v>34</v>
      </c>
      <c r="X313" s="43" t="s">
        <v>42</v>
      </c>
      <c r="Y313" s="43" t="s">
        <v>36</v>
      </c>
      <c r="Z313" s="43" t="s">
        <v>43</v>
      </c>
      <c r="AA313" s="43" t="s">
        <v>37</v>
      </c>
      <c r="AB313" s="43" t="s">
        <v>37</v>
      </c>
      <c r="AC313" s="43" t="s">
        <v>38</v>
      </c>
      <c r="AD313" s="59" t="s">
        <v>242</v>
      </c>
      <c r="AE313" s="60"/>
      <c r="AF313" s="60"/>
      <c r="AG313" s="60"/>
      <c r="AH313" s="60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</row>
    <row r="314" spans="1:49" ht="31.5" x14ac:dyDescent="0.2">
      <c r="A314" s="42" t="s">
        <v>117</v>
      </c>
      <c r="B314" s="44">
        <v>46062</v>
      </c>
      <c r="C314" s="44">
        <v>46062</v>
      </c>
      <c r="D314" s="42" t="s">
        <v>30</v>
      </c>
      <c r="E314" s="47">
        <v>0.79166666666666663</v>
      </c>
      <c r="F314" s="47">
        <v>0.83333333333333337</v>
      </c>
      <c r="G314" s="47">
        <v>3.4722222222222218E-4</v>
      </c>
      <c r="H314" s="42" t="s">
        <v>118</v>
      </c>
      <c r="I314" s="50">
        <v>0.81168981481481484</v>
      </c>
      <c r="J314" s="42" t="s">
        <v>116</v>
      </c>
      <c r="K314" s="42" t="s">
        <v>115</v>
      </c>
      <c r="L314" s="52">
        <v>1</v>
      </c>
      <c r="M314" s="52">
        <v>71264</v>
      </c>
      <c r="N314" s="42" t="s">
        <v>53</v>
      </c>
      <c r="O314" s="52" t="s">
        <v>38</v>
      </c>
      <c r="P314" s="54">
        <v>180</v>
      </c>
      <c r="Q314" s="52"/>
      <c r="R314" s="54">
        <v>180</v>
      </c>
      <c r="S314" s="57">
        <v>46062</v>
      </c>
      <c r="T314" s="54">
        <v>27</v>
      </c>
      <c r="U314" s="58">
        <v>4</v>
      </c>
      <c r="V314" s="54">
        <v>153</v>
      </c>
      <c r="W314" s="42" t="s">
        <v>47</v>
      </c>
      <c r="X314" s="42" t="s">
        <v>48</v>
      </c>
      <c r="Y314" s="42" t="s">
        <v>78</v>
      </c>
      <c r="Z314" s="42" t="s">
        <v>9</v>
      </c>
      <c r="AA314" s="42" t="s">
        <v>49</v>
      </c>
      <c r="AB314" s="42" t="s">
        <v>119</v>
      </c>
      <c r="AC314" s="42" t="s">
        <v>38</v>
      </c>
      <c r="AD314" s="59" t="s">
        <v>242</v>
      </c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</row>
    <row r="315" spans="1:49" ht="31.5" x14ac:dyDescent="0.25">
      <c r="A315" s="42" t="s">
        <v>117</v>
      </c>
      <c r="B315" s="44">
        <v>46063</v>
      </c>
      <c r="C315" s="44">
        <v>46063</v>
      </c>
      <c r="D315" s="42" t="s">
        <v>132</v>
      </c>
      <c r="E315" s="47">
        <v>0.79166666666666663</v>
      </c>
      <c r="F315" s="47">
        <v>0.99930555555555556</v>
      </c>
      <c r="G315" s="47">
        <v>3.4722222222222218E-4</v>
      </c>
      <c r="H315" s="42" t="s">
        <v>156</v>
      </c>
      <c r="I315" s="50">
        <v>0.90844907407407405</v>
      </c>
      <c r="J315" s="42" t="s">
        <v>157</v>
      </c>
      <c r="K315" s="42" t="s">
        <v>125</v>
      </c>
      <c r="L315" s="52">
        <v>1</v>
      </c>
      <c r="M315" s="52">
        <v>71271</v>
      </c>
      <c r="N315" s="42" t="s">
        <v>46</v>
      </c>
      <c r="O315" s="52" t="s">
        <v>38</v>
      </c>
      <c r="P315" s="54">
        <v>0</v>
      </c>
      <c r="Q315" s="52"/>
      <c r="R315" s="54">
        <v>0</v>
      </c>
      <c r="S315" s="57">
        <v>46063</v>
      </c>
      <c r="T315" s="54">
        <v>0</v>
      </c>
      <c r="U315" s="58">
        <v>4</v>
      </c>
      <c r="V315" s="54">
        <v>0</v>
      </c>
      <c r="W315" s="42" t="s">
        <v>47</v>
      </c>
      <c r="X315" s="42" t="s">
        <v>48</v>
      </c>
      <c r="Y315" s="42" t="s">
        <v>78</v>
      </c>
      <c r="Z315" s="42" t="s">
        <v>9</v>
      </c>
      <c r="AA315" s="42" t="s">
        <v>49</v>
      </c>
      <c r="AB315" s="42" t="s">
        <v>119</v>
      </c>
      <c r="AC315" s="42" t="s">
        <v>38</v>
      </c>
      <c r="AD315" s="59" t="s">
        <v>242</v>
      </c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</row>
    <row r="316" spans="1:49" ht="31.5" x14ac:dyDescent="0.25">
      <c r="A316" s="42" t="s">
        <v>117</v>
      </c>
      <c r="B316" s="44">
        <v>46064</v>
      </c>
      <c r="C316" s="44">
        <v>46064</v>
      </c>
      <c r="D316" s="42" t="s">
        <v>166</v>
      </c>
      <c r="E316" s="47">
        <v>0.79166666666666663</v>
      </c>
      <c r="F316" s="47">
        <v>0.83333333333333337</v>
      </c>
      <c r="G316" s="47">
        <v>3.4722222222222218E-4</v>
      </c>
      <c r="H316" s="42" t="s">
        <v>118</v>
      </c>
      <c r="I316" s="50">
        <v>0.82069444444444439</v>
      </c>
      <c r="J316" s="42" t="s">
        <v>116</v>
      </c>
      <c r="K316" s="42" t="s">
        <v>131</v>
      </c>
      <c r="L316" s="52">
        <v>1</v>
      </c>
      <c r="M316" s="52">
        <v>71264</v>
      </c>
      <c r="N316" s="42" t="s">
        <v>53</v>
      </c>
      <c r="O316" s="52" t="s">
        <v>38</v>
      </c>
      <c r="P316" s="54">
        <v>180</v>
      </c>
      <c r="Q316" s="52"/>
      <c r="R316" s="54">
        <v>180</v>
      </c>
      <c r="S316" s="57">
        <v>46064</v>
      </c>
      <c r="T316" s="54">
        <v>27</v>
      </c>
      <c r="U316" s="58">
        <v>4</v>
      </c>
      <c r="V316" s="54">
        <v>153</v>
      </c>
      <c r="W316" s="42" t="s">
        <v>47</v>
      </c>
      <c r="X316" s="42" t="s">
        <v>48</v>
      </c>
      <c r="Y316" s="42" t="s">
        <v>78</v>
      </c>
      <c r="Z316" s="42" t="s">
        <v>9</v>
      </c>
      <c r="AA316" s="42" t="s">
        <v>49</v>
      </c>
      <c r="AB316" s="42" t="s">
        <v>119</v>
      </c>
      <c r="AC316" s="42" t="s">
        <v>38</v>
      </c>
      <c r="AD316" s="59" t="s">
        <v>242</v>
      </c>
      <c r="AE316" s="60"/>
      <c r="AF316" s="60"/>
      <c r="AG316" s="60"/>
      <c r="AH316" s="60"/>
      <c r="AI316" s="60"/>
      <c r="AJ316" s="60"/>
      <c r="AK316" s="60"/>
      <c r="AL316" s="60"/>
      <c r="AM316" s="60"/>
      <c r="AN316" s="60"/>
      <c r="AO316" s="60"/>
      <c r="AP316" s="60"/>
      <c r="AQ316" s="60"/>
      <c r="AR316" s="60"/>
      <c r="AS316" s="60"/>
      <c r="AT316" s="60"/>
      <c r="AU316" s="60"/>
      <c r="AV316" s="60"/>
      <c r="AW316" s="60"/>
    </row>
    <row r="317" spans="1:49" ht="31.5" x14ac:dyDescent="0.2">
      <c r="A317" s="42" t="s">
        <v>117</v>
      </c>
      <c r="B317" s="44">
        <v>46065</v>
      </c>
      <c r="C317" s="44">
        <v>46065</v>
      </c>
      <c r="D317" s="42" t="s">
        <v>179</v>
      </c>
      <c r="E317" s="47">
        <v>0.83333333333333337</v>
      </c>
      <c r="F317" s="47">
        <v>0.91666666666666663</v>
      </c>
      <c r="G317" s="47">
        <v>3.4722222222222218E-4</v>
      </c>
      <c r="H317" s="42" t="s">
        <v>156</v>
      </c>
      <c r="I317" s="50">
        <v>0.84440972222222221</v>
      </c>
      <c r="J317" s="42" t="s">
        <v>41</v>
      </c>
      <c r="K317" s="42" t="s">
        <v>165</v>
      </c>
      <c r="L317" s="52">
        <v>1</v>
      </c>
      <c r="M317" s="52">
        <v>71267</v>
      </c>
      <c r="N317" s="42" t="s">
        <v>53</v>
      </c>
      <c r="O317" s="52" t="s">
        <v>38</v>
      </c>
      <c r="P317" s="54">
        <v>180</v>
      </c>
      <c r="Q317" s="52"/>
      <c r="R317" s="54">
        <v>180</v>
      </c>
      <c r="S317" s="57">
        <v>46065</v>
      </c>
      <c r="T317" s="54">
        <v>27</v>
      </c>
      <c r="U317" s="58">
        <v>4</v>
      </c>
      <c r="V317" s="54">
        <v>153</v>
      </c>
      <c r="W317" s="42" t="s">
        <v>47</v>
      </c>
      <c r="X317" s="42" t="s">
        <v>48</v>
      </c>
      <c r="Y317" s="42" t="s">
        <v>78</v>
      </c>
      <c r="Z317" s="42" t="s">
        <v>9</v>
      </c>
      <c r="AA317" s="42" t="s">
        <v>49</v>
      </c>
      <c r="AB317" s="42" t="s">
        <v>119</v>
      </c>
      <c r="AC317" s="42" t="s">
        <v>38</v>
      </c>
      <c r="AD317" s="59" t="s">
        <v>242</v>
      </c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</row>
    <row r="318" spans="1:49" ht="31.5" x14ac:dyDescent="0.25">
      <c r="A318" s="42" t="s">
        <v>117</v>
      </c>
      <c r="B318" s="44">
        <v>46066</v>
      </c>
      <c r="C318" s="44">
        <v>46066</v>
      </c>
      <c r="D318" s="42" t="s">
        <v>195</v>
      </c>
      <c r="E318" s="47">
        <v>0.79166666666666663</v>
      </c>
      <c r="F318" s="47">
        <v>0.83333333333333337</v>
      </c>
      <c r="G318" s="47">
        <v>3.4722222222222218E-4</v>
      </c>
      <c r="H318" s="42" t="s">
        <v>118</v>
      </c>
      <c r="I318" s="50">
        <v>0.81903101851851845</v>
      </c>
      <c r="J318" s="42" t="s">
        <v>116</v>
      </c>
      <c r="K318" s="42" t="s">
        <v>201</v>
      </c>
      <c r="L318" s="52">
        <v>1</v>
      </c>
      <c r="M318" s="52">
        <v>71264</v>
      </c>
      <c r="N318" s="42" t="s">
        <v>53</v>
      </c>
      <c r="O318" s="52" t="s">
        <v>38</v>
      </c>
      <c r="P318" s="54">
        <v>180</v>
      </c>
      <c r="Q318" s="52"/>
      <c r="R318" s="54">
        <v>180</v>
      </c>
      <c r="S318" s="57">
        <v>46066</v>
      </c>
      <c r="T318" s="54">
        <v>27</v>
      </c>
      <c r="U318" s="58">
        <v>4</v>
      </c>
      <c r="V318" s="54">
        <v>153</v>
      </c>
      <c r="W318" s="42" t="s">
        <v>47</v>
      </c>
      <c r="X318" s="42" t="s">
        <v>48</v>
      </c>
      <c r="Y318" s="42" t="s">
        <v>78</v>
      </c>
      <c r="Z318" s="42" t="s">
        <v>9</v>
      </c>
      <c r="AA318" s="42" t="s">
        <v>49</v>
      </c>
      <c r="AB318" s="42" t="s">
        <v>119</v>
      </c>
      <c r="AC318" s="42" t="s">
        <v>38</v>
      </c>
      <c r="AD318" s="59" t="s">
        <v>242</v>
      </c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</row>
    <row r="319" spans="1:49" ht="31.5" x14ac:dyDescent="0.2">
      <c r="A319" s="43" t="s">
        <v>103</v>
      </c>
      <c r="B319" s="45">
        <v>46062</v>
      </c>
      <c r="C319" s="45">
        <v>46062</v>
      </c>
      <c r="D319" s="46" t="s">
        <v>30</v>
      </c>
      <c r="E319" s="48">
        <v>0.66666666666666663</v>
      </c>
      <c r="F319" s="48">
        <v>0.6875</v>
      </c>
      <c r="G319" s="48">
        <v>2.0833333333333332E-2</v>
      </c>
      <c r="H319" s="43" t="s">
        <v>104</v>
      </c>
      <c r="I319" s="51"/>
      <c r="J319" s="43" t="s">
        <v>105</v>
      </c>
      <c r="K319" s="43"/>
      <c r="L319" s="53">
        <v>1</v>
      </c>
      <c r="M319" s="53">
        <v>1</v>
      </c>
      <c r="N319" s="43" t="s">
        <v>33</v>
      </c>
      <c r="O319" s="43"/>
      <c r="P319" s="55">
        <v>0</v>
      </c>
      <c r="Q319" s="53"/>
      <c r="R319" s="55">
        <v>0</v>
      </c>
      <c r="S319" s="43">
        <v>46054</v>
      </c>
      <c r="T319" s="55">
        <v>0</v>
      </c>
      <c r="U319" s="53">
        <v>2</v>
      </c>
      <c r="V319" s="55">
        <v>0</v>
      </c>
      <c r="W319" s="43" t="s">
        <v>34</v>
      </c>
      <c r="X319" s="43" t="s">
        <v>42</v>
      </c>
      <c r="Y319" s="43" t="s">
        <v>36</v>
      </c>
      <c r="Z319" s="43" t="s">
        <v>43</v>
      </c>
      <c r="AA319" s="43" t="s">
        <v>37</v>
      </c>
      <c r="AB319" s="43" t="s">
        <v>37</v>
      </c>
      <c r="AC319" s="43" t="s">
        <v>38</v>
      </c>
      <c r="AD319" s="59" t="s">
        <v>242</v>
      </c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</row>
    <row r="320" spans="1:49" ht="31.5" x14ac:dyDescent="0.2">
      <c r="A320" s="43" t="s">
        <v>103</v>
      </c>
      <c r="B320" s="45">
        <v>46062</v>
      </c>
      <c r="C320" s="45">
        <v>46062</v>
      </c>
      <c r="D320" s="46" t="s">
        <v>30</v>
      </c>
      <c r="E320" s="48">
        <v>0.70833333333333337</v>
      </c>
      <c r="F320" s="48">
        <v>0.75</v>
      </c>
      <c r="G320" s="48">
        <v>4.1666666666666664E-2</v>
      </c>
      <c r="H320" s="43" t="s">
        <v>113</v>
      </c>
      <c r="I320" s="51"/>
      <c r="J320" s="43" t="s">
        <v>105</v>
      </c>
      <c r="K320" s="43"/>
      <c r="L320" s="53">
        <v>1</v>
      </c>
      <c r="M320" s="53">
        <v>1</v>
      </c>
      <c r="N320" s="43" t="s">
        <v>33</v>
      </c>
      <c r="O320" s="43"/>
      <c r="P320" s="55">
        <v>0</v>
      </c>
      <c r="Q320" s="53"/>
      <c r="R320" s="55">
        <v>0</v>
      </c>
      <c r="S320" s="43">
        <v>46054</v>
      </c>
      <c r="T320" s="55">
        <v>0</v>
      </c>
      <c r="U320" s="53">
        <v>2</v>
      </c>
      <c r="V320" s="55">
        <v>0</v>
      </c>
      <c r="W320" s="43" t="s">
        <v>34</v>
      </c>
      <c r="X320" s="43" t="s">
        <v>42</v>
      </c>
      <c r="Y320" s="43" t="s">
        <v>36</v>
      </c>
      <c r="Z320" s="43" t="s">
        <v>43</v>
      </c>
      <c r="AA320" s="43" t="s">
        <v>37</v>
      </c>
      <c r="AB320" s="43" t="s">
        <v>37</v>
      </c>
      <c r="AC320" s="43" t="s">
        <v>38</v>
      </c>
      <c r="AD320" s="59" t="s">
        <v>242</v>
      </c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</row>
    <row r="321" spans="1:49" ht="31.5" x14ac:dyDescent="0.25">
      <c r="A321" s="43" t="s">
        <v>103</v>
      </c>
      <c r="B321" s="45">
        <v>46063</v>
      </c>
      <c r="C321" s="45">
        <v>46063</v>
      </c>
      <c r="D321" s="46" t="s">
        <v>132</v>
      </c>
      <c r="E321" s="48">
        <v>0.66666666666666663</v>
      </c>
      <c r="F321" s="48">
        <v>0.6875</v>
      </c>
      <c r="G321" s="48">
        <v>2.0833333333333332E-2</v>
      </c>
      <c r="H321" s="43" t="s">
        <v>104</v>
      </c>
      <c r="I321" s="51"/>
      <c r="J321" s="43" t="s">
        <v>105</v>
      </c>
      <c r="K321" s="43"/>
      <c r="L321" s="53">
        <v>1</v>
      </c>
      <c r="M321" s="53">
        <v>1</v>
      </c>
      <c r="N321" s="43" t="s">
        <v>33</v>
      </c>
      <c r="O321" s="43"/>
      <c r="P321" s="55">
        <v>0</v>
      </c>
      <c r="Q321" s="53"/>
      <c r="R321" s="55">
        <v>0</v>
      </c>
      <c r="S321" s="43">
        <v>46054</v>
      </c>
      <c r="T321" s="55">
        <v>0</v>
      </c>
      <c r="U321" s="53">
        <v>2</v>
      </c>
      <c r="V321" s="55">
        <v>0</v>
      </c>
      <c r="W321" s="43" t="s">
        <v>34</v>
      </c>
      <c r="X321" s="43" t="s">
        <v>42</v>
      </c>
      <c r="Y321" s="43" t="s">
        <v>36</v>
      </c>
      <c r="Z321" s="43" t="s">
        <v>43</v>
      </c>
      <c r="AA321" s="43" t="s">
        <v>37</v>
      </c>
      <c r="AB321" s="43" t="s">
        <v>37</v>
      </c>
      <c r="AC321" s="43" t="s">
        <v>38</v>
      </c>
      <c r="AD321" s="59" t="s">
        <v>242</v>
      </c>
      <c r="AE321" s="60"/>
      <c r="AF321" s="60"/>
      <c r="AG321" s="60"/>
      <c r="AH321" s="60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</row>
    <row r="322" spans="1:49" ht="31.5" x14ac:dyDescent="0.2">
      <c r="A322" s="43" t="s">
        <v>103</v>
      </c>
      <c r="B322" s="45">
        <v>46063</v>
      </c>
      <c r="C322" s="45">
        <v>46063</v>
      </c>
      <c r="D322" s="46" t="s">
        <v>132</v>
      </c>
      <c r="E322" s="48">
        <v>0.70833333333333337</v>
      </c>
      <c r="F322" s="48">
        <v>0.75</v>
      </c>
      <c r="G322" s="48">
        <v>4.1666666666666664E-2</v>
      </c>
      <c r="H322" s="43" t="s">
        <v>155</v>
      </c>
      <c r="I322" s="51"/>
      <c r="J322" s="43" t="s">
        <v>105</v>
      </c>
      <c r="K322" s="43"/>
      <c r="L322" s="53">
        <v>1</v>
      </c>
      <c r="M322" s="53">
        <v>1</v>
      </c>
      <c r="N322" s="43" t="s">
        <v>33</v>
      </c>
      <c r="O322" s="43"/>
      <c r="P322" s="55">
        <v>0</v>
      </c>
      <c r="Q322" s="53"/>
      <c r="R322" s="55">
        <v>0</v>
      </c>
      <c r="S322" s="43">
        <v>46054</v>
      </c>
      <c r="T322" s="55">
        <v>0</v>
      </c>
      <c r="U322" s="53">
        <v>2</v>
      </c>
      <c r="V322" s="55">
        <v>0</v>
      </c>
      <c r="W322" s="43" t="s">
        <v>34</v>
      </c>
      <c r="X322" s="43" t="s">
        <v>42</v>
      </c>
      <c r="Y322" s="43" t="s">
        <v>36</v>
      </c>
      <c r="Z322" s="43" t="s">
        <v>43</v>
      </c>
      <c r="AA322" s="43" t="s">
        <v>37</v>
      </c>
      <c r="AB322" s="43" t="s">
        <v>37</v>
      </c>
      <c r="AC322" s="43" t="s">
        <v>38</v>
      </c>
      <c r="AD322" s="59" t="s">
        <v>242</v>
      </c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</row>
    <row r="323" spans="1:49" ht="31.5" x14ac:dyDescent="0.25">
      <c r="A323" s="43" t="s">
        <v>103</v>
      </c>
      <c r="B323" s="45">
        <v>46064</v>
      </c>
      <c r="C323" s="45">
        <v>46064</v>
      </c>
      <c r="D323" s="46" t="s">
        <v>166</v>
      </c>
      <c r="E323" s="48">
        <v>0.66666666666666663</v>
      </c>
      <c r="F323" s="48">
        <v>0.6875</v>
      </c>
      <c r="G323" s="48">
        <v>2.0833333333333332E-2</v>
      </c>
      <c r="H323" s="43" t="s">
        <v>104</v>
      </c>
      <c r="I323" s="51"/>
      <c r="J323" s="43" t="s">
        <v>105</v>
      </c>
      <c r="K323" s="43"/>
      <c r="L323" s="53">
        <v>1</v>
      </c>
      <c r="M323" s="53">
        <v>1</v>
      </c>
      <c r="N323" s="43" t="s">
        <v>33</v>
      </c>
      <c r="O323" s="43"/>
      <c r="P323" s="55">
        <v>0</v>
      </c>
      <c r="Q323" s="53"/>
      <c r="R323" s="55">
        <v>0</v>
      </c>
      <c r="S323" s="43">
        <v>46054</v>
      </c>
      <c r="T323" s="55">
        <v>0</v>
      </c>
      <c r="U323" s="53">
        <v>2</v>
      </c>
      <c r="V323" s="55">
        <v>0</v>
      </c>
      <c r="W323" s="43" t="s">
        <v>34</v>
      </c>
      <c r="X323" s="43" t="s">
        <v>42</v>
      </c>
      <c r="Y323" s="43" t="s">
        <v>36</v>
      </c>
      <c r="Z323" s="43" t="s">
        <v>43</v>
      </c>
      <c r="AA323" s="43" t="s">
        <v>37</v>
      </c>
      <c r="AB323" s="43" t="s">
        <v>37</v>
      </c>
      <c r="AC323" s="43" t="s">
        <v>38</v>
      </c>
      <c r="AD323" s="59" t="s">
        <v>242</v>
      </c>
      <c r="AE323" s="60"/>
      <c r="AF323" s="60"/>
      <c r="AG323" s="60"/>
      <c r="AH323" s="60"/>
      <c r="AI323" s="60"/>
      <c r="AJ323" s="60"/>
      <c r="AK323" s="60"/>
      <c r="AL323" s="60"/>
      <c r="AM323" s="60"/>
      <c r="AN323" s="60"/>
      <c r="AO323" s="60"/>
      <c r="AP323" s="60"/>
      <c r="AQ323" s="60"/>
      <c r="AR323" s="60"/>
      <c r="AS323" s="60"/>
      <c r="AT323" s="60"/>
      <c r="AU323" s="60"/>
      <c r="AV323" s="60"/>
      <c r="AW323" s="60"/>
    </row>
    <row r="324" spans="1:49" ht="31.5" x14ac:dyDescent="0.2">
      <c r="A324" s="43" t="s">
        <v>103</v>
      </c>
      <c r="B324" s="45">
        <v>46064</v>
      </c>
      <c r="C324" s="45">
        <v>46064</v>
      </c>
      <c r="D324" s="46" t="s">
        <v>166</v>
      </c>
      <c r="E324" s="48">
        <v>0.70833333333333337</v>
      </c>
      <c r="F324" s="48">
        <v>0.75</v>
      </c>
      <c r="G324" s="48">
        <v>4.1666666666666664E-2</v>
      </c>
      <c r="H324" s="43" t="s">
        <v>176</v>
      </c>
      <c r="I324" s="51"/>
      <c r="J324" s="43" t="s">
        <v>105</v>
      </c>
      <c r="K324" s="43"/>
      <c r="L324" s="53">
        <v>1</v>
      </c>
      <c r="M324" s="53">
        <v>1</v>
      </c>
      <c r="N324" s="43" t="s">
        <v>33</v>
      </c>
      <c r="O324" s="43"/>
      <c r="P324" s="55">
        <v>0</v>
      </c>
      <c r="Q324" s="53"/>
      <c r="R324" s="55">
        <v>0</v>
      </c>
      <c r="S324" s="43">
        <v>46054</v>
      </c>
      <c r="T324" s="55">
        <v>0</v>
      </c>
      <c r="U324" s="53">
        <v>2</v>
      </c>
      <c r="V324" s="55">
        <v>0</v>
      </c>
      <c r="W324" s="43" t="s">
        <v>34</v>
      </c>
      <c r="X324" s="43" t="s">
        <v>42</v>
      </c>
      <c r="Y324" s="43" t="s">
        <v>36</v>
      </c>
      <c r="Z324" s="43" t="s">
        <v>43</v>
      </c>
      <c r="AA324" s="43" t="s">
        <v>37</v>
      </c>
      <c r="AB324" s="43" t="s">
        <v>37</v>
      </c>
      <c r="AC324" s="43" t="s">
        <v>38</v>
      </c>
      <c r="AD324" s="59" t="s">
        <v>242</v>
      </c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</row>
    <row r="325" spans="1:49" ht="31.5" x14ac:dyDescent="0.25">
      <c r="A325" s="43" t="s">
        <v>103</v>
      </c>
      <c r="B325" s="45">
        <v>46065</v>
      </c>
      <c r="C325" s="45">
        <v>46065</v>
      </c>
      <c r="D325" s="46" t="s">
        <v>179</v>
      </c>
      <c r="E325" s="48">
        <v>0.66666666666666663</v>
      </c>
      <c r="F325" s="48">
        <v>0.6875</v>
      </c>
      <c r="G325" s="48">
        <v>2.0833333333333332E-2</v>
      </c>
      <c r="H325" s="43" t="s">
        <v>104</v>
      </c>
      <c r="I325" s="51"/>
      <c r="J325" s="43" t="s">
        <v>105</v>
      </c>
      <c r="K325" s="43"/>
      <c r="L325" s="53">
        <v>1</v>
      </c>
      <c r="M325" s="53">
        <v>1</v>
      </c>
      <c r="N325" s="43" t="s">
        <v>33</v>
      </c>
      <c r="O325" s="43"/>
      <c r="P325" s="55">
        <v>0</v>
      </c>
      <c r="Q325" s="53"/>
      <c r="R325" s="55">
        <v>0</v>
      </c>
      <c r="S325" s="43">
        <v>46054</v>
      </c>
      <c r="T325" s="55">
        <v>0</v>
      </c>
      <c r="U325" s="53">
        <v>2</v>
      </c>
      <c r="V325" s="55">
        <v>0</v>
      </c>
      <c r="W325" s="43" t="s">
        <v>34</v>
      </c>
      <c r="X325" s="43" t="s">
        <v>42</v>
      </c>
      <c r="Y325" s="43" t="s">
        <v>36</v>
      </c>
      <c r="Z325" s="43" t="s">
        <v>43</v>
      </c>
      <c r="AA325" s="43" t="s">
        <v>37</v>
      </c>
      <c r="AB325" s="43" t="s">
        <v>37</v>
      </c>
      <c r="AC325" s="43" t="s">
        <v>38</v>
      </c>
      <c r="AD325" s="59" t="s">
        <v>242</v>
      </c>
      <c r="AE325" s="60"/>
      <c r="AF325" s="60"/>
      <c r="AG325" s="60"/>
      <c r="AH325" s="60"/>
      <c r="AI325" s="60"/>
      <c r="AJ325" s="60"/>
      <c r="AK325" s="60"/>
      <c r="AL325" s="60"/>
      <c r="AM325" s="60"/>
      <c r="AN325" s="60"/>
      <c r="AO325" s="60"/>
      <c r="AP325" s="60"/>
      <c r="AQ325" s="60"/>
      <c r="AR325" s="60"/>
      <c r="AS325" s="60"/>
      <c r="AT325" s="60"/>
      <c r="AU325" s="60"/>
      <c r="AV325" s="60"/>
      <c r="AW325" s="60"/>
    </row>
    <row r="326" spans="1:49" ht="31.5" x14ac:dyDescent="0.25">
      <c r="A326" s="43" t="s">
        <v>103</v>
      </c>
      <c r="B326" s="45">
        <v>46065</v>
      </c>
      <c r="C326" s="45">
        <v>46065</v>
      </c>
      <c r="D326" s="46" t="s">
        <v>179</v>
      </c>
      <c r="E326" s="48">
        <v>0.70833333333333337</v>
      </c>
      <c r="F326" s="48">
        <v>0.75</v>
      </c>
      <c r="G326" s="48">
        <v>4.1666666666666664E-2</v>
      </c>
      <c r="H326" s="43" t="s">
        <v>185</v>
      </c>
      <c r="I326" s="51"/>
      <c r="J326" s="43" t="s">
        <v>105</v>
      </c>
      <c r="K326" s="43"/>
      <c r="L326" s="53">
        <v>1</v>
      </c>
      <c r="M326" s="53">
        <v>1</v>
      </c>
      <c r="N326" s="43" t="s">
        <v>33</v>
      </c>
      <c r="O326" s="43"/>
      <c r="P326" s="55">
        <v>0</v>
      </c>
      <c r="Q326" s="53"/>
      <c r="R326" s="55">
        <v>0</v>
      </c>
      <c r="S326" s="43">
        <v>46054</v>
      </c>
      <c r="T326" s="55">
        <v>0</v>
      </c>
      <c r="U326" s="53">
        <v>2</v>
      </c>
      <c r="V326" s="55">
        <v>0</v>
      </c>
      <c r="W326" s="43" t="s">
        <v>34</v>
      </c>
      <c r="X326" s="43" t="s">
        <v>42</v>
      </c>
      <c r="Y326" s="43" t="s">
        <v>36</v>
      </c>
      <c r="Z326" s="43" t="s">
        <v>43</v>
      </c>
      <c r="AA326" s="43" t="s">
        <v>37</v>
      </c>
      <c r="AB326" s="43" t="s">
        <v>37</v>
      </c>
      <c r="AC326" s="43" t="s">
        <v>38</v>
      </c>
      <c r="AD326" s="59" t="s">
        <v>242</v>
      </c>
      <c r="AE326" s="60"/>
      <c r="AF326" s="60"/>
      <c r="AG326" s="60"/>
      <c r="AH326" s="60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</row>
    <row r="327" spans="1:49" ht="31.5" x14ac:dyDescent="0.2">
      <c r="A327" s="43" t="s">
        <v>103</v>
      </c>
      <c r="B327" s="45">
        <v>46066</v>
      </c>
      <c r="C327" s="45">
        <v>46066</v>
      </c>
      <c r="D327" s="46" t="s">
        <v>195</v>
      </c>
      <c r="E327" s="48">
        <v>0.66666666666666663</v>
      </c>
      <c r="F327" s="48">
        <v>0.6875</v>
      </c>
      <c r="G327" s="48">
        <v>2.0833333333333332E-2</v>
      </c>
      <c r="H327" s="43" t="s">
        <v>104</v>
      </c>
      <c r="I327" s="51"/>
      <c r="J327" s="43" t="s">
        <v>105</v>
      </c>
      <c r="K327" s="43"/>
      <c r="L327" s="53">
        <v>1</v>
      </c>
      <c r="M327" s="53">
        <v>1</v>
      </c>
      <c r="N327" s="43" t="s">
        <v>33</v>
      </c>
      <c r="O327" s="43"/>
      <c r="P327" s="55">
        <v>0</v>
      </c>
      <c r="Q327" s="53"/>
      <c r="R327" s="55">
        <v>0</v>
      </c>
      <c r="S327" s="43">
        <v>46054</v>
      </c>
      <c r="T327" s="55">
        <v>0</v>
      </c>
      <c r="U327" s="53">
        <v>2</v>
      </c>
      <c r="V327" s="55">
        <v>0</v>
      </c>
      <c r="W327" s="43" t="s">
        <v>34</v>
      </c>
      <c r="X327" s="43" t="s">
        <v>42</v>
      </c>
      <c r="Y327" s="43" t="s">
        <v>36</v>
      </c>
      <c r="Z327" s="43" t="s">
        <v>43</v>
      </c>
      <c r="AA327" s="43" t="s">
        <v>37</v>
      </c>
      <c r="AB327" s="43" t="s">
        <v>37</v>
      </c>
      <c r="AC327" s="43" t="s">
        <v>38</v>
      </c>
      <c r="AD327" s="59" t="s">
        <v>242</v>
      </c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</row>
    <row r="328" spans="1:49" ht="31.5" x14ac:dyDescent="0.25">
      <c r="A328" s="43" t="s">
        <v>103</v>
      </c>
      <c r="B328" s="45">
        <v>46066</v>
      </c>
      <c r="C328" s="45">
        <v>46066</v>
      </c>
      <c r="D328" s="46" t="s">
        <v>195</v>
      </c>
      <c r="E328" s="48">
        <v>0.70833333333333337</v>
      </c>
      <c r="F328" s="48">
        <v>0.75</v>
      </c>
      <c r="G328" s="48">
        <v>4.1666666666666664E-2</v>
      </c>
      <c r="H328" s="43" t="s">
        <v>200</v>
      </c>
      <c r="I328" s="51"/>
      <c r="J328" s="43" t="s">
        <v>105</v>
      </c>
      <c r="K328" s="43"/>
      <c r="L328" s="53">
        <v>1</v>
      </c>
      <c r="M328" s="53">
        <v>1</v>
      </c>
      <c r="N328" s="43" t="s">
        <v>33</v>
      </c>
      <c r="O328" s="43"/>
      <c r="P328" s="55">
        <v>0</v>
      </c>
      <c r="Q328" s="53"/>
      <c r="R328" s="55">
        <v>0</v>
      </c>
      <c r="S328" s="43">
        <v>46054</v>
      </c>
      <c r="T328" s="55">
        <v>0</v>
      </c>
      <c r="U328" s="53">
        <v>2</v>
      </c>
      <c r="V328" s="55">
        <v>0</v>
      </c>
      <c r="W328" s="43" t="s">
        <v>34</v>
      </c>
      <c r="X328" s="43" t="s">
        <v>42</v>
      </c>
      <c r="Y328" s="43" t="s">
        <v>36</v>
      </c>
      <c r="Z328" s="43" t="s">
        <v>43</v>
      </c>
      <c r="AA328" s="43" t="s">
        <v>37</v>
      </c>
      <c r="AB328" s="43" t="s">
        <v>37</v>
      </c>
      <c r="AC328" s="43" t="s">
        <v>38</v>
      </c>
      <c r="AD328" s="59" t="s">
        <v>242</v>
      </c>
      <c r="AE328" s="60"/>
      <c r="AF328" s="60"/>
      <c r="AG328" s="60"/>
      <c r="AH328" s="60"/>
      <c r="AI328" s="60"/>
      <c r="AJ328" s="60"/>
      <c r="AK328" s="60"/>
      <c r="AL328" s="60"/>
      <c r="AM328" s="60"/>
      <c r="AN328" s="60"/>
      <c r="AO328" s="60"/>
      <c r="AP328" s="60"/>
      <c r="AQ328" s="60"/>
      <c r="AR328" s="60"/>
      <c r="AS328" s="60"/>
      <c r="AT328" s="60"/>
      <c r="AU328" s="60"/>
      <c r="AV328" s="60"/>
      <c r="AW328" s="60"/>
    </row>
    <row r="329" spans="1:49" ht="31.5" x14ac:dyDescent="0.2">
      <c r="A329" s="43" t="s">
        <v>103</v>
      </c>
      <c r="B329" s="45">
        <v>46067</v>
      </c>
      <c r="C329" s="45">
        <v>46067</v>
      </c>
      <c r="D329" s="46" t="s">
        <v>203</v>
      </c>
      <c r="E329" s="48">
        <v>0.66666666666666663</v>
      </c>
      <c r="F329" s="48">
        <v>0.70833333333333337</v>
      </c>
      <c r="G329" s="48">
        <v>4.1666666666666664E-2</v>
      </c>
      <c r="H329" s="43" t="s">
        <v>113</v>
      </c>
      <c r="I329" s="51" t="s">
        <v>209</v>
      </c>
      <c r="J329" s="43" t="s">
        <v>105</v>
      </c>
      <c r="K329" s="43"/>
      <c r="L329" s="53">
        <v>1</v>
      </c>
      <c r="M329" s="53">
        <v>1</v>
      </c>
      <c r="N329" s="43" t="s">
        <v>33</v>
      </c>
      <c r="O329" s="43"/>
      <c r="P329" s="55">
        <v>0</v>
      </c>
      <c r="Q329" s="53"/>
      <c r="R329" s="55">
        <v>0</v>
      </c>
      <c r="S329" s="43">
        <v>46054</v>
      </c>
      <c r="T329" s="55">
        <v>0</v>
      </c>
      <c r="U329" s="53">
        <v>2</v>
      </c>
      <c r="V329" s="55">
        <v>0</v>
      </c>
      <c r="W329" s="43" t="s">
        <v>34</v>
      </c>
      <c r="X329" s="43" t="s">
        <v>42</v>
      </c>
      <c r="Y329" s="43" t="s">
        <v>36</v>
      </c>
      <c r="Z329" s="43" t="s">
        <v>43</v>
      </c>
      <c r="AA329" s="43" t="s">
        <v>37</v>
      </c>
      <c r="AB329" s="43" t="s">
        <v>37</v>
      </c>
      <c r="AC329" s="43" t="s">
        <v>38</v>
      </c>
      <c r="AD329" s="59" t="s">
        <v>242</v>
      </c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</row>
    <row r="330" spans="1:49" ht="31.5" x14ac:dyDescent="0.2">
      <c r="A330" s="43" t="s">
        <v>103</v>
      </c>
      <c r="B330" s="45">
        <v>46068</v>
      </c>
      <c r="C330" s="45">
        <v>46068</v>
      </c>
      <c r="D330" s="46" t="s">
        <v>231</v>
      </c>
      <c r="E330" s="48">
        <v>0.66666666666666663</v>
      </c>
      <c r="F330" s="48">
        <v>0.70833333333333337</v>
      </c>
      <c r="G330" s="48">
        <v>4.1666666666666664E-2</v>
      </c>
      <c r="H330" s="43" t="s">
        <v>176</v>
      </c>
      <c r="I330" s="51" t="s">
        <v>209</v>
      </c>
      <c r="J330" s="43" t="s">
        <v>105</v>
      </c>
      <c r="K330" s="43"/>
      <c r="L330" s="53">
        <v>1</v>
      </c>
      <c r="M330" s="53">
        <v>1</v>
      </c>
      <c r="N330" s="43" t="s">
        <v>33</v>
      </c>
      <c r="O330" s="43"/>
      <c r="P330" s="55">
        <v>0</v>
      </c>
      <c r="Q330" s="53"/>
      <c r="R330" s="55">
        <v>0</v>
      </c>
      <c r="S330" s="43">
        <v>46054</v>
      </c>
      <c r="T330" s="55">
        <v>0</v>
      </c>
      <c r="U330" s="53">
        <v>2</v>
      </c>
      <c r="V330" s="55">
        <v>0</v>
      </c>
      <c r="W330" s="43" t="s">
        <v>34</v>
      </c>
      <c r="X330" s="43" t="s">
        <v>42</v>
      </c>
      <c r="Y330" s="43" t="s">
        <v>36</v>
      </c>
      <c r="Z330" s="43" t="s">
        <v>43</v>
      </c>
      <c r="AA330" s="43" t="s">
        <v>37</v>
      </c>
      <c r="AB330" s="43" t="s">
        <v>37</v>
      </c>
      <c r="AC330" s="43" t="s">
        <v>38</v>
      </c>
      <c r="AD330" s="59" t="s">
        <v>242</v>
      </c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</row>
    <row r="331" spans="1:49" ht="31.5" x14ac:dyDescent="0.2">
      <c r="A331" s="43" t="s">
        <v>103</v>
      </c>
      <c r="B331" s="45">
        <v>46068</v>
      </c>
      <c r="C331" s="45">
        <v>46068</v>
      </c>
      <c r="D331" s="46" t="s">
        <v>231</v>
      </c>
      <c r="E331" s="48">
        <v>0.70833333333333337</v>
      </c>
      <c r="F331" s="48">
        <v>0.75</v>
      </c>
      <c r="G331" s="48">
        <v>4.1666666666666664E-2</v>
      </c>
      <c r="H331" s="43" t="s">
        <v>185</v>
      </c>
      <c r="I331" s="51" t="s">
        <v>209</v>
      </c>
      <c r="J331" s="43" t="s">
        <v>32</v>
      </c>
      <c r="K331" s="43"/>
      <c r="L331" s="53">
        <v>1</v>
      </c>
      <c r="M331" s="53">
        <v>1</v>
      </c>
      <c r="N331" s="43" t="s">
        <v>33</v>
      </c>
      <c r="O331" s="43"/>
      <c r="P331" s="55">
        <v>0</v>
      </c>
      <c r="Q331" s="53"/>
      <c r="R331" s="55">
        <v>0</v>
      </c>
      <c r="S331" s="43">
        <v>46054</v>
      </c>
      <c r="T331" s="55">
        <v>0</v>
      </c>
      <c r="U331" s="53">
        <v>2</v>
      </c>
      <c r="V331" s="55">
        <v>0</v>
      </c>
      <c r="W331" s="43" t="s">
        <v>34</v>
      </c>
      <c r="X331" s="43" t="s">
        <v>42</v>
      </c>
      <c r="Y331" s="43" t="s">
        <v>36</v>
      </c>
      <c r="Z331" s="43" t="s">
        <v>43</v>
      </c>
      <c r="AA331" s="43" t="s">
        <v>37</v>
      </c>
      <c r="AB331" s="43" t="s">
        <v>37</v>
      </c>
      <c r="AC331" s="43" t="s">
        <v>38</v>
      </c>
      <c r="AD331" s="59" t="s">
        <v>242</v>
      </c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</row>
    <row r="332" spans="1:49" ht="31.5" x14ac:dyDescent="0.2">
      <c r="A332" s="43" t="s">
        <v>94</v>
      </c>
      <c r="B332" s="45">
        <v>46062</v>
      </c>
      <c r="C332" s="45">
        <v>46062</v>
      </c>
      <c r="D332" s="46" t="s">
        <v>30</v>
      </c>
      <c r="E332" s="48">
        <v>0.54166666666666663</v>
      </c>
      <c r="F332" s="48">
        <v>0.5625</v>
      </c>
      <c r="G332" s="48">
        <v>2.0833333333333332E-2</v>
      </c>
      <c r="H332" s="43" t="s">
        <v>95</v>
      </c>
      <c r="I332" s="51"/>
      <c r="J332" s="43" t="s">
        <v>96</v>
      </c>
      <c r="K332" s="43"/>
      <c r="L332" s="53">
        <v>1</v>
      </c>
      <c r="M332" s="53">
        <v>1</v>
      </c>
      <c r="N332" s="43" t="s">
        <v>33</v>
      </c>
      <c r="O332" s="43"/>
      <c r="P332" s="55">
        <v>0</v>
      </c>
      <c r="Q332" s="53"/>
      <c r="R332" s="55">
        <v>0</v>
      </c>
      <c r="S332" s="43">
        <v>46054</v>
      </c>
      <c r="T332" s="55">
        <v>0</v>
      </c>
      <c r="U332" s="53">
        <v>2</v>
      </c>
      <c r="V332" s="55">
        <v>0</v>
      </c>
      <c r="W332" s="43" t="s">
        <v>34</v>
      </c>
      <c r="X332" s="43" t="s">
        <v>42</v>
      </c>
      <c r="Y332" s="43" t="s">
        <v>36</v>
      </c>
      <c r="Z332" s="43" t="s">
        <v>43</v>
      </c>
      <c r="AA332" s="43" t="s">
        <v>37</v>
      </c>
      <c r="AB332" s="43" t="s">
        <v>37</v>
      </c>
      <c r="AC332" s="43" t="s">
        <v>38</v>
      </c>
      <c r="AD332" s="59" t="s">
        <v>242</v>
      </c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</row>
    <row r="333" spans="1:49" ht="31.5" x14ac:dyDescent="0.25">
      <c r="A333" s="43" t="s">
        <v>94</v>
      </c>
      <c r="B333" s="45">
        <v>46062</v>
      </c>
      <c r="C333" s="45">
        <v>46062</v>
      </c>
      <c r="D333" s="46" t="s">
        <v>30</v>
      </c>
      <c r="E333" s="48">
        <v>0.5625</v>
      </c>
      <c r="F333" s="48">
        <v>0.58333333333333337</v>
      </c>
      <c r="G333" s="48">
        <v>2.0833333333333332E-2</v>
      </c>
      <c r="H333" s="43" t="s">
        <v>97</v>
      </c>
      <c r="I333" s="51"/>
      <c r="J333" s="43" t="s">
        <v>96</v>
      </c>
      <c r="K333" s="43"/>
      <c r="L333" s="53">
        <v>1</v>
      </c>
      <c r="M333" s="53">
        <v>1</v>
      </c>
      <c r="N333" s="43" t="s">
        <v>33</v>
      </c>
      <c r="O333" s="43"/>
      <c r="P333" s="55">
        <v>0</v>
      </c>
      <c r="Q333" s="53"/>
      <c r="R333" s="55">
        <v>0</v>
      </c>
      <c r="S333" s="43">
        <v>46054</v>
      </c>
      <c r="T333" s="55">
        <v>0</v>
      </c>
      <c r="U333" s="53">
        <v>2</v>
      </c>
      <c r="V333" s="55">
        <v>0</v>
      </c>
      <c r="W333" s="43" t="s">
        <v>34</v>
      </c>
      <c r="X333" s="43" t="s">
        <v>42</v>
      </c>
      <c r="Y333" s="43" t="s">
        <v>36</v>
      </c>
      <c r="Z333" s="43" t="s">
        <v>43</v>
      </c>
      <c r="AA333" s="43" t="s">
        <v>37</v>
      </c>
      <c r="AB333" s="43" t="s">
        <v>37</v>
      </c>
      <c r="AC333" s="43" t="s">
        <v>38</v>
      </c>
      <c r="AD333" s="59" t="s">
        <v>242</v>
      </c>
      <c r="AE333" s="60"/>
      <c r="AF333" s="60"/>
      <c r="AG333" s="60"/>
      <c r="AH333" s="60"/>
      <c r="AI333" s="60"/>
      <c r="AJ333" s="60"/>
      <c r="AK333" s="60"/>
      <c r="AL333" s="60"/>
      <c r="AM333" s="60"/>
      <c r="AN333" s="60"/>
      <c r="AO333" s="60"/>
      <c r="AP333" s="60"/>
      <c r="AQ333" s="60"/>
      <c r="AR333" s="60"/>
      <c r="AS333" s="60"/>
      <c r="AT333" s="60"/>
      <c r="AU333" s="60"/>
      <c r="AV333" s="60"/>
      <c r="AW333" s="60"/>
    </row>
    <row r="334" spans="1:49" ht="31.5" x14ac:dyDescent="0.2">
      <c r="A334" s="43" t="s">
        <v>94</v>
      </c>
      <c r="B334" s="45">
        <v>46063</v>
      </c>
      <c r="C334" s="45">
        <v>46063</v>
      </c>
      <c r="D334" s="46" t="s">
        <v>132</v>
      </c>
      <c r="E334" s="48">
        <v>0.54166666666666663</v>
      </c>
      <c r="F334" s="48">
        <v>0.5625</v>
      </c>
      <c r="G334" s="48">
        <v>2.0833333333333332E-2</v>
      </c>
      <c r="H334" s="43" t="s">
        <v>95</v>
      </c>
      <c r="I334" s="51"/>
      <c r="J334" s="43" t="s">
        <v>96</v>
      </c>
      <c r="K334" s="43"/>
      <c r="L334" s="53">
        <v>1</v>
      </c>
      <c r="M334" s="53">
        <v>1</v>
      </c>
      <c r="N334" s="43" t="s">
        <v>33</v>
      </c>
      <c r="O334" s="43"/>
      <c r="P334" s="55">
        <v>0</v>
      </c>
      <c r="Q334" s="53"/>
      <c r="R334" s="55">
        <v>0</v>
      </c>
      <c r="S334" s="43">
        <v>46054</v>
      </c>
      <c r="T334" s="55">
        <v>0</v>
      </c>
      <c r="U334" s="53">
        <v>2</v>
      </c>
      <c r="V334" s="55">
        <v>0</v>
      </c>
      <c r="W334" s="43" t="s">
        <v>34</v>
      </c>
      <c r="X334" s="43" t="s">
        <v>42</v>
      </c>
      <c r="Y334" s="43" t="s">
        <v>36</v>
      </c>
      <c r="Z334" s="43" t="s">
        <v>43</v>
      </c>
      <c r="AA334" s="43" t="s">
        <v>37</v>
      </c>
      <c r="AB334" s="43" t="s">
        <v>37</v>
      </c>
      <c r="AC334" s="43" t="s">
        <v>38</v>
      </c>
      <c r="AD334" s="59" t="s">
        <v>242</v>
      </c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</row>
    <row r="335" spans="1:49" ht="31.5" x14ac:dyDescent="0.2">
      <c r="A335" s="43" t="s">
        <v>94</v>
      </c>
      <c r="B335" s="45">
        <v>46063</v>
      </c>
      <c r="C335" s="45">
        <v>46063</v>
      </c>
      <c r="D335" s="46" t="s">
        <v>132</v>
      </c>
      <c r="E335" s="48">
        <v>0.5625</v>
      </c>
      <c r="F335" s="48">
        <v>0.58333333333333337</v>
      </c>
      <c r="G335" s="48">
        <v>2.0833333333333332E-2</v>
      </c>
      <c r="H335" s="43" t="s">
        <v>97</v>
      </c>
      <c r="I335" s="51"/>
      <c r="J335" s="43" t="s">
        <v>96</v>
      </c>
      <c r="K335" s="43"/>
      <c r="L335" s="53">
        <v>1</v>
      </c>
      <c r="M335" s="53">
        <v>1</v>
      </c>
      <c r="N335" s="43" t="s">
        <v>33</v>
      </c>
      <c r="O335" s="43"/>
      <c r="P335" s="55">
        <v>0</v>
      </c>
      <c r="Q335" s="53"/>
      <c r="R335" s="55">
        <v>0</v>
      </c>
      <c r="S335" s="43">
        <v>46054</v>
      </c>
      <c r="T335" s="55">
        <v>0</v>
      </c>
      <c r="U335" s="53">
        <v>2</v>
      </c>
      <c r="V335" s="55">
        <v>0</v>
      </c>
      <c r="W335" s="43" t="s">
        <v>34</v>
      </c>
      <c r="X335" s="43" t="s">
        <v>42</v>
      </c>
      <c r="Y335" s="43" t="s">
        <v>36</v>
      </c>
      <c r="Z335" s="43" t="s">
        <v>43</v>
      </c>
      <c r="AA335" s="43" t="s">
        <v>37</v>
      </c>
      <c r="AB335" s="43" t="s">
        <v>37</v>
      </c>
      <c r="AC335" s="43" t="s">
        <v>38</v>
      </c>
      <c r="AD335" s="59" t="s">
        <v>242</v>
      </c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</row>
    <row r="336" spans="1:49" ht="31.5" x14ac:dyDescent="0.25">
      <c r="A336" s="43" t="s">
        <v>94</v>
      </c>
      <c r="B336" s="45">
        <v>46064</v>
      </c>
      <c r="C336" s="45">
        <v>46064</v>
      </c>
      <c r="D336" s="46" t="s">
        <v>166</v>
      </c>
      <c r="E336" s="48">
        <v>0.54166666666666663</v>
      </c>
      <c r="F336" s="48">
        <v>0.5625</v>
      </c>
      <c r="G336" s="48">
        <v>2.0833333333333332E-2</v>
      </c>
      <c r="H336" s="43" t="s">
        <v>95</v>
      </c>
      <c r="I336" s="51"/>
      <c r="J336" s="43" t="s">
        <v>96</v>
      </c>
      <c r="K336" s="43"/>
      <c r="L336" s="53">
        <v>1</v>
      </c>
      <c r="M336" s="53">
        <v>1</v>
      </c>
      <c r="N336" s="43" t="s">
        <v>33</v>
      </c>
      <c r="O336" s="43"/>
      <c r="P336" s="55">
        <v>0</v>
      </c>
      <c r="Q336" s="53"/>
      <c r="R336" s="55">
        <v>0</v>
      </c>
      <c r="S336" s="43">
        <v>46054</v>
      </c>
      <c r="T336" s="55">
        <v>0</v>
      </c>
      <c r="U336" s="53">
        <v>2</v>
      </c>
      <c r="V336" s="55">
        <v>0</v>
      </c>
      <c r="W336" s="43" t="s">
        <v>34</v>
      </c>
      <c r="X336" s="43" t="s">
        <v>42</v>
      </c>
      <c r="Y336" s="43" t="s">
        <v>36</v>
      </c>
      <c r="Z336" s="43" t="s">
        <v>43</v>
      </c>
      <c r="AA336" s="43" t="s">
        <v>37</v>
      </c>
      <c r="AB336" s="43" t="s">
        <v>37</v>
      </c>
      <c r="AC336" s="43" t="s">
        <v>38</v>
      </c>
      <c r="AD336" s="59" t="s">
        <v>242</v>
      </c>
      <c r="AE336" s="60"/>
      <c r="AF336" s="60"/>
      <c r="AG336" s="60"/>
      <c r="AH336" s="60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</row>
    <row r="337" spans="1:49" ht="31.5" x14ac:dyDescent="0.25">
      <c r="A337" s="43" t="s">
        <v>94</v>
      </c>
      <c r="B337" s="45">
        <v>46064</v>
      </c>
      <c r="C337" s="45">
        <v>46064</v>
      </c>
      <c r="D337" s="46" t="s">
        <v>166</v>
      </c>
      <c r="E337" s="48">
        <v>0.5625</v>
      </c>
      <c r="F337" s="48">
        <v>0.58333333333333337</v>
      </c>
      <c r="G337" s="48">
        <v>2.0833333333333332E-2</v>
      </c>
      <c r="H337" s="43" t="s">
        <v>97</v>
      </c>
      <c r="I337" s="51"/>
      <c r="J337" s="43" t="s">
        <v>96</v>
      </c>
      <c r="K337" s="43"/>
      <c r="L337" s="53">
        <v>1</v>
      </c>
      <c r="M337" s="53">
        <v>1</v>
      </c>
      <c r="N337" s="43" t="s">
        <v>33</v>
      </c>
      <c r="O337" s="43"/>
      <c r="P337" s="55">
        <v>0</v>
      </c>
      <c r="Q337" s="53"/>
      <c r="R337" s="55">
        <v>0</v>
      </c>
      <c r="S337" s="43">
        <v>46054</v>
      </c>
      <c r="T337" s="55">
        <v>0</v>
      </c>
      <c r="U337" s="53">
        <v>2</v>
      </c>
      <c r="V337" s="55">
        <v>0</v>
      </c>
      <c r="W337" s="43" t="s">
        <v>34</v>
      </c>
      <c r="X337" s="43" t="s">
        <v>42</v>
      </c>
      <c r="Y337" s="43" t="s">
        <v>36</v>
      </c>
      <c r="Z337" s="43" t="s">
        <v>43</v>
      </c>
      <c r="AA337" s="43" t="s">
        <v>37</v>
      </c>
      <c r="AB337" s="43" t="s">
        <v>37</v>
      </c>
      <c r="AC337" s="43" t="s">
        <v>38</v>
      </c>
      <c r="AD337" s="59" t="s">
        <v>242</v>
      </c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</row>
    <row r="338" spans="1:49" ht="31.5" x14ac:dyDescent="0.25">
      <c r="A338" s="43" t="s">
        <v>94</v>
      </c>
      <c r="B338" s="45">
        <v>46065</v>
      </c>
      <c r="C338" s="45">
        <v>46065</v>
      </c>
      <c r="D338" s="46" t="s">
        <v>179</v>
      </c>
      <c r="E338" s="48">
        <v>0.54166666666666663</v>
      </c>
      <c r="F338" s="48">
        <v>0.5625</v>
      </c>
      <c r="G338" s="48">
        <v>2.0833333333333332E-2</v>
      </c>
      <c r="H338" s="43" t="s">
        <v>95</v>
      </c>
      <c r="I338" s="51"/>
      <c r="J338" s="43" t="s">
        <v>96</v>
      </c>
      <c r="K338" s="43"/>
      <c r="L338" s="53">
        <v>1</v>
      </c>
      <c r="M338" s="53">
        <v>1</v>
      </c>
      <c r="N338" s="43" t="s">
        <v>33</v>
      </c>
      <c r="O338" s="43"/>
      <c r="P338" s="55">
        <v>0</v>
      </c>
      <c r="Q338" s="53"/>
      <c r="R338" s="55">
        <v>0</v>
      </c>
      <c r="S338" s="43">
        <v>46054</v>
      </c>
      <c r="T338" s="55">
        <v>0</v>
      </c>
      <c r="U338" s="53">
        <v>2</v>
      </c>
      <c r="V338" s="55">
        <v>0</v>
      </c>
      <c r="W338" s="43" t="s">
        <v>34</v>
      </c>
      <c r="X338" s="43" t="s">
        <v>42</v>
      </c>
      <c r="Y338" s="43" t="s">
        <v>36</v>
      </c>
      <c r="Z338" s="43" t="s">
        <v>43</v>
      </c>
      <c r="AA338" s="43" t="s">
        <v>37</v>
      </c>
      <c r="AB338" s="43" t="s">
        <v>37</v>
      </c>
      <c r="AC338" s="43" t="s">
        <v>38</v>
      </c>
      <c r="AD338" s="59" t="s">
        <v>242</v>
      </c>
      <c r="AE338" s="60"/>
      <c r="AF338" s="60"/>
      <c r="AG338" s="60"/>
      <c r="AH338" s="60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</row>
    <row r="339" spans="1:49" ht="31.5" x14ac:dyDescent="0.25">
      <c r="A339" s="43" t="s">
        <v>94</v>
      </c>
      <c r="B339" s="45">
        <v>46065</v>
      </c>
      <c r="C339" s="45">
        <v>46065</v>
      </c>
      <c r="D339" s="46" t="s">
        <v>179</v>
      </c>
      <c r="E339" s="48">
        <v>0.5625</v>
      </c>
      <c r="F339" s="48">
        <v>0.58333333333333337</v>
      </c>
      <c r="G339" s="48">
        <v>2.0833333333333332E-2</v>
      </c>
      <c r="H339" s="43" t="s">
        <v>97</v>
      </c>
      <c r="I339" s="51"/>
      <c r="J339" s="43" t="s">
        <v>96</v>
      </c>
      <c r="K339" s="43"/>
      <c r="L339" s="53">
        <v>1</v>
      </c>
      <c r="M339" s="53">
        <v>1</v>
      </c>
      <c r="N339" s="43" t="s">
        <v>33</v>
      </c>
      <c r="O339" s="43"/>
      <c r="P339" s="55">
        <v>0</v>
      </c>
      <c r="Q339" s="53"/>
      <c r="R339" s="55">
        <v>0</v>
      </c>
      <c r="S339" s="43">
        <v>46054</v>
      </c>
      <c r="T339" s="55">
        <v>0</v>
      </c>
      <c r="U339" s="53">
        <v>2</v>
      </c>
      <c r="V339" s="55">
        <v>0</v>
      </c>
      <c r="W339" s="43" t="s">
        <v>34</v>
      </c>
      <c r="X339" s="43" t="s">
        <v>42</v>
      </c>
      <c r="Y339" s="43" t="s">
        <v>36</v>
      </c>
      <c r="Z339" s="43" t="s">
        <v>43</v>
      </c>
      <c r="AA339" s="43" t="s">
        <v>37</v>
      </c>
      <c r="AB339" s="43" t="s">
        <v>37</v>
      </c>
      <c r="AC339" s="43" t="s">
        <v>38</v>
      </c>
      <c r="AD339" s="59" t="s">
        <v>242</v>
      </c>
      <c r="AE339" s="60"/>
      <c r="AF339" s="60"/>
      <c r="AG339" s="60"/>
      <c r="AH339" s="60"/>
      <c r="AI339" s="60"/>
      <c r="AJ339" s="60"/>
      <c r="AK339" s="60"/>
      <c r="AL339" s="60"/>
      <c r="AM339" s="60"/>
      <c r="AN339" s="60"/>
      <c r="AO339" s="60"/>
      <c r="AP339" s="60"/>
      <c r="AQ339" s="60"/>
      <c r="AR339" s="60"/>
      <c r="AS339" s="60"/>
      <c r="AT339" s="60"/>
      <c r="AU339" s="60"/>
      <c r="AV339" s="60"/>
      <c r="AW339" s="60"/>
    </row>
    <row r="340" spans="1:49" ht="31.5" x14ac:dyDescent="0.25">
      <c r="A340" s="43" t="s">
        <v>94</v>
      </c>
      <c r="B340" s="45">
        <v>46066</v>
      </c>
      <c r="C340" s="45">
        <v>46066</v>
      </c>
      <c r="D340" s="46" t="s">
        <v>195</v>
      </c>
      <c r="E340" s="48">
        <v>0.54166666666666663</v>
      </c>
      <c r="F340" s="48">
        <v>0.5625</v>
      </c>
      <c r="G340" s="48">
        <v>2.0833333333333332E-2</v>
      </c>
      <c r="H340" s="43" t="s">
        <v>95</v>
      </c>
      <c r="I340" s="51"/>
      <c r="J340" s="43" t="s">
        <v>96</v>
      </c>
      <c r="K340" s="43"/>
      <c r="L340" s="53">
        <v>1</v>
      </c>
      <c r="M340" s="53">
        <v>1</v>
      </c>
      <c r="N340" s="43" t="s">
        <v>33</v>
      </c>
      <c r="O340" s="43"/>
      <c r="P340" s="55">
        <v>0</v>
      </c>
      <c r="Q340" s="53"/>
      <c r="R340" s="55">
        <v>0</v>
      </c>
      <c r="S340" s="43">
        <v>46054</v>
      </c>
      <c r="T340" s="55">
        <v>0</v>
      </c>
      <c r="U340" s="53">
        <v>2</v>
      </c>
      <c r="V340" s="55">
        <v>0</v>
      </c>
      <c r="W340" s="43" t="s">
        <v>34</v>
      </c>
      <c r="X340" s="43" t="s">
        <v>42</v>
      </c>
      <c r="Y340" s="43" t="s">
        <v>36</v>
      </c>
      <c r="Z340" s="43" t="s">
        <v>43</v>
      </c>
      <c r="AA340" s="43" t="s">
        <v>37</v>
      </c>
      <c r="AB340" s="43" t="s">
        <v>37</v>
      </c>
      <c r="AC340" s="43" t="s">
        <v>38</v>
      </c>
      <c r="AD340" s="59" t="s">
        <v>242</v>
      </c>
      <c r="AE340" s="60"/>
      <c r="AF340" s="60"/>
      <c r="AG340" s="60"/>
      <c r="AH340" s="60"/>
      <c r="AI340" s="60"/>
      <c r="AJ340" s="60"/>
      <c r="AK340" s="60"/>
      <c r="AL340" s="60"/>
      <c r="AM340" s="60"/>
      <c r="AN340" s="60"/>
      <c r="AO340" s="60"/>
      <c r="AP340" s="60"/>
      <c r="AQ340" s="60"/>
      <c r="AR340" s="60"/>
      <c r="AS340" s="60"/>
      <c r="AT340" s="60"/>
      <c r="AU340" s="60"/>
      <c r="AV340" s="60"/>
      <c r="AW340" s="60"/>
    </row>
    <row r="341" spans="1:49" ht="31.5" x14ac:dyDescent="0.25">
      <c r="A341" s="43" t="s">
        <v>94</v>
      </c>
      <c r="B341" s="45">
        <v>46066</v>
      </c>
      <c r="C341" s="45">
        <v>46066</v>
      </c>
      <c r="D341" s="46" t="s">
        <v>195</v>
      </c>
      <c r="E341" s="48">
        <v>0.5625</v>
      </c>
      <c r="F341" s="48">
        <v>0.58333333333333337</v>
      </c>
      <c r="G341" s="48">
        <v>2.0833333333333332E-2</v>
      </c>
      <c r="H341" s="43" t="s">
        <v>97</v>
      </c>
      <c r="I341" s="51"/>
      <c r="J341" s="43" t="s">
        <v>96</v>
      </c>
      <c r="K341" s="43"/>
      <c r="L341" s="53">
        <v>1</v>
      </c>
      <c r="M341" s="53">
        <v>1</v>
      </c>
      <c r="N341" s="43" t="s">
        <v>33</v>
      </c>
      <c r="O341" s="43"/>
      <c r="P341" s="55">
        <v>0</v>
      </c>
      <c r="Q341" s="53"/>
      <c r="R341" s="55">
        <v>0</v>
      </c>
      <c r="S341" s="43">
        <v>46054</v>
      </c>
      <c r="T341" s="55">
        <v>0</v>
      </c>
      <c r="U341" s="53">
        <v>2</v>
      </c>
      <c r="V341" s="55">
        <v>0</v>
      </c>
      <c r="W341" s="43" t="s">
        <v>34</v>
      </c>
      <c r="X341" s="43" t="s">
        <v>42</v>
      </c>
      <c r="Y341" s="43" t="s">
        <v>36</v>
      </c>
      <c r="Z341" s="43" t="s">
        <v>43</v>
      </c>
      <c r="AA341" s="43" t="s">
        <v>37</v>
      </c>
      <c r="AB341" s="43" t="s">
        <v>37</v>
      </c>
      <c r="AC341" s="43" t="s">
        <v>38</v>
      </c>
      <c r="AD341" s="59" t="s">
        <v>242</v>
      </c>
      <c r="AE341" s="60"/>
      <c r="AF341" s="60"/>
      <c r="AG341" s="60"/>
      <c r="AH341" s="60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</row>
    <row r="342" spans="1:49" ht="31.5" x14ac:dyDescent="0.2">
      <c r="A342" s="43" t="s">
        <v>71</v>
      </c>
      <c r="B342" s="45">
        <v>46062</v>
      </c>
      <c r="C342" s="45">
        <v>46062</v>
      </c>
      <c r="D342" s="46" t="s">
        <v>30</v>
      </c>
      <c r="E342" s="48">
        <v>0.45833333333333331</v>
      </c>
      <c r="F342" s="48">
        <v>0.47916666666666669</v>
      </c>
      <c r="G342" s="48">
        <v>2.0833333333333332E-2</v>
      </c>
      <c r="H342" s="43" t="s">
        <v>72</v>
      </c>
      <c r="I342" s="51" t="s">
        <v>73</v>
      </c>
      <c r="J342" s="43" t="s">
        <v>66</v>
      </c>
      <c r="K342" s="43"/>
      <c r="L342" s="53">
        <v>1</v>
      </c>
      <c r="M342" s="53">
        <v>1</v>
      </c>
      <c r="N342" s="43" t="s">
        <v>33</v>
      </c>
      <c r="O342" s="43"/>
      <c r="P342" s="55">
        <v>0</v>
      </c>
      <c r="Q342" s="53"/>
      <c r="R342" s="55">
        <v>0</v>
      </c>
      <c r="S342" s="43">
        <v>46054</v>
      </c>
      <c r="T342" s="55">
        <v>0</v>
      </c>
      <c r="U342" s="53">
        <v>2</v>
      </c>
      <c r="V342" s="55">
        <v>0</v>
      </c>
      <c r="W342" s="43" t="s">
        <v>34</v>
      </c>
      <c r="X342" s="43" t="s">
        <v>42</v>
      </c>
      <c r="Y342" s="43" t="s">
        <v>36</v>
      </c>
      <c r="Z342" s="43" t="s">
        <v>43</v>
      </c>
      <c r="AA342" s="43" t="s">
        <v>37</v>
      </c>
      <c r="AB342" s="43" t="s">
        <v>37</v>
      </c>
      <c r="AC342" s="43" t="s">
        <v>38</v>
      </c>
      <c r="AD342" s="59" t="s">
        <v>242</v>
      </c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</row>
    <row r="343" spans="1:49" ht="31.5" x14ac:dyDescent="0.2">
      <c r="A343" s="43" t="s">
        <v>71</v>
      </c>
      <c r="B343" s="45">
        <v>46062</v>
      </c>
      <c r="C343" s="45">
        <v>46062</v>
      </c>
      <c r="D343" s="46" t="s">
        <v>30</v>
      </c>
      <c r="E343" s="48">
        <v>0.47916666666666669</v>
      </c>
      <c r="F343" s="48">
        <v>0.5</v>
      </c>
      <c r="G343" s="48">
        <v>2.0833333333333332E-2</v>
      </c>
      <c r="H343" s="43" t="s">
        <v>85</v>
      </c>
      <c r="I343" s="51"/>
      <c r="J343" s="43" t="s">
        <v>76</v>
      </c>
      <c r="K343" s="43"/>
      <c r="L343" s="53">
        <v>1</v>
      </c>
      <c r="M343" s="53">
        <v>1</v>
      </c>
      <c r="N343" s="43" t="s">
        <v>33</v>
      </c>
      <c r="O343" s="43"/>
      <c r="P343" s="55">
        <v>0</v>
      </c>
      <c r="Q343" s="53"/>
      <c r="R343" s="55">
        <v>0</v>
      </c>
      <c r="S343" s="43">
        <v>46054</v>
      </c>
      <c r="T343" s="55">
        <v>0</v>
      </c>
      <c r="U343" s="53">
        <v>2</v>
      </c>
      <c r="V343" s="55">
        <v>0</v>
      </c>
      <c r="W343" s="43" t="s">
        <v>34</v>
      </c>
      <c r="X343" s="43" t="s">
        <v>42</v>
      </c>
      <c r="Y343" s="43" t="s">
        <v>36</v>
      </c>
      <c r="Z343" s="43" t="s">
        <v>43</v>
      </c>
      <c r="AA343" s="43" t="s">
        <v>37</v>
      </c>
      <c r="AB343" s="43" t="s">
        <v>37</v>
      </c>
      <c r="AC343" s="43" t="s">
        <v>38</v>
      </c>
      <c r="AD343" s="59" t="s">
        <v>242</v>
      </c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</row>
    <row r="344" spans="1:49" ht="31.5" x14ac:dyDescent="0.2">
      <c r="A344" s="43" t="s">
        <v>71</v>
      </c>
      <c r="B344" s="45">
        <v>46063</v>
      </c>
      <c r="C344" s="45">
        <v>46063</v>
      </c>
      <c r="D344" s="46" t="s">
        <v>132</v>
      </c>
      <c r="E344" s="48">
        <v>0.45833333333333331</v>
      </c>
      <c r="F344" s="48">
        <v>0.47916666666666669</v>
      </c>
      <c r="G344" s="48">
        <v>2.0833333333333332E-2</v>
      </c>
      <c r="H344" s="43" t="s">
        <v>143</v>
      </c>
      <c r="I344" s="51"/>
      <c r="J344" s="43" t="s">
        <v>76</v>
      </c>
      <c r="K344" s="43"/>
      <c r="L344" s="53">
        <v>1</v>
      </c>
      <c r="M344" s="53">
        <v>1</v>
      </c>
      <c r="N344" s="43" t="s">
        <v>33</v>
      </c>
      <c r="O344" s="43"/>
      <c r="P344" s="55">
        <v>0</v>
      </c>
      <c r="Q344" s="53"/>
      <c r="R344" s="55">
        <v>0</v>
      </c>
      <c r="S344" s="43">
        <v>46054</v>
      </c>
      <c r="T344" s="55">
        <v>0</v>
      </c>
      <c r="U344" s="53">
        <v>2</v>
      </c>
      <c r="V344" s="55">
        <v>0</v>
      </c>
      <c r="W344" s="43" t="s">
        <v>34</v>
      </c>
      <c r="X344" s="43" t="s">
        <v>42</v>
      </c>
      <c r="Y344" s="43" t="s">
        <v>36</v>
      </c>
      <c r="Z344" s="43" t="s">
        <v>43</v>
      </c>
      <c r="AA344" s="43" t="s">
        <v>37</v>
      </c>
      <c r="AB344" s="43" t="s">
        <v>37</v>
      </c>
      <c r="AC344" s="43" t="s">
        <v>38</v>
      </c>
      <c r="AD344" s="59" t="s">
        <v>242</v>
      </c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</row>
    <row r="345" spans="1:49" ht="31.5" x14ac:dyDescent="0.2">
      <c r="A345" s="43" t="s">
        <v>71</v>
      </c>
      <c r="B345" s="45">
        <v>46063</v>
      </c>
      <c r="C345" s="45">
        <v>46063</v>
      </c>
      <c r="D345" s="46" t="s">
        <v>132</v>
      </c>
      <c r="E345" s="48">
        <v>0.47916666666666669</v>
      </c>
      <c r="F345" s="48">
        <v>0.5</v>
      </c>
      <c r="G345" s="48">
        <v>2.0833333333333332E-2</v>
      </c>
      <c r="H345" s="43" t="s">
        <v>150</v>
      </c>
      <c r="I345" s="51"/>
      <c r="J345" s="43" t="s">
        <v>76</v>
      </c>
      <c r="K345" s="43"/>
      <c r="L345" s="53">
        <v>1</v>
      </c>
      <c r="M345" s="53">
        <v>1</v>
      </c>
      <c r="N345" s="43" t="s">
        <v>33</v>
      </c>
      <c r="O345" s="43"/>
      <c r="P345" s="55">
        <v>0</v>
      </c>
      <c r="Q345" s="53"/>
      <c r="R345" s="55">
        <v>0</v>
      </c>
      <c r="S345" s="43">
        <v>46054</v>
      </c>
      <c r="T345" s="55">
        <v>0</v>
      </c>
      <c r="U345" s="53">
        <v>2</v>
      </c>
      <c r="V345" s="55">
        <v>0</v>
      </c>
      <c r="W345" s="43" t="s">
        <v>34</v>
      </c>
      <c r="X345" s="43" t="s">
        <v>42</v>
      </c>
      <c r="Y345" s="43" t="s">
        <v>36</v>
      </c>
      <c r="Z345" s="43" t="s">
        <v>43</v>
      </c>
      <c r="AA345" s="43" t="s">
        <v>37</v>
      </c>
      <c r="AB345" s="43" t="s">
        <v>37</v>
      </c>
      <c r="AC345" s="43" t="s">
        <v>38</v>
      </c>
      <c r="AD345" s="59" t="s">
        <v>242</v>
      </c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</row>
    <row r="346" spans="1:49" ht="31.5" x14ac:dyDescent="0.2">
      <c r="A346" s="43" t="s">
        <v>71</v>
      </c>
      <c r="B346" s="45">
        <v>46064</v>
      </c>
      <c r="C346" s="45">
        <v>46064</v>
      </c>
      <c r="D346" s="46" t="s">
        <v>166</v>
      </c>
      <c r="E346" s="48">
        <v>0.45833333333333331</v>
      </c>
      <c r="F346" s="48">
        <v>0.47916666666666669</v>
      </c>
      <c r="G346" s="48">
        <v>2.0833333333333332E-2</v>
      </c>
      <c r="H346" s="43" t="s">
        <v>143</v>
      </c>
      <c r="I346" s="51"/>
      <c r="J346" s="43" t="s">
        <v>76</v>
      </c>
      <c r="K346" s="43"/>
      <c r="L346" s="53">
        <v>1</v>
      </c>
      <c r="M346" s="53">
        <v>1</v>
      </c>
      <c r="N346" s="43" t="s">
        <v>33</v>
      </c>
      <c r="O346" s="43"/>
      <c r="P346" s="55">
        <v>0</v>
      </c>
      <c r="Q346" s="53"/>
      <c r="R346" s="55">
        <v>0</v>
      </c>
      <c r="S346" s="43">
        <v>46054</v>
      </c>
      <c r="T346" s="55">
        <v>0</v>
      </c>
      <c r="U346" s="53">
        <v>2</v>
      </c>
      <c r="V346" s="55">
        <v>0</v>
      </c>
      <c r="W346" s="43" t="s">
        <v>34</v>
      </c>
      <c r="X346" s="43" t="s">
        <v>42</v>
      </c>
      <c r="Y346" s="43" t="s">
        <v>36</v>
      </c>
      <c r="Z346" s="43" t="s">
        <v>43</v>
      </c>
      <c r="AA346" s="43" t="s">
        <v>37</v>
      </c>
      <c r="AB346" s="43" t="s">
        <v>37</v>
      </c>
      <c r="AC346" s="43" t="s">
        <v>38</v>
      </c>
      <c r="AD346" s="59" t="s">
        <v>242</v>
      </c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</row>
    <row r="347" spans="1:49" ht="31.5" x14ac:dyDescent="0.2">
      <c r="A347" s="43" t="s">
        <v>71</v>
      </c>
      <c r="B347" s="45">
        <v>46064</v>
      </c>
      <c r="C347" s="45">
        <v>46064</v>
      </c>
      <c r="D347" s="46" t="s">
        <v>166</v>
      </c>
      <c r="E347" s="48">
        <v>0.47916666666666669</v>
      </c>
      <c r="F347" s="48">
        <v>0.5</v>
      </c>
      <c r="G347" s="48">
        <v>2.0833333333333332E-2</v>
      </c>
      <c r="H347" s="43" t="s">
        <v>171</v>
      </c>
      <c r="I347" s="51"/>
      <c r="J347" s="43" t="s">
        <v>76</v>
      </c>
      <c r="K347" s="43"/>
      <c r="L347" s="53">
        <v>1</v>
      </c>
      <c r="M347" s="53">
        <v>1</v>
      </c>
      <c r="N347" s="43" t="s">
        <v>33</v>
      </c>
      <c r="O347" s="43"/>
      <c r="P347" s="55">
        <v>0</v>
      </c>
      <c r="Q347" s="53"/>
      <c r="R347" s="55">
        <v>0</v>
      </c>
      <c r="S347" s="43">
        <v>46054</v>
      </c>
      <c r="T347" s="55">
        <v>0</v>
      </c>
      <c r="U347" s="53">
        <v>2</v>
      </c>
      <c r="V347" s="55">
        <v>0</v>
      </c>
      <c r="W347" s="43" t="s">
        <v>34</v>
      </c>
      <c r="X347" s="43" t="s">
        <v>42</v>
      </c>
      <c r="Y347" s="43" t="s">
        <v>36</v>
      </c>
      <c r="Z347" s="43" t="s">
        <v>43</v>
      </c>
      <c r="AA347" s="43" t="s">
        <v>37</v>
      </c>
      <c r="AB347" s="43" t="s">
        <v>37</v>
      </c>
      <c r="AC347" s="43" t="s">
        <v>38</v>
      </c>
      <c r="AD347" s="59" t="s">
        <v>242</v>
      </c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</row>
    <row r="348" spans="1:49" ht="31.5" x14ac:dyDescent="0.2">
      <c r="A348" s="43" t="s">
        <v>71</v>
      </c>
      <c r="B348" s="45">
        <v>46065</v>
      </c>
      <c r="C348" s="45">
        <v>46065</v>
      </c>
      <c r="D348" s="46" t="s">
        <v>179</v>
      </c>
      <c r="E348" s="48">
        <v>0.45833333333333331</v>
      </c>
      <c r="F348" s="48">
        <v>0.47916666666666669</v>
      </c>
      <c r="G348" s="48">
        <v>2.0833333333333332E-2</v>
      </c>
      <c r="H348" s="43" t="s">
        <v>143</v>
      </c>
      <c r="I348" s="51"/>
      <c r="J348" s="43" t="s">
        <v>76</v>
      </c>
      <c r="K348" s="43"/>
      <c r="L348" s="53">
        <v>1</v>
      </c>
      <c r="M348" s="53">
        <v>1</v>
      </c>
      <c r="N348" s="43" t="s">
        <v>33</v>
      </c>
      <c r="O348" s="43"/>
      <c r="P348" s="55">
        <v>0</v>
      </c>
      <c r="Q348" s="53"/>
      <c r="R348" s="55">
        <v>0</v>
      </c>
      <c r="S348" s="43">
        <v>46054</v>
      </c>
      <c r="T348" s="55">
        <v>0</v>
      </c>
      <c r="U348" s="53">
        <v>2</v>
      </c>
      <c r="V348" s="55">
        <v>0</v>
      </c>
      <c r="W348" s="43" t="s">
        <v>34</v>
      </c>
      <c r="X348" s="43" t="s">
        <v>42</v>
      </c>
      <c r="Y348" s="43" t="s">
        <v>36</v>
      </c>
      <c r="Z348" s="43" t="s">
        <v>43</v>
      </c>
      <c r="AA348" s="43" t="s">
        <v>37</v>
      </c>
      <c r="AB348" s="43" t="s">
        <v>37</v>
      </c>
      <c r="AC348" s="43" t="s">
        <v>38</v>
      </c>
      <c r="AD348" s="59" t="s">
        <v>242</v>
      </c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</row>
    <row r="349" spans="1:49" ht="31.5" x14ac:dyDescent="0.2">
      <c r="A349" s="43" t="s">
        <v>71</v>
      </c>
      <c r="B349" s="45">
        <v>46065</v>
      </c>
      <c r="C349" s="45">
        <v>46065</v>
      </c>
      <c r="D349" s="46" t="s">
        <v>179</v>
      </c>
      <c r="E349" s="48">
        <v>0.47916666666666669</v>
      </c>
      <c r="F349" s="48">
        <v>0.5</v>
      </c>
      <c r="G349" s="48">
        <v>2.0833333333333332E-2</v>
      </c>
      <c r="H349" s="43" t="s">
        <v>184</v>
      </c>
      <c r="I349" s="51"/>
      <c r="J349" s="43" t="s">
        <v>76</v>
      </c>
      <c r="K349" s="43"/>
      <c r="L349" s="53">
        <v>1</v>
      </c>
      <c r="M349" s="53">
        <v>1</v>
      </c>
      <c r="N349" s="43" t="s">
        <v>33</v>
      </c>
      <c r="O349" s="43"/>
      <c r="P349" s="55">
        <v>0</v>
      </c>
      <c r="Q349" s="53"/>
      <c r="R349" s="55">
        <v>0</v>
      </c>
      <c r="S349" s="43">
        <v>46054</v>
      </c>
      <c r="T349" s="55">
        <v>0</v>
      </c>
      <c r="U349" s="53">
        <v>2</v>
      </c>
      <c r="V349" s="55">
        <v>0</v>
      </c>
      <c r="W349" s="43" t="s">
        <v>34</v>
      </c>
      <c r="X349" s="43" t="s">
        <v>42</v>
      </c>
      <c r="Y349" s="43" t="s">
        <v>36</v>
      </c>
      <c r="Z349" s="43" t="s">
        <v>43</v>
      </c>
      <c r="AA349" s="43" t="s">
        <v>37</v>
      </c>
      <c r="AB349" s="43" t="s">
        <v>37</v>
      </c>
      <c r="AC349" s="43" t="s">
        <v>38</v>
      </c>
      <c r="AD349" s="59" t="s">
        <v>242</v>
      </c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</row>
    <row r="350" spans="1:49" ht="31.5" x14ac:dyDescent="0.2">
      <c r="A350" s="43" t="s">
        <v>71</v>
      </c>
      <c r="B350" s="45">
        <v>46066</v>
      </c>
      <c r="C350" s="45">
        <v>46066</v>
      </c>
      <c r="D350" s="46" t="s">
        <v>195</v>
      </c>
      <c r="E350" s="48">
        <v>0.45833333333333331</v>
      </c>
      <c r="F350" s="48">
        <v>0.47916666666666669</v>
      </c>
      <c r="G350" s="48">
        <v>2.0833333333333332E-2</v>
      </c>
      <c r="H350" s="43" t="s">
        <v>143</v>
      </c>
      <c r="I350" s="51"/>
      <c r="J350" s="43" t="s">
        <v>76</v>
      </c>
      <c r="K350" s="43"/>
      <c r="L350" s="53">
        <v>1</v>
      </c>
      <c r="M350" s="53">
        <v>1</v>
      </c>
      <c r="N350" s="43" t="s">
        <v>33</v>
      </c>
      <c r="O350" s="43"/>
      <c r="P350" s="55">
        <v>0</v>
      </c>
      <c r="Q350" s="53"/>
      <c r="R350" s="55">
        <v>0</v>
      </c>
      <c r="S350" s="43">
        <v>46054</v>
      </c>
      <c r="T350" s="55">
        <v>0</v>
      </c>
      <c r="U350" s="53">
        <v>2</v>
      </c>
      <c r="V350" s="55">
        <v>0</v>
      </c>
      <c r="W350" s="43" t="s">
        <v>34</v>
      </c>
      <c r="X350" s="43" t="s">
        <v>42</v>
      </c>
      <c r="Y350" s="43" t="s">
        <v>36</v>
      </c>
      <c r="Z350" s="43" t="s">
        <v>43</v>
      </c>
      <c r="AA350" s="43" t="s">
        <v>37</v>
      </c>
      <c r="AB350" s="43" t="s">
        <v>37</v>
      </c>
      <c r="AC350" s="43" t="s">
        <v>38</v>
      </c>
      <c r="AD350" s="59" t="s">
        <v>242</v>
      </c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</row>
    <row r="351" spans="1:49" ht="31.5" x14ac:dyDescent="0.2">
      <c r="A351" s="43" t="s">
        <v>71</v>
      </c>
      <c r="B351" s="45">
        <v>46066</v>
      </c>
      <c r="C351" s="45">
        <v>46066</v>
      </c>
      <c r="D351" s="46" t="s">
        <v>195</v>
      </c>
      <c r="E351" s="48">
        <v>0.47916666666666669</v>
      </c>
      <c r="F351" s="48">
        <v>0.5</v>
      </c>
      <c r="G351" s="48">
        <v>2.0833333333333332E-2</v>
      </c>
      <c r="H351" s="43" t="s">
        <v>199</v>
      </c>
      <c r="I351" s="51"/>
      <c r="J351" s="43" t="s">
        <v>76</v>
      </c>
      <c r="K351" s="43"/>
      <c r="L351" s="53">
        <v>1</v>
      </c>
      <c r="M351" s="53">
        <v>1</v>
      </c>
      <c r="N351" s="43" t="s">
        <v>33</v>
      </c>
      <c r="O351" s="43"/>
      <c r="P351" s="55">
        <v>0</v>
      </c>
      <c r="Q351" s="53"/>
      <c r="R351" s="55">
        <v>0</v>
      </c>
      <c r="S351" s="43">
        <v>46054</v>
      </c>
      <c r="T351" s="55">
        <v>0</v>
      </c>
      <c r="U351" s="53">
        <v>2</v>
      </c>
      <c r="V351" s="55">
        <v>0</v>
      </c>
      <c r="W351" s="43" t="s">
        <v>34</v>
      </c>
      <c r="X351" s="43" t="s">
        <v>42</v>
      </c>
      <c r="Y351" s="43" t="s">
        <v>36</v>
      </c>
      <c r="Z351" s="43" t="s">
        <v>43</v>
      </c>
      <c r="AA351" s="43" t="s">
        <v>37</v>
      </c>
      <c r="AB351" s="43" t="s">
        <v>37</v>
      </c>
      <c r="AC351" s="43" t="s">
        <v>38</v>
      </c>
      <c r="AD351" s="59" t="s">
        <v>242</v>
      </c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</row>
    <row r="352" spans="1:49" ht="31.5" x14ac:dyDescent="0.25">
      <c r="A352" s="43" t="s">
        <v>71</v>
      </c>
      <c r="B352" s="45">
        <v>46067</v>
      </c>
      <c r="C352" s="45">
        <v>46067</v>
      </c>
      <c r="D352" s="46" t="s">
        <v>203</v>
      </c>
      <c r="E352" s="48">
        <v>0.45833333333333331</v>
      </c>
      <c r="F352" s="48">
        <v>0.47916666666666669</v>
      </c>
      <c r="G352" s="48">
        <v>2.0833333333333332E-2</v>
      </c>
      <c r="H352" s="43" t="s">
        <v>143</v>
      </c>
      <c r="I352" s="51"/>
      <c r="J352" s="43" t="s">
        <v>76</v>
      </c>
      <c r="K352" s="43"/>
      <c r="L352" s="53">
        <v>1</v>
      </c>
      <c r="M352" s="53">
        <v>1</v>
      </c>
      <c r="N352" s="43" t="s">
        <v>33</v>
      </c>
      <c r="O352" s="43"/>
      <c r="P352" s="55">
        <v>0</v>
      </c>
      <c r="Q352" s="53"/>
      <c r="R352" s="55">
        <v>0</v>
      </c>
      <c r="S352" s="43">
        <v>46054</v>
      </c>
      <c r="T352" s="55">
        <v>0</v>
      </c>
      <c r="U352" s="53">
        <v>2</v>
      </c>
      <c r="V352" s="55">
        <v>0</v>
      </c>
      <c r="W352" s="43" t="s">
        <v>34</v>
      </c>
      <c r="X352" s="43" t="s">
        <v>42</v>
      </c>
      <c r="Y352" s="43" t="s">
        <v>36</v>
      </c>
      <c r="Z352" s="43" t="s">
        <v>43</v>
      </c>
      <c r="AA352" s="43" t="s">
        <v>37</v>
      </c>
      <c r="AB352" s="43" t="s">
        <v>37</v>
      </c>
      <c r="AC352" s="43" t="s">
        <v>38</v>
      </c>
      <c r="AD352" s="59" t="s">
        <v>242</v>
      </c>
      <c r="AE352" s="60"/>
      <c r="AF352" s="60"/>
      <c r="AG352" s="60"/>
      <c r="AH352" s="60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</row>
    <row r="353" spans="1:49" ht="31.5" x14ac:dyDescent="0.25">
      <c r="A353" s="43" t="s">
        <v>71</v>
      </c>
      <c r="B353" s="45">
        <v>46067</v>
      </c>
      <c r="C353" s="45">
        <v>46067</v>
      </c>
      <c r="D353" s="46" t="s">
        <v>203</v>
      </c>
      <c r="E353" s="48">
        <v>0.47916666666666669</v>
      </c>
      <c r="F353" s="48">
        <v>0.48958333333333331</v>
      </c>
      <c r="G353" s="48">
        <v>1.0416666666666666E-2</v>
      </c>
      <c r="H353" s="43" t="s">
        <v>214</v>
      </c>
      <c r="I353" s="51"/>
      <c r="J353" s="43" t="s">
        <v>76</v>
      </c>
      <c r="K353" s="43"/>
      <c r="L353" s="53">
        <v>1</v>
      </c>
      <c r="M353" s="53">
        <v>1</v>
      </c>
      <c r="N353" s="43" t="s">
        <v>33</v>
      </c>
      <c r="O353" s="43"/>
      <c r="P353" s="55">
        <v>0</v>
      </c>
      <c r="Q353" s="53"/>
      <c r="R353" s="55">
        <v>0</v>
      </c>
      <c r="S353" s="43">
        <v>46054</v>
      </c>
      <c r="T353" s="55">
        <v>0</v>
      </c>
      <c r="U353" s="53">
        <v>2</v>
      </c>
      <c r="V353" s="55">
        <v>0</v>
      </c>
      <c r="W353" s="43" t="s">
        <v>34</v>
      </c>
      <c r="X353" s="43" t="s">
        <v>42</v>
      </c>
      <c r="Y353" s="43" t="s">
        <v>36</v>
      </c>
      <c r="Z353" s="43" t="s">
        <v>43</v>
      </c>
      <c r="AA353" s="43" t="s">
        <v>37</v>
      </c>
      <c r="AB353" s="43" t="s">
        <v>37</v>
      </c>
      <c r="AC353" s="43" t="s">
        <v>38</v>
      </c>
      <c r="AD353" s="59" t="s">
        <v>242</v>
      </c>
      <c r="AE353" s="60"/>
      <c r="AF353" s="60"/>
      <c r="AG353" s="60"/>
      <c r="AH353" s="60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</row>
    <row r="354" spans="1:49" ht="31.5" x14ac:dyDescent="0.25">
      <c r="A354" s="43" t="s">
        <v>71</v>
      </c>
      <c r="B354" s="45">
        <v>46067</v>
      </c>
      <c r="C354" s="45">
        <v>46067</v>
      </c>
      <c r="D354" s="46" t="s">
        <v>203</v>
      </c>
      <c r="E354" s="48">
        <v>0.48958333333333331</v>
      </c>
      <c r="F354" s="48">
        <v>0.5</v>
      </c>
      <c r="G354" s="48">
        <v>1.0416666666666666E-2</v>
      </c>
      <c r="H354" s="43" t="s">
        <v>215</v>
      </c>
      <c r="I354" s="51"/>
      <c r="J354" s="43" t="s">
        <v>76</v>
      </c>
      <c r="K354" s="43"/>
      <c r="L354" s="53">
        <v>1</v>
      </c>
      <c r="M354" s="53">
        <v>1</v>
      </c>
      <c r="N354" s="43" t="s">
        <v>33</v>
      </c>
      <c r="O354" s="43"/>
      <c r="P354" s="55">
        <v>0</v>
      </c>
      <c r="Q354" s="53"/>
      <c r="R354" s="55">
        <v>0</v>
      </c>
      <c r="S354" s="43">
        <v>46054</v>
      </c>
      <c r="T354" s="55">
        <v>0</v>
      </c>
      <c r="U354" s="53">
        <v>2</v>
      </c>
      <c r="V354" s="55">
        <v>0</v>
      </c>
      <c r="W354" s="43" t="s">
        <v>34</v>
      </c>
      <c r="X354" s="43" t="s">
        <v>42</v>
      </c>
      <c r="Y354" s="43" t="s">
        <v>36</v>
      </c>
      <c r="Z354" s="43" t="s">
        <v>43</v>
      </c>
      <c r="AA354" s="43" t="s">
        <v>37</v>
      </c>
      <c r="AB354" s="43" t="s">
        <v>37</v>
      </c>
      <c r="AC354" s="43" t="s">
        <v>38</v>
      </c>
      <c r="AD354" s="59" t="s">
        <v>242</v>
      </c>
      <c r="AE354" s="60"/>
      <c r="AF354" s="60"/>
      <c r="AG354" s="60"/>
      <c r="AH354" s="60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</row>
    <row r="355" spans="1:49" ht="31.5" x14ac:dyDescent="0.25">
      <c r="A355" s="43" t="s">
        <v>71</v>
      </c>
      <c r="B355" s="45">
        <v>46067</v>
      </c>
      <c r="C355" s="45">
        <v>46067</v>
      </c>
      <c r="D355" s="46" t="s">
        <v>203</v>
      </c>
      <c r="E355" s="48">
        <v>0.5</v>
      </c>
      <c r="F355" s="48">
        <v>0.54166666666666663</v>
      </c>
      <c r="G355" s="48">
        <v>4.1666666666666664E-2</v>
      </c>
      <c r="H355" s="43" t="s">
        <v>216</v>
      </c>
      <c r="I355" s="51"/>
      <c r="J355" s="43" t="s">
        <v>76</v>
      </c>
      <c r="K355" s="43"/>
      <c r="L355" s="53">
        <v>1</v>
      </c>
      <c r="M355" s="53">
        <v>1</v>
      </c>
      <c r="N355" s="43" t="s">
        <v>33</v>
      </c>
      <c r="O355" s="43"/>
      <c r="P355" s="55">
        <v>0</v>
      </c>
      <c r="Q355" s="53"/>
      <c r="R355" s="55">
        <v>0</v>
      </c>
      <c r="S355" s="43">
        <v>46054</v>
      </c>
      <c r="T355" s="55">
        <v>0</v>
      </c>
      <c r="U355" s="53">
        <v>2</v>
      </c>
      <c r="V355" s="55">
        <v>0</v>
      </c>
      <c r="W355" s="43" t="s">
        <v>34</v>
      </c>
      <c r="X355" s="43" t="s">
        <v>42</v>
      </c>
      <c r="Y355" s="43" t="s">
        <v>36</v>
      </c>
      <c r="Z355" s="43" t="s">
        <v>43</v>
      </c>
      <c r="AA355" s="43" t="s">
        <v>37</v>
      </c>
      <c r="AB355" s="43" t="s">
        <v>37</v>
      </c>
      <c r="AC355" s="43" t="s">
        <v>38</v>
      </c>
      <c r="AD355" s="59" t="s">
        <v>242</v>
      </c>
      <c r="AE355" s="60"/>
      <c r="AF355" s="60"/>
      <c r="AG355" s="60"/>
      <c r="AH355" s="60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</row>
    <row r="356" spans="1:49" ht="31.5" x14ac:dyDescent="0.2">
      <c r="A356" s="43" t="s">
        <v>71</v>
      </c>
      <c r="B356" s="45">
        <v>46068</v>
      </c>
      <c r="C356" s="45">
        <v>46068</v>
      </c>
      <c r="D356" s="46" t="s">
        <v>231</v>
      </c>
      <c r="E356" s="48">
        <v>0.45833333333333331</v>
      </c>
      <c r="F356" s="48">
        <v>0.47916666666666669</v>
      </c>
      <c r="G356" s="48">
        <v>2.0833333333333332E-2</v>
      </c>
      <c r="H356" s="43" t="s">
        <v>72</v>
      </c>
      <c r="I356" s="51"/>
      <c r="J356" s="43" t="s">
        <v>76</v>
      </c>
      <c r="K356" s="43"/>
      <c r="L356" s="53">
        <v>1</v>
      </c>
      <c r="M356" s="53">
        <v>1</v>
      </c>
      <c r="N356" s="43" t="s">
        <v>33</v>
      </c>
      <c r="O356" s="43"/>
      <c r="P356" s="55">
        <v>0</v>
      </c>
      <c r="Q356" s="53"/>
      <c r="R356" s="55">
        <v>0</v>
      </c>
      <c r="S356" s="43">
        <v>46054</v>
      </c>
      <c r="T356" s="55">
        <v>0</v>
      </c>
      <c r="U356" s="53">
        <v>2</v>
      </c>
      <c r="V356" s="55">
        <v>0</v>
      </c>
      <c r="W356" s="43" t="s">
        <v>34</v>
      </c>
      <c r="X356" s="43" t="s">
        <v>42</v>
      </c>
      <c r="Y356" s="43" t="s">
        <v>36</v>
      </c>
      <c r="Z356" s="43" t="s">
        <v>43</v>
      </c>
      <c r="AA356" s="43" t="s">
        <v>37</v>
      </c>
      <c r="AB356" s="43" t="s">
        <v>37</v>
      </c>
      <c r="AC356" s="43" t="s">
        <v>38</v>
      </c>
      <c r="AD356" s="59" t="s">
        <v>242</v>
      </c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</row>
    <row r="357" spans="1:49" ht="31.5" x14ac:dyDescent="0.2">
      <c r="A357" s="43" t="s">
        <v>71</v>
      </c>
      <c r="B357" s="45">
        <v>46068</v>
      </c>
      <c r="C357" s="45">
        <v>46068</v>
      </c>
      <c r="D357" s="46" t="s">
        <v>231</v>
      </c>
      <c r="E357" s="48">
        <v>0.47916666666666669</v>
      </c>
      <c r="F357" s="48">
        <v>0.48958333333333331</v>
      </c>
      <c r="G357" s="48">
        <v>1.0416666666666666E-2</v>
      </c>
      <c r="H357" s="43" t="s">
        <v>235</v>
      </c>
      <c r="I357" s="51"/>
      <c r="J357" s="43" t="s">
        <v>76</v>
      </c>
      <c r="K357" s="43"/>
      <c r="L357" s="53">
        <v>1</v>
      </c>
      <c r="M357" s="53">
        <v>1</v>
      </c>
      <c r="N357" s="43" t="s">
        <v>33</v>
      </c>
      <c r="O357" s="43"/>
      <c r="P357" s="55">
        <v>0</v>
      </c>
      <c r="Q357" s="53"/>
      <c r="R357" s="55">
        <v>0</v>
      </c>
      <c r="S357" s="43">
        <v>46054</v>
      </c>
      <c r="T357" s="55">
        <v>0</v>
      </c>
      <c r="U357" s="53">
        <v>2</v>
      </c>
      <c r="V357" s="55">
        <v>0</v>
      </c>
      <c r="W357" s="43" t="s">
        <v>34</v>
      </c>
      <c r="X357" s="43" t="s">
        <v>42</v>
      </c>
      <c r="Y357" s="43" t="s">
        <v>36</v>
      </c>
      <c r="Z357" s="43" t="s">
        <v>43</v>
      </c>
      <c r="AA357" s="43" t="s">
        <v>37</v>
      </c>
      <c r="AB357" s="43" t="s">
        <v>37</v>
      </c>
      <c r="AC357" s="43" t="s">
        <v>38</v>
      </c>
      <c r="AD357" s="59" t="s">
        <v>242</v>
      </c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</row>
    <row r="358" spans="1:49" ht="31.5" x14ac:dyDescent="0.25">
      <c r="A358" s="43" t="s">
        <v>71</v>
      </c>
      <c r="B358" s="45">
        <v>46068</v>
      </c>
      <c r="C358" s="45">
        <v>46068</v>
      </c>
      <c r="D358" s="46" t="s">
        <v>231</v>
      </c>
      <c r="E358" s="48">
        <v>0.48958333333333331</v>
      </c>
      <c r="F358" s="48">
        <v>0.5</v>
      </c>
      <c r="G358" s="48">
        <v>1.0416666666666666E-2</v>
      </c>
      <c r="H358" s="43" t="s">
        <v>236</v>
      </c>
      <c r="I358" s="51"/>
      <c r="J358" s="43" t="s">
        <v>76</v>
      </c>
      <c r="K358" s="43"/>
      <c r="L358" s="53">
        <v>1</v>
      </c>
      <c r="M358" s="53">
        <v>1</v>
      </c>
      <c r="N358" s="43" t="s">
        <v>33</v>
      </c>
      <c r="O358" s="43"/>
      <c r="P358" s="55">
        <v>0</v>
      </c>
      <c r="Q358" s="53"/>
      <c r="R358" s="55">
        <v>0</v>
      </c>
      <c r="S358" s="43">
        <v>46054</v>
      </c>
      <c r="T358" s="55">
        <v>0</v>
      </c>
      <c r="U358" s="53">
        <v>2</v>
      </c>
      <c r="V358" s="55">
        <v>0</v>
      </c>
      <c r="W358" s="43" t="s">
        <v>34</v>
      </c>
      <c r="X358" s="43" t="s">
        <v>42</v>
      </c>
      <c r="Y358" s="43" t="s">
        <v>36</v>
      </c>
      <c r="Z358" s="43" t="s">
        <v>43</v>
      </c>
      <c r="AA358" s="43" t="s">
        <v>37</v>
      </c>
      <c r="AB358" s="43" t="s">
        <v>37</v>
      </c>
      <c r="AC358" s="43" t="s">
        <v>38</v>
      </c>
      <c r="AD358" s="59" t="s">
        <v>242</v>
      </c>
      <c r="AE358" s="60"/>
      <c r="AF358" s="60"/>
      <c r="AG358" s="60"/>
      <c r="AH358" s="60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</row>
    <row r="359" spans="1:49" ht="31.5" x14ac:dyDescent="0.25">
      <c r="A359" s="43" t="s">
        <v>71</v>
      </c>
      <c r="B359" s="45">
        <v>46068</v>
      </c>
      <c r="C359" s="45">
        <v>46068</v>
      </c>
      <c r="D359" s="46" t="s">
        <v>231</v>
      </c>
      <c r="E359" s="48">
        <v>0.5</v>
      </c>
      <c r="F359" s="48">
        <v>0.54166666666666663</v>
      </c>
      <c r="G359" s="48">
        <v>4.1666666666666664E-2</v>
      </c>
      <c r="H359" s="43" t="s">
        <v>216</v>
      </c>
      <c r="I359" s="51"/>
      <c r="J359" s="43" t="s">
        <v>76</v>
      </c>
      <c r="K359" s="43"/>
      <c r="L359" s="53">
        <v>1</v>
      </c>
      <c r="M359" s="53">
        <v>1</v>
      </c>
      <c r="N359" s="43" t="s">
        <v>33</v>
      </c>
      <c r="O359" s="43"/>
      <c r="P359" s="55">
        <v>0</v>
      </c>
      <c r="Q359" s="53"/>
      <c r="R359" s="55">
        <v>0</v>
      </c>
      <c r="S359" s="43">
        <v>46054</v>
      </c>
      <c r="T359" s="55">
        <v>0</v>
      </c>
      <c r="U359" s="53">
        <v>2</v>
      </c>
      <c r="V359" s="55">
        <v>0</v>
      </c>
      <c r="W359" s="43" t="s">
        <v>34</v>
      </c>
      <c r="X359" s="43" t="s">
        <v>42</v>
      </c>
      <c r="Y359" s="43" t="s">
        <v>36</v>
      </c>
      <c r="Z359" s="43" t="s">
        <v>43</v>
      </c>
      <c r="AA359" s="43" t="s">
        <v>37</v>
      </c>
      <c r="AB359" s="43" t="s">
        <v>37</v>
      </c>
      <c r="AC359" s="43" t="s">
        <v>38</v>
      </c>
      <c r="AD359" s="59" t="s">
        <v>242</v>
      </c>
      <c r="AE359" s="60"/>
      <c r="AF359" s="60"/>
      <c r="AG359" s="60"/>
      <c r="AH359" s="60"/>
      <c r="AI359" s="60"/>
      <c r="AJ359" s="60"/>
      <c r="AK359" s="60"/>
      <c r="AL359" s="60"/>
      <c r="AM359" s="60"/>
      <c r="AN359" s="60"/>
      <c r="AO359" s="60"/>
      <c r="AP359" s="60"/>
      <c r="AQ359" s="60"/>
      <c r="AR359" s="60"/>
      <c r="AS359" s="60"/>
      <c r="AT359" s="60"/>
      <c r="AU359" s="60"/>
      <c r="AV359" s="60"/>
      <c r="AW359" s="60"/>
    </row>
    <row r="360" spans="1:49" ht="31.5" x14ac:dyDescent="0.25">
      <c r="A360" s="42" t="s">
        <v>133</v>
      </c>
      <c r="B360" s="44">
        <v>46063</v>
      </c>
      <c r="C360" s="44">
        <v>46063</v>
      </c>
      <c r="D360" s="42" t="s">
        <v>132</v>
      </c>
      <c r="E360" s="47">
        <v>0.25</v>
      </c>
      <c r="F360" s="47">
        <v>0.99930555555555556</v>
      </c>
      <c r="G360" s="47">
        <v>1.6203703703703701E-4</v>
      </c>
      <c r="H360" s="42" t="s">
        <v>134</v>
      </c>
      <c r="I360" s="50">
        <v>0.83122754629629625</v>
      </c>
      <c r="J360" s="42" t="s">
        <v>41</v>
      </c>
      <c r="K360" s="42" t="s">
        <v>131</v>
      </c>
      <c r="L360" s="52">
        <v>1</v>
      </c>
      <c r="M360" s="52">
        <v>66852</v>
      </c>
      <c r="N360" s="42" t="s">
        <v>46</v>
      </c>
      <c r="O360" s="52" t="s">
        <v>135</v>
      </c>
      <c r="P360" s="54">
        <v>0</v>
      </c>
      <c r="Q360" s="52"/>
      <c r="R360" s="54">
        <v>0</v>
      </c>
      <c r="S360" s="57">
        <v>46054</v>
      </c>
      <c r="T360" s="54">
        <v>0</v>
      </c>
      <c r="U360" s="58">
        <v>4</v>
      </c>
      <c r="V360" s="54">
        <v>0</v>
      </c>
      <c r="W360" s="42" t="s">
        <v>47</v>
      </c>
      <c r="X360" s="42" t="s">
        <v>48</v>
      </c>
      <c r="Y360" s="42" t="s">
        <v>36</v>
      </c>
      <c r="Z360" s="42" t="s">
        <v>9</v>
      </c>
      <c r="AA360" s="42" t="s">
        <v>49</v>
      </c>
      <c r="AB360" s="42" t="s">
        <v>136</v>
      </c>
      <c r="AC360" s="42" t="s">
        <v>38</v>
      </c>
      <c r="AD360" s="59" t="s">
        <v>242</v>
      </c>
      <c r="AE360" s="60"/>
      <c r="AF360" s="60"/>
      <c r="AG360" s="60"/>
      <c r="AH360" s="60"/>
      <c r="AI360" s="60"/>
      <c r="AJ360" s="60"/>
      <c r="AK360" s="60"/>
      <c r="AL360" s="60"/>
      <c r="AM360" s="60"/>
      <c r="AN360" s="60"/>
      <c r="AO360" s="60"/>
      <c r="AP360" s="60"/>
      <c r="AQ360" s="60"/>
      <c r="AR360" s="60"/>
      <c r="AS360" s="60"/>
      <c r="AT360" s="60"/>
      <c r="AU360" s="60"/>
      <c r="AV360" s="60"/>
      <c r="AW360" s="60"/>
    </row>
    <row r="361" spans="1:49" ht="31.5" x14ac:dyDescent="0.25">
      <c r="A361" s="42" t="s">
        <v>133</v>
      </c>
      <c r="B361" s="44">
        <v>46063</v>
      </c>
      <c r="C361" s="44">
        <v>46063</v>
      </c>
      <c r="D361" s="42" t="s">
        <v>132</v>
      </c>
      <c r="E361" s="47">
        <v>0.25</v>
      </c>
      <c r="F361" s="47">
        <v>0.99930555555555556</v>
      </c>
      <c r="G361" s="47">
        <v>1.7361111111111109E-4</v>
      </c>
      <c r="H361" s="42" t="s">
        <v>137</v>
      </c>
      <c r="I361" s="50">
        <v>0.97819444444444448</v>
      </c>
      <c r="J361" s="42" t="s">
        <v>41</v>
      </c>
      <c r="K361" s="42" t="s">
        <v>160</v>
      </c>
      <c r="L361" s="52">
        <v>1</v>
      </c>
      <c r="M361" s="52">
        <v>66852</v>
      </c>
      <c r="N361" s="42" t="s">
        <v>46</v>
      </c>
      <c r="O361" s="52" t="s">
        <v>135</v>
      </c>
      <c r="P361" s="54">
        <v>0</v>
      </c>
      <c r="Q361" s="52"/>
      <c r="R361" s="54">
        <v>0</v>
      </c>
      <c r="S361" s="57">
        <v>46054</v>
      </c>
      <c r="T361" s="54">
        <v>0</v>
      </c>
      <c r="U361" s="58">
        <v>4</v>
      </c>
      <c r="V361" s="54">
        <v>0</v>
      </c>
      <c r="W361" s="42" t="s">
        <v>47</v>
      </c>
      <c r="X361" s="42" t="s">
        <v>48</v>
      </c>
      <c r="Y361" s="42" t="s">
        <v>36</v>
      </c>
      <c r="Z361" s="42" t="s">
        <v>9</v>
      </c>
      <c r="AA361" s="42" t="s">
        <v>49</v>
      </c>
      <c r="AB361" s="42" t="s">
        <v>136</v>
      </c>
      <c r="AC361" s="42" t="s">
        <v>38</v>
      </c>
      <c r="AD361" s="59" t="s">
        <v>242</v>
      </c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  <c r="AW361" s="62"/>
    </row>
    <row r="362" spans="1:49" ht="31.5" x14ac:dyDescent="0.25">
      <c r="A362" s="42" t="s">
        <v>133</v>
      </c>
      <c r="B362" s="44">
        <v>46063</v>
      </c>
      <c r="C362" s="44">
        <v>46063</v>
      </c>
      <c r="D362" s="42" t="s">
        <v>132</v>
      </c>
      <c r="E362" s="47">
        <v>0.79166666666666663</v>
      </c>
      <c r="F362" s="47">
        <v>0.99930555555555556</v>
      </c>
      <c r="G362" s="47">
        <v>1.6203703703703701E-4</v>
      </c>
      <c r="H362" s="42" t="s">
        <v>134</v>
      </c>
      <c r="I362" s="50">
        <v>0.79851898148148137</v>
      </c>
      <c r="J362" s="42" t="s">
        <v>116</v>
      </c>
      <c r="K362" s="42" t="s">
        <v>115</v>
      </c>
      <c r="L362" s="52">
        <v>1</v>
      </c>
      <c r="M362" s="52">
        <v>66849</v>
      </c>
      <c r="N362" s="42" t="s">
        <v>53</v>
      </c>
      <c r="O362" s="52" t="s">
        <v>135</v>
      </c>
      <c r="P362" s="54">
        <v>0</v>
      </c>
      <c r="Q362" s="52"/>
      <c r="R362" s="54">
        <v>0</v>
      </c>
      <c r="S362" s="57">
        <v>46054</v>
      </c>
      <c r="T362" s="54">
        <v>0</v>
      </c>
      <c r="U362" s="58">
        <v>4</v>
      </c>
      <c r="V362" s="54">
        <v>59.5</v>
      </c>
      <c r="W362" s="42" t="s">
        <v>47</v>
      </c>
      <c r="X362" s="42" t="s">
        <v>48</v>
      </c>
      <c r="Y362" s="42" t="s">
        <v>36</v>
      </c>
      <c r="Z362" s="42" t="s">
        <v>9</v>
      </c>
      <c r="AA362" s="42" t="s">
        <v>49</v>
      </c>
      <c r="AB362" s="42" t="s">
        <v>136</v>
      </c>
      <c r="AC362" s="42" t="s">
        <v>38</v>
      </c>
      <c r="AD362" s="59" t="s">
        <v>242</v>
      </c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  <c r="AW362" s="62"/>
    </row>
    <row r="363" spans="1:49" ht="31.5" x14ac:dyDescent="0.25">
      <c r="A363" s="42" t="s">
        <v>133</v>
      </c>
      <c r="B363" s="44">
        <v>46063</v>
      </c>
      <c r="C363" s="44">
        <v>46063</v>
      </c>
      <c r="D363" s="42" t="s">
        <v>132</v>
      </c>
      <c r="E363" s="47">
        <v>0.79166666666666663</v>
      </c>
      <c r="F363" s="47">
        <v>0.99930555555555556</v>
      </c>
      <c r="G363" s="47">
        <v>1.7361111111111109E-4</v>
      </c>
      <c r="H363" s="42" t="s">
        <v>158</v>
      </c>
      <c r="I363" s="50">
        <v>0.82044016203703707</v>
      </c>
      <c r="J363" s="42" t="s">
        <v>116</v>
      </c>
      <c r="K363" s="42" t="s">
        <v>131</v>
      </c>
      <c r="L363" s="52">
        <v>1</v>
      </c>
      <c r="M363" s="52">
        <v>66849</v>
      </c>
      <c r="N363" s="42" t="s">
        <v>53</v>
      </c>
      <c r="O363" s="52" t="s">
        <v>135</v>
      </c>
      <c r="P363" s="54">
        <v>0</v>
      </c>
      <c r="Q363" s="52"/>
      <c r="R363" s="54">
        <v>0</v>
      </c>
      <c r="S363" s="57">
        <v>46054</v>
      </c>
      <c r="T363" s="54">
        <v>0</v>
      </c>
      <c r="U363" s="58">
        <v>4</v>
      </c>
      <c r="V363" s="54">
        <v>59.5</v>
      </c>
      <c r="W363" s="42" t="s">
        <v>47</v>
      </c>
      <c r="X363" s="42" t="s">
        <v>48</v>
      </c>
      <c r="Y363" s="42" t="s">
        <v>36</v>
      </c>
      <c r="Z363" s="42" t="s">
        <v>9</v>
      </c>
      <c r="AA363" s="42" t="s">
        <v>49</v>
      </c>
      <c r="AB363" s="42" t="s">
        <v>136</v>
      </c>
      <c r="AC363" s="42" t="s">
        <v>38</v>
      </c>
      <c r="AD363" s="59" t="s">
        <v>242</v>
      </c>
      <c r="AE363" s="60"/>
      <c r="AF363" s="60"/>
      <c r="AG363" s="60"/>
      <c r="AH363" s="60"/>
      <c r="AI363" s="60"/>
      <c r="AJ363" s="60"/>
      <c r="AK363" s="60"/>
      <c r="AL363" s="60"/>
      <c r="AM363" s="60"/>
      <c r="AN363" s="60"/>
      <c r="AO363" s="60"/>
      <c r="AP363" s="60"/>
      <c r="AQ363" s="60"/>
      <c r="AR363" s="60"/>
      <c r="AS363" s="60"/>
      <c r="AT363" s="60"/>
      <c r="AU363" s="60"/>
      <c r="AV363" s="60"/>
      <c r="AW363" s="60"/>
    </row>
    <row r="364" spans="1:49" ht="31.5" x14ac:dyDescent="0.2">
      <c r="A364" s="42" t="s">
        <v>133</v>
      </c>
      <c r="B364" s="44">
        <v>46063</v>
      </c>
      <c r="C364" s="44">
        <v>46063</v>
      </c>
      <c r="D364" s="42" t="s">
        <v>132</v>
      </c>
      <c r="E364" s="47">
        <v>0.79166666666666663</v>
      </c>
      <c r="F364" s="47">
        <v>0.99930555555555556</v>
      </c>
      <c r="G364" s="47">
        <v>1.6203703703703701E-4</v>
      </c>
      <c r="H364" s="42" t="s">
        <v>134</v>
      </c>
      <c r="I364" s="50">
        <v>0.99811400462962963</v>
      </c>
      <c r="J364" s="42" t="s">
        <v>116</v>
      </c>
      <c r="K364" s="42" t="s">
        <v>127</v>
      </c>
      <c r="L364" s="52">
        <v>1</v>
      </c>
      <c r="M364" s="52">
        <v>66849</v>
      </c>
      <c r="N364" s="42" t="s">
        <v>53</v>
      </c>
      <c r="O364" s="52" t="s">
        <v>135</v>
      </c>
      <c r="P364" s="54">
        <v>0</v>
      </c>
      <c r="Q364" s="52"/>
      <c r="R364" s="54">
        <v>0</v>
      </c>
      <c r="S364" s="57">
        <v>46054</v>
      </c>
      <c r="T364" s="54">
        <v>0</v>
      </c>
      <c r="U364" s="58">
        <v>4</v>
      </c>
      <c r="V364" s="54">
        <v>59.5</v>
      </c>
      <c r="W364" s="42" t="s">
        <v>47</v>
      </c>
      <c r="X364" s="42" t="s">
        <v>48</v>
      </c>
      <c r="Y364" s="42" t="s">
        <v>36</v>
      </c>
      <c r="Z364" s="42" t="s">
        <v>9</v>
      </c>
      <c r="AA364" s="42" t="s">
        <v>49</v>
      </c>
      <c r="AB364" s="42" t="s">
        <v>136</v>
      </c>
      <c r="AC364" s="42" t="s">
        <v>38</v>
      </c>
      <c r="AD364" s="59" t="s">
        <v>242</v>
      </c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</row>
    <row r="365" spans="1:49" ht="31.5" x14ac:dyDescent="0.25">
      <c r="A365" s="42" t="s">
        <v>133</v>
      </c>
      <c r="B365" s="44">
        <v>46063</v>
      </c>
      <c r="C365" s="44">
        <v>46063</v>
      </c>
      <c r="D365" s="42" t="s">
        <v>132</v>
      </c>
      <c r="E365" s="47">
        <v>0.83333333333333337</v>
      </c>
      <c r="F365" s="47">
        <v>0.875</v>
      </c>
      <c r="G365" s="47">
        <v>1.6203703703703701E-4</v>
      </c>
      <c r="H365" s="42" t="s">
        <v>159</v>
      </c>
      <c r="I365" s="50">
        <v>0.85360115740740738</v>
      </c>
      <c r="J365" s="42" t="s">
        <v>41</v>
      </c>
      <c r="K365" s="42" t="s">
        <v>165</v>
      </c>
      <c r="L365" s="52">
        <v>1</v>
      </c>
      <c r="M365" s="52">
        <v>66850</v>
      </c>
      <c r="N365" s="42" t="s">
        <v>53</v>
      </c>
      <c r="O365" s="52" t="s">
        <v>135</v>
      </c>
      <c r="P365" s="54">
        <v>0</v>
      </c>
      <c r="Q365" s="52"/>
      <c r="R365" s="54">
        <v>0</v>
      </c>
      <c r="S365" s="57">
        <v>46054</v>
      </c>
      <c r="T365" s="54">
        <v>0</v>
      </c>
      <c r="U365" s="58">
        <v>4</v>
      </c>
      <c r="V365" s="54">
        <v>59.5</v>
      </c>
      <c r="W365" s="42" t="s">
        <v>47</v>
      </c>
      <c r="X365" s="42" t="s">
        <v>48</v>
      </c>
      <c r="Y365" s="42" t="s">
        <v>36</v>
      </c>
      <c r="Z365" s="42" t="s">
        <v>9</v>
      </c>
      <c r="AA365" s="42" t="s">
        <v>49</v>
      </c>
      <c r="AB365" s="42" t="s">
        <v>136</v>
      </c>
      <c r="AC365" s="42" t="s">
        <v>38</v>
      </c>
      <c r="AD365" s="59" t="s">
        <v>242</v>
      </c>
      <c r="AE365" s="60"/>
      <c r="AF365" s="60"/>
      <c r="AG365" s="60"/>
      <c r="AH365" s="60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</row>
    <row r="366" spans="1:49" ht="31.5" x14ac:dyDescent="0.25">
      <c r="A366" s="42" t="s">
        <v>133</v>
      </c>
      <c r="B366" s="44">
        <v>46063</v>
      </c>
      <c r="C366" s="44">
        <v>46063</v>
      </c>
      <c r="D366" s="42" t="s">
        <v>132</v>
      </c>
      <c r="E366" s="47">
        <v>0.83333333333333337</v>
      </c>
      <c r="F366" s="47">
        <v>0.875</v>
      </c>
      <c r="G366" s="47">
        <v>1.7361111111111109E-4</v>
      </c>
      <c r="H366" s="42" t="s">
        <v>137</v>
      </c>
      <c r="I366" s="50">
        <v>0.86840474537037038</v>
      </c>
      <c r="J366" s="42" t="s">
        <v>41</v>
      </c>
      <c r="K366" s="42" t="s">
        <v>165</v>
      </c>
      <c r="L366" s="52">
        <v>1</v>
      </c>
      <c r="M366" s="52">
        <v>66850</v>
      </c>
      <c r="N366" s="42" t="s">
        <v>53</v>
      </c>
      <c r="O366" s="52" t="s">
        <v>135</v>
      </c>
      <c r="P366" s="54">
        <v>0</v>
      </c>
      <c r="Q366" s="52"/>
      <c r="R366" s="54">
        <v>0</v>
      </c>
      <c r="S366" s="57">
        <v>46054</v>
      </c>
      <c r="T366" s="54">
        <v>0</v>
      </c>
      <c r="U366" s="58">
        <v>4</v>
      </c>
      <c r="V366" s="54">
        <v>59.5</v>
      </c>
      <c r="W366" s="42" t="s">
        <v>47</v>
      </c>
      <c r="X366" s="42" t="s">
        <v>48</v>
      </c>
      <c r="Y366" s="42" t="s">
        <v>36</v>
      </c>
      <c r="Z366" s="42" t="s">
        <v>9</v>
      </c>
      <c r="AA366" s="42" t="s">
        <v>49</v>
      </c>
      <c r="AB366" s="42" t="s">
        <v>136</v>
      </c>
      <c r="AC366" s="42" t="s">
        <v>38</v>
      </c>
      <c r="AD366" s="59" t="s">
        <v>242</v>
      </c>
      <c r="AE366" s="60"/>
      <c r="AF366" s="60"/>
      <c r="AG366" s="60"/>
      <c r="AH366" s="60"/>
      <c r="AI366" s="60"/>
      <c r="AJ366" s="60"/>
      <c r="AK366" s="60"/>
      <c r="AL366" s="60"/>
      <c r="AM366" s="60"/>
      <c r="AN366" s="60"/>
      <c r="AO366" s="60"/>
      <c r="AP366" s="60"/>
      <c r="AQ366" s="60"/>
      <c r="AR366" s="60"/>
      <c r="AS366" s="60"/>
      <c r="AT366" s="60"/>
      <c r="AU366" s="60"/>
      <c r="AV366" s="60"/>
      <c r="AW366" s="60"/>
    </row>
    <row r="367" spans="1:49" ht="31.5" x14ac:dyDescent="0.2">
      <c r="A367" s="42" t="s">
        <v>133</v>
      </c>
      <c r="B367" s="44">
        <v>46063</v>
      </c>
      <c r="C367" s="44">
        <v>46063</v>
      </c>
      <c r="D367" s="42" t="s">
        <v>132</v>
      </c>
      <c r="E367" s="47">
        <v>0.83333333333333337</v>
      </c>
      <c r="F367" s="47">
        <v>0.875</v>
      </c>
      <c r="G367" s="47">
        <v>1.6203703703703701E-4</v>
      </c>
      <c r="H367" s="42" t="s">
        <v>159</v>
      </c>
      <c r="I367" s="50">
        <v>0.87387962962962962</v>
      </c>
      <c r="J367" s="42" t="s">
        <v>41</v>
      </c>
      <c r="K367" s="42" t="s">
        <v>165</v>
      </c>
      <c r="L367" s="52">
        <v>1</v>
      </c>
      <c r="M367" s="52">
        <v>66850</v>
      </c>
      <c r="N367" s="42" t="s">
        <v>53</v>
      </c>
      <c r="O367" s="52" t="s">
        <v>135</v>
      </c>
      <c r="P367" s="54">
        <v>0</v>
      </c>
      <c r="Q367" s="52"/>
      <c r="R367" s="54">
        <v>0</v>
      </c>
      <c r="S367" s="57">
        <v>46054</v>
      </c>
      <c r="T367" s="54">
        <v>0</v>
      </c>
      <c r="U367" s="58">
        <v>4</v>
      </c>
      <c r="V367" s="54">
        <v>59.5</v>
      </c>
      <c r="W367" s="42" t="s">
        <v>47</v>
      </c>
      <c r="X367" s="42" t="s">
        <v>48</v>
      </c>
      <c r="Y367" s="42" t="s">
        <v>36</v>
      </c>
      <c r="Z367" s="42" t="s">
        <v>9</v>
      </c>
      <c r="AA367" s="42" t="s">
        <v>49</v>
      </c>
      <c r="AB367" s="42" t="s">
        <v>136</v>
      </c>
      <c r="AC367" s="42" t="s">
        <v>38</v>
      </c>
      <c r="AD367" s="59" t="s">
        <v>242</v>
      </c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</row>
    <row r="368" spans="1:49" ht="31.5" x14ac:dyDescent="0.2">
      <c r="A368" s="42" t="s">
        <v>133</v>
      </c>
      <c r="B368" s="44">
        <v>46064</v>
      </c>
      <c r="C368" s="44">
        <v>46064</v>
      </c>
      <c r="D368" s="42" t="s">
        <v>166</v>
      </c>
      <c r="E368" s="47">
        <v>0.25</v>
      </c>
      <c r="F368" s="47">
        <v>0.99930555555555556</v>
      </c>
      <c r="G368" s="47">
        <v>1.6203703703703701E-4</v>
      </c>
      <c r="H368" s="42" t="s">
        <v>159</v>
      </c>
      <c r="I368" s="50">
        <v>0.29017361111111112</v>
      </c>
      <c r="J368" s="42" t="s">
        <v>41</v>
      </c>
      <c r="K368" s="42" t="s">
        <v>40</v>
      </c>
      <c r="L368" s="52">
        <v>1</v>
      </c>
      <c r="M368" s="52">
        <v>66852</v>
      </c>
      <c r="N368" s="42" t="s">
        <v>46</v>
      </c>
      <c r="O368" s="52" t="s">
        <v>135</v>
      </c>
      <c r="P368" s="54">
        <v>0</v>
      </c>
      <c r="Q368" s="52"/>
      <c r="R368" s="54">
        <v>0</v>
      </c>
      <c r="S368" s="57">
        <v>46054</v>
      </c>
      <c r="T368" s="54">
        <v>0</v>
      </c>
      <c r="U368" s="58">
        <v>4</v>
      </c>
      <c r="V368" s="54">
        <v>0</v>
      </c>
      <c r="W368" s="42" t="s">
        <v>47</v>
      </c>
      <c r="X368" s="42" t="s">
        <v>48</v>
      </c>
      <c r="Y368" s="42" t="s">
        <v>36</v>
      </c>
      <c r="Z368" s="42" t="s">
        <v>9</v>
      </c>
      <c r="AA368" s="42" t="s">
        <v>49</v>
      </c>
      <c r="AB368" s="42" t="s">
        <v>136</v>
      </c>
      <c r="AC368" s="42" t="s">
        <v>38</v>
      </c>
      <c r="AD368" s="59" t="s">
        <v>242</v>
      </c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</row>
    <row r="369" spans="1:49" ht="31.5" x14ac:dyDescent="0.2">
      <c r="A369" s="42" t="s">
        <v>133</v>
      </c>
      <c r="B369" s="44">
        <v>46064</v>
      </c>
      <c r="C369" s="44">
        <v>46064</v>
      </c>
      <c r="D369" s="42" t="s">
        <v>166</v>
      </c>
      <c r="E369" s="47">
        <v>0.25</v>
      </c>
      <c r="F369" s="47">
        <v>0.99930555555555556</v>
      </c>
      <c r="G369" s="47">
        <v>1.7361111111111109E-4</v>
      </c>
      <c r="H369" s="42" t="s">
        <v>137</v>
      </c>
      <c r="I369" s="50">
        <v>0.32520833333333332</v>
      </c>
      <c r="J369" s="42" t="s">
        <v>41</v>
      </c>
      <c r="K369" s="42" t="s">
        <v>167</v>
      </c>
      <c r="L369" s="52">
        <v>1</v>
      </c>
      <c r="M369" s="52">
        <v>66852</v>
      </c>
      <c r="N369" s="42" t="s">
        <v>46</v>
      </c>
      <c r="O369" s="52" t="s">
        <v>135</v>
      </c>
      <c r="P369" s="54">
        <v>0</v>
      </c>
      <c r="Q369" s="52"/>
      <c r="R369" s="54">
        <v>0</v>
      </c>
      <c r="S369" s="57">
        <v>46054</v>
      </c>
      <c r="T369" s="54">
        <v>0</v>
      </c>
      <c r="U369" s="58">
        <v>4</v>
      </c>
      <c r="V369" s="54">
        <v>0</v>
      </c>
      <c r="W369" s="42" t="s">
        <v>47</v>
      </c>
      <c r="X369" s="42" t="s">
        <v>48</v>
      </c>
      <c r="Y369" s="42" t="s">
        <v>36</v>
      </c>
      <c r="Z369" s="42" t="s">
        <v>9</v>
      </c>
      <c r="AA369" s="42" t="s">
        <v>49</v>
      </c>
      <c r="AB369" s="42" t="s">
        <v>136</v>
      </c>
      <c r="AC369" s="42" t="s">
        <v>38</v>
      </c>
      <c r="AD369" s="59" t="s">
        <v>242</v>
      </c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</row>
    <row r="370" spans="1:49" ht="31.5" x14ac:dyDescent="0.2">
      <c r="A370" s="42" t="s">
        <v>133</v>
      </c>
      <c r="B370" s="44">
        <v>46064</v>
      </c>
      <c r="C370" s="44">
        <v>46064</v>
      </c>
      <c r="D370" s="42" t="s">
        <v>166</v>
      </c>
      <c r="E370" s="47">
        <v>0.79166666666666663</v>
      </c>
      <c r="F370" s="47">
        <v>0.99930555555555556</v>
      </c>
      <c r="G370" s="47">
        <v>1.7361111111111109E-4</v>
      </c>
      <c r="H370" s="42" t="s">
        <v>158</v>
      </c>
      <c r="I370" s="50">
        <v>0.80297453703703703</v>
      </c>
      <c r="J370" s="42" t="s">
        <v>116</v>
      </c>
      <c r="K370" s="42" t="s">
        <v>115</v>
      </c>
      <c r="L370" s="52">
        <v>1</v>
      </c>
      <c r="M370" s="52">
        <v>66849</v>
      </c>
      <c r="N370" s="42" t="s">
        <v>53</v>
      </c>
      <c r="O370" s="52" t="s">
        <v>135</v>
      </c>
      <c r="P370" s="54">
        <v>0</v>
      </c>
      <c r="Q370" s="52"/>
      <c r="R370" s="54">
        <v>0</v>
      </c>
      <c r="S370" s="57">
        <v>46054</v>
      </c>
      <c r="T370" s="54">
        <v>0</v>
      </c>
      <c r="U370" s="58">
        <v>4</v>
      </c>
      <c r="V370" s="54">
        <v>59.5</v>
      </c>
      <c r="W370" s="42" t="s">
        <v>47</v>
      </c>
      <c r="X370" s="42" t="s">
        <v>48</v>
      </c>
      <c r="Y370" s="42" t="s">
        <v>36</v>
      </c>
      <c r="Z370" s="42" t="s">
        <v>9</v>
      </c>
      <c r="AA370" s="42" t="s">
        <v>49</v>
      </c>
      <c r="AB370" s="42" t="s">
        <v>136</v>
      </c>
      <c r="AC370" s="42" t="s">
        <v>38</v>
      </c>
      <c r="AD370" s="59" t="s">
        <v>242</v>
      </c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</row>
    <row r="371" spans="1:49" ht="31.5" x14ac:dyDescent="0.25">
      <c r="A371" s="42" t="s">
        <v>133</v>
      </c>
      <c r="B371" s="44">
        <v>46064</v>
      </c>
      <c r="C371" s="44">
        <v>46064</v>
      </c>
      <c r="D371" s="42" t="s">
        <v>166</v>
      </c>
      <c r="E371" s="47">
        <v>0.79166666666666663</v>
      </c>
      <c r="F371" s="47">
        <v>0.99930555555555556</v>
      </c>
      <c r="G371" s="47">
        <v>1.6203703703703701E-4</v>
      </c>
      <c r="H371" s="42" t="s">
        <v>134</v>
      </c>
      <c r="I371" s="50">
        <v>0.82740740740740737</v>
      </c>
      <c r="J371" s="42" t="s">
        <v>116</v>
      </c>
      <c r="K371" s="42" t="s">
        <v>131</v>
      </c>
      <c r="L371" s="52">
        <v>1</v>
      </c>
      <c r="M371" s="52">
        <v>66849</v>
      </c>
      <c r="N371" s="42" t="s">
        <v>53</v>
      </c>
      <c r="O371" s="52" t="s">
        <v>135</v>
      </c>
      <c r="P371" s="54">
        <v>0</v>
      </c>
      <c r="Q371" s="52"/>
      <c r="R371" s="54">
        <v>0</v>
      </c>
      <c r="S371" s="57">
        <v>46054</v>
      </c>
      <c r="T371" s="54">
        <v>0</v>
      </c>
      <c r="U371" s="58">
        <v>4</v>
      </c>
      <c r="V371" s="54">
        <v>59.5</v>
      </c>
      <c r="W371" s="42" t="s">
        <v>47</v>
      </c>
      <c r="X371" s="42" t="s">
        <v>48</v>
      </c>
      <c r="Y371" s="42" t="s">
        <v>36</v>
      </c>
      <c r="Z371" s="42" t="s">
        <v>9</v>
      </c>
      <c r="AA371" s="42" t="s">
        <v>49</v>
      </c>
      <c r="AB371" s="42" t="s">
        <v>136</v>
      </c>
      <c r="AC371" s="42" t="s">
        <v>38</v>
      </c>
      <c r="AD371" s="59" t="s">
        <v>242</v>
      </c>
      <c r="AE371" s="60"/>
      <c r="AF371" s="60"/>
      <c r="AG371" s="60"/>
      <c r="AH371" s="60"/>
      <c r="AI371" s="60"/>
      <c r="AJ371" s="60"/>
      <c r="AK371" s="60"/>
      <c r="AL371" s="60"/>
      <c r="AM371" s="60"/>
      <c r="AN371" s="60"/>
      <c r="AO371" s="60"/>
      <c r="AP371" s="60"/>
      <c r="AQ371" s="60"/>
      <c r="AR371" s="60"/>
      <c r="AS371" s="60"/>
      <c r="AT371" s="60"/>
      <c r="AU371" s="60"/>
      <c r="AV371" s="60"/>
      <c r="AW371" s="60"/>
    </row>
    <row r="372" spans="1:49" ht="31.5" x14ac:dyDescent="0.25">
      <c r="A372" s="42" t="s">
        <v>133</v>
      </c>
      <c r="B372" s="44">
        <v>46064</v>
      </c>
      <c r="C372" s="44">
        <v>46064</v>
      </c>
      <c r="D372" s="42" t="s">
        <v>166</v>
      </c>
      <c r="E372" s="47">
        <v>0.79166666666666663</v>
      </c>
      <c r="F372" s="47">
        <v>0.99930555555555556</v>
      </c>
      <c r="G372" s="47">
        <v>1.7361111111111109E-4</v>
      </c>
      <c r="H372" s="42" t="s">
        <v>158</v>
      </c>
      <c r="I372" s="50">
        <v>0.8319212962962963</v>
      </c>
      <c r="J372" s="42" t="s">
        <v>116</v>
      </c>
      <c r="K372" s="42" t="s">
        <v>131</v>
      </c>
      <c r="L372" s="52">
        <v>1</v>
      </c>
      <c r="M372" s="52">
        <v>66849</v>
      </c>
      <c r="N372" s="42" t="s">
        <v>53</v>
      </c>
      <c r="O372" s="52" t="s">
        <v>135</v>
      </c>
      <c r="P372" s="54">
        <v>0</v>
      </c>
      <c r="Q372" s="52"/>
      <c r="R372" s="54">
        <v>0</v>
      </c>
      <c r="S372" s="57">
        <v>46054</v>
      </c>
      <c r="T372" s="54">
        <v>0</v>
      </c>
      <c r="U372" s="58">
        <v>4</v>
      </c>
      <c r="V372" s="54">
        <v>59.5</v>
      </c>
      <c r="W372" s="42" t="s">
        <v>47</v>
      </c>
      <c r="X372" s="42" t="s">
        <v>48</v>
      </c>
      <c r="Y372" s="42" t="s">
        <v>36</v>
      </c>
      <c r="Z372" s="42" t="s">
        <v>9</v>
      </c>
      <c r="AA372" s="42" t="s">
        <v>49</v>
      </c>
      <c r="AB372" s="42" t="s">
        <v>136</v>
      </c>
      <c r="AC372" s="42" t="s">
        <v>38</v>
      </c>
      <c r="AD372" s="59" t="s">
        <v>242</v>
      </c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  <c r="AW372" s="62"/>
    </row>
    <row r="373" spans="1:49" ht="31.5" x14ac:dyDescent="0.2">
      <c r="A373" s="42" t="s">
        <v>133</v>
      </c>
      <c r="B373" s="44">
        <v>46064</v>
      </c>
      <c r="C373" s="44">
        <v>46064</v>
      </c>
      <c r="D373" s="42" t="s">
        <v>166</v>
      </c>
      <c r="E373" s="47">
        <v>0.83333333333333337</v>
      </c>
      <c r="F373" s="47">
        <v>0.875</v>
      </c>
      <c r="G373" s="47">
        <v>1.6203703703703701E-4</v>
      </c>
      <c r="H373" s="42" t="s">
        <v>159</v>
      </c>
      <c r="I373" s="50">
        <v>0.84302361111111113</v>
      </c>
      <c r="J373" s="42" t="s">
        <v>41</v>
      </c>
      <c r="K373" s="42" t="s">
        <v>165</v>
      </c>
      <c r="L373" s="52">
        <v>1</v>
      </c>
      <c r="M373" s="52">
        <v>66850</v>
      </c>
      <c r="N373" s="42" t="s">
        <v>53</v>
      </c>
      <c r="O373" s="52" t="s">
        <v>135</v>
      </c>
      <c r="P373" s="54">
        <v>0</v>
      </c>
      <c r="Q373" s="52"/>
      <c r="R373" s="54">
        <v>0</v>
      </c>
      <c r="S373" s="57">
        <v>46054</v>
      </c>
      <c r="T373" s="54">
        <v>0</v>
      </c>
      <c r="U373" s="58">
        <v>4</v>
      </c>
      <c r="V373" s="54">
        <v>59.5</v>
      </c>
      <c r="W373" s="42" t="s">
        <v>47</v>
      </c>
      <c r="X373" s="42" t="s">
        <v>48</v>
      </c>
      <c r="Y373" s="42" t="s">
        <v>36</v>
      </c>
      <c r="Z373" s="42" t="s">
        <v>9</v>
      </c>
      <c r="AA373" s="42" t="s">
        <v>49</v>
      </c>
      <c r="AB373" s="42" t="s">
        <v>136</v>
      </c>
      <c r="AC373" s="42" t="s">
        <v>38</v>
      </c>
      <c r="AD373" s="59" t="s">
        <v>242</v>
      </c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</row>
    <row r="374" spans="1:49" ht="31.5" x14ac:dyDescent="0.25">
      <c r="A374" s="42" t="s">
        <v>133</v>
      </c>
      <c r="B374" s="44">
        <v>46064</v>
      </c>
      <c r="C374" s="44">
        <v>46064</v>
      </c>
      <c r="D374" s="42" t="s">
        <v>166</v>
      </c>
      <c r="E374" s="47">
        <v>0.83333333333333337</v>
      </c>
      <c r="F374" s="47">
        <v>0.875</v>
      </c>
      <c r="G374" s="47">
        <v>1.7361111111111109E-4</v>
      </c>
      <c r="H374" s="42" t="s">
        <v>137</v>
      </c>
      <c r="I374" s="50">
        <v>0.85325231481481478</v>
      </c>
      <c r="J374" s="42" t="s">
        <v>41</v>
      </c>
      <c r="K374" s="42" t="s">
        <v>165</v>
      </c>
      <c r="L374" s="52">
        <v>1</v>
      </c>
      <c r="M374" s="52">
        <v>66850</v>
      </c>
      <c r="N374" s="42" t="s">
        <v>53</v>
      </c>
      <c r="O374" s="52" t="s">
        <v>135</v>
      </c>
      <c r="P374" s="54">
        <v>0</v>
      </c>
      <c r="Q374" s="52"/>
      <c r="R374" s="54">
        <v>0</v>
      </c>
      <c r="S374" s="57">
        <v>46054</v>
      </c>
      <c r="T374" s="54">
        <v>0</v>
      </c>
      <c r="U374" s="58">
        <v>4</v>
      </c>
      <c r="V374" s="54">
        <v>59.5</v>
      </c>
      <c r="W374" s="42" t="s">
        <v>47</v>
      </c>
      <c r="X374" s="42" t="s">
        <v>48</v>
      </c>
      <c r="Y374" s="42" t="s">
        <v>36</v>
      </c>
      <c r="Z374" s="42" t="s">
        <v>9</v>
      </c>
      <c r="AA374" s="42" t="s">
        <v>49</v>
      </c>
      <c r="AB374" s="42" t="s">
        <v>136</v>
      </c>
      <c r="AC374" s="42" t="s">
        <v>38</v>
      </c>
      <c r="AD374" s="59" t="s">
        <v>242</v>
      </c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  <c r="AW374" s="62"/>
    </row>
    <row r="375" spans="1:49" ht="31.5" x14ac:dyDescent="0.25">
      <c r="A375" s="42" t="s">
        <v>133</v>
      </c>
      <c r="B375" s="44">
        <v>46064</v>
      </c>
      <c r="C375" s="44">
        <v>46064</v>
      </c>
      <c r="D375" s="42" t="s">
        <v>166</v>
      </c>
      <c r="E375" s="47">
        <v>0.83333333333333337</v>
      </c>
      <c r="F375" s="47">
        <v>0.875</v>
      </c>
      <c r="G375" s="47">
        <v>1.6203703703703701E-4</v>
      </c>
      <c r="H375" s="42" t="s">
        <v>159</v>
      </c>
      <c r="I375" s="50">
        <v>0.8739351851851852</v>
      </c>
      <c r="J375" s="42" t="s">
        <v>41</v>
      </c>
      <c r="K375" s="42" t="s">
        <v>165</v>
      </c>
      <c r="L375" s="52">
        <v>1</v>
      </c>
      <c r="M375" s="52">
        <v>66850</v>
      </c>
      <c r="N375" s="42" t="s">
        <v>53</v>
      </c>
      <c r="O375" s="52" t="s">
        <v>135</v>
      </c>
      <c r="P375" s="54">
        <v>0</v>
      </c>
      <c r="Q375" s="52"/>
      <c r="R375" s="54">
        <v>0</v>
      </c>
      <c r="S375" s="57">
        <v>46054</v>
      </c>
      <c r="T375" s="54">
        <v>0</v>
      </c>
      <c r="U375" s="58">
        <v>4</v>
      </c>
      <c r="V375" s="54">
        <v>59.5</v>
      </c>
      <c r="W375" s="42" t="s">
        <v>47</v>
      </c>
      <c r="X375" s="42" t="s">
        <v>48</v>
      </c>
      <c r="Y375" s="42" t="s">
        <v>36</v>
      </c>
      <c r="Z375" s="42" t="s">
        <v>9</v>
      </c>
      <c r="AA375" s="42" t="s">
        <v>49</v>
      </c>
      <c r="AB375" s="42" t="s">
        <v>136</v>
      </c>
      <c r="AC375" s="42" t="s">
        <v>38</v>
      </c>
      <c r="AD375" s="59" t="s">
        <v>242</v>
      </c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  <c r="AW375" s="62"/>
    </row>
    <row r="376" spans="1:49" ht="31.5" x14ac:dyDescent="0.2">
      <c r="A376" s="42" t="s">
        <v>133</v>
      </c>
      <c r="B376" s="44">
        <v>46065</v>
      </c>
      <c r="C376" s="44">
        <v>46065</v>
      </c>
      <c r="D376" s="42" t="s">
        <v>179</v>
      </c>
      <c r="E376" s="47">
        <v>0.25</v>
      </c>
      <c r="F376" s="47">
        <v>0.99930555555555556</v>
      </c>
      <c r="G376" s="47">
        <v>1.6203703703703701E-4</v>
      </c>
      <c r="H376" s="42" t="s">
        <v>159</v>
      </c>
      <c r="I376" s="50">
        <v>0.89552129629629618</v>
      </c>
      <c r="J376" s="42" t="s">
        <v>41</v>
      </c>
      <c r="K376" s="42" t="s">
        <v>125</v>
      </c>
      <c r="L376" s="52">
        <v>1</v>
      </c>
      <c r="M376" s="52">
        <v>66852</v>
      </c>
      <c r="N376" s="42" t="s">
        <v>46</v>
      </c>
      <c r="O376" s="52" t="s">
        <v>135</v>
      </c>
      <c r="P376" s="54">
        <v>0</v>
      </c>
      <c r="Q376" s="52"/>
      <c r="R376" s="54">
        <v>0</v>
      </c>
      <c r="S376" s="57">
        <v>46054</v>
      </c>
      <c r="T376" s="54">
        <v>0</v>
      </c>
      <c r="U376" s="58">
        <v>4</v>
      </c>
      <c r="V376" s="54">
        <v>0</v>
      </c>
      <c r="W376" s="42" t="s">
        <v>47</v>
      </c>
      <c r="X376" s="42" t="s">
        <v>48</v>
      </c>
      <c r="Y376" s="42" t="s">
        <v>36</v>
      </c>
      <c r="Z376" s="42" t="s">
        <v>9</v>
      </c>
      <c r="AA376" s="42" t="s">
        <v>49</v>
      </c>
      <c r="AB376" s="42" t="s">
        <v>136</v>
      </c>
      <c r="AC376" s="42" t="s">
        <v>38</v>
      </c>
      <c r="AD376" s="59" t="s">
        <v>242</v>
      </c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</row>
    <row r="377" spans="1:49" ht="31.5" x14ac:dyDescent="0.2">
      <c r="A377" s="42" t="s">
        <v>133</v>
      </c>
      <c r="B377" s="44">
        <v>46065</v>
      </c>
      <c r="C377" s="44">
        <v>46065</v>
      </c>
      <c r="D377" s="42" t="s">
        <v>179</v>
      </c>
      <c r="E377" s="47">
        <v>0.25</v>
      </c>
      <c r="F377" s="47">
        <v>0.99930555555555556</v>
      </c>
      <c r="G377" s="47">
        <v>1.7361111111111109E-4</v>
      </c>
      <c r="H377" s="42" t="s">
        <v>137</v>
      </c>
      <c r="I377" s="50">
        <v>0.93302106481481484</v>
      </c>
      <c r="J377" s="42" t="s">
        <v>41</v>
      </c>
      <c r="K377" s="42" t="s">
        <v>187</v>
      </c>
      <c r="L377" s="52">
        <v>1</v>
      </c>
      <c r="M377" s="52">
        <v>66852</v>
      </c>
      <c r="N377" s="42" t="s">
        <v>46</v>
      </c>
      <c r="O377" s="52" t="s">
        <v>135</v>
      </c>
      <c r="P377" s="54">
        <v>0</v>
      </c>
      <c r="Q377" s="52"/>
      <c r="R377" s="54">
        <v>0</v>
      </c>
      <c r="S377" s="57">
        <v>46054</v>
      </c>
      <c r="T377" s="54">
        <v>0</v>
      </c>
      <c r="U377" s="58">
        <v>4</v>
      </c>
      <c r="V377" s="54">
        <v>0</v>
      </c>
      <c r="W377" s="42" t="s">
        <v>47</v>
      </c>
      <c r="X377" s="42" t="s">
        <v>48</v>
      </c>
      <c r="Y377" s="42" t="s">
        <v>36</v>
      </c>
      <c r="Z377" s="42" t="s">
        <v>9</v>
      </c>
      <c r="AA377" s="42" t="s">
        <v>49</v>
      </c>
      <c r="AB377" s="42" t="s">
        <v>136</v>
      </c>
      <c r="AC377" s="42" t="s">
        <v>38</v>
      </c>
      <c r="AD377" s="59" t="s">
        <v>242</v>
      </c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</row>
    <row r="378" spans="1:49" ht="31.5" x14ac:dyDescent="0.25">
      <c r="A378" s="42" t="s">
        <v>133</v>
      </c>
      <c r="B378" s="44">
        <v>46065</v>
      </c>
      <c r="C378" s="44">
        <v>46065</v>
      </c>
      <c r="D378" s="42" t="s">
        <v>179</v>
      </c>
      <c r="E378" s="47">
        <v>0.79166666666666663</v>
      </c>
      <c r="F378" s="47">
        <v>0.99930555555555556</v>
      </c>
      <c r="G378" s="47">
        <v>1.6203703703703701E-4</v>
      </c>
      <c r="H378" s="42" t="s">
        <v>134</v>
      </c>
      <c r="I378" s="50">
        <v>0.80155405092592602</v>
      </c>
      <c r="J378" s="42" t="s">
        <v>116</v>
      </c>
      <c r="K378" s="42" t="s">
        <v>115</v>
      </c>
      <c r="L378" s="52">
        <v>1</v>
      </c>
      <c r="M378" s="52">
        <v>66849</v>
      </c>
      <c r="N378" s="42" t="s">
        <v>53</v>
      </c>
      <c r="O378" s="52" t="s">
        <v>135</v>
      </c>
      <c r="P378" s="54">
        <v>0</v>
      </c>
      <c r="Q378" s="52"/>
      <c r="R378" s="54">
        <v>0</v>
      </c>
      <c r="S378" s="57">
        <v>46054</v>
      </c>
      <c r="T378" s="54">
        <v>0</v>
      </c>
      <c r="U378" s="58">
        <v>4</v>
      </c>
      <c r="V378" s="54">
        <v>59.5</v>
      </c>
      <c r="W378" s="42" t="s">
        <v>47</v>
      </c>
      <c r="X378" s="42" t="s">
        <v>48</v>
      </c>
      <c r="Y378" s="42" t="s">
        <v>36</v>
      </c>
      <c r="Z378" s="42" t="s">
        <v>9</v>
      </c>
      <c r="AA378" s="42" t="s">
        <v>49</v>
      </c>
      <c r="AB378" s="42" t="s">
        <v>136</v>
      </c>
      <c r="AC378" s="42" t="s">
        <v>38</v>
      </c>
      <c r="AD378" s="59" t="s">
        <v>242</v>
      </c>
      <c r="AE378" s="60"/>
      <c r="AF378" s="60"/>
      <c r="AG378" s="60"/>
      <c r="AH378" s="60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</row>
    <row r="379" spans="1:49" ht="31.5" x14ac:dyDescent="0.2">
      <c r="A379" s="42" t="s">
        <v>133</v>
      </c>
      <c r="B379" s="44">
        <v>46065</v>
      </c>
      <c r="C379" s="44">
        <v>46065</v>
      </c>
      <c r="D379" s="42" t="s">
        <v>179</v>
      </c>
      <c r="E379" s="47">
        <v>0.79166666666666663</v>
      </c>
      <c r="F379" s="47">
        <v>1</v>
      </c>
      <c r="G379" s="47">
        <v>1.7361111111111109E-4</v>
      </c>
      <c r="H379" s="42" t="s">
        <v>158</v>
      </c>
      <c r="I379" s="50">
        <v>0.99959710648148148</v>
      </c>
      <c r="J379" s="42" t="s">
        <v>116</v>
      </c>
      <c r="K379" s="42" t="s">
        <v>127</v>
      </c>
      <c r="L379" s="52">
        <v>1</v>
      </c>
      <c r="M379" s="52">
        <v>66849</v>
      </c>
      <c r="N379" s="42" t="s">
        <v>53</v>
      </c>
      <c r="O379" s="52" t="s">
        <v>135</v>
      </c>
      <c r="P379" s="54">
        <v>0</v>
      </c>
      <c r="Q379" s="52"/>
      <c r="R379" s="54">
        <v>0</v>
      </c>
      <c r="S379" s="57">
        <v>46054</v>
      </c>
      <c r="T379" s="54">
        <v>0</v>
      </c>
      <c r="U379" s="58">
        <v>4</v>
      </c>
      <c r="V379" s="54">
        <v>59.5</v>
      </c>
      <c r="W379" s="42" t="s">
        <v>47</v>
      </c>
      <c r="X379" s="42" t="s">
        <v>48</v>
      </c>
      <c r="Y379" s="42" t="s">
        <v>36</v>
      </c>
      <c r="Z379" s="42" t="s">
        <v>9</v>
      </c>
      <c r="AA379" s="42" t="s">
        <v>49</v>
      </c>
      <c r="AB379" s="42" t="s">
        <v>136</v>
      </c>
      <c r="AC379" s="42" t="s">
        <v>38</v>
      </c>
      <c r="AD379" s="59" t="s">
        <v>242</v>
      </c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</row>
    <row r="380" spans="1:49" ht="31.5" x14ac:dyDescent="0.25">
      <c r="A380" s="42" t="s">
        <v>133</v>
      </c>
      <c r="B380" s="44">
        <v>46065</v>
      </c>
      <c r="C380" s="44">
        <v>46065</v>
      </c>
      <c r="D380" s="42" t="s">
        <v>179</v>
      </c>
      <c r="E380" s="47">
        <v>0.83333333333333337</v>
      </c>
      <c r="F380" s="47">
        <v>0.875</v>
      </c>
      <c r="G380" s="47">
        <v>1.7361111111111109E-4</v>
      </c>
      <c r="H380" s="42" t="s">
        <v>137</v>
      </c>
      <c r="I380" s="50">
        <v>0.84475717592592592</v>
      </c>
      <c r="J380" s="42" t="s">
        <v>41</v>
      </c>
      <c r="K380" s="42" t="s">
        <v>165</v>
      </c>
      <c r="L380" s="52">
        <v>1</v>
      </c>
      <c r="M380" s="52">
        <v>66850</v>
      </c>
      <c r="N380" s="42" t="s">
        <v>53</v>
      </c>
      <c r="O380" s="52" t="s">
        <v>135</v>
      </c>
      <c r="P380" s="54">
        <v>0</v>
      </c>
      <c r="Q380" s="52"/>
      <c r="R380" s="54">
        <v>0</v>
      </c>
      <c r="S380" s="57">
        <v>46054</v>
      </c>
      <c r="T380" s="54">
        <v>0</v>
      </c>
      <c r="U380" s="58">
        <v>4</v>
      </c>
      <c r="V380" s="54">
        <v>59.5</v>
      </c>
      <c r="W380" s="42" t="s">
        <v>47</v>
      </c>
      <c r="X380" s="42" t="s">
        <v>48</v>
      </c>
      <c r="Y380" s="42" t="s">
        <v>36</v>
      </c>
      <c r="Z380" s="42" t="s">
        <v>9</v>
      </c>
      <c r="AA380" s="42" t="s">
        <v>49</v>
      </c>
      <c r="AB380" s="42" t="s">
        <v>136</v>
      </c>
      <c r="AC380" s="42" t="s">
        <v>38</v>
      </c>
      <c r="AD380" s="59" t="s">
        <v>242</v>
      </c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  <c r="AW380" s="62"/>
    </row>
    <row r="381" spans="1:49" ht="31.5" x14ac:dyDescent="0.2">
      <c r="A381" s="42" t="s">
        <v>133</v>
      </c>
      <c r="B381" s="44">
        <v>46065</v>
      </c>
      <c r="C381" s="44">
        <v>46065</v>
      </c>
      <c r="D381" s="42" t="s">
        <v>179</v>
      </c>
      <c r="E381" s="47">
        <v>0.83333333333333337</v>
      </c>
      <c r="F381" s="47">
        <v>0.875</v>
      </c>
      <c r="G381" s="47">
        <v>1.6203703703703701E-4</v>
      </c>
      <c r="H381" s="42" t="s">
        <v>159</v>
      </c>
      <c r="I381" s="50">
        <v>0.86632106481481486</v>
      </c>
      <c r="J381" s="42" t="s">
        <v>41</v>
      </c>
      <c r="K381" s="42" t="s">
        <v>165</v>
      </c>
      <c r="L381" s="52">
        <v>1</v>
      </c>
      <c r="M381" s="52">
        <v>66850</v>
      </c>
      <c r="N381" s="42" t="s">
        <v>53</v>
      </c>
      <c r="O381" s="52" t="s">
        <v>135</v>
      </c>
      <c r="P381" s="54">
        <v>0</v>
      </c>
      <c r="Q381" s="52"/>
      <c r="R381" s="54">
        <v>0</v>
      </c>
      <c r="S381" s="57">
        <v>46054</v>
      </c>
      <c r="T381" s="54">
        <v>0</v>
      </c>
      <c r="U381" s="58">
        <v>4</v>
      </c>
      <c r="V381" s="54">
        <v>59.5</v>
      </c>
      <c r="W381" s="42" t="s">
        <v>47</v>
      </c>
      <c r="X381" s="42" t="s">
        <v>48</v>
      </c>
      <c r="Y381" s="42" t="s">
        <v>36</v>
      </c>
      <c r="Z381" s="42" t="s">
        <v>9</v>
      </c>
      <c r="AA381" s="42" t="s">
        <v>49</v>
      </c>
      <c r="AB381" s="42" t="s">
        <v>136</v>
      </c>
      <c r="AC381" s="42" t="s">
        <v>38</v>
      </c>
      <c r="AD381" s="59" t="s">
        <v>242</v>
      </c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</row>
    <row r="382" spans="1:49" ht="31.5" x14ac:dyDescent="0.2">
      <c r="A382" s="42" t="s">
        <v>133</v>
      </c>
      <c r="B382" s="44">
        <v>46065</v>
      </c>
      <c r="C382" s="44">
        <v>46065</v>
      </c>
      <c r="D382" s="42" t="s">
        <v>179</v>
      </c>
      <c r="E382" s="47">
        <v>0.83333333333333337</v>
      </c>
      <c r="F382" s="47">
        <v>0.875</v>
      </c>
      <c r="G382" s="47">
        <v>1.7361111111111109E-4</v>
      </c>
      <c r="H382" s="42" t="s">
        <v>137</v>
      </c>
      <c r="I382" s="50">
        <v>0.87422523148148146</v>
      </c>
      <c r="J382" s="42" t="s">
        <v>41</v>
      </c>
      <c r="K382" s="42" t="s">
        <v>165</v>
      </c>
      <c r="L382" s="52">
        <v>1</v>
      </c>
      <c r="M382" s="52">
        <v>66850</v>
      </c>
      <c r="N382" s="42" t="s">
        <v>53</v>
      </c>
      <c r="O382" s="52" t="s">
        <v>135</v>
      </c>
      <c r="P382" s="54">
        <v>0</v>
      </c>
      <c r="Q382" s="52"/>
      <c r="R382" s="54">
        <v>0</v>
      </c>
      <c r="S382" s="57">
        <v>46054</v>
      </c>
      <c r="T382" s="54">
        <v>0</v>
      </c>
      <c r="U382" s="58">
        <v>4</v>
      </c>
      <c r="V382" s="54">
        <v>59.5</v>
      </c>
      <c r="W382" s="42" t="s">
        <v>47</v>
      </c>
      <c r="X382" s="42" t="s">
        <v>48</v>
      </c>
      <c r="Y382" s="42" t="s">
        <v>36</v>
      </c>
      <c r="Z382" s="42" t="s">
        <v>9</v>
      </c>
      <c r="AA382" s="42" t="s">
        <v>49</v>
      </c>
      <c r="AB382" s="42" t="s">
        <v>136</v>
      </c>
      <c r="AC382" s="42" t="s">
        <v>38</v>
      </c>
      <c r="AD382" s="59" t="s">
        <v>242</v>
      </c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</row>
    <row r="383" spans="1:49" ht="31.5" x14ac:dyDescent="0.2">
      <c r="A383" s="42" t="s">
        <v>133</v>
      </c>
      <c r="B383" s="44">
        <v>46066</v>
      </c>
      <c r="C383" s="44">
        <v>46066</v>
      </c>
      <c r="D383" s="42" t="s">
        <v>195</v>
      </c>
      <c r="E383" s="47">
        <v>0.25</v>
      </c>
      <c r="F383" s="47">
        <v>0.99930555555555556</v>
      </c>
      <c r="G383" s="47">
        <v>1.6203703703703701E-4</v>
      </c>
      <c r="H383" s="42" t="s">
        <v>159</v>
      </c>
      <c r="I383" s="50">
        <v>0.25884571759259262</v>
      </c>
      <c r="J383" s="42" t="s">
        <v>41</v>
      </c>
      <c r="K383" s="42" t="s">
        <v>40</v>
      </c>
      <c r="L383" s="52">
        <v>1</v>
      </c>
      <c r="M383" s="52">
        <v>66852</v>
      </c>
      <c r="N383" s="42" t="s">
        <v>46</v>
      </c>
      <c r="O383" s="52" t="s">
        <v>135</v>
      </c>
      <c r="P383" s="54">
        <v>0</v>
      </c>
      <c r="Q383" s="52"/>
      <c r="R383" s="54">
        <v>0</v>
      </c>
      <c r="S383" s="57">
        <v>46054</v>
      </c>
      <c r="T383" s="54">
        <v>0</v>
      </c>
      <c r="U383" s="58">
        <v>4</v>
      </c>
      <c r="V383" s="54">
        <v>0</v>
      </c>
      <c r="W383" s="42" t="s">
        <v>47</v>
      </c>
      <c r="X383" s="42" t="s">
        <v>48</v>
      </c>
      <c r="Y383" s="42" t="s">
        <v>36</v>
      </c>
      <c r="Z383" s="42" t="s">
        <v>9</v>
      </c>
      <c r="AA383" s="42" t="s">
        <v>49</v>
      </c>
      <c r="AB383" s="42" t="s">
        <v>136</v>
      </c>
      <c r="AC383" s="42" t="s">
        <v>38</v>
      </c>
      <c r="AD383" s="59" t="s">
        <v>242</v>
      </c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</row>
    <row r="384" spans="1:49" ht="31.5" x14ac:dyDescent="0.2">
      <c r="A384" s="42" t="s">
        <v>133</v>
      </c>
      <c r="B384" s="44">
        <v>46066</v>
      </c>
      <c r="C384" s="44">
        <v>46066</v>
      </c>
      <c r="D384" s="42" t="s">
        <v>195</v>
      </c>
      <c r="E384" s="47">
        <v>0.25</v>
      </c>
      <c r="F384" s="47">
        <v>0.99930555555555556</v>
      </c>
      <c r="G384" s="47">
        <v>1.6203703703703701E-4</v>
      </c>
      <c r="H384" s="42" t="s">
        <v>159</v>
      </c>
      <c r="I384" s="50">
        <v>0.93946782407407414</v>
      </c>
      <c r="J384" s="42" t="s">
        <v>41</v>
      </c>
      <c r="K384" s="42" t="s">
        <v>202</v>
      </c>
      <c r="L384" s="52">
        <v>1</v>
      </c>
      <c r="M384" s="52">
        <v>66852</v>
      </c>
      <c r="N384" s="42" t="s">
        <v>46</v>
      </c>
      <c r="O384" s="52" t="s">
        <v>135</v>
      </c>
      <c r="P384" s="54">
        <v>0</v>
      </c>
      <c r="Q384" s="52"/>
      <c r="R384" s="54">
        <v>0</v>
      </c>
      <c r="S384" s="57">
        <v>46054</v>
      </c>
      <c r="T384" s="54">
        <v>0</v>
      </c>
      <c r="U384" s="58">
        <v>4</v>
      </c>
      <c r="V384" s="54">
        <v>0</v>
      </c>
      <c r="W384" s="42" t="s">
        <v>47</v>
      </c>
      <c r="X384" s="42" t="s">
        <v>48</v>
      </c>
      <c r="Y384" s="42" t="s">
        <v>36</v>
      </c>
      <c r="Z384" s="42" t="s">
        <v>9</v>
      </c>
      <c r="AA384" s="42" t="s">
        <v>49</v>
      </c>
      <c r="AB384" s="42" t="s">
        <v>136</v>
      </c>
      <c r="AC384" s="42" t="s">
        <v>38</v>
      </c>
      <c r="AD384" s="59" t="s">
        <v>242</v>
      </c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</row>
    <row r="385" spans="1:49" ht="31.5" x14ac:dyDescent="0.25">
      <c r="A385" s="42" t="s">
        <v>133</v>
      </c>
      <c r="B385" s="44">
        <v>46066</v>
      </c>
      <c r="C385" s="44">
        <v>46066</v>
      </c>
      <c r="D385" s="42" t="s">
        <v>195</v>
      </c>
      <c r="E385" s="47">
        <v>0.79166666666666663</v>
      </c>
      <c r="F385" s="47">
        <v>0.99930555555555556</v>
      </c>
      <c r="G385" s="47">
        <v>1.7361111111111109E-4</v>
      </c>
      <c r="H385" s="42" t="s">
        <v>158</v>
      </c>
      <c r="I385" s="50">
        <v>0.79768518518518516</v>
      </c>
      <c r="J385" s="42" t="s">
        <v>116</v>
      </c>
      <c r="K385" s="42" t="s">
        <v>115</v>
      </c>
      <c r="L385" s="52">
        <v>1</v>
      </c>
      <c r="M385" s="52">
        <v>66849</v>
      </c>
      <c r="N385" s="42" t="s">
        <v>53</v>
      </c>
      <c r="O385" s="52" t="s">
        <v>135</v>
      </c>
      <c r="P385" s="54">
        <v>0</v>
      </c>
      <c r="Q385" s="52"/>
      <c r="R385" s="54">
        <v>0</v>
      </c>
      <c r="S385" s="57">
        <v>46054</v>
      </c>
      <c r="T385" s="54">
        <v>0</v>
      </c>
      <c r="U385" s="58">
        <v>4</v>
      </c>
      <c r="V385" s="54">
        <v>59.5</v>
      </c>
      <c r="W385" s="42" t="s">
        <v>47</v>
      </c>
      <c r="X385" s="42" t="s">
        <v>48</v>
      </c>
      <c r="Y385" s="42" t="s">
        <v>36</v>
      </c>
      <c r="Z385" s="42" t="s">
        <v>9</v>
      </c>
      <c r="AA385" s="42" t="s">
        <v>49</v>
      </c>
      <c r="AB385" s="42" t="s">
        <v>136</v>
      </c>
      <c r="AC385" s="42" t="s">
        <v>38</v>
      </c>
      <c r="AD385" s="59" t="s">
        <v>242</v>
      </c>
      <c r="AE385" s="60"/>
      <c r="AF385" s="60"/>
      <c r="AG385" s="60"/>
      <c r="AH385" s="60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</row>
    <row r="386" spans="1:49" ht="31.5" x14ac:dyDescent="0.25">
      <c r="A386" s="42" t="s">
        <v>133</v>
      </c>
      <c r="B386" s="44">
        <v>46066</v>
      </c>
      <c r="C386" s="44">
        <v>46066</v>
      </c>
      <c r="D386" s="42" t="s">
        <v>195</v>
      </c>
      <c r="E386" s="47">
        <v>0.79166666666666663</v>
      </c>
      <c r="F386" s="47">
        <v>0.99930555555555556</v>
      </c>
      <c r="G386" s="47">
        <v>1.6203703703703701E-4</v>
      </c>
      <c r="H386" s="42" t="s">
        <v>134</v>
      </c>
      <c r="I386" s="50">
        <v>0.81937824074074073</v>
      </c>
      <c r="J386" s="42" t="s">
        <v>116</v>
      </c>
      <c r="K386" s="42" t="s">
        <v>201</v>
      </c>
      <c r="L386" s="52">
        <v>1</v>
      </c>
      <c r="M386" s="52">
        <v>66849</v>
      </c>
      <c r="N386" s="42" t="s">
        <v>53</v>
      </c>
      <c r="O386" s="52" t="s">
        <v>135</v>
      </c>
      <c r="P386" s="54">
        <v>0</v>
      </c>
      <c r="Q386" s="52"/>
      <c r="R386" s="54">
        <v>0</v>
      </c>
      <c r="S386" s="57">
        <v>46054</v>
      </c>
      <c r="T386" s="54">
        <v>0</v>
      </c>
      <c r="U386" s="58">
        <v>4</v>
      </c>
      <c r="V386" s="54">
        <v>59.5</v>
      </c>
      <c r="W386" s="42" t="s">
        <v>47</v>
      </c>
      <c r="X386" s="42" t="s">
        <v>48</v>
      </c>
      <c r="Y386" s="42" t="s">
        <v>36</v>
      </c>
      <c r="Z386" s="42" t="s">
        <v>9</v>
      </c>
      <c r="AA386" s="42" t="s">
        <v>49</v>
      </c>
      <c r="AB386" s="42" t="s">
        <v>136</v>
      </c>
      <c r="AC386" s="42" t="s">
        <v>38</v>
      </c>
      <c r="AD386" s="59" t="s">
        <v>242</v>
      </c>
      <c r="AE386" s="60"/>
      <c r="AF386" s="60"/>
      <c r="AG386" s="60"/>
      <c r="AH386" s="60"/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</row>
    <row r="387" spans="1:49" ht="31.5" x14ac:dyDescent="0.2">
      <c r="A387" s="42" t="s">
        <v>133</v>
      </c>
      <c r="B387" s="44">
        <v>46066</v>
      </c>
      <c r="C387" s="44">
        <v>46066</v>
      </c>
      <c r="D387" s="42" t="s">
        <v>195</v>
      </c>
      <c r="E387" s="47">
        <v>0.83333333333333337</v>
      </c>
      <c r="F387" s="47">
        <v>0.875</v>
      </c>
      <c r="G387" s="47">
        <v>1.6203703703703701E-4</v>
      </c>
      <c r="H387" s="42" t="s">
        <v>159</v>
      </c>
      <c r="I387" s="50">
        <v>0.85472256944444447</v>
      </c>
      <c r="J387" s="42" t="s">
        <v>41</v>
      </c>
      <c r="K387" s="42" t="s">
        <v>165</v>
      </c>
      <c r="L387" s="52">
        <v>1</v>
      </c>
      <c r="M387" s="52">
        <v>66850</v>
      </c>
      <c r="N387" s="42" t="s">
        <v>53</v>
      </c>
      <c r="O387" s="52" t="s">
        <v>135</v>
      </c>
      <c r="P387" s="54">
        <v>0</v>
      </c>
      <c r="Q387" s="52"/>
      <c r="R387" s="54">
        <v>0</v>
      </c>
      <c r="S387" s="57">
        <v>46054</v>
      </c>
      <c r="T387" s="54">
        <v>0</v>
      </c>
      <c r="U387" s="58">
        <v>4</v>
      </c>
      <c r="V387" s="54">
        <v>59.5</v>
      </c>
      <c r="W387" s="42" t="s">
        <v>47</v>
      </c>
      <c r="X387" s="42" t="s">
        <v>48</v>
      </c>
      <c r="Y387" s="42" t="s">
        <v>36</v>
      </c>
      <c r="Z387" s="42" t="s">
        <v>9</v>
      </c>
      <c r="AA387" s="42" t="s">
        <v>49</v>
      </c>
      <c r="AB387" s="42" t="s">
        <v>136</v>
      </c>
      <c r="AC387" s="42" t="s">
        <v>38</v>
      </c>
      <c r="AD387" s="59" t="s">
        <v>242</v>
      </c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</row>
    <row r="388" spans="1:49" ht="31.5" x14ac:dyDescent="0.25">
      <c r="A388" s="42" t="s">
        <v>133</v>
      </c>
      <c r="B388" s="44">
        <v>46066</v>
      </c>
      <c r="C388" s="44">
        <v>46066</v>
      </c>
      <c r="D388" s="42" t="s">
        <v>195</v>
      </c>
      <c r="E388" s="47">
        <v>0.83333333333333337</v>
      </c>
      <c r="F388" s="47">
        <v>0.875</v>
      </c>
      <c r="G388" s="47">
        <v>1.7361111111111109E-4</v>
      </c>
      <c r="H388" s="42" t="s">
        <v>137</v>
      </c>
      <c r="I388" s="50">
        <v>0.86843749999999997</v>
      </c>
      <c r="J388" s="42" t="s">
        <v>41</v>
      </c>
      <c r="K388" s="42" t="s">
        <v>165</v>
      </c>
      <c r="L388" s="52">
        <v>1</v>
      </c>
      <c r="M388" s="52">
        <v>66850</v>
      </c>
      <c r="N388" s="42" t="s">
        <v>53</v>
      </c>
      <c r="O388" s="52" t="s">
        <v>135</v>
      </c>
      <c r="P388" s="54">
        <v>0</v>
      </c>
      <c r="Q388" s="52"/>
      <c r="R388" s="54">
        <v>0</v>
      </c>
      <c r="S388" s="57">
        <v>46054</v>
      </c>
      <c r="T388" s="54">
        <v>0</v>
      </c>
      <c r="U388" s="58">
        <v>4</v>
      </c>
      <c r="V388" s="54">
        <v>59.5</v>
      </c>
      <c r="W388" s="42" t="s">
        <v>47</v>
      </c>
      <c r="X388" s="42" t="s">
        <v>48</v>
      </c>
      <c r="Y388" s="42" t="s">
        <v>36</v>
      </c>
      <c r="Z388" s="42" t="s">
        <v>9</v>
      </c>
      <c r="AA388" s="42" t="s">
        <v>49</v>
      </c>
      <c r="AB388" s="42" t="s">
        <v>136</v>
      </c>
      <c r="AC388" s="42" t="s">
        <v>38</v>
      </c>
      <c r="AD388" s="59" t="s">
        <v>242</v>
      </c>
      <c r="AE388" s="60"/>
      <c r="AF388" s="60"/>
      <c r="AG388" s="60"/>
      <c r="AH388" s="60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</row>
    <row r="389" spans="1:49" ht="31.5" x14ac:dyDescent="0.2">
      <c r="A389" s="42" t="s">
        <v>133</v>
      </c>
      <c r="B389" s="44">
        <v>46067</v>
      </c>
      <c r="C389" s="44">
        <v>46067</v>
      </c>
      <c r="D389" s="42" t="s">
        <v>203</v>
      </c>
      <c r="E389" s="47">
        <v>0.25</v>
      </c>
      <c r="F389" s="47">
        <v>0.99930555555555556</v>
      </c>
      <c r="G389" s="47">
        <v>1.7361111111111109E-4</v>
      </c>
      <c r="H389" s="42" t="s">
        <v>137</v>
      </c>
      <c r="I389" s="50">
        <v>0.29114745370370371</v>
      </c>
      <c r="J389" s="42" t="s">
        <v>41</v>
      </c>
      <c r="K389" s="42" t="s">
        <v>40</v>
      </c>
      <c r="L389" s="52">
        <v>1</v>
      </c>
      <c r="M389" s="52">
        <v>66852</v>
      </c>
      <c r="N389" s="42" t="s">
        <v>46</v>
      </c>
      <c r="O389" s="52" t="s">
        <v>135</v>
      </c>
      <c r="P389" s="54">
        <v>0</v>
      </c>
      <c r="Q389" s="52"/>
      <c r="R389" s="54">
        <v>0</v>
      </c>
      <c r="S389" s="57">
        <v>46054</v>
      </c>
      <c r="T389" s="54">
        <v>0</v>
      </c>
      <c r="U389" s="58">
        <v>4</v>
      </c>
      <c r="V389" s="54">
        <v>0</v>
      </c>
      <c r="W389" s="42" t="s">
        <v>47</v>
      </c>
      <c r="X389" s="42" t="s">
        <v>48</v>
      </c>
      <c r="Y389" s="42" t="s">
        <v>36</v>
      </c>
      <c r="Z389" s="42" t="s">
        <v>9</v>
      </c>
      <c r="AA389" s="42" t="s">
        <v>49</v>
      </c>
      <c r="AB389" s="42" t="s">
        <v>136</v>
      </c>
      <c r="AC389" s="42" t="s">
        <v>38</v>
      </c>
      <c r="AD389" s="59" t="s">
        <v>242</v>
      </c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</row>
    <row r="390" spans="1:49" ht="31.5" x14ac:dyDescent="0.25">
      <c r="A390" s="42" t="s">
        <v>133</v>
      </c>
      <c r="B390" s="44">
        <v>46067</v>
      </c>
      <c r="C390" s="44">
        <v>46067</v>
      </c>
      <c r="D390" s="42" t="s">
        <v>203</v>
      </c>
      <c r="E390" s="47">
        <v>0.25</v>
      </c>
      <c r="F390" s="47">
        <v>0.99930555555555556</v>
      </c>
      <c r="G390" s="47">
        <v>1.6203703703703701E-4</v>
      </c>
      <c r="H390" s="42" t="s">
        <v>159</v>
      </c>
      <c r="I390" s="50">
        <v>0.31128518518518522</v>
      </c>
      <c r="J390" s="42" t="s">
        <v>41</v>
      </c>
      <c r="K390" s="42" t="s">
        <v>56</v>
      </c>
      <c r="L390" s="52">
        <v>1</v>
      </c>
      <c r="M390" s="52">
        <v>66852</v>
      </c>
      <c r="N390" s="42" t="s">
        <v>46</v>
      </c>
      <c r="O390" s="52" t="s">
        <v>135</v>
      </c>
      <c r="P390" s="54">
        <v>0</v>
      </c>
      <c r="Q390" s="52"/>
      <c r="R390" s="54">
        <v>0</v>
      </c>
      <c r="S390" s="57">
        <v>46054</v>
      </c>
      <c r="T390" s="54">
        <v>0</v>
      </c>
      <c r="U390" s="58">
        <v>4</v>
      </c>
      <c r="V390" s="54">
        <v>0</v>
      </c>
      <c r="W390" s="42" t="s">
        <v>47</v>
      </c>
      <c r="X390" s="42" t="s">
        <v>48</v>
      </c>
      <c r="Y390" s="42" t="s">
        <v>36</v>
      </c>
      <c r="Z390" s="42" t="s">
        <v>9</v>
      </c>
      <c r="AA390" s="42" t="s">
        <v>49</v>
      </c>
      <c r="AB390" s="42" t="s">
        <v>136</v>
      </c>
      <c r="AC390" s="42" t="s">
        <v>38</v>
      </c>
      <c r="AD390" s="59" t="s">
        <v>242</v>
      </c>
      <c r="AE390" s="60"/>
      <c r="AF390" s="60"/>
      <c r="AG390" s="60"/>
      <c r="AH390" s="60"/>
      <c r="AI390" s="60"/>
      <c r="AJ390" s="60"/>
      <c r="AK390" s="60"/>
      <c r="AL390" s="60"/>
      <c r="AM390" s="60"/>
      <c r="AN390" s="60"/>
      <c r="AO390" s="60"/>
      <c r="AP390" s="60"/>
      <c r="AQ390" s="60"/>
      <c r="AR390" s="60"/>
      <c r="AS390" s="60"/>
      <c r="AT390" s="60"/>
      <c r="AU390" s="60"/>
      <c r="AV390" s="60"/>
      <c r="AW390" s="60"/>
    </row>
    <row r="391" spans="1:49" ht="31.5" x14ac:dyDescent="0.2">
      <c r="A391" s="42" t="s">
        <v>133</v>
      </c>
      <c r="B391" s="44">
        <v>46068</v>
      </c>
      <c r="C391" s="44">
        <v>46068</v>
      </c>
      <c r="D391" s="42" t="s">
        <v>231</v>
      </c>
      <c r="E391" s="47">
        <v>0.25</v>
      </c>
      <c r="F391" s="47">
        <v>0.99930555555555556</v>
      </c>
      <c r="G391" s="47">
        <v>1.7361111111111109E-4</v>
      </c>
      <c r="H391" s="42" t="s">
        <v>137</v>
      </c>
      <c r="I391" s="50">
        <v>0.31679675925925926</v>
      </c>
      <c r="J391" s="42" t="s">
        <v>41</v>
      </c>
      <c r="K391" s="42" t="s">
        <v>167</v>
      </c>
      <c r="L391" s="52">
        <v>1</v>
      </c>
      <c r="M391" s="52">
        <v>66852</v>
      </c>
      <c r="N391" s="42" t="s">
        <v>46</v>
      </c>
      <c r="O391" s="52" t="s">
        <v>135</v>
      </c>
      <c r="P391" s="54">
        <v>0</v>
      </c>
      <c r="Q391" s="52"/>
      <c r="R391" s="54">
        <v>0</v>
      </c>
      <c r="S391" s="57">
        <v>46054</v>
      </c>
      <c r="T391" s="54">
        <v>0</v>
      </c>
      <c r="U391" s="58">
        <v>4</v>
      </c>
      <c r="V391" s="54">
        <v>0</v>
      </c>
      <c r="W391" s="42" t="s">
        <v>47</v>
      </c>
      <c r="X391" s="42" t="s">
        <v>48</v>
      </c>
      <c r="Y391" s="42" t="s">
        <v>36</v>
      </c>
      <c r="Z391" s="42" t="s">
        <v>9</v>
      </c>
      <c r="AA391" s="42" t="s">
        <v>49</v>
      </c>
      <c r="AB391" s="42" t="s">
        <v>136</v>
      </c>
      <c r="AC391" s="42" t="s">
        <v>38</v>
      </c>
      <c r="AD391" s="59" t="s">
        <v>242</v>
      </c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</row>
    <row r="392" spans="1:49" ht="31.5" x14ac:dyDescent="0.2">
      <c r="A392" s="42" t="s">
        <v>133</v>
      </c>
      <c r="B392" s="44">
        <v>46068</v>
      </c>
      <c r="C392" s="44">
        <v>46068</v>
      </c>
      <c r="D392" s="42" t="s">
        <v>231</v>
      </c>
      <c r="E392" s="47">
        <v>0.25</v>
      </c>
      <c r="F392" s="47">
        <v>0.99930555555555556</v>
      </c>
      <c r="G392" s="47">
        <v>1.7361111111111109E-4</v>
      </c>
      <c r="H392" s="42" t="s">
        <v>137</v>
      </c>
      <c r="I392" s="50">
        <v>0.87406249999999996</v>
      </c>
      <c r="J392" s="42" t="s">
        <v>41</v>
      </c>
      <c r="K392" s="42" t="s">
        <v>165</v>
      </c>
      <c r="L392" s="52">
        <v>1</v>
      </c>
      <c r="M392" s="52">
        <v>66852</v>
      </c>
      <c r="N392" s="42" t="s">
        <v>46</v>
      </c>
      <c r="O392" s="52" t="s">
        <v>135</v>
      </c>
      <c r="P392" s="54">
        <v>0</v>
      </c>
      <c r="Q392" s="52"/>
      <c r="R392" s="54">
        <v>0</v>
      </c>
      <c r="S392" s="57">
        <v>46054</v>
      </c>
      <c r="T392" s="54">
        <v>0</v>
      </c>
      <c r="U392" s="58">
        <v>4</v>
      </c>
      <c r="V392" s="54">
        <v>0</v>
      </c>
      <c r="W392" s="42" t="s">
        <v>47</v>
      </c>
      <c r="X392" s="42" t="s">
        <v>48</v>
      </c>
      <c r="Y392" s="42" t="s">
        <v>36</v>
      </c>
      <c r="Z392" s="42" t="s">
        <v>9</v>
      </c>
      <c r="AA392" s="42" t="s">
        <v>49</v>
      </c>
      <c r="AB392" s="42" t="s">
        <v>136</v>
      </c>
      <c r="AC392" s="42" t="s">
        <v>38</v>
      </c>
      <c r="AD392" s="59" t="s">
        <v>242</v>
      </c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</row>
    <row r="393" spans="1:49" ht="31.5" x14ac:dyDescent="0.2">
      <c r="A393" s="43" t="s">
        <v>87</v>
      </c>
      <c r="B393" s="45">
        <v>46062</v>
      </c>
      <c r="C393" s="45">
        <v>46062</v>
      </c>
      <c r="D393" s="46" t="s">
        <v>30</v>
      </c>
      <c r="E393" s="48">
        <v>0.5</v>
      </c>
      <c r="F393" s="48">
        <v>0.54166666666666663</v>
      </c>
      <c r="G393" s="48">
        <v>4.1666666666666664E-2</v>
      </c>
      <c r="H393" s="43" t="s">
        <v>88</v>
      </c>
      <c r="I393" s="51"/>
      <c r="J393" s="43" t="s">
        <v>76</v>
      </c>
      <c r="K393" s="43"/>
      <c r="L393" s="53">
        <v>1</v>
      </c>
      <c r="M393" s="53">
        <v>1</v>
      </c>
      <c r="N393" s="43" t="s">
        <v>33</v>
      </c>
      <c r="O393" s="43"/>
      <c r="P393" s="55">
        <v>0</v>
      </c>
      <c r="Q393" s="53"/>
      <c r="R393" s="55">
        <v>0</v>
      </c>
      <c r="S393" s="43">
        <v>46054</v>
      </c>
      <c r="T393" s="55">
        <v>0</v>
      </c>
      <c r="U393" s="53">
        <v>2</v>
      </c>
      <c r="V393" s="55">
        <v>0</v>
      </c>
      <c r="W393" s="43" t="s">
        <v>34</v>
      </c>
      <c r="X393" s="43" t="s">
        <v>42</v>
      </c>
      <c r="Y393" s="43" t="s">
        <v>36</v>
      </c>
      <c r="Z393" s="43" t="s">
        <v>43</v>
      </c>
      <c r="AA393" s="43" t="s">
        <v>37</v>
      </c>
      <c r="AB393" s="43" t="s">
        <v>37</v>
      </c>
      <c r="AC393" s="43" t="s">
        <v>38</v>
      </c>
      <c r="AD393" s="59" t="s">
        <v>242</v>
      </c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</row>
    <row r="394" spans="1:49" ht="31.5" x14ac:dyDescent="0.2">
      <c r="A394" s="43" t="s">
        <v>87</v>
      </c>
      <c r="B394" s="45">
        <v>46063</v>
      </c>
      <c r="C394" s="45">
        <v>46063</v>
      </c>
      <c r="D394" s="46" t="s">
        <v>132</v>
      </c>
      <c r="E394" s="48">
        <v>0.5</v>
      </c>
      <c r="F394" s="48">
        <v>0.54166666666666663</v>
      </c>
      <c r="G394" s="48">
        <v>4.1666666666666664E-2</v>
      </c>
      <c r="H394" s="43" t="s">
        <v>88</v>
      </c>
      <c r="I394" s="51"/>
      <c r="J394" s="43" t="s">
        <v>76</v>
      </c>
      <c r="K394" s="43"/>
      <c r="L394" s="53">
        <v>1</v>
      </c>
      <c r="M394" s="53">
        <v>1</v>
      </c>
      <c r="N394" s="43" t="s">
        <v>33</v>
      </c>
      <c r="O394" s="43"/>
      <c r="P394" s="55">
        <v>0</v>
      </c>
      <c r="Q394" s="53"/>
      <c r="R394" s="55">
        <v>0</v>
      </c>
      <c r="S394" s="43">
        <v>46054</v>
      </c>
      <c r="T394" s="55">
        <v>0</v>
      </c>
      <c r="U394" s="53">
        <v>2</v>
      </c>
      <c r="V394" s="55">
        <v>0</v>
      </c>
      <c r="W394" s="43" t="s">
        <v>34</v>
      </c>
      <c r="X394" s="43" t="s">
        <v>42</v>
      </c>
      <c r="Y394" s="43" t="s">
        <v>36</v>
      </c>
      <c r="Z394" s="43" t="s">
        <v>43</v>
      </c>
      <c r="AA394" s="43" t="s">
        <v>37</v>
      </c>
      <c r="AB394" s="43" t="s">
        <v>37</v>
      </c>
      <c r="AC394" s="43" t="s">
        <v>38</v>
      </c>
      <c r="AD394" s="59" t="s">
        <v>242</v>
      </c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</row>
    <row r="395" spans="1:49" ht="31.5" x14ac:dyDescent="0.2">
      <c r="A395" s="43" t="s">
        <v>87</v>
      </c>
      <c r="B395" s="45">
        <v>46064</v>
      </c>
      <c r="C395" s="45">
        <v>46064</v>
      </c>
      <c r="D395" s="46" t="s">
        <v>166</v>
      </c>
      <c r="E395" s="48">
        <v>0.5</v>
      </c>
      <c r="F395" s="48">
        <v>0.54166666666666663</v>
      </c>
      <c r="G395" s="48">
        <v>4.1666666666666664E-2</v>
      </c>
      <c r="H395" s="43" t="s">
        <v>88</v>
      </c>
      <c r="I395" s="51"/>
      <c r="J395" s="43" t="s">
        <v>76</v>
      </c>
      <c r="K395" s="43"/>
      <c r="L395" s="53">
        <v>1</v>
      </c>
      <c r="M395" s="53">
        <v>1</v>
      </c>
      <c r="N395" s="43" t="s">
        <v>33</v>
      </c>
      <c r="O395" s="43"/>
      <c r="P395" s="55">
        <v>0</v>
      </c>
      <c r="Q395" s="53"/>
      <c r="R395" s="55">
        <v>0</v>
      </c>
      <c r="S395" s="43">
        <v>46054</v>
      </c>
      <c r="T395" s="55">
        <v>0</v>
      </c>
      <c r="U395" s="53">
        <v>2</v>
      </c>
      <c r="V395" s="55">
        <v>0</v>
      </c>
      <c r="W395" s="43" t="s">
        <v>34</v>
      </c>
      <c r="X395" s="43" t="s">
        <v>42</v>
      </c>
      <c r="Y395" s="43" t="s">
        <v>36</v>
      </c>
      <c r="Z395" s="43" t="s">
        <v>43</v>
      </c>
      <c r="AA395" s="43" t="s">
        <v>37</v>
      </c>
      <c r="AB395" s="43" t="s">
        <v>37</v>
      </c>
      <c r="AC395" s="43" t="s">
        <v>38</v>
      </c>
      <c r="AD395" s="59" t="s">
        <v>242</v>
      </c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</row>
    <row r="396" spans="1:49" ht="31.5" x14ac:dyDescent="0.2">
      <c r="A396" s="43" t="s">
        <v>87</v>
      </c>
      <c r="B396" s="45">
        <v>46065</v>
      </c>
      <c r="C396" s="45">
        <v>46065</v>
      </c>
      <c r="D396" s="46" t="s">
        <v>179</v>
      </c>
      <c r="E396" s="48">
        <v>0.5</v>
      </c>
      <c r="F396" s="48">
        <v>0.54166666666666663</v>
      </c>
      <c r="G396" s="48">
        <v>4.1666666666666664E-2</v>
      </c>
      <c r="H396" s="43" t="s">
        <v>88</v>
      </c>
      <c r="I396" s="51"/>
      <c r="J396" s="43" t="s">
        <v>76</v>
      </c>
      <c r="K396" s="43"/>
      <c r="L396" s="53">
        <v>1</v>
      </c>
      <c r="M396" s="53">
        <v>1</v>
      </c>
      <c r="N396" s="43" t="s">
        <v>33</v>
      </c>
      <c r="O396" s="43"/>
      <c r="P396" s="55">
        <v>0</v>
      </c>
      <c r="Q396" s="53"/>
      <c r="R396" s="55">
        <v>0</v>
      </c>
      <c r="S396" s="43">
        <v>46054</v>
      </c>
      <c r="T396" s="55">
        <v>0</v>
      </c>
      <c r="U396" s="53">
        <v>2</v>
      </c>
      <c r="V396" s="55">
        <v>0</v>
      </c>
      <c r="W396" s="43" t="s">
        <v>34</v>
      </c>
      <c r="X396" s="43" t="s">
        <v>42</v>
      </c>
      <c r="Y396" s="43" t="s">
        <v>36</v>
      </c>
      <c r="Z396" s="43" t="s">
        <v>43</v>
      </c>
      <c r="AA396" s="43" t="s">
        <v>37</v>
      </c>
      <c r="AB396" s="43" t="s">
        <v>37</v>
      </c>
      <c r="AC396" s="43" t="s">
        <v>38</v>
      </c>
      <c r="AD396" s="59" t="s">
        <v>242</v>
      </c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</row>
    <row r="397" spans="1:49" ht="31.5" x14ac:dyDescent="0.2">
      <c r="A397" s="43" t="s">
        <v>87</v>
      </c>
      <c r="B397" s="45">
        <v>46066</v>
      </c>
      <c r="C397" s="45">
        <v>46066</v>
      </c>
      <c r="D397" s="46" t="s">
        <v>195</v>
      </c>
      <c r="E397" s="48">
        <v>0.5</v>
      </c>
      <c r="F397" s="48">
        <v>0.54166666666666663</v>
      </c>
      <c r="G397" s="48">
        <v>4.1666666666666664E-2</v>
      </c>
      <c r="H397" s="43" t="s">
        <v>88</v>
      </c>
      <c r="I397" s="51"/>
      <c r="J397" s="43" t="s">
        <v>76</v>
      </c>
      <c r="K397" s="43"/>
      <c r="L397" s="53">
        <v>1</v>
      </c>
      <c r="M397" s="53">
        <v>1</v>
      </c>
      <c r="N397" s="43" t="s">
        <v>33</v>
      </c>
      <c r="O397" s="43"/>
      <c r="P397" s="55">
        <v>0</v>
      </c>
      <c r="Q397" s="53"/>
      <c r="R397" s="55">
        <v>0</v>
      </c>
      <c r="S397" s="43">
        <v>46054</v>
      </c>
      <c r="T397" s="55">
        <v>0</v>
      </c>
      <c r="U397" s="53">
        <v>2</v>
      </c>
      <c r="V397" s="55">
        <v>0</v>
      </c>
      <c r="W397" s="43" t="s">
        <v>34</v>
      </c>
      <c r="X397" s="43" t="s">
        <v>42</v>
      </c>
      <c r="Y397" s="43" t="s">
        <v>36</v>
      </c>
      <c r="Z397" s="43" t="s">
        <v>43</v>
      </c>
      <c r="AA397" s="43" t="s">
        <v>37</v>
      </c>
      <c r="AB397" s="43" t="s">
        <v>37</v>
      </c>
      <c r="AC397" s="43" t="s">
        <v>38</v>
      </c>
      <c r="AD397" s="59" t="s">
        <v>242</v>
      </c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</row>
    <row r="398" spans="1:49" ht="31.5" x14ac:dyDescent="0.2">
      <c r="A398" s="43" t="s">
        <v>87</v>
      </c>
      <c r="B398" s="45">
        <v>46067</v>
      </c>
      <c r="C398" s="45">
        <v>46067</v>
      </c>
      <c r="D398" s="46" t="s">
        <v>203</v>
      </c>
      <c r="E398" s="48">
        <v>0.41666666666666669</v>
      </c>
      <c r="F398" s="48">
        <v>0.45833333333333331</v>
      </c>
      <c r="G398" s="48">
        <v>4.1666666666666664E-2</v>
      </c>
      <c r="H398" s="43" t="s">
        <v>210</v>
      </c>
      <c r="I398" s="51"/>
      <c r="J398" s="43" t="s">
        <v>32</v>
      </c>
      <c r="K398" s="43"/>
      <c r="L398" s="53">
        <v>1</v>
      </c>
      <c r="M398" s="53">
        <v>1</v>
      </c>
      <c r="N398" s="43" t="s">
        <v>33</v>
      </c>
      <c r="O398" s="43"/>
      <c r="P398" s="55">
        <v>0</v>
      </c>
      <c r="Q398" s="53"/>
      <c r="R398" s="55">
        <v>0</v>
      </c>
      <c r="S398" s="43">
        <v>46054</v>
      </c>
      <c r="T398" s="55">
        <v>0</v>
      </c>
      <c r="U398" s="53">
        <v>1</v>
      </c>
      <c r="V398" s="55">
        <v>0</v>
      </c>
      <c r="W398" s="43" t="s">
        <v>34</v>
      </c>
      <c r="X398" s="43" t="s">
        <v>42</v>
      </c>
      <c r="Y398" s="43" t="s">
        <v>36</v>
      </c>
      <c r="Z398" s="43" t="s">
        <v>43</v>
      </c>
      <c r="AA398" s="43" t="s">
        <v>37</v>
      </c>
      <c r="AB398" s="43" t="s">
        <v>37</v>
      </c>
      <c r="AC398" s="43" t="s">
        <v>38</v>
      </c>
      <c r="AD398" s="59" t="s">
        <v>242</v>
      </c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</row>
    <row r="399" spans="1:49" ht="31.5" x14ac:dyDescent="0.2">
      <c r="A399" s="43" t="s">
        <v>87</v>
      </c>
      <c r="B399" s="45">
        <v>46068</v>
      </c>
      <c r="C399" s="45">
        <v>46068</v>
      </c>
      <c r="D399" s="46" t="s">
        <v>231</v>
      </c>
      <c r="E399" s="48">
        <v>0.41666666666666669</v>
      </c>
      <c r="F399" s="48">
        <v>0.45833333333333331</v>
      </c>
      <c r="G399" s="48">
        <v>4.1666666666666664E-2</v>
      </c>
      <c r="H399" s="43" t="s">
        <v>210</v>
      </c>
      <c r="I399" s="51"/>
      <c r="J399" s="43" t="s">
        <v>32</v>
      </c>
      <c r="K399" s="43"/>
      <c r="L399" s="53">
        <v>1</v>
      </c>
      <c r="M399" s="53">
        <v>1</v>
      </c>
      <c r="N399" s="43" t="s">
        <v>33</v>
      </c>
      <c r="O399" s="43"/>
      <c r="P399" s="55">
        <v>0</v>
      </c>
      <c r="Q399" s="53"/>
      <c r="R399" s="55">
        <v>0</v>
      </c>
      <c r="S399" s="43">
        <v>46054</v>
      </c>
      <c r="T399" s="55">
        <v>0</v>
      </c>
      <c r="U399" s="53">
        <v>1</v>
      </c>
      <c r="V399" s="55">
        <v>0</v>
      </c>
      <c r="W399" s="43" t="s">
        <v>34</v>
      </c>
      <c r="X399" s="43" t="s">
        <v>42</v>
      </c>
      <c r="Y399" s="43" t="s">
        <v>36</v>
      </c>
      <c r="Z399" s="43" t="s">
        <v>43</v>
      </c>
      <c r="AA399" s="43" t="s">
        <v>37</v>
      </c>
      <c r="AB399" s="43" t="s">
        <v>37</v>
      </c>
      <c r="AC399" s="43" t="s">
        <v>38</v>
      </c>
      <c r="AD399" s="59" t="s">
        <v>242</v>
      </c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</row>
    <row r="401" spans="1:49" s="28" customFormat="1" ht="15" x14ac:dyDescent="0.25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</row>
    <row r="402" spans="1:49" s="28" customFormat="1" ht="15" x14ac:dyDescent="0.25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</row>
    <row r="403" spans="1:49" s="28" customFormat="1" ht="15" x14ac:dyDescent="0.25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</row>
    <row r="404" spans="1:49" s="28" customFormat="1" ht="15" x14ac:dyDescent="0.25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</row>
    <row r="405" spans="1:49" s="28" customFormat="1" ht="15" x14ac:dyDescent="0.25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</row>
    <row r="406" spans="1:49" s="28" customFormat="1" ht="15" x14ac:dyDescent="0.25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</row>
    <row r="407" spans="1:49" s="28" customFormat="1" ht="15" x14ac:dyDescent="0.25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</row>
    <row r="408" spans="1:49" s="28" customFormat="1" ht="15" x14ac:dyDescent="0.25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</row>
    <row r="409" spans="1:49" s="28" customFormat="1" ht="15" x14ac:dyDescent="0.25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</row>
    <row r="410" spans="1:49" s="28" customFormat="1" ht="15" x14ac:dyDescent="0.25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</row>
    <row r="411" spans="1:49" s="28" customFormat="1" ht="15" x14ac:dyDescent="0.25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</row>
    <row r="412" spans="1:49" s="28" customFormat="1" ht="15" x14ac:dyDescent="0.25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</row>
    <row r="413" spans="1:49" s="28" customFormat="1" ht="15" x14ac:dyDescent="0.25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</row>
    <row r="414" spans="1:49" s="28" customFormat="1" ht="15" x14ac:dyDescent="0.25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</row>
    <row r="415" spans="1:49" s="28" customFormat="1" ht="15" x14ac:dyDescent="0.25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</row>
    <row r="416" spans="1:49" s="28" customFormat="1" ht="15" x14ac:dyDescent="0.25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</row>
    <row r="417" spans="1:49" s="28" customFormat="1" ht="15" x14ac:dyDescent="0.25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</row>
    <row r="418" spans="1:49" s="28" customFormat="1" ht="15" x14ac:dyDescent="0.25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</row>
    <row r="419" spans="1:49" s="28" customFormat="1" ht="15" x14ac:dyDescent="0.25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</row>
    <row r="420" spans="1:49" s="28" customFormat="1" ht="15" x14ac:dyDescent="0.25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</row>
    <row r="421" spans="1:49" s="28" customFormat="1" ht="15" x14ac:dyDescent="0.25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</row>
    <row r="422" spans="1:49" s="28" customFormat="1" ht="15" x14ac:dyDescent="0.25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</row>
    <row r="423" spans="1:49" s="28" customFormat="1" ht="15" x14ac:dyDescent="0.25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</row>
    <row r="424" spans="1:49" s="28" customFormat="1" ht="15" x14ac:dyDescent="0.25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</row>
    <row r="425" spans="1:49" s="28" customFormat="1" ht="15" x14ac:dyDescent="0.25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</row>
    <row r="426" spans="1:49" s="28" customFormat="1" ht="15" x14ac:dyDescent="0.25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</row>
    <row r="427" spans="1:49" s="28" customFormat="1" ht="15" x14ac:dyDescent="0.25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</row>
    <row r="428" spans="1:49" s="28" customFormat="1" ht="15" x14ac:dyDescent="0.25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</row>
    <row r="429" spans="1:49" s="28" customFormat="1" ht="15" x14ac:dyDescent="0.25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</row>
    <row r="430" spans="1:49" s="28" customFormat="1" ht="15" x14ac:dyDescent="0.25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</row>
    <row r="431" spans="1:49" s="28" customFormat="1" ht="15" x14ac:dyDescent="0.25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</row>
    <row r="432" spans="1:49" s="28" customFormat="1" ht="15" x14ac:dyDescent="0.25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</row>
    <row r="433" spans="1:49" s="28" customFormat="1" ht="15" x14ac:dyDescent="0.25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</row>
    <row r="434" spans="1:49" s="28" customFormat="1" ht="15" x14ac:dyDescent="0.25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</row>
    <row r="435" spans="1:49" s="28" customFormat="1" ht="15" x14ac:dyDescent="0.25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</row>
    <row r="436" spans="1:49" s="28" customFormat="1" ht="15" x14ac:dyDescent="0.25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</row>
    <row r="437" spans="1:49" s="28" customFormat="1" ht="15" x14ac:dyDescent="0.25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</row>
    <row r="438" spans="1:49" s="28" customFormat="1" ht="15" x14ac:dyDescent="0.25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</row>
    <row r="439" spans="1:49" s="28" customFormat="1" ht="15" x14ac:dyDescent="0.25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</row>
    <row r="440" spans="1:49" s="28" customFormat="1" ht="15" x14ac:dyDescent="0.25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</row>
    <row r="441" spans="1:49" s="28" customFormat="1" ht="15" x14ac:dyDescent="0.25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</row>
    <row r="442" spans="1:49" s="28" customFormat="1" ht="15" x14ac:dyDescent="0.25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</row>
    <row r="443" spans="1:49" s="28" customFormat="1" ht="15" x14ac:dyDescent="0.25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</row>
    <row r="444" spans="1:49" s="28" customFormat="1" ht="15" x14ac:dyDescent="0.25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</row>
    <row r="445" spans="1:49" s="28" customFormat="1" ht="15" x14ac:dyDescent="0.25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</row>
    <row r="446" spans="1:49" s="28" customFormat="1" ht="15" x14ac:dyDescent="0.25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</row>
    <row r="447" spans="1:49" s="28" customFormat="1" ht="15" x14ac:dyDescent="0.25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</row>
    <row r="448" spans="1:49" s="28" customFormat="1" ht="15" x14ac:dyDescent="0.25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</row>
    <row r="449" spans="1:49" s="28" customFormat="1" ht="15" x14ac:dyDescent="0.25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</row>
    <row r="450" spans="1:49" s="28" customFormat="1" ht="15" x14ac:dyDescent="0.25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</row>
    <row r="451" spans="1:49" s="28" customFormat="1" ht="15" x14ac:dyDescent="0.25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</row>
    <row r="452" spans="1:49" s="28" customFormat="1" ht="15" x14ac:dyDescent="0.25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</row>
    <row r="453" spans="1:49" s="28" customFormat="1" ht="15" x14ac:dyDescent="0.25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</row>
    <row r="454" spans="1:49" s="28" customFormat="1" ht="15" x14ac:dyDescent="0.25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</row>
    <row r="455" spans="1:49" s="28" customFormat="1" ht="15" x14ac:dyDescent="0.25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</row>
    <row r="456" spans="1:49" s="28" customFormat="1" ht="15" x14ac:dyDescent="0.25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</row>
    <row r="457" spans="1:49" s="28" customFormat="1" ht="15" x14ac:dyDescent="0.25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</row>
    <row r="458" spans="1:49" s="28" customFormat="1" ht="15" x14ac:dyDescent="0.25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</row>
    <row r="459" spans="1:49" s="28" customFormat="1" ht="15" x14ac:dyDescent="0.25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</row>
    <row r="460" spans="1:49" s="28" customFormat="1" ht="15" x14ac:dyDescent="0.25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</row>
    <row r="461" spans="1:49" s="28" customFormat="1" ht="15" x14ac:dyDescent="0.25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</row>
    <row r="462" spans="1:49" s="28" customFormat="1" ht="15" x14ac:dyDescent="0.25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</row>
    <row r="463" spans="1:49" s="28" customFormat="1" ht="15" x14ac:dyDescent="0.25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</row>
    <row r="464" spans="1:49" s="28" customFormat="1" ht="15" x14ac:dyDescent="0.25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</row>
    <row r="465" spans="1:49" s="28" customFormat="1" ht="15" x14ac:dyDescent="0.25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</row>
    <row r="466" spans="1:49" s="28" customFormat="1" ht="15" x14ac:dyDescent="0.25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</row>
    <row r="801" spans="1:49" s="39" customFormat="1" ht="15" x14ac:dyDescent="0.25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</row>
    <row r="802" spans="1:49" s="32" customFormat="1" ht="15" x14ac:dyDescent="0.25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</row>
    <row r="803" spans="1:49" s="34" customFormat="1" ht="15.75" x14ac:dyDescent="0.2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</row>
    <row r="804" spans="1:49" s="27" customFormat="1" ht="15.75" x14ac:dyDescent="0.2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</row>
    <row r="805" spans="1:49" s="27" customFormat="1" ht="15.75" x14ac:dyDescent="0.2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</row>
    <row r="806" spans="1:49" s="34" customFormat="1" ht="15.75" x14ac:dyDescent="0.2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</row>
    <row r="807" spans="1:49" s="17" customFormat="1" ht="15" x14ac:dyDescent="0.25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</row>
    <row r="808" spans="1:49" s="26" customFormat="1" ht="15" x14ac:dyDescent="0.25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</row>
    <row r="809" spans="1:49" s="34" customFormat="1" ht="15.75" x14ac:dyDescent="0.2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</row>
    <row r="810" spans="1:49" s="34" customFormat="1" ht="15.75" x14ac:dyDescent="0.2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</row>
    <row r="811" spans="1:49" s="26" customFormat="1" ht="15" x14ac:dyDescent="0.25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</row>
    <row r="812" spans="1:49" s="28" customFormat="1" ht="15" x14ac:dyDescent="0.25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</row>
    <row r="813" spans="1:49" s="28" customFormat="1" ht="15" x14ac:dyDescent="0.25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</row>
    <row r="814" spans="1:49" s="39" customFormat="1" ht="15" x14ac:dyDescent="0.25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</row>
    <row r="815" spans="1:49" s="37" customFormat="1" ht="15" x14ac:dyDescent="0.25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</row>
    <row r="816" spans="1:49" s="34" customFormat="1" ht="15.75" x14ac:dyDescent="0.2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</row>
    <row r="817" spans="1:49" s="34" customFormat="1" ht="15.75" x14ac:dyDescent="0.2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</row>
    <row r="818" spans="1:49" s="35" customFormat="1" ht="15.75" x14ac:dyDescent="0.2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</row>
    <row r="819" spans="1:49" s="36" customFormat="1" x14ac:dyDescent="0.2"/>
    <row r="820" spans="1:49" s="34" customFormat="1" ht="15.75" x14ac:dyDescent="0.2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</row>
    <row r="821" spans="1:49" s="35" customFormat="1" ht="15.75" x14ac:dyDescent="0.2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</row>
    <row r="822" spans="1:49" s="35" customFormat="1" ht="15.75" x14ac:dyDescent="0.2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</row>
    <row r="823" spans="1:49" s="28" customFormat="1" ht="15" x14ac:dyDescent="0.25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</row>
    <row r="824" spans="1:49" s="35" customFormat="1" ht="15.75" x14ac:dyDescent="0.2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</row>
    <row r="825" spans="1:49" s="34" customFormat="1" ht="15.75" x14ac:dyDescent="0.2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</row>
    <row r="826" spans="1:49" s="34" customFormat="1" ht="15.75" x14ac:dyDescent="0.2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</row>
    <row r="827" spans="1:49" s="34" customFormat="1" ht="15.75" x14ac:dyDescent="0.2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</row>
    <row r="828" spans="1:49" s="28" customFormat="1" ht="15" x14ac:dyDescent="0.25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</row>
    <row r="829" spans="1:49" s="34" customFormat="1" ht="15.75" x14ac:dyDescent="0.2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</row>
    <row r="830" spans="1:49" s="28" customFormat="1" ht="15" x14ac:dyDescent="0.25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</row>
    <row r="831" spans="1:49" s="34" customFormat="1" ht="15.75" x14ac:dyDescent="0.2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</row>
    <row r="832" spans="1:49" s="36" customFormat="1" x14ac:dyDescent="0.2"/>
    <row r="833" spans="1:49" s="28" customFormat="1" ht="15" x14ac:dyDescent="0.25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</row>
    <row r="834" spans="1:49" s="28" customFormat="1" ht="15" x14ac:dyDescent="0.25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</row>
    <row r="835" spans="1:49" s="28" customFormat="1" ht="15" x14ac:dyDescent="0.25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</row>
    <row r="836" spans="1:49" s="28" customFormat="1" ht="15" x14ac:dyDescent="0.25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</row>
    <row r="837" spans="1:49" s="28" customFormat="1" ht="15" x14ac:dyDescent="0.25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</row>
    <row r="838" spans="1:49" s="28" customFormat="1" ht="15" x14ac:dyDescent="0.25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</row>
    <row r="839" spans="1:49" s="28" customFormat="1" ht="15" x14ac:dyDescent="0.25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</row>
    <row r="840" spans="1:49" s="28" customFormat="1" ht="15" x14ac:dyDescent="0.25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</row>
    <row r="841" spans="1:49" s="28" customFormat="1" ht="15" x14ac:dyDescent="0.25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</row>
    <row r="842" spans="1:49" s="28" customFormat="1" ht="15" x14ac:dyDescent="0.25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</row>
    <row r="843" spans="1:49" s="28" customFormat="1" ht="15" x14ac:dyDescent="0.25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</row>
    <row r="844" spans="1:49" s="28" customFormat="1" ht="15" x14ac:dyDescent="0.25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</row>
    <row r="845" spans="1:49" s="28" customFormat="1" ht="15" x14ac:dyDescent="0.25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</row>
    <row r="846" spans="1:49" s="28" customFormat="1" ht="15" x14ac:dyDescent="0.25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</row>
    <row r="847" spans="1:49" s="28" customFormat="1" ht="15" x14ac:dyDescent="0.25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</row>
    <row r="848" spans="1:49" s="37" customFormat="1" ht="15" x14ac:dyDescent="0.25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</row>
    <row r="849" spans="1:49" s="28" customFormat="1" ht="15" x14ac:dyDescent="0.25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</row>
    <row r="850" spans="1:49" s="28" customFormat="1" ht="15" x14ac:dyDescent="0.25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</row>
    <row r="851" spans="1:49" s="28" customFormat="1" ht="15" x14ac:dyDescent="0.25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</row>
    <row r="852" spans="1:49" s="32" customFormat="1" ht="15" x14ac:dyDescent="0.25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</row>
    <row r="853" spans="1:49" s="32" customFormat="1" ht="15" x14ac:dyDescent="0.25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</row>
    <row r="854" spans="1:49" s="32" customFormat="1" ht="15" x14ac:dyDescent="0.25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</row>
    <row r="855" spans="1:49" s="17" customFormat="1" ht="15" x14ac:dyDescent="0.25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</row>
    <row r="856" spans="1:49" s="28" customFormat="1" ht="15" x14ac:dyDescent="0.25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</row>
    <row r="857" spans="1:49" s="38" customFormat="1" ht="15" x14ac:dyDescent="0.25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</row>
    <row r="858" spans="1:49" s="38" customFormat="1" ht="15" x14ac:dyDescent="0.25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</row>
    <row r="859" spans="1:49" s="38" customFormat="1" ht="15" x14ac:dyDescent="0.25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</row>
    <row r="860" spans="1:49" s="28" customFormat="1" ht="15" x14ac:dyDescent="0.25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</row>
    <row r="861" spans="1:49" s="26" customFormat="1" ht="15" x14ac:dyDescent="0.25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</row>
    <row r="862" spans="1:49" s="28" customFormat="1" ht="15" x14ac:dyDescent="0.25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</row>
    <row r="863" spans="1:49" s="28" customFormat="1" ht="15" x14ac:dyDescent="0.25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</row>
    <row r="864" spans="1:49" s="28" customFormat="1" ht="15" x14ac:dyDescent="0.25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</row>
    <row r="1200" spans="1:49" s="32" customFormat="1" ht="15" x14ac:dyDescent="0.25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36"/>
      <c r="AL1200" s="36"/>
      <c r="AM1200" s="36"/>
      <c r="AN1200" s="36"/>
      <c r="AO1200" s="36"/>
      <c r="AP1200" s="36"/>
      <c r="AQ1200" s="36"/>
      <c r="AR1200" s="36"/>
      <c r="AS1200" s="36"/>
      <c r="AT1200" s="36"/>
      <c r="AU1200" s="36"/>
      <c r="AV1200" s="36"/>
      <c r="AW1200" s="36"/>
    </row>
    <row r="1201" spans="1:49" s="32" customFormat="1" ht="15" x14ac:dyDescent="0.25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36"/>
      <c r="AL1201" s="36"/>
      <c r="AM1201" s="36"/>
      <c r="AN1201" s="36"/>
      <c r="AO1201" s="36"/>
      <c r="AP1201" s="36"/>
      <c r="AQ1201" s="36"/>
      <c r="AR1201" s="36"/>
      <c r="AS1201" s="36"/>
      <c r="AT1201" s="36"/>
      <c r="AU1201" s="36"/>
      <c r="AV1201" s="36"/>
      <c r="AW1201" s="36"/>
    </row>
    <row r="1202" spans="1:49" s="32" customFormat="1" ht="15" x14ac:dyDescent="0.25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36"/>
      <c r="AL1202" s="36"/>
      <c r="AM1202" s="36"/>
      <c r="AN1202" s="36"/>
      <c r="AO1202" s="36"/>
      <c r="AP1202" s="36"/>
      <c r="AQ1202" s="36"/>
      <c r="AR1202" s="36"/>
      <c r="AS1202" s="36"/>
      <c r="AT1202" s="36"/>
      <c r="AU1202" s="36"/>
      <c r="AV1202" s="36"/>
      <c r="AW1202" s="36"/>
    </row>
    <row r="1203" spans="1:49" s="32" customFormat="1" ht="15" x14ac:dyDescent="0.25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36"/>
      <c r="AL1203" s="36"/>
      <c r="AM1203" s="36"/>
      <c r="AN1203" s="36"/>
      <c r="AO1203" s="36"/>
      <c r="AP1203" s="36"/>
      <c r="AQ1203" s="36"/>
      <c r="AR1203" s="36"/>
      <c r="AS1203" s="36"/>
      <c r="AT1203" s="36"/>
      <c r="AU1203" s="36"/>
      <c r="AV1203" s="36"/>
      <c r="AW1203" s="36"/>
    </row>
    <row r="1204" spans="1:49" s="32" customFormat="1" ht="15" x14ac:dyDescent="0.25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36"/>
      <c r="AL1204" s="36"/>
      <c r="AM1204" s="36"/>
      <c r="AN1204" s="36"/>
      <c r="AO1204" s="36"/>
      <c r="AP1204" s="36"/>
      <c r="AQ1204" s="36"/>
      <c r="AR1204" s="36"/>
      <c r="AS1204" s="36"/>
      <c r="AT1204" s="36"/>
      <c r="AU1204" s="36"/>
      <c r="AV1204" s="36"/>
      <c r="AW1204" s="36"/>
    </row>
    <row r="1205" spans="1:49" s="32" customFormat="1" ht="15" x14ac:dyDescent="0.25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36"/>
      <c r="AL1205" s="36"/>
      <c r="AM1205" s="36"/>
      <c r="AN1205" s="36"/>
      <c r="AO1205" s="36"/>
      <c r="AP1205" s="36"/>
      <c r="AQ1205" s="36"/>
      <c r="AR1205" s="36"/>
      <c r="AS1205" s="36"/>
      <c r="AT1205" s="36"/>
      <c r="AU1205" s="36"/>
      <c r="AV1205" s="36"/>
      <c r="AW1205" s="36"/>
    </row>
    <row r="1206" spans="1:49" s="32" customFormat="1" ht="15" x14ac:dyDescent="0.25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36"/>
      <c r="AL1206" s="36"/>
      <c r="AM1206" s="36"/>
      <c r="AN1206" s="36"/>
      <c r="AO1206" s="36"/>
      <c r="AP1206" s="36"/>
      <c r="AQ1206" s="36"/>
      <c r="AR1206" s="36"/>
      <c r="AS1206" s="36"/>
      <c r="AT1206" s="36"/>
      <c r="AU1206" s="36"/>
      <c r="AV1206" s="36"/>
      <c r="AW1206" s="36"/>
    </row>
    <row r="1207" spans="1:49" s="32" customFormat="1" ht="15" x14ac:dyDescent="0.25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36"/>
      <c r="AL1207" s="36"/>
      <c r="AM1207" s="36"/>
      <c r="AN1207" s="36"/>
      <c r="AO1207" s="36"/>
      <c r="AP1207" s="36"/>
      <c r="AQ1207" s="36"/>
      <c r="AR1207" s="36"/>
      <c r="AS1207" s="36"/>
      <c r="AT1207" s="36"/>
      <c r="AU1207" s="36"/>
      <c r="AV1207" s="36"/>
      <c r="AW1207" s="36"/>
    </row>
    <row r="1208" spans="1:49" s="32" customFormat="1" ht="15" x14ac:dyDescent="0.25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36"/>
      <c r="AL1208" s="36"/>
      <c r="AM1208" s="36"/>
      <c r="AN1208" s="36"/>
      <c r="AO1208" s="36"/>
      <c r="AP1208" s="36"/>
      <c r="AQ1208" s="36"/>
      <c r="AR1208" s="36"/>
      <c r="AS1208" s="36"/>
      <c r="AT1208" s="36"/>
      <c r="AU1208" s="36"/>
      <c r="AV1208" s="36"/>
      <c r="AW1208" s="36"/>
    </row>
    <row r="1209" spans="1:49" s="32" customFormat="1" ht="15" x14ac:dyDescent="0.25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36"/>
      <c r="AL1209" s="36"/>
      <c r="AM1209" s="36"/>
      <c r="AN1209" s="36"/>
      <c r="AO1209" s="36"/>
      <c r="AP1209" s="36"/>
      <c r="AQ1209" s="36"/>
      <c r="AR1209" s="36"/>
      <c r="AS1209" s="36"/>
      <c r="AT1209" s="36"/>
      <c r="AU1209" s="36"/>
      <c r="AV1209" s="36"/>
      <c r="AW1209" s="36"/>
    </row>
    <row r="1210" spans="1:49" s="32" customFormat="1" ht="15" x14ac:dyDescent="0.25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36"/>
      <c r="AL1210" s="36"/>
      <c r="AM1210" s="36"/>
      <c r="AN1210" s="36"/>
      <c r="AO1210" s="36"/>
      <c r="AP1210" s="36"/>
      <c r="AQ1210" s="36"/>
      <c r="AR1210" s="36"/>
      <c r="AS1210" s="36"/>
      <c r="AT1210" s="36"/>
      <c r="AU1210" s="36"/>
      <c r="AV1210" s="36"/>
      <c r="AW1210" s="36"/>
    </row>
    <row r="1211" spans="1:49" s="32" customFormat="1" ht="15" x14ac:dyDescent="0.25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36"/>
      <c r="AL1211" s="36"/>
      <c r="AM1211" s="36"/>
      <c r="AN1211" s="36"/>
      <c r="AO1211" s="36"/>
      <c r="AP1211" s="36"/>
      <c r="AQ1211" s="36"/>
      <c r="AR1211" s="36"/>
      <c r="AS1211" s="36"/>
      <c r="AT1211" s="36"/>
      <c r="AU1211" s="36"/>
      <c r="AV1211" s="36"/>
      <c r="AW1211" s="36"/>
    </row>
    <row r="1212" spans="1:49" s="32" customFormat="1" ht="15" x14ac:dyDescent="0.25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36"/>
      <c r="AL1212" s="36"/>
      <c r="AM1212" s="36"/>
      <c r="AN1212" s="36"/>
      <c r="AO1212" s="36"/>
      <c r="AP1212" s="36"/>
      <c r="AQ1212" s="36"/>
      <c r="AR1212" s="36"/>
      <c r="AS1212" s="36"/>
      <c r="AT1212" s="36"/>
      <c r="AU1212" s="36"/>
      <c r="AV1212" s="36"/>
      <c r="AW1212" s="36"/>
    </row>
    <row r="1213" spans="1:49" s="32" customFormat="1" ht="15" x14ac:dyDescent="0.25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36"/>
      <c r="AL1213" s="36"/>
      <c r="AM1213" s="36"/>
      <c r="AN1213" s="36"/>
      <c r="AO1213" s="36"/>
      <c r="AP1213" s="36"/>
      <c r="AQ1213" s="36"/>
      <c r="AR1213" s="36"/>
      <c r="AS1213" s="36"/>
      <c r="AT1213" s="36"/>
      <c r="AU1213" s="36"/>
      <c r="AV1213" s="36"/>
      <c r="AW1213" s="36"/>
    </row>
    <row r="1214" spans="1:49" s="32" customFormat="1" ht="15" x14ac:dyDescent="0.25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36"/>
      <c r="AL1214" s="36"/>
      <c r="AM1214" s="36"/>
      <c r="AN1214" s="36"/>
      <c r="AO1214" s="36"/>
      <c r="AP1214" s="36"/>
      <c r="AQ1214" s="36"/>
      <c r="AR1214" s="36"/>
      <c r="AS1214" s="36"/>
      <c r="AT1214" s="36"/>
      <c r="AU1214" s="36"/>
      <c r="AV1214" s="36"/>
      <c r="AW1214" s="36"/>
    </row>
    <row r="1215" spans="1:49" s="32" customFormat="1" ht="15" x14ac:dyDescent="0.25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36"/>
      <c r="AL1215" s="36"/>
      <c r="AM1215" s="36"/>
      <c r="AN1215" s="36"/>
      <c r="AO1215" s="36"/>
      <c r="AP1215" s="36"/>
      <c r="AQ1215" s="36"/>
      <c r="AR1215" s="36"/>
      <c r="AS1215" s="36"/>
      <c r="AT1215" s="36"/>
      <c r="AU1215" s="36"/>
      <c r="AV1215" s="36"/>
      <c r="AW1215" s="36"/>
    </row>
    <row r="1216" spans="1:49" s="32" customFormat="1" ht="15" x14ac:dyDescent="0.25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36"/>
      <c r="AL1216" s="36"/>
      <c r="AM1216" s="36"/>
      <c r="AN1216" s="36"/>
      <c r="AO1216" s="36"/>
      <c r="AP1216" s="36"/>
      <c r="AQ1216" s="36"/>
      <c r="AR1216" s="36"/>
      <c r="AS1216" s="36"/>
      <c r="AT1216" s="36"/>
      <c r="AU1216" s="36"/>
      <c r="AV1216" s="36"/>
      <c r="AW1216" s="36"/>
    </row>
    <row r="1217" spans="1:49" s="32" customFormat="1" ht="15" x14ac:dyDescent="0.25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36"/>
      <c r="AL1217" s="36"/>
      <c r="AM1217" s="36"/>
      <c r="AN1217" s="36"/>
      <c r="AO1217" s="36"/>
      <c r="AP1217" s="36"/>
      <c r="AQ1217" s="36"/>
      <c r="AR1217" s="36"/>
      <c r="AS1217" s="36"/>
      <c r="AT1217" s="36"/>
      <c r="AU1217" s="36"/>
      <c r="AV1217" s="36"/>
      <c r="AW1217" s="36"/>
    </row>
    <row r="1218" spans="1:49" s="32" customFormat="1" ht="15" x14ac:dyDescent="0.25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36"/>
      <c r="AL1218" s="36"/>
      <c r="AM1218" s="36"/>
      <c r="AN1218" s="36"/>
      <c r="AO1218" s="36"/>
      <c r="AP1218" s="36"/>
      <c r="AQ1218" s="36"/>
      <c r="AR1218" s="36"/>
      <c r="AS1218" s="36"/>
      <c r="AT1218" s="36"/>
      <c r="AU1218" s="36"/>
      <c r="AV1218" s="36"/>
      <c r="AW1218" s="36"/>
    </row>
    <row r="1219" spans="1:49" s="32" customFormat="1" ht="15" x14ac:dyDescent="0.25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36"/>
      <c r="AL1219" s="36"/>
      <c r="AM1219" s="36"/>
      <c r="AN1219" s="36"/>
      <c r="AO1219" s="36"/>
      <c r="AP1219" s="36"/>
      <c r="AQ1219" s="36"/>
      <c r="AR1219" s="36"/>
      <c r="AS1219" s="36"/>
      <c r="AT1219" s="36"/>
      <c r="AU1219" s="36"/>
      <c r="AV1219" s="36"/>
      <c r="AW1219" s="36"/>
    </row>
    <row r="1220" spans="1:49" s="32" customFormat="1" ht="15" x14ac:dyDescent="0.25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36"/>
      <c r="AL1220" s="36"/>
      <c r="AM1220" s="36"/>
      <c r="AN1220" s="36"/>
      <c r="AO1220" s="36"/>
      <c r="AP1220" s="36"/>
      <c r="AQ1220" s="36"/>
      <c r="AR1220" s="36"/>
      <c r="AS1220" s="36"/>
      <c r="AT1220" s="36"/>
      <c r="AU1220" s="36"/>
      <c r="AV1220" s="36"/>
      <c r="AW1220" s="36"/>
    </row>
    <row r="1221" spans="1:49" s="32" customFormat="1" ht="15" x14ac:dyDescent="0.25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  <c r="AJ1221" s="36"/>
      <c r="AK1221" s="36"/>
      <c r="AL1221" s="36"/>
      <c r="AM1221" s="36"/>
      <c r="AN1221" s="36"/>
      <c r="AO1221" s="36"/>
      <c r="AP1221" s="36"/>
      <c r="AQ1221" s="36"/>
      <c r="AR1221" s="36"/>
      <c r="AS1221" s="36"/>
      <c r="AT1221" s="36"/>
      <c r="AU1221" s="36"/>
      <c r="AV1221" s="36"/>
      <c r="AW1221" s="36"/>
    </row>
    <row r="1222" spans="1:49" s="32" customFormat="1" ht="15" x14ac:dyDescent="0.25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36"/>
      <c r="AL1222" s="36"/>
      <c r="AM1222" s="36"/>
      <c r="AN1222" s="36"/>
      <c r="AO1222" s="36"/>
      <c r="AP1222" s="36"/>
      <c r="AQ1222" s="36"/>
      <c r="AR1222" s="36"/>
      <c r="AS1222" s="36"/>
      <c r="AT1222" s="36"/>
      <c r="AU1222" s="36"/>
      <c r="AV1222" s="36"/>
      <c r="AW1222" s="36"/>
    </row>
    <row r="1223" spans="1:49" s="32" customFormat="1" ht="15" x14ac:dyDescent="0.25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36"/>
      <c r="AL1223" s="36"/>
      <c r="AM1223" s="36"/>
      <c r="AN1223" s="36"/>
      <c r="AO1223" s="36"/>
      <c r="AP1223" s="36"/>
      <c r="AQ1223" s="36"/>
      <c r="AR1223" s="36"/>
      <c r="AS1223" s="36"/>
      <c r="AT1223" s="36"/>
      <c r="AU1223" s="36"/>
      <c r="AV1223" s="36"/>
      <c r="AW1223" s="36"/>
    </row>
    <row r="1224" spans="1:49" s="32" customFormat="1" ht="15" x14ac:dyDescent="0.25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36"/>
      <c r="AL1224" s="36"/>
      <c r="AM1224" s="36"/>
      <c r="AN1224" s="36"/>
      <c r="AO1224" s="36"/>
      <c r="AP1224" s="36"/>
      <c r="AQ1224" s="36"/>
      <c r="AR1224" s="36"/>
      <c r="AS1224" s="36"/>
      <c r="AT1224" s="36"/>
      <c r="AU1224" s="36"/>
      <c r="AV1224" s="36"/>
      <c r="AW1224" s="36"/>
    </row>
    <row r="1225" spans="1:49" s="32" customFormat="1" ht="15" x14ac:dyDescent="0.25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36"/>
      <c r="AL1225" s="36"/>
      <c r="AM1225" s="36"/>
      <c r="AN1225" s="36"/>
      <c r="AO1225" s="36"/>
      <c r="AP1225" s="36"/>
      <c r="AQ1225" s="36"/>
      <c r="AR1225" s="36"/>
      <c r="AS1225" s="36"/>
      <c r="AT1225" s="36"/>
      <c r="AU1225" s="36"/>
      <c r="AV1225" s="36"/>
      <c r="AW1225" s="36"/>
    </row>
    <row r="1226" spans="1:49" s="32" customFormat="1" ht="15" x14ac:dyDescent="0.25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  <c r="AJ1226" s="36"/>
      <c r="AK1226" s="36"/>
      <c r="AL1226" s="36"/>
      <c r="AM1226" s="36"/>
      <c r="AN1226" s="36"/>
      <c r="AO1226" s="36"/>
      <c r="AP1226" s="36"/>
      <c r="AQ1226" s="36"/>
      <c r="AR1226" s="36"/>
      <c r="AS1226" s="36"/>
      <c r="AT1226" s="36"/>
      <c r="AU1226" s="36"/>
      <c r="AV1226" s="36"/>
      <c r="AW1226" s="36"/>
    </row>
    <row r="1227" spans="1:49" s="32" customFormat="1" ht="15" x14ac:dyDescent="0.25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  <c r="AJ1227" s="36"/>
      <c r="AK1227" s="36"/>
      <c r="AL1227" s="36"/>
      <c r="AM1227" s="36"/>
      <c r="AN1227" s="36"/>
      <c r="AO1227" s="36"/>
      <c r="AP1227" s="36"/>
      <c r="AQ1227" s="36"/>
      <c r="AR1227" s="36"/>
      <c r="AS1227" s="36"/>
      <c r="AT1227" s="36"/>
      <c r="AU1227" s="36"/>
      <c r="AV1227" s="36"/>
      <c r="AW1227" s="36"/>
    </row>
    <row r="1228" spans="1:49" s="32" customFormat="1" ht="15" x14ac:dyDescent="0.25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  <c r="AJ1228" s="36"/>
      <c r="AK1228" s="36"/>
      <c r="AL1228" s="36"/>
      <c r="AM1228" s="36"/>
      <c r="AN1228" s="36"/>
      <c r="AO1228" s="36"/>
      <c r="AP1228" s="36"/>
      <c r="AQ1228" s="36"/>
      <c r="AR1228" s="36"/>
      <c r="AS1228" s="36"/>
      <c r="AT1228" s="36"/>
      <c r="AU1228" s="36"/>
      <c r="AV1228" s="36"/>
      <c r="AW1228" s="36"/>
    </row>
    <row r="1229" spans="1:49" s="32" customFormat="1" ht="15" x14ac:dyDescent="0.25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</row>
    <row r="1230" spans="1:49" s="32" customFormat="1" ht="15" x14ac:dyDescent="0.25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</row>
    <row r="1231" spans="1:49" s="32" customFormat="1" ht="15" x14ac:dyDescent="0.25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36"/>
      <c r="AL1231" s="36"/>
      <c r="AM1231" s="36"/>
      <c r="AN1231" s="36"/>
      <c r="AO1231" s="36"/>
      <c r="AP1231" s="36"/>
      <c r="AQ1231" s="36"/>
      <c r="AR1231" s="36"/>
      <c r="AS1231" s="36"/>
      <c r="AT1231" s="36"/>
      <c r="AU1231" s="36"/>
      <c r="AV1231" s="36"/>
      <c r="AW1231" s="36"/>
    </row>
    <row r="1232" spans="1:49" s="32" customFormat="1" ht="15" x14ac:dyDescent="0.25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  <c r="AJ1232" s="36"/>
      <c r="AK1232" s="36"/>
      <c r="AL1232" s="36"/>
      <c r="AM1232" s="36"/>
      <c r="AN1232" s="36"/>
      <c r="AO1232" s="36"/>
      <c r="AP1232" s="36"/>
      <c r="AQ1232" s="36"/>
      <c r="AR1232" s="36"/>
      <c r="AS1232" s="36"/>
      <c r="AT1232" s="36"/>
      <c r="AU1232" s="36"/>
      <c r="AV1232" s="36"/>
      <c r="AW1232" s="36"/>
    </row>
    <row r="1233" spans="1:49" s="32" customFormat="1" ht="15" x14ac:dyDescent="0.25">
      <c r="A1233" s="36"/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  <c r="AJ1233" s="36"/>
      <c r="AK1233" s="36"/>
      <c r="AL1233" s="36"/>
      <c r="AM1233" s="36"/>
      <c r="AN1233" s="36"/>
      <c r="AO1233" s="36"/>
      <c r="AP1233" s="36"/>
      <c r="AQ1233" s="36"/>
      <c r="AR1233" s="36"/>
      <c r="AS1233" s="36"/>
      <c r="AT1233" s="36"/>
      <c r="AU1233" s="36"/>
      <c r="AV1233" s="36"/>
      <c r="AW1233" s="36"/>
    </row>
    <row r="1234" spans="1:49" s="32" customFormat="1" ht="15" x14ac:dyDescent="0.25">
      <c r="A1234" s="36"/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  <c r="AJ1234" s="36"/>
      <c r="AK1234" s="36"/>
      <c r="AL1234" s="36"/>
      <c r="AM1234" s="36"/>
      <c r="AN1234" s="36"/>
      <c r="AO1234" s="36"/>
      <c r="AP1234" s="36"/>
      <c r="AQ1234" s="36"/>
      <c r="AR1234" s="36"/>
      <c r="AS1234" s="36"/>
      <c r="AT1234" s="36"/>
      <c r="AU1234" s="36"/>
      <c r="AV1234" s="36"/>
      <c r="AW1234" s="36"/>
    </row>
    <row r="1235" spans="1:49" s="32" customFormat="1" ht="15" x14ac:dyDescent="0.25">
      <c r="A1235" s="36"/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  <c r="AJ1235" s="36"/>
      <c r="AK1235" s="36"/>
      <c r="AL1235" s="36"/>
      <c r="AM1235" s="36"/>
      <c r="AN1235" s="36"/>
      <c r="AO1235" s="36"/>
      <c r="AP1235" s="36"/>
      <c r="AQ1235" s="36"/>
      <c r="AR1235" s="36"/>
      <c r="AS1235" s="36"/>
      <c r="AT1235" s="36"/>
      <c r="AU1235" s="36"/>
      <c r="AV1235" s="36"/>
      <c r="AW1235" s="36"/>
    </row>
    <row r="1236" spans="1:49" s="32" customFormat="1" ht="15" x14ac:dyDescent="0.25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  <c r="AJ1236" s="36"/>
      <c r="AK1236" s="36"/>
      <c r="AL1236" s="36"/>
      <c r="AM1236" s="36"/>
      <c r="AN1236" s="36"/>
      <c r="AO1236" s="36"/>
      <c r="AP1236" s="36"/>
      <c r="AQ1236" s="36"/>
      <c r="AR1236" s="36"/>
      <c r="AS1236" s="36"/>
      <c r="AT1236" s="36"/>
      <c r="AU1236" s="36"/>
      <c r="AV1236" s="36"/>
      <c r="AW1236" s="36"/>
    </row>
    <row r="1237" spans="1:49" s="32" customFormat="1" ht="15" x14ac:dyDescent="0.25">
      <c r="A1237" s="36"/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  <c r="AJ1237" s="36"/>
      <c r="AK1237" s="36"/>
      <c r="AL1237" s="36"/>
      <c r="AM1237" s="36"/>
      <c r="AN1237" s="36"/>
      <c r="AO1237" s="36"/>
      <c r="AP1237" s="36"/>
      <c r="AQ1237" s="36"/>
      <c r="AR1237" s="36"/>
      <c r="AS1237" s="36"/>
      <c r="AT1237" s="36"/>
      <c r="AU1237" s="36"/>
      <c r="AV1237" s="36"/>
      <c r="AW1237" s="36"/>
    </row>
    <row r="1238" spans="1:49" s="32" customFormat="1" ht="15" x14ac:dyDescent="0.25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  <c r="AJ1238" s="36"/>
      <c r="AK1238" s="36"/>
      <c r="AL1238" s="36"/>
      <c r="AM1238" s="36"/>
      <c r="AN1238" s="36"/>
      <c r="AO1238" s="36"/>
      <c r="AP1238" s="36"/>
      <c r="AQ1238" s="36"/>
      <c r="AR1238" s="36"/>
      <c r="AS1238" s="36"/>
      <c r="AT1238" s="36"/>
      <c r="AU1238" s="36"/>
      <c r="AV1238" s="36"/>
      <c r="AW1238" s="36"/>
    </row>
    <row r="1239" spans="1:49" s="32" customFormat="1" ht="15" x14ac:dyDescent="0.25">
      <c r="A1239" s="36"/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  <c r="AJ1239" s="36"/>
      <c r="AK1239" s="36"/>
      <c r="AL1239" s="36"/>
      <c r="AM1239" s="36"/>
      <c r="AN1239" s="36"/>
      <c r="AO1239" s="36"/>
      <c r="AP1239" s="36"/>
      <c r="AQ1239" s="36"/>
      <c r="AR1239" s="36"/>
      <c r="AS1239" s="36"/>
      <c r="AT1239" s="36"/>
      <c r="AU1239" s="36"/>
      <c r="AV1239" s="36"/>
      <c r="AW1239" s="36"/>
    </row>
    <row r="1240" spans="1:49" s="32" customFormat="1" ht="15" x14ac:dyDescent="0.25">
      <c r="A1240" s="36"/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36"/>
      <c r="AL1240" s="36"/>
      <c r="AM1240" s="36"/>
      <c r="AN1240" s="36"/>
      <c r="AO1240" s="36"/>
      <c r="AP1240" s="36"/>
      <c r="AQ1240" s="36"/>
      <c r="AR1240" s="36"/>
      <c r="AS1240" s="36"/>
      <c r="AT1240" s="36"/>
      <c r="AU1240" s="36"/>
      <c r="AV1240" s="36"/>
      <c r="AW1240" s="36"/>
    </row>
    <row r="1241" spans="1:49" s="32" customFormat="1" ht="15" x14ac:dyDescent="0.25">
      <c r="A1241" s="36"/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36"/>
      <c r="AL1241" s="36"/>
      <c r="AM1241" s="36"/>
      <c r="AN1241" s="36"/>
      <c r="AO1241" s="36"/>
      <c r="AP1241" s="36"/>
      <c r="AQ1241" s="36"/>
      <c r="AR1241" s="36"/>
      <c r="AS1241" s="36"/>
      <c r="AT1241" s="36"/>
      <c r="AU1241" s="36"/>
      <c r="AV1241" s="36"/>
      <c r="AW1241" s="36"/>
    </row>
    <row r="1242" spans="1:49" s="32" customFormat="1" ht="15" x14ac:dyDescent="0.25">
      <c r="A1242" s="36"/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6"/>
      <c r="AL1242" s="36"/>
      <c r="AM1242" s="36"/>
      <c r="AN1242" s="36"/>
      <c r="AO1242" s="36"/>
      <c r="AP1242" s="36"/>
      <c r="AQ1242" s="36"/>
      <c r="AR1242" s="36"/>
      <c r="AS1242" s="36"/>
      <c r="AT1242" s="36"/>
      <c r="AU1242" s="36"/>
      <c r="AV1242" s="36"/>
      <c r="AW1242" s="36"/>
    </row>
    <row r="1243" spans="1:49" s="32" customFormat="1" ht="15" x14ac:dyDescent="0.25">
      <c r="A1243" s="36"/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36"/>
      <c r="AL1243" s="36"/>
      <c r="AM1243" s="36"/>
      <c r="AN1243" s="36"/>
      <c r="AO1243" s="36"/>
      <c r="AP1243" s="36"/>
      <c r="AQ1243" s="36"/>
      <c r="AR1243" s="36"/>
      <c r="AS1243" s="36"/>
      <c r="AT1243" s="36"/>
      <c r="AU1243" s="36"/>
      <c r="AV1243" s="36"/>
      <c r="AW1243" s="36"/>
    </row>
    <row r="1244" spans="1:49" s="32" customFormat="1" ht="15" x14ac:dyDescent="0.25">
      <c r="A1244" s="36"/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  <c r="AG1244" s="36"/>
      <c r="AH1244" s="36"/>
      <c r="AI1244" s="36"/>
      <c r="AJ1244" s="36"/>
      <c r="AK1244" s="36"/>
      <c r="AL1244" s="36"/>
      <c r="AM1244" s="36"/>
      <c r="AN1244" s="36"/>
      <c r="AO1244" s="36"/>
      <c r="AP1244" s="36"/>
      <c r="AQ1244" s="36"/>
      <c r="AR1244" s="36"/>
      <c r="AS1244" s="36"/>
      <c r="AT1244" s="36"/>
      <c r="AU1244" s="36"/>
      <c r="AV1244" s="36"/>
      <c r="AW1244" s="36"/>
    </row>
    <row r="1245" spans="1:49" s="32" customFormat="1" ht="15" x14ac:dyDescent="0.25">
      <c r="A1245" s="36"/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  <c r="AG1245" s="36"/>
      <c r="AH1245" s="36"/>
      <c r="AI1245" s="36"/>
      <c r="AJ1245" s="36"/>
      <c r="AK1245" s="36"/>
      <c r="AL1245" s="36"/>
      <c r="AM1245" s="36"/>
      <c r="AN1245" s="36"/>
      <c r="AO1245" s="36"/>
      <c r="AP1245" s="36"/>
      <c r="AQ1245" s="36"/>
      <c r="AR1245" s="36"/>
      <c r="AS1245" s="36"/>
      <c r="AT1245" s="36"/>
      <c r="AU1245" s="36"/>
      <c r="AV1245" s="36"/>
      <c r="AW1245" s="36"/>
    </row>
    <row r="1246" spans="1:49" s="32" customFormat="1" ht="15" x14ac:dyDescent="0.25">
      <c r="A1246" s="36"/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  <c r="AG1246" s="36"/>
      <c r="AH1246" s="36"/>
      <c r="AI1246" s="36"/>
      <c r="AJ1246" s="36"/>
      <c r="AK1246" s="36"/>
      <c r="AL1246" s="36"/>
      <c r="AM1246" s="36"/>
      <c r="AN1246" s="36"/>
      <c r="AO1246" s="36"/>
      <c r="AP1246" s="36"/>
      <c r="AQ1246" s="36"/>
      <c r="AR1246" s="36"/>
      <c r="AS1246" s="36"/>
      <c r="AT1246" s="36"/>
      <c r="AU1246" s="36"/>
      <c r="AV1246" s="36"/>
      <c r="AW1246" s="36"/>
    </row>
    <row r="1247" spans="1:49" s="32" customFormat="1" ht="15" x14ac:dyDescent="0.25">
      <c r="A1247" s="36"/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  <c r="AG1247" s="36"/>
      <c r="AH1247" s="36"/>
      <c r="AI1247" s="36"/>
      <c r="AJ1247" s="36"/>
      <c r="AK1247" s="36"/>
      <c r="AL1247" s="36"/>
      <c r="AM1247" s="36"/>
      <c r="AN1247" s="36"/>
      <c r="AO1247" s="36"/>
      <c r="AP1247" s="36"/>
      <c r="AQ1247" s="36"/>
      <c r="AR1247" s="36"/>
      <c r="AS1247" s="36"/>
      <c r="AT1247" s="36"/>
      <c r="AU1247" s="36"/>
      <c r="AV1247" s="36"/>
      <c r="AW1247" s="36"/>
    </row>
    <row r="1248" spans="1:49" s="32" customFormat="1" ht="15" x14ac:dyDescent="0.25">
      <c r="A1248" s="36"/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  <c r="AG1248" s="36"/>
      <c r="AH1248" s="36"/>
      <c r="AI1248" s="36"/>
      <c r="AJ1248" s="36"/>
      <c r="AK1248" s="36"/>
      <c r="AL1248" s="36"/>
      <c r="AM1248" s="36"/>
      <c r="AN1248" s="36"/>
      <c r="AO1248" s="36"/>
      <c r="AP1248" s="36"/>
      <c r="AQ1248" s="36"/>
      <c r="AR1248" s="36"/>
      <c r="AS1248" s="36"/>
      <c r="AT1248" s="36"/>
      <c r="AU1248" s="36"/>
      <c r="AV1248" s="36"/>
      <c r="AW1248" s="36"/>
    </row>
    <row r="1249" spans="1:49" s="32" customFormat="1" ht="15" x14ac:dyDescent="0.25">
      <c r="A1249" s="36"/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  <c r="AG1249" s="36"/>
      <c r="AH1249" s="36"/>
      <c r="AI1249" s="36"/>
      <c r="AJ1249" s="36"/>
      <c r="AK1249" s="36"/>
      <c r="AL1249" s="36"/>
      <c r="AM1249" s="36"/>
      <c r="AN1249" s="36"/>
      <c r="AO1249" s="36"/>
      <c r="AP1249" s="36"/>
      <c r="AQ1249" s="36"/>
      <c r="AR1249" s="36"/>
      <c r="AS1249" s="36"/>
      <c r="AT1249" s="36"/>
      <c r="AU1249" s="36"/>
      <c r="AV1249" s="36"/>
      <c r="AW1249" s="36"/>
    </row>
    <row r="1250" spans="1:49" s="32" customFormat="1" ht="15" x14ac:dyDescent="0.25">
      <c r="A1250" s="36"/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  <c r="AG1250" s="36"/>
      <c r="AH1250" s="36"/>
      <c r="AI1250" s="36"/>
      <c r="AJ1250" s="36"/>
      <c r="AK1250" s="36"/>
      <c r="AL1250" s="36"/>
      <c r="AM1250" s="36"/>
      <c r="AN1250" s="36"/>
      <c r="AO1250" s="36"/>
      <c r="AP1250" s="36"/>
      <c r="AQ1250" s="36"/>
      <c r="AR1250" s="36"/>
      <c r="AS1250" s="36"/>
      <c r="AT1250" s="36"/>
      <c r="AU1250" s="36"/>
      <c r="AV1250" s="36"/>
      <c r="AW1250" s="36"/>
    </row>
    <row r="1251" spans="1:49" s="32" customFormat="1" ht="15" x14ac:dyDescent="0.25">
      <c r="A1251" s="36"/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  <c r="AG1251" s="36"/>
      <c r="AH1251" s="36"/>
      <c r="AI1251" s="36"/>
      <c r="AJ1251" s="36"/>
      <c r="AK1251" s="36"/>
      <c r="AL1251" s="36"/>
      <c r="AM1251" s="36"/>
      <c r="AN1251" s="36"/>
      <c r="AO1251" s="36"/>
      <c r="AP1251" s="36"/>
      <c r="AQ1251" s="36"/>
      <c r="AR1251" s="36"/>
      <c r="AS1251" s="36"/>
      <c r="AT1251" s="36"/>
      <c r="AU1251" s="36"/>
      <c r="AV1251" s="36"/>
      <c r="AW1251" s="36"/>
    </row>
    <row r="1252" spans="1:49" s="32" customFormat="1" ht="15" x14ac:dyDescent="0.25">
      <c r="A1252" s="36"/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  <c r="AG1252" s="36"/>
      <c r="AH1252" s="36"/>
      <c r="AI1252" s="36"/>
      <c r="AJ1252" s="36"/>
      <c r="AK1252" s="36"/>
      <c r="AL1252" s="36"/>
      <c r="AM1252" s="36"/>
      <c r="AN1252" s="36"/>
      <c r="AO1252" s="36"/>
      <c r="AP1252" s="36"/>
      <c r="AQ1252" s="36"/>
      <c r="AR1252" s="36"/>
      <c r="AS1252" s="36"/>
      <c r="AT1252" s="36"/>
      <c r="AU1252" s="36"/>
      <c r="AV1252" s="36"/>
      <c r="AW1252" s="36"/>
    </row>
    <row r="1253" spans="1:49" s="28" customFormat="1" ht="15" x14ac:dyDescent="0.25">
      <c r="A1253" s="36"/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  <c r="AJ1253" s="36"/>
      <c r="AK1253" s="36"/>
      <c r="AL1253" s="36"/>
      <c r="AM1253" s="36"/>
      <c r="AN1253" s="36"/>
      <c r="AO1253" s="36"/>
      <c r="AP1253" s="36"/>
      <c r="AQ1253" s="36"/>
      <c r="AR1253" s="36"/>
      <c r="AS1253" s="36"/>
      <c r="AT1253" s="36"/>
      <c r="AU1253" s="36"/>
      <c r="AV1253" s="36"/>
      <c r="AW1253" s="36"/>
    </row>
    <row r="1254" spans="1:49" s="32" customFormat="1" ht="15" x14ac:dyDescent="0.25">
      <c r="A1254" s="36"/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  <c r="AG1254" s="36"/>
      <c r="AH1254" s="36"/>
      <c r="AI1254" s="36"/>
      <c r="AJ1254" s="36"/>
      <c r="AK1254" s="36"/>
      <c r="AL1254" s="36"/>
      <c r="AM1254" s="36"/>
      <c r="AN1254" s="36"/>
      <c r="AO1254" s="36"/>
      <c r="AP1254" s="36"/>
      <c r="AQ1254" s="36"/>
      <c r="AR1254" s="36"/>
      <c r="AS1254" s="36"/>
      <c r="AT1254" s="36"/>
      <c r="AU1254" s="36"/>
      <c r="AV1254" s="36"/>
      <c r="AW1254" s="36"/>
    </row>
    <row r="1255" spans="1:49" s="32" customFormat="1" ht="15" x14ac:dyDescent="0.25">
      <c r="A1255" s="36"/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  <c r="AG1255" s="36"/>
      <c r="AH1255" s="36"/>
      <c r="AI1255" s="36"/>
      <c r="AJ1255" s="36"/>
      <c r="AK1255" s="36"/>
      <c r="AL1255" s="36"/>
      <c r="AM1255" s="36"/>
      <c r="AN1255" s="36"/>
      <c r="AO1255" s="36"/>
      <c r="AP1255" s="36"/>
      <c r="AQ1255" s="36"/>
      <c r="AR1255" s="36"/>
      <c r="AS1255" s="36"/>
      <c r="AT1255" s="36"/>
      <c r="AU1255" s="36"/>
      <c r="AV1255" s="36"/>
      <c r="AW1255" s="36"/>
    </row>
    <row r="1256" spans="1:49" s="32" customFormat="1" ht="15" x14ac:dyDescent="0.25">
      <c r="A1256" s="36"/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  <c r="AG1256" s="36"/>
      <c r="AH1256" s="36"/>
      <c r="AI1256" s="36"/>
      <c r="AJ1256" s="36"/>
      <c r="AK1256" s="36"/>
      <c r="AL1256" s="36"/>
      <c r="AM1256" s="36"/>
      <c r="AN1256" s="36"/>
      <c r="AO1256" s="36"/>
      <c r="AP1256" s="36"/>
      <c r="AQ1256" s="36"/>
      <c r="AR1256" s="36"/>
      <c r="AS1256" s="36"/>
      <c r="AT1256" s="36"/>
      <c r="AU1256" s="36"/>
      <c r="AV1256" s="36"/>
      <c r="AW1256" s="36"/>
    </row>
    <row r="1257" spans="1:49" s="32" customFormat="1" ht="15" x14ac:dyDescent="0.25">
      <c r="A1257" s="36"/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  <c r="AG1257" s="36"/>
      <c r="AH1257" s="36"/>
      <c r="AI1257" s="36"/>
      <c r="AJ1257" s="36"/>
      <c r="AK1257" s="36"/>
      <c r="AL1257" s="36"/>
      <c r="AM1257" s="36"/>
      <c r="AN1257" s="36"/>
      <c r="AO1257" s="36"/>
      <c r="AP1257" s="36"/>
      <c r="AQ1257" s="36"/>
      <c r="AR1257" s="36"/>
      <c r="AS1257" s="36"/>
      <c r="AT1257" s="36"/>
      <c r="AU1257" s="36"/>
      <c r="AV1257" s="36"/>
      <c r="AW1257" s="36"/>
    </row>
    <row r="1258" spans="1:49" s="32" customFormat="1" ht="15" x14ac:dyDescent="0.25">
      <c r="A1258" s="36"/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  <c r="AG1258" s="36"/>
      <c r="AH1258" s="36"/>
      <c r="AI1258" s="36"/>
      <c r="AJ1258" s="36"/>
      <c r="AK1258" s="36"/>
      <c r="AL1258" s="36"/>
      <c r="AM1258" s="36"/>
      <c r="AN1258" s="36"/>
      <c r="AO1258" s="36"/>
      <c r="AP1258" s="36"/>
      <c r="AQ1258" s="36"/>
      <c r="AR1258" s="36"/>
      <c r="AS1258" s="36"/>
      <c r="AT1258" s="36"/>
      <c r="AU1258" s="36"/>
      <c r="AV1258" s="36"/>
      <c r="AW1258" s="36"/>
    </row>
    <row r="1259" spans="1:49" s="32" customFormat="1" ht="15" x14ac:dyDescent="0.25">
      <c r="A1259" s="36"/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  <c r="AG1259" s="36"/>
      <c r="AH1259" s="36"/>
      <c r="AI1259" s="36"/>
      <c r="AJ1259" s="36"/>
      <c r="AK1259" s="36"/>
      <c r="AL1259" s="36"/>
      <c r="AM1259" s="36"/>
      <c r="AN1259" s="36"/>
      <c r="AO1259" s="36"/>
      <c r="AP1259" s="36"/>
      <c r="AQ1259" s="36"/>
      <c r="AR1259" s="36"/>
      <c r="AS1259" s="36"/>
      <c r="AT1259" s="36"/>
      <c r="AU1259" s="36"/>
      <c r="AV1259" s="36"/>
      <c r="AW1259" s="36"/>
    </row>
    <row r="1260" spans="1:49" s="32" customFormat="1" ht="15" x14ac:dyDescent="0.25">
      <c r="A1260" s="36"/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  <c r="AG1260" s="36"/>
      <c r="AH1260" s="36"/>
      <c r="AI1260" s="36"/>
      <c r="AJ1260" s="36"/>
      <c r="AK1260" s="36"/>
      <c r="AL1260" s="36"/>
      <c r="AM1260" s="36"/>
      <c r="AN1260" s="36"/>
      <c r="AO1260" s="36"/>
      <c r="AP1260" s="36"/>
      <c r="AQ1260" s="36"/>
      <c r="AR1260" s="36"/>
      <c r="AS1260" s="36"/>
      <c r="AT1260" s="36"/>
      <c r="AU1260" s="36"/>
      <c r="AV1260" s="36"/>
      <c r="AW1260" s="36"/>
    </row>
    <row r="1261" spans="1:49" s="32" customFormat="1" ht="15" x14ac:dyDescent="0.25">
      <c r="A1261" s="36"/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  <c r="AG1261" s="36"/>
      <c r="AH1261" s="36"/>
      <c r="AI1261" s="36"/>
      <c r="AJ1261" s="36"/>
      <c r="AK1261" s="36"/>
      <c r="AL1261" s="36"/>
      <c r="AM1261" s="36"/>
      <c r="AN1261" s="36"/>
      <c r="AO1261" s="36"/>
      <c r="AP1261" s="36"/>
      <c r="AQ1261" s="36"/>
      <c r="AR1261" s="36"/>
      <c r="AS1261" s="36"/>
      <c r="AT1261" s="36"/>
      <c r="AU1261" s="36"/>
      <c r="AV1261" s="36"/>
      <c r="AW1261" s="36"/>
    </row>
    <row r="1262" spans="1:49" s="32" customFormat="1" ht="15" x14ac:dyDescent="0.25">
      <c r="A1262" s="36"/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  <c r="AG1262" s="36"/>
      <c r="AH1262" s="36"/>
      <c r="AI1262" s="36"/>
      <c r="AJ1262" s="36"/>
      <c r="AK1262" s="36"/>
      <c r="AL1262" s="36"/>
      <c r="AM1262" s="36"/>
      <c r="AN1262" s="36"/>
      <c r="AO1262" s="36"/>
      <c r="AP1262" s="36"/>
      <c r="AQ1262" s="36"/>
      <c r="AR1262" s="36"/>
      <c r="AS1262" s="36"/>
      <c r="AT1262" s="36"/>
      <c r="AU1262" s="36"/>
      <c r="AV1262" s="36"/>
      <c r="AW1262" s="36"/>
    </row>
    <row r="1263" spans="1:49" s="32" customFormat="1" ht="15" x14ac:dyDescent="0.25">
      <c r="A1263" s="36"/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  <c r="AG1263" s="36"/>
      <c r="AH1263" s="36"/>
      <c r="AI1263" s="36"/>
      <c r="AJ1263" s="36"/>
      <c r="AK1263" s="36"/>
      <c r="AL1263" s="36"/>
      <c r="AM1263" s="36"/>
      <c r="AN1263" s="36"/>
      <c r="AO1263" s="36"/>
      <c r="AP1263" s="36"/>
      <c r="AQ1263" s="36"/>
      <c r="AR1263" s="36"/>
      <c r="AS1263" s="36"/>
      <c r="AT1263" s="36"/>
      <c r="AU1263" s="36"/>
      <c r="AV1263" s="36"/>
      <c r="AW1263" s="36"/>
    </row>
    <row r="1264" spans="1:49" s="32" customFormat="1" ht="15" x14ac:dyDescent="0.25">
      <c r="A1264" s="36"/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  <c r="AG1264" s="36"/>
      <c r="AH1264" s="36"/>
      <c r="AI1264" s="36"/>
      <c r="AJ1264" s="36"/>
      <c r="AK1264" s="36"/>
      <c r="AL1264" s="36"/>
      <c r="AM1264" s="36"/>
      <c r="AN1264" s="36"/>
      <c r="AO1264" s="36"/>
      <c r="AP1264" s="36"/>
      <c r="AQ1264" s="36"/>
      <c r="AR1264" s="36"/>
      <c r="AS1264" s="36"/>
      <c r="AT1264" s="36"/>
      <c r="AU1264" s="36"/>
      <c r="AV1264" s="36"/>
      <c r="AW1264" s="36"/>
    </row>
    <row r="1265" spans="1:49" s="32" customFormat="1" ht="15" x14ac:dyDescent="0.25">
      <c r="A1265" s="36"/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  <c r="AG1265" s="36"/>
      <c r="AH1265" s="36"/>
      <c r="AI1265" s="36"/>
      <c r="AJ1265" s="36"/>
      <c r="AK1265" s="36"/>
      <c r="AL1265" s="36"/>
      <c r="AM1265" s="36"/>
      <c r="AN1265" s="36"/>
      <c r="AO1265" s="36"/>
      <c r="AP1265" s="36"/>
      <c r="AQ1265" s="36"/>
      <c r="AR1265" s="36"/>
      <c r="AS1265" s="36"/>
      <c r="AT1265" s="36"/>
      <c r="AU1265" s="36"/>
      <c r="AV1265" s="36"/>
      <c r="AW1265" s="36"/>
    </row>
    <row r="1599" spans="1:49" s="26" customFormat="1" ht="15" x14ac:dyDescent="0.25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  <c r="AG1599" s="36"/>
      <c r="AH1599" s="36"/>
      <c r="AI1599" s="36"/>
      <c r="AJ1599" s="36"/>
      <c r="AK1599" s="36"/>
      <c r="AL1599" s="36"/>
      <c r="AM1599" s="36"/>
      <c r="AN1599" s="36"/>
      <c r="AO1599" s="36"/>
      <c r="AP1599" s="36"/>
      <c r="AQ1599" s="36"/>
      <c r="AR1599" s="36"/>
      <c r="AS1599" s="36"/>
      <c r="AT1599" s="36"/>
      <c r="AU1599" s="36"/>
      <c r="AV1599" s="36"/>
      <c r="AW1599" s="36"/>
    </row>
    <row r="1600" spans="1:49" s="26" customFormat="1" ht="15" x14ac:dyDescent="0.25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  <c r="AG1600" s="36"/>
      <c r="AH1600" s="36"/>
      <c r="AI1600" s="36"/>
      <c r="AJ1600" s="36"/>
      <c r="AK1600" s="36"/>
      <c r="AL1600" s="36"/>
      <c r="AM1600" s="36"/>
      <c r="AN1600" s="36"/>
      <c r="AO1600" s="36"/>
      <c r="AP1600" s="36"/>
      <c r="AQ1600" s="36"/>
      <c r="AR1600" s="36"/>
      <c r="AS1600" s="36"/>
      <c r="AT1600" s="36"/>
      <c r="AU1600" s="36"/>
      <c r="AV1600" s="36"/>
      <c r="AW1600" s="36"/>
    </row>
    <row r="1601" spans="1:49" s="26" customFormat="1" ht="15" x14ac:dyDescent="0.25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  <c r="AG1601" s="36"/>
      <c r="AH1601" s="36"/>
      <c r="AI1601" s="36"/>
      <c r="AJ1601" s="36"/>
      <c r="AK1601" s="36"/>
      <c r="AL1601" s="36"/>
      <c r="AM1601" s="36"/>
      <c r="AN1601" s="36"/>
      <c r="AO1601" s="36"/>
      <c r="AP1601" s="36"/>
      <c r="AQ1601" s="36"/>
      <c r="AR1601" s="36"/>
      <c r="AS1601" s="36"/>
      <c r="AT1601" s="36"/>
      <c r="AU1601" s="36"/>
      <c r="AV1601" s="36"/>
      <c r="AW1601" s="36"/>
    </row>
    <row r="1602" spans="1:49" s="26" customFormat="1" ht="15" x14ac:dyDescent="0.25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  <c r="AG1602" s="36"/>
      <c r="AH1602" s="36"/>
      <c r="AI1602" s="36"/>
      <c r="AJ1602" s="36"/>
      <c r="AK1602" s="36"/>
      <c r="AL1602" s="36"/>
      <c r="AM1602" s="36"/>
      <c r="AN1602" s="36"/>
      <c r="AO1602" s="36"/>
      <c r="AP1602" s="36"/>
      <c r="AQ1602" s="36"/>
      <c r="AR1602" s="36"/>
      <c r="AS1602" s="36"/>
      <c r="AT1602" s="36"/>
      <c r="AU1602" s="36"/>
      <c r="AV1602" s="36"/>
      <c r="AW1602" s="36"/>
    </row>
    <row r="1603" spans="1:49" s="26" customFormat="1" ht="15" x14ac:dyDescent="0.25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  <c r="AG1603" s="36"/>
      <c r="AH1603" s="36"/>
      <c r="AI1603" s="36"/>
      <c r="AJ1603" s="36"/>
      <c r="AK1603" s="36"/>
      <c r="AL1603" s="36"/>
      <c r="AM1603" s="36"/>
      <c r="AN1603" s="36"/>
      <c r="AO1603" s="36"/>
      <c r="AP1603" s="36"/>
      <c r="AQ1603" s="36"/>
      <c r="AR1603" s="36"/>
      <c r="AS1603" s="36"/>
      <c r="AT1603" s="36"/>
      <c r="AU1603" s="36"/>
      <c r="AV1603" s="36"/>
      <c r="AW1603" s="36"/>
    </row>
    <row r="1604" spans="1:49" s="26" customFormat="1" ht="15" x14ac:dyDescent="0.25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  <c r="AG1604" s="36"/>
      <c r="AH1604" s="36"/>
      <c r="AI1604" s="36"/>
      <c r="AJ1604" s="36"/>
      <c r="AK1604" s="36"/>
      <c r="AL1604" s="36"/>
      <c r="AM1604" s="36"/>
      <c r="AN1604" s="36"/>
      <c r="AO1604" s="36"/>
      <c r="AP1604" s="36"/>
      <c r="AQ1604" s="36"/>
      <c r="AR1604" s="36"/>
      <c r="AS1604" s="36"/>
      <c r="AT1604" s="36"/>
      <c r="AU1604" s="36"/>
      <c r="AV1604" s="36"/>
      <c r="AW1604" s="36"/>
    </row>
    <row r="1605" spans="1:49" s="26" customFormat="1" ht="15" x14ac:dyDescent="0.25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  <c r="AG1605" s="36"/>
      <c r="AH1605" s="36"/>
      <c r="AI1605" s="36"/>
      <c r="AJ1605" s="36"/>
      <c r="AK1605" s="36"/>
      <c r="AL1605" s="36"/>
      <c r="AM1605" s="36"/>
      <c r="AN1605" s="36"/>
      <c r="AO1605" s="36"/>
      <c r="AP1605" s="36"/>
      <c r="AQ1605" s="36"/>
      <c r="AR1605" s="36"/>
      <c r="AS1605" s="36"/>
      <c r="AT1605" s="36"/>
      <c r="AU1605" s="36"/>
      <c r="AV1605" s="36"/>
      <c r="AW1605" s="36"/>
    </row>
    <row r="1606" spans="1:49" s="26" customFormat="1" ht="15" x14ac:dyDescent="0.25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  <c r="AG1606" s="36"/>
      <c r="AH1606" s="36"/>
      <c r="AI1606" s="36"/>
      <c r="AJ1606" s="36"/>
      <c r="AK1606" s="36"/>
      <c r="AL1606" s="36"/>
      <c r="AM1606" s="36"/>
      <c r="AN1606" s="36"/>
      <c r="AO1606" s="36"/>
      <c r="AP1606" s="36"/>
      <c r="AQ1606" s="36"/>
      <c r="AR1606" s="36"/>
      <c r="AS1606" s="36"/>
      <c r="AT1606" s="36"/>
      <c r="AU1606" s="36"/>
      <c r="AV1606" s="36"/>
      <c r="AW1606" s="36"/>
    </row>
    <row r="1607" spans="1:49" s="26" customFormat="1" ht="15" x14ac:dyDescent="0.25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  <c r="AG1607" s="36"/>
      <c r="AH1607" s="36"/>
      <c r="AI1607" s="36"/>
      <c r="AJ1607" s="36"/>
      <c r="AK1607" s="36"/>
      <c r="AL1607" s="36"/>
      <c r="AM1607" s="36"/>
      <c r="AN1607" s="36"/>
      <c r="AO1607" s="36"/>
      <c r="AP1607" s="36"/>
      <c r="AQ1607" s="36"/>
      <c r="AR1607" s="36"/>
      <c r="AS1607" s="36"/>
      <c r="AT1607" s="36"/>
      <c r="AU1607" s="36"/>
      <c r="AV1607" s="36"/>
      <c r="AW1607" s="36"/>
    </row>
    <row r="1608" spans="1:49" s="26" customFormat="1" ht="15" x14ac:dyDescent="0.25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  <c r="AG1608" s="36"/>
      <c r="AH1608" s="36"/>
      <c r="AI1608" s="36"/>
      <c r="AJ1608" s="36"/>
      <c r="AK1608" s="36"/>
      <c r="AL1608" s="36"/>
      <c r="AM1608" s="36"/>
      <c r="AN1608" s="36"/>
      <c r="AO1608" s="36"/>
      <c r="AP1608" s="36"/>
      <c r="AQ1608" s="36"/>
      <c r="AR1608" s="36"/>
      <c r="AS1608" s="36"/>
      <c r="AT1608" s="36"/>
      <c r="AU1608" s="36"/>
      <c r="AV1608" s="36"/>
      <c r="AW1608" s="36"/>
    </row>
    <row r="1609" spans="1:49" s="26" customFormat="1" ht="15" x14ac:dyDescent="0.25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  <c r="AG1609" s="36"/>
      <c r="AH1609" s="36"/>
      <c r="AI1609" s="36"/>
      <c r="AJ1609" s="36"/>
      <c r="AK1609" s="36"/>
      <c r="AL1609" s="36"/>
      <c r="AM1609" s="36"/>
      <c r="AN1609" s="36"/>
      <c r="AO1609" s="36"/>
      <c r="AP1609" s="36"/>
      <c r="AQ1609" s="36"/>
      <c r="AR1609" s="36"/>
      <c r="AS1609" s="36"/>
      <c r="AT1609" s="36"/>
      <c r="AU1609" s="36"/>
      <c r="AV1609" s="36"/>
      <c r="AW1609" s="36"/>
    </row>
    <row r="1610" spans="1:49" s="26" customFormat="1" ht="15" x14ac:dyDescent="0.25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  <c r="AG1610" s="36"/>
      <c r="AH1610" s="36"/>
      <c r="AI1610" s="36"/>
      <c r="AJ1610" s="36"/>
      <c r="AK1610" s="36"/>
      <c r="AL1610" s="36"/>
      <c r="AM1610" s="36"/>
      <c r="AN1610" s="36"/>
      <c r="AO1610" s="36"/>
      <c r="AP1610" s="36"/>
      <c r="AQ1610" s="36"/>
      <c r="AR1610" s="36"/>
      <c r="AS1610" s="36"/>
      <c r="AT1610" s="36"/>
      <c r="AU1610" s="36"/>
      <c r="AV1610" s="36"/>
      <c r="AW1610" s="36"/>
    </row>
    <row r="1611" spans="1:49" s="26" customFormat="1" ht="15" x14ac:dyDescent="0.25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  <c r="AG1611" s="36"/>
      <c r="AH1611" s="36"/>
      <c r="AI1611" s="36"/>
      <c r="AJ1611" s="36"/>
      <c r="AK1611" s="36"/>
      <c r="AL1611" s="36"/>
      <c r="AM1611" s="36"/>
      <c r="AN1611" s="36"/>
      <c r="AO1611" s="36"/>
      <c r="AP1611" s="36"/>
      <c r="AQ1611" s="36"/>
      <c r="AR1611" s="36"/>
      <c r="AS1611" s="36"/>
      <c r="AT1611" s="36"/>
      <c r="AU1611" s="36"/>
      <c r="AV1611" s="36"/>
      <c r="AW1611" s="36"/>
    </row>
    <row r="1612" spans="1:49" s="26" customFormat="1" ht="15" x14ac:dyDescent="0.25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  <c r="AG1612" s="36"/>
      <c r="AH1612" s="36"/>
      <c r="AI1612" s="36"/>
      <c r="AJ1612" s="36"/>
      <c r="AK1612" s="36"/>
      <c r="AL1612" s="36"/>
      <c r="AM1612" s="36"/>
      <c r="AN1612" s="36"/>
      <c r="AO1612" s="36"/>
      <c r="AP1612" s="36"/>
      <c r="AQ1612" s="36"/>
      <c r="AR1612" s="36"/>
      <c r="AS1612" s="36"/>
      <c r="AT1612" s="36"/>
      <c r="AU1612" s="36"/>
      <c r="AV1612" s="36"/>
      <c r="AW1612" s="36"/>
    </row>
    <row r="1613" spans="1:49" s="26" customFormat="1" ht="15" x14ac:dyDescent="0.25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  <c r="AG1613" s="36"/>
      <c r="AH1613" s="36"/>
      <c r="AI1613" s="36"/>
      <c r="AJ1613" s="36"/>
      <c r="AK1613" s="36"/>
      <c r="AL1613" s="36"/>
      <c r="AM1613" s="36"/>
      <c r="AN1613" s="36"/>
      <c r="AO1613" s="36"/>
      <c r="AP1613" s="36"/>
      <c r="AQ1613" s="36"/>
      <c r="AR1613" s="36"/>
      <c r="AS1613" s="36"/>
      <c r="AT1613" s="36"/>
      <c r="AU1613" s="36"/>
      <c r="AV1613" s="36"/>
      <c r="AW1613" s="36"/>
    </row>
    <row r="1614" spans="1:49" s="26" customFormat="1" ht="15" x14ac:dyDescent="0.25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  <c r="AG1614" s="36"/>
      <c r="AH1614" s="36"/>
      <c r="AI1614" s="36"/>
      <c r="AJ1614" s="36"/>
      <c r="AK1614" s="36"/>
      <c r="AL1614" s="36"/>
      <c r="AM1614" s="36"/>
      <c r="AN1614" s="36"/>
      <c r="AO1614" s="36"/>
      <c r="AP1614" s="36"/>
      <c r="AQ1614" s="36"/>
      <c r="AR1614" s="36"/>
      <c r="AS1614" s="36"/>
      <c r="AT1614" s="36"/>
      <c r="AU1614" s="36"/>
      <c r="AV1614" s="36"/>
      <c r="AW1614" s="36"/>
    </row>
    <row r="1615" spans="1:49" s="26" customFormat="1" ht="15" x14ac:dyDescent="0.25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  <c r="AG1615" s="36"/>
      <c r="AH1615" s="36"/>
      <c r="AI1615" s="36"/>
      <c r="AJ1615" s="36"/>
      <c r="AK1615" s="36"/>
      <c r="AL1615" s="36"/>
      <c r="AM1615" s="36"/>
      <c r="AN1615" s="36"/>
      <c r="AO1615" s="36"/>
      <c r="AP1615" s="36"/>
      <c r="AQ1615" s="36"/>
      <c r="AR1615" s="36"/>
      <c r="AS1615" s="36"/>
      <c r="AT1615" s="36"/>
      <c r="AU1615" s="36"/>
      <c r="AV1615" s="36"/>
      <c r="AW1615" s="36"/>
    </row>
    <row r="1616" spans="1:49" s="26" customFormat="1" ht="15" x14ac:dyDescent="0.25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  <c r="AG1616" s="36"/>
      <c r="AH1616" s="36"/>
      <c r="AI1616" s="36"/>
      <c r="AJ1616" s="36"/>
      <c r="AK1616" s="36"/>
      <c r="AL1616" s="36"/>
      <c r="AM1616" s="36"/>
      <c r="AN1616" s="36"/>
      <c r="AO1616" s="36"/>
      <c r="AP1616" s="36"/>
      <c r="AQ1616" s="36"/>
      <c r="AR1616" s="36"/>
      <c r="AS1616" s="36"/>
      <c r="AT1616" s="36"/>
      <c r="AU1616" s="36"/>
      <c r="AV1616" s="36"/>
      <c r="AW1616" s="36"/>
    </row>
    <row r="1617" spans="1:49" s="26" customFormat="1" ht="15" x14ac:dyDescent="0.25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  <c r="AG1617" s="36"/>
      <c r="AH1617" s="36"/>
      <c r="AI1617" s="36"/>
      <c r="AJ1617" s="36"/>
      <c r="AK1617" s="36"/>
      <c r="AL1617" s="36"/>
      <c r="AM1617" s="36"/>
      <c r="AN1617" s="36"/>
      <c r="AO1617" s="36"/>
      <c r="AP1617" s="36"/>
      <c r="AQ1617" s="36"/>
      <c r="AR1617" s="36"/>
      <c r="AS1617" s="36"/>
      <c r="AT1617" s="36"/>
      <c r="AU1617" s="36"/>
      <c r="AV1617" s="36"/>
      <c r="AW1617" s="36"/>
    </row>
    <row r="1618" spans="1:49" s="26" customFormat="1" ht="15" x14ac:dyDescent="0.25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  <c r="AG1618" s="36"/>
      <c r="AH1618" s="36"/>
      <c r="AI1618" s="36"/>
      <c r="AJ1618" s="36"/>
      <c r="AK1618" s="36"/>
      <c r="AL1618" s="36"/>
      <c r="AM1618" s="36"/>
      <c r="AN1618" s="36"/>
      <c r="AO1618" s="36"/>
      <c r="AP1618" s="36"/>
      <c r="AQ1618" s="36"/>
      <c r="AR1618" s="36"/>
      <c r="AS1618" s="36"/>
      <c r="AT1618" s="36"/>
      <c r="AU1618" s="36"/>
      <c r="AV1618" s="36"/>
      <c r="AW1618" s="36"/>
    </row>
    <row r="1619" spans="1:49" s="26" customFormat="1" ht="15" x14ac:dyDescent="0.25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  <c r="AG1619" s="36"/>
      <c r="AH1619" s="36"/>
      <c r="AI1619" s="36"/>
      <c r="AJ1619" s="36"/>
      <c r="AK1619" s="36"/>
      <c r="AL1619" s="36"/>
      <c r="AM1619" s="36"/>
      <c r="AN1619" s="36"/>
      <c r="AO1619" s="36"/>
      <c r="AP1619" s="36"/>
      <c r="AQ1619" s="36"/>
      <c r="AR1619" s="36"/>
      <c r="AS1619" s="36"/>
      <c r="AT1619" s="36"/>
      <c r="AU1619" s="36"/>
      <c r="AV1619" s="36"/>
      <c r="AW1619" s="36"/>
    </row>
    <row r="1620" spans="1:49" s="26" customFormat="1" ht="15" x14ac:dyDescent="0.25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  <c r="AG1620" s="36"/>
      <c r="AH1620" s="36"/>
      <c r="AI1620" s="36"/>
      <c r="AJ1620" s="36"/>
      <c r="AK1620" s="36"/>
      <c r="AL1620" s="36"/>
      <c r="AM1620" s="36"/>
      <c r="AN1620" s="36"/>
      <c r="AO1620" s="36"/>
      <c r="AP1620" s="36"/>
      <c r="AQ1620" s="36"/>
      <c r="AR1620" s="36"/>
      <c r="AS1620" s="36"/>
      <c r="AT1620" s="36"/>
      <c r="AU1620" s="36"/>
      <c r="AV1620" s="36"/>
      <c r="AW1620" s="36"/>
    </row>
    <row r="1621" spans="1:49" s="26" customFormat="1" ht="15" x14ac:dyDescent="0.25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  <c r="AG1621" s="36"/>
      <c r="AH1621" s="36"/>
      <c r="AI1621" s="36"/>
      <c r="AJ1621" s="36"/>
      <c r="AK1621" s="36"/>
      <c r="AL1621" s="36"/>
      <c r="AM1621" s="36"/>
      <c r="AN1621" s="36"/>
      <c r="AO1621" s="36"/>
      <c r="AP1621" s="36"/>
      <c r="AQ1621" s="36"/>
      <c r="AR1621" s="36"/>
      <c r="AS1621" s="36"/>
      <c r="AT1621" s="36"/>
      <c r="AU1621" s="36"/>
      <c r="AV1621" s="36"/>
      <c r="AW1621" s="36"/>
    </row>
    <row r="1622" spans="1:49" s="26" customFormat="1" ht="15" x14ac:dyDescent="0.25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  <c r="AG1622" s="36"/>
      <c r="AH1622" s="36"/>
      <c r="AI1622" s="36"/>
      <c r="AJ1622" s="36"/>
      <c r="AK1622" s="36"/>
      <c r="AL1622" s="36"/>
      <c r="AM1622" s="36"/>
      <c r="AN1622" s="36"/>
      <c r="AO1622" s="36"/>
      <c r="AP1622" s="36"/>
      <c r="AQ1622" s="36"/>
      <c r="AR1622" s="36"/>
      <c r="AS1622" s="36"/>
      <c r="AT1622" s="36"/>
      <c r="AU1622" s="36"/>
      <c r="AV1622" s="36"/>
      <c r="AW1622" s="36"/>
    </row>
    <row r="1623" spans="1:49" s="26" customFormat="1" ht="15" x14ac:dyDescent="0.25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  <c r="AG1623" s="36"/>
      <c r="AH1623" s="36"/>
      <c r="AI1623" s="36"/>
      <c r="AJ1623" s="36"/>
      <c r="AK1623" s="36"/>
      <c r="AL1623" s="36"/>
      <c r="AM1623" s="36"/>
      <c r="AN1623" s="36"/>
      <c r="AO1623" s="36"/>
      <c r="AP1623" s="36"/>
      <c r="AQ1623" s="36"/>
      <c r="AR1623" s="36"/>
      <c r="AS1623" s="36"/>
      <c r="AT1623" s="36"/>
      <c r="AU1623" s="36"/>
      <c r="AV1623" s="36"/>
      <c r="AW1623" s="36"/>
    </row>
    <row r="1624" spans="1:49" s="26" customFormat="1" ht="15" x14ac:dyDescent="0.25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  <c r="AG1624" s="36"/>
      <c r="AH1624" s="36"/>
      <c r="AI1624" s="36"/>
      <c r="AJ1624" s="36"/>
      <c r="AK1624" s="36"/>
      <c r="AL1624" s="36"/>
      <c r="AM1624" s="36"/>
      <c r="AN1624" s="36"/>
      <c r="AO1624" s="36"/>
      <c r="AP1624" s="36"/>
      <c r="AQ1624" s="36"/>
      <c r="AR1624" s="36"/>
      <c r="AS1624" s="36"/>
      <c r="AT1624" s="36"/>
      <c r="AU1624" s="36"/>
      <c r="AV1624" s="36"/>
      <c r="AW1624" s="36"/>
    </row>
    <row r="1625" spans="1:49" s="26" customFormat="1" ht="15" x14ac:dyDescent="0.25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36"/>
      <c r="AE1625" s="36"/>
      <c r="AF1625" s="36"/>
      <c r="AG1625" s="36"/>
      <c r="AH1625" s="36"/>
      <c r="AI1625" s="36"/>
      <c r="AJ1625" s="36"/>
      <c r="AK1625" s="36"/>
      <c r="AL1625" s="36"/>
      <c r="AM1625" s="36"/>
      <c r="AN1625" s="36"/>
      <c r="AO1625" s="36"/>
      <c r="AP1625" s="36"/>
      <c r="AQ1625" s="36"/>
      <c r="AR1625" s="36"/>
      <c r="AS1625" s="36"/>
      <c r="AT1625" s="36"/>
      <c r="AU1625" s="36"/>
      <c r="AV1625" s="36"/>
      <c r="AW1625" s="36"/>
    </row>
    <row r="1626" spans="1:49" s="26" customFormat="1" ht="15" x14ac:dyDescent="0.25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36"/>
      <c r="AE1626" s="36"/>
      <c r="AF1626" s="36"/>
      <c r="AG1626" s="36"/>
      <c r="AH1626" s="36"/>
      <c r="AI1626" s="36"/>
      <c r="AJ1626" s="36"/>
      <c r="AK1626" s="36"/>
      <c r="AL1626" s="36"/>
      <c r="AM1626" s="36"/>
      <c r="AN1626" s="36"/>
      <c r="AO1626" s="36"/>
      <c r="AP1626" s="36"/>
      <c r="AQ1626" s="36"/>
      <c r="AR1626" s="36"/>
      <c r="AS1626" s="36"/>
      <c r="AT1626" s="36"/>
      <c r="AU1626" s="36"/>
      <c r="AV1626" s="36"/>
      <c r="AW1626" s="36"/>
    </row>
    <row r="1627" spans="1:49" s="26" customFormat="1" ht="15" x14ac:dyDescent="0.25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36"/>
      <c r="AE1627" s="36"/>
      <c r="AF1627" s="36"/>
      <c r="AG1627" s="36"/>
      <c r="AH1627" s="36"/>
      <c r="AI1627" s="36"/>
      <c r="AJ1627" s="36"/>
      <c r="AK1627" s="36"/>
      <c r="AL1627" s="36"/>
      <c r="AM1627" s="36"/>
      <c r="AN1627" s="36"/>
      <c r="AO1627" s="36"/>
      <c r="AP1627" s="36"/>
      <c r="AQ1627" s="36"/>
      <c r="AR1627" s="36"/>
      <c r="AS1627" s="36"/>
      <c r="AT1627" s="36"/>
      <c r="AU1627" s="36"/>
      <c r="AV1627" s="36"/>
      <c r="AW1627" s="36"/>
    </row>
    <row r="1628" spans="1:49" s="26" customFormat="1" ht="15" x14ac:dyDescent="0.25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36"/>
      <c r="AE1628" s="36"/>
      <c r="AF1628" s="36"/>
      <c r="AG1628" s="36"/>
      <c r="AH1628" s="36"/>
      <c r="AI1628" s="36"/>
      <c r="AJ1628" s="36"/>
      <c r="AK1628" s="36"/>
      <c r="AL1628" s="36"/>
      <c r="AM1628" s="36"/>
      <c r="AN1628" s="36"/>
      <c r="AO1628" s="36"/>
      <c r="AP1628" s="36"/>
      <c r="AQ1628" s="36"/>
      <c r="AR1628" s="36"/>
      <c r="AS1628" s="36"/>
      <c r="AT1628" s="36"/>
      <c r="AU1628" s="36"/>
      <c r="AV1628" s="36"/>
      <c r="AW1628" s="36"/>
    </row>
    <row r="1629" spans="1:49" s="26" customFormat="1" ht="15" x14ac:dyDescent="0.25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36"/>
      <c r="AE1629" s="36"/>
      <c r="AF1629" s="36"/>
      <c r="AG1629" s="36"/>
      <c r="AH1629" s="36"/>
      <c r="AI1629" s="36"/>
      <c r="AJ1629" s="36"/>
      <c r="AK1629" s="36"/>
      <c r="AL1629" s="36"/>
      <c r="AM1629" s="36"/>
      <c r="AN1629" s="36"/>
      <c r="AO1629" s="36"/>
      <c r="AP1629" s="36"/>
      <c r="AQ1629" s="36"/>
      <c r="AR1629" s="36"/>
      <c r="AS1629" s="36"/>
      <c r="AT1629" s="36"/>
      <c r="AU1629" s="36"/>
      <c r="AV1629" s="36"/>
      <c r="AW1629" s="36"/>
    </row>
    <row r="1630" spans="1:49" s="26" customFormat="1" ht="15" x14ac:dyDescent="0.25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36"/>
      <c r="AE1630" s="36"/>
      <c r="AF1630" s="36"/>
      <c r="AG1630" s="36"/>
      <c r="AH1630" s="36"/>
      <c r="AI1630" s="36"/>
      <c r="AJ1630" s="36"/>
      <c r="AK1630" s="36"/>
      <c r="AL1630" s="36"/>
      <c r="AM1630" s="36"/>
      <c r="AN1630" s="36"/>
      <c r="AO1630" s="36"/>
      <c r="AP1630" s="36"/>
      <c r="AQ1630" s="36"/>
      <c r="AR1630" s="36"/>
      <c r="AS1630" s="36"/>
      <c r="AT1630" s="36"/>
      <c r="AU1630" s="36"/>
      <c r="AV1630" s="36"/>
      <c r="AW1630" s="36"/>
    </row>
    <row r="1631" spans="1:49" s="26" customFormat="1" ht="15" x14ac:dyDescent="0.25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36"/>
      <c r="AE1631" s="36"/>
      <c r="AF1631" s="36"/>
      <c r="AG1631" s="36"/>
      <c r="AH1631" s="36"/>
      <c r="AI1631" s="36"/>
      <c r="AJ1631" s="36"/>
      <c r="AK1631" s="36"/>
      <c r="AL1631" s="36"/>
      <c r="AM1631" s="36"/>
      <c r="AN1631" s="36"/>
      <c r="AO1631" s="36"/>
      <c r="AP1631" s="36"/>
      <c r="AQ1631" s="36"/>
      <c r="AR1631" s="36"/>
      <c r="AS1631" s="36"/>
      <c r="AT1631" s="36"/>
      <c r="AU1631" s="36"/>
      <c r="AV1631" s="36"/>
      <c r="AW1631" s="36"/>
    </row>
    <row r="1632" spans="1:49" s="26" customFormat="1" ht="15" x14ac:dyDescent="0.25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36"/>
      <c r="AE1632" s="36"/>
      <c r="AF1632" s="36"/>
      <c r="AG1632" s="36"/>
      <c r="AH1632" s="36"/>
      <c r="AI1632" s="36"/>
      <c r="AJ1632" s="36"/>
      <c r="AK1632" s="36"/>
      <c r="AL1632" s="36"/>
      <c r="AM1632" s="36"/>
      <c r="AN1632" s="36"/>
      <c r="AO1632" s="36"/>
      <c r="AP1632" s="36"/>
      <c r="AQ1632" s="36"/>
      <c r="AR1632" s="36"/>
      <c r="AS1632" s="36"/>
      <c r="AT1632" s="36"/>
      <c r="AU1632" s="36"/>
      <c r="AV1632" s="36"/>
      <c r="AW1632" s="36"/>
    </row>
    <row r="1633" spans="1:49" s="26" customFormat="1" ht="15" x14ac:dyDescent="0.25">
      <c r="A1633" s="36"/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36"/>
      <c r="AE1633" s="36"/>
      <c r="AF1633" s="36"/>
      <c r="AG1633" s="36"/>
      <c r="AH1633" s="36"/>
      <c r="AI1633" s="36"/>
      <c r="AJ1633" s="36"/>
      <c r="AK1633" s="36"/>
      <c r="AL1633" s="36"/>
      <c r="AM1633" s="36"/>
      <c r="AN1633" s="36"/>
      <c r="AO1633" s="36"/>
      <c r="AP1633" s="36"/>
      <c r="AQ1633" s="36"/>
      <c r="AR1633" s="36"/>
      <c r="AS1633" s="36"/>
      <c r="AT1633" s="36"/>
      <c r="AU1633" s="36"/>
      <c r="AV1633" s="36"/>
      <c r="AW1633" s="36"/>
    </row>
    <row r="1634" spans="1:49" s="26" customFormat="1" ht="15" x14ac:dyDescent="0.25">
      <c r="A1634" s="36"/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36"/>
      <c r="AE1634" s="36"/>
      <c r="AF1634" s="36"/>
      <c r="AG1634" s="36"/>
      <c r="AH1634" s="36"/>
      <c r="AI1634" s="36"/>
      <c r="AJ1634" s="36"/>
      <c r="AK1634" s="36"/>
      <c r="AL1634" s="36"/>
      <c r="AM1634" s="36"/>
      <c r="AN1634" s="36"/>
      <c r="AO1634" s="36"/>
      <c r="AP1634" s="36"/>
      <c r="AQ1634" s="36"/>
      <c r="AR1634" s="36"/>
      <c r="AS1634" s="36"/>
      <c r="AT1634" s="36"/>
      <c r="AU1634" s="36"/>
      <c r="AV1634" s="36"/>
      <c r="AW1634" s="36"/>
    </row>
    <row r="1635" spans="1:49" s="26" customFormat="1" ht="15" x14ac:dyDescent="0.25">
      <c r="A1635" s="36"/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36"/>
      <c r="AE1635" s="36"/>
      <c r="AF1635" s="36"/>
      <c r="AG1635" s="36"/>
      <c r="AH1635" s="36"/>
      <c r="AI1635" s="36"/>
      <c r="AJ1635" s="36"/>
      <c r="AK1635" s="36"/>
      <c r="AL1635" s="36"/>
      <c r="AM1635" s="36"/>
      <c r="AN1635" s="36"/>
      <c r="AO1635" s="36"/>
      <c r="AP1635" s="36"/>
      <c r="AQ1635" s="36"/>
      <c r="AR1635" s="36"/>
      <c r="AS1635" s="36"/>
      <c r="AT1635" s="36"/>
      <c r="AU1635" s="36"/>
      <c r="AV1635" s="36"/>
      <c r="AW1635" s="36"/>
    </row>
    <row r="1636" spans="1:49" s="26" customFormat="1" ht="15" x14ac:dyDescent="0.25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36"/>
      <c r="AE1636" s="36"/>
      <c r="AF1636" s="36"/>
      <c r="AG1636" s="36"/>
      <c r="AH1636" s="36"/>
      <c r="AI1636" s="36"/>
      <c r="AJ1636" s="36"/>
      <c r="AK1636" s="36"/>
      <c r="AL1636" s="36"/>
      <c r="AM1636" s="36"/>
      <c r="AN1636" s="36"/>
      <c r="AO1636" s="36"/>
      <c r="AP1636" s="36"/>
      <c r="AQ1636" s="36"/>
      <c r="AR1636" s="36"/>
      <c r="AS1636" s="36"/>
      <c r="AT1636" s="36"/>
      <c r="AU1636" s="36"/>
      <c r="AV1636" s="36"/>
      <c r="AW1636" s="36"/>
    </row>
    <row r="1637" spans="1:49" s="26" customFormat="1" ht="15" x14ac:dyDescent="0.25">
      <c r="A1637" s="36"/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36"/>
      <c r="AE1637" s="36"/>
      <c r="AF1637" s="36"/>
      <c r="AG1637" s="36"/>
      <c r="AH1637" s="36"/>
      <c r="AI1637" s="36"/>
      <c r="AJ1637" s="36"/>
      <c r="AK1637" s="36"/>
      <c r="AL1637" s="36"/>
      <c r="AM1637" s="36"/>
      <c r="AN1637" s="36"/>
      <c r="AO1637" s="36"/>
      <c r="AP1637" s="36"/>
      <c r="AQ1637" s="36"/>
      <c r="AR1637" s="36"/>
      <c r="AS1637" s="36"/>
      <c r="AT1637" s="36"/>
      <c r="AU1637" s="36"/>
      <c r="AV1637" s="36"/>
      <c r="AW1637" s="36"/>
    </row>
    <row r="1638" spans="1:49" s="26" customFormat="1" ht="15" x14ac:dyDescent="0.25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36"/>
      <c r="AE1638" s="36"/>
      <c r="AF1638" s="36"/>
      <c r="AG1638" s="36"/>
      <c r="AH1638" s="36"/>
      <c r="AI1638" s="36"/>
      <c r="AJ1638" s="36"/>
      <c r="AK1638" s="36"/>
      <c r="AL1638" s="36"/>
      <c r="AM1638" s="36"/>
      <c r="AN1638" s="36"/>
      <c r="AO1638" s="36"/>
      <c r="AP1638" s="36"/>
      <c r="AQ1638" s="36"/>
      <c r="AR1638" s="36"/>
      <c r="AS1638" s="36"/>
      <c r="AT1638" s="36"/>
      <c r="AU1638" s="36"/>
      <c r="AV1638" s="36"/>
      <c r="AW1638" s="36"/>
    </row>
    <row r="1639" spans="1:49" s="26" customFormat="1" ht="15" x14ac:dyDescent="0.25">
      <c r="A1639" s="36"/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36"/>
      <c r="AE1639" s="36"/>
      <c r="AF1639" s="36"/>
      <c r="AG1639" s="36"/>
      <c r="AH1639" s="36"/>
      <c r="AI1639" s="36"/>
      <c r="AJ1639" s="36"/>
      <c r="AK1639" s="36"/>
      <c r="AL1639" s="36"/>
      <c r="AM1639" s="36"/>
      <c r="AN1639" s="36"/>
      <c r="AO1639" s="36"/>
      <c r="AP1639" s="36"/>
      <c r="AQ1639" s="36"/>
      <c r="AR1639" s="36"/>
      <c r="AS1639" s="36"/>
      <c r="AT1639" s="36"/>
      <c r="AU1639" s="36"/>
      <c r="AV1639" s="36"/>
      <c r="AW1639" s="36"/>
    </row>
    <row r="1640" spans="1:49" s="26" customFormat="1" ht="15" x14ac:dyDescent="0.25">
      <c r="A1640" s="36"/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36"/>
      <c r="AE1640" s="36"/>
      <c r="AF1640" s="36"/>
      <c r="AG1640" s="36"/>
      <c r="AH1640" s="36"/>
      <c r="AI1640" s="36"/>
      <c r="AJ1640" s="36"/>
      <c r="AK1640" s="36"/>
      <c r="AL1640" s="36"/>
      <c r="AM1640" s="36"/>
      <c r="AN1640" s="36"/>
      <c r="AO1640" s="36"/>
      <c r="AP1640" s="36"/>
      <c r="AQ1640" s="36"/>
      <c r="AR1640" s="36"/>
      <c r="AS1640" s="36"/>
      <c r="AT1640" s="36"/>
      <c r="AU1640" s="36"/>
      <c r="AV1640" s="36"/>
      <c r="AW1640" s="36"/>
    </row>
    <row r="1641" spans="1:49" s="26" customFormat="1" ht="15" x14ac:dyDescent="0.25">
      <c r="A1641" s="36"/>
      <c r="B1641" s="36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  <c r="S1641" s="36"/>
      <c r="T1641" s="36"/>
      <c r="U1641" s="36"/>
      <c r="V1641" s="36"/>
      <c r="W1641" s="36"/>
      <c r="X1641" s="36"/>
      <c r="Y1641" s="36"/>
      <c r="Z1641" s="36"/>
      <c r="AA1641" s="36"/>
      <c r="AB1641" s="36"/>
      <c r="AC1641" s="36"/>
      <c r="AD1641" s="36"/>
      <c r="AE1641" s="36"/>
      <c r="AF1641" s="36"/>
      <c r="AG1641" s="36"/>
      <c r="AH1641" s="36"/>
      <c r="AI1641" s="36"/>
      <c r="AJ1641" s="36"/>
      <c r="AK1641" s="36"/>
      <c r="AL1641" s="36"/>
      <c r="AM1641" s="36"/>
      <c r="AN1641" s="36"/>
      <c r="AO1641" s="36"/>
      <c r="AP1641" s="36"/>
      <c r="AQ1641" s="36"/>
      <c r="AR1641" s="36"/>
      <c r="AS1641" s="36"/>
      <c r="AT1641" s="36"/>
      <c r="AU1641" s="36"/>
      <c r="AV1641" s="36"/>
      <c r="AW1641" s="36"/>
    </row>
    <row r="1642" spans="1:49" s="26" customFormat="1" ht="15" x14ac:dyDescent="0.25">
      <c r="A1642" s="36"/>
      <c r="B1642" s="36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  <c r="S1642" s="36"/>
      <c r="T1642" s="36"/>
      <c r="U1642" s="36"/>
      <c r="V1642" s="36"/>
      <c r="W1642" s="36"/>
      <c r="X1642" s="36"/>
      <c r="Y1642" s="36"/>
      <c r="Z1642" s="36"/>
      <c r="AA1642" s="36"/>
      <c r="AB1642" s="36"/>
      <c r="AC1642" s="36"/>
      <c r="AD1642" s="36"/>
      <c r="AE1642" s="36"/>
      <c r="AF1642" s="36"/>
      <c r="AG1642" s="36"/>
      <c r="AH1642" s="36"/>
      <c r="AI1642" s="36"/>
      <c r="AJ1642" s="36"/>
      <c r="AK1642" s="36"/>
      <c r="AL1642" s="36"/>
      <c r="AM1642" s="36"/>
      <c r="AN1642" s="36"/>
      <c r="AO1642" s="36"/>
      <c r="AP1642" s="36"/>
      <c r="AQ1642" s="36"/>
      <c r="AR1642" s="36"/>
      <c r="AS1642" s="36"/>
      <c r="AT1642" s="36"/>
      <c r="AU1642" s="36"/>
      <c r="AV1642" s="36"/>
      <c r="AW1642" s="36"/>
    </row>
    <row r="1643" spans="1:49" s="26" customFormat="1" ht="15" x14ac:dyDescent="0.25">
      <c r="A1643" s="36"/>
      <c r="B1643" s="36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  <c r="S1643" s="36"/>
      <c r="T1643" s="36"/>
      <c r="U1643" s="36"/>
      <c r="V1643" s="36"/>
      <c r="W1643" s="36"/>
      <c r="X1643" s="36"/>
      <c r="Y1643" s="36"/>
      <c r="Z1643" s="36"/>
      <c r="AA1643" s="36"/>
      <c r="AB1643" s="36"/>
      <c r="AC1643" s="36"/>
      <c r="AD1643" s="36"/>
      <c r="AE1643" s="36"/>
      <c r="AF1643" s="36"/>
      <c r="AG1643" s="36"/>
      <c r="AH1643" s="36"/>
      <c r="AI1643" s="36"/>
      <c r="AJ1643" s="36"/>
      <c r="AK1643" s="36"/>
      <c r="AL1643" s="36"/>
      <c r="AM1643" s="36"/>
      <c r="AN1643" s="36"/>
      <c r="AO1643" s="36"/>
      <c r="AP1643" s="36"/>
      <c r="AQ1643" s="36"/>
      <c r="AR1643" s="36"/>
      <c r="AS1643" s="36"/>
      <c r="AT1643" s="36"/>
      <c r="AU1643" s="36"/>
      <c r="AV1643" s="36"/>
      <c r="AW1643" s="36"/>
    </row>
    <row r="1644" spans="1:49" s="26" customFormat="1" ht="15" x14ac:dyDescent="0.25">
      <c r="A1644" s="36"/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  <c r="S1644" s="36"/>
      <c r="T1644" s="36"/>
      <c r="U1644" s="36"/>
      <c r="V1644" s="36"/>
      <c r="W1644" s="36"/>
      <c r="X1644" s="36"/>
      <c r="Y1644" s="36"/>
      <c r="Z1644" s="36"/>
      <c r="AA1644" s="36"/>
      <c r="AB1644" s="36"/>
      <c r="AC1644" s="36"/>
      <c r="AD1644" s="36"/>
      <c r="AE1644" s="36"/>
      <c r="AF1644" s="36"/>
      <c r="AG1644" s="36"/>
      <c r="AH1644" s="36"/>
      <c r="AI1644" s="36"/>
      <c r="AJ1644" s="36"/>
      <c r="AK1644" s="36"/>
      <c r="AL1644" s="36"/>
      <c r="AM1644" s="36"/>
      <c r="AN1644" s="36"/>
      <c r="AO1644" s="36"/>
      <c r="AP1644" s="36"/>
      <c r="AQ1644" s="36"/>
      <c r="AR1644" s="36"/>
      <c r="AS1644" s="36"/>
      <c r="AT1644" s="36"/>
      <c r="AU1644" s="36"/>
      <c r="AV1644" s="36"/>
      <c r="AW1644" s="36"/>
    </row>
    <row r="1645" spans="1:49" s="26" customFormat="1" ht="15" x14ac:dyDescent="0.25">
      <c r="A1645" s="36"/>
      <c r="B1645" s="36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  <c r="S1645" s="36"/>
      <c r="T1645" s="36"/>
      <c r="U1645" s="36"/>
      <c r="V1645" s="36"/>
      <c r="W1645" s="36"/>
      <c r="X1645" s="36"/>
      <c r="Y1645" s="36"/>
      <c r="Z1645" s="36"/>
      <c r="AA1645" s="36"/>
      <c r="AB1645" s="36"/>
      <c r="AC1645" s="36"/>
      <c r="AD1645" s="36"/>
      <c r="AE1645" s="36"/>
      <c r="AF1645" s="36"/>
      <c r="AG1645" s="36"/>
      <c r="AH1645" s="36"/>
      <c r="AI1645" s="36"/>
      <c r="AJ1645" s="36"/>
      <c r="AK1645" s="36"/>
      <c r="AL1645" s="36"/>
      <c r="AM1645" s="36"/>
      <c r="AN1645" s="36"/>
      <c r="AO1645" s="36"/>
      <c r="AP1645" s="36"/>
      <c r="AQ1645" s="36"/>
      <c r="AR1645" s="36"/>
      <c r="AS1645" s="36"/>
      <c r="AT1645" s="36"/>
      <c r="AU1645" s="36"/>
      <c r="AV1645" s="36"/>
      <c r="AW1645" s="36"/>
    </row>
    <row r="1646" spans="1:49" s="26" customFormat="1" ht="15" x14ac:dyDescent="0.25">
      <c r="A1646" s="36"/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  <c r="S1646" s="36"/>
      <c r="T1646" s="36"/>
      <c r="U1646" s="36"/>
      <c r="V1646" s="36"/>
      <c r="W1646" s="36"/>
      <c r="X1646" s="36"/>
      <c r="Y1646" s="36"/>
      <c r="Z1646" s="36"/>
      <c r="AA1646" s="36"/>
      <c r="AB1646" s="36"/>
      <c r="AC1646" s="36"/>
      <c r="AD1646" s="36"/>
      <c r="AE1646" s="36"/>
      <c r="AF1646" s="36"/>
      <c r="AG1646" s="36"/>
      <c r="AH1646" s="36"/>
      <c r="AI1646" s="36"/>
      <c r="AJ1646" s="36"/>
      <c r="AK1646" s="36"/>
      <c r="AL1646" s="36"/>
      <c r="AM1646" s="36"/>
      <c r="AN1646" s="36"/>
      <c r="AO1646" s="36"/>
      <c r="AP1646" s="36"/>
      <c r="AQ1646" s="36"/>
      <c r="AR1646" s="36"/>
      <c r="AS1646" s="36"/>
      <c r="AT1646" s="36"/>
      <c r="AU1646" s="36"/>
      <c r="AV1646" s="36"/>
      <c r="AW1646" s="36"/>
    </row>
    <row r="1647" spans="1:49" s="26" customFormat="1" ht="15" x14ac:dyDescent="0.25">
      <c r="A1647" s="36"/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  <c r="S1647" s="36"/>
      <c r="T1647" s="36"/>
      <c r="U1647" s="36"/>
      <c r="V1647" s="36"/>
      <c r="W1647" s="36"/>
      <c r="X1647" s="36"/>
      <c r="Y1647" s="36"/>
      <c r="Z1647" s="36"/>
      <c r="AA1647" s="36"/>
      <c r="AB1647" s="36"/>
      <c r="AC1647" s="36"/>
      <c r="AD1647" s="36"/>
      <c r="AE1647" s="36"/>
      <c r="AF1647" s="36"/>
      <c r="AG1647" s="36"/>
      <c r="AH1647" s="36"/>
      <c r="AI1647" s="36"/>
      <c r="AJ1647" s="36"/>
      <c r="AK1647" s="36"/>
      <c r="AL1647" s="36"/>
      <c r="AM1647" s="36"/>
      <c r="AN1647" s="36"/>
      <c r="AO1647" s="36"/>
      <c r="AP1647" s="36"/>
      <c r="AQ1647" s="36"/>
      <c r="AR1647" s="36"/>
      <c r="AS1647" s="36"/>
      <c r="AT1647" s="36"/>
      <c r="AU1647" s="36"/>
      <c r="AV1647" s="36"/>
      <c r="AW1647" s="36"/>
    </row>
    <row r="1648" spans="1:49" s="26" customFormat="1" ht="15" x14ac:dyDescent="0.25">
      <c r="A1648" s="36"/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  <c r="S1648" s="36"/>
      <c r="T1648" s="36"/>
      <c r="U1648" s="36"/>
      <c r="V1648" s="36"/>
      <c r="W1648" s="36"/>
      <c r="X1648" s="36"/>
      <c r="Y1648" s="36"/>
      <c r="Z1648" s="36"/>
      <c r="AA1648" s="36"/>
      <c r="AB1648" s="36"/>
      <c r="AC1648" s="36"/>
      <c r="AD1648" s="36"/>
      <c r="AE1648" s="36"/>
      <c r="AF1648" s="36"/>
      <c r="AG1648" s="36"/>
      <c r="AH1648" s="36"/>
      <c r="AI1648" s="36"/>
      <c r="AJ1648" s="36"/>
      <c r="AK1648" s="36"/>
      <c r="AL1648" s="36"/>
      <c r="AM1648" s="36"/>
      <c r="AN1648" s="36"/>
      <c r="AO1648" s="36"/>
      <c r="AP1648" s="36"/>
      <c r="AQ1648" s="36"/>
      <c r="AR1648" s="36"/>
      <c r="AS1648" s="36"/>
      <c r="AT1648" s="36"/>
      <c r="AU1648" s="36"/>
      <c r="AV1648" s="36"/>
      <c r="AW1648" s="36"/>
    </row>
    <row r="1649" spans="1:49" s="26" customFormat="1" ht="15" x14ac:dyDescent="0.25">
      <c r="A1649" s="36"/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  <c r="N1649" s="36"/>
      <c r="O1649" s="36"/>
      <c r="P1649" s="36"/>
      <c r="Q1649" s="36"/>
      <c r="R1649" s="36"/>
      <c r="S1649" s="36"/>
      <c r="T1649" s="36"/>
      <c r="U1649" s="36"/>
      <c r="V1649" s="36"/>
      <c r="W1649" s="36"/>
      <c r="X1649" s="36"/>
      <c r="Y1649" s="36"/>
      <c r="Z1649" s="36"/>
      <c r="AA1649" s="36"/>
      <c r="AB1649" s="36"/>
      <c r="AC1649" s="36"/>
      <c r="AD1649" s="36"/>
      <c r="AE1649" s="36"/>
      <c r="AF1649" s="36"/>
      <c r="AG1649" s="36"/>
      <c r="AH1649" s="36"/>
      <c r="AI1649" s="36"/>
      <c r="AJ1649" s="36"/>
      <c r="AK1649" s="36"/>
      <c r="AL1649" s="36"/>
      <c r="AM1649" s="36"/>
      <c r="AN1649" s="36"/>
      <c r="AO1649" s="36"/>
      <c r="AP1649" s="36"/>
      <c r="AQ1649" s="36"/>
      <c r="AR1649" s="36"/>
      <c r="AS1649" s="36"/>
      <c r="AT1649" s="36"/>
      <c r="AU1649" s="36"/>
      <c r="AV1649" s="36"/>
      <c r="AW1649" s="36"/>
    </row>
    <row r="1650" spans="1:49" s="26" customFormat="1" ht="15" x14ac:dyDescent="0.25">
      <c r="A1650" s="36"/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  <c r="N1650" s="36"/>
      <c r="O1650" s="36"/>
      <c r="P1650" s="36"/>
      <c r="Q1650" s="36"/>
      <c r="R1650" s="36"/>
      <c r="S1650" s="36"/>
      <c r="T1650" s="36"/>
      <c r="U1650" s="36"/>
      <c r="V1650" s="36"/>
      <c r="W1650" s="36"/>
      <c r="X1650" s="36"/>
      <c r="Y1650" s="36"/>
      <c r="Z1650" s="36"/>
      <c r="AA1650" s="36"/>
      <c r="AB1650" s="36"/>
      <c r="AC1650" s="36"/>
      <c r="AD1650" s="36"/>
      <c r="AE1650" s="36"/>
      <c r="AF1650" s="36"/>
      <c r="AG1650" s="36"/>
      <c r="AH1650" s="36"/>
      <c r="AI1650" s="36"/>
      <c r="AJ1650" s="36"/>
      <c r="AK1650" s="36"/>
      <c r="AL1650" s="36"/>
      <c r="AM1650" s="36"/>
      <c r="AN1650" s="36"/>
      <c r="AO1650" s="36"/>
      <c r="AP1650" s="36"/>
      <c r="AQ1650" s="36"/>
      <c r="AR1650" s="36"/>
      <c r="AS1650" s="36"/>
      <c r="AT1650" s="36"/>
      <c r="AU1650" s="36"/>
      <c r="AV1650" s="36"/>
      <c r="AW1650" s="36"/>
    </row>
    <row r="1651" spans="1:49" s="26" customFormat="1" ht="15" x14ac:dyDescent="0.25">
      <c r="A1651" s="36"/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6"/>
      <c r="Q1651" s="36"/>
      <c r="R1651" s="36"/>
      <c r="S1651" s="36"/>
      <c r="T1651" s="36"/>
      <c r="U1651" s="36"/>
      <c r="V1651" s="36"/>
      <c r="W1651" s="36"/>
      <c r="X1651" s="36"/>
      <c r="Y1651" s="36"/>
      <c r="Z1651" s="36"/>
      <c r="AA1651" s="36"/>
      <c r="AB1651" s="36"/>
      <c r="AC1651" s="36"/>
      <c r="AD1651" s="36"/>
      <c r="AE1651" s="36"/>
      <c r="AF1651" s="36"/>
      <c r="AG1651" s="36"/>
      <c r="AH1651" s="36"/>
      <c r="AI1651" s="36"/>
      <c r="AJ1651" s="36"/>
      <c r="AK1651" s="36"/>
      <c r="AL1651" s="36"/>
      <c r="AM1651" s="36"/>
      <c r="AN1651" s="36"/>
      <c r="AO1651" s="36"/>
      <c r="AP1651" s="36"/>
      <c r="AQ1651" s="36"/>
      <c r="AR1651" s="36"/>
      <c r="AS1651" s="36"/>
      <c r="AT1651" s="36"/>
      <c r="AU1651" s="36"/>
      <c r="AV1651" s="36"/>
      <c r="AW1651" s="36"/>
    </row>
    <row r="1652" spans="1:49" s="26" customFormat="1" ht="15" x14ac:dyDescent="0.25">
      <c r="A1652" s="36"/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  <c r="N1652" s="36"/>
      <c r="O1652" s="36"/>
      <c r="P1652" s="36"/>
      <c r="Q1652" s="36"/>
      <c r="R1652" s="36"/>
      <c r="S1652" s="36"/>
      <c r="T1652" s="36"/>
      <c r="U1652" s="36"/>
      <c r="V1652" s="36"/>
      <c r="W1652" s="36"/>
      <c r="X1652" s="36"/>
      <c r="Y1652" s="36"/>
      <c r="Z1652" s="36"/>
      <c r="AA1652" s="36"/>
      <c r="AB1652" s="36"/>
      <c r="AC1652" s="36"/>
      <c r="AD1652" s="36"/>
      <c r="AE1652" s="36"/>
      <c r="AF1652" s="36"/>
      <c r="AG1652" s="36"/>
      <c r="AH1652" s="36"/>
      <c r="AI1652" s="36"/>
      <c r="AJ1652" s="36"/>
      <c r="AK1652" s="36"/>
      <c r="AL1652" s="36"/>
      <c r="AM1652" s="36"/>
      <c r="AN1652" s="36"/>
      <c r="AO1652" s="36"/>
      <c r="AP1652" s="36"/>
      <c r="AQ1652" s="36"/>
      <c r="AR1652" s="36"/>
      <c r="AS1652" s="36"/>
      <c r="AT1652" s="36"/>
      <c r="AU1652" s="36"/>
      <c r="AV1652" s="36"/>
      <c r="AW1652" s="36"/>
    </row>
    <row r="1653" spans="1:49" s="26" customFormat="1" ht="15" x14ac:dyDescent="0.25">
      <c r="A1653" s="36"/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  <c r="N1653" s="36"/>
      <c r="O1653" s="36"/>
      <c r="P1653" s="36"/>
      <c r="Q1653" s="36"/>
      <c r="R1653" s="36"/>
      <c r="S1653" s="36"/>
      <c r="T1653" s="36"/>
      <c r="U1653" s="36"/>
      <c r="V1653" s="36"/>
      <c r="W1653" s="36"/>
      <c r="X1653" s="36"/>
      <c r="Y1653" s="36"/>
      <c r="Z1653" s="36"/>
      <c r="AA1653" s="36"/>
      <c r="AB1653" s="36"/>
      <c r="AC1653" s="36"/>
      <c r="AD1653" s="36"/>
      <c r="AE1653" s="36"/>
      <c r="AF1653" s="36"/>
      <c r="AG1653" s="36"/>
      <c r="AH1653" s="36"/>
      <c r="AI1653" s="36"/>
      <c r="AJ1653" s="36"/>
      <c r="AK1653" s="36"/>
      <c r="AL1653" s="36"/>
      <c r="AM1653" s="36"/>
      <c r="AN1653" s="36"/>
      <c r="AO1653" s="36"/>
      <c r="AP1653" s="36"/>
      <c r="AQ1653" s="36"/>
      <c r="AR1653" s="36"/>
      <c r="AS1653" s="36"/>
      <c r="AT1653" s="36"/>
      <c r="AU1653" s="36"/>
      <c r="AV1653" s="36"/>
      <c r="AW1653" s="36"/>
    </row>
    <row r="1654" spans="1:49" s="26" customFormat="1" ht="15" x14ac:dyDescent="0.25">
      <c r="A1654" s="36"/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  <c r="N1654" s="36"/>
      <c r="O1654" s="36"/>
      <c r="P1654" s="36"/>
      <c r="Q1654" s="36"/>
      <c r="R1654" s="36"/>
      <c r="S1654" s="36"/>
      <c r="T1654" s="36"/>
      <c r="U1654" s="36"/>
      <c r="V1654" s="36"/>
      <c r="W1654" s="36"/>
      <c r="X1654" s="36"/>
      <c r="Y1654" s="36"/>
      <c r="Z1654" s="36"/>
      <c r="AA1654" s="36"/>
      <c r="AB1654" s="36"/>
      <c r="AC1654" s="36"/>
      <c r="AD1654" s="36"/>
      <c r="AE1654" s="36"/>
      <c r="AF1654" s="36"/>
      <c r="AG1654" s="36"/>
      <c r="AH1654" s="36"/>
      <c r="AI1654" s="36"/>
      <c r="AJ1654" s="36"/>
      <c r="AK1654" s="36"/>
      <c r="AL1654" s="36"/>
      <c r="AM1654" s="36"/>
      <c r="AN1654" s="36"/>
      <c r="AO1654" s="36"/>
      <c r="AP1654" s="36"/>
      <c r="AQ1654" s="36"/>
      <c r="AR1654" s="36"/>
      <c r="AS1654" s="36"/>
      <c r="AT1654" s="36"/>
      <c r="AU1654" s="36"/>
      <c r="AV1654" s="36"/>
      <c r="AW1654" s="36"/>
    </row>
    <row r="1655" spans="1:49" s="26" customFormat="1" ht="15" x14ac:dyDescent="0.25">
      <c r="A1655" s="36"/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  <c r="N1655" s="36"/>
      <c r="O1655" s="36"/>
      <c r="P1655" s="36"/>
      <c r="Q1655" s="36"/>
      <c r="R1655" s="36"/>
      <c r="S1655" s="36"/>
      <c r="T1655" s="36"/>
      <c r="U1655" s="36"/>
      <c r="V1655" s="36"/>
      <c r="W1655" s="36"/>
      <c r="X1655" s="36"/>
      <c r="Y1655" s="36"/>
      <c r="Z1655" s="36"/>
      <c r="AA1655" s="36"/>
      <c r="AB1655" s="36"/>
      <c r="AC1655" s="36"/>
      <c r="AD1655" s="36"/>
      <c r="AE1655" s="36"/>
      <c r="AF1655" s="36"/>
      <c r="AG1655" s="36"/>
      <c r="AH1655" s="36"/>
      <c r="AI1655" s="36"/>
      <c r="AJ1655" s="36"/>
      <c r="AK1655" s="36"/>
      <c r="AL1655" s="36"/>
      <c r="AM1655" s="36"/>
      <c r="AN1655" s="36"/>
      <c r="AO1655" s="36"/>
      <c r="AP1655" s="36"/>
      <c r="AQ1655" s="36"/>
      <c r="AR1655" s="36"/>
      <c r="AS1655" s="36"/>
      <c r="AT1655" s="36"/>
      <c r="AU1655" s="36"/>
      <c r="AV1655" s="36"/>
      <c r="AW1655" s="36"/>
    </row>
    <row r="1656" spans="1:49" s="26" customFormat="1" ht="15" x14ac:dyDescent="0.25">
      <c r="A1656" s="36"/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  <c r="N1656" s="36"/>
      <c r="O1656" s="36"/>
      <c r="P1656" s="36"/>
      <c r="Q1656" s="36"/>
      <c r="R1656" s="36"/>
      <c r="S1656" s="36"/>
      <c r="T1656" s="36"/>
      <c r="U1656" s="36"/>
      <c r="V1656" s="36"/>
      <c r="W1656" s="36"/>
      <c r="X1656" s="36"/>
      <c r="Y1656" s="36"/>
      <c r="Z1656" s="36"/>
      <c r="AA1656" s="36"/>
      <c r="AB1656" s="36"/>
      <c r="AC1656" s="36"/>
      <c r="AD1656" s="36"/>
      <c r="AE1656" s="36"/>
      <c r="AF1656" s="36"/>
      <c r="AG1656" s="36"/>
      <c r="AH1656" s="36"/>
      <c r="AI1656" s="36"/>
      <c r="AJ1656" s="36"/>
      <c r="AK1656" s="36"/>
      <c r="AL1656" s="36"/>
      <c r="AM1656" s="36"/>
      <c r="AN1656" s="36"/>
      <c r="AO1656" s="36"/>
      <c r="AP1656" s="36"/>
      <c r="AQ1656" s="36"/>
      <c r="AR1656" s="36"/>
      <c r="AS1656" s="36"/>
      <c r="AT1656" s="36"/>
      <c r="AU1656" s="36"/>
      <c r="AV1656" s="36"/>
      <c r="AW1656" s="36"/>
    </row>
    <row r="1657" spans="1:49" s="26" customFormat="1" ht="15" x14ac:dyDescent="0.25">
      <c r="A1657" s="36"/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  <c r="N1657" s="36"/>
      <c r="O1657" s="36"/>
      <c r="P1657" s="36"/>
      <c r="Q1657" s="36"/>
      <c r="R1657" s="36"/>
      <c r="S1657" s="36"/>
      <c r="T1657" s="36"/>
      <c r="U1657" s="36"/>
      <c r="V1657" s="36"/>
      <c r="W1657" s="36"/>
      <c r="X1657" s="36"/>
      <c r="Y1657" s="36"/>
      <c r="Z1657" s="36"/>
      <c r="AA1657" s="36"/>
      <c r="AB1657" s="36"/>
      <c r="AC1657" s="36"/>
      <c r="AD1657" s="36"/>
      <c r="AE1657" s="36"/>
      <c r="AF1657" s="36"/>
      <c r="AG1657" s="36"/>
      <c r="AH1657" s="36"/>
      <c r="AI1657" s="36"/>
      <c r="AJ1657" s="36"/>
      <c r="AK1657" s="36"/>
      <c r="AL1657" s="36"/>
      <c r="AM1657" s="36"/>
      <c r="AN1657" s="36"/>
      <c r="AO1657" s="36"/>
      <c r="AP1657" s="36"/>
      <c r="AQ1657" s="36"/>
      <c r="AR1657" s="36"/>
      <c r="AS1657" s="36"/>
      <c r="AT1657" s="36"/>
      <c r="AU1657" s="36"/>
      <c r="AV1657" s="36"/>
      <c r="AW1657" s="36"/>
    </row>
    <row r="1658" spans="1:49" s="26" customFormat="1" ht="15" x14ac:dyDescent="0.25">
      <c r="A1658" s="36"/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6"/>
      <c r="Q1658" s="36"/>
      <c r="R1658" s="36"/>
      <c r="S1658" s="36"/>
      <c r="T1658" s="36"/>
      <c r="U1658" s="36"/>
      <c r="V1658" s="36"/>
      <c r="W1658" s="36"/>
      <c r="X1658" s="36"/>
      <c r="Y1658" s="36"/>
      <c r="Z1658" s="36"/>
      <c r="AA1658" s="36"/>
      <c r="AB1658" s="36"/>
      <c r="AC1658" s="36"/>
      <c r="AD1658" s="36"/>
      <c r="AE1658" s="36"/>
      <c r="AF1658" s="36"/>
      <c r="AG1658" s="36"/>
      <c r="AH1658" s="36"/>
      <c r="AI1658" s="36"/>
      <c r="AJ1658" s="36"/>
      <c r="AK1658" s="36"/>
      <c r="AL1658" s="36"/>
      <c r="AM1658" s="36"/>
      <c r="AN1658" s="36"/>
      <c r="AO1658" s="36"/>
      <c r="AP1658" s="36"/>
      <c r="AQ1658" s="36"/>
      <c r="AR1658" s="36"/>
      <c r="AS1658" s="36"/>
      <c r="AT1658" s="36"/>
      <c r="AU1658" s="36"/>
      <c r="AV1658" s="36"/>
      <c r="AW1658" s="36"/>
    </row>
    <row r="1659" spans="1:49" s="26" customFormat="1" ht="15" x14ac:dyDescent="0.25">
      <c r="A1659" s="36"/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  <c r="N1659" s="36"/>
      <c r="O1659" s="36"/>
      <c r="P1659" s="36"/>
      <c r="Q1659" s="36"/>
      <c r="R1659" s="36"/>
      <c r="S1659" s="36"/>
      <c r="T1659" s="36"/>
      <c r="U1659" s="36"/>
      <c r="V1659" s="36"/>
      <c r="W1659" s="36"/>
      <c r="X1659" s="36"/>
      <c r="Y1659" s="36"/>
      <c r="Z1659" s="36"/>
      <c r="AA1659" s="36"/>
      <c r="AB1659" s="36"/>
      <c r="AC1659" s="36"/>
      <c r="AD1659" s="36"/>
      <c r="AE1659" s="36"/>
      <c r="AF1659" s="36"/>
      <c r="AG1659" s="36"/>
      <c r="AH1659" s="36"/>
      <c r="AI1659" s="36"/>
      <c r="AJ1659" s="36"/>
      <c r="AK1659" s="36"/>
      <c r="AL1659" s="36"/>
      <c r="AM1659" s="36"/>
      <c r="AN1659" s="36"/>
      <c r="AO1659" s="36"/>
      <c r="AP1659" s="36"/>
      <c r="AQ1659" s="36"/>
      <c r="AR1659" s="36"/>
      <c r="AS1659" s="36"/>
      <c r="AT1659" s="36"/>
      <c r="AU1659" s="36"/>
      <c r="AV1659" s="36"/>
      <c r="AW1659" s="36"/>
    </row>
    <row r="1660" spans="1:49" s="26" customFormat="1" ht="15" x14ac:dyDescent="0.25">
      <c r="A1660" s="36"/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  <c r="S1660" s="36"/>
      <c r="T1660" s="36"/>
      <c r="U1660" s="36"/>
      <c r="V1660" s="36"/>
      <c r="W1660" s="36"/>
      <c r="X1660" s="36"/>
      <c r="Y1660" s="36"/>
      <c r="Z1660" s="36"/>
      <c r="AA1660" s="36"/>
      <c r="AB1660" s="36"/>
      <c r="AC1660" s="36"/>
      <c r="AD1660" s="36"/>
      <c r="AE1660" s="36"/>
      <c r="AF1660" s="36"/>
      <c r="AG1660" s="36"/>
      <c r="AH1660" s="36"/>
      <c r="AI1660" s="36"/>
      <c r="AJ1660" s="36"/>
      <c r="AK1660" s="36"/>
      <c r="AL1660" s="36"/>
      <c r="AM1660" s="36"/>
      <c r="AN1660" s="36"/>
      <c r="AO1660" s="36"/>
      <c r="AP1660" s="36"/>
      <c r="AQ1660" s="36"/>
      <c r="AR1660" s="36"/>
      <c r="AS1660" s="36"/>
      <c r="AT1660" s="36"/>
      <c r="AU1660" s="36"/>
      <c r="AV1660" s="36"/>
      <c r="AW1660" s="36"/>
    </row>
    <row r="1661" spans="1:49" s="26" customFormat="1" ht="15" x14ac:dyDescent="0.25">
      <c r="A1661" s="36"/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  <c r="S1661" s="36"/>
      <c r="T1661" s="36"/>
      <c r="U1661" s="36"/>
      <c r="V1661" s="36"/>
      <c r="W1661" s="36"/>
      <c r="X1661" s="36"/>
      <c r="Y1661" s="36"/>
      <c r="Z1661" s="36"/>
      <c r="AA1661" s="36"/>
      <c r="AB1661" s="36"/>
      <c r="AC1661" s="36"/>
      <c r="AD1661" s="36"/>
      <c r="AE1661" s="36"/>
      <c r="AF1661" s="36"/>
      <c r="AG1661" s="36"/>
      <c r="AH1661" s="36"/>
      <c r="AI1661" s="36"/>
      <c r="AJ1661" s="36"/>
      <c r="AK1661" s="36"/>
      <c r="AL1661" s="36"/>
      <c r="AM1661" s="36"/>
      <c r="AN1661" s="36"/>
      <c r="AO1661" s="36"/>
      <c r="AP1661" s="36"/>
      <c r="AQ1661" s="36"/>
      <c r="AR1661" s="36"/>
      <c r="AS1661" s="36"/>
      <c r="AT1661" s="36"/>
      <c r="AU1661" s="36"/>
      <c r="AV1661" s="36"/>
      <c r="AW1661" s="36"/>
    </row>
    <row r="1662" spans="1:49" s="26" customFormat="1" ht="15" x14ac:dyDescent="0.25">
      <c r="A1662" s="36"/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  <c r="S1662" s="36"/>
      <c r="T1662" s="36"/>
      <c r="U1662" s="36"/>
      <c r="V1662" s="36"/>
      <c r="W1662" s="36"/>
      <c r="X1662" s="36"/>
      <c r="Y1662" s="36"/>
      <c r="Z1662" s="36"/>
      <c r="AA1662" s="36"/>
      <c r="AB1662" s="36"/>
      <c r="AC1662" s="36"/>
      <c r="AD1662" s="36"/>
      <c r="AE1662" s="36"/>
      <c r="AF1662" s="36"/>
      <c r="AG1662" s="36"/>
      <c r="AH1662" s="36"/>
      <c r="AI1662" s="36"/>
      <c r="AJ1662" s="36"/>
      <c r="AK1662" s="36"/>
      <c r="AL1662" s="36"/>
      <c r="AM1662" s="36"/>
      <c r="AN1662" s="36"/>
      <c r="AO1662" s="36"/>
      <c r="AP1662" s="36"/>
      <c r="AQ1662" s="36"/>
      <c r="AR1662" s="36"/>
      <c r="AS1662" s="36"/>
      <c r="AT1662" s="36"/>
      <c r="AU1662" s="36"/>
      <c r="AV1662" s="36"/>
      <c r="AW1662" s="36"/>
    </row>
    <row r="1663" spans="1:49" s="26" customFormat="1" ht="15" x14ac:dyDescent="0.25">
      <c r="A1663" s="36"/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  <c r="S1663" s="36"/>
      <c r="T1663" s="36"/>
      <c r="U1663" s="36"/>
      <c r="V1663" s="36"/>
      <c r="W1663" s="36"/>
      <c r="X1663" s="36"/>
      <c r="Y1663" s="36"/>
      <c r="Z1663" s="36"/>
      <c r="AA1663" s="36"/>
      <c r="AB1663" s="36"/>
      <c r="AC1663" s="36"/>
      <c r="AD1663" s="36"/>
      <c r="AE1663" s="36"/>
      <c r="AF1663" s="36"/>
      <c r="AG1663" s="36"/>
      <c r="AH1663" s="36"/>
      <c r="AI1663" s="36"/>
      <c r="AJ1663" s="36"/>
      <c r="AK1663" s="36"/>
      <c r="AL1663" s="36"/>
      <c r="AM1663" s="36"/>
      <c r="AN1663" s="36"/>
      <c r="AO1663" s="36"/>
      <c r="AP1663" s="36"/>
      <c r="AQ1663" s="36"/>
      <c r="AR1663" s="36"/>
      <c r="AS1663" s="36"/>
      <c r="AT1663" s="36"/>
      <c r="AU1663" s="36"/>
      <c r="AV1663" s="36"/>
      <c r="AW1663" s="36"/>
    </row>
    <row r="1664" spans="1:49" s="26" customFormat="1" ht="15" x14ac:dyDescent="0.25">
      <c r="A1664" s="36"/>
      <c r="B1664" s="36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M1664" s="36"/>
      <c r="N1664" s="36"/>
      <c r="O1664" s="36"/>
      <c r="P1664" s="36"/>
      <c r="Q1664" s="36"/>
      <c r="R1664" s="36"/>
      <c r="S1664" s="36"/>
      <c r="T1664" s="36"/>
      <c r="U1664" s="36"/>
      <c r="V1664" s="36"/>
      <c r="W1664" s="36"/>
      <c r="X1664" s="36"/>
      <c r="Y1664" s="36"/>
      <c r="Z1664" s="36"/>
      <c r="AA1664" s="36"/>
      <c r="AB1664" s="36"/>
      <c r="AC1664" s="36"/>
      <c r="AD1664" s="36"/>
      <c r="AE1664" s="36"/>
      <c r="AF1664" s="36"/>
      <c r="AG1664" s="36"/>
      <c r="AH1664" s="36"/>
      <c r="AI1664" s="36"/>
      <c r="AJ1664" s="36"/>
      <c r="AK1664" s="36"/>
      <c r="AL1664" s="36"/>
      <c r="AM1664" s="36"/>
      <c r="AN1664" s="36"/>
      <c r="AO1664" s="36"/>
      <c r="AP1664" s="36"/>
      <c r="AQ1664" s="36"/>
      <c r="AR1664" s="36"/>
      <c r="AS1664" s="36"/>
      <c r="AT1664" s="36"/>
      <c r="AU1664" s="36"/>
      <c r="AV1664" s="36"/>
      <c r="AW1664" s="36"/>
    </row>
    <row r="1998" spans="1:49" s="26" customFormat="1" ht="15" x14ac:dyDescent="0.25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  <c r="AG1998" s="36"/>
      <c r="AH1998" s="36"/>
      <c r="AI1998" s="36"/>
      <c r="AJ1998" s="36"/>
      <c r="AK1998" s="36"/>
      <c r="AL1998" s="36"/>
      <c r="AM1998" s="36"/>
      <c r="AN1998" s="36"/>
      <c r="AO1998" s="36"/>
      <c r="AP1998" s="36"/>
      <c r="AQ1998" s="36"/>
      <c r="AR1998" s="36"/>
      <c r="AS1998" s="36"/>
      <c r="AT1998" s="36"/>
      <c r="AU1998" s="36"/>
      <c r="AV1998" s="36"/>
      <c r="AW1998" s="36"/>
    </row>
    <row r="1999" spans="1:49" s="26" customFormat="1" ht="15" x14ac:dyDescent="0.25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  <c r="AG1999" s="36"/>
      <c r="AH1999" s="36"/>
      <c r="AI1999" s="36"/>
      <c r="AJ1999" s="36"/>
      <c r="AK1999" s="36"/>
      <c r="AL1999" s="36"/>
      <c r="AM1999" s="36"/>
      <c r="AN1999" s="36"/>
      <c r="AO1999" s="36"/>
      <c r="AP1999" s="36"/>
      <c r="AQ1999" s="36"/>
      <c r="AR1999" s="36"/>
      <c r="AS1999" s="36"/>
      <c r="AT1999" s="36"/>
      <c r="AU1999" s="36"/>
      <c r="AV1999" s="36"/>
      <c r="AW1999" s="36"/>
    </row>
    <row r="2000" spans="1:49" s="26" customFormat="1" ht="15" x14ac:dyDescent="0.25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  <c r="AG2000" s="36"/>
      <c r="AH2000" s="36"/>
      <c r="AI2000" s="36"/>
      <c r="AJ2000" s="36"/>
      <c r="AK2000" s="36"/>
      <c r="AL2000" s="36"/>
      <c r="AM2000" s="36"/>
      <c r="AN2000" s="36"/>
      <c r="AO2000" s="36"/>
      <c r="AP2000" s="36"/>
      <c r="AQ2000" s="36"/>
      <c r="AR2000" s="36"/>
      <c r="AS2000" s="36"/>
      <c r="AT2000" s="36"/>
      <c r="AU2000" s="36"/>
      <c r="AV2000" s="36"/>
      <c r="AW2000" s="36"/>
    </row>
    <row r="2001" spans="1:49" s="26" customFormat="1" ht="15" x14ac:dyDescent="0.25">
      <c r="A2001" s="36"/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36"/>
      <c r="AE2001" s="36"/>
      <c r="AF2001" s="36"/>
      <c r="AG2001" s="36"/>
      <c r="AH2001" s="36"/>
      <c r="AI2001" s="36"/>
      <c r="AJ2001" s="36"/>
      <c r="AK2001" s="36"/>
      <c r="AL2001" s="36"/>
      <c r="AM2001" s="36"/>
      <c r="AN2001" s="36"/>
      <c r="AO2001" s="36"/>
      <c r="AP2001" s="36"/>
      <c r="AQ2001" s="36"/>
      <c r="AR2001" s="36"/>
      <c r="AS2001" s="36"/>
      <c r="AT2001" s="36"/>
      <c r="AU2001" s="36"/>
      <c r="AV2001" s="36"/>
      <c r="AW2001" s="36"/>
    </row>
    <row r="2002" spans="1:49" s="26" customFormat="1" ht="15" x14ac:dyDescent="0.25">
      <c r="A2002" s="36"/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36"/>
      <c r="AE2002" s="36"/>
      <c r="AF2002" s="36"/>
      <c r="AG2002" s="36"/>
      <c r="AH2002" s="36"/>
      <c r="AI2002" s="36"/>
      <c r="AJ2002" s="36"/>
      <c r="AK2002" s="36"/>
      <c r="AL2002" s="36"/>
      <c r="AM2002" s="36"/>
      <c r="AN2002" s="36"/>
      <c r="AO2002" s="36"/>
      <c r="AP2002" s="36"/>
      <c r="AQ2002" s="36"/>
      <c r="AR2002" s="36"/>
      <c r="AS2002" s="36"/>
      <c r="AT2002" s="36"/>
      <c r="AU2002" s="36"/>
      <c r="AV2002" s="36"/>
      <c r="AW2002" s="36"/>
    </row>
    <row r="2003" spans="1:49" s="26" customFormat="1" ht="15" x14ac:dyDescent="0.25">
      <c r="A2003" s="36"/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36"/>
      <c r="AE2003" s="36"/>
      <c r="AF2003" s="36"/>
      <c r="AG2003" s="36"/>
      <c r="AH2003" s="36"/>
      <c r="AI2003" s="36"/>
      <c r="AJ2003" s="36"/>
      <c r="AK2003" s="36"/>
      <c r="AL2003" s="36"/>
      <c r="AM2003" s="36"/>
      <c r="AN2003" s="36"/>
      <c r="AO2003" s="36"/>
      <c r="AP2003" s="36"/>
      <c r="AQ2003" s="36"/>
      <c r="AR2003" s="36"/>
      <c r="AS2003" s="36"/>
      <c r="AT2003" s="36"/>
      <c r="AU2003" s="36"/>
      <c r="AV2003" s="36"/>
      <c r="AW2003" s="36"/>
    </row>
    <row r="2004" spans="1:49" s="26" customFormat="1" ht="15" x14ac:dyDescent="0.25">
      <c r="A2004" s="36"/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36"/>
      <c r="AE2004" s="36"/>
      <c r="AF2004" s="36"/>
      <c r="AG2004" s="36"/>
      <c r="AH2004" s="36"/>
      <c r="AI2004" s="36"/>
      <c r="AJ2004" s="36"/>
      <c r="AK2004" s="36"/>
      <c r="AL2004" s="36"/>
      <c r="AM2004" s="36"/>
      <c r="AN2004" s="36"/>
      <c r="AO2004" s="36"/>
      <c r="AP2004" s="36"/>
      <c r="AQ2004" s="36"/>
      <c r="AR2004" s="36"/>
      <c r="AS2004" s="36"/>
      <c r="AT2004" s="36"/>
      <c r="AU2004" s="36"/>
      <c r="AV2004" s="36"/>
      <c r="AW2004" s="36"/>
    </row>
    <row r="2005" spans="1:49" s="26" customFormat="1" ht="15" x14ac:dyDescent="0.25">
      <c r="A2005" s="36"/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36"/>
      <c r="AE2005" s="36"/>
      <c r="AF2005" s="36"/>
      <c r="AG2005" s="36"/>
      <c r="AH2005" s="36"/>
      <c r="AI2005" s="36"/>
      <c r="AJ2005" s="36"/>
      <c r="AK2005" s="36"/>
      <c r="AL2005" s="36"/>
      <c r="AM2005" s="36"/>
      <c r="AN2005" s="36"/>
      <c r="AO2005" s="36"/>
      <c r="AP2005" s="36"/>
      <c r="AQ2005" s="36"/>
      <c r="AR2005" s="36"/>
      <c r="AS2005" s="36"/>
      <c r="AT2005" s="36"/>
      <c r="AU2005" s="36"/>
      <c r="AV2005" s="36"/>
      <c r="AW2005" s="36"/>
    </row>
    <row r="2006" spans="1:49" s="26" customFormat="1" ht="15" x14ac:dyDescent="0.25">
      <c r="A2006" s="36"/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36"/>
      <c r="AE2006" s="36"/>
      <c r="AF2006" s="36"/>
      <c r="AG2006" s="36"/>
      <c r="AH2006" s="36"/>
      <c r="AI2006" s="36"/>
      <c r="AJ2006" s="36"/>
      <c r="AK2006" s="36"/>
      <c r="AL2006" s="36"/>
      <c r="AM2006" s="36"/>
      <c r="AN2006" s="36"/>
      <c r="AO2006" s="36"/>
      <c r="AP2006" s="36"/>
      <c r="AQ2006" s="36"/>
      <c r="AR2006" s="36"/>
      <c r="AS2006" s="36"/>
      <c r="AT2006" s="36"/>
      <c r="AU2006" s="36"/>
      <c r="AV2006" s="36"/>
      <c r="AW2006" s="36"/>
    </row>
    <row r="2007" spans="1:49" s="26" customFormat="1" ht="15" x14ac:dyDescent="0.25">
      <c r="A2007" s="36"/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36"/>
      <c r="AE2007" s="36"/>
      <c r="AF2007" s="36"/>
      <c r="AG2007" s="36"/>
      <c r="AH2007" s="36"/>
      <c r="AI2007" s="36"/>
      <c r="AJ2007" s="36"/>
      <c r="AK2007" s="36"/>
      <c r="AL2007" s="36"/>
      <c r="AM2007" s="36"/>
      <c r="AN2007" s="36"/>
      <c r="AO2007" s="36"/>
      <c r="AP2007" s="36"/>
      <c r="AQ2007" s="36"/>
      <c r="AR2007" s="36"/>
      <c r="AS2007" s="36"/>
      <c r="AT2007" s="36"/>
      <c r="AU2007" s="36"/>
      <c r="AV2007" s="36"/>
      <c r="AW2007" s="36"/>
    </row>
    <row r="2008" spans="1:49" s="26" customFormat="1" ht="15" x14ac:dyDescent="0.25">
      <c r="A2008" s="36"/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36"/>
      <c r="AE2008" s="36"/>
      <c r="AF2008" s="36"/>
      <c r="AG2008" s="36"/>
      <c r="AH2008" s="36"/>
      <c r="AI2008" s="36"/>
      <c r="AJ2008" s="36"/>
      <c r="AK2008" s="36"/>
      <c r="AL2008" s="36"/>
      <c r="AM2008" s="36"/>
      <c r="AN2008" s="36"/>
      <c r="AO2008" s="36"/>
      <c r="AP2008" s="36"/>
      <c r="AQ2008" s="36"/>
      <c r="AR2008" s="36"/>
      <c r="AS2008" s="36"/>
      <c r="AT2008" s="36"/>
      <c r="AU2008" s="36"/>
      <c r="AV2008" s="36"/>
      <c r="AW2008" s="36"/>
    </row>
    <row r="2009" spans="1:49" s="26" customFormat="1" ht="15" x14ac:dyDescent="0.25">
      <c r="A2009" s="36"/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36"/>
      <c r="AE2009" s="36"/>
      <c r="AF2009" s="36"/>
      <c r="AG2009" s="36"/>
      <c r="AH2009" s="36"/>
      <c r="AI2009" s="36"/>
      <c r="AJ2009" s="36"/>
      <c r="AK2009" s="36"/>
      <c r="AL2009" s="36"/>
      <c r="AM2009" s="36"/>
      <c r="AN2009" s="36"/>
      <c r="AO2009" s="36"/>
      <c r="AP2009" s="36"/>
      <c r="AQ2009" s="36"/>
      <c r="AR2009" s="36"/>
      <c r="AS2009" s="36"/>
      <c r="AT2009" s="36"/>
      <c r="AU2009" s="36"/>
      <c r="AV2009" s="36"/>
      <c r="AW2009" s="36"/>
    </row>
    <row r="2010" spans="1:49" s="26" customFormat="1" ht="15" x14ac:dyDescent="0.25">
      <c r="A2010" s="36"/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36"/>
      <c r="AE2010" s="36"/>
      <c r="AF2010" s="36"/>
      <c r="AG2010" s="36"/>
      <c r="AH2010" s="36"/>
      <c r="AI2010" s="36"/>
      <c r="AJ2010" s="36"/>
      <c r="AK2010" s="36"/>
      <c r="AL2010" s="36"/>
      <c r="AM2010" s="36"/>
      <c r="AN2010" s="36"/>
      <c r="AO2010" s="36"/>
      <c r="AP2010" s="36"/>
      <c r="AQ2010" s="36"/>
      <c r="AR2010" s="36"/>
      <c r="AS2010" s="36"/>
      <c r="AT2010" s="36"/>
      <c r="AU2010" s="36"/>
      <c r="AV2010" s="36"/>
      <c r="AW2010" s="36"/>
    </row>
    <row r="2011" spans="1:49" s="26" customFormat="1" ht="15" x14ac:dyDescent="0.25">
      <c r="A2011" s="36"/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36"/>
      <c r="AE2011" s="36"/>
      <c r="AF2011" s="36"/>
      <c r="AG2011" s="36"/>
      <c r="AH2011" s="36"/>
      <c r="AI2011" s="36"/>
      <c r="AJ2011" s="36"/>
      <c r="AK2011" s="36"/>
      <c r="AL2011" s="36"/>
      <c r="AM2011" s="36"/>
      <c r="AN2011" s="36"/>
      <c r="AO2011" s="36"/>
      <c r="AP2011" s="36"/>
      <c r="AQ2011" s="36"/>
      <c r="AR2011" s="36"/>
      <c r="AS2011" s="36"/>
      <c r="AT2011" s="36"/>
      <c r="AU2011" s="36"/>
      <c r="AV2011" s="36"/>
      <c r="AW2011" s="36"/>
    </row>
    <row r="2012" spans="1:49" s="26" customFormat="1" ht="15" x14ac:dyDescent="0.25">
      <c r="A2012" s="36"/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36"/>
      <c r="AE2012" s="36"/>
      <c r="AF2012" s="36"/>
      <c r="AG2012" s="36"/>
      <c r="AH2012" s="36"/>
      <c r="AI2012" s="36"/>
      <c r="AJ2012" s="36"/>
      <c r="AK2012" s="36"/>
      <c r="AL2012" s="36"/>
      <c r="AM2012" s="36"/>
      <c r="AN2012" s="36"/>
      <c r="AO2012" s="36"/>
      <c r="AP2012" s="36"/>
      <c r="AQ2012" s="36"/>
      <c r="AR2012" s="36"/>
      <c r="AS2012" s="36"/>
      <c r="AT2012" s="36"/>
      <c r="AU2012" s="36"/>
      <c r="AV2012" s="36"/>
      <c r="AW2012" s="36"/>
    </row>
    <row r="2013" spans="1:49" s="26" customFormat="1" ht="15" x14ac:dyDescent="0.25">
      <c r="A2013" s="36"/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36"/>
      <c r="AE2013" s="36"/>
      <c r="AF2013" s="36"/>
      <c r="AG2013" s="36"/>
      <c r="AH2013" s="36"/>
      <c r="AI2013" s="36"/>
      <c r="AJ2013" s="36"/>
      <c r="AK2013" s="36"/>
      <c r="AL2013" s="36"/>
      <c r="AM2013" s="36"/>
      <c r="AN2013" s="36"/>
      <c r="AO2013" s="36"/>
      <c r="AP2013" s="36"/>
      <c r="AQ2013" s="36"/>
      <c r="AR2013" s="36"/>
      <c r="AS2013" s="36"/>
      <c r="AT2013" s="36"/>
      <c r="AU2013" s="36"/>
      <c r="AV2013" s="36"/>
      <c r="AW2013" s="36"/>
    </row>
    <row r="2014" spans="1:49" s="26" customFormat="1" ht="15" x14ac:dyDescent="0.25">
      <c r="A2014" s="36"/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36"/>
      <c r="AE2014" s="36"/>
      <c r="AF2014" s="36"/>
      <c r="AG2014" s="36"/>
      <c r="AH2014" s="36"/>
      <c r="AI2014" s="36"/>
      <c r="AJ2014" s="36"/>
      <c r="AK2014" s="36"/>
      <c r="AL2014" s="36"/>
      <c r="AM2014" s="36"/>
      <c r="AN2014" s="36"/>
      <c r="AO2014" s="36"/>
      <c r="AP2014" s="36"/>
      <c r="AQ2014" s="36"/>
      <c r="AR2014" s="36"/>
      <c r="AS2014" s="36"/>
      <c r="AT2014" s="36"/>
      <c r="AU2014" s="36"/>
      <c r="AV2014" s="36"/>
      <c r="AW2014" s="36"/>
    </row>
    <row r="2015" spans="1:49" s="26" customFormat="1" ht="15" x14ac:dyDescent="0.25">
      <c r="A2015" s="36"/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36"/>
      <c r="AE2015" s="36"/>
      <c r="AF2015" s="36"/>
      <c r="AG2015" s="36"/>
      <c r="AH2015" s="36"/>
      <c r="AI2015" s="36"/>
      <c r="AJ2015" s="36"/>
      <c r="AK2015" s="36"/>
      <c r="AL2015" s="36"/>
      <c r="AM2015" s="36"/>
      <c r="AN2015" s="36"/>
      <c r="AO2015" s="36"/>
      <c r="AP2015" s="36"/>
      <c r="AQ2015" s="36"/>
      <c r="AR2015" s="36"/>
      <c r="AS2015" s="36"/>
      <c r="AT2015" s="36"/>
      <c r="AU2015" s="36"/>
      <c r="AV2015" s="36"/>
      <c r="AW2015" s="36"/>
    </row>
    <row r="2016" spans="1:49" s="26" customFormat="1" ht="15" x14ac:dyDescent="0.25">
      <c r="A2016" s="36"/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36"/>
      <c r="AE2016" s="36"/>
      <c r="AF2016" s="36"/>
      <c r="AG2016" s="36"/>
      <c r="AH2016" s="36"/>
      <c r="AI2016" s="36"/>
      <c r="AJ2016" s="36"/>
      <c r="AK2016" s="36"/>
      <c r="AL2016" s="36"/>
      <c r="AM2016" s="36"/>
      <c r="AN2016" s="36"/>
      <c r="AO2016" s="36"/>
      <c r="AP2016" s="36"/>
      <c r="AQ2016" s="36"/>
      <c r="AR2016" s="36"/>
      <c r="AS2016" s="36"/>
      <c r="AT2016" s="36"/>
      <c r="AU2016" s="36"/>
      <c r="AV2016" s="36"/>
      <c r="AW2016" s="36"/>
    </row>
    <row r="2017" spans="1:49" s="26" customFormat="1" ht="15" x14ac:dyDescent="0.25">
      <c r="A2017" s="36"/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36"/>
      <c r="AE2017" s="36"/>
      <c r="AF2017" s="36"/>
      <c r="AG2017" s="36"/>
      <c r="AH2017" s="36"/>
      <c r="AI2017" s="36"/>
      <c r="AJ2017" s="36"/>
      <c r="AK2017" s="36"/>
      <c r="AL2017" s="36"/>
      <c r="AM2017" s="36"/>
      <c r="AN2017" s="36"/>
      <c r="AO2017" s="36"/>
      <c r="AP2017" s="36"/>
      <c r="AQ2017" s="36"/>
      <c r="AR2017" s="36"/>
      <c r="AS2017" s="36"/>
      <c r="AT2017" s="36"/>
      <c r="AU2017" s="36"/>
      <c r="AV2017" s="36"/>
      <c r="AW2017" s="36"/>
    </row>
    <row r="2018" spans="1:49" s="26" customFormat="1" ht="15" x14ac:dyDescent="0.25">
      <c r="A2018" s="36"/>
      <c r="B2018" s="36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M2018" s="36"/>
      <c r="N2018" s="36"/>
      <c r="O2018" s="36"/>
      <c r="P2018" s="36"/>
      <c r="Q2018" s="36"/>
      <c r="R2018" s="36"/>
      <c r="S2018" s="36"/>
      <c r="T2018" s="36"/>
      <c r="U2018" s="36"/>
      <c r="V2018" s="36"/>
      <c r="W2018" s="36"/>
      <c r="X2018" s="36"/>
      <c r="Y2018" s="36"/>
      <c r="Z2018" s="36"/>
      <c r="AA2018" s="36"/>
      <c r="AB2018" s="36"/>
      <c r="AC2018" s="36"/>
      <c r="AD2018" s="36"/>
      <c r="AE2018" s="36"/>
      <c r="AF2018" s="36"/>
      <c r="AG2018" s="36"/>
      <c r="AH2018" s="36"/>
      <c r="AI2018" s="36"/>
      <c r="AJ2018" s="36"/>
      <c r="AK2018" s="36"/>
      <c r="AL2018" s="36"/>
      <c r="AM2018" s="36"/>
      <c r="AN2018" s="36"/>
      <c r="AO2018" s="36"/>
      <c r="AP2018" s="36"/>
      <c r="AQ2018" s="36"/>
      <c r="AR2018" s="36"/>
      <c r="AS2018" s="36"/>
      <c r="AT2018" s="36"/>
      <c r="AU2018" s="36"/>
      <c r="AV2018" s="36"/>
      <c r="AW2018" s="36"/>
    </row>
    <row r="2019" spans="1:49" s="26" customFormat="1" ht="15" x14ac:dyDescent="0.25">
      <c r="A2019" s="36"/>
      <c r="B2019" s="36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M2019" s="36"/>
      <c r="N2019" s="36"/>
      <c r="O2019" s="36"/>
      <c r="P2019" s="36"/>
      <c r="Q2019" s="36"/>
      <c r="R2019" s="36"/>
      <c r="S2019" s="36"/>
      <c r="T2019" s="36"/>
      <c r="U2019" s="36"/>
      <c r="V2019" s="36"/>
      <c r="W2019" s="36"/>
      <c r="X2019" s="36"/>
      <c r="Y2019" s="36"/>
      <c r="Z2019" s="36"/>
      <c r="AA2019" s="36"/>
      <c r="AB2019" s="36"/>
      <c r="AC2019" s="36"/>
      <c r="AD2019" s="36"/>
      <c r="AE2019" s="36"/>
      <c r="AF2019" s="36"/>
      <c r="AG2019" s="36"/>
      <c r="AH2019" s="36"/>
      <c r="AI2019" s="36"/>
      <c r="AJ2019" s="36"/>
      <c r="AK2019" s="36"/>
      <c r="AL2019" s="36"/>
      <c r="AM2019" s="36"/>
      <c r="AN2019" s="36"/>
      <c r="AO2019" s="36"/>
      <c r="AP2019" s="36"/>
      <c r="AQ2019" s="36"/>
      <c r="AR2019" s="36"/>
      <c r="AS2019" s="36"/>
      <c r="AT2019" s="36"/>
      <c r="AU2019" s="36"/>
      <c r="AV2019" s="36"/>
      <c r="AW2019" s="36"/>
    </row>
    <row r="2020" spans="1:49" s="26" customFormat="1" ht="15" x14ac:dyDescent="0.25">
      <c r="A2020" s="36"/>
      <c r="B2020" s="36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M2020" s="36"/>
      <c r="N2020" s="36"/>
      <c r="O2020" s="36"/>
      <c r="P2020" s="36"/>
      <c r="Q2020" s="36"/>
      <c r="R2020" s="36"/>
      <c r="S2020" s="36"/>
      <c r="T2020" s="36"/>
      <c r="U2020" s="36"/>
      <c r="V2020" s="36"/>
      <c r="W2020" s="36"/>
      <c r="X2020" s="36"/>
      <c r="Y2020" s="36"/>
      <c r="Z2020" s="36"/>
      <c r="AA2020" s="36"/>
      <c r="AB2020" s="36"/>
      <c r="AC2020" s="36"/>
      <c r="AD2020" s="36"/>
      <c r="AE2020" s="36"/>
      <c r="AF2020" s="36"/>
      <c r="AG2020" s="36"/>
      <c r="AH2020" s="36"/>
      <c r="AI2020" s="36"/>
      <c r="AJ2020" s="36"/>
      <c r="AK2020" s="36"/>
      <c r="AL2020" s="36"/>
      <c r="AM2020" s="36"/>
      <c r="AN2020" s="36"/>
      <c r="AO2020" s="36"/>
      <c r="AP2020" s="36"/>
      <c r="AQ2020" s="36"/>
      <c r="AR2020" s="36"/>
      <c r="AS2020" s="36"/>
      <c r="AT2020" s="36"/>
      <c r="AU2020" s="36"/>
      <c r="AV2020" s="36"/>
      <c r="AW2020" s="36"/>
    </row>
    <row r="2021" spans="1:49" s="26" customFormat="1" ht="15" x14ac:dyDescent="0.25">
      <c r="A2021" s="36"/>
      <c r="B2021" s="36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M2021" s="36"/>
      <c r="N2021" s="36"/>
      <c r="O2021" s="36"/>
      <c r="P2021" s="36"/>
      <c r="Q2021" s="36"/>
      <c r="R2021" s="36"/>
      <c r="S2021" s="36"/>
      <c r="T2021" s="36"/>
      <c r="U2021" s="36"/>
      <c r="V2021" s="36"/>
      <c r="W2021" s="36"/>
      <c r="X2021" s="36"/>
      <c r="Y2021" s="36"/>
      <c r="Z2021" s="36"/>
      <c r="AA2021" s="36"/>
      <c r="AB2021" s="36"/>
      <c r="AC2021" s="36"/>
      <c r="AD2021" s="36"/>
      <c r="AE2021" s="36"/>
      <c r="AF2021" s="36"/>
      <c r="AG2021" s="36"/>
      <c r="AH2021" s="36"/>
      <c r="AI2021" s="36"/>
      <c r="AJ2021" s="36"/>
      <c r="AK2021" s="36"/>
      <c r="AL2021" s="36"/>
      <c r="AM2021" s="36"/>
      <c r="AN2021" s="36"/>
      <c r="AO2021" s="36"/>
      <c r="AP2021" s="36"/>
      <c r="AQ2021" s="36"/>
      <c r="AR2021" s="36"/>
      <c r="AS2021" s="36"/>
      <c r="AT2021" s="36"/>
      <c r="AU2021" s="36"/>
      <c r="AV2021" s="36"/>
      <c r="AW2021" s="36"/>
    </row>
    <row r="2022" spans="1:49" s="26" customFormat="1" ht="15" x14ac:dyDescent="0.25">
      <c r="A2022" s="36"/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6"/>
      <c r="Q2022" s="36"/>
      <c r="R2022" s="36"/>
      <c r="S2022" s="36"/>
      <c r="T2022" s="36"/>
      <c r="U2022" s="36"/>
      <c r="V2022" s="36"/>
      <c r="W2022" s="36"/>
      <c r="X2022" s="36"/>
      <c r="Y2022" s="36"/>
      <c r="Z2022" s="36"/>
      <c r="AA2022" s="36"/>
      <c r="AB2022" s="36"/>
      <c r="AC2022" s="36"/>
      <c r="AD2022" s="36"/>
      <c r="AE2022" s="36"/>
      <c r="AF2022" s="36"/>
      <c r="AG2022" s="36"/>
      <c r="AH2022" s="36"/>
      <c r="AI2022" s="36"/>
      <c r="AJ2022" s="36"/>
      <c r="AK2022" s="36"/>
      <c r="AL2022" s="36"/>
      <c r="AM2022" s="36"/>
      <c r="AN2022" s="36"/>
      <c r="AO2022" s="36"/>
      <c r="AP2022" s="36"/>
      <c r="AQ2022" s="36"/>
      <c r="AR2022" s="36"/>
      <c r="AS2022" s="36"/>
      <c r="AT2022" s="36"/>
      <c r="AU2022" s="36"/>
      <c r="AV2022" s="36"/>
      <c r="AW2022" s="36"/>
    </row>
    <row r="2023" spans="1:49" s="26" customFormat="1" ht="15" x14ac:dyDescent="0.25">
      <c r="A2023" s="36"/>
      <c r="B2023" s="36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M2023" s="36"/>
      <c r="N2023" s="36"/>
      <c r="O2023" s="36"/>
      <c r="P2023" s="36"/>
      <c r="Q2023" s="36"/>
      <c r="R2023" s="36"/>
      <c r="S2023" s="36"/>
      <c r="T2023" s="36"/>
      <c r="U2023" s="36"/>
      <c r="V2023" s="36"/>
      <c r="W2023" s="36"/>
      <c r="X2023" s="36"/>
      <c r="Y2023" s="36"/>
      <c r="Z2023" s="36"/>
      <c r="AA2023" s="36"/>
      <c r="AB2023" s="36"/>
      <c r="AC2023" s="36"/>
      <c r="AD2023" s="36"/>
      <c r="AE2023" s="36"/>
      <c r="AF2023" s="36"/>
      <c r="AG2023" s="36"/>
      <c r="AH2023" s="36"/>
      <c r="AI2023" s="36"/>
      <c r="AJ2023" s="36"/>
      <c r="AK2023" s="36"/>
      <c r="AL2023" s="36"/>
      <c r="AM2023" s="36"/>
      <c r="AN2023" s="36"/>
      <c r="AO2023" s="36"/>
      <c r="AP2023" s="36"/>
      <c r="AQ2023" s="36"/>
      <c r="AR2023" s="36"/>
      <c r="AS2023" s="36"/>
      <c r="AT2023" s="36"/>
      <c r="AU2023" s="36"/>
      <c r="AV2023" s="36"/>
      <c r="AW2023" s="36"/>
    </row>
    <row r="2024" spans="1:49" s="26" customFormat="1" ht="15" x14ac:dyDescent="0.25">
      <c r="A2024" s="36"/>
      <c r="B2024" s="36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M2024" s="36"/>
      <c r="N2024" s="36"/>
      <c r="O2024" s="36"/>
      <c r="P2024" s="36"/>
      <c r="Q2024" s="36"/>
      <c r="R2024" s="36"/>
      <c r="S2024" s="36"/>
      <c r="T2024" s="36"/>
      <c r="U2024" s="36"/>
      <c r="V2024" s="36"/>
      <c r="W2024" s="36"/>
      <c r="X2024" s="36"/>
      <c r="Y2024" s="36"/>
      <c r="Z2024" s="36"/>
      <c r="AA2024" s="36"/>
      <c r="AB2024" s="36"/>
      <c r="AC2024" s="36"/>
      <c r="AD2024" s="36"/>
      <c r="AE2024" s="36"/>
      <c r="AF2024" s="36"/>
      <c r="AG2024" s="36"/>
      <c r="AH2024" s="36"/>
      <c r="AI2024" s="36"/>
      <c r="AJ2024" s="36"/>
      <c r="AK2024" s="36"/>
      <c r="AL2024" s="36"/>
      <c r="AM2024" s="36"/>
      <c r="AN2024" s="36"/>
      <c r="AO2024" s="36"/>
      <c r="AP2024" s="36"/>
      <c r="AQ2024" s="36"/>
      <c r="AR2024" s="36"/>
      <c r="AS2024" s="36"/>
      <c r="AT2024" s="36"/>
      <c r="AU2024" s="36"/>
      <c r="AV2024" s="36"/>
      <c r="AW2024" s="36"/>
    </row>
    <row r="2025" spans="1:49" s="26" customFormat="1" ht="15" x14ac:dyDescent="0.25">
      <c r="A2025" s="36"/>
      <c r="B2025" s="36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M2025" s="36"/>
      <c r="N2025" s="36"/>
      <c r="O2025" s="36"/>
      <c r="P2025" s="36"/>
      <c r="Q2025" s="36"/>
      <c r="R2025" s="36"/>
      <c r="S2025" s="36"/>
      <c r="T2025" s="36"/>
      <c r="U2025" s="36"/>
      <c r="V2025" s="36"/>
      <c r="W2025" s="36"/>
      <c r="X2025" s="36"/>
      <c r="Y2025" s="36"/>
      <c r="Z2025" s="36"/>
      <c r="AA2025" s="36"/>
      <c r="AB2025" s="36"/>
      <c r="AC2025" s="36"/>
      <c r="AD2025" s="36"/>
      <c r="AE2025" s="36"/>
      <c r="AF2025" s="36"/>
      <c r="AG2025" s="36"/>
      <c r="AH2025" s="36"/>
      <c r="AI2025" s="36"/>
      <c r="AJ2025" s="36"/>
      <c r="AK2025" s="36"/>
      <c r="AL2025" s="36"/>
      <c r="AM2025" s="36"/>
      <c r="AN2025" s="36"/>
      <c r="AO2025" s="36"/>
      <c r="AP2025" s="36"/>
      <c r="AQ2025" s="36"/>
      <c r="AR2025" s="36"/>
      <c r="AS2025" s="36"/>
      <c r="AT2025" s="36"/>
      <c r="AU2025" s="36"/>
      <c r="AV2025" s="36"/>
      <c r="AW2025" s="36"/>
    </row>
    <row r="2026" spans="1:49" s="26" customFormat="1" ht="15" x14ac:dyDescent="0.25">
      <c r="A2026" s="36"/>
      <c r="B2026" s="36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M2026" s="36"/>
      <c r="N2026" s="36"/>
      <c r="O2026" s="36"/>
      <c r="P2026" s="36"/>
      <c r="Q2026" s="36"/>
      <c r="R2026" s="36"/>
      <c r="S2026" s="36"/>
      <c r="T2026" s="36"/>
      <c r="U2026" s="36"/>
      <c r="V2026" s="36"/>
      <c r="W2026" s="36"/>
      <c r="X2026" s="36"/>
      <c r="Y2026" s="36"/>
      <c r="Z2026" s="36"/>
      <c r="AA2026" s="36"/>
      <c r="AB2026" s="36"/>
      <c r="AC2026" s="36"/>
      <c r="AD2026" s="36"/>
      <c r="AE2026" s="36"/>
      <c r="AF2026" s="36"/>
      <c r="AG2026" s="36"/>
      <c r="AH2026" s="36"/>
      <c r="AI2026" s="36"/>
      <c r="AJ2026" s="36"/>
      <c r="AK2026" s="36"/>
      <c r="AL2026" s="36"/>
      <c r="AM2026" s="36"/>
      <c r="AN2026" s="36"/>
      <c r="AO2026" s="36"/>
      <c r="AP2026" s="36"/>
      <c r="AQ2026" s="36"/>
      <c r="AR2026" s="36"/>
      <c r="AS2026" s="36"/>
      <c r="AT2026" s="36"/>
      <c r="AU2026" s="36"/>
      <c r="AV2026" s="36"/>
      <c r="AW2026" s="36"/>
    </row>
    <row r="2027" spans="1:49" s="26" customFormat="1" ht="15" x14ac:dyDescent="0.25">
      <c r="A2027" s="36"/>
      <c r="B2027" s="36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M2027" s="36"/>
      <c r="N2027" s="36"/>
      <c r="O2027" s="36"/>
      <c r="P2027" s="36"/>
      <c r="Q2027" s="36"/>
      <c r="R2027" s="36"/>
      <c r="S2027" s="36"/>
      <c r="T2027" s="36"/>
      <c r="U2027" s="36"/>
      <c r="V2027" s="36"/>
      <c r="W2027" s="36"/>
      <c r="X2027" s="36"/>
      <c r="Y2027" s="36"/>
      <c r="Z2027" s="36"/>
      <c r="AA2027" s="36"/>
      <c r="AB2027" s="36"/>
      <c r="AC2027" s="36"/>
      <c r="AD2027" s="36"/>
      <c r="AE2027" s="36"/>
      <c r="AF2027" s="36"/>
      <c r="AG2027" s="36"/>
      <c r="AH2027" s="36"/>
      <c r="AI2027" s="36"/>
      <c r="AJ2027" s="36"/>
      <c r="AK2027" s="36"/>
      <c r="AL2027" s="36"/>
      <c r="AM2027" s="36"/>
      <c r="AN2027" s="36"/>
      <c r="AO2027" s="36"/>
      <c r="AP2027" s="36"/>
      <c r="AQ2027" s="36"/>
      <c r="AR2027" s="36"/>
      <c r="AS2027" s="36"/>
      <c r="AT2027" s="36"/>
      <c r="AU2027" s="36"/>
      <c r="AV2027" s="36"/>
      <c r="AW2027" s="36"/>
    </row>
    <row r="2028" spans="1:49" s="26" customFormat="1" ht="15" x14ac:dyDescent="0.25">
      <c r="A2028" s="36"/>
      <c r="B2028" s="36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M2028" s="36"/>
      <c r="N2028" s="36"/>
      <c r="O2028" s="36"/>
      <c r="P2028" s="36"/>
      <c r="Q2028" s="36"/>
      <c r="R2028" s="36"/>
      <c r="S2028" s="36"/>
      <c r="T2028" s="36"/>
      <c r="U2028" s="36"/>
      <c r="V2028" s="36"/>
      <c r="W2028" s="36"/>
      <c r="X2028" s="36"/>
      <c r="Y2028" s="36"/>
      <c r="Z2028" s="36"/>
      <c r="AA2028" s="36"/>
      <c r="AB2028" s="36"/>
      <c r="AC2028" s="36"/>
      <c r="AD2028" s="36"/>
      <c r="AE2028" s="36"/>
      <c r="AF2028" s="36"/>
      <c r="AG2028" s="36"/>
      <c r="AH2028" s="36"/>
      <c r="AI2028" s="36"/>
      <c r="AJ2028" s="36"/>
      <c r="AK2028" s="36"/>
      <c r="AL2028" s="36"/>
      <c r="AM2028" s="36"/>
      <c r="AN2028" s="36"/>
      <c r="AO2028" s="36"/>
      <c r="AP2028" s="36"/>
      <c r="AQ2028" s="36"/>
      <c r="AR2028" s="36"/>
      <c r="AS2028" s="36"/>
      <c r="AT2028" s="36"/>
      <c r="AU2028" s="36"/>
      <c r="AV2028" s="36"/>
      <c r="AW2028" s="36"/>
    </row>
    <row r="2029" spans="1:49" s="26" customFormat="1" ht="15" x14ac:dyDescent="0.25">
      <c r="A2029" s="36"/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6"/>
      <c r="Q2029" s="36"/>
      <c r="R2029" s="36"/>
      <c r="S2029" s="36"/>
      <c r="T2029" s="36"/>
      <c r="U2029" s="36"/>
      <c r="V2029" s="36"/>
      <c r="W2029" s="36"/>
      <c r="X2029" s="36"/>
      <c r="Y2029" s="36"/>
      <c r="Z2029" s="36"/>
      <c r="AA2029" s="36"/>
      <c r="AB2029" s="36"/>
      <c r="AC2029" s="36"/>
      <c r="AD2029" s="36"/>
      <c r="AE2029" s="36"/>
      <c r="AF2029" s="36"/>
      <c r="AG2029" s="36"/>
      <c r="AH2029" s="36"/>
      <c r="AI2029" s="36"/>
      <c r="AJ2029" s="36"/>
      <c r="AK2029" s="36"/>
      <c r="AL2029" s="36"/>
      <c r="AM2029" s="36"/>
      <c r="AN2029" s="36"/>
      <c r="AO2029" s="36"/>
      <c r="AP2029" s="36"/>
      <c r="AQ2029" s="36"/>
      <c r="AR2029" s="36"/>
      <c r="AS2029" s="36"/>
      <c r="AT2029" s="36"/>
      <c r="AU2029" s="36"/>
      <c r="AV2029" s="36"/>
      <c r="AW2029" s="36"/>
    </row>
    <row r="2030" spans="1:49" s="26" customFormat="1" ht="15" x14ac:dyDescent="0.25">
      <c r="A2030" s="36"/>
      <c r="B2030" s="36"/>
      <c r="C2030" s="36"/>
      <c r="D2030" s="36"/>
      <c r="E2030" s="36"/>
      <c r="F2030" s="36"/>
      <c r="G2030" s="36"/>
      <c r="H2030" s="36"/>
      <c r="I2030" s="36"/>
      <c r="J2030" s="36"/>
      <c r="K2030" s="36"/>
      <c r="L2030" s="36"/>
      <c r="M2030" s="36"/>
      <c r="N2030" s="36"/>
      <c r="O2030" s="36"/>
      <c r="P2030" s="36"/>
      <c r="Q2030" s="36"/>
      <c r="R2030" s="36"/>
      <c r="S2030" s="36"/>
      <c r="T2030" s="36"/>
      <c r="U2030" s="36"/>
      <c r="V2030" s="36"/>
      <c r="W2030" s="36"/>
      <c r="X2030" s="36"/>
      <c r="Y2030" s="36"/>
      <c r="Z2030" s="36"/>
      <c r="AA2030" s="36"/>
      <c r="AB2030" s="36"/>
      <c r="AC2030" s="36"/>
      <c r="AD2030" s="36"/>
      <c r="AE2030" s="36"/>
      <c r="AF2030" s="36"/>
      <c r="AG2030" s="36"/>
      <c r="AH2030" s="36"/>
      <c r="AI2030" s="36"/>
      <c r="AJ2030" s="36"/>
      <c r="AK2030" s="36"/>
      <c r="AL2030" s="36"/>
      <c r="AM2030" s="36"/>
      <c r="AN2030" s="36"/>
      <c r="AO2030" s="36"/>
      <c r="AP2030" s="36"/>
      <c r="AQ2030" s="36"/>
      <c r="AR2030" s="36"/>
      <c r="AS2030" s="36"/>
      <c r="AT2030" s="36"/>
      <c r="AU2030" s="36"/>
      <c r="AV2030" s="36"/>
      <c r="AW2030" s="36"/>
    </row>
    <row r="2031" spans="1:49" s="26" customFormat="1" ht="15" x14ac:dyDescent="0.25">
      <c r="A2031" s="36"/>
      <c r="B2031" s="36"/>
      <c r="C2031" s="36"/>
      <c r="D2031" s="36"/>
      <c r="E2031" s="36"/>
      <c r="F2031" s="36"/>
      <c r="G2031" s="36"/>
      <c r="H2031" s="36"/>
      <c r="I2031" s="36"/>
      <c r="J2031" s="36"/>
      <c r="K2031" s="36"/>
      <c r="L2031" s="36"/>
      <c r="M2031" s="36"/>
      <c r="N2031" s="36"/>
      <c r="O2031" s="36"/>
      <c r="P2031" s="36"/>
      <c r="Q2031" s="36"/>
      <c r="R2031" s="36"/>
      <c r="S2031" s="36"/>
      <c r="T2031" s="36"/>
      <c r="U2031" s="36"/>
      <c r="V2031" s="36"/>
      <c r="W2031" s="36"/>
      <c r="X2031" s="36"/>
      <c r="Y2031" s="36"/>
      <c r="Z2031" s="36"/>
      <c r="AA2031" s="36"/>
      <c r="AB2031" s="36"/>
      <c r="AC2031" s="36"/>
      <c r="AD2031" s="36"/>
      <c r="AE2031" s="36"/>
      <c r="AF2031" s="36"/>
      <c r="AG2031" s="36"/>
      <c r="AH2031" s="36"/>
      <c r="AI2031" s="36"/>
      <c r="AJ2031" s="36"/>
      <c r="AK2031" s="36"/>
      <c r="AL2031" s="36"/>
      <c r="AM2031" s="36"/>
      <c r="AN2031" s="36"/>
      <c r="AO2031" s="36"/>
      <c r="AP2031" s="36"/>
      <c r="AQ2031" s="36"/>
      <c r="AR2031" s="36"/>
      <c r="AS2031" s="36"/>
      <c r="AT2031" s="36"/>
      <c r="AU2031" s="36"/>
      <c r="AV2031" s="36"/>
      <c r="AW2031" s="36"/>
    </row>
    <row r="2032" spans="1:49" s="26" customFormat="1" ht="15" x14ac:dyDescent="0.25">
      <c r="A2032" s="36"/>
      <c r="B2032" s="36"/>
      <c r="C2032" s="36"/>
      <c r="D2032" s="36"/>
      <c r="E2032" s="36"/>
      <c r="F2032" s="36"/>
      <c r="G2032" s="36"/>
      <c r="H2032" s="36"/>
      <c r="I2032" s="36"/>
      <c r="J2032" s="36"/>
      <c r="K2032" s="36"/>
      <c r="L2032" s="36"/>
      <c r="M2032" s="36"/>
      <c r="N2032" s="36"/>
      <c r="O2032" s="36"/>
      <c r="P2032" s="36"/>
      <c r="Q2032" s="36"/>
      <c r="R2032" s="36"/>
      <c r="S2032" s="36"/>
      <c r="T2032" s="36"/>
      <c r="U2032" s="36"/>
      <c r="V2032" s="36"/>
      <c r="W2032" s="36"/>
      <c r="X2032" s="36"/>
      <c r="Y2032" s="36"/>
      <c r="Z2032" s="36"/>
      <c r="AA2032" s="36"/>
      <c r="AB2032" s="36"/>
      <c r="AC2032" s="36"/>
      <c r="AD2032" s="36"/>
      <c r="AE2032" s="36"/>
      <c r="AF2032" s="36"/>
      <c r="AG2032" s="36"/>
      <c r="AH2032" s="36"/>
      <c r="AI2032" s="36"/>
      <c r="AJ2032" s="36"/>
      <c r="AK2032" s="36"/>
      <c r="AL2032" s="36"/>
      <c r="AM2032" s="36"/>
      <c r="AN2032" s="36"/>
      <c r="AO2032" s="36"/>
      <c r="AP2032" s="36"/>
      <c r="AQ2032" s="36"/>
      <c r="AR2032" s="36"/>
      <c r="AS2032" s="36"/>
      <c r="AT2032" s="36"/>
      <c r="AU2032" s="36"/>
      <c r="AV2032" s="36"/>
      <c r="AW2032" s="36"/>
    </row>
    <row r="2033" spans="1:49" s="26" customFormat="1" ht="15" x14ac:dyDescent="0.25">
      <c r="A2033" s="36"/>
      <c r="B2033" s="36"/>
      <c r="C2033" s="36"/>
      <c r="D2033" s="36"/>
      <c r="E2033" s="36"/>
      <c r="F2033" s="36"/>
      <c r="G2033" s="36"/>
      <c r="H2033" s="36"/>
      <c r="I2033" s="36"/>
      <c r="J2033" s="36"/>
      <c r="K2033" s="36"/>
      <c r="L2033" s="36"/>
      <c r="M2033" s="36"/>
      <c r="N2033" s="36"/>
      <c r="O2033" s="36"/>
      <c r="P2033" s="36"/>
      <c r="Q2033" s="36"/>
      <c r="R2033" s="36"/>
      <c r="S2033" s="36"/>
      <c r="T2033" s="36"/>
      <c r="U2033" s="36"/>
      <c r="V2033" s="36"/>
      <c r="W2033" s="36"/>
      <c r="X2033" s="36"/>
      <c r="Y2033" s="36"/>
      <c r="Z2033" s="36"/>
      <c r="AA2033" s="36"/>
      <c r="AB2033" s="36"/>
      <c r="AC2033" s="36"/>
      <c r="AD2033" s="36"/>
      <c r="AE2033" s="36"/>
      <c r="AF2033" s="36"/>
      <c r="AG2033" s="36"/>
      <c r="AH2033" s="36"/>
      <c r="AI2033" s="36"/>
      <c r="AJ2033" s="36"/>
      <c r="AK2033" s="36"/>
      <c r="AL2033" s="36"/>
      <c r="AM2033" s="36"/>
      <c r="AN2033" s="36"/>
      <c r="AO2033" s="36"/>
      <c r="AP2033" s="36"/>
      <c r="AQ2033" s="36"/>
      <c r="AR2033" s="36"/>
      <c r="AS2033" s="36"/>
      <c r="AT2033" s="36"/>
      <c r="AU2033" s="36"/>
      <c r="AV2033" s="36"/>
      <c r="AW2033" s="36"/>
    </row>
    <row r="2034" spans="1:49" s="26" customFormat="1" ht="15" x14ac:dyDescent="0.25">
      <c r="A2034" s="36"/>
      <c r="B2034" s="36"/>
      <c r="C2034" s="36"/>
      <c r="D2034" s="36"/>
      <c r="E2034" s="36"/>
      <c r="F2034" s="36"/>
      <c r="G2034" s="36"/>
      <c r="H2034" s="36"/>
      <c r="I2034" s="36"/>
      <c r="J2034" s="36"/>
      <c r="K2034" s="36"/>
      <c r="L2034" s="36"/>
      <c r="M2034" s="36"/>
      <c r="N2034" s="36"/>
      <c r="O2034" s="36"/>
      <c r="P2034" s="36"/>
      <c r="Q2034" s="36"/>
      <c r="R2034" s="36"/>
      <c r="S2034" s="36"/>
      <c r="T2034" s="36"/>
      <c r="U2034" s="36"/>
      <c r="V2034" s="36"/>
      <c r="W2034" s="36"/>
      <c r="X2034" s="36"/>
      <c r="Y2034" s="36"/>
      <c r="Z2034" s="36"/>
      <c r="AA2034" s="36"/>
      <c r="AB2034" s="36"/>
      <c r="AC2034" s="36"/>
      <c r="AD2034" s="36"/>
      <c r="AE2034" s="36"/>
      <c r="AF2034" s="36"/>
      <c r="AG2034" s="36"/>
      <c r="AH2034" s="36"/>
      <c r="AI2034" s="36"/>
      <c r="AJ2034" s="36"/>
      <c r="AK2034" s="36"/>
      <c r="AL2034" s="36"/>
      <c r="AM2034" s="36"/>
      <c r="AN2034" s="36"/>
      <c r="AO2034" s="36"/>
      <c r="AP2034" s="36"/>
      <c r="AQ2034" s="36"/>
      <c r="AR2034" s="36"/>
      <c r="AS2034" s="36"/>
      <c r="AT2034" s="36"/>
      <c r="AU2034" s="36"/>
      <c r="AV2034" s="36"/>
      <c r="AW2034" s="36"/>
    </row>
    <row r="2035" spans="1:49" s="26" customFormat="1" ht="15" x14ac:dyDescent="0.25">
      <c r="A2035" s="36"/>
      <c r="B2035" s="36"/>
      <c r="C2035" s="36"/>
      <c r="D2035" s="36"/>
      <c r="E2035" s="36"/>
      <c r="F2035" s="36"/>
      <c r="G2035" s="36"/>
      <c r="H2035" s="36"/>
      <c r="I2035" s="36"/>
      <c r="J2035" s="36"/>
      <c r="K2035" s="36"/>
      <c r="L2035" s="36"/>
      <c r="M2035" s="36"/>
      <c r="N2035" s="36"/>
      <c r="O2035" s="36"/>
      <c r="P2035" s="36"/>
      <c r="Q2035" s="36"/>
      <c r="R2035" s="36"/>
      <c r="S2035" s="36"/>
      <c r="T2035" s="36"/>
      <c r="U2035" s="36"/>
      <c r="V2035" s="36"/>
      <c r="W2035" s="36"/>
      <c r="X2035" s="36"/>
      <c r="Y2035" s="36"/>
      <c r="Z2035" s="36"/>
      <c r="AA2035" s="36"/>
      <c r="AB2035" s="36"/>
      <c r="AC2035" s="36"/>
      <c r="AD2035" s="36"/>
      <c r="AE2035" s="36"/>
      <c r="AF2035" s="36"/>
      <c r="AG2035" s="36"/>
      <c r="AH2035" s="36"/>
      <c r="AI2035" s="36"/>
      <c r="AJ2035" s="36"/>
      <c r="AK2035" s="36"/>
      <c r="AL2035" s="36"/>
      <c r="AM2035" s="36"/>
      <c r="AN2035" s="36"/>
      <c r="AO2035" s="36"/>
      <c r="AP2035" s="36"/>
      <c r="AQ2035" s="36"/>
      <c r="AR2035" s="36"/>
      <c r="AS2035" s="36"/>
      <c r="AT2035" s="36"/>
      <c r="AU2035" s="36"/>
      <c r="AV2035" s="36"/>
      <c r="AW2035" s="36"/>
    </row>
    <row r="2036" spans="1:49" s="26" customFormat="1" ht="15" x14ac:dyDescent="0.25">
      <c r="A2036" s="36"/>
      <c r="B2036" s="36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M2036" s="36"/>
      <c r="N2036" s="36"/>
      <c r="O2036" s="36"/>
      <c r="P2036" s="36"/>
      <c r="Q2036" s="36"/>
      <c r="R2036" s="36"/>
      <c r="S2036" s="36"/>
      <c r="T2036" s="36"/>
      <c r="U2036" s="36"/>
      <c r="V2036" s="36"/>
      <c r="W2036" s="36"/>
      <c r="X2036" s="36"/>
      <c r="Y2036" s="36"/>
      <c r="Z2036" s="36"/>
      <c r="AA2036" s="36"/>
      <c r="AB2036" s="36"/>
      <c r="AC2036" s="36"/>
      <c r="AD2036" s="36"/>
      <c r="AE2036" s="36"/>
      <c r="AF2036" s="36"/>
      <c r="AG2036" s="36"/>
      <c r="AH2036" s="36"/>
      <c r="AI2036" s="36"/>
      <c r="AJ2036" s="36"/>
      <c r="AK2036" s="36"/>
      <c r="AL2036" s="36"/>
      <c r="AM2036" s="36"/>
      <c r="AN2036" s="36"/>
      <c r="AO2036" s="36"/>
      <c r="AP2036" s="36"/>
      <c r="AQ2036" s="36"/>
      <c r="AR2036" s="36"/>
      <c r="AS2036" s="36"/>
      <c r="AT2036" s="36"/>
      <c r="AU2036" s="36"/>
      <c r="AV2036" s="36"/>
      <c r="AW2036" s="36"/>
    </row>
    <row r="2037" spans="1:49" s="26" customFormat="1" ht="15" x14ac:dyDescent="0.25">
      <c r="A2037" s="36"/>
      <c r="B2037" s="36"/>
      <c r="C2037" s="36"/>
      <c r="D2037" s="36"/>
      <c r="E2037" s="36"/>
      <c r="F2037" s="36"/>
      <c r="G2037" s="36"/>
      <c r="H2037" s="36"/>
      <c r="I2037" s="36"/>
      <c r="J2037" s="36"/>
      <c r="K2037" s="36"/>
      <c r="L2037" s="36"/>
      <c r="M2037" s="36"/>
      <c r="N2037" s="36"/>
      <c r="O2037" s="36"/>
      <c r="P2037" s="36"/>
      <c r="Q2037" s="36"/>
      <c r="R2037" s="36"/>
      <c r="S2037" s="36"/>
      <c r="T2037" s="36"/>
      <c r="U2037" s="36"/>
      <c r="V2037" s="36"/>
      <c r="W2037" s="36"/>
      <c r="X2037" s="36"/>
      <c r="Y2037" s="36"/>
      <c r="Z2037" s="36"/>
      <c r="AA2037" s="36"/>
      <c r="AB2037" s="36"/>
      <c r="AC2037" s="36"/>
      <c r="AD2037" s="36"/>
      <c r="AE2037" s="36"/>
      <c r="AF2037" s="36"/>
      <c r="AG2037" s="36"/>
      <c r="AH2037" s="36"/>
      <c r="AI2037" s="36"/>
      <c r="AJ2037" s="36"/>
      <c r="AK2037" s="36"/>
      <c r="AL2037" s="36"/>
      <c r="AM2037" s="36"/>
      <c r="AN2037" s="36"/>
      <c r="AO2037" s="36"/>
      <c r="AP2037" s="36"/>
      <c r="AQ2037" s="36"/>
      <c r="AR2037" s="36"/>
      <c r="AS2037" s="36"/>
      <c r="AT2037" s="36"/>
      <c r="AU2037" s="36"/>
      <c r="AV2037" s="36"/>
      <c r="AW2037" s="36"/>
    </row>
    <row r="2038" spans="1:49" s="26" customFormat="1" ht="15" x14ac:dyDescent="0.25">
      <c r="A2038" s="36"/>
      <c r="B2038" s="36"/>
      <c r="C2038" s="36"/>
      <c r="D2038" s="36"/>
      <c r="E2038" s="36"/>
      <c r="F2038" s="36"/>
      <c r="G2038" s="36"/>
      <c r="H2038" s="36"/>
      <c r="I2038" s="36"/>
      <c r="J2038" s="36"/>
      <c r="K2038" s="36"/>
      <c r="L2038" s="36"/>
      <c r="M2038" s="36"/>
      <c r="N2038" s="36"/>
      <c r="O2038" s="36"/>
      <c r="P2038" s="36"/>
      <c r="Q2038" s="36"/>
      <c r="R2038" s="36"/>
      <c r="S2038" s="36"/>
      <c r="T2038" s="36"/>
      <c r="U2038" s="36"/>
      <c r="V2038" s="36"/>
      <c r="W2038" s="36"/>
      <c r="X2038" s="36"/>
      <c r="Y2038" s="36"/>
      <c r="Z2038" s="36"/>
      <c r="AA2038" s="36"/>
      <c r="AB2038" s="36"/>
      <c r="AC2038" s="36"/>
      <c r="AD2038" s="36"/>
      <c r="AE2038" s="36"/>
      <c r="AF2038" s="36"/>
      <c r="AG2038" s="36"/>
      <c r="AH2038" s="36"/>
      <c r="AI2038" s="36"/>
      <c r="AJ2038" s="36"/>
      <c r="AK2038" s="36"/>
      <c r="AL2038" s="36"/>
      <c r="AM2038" s="36"/>
      <c r="AN2038" s="36"/>
      <c r="AO2038" s="36"/>
      <c r="AP2038" s="36"/>
      <c r="AQ2038" s="36"/>
      <c r="AR2038" s="36"/>
      <c r="AS2038" s="36"/>
      <c r="AT2038" s="36"/>
      <c r="AU2038" s="36"/>
      <c r="AV2038" s="36"/>
      <c r="AW2038" s="36"/>
    </row>
    <row r="2039" spans="1:49" s="26" customFormat="1" ht="15" x14ac:dyDescent="0.25">
      <c r="A2039" s="36"/>
      <c r="B2039" s="36"/>
      <c r="C2039" s="36"/>
      <c r="D2039" s="36"/>
      <c r="E2039" s="36"/>
      <c r="F2039" s="36"/>
      <c r="G2039" s="36"/>
      <c r="H2039" s="36"/>
      <c r="I2039" s="36"/>
      <c r="J2039" s="36"/>
      <c r="K2039" s="36"/>
      <c r="L2039" s="36"/>
      <c r="M2039" s="36"/>
      <c r="N2039" s="36"/>
      <c r="O2039" s="36"/>
      <c r="P2039" s="36"/>
      <c r="Q2039" s="36"/>
      <c r="R2039" s="36"/>
      <c r="S2039" s="36"/>
      <c r="T2039" s="36"/>
      <c r="U2039" s="36"/>
      <c r="V2039" s="36"/>
      <c r="W2039" s="36"/>
      <c r="X2039" s="36"/>
      <c r="Y2039" s="36"/>
      <c r="Z2039" s="36"/>
      <c r="AA2039" s="36"/>
      <c r="AB2039" s="36"/>
      <c r="AC2039" s="36"/>
      <c r="AD2039" s="36"/>
      <c r="AE2039" s="36"/>
      <c r="AF2039" s="36"/>
      <c r="AG2039" s="36"/>
      <c r="AH2039" s="36"/>
      <c r="AI2039" s="36"/>
      <c r="AJ2039" s="36"/>
      <c r="AK2039" s="36"/>
      <c r="AL2039" s="36"/>
      <c r="AM2039" s="36"/>
      <c r="AN2039" s="36"/>
      <c r="AO2039" s="36"/>
      <c r="AP2039" s="36"/>
      <c r="AQ2039" s="36"/>
      <c r="AR2039" s="36"/>
      <c r="AS2039" s="36"/>
      <c r="AT2039" s="36"/>
      <c r="AU2039" s="36"/>
      <c r="AV2039" s="36"/>
      <c r="AW2039" s="36"/>
    </row>
    <row r="2040" spans="1:49" s="26" customFormat="1" ht="15" x14ac:dyDescent="0.25">
      <c r="A2040" s="36"/>
      <c r="B2040" s="36"/>
      <c r="C2040" s="36"/>
      <c r="D2040" s="36"/>
      <c r="E2040" s="36"/>
      <c r="F2040" s="36"/>
      <c r="G2040" s="36"/>
      <c r="H2040" s="36"/>
      <c r="I2040" s="36"/>
      <c r="J2040" s="36"/>
      <c r="K2040" s="36"/>
      <c r="L2040" s="36"/>
      <c r="M2040" s="36"/>
      <c r="N2040" s="36"/>
      <c r="O2040" s="36"/>
      <c r="P2040" s="36"/>
      <c r="Q2040" s="36"/>
      <c r="R2040" s="36"/>
      <c r="S2040" s="36"/>
      <c r="T2040" s="36"/>
      <c r="U2040" s="36"/>
      <c r="V2040" s="36"/>
      <c r="W2040" s="36"/>
      <c r="X2040" s="36"/>
      <c r="Y2040" s="36"/>
      <c r="Z2040" s="36"/>
      <c r="AA2040" s="36"/>
      <c r="AB2040" s="36"/>
      <c r="AC2040" s="36"/>
      <c r="AD2040" s="36"/>
      <c r="AE2040" s="36"/>
      <c r="AF2040" s="36"/>
      <c r="AG2040" s="36"/>
      <c r="AH2040" s="36"/>
      <c r="AI2040" s="36"/>
      <c r="AJ2040" s="36"/>
      <c r="AK2040" s="36"/>
      <c r="AL2040" s="36"/>
      <c r="AM2040" s="36"/>
      <c r="AN2040" s="36"/>
      <c r="AO2040" s="36"/>
      <c r="AP2040" s="36"/>
      <c r="AQ2040" s="36"/>
      <c r="AR2040" s="36"/>
      <c r="AS2040" s="36"/>
      <c r="AT2040" s="36"/>
      <c r="AU2040" s="36"/>
      <c r="AV2040" s="36"/>
      <c r="AW2040" s="36"/>
    </row>
    <row r="2041" spans="1:49" s="26" customFormat="1" ht="15" x14ac:dyDescent="0.25">
      <c r="A2041" s="36"/>
      <c r="B2041" s="36"/>
      <c r="C2041" s="36"/>
      <c r="D2041" s="36"/>
      <c r="E2041" s="36"/>
      <c r="F2041" s="36"/>
      <c r="G2041" s="36"/>
      <c r="H2041" s="36"/>
      <c r="I2041" s="36"/>
      <c r="J2041" s="36"/>
      <c r="K2041" s="36"/>
      <c r="L2041" s="36"/>
      <c r="M2041" s="36"/>
      <c r="N2041" s="36"/>
      <c r="O2041" s="36"/>
      <c r="P2041" s="36"/>
      <c r="Q2041" s="36"/>
      <c r="R2041" s="36"/>
      <c r="S2041" s="36"/>
      <c r="T2041" s="36"/>
      <c r="U2041" s="36"/>
      <c r="V2041" s="36"/>
      <c r="W2041" s="36"/>
      <c r="X2041" s="36"/>
      <c r="Y2041" s="36"/>
      <c r="Z2041" s="36"/>
      <c r="AA2041" s="36"/>
      <c r="AB2041" s="36"/>
      <c r="AC2041" s="36"/>
      <c r="AD2041" s="36"/>
      <c r="AE2041" s="36"/>
      <c r="AF2041" s="36"/>
      <c r="AG2041" s="36"/>
      <c r="AH2041" s="36"/>
      <c r="AI2041" s="36"/>
      <c r="AJ2041" s="36"/>
      <c r="AK2041" s="36"/>
      <c r="AL2041" s="36"/>
      <c r="AM2041" s="36"/>
      <c r="AN2041" s="36"/>
      <c r="AO2041" s="36"/>
      <c r="AP2041" s="36"/>
      <c r="AQ2041" s="36"/>
      <c r="AR2041" s="36"/>
      <c r="AS2041" s="36"/>
      <c r="AT2041" s="36"/>
      <c r="AU2041" s="36"/>
      <c r="AV2041" s="36"/>
      <c r="AW2041" s="36"/>
    </row>
    <row r="2042" spans="1:49" s="26" customFormat="1" ht="15" x14ac:dyDescent="0.25">
      <c r="A2042" s="36"/>
      <c r="B2042" s="36"/>
      <c r="C2042" s="36"/>
      <c r="D2042" s="36"/>
      <c r="E2042" s="36"/>
      <c r="F2042" s="36"/>
      <c r="G2042" s="36"/>
      <c r="H2042" s="36"/>
      <c r="I2042" s="36"/>
      <c r="J2042" s="36"/>
      <c r="K2042" s="36"/>
      <c r="L2042" s="36"/>
      <c r="M2042" s="36"/>
      <c r="N2042" s="36"/>
      <c r="O2042" s="36"/>
      <c r="P2042" s="36"/>
      <c r="Q2042" s="36"/>
      <c r="R2042" s="36"/>
      <c r="S2042" s="36"/>
      <c r="T2042" s="36"/>
      <c r="U2042" s="36"/>
      <c r="V2042" s="36"/>
      <c r="W2042" s="36"/>
      <c r="X2042" s="36"/>
      <c r="Y2042" s="36"/>
      <c r="Z2042" s="36"/>
      <c r="AA2042" s="36"/>
      <c r="AB2042" s="36"/>
      <c r="AC2042" s="36"/>
      <c r="AD2042" s="36"/>
      <c r="AE2042" s="36"/>
      <c r="AF2042" s="36"/>
      <c r="AG2042" s="36"/>
      <c r="AH2042" s="36"/>
      <c r="AI2042" s="36"/>
      <c r="AJ2042" s="36"/>
      <c r="AK2042" s="36"/>
      <c r="AL2042" s="36"/>
      <c r="AM2042" s="36"/>
      <c r="AN2042" s="36"/>
      <c r="AO2042" s="36"/>
      <c r="AP2042" s="36"/>
      <c r="AQ2042" s="36"/>
      <c r="AR2042" s="36"/>
      <c r="AS2042" s="36"/>
      <c r="AT2042" s="36"/>
      <c r="AU2042" s="36"/>
      <c r="AV2042" s="36"/>
      <c r="AW2042" s="36"/>
    </row>
    <row r="2043" spans="1:49" s="26" customFormat="1" ht="15" x14ac:dyDescent="0.25">
      <c r="A2043" s="36"/>
      <c r="B2043" s="36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M2043" s="36"/>
      <c r="N2043" s="36"/>
      <c r="O2043" s="36"/>
      <c r="P2043" s="36"/>
      <c r="Q2043" s="36"/>
      <c r="R2043" s="36"/>
      <c r="S2043" s="36"/>
      <c r="T2043" s="36"/>
      <c r="U2043" s="36"/>
      <c r="V2043" s="36"/>
      <c r="W2043" s="36"/>
      <c r="X2043" s="36"/>
      <c r="Y2043" s="36"/>
      <c r="Z2043" s="36"/>
      <c r="AA2043" s="36"/>
      <c r="AB2043" s="36"/>
      <c r="AC2043" s="36"/>
      <c r="AD2043" s="36"/>
      <c r="AE2043" s="36"/>
      <c r="AF2043" s="36"/>
      <c r="AG2043" s="36"/>
      <c r="AH2043" s="36"/>
      <c r="AI2043" s="36"/>
      <c r="AJ2043" s="36"/>
      <c r="AK2043" s="36"/>
      <c r="AL2043" s="36"/>
      <c r="AM2043" s="36"/>
      <c r="AN2043" s="36"/>
      <c r="AO2043" s="36"/>
      <c r="AP2043" s="36"/>
      <c r="AQ2043" s="36"/>
      <c r="AR2043" s="36"/>
      <c r="AS2043" s="36"/>
      <c r="AT2043" s="36"/>
      <c r="AU2043" s="36"/>
      <c r="AV2043" s="36"/>
      <c r="AW2043" s="36"/>
    </row>
    <row r="2044" spans="1:49" s="26" customFormat="1" ht="15" x14ac:dyDescent="0.25">
      <c r="A2044" s="36"/>
      <c r="B2044" s="36"/>
      <c r="C2044" s="36"/>
      <c r="D2044" s="36"/>
      <c r="E2044" s="36"/>
      <c r="F2044" s="36"/>
      <c r="G2044" s="36"/>
      <c r="H2044" s="36"/>
      <c r="I2044" s="36"/>
      <c r="J2044" s="36"/>
      <c r="K2044" s="36"/>
      <c r="L2044" s="36"/>
      <c r="M2044" s="36"/>
      <c r="N2044" s="36"/>
      <c r="O2044" s="36"/>
      <c r="P2044" s="36"/>
      <c r="Q2044" s="36"/>
      <c r="R2044" s="36"/>
      <c r="S2044" s="36"/>
      <c r="T2044" s="36"/>
      <c r="U2044" s="36"/>
      <c r="V2044" s="36"/>
      <c r="W2044" s="36"/>
      <c r="X2044" s="36"/>
      <c r="Y2044" s="36"/>
      <c r="Z2044" s="36"/>
      <c r="AA2044" s="36"/>
      <c r="AB2044" s="36"/>
      <c r="AC2044" s="36"/>
      <c r="AD2044" s="36"/>
      <c r="AE2044" s="36"/>
      <c r="AF2044" s="36"/>
      <c r="AG2044" s="36"/>
      <c r="AH2044" s="36"/>
      <c r="AI2044" s="36"/>
      <c r="AJ2044" s="36"/>
      <c r="AK2044" s="36"/>
      <c r="AL2044" s="36"/>
      <c r="AM2044" s="36"/>
      <c r="AN2044" s="36"/>
      <c r="AO2044" s="36"/>
      <c r="AP2044" s="36"/>
      <c r="AQ2044" s="36"/>
      <c r="AR2044" s="36"/>
      <c r="AS2044" s="36"/>
      <c r="AT2044" s="36"/>
      <c r="AU2044" s="36"/>
      <c r="AV2044" s="36"/>
      <c r="AW2044" s="36"/>
    </row>
    <row r="2045" spans="1:49" s="26" customFormat="1" ht="15" x14ac:dyDescent="0.25">
      <c r="A2045" s="36"/>
      <c r="B2045" s="36"/>
      <c r="C2045" s="36"/>
      <c r="D2045" s="36"/>
      <c r="E2045" s="36"/>
      <c r="F2045" s="36"/>
      <c r="G2045" s="36"/>
      <c r="H2045" s="36"/>
      <c r="I2045" s="36"/>
      <c r="J2045" s="36"/>
      <c r="K2045" s="36"/>
      <c r="L2045" s="36"/>
      <c r="M2045" s="36"/>
      <c r="N2045" s="36"/>
      <c r="O2045" s="36"/>
      <c r="P2045" s="36"/>
      <c r="Q2045" s="36"/>
      <c r="R2045" s="36"/>
      <c r="S2045" s="36"/>
      <c r="T2045" s="36"/>
      <c r="U2045" s="36"/>
      <c r="V2045" s="36"/>
      <c r="W2045" s="36"/>
      <c r="X2045" s="36"/>
      <c r="Y2045" s="36"/>
      <c r="Z2045" s="36"/>
      <c r="AA2045" s="36"/>
      <c r="AB2045" s="36"/>
      <c r="AC2045" s="36"/>
      <c r="AD2045" s="36"/>
      <c r="AE2045" s="36"/>
      <c r="AF2045" s="36"/>
      <c r="AG2045" s="36"/>
      <c r="AH2045" s="36"/>
      <c r="AI2045" s="36"/>
      <c r="AJ2045" s="36"/>
      <c r="AK2045" s="36"/>
      <c r="AL2045" s="36"/>
      <c r="AM2045" s="36"/>
      <c r="AN2045" s="36"/>
      <c r="AO2045" s="36"/>
      <c r="AP2045" s="36"/>
      <c r="AQ2045" s="36"/>
      <c r="AR2045" s="36"/>
      <c r="AS2045" s="36"/>
      <c r="AT2045" s="36"/>
      <c r="AU2045" s="36"/>
      <c r="AV2045" s="36"/>
      <c r="AW2045" s="36"/>
    </row>
    <row r="2046" spans="1:49" s="26" customFormat="1" ht="15" x14ac:dyDescent="0.25">
      <c r="A2046" s="36"/>
      <c r="B2046" s="36"/>
      <c r="C2046" s="36"/>
      <c r="D2046" s="36"/>
      <c r="E2046" s="36"/>
      <c r="F2046" s="36"/>
      <c r="G2046" s="36"/>
      <c r="H2046" s="36"/>
      <c r="I2046" s="36"/>
      <c r="J2046" s="36"/>
      <c r="K2046" s="36"/>
      <c r="L2046" s="36"/>
      <c r="M2046" s="36"/>
      <c r="N2046" s="36"/>
      <c r="O2046" s="36"/>
      <c r="P2046" s="36"/>
      <c r="Q2046" s="36"/>
      <c r="R2046" s="36"/>
      <c r="S2046" s="36"/>
      <c r="T2046" s="36"/>
      <c r="U2046" s="36"/>
      <c r="V2046" s="36"/>
      <c r="W2046" s="36"/>
      <c r="X2046" s="36"/>
      <c r="Y2046" s="36"/>
      <c r="Z2046" s="36"/>
      <c r="AA2046" s="36"/>
      <c r="AB2046" s="36"/>
      <c r="AC2046" s="36"/>
      <c r="AD2046" s="36"/>
      <c r="AE2046" s="36"/>
      <c r="AF2046" s="36"/>
      <c r="AG2046" s="36"/>
      <c r="AH2046" s="36"/>
      <c r="AI2046" s="36"/>
      <c r="AJ2046" s="36"/>
      <c r="AK2046" s="36"/>
      <c r="AL2046" s="36"/>
      <c r="AM2046" s="36"/>
      <c r="AN2046" s="36"/>
      <c r="AO2046" s="36"/>
      <c r="AP2046" s="36"/>
      <c r="AQ2046" s="36"/>
      <c r="AR2046" s="36"/>
      <c r="AS2046" s="36"/>
      <c r="AT2046" s="36"/>
      <c r="AU2046" s="36"/>
      <c r="AV2046" s="36"/>
      <c r="AW2046" s="36"/>
    </row>
    <row r="2397" spans="1:49" s="28" customFormat="1" ht="15" x14ac:dyDescent="0.25">
      <c r="A2397" s="36"/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  <c r="S2397" s="36"/>
      <c r="T2397" s="36"/>
      <c r="U2397" s="36"/>
      <c r="V2397" s="36"/>
      <c r="W2397" s="36"/>
      <c r="X2397" s="36"/>
      <c r="Y2397" s="36"/>
      <c r="Z2397" s="36"/>
      <c r="AA2397" s="36"/>
      <c r="AB2397" s="36"/>
      <c r="AC2397" s="36"/>
      <c r="AD2397" s="36"/>
      <c r="AE2397" s="36"/>
      <c r="AF2397" s="36"/>
      <c r="AG2397" s="36"/>
      <c r="AH2397" s="36"/>
      <c r="AI2397" s="36"/>
      <c r="AJ2397" s="36"/>
      <c r="AK2397" s="36"/>
      <c r="AL2397" s="36"/>
      <c r="AM2397" s="36"/>
      <c r="AN2397" s="36"/>
      <c r="AO2397" s="36"/>
      <c r="AP2397" s="36"/>
      <c r="AQ2397" s="36"/>
      <c r="AR2397" s="36"/>
      <c r="AS2397" s="36"/>
      <c r="AT2397" s="36"/>
      <c r="AU2397" s="36"/>
      <c r="AV2397" s="36"/>
      <c r="AW2397" s="36"/>
    </row>
    <row r="2398" spans="1:49" s="28" customFormat="1" ht="15" x14ac:dyDescent="0.25">
      <c r="A2398" s="36"/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  <c r="S2398" s="36"/>
      <c r="T2398" s="36"/>
      <c r="U2398" s="36"/>
      <c r="V2398" s="36"/>
      <c r="W2398" s="36"/>
      <c r="X2398" s="36"/>
      <c r="Y2398" s="36"/>
      <c r="Z2398" s="36"/>
      <c r="AA2398" s="36"/>
      <c r="AB2398" s="36"/>
      <c r="AC2398" s="36"/>
      <c r="AD2398" s="36"/>
      <c r="AE2398" s="36"/>
      <c r="AF2398" s="36"/>
      <c r="AG2398" s="36"/>
      <c r="AH2398" s="36"/>
      <c r="AI2398" s="36"/>
      <c r="AJ2398" s="36"/>
      <c r="AK2398" s="36"/>
      <c r="AL2398" s="36"/>
      <c r="AM2398" s="36"/>
      <c r="AN2398" s="36"/>
      <c r="AO2398" s="36"/>
      <c r="AP2398" s="36"/>
      <c r="AQ2398" s="36"/>
      <c r="AR2398" s="36"/>
      <c r="AS2398" s="36"/>
      <c r="AT2398" s="36"/>
      <c r="AU2398" s="36"/>
      <c r="AV2398" s="36"/>
      <c r="AW2398" s="36"/>
    </row>
    <row r="2399" spans="1:49" s="28" customFormat="1" ht="15" x14ac:dyDescent="0.25">
      <c r="A2399" s="36"/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  <c r="S2399" s="36"/>
      <c r="T2399" s="36"/>
      <c r="U2399" s="36"/>
      <c r="V2399" s="36"/>
      <c r="W2399" s="36"/>
      <c r="X2399" s="36"/>
      <c r="Y2399" s="36"/>
      <c r="Z2399" s="36"/>
      <c r="AA2399" s="36"/>
      <c r="AB2399" s="36"/>
      <c r="AC2399" s="36"/>
      <c r="AD2399" s="36"/>
      <c r="AE2399" s="36"/>
      <c r="AF2399" s="36"/>
      <c r="AG2399" s="36"/>
      <c r="AH2399" s="36"/>
      <c r="AI2399" s="36"/>
      <c r="AJ2399" s="36"/>
      <c r="AK2399" s="36"/>
      <c r="AL2399" s="36"/>
      <c r="AM2399" s="36"/>
      <c r="AN2399" s="36"/>
      <c r="AO2399" s="36"/>
      <c r="AP2399" s="36"/>
      <c r="AQ2399" s="36"/>
      <c r="AR2399" s="36"/>
      <c r="AS2399" s="36"/>
      <c r="AT2399" s="36"/>
      <c r="AU2399" s="36"/>
      <c r="AV2399" s="36"/>
      <c r="AW2399" s="36"/>
    </row>
    <row r="2400" spans="1:49" s="28" customFormat="1" ht="15" x14ac:dyDescent="0.25">
      <c r="A2400" s="36"/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  <c r="S2400" s="36"/>
      <c r="T2400" s="36"/>
      <c r="U2400" s="36"/>
      <c r="V2400" s="36"/>
      <c r="W2400" s="36"/>
      <c r="X2400" s="36"/>
      <c r="Y2400" s="36"/>
      <c r="Z2400" s="36"/>
      <c r="AA2400" s="36"/>
      <c r="AB2400" s="36"/>
      <c r="AC2400" s="36"/>
      <c r="AD2400" s="36"/>
      <c r="AE2400" s="36"/>
      <c r="AF2400" s="36"/>
      <c r="AG2400" s="36"/>
      <c r="AH2400" s="36"/>
      <c r="AI2400" s="36"/>
      <c r="AJ2400" s="36"/>
      <c r="AK2400" s="36"/>
      <c r="AL2400" s="36"/>
      <c r="AM2400" s="36"/>
      <c r="AN2400" s="36"/>
      <c r="AO2400" s="36"/>
      <c r="AP2400" s="36"/>
      <c r="AQ2400" s="36"/>
      <c r="AR2400" s="36"/>
      <c r="AS2400" s="36"/>
      <c r="AT2400" s="36"/>
      <c r="AU2400" s="36"/>
      <c r="AV2400" s="36"/>
      <c r="AW2400" s="36"/>
    </row>
    <row r="2401" spans="1:49" s="28" customFormat="1" ht="15" x14ac:dyDescent="0.25">
      <c r="A2401" s="36"/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  <c r="S2401" s="36"/>
      <c r="T2401" s="36"/>
      <c r="U2401" s="36"/>
      <c r="V2401" s="36"/>
      <c r="W2401" s="36"/>
      <c r="X2401" s="36"/>
      <c r="Y2401" s="36"/>
      <c r="Z2401" s="36"/>
      <c r="AA2401" s="36"/>
      <c r="AB2401" s="36"/>
      <c r="AC2401" s="36"/>
      <c r="AD2401" s="36"/>
      <c r="AE2401" s="36"/>
      <c r="AF2401" s="36"/>
      <c r="AG2401" s="36"/>
      <c r="AH2401" s="36"/>
      <c r="AI2401" s="36"/>
      <c r="AJ2401" s="36"/>
      <c r="AK2401" s="36"/>
      <c r="AL2401" s="36"/>
      <c r="AM2401" s="36"/>
      <c r="AN2401" s="36"/>
      <c r="AO2401" s="36"/>
      <c r="AP2401" s="36"/>
      <c r="AQ2401" s="36"/>
      <c r="AR2401" s="36"/>
      <c r="AS2401" s="36"/>
      <c r="AT2401" s="36"/>
      <c r="AU2401" s="36"/>
      <c r="AV2401" s="36"/>
      <c r="AW2401" s="36"/>
    </row>
    <row r="2402" spans="1:49" s="28" customFormat="1" ht="15" x14ac:dyDescent="0.25">
      <c r="A2402" s="36"/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  <c r="S2402" s="36"/>
      <c r="T2402" s="36"/>
      <c r="U2402" s="36"/>
      <c r="V2402" s="36"/>
      <c r="W2402" s="36"/>
      <c r="X2402" s="36"/>
      <c r="Y2402" s="36"/>
      <c r="Z2402" s="36"/>
      <c r="AA2402" s="36"/>
      <c r="AB2402" s="36"/>
      <c r="AC2402" s="36"/>
      <c r="AD2402" s="36"/>
      <c r="AE2402" s="36"/>
      <c r="AF2402" s="36"/>
      <c r="AG2402" s="36"/>
      <c r="AH2402" s="36"/>
      <c r="AI2402" s="36"/>
      <c r="AJ2402" s="36"/>
      <c r="AK2402" s="36"/>
      <c r="AL2402" s="36"/>
      <c r="AM2402" s="36"/>
      <c r="AN2402" s="36"/>
      <c r="AO2402" s="36"/>
      <c r="AP2402" s="36"/>
      <c r="AQ2402" s="36"/>
      <c r="AR2402" s="36"/>
      <c r="AS2402" s="36"/>
      <c r="AT2402" s="36"/>
      <c r="AU2402" s="36"/>
      <c r="AV2402" s="36"/>
      <c r="AW2402" s="36"/>
    </row>
    <row r="2403" spans="1:49" s="28" customFormat="1" ht="15" x14ac:dyDescent="0.25">
      <c r="A2403" s="36"/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  <c r="S2403" s="36"/>
      <c r="T2403" s="36"/>
      <c r="U2403" s="36"/>
      <c r="V2403" s="36"/>
      <c r="W2403" s="36"/>
      <c r="X2403" s="36"/>
      <c r="Y2403" s="36"/>
      <c r="Z2403" s="36"/>
      <c r="AA2403" s="36"/>
      <c r="AB2403" s="36"/>
      <c r="AC2403" s="36"/>
      <c r="AD2403" s="36"/>
      <c r="AE2403" s="36"/>
      <c r="AF2403" s="36"/>
      <c r="AG2403" s="36"/>
      <c r="AH2403" s="36"/>
      <c r="AI2403" s="36"/>
      <c r="AJ2403" s="36"/>
      <c r="AK2403" s="36"/>
      <c r="AL2403" s="36"/>
      <c r="AM2403" s="36"/>
      <c r="AN2403" s="36"/>
      <c r="AO2403" s="36"/>
      <c r="AP2403" s="36"/>
      <c r="AQ2403" s="36"/>
      <c r="AR2403" s="36"/>
      <c r="AS2403" s="36"/>
      <c r="AT2403" s="36"/>
      <c r="AU2403" s="36"/>
      <c r="AV2403" s="36"/>
      <c r="AW2403" s="36"/>
    </row>
    <row r="2404" spans="1:49" s="28" customFormat="1" ht="15" x14ac:dyDescent="0.25">
      <c r="A2404" s="36"/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  <c r="S2404" s="36"/>
      <c r="T2404" s="36"/>
      <c r="U2404" s="36"/>
      <c r="V2404" s="36"/>
      <c r="W2404" s="36"/>
      <c r="X2404" s="36"/>
      <c r="Y2404" s="36"/>
      <c r="Z2404" s="36"/>
      <c r="AA2404" s="36"/>
      <c r="AB2404" s="36"/>
      <c r="AC2404" s="36"/>
      <c r="AD2404" s="36"/>
      <c r="AE2404" s="36"/>
      <c r="AF2404" s="36"/>
      <c r="AG2404" s="36"/>
      <c r="AH2404" s="36"/>
      <c r="AI2404" s="36"/>
      <c r="AJ2404" s="36"/>
      <c r="AK2404" s="36"/>
      <c r="AL2404" s="36"/>
      <c r="AM2404" s="36"/>
      <c r="AN2404" s="36"/>
      <c r="AO2404" s="36"/>
      <c r="AP2404" s="36"/>
      <c r="AQ2404" s="36"/>
      <c r="AR2404" s="36"/>
      <c r="AS2404" s="36"/>
      <c r="AT2404" s="36"/>
      <c r="AU2404" s="36"/>
      <c r="AV2404" s="36"/>
      <c r="AW2404" s="36"/>
    </row>
    <row r="2405" spans="1:49" s="28" customFormat="1" ht="15" x14ac:dyDescent="0.25">
      <c r="A2405" s="36"/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  <c r="S2405" s="36"/>
      <c r="T2405" s="36"/>
      <c r="U2405" s="36"/>
      <c r="V2405" s="36"/>
      <c r="W2405" s="36"/>
      <c r="X2405" s="36"/>
      <c r="Y2405" s="36"/>
      <c r="Z2405" s="36"/>
      <c r="AA2405" s="36"/>
      <c r="AB2405" s="36"/>
      <c r="AC2405" s="36"/>
      <c r="AD2405" s="36"/>
      <c r="AE2405" s="36"/>
      <c r="AF2405" s="36"/>
      <c r="AG2405" s="36"/>
      <c r="AH2405" s="36"/>
      <c r="AI2405" s="36"/>
      <c r="AJ2405" s="36"/>
      <c r="AK2405" s="36"/>
      <c r="AL2405" s="36"/>
      <c r="AM2405" s="36"/>
      <c r="AN2405" s="36"/>
      <c r="AO2405" s="36"/>
      <c r="AP2405" s="36"/>
      <c r="AQ2405" s="36"/>
      <c r="AR2405" s="36"/>
      <c r="AS2405" s="36"/>
      <c r="AT2405" s="36"/>
      <c r="AU2405" s="36"/>
      <c r="AV2405" s="36"/>
      <c r="AW2405" s="36"/>
    </row>
    <row r="2406" spans="1:49" s="28" customFormat="1" ht="15" x14ac:dyDescent="0.25">
      <c r="A2406" s="36"/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  <c r="S2406" s="36"/>
      <c r="T2406" s="36"/>
      <c r="U2406" s="36"/>
      <c r="V2406" s="36"/>
      <c r="W2406" s="36"/>
      <c r="X2406" s="36"/>
      <c r="Y2406" s="36"/>
      <c r="Z2406" s="36"/>
      <c r="AA2406" s="36"/>
      <c r="AB2406" s="36"/>
      <c r="AC2406" s="36"/>
      <c r="AD2406" s="36"/>
      <c r="AE2406" s="36"/>
      <c r="AF2406" s="36"/>
      <c r="AG2406" s="36"/>
      <c r="AH2406" s="36"/>
      <c r="AI2406" s="36"/>
      <c r="AJ2406" s="36"/>
      <c r="AK2406" s="36"/>
      <c r="AL2406" s="36"/>
      <c r="AM2406" s="36"/>
      <c r="AN2406" s="36"/>
      <c r="AO2406" s="36"/>
      <c r="AP2406" s="36"/>
      <c r="AQ2406" s="36"/>
      <c r="AR2406" s="36"/>
      <c r="AS2406" s="36"/>
      <c r="AT2406" s="36"/>
      <c r="AU2406" s="36"/>
      <c r="AV2406" s="36"/>
      <c r="AW2406" s="36"/>
    </row>
    <row r="2407" spans="1:49" s="28" customFormat="1" ht="15" x14ac:dyDescent="0.25">
      <c r="A2407" s="36"/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  <c r="S2407" s="36"/>
      <c r="T2407" s="36"/>
      <c r="U2407" s="36"/>
      <c r="V2407" s="36"/>
      <c r="W2407" s="36"/>
      <c r="X2407" s="36"/>
      <c r="Y2407" s="36"/>
      <c r="Z2407" s="36"/>
      <c r="AA2407" s="36"/>
      <c r="AB2407" s="36"/>
      <c r="AC2407" s="36"/>
      <c r="AD2407" s="36"/>
      <c r="AE2407" s="36"/>
      <c r="AF2407" s="36"/>
      <c r="AG2407" s="36"/>
      <c r="AH2407" s="36"/>
      <c r="AI2407" s="36"/>
      <c r="AJ2407" s="36"/>
      <c r="AK2407" s="36"/>
      <c r="AL2407" s="36"/>
      <c r="AM2407" s="36"/>
      <c r="AN2407" s="36"/>
      <c r="AO2407" s="36"/>
      <c r="AP2407" s="36"/>
      <c r="AQ2407" s="36"/>
      <c r="AR2407" s="36"/>
      <c r="AS2407" s="36"/>
      <c r="AT2407" s="36"/>
      <c r="AU2407" s="36"/>
      <c r="AV2407" s="36"/>
      <c r="AW2407" s="36"/>
    </row>
    <row r="2408" spans="1:49" s="28" customFormat="1" ht="15" x14ac:dyDescent="0.25">
      <c r="A2408" s="36"/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  <c r="S2408" s="36"/>
      <c r="T2408" s="36"/>
      <c r="U2408" s="36"/>
      <c r="V2408" s="36"/>
      <c r="W2408" s="36"/>
      <c r="X2408" s="36"/>
      <c r="Y2408" s="36"/>
      <c r="Z2408" s="36"/>
      <c r="AA2408" s="36"/>
      <c r="AB2408" s="36"/>
      <c r="AC2408" s="36"/>
      <c r="AD2408" s="36"/>
      <c r="AE2408" s="36"/>
      <c r="AF2408" s="36"/>
      <c r="AG2408" s="36"/>
      <c r="AH2408" s="36"/>
      <c r="AI2408" s="36"/>
      <c r="AJ2408" s="36"/>
      <c r="AK2408" s="36"/>
      <c r="AL2408" s="36"/>
      <c r="AM2408" s="36"/>
      <c r="AN2408" s="36"/>
      <c r="AO2408" s="36"/>
      <c r="AP2408" s="36"/>
      <c r="AQ2408" s="36"/>
      <c r="AR2408" s="36"/>
      <c r="AS2408" s="36"/>
      <c r="AT2408" s="36"/>
      <c r="AU2408" s="36"/>
      <c r="AV2408" s="36"/>
      <c r="AW2408" s="36"/>
    </row>
    <row r="2409" spans="1:49" s="28" customFormat="1" ht="15" x14ac:dyDescent="0.25">
      <c r="A2409" s="36"/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  <c r="S2409" s="36"/>
      <c r="T2409" s="36"/>
      <c r="U2409" s="36"/>
      <c r="V2409" s="36"/>
      <c r="W2409" s="36"/>
      <c r="X2409" s="36"/>
      <c r="Y2409" s="36"/>
      <c r="Z2409" s="36"/>
      <c r="AA2409" s="36"/>
      <c r="AB2409" s="36"/>
      <c r="AC2409" s="36"/>
      <c r="AD2409" s="36"/>
      <c r="AE2409" s="36"/>
      <c r="AF2409" s="36"/>
      <c r="AG2409" s="36"/>
      <c r="AH2409" s="36"/>
      <c r="AI2409" s="36"/>
      <c r="AJ2409" s="36"/>
      <c r="AK2409" s="36"/>
      <c r="AL2409" s="36"/>
      <c r="AM2409" s="36"/>
      <c r="AN2409" s="36"/>
      <c r="AO2409" s="36"/>
      <c r="AP2409" s="36"/>
      <c r="AQ2409" s="36"/>
      <c r="AR2409" s="36"/>
      <c r="AS2409" s="36"/>
      <c r="AT2409" s="36"/>
      <c r="AU2409" s="36"/>
      <c r="AV2409" s="36"/>
      <c r="AW2409" s="36"/>
    </row>
    <row r="2410" spans="1:49" s="28" customFormat="1" ht="15" x14ac:dyDescent="0.25">
      <c r="A2410" s="36"/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  <c r="S2410" s="36"/>
      <c r="T2410" s="36"/>
      <c r="U2410" s="36"/>
      <c r="V2410" s="36"/>
      <c r="W2410" s="36"/>
      <c r="X2410" s="36"/>
      <c r="Y2410" s="36"/>
      <c r="Z2410" s="36"/>
      <c r="AA2410" s="36"/>
      <c r="AB2410" s="36"/>
      <c r="AC2410" s="36"/>
      <c r="AD2410" s="36"/>
      <c r="AE2410" s="36"/>
      <c r="AF2410" s="36"/>
      <c r="AG2410" s="36"/>
      <c r="AH2410" s="36"/>
      <c r="AI2410" s="36"/>
      <c r="AJ2410" s="36"/>
      <c r="AK2410" s="36"/>
      <c r="AL2410" s="36"/>
      <c r="AM2410" s="36"/>
      <c r="AN2410" s="36"/>
      <c r="AO2410" s="36"/>
      <c r="AP2410" s="36"/>
      <c r="AQ2410" s="36"/>
      <c r="AR2410" s="36"/>
      <c r="AS2410" s="36"/>
      <c r="AT2410" s="36"/>
      <c r="AU2410" s="36"/>
      <c r="AV2410" s="36"/>
      <c r="AW2410" s="36"/>
    </row>
    <row r="2411" spans="1:49" s="28" customFormat="1" ht="15" x14ac:dyDescent="0.25">
      <c r="A2411" s="36"/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  <c r="S2411" s="36"/>
      <c r="T2411" s="36"/>
      <c r="U2411" s="36"/>
      <c r="V2411" s="36"/>
      <c r="W2411" s="36"/>
      <c r="X2411" s="36"/>
      <c r="Y2411" s="36"/>
      <c r="Z2411" s="36"/>
      <c r="AA2411" s="36"/>
      <c r="AB2411" s="36"/>
      <c r="AC2411" s="36"/>
      <c r="AD2411" s="36"/>
      <c r="AE2411" s="36"/>
      <c r="AF2411" s="36"/>
      <c r="AG2411" s="36"/>
      <c r="AH2411" s="36"/>
      <c r="AI2411" s="36"/>
      <c r="AJ2411" s="36"/>
      <c r="AK2411" s="36"/>
      <c r="AL2411" s="36"/>
      <c r="AM2411" s="36"/>
      <c r="AN2411" s="36"/>
      <c r="AO2411" s="36"/>
      <c r="AP2411" s="36"/>
      <c r="AQ2411" s="36"/>
      <c r="AR2411" s="36"/>
      <c r="AS2411" s="36"/>
      <c r="AT2411" s="36"/>
      <c r="AU2411" s="36"/>
      <c r="AV2411" s="36"/>
      <c r="AW2411" s="36"/>
    </row>
    <row r="2412" spans="1:49" s="28" customFormat="1" ht="15" x14ac:dyDescent="0.25">
      <c r="A2412" s="36"/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  <c r="S2412" s="36"/>
      <c r="T2412" s="36"/>
      <c r="U2412" s="36"/>
      <c r="V2412" s="36"/>
      <c r="W2412" s="36"/>
      <c r="X2412" s="36"/>
      <c r="Y2412" s="36"/>
      <c r="Z2412" s="36"/>
      <c r="AA2412" s="36"/>
      <c r="AB2412" s="36"/>
      <c r="AC2412" s="36"/>
      <c r="AD2412" s="36"/>
      <c r="AE2412" s="36"/>
      <c r="AF2412" s="36"/>
      <c r="AG2412" s="36"/>
      <c r="AH2412" s="36"/>
      <c r="AI2412" s="36"/>
      <c r="AJ2412" s="36"/>
      <c r="AK2412" s="36"/>
      <c r="AL2412" s="36"/>
      <c r="AM2412" s="36"/>
      <c r="AN2412" s="36"/>
      <c r="AO2412" s="36"/>
      <c r="AP2412" s="36"/>
      <c r="AQ2412" s="36"/>
      <c r="AR2412" s="36"/>
      <c r="AS2412" s="36"/>
      <c r="AT2412" s="36"/>
      <c r="AU2412" s="36"/>
      <c r="AV2412" s="36"/>
      <c r="AW2412" s="36"/>
    </row>
    <row r="2413" spans="1:49" s="28" customFormat="1" ht="15" x14ac:dyDescent="0.25">
      <c r="A2413" s="36"/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  <c r="S2413" s="36"/>
      <c r="T2413" s="36"/>
      <c r="U2413" s="36"/>
      <c r="V2413" s="36"/>
      <c r="W2413" s="36"/>
      <c r="X2413" s="36"/>
      <c r="Y2413" s="36"/>
      <c r="Z2413" s="36"/>
      <c r="AA2413" s="36"/>
      <c r="AB2413" s="36"/>
      <c r="AC2413" s="36"/>
      <c r="AD2413" s="36"/>
      <c r="AE2413" s="36"/>
      <c r="AF2413" s="36"/>
      <c r="AG2413" s="36"/>
      <c r="AH2413" s="36"/>
      <c r="AI2413" s="36"/>
      <c r="AJ2413" s="36"/>
      <c r="AK2413" s="36"/>
      <c r="AL2413" s="36"/>
      <c r="AM2413" s="36"/>
      <c r="AN2413" s="36"/>
      <c r="AO2413" s="36"/>
      <c r="AP2413" s="36"/>
      <c r="AQ2413" s="36"/>
      <c r="AR2413" s="36"/>
      <c r="AS2413" s="36"/>
      <c r="AT2413" s="36"/>
      <c r="AU2413" s="36"/>
      <c r="AV2413" s="36"/>
      <c r="AW2413" s="36"/>
    </row>
    <row r="2414" spans="1:49" s="28" customFormat="1" ht="15" x14ac:dyDescent="0.25">
      <c r="A2414" s="36"/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  <c r="S2414" s="36"/>
      <c r="T2414" s="36"/>
      <c r="U2414" s="36"/>
      <c r="V2414" s="36"/>
      <c r="W2414" s="36"/>
      <c r="X2414" s="36"/>
      <c r="Y2414" s="36"/>
      <c r="Z2414" s="36"/>
      <c r="AA2414" s="36"/>
      <c r="AB2414" s="36"/>
      <c r="AC2414" s="36"/>
      <c r="AD2414" s="36"/>
      <c r="AE2414" s="36"/>
      <c r="AF2414" s="36"/>
      <c r="AG2414" s="36"/>
      <c r="AH2414" s="36"/>
      <c r="AI2414" s="36"/>
      <c r="AJ2414" s="36"/>
      <c r="AK2414" s="36"/>
      <c r="AL2414" s="36"/>
      <c r="AM2414" s="36"/>
      <c r="AN2414" s="36"/>
      <c r="AO2414" s="36"/>
      <c r="AP2414" s="36"/>
      <c r="AQ2414" s="36"/>
      <c r="AR2414" s="36"/>
      <c r="AS2414" s="36"/>
      <c r="AT2414" s="36"/>
      <c r="AU2414" s="36"/>
      <c r="AV2414" s="36"/>
      <c r="AW2414" s="36"/>
    </row>
    <row r="2415" spans="1:49" s="28" customFormat="1" ht="15" x14ac:dyDescent="0.25">
      <c r="A2415" s="36"/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  <c r="S2415" s="36"/>
      <c r="T2415" s="36"/>
      <c r="U2415" s="36"/>
      <c r="V2415" s="36"/>
      <c r="W2415" s="36"/>
      <c r="X2415" s="36"/>
      <c r="Y2415" s="36"/>
      <c r="Z2415" s="36"/>
      <c r="AA2415" s="36"/>
      <c r="AB2415" s="36"/>
      <c r="AC2415" s="36"/>
      <c r="AD2415" s="36"/>
      <c r="AE2415" s="36"/>
      <c r="AF2415" s="36"/>
      <c r="AG2415" s="36"/>
      <c r="AH2415" s="36"/>
      <c r="AI2415" s="36"/>
      <c r="AJ2415" s="36"/>
      <c r="AK2415" s="36"/>
      <c r="AL2415" s="36"/>
      <c r="AM2415" s="36"/>
      <c r="AN2415" s="36"/>
      <c r="AO2415" s="36"/>
      <c r="AP2415" s="36"/>
      <c r="AQ2415" s="36"/>
      <c r="AR2415" s="36"/>
      <c r="AS2415" s="36"/>
      <c r="AT2415" s="36"/>
      <c r="AU2415" s="36"/>
      <c r="AV2415" s="36"/>
      <c r="AW2415" s="36"/>
    </row>
    <row r="2416" spans="1:49" s="28" customFormat="1" ht="15" x14ac:dyDescent="0.25">
      <c r="A2416" s="36"/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  <c r="S2416" s="36"/>
      <c r="T2416" s="36"/>
      <c r="U2416" s="36"/>
      <c r="V2416" s="36"/>
      <c r="W2416" s="36"/>
      <c r="X2416" s="36"/>
      <c r="Y2416" s="36"/>
      <c r="Z2416" s="36"/>
      <c r="AA2416" s="36"/>
      <c r="AB2416" s="36"/>
      <c r="AC2416" s="36"/>
      <c r="AD2416" s="36"/>
      <c r="AE2416" s="36"/>
      <c r="AF2416" s="36"/>
      <c r="AG2416" s="36"/>
      <c r="AH2416" s="36"/>
      <c r="AI2416" s="36"/>
      <c r="AJ2416" s="36"/>
      <c r="AK2416" s="36"/>
      <c r="AL2416" s="36"/>
      <c r="AM2416" s="36"/>
      <c r="AN2416" s="36"/>
      <c r="AO2416" s="36"/>
      <c r="AP2416" s="36"/>
      <c r="AQ2416" s="36"/>
      <c r="AR2416" s="36"/>
      <c r="AS2416" s="36"/>
      <c r="AT2416" s="36"/>
      <c r="AU2416" s="36"/>
      <c r="AV2416" s="36"/>
      <c r="AW2416" s="36"/>
    </row>
    <row r="2417" spans="1:49" s="28" customFormat="1" ht="15" x14ac:dyDescent="0.25">
      <c r="A2417" s="36"/>
      <c r="B2417" s="36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M2417" s="36"/>
      <c r="N2417" s="36"/>
      <c r="O2417" s="36"/>
      <c r="P2417" s="36"/>
      <c r="Q2417" s="36"/>
      <c r="R2417" s="36"/>
      <c r="S2417" s="36"/>
      <c r="T2417" s="36"/>
      <c r="U2417" s="36"/>
      <c r="V2417" s="36"/>
      <c r="W2417" s="36"/>
      <c r="X2417" s="36"/>
      <c r="Y2417" s="36"/>
      <c r="Z2417" s="36"/>
      <c r="AA2417" s="36"/>
      <c r="AB2417" s="36"/>
      <c r="AC2417" s="36"/>
      <c r="AD2417" s="36"/>
      <c r="AE2417" s="36"/>
      <c r="AF2417" s="36"/>
      <c r="AG2417" s="36"/>
      <c r="AH2417" s="36"/>
      <c r="AI2417" s="36"/>
      <c r="AJ2417" s="36"/>
      <c r="AK2417" s="36"/>
      <c r="AL2417" s="36"/>
      <c r="AM2417" s="36"/>
      <c r="AN2417" s="36"/>
      <c r="AO2417" s="36"/>
      <c r="AP2417" s="36"/>
      <c r="AQ2417" s="36"/>
      <c r="AR2417" s="36"/>
      <c r="AS2417" s="36"/>
      <c r="AT2417" s="36"/>
      <c r="AU2417" s="36"/>
      <c r="AV2417" s="36"/>
      <c r="AW2417" s="36"/>
    </row>
    <row r="2418" spans="1:49" s="28" customFormat="1" ht="15" x14ac:dyDescent="0.25">
      <c r="A2418" s="36"/>
      <c r="B2418" s="36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M2418" s="36"/>
      <c r="N2418" s="36"/>
      <c r="O2418" s="36"/>
      <c r="P2418" s="36"/>
      <c r="Q2418" s="36"/>
      <c r="R2418" s="36"/>
      <c r="S2418" s="36"/>
      <c r="T2418" s="36"/>
      <c r="U2418" s="36"/>
      <c r="V2418" s="36"/>
      <c r="W2418" s="36"/>
      <c r="X2418" s="36"/>
      <c r="Y2418" s="36"/>
      <c r="Z2418" s="36"/>
      <c r="AA2418" s="36"/>
      <c r="AB2418" s="36"/>
      <c r="AC2418" s="36"/>
      <c r="AD2418" s="36"/>
      <c r="AE2418" s="36"/>
      <c r="AF2418" s="36"/>
      <c r="AG2418" s="36"/>
      <c r="AH2418" s="36"/>
      <c r="AI2418" s="36"/>
      <c r="AJ2418" s="36"/>
      <c r="AK2418" s="36"/>
      <c r="AL2418" s="36"/>
      <c r="AM2418" s="36"/>
      <c r="AN2418" s="36"/>
      <c r="AO2418" s="36"/>
      <c r="AP2418" s="36"/>
      <c r="AQ2418" s="36"/>
      <c r="AR2418" s="36"/>
      <c r="AS2418" s="36"/>
      <c r="AT2418" s="36"/>
      <c r="AU2418" s="36"/>
      <c r="AV2418" s="36"/>
      <c r="AW2418" s="36"/>
    </row>
    <row r="2419" spans="1:49" s="28" customFormat="1" ht="15" x14ac:dyDescent="0.25">
      <c r="A2419" s="36"/>
      <c r="B2419" s="36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M2419" s="36"/>
      <c r="N2419" s="36"/>
      <c r="O2419" s="36"/>
      <c r="P2419" s="36"/>
      <c r="Q2419" s="36"/>
      <c r="R2419" s="36"/>
      <c r="S2419" s="36"/>
      <c r="T2419" s="36"/>
      <c r="U2419" s="36"/>
      <c r="V2419" s="36"/>
      <c r="W2419" s="36"/>
      <c r="X2419" s="36"/>
      <c r="Y2419" s="36"/>
      <c r="Z2419" s="36"/>
      <c r="AA2419" s="36"/>
      <c r="AB2419" s="36"/>
      <c r="AC2419" s="36"/>
      <c r="AD2419" s="36"/>
      <c r="AE2419" s="36"/>
      <c r="AF2419" s="36"/>
      <c r="AG2419" s="36"/>
      <c r="AH2419" s="36"/>
      <c r="AI2419" s="36"/>
      <c r="AJ2419" s="36"/>
      <c r="AK2419" s="36"/>
      <c r="AL2419" s="36"/>
      <c r="AM2419" s="36"/>
      <c r="AN2419" s="36"/>
      <c r="AO2419" s="36"/>
      <c r="AP2419" s="36"/>
      <c r="AQ2419" s="36"/>
      <c r="AR2419" s="36"/>
      <c r="AS2419" s="36"/>
      <c r="AT2419" s="36"/>
      <c r="AU2419" s="36"/>
      <c r="AV2419" s="36"/>
      <c r="AW2419" s="36"/>
    </row>
    <row r="2420" spans="1:49" s="28" customFormat="1" ht="15" x14ac:dyDescent="0.25">
      <c r="A2420" s="36"/>
      <c r="B2420" s="36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M2420" s="36"/>
      <c r="N2420" s="36"/>
      <c r="O2420" s="36"/>
      <c r="P2420" s="36"/>
      <c r="Q2420" s="36"/>
      <c r="R2420" s="36"/>
      <c r="S2420" s="36"/>
      <c r="T2420" s="36"/>
      <c r="U2420" s="36"/>
      <c r="V2420" s="36"/>
      <c r="W2420" s="36"/>
      <c r="X2420" s="36"/>
      <c r="Y2420" s="36"/>
      <c r="Z2420" s="36"/>
      <c r="AA2420" s="36"/>
      <c r="AB2420" s="36"/>
      <c r="AC2420" s="36"/>
      <c r="AD2420" s="36"/>
      <c r="AE2420" s="36"/>
      <c r="AF2420" s="36"/>
      <c r="AG2420" s="36"/>
      <c r="AH2420" s="36"/>
      <c r="AI2420" s="36"/>
      <c r="AJ2420" s="36"/>
      <c r="AK2420" s="36"/>
      <c r="AL2420" s="36"/>
      <c r="AM2420" s="36"/>
      <c r="AN2420" s="36"/>
      <c r="AO2420" s="36"/>
      <c r="AP2420" s="36"/>
      <c r="AQ2420" s="36"/>
      <c r="AR2420" s="36"/>
      <c r="AS2420" s="36"/>
      <c r="AT2420" s="36"/>
      <c r="AU2420" s="36"/>
      <c r="AV2420" s="36"/>
      <c r="AW2420" s="36"/>
    </row>
    <row r="2421" spans="1:49" s="28" customFormat="1" ht="15" x14ac:dyDescent="0.25">
      <c r="A2421" s="36"/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6"/>
      <c r="Q2421" s="36"/>
      <c r="R2421" s="36"/>
      <c r="S2421" s="36"/>
      <c r="T2421" s="36"/>
      <c r="U2421" s="36"/>
      <c r="V2421" s="36"/>
      <c r="W2421" s="36"/>
      <c r="X2421" s="36"/>
      <c r="Y2421" s="36"/>
      <c r="Z2421" s="36"/>
      <c r="AA2421" s="36"/>
      <c r="AB2421" s="36"/>
      <c r="AC2421" s="36"/>
      <c r="AD2421" s="36"/>
      <c r="AE2421" s="36"/>
      <c r="AF2421" s="36"/>
      <c r="AG2421" s="36"/>
      <c r="AH2421" s="36"/>
      <c r="AI2421" s="36"/>
      <c r="AJ2421" s="36"/>
      <c r="AK2421" s="36"/>
      <c r="AL2421" s="36"/>
      <c r="AM2421" s="36"/>
      <c r="AN2421" s="36"/>
      <c r="AO2421" s="36"/>
      <c r="AP2421" s="36"/>
      <c r="AQ2421" s="36"/>
      <c r="AR2421" s="36"/>
      <c r="AS2421" s="36"/>
      <c r="AT2421" s="36"/>
      <c r="AU2421" s="36"/>
      <c r="AV2421" s="36"/>
      <c r="AW2421" s="36"/>
    </row>
    <row r="2422" spans="1:49" s="28" customFormat="1" ht="15" x14ac:dyDescent="0.25">
      <c r="A2422" s="36"/>
      <c r="B2422" s="36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M2422" s="36"/>
      <c r="N2422" s="36"/>
      <c r="O2422" s="36"/>
      <c r="P2422" s="36"/>
      <c r="Q2422" s="36"/>
      <c r="R2422" s="36"/>
      <c r="S2422" s="36"/>
      <c r="T2422" s="36"/>
      <c r="U2422" s="36"/>
      <c r="V2422" s="36"/>
      <c r="W2422" s="36"/>
      <c r="X2422" s="36"/>
      <c r="Y2422" s="36"/>
      <c r="Z2422" s="36"/>
      <c r="AA2422" s="36"/>
      <c r="AB2422" s="36"/>
      <c r="AC2422" s="36"/>
      <c r="AD2422" s="36"/>
      <c r="AE2422" s="36"/>
      <c r="AF2422" s="36"/>
      <c r="AG2422" s="36"/>
      <c r="AH2422" s="36"/>
      <c r="AI2422" s="36"/>
      <c r="AJ2422" s="36"/>
      <c r="AK2422" s="36"/>
      <c r="AL2422" s="36"/>
      <c r="AM2422" s="36"/>
      <c r="AN2422" s="36"/>
      <c r="AO2422" s="36"/>
      <c r="AP2422" s="36"/>
      <c r="AQ2422" s="36"/>
      <c r="AR2422" s="36"/>
      <c r="AS2422" s="36"/>
      <c r="AT2422" s="36"/>
      <c r="AU2422" s="36"/>
      <c r="AV2422" s="36"/>
      <c r="AW2422" s="36"/>
    </row>
    <row r="2423" spans="1:49" s="28" customFormat="1" ht="15" x14ac:dyDescent="0.25">
      <c r="A2423" s="36"/>
      <c r="B2423" s="36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M2423" s="36"/>
      <c r="N2423" s="36"/>
      <c r="O2423" s="36"/>
      <c r="P2423" s="36"/>
      <c r="Q2423" s="36"/>
      <c r="R2423" s="36"/>
      <c r="S2423" s="36"/>
      <c r="T2423" s="36"/>
      <c r="U2423" s="36"/>
      <c r="V2423" s="36"/>
      <c r="W2423" s="36"/>
      <c r="X2423" s="36"/>
      <c r="Y2423" s="36"/>
      <c r="Z2423" s="36"/>
      <c r="AA2423" s="36"/>
      <c r="AB2423" s="36"/>
      <c r="AC2423" s="36"/>
      <c r="AD2423" s="36"/>
      <c r="AE2423" s="36"/>
      <c r="AF2423" s="36"/>
      <c r="AG2423" s="36"/>
      <c r="AH2423" s="36"/>
      <c r="AI2423" s="36"/>
      <c r="AJ2423" s="36"/>
      <c r="AK2423" s="36"/>
      <c r="AL2423" s="36"/>
      <c r="AM2423" s="36"/>
      <c r="AN2423" s="36"/>
      <c r="AO2423" s="36"/>
      <c r="AP2423" s="36"/>
      <c r="AQ2423" s="36"/>
      <c r="AR2423" s="36"/>
      <c r="AS2423" s="36"/>
      <c r="AT2423" s="36"/>
      <c r="AU2423" s="36"/>
      <c r="AV2423" s="36"/>
      <c r="AW2423" s="36"/>
    </row>
    <row r="2424" spans="1:49" s="28" customFormat="1" ht="15" x14ac:dyDescent="0.25">
      <c r="A2424" s="36"/>
      <c r="B2424" s="36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M2424" s="36"/>
      <c r="N2424" s="36"/>
      <c r="O2424" s="36"/>
      <c r="P2424" s="36"/>
      <c r="Q2424" s="36"/>
      <c r="R2424" s="36"/>
      <c r="S2424" s="36"/>
      <c r="T2424" s="36"/>
      <c r="U2424" s="36"/>
      <c r="V2424" s="36"/>
      <c r="W2424" s="36"/>
      <c r="X2424" s="36"/>
      <c r="Y2424" s="36"/>
      <c r="Z2424" s="36"/>
      <c r="AA2424" s="36"/>
      <c r="AB2424" s="36"/>
      <c r="AC2424" s="36"/>
      <c r="AD2424" s="36"/>
      <c r="AE2424" s="36"/>
      <c r="AF2424" s="36"/>
      <c r="AG2424" s="36"/>
      <c r="AH2424" s="36"/>
      <c r="AI2424" s="36"/>
      <c r="AJ2424" s="36"/>
      <c r="AK2424" s="36"/>
      <c r="AL2424" s="36"/>
      <c r="AM2424" s="36"/>
      <c r="AN2424" s="36"/>
      <c r="AO2424" s="36"/>
      <c r="AP2424" s="36"/>
      <c r="AQ2424" s="36"/>
      <c r="AR2424" s="36"/>
      <c r="AS2424" s="36"/>
      <c r="AT2424" s="36"/>
      <c r="AU2424" s="36"/>
      <c r="AV2424" s="36"/>
      <c r="AW2424" s="36"/>
    </row>
    <row r="2425" spans="1:49" s="28" customFormat="1" ht="15" x14ac:dyDescent="0.25">
      <c r="A2425" s="36"/>
      <c r="B2425" s="36"/>
      <c r="C2425" s="36"/>
      <c r="D2425" s="36"/>
      <c r="E2425" s="36"/>
      <c r="F2425" s="36"/>
      <c r="G2425" s="36"/>
      <c r="H2425" s="36"/>
      <c r="I2425" s="36"/>
      <c r="J2425" s="36"/>
      <c r="K2425" s="36"/>
      <c r="L2425" s="36"/>
      <c r="M2425" s="36"/>
      <c r="N2425" s="36"/>
      <c r="O2425" s="36"/>
      <c r="P2425" s="36"/>
      <c r="Q2425" s="36"/>
      <c r="R2425" s="36"/>
      <c r="S2425" s="36"/>
      <c r="T2425" s="36"/>
      <c r="U2425" s="36"/>
      <c r="V2425" s="36"/>
      <c r="W2425" s="36"/>
      <c r="X2425" s="36"/>
      <c r="Y2425" s="36"/>
      <c r="Z2425" s="36"/>
      <c r="AA2425" s="36"/>
      <c r="AB2425" s="36"/>
      <c r="AC2425" s="36"/>
      <c r="AD2425" s="36"/>
      <c r="AE2425" s="36"/>
      <c r="AF2425" s="36"/>
      <c r="AG2425" s="36"/>
      <c r="AH2425" s="36"/>
      <c r="AI2425" s="36"/>
      <c r="AJ2425" s="36"/>
      <c r="AK2425" s="36"/>
      <c r="AL2425" s="36"/>
      <c r="AM2425" s="36"/>
      <c r="AN2425" s="36"/>
      <c r="AO2425" s="36"/>
      <c r="AP2425" s="36"/>
      <c r="AQ2425" s="36"/>
      <c r="AR2425" s="36"/>
      <c r="AS2425" s="36"/>
      <c r="AT2425" s="36"/>
      <c r="AU2425" s="36"/>
      <c r="AV2425" s="36"/>
      <c r="AW2425" s="36"/>
    </row>
    <row r="2426" spans="1:49" s="28" customFormat="1" ht="15" x14ac:dyDescent="0.25">
      <c r="A2426" s="36"/>
      <c r="B2426" s="36"/>
      <c r="C2426" s="36"/>
      <c r="D2426" s="36"/>
      <c r="E2426" s="36"/>
      <c r="F2426" s="36"/>
      <c r="G2426" s="36"/>
      <c r="H2426" s="36"/>
      <c r="I2426" s="36"/>
      <c r="J2426" s="36"/>
      <c r="K2426" s="36"/>
      <c r="L2426" s="36"/>
      <c r="M2426" s="36"/>
      <c r="N2426" s="36"/>
      <c r="O2426" s="36"/>
      <c r="P2426" s="36"/>
      <c r="Q2426" s="36"/>
      <c r="R2426" s="36"/>
      <c r="S2426" s="36"/>
      <c r="T2426" s="36"/>
      <c r="U2426" s="36"/>
      <c r="V2426" s="36"/>
      <c r="W2426" s="36"/>
      <c r="X2426" s="36"/>
      <c r="Y2426" s="36"/>
      <c r="Z2426" s="36"/>
      <c r="AA2426" s="36"/>
      <c r="AB2426" s="36"/>
      <c r="AC2426" s="36"/>
      <c r="AD2426" s="36"/>
      <c r="AE2426" s="36"/>
      <c r="AF2426" s="36"/>
      <c r="AG2426" s="36"/>
      <c r="AH2426" s="36"/>
      <c r="AI2426" s="36"/>
      <c r="AJ2426" s="36"/>
      <c r="AK2426" s="36"/>
      <c r="AL2426" s="36"/>
      <c r="AM2426" s="36"/>
      <c r="AN2426" s="36"/>
      <c r="AO2426" s="36"/>
      <c r="AP2426" s="36"/>
      <c r="AQ2426" s="36"/>
      <c r="AR2426" s="36"/>
      <c r="AS2426" s="36"/>
      <c r="AT2426" s="36"/>
      <c r="AU2426" s="36"/>
      <c r="AV2426" s="36"/>
      <c r="AW2426" s="36"/>
    </row>
    <row r="2427" spans="1:49" s="28" customFormat="1" ht="15" x14ac:dyDescent="0.25">
      <c r="A2427" s="36"/>
      <c r="B2427" s="36"/>
      <c r="C2427" s="36"/>
      <c r="D2427" s="36"/>
      <c r="E2427" s="36"/>
      <c r="F2427" s="36"/>
      <c r="G2427" s="36"/>
      <c r="H2427" s="36"/>
      <c r="I2427" s="36"/>
      <c r="J2427" s="36"/>
      <c r="K2427" s="36"/>
      <c r="L2427" s="36"/>
      <c r="M2427" s="36"/>
      <c r="N2427" s="36"/>
      <c r="O2427" s="36"/>
      <c r="P2427" s="36"/>
      <c r="Q2427" s="36"/>
      <c r="R2427" s="36"/>
      <c r="S2427" s="36"/>
      <c r="T2427" s="36"/>
      <c r="U2427" s="36"/>
      <c r="V2427" s="36"/>
      <c r="W2427" s="36"/>
      <c r="X2427" s="36"/>
      <c r="Y2427" s="36"/>
      <c r="Z2427" s="36"/>
      <c r="AA2427" s="36"/>
      <c r="AB2427" s="36"/>
      <c r="AC2427" s="36"/>
      <c r="AD2427" s="36"/>
      <c r="AE2427" s="36"/>
      <c r="AF2427" s="36"/>
      <c r="AG2427" s="36"/>
      <c r="AH2427" s="36"/>
      <c r="AI2427" s="36"/>
      <c r="AJ2427" s="36"/>
      <c r="AK2427" s="36"/>
      <c r="AL2427" s="36"/>
      <c r="AM2427" s="36"/>
      <c r="AN2427" s="36"/>
      <c r="AO2427" s="36"/>
      <c r="AP2427" s="36"/>
      <c r="AQ2427" s="36"/>
      <c r="AR2427" s="36"/>
      <c r="AS2427" s="36"/>
      <c r="AT2427" s="36"/>
      <c r="AU2427" s="36"/>
      <c r="AV2427" s="36"/>
      <c r="AW2427" s="36"/>
    </row>
    <row r="2428" spans="1:49" s="28" customFormat="1" ht="15" x14ac:dyDescent="0.25">
      <c r="A2428" s="36"/>
      <c r="B2428" s="36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M2428" s="36"/>
      <c r="N2428" s="36"/>
      <c r="O2428" s="36"/>
      <c r="P2428" s="36"/>
      <c r="Q2428" s="36"/>
      <c r="R2428" s="36"/>
      <c r="S2428" s="36"/>
      <c r="T2428" s="36"/>
      <c r="U2428" s="36"/>
      <c r="V2428" s="36"/>
      <c r="W2428" s="36"/>
      <c r="X2428" s="36"/>
      <c r="Y2428" s="36"/>
      <c r="Z2428" s="36"/>
      <c r="AA2428" s="36"/>
      <c r="AB2428" s="36"/>
      <c r="AC2428" s="36"/>
      <c r="AD2428" s="36"/>
      <c r="AE2428" s="36"/>
      <c r="AF2428" s="36"/>
      <c r="AG2428" s="36"/>
      <c r="AH2428" s="36"/>
      <c r="AI2428" s="36"/>
      <c r="AJ2428" s="36"/>
      <c r="AK2428" s="36"/>
      <c r="AL2428" s="36"/>
      <c r="AM2428" s="36"/>
      <c r="AN2428" s="36"/>
      <c r="AO2428" s="36"/>
      <c r="AP2428" s="36"/>
      <c r="AQ2428" s="36"/>
      <c r="AR2428" s="36"/>
      <c r="AS2428" s="36"/>
      <c r="AT2428" s="36"/>
      <c r="AU2428" s="36"/>
      <c r="AV2428" s="36"/>
      <c r="AW2428" s="36"/>
    </row>
    <row r="2429" spans="1:49" s="28" customFormat="1" ht="15" x14ac:dyDescent="0.25">
      <c r="A2429" s="36"/>
      <c r="B2429" s="36"/>
      <c r="C2429" s="36"/>
      <c r="D2429" s="36"/>
      <c r="E2429" s="36"/>
      <c r="F2429" s="36"/>
      <c r="G2429" s="36"/>
      <c r="H2429" s="36"/>
      <c r="I2429" s="36"/>
      <c r="J2429" s="36"/>
      <c r="K2429" s="36"/>
      <c r="L2429" s="36"/>
      <c r="M2429" s="36"/>
      <c r="N2429" s="36"/>
      <c r="O2429" s="36"/>
      <c r="P2429" s="36"/>
      <c r="Q2429" s="36"/>
      <c r="R2429" s="36"/>
      <c r="S2429" s="36"/>
      <c r="T2429" s="36"/>
      <c r="U2429" s="36"/>
      <c r="V2429" s="36"/>
      <c r="W2429" s="36"/>
      <c r="X2429" s="36"/>
      <c r="Y2429" s="36"/>
      <c r="Z2429" s="36"/>
      <c r="AA2429" s="36"/>
      <c r="AB2429" s="36"/>
      <c r="AC2429" s="36"/>
      <c r="AD2429" s="36"/>
      <c r="AE2429" s="36"/>
      <c r="AF2429" s="36"/>
      <c r="AG2429" s="36"/>
      <c r="AH2429" s="36"/>
      <c r="AI2429" s="36"/>
      <c r="AJ2429" s="36"/>
      <c r="AK2429" s="36"/>
      <c r="AL2429" s="36"/>
      <c r="AM2429" s="36"/>
      <c r="AN2429" s="36"/>
      <c r="AO2429" s="36"/>
      <c r="AP2429" s="36"/>
      <c r="AQ2429" s="36"/>
      <c r="AR2429" s="36"/>
      <c r="AS2429" s="36"/>
      <c r="AT2429" s="36"/>
      <c r="AU2429" s="36"/>
      <c r="AV2429" s="36"/>
      <c r="AW2429" s="36"/>
    </row>
    <row r="2430" spans="1:49" s="28" customFormat="1" ht="15" x14ac:dyDescent="0.25">
      <c r="A2430" s="36"/>
      <c r="B2430" s="36"/>
      <c r="C2430" s="36"/>
      <c r="D2430" s="36"/>
      <c r="E2430" s="36"/>
      <c r="F2430" s="36"/>
      <c r="G2430" s="36"/>
      <c r="H2430" s="36"/>
      <c r="I2430" s="36"/>
      <c r="J2430" s="36"/>
      <c r="K2430" s="36"/>
      <c r="L2430" s="36"/>
      <c r="M2430" s="36"/>
      <c r="N2430" s="36"/>
      <c r="O2430" s="36"/>
      <c r="P2430" s="36"/>
      <c r="Q2430" s="36"/>
      <c r="R2430" s="36"/>
      <c r="S2430" s="36"/>
      <c r="T2430" s="36"/>
      <c r="U2430" s="36"/>
      <c r="V2430" s="36"/>
      <c r="W2430" s="36"/>
      <c r="X2430" s="36"/>
      <c r="Y2430" s="36"/>
      <c r="Z2430" s="36"/>
      <c r="AA2430" s="36"/>
      <c r="AB2430" s="36"/>
      <c r="AC2430" s="36"/>
      <c r="AD2430" s="36"/>
      <c r="AE2430" s="36"/>
      <c r="AF2430" s="36"/>
      <c r="AG2430" s="36"/>
      <c r="AH2430" s="36"/>
      <c r="AI2430" s="36"/>
      <c r="AJ2430" s="36"/>
      <c r="AK2430" s="36"/>
      <c r="AL2430" s="36"/>
      <c r="AM2430" s="36"/>
      <c r="AN2430" s="36"/>
      <c r="AO2430" s="36"/>
      <c r="AP2430" s="36"/>
      <c r="AQ2430" s="36"/>
      <c r="AR2430" s="36"/>
      <c r="AS2430" s="36"/>
      <c r="AT2430" s="36"/>
      <c r="AU2430" s="36"/>
      <c r="AV2430" s="36"/>
      <c r="AW2430" s="36"/>
    </row>
    <row r="2431" spans="1:49" s="28" customFormat="1" ht="15" x14ac:dyDescent="0.25">
      <c r="A2431" s="36"/>
      <c r="B2431" s="36"/>
      <c r="C2431" s="36"/>
      <c r="D2431" s="36"/>
      <c r="E2431" s="36"/>
      <c r="F2431" s="36"/>
      <c r="G2431" s="36"/>
      <c r="H2431" s="36"/>
      <c r="I2431" s="36"/>
      <c r="J2431" s="36"/>
      <c r="K2431" s="36"/>
      <c r="L2431" s="36"/>
      <c r="M2431" s="36"/>
      <c r="N2431" s="36"/>
      <c r="O2431" s="36"/>
      <c r="P2431" s="36"/>
      <c r="Q2431" s="36"/>
      <c r="R2431" s="36"/>
      <c r="S2431" s="36"/>
      <c r="T2431" s="36"/>
      <c r="U2431" s="36"/>
      <c r="V2431" s="36"/>
      <c r="W2431" s="36"/>
      <c r="X2431" s="36"/>
      <c r="Y2431" s="36"/>
      <c r="Z2431" s="36"/>
      <c r="AA2431" s="36"/>
      <c r="AB2431" s="36"/>
      <c r="AC2431" s="36"/>
      <c r="AD2431" s="36"/>
      <c r="AE2431" s="36"/>
      <c r="AF2431" s="36"/>
      <c r="AG2431" s="36"/>
      <c r="AH2431" s="36"/>
      <c r="AI2431" s="36"/>
      <c r="AJ2431" s="36"/>
      <c r="AK2431" s="36"/>
      <c r="AL2431" s="36"/>
      <c r="AM2431" s="36"/>
      <c r="AN2431" s="36"/>
      <c r="AO2431" s="36"/>
      <c r="AP2431" s="36"/>
      <c r="AQ2431" s="36"/>
      <c r="AR2431" s="36"/>
      <c r="AS2431" s="36"/>
      <c r="AT2431" s="36"/>
      <c r="AU2431" s="36"/>
      <c r="AV2431" s="36"/>
      <c r="AW2431" s="36"/>
    </row>
    <row r="2432" spans="1:49" s="28" customFormat="1" ht="15" x14ac:dyDescent="0.25">
      <c r="A2432" s="36"/>
      <c r="B2432" s="36"/>
      <c r="C2432" s="36"/>
      <c r="D2432" s="36"/>
      <c r="E2432" s="36"/>
      <c r="F2432" s="36"/>
      <c r="G2432" s="36"/>
      <c r="H2432" s="36"/>
      <c r="I2432" s="36"/>
      <c r="J2432" s="36"/>
      <c r="K2432" s="36"/>
      <c r="L2432" s="36"/>
      <c r="M2432" s="36"/>
      <c r="N2432" s="36"/>
      <c r="O2432" s="36"/>
      <c r="P2432" s="36"/>
      <c r="Q2432" s="36"/>
      <c r="R2432" s="36"/>
      <c r="S2432" s="36"/>
      <c r="T2432" s="36"/>
      <c r="U2432" s="36"/>
      <c r="V2432" s="36"/>
      <c r="W2432" s="36"/>
      <c r="X2432" s="36"/>
      <c r="Y2432" s="36"/>
      <c r="Z2432" s="36"/>
      <c r="AA2432" s="36"/>
      <c r="AB2432" s="36"/>
      <c r="AC2432" s="36"/>
      <c r="AD2432" s="36"/>
      <c r="AE2432" s="36"/>
      <c r="AF2432" s="36"/>
      <c r="AG2432" s="36"/>
      <c r="AH2432" s="36"/>
      <c r="AI2432" s="36"/>
      <c r="AJ2432" s="36"/>
      <c r="AK2432" s="36"/>
      <c r="AL2432" s="36"/>
      <c r="AM2432" s="36"/>
      <c r="AN2432" s="36"/>
      <c r="AO2432" s="36"/>
      <c r="AP2432" s="36"/>
      <c r="AQ2432" s="36"/>
      <c r="AR2432" s="36"/>
      <c r="AS2432" s="36"/>
      <c r="AT2432" s="36"/>
      <c r="AU2432" s="36"/>
      <c r="AV2432" s="36"/>
      <c r="AW2432" s="36"/>
    </row>
    <row r="2433" spans="1:49" s="28" customFormat="1" ht="15" x14ac:dyDescent="0.25">
      <c r="A2433" s="36"/>
      <c r="B2433" s="36"/>
      <c r="C2433" s="36"/>
      <c r="D2433" s="36"/>
      <c r="E2433" s="36"/>
      <c r="F2433" s="36"/>
      <c r="G2433" s="36"/>
      <c r="H2433" s="36"/>
      <c r="I2433" s="36"/>
      <c r="J2433" s="36"/>
      <c r="K2433" s="36"/>
      <c r="L2433" s="36"/>
      <c r="M2433" s="36"/>
      <c r="N2433" s="36"/>
      <c r="O2433" s="36"/>
      <c r="P2433" s="36"/>
      <c r="Q2433" s="36"/>
      <c r="R2433" s="36"/>
      <c r="S2433" s="36"/>
      <c r="T2433" s="36"/>
      <c r="U2433" s="36"/>
      <c r="V2433" s="36"/>
      <c r="W2433" s="36"/>
      <c r="X2433" s="36"/>
      <c r="Y2433" s="36"/>
      <c r="Z2433" s="36"/>
      <c r="AA2433" s="36"/>
      <c r="AB2433" s="36"/>
      <c r="AC2433" s="36"/>
      <c r="AD2433" s="36"/>
      <c r="AE2433" s="36"/>
      <c r="AF2433" s="36"/>
      <c r="AG2433" s="36"/>
      <c r="AH2433" s="36"/>
      <c r="AI2433" s="36"/>
      <c r="AJ2433" s="36"/>
      <c r="AK2433" s="36"/>
      <c r="AL2433" s="36"/>
      <c r="AM2433" s="36"/>
      <c r="AN2433" s="36"/>
      <c r="AO2433" s="36"/>
      <c r="AP2433" s="36"/>
      <c r="AQ2433" s="36"/>
      <c r="AR2433" s="36"/>
      <c r="AS2433" s="36"/>
      <c r="AT2433" s="36"/>
      <c r="AU2433" s="36"/>
      <c r="AV2433" s="36"/>
      <c r="AW2433" s="36"/>
    </row>
    <row r="2434" spans="1:49" s="28" customFormat="1" ht="15" x14ac:dyDescent="0.25">
      <c r="A2434" s="36"/>
      <c r="B2434" s="36"/>
      <c r="C2434" s="36"/>
      <c r="D2434" s="36"/>
      <c r="E2434" s="36"/>
      <c r="F2434" s="36"/>
      <c r="G2434" s="36"/>
      <c r="H2434" s="36"/>
      <c r="I2434" s="36"/>
      <c r="J2434" s="36"/>
      <c r="K2434" s="36"/>
      <c r="L2434" s="36"/>
      <c r="M2434" s="36"/>
      <c r="N2434" s="36"/>
      <c r="O2434" s="36"/>
      <c r="P2434" s="36"/>
      <c r="Q2434" s="36"/>
      <c r="R2434" s="36"/>
      <c r="S2434" s="36"/>
      <c r="T2434" s="36"/>
      <c r="U2434" s="36"/>
      <c r="V2434" s="36"/>
      <c r="W2434" s="36"/>
      <c r="X2434" s="36"/>
      <c r="Y2434" s="36"/>
      <c r="Z2434" s="36"/>
      <c r="AA2434" s="36"/>
      <c r="AB2434" s="36"/>
      <c r="AC2434" s="36"/>
      <c r="AD2434" s="36"/>
      <c r="AE2434" s="36"/>
      <c r="AF2434" s="36"/>
      <c r="AG2434" s="36"/>
      <c r="AH2434" s="36"/>
      <c r="AI2434" s="36"/>
      <c r="AJ2434" s="36"/>
      <c r="AK2434" s="36"/>
      <c r="AL2434" s="36"/>
      <c r="AM2434" s="36"/>
      <c r="AN2434" s="36"/>
      <c r="AO2434" s="36"/>
      <c r="AP2434" s="36"/>
      <c r="AQ2434" s="36"/>
      <c r="AR2434" s="36"/>
      <c r="AS2434" s="36"/>
      <c r="AT2434" s="36"/>
      <c r="AU2434" s="36"/>
      <c r="AV2434" s="36"/>
      <c r="AW2434" s="36"/>
    </row>
    <row r="2435" spans="1:49" s="28" customFormat="1" ht="15" x14ac:dyDescent="0.25">
      <c r="A2435" s="36"/>
      <c r="B2435" s="36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M2435" s="36"/>
      <c r="N2435" s="36"/>
      <c r="O2435" s="36"/>
      <c r="P2435" s="36"/>
      <c r="Q2435" s="36"/>
      <c r="R2435" s="36"/>
      <c r="S2435" s="36"/>
      <c r="T2435" s="36"/>
      <c r="U2435" s="36"/>
      <c r="V2435" s="36"/>
      <c r="W2435" s="36"/>
      <c r="X2435" s="36"/>
      <c r="Y2435" s="36"/>
      <c r="Z2435" s="36"/>
      <c r="AA2435" s="36"/>
      <c r="AB2435" s="36"/>
      <c r="AC2435" s="36"/>
      <c r="AD2435" s="36"/>
      <c r="AE2435" s="36"/>
      <c r="AF2435" s="36"/>
      <c r="AG2435" s="36"/>
      <c r="AH2435" s="36"/>
      <c r="AI2435" s="36"/>
      <c r="AJ2435" s="36"/>
      <c r="AK2435" s="36"/>
      <c r="AL2435" s="36"/>
      <c r="AM2435" s="36"/>
      <c r="AN2435" s="36"/>
      <c r="AO2435" s="36"/>
      <c r="AP2435" s="36"/>
      <c r="AQ2435" s="36"/>
      <c r="AR2435" s="36"/>
      <c r="AS2435" s="36"/>
      <c r="AT2435" s="36"/>
      <c r="AU2435" s="36"/>
      <c r="AV2435" s="36"/>
      <c r="AW2435" s="36"/>
    </row>
    <row r="2436" spans="1:49" s="28" customFormat="1" ht="15" x14ac:dyDescent="0.25">
      <c r="A2436" s="36"/>
      <c r="B2436" s="36"/>
      <c r="C2436" s="36"/>
      <c r="D2436" s="36"/>
      <c r="E2436" s="36"/>
      <c r="F2436" s="36"/>
      <c r="G2436" s="36"/>
      <c r="H2436" s="36"/>
      <c r="I2436" s="36"/>
      <c r="J2436" s="36"/>
      <c r="K2436" s="36"/>
      <c r="L2436" s="36"/>
      <c r="M2436" s="36"/>
      <c r="N2436" s="36"/>
      <c r="O2436" s="36"/>
      <c r="P2436" s="36"/>
      <c r="Q2436" s="36"/>
      <c r="R2436" s="36"/>
      <c r="S2436" s="36"/>
      <c r="T2436" s="36"/>
      <c r="U2436" s="36"/>
      <c r="V2436" s="36"/>
      <c r="W2436" s="36"/>
      <c r="X2436" s="36"/>
      <c r="Y2436" s="36"/>
      <c r="Z2436" s="36"/>
      <c r="AA2436" s="36"/>
      <c r="AB2436" s="36"/>
      <c r="AC2436" s="36"/>
      <c r="AD2436" s="36"/>
      <c r="AE2436" s="36"/>
      <c r="AF2436" s="36"/>
      <c r="AG2436" s="36"/>
      <c r="AH2436" s="36"/>
      <c r="AI2436" s="36"/>
      <c r="AJ2436" s="36"/>
      <c r="AK2436" s="36"/>
      <c r="AL2436" s="36"/>
      <c r="AM2436" s="36"/>
      <c r="AN2436" s="36"/>
      <c r="AO2436" s="36"/>
      <c r="AP2436" s="36"/>
      <c r="AQ2436" s="36"/>
      <c r="AR2436" s="36"/>
      <c r="AS2436" s="36"/>
      <c r="AT2436" s="36"/>
      <c r="AU2436" s="36"/>
      <c r="AV2436" s="36"/>
      <c r="AW2436" s="36"/>
    </row>
    <row r="2437" spans="1:49" s="28" customFormat="1" ht="15" x14ac:dyDescent="0.25">
      <c r="A2437" s="36"/>
      <c r="B2437" s="36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  <c r="M2437" s="36"/>
      <c r="N2437" s="36"/>
      <c r="O2437" s="36"/>
      <c r="P2437" s="36"/>
      <c r="Q2437" s="36"/>
      <c r="R2437" s="36"/>
      <c r="S2437" s="36"/>
      <c r="T2437" s="36"/>
      <c r="U2437" s="36"/>
      <c r="V2437" s="36"/>
      <c r="W2437" s="36"/>
      <c r="X2437" s="36"/>
      <c r="Y2437" s="36"/>
      <c r="Z2437" s="36"/>
      <c r="AA2437" s="36"/>
      <c r="AB2437" s="36"/>
      <c r="AC2437" s="36"/>
      <c r="AD2437" s="36"/>
      <c r="AE2437" s="36"/>
      <c r="AF2437" s="36"/>
      <c r="AG2437" s="36"/>
      <c r="AH2437" s="36"/>
      <c r="AI2437" s="36"/>
      <c r="AJ2437" s="36"/>
      <c r="AK2437" s="36"/>
      <c r="AL2437" s="36"/>
      <c r="AM2437" s="36"/>
      <c r="AN2437" s="36"/>
      <c r="AO2437" s="36"/>
      <c r="AP2437" s="36"/>
      <c r="AQ2437" s="36"/>
      <c r="AR2437" s="36"/>
      <c r="AS2437" s="36"/>
      <c r="AT2437" s="36"/>
      <c r="AU2437" s="36"/>
      <c r="AV2437" s="36"/>
      <c r="AW2437" s="36"/>
    </row>
    <row r="2438" spans="1:49" s="28" customFormat="1" ht="15" x14ac:dyDescent="0.25">
      <c r="A2438" s="36"/>
      <c r="B2438" s="36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  <c r="M2438" s="36"/>
      <c r="N2438" s="36"/>
      <c r="O2438" s="36"/>
      <c r="P2438" s="36"/>
      <c r="Q2438" s="36"/>
      <c r="R2438" s="36"/>
      <c r="S2438" s="36"/>
      <c r="T2438" s="36"/>
      <c r="U2438" s="36"/>
      <c r="V2438" s="36"/>
      <c r="W2438" s="36"/>
      <c r="X2438" s="36"/>
      <c r="Y2438" s="36"/>
      <c r="Z2438" s="36"/>
      <c r="AA2438" s="36"/>
      <c r="AB2438" s="36"/>
      <c r="AC2438" s="36"/>
      <c r="AD2438" s="36"/>
      <c r="AE2438" s="36"/>
      <c r="AF2438" s="36"/>
      <c r="AG2438" s="36"/>
      <c r="AH2438" s="36"/>
      <c r="AI2438" s="36"/>
      <c r="AJ2438" s="36"/>
      <c r="AK2438" s="36"/>
      <c r="AL2438" s="36"/>
      <c r="AM2438" s="36"/>
      <c r="AN2438" s="36"/>
      <c r="AO2438" s="36"/>
      <c r="AP2438" s="36"/>
      <c r="AQ2438" s="36"/>
      <c r="AR2438" s="36"/>
      <c r="AS2438" s="36"/>
      <c r="AT2438" s="36"/>
      <c r="AU2438" s="36"/>
      <c r="AV2438" s="36"/>
      <c r="AW2438" s="36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46">
    <cfRule type="cellIs" dxfId="13" priority="14" operator="equal">
      <formula>"NO"</formula>
    </cfRule>
  </conditionalFormatting>
  <conditionalFormatting sqref="E25:F36 E38:F46 E2:F23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66">
    <cfRule type="cellIs" dxfId="11" priority="12" operator="equal">
      <formula>"NO"</formula>
    </cfRule>
  </conditionalFormatting>
  <conditionalFormatting sqref="E401:F466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64">
    <cfRule type="cellIs" dxfId="9" priority="10" operator="equal">
      <formula>"NO"</formula>
    </cfRule>
  </conditionalFormatting>
  <conditionalFormatting sqref="E801:F802 E807:F808 E823:F823 E828:F828 E830:F830 E811:F815 E833:F864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65">
    <cfRule type="cellIs" dxfId="7" priority="8" operator="equal">
      <formula>"NO"</formula>
    </cfRule>
  </conditionalFormatting>
  <conditionalFormatting sqref="E1200:F1265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64">
    <cfRule type="cellIs" dxfId="5" priority="6" operator="equal">
      <formula>"NO"</formula>
    </cfRule>
  </conditionalFormatting>
  <conditionalFormatting sqref="E1599:F1664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46">
    <cfRule type="cellIs" dxfId="3" priority="4" operator="equal">
      <formula>"NO"</formula>
    </cfRule>
  </conditionalFormatting>
  <conditionalFormatting sqref="E1998:F2046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38">
    <cfRule type="cellIs" dxfId="1" priority="2" operator="equal">
      <formula>"NO"</formula>
    </cfRule>
  </conditionalFormatting>
  <conditionalFormatting sqref="E2397:F2438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6" si="0">IF(N2="PRG","",IF(I2&gt;=E2,IF(I2&lt;=F2,"","NO"),"NO"))</f>
        <v/>
      </c>
    </row>
    <row r="3" spans="1:49" s="26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5.1" customHeight="1" x14ac:dyDescent="0.25">
      <c r="A4" s="9" t="s">
        <v>56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57</v>
      </c>
      <c r="I4" s="13" t="s">
        <v>58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17" customFormat="1" ht="35.1" customHeight="1" x14ac:dyDescent="0.25">
      <c r="A5" s="18" t="s">
        <v>44</v>
      </c>
      <c r="B5" s="19">
        <v>46062</v>
      </c>
      <c r="C5" s="19">
        <v>46062</v>
      </c>
      <c r="D5" s="18" t="s">
        <v>30</v>
      </c>
      <c r="E5" s="20">
        <v>0.25</v>
      </c>
      <c r="F5" s="20">
        <v>0.99930555555555556</v>
      </c>
      <c r="G5" s="20">
        <v>3.4722222222222218E-4</v>
      </c>
      <c r="H5" s="18" t="s">
        <v>45</v>
      </c>
      <c r="I5" s="21">
        <v>0.30692129629629628</v>
      </c>
      <c r="J5" s="18" t="s">
        <v>41</v>
      </c>
      <c r="K5" s="18" t="s">
        <v>56</v>
      </c>
      <c r="L5" s="22">
        <v>1</v>
      </c>
      <c r="M5" s="22">
        <v>70964</v>
      </c>
      <c r="N5" s="18" t="s">
        <v>46</v>
      </c>
      <c r="O5" s="22" t="str">
        <f>AC5</f>
        <v>SFO</v>
      </c>
      <c r="P5" s="23">
        <v>0</v>
      </c>
      <c r="Q5" s="22"/>
      <c r="R5" s="23">
        <v>0</v>
      </c>
      <c r="S5" s="24">
        <v>46054</v>
      </c>
      <c r="T5" s="23">
        <v>0</v>
      </c>
      <c r="U5" s="25">
        <v>4</v>
      </c>
      <c r="V5" s="23">
        <v>0</v>
      </c>
      <c r="W5" s="18" t="s">
        <v>47</v>
      </c>
      <c r="X5" s="18" t="s">
        <v>48</v>
      </c>
      <c r="Y5" s="18" t="s">
        <v>36</v>
      </c>
      <c r="Z5" s="18" t="s">
        <v>9</v>
      </c>
      <c r="AA5" s="18" t="s">
        <v>49</v>
      </c>
      <c r="AB5" s="18" t="s">
        <v>50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9" t="s">
        <v>56</v>
      </c>
      <c r="B6" s="10">
        <v>46062</v>
      </c>
      <c r="C6" s="10">
        <v>46062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57</v>
      </c>
      <c r="I6" s="13" t="s">
        <v>58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26" customFormat="1" ht="35.1" customHeight="1" x14ac:dyDescent="0.25">
      <c r="A7" s="9" t="s">
        <v>59</v>
      </c>
      <c r="B7" s="10">
        <v>46062</v>
      </c>
      <c r="C7" s="10">
        <v>46062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17" customFormat="1" ht="35.1" customHeight="1" x14ac:dyDescent="0.25">
      <c r="A8" s="18" t="s">
        <v>44</v>
      </c>
      <c r="B8" s="19">
        <v>46062</v>
      </c>
      <c r="C8" s="19">
        <v>46062</v>
      </c>
      <c r="D8" s="18" t="s">
        <v>30</v>
      </c>
      <c r="E8" s="20">
        <v>0.33333333333333331</v>
      </c>
      <c r="F8" s="20">
        <v>0.41666666666666669</v>
      </c>
      <c r="G8" s="20">
        <v>3.4722222222222218E-4</v>
      </c>
      <c r="H8" s="18" t="s">
        <v>62</v>
      </c>
      <c r="I8" s="21">
        <v>0.34923611111111108</v>
      </c>
      <c r="J8" s="18" t="s">
        <v>61</v>
      </c>
      <c r="K8" s="18" t="s">
        <v>60</v>
      </c>
      <c r="L8" s="22">
        <v>1</v>
      </c>
      <c r="M8" s="22">
        <v>70970</v>
      </c>
      <c r="N8" s="18" t="s">
        <v>53</v>
      </c>
      <c r="O8" s="22" t="str">
        <f>AC8</f>
        <v>SFO</v>
      </c>
      <c r="P8" s="23">
        <v>117.65</v>
      </c>
      <c r="Q8" s="22"/>
      <c r="R8" s="23">
        <v>117.65</v>
      </c>
      <c r="S8" s="24">
        <v>46054</v>
      </c>
      <c r="T8" s="23">
        <v>8.8237500000000004</v>
      </c>
      <c r="U8" s="25">
        <v>4</v>
      </c>
      <c r="V8" s="23">
        <v>108.82625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5.1" customHeight="1" x14ac:dyDescent="0.25">
      <c r="A9" s="9" t="s">
        <v>59</v>
      </c>
      <c r="B9" s="10">
        <v>46062</v>
      </c>
      <c r="C9" s="10">
        <v>46062</v>
      </c>
      <c r="D9" s="11" t="s">
        <v>30</v>
      </c>
      <c r="E9" s="12">
        <v>0.375</v>
      </c>
      <c r="F9" s="12">
        <v>0.41666666666666669</v>
      </c>
      <c r="G9" s="12">
        <v>4.1666666666666664E-2</v>
      </c>
      <c r="H9" s="9" t="s">
        <v>63</v>
      </c>
      <c r="I9" s="13"/>
      <c r="J9" s="9" t="s">
        <v>61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6" customFormat="1" ht="35.1" customHeight="1" x14ac:dyDescent="0.25">
      <c r="A10" s="9" t="s">
        <v>64</v>
      </c>
      <c r="B10" s="10">
        <v>46062</v>
      </c>
      <c r="C10" s="10">
        <v>46062</v>
      </c>
      <c r="D10" s="11" t="s">
        <v>30</v>
      </c>
      <c r="E10" s="12">
        <v>0.41666666666666669</v>
      </c>
      <c r="F10" s="12">
        <v>0.45833333333333331</v>
      </c>
      <c r="G10" s="12">
        <v>4.1666666666666664E-2</v>
      </c>
      <c r="H10" s="9" t="s">
        <v>65</v>
      </c>
      <c r="I10" s="13"/>
      <c r="J10" s="9" t="s">
        <v>66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6" customFormat="1" ht="35.1" customHeight="1" x14ac:dyDescent="0.25">
      <c r="A11" s="18" t="s">
        <v>64</v>
      </c>
      <c r="B11" s="19">
        <v>46062</v>
      </c>
      <c r="C11" s="19">
        <v>46062</v>
      </c>
      <c r="D11" s="18" t="s">
        <v>30</v>
      </c>
      <c r="E11" s="20">
        <v>0.41666666666666669</v>
      </c>
      <c r="F11" s="20">
        <v>0.45833333333333331</v>
      </c>
      <c r="G11" s="20">
        <v>3.4722222222222224E-4</v>
      </c>
      <c r="H11" s="18" t="s">
        <v>67</v>
      </c>
      <c r="I11" s="21">
        <v>0.42231481481481481</v>
      </c>
      <c r="J11" s="18" t="s">
        <v>66</v>
      </c>
      <c r="K11" s="18" t="s">
        <v>64</v>
      </c>
      <c r="L11" s="22">
        <v>1</v>
      </c>
      <c r="M11" s="22">
        <v>3</v>
      </c>
      <c r="N11" s="18" t="s">
        <v>53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68</v>
      </c>
      <c r="AA11" s="18" t="s">
        <v>49</v>
      </c>
      <c r="AB11" s="18">
        <v>1109</v>
      </c>
      <c r="AC11" s="18" t="s">
        <v>38</v>
      </c>
      <c r="AD11" s="7" t="str">
        <f>IF(N11="PRG","",IF(I11&gt;=E11,IF(I11&lt;=F11,"","NO"),"NO"))</f>
        <v/>
      </c>
    </row>
    <row r="12" spans="1:49" s="26" customFormat="1" ht="35.1" customHeight="1" x14ac:dyDescent="0.25">
      <c r="A12" s="18" t="s">
        <v>64</v>
      </c>
      <c r="B12" s="19">
        <v>46062</v>
      </c>
      <c r="C12" s="19">
        <v>46062</v>
      </c>
      <c r="D12" s="18" t="s">
        <v>30</v>
      </c>
      <c r="E12" s="20">
        <v>0.41666666666666669</v>
      </c>
      <c r="F12" s="20">
        <v>0.45833333333333331</v>
      </c>
      <c r="G12" s="20">
        <v>3.4722222222222224E-4</v>
      </c>
      <c r="H12" s="18" t="s">
        <v>69</v>
      </c>
      <c r="I12" s="21">
        <v>0.42266203703703703</v>
      </c>
      <c r="J12" s="18" t="s">
        <v>66</v>
      </c>
      <c r="K12" s="18" t="s">
        <v>64</v>
      </c>
      <c r="L12" s="22">
        <v>1</v>
      </c>
      <c r="M12" s="22">
        <v>3</v>
      </c>
      <c r="N12" s="18" t="s">
        <v>53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68</v>
      </c>
      <c r="AA12" s="18" t="s">
        <v>49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6" customFormat="1" ht="35.1" customHeight="1" x14ac:dyDescent="0.25">
      <c r="A13" s="18" t="s">
        <v>64</v>
      </c>
      <c r="B13" s="19">
        <v>46062</v>
      </c>
      <c r="C13" s="19">
        <v>46062</v>
      </c>
      <c r="D13" s="18" t="s">
        <v>30</v>
      </c>
      <c r="E13" s="20">
        <v>0.41666666666666669</v>
      </c>
      <c r="F13" s="20">
        <v>0.45833333333333331</v>
      </c>
      <c r="G13" s="20">
        <v>3.4722222222222224E-4</v>
      </c>
      <c r="H13" s="18" t="s">
        <v>70</v>
      </c>
      <c r="I13" s="21">
        <v>0.42300925925925931</v>
      </c>
      <c r="J13" s="18" t="s">
        <v>66</v>
      </c>
      <c r="K13" s="18" t="s">
        <v>64</v>
      </c>
      <c r="L13" s="22">
        <v>1</v>
      </c>
      <c r="M13" s="22">
        <v>3</v>
      </c>
      <c r="N13" s="18" t="s">
        <v>53</v>
      </c>
      <c r="O13" s="22"/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34</v>
      </c>
      <c r="X13" s="18" t="s">
        <v>35</v>
      </c>
      <c r="Y13" s="18" t="s">
        <v>36</v>
      </c>
      <c r="Z13" s="18" t="s">
        <v>68</v>
      </c>
      <c r="AA13" s="18" t="s">
        <v>49</v>
      </c>
      <c r="AB13" s="18">
        <v>1109</v>
      </c>
      <c r="AC13" s="18" t="s">
        <v>38</v>
      </c>
      <c r="AD13" s="7" t="str">
        <f>IF(N13="PRG","",IF(I13&gt;=E13,IF(I13&lt;=F13,"","NO"),"NO"))</f>
        <v/>
      </c>
    </row>
    <row r="14" spans="1:49" s="32" customFormat="1" ht="35.1" customHeight="1" x14ac:dyDescent="0.25">
      <c r="A14" s="9" t="s">
        <v>71</v>
      </c>
      <c r="B14" s="10">
        <v>46062</v>
      </c>
      <c r="C14" s="10">
        <v>46062</v>
      </c>
      <c r="D14" s="11" t="s">
        <v>30</v>
      </c>
      <c r="E14" s="12">
        <v>0.45833333333333331</v>
      </c>
      <c r="F14" s="12">
        <v>0.47916666666666669</v>
      </c>
      <c r="G14" s="12">
        <v>2.0833333333333332E-2</v>
      </c>
      <c r="H14" s="9" t="s">
        <v>72</v>
      </c>
      <c r="I14" s="13" t="s">
        <v>73</v>
      </c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18" t="s">
        <v>74</v>
      </c>
      <c r="B15" s="19">
        <v>46062</v>
      </c>
      <c r="C15" s="19">
        <v>46062</v>
      </c>
      <c r="D15" s="18" t="s">
        <v>30</v>
      </c>
      <c r="E15" s="20">
        <v>0.45833333333333331</v>
      </c>
      <c r="F15" s="20">
        <v>0.5</v>
      </c>
      <c r="G15" s="20">
        <v>3.4722222222222218E-4</v>
      </c>
      <c r="H15" s="18" t="s">
        <v>75</v>
      </c>
      <c r="I15" s="21">
        <v>0.46606481481481482</v>
      </c>
      <c r="J15" s="18" t="s">
        <v>76</v>
      </c>
      <c r="K15" s="18" t="s">
        <v>72</v>
      </c>
      <c r="L15" s="22">
        <v>1</v>
      </c>
      <c r="M15" s="22">
        <v>71446</v>
      </c>
      <c r="N15" s="18" t="s">
        <v>53</v>
      </c>
      <c r="O15" s="22" t="s">
        <v>77</v>
      </c>
      <c r="P15" s="23">
        <v>94.117647058823522</v>
      </c>
      <c r="Q15" s="22"/>
      <c r="R15" s="23">
        <v>94.117647058823522</v>
      </c>
      <c r="S15" s="24">
        <v>46062</v>
      </c>
      <c r="T15" s="23">
        <v>14.117647058823527</v>
      </c>
      <c r="U15" s="25">
        <v>4</v>
      </c>
      <c r="V15" s="23">
        <v>80</v>
      </c>
      <c r="W15" s="18" t="s">
        <v>47</v>
      </c>
      <c r="X15" s="18" t="s">
        <v>48</v>
      </c>
      <c r="Y15" s="18" t="s">
        <v>78</v>
      </c>
      <c r="Z15" s="18" t="s">
        <v>9</v>
      </c>
      <c r="AA15" s="18" t="s">
        <v>49</v>
      </c>
      <c r="AB15" s="18" t="s">
        <v>79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5.1" customHeight="1" x14ac:dyDescent="0.25">
      <c r="A16" s="18" t="s">
        <v>80</v>
      </c>
      <c r="B16" s="19">
        <v>46062</v>
      </c>
      <c r="C16" s="19">
        <v>46062</v>
      </c>
      <c r="D16" s="18" t="s">
        <v>30</v>
      </c>
      <c r="E16" s="20">
        <v>0.45833333333333331</v>
      </c>
      <c r="F16" s="20">
        <v>0.47916666666666669</v>
      </c>
      <c r="G16" s="20">
        <v>1.7361111111111109E-4</v>
      </c>
      <c r="H16" s="18" t="s">
        <v>81</v>
      </c>
      <c r="I16" s="21">
        <v>0.47753472222222221</v>
      </c>
      <c r="J16" s="18" t="s">
        <v>76</v>
      </c>
      <c r="K16" s="18" t="s">
        <v>72</v>
      </c>
      <c r="L16" s="22">
        <v>1</v>
      </c>
      <c r="M16" s="22">
        <v>71172</v>
      </c>
      <c r="N16" s="18" t="s">
        <v>53</v>
      </c>
      <c r="O16" s="22" t="s">
        <v>82</v>
      </c>
      <c r="P16" s="23">
        <v>70</v>
      </c>
      <c r="Q16" s="22"/>
      <c r="R16" s="23">
        <v>70</v>
      </c>
      <c r="S16" s="24">
        <v>46062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78</v>
      </c>
      <c r="Z16" s="18" t="s">
        <v>9</v>
      </c>
      <c r="AA16" s="18" t="s">
        <v>49</v>
      </c>
      <c r="AB16" s="18" t="s">
        <v>83</v>
      </c>
      <c r="AC16" s="18" t="s">
        <v>38</v>
      </c>
      <c r="AD16" s="7" t="str">
        <f t="shared" si="0"/>
        <v/>
      </c>
      <c r="AE16" s="29"/>
      <c r="AF16" s="29"/>
      <c r="AG16" s="29"/>
      <c r="AH16" s="29"/>
    </row>
    <row r="17" spans="1:49" s="32" customFormat="1" ht="35.1" customHeight="1" x14ac:dyDescent="0.25">
      <c r="A17" s="9" t="s">
        <v>71</v>
      </c>
      <c r="B17" s="10">
        <v>46062</v>
      </c>
      <c r="C17" s="10">
        <v>46062</v>
      </c>
      <c r="D17" s="11" t="s">
        <v>30</v>
      </c>
      <c r="E17" s="12">
        <v>0.47916666666666669</v>
      </c>
      <c r="F17" s="12">
        <v>0.5</v>
      </c>
      <c r="G17" s="12">
        <v>2.0833333333333332E-2</v>
      </c>
      <c r="H17" s="9" t="s">
        <v>85</v>
      </c>
      <c r="I17" s="13"/>
      <c r="J17" s="9" t="s">
        <v>76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74</v>
      </c>
      <c r="B18" s="19">
        <v>46062</v>
      </c>
      <c r="C18" s="19">
        <v>46062</v>
      </c>
      <c r="D18" s="18" t="s">
        <v>30</v>
      </c>
      <c r="E18" s="20">
        <v>0.45833333333333331</v>
      </c>
      <c r="F18" s="20">
        <v>0.5</v>
      </c>
      <c r="G18" s="20">
        <v>3.4722222222222218E-4</v>
      </c>
      <c r="H18" s="18" t="s">
        <v>84</v>
      </c>
      <c r="I18" s="21">
        <v>0.48586805555555557</v>
      </c>
      <c r="J18" s="18" t="s">
        <v>76</v>
      </c>
      <c r="K18" s="18" t="s">
        <v>128</v>
      </c>
      <c r="L18" s="22">
        <v>1</v>
      </c>
      <c r="M18" s="22">
        <v>71445</v>
      </c>
      <c r="N18" s="18" t="s">
        <v>53</v>
      </c>
      <c r="O18" s="22" t="s">
        <v>77</v>
      </c>
      <c r="P18" s="23">
        <v>94.117647058823522</v>
      </c>
      <c r="Q18" s="22"/>
      <c r="R18" s="23">
        <v>94.117647058823522</v>
      </c>
      <c r="S18" s="24">
        <v>46062</v>
      </c>
      <c r="T18" s="23">
        <v>14.117647058823527</v>
      </c>
      <c r="U18" s="25">
        <v>4</v>
      </c>
      <c r="V18" s="23">
        <v>80</v>
      </c>
      <c r="W18" s="18" t="s">
        <v>47</v>
      </c>
      <c r="X18" s="18" t="s">
        <v>48</v>
      </c>
      <c r="Y18" s="18" t="s">
        <v>78</v>
      </c>
      <c r="Z18" s="18" t="s">
        <v>9</v>
      </c>
      <c r="AA18" s="18" t="s">
        <v>49</v>
      </c>
      <c r="AB18" s="18" t="s">
        <v>79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80</v>
      </c>
      <c r="B19" s="19">
        <v>46062</v>
      </c>
      <c r="C19" s="19">
        <v>46062</v>
      </c>
      <c r="D19" s="18" t="s">
        <v>30</v>
      </c>
      <c r="E19" s="20">
        <v>0.47916666666666669</v>
      </c>
      <c r="F19" s="20">
        <v>0.5</v>
      </c>
      <c r="G19" s="20">
        <v>1.7361111111111109E-4</v>
      </c>
      <c r="H19" s="18" t="s">
        <v>86</v>
      </c>
      <c r="I19" s="21">
        <v>0.4911226851851852</v>
      </c>
      <c r="J19" s="18" t="s">
        <v>76</v>
      </c>
      <c r="K19" s="18" t="s">
        <v>128</v>
      </c>
      <c r="L19" s="22">
        <v>1</v>
      </c>
      <c r="M19" s="22">
        <v>71175</v>
      </c>
      <c r="N19" s="18" t="s">
        <v>53</v>
      </c>
      <c r="O19" s="22" t="s">
        <v>82</v>
      </c>
      <c r="P19" s="23">
        <v>70</v>
      </c>
      <c r="Q19" s="22"/>
      <c r="R19" s="23">
        <v>70</v>
      </c>
      <c r="S19" s="24">
        <v>46062</v>
      </c>
      <c r="T19" s="23">
        <v>10.5</v>
      </c>
      <c r="U19" s="25">
        <v>4</v>
      </c>
      <c r="V19" s="23">
        <v>59.5</v>
      </c>
      <c r="W19" s="18" t="s">
        <v>47</v>
      </c>
      <c r="X19" s="18" t="s">
        <v>48</v>
      </c>
      <c r="Y19" s="18" t="s">
        <v>78</v>
      </c>
      <c r="Z19" s="18" t="s">
        <v>9</v>
      </c>
      <c r="AA19" s="18" t="s">
        <v>49</v>
      </c>
      <c r="AB19" s="18" t="s">
        <v>83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80</v>
      </c>
      <c r="B20" s="19">
        <v>46062</v>
      </c>
      <c r="C20" s="19">
        <v>46062</v>
      </c>
      <c r="D20" s="18" t="s">
        <v>30</v>
      </c>
      <c r="E20" s="20">
        <v>0.47916666666666669</v>
      </c>
      <c r="F20" s="20">
        <v>0.5</v>
      </c>
      <c r="G20" s="20">
        <v>1.7361111111111109E-4</v>
      </c>
      <c r="H20" s="18" t="s">
        <v>86</v>
      </c>
      <c r="I20" s="21">
        <v>0.49755787037037036</v>
      </c>
      <c r="J20" s="18" t="s">
        <v>76</v>
      </c>
      <c r="K20" s="18" t="s">
        <v>128</v>
      </c>
      <c r="L20" s="22">
        <v>1</v>
      </c>
      <c r="M20" s="22">
        <v>71175</v>
      </c>
      <c r="N20" s="18" t="s">
        <v>53</v>
      </c>
      <c r="O20" s="22" t="s">
        <v>82</v>
      </c>
      <c r="P20" s="23">
        <v>70</v>
      </c>
      <c r="Q20" s="22"/>
      <c r="R20" s="23">
        <v>70</v>
      </c>
      <c r="S20" s="24">
        <v>46062</v>
      </c>
      <c r="T20" s="23">
        <v>10.5</v>
      </c>
      <c r="U20" s="25">
        <v>4</v>
      </c>
      <c r="V20" s="23">
        <v>59.5</v>
      </c>
      <c r="W20" s="18" t="s">
        <v>47</v>
      </c>
      <c r="X20" s="18" t="s">
        <v>48</v>
      </c>
      <c r="Y20" s="18" t="s">
        <v>78</v>
      </c>
      <c r="Z20" s="18" t="s">
        <v>9</v>
      </c>
      <c r="AA20" s="18" t="s">
        <v>49</v>
      </c>
      <c r="AB20" s="18" t="s">
        <v>83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87</v>
      </c>
      <c r="B21" s="10">
        <v>46062</v>
      </c>
      <c r="C21" s="10">
        <v>46062</v>
      </c>
      <c r="D21" s="11" t="s">
        <v>30</v>
      </c>
      <c r="E21" s="12">
        <v>0.5</v>
      </c>
      <c r="F21" s="12">
        <v>0.54166666666666663</v>
      </c>
      <c r="G21" s="12">
        <v>4.1666666666666664E-2</v>
      </c>
      <c r="H21" s="9" t="s">
        <v>88</v>
      </c>
      <c r="I21" s="13"/>
      <c r="J21" s="9" t="s">
        <v>76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89</v>
      </c>
      <c r="B22" s="19">
        <v>46062</v>
      </c>
      <c r="C22" s="19">
        <v>46062</v>
      </c>
      <c r="D22" s="18" t="s">
        <v>30</v>
      </c>
      <c r="E22" s="20">
        <v>0.5</v>
      </c>
      <c r="F22" s="20">
        <v>0.54166666666666663</v>
      </c>
      <c r="G22" s="20">
        <v>3.4722222222222218E-4</v>
      </c>
      <c r="H22" s="18" t="s">
        <v>90</v>
      </c>
      <c r="I22" s="21">
        <v>0.52702546296296293</v>
      </c>
      <c r="J22" s="18" t="s">
        <v>76</v>
      </c>
      <c r="K22" s="18" t="s">
        <v>129</v>
      </c>
      <c r="L22" s="22">
        <v>1</v>
      </c>
      <c r="M22" s="22">
        <v>70398</v>
      </c>
      <c r="N22" s="18" t="s">
        <v>53</v>
      </c>
      <c r="O22" s="22" t="s">
        <v>91</v>
      </c>
      <c r="P22" s="23">
        <v>120</v>
      </c>
      <c r="Q22" s="22"/>
      <c r="R22" s="23">
        <v>120</v>
      </c>
      <c r="S22" s="24">
        <v>46054</v>
      </c>
      <c r="T22" s="23">
        <v>18</v>
      </c>
      <c r="U22" s="25">
        <v>4</v>
      </c>
      <c r="V22" s="23">
        <v>102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92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5.1" customHeight="1" x14ac:dyDescent="0.25">
      <c r="A23" s="18" t="s">
        <v>80</v>
      </c>
      <c r="B23" s="19">
        <v>46062</v>
      </c>
      <c r="C23" s="19">
        <v>46062</v>
      </c>
      <c r="D23" s="18" t="s">
        <v>30</v>
      </c>
      <c r="E23" s="20">
        <v>0.5</v>
      </c>
      <c r="F23" s="20">
        <v>0.54166666666666663</v>
      </c>
      <c r="G23" s="20">
        <v>1.7361111111111109E-4</v>
      </c>
      <c r="H23" s="18" t="s">
        <v>93</v>
      </c>
      <c r="I23" s="21">
        <v>0.52737268518518521</v>
      </c>
      <c r="J23" s="18" t="s">
        <v>76</v>
      </c>
      <c r="K23" s="18" t="s">
        <v>129</v>
      </c>
      <c r="L23" s="22">
        <v>1</v>
      </c>
      <c r="M23" s="22">
        <v>71188</v>
      </c>
      <c r="N23" s="18" t="s">
        <v>53</v>
      </c>
      <c r="O23" s="22" t="s">
        <v>82</v>
      </c>
      <c r="P23" s="23">
        <v>70</v>
      </c>
      <c r="Q23" s="22"/>
      <c r="R23" s="23">
        <v>70</v>
      </c>
      <c r="S23" s="24">
        <v>46062</v>
      </c>
      <c r="T23" s="23">
        <v>10.5</v>
      </c>
      <c r="U23" s="25">
        <v>4</v>
      </c>
      <c r="V23" s="23">
        <v>59.5</v>
      </c>
      <c r="W23" s="18" t="s">
        <v>47</v>
      </c>
      <c r="X23" s="18" t="s">
        <v>48</v>
      </c>
      <c r="Y23" s="18" t="s">
        <v>78</v>
      </c>
      <c r="Z23" s="18" t="s">
        <v>9</v>
      </c>
      <c r="AA23" s="18" t="s">
        <v>49</v>
      </c>
      <c r="AB23" s="18" t="s">
        <v>83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">
      <c r="A24" s="18" t="s">
        <v>80</v>
      </c>
      <c r="B24" s="19">
        <v>46062</v>
      </c>
      <c r="C24" s="19">
        <v>46062</v>
      </c>
      <c r="D24" s="18" t="s">
        <v>30</v>
      </c>
      <c r="E24" s="20">
        <v>0.5</v>
      </c>
      <c r="F24" s="20">
        <v>0.54166666666666663</v>
      </c>
      <c r="G24" s="20">
        <v>1.7361111111111109E-4</v>
      </c>
      <c r="H24" s="18" t="s">
        <v>93</v>
      </c>
      <c r="I24" s="21">
        <v>0.54091435185185188</v>
      </c>
      <c r="J24" s="18" t="s">
        <v>76</v>
      </c>
      <c r="K24" s="18" t="s">
        <v>129</v>
      </c>
      <c r="L24" s="22">
        <v>1</v>
      </c>
      <c r="M24" s="22">
        <v>71188</v>
      </c>
      <c r="N24" s="18" t="s">
        <v>53</v>
      </c>
      <c r="O24" s="22" t="s">
        <v>82</v>
      </c>
      <c r="P24" s="23">
        <v>70</v>
      </c>
      <c r="Q24" s="22"/>
      <c r="R24" s="23">
        <v>70</v>
      </c>
      <c r="S24" s="24">
        <v>46062</v>
      </c>
      <c r="T24" s="23">
        <v>10.5</v>
      </c>
      <c r="U24" s="25">
        <v>4</v>
      </c>
      <c r="V24" s="23">
        <v>59.5</v>
      </c>
      <c r="W24" s="18" t="s">
        <v>47</v>
      </c>
      <c r="X24" s="18" t="s">
        <v>48</v>
      </c>
      <c r="Y24" s="18" t="s">
        <v>78</v>
      </c>
      <c r="Z24" s="18" t="s">
        <v>9</v>
      </c>
      <c r="AA24" s="18" t="s">
        <v>49</v>
      </c>
      <c r="AB24" s="18" t="s">
        <v>83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94</v>
      </c>
      <c r="B25" s="10">
        <v>46062</v>
      </c>
      <c r="C25" s="10">
        <v>46062</v>
      </c>
      <c r="D25" s="11" t="s">
        <v>30</v>
      </c>
      <c r="E25" s="12">
        <v>0.54166666666666663</v>
      </c>
      <c r="F25" s="12">
        <v>0.5625</v>
      </c>
      <c r="G25" s="12">
        <v>2.0833333333333332E-2</v>
      </c>
      <c r="H25" s="9" t="s">
        <v>95</v>
      </c>
      <c r="I25" s="13"/>
      <c r="J25" s="9" t="s">
        <v>96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94</v>
      </c>
      <c r="B26" s="10">
        <v>46062</v>
      </c>
      <c r="C26" s="10">
        <v>46062</v>
      </c>
      <c r="D26" s="11" t="s">
        <v>30</v>
      </c>
      <c r="E26" s="12">
        <v>0.5625</v>
      </c>
      <c r="F26" s="12">
        <v>0.58333333333333337</v>
      </c>
      <c r="G26" s="12">
        <v>2.0833333333333332E-2</v>
      </c>
      <c r="H26" s="9" t="s">
        <v>97</v>
      </c>
      <c r="I26" s="13"/>
      <c r="J26" s="9" t="s">
        <v>96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8" customFormat="1" ht="35.1" customHeight="1" x14ac:dyDescent="0.25">
      <c r="A27" s="9" t="s">
        <v>98</v>
      </c>
      <c r="B27" s="10">
        <v>46062</v>
      </c>
      <c r="C27" s="10">
        <v>46062</v>
      </c>
      <c r="D27" s="11" t="s">
        <v>30</v>
      </c>
      <c r="E27" s="12">
        <v>0.58333333333333337</v>
      </c>
      <c r="F27" s="12">
        <v>0.625</v>
      </c>
      <c r="G27" s="12">
        <v>4.1666666666666664E-2</v>
      </c>
      <c r="H27" s="9" t="s">
        <v>99</v>
      </c>
      <c r="I27" s="13"/>
      <c r="J27" s="9" t="s">
        <v>100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8" customFormat="1" ht="35.1" customHeight="1" x14ac:dyDescent="0.25">
      <c r="A28" s="9" t="s">
        <v>98</v>
      </c>
      <c r="B28" s="10">
        <v>46062</v>
      </c>
      <c r="C28" s="10">
        <v>46062</v>
      </c>
      <c r="D28" s="11" t="s">
        <v>30</v>
      </c>
      <c r="E28" s="12">
        <v>0.625</v>
      </c>
      <c r="F28" s="12">
        <v>0.64583333333333337</v>
      </c>
      <c r="G28" s="12">
        <v>2.0833333333333332E-2</v>
      </c>
      <c r="H28" s="9" t="s">
        <v>101</v>
      </c>
      <c r="I28" s="13"/>
      <c r="J28" s="9" t="s">
        <v>100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98</v>
      </c>
      <c r="B29" s="10">
        <v>46062</v>
      </c>
      <c r="C29" s="10">
        <v>46062</v>
      </c>
      <c r="D29" s="11" t="s">
        <v>30</v>
      </c>
      <c r="E29" s="12">
        <v>0.64583333333333337</v>
      </c>
      <c r="F29" s="12">
        <v>0.66666666666666663</v>
      </c>
      <c r="G29" s="12">
        <v>2.0833333333333332E-2</v>
      </c>
      <c r="H29" s="9" t="s">
        <v>102</v>
      </c>
      <c r="I29" s="13"/>
      <c r="J29" s="9" t="s">
        <v>100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103</v>
      </c>
      <c r="B30" s="10">
        <v>46062</v>
      </c>
      <c r="C30" s="10">
        <v>46062</v>
      </c>
      <c r="D30" s="11" t="s">
        <v>30</v>
      </c>
      <c r="E30" s="12">
        <v>0.66666666666666663</v>
      </c>
      <c r="F30" s="12">
        <v>0.6875</v>
      </c>
      <c r="G30" s="12">
        <v>2.0833333333333332E-2</v>
      </c>
      <c r="H30" s="9" t="s">
        <v>104</v>
      </c>
      <c r="I30" s="13"/>
      <c r="J30" s="9" t="s">
        <v>105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111</v>
      </c>
      <c r="B31" s="10">
        <v>46062</v>
      </c>
      <c r="C31" s="10">
        <v>46062</v>
      </c>
      <c r="D31" s="11" t="s">
        <v>30</v>
      </c>
      <c r="E31" s="12">
        <v>0.6875</v>
      </c>
      <c r="F31" s="12">
        <v>0.70833333333333337</v>
      </c>
      <c r="G31" s="12">
        <v>2.0833333333333332E-2</v>
      </c>
      <c r="H31" s="9" t="s">
        <v>112</v>
      </c>
      <c r="I31" s="13"/>
      <c r="J31" s="9" t="s">
        <v>105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103</v>
      </c>
      <c r="B32" s="10">
        <v>46062</v>
      </c>
      <c r="C32" s="10">
        <v>46062</v>
      </c>
      <c r="D32" s="11" t="s">
        <v>30</v>
      </c>
      <c r="E32" s="12">
        <v>0.70833333333333337</v>
      </c>
      <c r="F32" s="12">
        <v>0.75</v>
      </c>
      <c r="G32" s="12">
        <v>4.1666666666666664E-2</v>
      </c>
      <c r="H32" s="9" t="s">
        <v>113</v>
      </c>
      <c r="I32" s="13"/>
      <c r="J32" s="9" t="s">
        <v>105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5.1" customHeight="1" x14ac:dyDescent="0.25">
      <c r="A33" s="18" t="s">
        <v>74</v>
      </c>
      <c r="B33" s="19">
        <v>46062</v>
      </c>
      <c r="C33" s="19">
        <v>46062</v>
      </c>
      <c r="D33" s="18" t="s">
        <v>30</v>
      </c>
      <c r="E33" s="20">
        <v>0.66666666666666663</v>
      </c>
      <c r="F33" s="20">
        <v>0.79166666666666663</v>
      </c>
      <c r="G33" s="20">
        <v>3.4722222222222218E-4</v>
      </c>
      <c r="H33" s="18" t="s">
        <v>106</v>
      </c>
      <c r="I33" s="21">
        <v>0.74817129629629631</v>
      </c>
      <c r="J33" s="18" t="s">
        <v>105</v>
      </c>
      <c r="K33" s="18" t="s">
        <v>113</v>
      </c>
      <c r="L33" s="22">
        <v>1</v>
      </c>
      <c r="M33" s="22">
        <v>71441</v>
      </c>
      <c r="N33" s="18" t="s">
        <v>46</v>
      </c>
      <c r="O33" s="22" t="s">
        <v>107</v>
      </c>
      <c r="P33" s="23">
        <v>0</v>
      </c>
      <c r="Q33" s="22"/>
      <c r="R33" s="23">
        <v>0</v>
      </c>
      <c r="S33" s="24">
        <v>46062</v>
      </c>
      <c r="T33" s="23">
        <v>0</v>
      </c>
      <c r="U33" s="25">
        <v>4</v>
      </c>
      <c r="V33" s="23">
        <v>0</v>
      </c>
      <c r="W33" s="18" t="s">
        <v>47</v>
      </c>
      <c r="X33" s="18" t="s">
        <v>48</v>
      </c>
      <c r="Y33" s="18" t="s">
        <v>78</v>
      </c>
      <c r="Z33" s="18" t="s">
        <v>9</v>
      </c>
      <c r="AA33" s="18" t="s">
        <v>49</v>
      </c>
      <c r="AB33" s="18" t="s">
        <v>108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111</v>
      </c>
      <c r="B34" s="10">
        <v>46062</v>
      </c>
      <c r="C34" s="10">
        <v>46062</v>
      </c>
      <c r="D34" s="11" t="s">
        <v>30</v>
      </c>
      <c r="E34" s="12">
        <v>0.75</v>
      </c>
      <c r="F34" s="12">
        <v>0.77083333333333337</v>
      </c>
      <c r="G34" s="12">
        <v>2.0833333333333332E-2</v>
      </c>
      <c r="H34" s="9" t="s">
        <v>114</v>
      </c>
      <c r="I34" s="13"/>
      <c r="J34" s="9" t="s">
        <v>105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111</v>
      </c>
      <c r="B35" s="10">
        <v>46062</v>
      </c>
      <c r="C35" s="10">
        <v>46062</v>
      </c>
      <c r="D35" s="11" t="s">
        <v>30</v>
      </c>
      <c r="E35" s="12">
        <v>0.77083333333333337</v>
      </c>
      <c r="F35" s="12">
        <v>0.79166666666666663</v>
      </c>
      <c r="G35" s="12">
        <v>2.0833333333333332E-2</v>
      </c>
      <c r="H35" s="9" t="s">
        <v>112</v>
      </c>
      <c r="I35" s="13"/>
      <c r="J35" s="9" t="s">
        <v>105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18" t="s">
        <v>44</v>
      </c>
      <c r="B36" s="19">
        <v>46062</v>
      </c>
      <c r="C36" s="19">
        <v>46062</v>
      </c>
      <c r="D36" s="18" t="s">
        <v>30</v>
      </c>
      <c r="E36" s="20">
        <v>0.66666666666666663</v>
      </c>
      <c r="F36" s="20">
        <v>0.79166666666666663</v>
      </c>
      <c r="G36" s="20">
        <v>3.4722222222222218E-4</v>
      </c>
      <c r="H36" s="18" t="s">
        <v>109</v>
      </c>
      <c r="I36" s="21">
        <v>0.77958333333333329</v>
      </c>
      <c r="J36" s="18" t="s">
        <v>105</v>
      </c>
      <c r="K36" s="18" t="s">
        <v>130</v>
      </c>
      <c r="L36" s="22">
        <v>1</v>
      </c>
      <c r="M36" s="22">
        <v>70966</v>
      </c>
      <c r="N36" s="18" t="s">
        <v>53</v>
      </c>
      <c r="O36" s="22" t="str">
        <f>AC36</f>
        <v>SFO</v>
      </c>
      <c r="P36" s="23">
        <v>117.65</v>
      </c>
      <c r="Q36" s="22"/>
      <c r="R36" s="23">
        <v>117.65</v>
      </c>
      <c r="S36" s="24">
        <v>46054</v>
      </c>
      <c r="T36" s="23">
        <v>8.8237500000000004</v>
      </c>
      <c r="U36" s="25">
        <v>4</v>
      </c>
      <c r="V36" s="23">
        <v>108.82625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50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1" customFormat="1" ht="35.1" customHeight="1" x14ac:dyDescent="0.25">
      <c r="A37" s="18" t="s">
        <v>74</v>
      </c>
      <c r="B37" s="19">
        <v>46062</v>
      </c>
      <c r="C37" s="19">
        <v>46062</v>
      </c>
      <c r="D37" s="18" t="s">
        <v>30</v>
      </c>
      <c r="E37" s="20">
        <v>0.66666666666666663</v>
      </c>
      <c r="F37" s="20">
        <v>0.79166666666666663</v>
      </c>
      <c r="G37" s="20">
        <v>3.4722222222222218E-4</v>
      </c>
      <c r="H37" s="18" t="s">
        <v>110</v>
      </c>
      <c r="I37" s="21">
        <v>0.7848032407407407</v>
      </c>
      <c r="J37" s="18" t="s">
        <v>105</v>
      </c>
      <c r="K37" s="18" t="s">
        <v>130</v>
      </c>
      <c r="L37" s="22">
        <v>1</v>
      </c>
      <c r="M37" s="22">
        <v>71439</v>
      </c>
      <c r="N37" s="18" t="s">
        <v>53</v>
      </c>
      <c r="O37" s="22" t="s">
        <v>107</v>
      </c>
      <c r="P37" s="23">
        <v>105.88235294117646</v>
      </c>
      <c r="Q37" s="22"/>
      <c r="R37" s="23">
        <v>105.88235294117646</v>
      </c>
      <c r="S37" s="24">
        <v>46062</v>
      </c>
      <c r="T37" s="23">
        <v>15.882352941176469</v>
      </c>
      <c r="U37" s="25">
        <v>4</v>
      </c>
      <c r="V37" s="23">
        <v>90</v>
      </c>
      <c r="W37" s="18" t="s">
        <v>47</v>
      </c>
      <c r="X37" s="18" t="s">
        <v>48</v>
      </c>
      <c r="Y37" s="18" t="s">
        <v>78</v>
      </c>
      <c r="Z37" s="18" t="s">
        <v>9</v>
      </c>
      <c r="AA37" s="18" t="s">
        <v>49</v>
      </c>
      <c r="AB37" s="18" t="s">
        <v>108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9" t="s">
        <v>39</v>
      </c>
      <c r="B38" s="10">
        <v>46062</v>
      </c>
      <c r="C38" s="10">
        <v>46062</v>
      </c>
      <c r="D38" s="11" t="s">
        <v>30</v>
      </c>
      <c r="E38" s="12">
        <v>0.79166666666666663</v>
      </c>
      <c r="F38" s="12">
        <v>0.8125</v>
      </c>
      <c r="G38" s="12">
        <v>2.0833333333333332E-2</v>
      </c>
      <c r="H38" s="9" t="s">
        <v>115</v>
      </c>
      <c r="I38" s="13"/>
      <c r="J38" s="9" t="s">
        <v>116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5.1" customHeight="1" x14ac:dyDescent="0.25">
      <c r="A39" s="18" t="s">
        <v>117</v>
      </c>
      <c r="B39" s="19">
        <v>46062</v>
      </c>
      <c r="C39" s="19">
        <v>46062</v>
      </c>
      <c r="D39" s="18" t="s">
        <v>30</v>
      </c>
      <c r="E39" s="20">
        <v>0.79166666666666663</v>
      </c>
      <c r="F39" s="20">
        <v>0.83333333333333337</v>
      </c>
      <c r="G39" s="20">
        <v>3.4722222222222218E-4</v>
      </c>
      <c r="H39" s="18" t="s">
        <v>118</v>
      </c>
      <c r="I39" s="21">
        <v>0.81168981481481484</v>
      </c>
      <c r="J39" s="18" t="s">
        <v>116</v>
      </c>
      <c r="K39" s="18" t="s">
        <v>115</v>
      </c>
      <c r="L39" s="22">
        <v>1</v>
      </c>
      <c r="M39" s="22">
        <v>71264</v>
      </c>
      <c r="N39" s="18" t="s">
        <v>53</v>
      </c>
      <c r="O39" s="22" t="s">
        <v>38</v>
      </c>
      <c r="P39" s="23">
        <v>180</v>
      </c>
      <c r="Q39" s="22"/>
      <c r="R39" s="23">
        <v>180</v>
      </c>
      <c r="S39" s="24">
        <v>46062</v>
      </c>
      <c r="T39" s="23">
        <v>27</v>
      </c>
      <c r="U39" s="25">
        <v>4</v>
      </c>
      <c r="V39" s="23">
        <v>153</v>
      </c>
      <c r="W39" s="18" t="s">
        <v>47</v>
      </c>
      <c r="X39" s="18" t="s">
        <v>48</v>
      </c>
      <c r="Y39" s="18" t="s">
        <v>78</v>
      </c>
      <c r="Z39" s="18" t="s">
        <v>9</v>
      </c>
      <c r="AA39" s="18" t="s">
        <v>49</v>
      </c>
      <c r="AB39" s="18" t="s">
        <v>119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9" t="s">
        <v>39</v>
      </c>
      <c r="B40" s="10">
        <v>46062</v>
      </c>
      <c r="C40" s="10">
        <v>46062</v>
      </c>
      <c r="D40" s="11" t="s">
        <v>30</v>
      </c>
      <c r="E40" s="12">
        <v>0.8125</v>
      </c>
      <c r="F40" s="12">
        <v>0.83333333333333337</v>
      </c>
      <c r="G40" s="12">
        <v>2.0833333333333332E-2</v>
      </c>
      <c r="H40" s="9" t="s">
        <v>120</v>
      </c>
      <c r="I40" s="13"/>
      <c r="J40" s="9" t="s">
        <v>116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28" customFormat="1" ht="35.1" customHeight="1" x14ac:dyDescent="0.25">
      <c r="A41" s="18" t="s">
        <v>89</v>
      </c>
      <c r="B41" s="19">
        <v>46062</v>
      </c>
      <c r="C41" s="19">
        <v>46062</v>
      </c>
      <c r="D41" s="18" t="s">
        <v>30</v>
      </c>
      <c r="E41" s="20">
        <v>0.8125</v>
      </c>
      <c r="F41" s="20">
        <v>0.83333333333333337</v>
      </c>
      <c r="G41" s="20">
        <v>3.4722222222222218E-4</v>
      </c>
      <c r="H41" s="18" t="s">
        <v>121</v>
      </c>
      <c r="I41" s="21">
        <v>0.83251157407407406</v>
      </c>
      <c r="J41" s="18" t="s">
        <v>116</v>
      </c>
      <c r="K41" s="18" t="s">
        <v>131</v>
      </c>
      <c r="L41" s="22">
        <v>1</v>
      </c>
      <c r="M41" s="22">
        <v>70392</v>
      </c>
      <c r="N41" s="18" t="s">
        <v>53</v>
      </c>
      <c r="O41" s="22" t="s">
        <v>91</v>
      </c>
      <c r="P41" s="23">
        <v>160</v>
      </c>
      <c r="Q41" s="22"/>
      <c r="R41" s="23">
        <v>160</v>
      </c>
      <c r="S41" s="24">
        <v>46054</v>
      </c>
      <c r="T41" s="23">
        <v>24</v>
      </c>
      <c r="U41" s="25">
        <v>4</v>
      </c>
      <c r="V41" s="23">
        <v>136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92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9" t="s">
        <v>122</v>
      </c>
      <c r="B42" s="10">
        <v>46062</v>
      </c>
      <c r="C42" s="10">
        <v>46062</v>
      </c>
      <c r="D42" s="11" t="s">
        <v>30</v>
      </c>
      <c r="E42" s="12">
        <v>0.83333333333333337</v>
      </c>
      <c r="F42" s="12">
        <v>0.875</v>
      </c>
      <c r="G42" s="12">
        <v>4.1666666666666664E-2</v>
      </c>
      <c r="H42" s="9" t="s">
        <v>123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9" t="s">
        <v>124</v>
      </c>
      <c r="B43" s="10">
        <v>46062</v>
      </c>
      <c r="C43" s="10">
        <v>46062</v>
      </c>
      <c r="D43" s="11" t="s">
        <v>30</v>
      </c>
      <c r="E43" s="12">
        <v>0.875</v>
      </c>
      <c r="F43" s="12">
        <v>0.91666666666666663</v>
      </c>
      <c r="G43" s="12">
        <v>4.1666666666666664E-2</v>
      </c>
      <c r="H43" s="9" t="s">
        <v>125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9" t="s">
        <v>124</v>
      </c>
      <c r="B44" s="10">
        <v>46062</v>
      </c>
      <c r="C44" s="10">
        <v>46062</v>
      </c>
      <c r="D44" s="11" t="s">
        <v>30</v>
      </c>
      <c r="E44" s="12">
        <v>0.91666666666666663</v>
      </c>
      <c r="F44" s="12">
        <v>0.97916666666666663</v>
      </c>
      <c r="G44" s="12">
        <v>6.25E-2</v>
      </c>
      <c r="H44" s="9" t="s">
        <v>126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5.1" customHeight="1" x14ac:dyDescent="0.25">
      <c r="A45" s="9" t="s">
        <v>39</v>
      </c>
      <c r="B45" s="10">
        <v>46062</v>
      </c>
      <c r="C45" s="10">
        <v>46062</v>
      </c>
      <c r="D45" s="11" t="s">
        <v>30</v>
      </c>
      <c r="E45" s="12">
        <v>0.97916666666666663</v>
      </c>
      <c r="F45" s="12">
        <v>1</v>
      </c>
      <c r="G45" s="12">
        <v>2.0833333333333332E-2</v>
      </c>
      <c r="H45" s="9" t="s">
        <v>127</v>
      </c>
      <c r="I45" s="13"/>
      <c r="J45" s="9" t="s">
        <v>116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6" customFormat="1" ht="35.1" customHeight="1" x14ac:dyDescent="0.25">
      <c r="A46" s="18" t="s">
        <v>51</v>
      </c>
      <c r="B46" s="19">
        <v>46062</v>
      </c>
      <c r="C46" s="19">
        <v>46062</v>
      </c>
      <c r="D46" s="18" t="s">
        <v>30</v>
      </c>
      <c r="E46" s="20">
        <v>0.25</v>
      </c>
      <c r="F46" s="20">
        <v>0.99930555555555556</v>
      </c>
      <c r="G46" s="20">
        <v>3.8194444444444446E-4</v>
      </c>
      <c r="H46" s="18" t="s">
        <v>52</v>
      </c>
      <c r="I46" s="21">
        <v>0.98277777777777775</v>
      </c>
      <c r="J46" s="18" t="s">
        <v>32</v>
      </c>
      <c r="K46" s="18" t="s">
        <v>127</v>
      </c>
      <c r="L46" s="22">
        <v>1</v>
      </c>
      <c r="M46" s="22">
        <v>61683</v>
      </c>
      <c r="N46" s="18" t="s">
        <v>53</v>
      </c>
      <c r="O46" s="22"/>
      <c r="P46" s="23">
        <v>92.592592592592595</v>
      </c>
      <c r="Q46" s="22"/>
      <c r="R46" s="23">
        <v>92.592592592592595</v>
      </c>
      <c r="S46" s="24">
        <v>46054</v>
      </c>
      <c r="T46" s="23">
        <v>0</v>
      </c>
      <c r="U46" s="25">
        <v>4</v>
      </c>
      <c r="V46" s="23">
        <v>92.592592592592595</v>
      </c>
      <c r="W46" s="18" t="s">
        <v>34</v>
      </c>
      <c r="X46" s="18" t="s">
        <v>54</v>
      </c>
      <c r="Y46" s="18" t="s">
        <v>36</v>
      </c>
      <c r="Z46" s="18" t="s">
        <v>54</v>
      </c>
      <c r="AA46" s="18" t="s">
        <v>49</v>
      </c>
      <c r="AB46" s="18" t="s">
        <v>55</v>
      </c>
      <c r="AC46" s="18" t="s">
        <v>38</v>
      </c>
      <c r="AD46" s="7" t="str">
        <f t="shared" si="0"/>
        <v/>
      </c>
    </row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6" xr:uid="{39D1C33C-79D7-4DD9-8E6E-C7296F206FC1}"/>
  <sortState xmlns:xlrd2="http://schemas.microsoft.com/office/spreadsheetml/2017/richdata2" ref="A2:AD138">
    <sortCondition sortBy="cellColor" ref="E1:E500" dxfId="36"/>
  </sortState>
  <conditionalFormatting sqref="AD1:AD46">
    <cfRule type="cellIs" dxfId="35" priority="9" operator="equal">
      <formula>"NO"</formula>
    </cfRule>
  </conditionalFormatting>
  <conditionalFormatting sqref="E25:F36 E38:F46 E2:F23">
    <cfRule type="timePeriod" dxfId="34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132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7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28" customFormat="1" ht="35.1" customHeight="1" x14ac:dyDescent="0.25">
      <c r="A3" s="9" t="s">
        <v>39</v>
      </c>
      <c r="B3" s="10">
        <v>46063</v>
      </c>
      <c r="C3" s="10">
        <v>46063</v>
      </c>
      <c r="D3" s="11" t="s">
        <v>132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18" t="s">
        <v>89</v>
      </c>
      <c r="B4" s="19">
        <v>46063</v>
      </c>
      <c r="C4" s="19">
        <v>46063</v>
      </c>
      <c r="D4" s="18" t="s">
        <v>132</v>
      </c>
      <c r="E4" s="20">
        <v>0.25</v>
      </c>
      <c r="F4" s="20">
        <v>0.29166666666666669</v>
      </c>
      <c r="G4" s="20">
        <v>3.4722222222222218E-4</v>
      </c>
      <c r="H4" s="18" t="s">
        <v>139</v>
      </c>
      <c r="I4" s="21">
        <v>0.26565972222222223</v>
      </c>
      <c r="J4" s="18" t="s">
        <v>41</v>
      </c>
      <c r="K4" s="18" t="s">
        <v>40</v>
      </c>
      <c r="L4" s="22">
        <v>1</v>
      </c>
      <c r="M4" s="22">
        <v>70390</v>
      </c>
      <c r="N4" s="18" t="s">
        <v>53</v>
      </c>
      <c r="O4" s="22" t="s">
        <v>91</v>
      </c>
      <c r="P4" s="23">
        <v>120</v>
      </c>
      <c r="Q4" s="22"/>
      <c r="R4" s="23">
        <v>120</v>
      </c>
      <c r="S4" s="24">
        <v>46054</v>
      </c>
      <c r="T4" s="23">
        <v>18</v>
      </c>
      <c r="U4" s="25">
        <v>4</v>
      </c>
      <c r="V4" s="23">
        <v>102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92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56</v>
      </c>
      <c r="B5" s="10">
        <v>46063</v>
      </c>
      <c r="C5" s="10">
        <v>46063</v>
      </c>
      <c r="D5" s="11" t="s">
        <v>132</v>
      </c>
      <c r="E5" s="12">
        <v>0.29166666666666669</v>
      </c>
      <c r="F5" s="12">
        <v>0.3125</v>
      </c>
      <c r="G5" s="12">
        <v>2.0833333333333332E-2</v>
      </c>
      <c r="H5" s="9" t="s">
        <v>140</v>
      </c>
      <c r="I5" s="13" t="s">
        <v>58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56</v>
      </c>
      <c r="B6" s="10">
        <v>46063</v>
      </c>
      <c r="C6" s="10">
        <v>46063</v>
      </c>
      <c r="D6" s="11" t="s">
        <v>132</v>
      </c>
      <c r="E6" s="12">
        <v>0.3125</v>
      </c>
      <c r="F6" s="12">
        <v>0.33333333333333331</v>
      </c>
      <c r="G6" s="12">
        <v>2.0833333333333332E-2</v>
      </c>
      <c r="H6" s="9" t="s">
        <v>140</v>
      </c>
      <c r="I6" s="13" t="s">
        <v>58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59</v>
      </c>
      <c r="B7" s="10">
        <v>46063</v>
      </c>
      <c r="C7" s="10">
        <v>46063</v>
      </c>
      <c r="D7" s="11" t="s">
        <v>132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28" customFormat="1" ht="35.1" customHeight="1" x14ac:dyDescent="0.25">
      <c r="A8" s="9" t="s">
        <v>59</v>
      </c>
      <c r="B8" s="10">
        <v>46063</v>
      </c>
      <c r="C8" s="10">
        <v>46063</v>
      </c>
      <c r="D8" s="11" t="s">
        <v>132</v>
      </c>
      <c r="E8" s="12">
        <v>0.375</v>
      </c>
      <c r="F8" s="12">
        <v>0.41666666666666669</v>
      </c>
      <c r="G8" s="12">
        <v>4.1666666666666664E-2</v>
      </c>
      <c r="H8" s="9" t="s">
        <v>63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28" customFormat="1" ht="35.1" customHeight="1" x14ac:dyDescent="0.25">
      <c r="A9" s="18" t="s">
        <v>44</v>
      </c>
      <c r="B9" s="19">
        <v>46063</v>
      </c>
      <c r="C9" s="19">
        <v>46063</v>
      </c>
      <c r="D9" s="18" t="s">
        <v>132</v>
      </c>
      <c r="E9" s="20">
        <v>0.33333333333333331</v>
      </c>
      <c r="F9" s="20">
        <v>0.41666666666666669</v>
      </c>
      <c r="G9" s="20">
        <v>3.4722222222222218E-4</v>
      </c>
      <c r="H9" s="18" t="s">
        <v>62</v>
      </c>
      <c r="I9" s="21">
        <v>0.40025462962962965</v>
      </c>
      <c r="J9" s="18" t="s">
        <v>61</v>
      </c>
      <c r="K9" s="18" t="s">
        <v>63</v>
      </c>
      <c r="L9" s="22">
        <v>1</v>
      </c>
      <c r="M9" s="22">
        <v>70970</v>
      </c>
      <c r="N9" s="18" t="s">
        <v>53</v>
      </c>
      <c r="O9" s="22" t="str">
        <f>AC9</f>
        <v>SFO</v>
      </c>
      <c r="P9" s="23">
        <v>117.65</v>
      </c>
      <c r="Q9" s="22"/>
      <c r="R9" s="23">
        <v>117.65</v>
      </c>
      <c r="S9" s="24">
        <v>46054</v>
      </c>
      <c r="T9" s="23">
        <v>8.8237500000000004</v>
      </c>
      <c r="U9" s="25">
        <v>4</v>
      </c>
      <c r="V9" s="23">
        <v>108.82625</v>
      </c>
      <c r="W9" s="18" t="s">
        <v>47</v>
      </c>
      <c r="X9" s="18" t="s">
        <v>48</v>
      </c>
      <c r="Y9" s="18" t="s">
        <v>36</v>
      </c>
      <c r="Z9" s="18" t="s">
        <v>9</v>
      </c>
      <c r="AA9" s="18" t="s">
        <v>49</v>
      </c>
      <c r="AB9" s="18" t="s">
        <v>50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18" t="s">
        <v>44</v>
      </c>
      <c r="B10" s="19">
        <v>46063</v>
      </c>
      <c r="C10" s="19">
        <v>46063</v>
      </c>
      <c r="D10" s="18" t="s">
        <v>132</v>
      </c>
      <c r="E10" s="20">
        <v>0.33333333333333331</v>
      </c>
      <c r="F10" s="20">
        <v>0.41666666666666669</v>
      </c>
      <c r="G10" s="20">
        <v>3.4722222222222218E-4</v>
      </c>
      <c r="H10" s="18" t="s">
        <v>62</v>
      </c>
      <c r="I10" s="21">
        <v>0.41515046296296299</v>
      </c>
      <c r="J10" s="18" t="s">
        <v>61</v>
      </c>
      <c r="K10" s="18" t="s">
        <v>63</v>
      </c>
      <c r="L10" s="22">
        <v>1</v>
      </c>
      <c r="M10" s="22">
        <v>70972</v>
      </c>
      <c r="N10" s="18" t="s">
        <v>46</v>
      </c>
      <c r="O10" s="22" t="str">
        <f>AC10</f>
        <v>SFO</v>
      </c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47</v>
      </c>
      <c r="X10" s="18" t="s">
        <v>48</v>
      </c>
      <c r="Y10" s="18" t="s">
        <v>36</v>
      </c>
      <c r="Z10" s="18" t="s">
        <v>9</v>
      </c>
      <c r="AA10" s="18" t="s">
        <v>49</v>
      </c>
      <c r="AB10" s="18" t="s">
        <v>50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28" customFormat="1" ht="35.1" customHeight="1" x14ac:dyDescent="0.25">
      <c r="A11" s="9" t="s">
        <v>64</v>
      </c>
      <c r="B11" s="10">
        <v>46063</v>
      </c>
      <c r="C11" s="10">
        <v>46063</v>
      </c>
      <c r="D11" s="11" t="s">
        <v>132</v>
      </c>
      <c r="E11" s="12">
        <v>0.41666666666666669</v>
      </c>
      <c r="F11" s="12">
        <v>0.45833333333333331</v>
      </c>
      <c r="G11" s="12">
        <v>4.1666666666666664E-2</v>
      </c>
      <c r="H11" s="9" t="s">
        <v>65</v>
      </c>
      <c r="I11" s="13"/>
      <c r="J11" s="9" t="s">
        <v>66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28" customFormat="1" ht="35.1" customHeight="1" x14ac:dyDescent="0.25">
      <c r="A12" s="18" t="s">
        <v>64</v>
      </c>
      <c r="B12" s="19">
        <v>46063</v>
      </c>
      <c r="C12" s="19">
        <v>46063</v>
      </c>
      <c r="D12" s="18" t="s">
        <v>132</v>
      </c>
      <c r="E12" s="20">
        <v>0.41666666666666669</v>
      </c>
      <c r="F12" s="20">
        <v>0.45833333333333331</v>
      </c>
      <c r="G12" s="20">
        <v>3.4722222222222224E-4</v>
      </c>
      <c r="H12" s="18" t="s">
        <v>141</v>
      </c>
      <c r="I12" s="21">
        <v>0.42496527777777776</v>
      </c>
      <c r="J12" s="18" t="s">
        <v>66</v>
      </c>
      <c r="K12" s="18" t="s">
        <v>64</v>
      </c>
      <c r="L12" s="22">
        <v>1</v>
      </c>
      <c r="M12" s="22">
        <v>3</v>
      </c>
      <c r="N12" s="18" t="s">
        <v>53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68</v>
      </c>
      <c r="AA12" s="18" t="s">
        <v>49</v>
      </c>
      <c r="AB12" s="18">
        <v>1109</v>
      </c>
      <c r="AC12" s="18" t="s">
        <v>38</v>
      </c>
      <c r="AD12" s="7" t="str">
        <f t="shared" ref="AD12:AD13" si="1">IF(N12="PRG","",IF(I12&gt;=E12,IF(I12&lt;=F12,"","NO"),"NO"))</f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28" customFormat="1" ht="35.1" customHeight="1" x14ac:dyDescent="0.25">
      <c r="A13" s="18" t="s">
        <v>64</v>
      </c>
      <c r="B13" s="19">
        <v>46063</v>
      </c>
      <c r="C13" s="19">
        <v>46063</v>
      </c>
      <c r="D13" s="18" t="s">
        <v>132</v>
      </c>
      <c r="E13" s="20">
        <v>0.41666666666666669</v>
      </c>
      <c r="F13" s="20">
        <v>0.45833333333333331</v>
      </c>
      <c r="G13" s="20">
        <v>3.4722222222222224E-4</v>
      </c>
      <c r="H13" s="18" t="s">
        <v>142</v>
      </c>
      <c r="I13" s="21">
        <v>0.42531249999999998</v>
      </c>
      <c r="J13" s="18" t="s">
        <v>66</v>
      </c>
      <c r="K13" s="18" t="s">
        <v>64</v>
      </c>
      <c r="L13" s="22">
        <v>1</v>
      </c>
      <c r="M13" s="22">
        <v>3</v>
      </c>
      <c r="N13" s="18" t="s">
        <v>53</v>
      </c>
      <c r="O13" s="22"/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34</v>
      </c>
      <c r="X13" s="18" t="s">
        <v>35</v>
      </c>
      <c r="Y13" s="18" t="s">
        <v>36</v>
      </c>
      <c r="Z13" s="18" t="s">
        <v>68</v>
      </c>
      <c r="AA13" s="18" t="s">
        <v>49</v>
      </c>
      <c r="AB13" s="18">
        <v>1109</v>
      </c>
      <c r="AC13" s="18" t="s">
        <v>38</v>
      </c>
      <c r="AD13" s="7" t="str">
        <f t="shared" si="1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71</v>
      </c>
      <c r="B14" s="10">
        <v>46063</v>
      </c>
      <c r="C14" s="10">
        <v>46063</v>
      </c>
      <c r="D14" s="11" t="s">
        <v>132</v>
      </c>
      <c r="E14" s="12">
        <v>0.45833333333333331</v>
      </c>
      <c r="F14" s="12">
        <v>0.47916666666666669</v>
      </c>
      <c r="G14" s="12">
        <v>2.0833333333333332E-2</v>
      </c>
      <c r="H14" s="9" t="s">
        <v>143</v>
      </c>
      <c r="I14" s="13"/>
      <c r="J14" s="9" t="s">
        <v>76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18" t="s">
        <v>89</v>
      </c>
      <c r="B15" s="19">
        <v>46063</v>
      </c>
      <c r="C15" s="19">
        <v>46063</v>
      </c>
      <c r="D15" s="18" t="s">
        <v>132</v>
      </c>
      <c r="E15" s="20">
        <v>0.45833333333333331</v>
      </c>
      <c r="F15" s="20">
        <v>0.47916666666666669</v>
      </c>
      <c r="G15" s="20">
        <v>3.4722222222222218E-4</v>
      </c>
      <c r="H15" s="18" t="s">
        <v>90</v>
      </c>
      <c r="I15" s="21">
        <v>0.46446759259259257</v>
      </c>
      <c r="J15" s="18" t="s">
        <v>76</v>
      </c>
      <c r="K15" s="18" t="s">
        <v>143</v>
      </c>
      <c r="L15" s="22">
        <v>1</v>
      </c>
      <c r="M15" s="22">
        <v>70395</v>
      </c>
      <c r="N15" s="18" t="s">
        <v>53</v>
      </c>
      <c r="O15" s="22" t="s">
        <v>91</v>
      </c>
      <c r="P15" s="23">
        <v>140</v>
      </c>
      <c r="Q15" s="22"/>
      <c r="R15" s="23">
        <v>140</v>
      </c>
      <c r="S15" s="24">
        <v>46054</v>
      </c>
      <c r="T15" s="23">
        <v>21</v>
      </c>
      <c r="U15" s="25">
        <v>4</v>
      </c>
      <c r="V15" s="23">
        <v>119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92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28" customFormat="1" ht="35.1" customHeight="1" x14ac:dyDescent="0.25">
      <c r="A16" s="18" t="s">
        <v>80</v>
      </c>
      <c r="B16" s="19">
        <v>46063</v>
      </c>
      <c r="C16" s="19">
        <v>46063</v>
      </c>
      <c r="D16" s="18" t="s">
        <v>132</v>
      </c>
      <c r="E16" s="20">
        <v>0.45833333333333331</v>
      </c>
      <c r="F16" s="20">
        <v>0.47916666666666669</v>
      </c>
      <c r="G16" s="20">
        <v>1.7361111111111109E-4</v>
      </c>
      <c r="H16" s="18" t="s">
        <v>81</v>
      </c>
      <c r="I16" s="21">
        <v>0.46481481481481479</v>
      </c>
      <c r="J16" s="18" t="s">
        <v>76</v>
      </c>
      <c r="K16" s="18" t="s">
        <v>143</v>
      </c>
      <c r="L16" s="22">
        <v>1</v>
      </c>
      <c r="M16" s="22">
        <v>71172</v>
      </c>
      <c r="N16" s="18" t="s">
        <v>53</v>
      </c>
      <c r="O16" s="22" t="s">
        <v>82</v>
      </c>
      <c r="P16" s="23">
        <v>70</v>
      </c>
      <c r="Q16" s="22"/>
      <c r="R16" s="23">
        <v>70</v>
      </c>
      <c r="S16" s="24">
        <v>46063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78</v>
      </c>
      <c r="Z16" s="18" t="s">
        <v>9</v>
      </c>
      <c r="AA16" s="18" t="s">
        <v>49</v>
      </c>
      <c r="AB16" s="18" t="s">
        <v>83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28" customFormat="1" ht="35.1" customHeight="1" x14ac:dyDescent="0.25">
      <c r="A17" s="18" t="s">
        <v>144</v>
      </c>
      <c r="B17" s="19">
        <v>46063</v>
      </c>
      <c r="C17" s="19">
        <v>46063</v>
      </c>
      <c r="D17" s="18" t="s">
        <v>132</v>
      </c>
      <c r="E17" s="20">
        <v>0.45833333333333331</v>
      </c>
      <c r="F17" s="20">
        <v>0.47916666666666669</v>
      </c>
      <c r="G17" s="20">
        <v>1.7361111111111109E-4</v>
      </c>
      <c r="H17" s="18" t="s">
        <v>145</v>
      </c>
      <c r="I17" s="21">
        <v>0.46429398148148149</v>
      </c>
      <c r="J17" s="18" t="s">
        <v>76</v>
      </c>
      <c r="K17" s="18" t="s">
        <v>143</v>
      </c>
      <c r="L17" s="22">
        <v>1</v>
      </c>
      <c r="M17" s="22">
        <v>70008</v>
      </c>
      <c r="N17" s="18" t="s">
        <v>53</v>
      </c>
      <c r="O17" s="22" t="s">
        <v>146</v>
      </c>
      <c r="P17" s="23">
        <v>64.705882352941174</v>
      </c>
      <c r="Q17" s="22"/>
      <c r="R17" s="23">
        <v>64.705882352941174</v>
      </c>
      <c r="S17" s="24">
        <v>46054</v>
      </c>
      <c r="T17" s="23">
        <v>9.7058823529411757</v>
      </c>
      <c r="U17" s="25">
        <v>4</v>
      </c>
      <c r="V17" s="23">
        <v>55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>
        <v>2373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5.1" customHeight="1" x14ac:dyDescent="0.25">
      <c r="A18" s="9" t="s">
        <v>71</v>
      </c>
      <c r="B18" s="10">
        <v>46063</v>
      </c>
      <c r="C18" s="10">
        <v>46063</v>
      </c>
      <c r="D18" s="11" t="s">
        <v>132</v>
      </c>
      <c r="E18" s="12">
        <v>0.47916666666666669</v>
      </c>
      <c r="F18" s="12">
        <v>0.5</v>
      </c>
      <c r="G18" s="12">
        <v>2.0833333333333332E-2</v>
      </c>
      <c r="H18" s="9" t="s">
        <v>150</v>
      </c>
      <c r="I18" s="13"/>
      <c r="J18" s="9" t="s">
        <v>76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18" t="s">
        <v>144</v>
      </c>
      <c r="B19" s="19">
        <v>46063</v>
      </c>
      <c r="C19" s="19">
        <v>46063</v>
      </c>
      <c r="D19" s="18" t="s">
        <v>132</v>
      </c>
      <c r="E19" s="20">
        <v>0.45833333333333331</v>
      </c>
      <c r="F19" s="20">
        <v>0.54166666666666663</v>
      </c>
      <c r="G19" s="20">
        <v>1.7361111111111109E-4</v>
      </c>
      <c r="H19" s="18" t="s">
        <v>145</v>
      </c>
      <c r="I19" s="21">
        <v>0.49777777777777776</v>
      </c>
      <c r="J19" s="18" t="s">
        <v>76</v>
      </c>
      <c r="K19" s="18" t="s">
        <v>128</v>
      </c>
      <c r="L19" s="22">
        <v>1</v>
      </c>
      <c r="M19" s="22">
        <v>70036</v>
      </c>
      <c r="N19" s="18" t="s">
        <v>46</v>
      </c>
      <c r="O19" s="22" t="s">
        <v>146</v>
      </c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>
        <v>2373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8" t="s">
        <v>89</v>
      </c>
      <c r="B20" s="19">
        <v>46063</v>
      </c>
      <c r="C20" s="19">
        <v>46063</v>
      </c>
      <c r="D20" s="18" t="s">
        <v>132</v>
      </c>
      <c r="E20" s="20">
        <v>0.45833333333333331</v>
      </c>
      <c r="F20" s="20">
        <v>0.5</v>
      </c>
      <c r="G20" s="20">
        <v>3.4722222222222218E-4</v>
      </c>
      <c r="H20" s="18" t="s">
        <v>90</v>
      </c>
      <c r="I20" s="21">
        <v>0.48810185185185184</v>
      </c>
      <c r="J20" s="18" t="s">
        <v>76</v>
      </c>
      <c r="K20" s="18" t="s">
        <v>128</v>
      </c>
      <c r="L20" s="22">
        <v>1</v>
      </c>
      <c r="M20" s="22">
        <v>70397</v>
      </c>
      <c r="N20" s="18" t="s">
        <v>53</v>
      </c>
      <c r="O20" s="22" t="s">
        <v>91</v>
      </c>
      <c r="P20" s="23">
        <v>120</v>
      </c>
      <c r="Q20" s="22"/>
      <c r="R20" s="23">
        <v>120</v>
      </c>
      <c r="S20" s="24">
        <v>46054</v>
      </c>
      <c r="T20" s="23">
        <v>18</v>
      </c>
      <c r="U20" s="25">
        <v>4</v>
      </c>
      <c r="V20" s="23">
        <v>102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92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18" t="s">
        <v>44</v>
      </c>
      <c r="B21" s="19">
        <v>46063</v>
      </c>
      <c r="C21" s="19">
        <v>46063</v>
      </c>
      <c r="D21" s="18" t="s">
        <v>132</v>
      </c>
      <c r="E21" s="20">
        <v>0.45833333333333331</v>
      </c>
      <c r="F21" s="20">
        <v>0.5</v>
      </c>
      <c r="G21" s="20">
        <v>3.4722222222222218E-4</v>
      </c>
      <c r="H21" s="18" t="s">
        <v>149</v>
      </c>
      <c r="I21" s="21">
        <v>0.48723379629629632</v>
      </c>
      <c r="J21" s="18" t="s">
        <v>76</v>
      </c>
      <c r="K21" s="18" t="s">
        <v>128</v>
      </c>
      <c r="L21" s="22">
        <v>1</v>
      </c>
      <c r="M21" s="22">
        <v>70974</v>
      </c>
      <c r="N21" s="18" t="s">
        <v>53</v>
      </c>
      <c r="O21" s="22" t="str">
        <f>AC21</f>
        <v>SFO</v>
      </c>
      <c r="P21" s="23">
        <v>117.65</v>
      </c>
      <c r="Q21" s="22"/>
      <c r="R21" s="23">
        <v>117.65</v>
      </c>
      <c r="S21" s="24">
        <v>46054</v>
      </c>
      <c r="T21" s="23">
        <v>8.8237500000000004</v>
      </c>
      <c r="U21" s="25">
        <v>4</v>
      </c>
      <c r="V21" s="23">
        <v>108.82625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 t="s">
        <v>50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18" t="s">
        <v>74</v>
      </c>
      <c r="B22" s="19">
        <v>46063</v>
      </c>
      <c r="C22" s="19">
        <v>46063</v>
      </c>
      <c r="D22" s="18" t="s">
        <v>132</v>
      </c>
      <c r="E22" s="20">
        <v>0.45833333333333331</v>
      </c>
      <c r="F22" s="20">
        <v>0.5</v>
      </c>
      <c r="G22" s="20">
        <v>3.4722222222222218E-4</v>
      </c>
      <c r="H22" s="18" t="s">
        <v>84</v>
      </c>
      <c r="I22" s="21">
        <v>0.48758101851851854</v>
      </c>
      <c r="J22" s="18" t="s">
        <v>76</v>
      </c>
      <c r="K22" s="18" t="s">
        <v>128</v>
      </c>
      <c r="L22" s="22">
        <v>1</v>
      </c>
      <c r="M22" s="22">
        <v>71445</v>
      </c>
      <c r="N22" s="18" t="s">
        <v>53</v>
      </c>
      <c r="O22" s="22" t="s">
        <v>77</v>
      </c>
      <c r="P22" s="23">
        <v>94.117647058823522</v>
      </c>
      <c r="Q22" s="22"/>
      <c r="R22" s="23">
        <v>94.117647058823522</v>
      </c>
      <c r="S22" s="24">
        <v>46063</v>
      </c>
      <c r="T22" s="23">
        <v>14.117647058823527</v>
      </c>
      <c r="U22" s="25">
        <v>4</v>
      </c>
      <c r="V22" s="23">
        <v>80</v>
      </c>
      <c r="W22" s="18" t="s">
        <v>47</v>
      </c>
      <c r="X22" s="18" t="s">
        <v>48</v>
      </c>
      <c r="Y22" s="18" t="s">
        <v>78</v>
      </c>
      <c r="Z22" s="18" t="s">
        <v>9</v>
      </c>
      <c r="AA22" s="18" t="s">
        <v>49</v>
      </c>
      <c r="AB22" s="18" t="s">
        <v>79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28" customFormat="1" ht="35.1" customHeight="1" x14ac:dyDescent="0.25">
      <c r="A23" s="18" t="s">
        <v>144</v>
      </c>
      <c r="B23" s="19">
        <v>46063</v>
      </c>
      <c r="C23" s="19">
        <v>46063</v>
      </c>
      <c r="D23" s="18" t="s">
        <v>132</v>
      </c>
      <c r="E23" s="20">
        <v>0.47916666666666669</v>
      </c>
      <c r="F23" s="20">
        <v>0.5</v>
      </c>
      <c r="G23" s="20">
        <v>1.7361111111111109E-4</v>
      </c>
      <c r="H23" s="18" t="s">
        <v>148</v>
      </c>
      <c r="I23" s="21">
        <v>0.48792824074074076</v>
      </c>
      <c r="J23" s="18" t="s">
        <v>76</v>
      </c>
      <c r="K23" s="18" t="s">
        <v>128</v>
      </c>
      <c r="L23" s="22">
        <v>1</v>
      </c>
      <c r="M23" s="22">
        <v>70009</v>
      </c>
      <c r="N23" s="18" t="s">
        <v>53</v>
      </c>
      <c r="O23" s="22" t="s">
        <v>146</v>
      </c>
      <c r="P23" s="23">
        <v>64.705882352941174</v>
      </c>
      <c r="Q23" s="22"/>
      <c r="R23" s="23">
        <v>64.705882352941174</v>
      </c>
      <c r="S23" s="24">
        <v>46054</v>
      </c>
      <c r="T23" s="23">
        <v>9.7058823529411757</v>
      </c>
      <c r="U23" s="25">
        <v>4</v>
      </c>
      <c r="V23" s="23">
        <v>55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>
        <v>2373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8" customFormat="1" ht="35.1" customHeight="1" x14ac:dyDescent="0.25">
      <c r="A24" s="18" t="s">
        <v>80</v>
      </c>
      <c r="B24" s="19">
        <v>46063</v>
      </c>
      <c r="C24" s="19">
        <v>46063</v>
      </c>
      <c r="D24" s="18" t="s">
        <v>132</v>
      </c>
      <c r="E24" s="20">
        <v>0.47916666666666669</v>
      </c>
      <c r="F24" s="20">
        <v>0.5</v>
      </c>
      <c r="G24" s="20">
        <v>1.7361111111111109E-4</v>
      </c>
      <c r="H24" s="18" t="s">
        <v>86</v>
      </c>
      <c r="I24" s="21">
        <v>0.4979513888888889</v>
      </c>
      <c r="J24" s="18" t="s">
        <v>76</v>
      </c>
      <c r="K24" s="18" t="s">
        <v>128</v>
      </c>
      <c r="L24" s="22">
        <v>1</v>
      </c>
      <c r="M24" s="22">
        <v>71176</v>
      </c>
      <c r="N24" s="18" t="s">
        <v>53</v>
      </c>
      <c r="O24" s="22" t="s">
        <v>82</v>
      </c>
      <c r="P24" s="23">
        <v>70</v>
      </c>
      <c r="Q24" s="22"/>
      <c r="R24" s="23">
        <v>70</v>
      </c>
      <c r="S24" s="24">
        <v>46063</v>
      </c>
      <c r="T24" s="23">
        <v>10.5</v>
      </c>
      <c r="U24" s="25">
        <v>4</v>
      </c>
      <c r="V24" s="23">
        <v>59.5</v>
      </c>
      <c r="W24" s="18" t="s">
        <v>47</v>
      </c>
      <c r="X24" s="18" t="s">
        <v>48</v>
      </c>
      <c r="Y24" s="18" t="s">
        <v>78</v>
      </c>
      <c r="Z24" s="18" t="s">
        <v>9</v>
      </c>
      <c r="AA24" s="18" t="s">
        <v>49</v>
      </c>
      <c r="AB24" s="18" t="s">
        <v>83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87</v>
      </c>
      <c r="B25" s="10">
        <v>46063</v>
      </c>
      <c r="C25" s="10">
        <v>46063</v>
      </c>
      <c r="D25" s="11" t="s">
        <v>132</v>
      </c>
      <c r="E25" s="12">
        <v>0.5</v>
      </c>
      <c r="F25" s="12">
        <v>0.54166666666666663</v>
      </c>
      <c r="G25" s="12">
        <v>4.1666666666666664E-2</v>
      </c>
      <c r="H25" s="9" t="s">
        <v>88</v>
      </c>
      <c r="I25" s="13"/>
      <c r="J25" s="9" t="s">
        <v>76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18" t="s">
        <v>89</v>
      </c>
      <c r="B26" s="19">
        <v>46063</v>
      </c>
      <c r="C26" s="19">
        <v>46063</v>
      </c>
      <c r="D26" s="18" t="s">
        <v>132</v>
      </c>
      <c r="E26" s="20">
        <v>0.5</v>
      </c>
      <c r="F26" s="20">
        <v>0.54166666666666663</v>
      </c>
      <c r="G26" s="20">
        <v>3.4722222222222218E-4</v>
      </c>
      <c r="H26" s="18" t="s">
        <v>90</v>
      </c>
      <c r="I26" s="21">
        <v>0.51157407407407407</v>
      </c>
      <c r="J26" s="18" t="s">
        <v>76</v>
      </c>
      <c r="K26" s="18" t="s">
        <v>129</v>
      </c>
      <c r="L26" s="22">
        <v>1</v>
      </c>
      <c r="M26" s="22">
        <v>70398</v>
      </c>
      <c r="N26" s="18" t="s">
        <v>53</v>
      </c>
      <c r="O26" s="22" t="s">
        <v>91</v>
      </c>
      <c r="P26" s="23">
        <v>120</v>
      </c>
      <c r="Q26" s="22"/>
      <c r="R26" s="23">
        <v>120</v>
      </c>
      <c r="S26" s="24">
        <v>46054</v>
      </c>
      <c r="T26" s="23">
        <v>18</v>
      </c>
      <c r="U26" s="25">
        <v>4</v>
      </c>
      <c r="V26" s="23">
        <v>102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92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8" t="s">
        <v>144</v>
      </c>
      <c r="B27" s="19">
        <v>46063</v>
      </c>
      <c r="C27" s="19">
        <v>46063</v>
      </c>
      <c r="D27" s="18" t="s">
        <v>132</v>
      </c>
      <c r="E27" s="20">
        <v>0.5</v>
      </c>
      <c r="F27" s="20">
        <v>0.54166666666666663</v>
      </c>
      <c r="G27" s="20">
        <v>1.7361111111111109E-4</v>
      </c>
      <c r="H27" s="18" t="s">
        <v>145</v>
      </c>
      <c r="I27" s="21">
        <v>0.52589120370370368</v>
      </c>
      <c r="J27" s="18" t="s">
        <v>76</v>
      </c>
      <c r="K27" s="18" t="s">
        <v>129</v>
      </c>
      <c r="L27" s="22">
        <v>1</v>
      </c>
      <c r="M27" s="22">
        <v>70011</v>
      </c>
      <c r="N27" s="18" t="s">
        <v>53</v>
      </c>
      <c r="O27" s="22" t="s">
        <v>146</v>
      </c>
      <c r="P27" s="23">
        <v>64.705882352941174</v>
      </c>
      <c r="Q27" s="22"/>
      <c r="R27" s="23">
        <v>64.705882352941174</v>
      </c>
      <c r="S27" s="24">
        <v>46054</v>
      </c>
      <c r="T27" s="23">
        <v>9.7058823529411757</v>
      </c>
      <c r="U27" s="25">
        <v>4</v>
      </c>
      <c r="V27" s="23">
        <v>55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>
        <v>2373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28" customFormat="1" ht="35.1" customHeight="1" x14ac:dyDescent="0.25">
      <c r="A28" s="18" t="s">
        <v>74</v>
      </c>
      <c r="B28" s="19">
        <v>46063</v>
      </c>
      <c r="C28" s="19">
        <v>46063</v>
      </c>
      <c r="D28" s="18" t="s">
        <v>132</v>
      </c>
      <c r="E28" s="20">
        <v>0.45833333333333331</v>
      </c>
      <c r="F28" s="20">
        <v>0.54166666666666663</v>
      </c>
      <c r="G28" s="20">
        <v>3.4722222222222218E-4</v>
      </c>
      <c r="H28" s="18" t="s">
        <v>147</v>
      </c>
      <c r="I28" s="21">
        <v>0.53487268518518516</v>
      </c>
      <c r="J28" s="18" t="s">
        <v>76</v>
      </c>
      <c r="K28" s="18" t="s">
        <v>129</v>
      </c>
      <c r="L28" s="22">
        <v>1</v>
      </c>
      <c r="M28" s="22">
        <v>71448</v>
      </c>
      <c r="N28" s="18" t="s">
        <v>46</v>
      </c>
      <c r="O28" s="22" t="s">
        <v>77</v>
      </c>
      <c r="P28" s="23">
        <v>0</v>
      </c>
      <c r="Q28" s="22"/>
      <c r="R28" s="23">
        <v>0</v>
      </c>
      <c r="S28" s="24">
        <v>46063</v>
      </c>
      <c r="T28" s="23">
        <v>0</v>
      </c>
      <c r="U28" s="25">
        <v>4</v>
      </c>
      <c r="V28" s="23">
        <v>0</v>
      </c>
      <c r="W28" s="18" t="s">
        <v>47</v>
      </c>
      <c r="X28" s="18" t="s">
        <v>48</v>
      </c>
      <c r="Y28" s="18" t="s">
        <v>78</v>
      </c>
      <c r="Z28" s="18" t="s">
        <v>9</v>
      </c>
      <c r="AA28" s="18" t="s">
        <v>49</v>
      </c>
      <c r="AB28" s="18" t="s">
        <v>79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8" customFormat="1" ht="35.1" customHeight="1" x14ac:dyDescent="0.25">
      <c r="A29" s="18" t="s">
        <v>89</v>
      </c>
      <c r="B29" s="19">
        <v>46063</v>
      </c>
      <c r="C29" s="19">
        <v>46063</v>
      </c>
      <c r="D29" s="18" t="s">
        <v>132</v>
      </c>
      <c r="E29" s="20">
        <v>0.5</v>
      </c>
      <c r="F29" s="20">
        <v>0.54166666666666663</v>
      </c>
      <c r="G29" s="20">
        <v>3.4722222222222218E-4</v>
      </c>
      <c r="H29" s="18" t="s">
        <v>90</v>
      </c>
      <c r="I29" s="21">
        <v>0.53452546296296299</v>
      </c>
      <c r="J29" s="18" t="s">
        <v>76</v>
      </c>
      <c r="K29" s="18" t="s">
        <v>129</v>
      </c>
      <c r="L29" s="22">
        <v>1</v>
      </c>
      <c r="M29" s="22">
        <v>70396</v>
      </c>
      <c r="N29" s="18" t="s">
        <v>53</v>
      </c>
      <c r="O29" s="22" t="s">
        <v>91</v>
      </c>
      <c r="P29" s="23">
        <v>140</v>
      </c>
      <c r="Q29" s="22"/>
      <c r="R29" s="23">
        <v>140</v>
      </c>
      <c r="S29" s="24">
        <v>46054</v>
      </c>
      <c r="T29" s="23">
        <v>21</v>
      </c>
      <c r="U29" s="25">
        <v>4</v>
      </c>
      <c r="V29" s="23">
        <v>119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92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18" t="s">
        <v>144</v>
      </c>
      <c r="B30" s="19">
        <v>46063</v>
      </c>
      <c r="C30" s="19">
        <v>46063</v>
      </c>
      <c r="D30" s="18" t="s">
        <v>132</v>
      </c>
      <c r="E30" s="20">
        <v>0.45833333333333331</v>
      </c>
      <c r="F30" s="20">
        <v>0.54166666666666663</v>
      </c>
      <c r="G30" s="20">
        <v>1.7361111111111109E-4</v>
      </c>
      <c r="H30" s="18" t="s">
        <v>148</v>
      </c>
      <c r="I30" s="21">
        <v>0.51192129629629635</v>
      </c>
      <c r="J30" s="18" t="s">
        <v>76</v>
      </c>
      <c r="K30" s="18" t="s">
        <v>129</v>
      </c>
      <c r="L30" s="22">
        <v>1</v>
      </c>
      <c r="M30" s="22">
        <v>70036</v>
      </c>
      <c r="N30" s="18" t="s">
        <v>46</v>
      </c>
      <c r="O30" s="22" t="s">
        <v>146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>
        <v>2373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8" customFormat="1" ht="35.1" customHeight="1" x14ac:dyDescent="0.25">
      <c r="A31" s="18" t="s">
        <v>80</v>
      </c>
      <c r="B31" s="19">
        <v>46063</v>
      </c>
      <c r="C31" s="19">
        <v>46063</v>
      </c>
      <c r="D31" s="18" t="s">
        <v>132</v>
      </c>
      <c r="E31" s="20">
        <v>0.5</v>
      </c>
      <c r="F31" s="20">
        <v>0.54166666666666663</v>
      </c>
      <c r="G31" s="20">
        <v>1.7361111111111109E-4</v>
      </c>
      <c r="H31" s="18" t="s">
        <v>93</v>
      </c>
      <c r="I31" s="21">
        <v>0.54098379629629634</v>
      </c>
      <c r="J31" s="18" t="s">
        <v>76</v>
      </c>
      <c r="K31" s="18" t="s">
        <v>129</v>
      </c>
      <c r="L31" s="22">
        <v>1</v>
      </c>
      <c r="M31" s="22">
        <v>71189</v>
      </c>
      <c r="N31" s="18" t="s">
        <v>53</v>
      </c>
      <c r="O31" s="22" t="s">
        <v>82</v>
      </c>
      <c r="P31" s="23">
        <v>70</v>
      </c>
      <c r="Q31" s="22"/>
      <c r="R31" s="23">
        <v>70</v>
      </c>
      <c r="S31" s="24">
        <v>46063</v>
      </c>
      <c r="T31" s="23">
        <v>10.5</v>
      </c>
      <c r="U31" s="25">
        <v>4</v>
      </c>
      <c r="V31" s="23">
        <v>59.5</v>
      </c>
      <c r="W31" s="18" t="s">
        <v>47</v>
      </c>
      <c r="X31" s="18" t="s">
        <v>48</v>
      </c>
      <c r="Y31" s="18" t="s">
        <v>78</v>
      </c>
      <c r="Z31" s="18" t="s">
        <v>9</v>
      </c>
      <c r="AA31" s="18" t="s">
        <v>49</v>
      </c>
      <c r="AB31" s="18" t="s">
        <v>83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28" customFormat="1" ht="35.1" customHeight="1" x14ac:dyDescent="0.25">
      <c r="A32" s="9" t="s">
        <v>94</v>
      </c>
      <c r="B32" s="10">
        <v>46063</v>
      </c>
      <c r="C32" s="10">
        <v>46063</v>
      </c>
      <c r="D32" s="11" t="s">
        <v>132</v>
      </c>
      <c r="E32" s="12">
        <v>0.54166666666666663</v>
      </c>
      <c r="F32" s="12">
        <v>0.5625</v>
      </c>
      <c r="G32" s="12">
        <v>2.0833333333333332E-2</v>
      </c>
      <c r="H32" s="9" t="s">
        <v>95</v>
      </c>
      <c r="I32" s="13"/>
      <c r="J32" s="9" t="s">
        <v>96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5.1" customHeight="1" x14ac:dyDescent="0.25">
      <c r="A33" s="18" t="s">
        <v>144</v>
      </c>
      <c r="B33" s="19">
        <v>46063</v>
      </c>
      <c r="C33" s="19">
        <v>46063</v>
      </c>
      <c r="D33" s="18" t="s">
        <v>132</v>
      </c>
      <c r="E33" s="20">
        <v>0.54166666666666663</v>
      </c>
      <c r="F33" s="20">
        <v>0.5625</v>
      </c>
      <c r="G33" s="20">
        <v>1.7361111111111109E-4</v>
      </c>
      <c r="H33" s="18" t="s">
        <v>151</v>
      </c>
      <c r="I33" s="21">
        <v>0.5473958333333333</v>
      </c>
      <c r="J33" s="18" t="s">
        <v>96</v>
      </c>
      <c r="K33" s="18" t="s">
        <v>161</v>
      </c>
      <c r="L33" s="22">
        <v>1</v>
      </c>
      <c r="M33" s="22">
        <v>69976</v>
      </c>
      <c r="N33" s="18" t="s">
        <v>53</v>
      </c>
      <c r="O33" s="22" t="s">
        <v>152</v>
      </c>
      <c r="P33" s="23">
        <v>64.705882352941174</v>
      </c>
      <c r="Q33" s="22"/>
      <c r="R33" s="23">
        <v>64.705882352941174</v>
      </c>
      <c r="S33" s="24">
        <v>46054</v>
      </c>
      <c r="T33" s="23">
        <v>9.7058823529411757</v>
      </c>
      <c r="U33" s="25">
        <v>4</v>
      </c>
      <c r="V33" s="23">
        <v>55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153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28" customFormat="1" ht="35.1" customHeight="1" x14ac:dyDescent="0.25">
      <c r="A34" s="18" t="s">
        <v>144</v>
      </c>
      <c r="B34" s="19">
        <v>46063</v>
      </c>
      <c r="C34" s="19">
        <v>46063</v>
      </c>
      <c r="D34" s="18" t="s">
        <v>132</v>
      </c>
      <c r="E34" s="20">
        <v>0.54166666666666663</v>
      </c>
      <c r="F34" s="20">
        <v>0.5625</v>
      </c>
      <c r="G34" s="20">
        <v>1.7361111111111109E-4</v>
      </c>
      <c r="H34" s="18" t="s">
        <v>154</v>
      </c>
      <c r="I34" s="21">
        <v>0.5619791666666667</v>
      </c>
      <c r="J34" s="18" t="s">
        <v>96</v>
      </c>
      <c r="K34" s="18" t="s">
        <v>161</v>
      </c>
      <c r="L34" s="22">
        <v>1</v>
      </c>
      <c r="M34" s="22">
        <v>69976</v>
      </c>
      <c r="N34" s="18" t="s">
        <v>53</v>
      </c>
      <c r="O34" s="22" t="s">
        <v>152</v>
      </c>
      <c r="P34" s="23">
        <v>64.705882352941174</v>
      </c>
      <c r="Q34" s="22"/>
      <c r="R34" s="23">
        <v>64.705882352941174</v>
      </c>
      <c r="S34" s="24">
        <v>46054</v>
      </c>
      <c r="T34" s="23">
        <v>9.7058823529411757</v>
      </c>
      <c r="U34" s="25">
        <v>4</v>
      </c>
      <c r="V34" s="23">
        <v>55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153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28" customFormat="1" ht="35.1" customHeight="1" x14ac:dyDescent="0.25">
      <c r="A35" s="9" t="s">
        <v>94</v>
      </c>
      <c r="B35" s="10">
        <v>46063</v>
      </c>
      <c r="C35" s="10">
        <v>46063</v>
      </c>
      <c r="D35" s="11" t="s">
        <v>132</v>
      </c>
      <c r="E35" s="12">
        <v>0.5625</v>
      </c>
      <c r="F35" s="12">
        <v>0.58333333333333337</v>
      </c>
      <c r="G35" s="12">
        <v>2.0833333333333332E-2</v>
      </c>
      <c r="H35" s="9" t="s">
        <v>97</v>
      </c>
      <c r="I35" s="13"/>
      <c r="J35" s="9" t="s">
        <v>96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5.1" customHeight="1" x14ac:dyDescent="0.25">
      <c r="A36" s="18" t="s">
        <v>144</v>
      </c>
      <c r="B36" s="19">
        <v>46063</v>
      </c>
      <c r="C36" s="19">
        <v>46063</v>
      </c>
      <c r="D36" s="18" t="s">
        <v>132</v>
      </c>
      <c r="E36" s="20">
        <v>0.5625</v>
      </c>
      <c r="F36" s="20">
        <v>0.58333333333333337</v>
      </c>
      <c r="G36" s="20">
        <v>1.7361111111111109E-4</v>
      </c>
      <c r="H36" s="18" t="s">
        <v>151</v>
      </c>
      <c r="I36" s="21">
        <v>0.58297754629629628</v>
      </c>
      <c r="J36" s="18" t="s">
        <v>96</v>
      </c>
      <c r="K36" s="18" t="s">
        <v>162</v>
      </c>
      <c r="L36" s="22">
        <v>1</v>
      </c>
      <c r="M36" s="22">
        <v>69977</v>
      </c>
      <c r="N36" s="18" t="s">
        <v>53</v>
      </c>
      <c r="O36" s="22" t="s">
        <v>152</v>
      </c>
      <c r="P36" s="23">
        <v>64.705882352941174</v>
      </c>
      <c r="Q36" s="22"/>
      <c r="R36" s="23">
        <v>64.705882352941174</v>
      </c>
      <c r="S36" s="24">
        <v>46054</v>
      </c>
      <c r="T36" s="23">
        <v>9.7058823529411757</v>
      </c>
      <c r="U36" s="25">
        <v>4</v>
      </c>
      <c r="V36" s="23">
        <v>55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153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28" customFormat="1" ht="35.1" customHeight="1" x14ac:dyDescent="0.25">
      <c r="A37" s="9" t="s">
        <v>98</v>
      </c>
      <c r="B37" s="10">
        <v>46063</v>
      </c>
      <c r="C37" s="10">
        <v>46063</v>
      </c>
      <c r="D37" s="11" t="s">
        <v>132</v>
      </c>
      <c r="E37" s="12">
        <v>0.58333333333333337</v>
      </c>
      <c r="F37" s="12">
        <v>0.625</v>
      </c>
      <c r="G37" s="12">
        <v>4.1666666666666664E-2</v>
      </c>
      <c r="H37" s="9" t="s">
        <v>99</v>
      </c>
      <c r="I37" s="13"/>
      <c r="J37" s="9" t="s">
        <v>100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8" customFormat="1" ht="35.1" customHeight="1" x14ac:dyDescent="0.25">
      <c r="A38" s="9" t="s">
        <v>98</v>
      </c>
      <c r="B38" s="10">
        <v>46063</v>
      </c>
      <c r="C38" s="10">
        <v>46063</v>
      </c>
      <c r="D38" s="11" t="s">
        <v>132</v>
      </c>
      <c r="E38" s="12">
        <v>0.625</v>
      </c>
      <c r="F38" s="12">
        <v>0.64583333333333337</v>
      </c>
      <c r="G38" s="12">
        <v>2.0833333333333332E-2</v>
      </c>
      <c r="H38" s="9" t="s">
        <v>101</v>
      </c>
      <c r="I38" s="13"/>
      <c r="J38" s="9" t="s">
        <v>100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5.1" customHeight="1" x14ac:dyDescent="0.25">
      <c r="A39" s="18" t="s">
        <v>144</v>
      </c>
      <c r="B39" s="19">
        <v>46063</v>
      </c>
      <c r="C39" s="19">
        <v>46063</v>
      </c>
      <c r="D39" s="18" t="s">
        <v>132</v>
      </c>
      <c r="E39" s="20">
        <v>0.58333333333333337</v>
      </c>
      <c r="F39" s="20">
        <v>0.66666666666666663</v>
      </c>
      <c r="G39" s="20">
        <v>1.7361111111111109E-4</v>
      </c>
      <c r="H39" s="18" t="s">
        <v>154</v>
      </c>
      <c r="I39" s="21">
        <v>0.63037037037037036</v>
      </c>
      <c r="J39" s="18" t="s">
        <v>96</v>
      </c>
      <c r="K39" s="18" t="s">
        <v>163</v>
      </c>
      <c r="L39" s="22">
        <v>1</v>
      </c>
      <c r="M39" s="22">
        <v>69978</v>
      </c>
      <c r="N39" s="18" t="s">
        <v>53</v>
      </c>
      <c r="O39" s="22" t="s">
        <v>152</v>
      </c>
      <c r="P39" s="23">
        <v>64.705882352941174</v>
      </c>
      <c r="Q39" s="22"/>
      <c r="R39" s="23">
        <v>64.705882352941174</v>
      </c>
      <c r="S39" s="24">
        <v>46054</v>
      </c>
      <c r="T39" s="23">
        <v>9.7058823529411757</v>
      </c>
      <c r="U39" s="25">
        <v>4</v>
      </c>
      <c r="V39" s="23">
        <v>55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153</v>
      </c>
      <c r="AC39" s="18" t="s">
        <v>38</v>
      </c>
      <c r="AD39" s="7" t="str">
        <f>IF(N39="PRG","",IF(I39&gt;=E39,IF(I39&lt;=F39,"","NO"),"NO"))</f>
        <v/>
      </c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</row>
    <row r="40" spans="1:49" s="28" customFormat="1" ht="35.1" customHeight="1" x14ac:dyDescent="0.25">
      <c r="A40" s="18" t="s">
        <v>144</v>
      </c>
      <c r="B40" s="19">
        <v>46063</v>
      </c>
      <c r="C40" s="19">
        <v>46063</v>
      </c>
      <c r="D40" s="18" t="s">
        <v>132</v>
      </c>
      <c r="E40" s="20">
        <v>0.54166666666666663</v>
      </c>
      <c r="F40" s="20">
        <v>0.66666666666666663</v>
      </c>
      <c r="G40" s="20">
        <v>1.7361111111111109E-4</v>
      </c>
      <c r="H40" s="18" t="s">
        <v>151</v>
      </c>
      <c r="I40" s="21">
        <v>0.64523148148148146</v>
      </c>
      <c r="J40" s="18" t="s">
        <v>96</v>
      </c>
      <c r="K40" s="18" t="s">
        <v>163</v>
      </c>
      <c r="L40" s="22">
        <v>1</v>
      </c>
      <c r="M40" s="22">
        <v>70032</v>
      </c>
      <c r="N40" s="18" t="s">
        <v>46</v>
      </c>
      <c r="O40" s="22" t="s">
        <v>152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153</v>
      </c>
      <c r="AC40" s="18" t="s">
        <v>38</v>
      </c>
      <c r="AD40" s="7" t="str">
        <f>IF(N40="PRG","",IF(I40&gt;=E40,IF(I40&lt;=F40,"","NO"),"NO"))</f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28" customFormat="1" ht="35.1" customHeight="1" x14ac:dyDescent="0.25">
      <c r="A41" s="9" t="s">
        <v>98</v>
      </c>
      <c r="B41" s="10">
        <v>46063</v>
      </c>
      <c r="C41" s="10">
        <v>46063</v>
      </c>
      <c r="D41" s="11" t="s">
        <v>132</v>
      </c>
      <c r="E41" s="12">
        <v>0.64583333333333337</v>
      </c>
      <c r="F41" s="12">
        <v>0.66666666666666663</v>
      </c>
      <c r="G41" s="12">
        <v>2.0833333333333332E-2</v>
      </c>
      <c r="H41" s="9" t="s">
        <v>102</v>
      </c>
      <c r="I41" s="13"/>
      <c r="J41" s="9" t="s">
        <v>100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28" customFormat="1" ht="35.1" customHeight="1" x14ac:dyDescent="0.25">
      <c r="A42" s="9" t="s">
        <v>103</v>
      </c>
      <c r="B42" s="10">
        <v>46063</v>
      </c>
      <c r="C42" s="10">
        <v>46063</v>
      </c>
      <c r="D42" s="11" t="s">
        <v>132</v>
      </c>
      <c r="E42" s="12">
        <v>0.66666666666666663</v>
      </c>
      <c r="F42" s="12">
        <v>0.6875</v>
      </c>
      <c r="G42" s="12">
        <v>2.0833333333333332E-2</v>
      </c>
      <c r="H42" s="9" t="s">
        <v>104</v>
      </c>
      <c r="I42" s="13"/>
      <c r="J42" s="9" t="s">
        <v>105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28" customFormat="1" ht="35.1" customHeight="1" x14ac:dyDescent="0.25">
      <c r="A43" s="9" t="s">
        <v>111</v>
      </c>
      <c r="B43" s="10">
        <v>46063</v>
      </c>
      <c r="C43" s="10">
        <v>46063</v>
      </c>
      <c r="D43" s="11" t="s">
        <v>132</v>
      </c>
      <c r="E43" s="12">
        <v>0.6875</v>
      </c>
      <c r="F43" s="12">
        <v>0.70833333333333337</v>
      </c>
      <c r="G43" s="12">
        <v>2.0833333333333332E-2</v>
      </c>
      <c r="H43" s="9" t="s">
        <v>112</v>
      </c>
      <c r="I43" s="13"/>
      <c r="J43" s="9" t="s">
        <v>105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8" customFormat="1" ht="35.1" customHeight="1" x14ac:dyDescent="0.25">
      <c r="A44" s="9" t="s">
        <v>103</v>
      </c>
      <c r="B44" s="10">
        <v>46063</v>
      </c>
      <c r="C44" s="10">
        <v>46063</v>
      </c>
      <c r="D44" s="11" t="s">
        <v>132</v>
      </c>
      <c r="E44" s="12">
        <v>0.70833333333333337</v>
      </c>
      <c r="F44" s="12">
        <v>0.75</v>
      </c>
      <c r="G44" s="12">
        <v>4.1666666666666664E-2</v>
      </c>
      <c r="H44" s="9" t="s">
        <v>155</v>
      </c>
      <c r="I44" s="13"/>
      <c r="J44" s="9" t="s">
        <v>105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5.1" customHeight="1" x14ac:dyDescent="0.25">
      <c r="A45" s="18" t="s">
        <v>74</v>
      </c>
      <c r="B45" s="19">
        <v>46063</v>
      </c>
      <c r="C45" s="19">
        <v>46063</v>
      </c>
      <c r="D45" s="18" t="s">
        <v>132</v>
      </c>
      <c r="E45" s="20">
        <v>0.66666666666666663</v>
      </c>
      <c r="F45" s="20">
        <v>0.79166666666666663</v>
      </c>
      <c r="G45" s="20">
        <v>3.4722222222222218E-4</v>
      </c>
      <c r="H45" s="18" t="s">
        <v>110</v>
      </c>
      <c r="I45" s="21">
        <v>0.71436342592592594</v>
      </c>
      <c r="J45" s="18" t="s">
        <v>105</v>
      </c>
      <c r="K45" s="18" t="s">
        <v>155</v>
      </c>
      <c r="L45" s="22">
        <v>1</v>
      </c>
      <c r="M45" s="22">
        <v>71439</v>
      </c>
      <c r="N45" s="18" t="s">
        <v>53</v>
      </c>
      <c r="O45" s="22" t="s">
        <v>107</v>
      </c>
      <c r="P45" s="23">
        <v>105.88235294117646</v>
      </c>
      <c r="Q45" s="22"/>
      <c r="R45" s="23">
        <v>105.88235294117646</v>
      </c>
      <c r="S45" s="24">
        <v>46063</v>
      </c>
      <c r="T45" s="23">
        <v>15.882352941176469</v>
      </c>
      <c r="U45" s="25">
        <v>4</v>
      </c>
      <c r="V45" s="23">
        <v>90</v>
      </c>
      <c r="W45" s="18" t="s">
        <v>47</v>
      </c>
      <c r="X45" s="18" t="s">
        <v>48</v>
      </c>
      <c r="Y45" s="18" t="s">
        <v>78</v>
      </c>
      <c r="Z45" s="18" t="s">
        <v>9</v>
      </c>
      <c r="AA45" s="18" t="s">
        <v>49</v>
      </c>
      <c r="AB45" s="18" t="s">
        <v>108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28" customFormat="1" ht="35.1" customHeight="1" x14ac:dyDescent="0.25">
      <c r="A46" s="18" t="s">
        <v>74</v>
      </c>
      <c r="B46" s="19">
        <v>46063</v>
      </c>
      <c r="C46" s="19">
        <v>46063</v>
      </c>
      <c r="D46" s="18" t="s">
        <v>132</v>
      </c>
      <c r="E46" s="20">
        <v>0.66666666666666663</v>
      </c>
      <c r="F46" s="20">
        <v>0.79166666666666663</v>
      </c>
      <c r="G46" s="20">
        <v>3.4722222222222218E-4</v>
      </c>
      <c r="H46" s="18" t="s">
        <v>106</v>
      </c>
      <c r="I46" s="21">
        <v>0.73444444444444446</v>
      </c>
      <c r="J46" s="18" t="s">
        <v>105</v>
      </c>
      <c r="K46" s="18" t="s">
        <v>155</v>
      </c>
      <c r="L46" s="22">
        <v>1</v>
      </c>
      <c r="M46" s="22">
        <v>71441</v>
      </c>
      <c r="N46" s="18" t="s">
        <v>46</v>
      </c>
      <c r="O46" s="22" t="s">
        <v>107</v>
      </c>
      <c r="P46" s="23">
        <v>0</v>
      </c>
      <c r="Q46" s="22"/>
      <c r="R46" s="23">
        <v>0</v>
      </c>
      <c r="S46" s="24">
        <v>46063</v>
      </c>
      <c r="T46" s="23">
        <v>0</v>
      </c>
      <c r="U46" s="25">
        <v>4</v>
      </c>
      <c r="V46" s="23">
        <v>0</v>
      </c>
      <c r="W46" s="18" t="s">
        <v>47</v>
      </c>
      <c r="X46" s="18" t="s">
        <v>48</v>
      </c>
      <c r="Y46" s="18" t="s">
        <v>78</v>
      </c>
      <c r="Z46" s="18" t="s">
        <v>9</v>
      </c>
      <c r="AA46" s="18" t="s">
        <v>49</v>
      </c>
      <c r="AB46" s="18" t="s">
        <v>108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28" customFormat="1" ht="35.1" customHeight="1" x14ac:dyDescent="0.25">
      <c r="A47" s="9" t="s">
        <v>111</v>
      </c>
      <c r="B47" s="10">
        <v>46063</v>
      </c>
      <c r="C47" s="10">
        <v>46063</v>
      </c>
      <c r="D47" s="11" t="s">
        <v>132</v>
      </c>
      <c r="E47" s="12">
        <v>0.75</v>
      </c>
      <c r="F47" s="12">
        <v>0.77083333333333337</v>
      </c>
      <c r="G47" s="12">
        <v>2.0833333333333332E-2</v>
      </c>
      <c r="H47" s="9" t="s">
        <v>114</v>
      </c>
      <c r="I47" s="13"/>
      <c r="J47" s="9" t="s">
        <v>105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6"/>
      <c r="AF47" s="26"/>
      <c r="AG47" s="26"/>
      <c r="AH47" s="26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28" customFormat="1" ht="35.1" customHeight="1" x14ac:dyDescent="0.25">
      <c r="A48" s="18" t="s">
        <v>44</v>
      </c>
      <c r="B48" s="19">
        <v>46063</v>
      </c>
      <c r="C48" s="19">
        <v>46063</v>
      </c>
      <c r="D48" s="18" t="s">
        <v>132</v>
      </c>
      <c r="E48" s="20">
        <v>0.66666666666666663</v>
      </c>
      <c r="F48" s="20">
        <v>0.79166666666666663</v>
      </c>
      <c r="G48" s="20">
        <v>3.4722222222222218E-4</v>
      </c>
      <c r="H48" s="18" t="s">
        <v>109</v>
      </c>
      <c r="I48" s="21">
        <v>0.76893518518518522</v>
      </c>
      <c r="J48" s="18" t="s">
        <v>105</v>
      </c>
      <c r="K48" s="18" t="s">
        <v>164</v>
      </c>
      <c r="L48" s="22">
        <v>1</v>
      </c>
      <c r="M48" s="22">
        <v>70966</v>
      </c>
      <c r="N48" s="18" t="s">
        <v>53</v>
      </c>
      <c r="O48" s="22" t="str">
        <f>AC48</f>
        <v>SFO</v>
      </c>
      <c r="P48" s="23">
        <v>117.65</v>
      </c>
      <c r="Q48" s="22"/>
      <c r="R48" s="23">
        <v>117.65</v>
      </c>
      <c r="S48" s="24">
        <v>46054</v>
      </c>
      <c r="T48" s="23">
        <v>8.8237500000000004</v>
      </c>
      <c r="U48" s="25">
        <v>4</v>
      </c>
      <c r="V48" s="23">
        <v>108.82625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50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8" customFormat="1" ht="35.1" customHeight="1" x14ac:dyDescent="0.25">
      <c r="A49" s="9" t="s">
        <v>111</v>
      </c>
      <c r="B49" s="10">
        <v>46063</v>
      </c>
      <c r="C49" s="10">
        <v>46063</v>
      </c>
      <c r="D49" s="11" t="s">
        <v>132</v>
      </c>
      <c r="E49" s="12">
        <v>0.77083333333333337</v>
      </c>
      <c r="F49" s="12">
        <v>0.79166666666666663</v>
      </c>
      <c r="G49" s="12">
        <v>2.0833333333333332E-2</v>
      </c>
      <c r="H49" s="9" t="s">
        <v>112</v>
      </c>
      <c r="I49" s="13"/>
      <c r="J49" s="9" t="s">
        <v>105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28" customFormat="1" ht="35.1" customHeight="1" x14ac:dyDescent="0.25">
      <c r="A50" s="9" t="s">
        <v>39</v>
      </c>
      <c r="B50" s="10">
        <v>46063</v>
      </c>
      <c r="C50" s="10">
        <v>46063</v>
      </c>
      <c r="D50" s="11" t="s">
        <v>132</v>
      </c>
      <c r="E50" s="12">
        <v>0.79166666666666663</v>
      </c>
      <c r="F50" s="12">
        <v>0.8125</v>
      </c>
      <c r="G50" s="12">
        <v>2.0833333333333332E-2</v>
      </c>
      <c r="H50" s="9" t="s">
        <v>115</v>
      </c>
      <c r="I50" s="13"/>
      <c r="J50" s="9" t="s">
        <v>116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28" customFormat="1" ht="35.1" customHeight="1" x14ac:dyDescent="0.25">
      <c r="A51" s="18" t="s">
        <v>133</v>
      </c>
      <c r="B51" s="19">
        <v>46063</v>
      </c>
      <c r="C51" s="19">
        <v>46063</v>
      </c>
      <c r="D51" s="18" t="s">
        <v>132</v>
      </c>
      <c r="E51" s="20">
        <v>0.79166666666666663</v>
      </c>
      <c r="F51" s="20">
        <v>0.99930555555555556</v>
      </c>
      <c r="G51" s="20">
        <v>1.6203703703703701E-4</v>
      </c>
      <c r="H51" s="18" t="s">
        <v>134</v>
      </c>
      <c r="I51" s="21">
        <v>0.79851898148148137</v>
      </c>
      <c r="J51" s="18" t="s">
        <v>116</v>
      </c>
      <c r="K51" s="18" t="s">
        <v>115</v>
      </c>
      <c r="L51" s="22">
        <v>1</v>
      </c>
      <c r="M51" s="22">
        <v>66849</v>
      </c>
      <c r="N51" s="18" t="s">
        <v>53</v>
      </c>
      <c r="O51" s="22" t="s">
        <v>135</v>
      </c>
      <c r="P51" s="23">
        <v>0</v>
      </c>
      <c r="Q51" s="22"/>
      <c r="R51" s="23">
        <v>0</v>
      </c>
      <c r="S51" s="24">
        <v>46054</v>
      </c>
      <c r="T51" s="23">
        <v>0</v>
      </c>
      <c r="U51" s="25">
        <v>4</v>
      </c>
      <c r="V51" s="23">
        <v>59.5</v>
      </c>
      <c r="W51" s="18" t="s">
        <v>47</v>
      </c>
      <c r="X51" s="18" t="s">
        <v>48</v>
      </c>
      <c r="Y51" s="18" t="s">
        <v>36</v>
      </c>
      <c r="Z51" s="18" t="s">
        <v>9</v>
      </c>
      <c r="AA51" s="18" t="s">
        <v>49</v>
      </c>
      <c r="AB51" s="18" t="s">
        <v>136</v>
      </c>
      <c r="AC51" s="18" t="s">
        <v>38</v>
      </c>
      <c r="AD51" s="7" t="str">
        <f t="shared" si="0"/>
        <v/>
      </c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</row>
    <row r="52" spans="1:49" s="28" customFormat="1" ht="35.1" customHeight="1" x14ac:dyDescent="0.25">
      <c r="A52" s="9" t="s">
        <v>39</v>
      </c>
      <c r="B52" s="10">
        <v>46063</v>
      </c>
      <c r="C52" s="10">
        <v>46063</v>
      </c>
      <c r="D52" s="11" t="s">
        <v>132</v>
      </c>
      <c r="E52" s="12">
        <v>0.8125</v>
      </c>
      <c r="F52" s="12">
        <v>0.83333333333333337</v>
      </c>
      <c r="G52" s="12">
        <v>2.0833333333333332E-2</v>
      </c>
      <c r="H52" s="9" t="s">
        <v>120</v>
      </c>
      <c r="I52" s="13"/>
      <c r="J52" s="9" t="s">
        <v>116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28" customFormat="1" ht="35.1" customHeight="1" x14ac:dyDescent="0.25">
      <c r="A53" s="18" t="s">
        <v>133</v>
      </c>
      <c r="B53" s="19">
        <v>46063</v>
      </c>
      <c r="C53" s="19">
        <v>46063</v>
      </c>
      <c r="D53" s="18" t="s">
        <v>132</v>
      </c>
      <c r="E53" s="20">
        <v>0.79166666666666663</v>
      </c>
      <c r="F53" s="20">
        <v>0.99930555555555556</v>
      </c>
      <c r="G53" s="20">
        <v>1.7361111111111109E-4</v>
      </c>
      <c r="H53" s="18" t="s">
        <v>158</v>
      </c>
      <c r="I53" s="21">
        <v>0.82044016203703707</v>
      </c>
      <c r="J53" s="18" t="s">
        <v>116</v>
      </c>
      <c r="K53" s="18" t="s">
        <v>131</v>
      </c>
      <c r="L53" s="22">
        <v>1</v>
      </c>
      <c r="M53" s="22">
        <v>66849</v>
      </c>
      <c r="N53" s="18" t="s">
        <v>53</v>
      </c>
      <c r="O53" s="22" t="s">
        <v>135</v>
      </c>
      <c r="P53" s="23">
        <v>0</v>
      </c>
      <c r="Q53" s="22"/>
      <c r="R53" s="23">
        <v>0</v>
      </c>
      <c r="S53" s="24">
        <v>46054</v>
      </c>
      <c r="T53" s="23">
        <v>0</v>
      </c>
      <c r="U53" s="25">
        <v>4</v>
      </c>
      <c r="V53" s="23">
        <v>59.5</v>
      </c>
      <c r="W53" s="18" t="s">
        <v>47</v>
      </c>
      <c r="X53" s="18" t="s">
        <v>48</v>
      </c>
      <c r="Y53" s="18" t="s">
        <v>36</v>
      </c>
      <c r="Z53" s="18" t="s">
        <v>9</v>
      </c>
      <c r="AA53" s="18" t="s">
        <v>49</v>
      </c>
      <c r="AB53" s="18" t="s">
        <v>136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28" customFormat="1" ht="35.1" customHeight="1" x14ac:dyDescent="0.25">
      <c r="A54" s="18" t="s">
        <v>89</v>
      </c>
      <c r="B54" s="19">
        <v>46063</v>
      </c>
      <c r="C54" s="19">
        <v>46063</v>
      </c>
      <c r="D54" s="18" t="s">
        <v>132</v>
      </c>
      <c r="E54" s="20">
        <v>0.8125</v>
      </c>
      <c r="F54" s="20">
        <v>0.83333333333333337</v>
      </c>
      <c r="G54" s="20">
        <v>3.4722222222222218E-4</v>
      </c>
      <c r="H54" s="18" t="s">
        <v>121</v>
      </c>
      <c r="I54" s="21">
        <v>0.8206137731481481</v>
      </c>
      <c r="J54" s="18" t="s">
        <v>116</v>
      </c>
      <c r="K54" s="18" t="s">
        <v>131</v>
      </c>
      <c r="L54" s="22">
        <v>1</v>
      </c>
      <c r="M54" s="22">
        <v>70392</v>
      </c>
      <c r="N54" s="18" t="s">
        <v>53</v>
      </c>
      <c r="O54" s="22" t="s">
        <v>91</v>
      </c>
      <c r="P54" s="23">
        <v>160</v>
      </c>
      <c r="Q54" s="22"/>
      <c r="R54" s="23">
        <v>160</v>
      </c>
      <c r="S54" s="24">
        <v>46054</v>
      </c>
      <c r="T54" s="23">
        <v>24</v>
      </c>
      <c r="U54" s="25">
        <v>4</v>
      </c>
      <c r="V54" s="23">
        <v>136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92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28" customFormat="1" ht="35.1" customHeight="1" x14ac:dyDescent="0.25">
      <c r="A55" s="18" t="s">
        <v>44</v>
      </c>
      <c r="B55" s="19">
        <v>46063</v>
      </c>
      <c r="C55" s="19">
        <v>46063</v>
      </c>
      <c r="D55" s="18" t="s">
        <v>132</v>
      </c>
      <c r="E55" s="20">
        <v>0.79166666666666663</v>
      </c>
      <c r="F55" s="20">
        <v>0.83333333333333337</v>
      </c>
      <c r="G55" s="20">
        <v>3.4722222222222218E-4</v>
      </c>
      <c r="H55" s="18" t="s">
        <v>138</v>
      </c>
      <c r="I55" s="21">
        <v>0.82096122685185191</v>
      </c>
      <c r="J55" s="18" t="s">
        <v>116</v>
      </c>
      <c r="K55" s="18" t="s">
        <v>131</v>
      </c>
      <c r="L55" s="22">
        <v>1</v>
      </c>
      <c r="M55" s="22">
        <v>70960</v>
      </c>
      <c r="N55" s="18" t="s">
        <v>53</v>
      </c>
      <c r="O55" s="22" t="str">
        <f>AC55</f>
        <v>SFO</v>
      </c>
      <c r="P55" s="23">
        <v>117.65</v>
      </c>
      <c r="Q55" s="22"/>
      <c r="R55" s="23">
        <v>117.65</v>
      </c>
      <c r="S55" s="24">
        <v>46054</v>
      </c>
      <c r="T55" s="23">
        <v>8.8237500000000004</v>
      </c>
      <c r="U55" s="25">
        <v>4</v>
      </c>
      <c r="V55" s="23">
        <v>108.82625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50</v>
      </c>
      <c r="AC55" s="18" t="s">
        <v>38</v>
      </c>
      <c r="AD55" s="7" t="str">
        <f t="shared" si="0"/>
        <v/>
      </c>
      <c r="AE55" s="26"/>
      <c r="AF55" s="26"/>
      <c r="AG55" s="26"/>
      <c r="AH55" s="26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s="28" customFormat="1" ht="35.1" customHeight="1" x14ac:dyDescent="0.25">
      <c r="A56" s="18" t="s">
        <v>133</v>
      </c>
      <c r="B56" s="19">
        <v>46063</v>
      </c>
      <c r="C56" s="19">
        <v>46063</v>
      </c>
      <c r="D56" s="18" t="s">
        <v>132</v>
      </c>
      <c r="E56" s="20">
        <v>0.25</v>
      </c>
      <c r="F56" s="20">
        <v>0.99930555555555556</v>
      </c>
      <c r="G56" s="20">
        <v>1.6203703703703701E-4</v>
      </c>
      <c r="H56" s="18" t="s">
        <v>134</v>
      </c>
      <c r="I56" s="21">
        <v>0.83122754629629625</v>
      </c>
      <c r="J56" s="18" t="s">
        <v>41</v>
      </c>
      <c r="K56" s="18" t="s">
        <v>131</v>
      </c>
      <c r="L56" s="22">
        <v>1</v>
      </c>
      <c r="M56" s="22">
        <v>66852</v>
      </c>
      <c r="N56" s="18" t="s">
        <v>46</v>
      </c>
      <c r="O56" s="22" t="s">
        <v>135</v>
      </c>
      <c r="P56" s="23">
        <v>0</v>
      </c>
      <c r="Q56" s="22"/>
      <c r="R56" s="23">
        <v>0</v>
      </c>
      <c r="S56" s="24">
        <v>46054</v>
      </c>
      <c r="T56" s="23">
        <v>0</v>
      </c>
      <c r="U56" s="25">
        <v>4</v>
      </c>
      <c r="V56" s="23">
        <v>0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136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28" customFormat="1" ht="35.1" customHeight="1" x14ac:dyDescent="0.25">
      <c r="A57" s="9" t="s">
        <v>122</v>
      </c>
      <c r="B57" s="10">
        <v>46063</v>
      </c>
      <c r="C57" s="10">
        <v>46063</v>
      </c>
      <c r="D57" s="11" t="s">
        <v>132</v>
      </c>
      <c r="E57" s="12">
        <v>0.83333333333333337</v>
      </c>
      <c r="F57" s="12">
        <v>0.875</v>
      </c>
      <c r="G57" s="12">
        <v>4.1666666666666664E-2</v>
      </c>
      <c r="H57" s="9" t="s">
        <v>123</v>
      </c>
      <c r="I57" s="13"/>
      <c r="J57" s="9" t="s">
        <v>41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28" customFormat="1" ht="35.1" customHeight="1" x14ac:dyDescent="0.25">
      <c r="A58" s="18" t="s">
        <v>133</v>
      </c>
      <c r="B58" s="19">
        <v>46063</v>
      </c>
      <c r="C58" s="19">
        <v>46063</v>
      </c>
      <c r="D58" s="18" t="s">
        <v>132</v>
      </c>
      <c r="E58" s="20">
        <v>0.83333333333333337</v>
      </c>
      <c r="F58" s="20">
        <v>0.875</v>
      </c>
      <c r="G58" s="20">
        <v>1.6203703703703701E-4</v>
      </c>
      <c r="H58" s="18" t="s">
        <v>159</v>
      </c>
      <c r="I58" s="21">
        <v>0.85360115740740738</v>
      </c>
      <c r="J58" s="18" t="s">
        <v>41</v>
      </c>
      <c r="K58" s="18" t="s">
        <v>165</v>
      </c>
      <c r="L58" s="22">
        <v>1</v>
      </c>
      <c r="M58" s="22">
        <v>66850</v>
      </c>
      <c r="N58" s="18" t="s">
        <v>53</v>
      </c>
      <c r="O58" s="22" t="s">
        <v>135</v>
      </c>
      <c r="P58" s="23">
        <v>0</v>
      </c>
      <c r="Q58" s="22"/>
      <c r="R58" s="23">
        <v>0</v>
      </c>
      <c r="S58" s="24">
        <v>46054</v>
      </c>
      <c r="T58" s="23">
        <v>0</v>
      </c>
      <c r="U58" s="25">
        <v>4</v>
      </c>
      <c r="V58" s="23">
        <v>59.5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136</v>
      </c>
      <c r="AC58" s="18" t="s">
        <v>38</v>
      </c>
      <c r="AD58" s="7" t="str">
        <f t="shared" si="0"/>
        <v/>
      </c>
      <c r="AE58" s="26"/>
      <c r="AF58" s="26"/>
      <c r="AG58" s="26"/>
      <c r="AH58" s="26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28" customFormat="1" ht="35.1" customHeight="1" x14ac:dyDescent="0.25">
      <c r="A59" s="18" t="s">
        <v>133</v>
      </c>
      <c r="B59" s="19">
        <v>46063</v>
      </c>
      <c r="C59" s="19">
        <v>46063</v>
      </c>
      <c r="D59" s="18" t="s">
        <v>132</v>
      </c>
      <c r="E59" s="20">
        <v>0.83333333333333337</v>
      </c>
      <c r="F59" s="20">
        <v>0.875</v>
      </c>
      <c r="G59" s="20">
        <v>1.7361111111111109E-4</v>
      </c>
      <c r="H59" s="18" t="s">
        <v>137</v>
      </c>
      <c r="I59" s="21">
        <v>0.86840474537037038</v>
      </c>
      <c r="J59" s="18" t="s">
        <v>41</v>
      </c>
      <c r="K59" s="18" t="s">
        <v>165</v>
      </c>
      <c r="L59" s="22">
        <v>1</v>
      </c>
      <c r="M59" s="22">
        <v>66850</v>
      </c>
      <c r="N59" s="18" t="s">
        <v>53</v>
      </c>
      <c r="O59" s="22" t="s">
        <v>135</v>
      </c>
      <c r="P59" s="23">
        <v>0</v>
      </c>
      <c r="Q59" s="22"/>
      <c r="R59" s="23">
        <v>0</v>
      </c>
      <c r="S59" s="24">
        <v>46054</v>
      </c>
      <c r="T59" s="23">
        <v>0</v>
      </c>
      <c r="U59" s="25">
        <v>4</v>
      </c>
      <c r="V59" s="23">
        <v>59.5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136</v>
      </c>
      <c r="AC59" s="18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28" customFormat="1" ht="35.1" customHeight="1" x14ac:dyDescent="0.25">
      <c r="A60" s="18" t="s">
        <v>133</v>
      </c>
      <c r="B60" s="19">
        <v>46063</v>
      </c>
      <c r="C60" s="19">
        <v>46063</v>
      </c>
      <c r="D60" s="18" t="s">
        <v>132</v>
      </c>
      <c r="E60" s="20">
        <v>0.83333333333333337</v>
      </c>
      <c r="F60" s="20">
        <v>0.875</v>
      </c>
      <c r="G60" s="20">
        <v>1.6203703703703701E-4</v>
      </c>
      <c r="H60" s="18" t="s">
        <v>159</v>
      </c>
      <c r="I60" s="21">
        <v>0.87387962962962962</v>
      </c>
      <c r="J60" s="18" t="s">
        <v>41</v>
      </c>
      <c r="K60" s="18" t="s">
        <v>165</v>
      </c>
      <c r="L60" s="22">
        <v>1</v>
      </c>
      <c r="M60" s="22">
        <v>66850</v>
      </c>
      <c r="N60" s="18" t="s">
        <v>53</v>
      </c>
      <c r="O60" s="22" t="s">
        <v>135</v>
      </c>
      <c r="P60" s="23">
        <v>0</v>
      </c>
      <c r="Q60" s="22"/>
      <c r="R60" s="23">
        <v>0</v>
      </c>
      <c r="S60" s="24">
        <v>46054</v>
      </c>
      <c r="T60" s="23">
        <v>0</v>
      </c>
      <c r="U60" s="25">
        <v>4</v>
      </c>
      <c r="V60" s="23">
        <v>59.5</v>
      </c>
      <c r="W60" s="18" t="s">
        <v>47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136</v>
      </c>
      <c r="AC60" s="18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28" customFormat="1" ht="35.1" customHeight="1" x14ac:dyDescent="0.25">
      <c r="A61" s="9" t="s">
        <v>124</v>
      </c>
      <c r="B61" s="10">
        <v>46063</v>
      </c>
      <c r="C61" s="10">
        <v>46063</v>
      </c>
      <c r="D61" s="11" t="s">
        <v>132</v>
      </c>
      <c r="E61" s="12">
        <v>0.875</v>
      </c>
      <c r="F61" s="12">
        <v>0.91666666666666663</v>
      </c>
      <c r="G61" s="12">
        <v>4.1666666666666664E-2</v>
      </c>
      <c r="H61" s="9" t="s">
        <v>125</v>
      </c>
      <c r="I61" s="13"/>
      <c r="J61" s="9" t="s">
        <v>41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28" customFormat="1" ht="35.1" customHeight="1" x14ac:dyDescent="0.25">
      <c r="A62" s="18" t="s">
        <v>117</v>
      </c>
      <c r="B62" s="19">
        <v>46063</v>
      </c>
      <c r="C62" s="19">
        <v>46063</v>
      </c>
      <c r="D62" s="18" t="s">
        <v>132</v>
      </c>
      <c r="E62" s="20">
        <v>0.79166666666666663</v>
      </c>
      <c r="F62" s="20">
        <v>0.99930555555555556</v>
      </c>
      <c r="G62" s="20">
        <v>3.4722222222222218E-4</v>
      </c>
      <c r="H62" s="18" t="s">
        <v>156</v>
      </c>
      <c r="I62" s="21">
        <v>0.90844907407407405</v>
      </c>
      <c r="J62" s="18" t="s">
        <v>157</v>
      </c>
      <c r="K62" s="18" t="s">
        <v>125</v>
      </c>
      <c r="L62" s="22">
        <v>1</v>
      </c>
      <c r="M62" s="22">
        <v>71271</v>
      </c>
      <c r="N62" s="18" t="s">
        <v>46</v>
      </c>
      <c r="O62" s="22" t="s">
        <v>38</v>
      </c>
      <c r="P62" s="23">
        <v>0</v>
      </c>
      <c r="Q62" s="22"/>
      <c r="R62" s="23">
        <v>0</v>
      </c>
      <c r="S62" s="24">
        <v>46063</v>
      </c>
      <c r="T62" s="23">
        <v>0</v>
      </c>
      <c r="U62" s="25">
        <v>4</v>
      </c>
      <c r="V62" s="23">
        <v>0</v>
      </c>
      <c r="W62" s="18" t="s">
        <v>47</v>
      </c>
      <c r="X62" s="18" t="s">
        <v>48</v>
      </c>
      <c r="Y62" s="18" t="s">
        <v>78</v>
      </c>
      <c r="Z62" s="18" t="s">
        <v>9</v>
      </c>
      <c r="AA62" s="18" t="s">
        <v>49</v>
      </c>
      <c r="AB62" s="18" t="s">
        <v>119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28" customFormat="1" ht="35.1" customHeight="1" x14ac:dyDescent="0.25">
      <c r="A63" s="9" t="s">
        <v>124</v>
      </c>
      <c r="B63" s="10">
        <v>46063</v>
      </c>
      <c r="C63" s="10">
        <v>46063</v>
      </c>
      <c r="D63" s="11" t="s">
        <v>132</v>
      </c>
      <c r="E63" s="12">
        <v>0.91666666666666663</v>
      </c>
      <c r="F63" s="12">
        <v>0.97916666666666663</v>
      </c>
      <c r="G63" s="12">
        <v>6.25E-2</v>
      </c>
      <c r="H63" s="9" t="s">
        <v>160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28" customFormat="1" ht="35.1" customHeight="1" x14ac:dyDescent="0.25">
      <c r="A64" s="18" t="s">
        <v>133</v>
      </c>
      <c r="B64" s="19">
        <v>46063</v>
      </c>
      <c r="C64" s="19">
        <v>46063</v>
      </c>
      <c r="D64" s="18" t="s">
        <v>132</v>
      </c>
      <c r="E64" s="20">
        <v>0.25</v>
      </c>
      <c r="F64" s="20">
        <v>0.99930555555555556</v>
      </c>
      <c r="G64" s="20">
        <v>1.7361111111111109E-4</v>
      </c>
      <c r="H64" s="18" t="s">
        <v>137</v>
      </c>
      <c r="I64" s="21">
        <v>0.97819444444444448</v>
      </c>
      <c r="J64" s="18" t="s">
        <v>41</v>
      </c>
      <c r="K64" s="18" t="s">
        <v>160</v>
      </c>
      <c r="L64" s="22">
        <v>1</v>
      </c>
      <c r="M64" s="22">
        <v>66852</v>
      </c>
      <c r="N64" s="18" t="s">
        <v>46</v>
      </c>
      <c r="O64" s="22" t="s">
        <v>135</v>
      </c>
      <c r="P64" s="23">
        <v>0</v>
      </c>
      <c r="Q64" s="22"/>
      <c r="R64" s="23">
        <v>0</v>
      </c>
      <c r="S64" s="24">
        <v>46054</v>
      </c>
      <c r="T64" s="23">
        <v>0</v>
      </c>
      <c r="U64" s="25">
        <v>4</v>
      </c>
      <c r="V64" s="23">
        <v>0</v>
      </c>
      <c r="W64" s="18" t="s">
        <v>47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136</v>
      </c>
      <c r="AC64" s="18" t="s">
        <v>38</v>
      </c>
      <c r="AD64" s="7" t="str">
        <f t="shared" si="0"/>
        <v/>
      </c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</row>
    <row r="65" spans="1:49" s="28" customFormat="1" ht="35.1" customHeight="1" x14ac:dyDescent="0.25">
      <c r="A65" s="9" t="s">
        <v>39</v>
      </c>
      <c r="B65" s="10">
        <v>46063</v>
      </c>
      <c r="C65" s="10">
        <v>46063</v>
      </c>
      <c r="D65" s="11" t="s">
        <v>132</v>
      </c>
      <c r="E65" s="12">
        <v>0.97916666666666663</v>
      </c>
      <c r="F65" s="12">
        <v>1</v>
      </c>
      <c r="G65" s="12">
        <v>2.0833333333333332E-2</v>
      </c>
      <c r="H65" s="9" t="s">
        <v>127</v>
      </c>
      <c r="I65" s="13"/>
      <c r="J65" s="9" t="s">
        <v>116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28" customFormat="1" ht="35.1" customHeight="1" x14ac:dyDescent="0.25">
      <c r="A66" s="18" t="s">
        <v>44</v>
      </c>
      <c r="B66" s="19">
        <v>46063</v>
      </c>
      <c r="C66" s="19">
        <v>46063</v>
      </c>
      <c r="D66" s="18" t="s">
        <v>132</v>
      </c>
      <c r="E66" s="20">
        <v>0.25</v>
      </c>
      <c r="F66" s="20">
        <v>0.99930555555555556</v>
      </c>
      <c r="G66" s="20">
        <v>3.4722222222222218E-4</v>
      </c>
      <c r="H66" s="18" t="s">
        <v>138</v>
      </c>
      <c r="I66" s="21">
        <v>0.98673854166666675</v>
      </c>
      <c r="J66" s="18" t="s">
        <v>41</v>
      </c>
      <c r="K66" s="18" t="s">
        <v>127</v>
      </c>
      <c r="L66" s="22">
        <v>1</v>
      </c>
      <c r="M66" s="22">
        <v>70964</v>
      </c>
      <c r="N66" s="18" t="s">
        <v>46</v>
      </c>
      <c r="O66" s="22" t="str">
        <f>AC66</f>
        <v>SFO</v>
      </c>
      <c r="P66" s="23">
        <v>0</v>
      </c>
      <c r="Q66" s="22"/>
      <c r="R66" s="23">
        <v>0</v>
      </c>
      <c r="S66" s="24">
        <v>46054</v>
      </c>
      <c r="T66" s="23">
        <v>0</v>
      </c>
      <c r="U66" s="25">
        <v>4</v>
      </c>
      <c r="V66" s="23">
        <v>0</v>
      </c>
      <c r="W66" s="18" t="s">
        <v>47</v>
      </c>
      <c r="X66" s="18" t="s">
        <v>48</v>
      </c>
      <c r="Y66" s="18" t="s">
        <v>36</v>
      </c>
      <c r="Z66" s="18" t="s">
        <v>9</v>
      </c>
      <c r="AA66" s="18" t="s">
        <v>49</v>
      </c>
      <c r="AB66" s="18" t="s">
        <v>50</v>
      </c>
      <c r="AC66" s="18" t="s">
        <v>38</v>
      </c>
      <c r="AD66" s="7" t="str">
        <f t="shared" si="0"/>
        <v/>
      </c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</row>
    <row r="67" spans="1:49" s="28" customFormat="1" ht="35.1" customHeight="1" x14ac:dyDescent="0.25">
      <c r="A67" s="18" t="s">
        <v>133</v>
      </c>
      <c r="B67" s="19">
        <v>46063</v>
      </c>
      <c r="C67" s="19">
        <v>46063</v>
      </c>
      <c r="D67" s="18" t="s">
        <v>132</v>
      </c>
      <c r="E67" s="20">
        <v>0.79166666666666663</v>
      </c>
      <c r="F67" s="20">
        <v>0.99930555555555556</v>
      </c>
      <c r="G67" s="20">
        <v>1.6203703703703701E-4</v>
      </c>
      <c r="H67" s="18" t="s">
        <v>134</v>
      </c>
      <c r="I67" s="21">
        <v>0.99811400462962963</v>
      </c>
      <c r="J67" s="18" t="s">
        <v>116</v>
      </c>
      <c r="K67" s="18" t="s">
        <v>127</v>
      </c>
      <c r="L67" s="22">
        <v>1</v>
      </c>
      <c r="M67" s="22">
        <v>66849</v>
      </c>
      <c r="N67" s="18" t="s">
        <v>53</v>
      </c>
      <c r="O67" s="22" t="s">
        <v>135</v>
      </c>
      <c r="P67" s="23">
        <v>0</v>
      </c>
      <c r="Q67" s="22"/>
      <c r="R67" s="23">
        <v>0</v>
      </c>
      <c r="S67" s="24">
        <v>46054</v>
      </c>
      <c r="T67" s="23">
        <v>0</v>
      </c>
      <c r="U67" s="25">
        <v>4</v>
      </c>
      <c r="V67" s="23">
        <v>59.5</v>
      </c>
      <c r="W67" s="18" t="s">
        <v>47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136</v>
      </c>
      <c r="AC67" s="18" t="s">
        <v>38</v>
      </c>
      <c r="AD67" s="7" t="str">
        <f t="shared" si="0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67" xr:uid="{A2366463-82ED-4C0B-BCA1-21B77611FCD9}"/>
  <sortState xmlns:xlrd2="http://schemas.microsoft.com/office/spreadsheetml/2017/richdata2" ref="A2:AD326">
    <sortCondition sortBy="cellColor" ref="E1:E500" dxfId="33"/>
  </sortState>
  <conditionalFormatting sqref="AD1:AD67">
    <cfRule type="cellIs" dxfId="32" priority="2" operator="equal">
      <formula>"NO"</formula>
    </cfRule>
  </conditionalFormatting>
  <conditionalFormatting sqref="E2:F67">
    <cfRule type="timePeriod" dxfId="31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9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166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166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4" customFormat="1" ht="36.75" customHeight="1" x14ac:dyDescent="0.2">
      <c r="A4" s="18" t="s">
        <v>133</v>
      </c>
      <c r="B4" s="19">
        <v>46064</v>
      </c>
      <c r="C4" s="19">
        <v>46064</v>
      </c>
      <c r="D4" s="18" t="s">
        <v>166</v>
      </c>
      <c r="E4" s="20">
        <v>0.25</v>
      </c>
      <c r="F4" s="20">
        <v>0.99930555555555556</v>
      </c>
      <c r="G4" s="20">
        <v>1.6203703703703701E-4</v>
      </c>
      <c r="H4" s="18" t="s">
        <v>159</v>
      </c>
      <c r="I4" s="21">
        <v>0.29017361111111112</v>
      </c>
      <c r="J4" s="18" t="s">
        <v>41</v>
      </c>
      <c r="K4" s="18" t="s">
        <v>40</v>
      </c>
      <c r="L4" s="22">
        <v>1</v>
      </c>
      <c r="M4" s="22">
        <v>66852</v>
      </c>
      <c r="N4" s="18" t="s">
        <v>46</v>
      </c>
      <c r="O4" s="22" t="s">
        <v>135</v>
      </c>
      <c r="P4" s="23">
        <v>0</v>
      </c>
      <c r="Q4" s="22"/>
      <c r="R4" s="23">
        <v>0</v>
      </c>
      <c r="S4" s="24">
        <v>46054</v>
      </c>
      <c r="T4" s="23">
        <v>0</v>
      </c>
      <c r="U4" s="25">
        <v>4</v>
      </c>
      <c r="V4" s="23">
        <v>0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136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6.75" customHeight="1" x14ac:dyDescent="0.25">
      <c r="A5" s="9" t="s">
        <v>56</v>
      </c>
      <c r="B5" s="10">
        <v>46064</v>
      </c>
      <c r="C5" s="10">
        <v>46064</v>
      </c>
      <c r="D5" s="11" t="s">
        <v>166</v>
      </c>
      <c r="E5" s="12">
        <v>0.29166666666666669</v>
      </c>
      <c r="F5" s="12">
        <v>0.3125</v>
      </c>
      <c r="G5" s="12">
        <v>2.0833333333333332E-2</v>
      </c>
      <c r="H5" s="9" t="s">
        <v>167</v>
      </c>
      <c r="I5" s="13" t="s">
        <v>58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27" customFormat="1" ht="36.75" customHeight="1" x14ac:dyDescent="0.25">
      <c r="A6" s="9" t="s">
        <v>56</v>
      </c>
      <c r="B6" s="10">
        <v>46064</v>
      </c>
      <c r="C6" s="10">
        <v>46064</v>
      </c>
      <c r="D6" s="11" t="s">
        <v>166</v>
      </c>
      <c r="E6" s="12">
        <v>0.3125</v>
      </c>
      <c r="F6" s="12">
        <v>0.33333333333333331</v>
      </c>
      <c r="G6" s="12">
        <v>2.0833333333333332E-2</v>
      </c>
      <c r="H6" s="9" t="s">
        <v>167</v>
      </c>
      <c r="I6" s="13" t="s">
        <v>58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</row>
    <row r="7" spans="1:49" s="34" customFormat="1" ht="36.75" customHeight="1" x14ac:dyDescent="0.2">
      <c r="A7" s="18" t="s">
        <v>133</v>
      </c>
      <c r="B7" s="19">
        <v>46064</v>
      </c>
      <c r="C7" s="19">
        <v>46064</v>
      </c>
      <c r="D7" s="18" t="s">
        <v>166</v>
      </c>
      <c r="E7" s="20">
        <v>0.25</v>
      </c>
      <c r="F7" s="20">
        <v>0.99930555555555556</v>
      </c>
      <c r="G7" s="20">
        <v>1.7361111111111109E-4</v>
      </c>
      <c r="H7" s="18" t="s">
        <v>137</v>
      </c>
      <c r="I7" s="21">
        <v>0.32520833333333332</v>
      </c>
      <c r="J7" s="18" t="s">
        <v>41</v>
      </c>
      <c r="K7" s="18" t="s">
        <v>167</v>
      </c>
      <c r="L7" s="22">
        <v>1</v>
      </c>
      <c r="M7" s="22">
        <v>66852</v>
      </c>
      <c r="N7" s="18" t="s">
        <v>46</v>
      </c>
      <c r="O7" s="22" t="s">
        <v>135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47</v>
      </c>
      <c r="X7" s="18" t="s">
        <v>48</v>
      </c>
      <c r="Y7" s="18" t="s">
        <v>36</v>
      </c>
      <c r="Z7" s="18" t="s">
        <v>9</v>
      </c>
      <c r="AA7" s="18" t="s">
        <v>49</v>
      </c>
      <c r="AB7" s="18" t="s">
        <v>136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6.75" customHeight="1" x14ac:dyDescent="0.25">
      <c r="A8" s="9" t="s">
        <v>59</v>
      </c>
      <c r="B8" s="10">
        <v>46064</v>
      </c>
      <c r="C8" s="10">
        <v>46064</v>
      </c>
      <c r="D8" s="11" t="s">
        <v>166</v>
      </c>
      <c r="E8" s="12">
        <v>0.33333333333333331</v>
      </c>
      <c r="F8" s="12">
        <v>0.375</v>
      </c>
      <c r="G8" s="12">
        <v>4.1666666666666664E-2</v>
      </c>
      <c r="H8" s="9" t="s">
        <v>60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26" customFormat="1" ht="36.75" customHeight="1" x14ac:dyDescent="0.25">
      <c r="A9" s="9" t="s">
        <v>59</v>
      </c>
      <c r="B9" s="10">
        <v>46064</v>
      </c>
      <c r="C9" s="10">
        <v>46064</v>
      </c>
      <c r="D9" s="11" t="s">
        <v>166</v>
      </c>
      <c r="E9" s="12">
        <v>0.375</v>
      </c>
      <c r="F9" s="12">
        <v>0.41666666666666669</v>
      </c>
      <c r="G9" s="12">
        <v>4.1666666666666664E-2</v>
      </c>
      <c r="H9" s="9" t="s">
        <v>63</v>
      </c>
      <c r="I9" s="13"/>
      <c r="J9" s="9" t="s">
        <v>61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6.75" customHeight="1" x14ac:dyDescent="0.25">
      <c r="A10" s="18" t="s">
        <v>51</v>
      </c>
      <c r="B10" s="19">
        <v>46064</v>
      </c>
      <c r="C10" s="19">
        <v>46064</v>
      </c>
      <c r="D10" s="18" t="s">
        <v>166</v>
      </c>
      <c r="E10" s="20">
        <v>0.25</v>
      </c>
      <c r="F10" s="20">
        <v>0.99930555555555556</v>
      </c>
      <c r="G10" s="20">
        <v>3.8194444444444446E-4</v>
      </c>
      <c r="H10" s="18" t="s">
        <v>52</v>
      </c>
      <c r="I10" s="21">
        <v>0.3818287037037037</v>
      </c>
      <c r="J10" s="18" t="s">
        <v>32</v>
      </c>
      <c r="K10" s="18" t="s">
        <v>63</v>
      </c>
      <c r="L10" s="22">
        <v>1</v>
      </c>
      <c r="M10" s="22">
        <v>61683</v>
      </c>
      <c r="N10" s="18" t="s">
        <v>53</v>
      </c>
      <c r="O10" s="22"/>
      <c r="P10" s="23">
        <v>92.592592592592595</v>
      </c>
      <c r="Q10" s="22"/>
      <c r="R10" s="23">
        <v>92.592592592592595</v>
      </c>
      <c r="S10" s="24">
        <v>46054</v>
      </c>
      <c r="T10" s="23">
        <v>0</v>
      </c>
      <c r="U10" s="25">
        <v>4</v>
      </c>
      <c r="V10" s="23">
        <v>92.592592592592595</v>
      </c>
      <c r="W10" s="18" t="s">
        <v>34</v>
      </c>
      <c r="X10" s="18" t="s">
        <v>54</v>
      </c>
      <c r="Y10" s="18" t="s">
        <v>36</v>
      </c>
      <c r="Z10" s="18" t="s">
        <v>54</v>
      </c>
      <c r="AA10" s="18" t="s">
        <v>49</v>
      </c>
      <c r="AB10" s="18" t="s">
        <v>55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4" customFormat="1" ht="36.75" customHeight="1" x14ac:dyDescent="0.25">
      <c r="A11" s="18" t="s">
        <v>44</v>
      </c>
      <c r="B11" s="19">
        <v>46064</v>
      </c>
      <c r="C11" s="19">
        <v>46064</v>
      </c>
      <c r="D11" s="18" t="s">
        <v>166</v>
      </c>
      <c r="E11" s="20">
        <v>0.33333333333333331</v>
      </c>
      <c r="F11" s="20">
        <v>0.41666666666666669</v>
      </c>
      <c r="G11" s="20">
        <v>3.4722222222222218E-4</v>
      </c>
      <c r="H11" s="18" t="s">
        <v>62</v>
      </c>
      <c r="I11" s="21">
        <v>0.39026620370370368</v>
      </c>
      <c r="J11" s="18" t="s">
        <v>61</v>
      </c>
      <c r="K11" s="18" t="s">
        <v>63</v>
      </c>
      <c r="L11" s="22">
        <v>1</v>
      </c>
      <c r="M11" s="22">
        <v>70970</v>
      </c>
      <c r="N11" s="18" t="s">
        <v>53</v>
      </c>
      <c r="O11" s="22" t="str">
        <f>AC11</f>
        <v>SFO</v>
      </c>
      <c r="P11" s="23">
        <v>117.65</v>
      </c>
      <c r="Q11" s="22"/>
      <c r="R11" s="23">
        <v>117.65</v>
      </c>
      <c r="S11" s="24">
        <v>46054</v>
      </c>
      <c r="T11" s="23">
        <v>8.8237500000000004</v>
      </c>
      <c r="U11" s="25">
        <v>4</v>
      </c>
      <c r="V11" s="23">
        <v>108.82625</v>
      </c>
      <c r="W11" s="18" t="s">
        <v>47</v>
      </c>
      <c r="X11" s="18" t="s">
        <v>48</v>
      </c>
      <c r="Y11" s="18" t="s">
        <v>36</v>
      </c>
      <c r="Z11" s="18" t="s">
        <v>9</v>
      </c>
      <c r="AA11" s="18" t="s">
        <v>49</v>
      </c>
      <c r="AB11" s="18" t="s">
        <v>50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26" customFormat="1" ht="36.75" customHeight="1" x14ac:dyDescent="0.25">
      <c r="A12" s="9" t="s">
        <v>64</v>
      </c>
      <c r="B12" s="10">
        <v>46064</v>
      </c>
      <c r="C12" s="10">
        <v>46064</v>
      </c>
      <c r="D12" s="11" t="s">
        <v>166</v>
      </c>
      <c r="E12" s="12">
        <v>0.41666666666666669</v>
      </c>
      <c r="F12" s="12">
        <v>0.45833333333333331</v>
      </c>
      <c r="G12" s="12">
        <v>4.1666666666666664E-2</v>
      </c>
      <c r="H12" s="9" t="s">
        <v>65</v>
      </c>
      <c r="I12" s="13"/>
      <c r="J12" s="9" t="s">
        <v>66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6.75" customHeight="1" x14ac:dyDescent="0.25">
      <c r="A13" s="18" t="s">
        <v>64</v>
      </c>
      <c r="B13" s="19">
        <v>46064</v>
      </c>
      <c r="C13" s="19">
        <v>46064</v>
      </c>
      <c r="D13" s="18" t="s">
        <v>166</v>
      </c>
      <c r="E13" s="20">
        <v>0.41666666666666669</v>
      </c>
      <c r="F13" s="20">
        <v>0.45833333333333331</v>
      </c>
      <c r="G13" s="20">
        <v>3.4722222222222224E-4</v>
      </c>
      <c r="H13" s="18" t="s">
        <v>168</v>
      </c>
      <c r="I13" s="21">
        <v>0.42395868055555552</v>
      </c>
      <c r="J13" s="18" t="s">
        <v>66</v>
      </c>
      <c r="K13" s="18" t="s">
        <v>64</v>
      </c>
      <c r="L13" s="22">
        <v>1</v>
      </c>
      <c r="M13" s="22">
        <v>3</v>
      </c>
      <c r="N13" s="18" t="s">
        <v>53</v>
      </c>
      <c r="O13" s="22"/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34</v>
      </c>
      <c r="X13" s="18" t="s">
        <v>35</v>
      </c>
      <c r="Y13" s="18" t="s">
        <v>36</v>
      </c>
      <c r="Z13" s="18" t="s">
        <v>68</v>
      </c>
      <c r="AA13" s="18" t="s">
        <v>49</v>
      </c>
      <c r="AB13" s="18">
        <v>1109</v>
      </c>
      <c r="AC13" s="18" t="s">
        <v>38</v>
      </c>
      <c r="AD13" s="7" t="str">
        <f>IF(N13="PRG","",IF(I13&gt;=E13,IF(I13&lt;=F13,"","NO"),"NO"))</f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28" customFormat="1" ht="36.75" customHeight="1" x14ac:dyDescent="0.25">
      <c r="A14" s="18" t="s">
        <v>64</v>
      </c>
      <c r="B14" s="19">
        <v>46064</v>
      </c>
      <c r="C14" s="19">
        <v>46064</v>
      </c>
      <c r="D14" s="18" t="s">
        <v>166</v>
      </c>
      <c r="E14" s="20">
        <v>0.41666666666666669</v>
      </c>
      <c r="F14" s="20">
        <v>0.45833333333333331</v>
      </c>
      <c r="G14" s="20">
        <v>3.4722222222222224E-4</v>
      </c>
      <c r="H14" s="18" t="s">
        <v>169</v>
      </c>
      <c r="I14" s="21">
        <v>0.42430613425925928</v>
      </c>
      <c r="J14" s="18" t="s">
        <v>66</v>
      </c>
      <c r="K14" s="18" t="s">
        <v>64</v>
      </c>
      <c r="L14" s="22">
        <v>1</v>
      </c>
      <c r="M14" s="22">
        <v>3</v>
      </c>
      <c r="N14" s="18" t="s">
        <v>53</v>
      </c>
      <c r="O14" s="22"/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34</v>
      </c>
      <c r="X14" s="18" t="s">
        <v>35</v>
      </c>
      <c r="Y14" s="18" t="s">
        <v>36</v>
      </c>
      <c r="Z14" s="18" t="s">
        <v>68</v>
      </c>
      <c r="AA14" s="18" t="s">
        <v>49</v>
      </c>
      <c r="AB14" s="18">
        <v>1109</v>
      </c>
      <c r="AC14" s="18" t="s">
        <v>38</v>
      </c>
      <c r="AD14" s="7" t="str">
        <f>IF(N14="PRG","",IF(I14&gt;=E14,IF(I14&lt;=F14,"","NO"),"NO"))</f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9" customFormat="1" ht="36.75" customHeight="1" x14ac:dyDescent="0.25">
      <c r="A15" s="18" t="s">
        <v>64</v>
      </c>
      <c r="B15" s="19">
        <v>46064</v>
      </c>
      <c r="C15" s="19">
        <v>46064</v>
      </c>
      <c r="D15" s="18" t="s">
        <v>166</v>
      </c>
      <c r="E15" s="20">
        <v>0.41666666666666669</v>
      </c>
      <c r="F15" s="20">
        <v>0.45833333333333331</v>
      </c>
      <c r="G15" s="20">
        <v>3.4722222222222224E-4</v>
      </c>
      <c r="H15" s="18" t="s">
        <v>170</v>
      </c>
      <c r="I15" s="21">
        <v>0.4246533564814815</v>
      </c>
      <c r="J15" s="18" t="s">
        <v>66</v>
      </c>
      <c r="K15" s="18" t="s">
        <v>64</v>
      </c>
      <c r="L15" s="22">
        <v>1</v>
      </c>
      <c r="M15" s="22">
        <v>3</v>
      </c>
      <c r="N15" s="18" t="s">
        <v>53</v>
      </c>
      <c r="O15" s="22"/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34</v>
      </c>
      <c r="X15" s="18" t="s">
        <v>35</v>
      </c>
      <c r="Y15" s="18" t="s">
        <v>36</v>
      </c>
      <c r="Z15" s="18" t="s">
        <v>68</v>
      </c>
      <c r="AA15" s="18" t="s">
        <v>49</v>
      </c>
      <c r="AB15" s="18">
        <v>1109</v>
      </c>
      <c r="AC15" s="18" t="s">
        <v>38</v>
      </c>
      <c r="AD15" s="7" t="str">
        <f>IF(N15="PRG","",IF(I15&gt;=E15,IF(I15&lt;=F15,"","NO"),"NO"))</f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7" customFormat="1" ht="38.25" customHeight="1" x14ac:dyDescent="0.25">
      <c r="A16" s="9" t="s">
        <v>71</v>
      </c>
      <c r="B16" s="10">
        <v>46064</v>
      </c>
      <c r="C16" s="10">
        <v>46064</v>
      </c>
      <c r="D16" s="11" t="s">
        <v>166</v>
      </c>
      <c r="E16" s="12">
        <v>0.45833333333333331</v>
      </c>
      <c r="F16" s="12">
        <v>0.47916666666666669</v>
      </c>
      <c r="G16" s="12">
        <v>2.0833333333333332E-2</v>
      </c>
      <c r="H16" s="9" t="s">
        <v>143</v>
      </c>
      <c r="I16" s="13"/>
      <c r="J16" s="9" t="s">
        <v>76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6.75" customHeight="1" x14ac:dyDescent="0.25">
      <c r="A17" s="18" t="s">
        <v>144</v>
      </c>
      <c r="B17" s="19">
        <v>46064</v>
      </c>
      <c r="C17" s="19">
        <v>46064</v>
      </c>
      <c r="D17" s="18" t="s">
        <v>166</v>
      </c>
      <c r="E17" s="20">
        <v>0.45833333333333331</v>
      </c>
      <c r="F17" s="20">
        <v>0.54166666666666663</v>
      </c>
      <c r="G17" s="20">
        <v>1.7361111111111109E-4</v>
      </c>
      <c r="H17" s="18" t="s">
        <v>145</v>
      </c>
      <c r="I17" s="21">
        <v>0.47215578703703703</v>
      </c>
      <c r="J17" s="18" t="s">
        <v>76</v>
      </c>
      <c r="K17" s="18" t="s">
        <v>143</v>
      </c>
      <c r="L17" s="22">
        <v>1</v>
      </c>
      <c r="M17" s="22">
        <v>70036</v>
      </c>
      <c r="N17" s="18" t="s">
        <v>46</v>
      </c>
      <c r="O17" s="22" t="s">
        <v>146</v>
      </c>
      <c r="P17" s="23">
        <v>0</v>
      </c>
      <c r="Q17" s="22"/>
      <c r="R17" s="23">
        <v>0</v>
      </c>
      <c r="S17" s="24">
        <v>46054</v>
      </c>
      <c r="T17" s="23">
        <v>0</v>
      </c>
      <c r="U17" s="25">
        <v>4</v>
      </c>
      <c r="V17" s="23">
        <v>0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>
        <v>2373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4" customFormat="1" ht="36.75" customHeight="1" x14ac:dyDescent="0.25">
      <c r="A18" s="18" t="s">
        <v>80</v>
      </c>
      <c r="B18" s="19">
        <v>46064</v>
      </c>
      <c r="C18" s="19">
        <v>46064</v>
      </c>
      <c r="D18" s="18" t="s">
        <v>166</v>
      </c>
      <c r="E18" s="20">
        <v>0.45833333333333331</v>
      </c>
      <c r="F18" s="20">
        <v>0.47916666666666669</v>
      </c>
      <c r="G18" s="20">
        <v>1.7361111111111109E-4</v>
      </c>
      <c r="H18" s="18" t="s">
        <v>93</v>
      </c>
      <c r="I18" s="21">
        <v>0.47232939814814817</v>
      </c>
      <c r="J18" s="18" t="s">
        <v>76</v>
      </c>
      <c r="K18" s="18" t="s">
        <v>143</v>
      </c>
      <c r="L18" s="22">
        <v>1</v>
      </c>
      <c r="M18" s="22">
        <v>71172</v>
      </c>
      <c r="N18" s="18" t="s">
        <v>53</v>
      </c>
      <c r="O18" s="22" t="s">
        <v>82</v>
      </c>
      <c r="P18" s="23">
        <v>70</v>
      </c>
      <c r="Q18" s="22"/>
      <c r="R18" s="23">
        <v>70</v>
      </c>
      <c r="S18" s="24">
        <v>46064</v>
      </c>
      <c r="T18" s="23">
        <v>10.5</v>
      </c>
      <c r="U18" s="25">
        <v>4</v>
      </c>
      <c r="V18" s="23">
        <v>59.5</v>
      </c>
      <c r="W18" s="18" t="s">
        <v>47</v>
      </c>
      <c r="X18" s="18" t="s">
        <v>48</v>
      </c>
      <c r="Y18" s="18" t="s">
        <v>78</v>
      </c>
      <c r="Z18" s="18" t="s">
        <v>9</v>
      </c>
      <c r="AA18" s="18" t="s">
        <v>49</v>
      </c>
      <c r="AB18" s="18" t="s">
        <v>83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</row>
    <row r="19" spans="1:49" s="35" customFormat="1" ht="36.75" customHeight="1" x14ac:dyDescent="0.2">
      <c r="A19" s="18" t="s">
        <v>74</v>
      </c>
      <c r="B19" s="19">
        <v>46064</v>
      </c>
      <c r="C19" s="19">
        <v>46064</v>
      </c>
      <c r="D19" s="18" t="s">
        <v>166</v>
      </c>
      <c r="E19" s="20">
        <v>0.45833333333333331</v>
      </c>
      <c r="F19" s="20">
        <v>0.5</v>
      </c>
      <c r="G19" s="20">
        <v>3.4722222222222218E-4</v>
      </c>
      <c r="H19" s="18" t="s">
        <v>84</v>
      </c>
      <c r="I19" s="21">
        <v>0.47745509259259261</v>
      </c>
      <c r="J19" s="18" t="s">
        <v>76</v>
      </c>
      <c r="K19" s="18" t="s">
        <v>143</v>
      </c>
      <c r="L19" s="22">
        <v>1</v>
      </c>
      <c r="M19" s="22">
        <v>71445</v>
      </c>
      <c r="N19" s="18" t="s">
        <v>53</v>
      </c>
      <c r="O19" s="22" t="s">
        <v>77</v>
      </c>
      <c r="P19" s="23">
        <v>94.117647058823522</v>
      </c>
      <c r="Q19" s="22"/>
      <c r="R19" s="23">
        <v>94.117647058823522</v>
      </c>
      <c r="S19" s="24">
        <v>46064</v>
      </c>
      <c r="T19" s="23">
        <v>14.117647058823527</v>
      </c>
      <c r="U19" s="25">
        <v>4</v>
      </c>
      <c r="V19" s="23">
        <v>80</v>
      </c>
      <c r="W19" s="18" t="s">
        <v>47</v>
      </c>
      <c r="X19" s="18" t="s">
        <v>48</v>
      </c>
      <c r="Y19" s="18" t="s">
        <v>78</v>
      </c>
      <c r="Z19" s="18" t="s">
        <v>9</v>
      </c>
      <c r="AA19" s="18" t="s">
        <v>49</v>
      </c>
      <c r="AB19" s="18" t="s">
        <v>79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6.75" customHeight="1" x14ac:dyDescent="0.2">
      <c r="A20" s="9" t="s">
        <v>71</v>
      </c>
      <c r="B20" s="10">
        <v>46064</v>
      </c>
      <c r="C20" s="10">
        <v>46064</v>
      </c>
      <c r="D20" s="11" t="s">
        <v>166</v>
      </c>
      <c r="E20" s="12">
        <v>0.47916666666666669</v>
      </c>
      <c r="F20" s="12">
        <v>0.5</v>
      </c>
      <c r="G20" s="12">
        <v>2.0833333333333332E-2</v>
      </c>
      <c r="H20" s="9" t="s">
        <v>171</v>
      </c>
      <c r="I20" s="13"/>
      <c r="J20" s="9" t="s">
        <v>76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4" customFormat="1" ht="36.75" customHeight="1" x14ac:dyDescent="0.2">
      <c r="A21" s="18" t="s">
        <v>144</v>
      </c>
      <c r="B21" s="19">
        <v>46064</v>
      </c>
      <c r="C21" s="19">
        <v>46064</v>
      </c>
      <c r="D21" s="18" t="s">
        <v>166</v>
      </c>
      <c r="E21" s="20">
        <v>0.45833333333333331</v>
      </c>
      <c r="F21" s="20">
        <v>0.5</v>
      </c>
      <c r="G21" s="20">
        <v>1.7361111111111109E-4</v>
      </c>
      <c r="H21" s="18" t="s">
        <v>148</v>
      </c>
      <c r="I21" s="21">
        <v>0.48753692129629633</v>
      </c>
      <c r="J21" s="18" t="s">
        <v>76</v>
      </c>
      <c r="K21" s="18" t="s">
        <v>128</v>
      </c>
      <c r="L21" s="22">
        <v>1</v>
      </c>
      <c r="M21" s="22">
        <v>70008</v>
      </c>
      <c r="N21" s="18" t="s">
        <v>53</v>
      </c>
      <c r="O21" s="22" t="s">
        <v>146</v>
      </c>
      <c r="P21" s="23">
        <v>64.705882352941174</v>
      </c>
      <c r="Q21" s="22"/>
      <c r="R21" s="23">
        <v>64.705882352941174</v>
      </c>
      <c r="S21" s="24">
        <v>46054</v>
      </c>
      <c r="T21" s="23">
        <v>9.7058823529411757</v>
      </c>
      <c r="U21" s="25">
        <v>4</v>
      </c>
      <c r="V21" s="23">
        <v>55</v>
      </c>
      <c r="W21" s="18" t="s">
        <v>47</v>
      </c>
      <c r="X21" s="18" t="s">
        <v>48</v>
      </c>
      <c r="Y21" s="18" t="s">
        <v>36</v>
      </c>
      <c r="Z21" s="18" t="s">
        <v>9</v>
      </c>
      <c r="AA21" s="18" t="s">
        <v>49</v>
      </c>
      <c r="AB21" s="18">
        <v>2373</v>
      </c>
      <c r="AC21" s="18" t="s">
        <v>38</v>
      </c>
      <c r="AD21" s="7" t="str">
        <f>IF(N21="PRG","",IF(I21&gt;=E21,IF(I21&lt;=F21,"","NO"),"NO"))</f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6.75" customHeight="1" x14ac:dyDescent="0.2">
      <c r="A22" s="18" t="s">
        <v>80</v>
      </c>
      <c r="B22" s="19">
        <v>46064</v>
      </c>
      <c r="C22" s="19">
        <v>46064</v>
      </c>
      <c r="D22" s="18" t="s">
        <v>166</v>
      </c>
      <c r="E22" s="20">
        <v>0.47916666666666669</v>
      </c>
      <c r="F22" s="20">
        <v>0.5</v>
      </c>
      <c r="G22" s="20">
        <v>1.7361111111111109E-4</v>
      </c>
      <c r="H22" s="18" t="s">
        <v>86</v>
      </c>
      <c r="I22" s="21">
        <v>0.4926388888888889</v>
      </c>
      <c r="J22" s="18" t="s">
        <v>76</v>
      </c>
      <c r="K22" s="18" t="s">
        <v>128</v>
      </c>
      <c r="L22" s="22">
        <v>1</v>
      </c>
      <c r="M22" s="22">
        <v>71176</v>
      </c>
      <c r="N22" s="18" t="s">
        <v>53</v>
      </c>
      <c r="O22" s="22" t="s">
        <v>82</v>
      </c>
      <c r="P22" s="23">
        <v>70</v>
      </c>
      <c r="Q22" s="22"/>
      <c r="R22" s="23">
        <v>70</v>
      </c>
      <c r="S22" s="24">
        <v>46064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78</v>
      </c>
      <c r="Z22" s="18" t="s">
        <v>9</v>
      </c>
      <c r="AA22" s="18" t="s">
        <v>49</v>
      </c>
      <c r="AB22" s="18" t="s">
        <v>83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6.75" customHeight="1" x14ac:dyDescent="0.25">
      <c r="A23" s="18" t="s">
        <v>144</v>
      </c>
      <c r="B23" s="19">
        <v>46064</v>
      </c>
      <c r="C23" s="19">
        <v>46064</v>
      </c>
      <c r="D23" s="18" t="s">
        <v>166</v>
      </c>
      <c r="E23" s="20">
        <v>0.47916666666666669</v>
      </c>
      <c r="F23" s="20">
        <v>0.5</v>
      </c>
      <c r="G23" s="20">
        <v>1.7361111111111109E-4</v>
      </c>
      <c r="H23" s="18" t="s">
        <v>148</v>
      </c>
      <c r="I23" s="21">
        <v>0.49790509259259258</v>
      </c>
      <c r="J23" s="18" t="s">
        <v>76</v>
      </c>
      <c r="K23" s="18" t="s">
        <v>128</v>
      </c>
      <c r="L23" s="22">
        <v>1</v>
      </c>
      <c r="M23" s="22">
        <v>70009</v>
      </c>
      <c r="N23" s="18" t="s">
        <v>53</v>
      </c>
      <c r="O23" s="22" t="s">
        <v>146</v>
      </c>
      <c r="P23" s="23">
        <v>64.705882352941174</v>
      </c>
      <c r="Q23" s="22"/>
      <c r="R23" s="23">
        <v>64.705882352941174</v>
      </c>
      <c r="S23" s="24">
        <v>46054</v>
      </c>
      <c r="T23" s="23">
        <v>9.7058823529411757</v>
      </c>
      <c r="U23" s="25">
        <v>4</v>
      </c>
      <c r="V23" s="23">
        <v>55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>
        <v>2373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8" customFormat="1" ht="36.75" customHeight="1" x14ac:dyDescent="0.25">
      <c r="A24" s="9" t="s">
        <v>87</v>
      </c>
      <c r="B24" s="10">
        <v>46064</v>
      </c>
      <c r="C24" s="10">
        <v>46064</v>
      </c>
      <c r="D24" s="11" t="s">
        <v>166</v>
      </c>
      <c r="E24" s="12">
        <v>0.5</v>
      </c>
      <c r="F24" s="12">
        <v>0.54166666666666663</v>
      </c>
      <c r="G24" s="12">
        <v>4.1666666666666664E-2</v>
      </c>
      <c r="H24" s="9" t="s">
        <v>88</v>
      </c>
      <c r="I24" s="13"/>
      <c r="J24" s="9" t="s">
        <v>76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6.75" customHeight="1" x14ac:dyDescent="0.2">
      <c r="A25" s="18" t="s">
        <v>89</v>
      </c>
      <c r="B25" s="19">
        <v>46064</v>
      </c>
      <c r="C25" s="19">
        <v>46064</v>
      </c>
      <c r="D25" s="18" t="s">
        <v>166</v>
      </c>
      <c r="E25" s="20">
        <v>0.5</v>
      </c>
      <c r="F25" s="20">
        <v>0.54166666666666663</v>
      </c>
      <c r="G25" s="20">
        <v>3.4722222222222218E-4</v>
      </c>
      <c r="H25" s="18" t="s">
        <v>90</v>
      </c>
      <c r="I25" s="21">
        <v>0.50577546296296294</v>
      </c>
      <c r="J25" s="18" t="s">
        <v>76</v>
      </c>
      <c r="K25" s="18" t="s">
        <v>129</v>
      </c>
      <c r="L25" s="22">
        <v>1</v>
      </c>
      <c r="M25" s="22">
        <v>70398</v>
      </c>
      <c r="N25" s="18" t="s">
        <v>53</v>
      </c>
      <c r="O25" s="22" t="s">
        <v>91</v>
      </c>
      <c r="P25" s="23">
        <v>120</v>
      </c>
      <c r="Q25" s="22"/>
      <c r="R25" s="23">
        <v>120</v>
      </c>
      <c r="S25" s="24">
        <v>46054</v>
      </c>
      <c r="T25" s="23">
        <v>18</v>
      </c>
      <c r="U25" s="25">
        <v>4</v>
      </c>
      <c r="V25" s="23">
        <v>102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92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6.75" customHeight="1" x14ac:dyDescent="0.2">
      <c r="A26" s="18" t="s">
        <v>144</v>
      </c>
      <c r="B26" s="19">
        <v>46064</v>
      </c>
      <c r="C26" s="19">
        <v>46064</v>
      </c>
      <c r="D26" s="18" t="s">
        <v>166</v>
      </c>
      <c r="E26" s="20">
        <v>0.45833333333333331</v>
      </c>
      <c r="F26" s="20">
        <v>0.54166666666666663</v>
      </c>
      <c r="G26" s="20">
        <v>1.7361111111111109E-4</v>
      </c>
      <c r="H26" s="18" t="s">
        <v>148</v>
      </c>
      <c r="I26" s="21">
        <v>0.52082175925925922</v>
      </c>
      <c r="J26" s="18" t="s">
        <v>76</v>
      </c>
      <c r="K26" s="18" t="s">
        <v>129</v>
      </c>
      <c r="L26" s="22">
        <v>1</v>
      </c>
      <c r="M26" s="22">
        <v>70036</v>
      </c>
      <c r="N26" s="18" t="s">
        <v>46</v>
      </c>
      <c r="O26" s="22" t="s">
        <v>146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>
        <v>2373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6.75" customHeight="1" x14ac:dyDescent="0.25">
      <c r="A27" s="18" t="s">
        <v>80</v>
      </c>
      <c r="B27" s="19">
        <v>46064</v>
      </c>
      <c r="C27" s="19">
        <v>46064</v>
      </c>
      <c r="D27" s="18" t="s">
        <v>166</v>
      </c>
      <c r="E27" s="20">
        <v>0.5</v>
      </c>
      <c r="F27" s="20">
        <v>0.54166666666666663</v>
      </c>
      <c r="G27" s="20">
        <v>1.7361111111111109E-4</v>
      </c>
      <c r="H27" s="18" t="s">
        <v>93</v>
      </c>
      <c r="I27" s="21">
        <v>0.51325231481481481</v>
      </c>
      <c r="J27" s="18" t="s">
        <v>76</v>
      </c>
      <c r="K27" s="18" t="s">
        <v>129</v>
      </c>
      <c r="L27" s="22">
        <v>1</v>
      </c>
      <c r="M27" s="22">
        <v>71189</v>
      </c>
      <c r="N27" s="18" t="s">
        <v>53</v>
      </c>
      <c r="O27" s="22" t="s">
        <v>82</v>
      </c>
      <c r="P27" s="23">
        <v>70</v>
      </c>
      <c r="Q27" s="22"/>
      <c r="R27" s="23">
        <v>70</v>
      </c>
      <c r="S27" s="24">
        <v>46064</v>
      </c>
      <c r="T27" s="23">
        <v>10.5</v>
      </c>
      <c r="U27" s="25">
        <v>4</v>
      </c>
      <c r="V27" s="23">
        <v>59.5</v>
      </c>
      <c r="W27" s="18" t="s">
        <v>47</v>
      </c>
      <c r="X27" s="18" t="s">
        <v>48</v>
      </c>
      <c r="Y27" s="18" t="s">
        <v>78</v>
      </c>
      <c r="Z27" s="18" t="s">
        <v>9</v>
      </c>
      <c r="AA27" s="18" t="s">
        <v>49</v>
      </c>
      <c r="AB27" s="18" t="s">
        <v>83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4" customFormat="1" ht="36.75" customHeight="1" x14ac:dyDescent="0.25">
      <c r="A28" s="18" t="s">
        <v>144</v>
      </c>
      <c r="B28" s="19">
        <v>46064</v>
      </c>
      <c r="C28" s="19">
        <v>46064</v>
      </c>
      <c r="D28" s="18" t="s">
        <v>166</v>
      </c>
      <c r="E28" s="20">
        <v>0.5</v>
      </c>
      <c r="F28" s="20">
        <v>0.54166666666666663</v>
      </c>
      <c r="G28" s="20">
        <v>1.7361111111111109E-4</v>
      </c>
      <c r="H28" s="18" t="s">
        <v>145</v>
      </c>
      <c r="I28" s="21">
        <v>0.54107638888888887</v>
      </c>
      <c r="J28" s="18" t="s">
        <v>76</v>
      </c>
      <c r="K28" s="18" t="s">
        <v>129</v>
      </c>
      <c r="L28" s="22">
        <v>1</v>
      </c>
      <c r="M28" s="22">
        <v>70011</v>
      </c>
      <c r="N28" s="18" t="s">
        <v>53</v>
      </c>
      <c r="O28" s="22" t="s">
        <v>146</v>
      </c>
      <c r="P28" s="23">
        <v>64.705882352941174</v>
      </c>
      <c r="Q28" s="22"/>
      <c r="R28" s="23">
        <v>64.705882352941174</v>
      </c>
      <c r="S28" s="24">
        <v>46054</v>
      </c>
      <c r="T28" s="23">
        <v>9.7058823529411757</v>
      </c>
      <c r="U28" s="25">
        <v>4</v>
      </c>
      <c r="V28" s="23">
        <v>55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>
        <v>2373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8" customFormat="1" ht="36.75" customHeight="1" x14ac:dyDescent="0.25">
      <c r="A29" s="9" t="s">
        <v>94</v>
      </c>
      <c r="B29" s="10">
        <v>46064</v>
      </c>
      <c r="C29" s="10">
        <v>46064</v>
      </c>
      <c r="D29" s="11" t="s">
        <v>166</v>
      </c>
      <c r="E29" s="12">
        <v>0.54166666666666663</v>
      </c>
      <c r="F29" s="12">
        <v>0.5625</v>
      </c>
      <c r="G29" s="12">
        <v>2.0833333333333332E-2</v>
      </c>
      <c r="H29" s="9" t="s">
        <v>95</v>
      </c>
      <c r="I29" s="13"/>
      <c r="J29" s="9" t="s">
        <v>96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4" customFormat="1" ht="36.75" customHeight="1" x14ac:dyDescent="0.25">
      <c r="A30" s="18" t="s">
        <v>144</v>
      </c>
      <c r="B30" s="19">
        <v>46064</v>
      </c>
      <c r="C30" s="19">
        <v>46064</v>
      </c>
      <c r="D30" s="18" t="s">
        <v>166</v>
      </c>
      <c r="E30" s="20">
        <v>0.54166666666666663</v>
      </c>
      <c r="F30" s="20">
        <v>0.5625</v>
      </c>
      <c r="G30" s="20">
        <v>1.7361111111111109E-4</v>
      </c>
      <c r="H30" s="18" t="s">
        <v>154</v>
      </c>
      <c r="I30" s="21">
        <v>0.5552083333333333</v>
      </c>
      <c r="J30" s="18" t="s">
        <v>96</v>
      </c>
      <c r="K30" s="18" t="s">
        <v>161</v>
      </c>
      <c r="L30" s="22">
        <v>1</v>
      </c>
      <c r="M30" s="22">
        <v>69976</v>
      </c>
      <c r="N30" s="18" t="s">
        <v>53</v>
      </c>
      <c r="O30" s="22" t="s">
        <v>152</v>
      </c>
      <c r="P30" s="23">
        <v>64.705882352941174</v>
      </c>
      <c r="Q30" s="22"/>
      <c r="R30" s="23">
        <v>64.705882352941174</v>
      </c>
      <c r="S30" s="24">
        <v>46054</v>
      </c>
      <c r="T30" s="23">
        <v>9.7058823529411757</v>
      </c>
      <c r="U30" s="25">
        <v>4</v>
      </c>
      <c r="V30" s="23">
        <v>55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153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8" customFormat="1" ht="36.75" customHeight="1" x14ac:dyDescent="0.25">
      <c r="A31" s="9" t="s">
        <v>94</v>
      </c>
      <c r="B31" s="10">
        <v>46064</v>
      </c>
      <c r="C31" s="10">
        <v>46064</v>
      </c>
      <c r="D31" s="11" t="s">
        <v>166</v>
      </c>
      <c r="E31" s="12">
        <v>0.5625</v>
      </c>
      <c r="F31" s="12">
        <v>0.58333333333333337</v>
      </c>
      <c r="G31" s="12">
        <v>2.0833333333333332E-2</v>
      </c>
      <c r="H31" s="9" t="s">
        <v>97</v>
      </c>
      <c r="I31" s="13"/>
      <c r="J31" s="9" t="s">
        <v>96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4" customFormat="1" ht="36.75" customHeight="1" x14ac:dyDescent="0.2">
      <c r="A32" s="18" t="s">
        <v>144</v>
      </c>
      <c r="B32" s="19">
        <v>46064</v>
      </c>
      <c r="C32" s="19">
        <v>46064</v>
      </c>
      <c r="D32" s="18" t="s">
        <v>166</v>
      </c>
      <c r="E32" s="20">
        <v>0.5625</v>
      </c>
      <c r="F32" s="20">
        <v>0.58333333333333337</v>
      </c>
      <c r="G32" s="20">
        <v>1.7361111111111109E-4</v>
      </c>
      <c r="H32" s="18" t="s">
        <v>154</v>
      </c>
      <c r="I32" s="21">
        <v>0.56905092592592588</v>
      </c>
      <c r="J32" s="18" t="s">
        <v>96</v>
      </c>
      <c r="K32" s="18" t="s">
        <v>162</v>
      </c>
      <c r="L32" s="22">
        <v>1</v>
      </c>
      <c r="M32" s="22">
        <v>69977</v>
      </c>
      <c r="N32" s="18" t="s">
        <v>53</v>
      </c>
      <c r="O32" s="22" t="s">
        <v>152</v>
      </c>
      <c r="P32" s="23">
        <v>64.705882352941174</v>
      </c>
      <c r="Q32" s="22"/>
      <c r="R32" s="23">
        <v>64.705882352941174</v>
      </c>
      <c r="S32" s="24">
        <v>46054</v>
      </c>
      <c r="T32" s="23">
        <v>9.7058823529411757</v>
      </c>
      <c r="U32" s="25">
        <v>4</v>
      </c>
      <c r="V32" s="23">
        <v>55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153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6" customFormat="1" ht="36.75" customHeight="1" x14ac:dyDescent="0.25">
      <c r="A33" s="18" t="s">
        <v>144</v>
      </c>
      <c r="B33" s="19">
        <v>46064</v>
      </c>
      <c r="C33" s="19">
        <v>46064</v>
      </c>
      <c r="D33" s="18" t="s">
        <v>166</v>
      </c>
      <c r="E33" s="20">
        <v>0.5625</v>
      </c>
      <c r="F33" s="20">
        <v>0.58333333333333337</v>
      </c>
      <c r="G33" s="20">
        <v>1.7361111111111109E-4</v>
      </c>
      <c r="H33" s="18" t="s">
        <v>151</v>
      </c>
      <c r="I33" s="21">
        <v>0.58304664351851854</v>
      </c>
      <c r="J33" s="18" t="s">
        <v>96</v>
      </c>
      <c r="K33" s="18" t="s">
        <v>162</v>
      </c>
      <c r="L33" s="22">
        <v>1</v>
      </c>
      <c r="M33" s="22">
        <v>69977</v>
      </c>
      <c r="N33" s="18" t="s">
        <v>53</v>
      </c>
      <c r="O33" s="22" t="s">
        <v>152</v>
      </c>
      <c r="P33" s="23">
        <v>64.705882352941174</v>
      </c>
      <c r="Q33" s="22"/>
      <c r="R33" s="23">
        <v>64.705882352941174</v>
      </c>
      <c r="S33" s="24">
        <v>46054</v>
      </c>
      <c r="T33" s="23">
        <v>9.7058823529411757</v>
      </c>
      <c r="U33" s="25">
        <v>4</v>
      </c>
      <c r="V33" s="23">
        <v>55</v>
      </c>
      <c r="W33" s="18" t="s">
        <v>47</v>
      </c>
      <c r="X33" s="18" t="s">
        <v>48</v>
      </c>
      <c r="Y33" s="18" t="s">
        <v>36</v>
      </c>
      <c r="Z33" s="18" t="s">
        <v>9</v>
      </c>
      <c r="AA33" s="18" t="s">
        <v>49</v>
      </c>
      <c r="AB33" s="18" t="s">
        <v>153</v>
      </c>
      <c r="AC33" s="18" t="s">
        <v>38</v>
      </c>
      <c r="AD33" s="7" t="str">
        <f t="shared" si="0"/>
        <v/>
      </c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</row>
    <row r="34" spans="1:49" s="28" customFormat="1" ht="36.75" customHeight="1" x14ac:dyDescent="0.25">
      <c r="A34" s="9" t="s">
        <v>98</v>
      </c>
      <c r="B34" s="10">
        <v>46064</v>
      </c>
      <c r="C34" s="10">
        <v>46064</v>
      </c>
      <c r="D34" s="11" t="s">
        <v>166</v>
      </c>
      <c r="E34" s="12">
        <v>0.58333333333333337</v>
      </c>
      <c r="F34" s="12">
        <v>0.625</v>
      </c>
      <c r="G34" s="12">
        <v>4.1666666666666664E-2</v>
      </c>
      <c r="H34" s="9" t="s">
        <v>99</v>
      </c>
      <c r="I34" s="13"/>
      <c r="J34" s="9" t="s">
        <v>100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28" customFormat="1" ht="36.75" customHeight="1" x14ac:dyDescent="0.25">
      <c r="A35" s="18" t="s">
        <v>144</v>
      </c>
      <c r="B35" s="19">
        <v>46064</v>
      </c>
      <c r="C35" s="19">
        <v>46064</v>
      </c>
      <c r="D35" s="18" t="s">
        <v>166</v>
      </c>
      <c r="E35" s="20">
        <v>0.58333333333333337</v>
      </c>
      <c r="F35" s="20">
        <v>0.66666666666666663</v>
      </c>
      <c r="G35" s="20">
        <v>1.7361111111111109E-4</v>
      </c>
      <c r="H35" s="18" t="s">
        <v>154</v>
      </c>
      <c r="I35" s="21">
        <v>0.62379629629629629</v>
      </c>
      <c r="J35" s="18" t="s">
        <v>96</v>
      </c>
      <c r="K35" s="18" t="s">
        <v>163</v>
      </c>
      <c r="L35" s="22">
        <v>1</v>
      </c>
      <c r="M35" s="22">
        <v>69978</v>
      </c>
      <c r="N35" s="18" t="s">
        <v>53</v>
      </c>
      <c r="O35" s="22" t="s">
        <v>152</v>
      </c>
      <c r="P35" s="23">
        <v>64.705882352941174</v>
      </c>
      <c r="Q35" s="22"/>
      <c r="R35" s="23">
        <v>64.705882352941174</v>
      </c>
      <c r="S35" s="24">
        <v>46054</v>
      </c>
      <c r="T35" s="23">
        <v>9.7058823529411757</v>
      </c>
      <c r="U35" s="25">
        <v>4</v>
      </c>
      <c r="V35" s="23">
        <v>55</v>
      </c>
      <c r="W35" s="18" t="s">
        <v>47</v>
      </c>
      <c r="X35" s="18" t="s">
        <v>48</v>
      </c>
      <c r="Y35" s="18" t="s">
        <v>36</v>
      </c>
      <c r="Z35" s="18" t="s">
        <v>9</v>
      </c>
      <c r="AA35" s="18" t="s">
        <v>49</v>
      </c>
      <c r="AB35" s="18" t="s">
        <v>153</v>
      </c>
      <c r="AC35" s="18" t="s">
        <v>38</v>
      </c>
      <c r="AD35" s="7" t="str">
        <f>IF(N35="PRG","",IF(I35&gt;=E35,IF(I35&lt;=F35,"","NO"),"NO"))</f>
        <v/>
      </c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</row>
    <row r="36" spans="1:49" s="28" customFormat="1" ht="36.75" customHeight="1" x14ac:dyDescent="0.25">
      <c r="A36" s="9" t="s">
        <v>98</v>
      </c>
      <c r="B36" s="10">
        <v>46064</v>
      </c>
      <c r="C36" s="10">
        <v>46064</v>
      </c>
      <c r="D36" s="11" t="s">
        <v>166</v>
      </c>
      <c r="E36" s="12">
        <v>0.625</v>
      </c>
      <c r="F36" s="12">
        <v>0.64583333333333337</v>
      </c>
      <c r="G36" s="12">
        <v>2.0833333333333332E-2</v>
      </c>
      <c r="H36" s="9" t="s">
        <v>101</v>
      </c>
      <c r="I36" s="13"/>
      <c r="J36" s="9" t="s">
        <v>100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28" customFormat="1" ht="36.75" customHeight="1" x14ac:dyDescent="0.25">
      <c r="A37" s="9" t="s">
        <v>98</v>
      </c>
      <c r="B37" s="10">
        <v>46064</v>
      </c>
      <c r="C37" s="10">
        <v>46064</v>
      </c>
      <c r="D37" s="11" t="s">
        <v>166</v>
      </c>
      <c r="E37" s="12">
        <v>0.64583333333333337</v>
      </c>
      <c r="F37" s="12">
        <v>0.66666666666666663</v>
      </c>
      <c r="G37" s="12">
        <v>2.0833333333333332E-2</v>
      </c>
      <c r="H37" s="9" t="s">
        <v>102</v>
      </c>
      <c r="I37" s="13"/>
      <c r="J37" s="9" t="s">
        <v>100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8" customFormat="1" ht="36.75" customHeight="1" x14ac:dyDescent="0.25">
      <c r="A38" s="18" t="s">
        <v>144</v>
      </c>
      <c r="B38" s="19">
        <v>46064</v>
      </c>
      <c r="C38" s="19">
        <v>46064</v>
      </c>
      <c r="D38" s="18" t="s">
        <v>166</v>
      </c>
      <c r="E38" s="20">
        <v>0.58333333333333337</v>
      </c>
      <c r="F38" s="20">
        <v>0.66666666666666663</v>
      </c>
      <c r="G38" s="20">
        <v>1.7361111111111109E-4</v>
      </c>
      <c r="H38" s="18" t="s">
        <v>151</v>
      </c>
      <c r="I38" s="21">
        <v>0.66427083333333337</v>
      </c>
      <c r="J38" s="18" t="s">
        <v>96</v>
      </c>
      <c r="K38" s="18" t="s">
        <v>163</v>
      </c>
      <c r="L38" s="22">
        <v>1</v>
      </c>
      <c r="M38" s="22">
        <v>69978</v>
      </c>
      <c r="N38" s="18" t="s">
        <v>53</v>
      </c>
      <c r="O38" s="22" t="s">
        <v>152</v>
      </c>
      <c r="P38" s="23">
        <v>64.705882352941174</v>
      </c>
      <c r="Q38" s="22"/>
      <c r="R38" s="23">
        <v>64.705882352941174</v>
      </c>
      <c r="S38" s="24">
        <v>46054</v>
      </c>
      <c r="T38" s="23">
        <v>9.7058823529411757</v>
      </c>
      <c r="U38" s="25">
        <v>4</v>
      </c>
      <c r="V38" s="23">
        <v>55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153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6.75" customHeight="1" x14ac:dyDescent="0.25">
      <c r="A39" s="9" t="s">
        <v>103</v>
      </c>
      <c r="B39" s="10">
        <v>46064</v>
      </c>
      <c r="C39" s="10">
        <v>46064</v>
      </c>
      <c r="D39" s="11" t="s">
        <v>166</v>
      </c>
      <c r="E39" s="12">
        <v>0.66666666666666663</v>
      </c>
      <c r="F39" s="12">
        <v>0.6875</v>
      </c>
      <c r="G39" s="12">
        <v>2.0833333333333332E-2</v>
      </c>
      <c r="H39" s="9" t="s">
        <v>104</v>
      </c>
      <c r="I39" s="13"/>
      <c r="J39" s="9" t="s">
        <v>105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28" customFormat="1" ht="36.75" customHeight="1" x14ac:dyDescent="0.25">
      <c r="A40" s="9" t="s">
        <v>111</v>
      </c>
      <c r="B40" s="10">
        <v>46064</v>
      </c>
      <c r="C40" s="10">
        <v>46064</v>
      </c>
      <c r="D40" s="11" t="s">
        <v>166</v>
      </c>
      <c r="E40" s="12">
        <v>0.6875</v>
      </c>
      <c r="F40" s="12">
        <v>0.70833333333333337</v>
      </c>
      <c r="G40" s="12">
        <v>2.0833333333333332E-2</v>
      </c>
      <c r="H40" s="9" t="s">
        <v>112</v>
      </c>
      <c r="I40" s="13"/>
      <c r="J40" s="9" t="s">
        <v>105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8" customFormat="1" ht="36.75" customHeight="1" x14ac:dyDescent="0.25">
      <c r="A41" s="9" t="s">
        <v>103</v>
      </c>
      <c r="B41" s="10">
        <v>46064</v>
      </c>
      <c r="C41" s="10">
        <v>46064</v>
      </c>
      <c r="D41" s="11" t="s">
        <v>166</v>
      </c>
      <c r="E41" s="12">
        <v>0.70833333333333337</v>
      </c>
      <c r="F41" s="12">
        <v>0.75</v>
      </c>
      <c r="G41" s="12">
        <v>4.1666666666666664E-2</v>
      </c>
      <c r="H41" s="9" t="s">
        <v>176</v>
      </c>
      <c r="I41" s="13"/>
      <c r="J41" s="9" t="s">
        <v>105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6.75" customHeight="1" x14ac:dyDescent="0.25">
      <c r="A42" s="18" t="s">
        <v>172</v>
      </c>
      <c r="B42" s="19">
        <v>46064</v>
      </c>
      <c r="C42" s="19">
        <v>46064</v>
      </c>
      <c r="D42" s="18" t="s">
        <v>166</v>
      </c>
      <c r="E42" s="20">
        <v>0.66666666666666663</v>
      </c>
      <c r="F42" s="20">
        <v>0.79166666666666663</v>
      </c>
      <c r="G42" s="20">
        <v>3.4722222222222218E-4</v>
      </c>
      <c r="H42" s="18" t="s">
        <v>173</v>
      </c>
      <c r="I42" s="21">
        <v>0.72027777777777779</v>
      </c>
      <c r="J42" s="18" t="s">
        <v>105</v>
      </c>
      <c r="K42" s="18" t="s">
        <v>176</v>
      </c>
      <c r="L42" s="22">
        <v>1</v>
      </c>
      <c r="M42" s="22">
        <v>69901</v>
      </c>
      <c r="N42" s="18" t="s">
        <v>53</v>
      </c>
      <c r="O42" s="22" t="s">
        <v>174</v>
      </c>
      <c r="P42" s="23">
        <v>100</v>
      </c>
      <c r="Q42" s="22"/>
      <c r="R42" s="23">
        <v>100</v>
      </c>
      <c r="S42" s="24">
        <v>46054</v>
      </c>
      <c r="T42" s="23">
        <v>15</v>
      </c>
      <c r="U42" s="25">
        <v>4</v>
      </c>
      <c r="V42" s="23">
        <v>85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175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28" customFormat="1" ht="36.75" customHeight="1" x14ac:dyDescent="0.25">
      <c r="A43" s="18" t="s">
        <v>44</v>
      </c>
      <c r="B43" s="19">
        <v>46064</v>
      </c>
      <c r="C43" s="19">
        <v>46064</v>
      </c>
      <c r="D43" s="18" t="s">
        <v>166</v>
      </c>
      <c r="E43" s="20">
        <v>0.66666666666666663</v>
      </c>
      <c r="F43" s="20">
        <v>0.79166666666666663</v>
      </c>
      <c r="G43" s="20">
        <v>3.4722222222222218E-4</v>
      </c>
      <c r="H43" s="18" t="s">
        <v>109</v>
      </c>
      <c r="I43" s="21">
        <v>0.73671296296296296</v>
      </c>
      <c r="J43" s="18" t="s">
        <v>105</v>
      </c>
      <c r="K43" s="18" t="s">
        <v>176</v>
      </c>
      <c r="L43" s="22">
        <v>1</v>
      </c>
      <c r="M43" s="22">
        <v>70968</v>
      </c>
      <c r="N43" s="18" t="s">
        <v>46</v>
      </c>
      <c r="O43" s="22" t="str">
        <f>AC43</f>
        <v>SFO</v>
      </c>
      <c r="P43" s="23">
        <v>0</v>
      </c>
      <c r="Q43" s="22"/>
      <c r="R43" s="23">
        <v>0</v>
      </c>
      <c r="S43" s="24">
        <v>46054</v>
      </c>
      <c r="T43" s="23">
        <v>0</v>
      </c>
      <c r="U43" s="25">
        <v>4</v>
      </c>
      <c r="V43" s="23">
        <v>0</v>
      </c>
      <c r="W43" s="18" t="s">
        <v>47</v>
      </c>
      <c r="X43" s="18" t="s">
        <v>48</v>
      </c>
      <c r="Y43" s="18" t="s">
        <v>36</v>
      </c>
      <c r="Z43" s="18" t="s">
        <v>9</v>
      </c>
      <c r="AA43" s="18" t="s">
        <v>49</v>
      </c>
      <c r="AB43" s="18" t="s">
        <v>50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8" customFormat="1" ht="36.75" customHeight="1" x14ac:dyDescent="0.25">
      <c r="A44" s="9" t="s">
        <v>111</v>
      </c>
      <c r="B44" s="10">
        <v>46064</v>
      </c>
      <c r="C44" s="10">
        <v>46064</v>
      </c>
      <c r="D44" s="11" t="s">
        <v>166</v>
      </c>
      <c r="E44" s="12">
        <v>0.75</v>
      </c>
      <c r="F44" s="12">
        <v>0.77083333333333337</v>
      </c>
      <c r="G44" s="12">
        <v>2.0833333333333332E-2</v>
      </c>
      <c r="H44" s="9" t="s">
        <v>114</v>
      </c>
      <c r="I44" s="13"/>
      <c r="J44" s="9" t="s">
        <v>105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28" customFormat="1" ht="36.75" customHeight="1" x14ac:dyDescent="0.25">
      <c r="A45" s="9" t="s">
        <v>111</v>
      </c>
      <c r="B45" s="10">
        <v>46064</v>
      </c>
      <c r="C45" s="10">
        <v>46064</v>
      </c>
      <c r="D45" s="11" t="s">
        <v>166</v>
      </c>
      <c r="E45" s="12">
        <v>0.77083333333333337</v>
      </c>
      <c r="F45" s="12">
        <v>0.79166666666666663</v>
      </c>
      <c r="G45" s="12">
        <v>2.0833333333333332E-2</v>
      </c>
      <c r="H45" s="9" t="s">
        <v>112</v>
      </c>
      <c r="I45" s="13"/>
      <c r="J45" s="9" t="s">
        <v>105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28" customFormat="1" ht="36.75" customHeight="1" x14ac:dyDescent="0.25">
      <c r="A46" s="18" t="s">
        <v>74</v>
      </c>
      <c r="B46" s="19">
        <v>46064</v>
      </c>
      <c r="C46" s="19">
        <v>46064</v>
      </c>
      <c r="D46" s="18" t="s">
        <v>166</v>
      </c>
      <c r="E46" s="20">
        <v>0.66666666666666663</v>
      </c>
      <c r="F46" s="20">
        <v>0.79166666666666663</v>
      </c>
      <c r="G46" s="20">
        <v>3.4722222222222218E-4</v>
      </c>
      <c r="H46" s="18" t="s">
        <v>106</v>
      </c>
      <c r="I46" s="21">
        <v>0.78207175925925931</v>
      </c>
      <c r="J46" s="18" t="s">
        <v>105</v>
      </c>
      <c r="K46" s="18" t="s">
        <v>130</v>
      </c>
      <c r="L46" s="22">
        <v>1</v>
      </c>
      <c r="M46" s="22">
        <v>71441</v>
      </c>
      <c r="N46" s="18" t="s">
        <v>46</v>
      </c>
      <c r="O46" s="22" t="s">
        <v>107</v>
      </c>
      <c r="P46" s="23">
        <v>0</v>
      </c>
      <c r="Q46" s="22"/>
      <c r="R46" s="23">
        <v>0</v>
      </c>
      <c r="S46" s="24">
        <v>46064</v>
      </c>
      <c r="T46" s="23">
        <v>0</v>
      </c>
      <c r="U46" s="25">
        <v>4</v>
      </c>
      <c r="V46" s="23">
        <v>0</v>
      </c>
      <c r="W46" s="18" t="s">
        <v>47</v>
      </c>
      <c r="X46" s="18" t="s">
        <v>48</v>
      </c>
      <c r="Y46" s="18" t="s">
        <v>78</v>
      </c>
      <c r="Z46" s="18" t="s">
        <v>9</v>
      </c>
      <c r="AA46" s="18" t="s">
        <v>49</v>
      </c>
      <c r="AB46" s="18" t="s">
        <v>108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8" customFormat="1" ht="36.75" customHeight="1" x14ac:dyDescent="0.25">
      <c r="A47" s="18" t="s">
        <v>172</v>
      </c>
      <c r="B47" s="19">
        <v>46064</v>
      </c>
      <c r="C47" s="19">
        <v>46064</v>
      </c>
      <c r="D47" s="18" t="s">
        <v>166</v>
      </c>
      <c r="E47" s="20">
        <v>0.66666666666666663</v>
      </c>
      <c r="F47" s="20">
        <v>0.79166666666666663</v>
      </c>
      <c r="G47" s="20">
        <v>3.4722222222222218E-4</v>
      </c>
      <c r="H47" s="18" t="s">
        <v>173</v>
      </c>
      <c r="I47" s="21">
        <v>0.7852662037037037</v>
      </c>
      <c r="J47" s="18" t="s">
        <v>105</v>
      </c>
      <c r="K47" s="18" t="s">
        <v>130</v>
      </c>
      <c r="L47" s="22">
        <v>1</v>
      </c>
      <c r="M47" s="22">
        <v>69901</v>
      </c>
      <c r="N47" s="18" t="s">
        <v>53</v>
      </c>
      <c r="O47" s="22" t="s">
        <v>174</v>
      </c>
      <c r="P47" s="23">
        <v>100</v>
      </c>
      <c r="Q47" s="22"/>
      <c r="R47" s="23">
        <v>100</v>
      </c>
      <c r="S47" s="24">
        <v>46054</v>
      </c>
      <c r="T47" s="23">
        <v>15</v>
      </c>
      <c r="U47" s="25">
        <v>4</v>
      </c>
      <c r="V47" s="23">
        <v>85</v>
      </c>
      <c r="W47" s="18" t="s">
        <v>47</v>
      </c>
      <c r="X47" s="18" t="s">
        <v>48</v>
      </c>
      <c r="Y47" s="18" t="s">
        <v>36</v>
      </c>
      <c r="Z47" s="18" t="s">
        <v>9</v>
      </c>
      <c r="AA47" s="18" t="s">
        <v>49</v>
      </c>
      <c r="AB47" s="18" t="s">
        <v>175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28" customFormat="1" ht="36.75" customHeight="1" x14ac:dyDescent="0.25">
      <c r="A48" s="9" t="s">
        <v>39</v>
      </c>
      <c r="B48" s="10">
        <v>46064</v>
      </c>
      <c r="C48" s="10">
        <v>46064</v>
      </c>
      <c r="D48" s="11" t="s">
        <v>166</v>
      </c>
      <c r="E48" s="12">
        <v>0.79166666666666663</v>
      </c>
      <c r="F48" s="12">
        <v>0.8125</v>
      </c>
      <c r="G48" s="12">
        <v>2.0833333333333332E-2</v>
      </c>
      <c r="H48" s="9" t="s">
        <v>115</v>
      </c>
      <c r="I48" s="13"/>
      <c r="J48" s="9" t="s">
        <v>116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37" customFormat="1" ht="36.75" customHeight="1" x14ac:dyDescent="0.25">
      <c r="A49" s="18" t="s">
        <v>89</v>
      </c>
      <c r="B49" s="19">
        <v>46064</v>
      </c>
      <c r="C49" s="19">
        <v>46064</v>
      </c>
      <c r="D49" s="18" t="s">
        <v>166</v>
      </c>
      <c r="E49" s="20">
        <v>0.79166666666666663</v>
      </c>
      <c r="F49" s="20">
        <v>0.8125</v>
      </c>
      <c r="G49" s="20">
        <v>3.4722222222222218E-4</v>
      </c>
      <c r="H49" s="18" t="s">
        <v>121</v>
      </c>
      <c r="I49" s="21">
        <v>0.79738425925925926</v>
      </c>
      <c r="J49" s="18" t="s">
        <v>116</v>
      </c>
      <c r="K49" s="18" t="s">
        <v>115</v>
      </c>
      <c r="L49" s="22">
        <v>1</v>
      </c>
      <c r="M49" s="22">
        <v>70391</v>
      </c>
      <c r="N49" s="18" t="s">
        <v>53</v>
      </c>
      <c r="O49" s="22" t="s">
        <v>91</v>
      </c>
      <c r="P49" s="23">
        <v>160</v>
      </c>
      <c r="Q49" s="22"/>
      <c r="R49" s="23">
        <v>160</v>
      </c>
      <c r="S49" s="24">
        <v>46054</v>
      </c>
      <c r="T49" s="23">
        <v>24</v>
      </c>
      <c r="U49" s="25">
        <v>4</v>
      </c>
      <c r="V49" s="23">
        <v>136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92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28" customFormat="1" ht="36.75" customHeight="1" x14ac:dyDescent="0.25">
      <c r="A50" s="18" t="s">
        <v>133</v>
      </c>
      <c r="B50" s="19">
        <v>46064</v>
      </c>
      <c r="C50" s="19">
        <v>46064</v>
      </c>
      <c r="D50" s="18" t="s">
        <v>166</v>
      </c>
      <c r="E50" s="20">
        <v>0.79166666666666663</v>
      </c>
      <c r="F50" s="20">
        <v>0.99930555555555556</v>
      </c>
      <c r="G50" s="20">
        <v>1.7361111111111109E-4</v>
      </c>
      <c r="H50" s="18" t="s">
        <v>158</v>
      </c>
      <c r="I50" s="21">
        <v>0.80297453703703703</v>
      </c>
      <c r="J50" s="18" t="s">
        <v>116</v>
      </c>
      <c r="K50" s="18" t="s">
        <v>115</v>
      </c>
      <c r="L50" s="22">
        <v>1</v>
      </c>
      <c r="M50" s="22">
        <v>66849</v>
      </c>
      <c r="N50" s="18" t="s">
        <v>53</v>
      </c>
      <c r="O50" s="22" t="s">
        <v>135</v>
      </c>
      <c r="P50" s="23">
        <v>0</v>
      </c>
      <c r="Q50" s="22"/>
      <c r="R50" s="23">
        <v>0</v>
      </c>
      <c r="S50" s="24">
        <v>46054</v>
      </c>
      <c r="T50" s="23">
        <v>0</v>
      </c>
      <c r="U50" s="25">
        <v>4</v>
      </c>
      <c r="V50" s="23">
        <v>59.5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136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28" customFormat="1" ht="36.75" customHeight="1" x14ac:dyDescent="0.25">
      <c r="A51" s="9" t="s">
        <v>39</v>
      </c>
      <c r="B51" s="10">
        <v>46064</v>
      </c>
      <c r="C51" s="10">
        <v>46064</v>
      </c>
      <c r="D51" s="11" t="s">
        <v>166</v>
      </c>
      <c r="E51" s="12">
        <v>0.8125</v>
      </c>
      <c r="F51" s="12">
        <v>0.83333333333333337</v>
      </c>
      <c r="G51" s="12">
        <v>2.0833333333333332E-2</v>
      </c>
      <c r="H51" s="9" t="s">
        <v>120</v>
      </c>
      <c r="I51" s="13"/>
      <c r="J51" s="9" t="s">
        <v>116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</row>
    <row r="52" spans="1:49" s="28" customFormat="1" ht="36.75" customHeight="1" x14ac:dyDescent="0.25">
      <c r="A52" s="18" t="s">
        <v>44</v>
      </c>
      <c r="B52" s="19">
        <v>46064</v>
      </c>
      <c r="C52" s="19">
        <v>46064</v>
      </c>
      <c r="D52" s="18" t="s">
        <v>166</v>
      </c>
      <c r="E52" s="20">
        <v>0.79166666666666663</v>
      </c>
      <c r="F52" s="20">
        <v>0.83333333333333337</v>
      </c>
      <c r="G52" s="20">
        <v>3.4722222222222218E-4</v>
      </c>
      <c r="H52" s="18" t="s">
        <v>138</v>
      </c>
      <c r="I52" s="21">
        <v>0.82034722222222223</v>
      </c>
      <c r="J52" s="18" t="s">
        <v>116</v>
      </c>
      <c r="K52" s="18" t="s">
        <v>131</v>
      </c>
      <c r="L52" s="22">
        <v>1</v>
      </c>
      <c r="M52" s="22">
        <v>70960</v>
      </c>
      <c r="N52" s="18" t="s">
        <v>53</v>
      </c>
      <c r="O52" s="22" t="str">
        <f>AC52</f>
        <v>SFO</v>
      </c>
      <c r="P52" s="23">
        <v>117.65</v>
      </c>
      <c r="Q52" s="22"/>
      <c r="R52" s="23">
        <v>117.65</v>
      </c>
      <c r="S52" s="24">
        <v>46054</v>
      </c>
      <c r="T52" s="23">
        <v>8.8237500000000004</v>
      </c>
      <c r="U52" s="25">
        <v>4</v>
      </c>
      <c r="V52" s="23">
        <v>108.82625</v>
      </c>
      <c r="W52" s="18" t="s">
        <v>47</v>
      </c>
      <c r="X52" s="18" t="s">
        <v>48</v>
      </c>
      <c r="Y52" s="18" t="s">
        <v>36</v>
      </c>
      <c r="Z52" s="18" t="s">
        <v>9</v>
      </c>
      <c r="AA52" s="18" t="s">
        <v>49</v>
      </c>
      <c r="AB52" s="18" t="s">
        <v>50</v>
      </c>
      <c r="AC52" s="18" t="s">
        <v>38</v>
      </c>
      <c r="AD52" s="7" t="str">
        <f t="shared" si="0"/>
        <v/>
      </c>
      <c r="AE52" s="26"/>
      <c r="AF52" s="26"/>
      <c r="AG52" s="26"/>
      <c r="AH52" s="26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s="32" customFormat="1" ht="36.75" customHeight="1" x14ac:dyDescent="0.25">
      <c r="A53" s="18" t="s">
        <v>117</v>
      </c>
      <c r="B53" s="19">
        <v>46064</v>
      </c>
      <c r="C53" s="19">
        <v>46064</v>
      </c>
      <c r="D53" s="18" t="s">
        <v>166</v>
      </c>
      <c r="E53" s="20">
        <v>0.79166666666666663</v>
      </c>
      <c r="F53" s="20">
        <v>0.83333333333333337</v>
      </c>
      <c r="G53" s="20">
        <v>3.4722222222222218E-4</v>
      </c>
      <c r="H53" s="18" t="s">
        <v>118</v>
      </c>
      <c r="I53" s="21">
        <v>0.82069444444444439</v>
      </c>
      <c r="J53" s="18" t="s">
        <v>116</v>
      </c>
      <c r="K53" s="18" t="s">
        <v>131</v>
      </c>
      <c r="L53" s="22">
        <v>1</v>
      </c>
      <c r="M53" s="22">
        <v>71264</v>
      </c>
      <c r="N53" s="18" t="s">
        <v>53</v>
      </c>
      <c r="O53" s="22" t="s">
        <v>38</v>
      </c>
      <c r="P53" s="23">
        <v>180</v>
      </c>
      <c r="Q53" s="22"/>
      <c r="R53" s="23">
        <v>180</v>
      </c>
      <c r="S53" s="24">
        <v>46064</v>
      </c>
      <c r="T53" s="23">
        <v>27</v>
      </c>
      <c r="U53" s="25">
        <v>4</v>
      </c>
      <c r="V53" s="23">
        <v>153</v>
      </c>
      <c r="W53" s="18" t="s">
        <v>47</v>
      </c>
      <c r="X53" s="18" t="s">
        <v>48</v>
      </c>
      <c r="Y53" s="18" t="s">
        <v>78</v>
      </c>
      <c r="Z53" s="18" t="s">
        <v>9</v>
      </c>
      <c r="AA53" s="18" t="s">
        <v>49</v>
      </c>
      <c r="AB53" s="18" t="s">
        <v>119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32" customFormat="1" ht="36.75" customHeight="1" x14ac:dyDescent="0.25">
      <c r="A54" s="18" t="s">
        <v>133</v>
      </c>
      <c r="B54" s="19">
        <v>46064</v>
      </c>
      <c r="C54" s="19">
        <v>46064</v>
      </c>
      <c r="D54" s="18" t="s">
        <v>166</v>
      </c>
      <c r="E54" s="20">
        <v>0.79166666666666663</v>
      </c>
      <c r="F54" s="20">
        <v>0.99930555555555556</v>
      </c>
      <c r="G54" s="20">
        <v>1.6203703703703701E-4</v>
      </c>
      <c r="H54" s="18" t="s">
        <v>134</v>
      </c>
      <c r="I54" s="21">
        <v>0.82740740740740737</v>
      </c>
      <c r="J54" s="18" t="s">
        <v>116</v>
      </c>
      <c r="K54" s="18" t="s">
        <v>131</v>
      </c>
      <c r="L54" s="22">
        <v>1</v>
      </c>
      <c r="M54" s="22">
        <v>66849</v>
      </c>
      <c r="N54" s="18" t="s">
        <v>53</v>
      </c>
      <c r="O54" s="22" t="s">
        <v>135</v>
      </c>
      <c r="P54" s="23">
        <v>0</v>
      </c>
      <c r="Q54" s="22"/>
      <c r="R54" s="23">
        <v>0</v>
      </c>
      <c r="S54" s="24">
        <v>46054</v>
      </c>
      <c r="T54" s="23">
        <v>0</v>
      </c>
      <c r="U54" s="25">
        <v>4</v>
      </c>
      <c r="V54" s="23">
        <v>59.5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136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32" customFormat="1" ht="36.75" customHeight="1" x14ac:dyDescent="0.25">
      <c r="A55" s="18" t="s">
        <v>44</v>
      </c>
      <c r="B55" s="19">
        <v>46064</v>
      </c>
      <c r="C55" s="19">
        <v>46064</v>
      </c>
      <c r="D55" s="18" t="s">
        <v>166</v>
      </c>
      <c r="E55" s="20">
        <v>0.25</v>
      </c>
      <c r="F55" s="20">
        <v>0.99930555555555556</v>
      </c>
      <c r="G55" s="20">
        <v>3.4722222222222218E-4</v>
      </c>
      <c r="H55" s="18" t="s">
        <v>138</v>
      </c>
      <c r="I55" s="21">
        <v>0.83157407407407402</v>
      </c>
      <c r="J55" s="18" t="s">
        <v>41</v>
      </c>
      <c r="K55" s="18" t="s">
        <v>131</v>
      </c>
      <c r="L55" s="22">
        <v>1</v>
      </c>
      <c r="M55" s="22">
        <v>70964</v>
      </c>
      <c r="N55" s="18" t="s">
        <v>46</v>
      </c>
      <c r="O55" s="22" t="str">
        <f>AC55</f>
        <v>SFO</v>
      </c>
      <c r="P55" s="23">
        <v>0</v>
      </c>
      <c r="Q55" s="22"/>
      <c r="R55" s="23">
        <v>0</v>
      </c>
      <c r="S55" s="24">
        <v>46054</v>
      </c>
      <c r="T55" s="23">
        <v>0</v>
      </c>
      <c r="U55" s="25">
        <v>4</v>
      </c>
      <c r="V55" s="23">
        <v>0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50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17" customFormat="1" ht="36.75" customHeight="1" x14ac:dyDescent="0.25">
      <c r="A56" s="18" t="s">
        <v>133</v>
      </c>
      <c r="B56" s="19">
        <v>46064</v>
      </c>
      <c r="C56" s="19">
        <v>46064</v>
      </c>
      <c r="D56" s="18" t="s">
        <v>166</v>
      </c>
      <c r="E56" s="20">
        <v>0.79166666666666663</v>
      </c>
      <c r="F56" s="20">
        <v>0.99930555555555556</v>
      </c>
      <c r="G56" s="20">
        <v>1.7361111111111109E-4</v>
      </c>
      <c r="H56" s="18" t="s">
        <v>158</v>
      </c>
      <c r="I56" s="21">
        <v>0.8319212962962963</v>
      </c>
      <c r="J56" s="18" t="s">
        <v>116</v>
      </c>
      <c r="K56" s="18" t="s">
        <v>131</v>
      </c>
      <c r="L56" s="22">
        <v>1</v>
      </c>
      <c r="M56" s="22">
        <v>66849</v>
      </c>
      <c r="N56" s="18" t="s">
        <v>53</v>
      </c>
      <c r="O56" s="22" t="s">
        <v>135</v>
      </c>
      <c r="P56" s="23">
        <v>0</v>
      </c>
      <c r="Q56" s="22"/>
      <c r="R56" s="23">
        <v>0</v>
      </c>
      <c r="S56" s="24">
        <v>46054</v>
      </c>
      <c r="T56" s="23">
        <v>0</v>
      </c>
      <c r="U56" s="25">
        <v>4</v>
      </c>
      <c r="V56" s="23">
        <v>59.5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136</v>
      </c>
      <c r="AC56" s="18" t="s">
        <v>38</v>
      </c>
      <c r="AD56" s="7" t="str">
        <f t="shared" si="0"/>
        <v/>
      </c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</row>
    <row r="57" spans="1:49" s="28" customFormat="1" ht="36.75" customHeight="1" x14ac:dyDescent="0.25">
      <c r="A57" s="9" t="s">
        <v>122</v>
      </c>
      <c r="B57" s="10">
        <v>46064</v>
      </c>
      <c r="C57" s="10">
        <v>46064</v>
      </c>
      <c r="D57" s="11" t="s">
        <v>166</v>
      </c>
      <c r="E57" s="12">
        <v>0.83333333333333337</v>
      </c>
      <c r="F57" s="12">
        <v>0.875</v>
      </c>
      <c r="G57" s="12">
        <v>4.1666666666666664E-2</v>
      </c>
      <c r="H57" s="9" t="s">
        <v>123</v>
      </c>
      <c r="I57" s="13"/>
      <c r="J57" s="9" t="s">
        <v>41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6"/>
      <c r="AF57" s="26"/>
      <c r="AG57" s="26"/>
      <c r="AH57" s="26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</row>
    <row r="58" spans="1:49" s="38" customFormat="1" ht="36.75" customHeight="1" x14ac:dyDescent="0.25">
      <c r="A58" s="18" t="s">
        <v>133</v>
      </c>
      <c r="B58" s="19">
        <v>46064</v>
      </c>
      <c r="C58" s="19">
        <v>46064</v>
      </c>
      <c r="D58" s="18" t="s">
        <v>166</v>
      </c>
      <c r="E58" s="20">
        <v>0.83333333333333337</v>
      </c>
      <c r="F58" s="20">
        <v>0.875</v>
      </c>
      <c r="G58" s="20">
        <v>1.6203703703703701E-4</v>
      </c>
      <c r="H58" s="18" t="s">
        <v>159</v>
      </c>
      <c r="I58" s="21">
        <v>0.84302361111111113</v>
      </c>
      <c r="J58" s="18" t="s">
        <v>41</v>
      </c>
      <c r="K58" s="18" t="s">
        <v>165</v>
      </c>
      <c r="L58" s="22">
        <v>1</v>
      </c>
      <c r="M58" s="22">
        <v>66850</v>
      </c>
      <c r="N58" s="18" t="s">
        <v>53</v>
      </c>
      <c r="O58" s="22" t="s">
        <v>135</v>
      </c>
      <c r="P58" s="23">
        <v>0</v>
      </c>
      <c r="Q58" s="22"/>
      <c r="R58" s="23">
        <v>0</v>
      </c>
      <c r="S58" s="24">
        <v>46054</v>
      </c>
      <c r="T58" s="23">
        <v>0</v>
      </c>
      <c r="U58" s="25">
        <v>4</v>
      </c>
      <c r="V58" s="23">
        <v>59.5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136</v>
      </c>
      <c r="AC58" s="18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8" customFormat="1" ht="36.75" customHeight="1" x14ac:dyDescent="0.25">
      <c r="A59" s="18" t="s">
        <v>133</v>
      </c>
      <c r="B59" s="19">
        <v>46064</v>
      </c>
      <c r="C59" s="19">
        <v>46064</v>
      </c>
      <c r="D59" s="18" t="s">
        <v>166</v>
      </c>
      <c r="E59" s="20">
        <v>0.83333333333333337</v>
      </c>
      <c r="F59" s="20">
        <v>0.875</v>
      </c>
      <c r="G59" s="20">
        <v>1.7361111111111109E-4</v>
      </c>
      <c r="H59" s="18" t="s">
        <v>137</v>
      </c>
      <c r="I59" s="21">
        <v>0.85325231481481478</v>
      </c>
      <c r="J59" s="18" t="s">
        <v>41</v>
      </c>
      <c r="K59" s="18" t="s">
        <v>165</v>
      </c>
      <c r="L59" s="22">
        <v>1</v>
      </c>
      <c r="M59" s="22">
        <v>66850</v>
      </c>
      <c r="N59" s="18" t="s">
        <v>53</v>
      </c>
      <c r="O59" s="22" t="s">
        <v>135</v>
      </c>
      <c r="P59" s="23">
        <v>0</v>
      </c>
      <c r="Q59" s="22"/>
      <c r="R59" s="23">
        <v>0</v>
      </c>
      <c r="S59" s="24">
        <v>46054</v>
      </c>
      <c r="T59" s="23">
        <v>0</v>
      </c>
      <c r="U59" s="25">
        <v>4</v>
      </c>
      <c r="V59" s="23">
        <v>59.5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136</v>
      </c>
      <c r="AC59" s="18" t="s">
        <v>38</v>
      </c>
      <c r="AD59" s="7" t="str">
        <f t="shared" si="0"/>
        <v/>
      </c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</row>
    <row r="60" spans="1:49" s="38" customFormat="1" ht="36.75" customHeight="1" x14ac:dyDescent="0.25">
      <c r="A60" s="18" t="s">
        <v>133</v>
      </c>
      <c r="B60" s="19">
        <v>46064</v>
      </c>
      <c r="C60" s="19">
        <v>46064</v>
      </c>
      <c r="D60" s="18" t="s">
        <v>166</v>
      </c>
      <c r="E60" s="20">
        <v>0.83333333333333337</v>
      </c>
      <c r="F60" s="20">
        <v>0.875</v>
      </c>
      <c r="G60" s="20">
        <v>1.6203703703703701E-4</v>
      </c>
      <c r="H60" s="18" t="s">
        <v>159</v>
      </c>
      <c r="I60" s="21">
        <v>0.8739351851851852</v>
      </c>
      <c r="J60" s="18" t="s">
        <v>41</v>
      </c>
      <c r="K60" s="18" t="s">
        <v>165</v>
      </c>
      <c r="L60" s="22">
        <v>1</v>
      </c>
      <c r="M60" s="22">
        <v>66850</v>
      </c>
      <c r="N60" s="18" t="s">
        <v>53</v>
      </c>
      <c r="O60" s="22" t="s">
        <v>135</v>
      </c>
      <c r="P60" s="23">
        <v>0</v>
      </c>
      <c r="Q60" s="22"/>
      <c r="R60" s="23">
        <v>0</v>
      </c>
      <c r="S60" s="24">
        <v>46054</v>
      </c>
      <c r="T60" s="23">
        <v>0</v>
      </c>
      <c r="U60" s="25">
        <v>4</v>
      </c>
      <c r="V60" s="23">
        <v>59.5</v>
      </c>
      <c r="W60" s="18" t="s">
        <v>47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136</v>
      </c>
      <c r="AC60" s="18" t="s">
        <v>38</v>
      </c>
      <c r="AD60" s="7" t="str">
        <f t="shared" si="0"/>
        <v/>
      </c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</row>
    <row r="61" spans="1:49" s="28" customFormat="1" ht="36.75" customHeight="1" x14ac:dyDescent="0.25">
      <c r="A61" s="9" t="s">
        <v>124</v>
      </c>
      <c r="B61" s="10">
        <v>46064</v>
      </c>
      <c r="C61" s="10">
        <v>46064</v>
      </c>
      <c r="D61" s="11" t="s">
        <v>166</v>
      </c>
      <c r="E61" s="12">
        <v>0.875</v>
      </c>
      <c r="F61" s="12">
        <v>0.91666666666666663</v>
      </c>
      <c r="G61" s="12">
        <v>4.1666666666666664E-2</v>
      </c>
      <c r="H61" s="9" t="s">
        <v>125</v>
      </c>
      <c r="I61" s="13"/>
      <c r="J61" s="9" t="s">
        <v>41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26" customFormat="1" ht="36.75" customHeight="1" x14ac:dyDescent="0.25">
      <c r="A62" s="18" t="s">
        <v>172</v>
      </c>
      <c r="B62" s="19">
        <v>46064</v>
      </c>
      <c r="C62" s="19">
        <v>46064</v>
      </c>
      <c r="D62" s="18" t="s">
        <v>166</v>
      </c>
      <c r="E62" s="20">
        <v>0.83333333333333337</v>
      </c>
      <c r="F62" s="20">
        <v>0.95833333333333337</v>
      </c>
      <c r="G62" s="20">
        <v>3.4722222222222218E-4</v>
      </c>
      <c r="H62" s="18" t="s">
        <v>177</v>
      </c>
      <c r="I62" s="21">
        <v>0.8803009259259259</v>
      </c>
      <c r="J62" s="18" t="s">
        <v>41</v>
      </c>
      <c r="K62" s="18" t="s">
        <v>125</v>
      </c>
      <c r="L62" s="22">
        <v>1</v>
      </c>
      <c r="M62" s="22">
        <v>69902</v>
      </c>
      <c r="N62" s="18" t="s">
        <v>53</v>
      </c>
      <c r="O62" s="22" t="s">
        <v>174</v>
      </c>
      <c r="P62" s="23">
        <v>100</v>
      </c>
      <c r="Q62" s="22"/>
      <c r="R62" s="23">
        <v>100</v>
      </c>
      <c r="S62" s="24">
        <v>46054</v>
      </c>
      <c r="T62" s="23">
        <v>15</v>
      </c>
      <c r="U62" s="25">
        <v>4</v>
      </c>
      <c r="V62" s="23">
        <v>85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175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28" customFormat="1" ht="36.75" customHeight="1" x14ac:dyDescent="0.25">
      <c r="A63" s="18" t="s">
        <v>172</v>
      </c>
      <c r="B63" s="19">
        <v>46064</v>
      </c>
      <c r="C63" s="19">
        <v>46064</v>
      </c>
      <c r="D63" s="18" t="s">
        <v>166</v>
      </c>
      <c r="E63" s="20">
        <v>0.83333333333333337</v>
      </c>
      <c r="F63" s="20">
        <v>0.95833333333333337</v>
      </c>
      <c r="G63" s="20">
        <v>3.4722222222222218E-4</v>
      </c>
      <c r="H63" s="18" t="s">
        <v>177</v>
      </c>
      <c r="I63" s="21">
        <v>0.91480324074074071</v>
      </c>
      <c r="J63" s="18" t="s">
        <v>41</v>
      </c>
      <c r="K63" s="18" t="s">
        <v>125</v>
      </c>
      <c r="L63" s="22">
        <v>1</v>
      </c>
      <c r="M63" s="22">
        <v>69902</v>
      </c>
      <c r="N63" s="18" t="s">
        <v>53</v>
      </c>
      <c r="O63" s="22" t="s">
        <v>174</v>
      </c>
      <c r="P63" s="23">
        <v>100</v>
      </c>
      <c r="Q63" s="22"/>
      <c r="R63" s="23">
        <v>100</v>
      </c>
      <c r="S63" s="24">
        <v>46054</v>
      </c>
      <c r="T63" s="23">
        <v>15</v>
      </c>
      <c r="U63" s="25">
        <v>4</v>
      </c>
      <c r="V63" s="23">
        <v>85</v>
      </c>
      <c r="W63" s="18" t="s">
        <v>47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175</v>
      </c>
      <c r="AC63" s="18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28" customFormat="1" ht="36.75" customHeight="1" x14ac:dyDescent="0.25">
      <c r="A64" s="9" t="s">
        <v>124</v>
      </c>
      <c r="B64" s="10">
        <v>46064</v>
      </c>
      <c r="C64" s="10">
        <v>46064</v>
      </c>
      <c r="D64" s="11" t="s">
        <v>166</v>
      </c>
      <c r="E64" s="12">
        <v>0.91666666666666663</v>
      </c>
      <c r="F64" s="12">
        <v>0.97916666666666663</v>
      </c>
      <c r="G64" s="12">
        <v>6.25E-2</v>
      </c>
      <c r="H64" s="9" t="s">
        <v>178</v>
      </c>
      <c r="I64" s="13"/>
      <c r="J64" s="9" t="s">
        <v>41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28" customFormat="1" ht="36.75" customHeight="1" x14ac:dyDescent="0.25">
      <c r="A65" s="9" t="s">
        <v>39</v>
      </c>
      <c r="B65" s="10">
        <v>46064</v>
      </c>
      <c r="C65" s="10">
        <v>46064</v>
      </c>
      <c r="D65" s="11" t="s">
        <v>166</v>
      </c>
      <c r="E65" s="12">
        <v>0.97916666666666663</v>
      </c>
      <c r="F65" s="12">
        <v>1</v>
      </c>
      <c r="G65" s="12">
        <v>2.0833333333333332E-2</v>
      </c>
      <c r="H65" s="9" t="s">
        <v>127</v>
      </c>
      <c r="I65" s="13"/>
      <c r="J65" s="9" t="s">
        <v>116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ht="44.25" customHeight="1" x14ac:dyDescent="0.2"/>
    <row r="67" spans="1:49" ht="44.25" customHeight="1" x14ac:dyDescent="0.2"/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5" xr:uid="{F99A2123-D123-4759-87BC-035A54FA15AD}"/>
  <sortState xmlns:xlrd2="http://schemas.microsoft.com/office/spreadsheetml/2017/richdata2" ref="A2:AD326">
    <sortCondition sortBy="cellColor" ref="E1:E500" dxfId="30"/>
  </sortState>
  <conditionalFormatting sqref="AD1:AD65">
    <cfRule type="cellIs" dxfId="29" priority="4" operator="equal">
      <formula>"NO"</formula>
    </cfRule>
  </conditionalFormatting>
  <conditionalFormatting sqref="E2:F3 E8:F9 E24:F24 E29:F29 E31:F31 E12:F16 E34:F65">
    <cfRule type="timePeriod" dxfId="28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179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7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32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179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2" customFormat="1" ht="35.1" customHeight="1" x14ac:dyDescent="0.25">
      <c r="A4" s="18" t="s">
        <v>89</v>
      </c>
      <c r="B4" s="19">
        <v>46065</v>
      </c>
      <c r="C4" s="19">
        <v>46065</v>
      </c>
      <c r="D4" s="18" t="s">
        <v>179</v>
      </c>
      <c r="E4" s="20">
        <v>0.25</v>
      </c>
      <c r="F4" s="20">
        <v>0.29166666666666669</v>
      </c>
      <c r="G4" s="20">
        <v>3.4722222222222218E-4</v>
      </c>
      <c r="H4" s="18" t="s">
        <v>139</v>
      </c>
      <c r="I4" s="21">
        <v>0.28212962962962962</v>
      </c>
      <c r="J4" s="18" t="s">
        <v>41</v>
      </c>
      <c r="K4" s="18" t="s">
        <v>40</v>
      </c>
      <c r="L4" s="22">
        <v>1</v>
      </c>
      <c r="M4" s="22">
        <v>70390</v>
      </c>
      <c r="N4" s="18" t="s">
        <v>53</v>
      </c>
      <c r="O4" s="22" t="s">
        <v>91</v>
      </c>
      <c r="P4" s="23">
        <v>120</v>
      </c>
      <c r="Q4" s="22"/>
      <c r="R4" s="23">
        <v>120</v>
      </c>
      <c r="S4" s="24">
        <v>46054</v>
      </c>
      <c r="T4" s="23">
        <v>18</v>
      </c>
      <c r="U4" s="25">
        <v>4</v>
      </c>
      <c r="V4" s="23">
        <v>102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92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56</v>
      </c>
      <c r="B5" s="10">
        <v>46065</v>
      </c>
      <c r="C5" s="10">
        <v>46065</v>
      </c>
      <c r="D5" s="11" t="s">
        <v>179</v>
      </c>
      <c r="E5" s="12">
        <v>0.29166666666666669</v>
      </c>
      <c r="F5" s="12">
        <v>0.3125</v>
      </c>
      <c r="G5" s="12">
        <v>2.0833333333333332E-2</v>
      </c>
      <c r="H5" s="9" t="s">
        <v>180</v>
      </c>
      <c r="I5" s="13" t="s">
        <v>181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32" customFormat="1" ht="35.1" customHeight="1" x14ac:dyDescent="0.25">
      <c r="A6" s="18" t="s">
        <v>44</v>
      </c>
      <c r="B6" s="19">
        <v>46065</v>
      </c>
      <c r="C6" s="19">
        <v>46065</v>
      </c>
      <c r="D6" s="18" t="s">
        <v>179</v>
      </c>
      <c r="E6" s="20">
        <v>0.25</v>
      </c>
      <c r="F6" s="20">
        <v>0.99930555555555556</v>
      </c>
      <c r="G6" s="20">
        <v>3.4722222222222218E-4</v>
      </c>
      <c r="H6" s="18" t="s">
        <v>45</v>
      </c>
      <c r="I6" s="21">
        <v>0.30029236111111107</v>
      </c>
      <c r="J6" s="18" t="s">
        <v>41</v>
      </c>
      <c r="K6" s="18" t="s">
        <v>180</v>
      </c>
      <c r="L6" s="22">
        <v>1</v>
      </c>
      <c r="M6" s="22">
        <v>70964</v>
      </c>
      <c r="N6" s="18" t="s">
        <v>46</v>
      </c>
      <c r="O6" s="22" t="str">
        <f>AC6</f>
        <v>SFO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50</v>
      </c>
      <c r="AC6" s="18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56</v>
      </c>
      <c r="B7" s="10">
        <v>46065</v>
      </c>
      <c r="C7" s="10">
        <v>46065</v>
      </c>
      <c r="D7" s="11" t="s">
        <v>179</v>
      </c>
      <c r="E7" s="12">
        <v>0.3125</v>
      </c>
      <c r="F7" s="12">
        <v>0.33333333333333331</v>
      </c>
      <c r="G7" s="12">
        <v>2.0833333333333332E-2</v>
      </c>
      <c r="H7" s="9" t="s">
        <v>180</v>
      </c>
      <c r="I7" s="13" t="s">
        <v>181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2" customFormat="1" ht="35.1" customHeight="1" x14ac:dyDescent="0.25">
      <c r="A8" s="9" t="s">
        <v>59</v>
      </c>
      <c r="B8" s="10">
        <v>46065</v>
      </c>
      <c r="C8" s="10">
        <v>46065</v>
      </c>
      <c r="D8" s="11" t="s">
        <v>179</v>
      </c>
      <c r="E8" s="12">
        <v>0.33333333333333331</v>
      </c>
      <c r="F8" s="12">
        <v>0.375</v>
      </c>
      <c r="G8" s="12">
        <v>4.1666666666666664E-2</v>
      </c>
      <c r="H8" s="9" t="s">
        <v>60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32" customFormat="1" ht="35.1" customHeight="1" x14ac:dyDescent="0.25">
      <c r="A9" s="9" t="s">
        <v>59</v>
      </c>
      <c r="B9" s="10">
        <v>46065</v>
      </c>
      <c r="C9" s="10">
        <v>46065</v>
      </c>
      <c r="D9" s="11" t="s">
        <v>179</v>
      </c>
      <c r="E9" s="12">
        <v>0.375</v>
      </c>
      <c r="F9" s="12">
        <v>0.41666666666666669</v>
      </c>
      <c r="G9" s="12">
        <v>4.1666666666666664E-2</v>
      </c>
      <c r="H9" s="9" t="s">
        <v>63</v>
      </c>
      <c r="I9" s="13"/>
      <c r="J9" s="9" t="s">
        <v>61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64</v>
      </c>
      <c r="B10" s="10">
        <v>46065</v>
      </c>
      <c r="C10" s="10">
        <v>46065</v>
      </c>
      <c r="D10" s="11" t="s">
        <v>179</v>
      </c>
      <c r="E10" s="12">
        <v>0.41666666666666669</v>
      </c>
      <c r="F10" s="12">
        <v>0.45833333333333331</v>
      </c>
      <c r="G10" s="12">
        <v>4.1666666666666664E-2</v>
      </c>
      <c r="H10" s="9" t="s">
        <v>65</v>
      </c>
      <c r="I10" s="13"/>
      <c r="J10" s="9" t="s">
        <v>66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18" t="s">
        <v>64</v>
      </c>
      <c r="B11" s="19">
        <v>46065</v>
      </c>
      <c r="C11" s="19">
        <v>46065</v>
      </c>
      <c r="D11" s="18" t="s">
        <v>179</v>
      </c>
      <c r="E11" s="20">
        <v>0.41666666666666669</v>
      </c>
      <c r="F11" s="20">
        <v>0.45833333333333331</v>
      </c>
      <c r="G11" s="20">
        <v>3.4722222222222224E-4</v>
      </c>
      <c r="H11" s="18" t="s">
        <v>182</v>
      </c>
      <c r="I11" s="21">
        <v>0.42398414351851854</v>
      </c>
      <c r="J11" s="18" t="s">
        <v>66</v>
      </c>
      <c r="K11" s="18" t="s">
        <v>64</v>
      </c>
      <c r="L11" s="22">
        <v>1</v>
      </c>
      <c r="M11" s="22">
        <v>3</v>
      </c>
      <c r="N11" s="18" t="s">
        <v>53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68</v>
      </c>
      <c r="AA11" s="18" t="s">
        <v>49</v>
      </c>
      <c r="AB11" s="18">
        <v>1109</v>
      </c>
      <c r="AC11" s="18" t="s">
        <v>38</v>
      </c>
      <c r="AD11" s="7" t="str">
        <f t="shared" ref="AD11:AD12" si="1">IF(N11="PRG","",IF(I11&gt;=E11,IF(I11&lt;=F11,"","NO"),"NO"))</f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32" customFormat="1" ht="35.1" customHeight="1" x14ac:dyDescent="0.25">
      <c r="A12" s="18" t="s">
        <v>64</v>
      </c>
      <c r="B12" s="19">
        <v>46065</v>
      </c>
      <c r="C12" s="19">
        <v>46065</v>
      </c>
      <c r="D12" s="18" t="s">
        <v>179</v>
      </c>
      <c r="E12" s="20">
        <v>0.41666666666666669</v>
      </c>
      <c r="F12" s="20">
        <v>0.45833333333333331</v>
      </c>
      <c r="G12" s="20">
        <v>3.4722222222222224E-4</v>
      </c>
      <c r="H12" s="18" t="s">
        <v>183</v>
      </c>
      <c r="I12" s="21">
        <v>0.42433159722222225</v>
      </c>
      <c r="J12" s="18" t="s">
        <v>66</v>
      </c>
      <c r="K12" s="18" t="s">
        <v>64</v>
      </c>
      <c r="L12" s="22">
        <v>1</v>
      </c>
      <c r="M12" s="22">
        <v>3</v>
      </c>
      <c r="N12" s="18" t="s">
        <v>53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68</v>
      </c>
      <c r="AA12" s="18" t="s">
        <v>49</v>
      </c>
      <c r="AB12" s="18">
        <v>1109</v>
      </c>
      <c r="AC12" s="18" t="s">
        <v>38</v>
      </c>
      <c r="AD12" s="7" t="str">
        <f t="shared" si="1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2" customFormat="1" ht="35.1" customHeight="1" x14ac:dyDescent="0.25">
      <c r="A13" s="9" t="s">
        <v>71</v>
      </c>
      <c r="B13" s="10">
        <v>46065</v>
      </c>
      <c r="C13" s="10">
        <v>46065</v>
      </c>
      <c r="D13" s="11" t="s">
        <v>179</v>
      </c>
      <c r="E13" s="12">
        <v>0.45833333333333331</v>
      </c>
      <c r="F13" s="12">
        <v>0.47916666666666669</v>
      </c>
      <c r="G13" s="12">
        <v>2.0833333333333332E-2</v>
      </c>
      <c r="H13" s="9" t="s">
        <v>143</v>
      </c>
      <c r="I13" s="13"/>
      <c r="J13" s="9" t="s">
        <v>76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18" t="s">
        <v>74</v>
      </c>
      <c r="B14" s="19">
        <v>46065</v>
      </c>
      <c r="C14" s="19">
        <v>46065</v>
      </c>
      <c r="D14" s="18" t="s">
        <v>179</v>
      </c>
      <c r="E14" s="20">
        <v>0.45833333333333331</v>
      </c>
      <c r="F14" s="20">
        <v>0.5</v>
      </c>
      <c r="G14" s="20">
        <v>3.4722222222222218E-4</v>
      </c>
      <c r="H14" s="18" t="s">
        <v>147</v>
      </c>
      <c r="I14" s="21">
        <v>0.4628494212962963</v>
      </c>
      <c r="J14" s="18" t="s">
        <v>76</v>
      </c>
      <c r="K14" s="18" t="s">
        <v>143</v>
      </c>
      <c r="L14" s="22">
        <v>1</v>
      </c>
      <c r="M14" s="22">
        <v>71447</v>
      </c>
      <c r="N14" s="18" t="s">
        <v>53</v>
      </c>
      <c r="O14" s="22" t="s">
        <v>77</v>
      </c>
      <c r="P14" s="23">
        <v>94.117647058823522</v>
      </c>
      <c r="Q14" s="22"/>
      <c r="R14" s="23">
        <v>94.117647058823522</v>
      </c>
      <c r="S14" s="24">
        <v>46065</v>
      </c>
      <c r="T14" s="23">
        <v>14.117647058823527</v>
      </c>
      <c r="U14" s="25">
        <v>4</v>
      </c>
      <c r="V14" s="23">
        <v>80</v>
      </c>
      <c r="W14" s="18" t="s">
        <v>47</v>
      </c>
      <c r="X14" s="18" t="s">
        <v>48</v>
      </c>
      <c r="Y14" s="18" t="s">
        <v>78</v>
      </c>
      <c r="Z14" s="18" t="s">
        <v>9</v>
      </c>
      <c r="AA14" s="18" t="s">
        <v>49</v>
      </c>
      <c r="AB14" s="18" t="s">
        <v>79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2" customFormat="1" ht="35.1" customHeight="1" x14ac:dyDescent="0.25">
      <c r="A15" s="18" t="s">
        <v>80</v>
      </c>
      <c r="B15" s="19">
        <v>46065</v>
      </c>
      <c r="C15" s="19">
        <v>46065</v>
      </c>
      <c r="D15" s="18" t="s">
        <v>179</v>
      </c>
      <c r="E15" s="20">
        <v>0.45833333333333331</v>
      </c>
      <c r="F15" s="20">
        <v>0.47916666666666669</v>
      </c>
      <c r="G15" s="20">
        <v>1.7361111111111109E-4</v>
      </c>
      <c r="H15" s="18" t="s">
        <v>93</v>
      </c>
      <c r="I15" s="21">
        <v>0.47889004629629628</v>
      </c>
      <c r="J15" s="18" t="s">
        <v>76</v>
      </c>
      <c r="K15" s="18" t="s">
        <v>143</v>
      </c>
      <c r="L15" s="22">
        <v>1</v>
      </c>
      <c r="M15" s="22">
        <v>71172</v>
      </c>
      <c r="N15" s="18" t="s">
        <v>53</v>
      </c>
      <c r="O15" s="22" t="s">
        <v>82</v>
      </c>
      <c r="P15" s="23">
        <v>70</v>
      </c>
      <c r="Q15" s="22"/>
      <c r="R15" s="23">
        <v>70</v>
      </c>
      <c r="S15" s="24">
        <v>46065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78</v>
      </c>
      <c r="Z15" s="18" t="s">
        <v>9</v>
      </c>
      <c r="AA15" s="18" t="s">
        <v>49</v>
      </c>
      <c r="AB15" s="18" t="s">
        <v>83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32" customFormat="1" ht="35.1" customHeight="1" x14ac:dyDescent="0.25">
      <c r="A16" s="18" t="s">
        <v>144</v>
      </c>
      <c r="B16" s="19">
        <v>46065</v>
      </c>
      <c r="C16" s="19">
        <v>46065</v>
      </c>
      <c r="D16" s="18" t="s">
        <v>179</v>
      </c>
      <c r="E16" s="20">
        <v>0.45833333333333331</v>
      </c>
      <c r="F16" s="20">
        <v>0.47916666666666669</v>
      </c>
      <c r="G16" s="20">
        <v>1.7361111111111109E-4</v>
      </c>
      <c r="H16" s="18" t="s">
        <v>145</v>
      </c>
      <c r="I16" s="21" t="s">
        <v>189</v>
      </c>
      <c r="J16" s="18" t="s">
        <v>76</v>
      </c>
      <c r="K16" s="18" t="s">
        <v>143</v>
      </c>
      <c r="L16" s="22">
        <v>1</v>
      </c>
      <c r="M16" s="22">
        <v>70008</v>
      </c>
      <c r="N16" s="18" t="s">
        <v>53</v>
      </c>
      <c r="O16" s="22" t="s">
        <v>146</v>
      </c>
      <c r="P16" s="23">
        <v>64.709999999999994</v>
      </c>
      <c r="Q16" s="22"/>
      <c r="R16" s="23">
        <v>64.709999999999994</v>
      </c>
      <c r="S16" s="24">
        <v>46054</v>
      </c>
      <c r="T16" s="23">
        <v>9.7064999999999984</v>
      </c>
      <c r="U16" s="25">
        <v>4</v>
      </c>
      <c r="V16" s="23">
        <v>55.003499999999995</v>
      </c>
      <c r="W16" s="18" t="s">
        <v>47</v>
      </c>
      <c r="X16" s="18" t="s">
        <v>48</v>
      </c>
      <c r="Y16" s="18" t="s">
        <v>36</v>
      </c>
      <c r="Z16" s="18" t="s">
        <v>9</v>
      </c>
      <c r="AA16" s="18" t="s">
        <v>49</v>
      </c>
      <c r="AB16" s="18" t="s">
        <v>190</v>
      </c>
      <c r="AC16" s="18" t="s">
        <v>38</v>
      </c>
      <c r="AD16" s="7"/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2" customFormat="1" ht="35.1" customHeight="1" x14ac:dyDescent="0.25">
      <c r="A17" s="9" t="s">
        <v>71</v>
      </c>
      <c r="B17" s="10">
        <v>46065</v>
      </c>
      <c r="C17" s="10">
        <v>46065</v>
      </c>
      <c r="D17" s="11" t="s">
        <v>179</v>
      </c>
      <c r="E17" s="12">
        <v>0.47916666666666669</v>
      </c>
      <c r="F17" s="12">
        <v>0.5</v>
      </c>
      <c r="G17" s="12">
        <v>2.0833333333333332E-2</v>
      </c>
      <c r="H17" s="9" t="s">
        <v>184</v>
      </c>
      <c r="I17" s="13"/>
      <c r="J17" s="9" t="s">
        <v>76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5">
      <c r="A18" s="18" t="s">
        <v>144</v>
      </c>
      <c r="B18" s="19">
        <v>46065</v>
      </c>
      <c r="C18" s="19">
        <v>46065</v>
      </c>
      <c r="D18" s="18" t="s">
        <v>179</v>
      </c>
      <c r="E18" s="20">
        <v>0.47916666666666669</v>
      </c>
      <c r="F18" s="20">
        <v>0.5</v>
      </c>
      <c r="G18" s="20">
        <v>1.7361111111111109E-4</v>
      </c>
      <c r="H18" s="18" t="s">
        <v>148</v>
      </c>
      <c r="I18" s="21" t="s">
        <v>191</v>
      </c>
      <c r="J18" s="18" t="s">
        <v>76</v>
      </c>
      <c r="K18" s="18" t="s">
        <v>128</v>
      </c>
      <c r="L18" s="22">
        <v>1</v>
      </c>
      <c r="M18" s="22">
        <v>70009</v>
      </c>
      <c r="N18" s="18" t="s">
        <v>53</v>
      </c>
      <c r="O18" s="22" t="s">
        <v>146</v>
      </c>
      <c r="P18" s="23">
        <v>64.709999999999994</v>
      </c>
      <c r="Q18" s="22"/>
      <c r="R18" s="23">
        <v>64.709999999999994</v>
      </c>
      <c r="S18" s="24">
        <v>46054</v>
      </c>
      <c r="T18" s="23">
        <v>9.7064999999999984</v>
      </c>
      <c r="U18" s="25">
        <v>4</v>
      </c>
      <c r="V18" s="23">
        <v>55.003499999999995</v>
      </c>
      <c r="W18" s="18" t="s">
        <v>47</v>
      </c>
      <c r="X18" s="18" t="s">
        <v>48</v>
      </c>
      <c r="Y18" s="18" t="s">
        <v>36</v>
      </c>
      <c r="Z18" s="18" t="s">
        <v>9</v>
      </c>
      <c r="AA18" s="18" t="s">
        <v>49</v>
      </c>
      <c r="AB18" s="18" t="s">
        <v>190</v>
      </c>
      <c r="AC18" s="18" t="s">
        <v>38</v>
      </c>
      <c r="AD18" s="7"/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32" customFormat="1" ht="35.1" customHeight="1" x14ac:dyDescent="0.25">
      <c r="A19" s="18" t="s">
        <v>80</v>
      </c>
      <c r="B19" s="19">
        <v>46065</v>
      </c>
      <c r="C19" s="19">
        <v>46065</v>
      </c>
      <c r="D19" s="18" t="s">
        <v>179</v>
      </c>
      <c r="E19" s="20">
        <v>0.47916666666666669</v>
      </c>
      <c r="F19" s="20">
        <v>0.5</v>
      </c>
      <c r="G19" s="20">
        <v>1.7361111111111109E-4</v>
      </c>
      <c r="H19" s="18" t="s">
        <v>86</v>
      </c>
      <c r="I19" s="21">
        <v>0.48810219907407404</v>
      </c>
      <c r="J19" s="18" t="s">
        <v>76</v>
      </c>
      <c r="K19" s="18" t="s">
        <v>128</v>
      </c>
      <c r="L19" s="22">
        <v>1</v>
      </c>
      <c r="M19" s="22">
        <v>71176</v>
      </c>
      <c r="N19" s="18" t="s">
        <v>53</v>
      </c>
      <c r="O19" s="22" t="s">
        <v>82</v>
      </c>
      <c r="P19" s="23">
        <v>70</v>
      </c>
      <c r="Q19" s="22"/>
      <c r="R19" s="23">
        <v>70</v>
      </c>
      <c r="S19" s="24">
        <v>46065</v>
      </c>
      <c r="T19" s="23">
        <v>10.5</v>
      </c>
      <c r="U19" s="25">
        <v>4</v>
      </c>
      <c r="V19" s="23">
        <v>59.5</v>
      </c>
      <c r="W19" s="18" t="s">
        <v>47</v>
      </c>
      <c r="X19" s="18" t="s">
        <v>48</v>
      </c>
      <c r="Y19" s="18" t="s">
        <v>78</v>
      </c>
      <c r="Z19" s="18" t="s">
        <v>9</v>
      </c>
      <c r="AA19" s="18" t="s">
        <v>49</v>
      </c>
      <c r="AB19" s="18" t="s">
        <v>83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18" t="s">
        <v>74</v>
      </c>
      <c r="B20" s="19">
        <v>46065</v>
      </c>
      <c r="C20" s="19">
        <v>46065</v>
      </c>
      <c r="D20" s="18" t="s">
        <v>179</v>
      </c>
      <c r="E20" s="20">
        <v>0.45833333333333331</v>
      </c>
      <c r="F20" s="20">
        <v>0.5</v>
      </c>
      <c r="G20" s="20">
        <v>3.4722222222222218E-4</v>
      </c>
      <c r="H20" s="18" t="s">
        <v>75</v>
      </c>
      <c r="I20" s="21">
        <v>0.49790833333333334</v>
      </c>
      <c r="J20" s="18" t="s">
        <v>76</v>
      </c>
      <c r="K20" s="18" t="s">
        <v>128</v>
      </c>
      <c r="L20" s="22">
        <v>1</v>
      </c>
      <c r="M20" s="22">
        <v>71446</v>
      </c>
      <c r="N20" s="18" t="s">
        <v>53</v>
      </c>
      <c r="O20" s="22" t="s">
        <v>77</v>
      </c>
      <c r="P20" s="23">
        <v>94.117647058823522</v>
      </c>
      <c r="Q20" s="22"/>
      <c r="R20" s="23">
        <v>94.117647058823522</v>
      </c>
      <c r="S20" s="24">
        <v>46065</v>
      </c>
      <c r="T20" s="23">
        <v>14.117647058823527</v>
      </c>
      <c r="U20" s="25">
        <v>4</v>
      </c>
      <c r="V20" s="23">
        <v>80</v>
      </c>
      <c r="W20" s="18" t="s">
        <v>47</v>
      </c>
      <c r="X20" s="18" t="s">
        <v>48</v>
      </c>
      <c r="Y20" s="18" t="s">
        <v>78</v>
      </c>
      <c r="Z20" s="18" t="s">
        <v>9</v>
      </c>
      <c r="AA20" s="18" t="s">
        <v>49</v>
      </c>
      <c r="AB20" s="18" t="s">
        <v>79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9" t="s">
        <v>87</v>
      </c>
      <c r="B21" s="10">
        <v>46065</v>
      </c>
      <c r="C21" s="10">
        <v>46065</v>
      </c>
      <c r="D21" s="11" t="s">
        <v>179</v>
      </c>
      <c r="E21" s="12">
        <v>0.5</v>
      </c>
      <c r="F21" s="12">
        <v>0.54166666666666663</v>
      </c>
      <c r="G21" s="12">
        <v>4.1666666666666664E-2</v>
      </c>
      <c r="H21" s="9" t="s">
        <v>88</v>
      </c>
      <c r="I21" s="13"/>
      <c r="J21" s="9" t="s">
        <v>76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18" t="s">
        <v>144</v>
      </c>
      <c r="B22" s="19">
        <v>46065</v>
      </c>
      <c r="C22" s="19">
        <v>46065</v>
      </c>
      <c r="D22" s="18" t="s">
        <v>179</v>
      </c>
      <c r="E22" s="20">
        <v>0.45833333333333331</v>
      </c>
      <c r="F22" s="20">
        <v>0.54166666666666663</v>
      </c>
      <c r="G22" s="20">
        <v>1.7361111111111109E-4</v>
      </c>
      <c r="H22" s="18" t="s">
        <v>145</v>
      </c>
      <c r="I22" s="21" t="s">
        <v>193</v>
      </c>
      <c r="J22" s="18" t="s">
        <v>76</v>
      </c>
      <c r="K22" s="18" t="s">
        <v>129</v>
      </c>
      <c r="L22" s="22">
        <v>1</v>
      </c>
      <c r="M22" s="22">
        <v>70036</v>
      </c>
      <c r="N22" s="18" t="s">
        <v>46</v>
      </c>
      <c r="O22" s="22" t="s">
        <v>146</v>
      </c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190</v>
      </c>
      <c r="AC22" s="18" t="s">
        <v>38</v>
      </c>
      <c r="AD22" s="7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18" t="s">
        <v>80</v>
      </c>
      <c r="B23" s="19">
        <v>46065</v>
      </c>
      <c r="C23" s="19">
        <v>46065</v>
      </c>
      <c r="D23" s="18" t="s">
        <v>179</v>
      </c>
      <c r="E23" s="20">
        <v>0.5</v>
      </c>
      <c r="F23" s="20">
        <v>0.54166666666666663</v>
      </c>
      <c r="G23" s="20">
        <v>1.7361111111111109E-4</v>
      </c>
      <c r="H23" s="18" t="s">
        <v>93</v>
      </c>
      <c r="I23" s="21">
        <v>0.50757268518518517</v>
      </c>
      <c r="J23" s="18" t="s">
        <v>76</v>
      </c>
      <c r="K23" s="18" t="s">
        <v>129</v>
      </c>
      <c r="L23" s="22">
        <v>1</v>
      </c>
      <c r="M23" s="22">
        <v>71189</v>
      </c>
      <c r="N23" s="18" t="s">
        <v>53</v>
      </c>
      <c r="O23" s="22" t="s">
        <v>82</v>
      </c>
      <c r="P23" s="23">
        <v>70</v>
      </c>
      <c r="Q23" s="22"/>
      <c r="R23" s="23">
        <v>70</v>
      </c>
      <c r="S23" s="24">
        <v>46065</v>
      </c>
      <c r="T23" s="23">
        <v>10.5</v>
      </c>
      <c r="U23" s="25">
        <v>4</v>
      </c>
      <c r="V23" s="23">
        <v>59.5</v>
      </c>
      <c r="W23" s="18" t="s">
        <v>47</v>
      </c>
      <c r="X23" s="18" t="s">
        <v>48</v>
      </c>
      <c r="Y23" s="18" t="s">
        <v>78</v>
      </c>
      <c r="Z23" s="18" t="s">
        <v>9</v>
      </c>
      <c r="AA23" s="18" t="s">
        <v>49</v>
      </c>
      <c r="AB23" s="18" t="s">
        <v>83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18" t="s">
        <v>89</v>
      </c>
      <c r="B24" s="19">
        <v>46065</v>
      </c>
      <c r="C24" s="19">
        <v>46065</v>
      </c>
      <c r="D24" s="18" t="s">
        <v>179</v>
      </c>
      <c r="E24" s="20">
        <v>0.5</v>
      </c>
      <c r="F24" s="20">
        <v>0.54166666666666663</v>
      </c>
      <c r="G24" s="20">
        <v>3.4722222222222218E-4</v>
      </c>
      <c r="H24" s="18" t="s">
        <v>90</v>
      </c>
      <c r="I24" s="21">
        <v>0.52818576388888894</v>
      </c>
      <c r="J24" s="18" t="s">
        <v>76</v>
      </c>
      <c r="K24" s="18" t="s">
        <v>129</v>
      </c>
      <c r="L24" s="22">
        <v>1</v>
      </c>
      <c r="M24" s="22">
        <v>70396</v>
      </c>
      <c r="N24" s="18" t="s">
        <v>53</v>
      </c>
      <c r="O24" s="22" t="s">
        <v>91</v>
      </c>
      <c r="P24" s="23">
        <v>140</v>
      </c>
      <c r="Q24" s="22"/>
      <c r="R24" s="23">
        <v>140</v>
      </c>
      <c r="S24" s="24">
        <v>46054</v>
      </c>
      <c r="T24" s="23">
        <v>21</v>
      </c>
      <c r="U24" s="25">
        <v>4</v>
      </c>
      <c r="V24" s="23">
        <v>119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92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18" t="s">
        <v>144</v>
      </c>
      <c r="B25" s="19">
        <v>46065</v>
      </c>
      <c r="C25" s="19">
        <v>46065</v>
      </c>
      <c r="D25" s="18" t="s">
        <v>179</v>
      </c>
      <c r="E25" s="20">
        <v>0.5</v>
      </c>
      <c r="F25" s="20">
        <v>0.54166666666666663</v>
      </c>
      <c r="G25" s="20">
        <v>1.7361111111111109E-4</v>
      </c>
      <c r="H25" s="18" t="s">
        <v>148</v>
      </c>
      <c r="I25" s="21" t="s">
        <v>192</v>
      </c>
      <c r="J25" s="18" t="s">
        <v>76</v>
      </c>
      <c r="K25" s="18" t="s">
        <v>129</v>
      </c>
      <c r="L25" s="22">
        <v>1</v>
      </c>
      <c r="M25" s="22">
        <v>70011</v>
      </c>
      <c r="N25" s="18" t="s">
        <v>53</v>
      </c>
      <c r="O25" s="22" t="s">
        <v>146</v>
      </c>
      <c r="P25" s="23">
        <v>64.709999999999994</v>
      </c>
      <c r="Q25" s="22"/>
      <c r="R25" s="23">
        <v>64.709999999999994</v>
      </c>
      <c r="S25" s="24">
        <v>46054</v>
      </c>
      <c r="T25" s="23">
        <v>9.7064999999999984</v>
      </c>
      <c r="U25" s="25">
        <v>4</v>
      </c>
      <c r="V25" s="23">
        <v>55.003499999999995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190</v>
      </c>
      <c r="AC25" s="18" t="s">
        <v>38</v>
      </c>
      <c r="AD25" s="7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5">
      <c r="A26" s="18" t="s">
        <v>144</v>
      </c>
      <c r="B26" s="19">
        <v>46065</v>
      </c>
      <c r="C26" s="19">
        <v>46065</v>
      </c>
      <c r="D26" s="18" t="s">
        <v>179</v>
      </c>
      <c r="E26" s="20">
        <v>0.45833333333333331</v>
      </c>
      <c r="F26" s="20">
        <v>0.54166666666666663</v>
      </c>
      <c r="G26" s="20">
        <v>1.7361111111111109E-4</v>
      </c>
      <c r="H26" s="18" t="s">
        <v>145</v>
      </c>
      <c r="I26" s="21" t="s">
        <v>194</v>
      </c>
      <c r="J26" s="18" t="s">
        <v>76</v>
      </c>
      <c r="K26" s="18" t="s">
        <v>129</v>
      </c>
      <c r="L26" s="22">
        <v>1</v>
      </c>
      <c r="M26" s="22">
        <v>70036</v>
      </c>
      <c r="N26" s="18" t="s">
        <v>46</v>
      </c>
      <c r="O26" s="22" t="s">
        <v>146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190</v>
      </c>
      <c r="AC26" s="18" t="s">
        <v>38</v>
      </c>
      <c r="AD26" s="7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9" t="s">
        <v>94</v>
      </c>
      <c r="B27" s="10">
        <v>46065</v>
      </c>
      <c r="C27" s="10">
        <v>46065</v>
      </c>
      <c r="D27" s="11" t="s">
        <v>179</v>
      </c>
      <c r="E27" s="12">
        <v>0.54166666666666663</v>
      </c>
      <c r="F27" s="12">
        <v>0.5625</v>
      </c>
      <c r="G27" s="12">
        <v>2.0833333333333332E-2</v>
      </c>
      <c r="H27" s="9" t="s">
        <v>95</v>
      </c>
      <c r="I27" s="13"/>
      <c r="J27" s="9" t="s">
        <v>96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32" customFormat="1" ht="35.1" customHeight="1" x14ac:dyDescent="0.25">
      <c r="A28" s="18" t="s">
        <v>144</v>
      </c>
      <c r="B28" s="19">
        <v>46065</v>
      </c>
      <c r="C28" s="19">
        <v>46065</v>
      </c>
      <c r="D28" s="18" t="s">
        <v>179</v>
      </c>
      <c r="E28" s="20">
        <v>0.54166666666666663</v>
      </c>
      <c r="F28" s="20">
        <v>0.5625</v>
      </c>
      <c r="G28" s="20">
        <v>1.7361111111111109E-4</v>
      </c>
      <c r="H28" s="40" t="s">
        <v>151</v>
      </c>
      <c r="I28" s="21">
        <v>0.56184027777777779</v>
      </c>
      <c r="J28" s="18" t="s">
        <v>96</v>
      </c>
      <c r="K28" s="18" t="s">
        <v>161</v>
      </c>
      <c r="L28" s="22">
        <v>1</v>
      </c>
      <c r="M28" s="22">
        <v>69976</v>
      </c>
      <c r="N28" s="18" t="s">
        <v>53</v>
      </c>
      <c r="O28" s="22" t="s">
        <v>152</v>
      </c>
      <c r="P28" s="23">
        <v>64.705882352941174</v>
      </c>
      <c r="Q28" s="22"/>
      <c r="R28" s="23">
        <v>64.705882352941174</v>
      </c>
      <c r="S28" s="24">
        <v>46054</v>
      </c>
      <c r="T28" s="23">
        <v>9.7058823529411757</v>
      </c>
      <c r="U28" s="25">
        <v>4</v>
      </c>
      <c r="V28" s="23">
        <v>55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153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2" customFormat="1" ht="35.1" customHeight="1" x14ac:dyDescent="0.25">
      <c r="A29" s="9" t="s">
        <v>94</v>
      </c>
      <c r="B29" s="10">
        <v>46065</v>
      </c>
      <c r="C29" s="10">
        <v>46065</v>
      </c>
      <c r="D29" s="11" t="s">
        <v>179</v>
      </c>
      <c r="E29" s="12">
        <v>0.5625</v>
      </c>
      <c r="F29" s="12">
        <v>0.58333333333333337</v>
      </c>
      <c r="G29" s="12">
        <v>2.0833333333333332E-2</v>
      </c>
      <c r="H29" s="9" t="s">
        <v>97</v>
      </c>
      <c r="I29" s="13"/>
      <c r="J29" s="9" t="s">
        <v>96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2" customFormat="1" ht="35.1" customHeight="1" x14ac:dyDescent="0.25">
      <c r="A30" s="18" t="s">
        <v>144</v>
      </c>
      <c r="B30" s="19">
        <v>46065</v>
      </c>
      <c r="C30" s="19">
        <v>46065</v>
      </c>
      <c r="D30" s="18" t="s">
        <v>179</v>
      </c>
      <c r="E30" s="20">
        <v>0.5625</v>
      </c>
      <c r="F30" s="20">
        <v>0.58333333333333337</v>
      </c>
      <c r="G30" s="20">
        <v>1.7361111111111109E-4</v>
      </c>
      <c r="H30" s="40" t="s">
        <v>154</v>
      </c>
      <c r="I30" s="21">
        <v>0.58289594907407405</v>
      </c>
      <c r="J30" s="18" t="s">
        <v>96</v>
      </c>
      <c r="K30" s="18" t="s">
        <v>162</v>
      </c>
      <c r="L30" s="22">
        <v>1</v>
      </c>
      <c r="M30" s="22">
        <v>69977</v>
      </c>
      <c r="N30" s="18" t="s">
        <v>53</v>
      </c>
      <c r="O30" s="22" t="s">
        <v>152</v>
      </c>
      <c r="P30" s="23">
        <v>64.705882352941174</v>
      </c>
      <c r="Q30" s="22"/>
      <c r="R30" s="23">
        <v>64.705882352941174</v>
      </c>
      <c r="S30" s="24">
        <v>46054</v>
      </c>
      <c r="T30" s="23">
        <v>9.7058823529411757</v>
      </c>
      <c r="U30" s="25">
        <v>4</v>
      </c>
      <c r="V30" s="23">
        <v>55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153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2" customFormat="1" ht="35.1" customHeight="1" x14ac:dyDescent="0.25">
      <c r="A31" s="9" t="s">
        <v>98</v>
      </c>
      <c r="B31" s="10">
        <v>46065</v>
      </c>
      <c r="C31" s="10">
        <v>46065</v>
      </c>
      <c r="D31" s="11" t="s">
        <v>179</v>
      </c>
      <c r="E31" s="12">
        <v>0.58333333333333337</v>
      </c>
      <c r="F31" s="12">
        <v>0.625</v>
      </c>
      <c r="G31" s="12">
        <v>4.1666666666666664E-2</v>
      </c>
      <c r="H31" s="9" t="s">
        <v>99</v>
      </c>
      <c r="I31" s="13"/>
      <c r="J31" s="9" t="s">
        <v>100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2" customFormat="1" ht="35.1" customHeight="1" x14ac:dyDescent="0.25">
      <c r="A32" s="18" t="s">
        <v>144</v>
      </c>
      <c r="B32" s="19">
        <v>46065</v>
      </c>
      <c r="C32" s="19">
        <v>46065</v>
      </c>
      <c r="D32" s="18" t="s">
        <v>179</v>
      </c>
      <c r="E32" s="20">
        <v>0.58333333333333337</v>
      </c>
      <c r="F32" s="20">
        <v>0.66666666666666663</v>
      </c>
      <c r="G32" s="20">
        <v>1.7361111111111109E-4</v>
      </c>
      <c r="H32" s="40" t="s">
        <v>151</v>
      </c>
      <c r="I32" s="21">
        <v>0.6122002314814815</v>
      </c>
      <c r="J32" s="18" t="s">
        <v>96</v>
      </c>
      <c r="K32" s="18" t="s">
        <v>163</v>
      </c>
      <c r="L32" s="22">
        <v>1</v>
      </c>
      <c r="M32" s="22">
        <v>69978</v>
      </c>
      <c r="N32" s="18" t="s">
        <v>53</v>
      </c>
      <c r="O32" s="22" t="s">
        <v>152</v>
      </c>
      <c r="P32" s="23">
        <v>64.705882352941174</v>
      </c>
      <c r="Q32" s="22"/>
      <c r="R32" s="23">
        <v>64.705882352941174</v>
      </c>
      <c r="S32" s="24">
        <v>46054</v>
      </c>
      <c r="T32" s="23">
        <v>9.7058823529411757</v>
      </c>
      <c r="U32" s="25">
        <v>4</v>
      </c>
      <c r="V32" s="23">
        <v>55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153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2" customFormat="1" ht="35.1" customHeight="1" x14ac:dyDescent="0.25">
      <c r="A33" s="9" t="s">
        <v>98</v>
      </c>
      <c r="B33" s="10">
        <v>46065</v>
      </c>
      <c r="C33" s="10">
        <v>46065</v>
      </c>
      <c r="D33" s="11" t="s">
        <v>179</v>
      </c>
      <c r="E33" s="12">
        <v>0.625</v>
      </c>
      <c r="F33" s="12">
        <v>0.64583333333333337</v>
      </c>
      <c r="G33" s="12">
        <v>2.0833333333333332E-2</v>
      </c>
      <c r="H33" s="9" t="s">
        <v>101</v>
      </c>
      <c r="I33" s="13"/>
      <c r="J33" s="9" t="s">
        <v>100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2" customFormat="1" ht="35.1" customHeight="1" x14ac:dyDescent="0.25">
      <c r="A34" s="18" t="s">
        <v>144</v>
      </c>
      <c r="B34" s="19">
        <v>46065</v>
      </c>
      <c r="C34" s="19">
        <v>46065</v>
      </c>
      <c r="D34" s="18" t="s">
        <v>179</v>
      </c>
      <c r="E34" s="20">
        <v>0.54166666666666663</v>
      </c>
      <c r="F34" s="20">
        <v>0.66666666666666663</v>
      </c>
      <c r="G34" s="20">
        <v>1.7361111111111109E-4</v>
      </c>
      <c r="H34" s="40" t="s">
        <v>154</v>
      </c>
      <c r="I34" s="21">
        <v>0.63597372685185183</v>
      </c>
      <c r="J34" s="18" t="s">
        <v>96</v>
      </c>
      <c r="K34" s="18" t="s">
        <v>163</v>
      </c>
      <c r="L34" s="22">
        <v>1</v>
      </c>
      <c r="M34" s="22">
        <v>70032</v>
      </c>
      <c r="N34" s="18" t="s">
        <v>46</v>
      </c>
      <c r="O34" s="22" t="s">
        <v>152</v>
      </c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153</v>
      </c>
      <c r="AC34" s="18" t="s">
        <v>38</v>
      </c>
      <c r="AD34" s="7" t="str">
        <f>IF(N34="PRG","",IF(I34&gt;=E34,IF(I34&lt;=F34,"","NO"),"NO"))</f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2" customFormat="1" ht="35.1" customHeight="1" x14ac:dyDescent="0.25">
      <c r="A35" s="9" t="s">
        <v>98</v>
      </c>
      <c r="B35" s="10">
        <v>46065</v>
      </c>
      <c r="C35" s="10">
        <v>46065</v>
      </c>
      <c r="D35" s="11" t="s">
        <v>179</v>
      </c>
      <c r="E35" s="12">
        <v>0.64583333333333337</v>
      </c>
      <c r="F35" s="12">
        <v>0.66666666666666663</v>
      </c>
      <c r="G35" s="12">
        <v>2.0833333333333332E-2</v>
      </c>
      <c r="H35" s="9" t="s">
        <v>102</v>
      </c>
      <c r="I35" s="13"/>
      <c r="J35" s="9" t="s">
        <v>100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2" customFormat="1" ht="35.1" customHeight="1" x14ac:dyDescent="0.25">
      <c r="A36" s="9" t="s">
        <v>103</v>
      </c>
      <c r="B36" s="10">
        <v>46065</v>
      </c>
      <c r="C36" s="10">
        <v>46065</v>
      </c>
      <c r="D36" s="11" t="s">
        <v>179</v>
      </c>
      <c r="E36" s="12">
        <v>0.66666666666666663</v>
      </c>
      <c r="F36" s="12">
        <v>0.6875</v>
      </c>
      <c r="G36" s="12">
        <v>2.0833333333333332E-2</v>
      </c>
      <c r="H36" s="9" t="s">
        <v>104</v>
      </c>
      <c r="I36" s="13"/>
      <c r="J36" s="9" t="s">
        <v>105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2" customFormat="1" ht="35.1" customHeight="1" x14ac:dyDescent="0.25">
      <c r="A37" s="18" t="s">
        <v>172</v>
      </c>
      <c r="B37" s="19">
        <v>46065</v>
      </c>
      <c r="C37" s="19">
        <v>46065</v>
      </c>
      <c r="D37" s="18" t="s">
        <v>179</v>
      </c>
      <c r="E37" s="20">
        <v>0.66666666666666663</v>
      </c>
      <c r="F37" s="20">
        <v>0.79166666666666663</v>
      </c>
      <c r="G37" s="20">
        <v>3.4722222222222218E-4</v>
      </c>
      <c r="H37" s="18" t="s">
        <v>173</v>
      </c>
      <c r="I37" s="21">
        <v>0.67399386574074072</v>
      </c>
      <c r="J37" s="18" t="s">
        <v>105</v>
      </c>
      <c r="K37" s="18" t="s">
        <v>104</v>
      </c>
      <c r="L37" s="22">
        <v>1</v>
      </c>
      <c r="M37" s="22">
        <v>69904</v>
      </c>
      <c r="N37" s="18" t="s">
        <v>46</v>
      </c>
      <c r="O37" s="22" t="s">
        <v>174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175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2" customFormat="1" ht="35.1" customHeight="1" x14ac:dyDescent="0.25">
      <c r="A38" s="18" t="s">
        <v>44</v>
      </c>
      <c r="B38" s="19">
        <v>46065</v>
      </c>
      <c r="C38" s="19">
        <v>46065</v>
      </c>
      <c r="D38" s="18" t="s">
        <v>179</v>
      </c>
      <c r="E38" s="20">
        <v>0.66666666666666663</v>
      </c>
      <c r="F38" s="20">
        <v>0.79166666666666663</v>
      </c>
      <c r="G38" s="20">
        <v>3.4722222222222218E-4</v>
      </c>
      <c r="H38" s="18" t="s">
        <v>109</v>
      </c>
      <c r="I38" s="21">
        <v>0.67486203703703707</v>
      </c>
      <c r="J38" s="18" t="s">
        <v>105</v>
      </c>
      <c r="K38" s="18" t="s">
        <v>104</v>
      </c>
      <c r="L38" s="22">
        <v>1</v>
      </c>
      <c r="M38" s="22">
        <v>70966</v>
      </c>
      <c r="N38" s="18" t="s">
        <v>53</v>
      </c>
      <c r="O38" s="22" t="str">
        <f>AC38</f>
        <v>SFO</v>
      </c>
      <c r="P38" s="23">
        <v>117.65</v>
      </c>
      <c r="Q38" s="22"/>
      <c r="R38" s="23">
        <v>117.65</v>
      </c>
      <c r="S38" s="24">
        <v>46054</v>
      </c>
      <c r="T38" s="23">
        <v>8.8237500000000004</v>
      </c>
      <c r="U38" s="25">
        <v>4</v>
      </c>
      <c r="V38" s="23">
        <v>108.82625</v>
      </c>
      <c r="W38" s="18" t="s">
        <v>47</v>
      </c>
      <c r="X38" s="18" t="s">
        <v>48</v>
      </c>
      <c r="Y38" s="18" t="s">
        <v>36</v>
      </c>
      <c r="Z38" s="18" t="s">
        <v>9</v>
      </c>
      <c r="AA38" s="18" t="s">
        <v>49</v>
      </c>
      <c r="AB38" s="18" t="s">
        <v>50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2" customFormat="1" ht="35.1" customHeight="1" x14ac:dyDescent="0.25">
      <c r="A39" s="18" t="s">
        <v>44</v>
      </c>
      <c r="B39" s="19">
        <v>46065</v>
      </c>
      <c r="C39" s="19">
        <v>46065</v>
      </c>
      <c r="D39" s="18" t="s">
        <v>179</v>
      </c>
      <c r="E39" s="20">
        <v>0.66666666666666663</v>
      </c>
      <c r="F39" s="20">
        <v>0.79166666666666663</v>
      </c>
      <c r="G39" s="20">
        <v>3.4722222222222218E-4</v>
      </c>
      <c r="H39" s="18" t="s">
        <v>109</v>
      </c>
      <c r="I39" s="21">
        <v>0.68695902777777784</v>
      </c>
      <c r="J39" s="18" t="s">
        <v>105</v>
      </c>
      <c r="K39" s="18" t="s">
        <v>104</v>
      </c>
      <c r="L39" s="22">
        <v>1</v>
      </c>
      <c r="M39" s="22">
        <v>70968</v>
      </c>
      <c r="N39" s="18" t="s">
        <v>46</v>
      </c>
      <c r="O39" s="22" t="str">
        <f>AC39</f>
        <v>SFO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50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2" customFormat="1" ht="35.1" customHeight="1" x14ac:dyDescent="0.25">
      <c r="A40" s="9" t="s">
        <v>111</v>
      </c>
      <c r="B40" s="10">
        <v>46065</v>
      </c>
      <c r="C40" s="10">
        <v>46065</v>
      </c>
      <c r="D40" s="11" t="s">
        <v>179</v>
      </c>
      <c r="E40" s="12">
        <v>0.6875</v>
      </c>
      <c r="F40" s="12">
        <v>0.70833333333333337</v>
      </c>
      <c r="G40" s="12">
        <v>2.0833333333333332E-2</v>
      </c>
      <c r="H40" s="9" t="s">
        <v>112</v>
      </c>
      <c r="I40" s="13"/>
      <c r="J40" s="9" t="s">
        <v>105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2" customFormat="1" ht="35.1" customHeight="1" x14ac:dyDescent="0.25">
      <c r="A41" s="9" t="s">
        <v>103</v>
      </c>
      <c r="B41" s="10">
        <v>46065</v>
      </c>
      <c r="C41" s="10">
        <v>46065</v>
      </c>
      <c r="D41" s="11" t="s">
        <v>179</v>
      </c>
      <c r="E41" s="12">
        <v>0.70833333333333337</v>
      </c>
      <c r="F41" s="12">
        <v>0.75</v>
      </c>
      <c r="G41" s="12">
        <v>4.1666666666666664E-2</v>
      </c>
      <c r="H41" s="9" t="s">
        <v>185</v>
      </c>
      <c r="I41" s="13"/>
      <c r="J41" s="9" t="s">
        <v>105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32" customFormat="1" ht="35.1" customHeight="1" x14ac:dyDescent="0.25">
      <c r="A42" s="18" t="s">
        <v>172</v>
      </c>
      <c r="B42" s="19">
        <v>46065</v>
      </c>
      <c r="C42" s="19">
        <v>46065</v>
      </c>
      <c r="D42" s="18" t="s">
        <v>179</v>
      </c>
      <c r="E42" s="20">
        <v>0.66666666666666663</v>
      </c>
      <c r="F42" s="20">
        <v>0.79166666666666663</v>
      </c>
      <c r="G42" s="20">
        <v>3.4722222222222218E-4</v>
      </c>
      <c r="H42" s="18" t="s">
        <v>173</v>
      </c>
      <c r="I42" s="21">
        <v>0.71522280092592594</v>
      </c>
      <c r="J42" s="18" t="s">
        <v>105</v>
      </c>
      <c r="K42" s="18" t="s">
        <v>188</v>
      </c>
      <c r="L42" s="22">
        <v>1</v>
      </c>
      <c r="M42" s="22">
        <v>69901</v>
      </c>
      <c r="N42" s="18" t="s">
        <v>53</v>
      </c>
      <c r="O42" s="22" t="s">
        <v>174</v>
      </c>
      <c r="P42" s="23">
        <v>100</v>
      </c>
      <c r="Q42" s="22"/>
      <c r="R42" s="23">
        <v>100</v>
      </c>
      <c r="S42" s="24">
        <v>46054</v>
      </c>
      <c r="T42" s="23">
        <v>15</v>
      </c>
      <c r="U42" s="25">
        <v>4</v>
      </c>
      <c r="V42" s="23">
        <v>85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175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2" customFormat="1" ht="35.1" customHeight="1" x14ac:dyDescent="0.25">
      <c r="A43" s="18" t="s">
        <v>51</v>
      </c>
      <c r="B43" s="19">
        <v>46065</v>
      </c>
      <c r="C43" s="19">
        <v>46065</v>
      </c>
      <c r="D43" s="18" t="s">
        <v>179</v>
      </c>
      <c r="E43" s="20">
        <v>0.25</v>
      </c>
      <c r="F43" s="20">
        <v>0.99930555555555556</v>
      </c>
      <c r="G43" s="20">
        <v>3.8194444444444446E-4</v>
      </c>
      <c r="H43" s="18" t="s">
        <v>52</v>
      </c>
      <c r="I43" s="21">
        <v>0.72856782407407406</v>
      </c>
      <c r="J43" s="18" t="s">
        <v>32</v>
      </c>
      <c r="K43" s="18" t="s">
        <v>188</v>
      </c>
      <c r="L43" s="22">
        <v>1</v>
      </c>
      <c r="M43" s="22">
        <v>61683</v>
      </c>
      <c r="N43" s="18" t="s">
        <v>53</v>
      </c>
      <c r="O43" s="22"/>
      <c r="P43" s="23">
        <v>92.592592592592595</v>
      </c>
      <c r="Q43" s="22"/>
      <c r="R43" s="23">
        <v>92.592592592592595</v>
      </c>
      <c r="S43" s="24">
        <v>46054</v>
      </c>
      <c r="T43" s="23">
        <v>0</v>
      </c>
      <c r="U43" s="25">
        <v>4</v>
      </c>
      <c r="V43" s="23">
        <v>92.592592592592595</v>
      </c>
      <c r="W43" s="18" t="s">
        <v>34</v>
      </c>
      <c r="X43" s="18" t="s">
        <v>54</v>
      </c>
      <c r="Y43" s="18" t="s">
        <v>36</v>
      </c>
      <c r="Z43" s="18" t="s">
        <v>54</v>
      </c>
      <c r="AA43" s="18" t="s">
        <v>49</v>
      </c>
      <c r="AB43" s="18" t="s">
        <v>55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2" customFormat="1" ht="35.1" customHeight="1" x14ac:dyDescent="0.25">
      <c r="A44" s="18" t="s">
        <v>172</v>
      </c>
      <c r="B44" s="19">
        <v>46065</v>
      </c>
      <c r="C44" s="19">
        <v>46065</v>
      </c>
      <c r="D44" s="18" t="s">
        <v>179</v>
      </c>
      <c r="E44" s="20">
        <v>0.66666666666666663</v>
      </c>
      <c r="F44" s="20">
        <v>0.79166666666666663</v>
      </c>
      <c r="G44" s="20">
        <v>3.4722222222222218E-4</v>
      </c>
      <c r="H44" s="18" t="s">
        <v>173</v>
      </c>
      <c r="I44" s="21">
        <v>0.7416325231481482</v>
      </c>
      <c r="J44" s="18" t="s">
        <v>105</v>
      </c>
      <c r="K44" s="18" t="s">
        <v>188</v>
      </c>
      <c r="L44" s="22">
        <v>1</v>
      </c>
      <c r="M44" s="22">
        <v>69901</v>
      </c>
      <c r="N44" s="18" t="s">
        <v>53</v>
      </c>
      <c r="O44" s="22" t="s">
        <v>174</v>
      </c>
      <c r="P44" s="23">
        <v>100</v>
      </c>
      <c r="Q44" s="22"/>
      <c r="R44" s="23">
        <v>100</v>
      </c>
      <c r="S44" s="24">
        <v>46054</v>
      </c>
      <c r="T44" s="23">
        <v>15</v>
      </c>
      <c r="U44" s="25">
        <v>4</v>
      </c>
      <c r="V44" s="23">
        <v>85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175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32" customFormat="1" ht="35.1" customHeight="1" x14ac:dyDescent="0.25">
      <c r="A45" s="9" t="s">
        <v>111</v>
      </c>
      <c r="B45" s="10">
        <v>46065</v>
      </c>
      <c r="C45" s="10">
        <v>46065</v>
      </c>
      <c r="D45" s="11" t="s">
        <v>179</v>
      </c>
      <c r="E45" s="12">
        <v>0.75</v>
      </c>
      <c r="F45" s="12">
        <v>0.77083333333333337</v>
      </c>
      <c r="G45" s="12">
        <v>2.0833333333333332E-2</v>
      </c>
      <c r="H45" s="9" t="s">
        <v>114</v>
      </c>
      <c r="I45" s="13"/>
      <c r="J45" s="9" t="s">
        <v>105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32" customFormat="1" ht="35.1" customHeight="1" x14ac:dyDescent="0.25">
      <c r="A46" s="18" t="s">
        <v>74</v>
      </c>
      <c r="B46" s="19">
        <v>46065</v>
      </c>
      <c r="C46" s="19">
        <v>46065</v>
      </c>
      <c r="D46" s="18" t="s">
        <v>179</v>
      </c>
      <c r="E46" s="20">
        <v>0.66666666666666663</v>
      </c>
      <c r="F46" s="20">
        <v>0.79166666666666663</v>
      </c>
      <c r="G46" s="20">
        <v>3.4722222222222218E-4</v>
      </c>
      <c r="H46" s="18" t="s">
        <v>110</v>
      </c>
      <c r="I46" s="21">
        <v>0.76848564814814824</v>
      </c>
      <c r="J46" s="18" t="s">
        <v>105</v>
      </c>
      <c r="K46" s="18" t="s">
        <v>164</v>
      </c>
      <c r="L46" s="22">
        <v>1</v>
      </c>
      <c r="M46" s="22">
        <v>71439</v>
      </c>
      <c r="N46" s="18" t="s">
        <v>53</v>
      </c>
      <c r="O46" s="22" t="s">
        <v>107</v>
      </c>
      <c r="P46" s="23">
        <v>105.88235294117646</v>
      </c>
      <c r="Q46" s="22"/>
      <c r="R46" s="23">
        <v>105.88235294117646</v>
      </c>
      <c r="S46" s="24">
        <v>46065</v>
      </c>
      <c r="T46" s="23">
        <v>15.882352941176469</v>
      </c>
      <c r="U46" s="25">
        <v>4</v>
      </c>
      <c r="V46" s="23">
        <v>90</v>
      </c>
      <c r="W46" s="18" t="s">
        <v>47</v>
      </c>
      <c r="X46" s="18" t="s">
        <v>48</v>
      </c>
      <c r="Y46" s="18" t="s">
        <v>78</v>
      </c>
      <c r="Z46" s="18" t="s">
        <v>9</v>
      </c>
      <c r="AA46" s="18" t="s">
        <v>49</v>
      </c>
      <c r="AB46" s="18" t="s">
        <v>108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32" customFormat="1" ht="35.1" customHeight="1" x14ac:dyDescent="0.25">
      <c r="A47" s="9" t="s">
        <v>111</v>
      </c>
      <c r="B47" s="10">
        <v>46065</v>
      </c>
      <c r="C47" s="10">
        <v>46065</v>
      </c>
      <c r="D47" s="11" t="s">
        <v>179</v>
      </c>
      <c r="E47" s="12">
        <v>0.77083333333333337</v>
      </c>
      <c r="F47" s="12">
        <v>0.79166666666666663</v>
      </c>
      <c r="G47" s="12">
        <v>2.0833333333333332E-2</v>
      </c>
      <c r="H47" s="9" t="s">
        <v>112</v>
      </c>
      <c r="I47" s="13"/>
      <c r="J47" s="9" t="s">
        <v>105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2" customFormat="1" ht="35.1" customHeight="1" x14ac:dyDescent="0.25">
      <c r="A48" s="18" t="s">
        <v>172</v>
      </c>
      <c r="B48" s="19">
        <v>46065</v>
      </c>
      <c r="C48" s="19">
        <v>46065</v>
      </c>
      <c r="D48" s="18" t="s">
        <v>179</v>
      </c>
      <c r="E48" s="20">
        <v>0.66666666666666663</v>
      </c>
      <c r="F48" s="20">
        <v>0.79166666666666663</v>
      </c>
      <c r="G48" s="20">
        <v>3.4722222222222218E-4</v>
      </c>
      <c r="H48" s="18" t="s">
        <v>173</v>
      </c>
      <c r="I48" s="21">
        <v>0.77867152777777782</v>
      </c>
      <c r="J48" s="18" t="s">
        <v>105</v>
      </c>
      <c r="K48" s="18" t="s">
        <v>130</v>
      </c>
      <c r="L48" s="22">
        <v>1</v>
      </c>
      <c r="M48" s="22">
        <v>69901</v>
      </c>
      <c r="N48" s="18" t="s">
        <v>53</v>
      </c>
      <c r="O48" s="22" t="s">
        <v>174</v>
      </c>
      <c r="P48" s="23">
        <v>100</v>
      </c>
      <c r="Q48" s="22"/>
      <c r="R48" s="23">
        <v>100</v>
      </c>
      <c r="S48" s="24">
        <v>46054</v>
      </c>
      <c r="T48" s="23">
        <v>15</v>
      </c>
      <c r="U48" s="25">
        <v>4</v>
      </c>
      <c r="V48" s="23">
        <v>85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175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2" customFormat="1" ht="35.1" customHeight="1" x14ac:dyDescent="0.25">
      <c r="A49" s="9" t="s">
        <v>39</v>
      </c>
      <c r="B49" s="10">
        <v>46065</v>
      </c>
      <c r="C49" s="10">
        <v>46065</v>
      </c>
      <c r="D49" s="11" t="s">
        <v>179</v>
      </c>
      <c r="E49" s="12">
        <v>0.79166666666666663</v>
      </c>
      <c r="F49" s="12">
        <v>0.8125</v>
      </c>
      <c r="G49" s="12">
        <v>2.0833333333333332E-2</v>
      </c>
      <c r="H49" s="9" t="s">
        <v>115</v>
      </c>
      <c r="I49" s="13"/>
      <c r="J49" s="9" t="s">
        <v>116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32" customFormat="1" ht="35.1" customHeight="1" x14ac:dyDescent="0.25">
      <c r="A50" s="18" t="s">
        <v>89</v>
      </c>
      <c r="B50" s="19">
        <v>46065</v>
      </c>
      <c r="C50" s="19">
        <v>46065</v>
      </c>
      <c r="D50" s="18" t="s">
        <v>179</v>
      </c>
      <c r="E50" s="20">
        <v>0.79166666666666663</v>
      </c>
      <c r="F50" s="20">
        <v>0.8125</v>
      </c>
      <c r="G50" s="20">
        <v>3.4722222222222218E-4</v>
      </c>
      <c r="H50" s="18" t="s">
        <v>121</v>
      </c>
      <c r="I50" s="21">
        <v>0.79720034722222222</v>
      </c>
      <c r="J50" s="18" t="s">
        <v>116</v>
      </c>
      <c r="K50" s="18" t="s">
        <v>115</v>
      </c>
      <c r="L50" s="22">
        <v>1</v>
      </c>
      <c r="M50" s="22">
        <v>70391</v>
      </c>
      <c r="N50" s="18" t="s">
        <v>53</v>
      </c>
      <c r="O50" s="22" t="s">
        <v>91</v>
      </c>
      <c r="P50" s="23">
        <v>160</v>
      </c>
      <c r="Q50" s="22"/>
      <c r="R50" s="23">
        <v>160</v>
      </c>
      <c r="S50" s="24">
        <v>46054</v>
      </c>
      <c r="T50" s="23">
        <v>24</v>
      </c>
      <c r="U50" s="25">
        <v>4</v>
      </c>
      <c r="V50" s="23">
        <v>136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92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32" customFormat="1" ht="35.1" customHeight="1" x14ac:dyDescent="0.25">
      <c r="A51" s="18" t="s">
        <v>133</v>
      </c>
      <c r="B51" s="19">
        <v>46065</v>
      </c>
      <c r="C51" s="19">
        <v>46065</v>
      </c>
      <c r="D51" s="18" t="s">
        <v>179</v>
      </c>
      <c r="E51" s="20">
        <v>0.79166666666666663</v>
      </c>
      <c r="F51" s="20">
        <v>0.99930555555555556</v>
      </c>
      <c r="G51" s="20">
        <v>1.6203703703703701E-4</v>
      </c>
      <c r="H51" s="18" t="s">
        <v>134</v>
      </c>
      <c r="I51" s="21">
        <v>0.80155405092592602</v>
      </c>
      <c r="J51" s="18" t="s">
        <v>116</v>
      </c>
      <c r="K51" s="18" t="s">
        <v>115</v>
      </c>
      <c r="L51" s="22">
        <v>1</v>
      </c>
      <c r="M51" s="22">
        <v>66849</v>
      </c>
      <c r="N51" s="18" t="s">
        <v>53</v>
      </c>
      <c r="O51" s="22" t="s">
        <v>135</v>
      </c>
      <c r="P51" s="23">
        <v>0</v>
      </c>
      <c r="Q51" s="22"/>
      <c r="R51" s="23">
        <v>0</v>
      </c>
      <c r="S51" s="24">
        <v>46054</v>
      </c>
      <c r="T51" s="23">
        <v>0</v>
      </c>
      <c r="U51" s="25">
        <v>4</v>
      </c>
      <c r="V51" s="23">
        <v>59.5</v>
      </c>
      <c r="W51" s="18" t="s">
        <v>47</v>
      </c>
      <c r="X51" s="18" t="s">
        <v>48</v>
      </c>
      <c r="Y51" s="18" t="s">
        <v>36</v>
      </c>
      <c r="Z51" s="18" t="s">
        <v>9</v>
      </c>
      <c r="AA51" s="18" t="s">
        <v>49</v>
      </c>
      <c r="AB51" s="18" t="s">
        <v>136</v>
      </c>
      <c r="AC51" s="18" t="s">
        <v>38</v>
      </c>
      <c r="AD51" s="7" t="str">
        <f t="shared" si="0"/>
        <v/>
      </c>
      <c r="AE51" s="26"/>
      <c r="AF51" s="26"/>
      <c r="AG51" s="26"/>
      <c r="AH51" s="26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</row>
    <row r="52" spans="1:49" s="32" customFormat="1" ht="35.1" customHeight="1" x14ac:dyDescent="0.25">
      <c r="A52" s="9" t="s">
        <v>39</v>
      </c>
      <c r="B52" s="10">
        <v>46065</v>
      </c>
      <c r="C52" s="10">
        <v>46065</v>
      </c>
      <c r="D52" s="11" t="s">
        <v>179</v>
      </c>
      <c r="E52" s="12">
        <v>0.8125</v>
      </c>
      <c r="F52" s="12">
        <v>0.83333333333333337</v>
      </c>
      <c r="G52" s="12">
        <v>2.0833333333333332E-2</v>
      </c>
      <c r="H52" s="9" t="s">
        <v>186</v>
      </c>
      <c r="I52" s="13"/>
      <c r="J52" s="9" t="s">
        <v>116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32" customFormat="1" ht="35.1" customHeight="1" x14ac:dyDescent="0.25">
      <c r="A53" s="9" t="s">
        <v>122</v>
      </c>
      <c r="B53" s="10">
        <v>46065</v>
      </c>
      <c r="C53" s="10">
        <v>46065</v>
      </c>
      <c r="D53" s="11" t="s">
        <v>179</v>
      </c>
      <c r="E53" s="12">
        <v>0.83333333333333337</v>
      </c>
      <c r="F53" s="12">
        <v>0.875</v>
      </c>
      <c r="G53" s="12">
        <v>4.1666666666666664E-2</v>
      </c>
      <c r="H53" s="9" t="s">
        <v>123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6"/>
      <c r="AF53" s="26"/>
      <c r="AG53" s="26"/>
      <c r="AH53" s="26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</row>
    <row r="54" spans="1:49" s="32" customFormat="1" ht="35.1" customHeight="1" x14ac:dyDescent="0.25">
      <c r="A54" s="18" t="s">
        <v>133</v>
      </c>
      <c r="B54" s="19">
        <v>46065</v>
      </c>
      <c r="C54" s="19">
        <v>46065</v>
      </c>
      <c r="D54" s="18" t="s">
        <v>179</v>
      </c>
      <c r="E54" s="20">
        <v>0.83333333333333337</v>
      </c>
      <c r="F54" s="20">
        <v>0.875</v>
      </c>
      <c r="G54" s="20">
        <v>1.7361111111111109E-4</v>
      </c>
      <c r="H54" s="18" t="s">
        <v>137</v>
      </c>
      <c r="I54" s="21">
        <v>0.84475717592592592</v>
      </c>
      <c r="J54" s="18" t="s">
        <v>41</v>
      </c>
      <c r="K54" s="18" t="s">
        <v>165</v>
      </c>
      <c r="L54" s="22">
        <v>1</v>
      </c>
      <c r="M54" s="22">
        <v>66850</v>
      </c>
      <c r="N54" s="18" t="s">
        <v>53</v>
      </c>
      <c r="O54" s="22" t="s">
        <v>135</v>
      </c>
      <c r="P54" s="23">
        <v>0</v>
      </c>
      <c r="Q54" s="22"/>
      <c r="R54" s="23">
        <v>0</v>
      </c>
      <c r="S54" s="24">
        <v>46054</v>
      </c>
      <c r="T54" s="23">
        <v>0</v>
      </c>
      <c r="U54" s="25">
        <v>4</v>
      </c>
      <c r="V54" s="23">
        <v>59.5</v>
      </c>
      <c r="W54" s="18" t="s">
        <v>47</v>
      </c>
      <c r="X54" s="18" t="s">
        <v>48</v>
      </c>
      <c r="Y54" s="18" t="s">
        <v>36</v>
      </c>
      <c r="Z54" s="18" t="s">
        <v>9</v>
      </c>
      <c r="AA54" s="18" t="s">
        <v>49</v>
      </c>
      <c r="AB54" s="18" t="s">
        <v>136</v>
      </c>
      <c r="AC54" s="18" t="s">
        <v>38</v>
      </c>
      <c r="AD54" s="7" t="str">
        <f t="shared" si="0"/>
        <v/>
      </c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</row>
    <row r="55" spans="1:49" s="28" customFormat="1" ht="35.1" customHeight="1" x14ac:dyDescent="0.25">
      <c r="A55" s="18" t="s">
        <v>117</v>
      </c>
      <c r="B55" s="19">
        <v>46065</v>
      </c>
      <c r="C55" s="19">
        <v>46065</v>
      </c>
      <c r="D55" s="18" t="s">
        <v>179</v>
      </c>
      <c r="E55" s="20">
        <v>0.83333333333333337</v>
      </c>
      <c r="F55" s="20">
        <v>0.91666666666666663</v>
      </c>
      <c r="G55" s="20">
        <v>3.4722222222222218E-4</v>
      </c>
      <c r="H55" s="18" t="s">
        <v>156</v>
      </c>
      <c r="I55" s="21">
        <v>0.84440972222222221</v>
      </c>
      <c r="J55" s="18" t="s">
        <v>41</v>
      </c>
      <c r="K55" s="18" t="s">
        <v>165</v>
      </c>
      <c r="L55" s="22">
        <v>1</v>
      </c>
      <c r="M55" s="22">
        <v>71267</v>
      </c>
      <c r="N55" s="18" t="s">
        <v>53</v>
      </c>
      <c r="O55" s="22" t="s">
        <v>38</v>
      </c>
      <c r="P55" s="23">
        <v>180</v>
      </c>
      <c r="Q55" s="22"/>
      <c r="R55" s="23">
        <v>180</v>
      </c>
      <c r="S55" s="24">
        <v>46065</v>
      </c>
      <c r="T55" s="23">
        <v>27</v>
      </c>
      <c r="U55" s="25">
        <v>4</v>
      </c>
      <c r="V55" s="23">
        <v>153</v>
      </c>
      <c r="W55" s="18" t="s">
        <v>47</v>
      </c>
      <c r="X55" s="18" t="s">
        <v>48</v>
      </c>
      <c r="Y55" s="18" t="s">
        <v>78</v>
      </c>
      <c r="Z55" s="18" t="s">
        <v>9</v>
      </c>
      <c r="AA55" s="18" t="s">
        <v>49</v>
      </c>
      <c r="AB55" s="18" t="s">
        <v>119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2" customFormat="1" ht="35.1" customHeight="1" x14ac:dyDescent="0.25">
      <c r="A56" s="18" t="s">
        <v>172</v>
      </c>
      <c r="B56" s="19">
        <v>46065</v>
      </c>
      <c r="C56" s="19">
        <v>46065</v>
      </c>
      <c r="D56" s="18" t="s">
        <v>179</v>
      </c>
      <c r="E56" s="20">
        <v>0.83333333333333337</v>
      </c>
      <c r="F56" s="20">
        <v>0.95833333333333337</v>
      </c>
      <c r="G56" s="20">
        <v>3.4722222222222218E-4</v>
      </c>
      <c r="H56" s="18" t="s">
        <v>177</v>
      </c>
      <c r="I56" s="21">
        <v>0.84406250000000005</v>
      </c>
      <c r="J56" s="18" t="s">
        <v>41</v>
      </c>
      <c r="K56" s="18" t="s">
        <v>165</v>
      </c>
      <c r="L56" s="22">
        <v>1</v>
      </c>
      <c r="M56" s="22">
        <v>69902</v>
      </c>
      <c r="N56" s="18" t="s">
        <v>53</v>
      </c>
      <c r="O56" s="22" t="s">
        <v>174</v>
      </c>
      <c r="P56" s="23">
        <v>100</v>
      </c>
      <c r="Q56" s="22"/>
      <c r="R56" s="23">
        <v>100</v>
      </c>
      <c r="S56" s="24">
        <v>46054</v>
      </c>
      <c r="T56" s="23">
        <v>15</v>
      </c>
      <c r="U56" s="25">
        <v>4</v>
      </c>
      <c r="V56" s="23">
        <v>85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175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2" customFormat="1" ht="35.1" customHeight="1" x14ac:dyDescent="0.25">
      <c r="A57" s="18" t="s">
        <v>44</v>
      </c>
      <c r="B57" s="19">
        <v>46065</v>
      </c>
      <c r="C57" s="19">
        <v>46065</v>
      </c>
      <c r="D57" s="18" t="s">
        <v>179</v>
      </c>
      <c r="E57" s="20">
        <v>0.83333333333333337</v>
      </c>
      <c r="F57" s="20">
        <v>0.875</v>
      </c>
      <c r="G57" s="20">
        <v>3.4722222222222218E-4</v>
      </c>
      <c r="H57" s="18" t="s">
        <v>45</v>
      </c>
      <c r="I57" s="21">
        <v>0.85462060185185185</v>
      </c>
      <c r="J57" s="18" t="s">
        <v>41</v>
      </c>
      <c r="K57" s="18" t="s">
        <v>165</v>
      </c>
      <c r="L57" s="22">
        <v>1</v>
      </c>
      <c r="M57" s="22">
        <v>70962</v>
      </c>
      <c r="N57" s="18" t="s">
        <v>53</v>
      </c>
      <c r="O57" s="22" t="str">
        <f>AC57</f>
        <v>SFO</v>
      </c>
      <c r="P57" s="23">
        <v>117.65</v>
      </c>
      <c r="Q57" s="22"/>
      <c r="R57" s="23">
        <v>117.65</v>
      </c>
      <c r="S57" s="24">
        <v>46054</v>
      </c>
      <c r="T57" s="23">
        <v>8.8237500000000004</v>
      </c>
      <c r="U57" s="25">
        <v>4</v>
      </c>
      <c r="V57" s="23">
        <v>108.82625</v>
      </c>
      <c r="W57" s="18" t="s">
        <v>47</v>
      </c>
      <c r="X57" s="18" t="s">
        <v>48</v>
      </c>
      <c r="Y57" s="18" t="s">
        <v>36</v>
      </c>
      <c r="Z57" s="18" t="s">
        <v>9</v>
      </c>
      <c r="AA57" s="18" t="s">
        <v>49</v>
      </c>
      <c r="AB57" s="18" t="s">
        <v>50</v>
      </c>
      <c r="AC57" s="18" t="s">
        <v>38</v>
      </c>
      <c r="AD57" s="7" t="str">
        <f t="shared" si="0"/>
        <v/>
      </c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</row>
    <row r="58" spans="1:49" s="32" customFormat="1" ht="35.1" customHeight="1" x14ac:dyDescent="0.25">
      <c r="A58" s="18" t="s">
        <v>133</v>
      </c>
      <c r="B58" s="19">
        <v>46065</v>
      </c>
      <c r="C58" s="19">
        <v>46065</v>
      </c>
      <c r="D58" s="18" t="s">
        <v>179</v>
      </c>
      <c r="E58" s="20">
        <v>0.83333333333333337</v>
      </c>
      <c r="F58" s="20">
        <v>0.875</v>
      </c>
      <c r="G58" s="20">
        <v>1.6203703703703701E-4</v>
      </c>
      <c r="H58" s="18" t="s">
        <v>159</v>
      </c>
      <c r="I58" s="21">
        <v>0.86632106481481486</v>
      </c>
      <c r="J58" s="18" t="s">
        <v>41</v>
      </c>
      <c r="K58" s="18" t="s">
        <v>165</v>
      </c>
      <c r="L58" s="22">
        <v>1</v>
      </c>
      <c r="M58" s="22">
        <v>66850</v>
      </c>
      <c r="N58" s="18" t="s">
        <v>53</v>
      </c>
      <c r="O58" s="22" t="s">
        <v>135</v>
      </c>
      <c r="P58" s="23">
        <v>0</v>
      </c>
      <c r="Q58" s="22"/>
      <c r="R58" s="23">
        <v>0</v>
      </c>
      <c r="S58" s="24">
        <v>46054</v>
      </c>
      <c r="T58" s="23">
        <v>0</v>
      </c>
      <c r="U58" s="25">
        <v>4</v>
      </c>
      <c r="V58" s="23">
        <v>59.5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136</v>
      </c>
      <c r="AC58" s="18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2" customFormat="1" ht="35.1" customHeight="1" x14ac:dyDescent="0.25">
      <c r="A59" s="18" t="s">
        <v>89</v>
      </c>
      <c r="B59" s="19">
        <v>46065</v>
      </c>
      <c r="C59" s="19">
        <v>46065</v>
      </c>
      <c r="D59" s="18" t="s">
        <v>179</v>
      </c>
      <c r="E59" s="20">
        <v>0.83333333333333337</v>
      </c>
      <c r="F59" s="20">
        <v>0.875</v>
      </c>
      <c r="G59" s="20">
        <v>3.4722222222222218E-4</v>
      </c>
      <c r="H59" s="18" t="s">
        <v>139</v>
      </c>
      <c r="I59" s="21">
        <v>0.87457268518518516</v>
      </c>
      <c r="J59" s="18" t="s">
        <v>41</v>
      </c>
      <c r="K59" s="18" t="s">
        <v>165</v>
      </c>
      <c r="L59" s="22">
        <v>1</v>
      </c>
      <c r="M59" s="22">
        <v>70393</v>
      </c>
      <c r="N59" s="18" t="s">
        <v>53</v>
      </c>
      <c r="O59" s="22" t="s">
        <v>91</v>
      </c>
      <c r="P59" s="23">
        <v>160</v>
      </c>
      <c r="Q59" s="22"/>
      <c r="R59" s="23">
        <v>160</v>
      </c>
      <c r="S59" s="24">
        <v>46054</v>
      </c>
      <c r="T59" s="23">
        <v>24</v>
      </c>
      <c r="U59" s="25">
        <v>4</v>
      </c>
      <c r="V59" s="23">
        <v>136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92</v>
      </c>
      <c r="AC59" s="18" t="s">
        <v>38</v>
      </c>
      <c r="AD59" s="7" t="str">
        <f t="shared" si="0"/>
        <v/>
      </c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</row>
    <row r="60" spans="1:49" s="32" customFormat="1" ht="35.1" customHeight="1" x14ac:dyDescent="0.25">
      <c r="A60" s="18" t="s">
        <v>133</v>
      </c>
      <c r="B60" s="19">
        <v>46065</v>
      </c>
      <c r="C60" s="19">
        <v>46065</v>
      </c>
      <c r="D60" s="18" t="s">
        <v>179</v>
      </c>
      <c r="E60" s="20">
        <v>0.83333333333333337</v>
      </c>
      <c r="F60" s="20">
        <v>0.875</v>
      </c>
      <c r="G60" s="20">
        <v>1.7361111111111109E-4</v>
      </c>
      <c r="H60" s="18" t="s">
        <v>137</v>
      </c>
      <c r="I60" s="21">
        <v>0.87422523148148146</v>
      </c>
      <c r="J60" s="18" t="s">
        <v>41</v>
      </c>
      <c r="K60" s="18" t="s">
        <v>165</v>
      </c>
      <c r="L60" s="22">
        <v>1</v>
      </c>
      <c r="M60" s="22">
        <v>66850</v>
      </c>
      <c r="N60" s="18" t="s">
        <v>53</v>
      </c>
      <c r="O60" s="22" t="s">
        <v>135</v>
      </c>
      <c r="P60" s="23">
        <v>0</v>
      </c>
      <c r="Q60" s="22"/>
      <c r="R60" s="23">
        <v>0</v>
      </c>
      <c r="S60" s="24">
        <v>46054</v>
      </c>
      <c r="T60" s="23">
        <v>0</v>
      </c>
      <c r="U60" s="25">
        <v>4</v>
      </c>
      <c r="V60" s="23">
        <v>59.5</v>
      </c>
      <c r="W60" s="18" t="s">
        <v>47</v>
      </c>
      <c r="X60" s="18" t="s">
        <v>48</v>
      </c>
      <c r="Y60" s="18" t="s">
        <v>36</v>
      </c>
      <c r="Z60" s="18" t="s">
        <v>9</v>
      </c>
      <c r="AA60" s="18" t="s">
        <v>49</v>
      </c>
      <c r="AB60" s="18" t="s">
        <v>136</v>
      </c>
      <c r="AC60" s="18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2" customFormat="1" ht="35.1" customHeight="1" x14ac:dyDescent="0.25">
      <c r="A61" s="9" t="s">
        <v>124</v>
      </c>
      <c r="B61" s="10">
        <v>46065</v>
      </c>
      <c r="C61" s="10">
        <v>46065</v>
      </c>
      <c r="D61" s="11" t="s">
        <v>179</v>
      </c>
      <c r="E61" s="12">
        <v>0.875</v>
      </c>
      <c r="F61" s="12">
        <v>0.91666666666666663</v>
      </c>
      <c r="G61" s="12">
        <v>4.1666666666666664E-2</v>
      </c>
      <c r="H61" s="9" t="s">
        <v>125</v>
      </c>
      <c r="I61" s="13"/>
      <c r="J61" s="9" t="s">
        <v>41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32" customFormat="1" ht="35.1" customHeight="1" x14ac:dyDescent="0.25">
      <c r="A62" s="18" t="s">
        <v>172</v>
      </c>
      <c r="B62" s="19">
        <v>46065</v>
      </c>
      <c r="C62" s="19">
        <v>46065</v>
      </c>
      <c r="D62" s="18" t="s">
        <v>179</v>
      </c>
      <c r="E62" s="20">
        <v>0.83333333333333337</v>
      </c>
      <c r="F62" s="20">
        <v>0.95833333333333337</v>
      </c>
      <c r="G62" s="20">
        <v>3.4722222222222218E-4</v>
      </c>
      <c r="H62" s="18" t="s">
        <v>177</v>
      </c>
      <c r="I62" s="21">
        <v>0.88694756944444453</v>
      </c>
      <c r="J62" s="18" t="s">
        <v>41</v>
      </c>
      <c r="K62" s="18" t="s">
        <v>125</v>
      </c>
      <c r="L62" s="22">
        <v>1</v>
      </c>
      <c r="M62" s="22">
        <v>69902</v>
      </c>
      <c r="N62" s="18" t="s">
        <v>53</v>
      </c>
      <c r="O62" s="22" t="s">
        <v>174</v>
      </c>
      <c r="P62" s="23">
        <v>100</v>
      </c>
      <c r="Q62" s="22"/>
      <c r="R62" s="23">
        <v>100</v>
      </c>
      <c r="S62" s="24">
        <v>46054</v>
      </c>
      <c r="T62" s="23">
        <v>15</v>
      </c>
      <c r="U62" s="25">
        <v>4</v>
      </c>
      <c r="V62" s="23">
        <v>85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175</v>
      </c>
      <c r="AC62" s="18" t="s">
        <v>38</v>
      </c>
      <c r="AD62" s="7" t="str">
        <f t="shared" si="0"/>
        <v/>
      </c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</row>
    <row r="63" spans="1:49" s="32" customFormat="1" ht="35.1" customHeight="1" x14ac:dyDescent="0.25">
      <c r="A63" s="18" t="s">
        <v>133</v>
      </c>
      <c r="B63" s="19">
        <v>46065</v>
      </c>
      <c r="C63" s="19">
        <v>46065</v>
      </c>
      <c r="D63" s="18" t="s">
        <v>179</v>
      </c>
      <c r="E63" s="20">
        <v>0.25</v>
      </c>
      <c r="F63" s="20">
        <v>0.99930555555555556</v>
      </c>
      <c r="G63" s="20">
        <v>1.6203703703703701E-4</v>
      </c>
      <c r="H63" s="18" t="s">
        <v>159</v>
      </c>
      <c r="I63" s="21">
        <v>0.89552129629629618</v>
      </c>
      <c r="J63" s="18" t="s">
        <v>41</v>
      </c>
      <c r="K63" s="18" t="s">
        <v>125</v>
      </c>
      <c r="L63" s="22">
        <v>1</v>
      </c>
      <c r="M63" s="22">
        <v>66852</v>
      </c>
      <c r="N63" s="18" t="s">
        <v>46</v>
      </c>
      <c r="O63" s="22" t="s">
        <v>135</v>
      </c>
      <c r="P63" s="23">
        <v>0</v>
      </c>
      <c r="Q63" s="22"/>
      <c r="R63" s="23">
        <v>0</v>
      </c>
      <c r="S63" s="24">
        <v>46054</v>
      </c>
      <c r="T63" s="23">
        <v>0</v>
      </c>
      <c r="U63" s="25">
        <v>4</v>
      </c>
      <c r="V63" s="23">
        <v>0</v>
      </c>
      <c r="W63" s="18" t="s">
        <v>47</v>
      </c>
      <c r="X63" s="18" t="s">
        <v>48</v>
      </c>
      <c r="Y63" s="18" t="s">
        <v>36</v>
      </c>
      <c r="Z63" s="18" t="s">
        <v>9</v>
      </c>
      <c r="AA63" s="18" t="s">
        <v>49</v>
      </c>
      <c r="AB63" s="18" t="s">
        <v>136</v>
      </c>
      <c r="AC63" s="18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32" customFormat="1" ht="35.1" customHeight="1" x14ac:dyDescent="0.25">
      <c r="A64" s="9" t="s">
        <v>124</v>
      </c>
      <c r="B64" s="10">
        <v>46065</v>
      </c>
      <c r="C64" s="10">
        <v>46065</v>
      </c>
      <c r="D64" s="11" t="s">
        <v>179</v>
      </c>
      <c r="E64" s="12">
        <v>0.91666666666666663</v>
      </c>
      <c r="F64" s="12">
        <v>0.97916666666666663</v>
      </c>
      <c r="G64" s="12">
        <v>6.25E-2</v>
      </c>
      <c r="H64" s="9" t="s">
        <v>187</v>
      </c>
      <c r="I64" s="13"/>
      <c r="J64" s="9" t="s">
        <v>41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32" customFormat="1" ht="35.1" customHeight="1" x14ac:dyDescent="0.25">
      <c r="A65" s="18" t="s">
        <v>133</v>
      </c>
      <c r="B65" s="19">
        <v>46065</v>
      </c>
      <c r="C65" s="19">
        <v>46065</v>
      </c>
      <c r="D65" s="18" t="s">
        <v>179</v>
      </c>
      <c r="E65" s="20">
        <v>0.25</v>
      </c>
      <c r="F65" s="20">
        <v>0.99930555555555556</v>
      </c>
      <c r="G65" s="20">
        <v>1.7361111111111109E-4</v>
      </c>
      <c r="H65" s="18" t="s">
        <v>137</v>
      </c>
      <c r="I65" s="21">
        <v>0.93302106481481484</v>
      </c>
      <c r="J65" s="18" t="s">
        <v>41</v>
      </c>
      <c r="K65" s="18" t="s">
        <v>187</v>
      </c>
      <c r="L65" s="22">
        <v>1</v>
      </c>
      <c r="M65" s="22">
        <v>66852</v>
      </c>
      <c r="N65" s="18" t="s">
        <v>46</v>
      </c>
      <c r="O65" s="22" t="s">
        <v>135</v>
      </c>
      <c r="P65" s="23">
        <v>0</v>
      </c>
      <c r="Q65" s="22"/>
      <c r="R65" s="23">
        <v>0</v>
      </c>
      <c r="S65" s="24">
        <v>46054</v>
      </c>
      <c r="T65" s="23">
        <v>0</v>
      </c>
      <c r="U65" s="25">
        <v>4</v>
      </c>
      <c r="V65" s="23">
        <v>0</v>
      </c>
      <c r="W65" s="18" t="s">
        <v>47</v>
      </c>
      <c r="X65" s="18" t="s">
        <v>48</v>
      </c>
      <c r="Y65" s="18" t="s">
        <v>36</v>
      </c>
      <c r="Z65" s="18" t="s">
        <v>9</v>
      </c>
      <c r="AA65" s="18" t="s">
        <v>49</v>
      </c>
      <c r="AB65" s="18" t="s">
        <v>136</v>
      </c>
      <c r="AC65" s="18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32" customFormat="1" ht="35.1" customHeight="1" x14ac:dyDescent="0.25">
      <c r="A66" s="9" t="s">
        <v>39</v>
      </c>
      <c r="B66" s="10">
        <v>46065</v>
      </c>
      <c r="C66" s="10">
        <v>46065</v>
      </c>
      <c r="D66" s="11" t="s">
        <v>179</v>
      </c>
      <c r="E66" s="12">
        <v>0.97916666666666663</v>
      </c>
      <c r="F66" s="12">
        <v>1</v>
      </c>
      <c r="G66" s="12">
        <v>2.0833333333333332E-2</v>
      </c>
      <c r="H66" s="9" t="s">
        <v>127</v>
      </c>
      <c r="I66" s="13"/>
      <c r="J66" s="9" t="s">
        <v>116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si="0"/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32" customFormat="1" ht="35.1" customHeight="1" x14ac:dyDescent="0.25">
      <c r="A67" s="18" t="s">
        <v>133</v>
      </c>
      <c r="B67" s="19">
        <v>46065</v>
      </c>
      <c r="C67" s="19">
        <v>46065</v>
      </c>
      <c r="D67" s="18" t="s">
        <v>179</v>
      </c>
      <c r="E67" s="20">
        <v>0.79166666666666663</v>
      </c>
      <c r="F67" s="20">
        <v>1</v>
      </c>
      <c r="G67" s="20">
        <v>1.7361111111111109E-4</v>
      </c>
      <c r="H67" s="18" t="s">
        <v>158</v>
      </c>
      <c r="I67" s="21">
        <v>0.99959710648148148</v>
      </c>
      <c r="J67" s="18" t="s">
        <v>116</v>
      </c>
      <c r="K67" s="18" t="s">
        <v>127</v>
      </c>
      <c r="L67" s="22">
        <v>1</v>
      </c>
      <c r="M67" s="22">
        <v>66849</v>
      </c>
      <c r="N67" s="18" t="s">
        <v>53</v>
      </c>
      <c r="O67" s="22" t="s">
        <v>135</v>
      </c>
      <c r="P67" s="23">
        <v>0</v>
      </c>
      <c r="Q67" s="22"/>
      <c r="R67" s="23">
        <v>0</v>
      </c>
      <c r="S67" s="24">
        <v>46054</v>
      </c>
      <c r="T67" s="23">
        <v>0</v>
      </c>
      <c r="U67" s="25">
        <v>4</v>
      </c>
      <c r="V67" s="23">
        <v>59.5</v>
      </c>
      <c r="W67" s="18" t="s">
        <v>47</v>
      </c>
      <c r="X67" s="18" t="s">
        <v>48</v>
      </c>
      <c r="Y67" s="18" t="s">
        <v>36</v>
      </c>
      <c r="Z67" s="18" t="s">
        <v>9</v>
      </c>
      <c r="AA67" s="18" t="s">
        <v>49</v>
      </c>
      <c r="AB67" s="18" t="s">
        <v>136</v>
      </c>
      <c r="AC67" s="18" t="s">
        <v>38</v>
      </c>
      <c r="AD67" s="7" t="str">
        <f t="shared" si="0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7" xr:uid="{D8002233-7EB2-4D60-8A20-F032840B89A4}"/>
  <sortState xmlns:xlrd2="http://schemas.microsoft.com/office/spreadsheetml/2017/richdata2" ref="A2:AD317">
    <sortCondition sortBy="cellColor" ref="E1:E491" dxfId="27"/>
  </sortState>
  <conditionalFormatting sqref="AD1:AD67">
    <cfRule type="cellIs" dxfId="26" priority="8" operator="equal">
      <formula>"NO"</formula>
    </cfRule>
  </conditionalFormatting>
  <conditionalFormatting sqref="E2:F67">
    <cfRule type="timePeriod" dxfId="25" priority="7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26" customFormat="1" ht="35.1" customHeight="1" x14ac:dyDescent="0.25">
      <c r="A4" s="18" t="s">
        <v>133</v>
      </c>
      <c r="B4" s="19">
        <v>46066</v>
      </c>
      <c r="C4" s="19">
        <v>46066</v>
      </c>
      <c r="D4" s="18" t="s">
        <v>195</v>
      </c>
      <c r="E4" s="20">
        <v>0.25</v>
      </c>
      <c r="F4" s="20">
        <v>0.99930555555555556</v>
      </c>
      <c r="G4" s="20">
        <v>1.6203703703703701E-4</v>
      </c>
      <c r="H4" s="18" t="s">
        <v>159</v>
      </c>
      <c r="I4" s="21">
        <v>0.25884571759259262</v>
      </c>
      <c r="J4" s="18" t="s">
        <v>41</v>
      </c>
      <c r="K4" s="18" t="s">
        <v>40</v>
      </c>
      <c r="L4" s="22">
        <v>1</v>
      </c>
      <c r="M4" s="22">
        <v>66852</v>
      </c>
      <c r="N4" s="18" t="s">
        <v>46</v>
      </c>
      <c r="O4" s="22" t="s">
        <v>135</v>
      </c>
      <c r="P4" s="23">
        <v>0</v>
      </c>
      <c r="Q4" s="22"/>
      <c r="R4" s="23">
        <v>0</v>
      </c>
      <c r="S4" s="24">
        <v>46054</v>
      </c>
      <c r="T4" s="23">
        <v>0</v>
      </c>
      <c r="U4" s="25">
        <v>4</v>
      </c>
      <c r="V4" s="23">
        <v>0</v>
      </c>
      <c r="W4" s="18" t="s">
        <v>47</v>
      </c>
      <c r="X4" s="18" t="s">
        <v>48</v>
      </c>
      <c r="Y4" s="18" t="s">
        <v>36</v>
      </c>
      <c r="Z4" s="18" t="s">
        <v>9</v>
      </c>
      <c r="AA4" s="18" t="s">
        <v>49</v>
      </c>
      <c r="AB4" s="18" t="s">
        <v>136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5">
      <c r="A5" s="9" t="s">
        <v>56</v>
      </c>
      <c r="B5" s="10">
        <v>46066</v>
      </c>
      <c r="C5" s="10">
        <v>46066</v>
      </c>
      <c r="D5" s="11" t="s">
        <v>195</v>
      </c>
      <c r="E5" s="12">
        <v>0.29166666666666669</v>
      </c>
      <c r="F5" s="12">
        <v>0.3125</v>
      </c>
      <c r="G5" s="12">
        <v>2.0833333333333332E-2</v>
      </c>
      <c r="H5" s="9" t="s">
        <v>196</v>
      </c>
      <c r="I5" s="13" t="s">
        <v>181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26" customFormat="1" ht="35.1" customHeight="1" x14ac:dyDescent="0.25">
      <c r="A6" s="9" t="s">
        <v>56</v>
      </c>
      <c r="B6" s="10">
        <v>46066</v>
      </c>
      <c r="C6" s="10">
        <v>46066</v>
      </c>
      <c r="D6" s="11" t="s">
        <v>195</v>
      </c>
      <c r="E6" s="12">
        <v>0.3125</v>
      </c>
      <c r="F6" s="12">
        <v>0.33333333333333331</v>
      </c>
      <c r="G6" s="12">
        <v>2.0833333333333332E-2</v>
      </c>
      <c r="H6" s="9" t="s">
        <v>196</v>
      </c>
      <c r="I6" s="13" t="s">
        <v>181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26" customFormat="1" ht="35.1" customHeight="1" x14ac:dyDescent="0.25">
      <c r="A7" s="9" t="s">
        <v>59</v>
      </c>
      <c r="B7" s="10">
        <v>46066</v>
      </c>
      <c r="C7" s="10">
        <v>46066</v>
      </c>
      <c r="D7" s="11" t="s">
        <v>195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26" customFormat="1" ht="35.1" customHeight="1" x14ac:dyDescent="0.25">
      <c r="A8" s="9" t="s">
        <v>59</v>
      </c>
      <c r="B8" s="10">
        <v>46066</v>
      </c>
      <c r="C8" s="10">
        <v>46066</v>
      </c>
      <c r="D8" s="11" t="s">
        <v>195</v>
      </c>
      <c r="E8" s="12">
        <v>0.375</v>
      </c>
      <c r="F8" s="12">
        <v>0.41666666666666669</v>
      </c>
      <c r="G8" s="12">
        <v>4.1666666666666664E-2</v>
      </c>
      <c r="H8" s="9" t="s">
        <v>63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5.1" customHeight="1" x14ac:dyDescent="0.25">
      <c r="A9" s="9" t="s">
        <v>64</v>
      </c>
      <c r="B9" s="10">
        <v>46066</v>
      </c>
      <c r="C9" s="10">
        <v>46066</v>
      </c>
      <c r="D9" s="11" t="s">
        <v>195</v>
      </c>
      <c r="E9" s="12">
        <v>0.41666666666666669</v>
      </c>
      <c r="F9" s="12">
        <v>0.45833333333333331</v>
      </c>
      <c r="G9" s="12">
        <v>4.1666666666666664E-2</v>
      </c>
      <c r="H9" s="9" t="s">
        <v>65</v>
      </c>
      <c r="I9" s="13"/>
      <c r="J9" s="9" t="s">
        <v>66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6" customFormat="1" ht="35.1" customHeight="1" x14ac:dyDescent="0.25">
      <c r="A10" s="18" t="s">
        <v>64</v>
      </c>
      <c r="B10" s="19">
        <v>46066</v>
      </c>
      <c r="C10" s="19">
        <v>46066</v>
      </c>
      <c r="D10" s="18" t="s">
        <v>195</v>
      </c>
      <c r="E10" s="20">
        <v>0.41666666666666669</v>
      </c>
      <c r="F10" s="20">
        <v>0.45833333333333331</v>
      </c>
      <c r="G10" s="20">
        <v>3.4722222222222224E-4</v>
      </c>
      <c r="H10" s="18" t="s">
        <v>197</v>
      </c>
      <c r="I10" s="21">
        <v>0.42335648148148147</v>
      </c>
      <c r="J10" s="18" t="s">
        <v>66</v>
      </c>
      <c r="K10" s="18" t="s">
        <v>64</v>
      </c>
      <c r="L10" s="22">
        <v>1</v>
      </c>
      <c r="M10" s="22">
        <v>3</v>
      </c>
      <c r="N10" s="18" t="s">
        <v>53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68</v>
      </c>
      <c r="AA10" s="18" t="s">
        <v>49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</row>
    <row r="11" spans="1:49" s="26" customFormat="1" ht="35.1" customHeight="1" x14ac:dyDescent="0.25">
      <c r="A11" s="18" t="s">
        <v>64</v>
      </c>
      <c r="B11" s="19">
        <v>46066</v>
      </c>
      <c r="C11" s="19">
        <v>46066</v>
      </c>
      <c r="D11" s="18" t="s">
        <v>195</v>
      </c>
      <c r="E11" s="20">
        <v>0.41666666666666669</v>
      </c>
      <c r="F11" s="20">
        <v>0.45833333333333331</v>
      </c>
      <c r="G11" s="20">
        <v>3.4722222222222224E-4</v>
      </c>
      <c r="H11" s="18" t="s">
        <v>198</v>
      </c>
      <c r="I11" s="21">
        <v>0.42370370370370369</v>
      </c>
      <c r="J11" s="18" t="s">
        <v>66</v>
      </c>
      <c r="K11" s="18" t="s">
        <v>64</v>
      </c>
      <c r="L11" s="22">
        <v>1</v>
      </c>
      <c r="M11" s="22">
        <v>3</v>
      </c>
      <c r="N11" s="18" t="s">
        <v>53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68</v>
      </c>
      <c r="AA11" s="18" t="s">
        <v>49</v>
      </c>
      <c r="AB11" s="18">
        <v>1109</v>
      </c>
      <c r="AC11" s="18" t="s">
        <v>38</v>
      </c>
      <c r="AD11" s="7" t="str">
        <f t="shared" ref="AD11:AD12" si="1"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6" customFormat="1" ht="35.1" customHeight="1" x14ac:dyDescent="0.25">
      <c r="A12" s="18" t="s">
        <v>64</v>
      </c>
      <c r="B12" s="19">
        <v>46066</v>
      </c>
      <c r="C12" s="19">
        <v>46066</v>
      </c>
      <c r="D12" s="18" t="s">
        <v>195</v>
      </c>
      <c r="E12" s="20">
        <v>0.41666666666666669</v>
      </c>
      <c r="F12" s="20">
        <v>0.45833333333333331</v>
      </c>
      <c r="G12" s="20">
        <v>3.4722222222222224E-4</v>
      </c>
      <c r="H12" s="18" t="s">
        <v>67</v>
      </c>
      <c r="I12" s="21">
        <v>0.42405092592592591</v>
      </c>
      <c r="J12" s="18" t="s">
        <v>66</v>
      </c>
      <c r="K12" s="18" t="s">
        <v>64</v>
      </c>
      <c r="L12" s="22">
        <v>1</v>
      </c>
      <c r="M12" s="22">
        <v>3</v>
      </c>
      <c r="N12" s="18" t="s">
        <v>53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68</v>
      </c>
      <c r="AA12" s="18" t="s">
        <v>49</v>
      </c>
      <c r="AB12" s="18">
        <v>1109</v>
      </c>
      <c r="AC12" s="18" t="s">
        <v>38</v>
      </c>
      <c r="AD12" s="7" t="str">
        <f t="shared" si="1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6" customFormat="1" ht="35.1" customHeight="1" x14ac:dyDescent="0.25">
      <c r="A13" s="9" t="s">
        <v>71</v>
      </c>
      <c r="B13" s="10">
        <v>46066</v>
      </c>
      <c r="C13" s="10">
        <v>46066</v>
      </c>
      <c r="D13" s="11" t="s">
        <v>195</v>
      </c>
      <c r="E13" s="12">
        <v>0.45833333333333331</v>
      </c>
      <c r="F13" s="12">
        <v>0.47916666666666669</v>
      </c>
      <c r="G13" s="12">
        <v>2.0833333333333332E-2</v>
      </c>
      <c r="H13" s="9" t="s">
        <v>143</v>
      </c>
      <c r="I13" s="13"/>
      <c r="J13" s="9" t="s">
        <v>76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6" customFormat="1" ht="35.1" customHeight="1" x14ac:dyDescent="0.25">
      <c r="A14" s="18" t="s">
        <v>89</v>
      </c>
      <c r="B14" s="19">
        <v>46066</v>
      </c>
      <c r="C14" s="19">
        <v>46066</v>
      </c>
      <c r="D14" s="18" t="s">
        <v>195</v>
      </c>
      <c r="E14" s="20">
        <v>0.45833333333333331</v>
      </c>
      <c r="F14" s="20">
        <v>0.47916666666666669</v>
      </c>
      <c r="G14" s="20">
        <v>3.4722222222222218E-4</v>
      </c>
      <c r="H14" s="18" t="s">
        <v>90</v>
      </c>
      <c r="I14" s="21">
        <v>0.46473541666666668</v>
      </c>
      <c r="J14" s="18" t="s">
        <v>76</v>
      </c>
      <c r="K14" s="18" t="s">
        <v>143</v>
      </c>
      <c r="L14" s="22">
        <v>1</v>
      </c>
      <c r="M14" s="22">
        <v>70395</v>
      </c>
      <c r="N14" s="18" t="s">
        <v>53</v>
      </c>
      <c r="O14" s="22" t="s">
        <v>91</v>
      </c>
      <c r="P14" s="23">
        <v>140</v>
      </c>
      <c r="Q14" s="22"/>
      <c r="R14" s="23">
        <v>140</v>
      </c>
      <c r="S14" s="24">
        <v>46054</v>
      </c>
      <c r="T14" s="23">
        <v>21</v>
      </c>
      <c r="U14" s="25">
        <v>4</v>
      </c>
      <c r="V14" s="23">
        <v>119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92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6" customFormat="1" ht="35.1" customHeight="1" x14ac:dyDescent="0.25">
      <c r="A15" s="18" t="s">
        <v>80</v>
      </c>
      <c r="B15" s="19">
        <v>46066</v>
      </c>
      <c r="C15" s="19">
        <v>46066</v>
      </c>
      <c r="D15" s="18" t="s">
        <v>195</v>
      </c>
      <c r="E15" s="20">
        <v>0.45833333333333331</v>
      </c>
      <c r="F15" s="20">
        <v>0.47916666666666669</v>
      </c>
      <c r="G15" s="20">
        <v>1.7361111111111109E-4</v>
      </c>
      <c r="H15" s="18" t="s">
        <v>93</v>
      </c>
      <c r="I15" s="21">
        <v>0.47221134259259256</v>
      </c>
      <c r="J15" s="18" t="s">
        <v>76</v>
      </c>
      <c r="K15" s="18" t="s">
        <v>143</v>
      </c>
      <c r="L15" s="22">
        <v>1</v>
      </c>
      <c r="M15" s="22">
        <v>71172</v>
      </c>
      <c r="N15" s="18" t="s">
        <v>53</v>
      </c>
      <c r="O15" s="22" t="s">
        <v>82</v>
      </c>
      <c r="P15" s="23">
        <v>70</v>
      </c>
      <c r="Q15" s="22"/>
      <c r="R15" s="23">
        <v>70</v>
      </c>
      <c r="S15" s="24">
        <v>46066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78</v>
      </c>
      <c r="Z15" s="18" t="s">
        <v>9</v>
      </c>
      <c r="AA15" s="18" t="s">
        <v>49</v>
      </c>
      <c r="AB15" s="18" t="s">
        <v>83</v>
      </c>
      <c r="AC15" s="18" t="s">
        <v>38</v>
      </c>
      <c r="AD15" s="7" t="str">
        <f t="shared" si="0"/>
        <v/>
      </c>
    </row>
    <row r="16" spans="1:49" s="26" customFormat="1" ht="35.1" customHeight="1" x14ac:dyDescent="0.25">
      <c r="A16" s="18" t="s">
        <v>74</v>
      </c>
      <c r="B16" s="19">
        <v>46066</v>
      </c>
      <c r="C16" s="19">
        <v>46066</v>
      </c>
      <c r="D16" s="18" t="s">
        <v>195</v>
      </c>
      <c r="E16" s="20">
        <v>0.45833333333333331</v>
      </c>
      <c r="F16" s="20">
        <v>0.5</v>
      </c>
      <c r="G16" s="20">
        <v>3.4722222222222218E-4</v>
      </c>
      <c r="H16" s="18" t="s">
        <v>84</v>
      </c>
      <c r="I16" s="21">
        <v>0.4723849537037037</v>
      </c>
      <c r="J16" s="18" t="s">
        <v>76</v>
      </c>
      <c r="K16" s="18" t="s">
        <v>143</v>
      </c>
      <c r="L16" s="22">
        <v>1</v>
      </c>
      <c r="M16" s="22">
        <v>71445</v>
      </c>
      <c r="N16" s="18" t="s">
        <v>53</v>
      </c>
      <c r="O16" s="22" t="s">
        <v>77</v>
      </c>
      <c r="P16" s="23">
        <v>94.117647058823522</v>
      </c>
      <c r="Q16" s="22"/>
      <c r="R16" s="23">
        <v>94.117647058823522</v>
      </c>
      <c r="S16" s="24">
        <v>46066</v>
      </c>
      <c r="T16" s="23">
        <v>14.117647058823527</v>
      </c>
      <c r="U16" s="25">
        <v>4</v>
      </c>
      <c r="V16" s="23">
        <v>80</v>
      </c>
      <c r="W16" s="18" t="s">
        <v>47</v>
      </c>
      <c r="X16" s="18" t="s">
        <v>48</v>
      </c>
      <c r="Y16" s="18" t="s">
        <v>78</v>
      </c>
      <c r="Z16" s="18" t="s">
        <v>9</v>
      </c>
      <c r="AA16" s="18" t="s">
        <v>49</v>
      </c>
      <c r="AB16" s="18" t="s">
        <v>79</v>
      </c>
      <c r="AC16" s="18" t="s">
        <v>38</v>
      </c>
      <c r="AD16" s="7" t="str">
        <f t="shared" si="0"/>
        <v/>
      </c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26" customFormat="1" ht="35.1" customHeight="1" x14ac:dyDescent="0.25">
      <c r="A17" s="18" t="s">
        <v>144</v>
      </c>
      <c r="B17" s="19">
        <v>46066</v>
      </c>
      <c r="C17" s="19">
        <v>46066</v>
      </c>
      <c r="D17" s="18" t="s">
        <v>195</v>
      </c>
      <c r="E17" s="20">
        <v>0.45833333333333331</v>
      </c>
      <c r="F17" s="20">
        <v>0.47916666666666669</v>
      </c>
      <c r="G17" s="20">
        <v>1.7361111111111109E-4</v>
      </c>
      <c r="H17" s="18" t="s">
        <v>148</v>
      </c>
      <c r="I17" s="21">
        <v>0.4777791666666667</v>
      </c>
      <c r="J17" s="18" t="s">
        <v>76</v>
      </c>
      <c r="K17" s="18" t="s">
        <v>143</v>
      </c>
      <c r="L17" s="22">
        <v>1</v>
      </c>
      <c r="M17" s="22">
        <v>70008</v>
      </c>
      <c r="N17" s="18" t="s">
        <v>53</v>
      </c>
      <c r="O17" s="22" t="s">
        <v>146</v>
      </c>
      <c r="P17" s="23">
        <v>64.709999999999994</v>
      </c>
      <c r="Q17" s="22"/>
      <c r="R17" s="23">
        <v>64.709999999999994</v>
      </c>
      <c r="S17" s="24">
        <v>46054</v>
      </c>
      <c r="T17" s="23">
        <v>9.7064999999999984</v>
      </c>
      <c r="U17" s="25">
        <v>4</v>
      </c>
      <c r="V17" s="23">
        <v>55.003499999999995</v>
      </c>
      <c r="W17" s="18" t="s">
        <v>47</v>
      </c>
      <c r="X17" s="18" t="s">
        <v>48</v>
      </c>
      <c r="Y17" s="18" t="s">
        <v>36</v>
      </c>
      <c r="Z17" s="18" t="s">
        <v>9</v>
      </c>
      <c r="AA17" s="18" t="s">
        <v>49</v>
      </c>
      <c r="AB17" s="18" t="s">
        <v>190</v>
      </c>
      <c r="AC17" s="18" t="s">
        <v>38</v>
      </c>
      <c r="AD17" s="7" t="str">
        <f t="shared" si="0"/>
        <v/>
      </c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6" customFormat="1" ht="35.1" customHeight="1" x14ac:dyDescent="0.25">
      <c r="A18" s="9" t="s">
        <v>71</v>
      </c>
      <c r="B18" s="10">
        <v>46066</v>
      </c>
      <c r="C18" s="10">
        <v>46066</v>
      </c>
      <c r="D18" s="11" t="s">
        <v>195</v>
      </c>
      <c r="E18" s="12">
        <v>0.47916666666666669</v>
      </c>
      <c r="F18" s="12">
        <v>0.5</v>
      </c>
      <c r="G18" s="12">
        <v>2.0833333333333332E-2</v>
      </c>
      <c r="H18" s="9" t="s">
        <v>199</v>
      </c>
      <c r="I18" s="13"/>
      <c r="J18" s="9" t="s">
        <v>76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5">
      <c r="A19" s="18" t="s">
        <v>89</v>
      </c>
      <c r="B19" s="19">
        <v>46066</v>
      </c>
      <c r="C19" s="19">
        <v>46066</v>
      </c>
      <c r="D19" s="18" t="s">
        <v>195</v>
      </c>
      <c r="E19" s="20">
        <v>0.45833333333333331</v>
      </c>
      <c r="F19" s="20">
        <v>0.5</v>
      </c>
      <c r="G19" s="20">
        <v>3.4722222222222218E-4</v>
      </c>
      <c r="H19" s="18" t="s">
        <v>90</v>
      </c>
      <c r="I19" s="21">
        <v>0.48781377314814817</v>
      </c>
      <c r="J19" s="18" t="s">
        <v>76</v>
      </c>
      <c r="K19" s="18" t="s">
        <v>128</v>
      </c>
      <c r="L19" s="22">
        <v>1</v>
      </c>
      <c r="M19" s="22">
        <v>70397</v>
      </c>
      <c r="N19" s="18" t="s">
        <v>53</v>
      </c>
      <c r="O19" s="22" t="s">
        <v>91</v>
      </c>
      <c r="P19" s="23">
        <v>120</v>
      </c>
      <c r="Q19" s="22"/>
      <c r="R19" s="23">
        <v>120</v>
      </c>
      <c r="S19" s="24">
        <v>46054</v>
      </c>
      <c r="T19" s="23">
        <v>18</v>
      </c>
      <c r="U19" s="25">
        <v>4</v>
      </c>
      <c r="V19" s="23">
        <v>102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92</v>
      </c>
      <c r="AC19" s="18" t="s">
        <v>38</v>
      </c>
      <c r="AD19" s="7" t="str">
        <f t="shared" si="0"/>
        <v/>
      </c>
    </row>
    <row r="20" spans="1:49" s="26" customFormat="1" ht="35.1" customHeight="1" x14ac:dyDescent="0.25">
      <c r="A20" s="18" t="s">
        <v>44</v>
      </c>
      <c r="B20" s="19">
        <v>46066</v>
      </c>
      <c r="C20" s="19">
        <v>46066</v>
      </c>
      <c r="D20" s="18" t="s">
        <v>195</v>
      </c>
      <c r="E20" s="20">
        <v>0.45833333333333331</v>
      </c>
      <c r="F20" s="20">
        <v>0.5</v>
      </c>
      <c r="G20" s="20">
        <v>3.4722222222222218E-4</v>
      </c>
      <c r="H20" s="18" t="s">
        <v>149</v>
      </c>
      <c r="I20" s="21">
        <v>0.48816099537037039</v>
      </c>
      <c r="J20" s="18" t="s">
        <v>76</v>
      </c>
      <c r="K20" s="18" t="s">
        <v>128</v>
      </c>
      <c r="L20" s="22">
        <v>1</v>
      </c>
      <c r="M20" s="22">
        <v>70974</v>
      </c>
      <c r="N20" s="18" t="s">
        <v>53</v>
      </c>
      <c r="O20" s="22" t="str">
        <f>AC20</f>
        <v>SFO</v>
      </c>
      <c r="P20" s="23">
        <v>117.65</v>
      </c>
      <c r="Q20" s="22"/>
      <c r="R20" s="23">
        <v>117.65</v>
      </c>
      <c r="S20" s="24">
        <v>46054</v>
      </c>
      <c r="T20" s="23">
        <v>8.8237500000000004</v>
      </c>
      <c r="U20" s="25">
        <v>4</v>
      </c>
      <c r="V20" s="23">
        <v>108.82625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50</v>
      </c>
      <c r="AC20" s="18" t="s">
        <v>38</v>
      </c>
      <c r="AD20" s="7" t="str">
        <f t="shared" si="0"/>
        <v/>
      </c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</row>
    <row r="21" spans="1:49" s="26" customFormat="1" ht="35.1" customHeight="1" x14ac:dyDescent="0.25">
      <c r="A21" s="18" t="s">
        <v>74</v>
      </c>
      <c r="B21" s="19">
        <v>46066</v>
      </c>
      <c r="C21" s="19">
        <v>46066</v>
      </c>
      <c r="D21" s="18" t="s">
        <v>195</v>
      </c>
      <c r="E21" s="20">
        <v>0.45833333333333331</v>
      </c>
      <c r="F21" s="20">
        <v>0.5</v>
      </c>
      <c r="G21" s="20">
        <v>3.4722222222222218E-4</v>
      </c>
      <c r="H21" s="18" t="s">
        <v>147</v>
      </c>
      <c r="I21" s="21">
        <v>0.4993431712962963</v>
      </c>
      <c r="J21" s="18" t="s">
        <v>76</v>
      </c>
      <c r="K21" s="18" t="s">
        <v>128</v>
      </c>
      <c r="L21" s="22">
        <v>1</v>
      </c>
      <c r="M21" s="22">
        <v>71447</v>
      </c>
      <c r="N21" s="18" t="s">
        <v>53</v>
      </c>
      <c r="O21" s="22" t="s">
        <v>77</v>
      </c>
      <c r="P21" s="23">
        <v>94.117647058823522</v>
      </c>
      <c r="Q21" s="22"/>
      <c r="R21" s="23">
        <v>94.117647058823522</v>
      </c>
      <c r="S21" s="24">
        <v>46066</v>
      </c>
      <c r="T21" s="23">
        <v>14.117647058823527</v>
      </c>
      <c r="U21" s="25">
        <v>4</v>
      </c>
      <c r="V21" s="23">
        <v>80</v>
      </c>
      <c r="W21" s="18" t="s">
        <v>47</v>
      </c>
      <c r="X21" s="18" t="s">
        <v>48</v>
      </c>
      <c r="Y21" s="18" t="s">
        <v>78</v>
      </c>
      <c r="Z21" s="18" t="s">
        <v>9</v>
      </c>
      <c r="AA21" s="18" t="s">
        <v>49</v>
      </c>
      <c r="AB21" s="18" t="s">
        <v>79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5">
      <c r="A22" s="18" t="s">
        <v>80</v>
      </c>
      <c r="B22" s="19">
        <v>46066</v>
      </c>
      <c r="C22" s="19">
        <v>46066</v>
      </c>
      <c r="D22" s="18" t="s">
        <v>195</v>
      </c>
      <c r="E22" s="20">
        <v>0.47916666666666669</v>
      </c>
      <c r="F22" s="20">
        <v>0.5</v>
      </c>
      <c r="G22" s="20">
        <v>1.7361111111111109E-4</v>
      </c>
      <c r="H22" s="18" t="s">
        <v>86</v>
      </c>
      <c r="I22" s="21">
        <v>0.49916932870370373</v>
      </c>
      <c r="J22" s="18" t="s">
        <v>76</v>
      </c>
      <c r="K22" s="18" t="s">
        <v>128</v>
      </c>
      <c r="L22" s="22">
        <v>1</v>
      </c>
      <c r="M22" s="22">
        <v>71176</v>
      </c>
      <c r="N22" s="18" t="s">
        <v>53</v>
      </c>
      <c r="O22" s="22" t="s">
        <v>82</v>
      </c>
      <c r="P22" s="23">
        <v>70</v>
      </c>
      <c r="Q22" s="22"/>
      <c r="R22" s="23">
        <v>70</v>
      </c>
      <c r="S22" s="24">
        <v>46066</v>
      </c>
      <c r="T22" s="23">
        <v>10.5</v>
      </c>
      <c r="U22" s="25">
        <v>4</v>
      </c>
      <c r="V22" s="23">
        <v>59.5</v>
      </c>
      <c r="W22" s="18" t="s">
        <v>47</v>
      </c>
      <c r="X22" s="18" t="s">
        <v>48</v>
      </c>
      <c r="Y22" s="18" t="s">
        <v>78</v>
      </c>
      <c r="Z22" s="18" t="s">
        <v>9</v>
      </c>
      <c r="AA22" s="18" t="s">
        <v>49</v>
      </c>
      <c r="AB22" s="18" t="s">
        <v>83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18" t="s">
        <v>144</v>
      </c>
      <c r="B23" s="19">
        <v>46066</v>
      </c>
      <c r="C23" s="19">
        <v>46066</v>
      </c>
      <c r="D23" s="18" t="s">
        <v>195</v>
      </c>
      <c r="E23" s="20">
        <v>0.47916666666666669</v>
      </c>
      <c r="F23" s="20">
        <v>0.5</v>
      </c>
      <c r="G23" s="20">
        <v>1.7361111111111109E-4</v>
      </c>
      <c r="H23" s="18" t="s">
        <v>145</v>
      </c>
      <c r="I23" s="21">
        <v>0.49899571759259265</v>
      </c>
      <c r="J23" s="18" t="s">
        <v>76</v>
      </c>
      <c r="K23" s="18" t="s">
        <v>128</v>
      </c>
      <c r="L23" s="22">
        <v>1</v>
      </c>
      <c r="M23" s="22">
        <v>70009</v>
      </c>
      <c r="N23" s="18" t="s">
        <v>53</v>
      </c>
      <c r="O23" s="22" t="s">
        <v>146</v>
      </c>
      <c r="P23" s="23">
        <v>64.709999999999994</v>
      </c>
      <c r="Q23" s="22"/>
      <c r="R23" s="23">
        <v>64.709999999999994</v>
      </c>
      <c r="S23" s="24">
        <v>46054</v>
      </c>
      <c r="T23" s="23">
        <v>9.7064999999999984</v>
      </c>
      <c r="U23" s="25">
        <v>4</v>
      </c>
      <c r="V23" s="23">
        <v>55.003499999999995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190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6" customFormat="1" ht="35.1" customHeight="1" x14ac:dyDescent="0.25">
      <c r="A24" s="9" t="s">
        <v>87</v>
      </c>
      <c r="B24" s="10">
        <v>46066</v>
      </c>
      <c r="C24" s="10">
        <v>46066</v>
      </c>
      <c r="D24" s="11" t="s">
        <v>195</v>
      </c>
      <c r="E24" s="12">
        <v>0.5</v>
      </c>
      <c r="F24" s="12">
        <v>0.54166666666666663</v>
      </c>
      <c r="G24" s="12">
        <v>4.1666666666666664E-2</v>
      </c>
      <c r="H24" s="9" t="s">
        <v>88</v>
      </c>
      <c r="I24" s="13"/>
      <c r="J24" s="9" t="s">
        <v>76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6" customFormat="1" ht="35.1" customHeight="1" x14ac:dyDescent="0.25">
      <c r="A25" s="18" t="s">
        <v>80</v>
      </c>
      <c r="B25" s="19">
        <v>46066</v>
      </c>
      <c r="C25" s="19">
        <v>46066</v>
      </c>
      <c r="D25" s="18" t="s">
        <v>195</v>
      </c>
      <c r="E25" s="20">
        <v>0.5</v>
      </c>
      <c r="F25" s="20">
        <v>0.54166666666666663</v>
      </c>
      <c r="G25" s="20">
        <v>1.7361111111111109E-4</v>
      </c>
      <c r="H25" s="18" t="s">
        <v>93</v>
      </c>
      <c r="I25" s="21">
        <v>0.52027812500000004</v>
      </c>
      <c r="J25" s="18" t="s">
        <v>76</v>
      </c>
      <c r="K25" s="18" t="s">
        <v>129</v>
      </c>
      <c r="L25" s="22">
        <v>1</v>
      </c>
      <c r="M25" s="22">
        <v>71189</v>
      </c>
      <c r="N25" s="18" t="s">
        <v>53</v>
      </c>
      <c r="O25" s="22" t="s">
        <v>82</v>
      </c>
      <c r="P25" s="23">
        <v>70</v>
      </c>
      <c r="Q25" s="22"/>
      <c r="R25" s="23">
        <v>70</v>
      </c>
      <c r="S25" s="24">
        <v>46066</v>
      </c>
      <c r="T25" s="23">
        <v>10.5</v>
      </c>
      <c r="U25" s="25">
        <v>4</v>
      </c>
      <c r="V25" s="23">
        <v>59.5</v>
      </c>
      <c r="W25" s="18" t="s">
        <v>47</v>
      </c>
      <c r="X25" s="18" t="s">
        <v>48</v>
      </c>
      <c r="Y25" s="18" t="s">
        <v>78</v>
      </c>
      <c r="Z25" s="18" t="s">
        <v>9</v>
      </c>
      <c r="AA25" s="18" t="s">
        <v>49</v>
      </c>
      <c r="AB25" s="18" t="s">
        <v>83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5">
      <c r="A26" s="18" t="s">
        <v>44</v>
      </c>
      <c r="B26" s="19">
        <v>46066</v>
      </c>
      <c r="C26" s="19">
        <v>46066</v>
      </c>
      <c r="D26" s="18" t="s">
        <v>195</v>
      </c>
      <c r="E26" s="20">
        <v>0.45833333333333331</v>
      </c>
      <c r="F26" s="20">
        <v>0.54166666666666663</v>
      </c>
      <c r="G26" s="20">
        <v>3.4722222222222218E-4</v>
      </c>
      <c r="H26" s="18" t="s">
        <v>149</v>
      </c>
      <c r="I26" s="21">
        <v>0.52045173611111106</v>
      </c>
      <c r="J26" s="18" t="s">
        <v>76</v>
      </c>
      <c r="K26" s="18" t="s">
        <v>129</v>
      </c>
      <c r="L26" s="22">
        <v>1</v>
      </c>
      <c r="M26" s="22">
        <v>70976</v>
      </c>
      <c r="N26" s="18" t="s">
        <v>46</v>
      </c>
      <c r="O26" s="22" t="str">
        <f>AC26</f>
        <v>SFO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50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6" customFormat="1" ht="35.1" customHeight="1" x14ac:dyDescent="0.25">
      <c r="A27" s="18" t="s">
        <v>144</v>
      </c>
      <c r="B27" s="19">
        <v>46066</v>
      </c>
      <c r="C27" s="19">
        <v>46066</v>
      </c>
      <c r="D27" s="18" t="s">
        <v>195</v>
      </c>
      <c r="E27" s="20">
        <v>0.5</v>
      </c>
      <c r="F27" s="20">
        <v>0.54166666666666663</v>
      </c>
      <c r="G27" s="20">
        <v>1.7361111111111109E-4</v>
      </c>
      <c r="H27" s="18" t="s">
        <v>148</v>
      </c>
      <c r="I27" s="21">
        <v>0.52768530092592592</v>
      </c>
      <c r="J27" s="18" t="s">
        <v>76</v>
      </c>
      <c r="K27" s="18" t="s">
        <v>129</v>
      </c>
      <c r="L27" s="22">
        <v>1</v>
      </c>
      <c r="M27" s="22">
        <v>70011</v>
      </c>
      <c r="N27" s="18" t="s">
        <v>53</v>
      </c>
      <c r="O27" s="22" t="s">
        <v>146</v>
      </c>
      <c r="P27" s="23">
        <v>64.709999999999994</v>
      </c>
      <c r="Q27" s="22"/>
      <c r="R27" s="23">
        <v>64.709999999999994</v>
      </c>
      <c r="S27" s="24">
        <v>46054</v>
      </c>
      <c r="T27" s="23">
        <v>9.7064999999999984</v>
      </c>
      <c r="U27" s="25">
        <v>4</v>
      </c>
      <c r="V27" s="23">
        <v>55.003499999999995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190</v>
      </c>
      <c r="AC27" s="18" t="s">
        <v>38</v>
      </c>
      <c r="AD27" s="7" t="str">
        <f t="shared" si="0"/>
        <v/>
      </c>
    </row>
    <row r="28" spans="1:49" s="26" customFormat="1" ht="35.1" customHeight="1" x14ac:dyDescent="0.25">
      <c r="A28" s="18" t="s">
        <v>89</v>
      </c>
      <c r="B28" s="19">
        <v>46066</v>
      </c>
      <c r="C28" s="19">
        <v>46066</v>
      </c>
      <c r="D28" s="18" t="s">
        <v>195</v>
      </c>
      <c r="E28" s="20">
        <v>0.5</v>
      </c>
      <c r="F28" s="20">
        <v>0.54166666666666663</v>
      </c>
      <c r="G28" s="20">
        <v>3.4722222222222218E-4</v>
      </c>
      <c r="H28" s="18" t="s">
        <v>90</v>
      </c>
      <c r="I28" s="21">
        <v>0.54104386574074081</v>
      </c>
      <c r="J28" s="18" t="s">
        <v>76</v>
      </c>
      <c r="K28" s="18" t="s">
        <v>129</v>
      </c>
      <c r="L28" s="22">
        <v>1</v>
      </c>
      <c r="M28" s="22">
        <v>70396</v>
      </c>
      <c r="N28" s="18" t="s">
        <v>53</v>
      </c>
      <c r="O28" s="22" t="s">
        <v>91</v>
      </c>
      <c r="P28" s="23">
        <v>140</v>
      </c>
      <c r="Q28" s="22"/>
      <c r="R28" s="23">
        <v>140</v>
      </c>
      <c r="S28" s="24">
        <v>46054</v>
      </c>
      <c r="T28" s="23">
        <v>21</v>
      </c>
      <c r="U28" s="25">
        <v>4</v>
      </c>
      <c r="V28" s="23">
        <v>119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92</v>
      </c>
      <c r="AC28" s="18" t="s">
        <v>38</v>
      </c>
      <c r="AD28" s="7" t="str">
        <f t="shared" si="0"/>
        <v/>
      </c>
    </row>
    <row r="29" spans="1:49" s="26" customFormat="1" ht="35.1" customHeight="1" x14ac:dyDescent="0.25">
      <c r="A29" s="9" t="s">
        <v>94</v>
      </c>
      <c r="B29" s="10">
        <v>46066</v>
      </c>
      <c r="C29" s="10">
        <v>46066</v>
      </c>
      <c r="D29" s="11" t="s">
        <v>195</v>
      </c>
      <c r="E29" s="12">
        <v>0.54166666666666663</v>
      </c>
      <c r="F29" s="12">
        <v>0.5625</v>
      </c>
      <c r="G29" s="12">
        <v>2.0833333333333332E-2</v>
      </c>
      <c r="H29" s="9" t="s">
        <v>95</v>
      </c>
      <c r="I29" s="13"/>
      <c r="J29" s="9" t="s">
        <v>96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</row>
    <row r="30" spans="1:49" s="26" customFormat="1" ht="35.1" customHeight="1" x14ac:dyDescent="0.25">
      <c r="A30" s="18" t="s">
        <v>144</v>
      </c>
      <c r="B30" s="19">
        <v>46066</v>
      </c>
      <c r="C30" s="19">
        <v>46066</v>
      </c>
      <c r="D30" s="18" t="s">
        <v>195</v>
      </c>
      <c r="E30" s="20">
        <v>0.54166666666666663</v>
      </c>
      <c r="F30" s="20">
        <v>0.5625</v>
      </c>
      <c r="G30" s="20">
        <v>1.7361111111111109E-4</v>
      </c>
      <c r="H30" s="18" t="s">
        <v>151</v>
      </c>
      <c r="I30" s="21">
        <v>0.56162037037037038</v>
      </c>
      <c r="J30" s="18" t="s">
        <v>96</v>
      </c>
      <c r="K30" s="18" t="s">
        <v>161</v>
      </c>
      <c r="L30" s="22">
        <v>1</v>
      </c>
      <c r="M30" s="22">
        <v>69976</v>
      </c>
      <c r="N30" s="18" t="s">
        <v>53</v>
      </c>
      <c r="O30" s="22" t="s">
        <v>152</v>
      </c>
      <c r="P30" s="23">
        <v>64.709999999999994</v>
      </c>
      <c r="Q30" s="22"/>
      <c r="R30" s="23">
        <v>64.709999999999994</v>
      </c>
      <c r="S30" s="24">
        <v>46054</v>
      </c>
      <c r="T30" s="23">
        <v>9.7064999999999984</v>
      </c>
      <c r="U30" s="25">
        <v>4</v>
      </c>
      <c r="V30" s="23">
        <v>55.003499999999995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153</v>
      </c>
      <c r="AC30" s="18" t="s">
        <v>38</v>
      </c>
      <c r="AD30" s="7" t="str">
        <f t="shared" si="0"/>
        <v/>
      </c>
    </row>
    <row r="31" spans="1:49" s="26" customFormat="1" ht="35.1" customHeight="1" x14ac:dyDescent="0.25">
      <c r="A31" s="9" t="s">
        <v>94</v>
      </c>
      <c r="B31" s="10">
        <v>46066</v>
      </c>
      <c r="C31" s="10">
        <v>46066</v>
      </c>
      <c r="D31" s="11" t="s">
        <v>195</v>
      </c>
      <c r="E31" s="12">
        <v>0.5625</v>
      </c>
      <c r="F31" s="12">
        <v>0.58333333333333337</v>
      </c>
      <c r="G31" s="12">
        <v>2.0833333333333332E-2</v>
      </c>
      <c r="H31" s="9" t="s">
        <v>97</v>
      </c>
      <c r="I31" s="13"/>
      <c r="J31" s="9" t="s">
        <v>96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26" customFormat="1" ht="35.1" customHeight="1" x14ac:dyDescent="0.25">
      <c r="A32" s="18" t="s">
        <v>144</v>
      </c>
      <c r="B32" s="19">
        <v>46066</v>
      </c>
      <c r="C32" s="19">
        <v>46066</v>
      </c>
      <c r="D32" s="18" t="s">
        <v>195</v>
      </c>
      <c r="E32" s="20">
        <v>0.5625</v>
      </c>
      <c r="F32" s="20">
        <v>0.58333333333333337</v>
      </c>
      <c r="G32" s="20">
        <v>1.7361111111111109E-4</v>
      </c>
      <c r="H32" s="18" t="s">
        <v>154</v>
      </c>
      <c r="I32" s="21">
        <v>0.5816327546296296</v>
      </c>
      <c r="J32" s="18" t="s">
        <v>96</v>
      </c>
      <c r="K32" s="18" t="s">
        <v>162</v>
      </c>
      <c r="L32" s="22">
        <v>1</v>
      </c>
      <c r="M32" s="22">
        <v>69977</v>
      </c>
      <c r="N32" s="18" t="s">
        <v>53</v>
      </c>
      <c r="O32" s="22" t="s">
        <v>152</v>
      </c>
      <c r="P32" s="23">
        <v>64.709999999999994</v>
      </c>
      <c r="Q32" s="22"/>
      <c r="R32" s="23">
        <v>64.709999999999994</v>
      </c>
      <c r="S32" s="24">
        <v>46054</v>
      </c>
      <c r="T32" s="23">
        <v>9.7064999999999984</v>
      </c>
      <c r="U32" s="25">
        <v>4</v>
      </c>
      <c r="V32" s="23">
        <v>55.003499999999995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153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98</v>
      </c>
      <c r="B33" s="10">
        <v>46066</v>
      </c>
      <c r="C33" s="10">
        <v>46066</v>
      </c>
      <c r="D33" s="11" t="s">
        <v>195</v>
      </c>
      <c r="E33" s="12">
        <v>0.58333333333333337</v>
      </c>
      <c r="F33" s="12">
        <v>0.625</v>
      </c>
      <c r="G33" s="12">
        <v>4.1666666666666664E-2</v>
      </c>
      <c r="H33" s="9" t="s">
        <v>99</v>
      </c>
      <c r="I33" s="13"/>
      <c r="J33" s="9" t="s">
        <v>100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26" customFormat="1" ht="35.1" customHeight="1" x14ac:dyDescent="0.25">
      <c r="A34" s="18" t="s">
        <v>144</v>
      </c>
      <c r="B34" s="19">
        <v>46066</v>
      </c>
      <c r="C34" s="19">
        <v>46066</v>
      </c>
      <c r="D34" s="18" t="s">
        <v>195</v>
      </c>
      <c r="E34" s="20">
        <v>0.58333333333333337</v>
      </c>
      <c r="F34" s="20">
        <v>0.66666666666666663</v>
      </c>
      <c r="G34" s="20">
        <v>1.7361111111111109E-4</v>
      </c>
      <c r="H34" s="18" t="s">
        <v>151</v>
      </c>
      <c r="I34" s="21">
        <v>0.59813657407407406</v>
      </c>
      <c r="J34" s="18" t="s">
        <v>96</v>
      </c>
      <c r="K34" s="18" t="s">
        <v>163</v>
      </c>
      <c r="L34" s="22">
        <v>1</v>
      </c>
      <c r="M34" s="22">
        <v>69978</v>
      </c>
      <c r="N34" s="18" t="s">
        <v>53</v>
      </c>
      <c r="O34" s="22" t="s">
        <v>152</v>
      </c>
      <c r="P34" s="23">
        <v>64.709999999999994</v>
      </c>
      <c r="Q34" s="22"/>
      <c r="R34" s="23">
        <v>64.709999999999994</v>
      </c>
      <c r="S34" s="24">
        <v>46054</v>
      </c>
      <c r="T34" s="23">
        <v>9.7064999999999984</v>
      </c>
      <c r="U34" s="25">
        <v>4</v>
      </c>
      <c r="V34" s="23">
        <v>55.003499999999995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153</v>
      </c>
      <c r="AC34" s="18" t="s">
        <v>38</v>
      </c>
      <c r="AD34" s="7" t="str">
        <f t="shared" si="0"/>
        <v/>
      </c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26" customFormat="1" ht="35.1" customHeight="1" x14ac:dyDescent="0.25">
      <c r="A35" s="9" t="s">
        <v>98</v>
      </c>
      <c r="B35" s="10">
        <v>46066</v>
      </c>
      <c r="C35" s="10">
        <v>46066</v>
      </c>
      <c r="D35" s="11" t="s">
        <v>195</v>
      </c>
      <c r="E35" s="12">
        <v>0.625</v>
      </c>
      <c r="F35" s="12">
        <v>0.64583333333333337</v>
      </c>
      <c r="G35" s="12">
        <v>2.0833333333333332E-2</v>
      </c>
      <c r="H35" s="9" t="s">
        <v>101</v>
      </c>
      <c r="I35" s="13"/>
      <c r="J35" s="9" t="s">
        <v>100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26" customFormat="1" ht="35.1" customHeight="1" x14ac:dyDescent="0.25">
      <c r="A36" s="9" t="s">
        <v>98</v>
      </c>
      <c r="B36" s="10">
        <v>46066</v>
      </c>
      <c r="C36" s="10">
        <v>46066</v>
      </c>
      <c r="D36" s="11" t="s">
        <v>195</v>
      </c>
      <c r="E36" s="12">
        <v>0.64583333333333337</v>
      </c>
      <c r="F36" s="12">
        <v>0.66666666666666663</v>
      </c>
      <c r="G36" s="12">
        <v>2.0833333333333332E-2</v>
      </c>
      <c r="H36" s="9" t="s">
        <v>102</v>
      </c>
      <c r="I36" s="13"/>
      <c r="J36" s="9" t="s">
        <v>100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</row>
    <row r="37" spans="1:49" s="26" customFormat="1" ht="35.1" customHeight="1" x14ac:dyDescent="0.25">
      <c r="A37" s="18" t="s">
        <v>144</v>
      </c>
      <c r="B37" s="19">
        <v>46066</v>
      </c>
      <c r="C37" s="19">
        <v>46066</v>
      </c>
      <c r="D37" s="18" t="s">
        <v>195</v>
      </c>
      <c r="E37" s="20">
        <v>0.54166666666666663</v>
      </c>
      <c r="F37" s="20">
        <v>0.66666666666666663</v>
      </c>
      <c r="G37" s="20">
        <v>1.7361111111111109E-4</v>
      </c>
      <c r="H37" s="18" t="s">
        <v>154</v>
      </c>
      <c r="I37" s="21">
        <v>0.65184212962962962</v>
      </c>
      <c r="J37" s="18" t="s">
        <v>96</v>
      </c>
      <c r="K37" s="18" t="s">
        <v>163</v>
      </c>
      <c r="L37" s="22">
        <v>1</v>
      </c>
      <c r="M37" s="22">
        <v>70032</v>
      </c>
      <c r="N37" s="18" t="s">
        <v>46</v>
      </c>
      <c r="O37" s="22" t="s">
        <v>152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153</v>
      </c>
      <c r="AC37" s="18" t="s">
        <v>38</v>
      </c>
      <c r="AD37" s="7" t="str">
        <f t="shared" si="0"/>
        <v/>
      </c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26" customFormat="1" ht="35.1" customHeight="1" x14ac:dyDescent="0.25">
      <c r="A38" s="9" t="s">
        <v>103</v>
      </c>
      <c r="B38" s="10">
        <v>46066</v>
      </c>
      <c r="C38" s="10">
        <v>46066</v>
      </c>
      <c r="D38" s="11" t="s">
        <v>195</v>
      </c>
      <c r="E38" s="12">
        <v>0.66666666666666663</v>
      </c>
      <c r="F38" s="12">
        <v>0.6875</v>
      </c>
      <c r="G38" s="12">
        <v>2.0833333333333332E-2</v>
      </c>
      <c r="H38" s="9" t="s">
        <v>104</v>
      </c>
      <c r="I38" s="13"/>
      <c r="J38" s="9" t="s">
        <v>105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5.1" customHeight="1" x14ac:dyDescent="0.25">
      <c r="A39" s="9" t="s">
        <v>111</v>
      </c>
      <c r="B39" s="10">
        <v>46066</v>
      </c>
      <c r="C39" s="10">
        <v>46066</v>
      </c>
      <c r="D39" s="11" t="s">
        <v>195</v>
      </c>
      <c r="E39" s="12">
        <v>0.6875</v>
      </c>
      <c r="F39" s="12">
        <v>0.70833333333333337</v>
      </c>
      <c r="G39" s="12">
        <v>2.0833333333333332E-2</v>
      </c>
      <c r="H39" s="9" t="s">
        <v>112</v>
      </c>
      <c r="I39" s="13"/>
      <c r="J39" s="9" t="s">
        <v>105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6" customFormat="1" ht="35.1" customHeight="1" x14ac:dyDescent="0.25">
      <c r="A40" s="18" t="s">
        <v>74</v>
      </c>
      <c r="B40" s="19">
        <v>46066</v>
      </c>
      <c r="C40" s="19">
        <v>46066</v>
      </c>
      <c r="D40" s="18" t="s">
        <v>195</v>
      </c>
      <c r="E40" s="20">
        <v>0.66666666666666663</v>
      </c>
      <c r="F40" s="20">
        <v>0.79166666666666663</v>
      </c>
      <c r="G40" s="20">
        <v>3.4722222222222218E-4</v>
      </c>
      <c r="H40" s="18" t="s">
        <v>110</v>
      </c>
      <c r="I40" s="21">
        <v>0.6976420138888888</v>
      </c>
      <c r="J40" s="18" t="s">
        <v>105</v>
      </c>
      <c r="K40" s="18" t="s">
        <v>130</v>
      </c>
      <c r="L40" s="22">
        <v>1</v>
      </c>
      <c r="M40" s="22">
        <v>71439</v>
      </c>
      <c r="N40" s="18" t="s">
        <v>53</v>
      </c>
      <c r="O40" s="22" t="s">
        <v>107</v>
      </c>
      <c r="P40" s="23">
        <v>105.88235294117646</v>
      </c>
      <c r="Q40" s="22"/>
      <c r="R40" s="23">
        <v>105.88235294117646</v>
      </c>
      <c r="S40" s="24">
        <v>46066</v>
      </c>
      <c r="T40" s="23">
        <v>15.882352941176469</v>
      </c>
      <c r="U40" s="25">
        <v>4</v>
      </c>
      <c r="V40" s="23">
        <v>90</v>
      </c>
      <c r="W40" s="18" t="s">
        <v>47</v>
      </c>
      <c r="X40" s="18" t="s">
        <v>48</v>
      </c>
      <c r="Y40" s="18" t="s">
        <v>78</v>
      </c>
      <c r="Z40" s="18" t="s">
        <v>9</v>
      </c>
      <c r="AA40" s="18" t="s">
        <v>49</v>
      </c>
      <c r="AB40" s="18" t="s">
        <v>108</v>
      </c>
      <c r="AC40" s="18" t="s">
        <v>38</v>
      </c>
      <c r="AD40" s="7" t="str">
        <f t="shared" si="0"/>
        <v/>
      </c>
    </row>
    <row r="41" spans="1:49" s="26" customFormat="1" ht="35.1" customHeight="1" x14ac:dyDescent="0.25">
      <c r="A41" s="18" t="s">
        <v>172</v>
      </c>
      <c r="B41" s="19">
        <v>46066</v>
      </c>
      <c r="C41" s="19">
        <v>46066</v>
      </c>
      <c r="D41" s="18" t="s">
        <v>195</v>
      </c>
      <c r="E41" s="20">
        <v>0.66666666666666663</v>
      </c>
      <c r="F41" s="20">
        <v>0.79166666666666663</v>
      </c>
      <c r="G41" s="20">
        <v>3.4722222222222218E-4</v>
      </c>
      <c r="H41" s="18" t="s">
        <v>173</v>
      </c>
      <c r="I41" s="21">
        <v>0.69798611111111108</v>
      </c>
      <c r="J41" s="18" t="s">
        <v>105</v>
      </c>
      <c r="K41" s="18" t="s">
        <v>130</v>
      </c>
      <c r="L41" s="22">
        <v>1</v>
      </c>
      <c r="M41" s="22">
        <v>69901</v>
      </c>
      <c r="N41" s="18" t="s">
        <v>53</v>
      </c>
      <c r="O41" s="22" t="s">
        <v>174</v>
      </c>
      <c r="P41" s="23">
        <v>100</v>
      </c>
      <c r="Q41" s="22"/>
      <c r="R41" s="23">
        <v>100</v>
      </c>
      <c r="S41" s="24">
        <v>46054</v>
      </c>
      <c r="T41" s="23">
        <v>15</v>
      </c>
      <c r="U41" s="25">
        <v>4</v>
      </c>
      <c r="V41" s="23">
        <v>85</v>
      </c>
      <c r="W41" s="18" t="s">
        <v>47</v>
      </c>
      <c r="X41" s="18" t="s">
        <v>48</v>
      </c>
      <c r="Y41" s="18" t="s">
        <v>36</v>
      </c>
      <c r="Z41" s="18" t="s">
        <v>9</v>
      </c>
      <c r="AA41" s="18" t="s">
        <v>49</v>
      </c>
      <c r="AB41" s="18" t="s">
        <v>175</v>
      </c>
      <c r="AC41" s="18" t="s">
        <v>38</v>
      </c>
      <c r="AD41" s="7" t="str">
        <f t="shared" si="0"/>
        <v/>
      </c>
    </row>
    <row r="42" spans="1:49" s="26" customFormat="1" ht="35.1" customHeight="1" x14ac:dyDescent="0.25">
      <c r="A42" s="9" t="s">
        <v>103</v>
      </c>
      <c r="B42" s="10">
        <v>46066</v>
      </c>
      <c r="C42" s="10">
        <v>46066</v>
      </c>
      <c r="D42" s="11" t="s">
        <v>195</v>
      </c>
      <c r="E42" s="12">
        <v>0.70833333333333337</v>
      </c>
      <c r="F42" s="12">
        <v>0.75</v>
      </c>
      <c r="G42" s="12">
        <v>4.1666666666666664E-2</v>
      </c>
      <c r="H42" s="9" t="s">
        <v>200</v>
      </c>
      <c r="I42" s="13"/>
      <c r="J42" s="9" t="s">
        <v>105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</row>
    <row r="43" spans="1:49" s="26" customFormat="1" ht="35.1" customHeight="1" x14ac:dyDescent="0.25">
      <c r="A43" s="9" t="s">
        <v>111</v>
      </c>
      <c r="B43" s="10">
        <v>46066</v>
      </c>
      <c r="C43" s="10">
        <v>46066</v>
      </c>
      <c r="D43" s="11" t="s">
        <v>195</v>
      </c>
      <c r="E43" s="12">
        <v>0.75</v>
      </c>
      <c r="F43" s="12">
        <v>0.77083333333333337</v>
      </c>
      <c r="G43" s="12">
        <v>2.0833333333333332E-2</v>
      </c>
      <c r="H43" s="9" t="s">
        <v>114</v>
      </c>
      <c r="I43" s="13"/>
      <c r="J43" s="9" t="s">
        <v>105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26" customFormat="1" ht="35.1" customHeight="1" x14ac:dyDescent="0.25">
      <c r="A44" s="18" t="s">
        <v>172</v>
      </c>
      <c r="B44" s="19">
        <v>46066</v>
      </c>
      <c r="C44" s="19">
        <v>46066</v>
      </c>
      <c r="D44" s="18" t="s">
        <v>195</v>
      </c>
      <c r="E44" s="20">
        <v>0.66666666666666663</v>
      </c>
      <c r="F44" s="20">
        <v>0.79166666666666663</v>
      </c>
      <c r="G44" s="20">
        <v>3.4722222222222218E-4</v>
      </c>
      <c r="H44" s="18" t="s">
        <v>173</v>
      </c>
      <c r="I44" s="21">
        <v>0.7658811342592593</v>
      </c>
      <c r="J44" s="18" t="s">
        <v>105</v>
      </c>
      <c r="K44" s="18" t="s">
        <v>164</v>
      </c>
      <c r="L44" s="22">
        <v>1</v>
      </c>
      <c r="M44" s="22">
        <v>69901</v>
      </c>
      <c r="N44" s="18" t="s">
        <v>53</v>
      </c>
      <c r="O44" s="22" t="s">
        <v>174</v>
      </c>
      <c r="P44" s="23">
        <v>100</v>
      </c>
      <c r="Q44" s="22"/>
      <c r="R44" s="23">
        <v>100</v>
      </c>
      <c r="S44" s="24">
        <v>46054</v>
      </c>
      <c r="T44" s="23">
        <v>15</v>
      </c>
      <c r="U44" s="25">
        <v>4</v>
      </c>
      <c r="V44" s="23">
        <v>85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175</v>
      </c>
      <c r="AC44" s="18" t="s">
        <v>38</v>
      </c>
      <c r="AD44" s="7" t="str">
        <f t="shared" si="0"/>
        <v/>
      </c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</row>
    <row r="45" spans="1:49" s="26" customFormat="1" ht="35.1" customHeight="1" x14ac:dyDescent="0.25">
      <c r="A45" s="9" t="s">
        <v>111</v>
      </c>
      <c r="B45" s="10">
        <v>46066</v>
      </c>
      <c r="C45" s="10">
        <v>46066</v>
      </c>
      <c r="D45" s="11" t="s">
        <v>195</v>
      </c>
      <c r="E45" s="12">
        <v>0.77083333333333337</v>
      </c>
      <c r="F45" s="12">
        <v>0.79166666666666663</v>
      </c>
      <c r="G45" s="12">
        <v>2.0833333333333332E-2</v>
      </c>
      <c r="H45" s="9" t="s">
        <v>112</v>
      </c>
      <c r="I45" s="13"/>
      <c r="J45" s="9" t="s">
        <v>105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26" customFormat="1" ht="35.1" customHeight="1" x14ac:dyDescent="0.25">
      <c r="A46" s="18" t="s">
        <v>172</v>
      </c>
      <c r="B46" s="19">
        <v>46066</v>
      </c>
      <c r="C46" s="19">
        <v>46066</v>
      </c>
      <c r="D46" s="18" t="s">
        <v>195</v>
      </c>
      <c r="E46" s="20">
        <v>0.66666666666666663</v>
      </c>
      <c r="F46" s="20">
        <v>0.79166666666666663</v>
      </c>
      <c r="G46" s="20">
        <v>3.4722222222222218E-4</v>
      </c>
      <c r="H46" s="18" t="s">
        <v>173</v>
      </c>
      <c r="I46" s="21">
        <v>0.79113553240740742</v>
      </c>
      <c r="J46" s="18" t="s">
        <v>105</v>
      </c>
      <c r="K46" s="18" t="s">
        <v>130</v>
      </c>
      <c r="L46" s="22">
        <v>1</v>
      </c>
      <c r="M46" s="22">
        <v>69901</v>
      </c>
      <c r="N46" s="18" t="s">
        <v>53</v>
      </c>
      <c r="O46" s="22" t="s">
        <v>174</v>
      </c>
      <c r="P46" s="23">
        <v>100</v>
      </c>
      <c r="Q46" s="22"/>
      <c r="R46" s="23">
        <v>100</v>
      </c>
      <c r="S46" s="24">
        <v>46054</v>
      </c>
      <c r="T46" s="23">
        <v>15</v>
      </c>
      <c r="U46" s="25">
        <v>4</v>
      </c>
      <c r="V46" s="23">
        <v>85</v>
      </c>
      <c r="W46" s="18" t="s">
        <v>47</v>
      </c>
      <c r="X46" s="18" t="s">
        <v>48</v>
      </c>
      <c r="Y46" s="18" t="s">
        <v>36</v>
      </c>
      <c r="Z46" s="18" t="s">
        <v>9</v>
      </c>
      <c r="AA46" s="18" t="s">
        <v>49</v>
      </c>
      <c r="AB46" s="18" t="s">
        <v>175</v>
      </c>
      <c r="AC46" s="18" t="s">
        <v>38</v>
      </c>
      <c r="AD46" s="7" t="str">
        <f t="shared" si="0"/>
        <v/>
      </c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26" customFormat="1" ht="35.1" customHeight="1" x14ac:dyDescent="0.25">
      <c r="A47" s="9" t="s">
        <v>39</v>
      </c>
      <c r="B47" s="10">
        <v>46066</v>
      </c>
      <c r="C47" s="10">
        <v>46066</v>
      </c>
      <c r="D47" s="11" t="s">
        <v>195</v>
      </c>
      <c r="E47" s="12">
        <v>0.79166666666666663</v>
      </c>
      <c r="F47" s="12">
        <v>0.8125</v>
      </c>
      <c r="G47" s="12">
        <v>2.0833333333333332E-2</v>
      </c>
      <c r="H47" s="9" t="s">
        <v>115</v>
      </c>
      <c r="I47" s="13"/>
      <c r="J47" s="9" t="s">
        <v>116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</row>
    <row r="48" spans="1:49" s="26" customFormat="1" ht="35.1" customHeight="1" x14ac:dyDescent="0.25">
      <c r="A48" s="18" t="s">
        <v>133</v>
      </c>
      <c r="B48" s="19">
        <v>46066</v>
      </c>
      <c r="C48" s="19">
        <v>46066</v>
      </c>
      <c r="D48" s="18" t="s">
        <v>195</v>
      </c>
      <c r="E48" s="20">
        <v>0.79166666666666663</v>
      </c>
      <c r="F48" s="20">
        <v>0.99930555555555556</v>
      </c>
      <c r="G48" s="20">
        <v>1.7361111111111109E-4</v>
      </c>
      <c r="H48" s="18" t="s">
        <v>158</v>
      </c>
      <c r="I48" s="21">
        <v>0.79768518518518516</v>
      </c>
      <c r="J48" s="18" t="s">
        <v>116</v>
      </c>
      <c r="K48" s="18" t="s">
        <v>115</v>
      </c>
      <c r="L48" s="22">
        <v>1</v>
      </c>
      <c r="M48" s="22">
        <v>66849</v>
      </c>
      <c r="N48" s="18" t="s">
        <v>53</v>
      </c>
      <c r="O48" s="22" t="s">
        <v>135</v>
      </c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59.5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136</v>
      </c>
      <c r="AC48" s="18" t="s">
        <v>38</v>
      </c>
      <c r="AD48" s="7" t="str">
        <f t="shared" si="0"/>
        <v/>
      </c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</row>
    <row r="49" spans="1:49" s="26" customFormat="1" ht="35.1" customHeight="1" x14ac:dyDescent="0.25">
      <c r="A49" s="18" t="s">
        <v>89</v>
      </c>
      <c r="B49" s="19">
        <v>46066</v>
      </c>
      <c r="C49" s="19">
        <v>46066</v>
      </c>
      <c r="D49" s="18" t="s">
        <v>195</v>
      </c>
      <c r="E49" s="20">
        <v>0.79166666666666663</v>
      </c>
      <c r="F49" s="20">
        <v>0.8125</v>
      </c>
      <c r="G49" s="20">
        <v>3.4722222222222218E-4</v>
      </c>
      <c r="H49" s="18" t="s">
        <v>121</v>
      </c>
      <c r="I49" s="21">
        <v>0.80423611111111115</v>
      </c>
      <c r="J49" s="18" t="s">
        <v>116</v>
      </c>
      <c r="K49" s="18" t="s">
        <v>115</v>
      </c>
      <c r="L49" s="22">
        <v>1</v>
      </c>
      <c r="M49" s="22">
        <v>70391</v>
      </c>
      <c r="N49" s="18" t="s">
        <v>53</v>
      </c>
      <c r="O49" s="22" t="s">
        <v>91</v>
      </c>
      <c r="P49" s="23">
        <v>160</v>
      </c>
      <c r="Q49" s="22"/>
      <c r="R49" s="23">
        <v>160</v>
      </c>
      <c r="S49" s="24">
        <v>46054</v>
      </c>
      <c r="T49" s="23">
        <v>24</v>
      </c>
      <c r="U49" s="25">
        <v>4</v>
      </c>
      <c r="V49" s="23">
        <v>136</v>
      </c>
      <c r="W49" s="18" t="s">
        <v>47</v>
      </c>
      <c r="X49" s="18" t="s">
        <v>48</v>
      </c>
      <c r="Y49" s="18" t="s">
        <v>36</v>
      </c>
      <c r="Z49" s="18" t="s">
        <v>9</v>
      </c>
      <c r="AA49" s="18" t="s">
        <v>49</v>
      </c>
      <c r="AB49" s="18" t="s">
        <v>92</v>
      </c>
      <c r="AC49" s="18" t="s">
        <v>38</v>
      </c>
      <c r="AD49" s="7" t="str">
        <f t="shared" si="0"/>
        <v/>
      </c>
    </row>
    <row r="50" spans="1:49" s="26" customFormat="1" ht="35.1" customHeight="1" x14ac:dyDescent="0.25">
      <c r="A50" s="18" t="s">
        <v>44</v>
      </c>
      <c r="B50" s="19">
        <v>46066</v>
      </c>
      <c r="C50" s="19">
        <v>46066</v>
      </c>
      <c r="D50" s="18" t="s">
        <v>195</v>
      </c>
      <c r="E50" s="20">
        <v>0.79166666666666663</v>
      </c>
      <c r="F50" s="20">
        <v>0.83333333333333337</v>
      </c>
      <c r="G50" s="20">
        <v>3.4722222222222218E-4</v>
      </c>
      <c r="H50" s="18" t="s">
        <v>138</v>
      </c>
      <c r="I50" s="21">
        <v>0.80458333333333332</v>
      </c>
      <c r="J50" s="18" t="s">
        <v>116</v>
      </c>
      <c r="K50" s="18" t="s">
        <v>115</v>
      </c>
      <c r="L50" s="22">
        <v>1</v>
      </c>
      <c r="M50" s="22">
        <v>70960</v>
      </c>
      <c r="N50" s="18" t="s">
        <v>53</v>
      </c>
      <c r="O50" s="22" t="str">
        <f>AC50</f>
        <v>SFO</v>
      </c>
      <c r="P50" s="23">
        <v>117.65</v>
      </c>
      <c r="Q50" s="22"/>
      <c r="R50" s="23">
        <v>117.65</v>
      </c>
      <c r="S50" s="24">
        <v>46054</v>
      </c>
      <c r="T50" s="23">
        <v>8.8237500000000004</v>
      </c>
      <c r="U50" s="25">
        <v>4</v>
      </c>
      <c r="V50" s="23">
        <v>108.82625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50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26" customFormat="1" ht="35.1" customHeight="1" x14ac:dyDescent="0.25">
      <c r="A51" s="9" t="s">
        <v>39</v>
      </c>
      <c r="B51" s="10">
        <v>46066</v>
      </c>
      <c r="C51" s="10">
        <v>46066</v>
      </c>
      <c r="D51" s="11" t="s">
        <v>195</v>
      </c>
      <c r="E51" s="12">
        <v>0.8125</v>
      </c>
      <c r="F51" s="12">
        <v>0.83333333333333337</v>
      </c>
      <c r="G51" s="12">
        <v>2.0833333333333332E-2</v>
      </c>
      <c r="H51" s="9" t="s">
        <v>201</v>
      </c>
      <c r="I51" s="13"/>
      <c r="J51" s="9" t="s">
        <v>116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</row>
    <row r="52" spans="1:49" s="26" customFormat="1" ht="35.1" customHeight="1" x14ac:dyDescent="0.25">
      <c r="A52" s="18" t="s">
        <v>133</v>
      </c>
      <c r="B52" s="19">
        <v>46066</v>
      </c>
      <c r="C52" s="19">
        <v>46066</v>
      </c>
      <c r="D52" s="18" t="s">
        <v>195</v>
      </c>
      <c r="E52" s="20">
        <v>0.79166666666666663</v>
      </c>
      <c r="F52" s="20">
        <v>0.99930555555555556</v>
      </c>
      <c r="G52" s="20">
        <v>1.6203703703703701E-4</v>
      </c>
      <c r="H52" s="18" t="s">
        <v>134</v>
      </c>
      <c r="I52" s="21">
        <v>0.81937824074074073</v>
      </c>
      <c r="J52" s="18" t="s">
        <v>116</v>
      </c>
      <c r="K52" s="18" t="s">
        <v>201</v>
      </c>
      <c r="L52" s="22">
        <v>1</v>
      </c>
      <c r="M52" s="22">
        <v>66849</v>
      </c>
      <c r="N52" s="18" t="s">
        <v>53</v>
      </c>
      <c r="O52" s="22" t="s">
        <v>135</v>
      </c>
      <c r="P52" s="23">
        <v>0</v>
      </c>
      <c r="Q52" s="22"/>
      <c r="R52" s="23">
        <v>0</v>
      </c>
      <c r="S52" s="24">
        <v>46054</v>
      </c>
      <c r="T52" s="23">
        <v>0</v>
      </c>
      <c r="U52" s="25">
        <v>4</v>
      </c>
      <c r="V52" s="23">
        <v>59.5</v>
      </c>
      <c r="W52" s="18" t="s">
        <v>47</v>
      </c>
      <c r="X52" s="18" t="s">
        <v>48</v>
      </c>
      <c r="Y52" s="18" t="s">
        <v>36</v>
      </c>
      <c r="Z52" s="18" t="s">
        <v>9</v>
      </c>
      <c r="AA52" s="18" t="s">
        <v>49</v>
      </c>
      <c r="AB52" s="18" t="s">
        <v>136</v>
      </c>
      <c r="AC52" s="18" t="s">
        <v>38</v>
      </c>
      <c r="AD52" s="7" t="str">
        <f t="shared" si="0"/>
        <v/>
      </c>
    </row>
    <row r="53" spans="1:49" s="26" customFormat="1" ht="35.1" customHeight="1" x14ac:dyDescent="0.25">
      <c r="A53" s="18" t="s">
        <v>117</v>
      </c>
      <c r="B53" s="19">
        <v>46066</v>
      </c>
      <c r="C53" s="19">
        <v>46066</v>
      </c>
      <c r="D53" s="18" t="s">
        <v>195</v>
      </c>
      <c r="E53" s="20">
        <v>0.79166666666666663</v>
      </c>
      <c r="F53" s="20">
        <v>0.83333333333333337</v>
      </c>
      <c r="G53" s="20">
        <v>3.4722222222222218E-4</v>
      </c>
      <c r="H53" s="18" t="s">
        <v>118</v>
      </c>
      <c r="I53" s="21">
        <v>0.81903101851851845</v>
      </c>
      <c r="J53" s="18" t="s">
        <v>116</v>
      </c>
      <c r="K53" s="18" t="s">
        <v>201</v>
      </c>
      <c r="L53" s="22">
        <v>1</v>
      </c>
      <c r="M53" s="22">
        <v>71264</v>
      </c>
      <c r="N53" s="18" t="s">
        <v>53</v>
      </c>
      <c r="O53" s="22" t="s">
        <v>38</v>
      </c>
      <c r="P53" s="23">
        <v>180</v>
      </c>
      <c r="Q53" s="22"/>
      <c r="R53" s="23">
        <v>180</v>
      </c>
      <c r="S53" s="24">
        <v>46066</v>
      </c>
      <c r="T53" s="23">
        <v>27</v>
      </c>
      <c r="U53" s="25">
        <v>4</v>
      </c>
      <c r="V53" s="23">
        <v>153</v>
      </c>
      <c r="W53" s="18" t="s">
        <v>47</v>
      </c>
      <c r="X53" s="18" t="s">
        <v>48</v>
      </c>
      <c r="Y53" s="18" t="s">
        <v>78</v>
      </c>
      <c r="Z53" s="18" t="s">
        <v>9</v>
      </c>
      <c r="AA53" s="18" t="s">
        <v>49</v>
      </c>
      <c r="AB53" s="18" t="s">
        <v>119</v>
      </c>
      <c r="AC53" s="18" t="s">
        <v>38</v>
      </c>
      <c r="AD53" s="7" t="str">
        <f t="shared" si="0"/>
        <v/>
      </c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</row>
    <row r="54" spans="1:49" s="26" customFormat="1" ht="35.1" customHeight="1" x14ac:dyDescent="0.25">
      <c r="A54" s="9" t="s">
        <v>122</v>
      </c>
      <c r="B54" s="10">
        <v>46066</v>
      </c>
      <c r="C54" s="10">
        <v>46066</v>
      </c>
      <c r="D54" s="11" t="s">
        <v>195</v>
      </c>
      <c r="E54" s="12">
        <v>0.83333333333333337</v>
      </c>
      <c r="F54" s="12">
        <v>0.875</v>
      </c>
      <c r="G54" s="12">
        <v>4.1666666666666664E-2</v>
      </c>
      <c r="H54" s="9" t="s">
        <v>123</v>
      </c>
      <c r="I54" s="13"/>
      <c r="J54" s="9" t="s">
        <v>41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26" customFormat="1" ht="35.1" customHeight="1" x14ac:dyDescent="0.25">
      <c r="A55" s="18" t="s">
        <v>133</v>
      </c>
      <c r="B55" s="19">
        <v>46066</v>
      </c>
      <c r="C55" s="19">
        <v>46066</v>
      </c>
      <c r="D55" s="18" t="s">
        <v>195</v>
      </c>
      <c r="E55" s="20">
        <v>0.83333333333333337</v>
      </c>
      <c r="F55" s="20">
        <v>0.875</v>
      </c>
      <c r="G55" s="20">
        <v>1.6203703703703701E-4</v>
      </c>
      <c r="H55" s="18" t="s">
        <v>159</v>
      </c>
      <c r="I55" s="21">
        <v>0.85472256944444447</v>
      </c>
      <c r="J55" s="18" t="s">
        <v>41</v>
      </c>
      <c r="K55" s="18" t="s">
        <v>165</v>
      </c>
      <c r="L55" s="22">
        <v>1</v>
      </c>
      <c r="M55" s="22">
        <v>66850</v>
      </c>
      <c r="N55" s="18" t="s">
        <v>53</v>
      </c>
      <c r="O55" s="22" t="s">
        <v>135</v>
      </c>
      <c r="P55" s="23">
        <v>0</v>
      </c>
      <c r="Q55" s="22"/>
      <c r="R55" s="23">
        <v>0</v>
      </c>
      <c r="S55" s="24">
        <v>46054</v>
      </c>
      <c r="T55" s="23">
        <v>0</v>
      </c>
      <c r="U55" s="25">
        <v>4</v>
      </c>
      <c r="V55" s="23">
        <v>59.5</v>
      </c>
      <c r="W55" s="18" t="s">
        <v>47</v>
      </c>
      <c r="X55" s="18" t="s">
        <v>48</v>
      </c>
      <c r="Y55" s="18" t="s">
        <v>36</v>
      </c>
      <c r="Z55" s="18" t="s">
        <v>9</v>
      </c>
      <c r="AA55" s="18" t="s">
        <v>49</v>
      </c>
      <c r="AB55" s="18" t="s">
        <v>136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6" customFormat="1" ht="35.1" customHeight="1" x14ac:dyDescent="0.25">
      <c r="A56" s="18" t="s">
        <v>172</v>
      </c>
      <c r="B56" s="19">
        <v>46066</v>
      </c>
      <c r="C56" s="19">
        <v>46066</v>
      </c>
      <c r="D56" s="18" t="s">
        <v>195</v>
      </c>
      <c r="E56" s="20">
        <v>0.83333333333333337</v>
      </c>
      <c r="F56" s="20">
        <v>0.95833333333333337</v>
      </c>
      <c r="G56" s="20">
        <v>3.4722222222222218E-4</v>
      </c>
      <c r="H56" s="18" t="s">
        <v>177</v>
      </c>
      <c r="I56" s="21">
        <v>0.85559027777777774</v>
      </c>
      <c r="J56" s="18" t="s">
        <v>41</v>
      </c>
      <c r="K56" s="18" t="s">
        <v>165</v>
      </c>
      <c r="L56" s="22">
        <v>1</v>
      </c>
      <c r="M56" s="22">
        <v>69902</v>
      </c>
      <c r="N56" s="18" t="s">
        <v>53</v>
      </c>
      <c r="O56" s="22" t="s">
        <v>174</v>
      </c>
      <c r="P56" s="23">
        <v>100</v>
      </c>
      <c r="Q56" s="22"/>
      <c r="R56" s="23">
        <v>100</v>
      </c>
      <c r="S56" s="24">
        <v>46054</v>
      </c>
      <c r="T56" s="23">
        <v>15</v>
      </c>
      <c r="U56" s="25">
        <v>4</v>
      </c>
      <c r="V56" s="23">
        <v>85</v>
      </c>
      <c r="W56" s="18" t="s">
        <v>47</v>
      </c>
      <c r="X56" s="18" t="s">
        <v>48</v>
      </c>
      <c r="Y56" s="18" t="s">
        <v>36</v>
      </c>
      <c r="Z56" s="18" t="s">
        <v>9</v>
      </c>
      <c r="AA56" s="18" t="s">
        <v>49</v>
      </c>
      <c r="AB56" s="18" t="s">
        <v>175</v>
      </c>
      <c r="AC56" s="18" t="s">
        <v>38</v>
      </c>
      <c r="AD56" s="7" t="str">
        <f t="shared" si="0"/>
        <v/>
      </c>
    </row>
    <row r="57" spans="1:49" s="26" customFormat="1" ht="35.1" customHeight="1" x14ac:dyDescent="0.25">
      <c r="A57" s="18" t="s">
        <v>89</v>
      </c>
      <c r="B57" s="19">
        <v>46066</v>
      </c>
      <c r="C57" s="19">
        <v>46066</v>
      </c>
      <c r="D57" s="18" t="s">
        <v>195</v>
      </c>
      <c r="E57" s="20">
        <v>0.83333333333333337</v>
      </c>
      <c r="F57" s="20">
        <v>0.875</v>
      </c>
      <c r="G57" s="20">
        <v>3.4722222222222218E-4</v>
      </c>
      <c r="H57" s="18" t="s">
        <v>139</v>
      </c>
      <c r="I57" s="21">
        <v>0.86861111111111111</v>
      </c>
      <c r="J57" s="18" t="s">
        <v>41</v>
      </c>
      <c r="K57" s="18" t="s">
        <v>165</v>
      </c>
      <c r="L57" s="22">
        <v>1</v>
      </c>
      <c r="M57" s="22">
        <v>70393</v>
      </c>
      <c r="N57" s="18" t="s">
        <v>53</v>
      </c>
      <c r="O57" s="22" t="s">
        <v>91</v>
      </c>
      <c r="P57" s="23">
        <v>160</v>
      </c>
      <c r="Q57" s="22"/>
      <c r="R57" s="23">
        <v>160</v>
      </c>
      <c r="S57" s="24">
        <v>46054</v>
      </c>
      <c r="T57" s="23">
        <v>24</v>
      </c>
      <c r="U57" s="25">
        <v>4</v>
      </c>
      <c r="V57" s="23">
        <v>136</v>
      </c>
      <c r="W57" s="18" t="s">
        <v>47</v>
      </c>
      <c r="X57" s="18" t="s">
        <v>48</v>
      </c>
      <c r="Y57" s="18" t="s">
        <v>36</v>
      </c>
      <c r="Z57" s="18" t="s">
        <v>9</v>
      </c>
      <c r="AA57" s="18" t="s">
        <v>49</v>
      </c>
      <c r="AB57" s="18" t="s">
        <v>92</v>
      </c>
      <c r="AC57" s="18" t="s">
        <v>38</v>
      </c>
      <c r="AD57" s="7" t="str">
        <f t="shared" si="0"/>
        <v/>
      </c>
    </row>
    <row r="58" spans="1:49" s="26" customFormat="1" ht="35.1" customHeight="1" x14ac:dyDescent="0.25">
      <c r="A58" s="18" t="s">
        <v>133</v>
      </c>
      <c r="B58" s="19">
        <v>46066</v>
      </c>
      <c r="C58" s="19">
        <v>46066</v>
      </c>
      <c r="D58" s="18" t="s">
        <v>195</v>
      </c>
      <c r="E58" s="20">
        <v>0.83333333333333337</v>
      </c>
      <c r="F58" s="20">
        <v>0.875</v>
      </c>
      <c r="G58" s="20">
        <v>1.7361111111111109E-4</v>
      </c>
      <c r="H58" s="18" t="s">
        <v>137</v>
      </c>
      <c r="I58" s="21">
        <v>0.86843749999999997</v>
      </c>
      <c r="J58" s="18" t="s">
        <v>41</v>
      </c>
      <c r="K58" s="18" t="s">
        <v>165</v>
      </c>
      <c r="L58" s="22">
        <v>1</v>
      </c>
      <c r="M58" s="22">
        <v>66850</v>
      </c>
      <c r="N58" s="18" t="s">
        <v>53</v>
      </c>
      <c r="O58" s="22" t="s">
        <v>135</v>
      </c>
      <c r="P58" s="23">
        <v>0</v>
      </c>
      <c r="Q58" s="22"/>
      <c r="R58" s="23">
        <v>0</v>
      </c>
      <c r="S58" s="24">
        <v>46054</v>
      </c>
      <c r="T58" s="23">
        <v>0</v>
      </c>
      <c r="U58" s="25">
        <v>4</v>
      </c>
      <c r="V58" s="23">
        <v>59.5</v>
      </c>
      <c r="W58" s="18" t="s">
        <v>47</v>
      </c>
      <c r="X58" s="18" t="s">
        <v>48</v>
      </c>
      <c r="Y58" s="18" t="s">
        <v>36</v>
      </c>
      <c r="Z58" s="18" t="s">
        <v>9</v>
      </c>
      <c r="AA58" s="18" t="s">
        <v>49</v>
      </c>
      <c r="AB58" s="18" t="s">
        <v>136</v>
      </c>
      <c r="AC58" s="18" t="s">
        <v>38</v>
      </c>
      <c r="AD58" s="7" t="str">
        <f t="shared" si="0"/>
        <v/>
      </c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26" customFormat="1" ht="35.1" customHeight="1" x14ac:dyDescent="0.25">
      <c r="A59" s="18" t="s">
        <v>44</v>
      </c>
      <c r="B59" s="19">
        <v>46066</v>
      </c>
      <c r="C59" s="19">
        <v>46066</v>
      </c>
      <c r="D59" s="18" t="s">
        <v>195</v>
      </c>
      <c r="E59" s="20">
        <v>0.83333333333333337</v>
      </c>
      <c r="F59" s="20">
        <v>0.875</v>
      </c>
      <c r="G59" s="20">
        <v>3.4722222222222218E-4</v>
      </c>
      <c r="H59" s="18" t="s">
        <v>45</v>
      </c>
      <c r="I59" s="21">
        <v>0.87446759259259255</v>
      </c>
      <c r="J59" s="18" t="s">
        <v>41</v>
      </c>
      <c r="K59" s="18" t="s">
        <v>165</v>
      </c>
      <c r="L59" s="22">
        <v>1</v>
      </c>
      <c r="M59" s="22">
        <v>70962</v>
      </c>
      <c r="N59" s="18" t="s">
        <v>53</v>
      </c>
      <c r="O59" s="22" t="str">
        <f>AC59</f>
        <v>SFO</v>
      </c>
      <c r="P59" s="23">
        <v>117.65</v>
      </c>
      <c r="Q59" s="22"/>
      <c r="R59" s="23">
        <v>117.65</v>
      </c>
      <c r="S59" s="24">
        <v>46054</v>
      </c>
      <c r="T59" s="23">
        <v>8.8237500000000004</v>
      </c>
      <c r="U59" s="25">
        <v>4</v>
      </c>
      <c r="V59" s="23">
        <v>108.82625</v>
      </c>
      <c r="W59" s="18" t="s">
        <v>47</v>
      </c>
      <c r="X59" s="18" t="s">
        <v>48</v>
      </c>
      <c r="Y59" s="18" t="s">
        <v>36</v>
      </c>
      <c r="Z59" s="18" t="s">
        <v>9</v>
      </c>
      <c r="AA59" s="18" t="s">
        <v>49</v>
      </c>
      <c r="AB59" s="18" t="s">
        <v>50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6" customFormat="1" ht="35.1" customHeight="1" x14ac:dyDescent="0.25">
      <c r="A60" s="9" t="s">
        <v>124</v>
      </c>
      <c r="B60" s="10">
        <v>46066</v>
      </c>
      <c r="C60" s="10">
        <v>46066</v>
      </c>
      <c r="D60" s="11" t="s">
        <v>195</v>
      </c>
      <c r="E60" s="12">
        <v>0.875</v>
      </c>
      <c r="F60" s="12">
        <v>0.91666666666666663</v>
      </c>
      <c r="G60" s="12">
        <v>4.1666666666666664E-2</v>
      </c>
      <c r="H60" s="9" t="s">
        <v>125</v>
      </c>
      <c r="I60" s="13"/>
      <c r="J60" s="9" t="s">
        <v>41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26" customFormat="1" ht="35.1" customHeight="1" x14ac:dyDescent="0.25">
      <c r="A61" s="18" t="s">
        <v>51</v>
      </c>
      <c r="B61" s="19">
        <v>46066</v>
      </c>
      <c r="C61" s="19">
        <v>46066</v>
      </c>
      <c r="D61" s="18" t="s">
        <v>195</v>
      </c>
      <c r="E61" s="20">
        <v>0.25</v>
      </c>
      <c r="F61" s="20">
        <v>0.99930555555555556</v>
      </c>
      <c r="G61" s="20">
        <v>3.8194444444444446E-4</v>
      </c>
      <c r="H61" s="18" t="s">
        <v>52</v>
      </c>
      <c r="I61" s="21">
        <v>0.89501354166666669</v>
      </c>
      <c r="J61" s="18" t="s">
        <v>32</v>
      </c>
      <c r="K61" s="18" t="s">
        <v>125</v>
      </c>
      <c r="L61" s="22">
        <v>1</v>
      </c>
      <c r="M61" s="22">
        <v>61683</v>
      </c>
      <c r="N61" s="18" t="s">
        <v>53</v>
      </c>
      <c r="O61" s="22"/>
      <c r="P61" s="23">
        <v>92.592592592592595</v>
      </c>
      <c r="Q61" s="22"/>
      <c r="R61" s="23">
        <v>92.592592592592595</v>
      </c>
      <c r="S61" s="24">
        <v>46054</v>
      </c>
      <c r="T61" s="23">
        <v>0</v>
      </c>
      <c r="U61" s="25">
        <v>4</v>
      </c>
      <c r="V61" s="23">
        <v>92.592592592592595</v>
      </c>
      <c r="W61" s="18" t="s">
        <v>34</v>
      </c>
      <c r="X61" s="18" t="s">
        <v>54</v>
      </c>
      <c r="Y61" s="18" t="s">
        <v>36</v>
      </c>
      <c r="Z61" s="18" t="s">
        <v>54</v>
      </c>
      <c r="AA61" s="18" t="s">
        <v>49</v>
      </c>
      <c r="AB61" s="18" t="s">
        <v>55</v>
      </c>
      <c r="AC61" s="18" t="s">
        <v>38</v>
      </c>
      <c r="AD61" s="7" t="str">
        <f t="shared" si="0"/>
        <v/>
      </c>
    </row>
    <row r="62" spans="1:49" s="26" customFormat="1" ht="35.1" customHeight="1" x14ac:dyDescent="0.25">
      <c r="A62" s="18" t="s">
        <v>44</v>
      </c>
      <c r="B62" s="19">
        <v>46066</v>
      </c>
      <c r="C62" s="19">
        <v>46066</v>
      </c>
      <c r="D62" s="18" t="s">
        <v>195</v>
      </c>
      <c r="E62" s="20">
        <v>0.25</v>
      </c>
      <c r="F62" s="20">
        <v>0.99930555555555556</v>
      </c>
      <c r="G62" s="20">
        <v>3.4722222222222218E-4</v>
      </c>
      <c r="H62" s="18" t="s">
        <v>45</v>
      </c>
      <c r="I62" s="21">
        <v>0.9011717592592593</v>
      </c>
      <c r="J62" s="18" t="s">
        <v>41</v>
      </c>
      <c r="K62" s="18" t="s">
        <v>125</v>
      </c>
      <c r="L62" s="22">
        <v>1</v>
      </c>
      <c r="M62" s="22">
        <v>70964</v>
      </c>
      <c r="N62" s="18" t="s">
        <v>46</v>
      </c>
      <c r="O62" s="22" t="str">
        <f>AC62</f>
        <v>SFO</v>
      </c>
      <c r="P62" s="23">
        <v>0</v>
      </c>
      <c r="Q62" s="22"/>
      <c r="R62" s="23">
        <v>0</v>
      </c>
      <c r="S62" s="24">
        <v>46054</v>
      </c>
      <c r="T62" s="23">
        <v>0</v>
      </c>
      <c r="U62" s="25">
        <v>4</v>
      </c>
      <c r="V62" s="23">
        <v>0</v>
      </c>
      <c r="W62" s="18" t="s">
        <v>47</v>
      </c>
      <c r="X62" s="18" t="s">
        <v>48</v>
      </c>
      <c r="Y62" s="18" t="s">
        <v>36</v>
      </c>
      <c r="Z62" s="18" t="s">
        <v>9</v>
      </c>
      <c r="AA62" s="18" t="s">
        <v>49</v>
      </c>
      <c r="AB62" s="18" t="s">
        <v>50</v>
      </c>
      <c r="AC62" s="18" t="s">
        <v>38</v>
      </c>
      <c r="AD62" s="7" t="str">
        <f t="shared" si="0"/>
        <v/>
      </c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</row>
    <row r="63" spans="1:49" s="26" customFormat="1" ht="35.1" customHeight="1" x14ac:dyDescent="0.25">
      <c r="A63" s="9" t="s">
        <v>124</v>
      </c>
      <c r="B63" s="10">
        <v>46066</v>
      </c>
      <c r="C63" s="10">
        <v>46066</v>
      </c>
      <c r="D63" s="11" t="s">
        <v>195</v>
      </c>
      <c r="E63" s="12">
        <v>0.91666666666666663</v>
      </c>
      <c r="F63" s="12">
        <v>0.97916666666666663</v>
      </c>
      <c r="G63" s="12">
        <v>6.25E-2</v>
      </c>
      <c r="H63" s="9" t="s">
        <v>202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26" customFormat="1" ht="35.1" customHeight="1" x14ac:dyDescent="0.25">
      <c r="A64" s="18" t="s">
        <v>89</v>
      </c>
      <c r="B64" s="19">
        <v>46066</v>
      </c>
      <c r="C64" s="19">
        <v>46066</v>
      </c>
      <c r="D64" s="18" t="s">
        <v>195</v>
      </c>
      <c r="E64" s="20">
        <v>0.25</v>
      </c>
      <c r="F64" s="20">
        <v>0.99930555555555556</v>
      </c>
      <c r="G64" s="20">
        <v>3.4722222222222218E-4</v>
      </c>
      <c r="H64" s="18" t="s">
        <v>139</v>
      </c>
      <c r="I64" s="21">
        <v>0.92378553240740746</v>
      </c>
      <c r="J64" s="18" t="s">
        <v>41</v>
      </c>
      <c r="K64" s="18" t="s">
        <v>202</v>
      </c>
      <c r="L64" s="22">
        <v>1</v>
      </c>
      <c r="M64" s="22">
        <v>70409</v>
      </c>
      <c r="N64" s="18" t="s">
        <v>46</v>
      </c>
      <c r="O64" s="22" t="s">
        <v>91</v>
      </c>
      <c r="P64" s="23">
        <v>0</v>
      </c>
      <c r="Q64" s="22"/>
      <c r="R64" s="23">
        <v>0</v>
      </c>
      <c r="S64" s="24">
        <v>46054</v>
      </c>
      <c r="T64" s="23">
        <v>0</v>
      </c>
      <c r="U64" s="25">
        <v>4</v>
      </c>
      <c r="V64" s="23">
        <v>0</v>
      </c>
      <c r="W64" s="18" t="s">
        <v>47</v>
      </c>
      <c r="X64" s="18" t="s">
        <v>48</v>
      </c>
      <c r="Y64" s="18" t="s">
        <v>36</v>
      </c>
      <c r="Z64" s="18" t="s">
        <v>9</v>
      </c>
      <c r="AA64" s="18" t="s">
        <v>49</v>
      </c>
      <c r="AB64" s="18" t="s">
        <v>92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26" customFormat="1" ht="35.1" customHeight="1" x14ac:dyDescent="0.25">
      <c r="A65" s="18" t="s">
        <v>172</v>
      </c>
      <c r="B65" s="19">
        <v>46066</v>
      </c>
      <c r="C65" s="19">
        <v>46066</v>
      </c>
      <c r="D65" s="18" t="s">
        <v>195</v>
      </c>
      <c r="E65" s="20">
        <v>0.83333333333333337</v>
      </c>
      <c r="F65" s="20">
        <v>0.95833333333333337</v>
      </c>
      <c r="G65" s="20">
        <v>3.4722222222222218E-4</v>
      </c>
      <c r="H65" s="18" t="s">
        <v>177</v>
      </c>
      <c r="I65" s="21">
        <v>0.93300972222222212</v>
      </c>
      <c r="J65" s="18" t="s">
        <v>41</v>
      </c>
      <c r="K65" s="18" t="s">
        <v>202</v>
      </c>
      <c r="L65" s="22">
        <v>1</v>
      </c>
      <c r="M65" s="22">
        <v>69902</v>
      </c>
      <c r="N65" s="18" t="s">
        <v>53</v>
      </c>
      <c r="O65" s="22" t="s">
        <v>174</v>
      </c>
      <c r="P65" s="23">
        <v>100</v>
      </c>
      <c r="Q65" s="22"/>
      <c r="R65" s="23">
        <v>100</v>
      </c>
      <c r="S65" s="24">
        <v>46054</v>
      </c>
      <c r="T65" s="23">
        <v>15</v>
      </c>
      <c r="U65" s="25">
        <v>4</v>
      </c>
      <c r="V65" s="23">
        <v>85</v>
      </c>
      <c r="W65" s="18" t="s">
        <v>47</v>
      </c>
      <c r="X65" s="18" t="s">
        <v>48</v>
      </c>
      <c r="Y65" s="18" t="s">
        <v>36</v>
      </c>
      <c r="Z65" s="18" t="s">
        <v>9</v>
      </c>
      <c r="AA65" s="18" t="s">
        <v>49</v>
      </c>
      <c r="AB65" s="18" t="s">
        <v>175</v>
      </c>
      <c r="AC65" s="18" t="s">
        <v>38</v>
      </c>
      <c r="AD65" s="7" t="str">
        <f t="shared" si="0"/>
        <v/>
      </c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</row>
    <row r="66" spans="1:49" s="26" customFormat="1" ht="35.1" customHeight="1" x14ac:dyDescent="0.25">
      <c r="A66" s="18" t="s">
        <v>133</v>
      </c>
      <c r="B66" s="19">
        <v>46066</v>
      </c>
      <c r="C66" s="19">
        <v>46066</v>
      </c>
      <c r="D66" s="18" t="s">
        <v>195</v>
      </c>
      <c r="E66" s="20">
        <v>0.25</v>
      </c>
      <c r="F66" s="20">
        <v>0.99930555555555556</v>
      </c>
      <c r="G66" s="20">
        <v>1.6203703703703701E-4</v>
      </c>
      <c r="H66" s="18" t="s">
        <v>159</v>
      </c>
      <c r="I66" s="21">
        <v>0.93946782407407414</v>
      </c>
      <c r="J66" s="18" t="s">
        <v>41</v>
      </c>
      <c r="K66" s="18" t="s">
        <v>202</v>
      </c>
      <c r="L66" s="22">
        <v>1</v>
      </c>
      <c r="M66" s="22">
        <v>66852</v>
      </c>
      <c r="N66" s="18" t="s">
        <v>46</v>
      </c>
      <c r="O66" s="22" t="s">
        <v>135</v>
      </c>
      <c r="P66" s="23">
        <v>0</v>
      </c>
      <c r="Q66" s="22"/>
      <c r="R66" s="23">
        <v>0</v>
      </c>
      <c r="S66" s="24">
        <v>46054</v>
      </c>
      <c r="T66" s="23">
        <v>0</v>
      </c>
      <c r="U66" s="25">
        <v>4</v>
      </c>
      <c r="V66" s="23">
        <v>0</v>
      </c>
      <c r="W66" s="18" t="s">
        <v>47</v>
      </c>
      <c r="X66" s="18" t="s">
        <v>48</v>
      </c>
      <c r="Y66" s="18" t="s">
        <v>36</v>
      </c>
      <c r="Z66" s="18" t="s">
        <v>9</v>
      </c>
      <c r="AA66" s="18" t="s">
        <v>49</v>
      </c>
      <c r="AB66" s="18" t="s">
        <v>136</v>
      </c>
      <c r="AC66" s="18" t="s">
        <v>38</v>
      </c>
      <c r="AD66" s="7" t="str">
        <f t="shared" si="0"/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26" customFormat="1" ht="35.1" customHeight="1" x14ac:dyDescent="0.25">
      <c r="A67" s="9" t="s">
        <v>39</v>
      </c>
      <c r="B67" s="10">
        <v>46066</v>
      </c>
      <c r="C67" s="10">
        <v>46066</v>
      </c>
      <c r="D67" s="11" t="s">
        <v>195</v>
      </c>
      <c r="E67" s="12">
        <v>0.97916666666666663</v>
      </c>
      <c r="F67" s="12">
        <v>1</v>
      </c>
      <c r="G67" s="12">
        <v>2.0833333333333332E-2</v>
      </c>
      <c r="H67" s="9" t="s">
        <v>127</v>
      </c>
      <c r="I67" s="13"/>
      <c r="J67" s="9" t="s">
        <v>116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0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7" xr:uid="{424754EB-77D4-44AC-A729-202F74AF0C24}"/>
  <sortState xmlns:xlrd2="http://schemas.microsoft.com/office/spreadsheetml/2017/richdata2" ref="A2:AD326">
    <sortCondition sortBy="cellColor" ref="E1:E500" dxfId="24"/>
  </sortState>
  <conditionalFormatting sqref="AD1:AD67">
    <cfRule type="cellIs" dxfId="23" priority="3" operator="equal">
      <formula>"NO"</formula>
    </cfRule>
  </conditionalFormatting>
  <conditionalFormatting sqref="E2:F67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203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0" si="0">IF(N2="PRG","",IF(I2&gt;=E2,IF(I2&lt;=F2,"","NO"),"NO"))</f>
        <v/>
      </c>
    </row>
    <row r="3" spans="1:49" s="26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203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</row>
    <row r="4" spans="1:49" s="26" customFormat="1" ht="35.1" customHeight="1" x14ac:dyDescent="0.25">
      <c r="A4" s="18" t="s">
        <v>204</v>
      </c>
      <c r="B4" s="19">
        <v>46067</v>
      </c>
      <c r="C4" s="19">
        <v>46067</v>
      </c>
      <c r="D4" s="18" t="s">
        <v>203</v>
      </c>
      <c r="E4" s="20">
        <v>0.25</v>
      </c>
      <c r="F4" s="20">
        <v>0.875</v>
      </c>
      <c r="G4" s="20">
        <v>1.7361111111111109E-4</v>
      </c>
      <c r="H4" s="18" t="s">
        <v>205</v>
      </c>
      <c r="I4" s="21">
        <v>0.2833134259259259</v>
      </c>
      <c r="J4" s="18" t="s">
        <v>41</v>
      </c>
      <c r="K4" s="18" t="s">
        <v>40</v>
      </c>
      <c r="L4" s="22">
        <v>1</v>
      </c>
      <c r="M4" s="22">
        <v>71977</v>
      </c>
      <c r="N4" s="18" t="s">
        <v>53</v>
      </c>
      <c r="O4" s="22" t="s">
        <v>206</v>
      </c>
      <c r="P4" s="23">
        <v>0</v>
      </c>
      <c r="Q4" s="22"/>
      <c r="R4" s="23">
        <v>90</v>
      </c>
      <c r="S4" s="24">
        <v>46054</v>
      </c>
      <c r="T4" s="23">
        <v>0</v>
      </c>
      <c r="U4" s="25">
        <v>4</v>
      </c>
      <c r="V4" s="23">
        <v>0</v>
      </c>
      <c r="W4" s="18" t="s">
        <v>47</v>
      </c>
      <c r="X4" s="18" t="s">
        <v>48</v>
      </c>
      <c r="Y4" s="18" t="s">
        <v>36</v>
      </c>
      <c r="Z4" s="18" t="s">
        <v>43</v>
      </c>
      <c r="AA4" s="18" t="s">
        <v>49</v>
      </c>
      <c r="AB4" s="18" t="s">
        <v>207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5">
      <c r="A5" s="18" t="s">
        <v>133</v>
      </c>
      <c r="B5" s="19">
        <v>46067</v>
      </c>
      <c r="C5" s="19">
        <v>46067</v>
      </c>
      <c r="D5" s="18" t="s">
        <v>203</v>
      </c>
      <c r="E5" s="20">
        <v>0.25</v>
      </c>
      <c r="F5" s="20">
        <v>0.99930555555555556</v>
      </c>
      <c r="G5" s="20">
        <v>1.7361111111111109E-4</v>
      </c>
      <c r="H5" s="18" t="s">
        <v>137</v>
      </c>
      <c r="I5" s="21">
        <v>0.29114745370370371</v>
      </c>
      <c r="J5" s="18" t="s">
        <v>41</v>
      </c>
      <c r="K5" s="18" t="s">
        <v>40</v>
      </c>
      <c r="L5" s="22">
        <v>1</v>
      </c>
      <c r="M5" s="22">
        <v>66852</v>
      </c>
      <c r="N5" s="18" t="s">
        <v>46</v>
      </c>
      <c r="O5" s="22" t="s">
        <v>135</v>
      </c>
      <c r="P5" s="23">
        <v>0</v>
      </c>
      <c r="Q5" s="22"/>
      <c r="R5" s="23">
        <v>0</v>
      </c>
      <c r="S5" s="24">
        <v>46054</v>
      </c>
      <c r="T5" s="23">
        <v>0</v>
      </c>
      <c r="U5" s="25">
        <v>4</v>
      </c>
      <c r="V5" s="23">
        <v>0</v>
      </c>
      <c r="W5" s="18" t="s">
        <v>47</v>
      </c>
      <c r="X5" s="18" t="s">
        <v>48</v>
      </c>
      <c r="Y5" s="18" t="s">
        <v>36</v>
      </c>
      <c r="Z5" s="18" t="s">
        <v>9</v>
      </c>
      <c r="AA5" s="18" t="s">
        <v>49</v>
      </c>
      <c r="AB5" s="18" t="s">
        <v>136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18" t="s">
        <v>204</v>
      </c>
      <c r="B6" s="19">
        <v>46067</v>
      </c>
      <c r="C6" s="19">
        <v>46067</v>
      </c>
      <c r="D6" s="18" t="s">
        <v>203</v>
      </c>
      <c r="E6" s="20">
        <v>0.25</v>
      </c>
      <c r="F6" s="20">
        <v>0.875</v>
      </c>
      <c r="G6" s="20">
        <v>1.7361111111111109E-4</v>
      </c>
      <c r="H6" s="18" t="s">
        <v>205</v>
      </c>
      <c r="I6" s="21">
        <v>0.28958483796296297</v>
      </c>
      <c r="J6" s="18" t="s">
        <v>41</v>
      </c>
      <c r="K6" s="18" t="s">
        <v>40</v>
      </c>
      <c r="L6" s="22">
        <v>1</v>
      </c>
      <c r="M6" s="22">
        <v>71977</v>
      </c>
      <c r="N6" s="18" t="s">
        <v>53</v>
      </c>
      <c r="O6" s="22" t="s">
        <v>206</v>
      </c>
      <c r="P6" s="23">
        <v>0</v>
      </c>
      <c r="Q6" s="22"/>
      <c r="R6" s="23">
        <v>90</v>
      </c>
      <c r="S6" s="24">
        <v>46054</v>
      </c>
      <c r="T6" s="23">
        <v>0</v>
      </c>
      <c r="U6" s="25">
        <v>4</v>
      </c>
      <c r="V6" s="23">
        <v>0</v>
      </c>
      <c r="W6" s="18" t="s">
        <v>47</v>
      </c>
      <c r="X6" s="18" t="s">
        <v>48</v>
      </c>
      <c r="Y6" s="18" t="s">
        <v>36</v>
      </c>
      <c r="Z6" s="18" t="s">
        <v>43</v>
      </c>
      <c r="AA6" s="18" t="s">
        <v>49</v>
      </c>
      <c r="AB6" s="18" t="s">
        <v>207</v>
      </c>
      <c r="AC6" s="18" t="s">
        <v>38</v>
      </c>
      <c r="AD6" s="7" t="str">
        <f t="shared" si="0"/>
        <v/>
      </c>
    </row>
    <row r="7" spans="1:49" s="26" customFormat="1" ht="35.1" customHeight="1" x14ac:dyDescent="0.25">
      <c r="A7" s="9" t="s">
        <v>56</v>
      </c>
      <c r="B7" s="10">
        <v>46067</v>
      </c>
      <c r="C7" s="10">
        <v>46067</v>
      </c>
      <c r="D7" s="11" t="s">
        <v>203</v>
      </c>
      <c r="E7" s="12">
        <v>0.29166666666666669</v>
      </c>
      <c r="F7" s="12">
        <v>0.3125</v>
      </c>
      <c r="G7" s="12">
        <v>2.0833333333333332E-2</v>
      </c>
      <c r="H7" s="9" t="s">
        <v>57</v>
      </c>
      <c r="I7" s="13" t="s">
        <v>208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26" customFormat="1" ht="35.1" customHeight="1" x14ac:dyDescent="0.25">
      <c r="A8" s="18" t="s">
        <v>44</v>
      </c>
      <c r="B8" s="19">
        <v>46067</v>
      </c>
      <c r="C8" s="19">
        <v>46067</v>
      </c>
      <c r="D8" s="18" t="s">
        <v>203</v>
      </c>
      <c r="E8" s="20">
        <v>0.25</v>
      </c>
      <c r="F8" s="20">
        <v>0.99930555555555556</v>
      </c>
      <c r="G8" s="20">
        <v>3.4722222222222218E-4</v>
      </c>
      <c r="H8" s="18" t="s">
        <v>45</v>
      </c>
      <c r="I8" s="21">
        <v>0.31145868055555553</v>
      </c>
      <c r="J8" s="18" t="s">
        <v>41</v>
      </c>
      <c r="K8" s="18" t="s">
        <v>56</v>
      </c>
      <c r="L8" s="22">
        <v>1</v>
      </c>
      <c r="M8" s="22">
        <v>70964</v>
      </c>
      <c r="N8" s="18" t="s">
        <v>46</v>
      </c>
      <c r="O8" s="22" t="str">
        <f>AC8</f>
        <v>SFO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26" customFormat="1" ht="35.1" customHeight="1" x14ac:dyDescent="0.25">
      <c r="A9" s="18" t="s">
        <v>133</v>
      </c>
      <c r="B9" s="19">
        <v>46067</v>
      </c>
      <c r="C9" s="19">
        <v>46067</v>
      </c>
      <c r="D9" s="18" t="s">
        <v>203</v>
      </c>
      <c r="E9" s="20">
        <v>0.25</v>
      </c>
      <c r="F9" s="20">
        <v>0.99930555555555556</v>
      </c>
      <c r="G9" s="20">
        <v>1.6203703703703701E-4</v>
      </c>
      <c r="H9" s="18" t="s">
        <v>159</v>
      </c>
      <c r="I9" s="21">
        <v>0.31128518518518522</v>
      </c>
      <c r="J9" s="18" t="s">
        <v>41</v>
      </c>
      <c r="K9" s="18" t="s">
        <v>56</v>
      </c>
      <c r="L9" s="22">
        <v>1</v>
      </c>
      <c r="M9" s="22">
        <v>66852</v>
      </c>
      <c r="N9" s="18" t="s">
        <v>46</v>
      </c>
      <c r="O9" s="22" t="s">
        <v>135</v>
      </c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47</v>
      </c>
      <c r="X9" s="18" t="s">
        <v>48</v>
      </c>
      <c r="Y9" s="18" t="s">
        <v>36</v>
      </c>
      <c r="Z9" s="18" t="s">
        <v>9</v>
      </c>
      <c r="AA9" s="18" t="s">
        <v>49</v>
      </c>
      <c r="AB9" s="18" t="s">
        <v>136</v>
      </c>
      <c r="AC9" s="18" t="s">
        <v>38</v>
      </c>
      <c r="AD9" s="7" t="str">
        <f t="shared" si="0"/>
        <v/>
      </c>
    </row>
    <row r="10" spans="1:49" s="26" customFormat="1" ht="35.1" customHeight="1" x14ac:dyDescent="0.25">
      <c r="A10" s="9" t="s">
        <v>56</v>
      </c>
      <c r="B10" s="10">
        <v>46067</v>
      </c>
      <c r="C10" s="10">
        <v>46067</v>
      </c>
      <c r="D10" s="11" t="s">
        <v>203</v>
      </c>
      <c r="E10" s="12">
        <v>0.3125</v>
      </c>
      <c r="F10" s="12">
        <v>0.33333333333333331</v>
      </c>
      <c r="G10" s="12">
        <v>2.0833333333333332E-2</v>
      </c>
      <c r="H10" s="9" t="s">
        <v>57</v>
      </c>
      <c r="I10" s="13" t="s">
        <v>208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6" customFormat="1" ht="35.1" customHeight="1" x14ac:dyDescent="0.25">
      <c r="A11" s="9" t="s">
        <v>59</v>
      </c>
      <c r="B11" s="10">
        <v>46067</v>
      </c>
      <c r="C11" s="10">
        <v>46067</v>
      </c>
      <c r="D11" s="11" t="s">
        <v>203</v>
      </c>
      <c r="E11" s="12">
        <v>0.33333333333333331</v>
      </c>
      <c r="F11" s="12">
        <v>0.41666666666666669</v>
      </c>
      <c r="G11" s="12">
        <v>8.3333333333333329E-2</v>
      </c>
      <c r="H11" s="9" t="s">
        <v>63</v>
      </c>
      <c r="I11" s="13" t="s">
        <v>209</v>
      </c>
      <c r="J11" s="9" t="s">
        <v>61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6" customFormat="1" ht="35.1" customHeight="1" x14ac:dyDescent="0.25">
      <c r="A12" s="9" t="s">
        <v>87</v>
      </c>
      <c r="B12" s="10">
        <v>46067</v>
      </c>
      <c r="C12" s="10">
        <v>46067</v>
      </c>
      <c r="D12" s="11" t="s">
        <v>203</v>
      </c>
      <c r="E12" s="12">
        <v>0.41666666666666669</v>
      </c>
      <c r="F12" s="12">
        <v>0.45833333333333331</v>
      </c>
      <c r="G12" s="12">
        <v>4.1666666666666664E-2</v>
      </c>
      <c r="H12" s="9" t="s">
        <v>210</v>
      </c>
      <c r="I12" s="13"/>
      <c r="J12" s="9" t="s">
        <v>32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6" customFormat="1" ht="35.1" customHeight="1" x14ac:dyDescent="0.25">
      <c r="A13" s="9" t="s">
        <v>71</v>
      </c>
      <c r="B13" s="10">
        <v>46067</v>
      </c>
      <c r="C13" s="10">
        <v>46067</v>
      </c>
      <c r="D13" s="11" t="s">
        <v>203</v>
      </c>
      <c r="E13" s="12">
        <v>0.45833333333333331</v>
      </c>
      <c r="F13" s="12">
        <v>0.47916666666666669</v>
      </c>
      <c r="G13" s="12">
        <v>2.0833333333333332E-2</v>
      </c>
      <c r="H13" s="9" t="s">
        <v>143</v>
      </c>
      <c r="I13" s="13"/>
      <c r="J13" s="9" t="s">
        <v>76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6" customFormat="1" ht="35.1" customHeight="1" x14ac:dyDescent="0.25">
      <c r="A14" s="18" t="s">
        <v>204</v>
      </c>
      <c r="B14" s="19">
        <v>46067</v>
      </c>
      <c r="C14" s="19">
        <v>46067</v>
      </c>
      <c r="D14" s="18" t="s">
        <v>203</v>
      </c>
      <c r="E14" s="20">
        <v>0.45833333333333331</v>
      </c>
      <c r="F14" s="20">
        <v>0.5</v>
      </c>
      <c r="G14" s="20">
        <v>1.7361111111111109E-4</v>
      </c>
      <c r="H14" s="18" t="s">
        <v>212</v>
      </c>
      <c r="I14" s="21">
        <v>0.46341736111111115</v>
      </c>
      <c r="J14" s="18" t="s">
        <v>76</v>
      </c>
      <c r="K14" s="18" t="s">
        <v>143</v>
      </c>
      <c r="L14" s="22">
        <v>1</v>
      </c>
      <c r="M14" s="22">
        <v>71978</v>
      </c>
      <c r="N14" s="18" t="s">
        <v>53</v>
      </c>
      <c r="O14" s="22" t="s">
        <v>206</v>
      </c>
      <c r="P14" s="23">
        <v>0</v>
      </c>
      <c r="Q14" s="22"/>
      <c r="R14" s="23">
        <v>90</v>
      </c>
      <c r="S14" s="24">
        <v>46054</v>
      </c>
      <c r="T14" s="23">
        <v>0</v>
      </c>
      <c r="U14" s="25">
        <v>4</v>
      </c>
      <c r="V14" s="23">
        <v>0</v>
      </c>
      <c r="W14" s="18" t="s">
        <v>47</v>
      </c>
      <c r="X14" s="18" t="s">
        <v>48</v>
      </c>
      <c r="Y14" s="18" t="s">
        <v>36</v>
      </c>
      <c r="Z14" s="18" t="s">
        <v>43</v>
      </c>
      <c r="AA14" s="18" t="s">
        <v>49</v>
      </c>
      <c r="AB14" s="18" t="s">
        <v>207</v>
      </c>
      <c r="AC14" s="18" t="s">
        <v>38</v>
      </c>
      <c r="AD14" s="7" t="str">
        <f t="shared" si="0"/>
        <v/>
      </c>
    </row>
    <row r="15" spans="1:49" s="26" customFormat="1" ht="35.1" customHeight="1" x14ac:dyDescent="0.25">
      <c r="A15" s="18" t="s">
        <v>144</v>
      </c>
      <c r="B15" s="19">
        <v>46067</v>
      </c>
      <c r="C15" s="19">
        <v>46067</v>
      </c>
      <c r="D15" s="18" t="s">
        <v>203</v>
      </c>
      <c r="E15" s="20">
        <v>0.45833333333333331</v>
      </c>
      <c r="F15" s="20">
        <v>0.47916666666666669</v>
      </c>
      <c r="G15" s="20">
        <v>1.7361111111111109E-4</v>
      </c>
      <c r="H15" s="18" t="s">
        <v>213</v>
      </c>
      <c r="I15" s="21">
        <v>0.46324375000000001</v>
      </c>
      <c r="J15" s="18" t="s">
        <v>76</v>
      </c>
      <c r="K15" s="18" t="s">
        <v>143</v>
      </c>
      <c r="L15" s="22">
        <v>1</v>
      </c>
      <c r="M15" s="22">
        <v>70012</v>
      </c>
      <c r="N15" s="18" t="s">
        <v>53</v>
      </c>
      <c r="O15" s="22" t="s">
        <v>146</v>
      </c>
      <c r="P15" s="23">
        <v>44.71</v>
      </c>
      <c r="Q15" s="22"/>
      <c r="R15" s="23">
        <v>44.71</v>
      </c>
      <c r="S15" s="24">
        <v>46054</v>
      </c>
      <c r="T15" s="23">
        <v>6.7065000000000001</v>
      </c>
      <c r="U15" s="25">
        <v>4</v>
      </c>
      <c r="V15" s="23">
        <v>38.003500000000003</v>
      </c>
      <c r="W15" s="18" t="s">
        <v>47</v>
      </c>
      <c r="X15" s="18" t="s">
        <v>48</v>
      </c>
      <c r="Y15" s="18" t="s">
        <v>36</v>
      </c>
      <c r="Z15" s="18" t="s">
        <v>9</v>
      </c>
      <c r="AA15" s="18" t="s">
        <v>49</v>
      </c>
      <c r="AB15" s="18" t="s">
        <v>190</v>
      </c>
      <c r="AC15" s="18" t="s">
        <v>38</v>
      </c>
      <c r="AD15" s="7" t="str">
        <f t="shared" si="0"/>
        <v/>
      </c>
    </row>
    <row r="16" spans="1:49" s="26" customFormat="1" ht="35.1" customHeight="1" x14ac:dyDescent="0.25">
      <c r="A16" s="18" t="s">
        <v>80</v>
      </c>
      <c r="B16" s="19">
        <v>46067</v>
      </c>
      <c r="C16" s="19">
        <v>46067</v>
      </c>
      <c r="D16" s="18" t="s">
        <v>203</v>
      </c>
      <c r="E16" s="20">
        <v>0.45833333333333331</v>
      </c>
      <c r="F16" s="20">
        <v>0.5</v>
      </c>
      <c r="G16" s="20">
        <v>1.7361111111111109E-4</v>
      </c>
      <c r="H16" s="18" t="s">
        <v>86</v>
      </c>
      <c r="I16" s="21">
        <v>0.46824386574074073</v>
      </c>
      <c r="J16" s="18" t="s">
        <v>76</v>
      </c>
      <c r="K16" s="18" t="s">
        <v>143</v>
      </c>
      <c r="L16" s="22">
        <v>1</v>
      </c>
      <c r="M16" s="22">
        <v>71182</v>
      </c>
      <c r="N16" s="18" t="s">
        <v>53</v>
      </c>
      <c r="O16" s="22" t="s">
        <v>82</v>
      </c>
      <c r="P16" s="23">
        <v>70</v>
      </c>
      <c r="Q16" s="22"/>
      <c r="R16" s="23">
        <v>70</v>
      </c>
      <c r="S16" s="24">
        <v>46067</v>
      </c>
      <c r="T16" s="23">
        <v>10.5</v>
      </c>
      <c r="U16" s="25">
        <v>4</v>
      </c>
      <c r="V16" s="23">
        <v>59.5</v>
      </c>
      <c r="W16" s="18" t="s">
        <v>47</v>
      </c>
      <c r="X16" s="18" t="s">
        <v>48</v>
      </c>
      <c r="Y16" s="18" t="s">
        <v>78</v>
      </c>
      <c r="Z16" s="18" t="s">
        <v>9</v>
      </c>
      <c r="AA16" s="18" t="s">
        <v>49</v>
      </c>
      <c r="AB16" s="18" t="s">
        <v>83</v>
      </c>
      <c r="AC16" s="18" t="s">
        <v>38</v>
      </c>
      <c r="AD16" s="7" t="str">
        <f t="shared" si="0"/>
        <v/>
      </c>
    </row>
    <row r="17" spans="1:49" s="26" customFormat="1" ht="35.1" customHeight="1" x14ac:dyDescent="0.25">
      <c r="A17" s="18" t="s">
        <v>204</v>
      </c>
      <c r="B17" s="19">
        <v>46067</v>
      </c>
      <c r="C17" s="19">
        <v>46067</v>
      </c>
      <c r="D17" s="18" t="s">
        <v>203</v>
      </c>
      <c r="E17" s="20">
        <v>0.45833333333333331</v>
      </c>
      <c r="F17" s="20">
        <v>0.5</v>
      </c>
      <c r="G17" s="20">
        <v>1.7361111111111109E-4</v>
      </c>
      <c r="H17" s="18" t="s">
        <v>212</v>
      </c>
      <c r="I17" s="21">
        <v>0.47883287037037042</v>
      </c>
      <c r="J17" s="18" t="s">
        <v>76</v>
      </c>
      <c r="K17" s="18" t="s">
        <v>143</v>
      </c>
      <c r="L17" s="22">
        <v>1</v>
      </c>
      <c r="M17" s="22">
        <v>71978</v>
      </c>
      <c r="N17" s="18" t="s">
        <v>53</v>
      </c>
      <c r="O17" s="22" t="s">
        <v>206</v>
      </c>
      <c r="P17" s="23">
        <v>0</v>
      </c>
      <c r="Q17" s="22"/>
      <c r="R17" s="23">
        <v>90</v>
      </c>
      <c r="S17" s="24">
        <v>46054</v>
      </c>
      <c r="T17" s="23">
        <v>0</v>
      </c>
      <c r="U17" s="25">
        <v>4</v>
      </c>
      <c r="V17" s="23">
        <v>0</v>
      </c>
      <c r="W17" s="18" t="s">
        <v>47</v>
      </c>
      <c r="X17" s="18" t="s">
        <v>48</v>
      </c>
      <c r="Y17" s="18" t="s">
        <v>36</v>
      </c>
      <c r="Z17" s="18" t="s">
        <v>43</v>
      </c>
      <c r="AA17" s="18" t="s">
        <v>49</v>
      </c>
      <c r="AB17" s="18" t="s">
        <v>207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5">
      <c r="A18" s="9" t="s">
        <v>71</v>
      </c>
      <c r="B18" s="10">
        <v>46067</v>
      </c>
      <c r="C18" s="10">
        <v>46067</v>
      </c>
      <c r="D18" s="11" t="s">
        <v>203</v>
      </c>
      <c r="E18" s="12">
        <v>0.47916666666666669</v>
      </c>
      <c r="F18" s="12">
        <v>0.48958333333333331</v>
      </c>
      <c r="G18" s="12">
        <v>1.0416666666666666E-2</v>
      </c>
      <c r="H18" s="9" t="s">
        <v>214</v>
      </c>
      <c r="I18" s="13"/>
      <c r="J18" s="9" t="s">
        <v>76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6" customFormat="1" ht="35.1" customHeight="1" x14ac:dyDescent="0.25">
      <c r="A19" s="18" t="s">
        <v>204</v>
      </c>
      <c r="B19" s="19">
        <v>46067</v>
      </c>
      <c r="C19" s="19">
        <v>46067</v>
      </c>
      <c r="D19" s="18" t="s">
        <v>203</v>
      </c>
      <c r="E19" s="20">
        <v>0.45833333333333331</v>
      </c>
      <c r="F19" s="20">
        <v>0.5</v>
      </c>
      <c r="G19" s="20">
        <v>1.7361111111111109E-4</v>
      </c>
      <c r="H19" s="18" t="s">
        <v>212</v>
      </c>
      <c r="I19" s="21">
        <v>0.48449178240740737</v>
      </c>
      <c r="J19" s="18" t="s">
        <v>76</v>
      </c>
      <c r="K19" s="18" t="s">
        <v>214</v>
      </c>
      <c r="L19" s="22">
        <v>1</v>
      </c>
      <c r="M19" s="22">
        <v>71978</v>
      </c>
      <c r="N19" s="18" t="s">
        <v>53</v>
      </c>
      <c r="O19" s="22" t="s">
        <v>206</v>
      </c>
      <c r="P19" s="23">
        <v>0</v>
      </c>
      <c r="Q19" s="22"/>
      <c r="R19" s="23">
        <v>90</v>
      </c>
      <c r="S19" s="24">
        <v>46054</v>
      </c>
      <c r="T19" s="23">
        <v>0</v>
      </c>
      <c r="U19" s="25">
        <v>4</v>
      </c>
      <c r="V19" s="23">
        <v>0</v>
      </c>
      <c r="W19" s="18" t="s">
        <v>47</v>
      </c>
      <c r="X19" s="18" t="s">
        <v>48</v>
      </c>
      <c r="Y19" s="18" t="s">
        <v>36</v>
      </c>
      <c r="Z19" s="18" t="s">
        <v>43</v>
      </c>
      <c r="AA19" s="18" t="s">
        <v>49</v>
      </c>
      <c r="AB19" s="18" t="s">
        <v>207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5">
      <c r="A20" s="18" t="s">
        <v>74</v>
      </c>
      <c r="B20" s="19">
        <v>46067</v>
      </c>
      <c r="C20" s="19">
        <v>46067</v>
      </c>
      <c r="D20" s="18" t="s">
        <v>203</v>
      </c>
      <c r="E20" s="20">
        <v>0.45833333333333331</v>
      </c>
      <c r="F20" s="20">
        <v>0.54166666666666663</v>
      </c>
      <c r="G20" s="20">
        <v>3.4722222222222218E-4</v>
      </c>
      <c r="H20" s="18" t="s">
        <v>147</v>
      </c>
      <c r="I20" s="21">
        <v>0.48884513888888892</v>
      </c>
      <c r="J20" s="18" t="s">
        <v>76</v>
      </c>
      <c r="K20" s="18" t="s">
        <v>214</v>
      </c>
      <c r="L20" s="22">
        <v>1</v>
      </c>
      <c r="M20" s="22">
        <v>71448</v>
      </c>
      <c r="N20" s="18" t="s">
        <v>46</v>
      </c>
      <c r="O20" s="22" t="s">
        <v>77</v>
      </c>
      <c r="P20" s="23">
        <v>0</v>
      </c>
      <c r="Q20" s="22"/>
      <c r="R20" s="23">
        <v>0</v>
      </c>
      <c r="S20" s="24">
        <v>46067</v>
      </c>
      <c r="T20" s="23">
        <v>0</v>
      </c>
      <c r="U20" s="25">
        <v>4</v>
      </c>
      <c r="V20" s="23">
        <v>0</v>
      </c>
      <c r="W20" s="18" t="s">
        <v>47</v>
      </c>
      <c r="X20" s="18" t="s">
        <v>48</v>
      </c>
      <c r="Y20" s="18" t="s">
        <v>78</v>
      </c>
      <c r="Z20" s="18" t="s">
        <v>9</v>
      </c>
      <c r="AA20" s="18" t="s">
        <v>49</v>
      </c>
      <c r="AB20" s="18" t="s">
        <v>79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5">
      <c r="A21" s="18" t="s">
        <v>80</v>
      </c>
      <c r="B21" s="19">
        <v>46067</v>
      </c>
      <c r="C21" s="19">
        <v>46067</v>
      </c>
      <c r="D21" s="18" t="s">
        <v>203</v>
      </c>
      <c r="E21" s="20">
        <v>0.45833333333333331</v>
      </c>
      <c r="F21" s="20">
        <v>0.5</v>
      </c>
      <c r="G21" s="20">
        <v>1.7361111111111109E-4</v>
      </c>
      <c r="H21" s="18" t="s">
        <v>86</v>
      </c>
      <c r="I21" s="21">
        <v>0.48919259259259257</v>
      </c>
      <c r="J21" s="18" t="s">
        <v>76</v>
      </c>
      <c r="K21" s="18" t="s">
        <v>214</v>
      </c>
      <c r="L21" s="22">
        <v>1</v>
      </c>
      <c r="M21" s="22">
        <v>71182</v>
      </c>
      <c r="N21" s="18" t="s">
        <v>53</v>
      </c>
      <c r="O21" s="22" t="s">
        <v>82</v>
      </c>
      <c r="P21" s="23">
        <v>70</v>
      </c>
      <c r="Q21" s="22"/>
      <c r="R21" s="23">
        <v>70</v>
      </c>
      <c r="S21" s="24">
        <v>46067</v>
      </c>
      <c r="T21" s="23">
        <v>10.5</v>
      </c>
      <c r="U21" s="25">
        <v>4</v>
      </c>
      <c r="V21" s="23">
        <v>59.5</v>
      </c>
      <c r="W21" s="18" t="s">
        <v>47</v>
      </c>
      <c r="X21" s="18" t="s">
        <v>48</v>
      </c>
      <c r="Y21" s="18" t="s">
        <v>78</v>
      </c>
      <c r="Z21" s="18" t="s">
        <v>9</v>
      </c>
      <c r="AA21" s="18" t="s">
        <v>49</v>
      </c>
      <c r="AB21" s="18" t="s">
        <v>83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5">
      <c r="A22" s="9" t="s">
        <v>71</v>
      </c>
      <c r="B22" s="10">
        <v>46067</v>
      </c>
      <c r="C22" s="10">
        <v>46067</v>
      </c>
      <c r="D22" s="11" t="s">
        <v>203</v>
      </c>
      <c r="E22" s="12">
        <v>0.48958333333333331</v>
      </c>
      <c r="F22" s="12">
        <v>0.5</v>
      </c>
      <c r="G22" s="12">
        <v>1.0416666666666666E-2</v>
      </c>
      <c r="H22" s="9" t="s">
        <v>215</v>
      </c>
      <c r="I22" s="13"/>
      <c r="J22" s="9" t="s">
        <v>76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26" customFormat="1" ht="35.1" customHeight="1" x14ac:dyDescent="0.25">
      <c r="A23" s="18" t="s">
        <v>144</v>
      </c>
      <c r="B23" s="19">
        <v>46067</v>
      </c>
      <c r="C23" s="19">
        <v>46067</v>
      </c>
      <c r="D23" s="18" t="s">
        <v>203</v>
      </c>
      <c r="E23" s="20">
        <v>0.45833333333333331</v>
      </c>
      <c r="F23" s="20">
        <v>0.54166666666666663</v>
      </c>
      <c r="G23" s="20">
        <v>1.7361111111111109E-4</v>
      </c>
      <c r="H23" s="18" t="s">
        <v>211</v>
      </c>
      <c r="I23" s="21">
        <v>0.49815972222222221</v>
      </c>
      <c r="J23" s="18" t="s">
        <v>76</v>
      </c>
      <c r="K23" s="18" t="s">
        <v>128</v>
      </c>
      <c r="L23" s="22">
        <v>1</v>
      </c>
      <c r="M23" s="22">
        <v>70036</v>
      </c>
      <c r="N23" s="18" t="s">
        <v>46</v>
      </c>
      <c r="O23" s="22" t="s">
        <v>146</v>
      </c>
      <c r="P23" s="23">
        <v>0</v>
      </c>
      <c r="Q23" s="22"/>
      <c r="R23" s="23">
        <v>0</v>
      </c>
      <c r="S23" s="24">
        <v>46054</v>
      </c>
      <c r="T23" s="23">
        <v>0</v>
      </c>
      <c r="U23" s="25">
        <v>4</v>
      </c>
      <c r="V23" s="23">
        <v>0</v>
      </c>
      <c r="W23" s="18" t="s">
        <v>47</v>
      </c>
      <c r="X23" s="18" t="s">
        <v>48</v>
      </c>
      <c r="Y23" s="18" t="s">
        <v>36</v>
      </c>
      <c r="Z23" s="18" t="s">
        <v>9</v>
      </c>
      <c r="AA23" s="18" t="s">
        <v>49</v>
      </c>
      <c r="AB23" s="18" t="s">
        <v>190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6" customFormat="1" ht="35.1" customHeight="1" x14ac:dyDescent="0.25">
      <c r="A24" s="9" t="s">
        <v>71</v>
      </c>
      <c r="B24" s="10">
        <v>46067</v>
      </c>
      <c r="C24" s="10">
        <v>46067</v>
      </c>
      <c r="D24" s="11" t="s">
        <v>203</v>
      </c>
      <c r="E24" s="12">
        <v>0.5</v>
      </c>
      <c r="F24" s="12">
        <v>0.54166666666666663</v>
      </c>
      <c r="G24" s="12">
        <v>4.1666666666666664E-2</v>
      </c>
      <c r="H24" s="9" t="s">
        <v>216</v>
      </c>
      <c r="I24" s="13"/>
      <c r="J24" s="9" t="s">
        <v>76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6" customFormat="1" ht="35.1" customHeight="1" x14ac:dyDescent="0.25">
      <c r="A25" s="18" t="s">
        <v>144</v>
      </c>
      <c r="B25" s="19">
        <v>46067</v>
      </c>
      <c r="C25" s="19">
        <v>46067</v>
      </c>
      <c r="D25" s="18" t="s">
        <v>203</v>
      </c>
      <c r="E25" s="20">
        <v>0.5</v>
      </c>
      <c r="F25" s="20">
        <v>0.54166666666666663</v>
      </c>
      <c r="G25" s="20">
        <v>1.7361111111111109E-4</v>
      </c>
      <c r="H25" s="18" t="s">
        <v>213</v>
      </c>
      <c r="I25" s="21">
        <v>0.51215289351851856</v>
      </c>
      <c r="J25" s="18" t="s">
        <v>76</v>
      </c>
      <c r="K25" s="18" t="s">
        <v>129</v>
      </c>
      <c r="L25" s="22">
        <v>1</v>
      </c>
      <c r="M25" s="22">
        <v>70035</v>
      </c>
      <c r="N25" s="18" t="s">
        <v>53</v>
      </c>
      <c r="O25" s="22" t="s">
        <v>146</v>
      </c>
      <c r="P25" s="23">
        <v>44.71</v>
      </c>
      <c r="Q25" s="22"/>
      <c r="R25" s="23">
        <v>44.71</v>
      </c>
      <c r="S25" s="24">
        <v>46054</v>
      </c>
      <c r="T25" s="23">
        <v>6.7065000000000001</v>
      </c>
      <c r="U25" s="25">
        <v>4</v>
      </c>
      <c r="V25" s="23">
        <v>38.003500000000003</v>
      </c>
      <c r="W25" s="18" t="s">
        <v>47</v>
      </c>
      <c r="X25" s="18" t="s">
        <v>48</v>
      </c>
      <c r="Y25" s="18" t="s">
        <v>36</v>
      </c>
      <c r="Z25" s="18" t="s">
        <v>9</v>
      </c>
      <c r="AA25" s="18" t="s">
        <v>49</v>
      </c>
      <c r="AB25" s="18" t="s">
        <v>190</v>
      </c>
      <c r="AC25" s="18" t="s">
        <v>38</v>
      </c>
      <c r="AD25" s="7" t="str">
        <f t="shared" si="0"/>
        <v/>
      </c>
    </row>
    <row r="26" spans="1:49" s="26" customFormat="1" ht="35.1" customHeight="1" x14ac:dyDescent="0.25">
      <c r="A26" s="18" t="s">
        <v>144</v>
      </c>
      <c r="B26" s="19">
        <v>46067</v>
      </c>
      <c r="C26" s="19">
        <v>46067</v>
      </c>
      <c r="D26" s="18" t="s">
        <v>203</v>
      </c>
      <c r="E26" s="20">
        <v>0.45833333333333331</v>
      </c>
      <c r="F26" s="20">
        <v>0.54166666666666663</v>
      </c>
      <c r="G26" s="20">
        <v>1.7361111111111109E-4</v>
      </c>
      <c r="H26" s="18" t="s">
        <v>211</v>
      </c>
      <c r="I26" s="21">
        <v>0.52534756944444438</v>
      </c>
      <c r="J26" s="18" t="s">
        <v>76</v>
      </c>
      <c r="K26" s="18" t="s">
        <v>129</v>
      </c>
      <c r="L26" s="22">
        <v>1</v>
      </c>
      <c r="M26" s="22">
        <v>70036</v>
      </c>
      <c r="N26" s="18" t="s">
        <v>46</v>
      </c>
      <c r="O26" s="22" t="s">
        <v>146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190</v>
      </c>
      <c r="AC26" s="18" t="s">
        <v>38</v>
      </c>
      <c r="AD26" s="7" t="str">
        <f t="shared" si="0"/>
        <v/>
      </c>
    </row>
    <row r="27" spans="1:49" s="26" customFormat="1" ht="35.1" customHeight="1" x14ac:dyDescent="0.25">
      <c r="A27" s="18" t="s">
        <v>44</v>
      </c>
      <c r="B27" s="19">
        <v>46067</v>
      </c>
      <c r="C27" s="19">
        <v>46067</v>
      </c>
      <c r="D27" s="18" t="s">
        <v>203</v>
      </c>
      <c r="E27" s="20">
        <v>0.45833333333333331</v>
      </c>
      <c r="F27" s="20">
        <v>0.54166666666666663</v>
      </c>
      <c r="G27" s="20">
        <v>3.4722222222222218E-4</v>
      </c>
      <c r="H27" s="18" t="s">
        <v>149</v>
      </c>
      <c r="I27" s="21">
        <v>0.53950451388888887</v>
      </c>
      <c r="J27" s="18" t="s">
        <v>76</v>
      </c>
      <c r="K27" s="18" t="s">
        <v>129</v>
      </c>
      <c r="L27" s="22">
        <v>1</v>
      </c>
      <c r="M27" s="22">
        <v>70976</v>
      </c>
      <c r="N27" s="18" t="s">
        <v>46</v>
      </c>
      <c r="O27" s="22" t="str">
        <f>AC27</f>
        <v>SFO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47</v>
      </c>
      <c r="X27" s="18" t="s">
        <v>48</v>
      </c>
      <c r="Y27" s="18" t="s">
        <v>36</v>
      </c>
      <c r="Z27" s="18" t="s">
        <v>9</v>
      </c>
      <c r="AA27" s="18" t="s">
        <v>49</v>
      </c>
      <c r="AB27" s="18" t="s">
        <v>50</v>
      </c>
      <c r="AC27" s="18" t="s">
        <v>38</v>
      </c>
      <c r="AD27" s="7" t="str">
        <f t="shared" si="0"/>
        <v/>
      </c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</row>
    <row r="28" spans="1:49" s="26" customFormat="1" ht="35.1" customHeight="1" x14ac:dyDescent="0.25">
      <c r="A28" s="9" t="s">
        <v>217</v>
      </c>
      <c r="B28" s="10">
        <v>46067</v>
      </c>
      <c r="C28" s="10">
        <v>46067</v>
      </c>
      <c r="D28" s="11" t="s">
        <v>203</v>
      </c>
      <c r="E28" s="12">
        <v>0.54166666666666663</v>
      </c>
      <c r="F28" s="12">
        <v>0.58333333333333337</v>
      </c>
      <c r="G28" s="12">
        <v>4.1666666666666664E-2</v>
      </c>
      <c r="H28" s="41" t="s">
        <v>217</v>
      </c>
      <c r="I28" s="13"/>
      <c r="J28" s="9" t="s">
        <v>96</v>
      </c>
      <c r="K28" s="9" t="s">
        <v>218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68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6" customFormat="1" ht="35.1" customHeight="1" x14ac:dyDescent="0.25">
      <c r="A29" s="18" t="s">
        <v>144</v>
      </c>
      <c r="B29" s="19">
        <v>46067</v>
      </c>
      <c r="C29" s="19">
        <v>46067</v>
      </c>
      <c r="D29" s="18" t="s">
        <v>203</v>
      </c>
      <c r="E29" s="20">
        <v>0.54166666666666663</v>
      </c>
      <c r="F29" s="20">
        <v>0.66666666666666663</v>
      </c>
      <c r="G29" s="20">
        <v>1.7361111111111109E-4</v>
      </c>
      <c r="H29" s="18" t="s">
        <v>220</v>
      </c>
      <c r="I29" s="21">
        <v>0.55774456018518515</v>
      </c>
      <c r="J29" s="18" t="s">
        <v>96</v>
      </c>
      <c r="K29" s="18" t="s">
        <v>229</v>
      </c>
      <c r="L29" s="22">
        <v>1</v>
      </c>
      <c r="M29" s="22">
        <v>69979</v>
      </c>
      <c r="N29" s="18" t="s">
        <v>53</v>
      </c>
      <c r="O29" s="22" t="s">
        <v>152</v>
      </c>
      <c r="P29" s="23">
        <v>44.71</v>
      </c>
      <c r="Q29" s="22"/>
      <c r="R29" s="23">
        <v>44.71</v>
      </c>
      <c r="S29" s="24">
        <v>46054</v>
      </c>
      <c r="T29" s="23">
        <v>6.7065000000000001</v>
      </c>
      <c r="U29" s="25">
        <v>4</v>
      </c>
      <c r="V29" s="23">
        <v>38.003500000000003</v>
      </c>
      <c r="W29" s="18" t="s">
        <v>47</v>
      </c>
      <c r="X29" s="18" t="s">
        <v>48</v>
      </c>
      <c r="Y29" s="18" t="s">
        <v>36</v>
      </c>
      <c r="Z29" s="18" t="s">
        <v>9</v>
      </c>
      <c r="AA29" s="18" t="s">
        <v>49</v>
      </c>
      <c r="AB29" s="18" t="s">
        <v>153</v>
      </c>
      <c r="AC29" s="18" t="s">
        <v>38</v>
      </c>
      <c r="AD29" s="7" t="str">
        <f t="shared" si="0"/>
        <v/>
      </c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26" customFormat="1" ht="35.1" customHeight="1" x14ac:dyDescent="0.25">
      <c r="A30" s="18" t="s">
        <v>144</v>
      </c>
      <c r="B30" s="19">
        <v>46067</v>
      </c>
      <c r="C30" s="19">
        <v>46067</v>
      </c>
      <c r="D30" s="18" t="s">
        <v>203</v>
      </c>
      <c r="E30" s="20">
        <v>0.54166666666666663</v>
      </c>
      <c r="F30" s="20">
        <v>0.66666666666666663</v>
      </c>
      <c r="G30" s="20">
        <v>1.7361111111111109E-4</v>
      </c>
      <c r="H30" s="18" t="s">
        <v>219</v>
      </c>
      <c r="I30" s="21">
        <v>0.58281261574074072</v>
      </c>
      <c r="J30" s="18" t="s">
        <v>96</v>
      </c>
      <c r="K30" s="18" t="s">
        <v>229</v>
      </c>
      <c r="L30" s="22">
        <v>1</v>
      </c>
      <c r="M30" s="22">
        <v>70032</v>
      </c>
      <c r="N30" s="18" t="s">
        <v>46</v>
      </c>
      <c r="O30" s="22" t="s">
        <v>152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153</v>
      </c>
      <c r="AC30" s="18" t="s">
        <v>38</v>
      </c>
      <c r="AD30" s="7" t="str">
        <f t="shared" si="0"/>
        <v/>
      </c>
    </row>
    <row r="31" spans="1:49" s="26" customFormat="1" ht="35.1" customHeight="1" x14ac:dyDescent="0.25">
      <c r="A31" s="9" t="s">
        <v>221</v>
      </c>
      <c r="B31" s="10">
        <v>46067</v>
      </c>
      <c r="C31" s="10">
        <v>46067</v>
      </c>
      <c r="D31" s="11" t="s">
        <v>203</v>
      </c>
      <c r="E31" s="12">
        <v>0.58333333333333337</v>
      </c>
      <c r="F31" s="12">
        <v>0.625</v>
      </c>
      <c r="G31" s="12">
        <v>4.1666666666666664E-2</v>
      </c>
      <c r="H31" s="9" t="s">
        <v>222</v>
      </c>
      <c r="I31" s="13"/>
      <c r="J31" s="9" t="s">
        <v>96</v>
      </c>
      <c r="K31" s="9" t="s">
        <v>223</v>
      </c>
      <c r="L31" s="14">
        <v>1</v>
      </c>
      <c r="M31" s="14">
        <v>1</v>
      </c>
      <c r="N31" s="9" t="s">
        <v>33</v>
      </c>
      <c r="O31" s="9"/>
      <c r="P31" s="15">
        <v>0</v>
      </c>
      <c r="Q31" s="14"/>
      <c r="R31" s="16">
        <v>0</v>
      </c>
      <c r="S31" s="9">
        <v>46054</v>
      </c>
      <c r="T31" s="16">
        <v>0</v>
      </c>
      <c r="U31" s="14">
        <v>1</v>
      </c>
      <c r="V31" s="16">
        <v>0</v>
      </c>
      <c r="W31" s="9" t="s">
        <v>34</v>
      </c>
      <c r="X31" s="9" t="s">
        <v>35</v>
      </c>
      <c r="Y31" s="9" t="s">
        <v>36</v>
      </c>
      <c r="Z31" s="9" t="s">
        <v>68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6" customFormat="1" ht="35.1" customHeight="1" x14ac:dyDescent="0.25">
      <c r="A32" s="18" t="s">
        <v>144</v>
      </c>
      <c r="B32" s="19">
        <v>46067</v>
      </c>
      <c r="C32" s="19">
        <v>46067</v>
      </c>
      <c r="D32" s="18" t="s">
        <v>203</v>
      </c>
      <c r="E32" s="20">
        <v>0.54166666666666663</v>
      </c>
      <c r="F32" s="20">
        <v>0.66666666666666663</v>
      </c>
      <c r="G32" s="20">
        <v>1.7361111111111109E-4</v>
      </c>
      <c r="H32" s="18" t="s">
        <v>220</v>
      </c>
      <c r="I32" s="21">
        <v>0.62394918981481484</v>
      </c>
      <c r="J32" s="18" t="s">
        <v>96</v>
      </c>
      <c r="K32" s="18" t="s">
        <v>229</v>
      </c>
      <c r="L32" s="22">
        <v>1</v>
      </c>
      <c r="M32" s="22">
        <v>69979</v>
      </c>
      <c r="N32" s="18" t="s">
        <v>53</v>
      </c>
      <c r="O32" s="22" t="s">
        <v>152</v>
      </c>
      <c r="P32" s="23">
        <v>44.71</v>
      </c>
      <c r="Q32" s="22"/>
      <c r="R32" s="23">
        <v>44.71</v>
      </c>
      <c r="S32" s="24">
        <v>46054</v>
      </c>
      <c r="T32" s="23">
        <v>6.7065000000000001</v>
      </c>
      <c r="U32" s="25">
        <v>4</v>
      </c>
      <c r="V32" s="23">
        <v>38.003500000000003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153</v>
      </c>
      <c r="AC32" s="18" t="s">
        <v>38</v>
      </c>
      <c r="AD32" s="7" t="str">
        <f t="shared" si="0"/>
        <v/>
      </c>
    </row>
    <row r="33" spans="1:49" s="26" customFormat="1" ht="35.1" customHeight="1" x14ac:dyDescent="0.25">
      <c r="A33" s="9" t="s">
        <v>224</v>
      </c>
      <c r="B33" s="10">
        <v>46067</v>
      </c>
      <c r="C33" s="10">
        <v>46067</v>
      </c>
      <c r="D33" s="11" t="s">
        <v>203</v>
      </c>
      <c r="E33" s="12">
        <v>0.625</v>
      </c>
      <c r="F33" s="12">
        <v>0.66666666666666663</v>
      </c>
      <c r="G33" s="12">
        <v>4.1666666666666664E-2</v>
      </c>
      <c r="H33" s="9" t="s">
        <v>224</v>
      </c>
      <c r="I33" s="13"/>
      <c r="J33" s="9" t="s">
        <v>96</v>
      </c>
      <c r="K33" s="9" t="s">
        <v>224</v>
      </c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46067</v>
      </c>
      <c r="T33" s="16">
        <v>0</v>
      </c>
      <c r="U33" s="14">
        <v>1</v>
      </c>
      <c r="V33" s="16">
        <v>0</v>
      </c>
      <c r="W33" s="9" t="s">
        <v>34</v>
      </c>
      <c r="X33" s="9" t="s">
        <v>42</v>
      </c>
      <c r="Y33" s="9" t="s">
        <v>78</v>
      </c>
      <c r="Z33" s="9" t="s">
        <v>68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6" customFormat="1" ht="35.1" customHeight="1" x14ac:dyDescent="0.25">
      <c r="A34" s="18" t="s">
        <v>144</v>
      </c>
      <c r="B34" s="19">
        <v>46067</v>
      </c>
      <c r="C34" s="19">
        <v>46067</v>
      </c>
      <c r="D34" s="18" t="s">
        <v>203</v>
      </c>
      <c r="E34" s="20">
        <v>0.54166666666666663</v>
      </c>
      <c r="F34" s="20">
        <v>0.66666666666666663</v>
      </c>
      <c r="G34" s="20">
        <v>1.7361111111111109E-4</v>
      </c>
      <c r="H34" s="18" t="s">
        <v>219</v>
      </c>
      <c r="I34" s="21">
        <v>0.64739583333333328</v>
      </c>
      <c r="J34" s="18" t="s">
        <v>96</v>
      </c>
      <c r="K34" s="18" t="s">
        <v>229</v>
      </c>
      <c r="L34" s="22">
        <v>1</v>
      </c>
      <c r="M34" s="22">
        <v>69979</v>
      </c>
      <c r="N34" s="18" t="s">
        <v>53</v>
      </c>
      <c r="O34" s="22" t="s">
        <v>152</v>
      </c>
      <c r="P34" s="23">
        <v>44.71</v>
      </c>
      <c r="Q34" s="22"/>
      <c r="R34" s="23">
        <v>44.71</v>
      </c>
      <c r="S34" s="24">
        <v>46054</v>
      </c>
      <c r="T34" s="23">
        <v>6.7065000000000001</v>
      </c>
      <c r="U34" s="25">
        <v>4</v>
      </c>
      <c r="V34" s="23">
        <v>38.003500000000003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153</v>
      </c>
      <c r="AC34" s="18" t="s">
        <v>38</v>
      </c>
      <c r="AD34" s="7" t="str">
        <f t="shared" si="0"/>
        <v/>
      </c>
    </row>
    <row r="35" spans="1:49" s="26" customFormat="1" ht="35.1" customHeight="1" x14ac:dyDescent="0.25">
      <c r="A35" s="9" t="s">
        <v>103</v>
      </c>
      <c r="B35" s="10">
        <v>46067</v>
      </c>
      <c r="C35" s="10">
        <v>46067</v>
      </c>
      <c r="D35" s="11" t="s">
        <v>203</v>
      </c>
      <c r="E35" s="12">
        <v>0.66666666666666663</v>
      </c>
      <c r="F35" s="12">
        <v>0.70833333333333337</v>
      </c>
      <c r="G35" s="12">
        <v>4.1666666666666664E-2</v>
      </c>
      <c r="H35" s="9" t="s">
        <v>113</v>
      </c>
      <c r="I35" s="13" t="s">
        <v>209</v>
      </c>
      <c r="J35" s="9" t="s">
        <v>105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6" customFormat="1" ht="35.1" customHeight="1" x14ac:dyDescent="0.25">
      <c r="A36" s="18" t="s">
        <v>172</v>
      </c>
      <c r="B36" s="19">
        <v>46067</v>
      </c>
      <c r="C36" s="19">
        <v>46067</v>
      </c>
      <c r="D36" s="18" t="s">
        <v>203</v>
      </c>
      <c r="E36" s="20">
        <v>0.66666666666666663</v>
      </c>
      <c r="F36" s="20">
        <v>0.75</v>
      </c>
      <c r="G36" s="20">
        <v>3.4722222222222218E-4</v>
      </c>
      <c r="H36" s="18" t="s">
        <v>173</v>
      </c>
      <c r="I36" s="21">
        <v>0.69213217592592591</v>
      </c>
      <c r="J36" s="18" t="s">
        <v>105</v>
      </c>
      <c r="K36" s="18" t="s">
        <v>113</v>
      </c>
      <c r="L36" s="22">
        <v>1</v>
      </c>
      <c r="M36" s="22">
        <v>69903</v>
      </c>
      <c r="N36" s="18" t="s">
        <v>53</v>
      </c>
      <c r="O36" s="22" t="s">
        <v>174</v>
      </c>
      <c r="P36" s="23">
        <v>100</v>
      </c>
      <c r="Q36" s="22"/>
      <c r="R36" s="23">
        <v>100</v>
      </c>
      <c r="S36" s="24">
        <v>46054</v>
      </c>
      <c r="T36" s="23">
        <v>15</v>
      </c>
      <c r="U36" s="25">
        <v>4</v>
      </c>
      <c r="V36" s="23">
        <v>85</v>
      </c>
      <c r="W36" s="18" t="s">
        <v>47</v>
      </c>
      <c r="X36" s="18" t="s">
        <v>48</v>
      </c>
      <c r="Y36" s="18" t="s">
        <v>36</v>
      </c>
      <c r="Z36" s="18" t="s">
        <v>9</v>
      </c>
      <c r="AA36" s="18" t="s">
        <v>49</v>
      </c>
      <c r="AB36" s="18" t="s">
        <v>175</v>
      </c>
      <c r="AC36" s="18" t="s">
        <v>38</v>
      </c>
      <c r="AD36" s="7" t="str">
        <f t="shared" si="0"/>
        <v/>
      </c>
    </row>
    <row r="37" spans="1:49" s="26" customFormat="1" ht="35.1" customHeight="1" x14ac:dyDescent="0.25">
      <c r="A37" s="18" t="s">
        <v>44</v>
      </c>
      <c r="B37" s="19">
        <v>46067</v>
      </c>
      <c r="C37" s="19">
        <v>46067</v>
      </c>
      <c r="D37" s="18" t="s">
        <v>203</v>
      </c>
      <c r="E37" s="20">
        <v>0.66666666666666663</v>
      </c>
      <c r="F37" s="20">
        <v>0.79166666666666663</v>
      </c>
      <c r="G37" s="20">
        <v>3.4722222222222218E-4</v>
      </c>
      <c r="H37" s="18" t="s">
        <v>109</v>
      </c>
      <c r="I37" s="21">
        <v>0.7064583333333333</v>
      </c>
      <c r="J37" s="18" t="s">
        <v>105</v>
      </c>
      <c r="K37" s="18" t="s">
        <v>113</v>
      </c>
      <c r="L37" s="22">
        <v>1</v>
      </c>
      <c r="M37" s="22">
        <v>70968</v>
      </c>
      <c r="N37" s="18" t="s">
        <v>46</v>
      </c>
      <c r="O37" s="22" t="str">
        <f>AC37</f>
        <v>SFO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47</v>
      </c>
      <c r="X37" s="18" t="s">
        <v>48</v>
      </c>
      <c r="Y37" s="18" t="s">
        <v>36</v>
      </c>
      <c r="Z37" s="18" t="s">
        <v>9</v>
      </c>
      <c r="AA37" s="18" t="s">
        <v>49</v>
      </c>
      <c r="AB37" s="18" t="s">
        <v>50</v>
      </c>
      <c r="AC37" s="18" t="s">
        <v>38</v>
      </c>
      <c r="AD37" s="7" t="str">
        <f t="shared" si="0"/>
        <v/>
      </c>
    </row>
    <row r="38" spans="1:49" s="26" customFormat="1" ht="35.1" customHeight="1" x14ac:dyDescent="0.25">
      <c r="A38" s="9" t="s">
        <v>111</v>
      </c>
      <c r="B38" s="10">
        <v>46067</v>
      </c>
      <c r="C38" s="10">
        <v>46067</v>
      </c>
      <c r="D38" s="11" t="s">
        <v>203</v>
      </c>
      <c r="E38" s="12">
        <v>0.70833333333333337</v>
      </c>
      <c r="F38" s="12">
        <v>0.75</v>
      </c>
      <c r="G38" s="12">
        <v>4.1666666666666664E-2</v>
      </c>
      <c r="H38" s="9" t="s">
        <v>155</v>
      </c>
      <c r="I38" s="13" t="s">
        <v>209</v>
      </c>
      <c r="J38" s="9" t="s">
        <v>105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26" customFormat="1" ht="35.1" customHeight="1" x14ac:dyDescent="0.25">
      <c r="A39" s="18" t="s">
        <v>172</v>
      </c>
      <c r="B39" s="19">
        <v>46067</v>
      </c>
      <c r="C39" s="19">
        <v>46067</v>
      </c>
      <c r="D39" s="18" t="s">
        <v>203</v>
      </c>
      <c r="E39" s="20">
        <v>0.66666666666666663</v>
      </c>
      <c r="F39" s="20">
        <v>0.75</v>
      </c>
      <c r="G39" s="20">
        <v>3.4722222222222218E-4</v>
      </c>
      <c r="H39" s="18" t="s">
        <v>173</v>
      </c>
      <c r="I39" s="21">
        <v>0.71928252314814822</v>
      </c>
      <c r="J39" s="18" t="s">
        <v>105</v>
      </c>
      <c r="K39" s="18" t="s">
        <v>155</v>
      </c>
      <c r="L39" s="22">
        <v>1</v>
      </c>
      <c r="M39" s="22">
        <v>69903</v>
      </c>
      <c r="N39" s="18" t="s">
        <v>53</v>
      </c>
      <c r="O39" s="22" t="s">
        <v>174</v>
      </c>
      <c r="P39" s="23">
        <v>100</v>
      </c>
      <c r="Q39" s="22"/>
      <c r="R39" s="23">
        <v>100</v>
      </c>
      <c r="S39" s="24">
        <v>46054</v>
      </c>
      <c r="T39" s="23">
        <v>15</v>
      </c>
      <c r="U39" s="25">
        <v>4</v>
      </c>
      <c r="V39" s="23">
        <v>85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175</v>
      </c>
      <c r="AC39" s="18" t="s">
        <v>38</v>
      </c>
      <c r="AD39" s="7" t="str">
        <f t="shared" si="0"/>
        <v/>
      </c>
    </row>
    <row r="40" spans="1:49" s="26" customFormat="1" ht="35.1" customHeight="1" x14ac:dyDescent="0.25">
      <c r="A40" s="18" t="s">
        <v>172</v>
      </c>
      <c r="B40" s="19">
        <v>46067</v>
      </c>
      <c r="C40" s="19">
        <v>46067</v>
      </c>
      <c r="D40" s="18" t="s">
        <v>203</v>
      </c>
      <c r="E40" s="20">
        <v>0.66666666666666663</v>
      </c>
      <c r="F40" s="20">
        <v>0.79166666666666663</v>
      </c>
      <c r="G40" s="20">
        <v>3.4722222222222218E-4</v>
      </c>
      <c r="H40" s="18" t="s">
        <v>173</v>
      </c>
      <c r="I40" s="21">
        <v>0.73875243055555551</v>
      </c>
      <c r="J40" s="18" t="s">
        <v>105</v>
      </c>
      <c r="K40" s="18" t="s">
        <v>155</v>
      </c>
      <c r="L40" s="22">
        <v>1</v>
      </c>
      <c r="M40" s="22">
        <v>69904</v>
      </c>
      <c r="N40" s="18" t="s">
        <v>46</v>
      </c>
      <c r="O40" s="22" t="s">
        <v>174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175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6" customFormat="1" ht="35.1" customHeight="1" x14ac:dyDescent="0.25">
      <c r="A41" s="9" t="s">
        <v>225</v>
      </c>
      <c r="B41" s="10">
        <v>46067</v>
      </c>
      <c r="C41" s="10">
        <v>46067</v>
      </c>
      <c r="D41" s="11" t="s">
        <v>203</v>
      </c>
      <c r="E41" s="12">
        <v>0.75</v>
      </c>
      <c r="F41" s="12">
        <v>0.79166666666666663</v>
      </c>
      <c r="G41" s="12">
        <v>4.1666666666666664E-2</v>
      </c>
      <c r="H41" s="9" t="s">
        <v>226</v>
      </c>
      <c r="I41" s="13"/>
      <c r="J41" s="9" t="s">
        <v>227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26" customFormat="1" ht="35.1" customHeight="1" x14ac:dyDescent="0.25">
      <c r="A42" s="9" t="s">
        <v>225</v>
      </c>
      <c r="B42" s="10">
        <v>46067</v>
      </c>
      <c r="C42" s="10">
        <v>46067</v>
      </c>
      <c r="D42" s="11" t="s">
        <v>203</v>
      </c>
      <c r="E42" s="12">
        <v>0.79166666666666663</v>
      </c>
      <c r="F42" s="12">
        <v>0.83333333333333337</v>
      </c>
      <c r="G42" s="12">
        <v>4.1666666666666664E-2</v>
      </c>
      <c r="H42" s="9" t="s">
        <v>228</v>
      </c>
      <c r="I42" s="13"/>
      <c r="J42" s="9" t="s">
        <v>227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26" customFormat="1" ht="35.1" customHeight="1" x14ac:dyDescent="0.25">
      <c r="A43" s="9" t="s">
        <v>122</v>
      </c>
      <c r="B43" s="10">
        <v>46067</v>
      </c>
      <c r="C43" s="10">
        <v>46067</v>
      </c>
      <c r="D43" s="11" t="s">
        <v>203</v>
      </c>
      <c r="E43" s="12">
        <v>0.83333333333333337</v>
      </c>
      <c r="F43" s="12">
        <v>0.875</v>
      </c>
      <c r="G43" s="12">
        <v>4.1666666666666664E-2</v>
      </c>
      <c r="H43" s="9" t="s">
        <v>123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6" customFormat="1" ht="35.1" customHeight="1" x14ac:dyDescent="0.25">
      <c r="A44" s="18" t="s">
        <v>172</v>
      </c>
      <c r="B44" s="19">
        <v>46067</v>
      </c>
      <c r="C44" s="19">
        <v>46067</v>
      </c>
      <c r="D44" s="18" t="s">
        <v>203</v>
      </c>
      <c r="E44" s="20">
        <v>0.83333333333333337</v>
      </c>
      <c r="F44" s="20">
        <v>0.95833333333333337</v>
      </c>
      <c r="G44" s="20">
        <v>3.4722222222222218E-4</v>
      </c>
      <c r="H44" s="18" t="s">
        <v>177</v>
      </c>
      <c r="I44" s="21">
        <v>0.86867083333333339</v>
      </c>
      <c r="J44" s="18" t="s">
        <v>41</v>
      </c>
      <c r="K44" s="18" t="s">
        <v>165</v>
      </c>
      <c r="L44" s="22">
        <v>1</v>
      </c>
      <c r="M44" s="22">
        <v>69902</v>
      </c>
      <c r="N44" s="18" t="s">
        <v>53</v>
      </c>
      <c r="O44" s="22" t="s">
        <v>174</v>
      </c>
      <c r="P44" s="23">
        <v>100</v>
      </c>
      <c r="Q44" s="22"/>
      <c r="R44" s="23">
        <v>100</v>
      </c>
      <c r="S44" s="24">
        <v>46054</v>
      </c>
      <c r="T44" s="23">
        <v>15</v>
      </c>
      <c r="U44" s="25">
        <v>4</v>
      </c>
      <c r="V44" s="23">
        <v>85</v>
      </c>
      <c r="W44" s="18" t="s">
        <v>47</v>
      </c>
      <c r="X44" s="18" t="s">
        <v>48</v>
      </c>
      <c r="Y44" s="18" t="s">
        <v>36</v>
      </c>
      <c r="Z44" s="18" t="s">
        <v>9</v>
      </c>
      <c r="AA44" s="18" t="s">
        <v>49</v>
      </c>
      <c r="AB44" s="18" t="s">
        <v>175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6" customFormat="1" ht="35.1" customHeight="1" x14ac:dyDescent="0.25">
      <c r="A45" s="18" t="s">
        <v>44</v>
      </c>
      <c r="B45" s="19">
        <v>46067</v>
      </c>
      <c r="C45" s="19">
        <v>46067</v>
      </c>
      <c r="D45" s="18" t="s">
        <v>203</v>
      </c>
      <c r="E45" s="20">
        <v>0.83333333333333337</v>
      </c>
      <c r="F45" s="20">
        <v>0.875</v>
      </c>
      <c r="G45" s="20">
        <v>3.4722222222222218E-4</v>
      </c>
      <c r="H45" s="18" t="s">
        <v>45</v>
      </c>
      <c r="I45" s="21">
        <v>0.86936550925925915</v>
      </c>
      <c r="J45" s="18" t="s">
        <v>41</v>
      </c>
      <c r="K45" s="18" t="s">
        <v>165</v>
      </c>
      <c r="L45" s="22">
        <v>1</v>
      </c>
      <c r="M45" s="22">
        <v>70962</v>
      </c>
      <c r="N45" s="18" t="s">
        <v>53</v>
      </c>
      <c r="O45" s="22" t="str">
        <f>AC45</f>
        <v>SFO</v>
      </c>
      <c r="P45" s="23">
        <v>117.65</v>
      </c>
      <c r="Q45" s="22"/>
      <c r="R45" s="23">
        <v>117.65</v>
      </c>
      <c r="S45" s="24">
        <v>46054</v>
      </c>
      <c r="T45" s="23">
        <v>8.8237500000000004</v>
      </c>
      <c r="U45" s="25">
        <v>4</v>
      </c>
      <c r="V45" s="23">
        <v>108.82625</v>
      </c>
      <c r="W45" s="18" t="s">
        <v>47</v>
      </c>
      <c r="X45" s="18" t="s">
        <v>48</v>
      </c>
      <c r="Y45" s="18" t="s">
        <v>36</v>
      </c>
      <c r="Z45" s="18" t="s">
        <v>9</v>
      </c>
      <c r="AA45" s="18" t="s">
        <v>49</v>
      </c>
      <c r="AB45" s="18" t="s">
        <v>50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6" customFormat="1" ht="35.1" customHeight="1" x14ac:dyDescent="0.25">
      <c r="A46" s="18" t="s">
        <v>204</v>
      </c>
      <c r="B46" s="19">
        <v>46067</v>
      </c>
      <c r="C46" s="19">
        <v>46067</v>
      </c>
      <c r="D46" s="18" t="s">
        <v>203</v>
      </c>
      <c r="E46" s="20">
        <v>0.25</v>
      </c>
      <c r="F46" s="20">
        <v>0.875</v>
      </c>
      <c r="G46" s="20">
        <v>1.7361111111111109E-4</v>
      </c>
      <c r="H46" s="18" t="s">
        <v>205</v>
      </c>
      <c r="I46" s="21">
        <v>0.87468946759259258</v>
      </c>
      <c r="J46" s="18" t="s">
        <v>41</v>
      </c>
      <c r="K46" s="18" t="s">
        <v>165</v>
      </c>
      <c r="L46" s="22">
        <v>1</v>
      </c>
      <c r="M46" s="22">
        <v>71977</v>
      </c>
      <c r="N46" s="18" t="s">
        <v>53</v>
      </c>
      <c r="O46" s="22" t="s">
        <v>206</v>
      </c>
      <c r="P46" s="23">
        <v>0</v>
      </c>
      <c r="Q46" s="22"/>
      <c r="R46" s="23">
        <v>90</v>
      </c>
      <c r="S46" s="24">
        <v>46054</v>
      </c>
      <c r="T46" s="23">
        <v>0</v>
      </c>
      <c r="U46" s="25">
        <v>4</v>
      </c>
      <c r="V46" s="23">
        <v>0</v>
      </c>
      <c r="W46" s="18" t="s">
        <v>47</v>
      </c>
      <c r="X46" s="18" t="s">
        <v>48</v>
      </c>
      <c r="Y46" s="18" t="s">
        <v>36</v>
      </c>
      <c r="Z46" s="18" t="s">
        <v>43</v>
      </c>
      <c r="AA46" s="18" t="s">
        <v>49</v>
      </c>
      <c r="AB46" s="18" t="s">
        <v>207</v>
      </c>
      <c r="AC46" s="18" t="s">
        <v>38</v>
      </c>
      <c r="AD46" s="7" t="str">
        <f t="shared" si="0"/>
        <v/>
      </c>
    </row>
    <row r="47" spans="1:49" s="26" customFormat="1" ht="35.1" customHeight="1" x14ac:dyDescent="0.25">
      <c r="A47" s="9" t="s">
        <v>124</v>
      </c>
      <c r="B47" s="10">
        <v>46067</v>
      </c>
      <c r="C47" s="10">
        <v>46067</v>
      </c>
      <c r="D47" s="11" t="s">
        <v>203</v>
      </c>
      <c r="E47" s="12">
        <v>0.875</v>
      </c>
      <c r="F47" s="12">
        <v>0.9375</v>
      </c>
      <c r="G47" s="12">
        <v>6.25E-2</v>
      </c>
      <c r="H47" s="9" t="s">
        <v>126</v>
      </c>
      <c r="I47" s="13" t="s">
        <v>209</v>
      </c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26" customFormat="1" ht="35.1" customHeight="1" x14ac:dyDescent="0.25">
      <c r="A48" s="18" t="s">
        <v>89</v>
      </c>
      <c r="B48" s="19">
        <v>46067</v>
      </c>
      <c r="C48" s="19">
        <v>46067</v>
      </c>
      <c r="D48" s="18" t="s">
        <v>203</v>
      </c>
      <c r="E48" s="20">
        <v>0.875</v>
      </c>
      <c r="F48" s="20">
        <v>0.99930555555555556</v>
      </c>
      <c r="G48" s="20">
        <v>3.4722222222222218E-4</v>
      </c>
      <c r="H48" s="18" t="s">
        <v>139</v>
      </c>
      <c r="I48" s="21">
        <v>0.91619513888888882</v>
      </c>
      <c r="J48" s="18" t="s">
        <v>41</v>
      </c>
      <c r="K48" s="18" t="s">
        <v>230</v>
      </c>
      <c r="L48" s="22">
        <v>1</v>
      </c>
      <c r="M48" s="22">
        <v>70394</v>
      </c>
      <c r="N48" s="18" t="s">
        <v>53</v>
      </c>
      <c r="O48" s="22" t="s">
        <v>91</v>
      </c>
      <c r="P48" s="23">
        <v>130</v>
      </c>
      <c r="Q48" s="22"/>
      <c r="R48" s="23">
        <v>130</v>
      </c>
      <c r="S48" s="24">
        <v>46054</v>
      </c>
      <c r="T48" s="23">
        <v>19.5</v>
      </c>
      <c r="U48" s="25">
        <v>4</v>
      </c>
      <c r="V48" s="23">
        <v>110.5</v>
      </c>
      <c r="W48" s="18" t="s">
        <v>47</v>
      </c>
      <c r="X48" s="18" t="s">
        <v>48</v>
      </c>
      <c r="Y48" s="18" t="s">
        <v>36</v>
      </c>
      <c r="Z48" s="18" t="s">
        <v>9</v>
      </c>
      <c r="AA48" s="18" t="s">
        <v>49</v>
      </c>
      <c r="AB48" s="18" t="s">
        <v>92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6" customFormat="1" ht="35.1" customHeight="1" x14ac:dyDescent="0.25">
      <c r="A49" s="9" t="s">
        <v>124</v>
      </c>
      <c r="B49" s="10">
        <v>46067</v>
      </c>
      <c r="C49" s="10">
        <v>46067</v>
      </c>
      <c r="D49" s="11" t="s">
        <v>203</v>
      </c>
      <c r="E49" s="12">
        <v>0.9375</v>
      </c>
      <c r="F49" s="12">
        <v>1</v>
      </c>
      <c r="G49" s="12">
        <v>6.25E-2</v>
      </c>
      <c r="H49" s="9" t="s">
        <v>178</v>
      </c>
      <c r="I49" s="13" t="s">
        <v>209</v>
      </c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26" customFormat="1" ht="35.1" customHeight="1" x14ac:dyDescent="0.25">
      <c r="A50" s="18" t="s">
        <v>172</v>
      </c>
      <c r="B50" s="19">
        <v>46067</v>
      </c>
      <c r="C50" s="19">
        <v>46067</v>
      </c>
      <c r="D50" s="18" t="s">
        <v>203</v>
      </c>
      <c r="E50" s="20">
        <v>0.83333333333333337</v>
      </c>
      <c r="F50" s="20">
        <v>0.95833333333333337</v>
      </c>
      <c r="G50" s="20">
        <v>3.4722222222222218E-4</v>
      </c>
      <c r="H50" s="18" t="s">
        <v>177</v>
      </c>
      <c r="I50" s="21">
        <v>0.94617002314814813</v>
      </c>
      <c r="J50" s="18" t="s">
        <v>41</v>
      </c>
      <c r="K50" s="18" t="s">
        <v>178</v>
      </c>
      <c r="L50" s="22">
        <v>1</v>
      </c>
      <c r="M50" s="22">
        <v>69902</v>
      </c>
      <c r="N50" s="18" t="s">
        <v>53</v>
      </c>
      <c r="O50" s="22" t="s">
        <v>174</v>
      </c>
      <c r="P50" s="23">
        <v>100</v>
      </c>
      <c r="Q50" s="22"/>
      <c r="R50" s="23">
        <v>100</v>
      </c>
      <c r="S50" s="24">
        <v>46054</v>
      </c>
      <c r="T50" s="23">
        <v>15</v>
      </c>
      <c r="U50" s="25">
        <v>4</v>
      </c>
      <c r="V50" s="23">
        <v>85</v>
      </c>
      <c r="W50" s="18" t="s">
        <v>47</v>
      </c>
      <c r="X50" s="18" t="s">
        <v>48</v>
      </c>
      <c r="Y50" s="18" t="s">
        <v>36</v>
      </c>
      <c r="Z50" s="18" t="s">
        <v>9</v>
      </c>
      <c r="AA50" s="18" t="s">
        <v>49</v>
      </c>
      <c r="AB50" s="18" t="s">
        <v>175</v>
      </c>
      <c r="AC50" s="18" t="s">
        <v>38</v>
      </c>
      <c r="AD50" s="7" t="str">
        <f t="shared" si="0"/>
        <v/>
      </c>
    </row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0" xr:uid="{4087B828-5BCE-491D-B547-64578E04FAFC}"/>
  <sortState xmlns:xlrd2="http://schemas.microsoft.com/office/spreadsheetml/2017/richdata2" ref="A2:AD326">
    <sortCondition sortBy="cellColor" ref="E1:E500" dxfId="21"/>
  </sortState>
  <conditionalFormatting sqref="AD1:AD50">
    <cfRule type="cellIs" dxfId="20" priority="3" operator="equal">
      <formula>"NO"</formula>
    </cfRule>
  </conditionalFormatting>
  <conditionalFormatting sqref="E2:F50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231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232</v>
      </c>
      <c r="B3" s="10">
        <v>46068</v>
      </c>
      <c r="C3" s="10">
        <v>46068</v>
      </c>
      <c r="D3" s="11" t="s">
        <v>231</v>
      </c>
      <c r="E3" s="12">
        <v>0.25</v>
      </c>
      <c r="F3" s="12">
        <v>0.29166666666666669</v>
      </c>
      <c r="G3" s="12">
        <v>4.1666666666666664E-2</v>
      </c>
      <c r="H3" s="9" t="s">
        <v>233</v>
      </c>
      <c r="I3" s="13"/>
      <c r="J3" s="9" t="s">
        <v>32</v>
      </c>
      <c r="K3" s="9" t="s">
        <v>233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234</v>
      </c>
      <c r="X3" s="9" t="s">
        <v>35</v>
      </c>
      <c r="Y3" s="9" t="s">
        <v>36</v>
      </c>
      <c r="Z3" s="9" t="s">
        <v>9</v>
      </c>
      <c r="AA3" s="9" t="s">
        <v>49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56</v>
      </c>
      <c r="B4" s="10">
        <v>46068</v>
      </c>
      <c r="C4" s="10">
        <v>46068</v>
      </c>
      <c r="D4" s="11" t="s">
        <v>231</v>
      </c>
      <c r="E4" s="12">
        <v>0.29166666666666669</v>
      </c>
      <c r="F4" s="12">
        <v>0.3125</v>
      </c>
      <c r="G4" s="12">
        <v>2.0833333333333332E-2</v>
      </c>
      <c r="H4" s="9" t="s">
        <v>167</v>
      </c>
      <c r="I4" s="13" t="s">
        <v>208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8" customFormat="1" ht="35.1" customHeight="1" x14ac:dyDescent="0.25">
      <c r="A5" s="9" t="s">
        <v>56</v>
      </c>
      <c r="B5" s="10">
        <v>46068</v>
      </c>
      <c r="C5" s="10">
        <v>46068</v>
      </c>
      <c r="D5" s="11" t="s">
        <v>231</v>
      </c>
      <c r="E5" s="12">
        <v>0.3125</v>
      </c>
      <c r="F5" s="12">
        <v>0.33333333333333331</v>
      </c>
      <c r="G5" s="12">
        <v>2.0833333333333332E-2</v>
      </c>
      <c r="H5" s="9" t="s">
        <v>167</v>
      </c>
      <c r="I5" s="13" t="s">
        <v>208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28" customFormat="1" ht="35.1" customHeight="1" x14ac:dyDescent="0.25">
      <c r="A6" s="18" t="s">
        <v>133</v>
      </c>
      <c r="B6" s="19">
        <v>46068</v>
      </c>
      <c r="C6" s="19">
        <v>46068</v>
      </c>
      <c r="D6" s="18" t="s">
        <v>231</v>
      </c>
      <c r="E6" s="20">
        <v>0.25</v>
      </c>
      <c r="F6" s="20">
        <v>0.99930555555555556</v>
      </c>
      <c r="G6" s="20">
        <v>1.7361111111111109E-4</v>
      </c>
      <c r="H6" s="18" t="s">
        <v>137</v>
      </c>
      <c r="I6" s="21">
        <v>0.31679675925925926</v>
      </c>
      <c r="J6" s="18" t="s">
        <v>41</v>
      </c>
      <c r="K6" s="18" t="s">
        <v>167</v>
      </c>
      <c r="L6" s="22">
        <v>1</v>
      </c>
      <c r="M6" s="22">
        <v>66852</v>
      </c>
      <c r="N6" s="18" t="s">
        <v>46</v>
      </c>
      <c r="O6" s="22" t="s">
        <v>135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47</v>
      </c>
      <c r="X6" s="18" t="s">
        <v>48</v>
      </c>
      <c r="Y6" s="18" t="s">
        <v>36</v>
      </c>
      <c r="Z6" s="18" t="s">
        <v>9</v>
      </c>
      <c r="AA6" s="18" t="s">
        <v>49</v>
      </c>
      <c r="AB6" s="18" t="s">
        <v>136</v>
      </c>
      <c r="AC6" s="18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59</v>
      </c>
      <c r="B7" s="10">
        <v>46068</v>
      </c>
      <c r="C7" s="10">
        <v>46068</v>
      </c>
      <c r="D7" s="11" t="s">
        <v>231</v>
      </c>
      <c r="E7" s="12">
        <v>0.33333333333333331</v>
      </c>
      <c r="F7" s="12">
        <v>0.41666666666666669</v>
      </c>
      <c r="G7" s="12">
        <v>8.3333333333333329E-2</v>
      </c>
      <c r="H7" s="9" t="s">
        <v>63</v>
      </c>
      <c r="I7" s="13" t="s">
        <v>209</v>
      </c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28" customFormat="1" ht="35.1" customHeight="1" x14ac:dyDescent="0.25">
      <c r="A8" s="18" t="s">
        <v>44</v>
      </c>
      <c r="B8" s="19">
        <v>46068</v>
      </c>
      <c r="C8" s="19">
        <v>46068</v>
      </c>
      <c r="D8" s="18" t="s">
        <v>231</v>
      </c>
      <c r="E8" s="20">
        <v>0.33333333333333331</v>
      </c>
      <c r="F8" s="20">
        <v>0.41666666666666669</v>
      </c>
      <c r="G8" s="20">
        <v>3.4722222222222218E-4</v>
      </c>
      <c r="H8" s="18" t="s">
        <v>62</v>
      </c>
      <c r="I8" s="21">
        <v>0.35893784722222222</v>
      </c>
      <c r="J8" s="18" t="s">
        <v>61</v>
      </c>
      <c r="K8" s="18" t="s">
        <v>63</v>
      </c>
      <c r="L8" s="22">
        <v>1</v>
      </c>
      <c r="M8" s="22">
        <v>70972</v>
      </c>
      <c r="N8" s="18" t="s">
        <v>46</v>
      </c>
      <c r="O8" s="22" t="str">
        <f>AC8</f>
        <v>SFO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47</v>
      </c>
      <c r="X8" s="18" t="s">
        <v>48</v>
      </c>
      <c r="Y8" s="18" t="s">
        <v>36</v>
      </c>
      <c r="Z8" s="18" t="s">
        <v>9</v>
      </c>
      <c r="AA8" s="18" t="s">
        <v>49</v>
      </c>
      <c r="AB8" s="18" t="s">
        <v>50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87</v>
      </c>
      <c r="B9" s="10">
        <v>46068</v>
      </c>
      <c r="C9" s="10">
        <v>46068</v>
      </c>
      <c r="D9" s="11" t="s">
        <v>231</v>
      </c>
      <c r="E9" s="12">
        <v>0.41666666666666669</v>
      </c>
      <c r="F9" s="12">
        <v>0.45833333333333331</v>
      </c>
      <c r="G9" s="12">
        <v>4.1666666666666664E-2</v>
      </c>
      <c r="H9" s="9" t="s">
        <v>210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71</v>
      </c>
      <c r="B10" s="10">
        <v>46068</v>
      </c>
      <c r="C10" s="10">
        <v>46068</v>
      </c>
      <c r="D10" s="11" t="s">
        <v>231</v>
      </c>
      <c r="E10" s="12">
        <v>0.45833333333333331</v>
      </c>
      <c r="F10" s="12">
        <v>0.47916666666666669</v>
      </c>
      <c r="G10" s="12">
        <v>2.0833333333333332E-2</v>
      </c>
      <c r="H10" s="9" t="s">
        <v>72</v>
      </c>
      <c r="I10" s="13"/>
      <c r="J10" s="9" t="s">
        <v>76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18" t="s">
        <v>204</v>
      </c>
      <c r="B11" s="19">
        <v>46068</v>
      </c>
      <c r="C11" s="19">
        <v>46068</v>
      </c>
      <c r="D11" s="18" t="s">
        <v>231</v>
      </c>
      <c r="E11" s="20">
        <v>0.45833333333333331</v>
      </c>
      <c r="F11" s="20">
        <v>0.5</v>
      </c>
      <c r="G11" s="20">
        <v>1.7361111111111109E-4</v>
      </c>
      <c r="H11" s="18" t="s">
        <v>212</v>
      </c>
      <c r="I11" s="21">
        <v>0.46652986111111111</v>
      </c>
      <c r="J11" s="18" t="s">
        <v>76</v>
      </c>
      <c r="K11" s="18" t="s">
        <v>72</v>
      </c>
      <c r="L11" s="22">
        <v>1</v>
      </c>
      <c r="M11" s="22">
        <v>71978</v>
      </c>
      <c r="N11" s="18" t="s">
        <v>53</v>
      </c>
      <c r="O11" s="22" t="s">
        <v>206</v>
      </c>
      <c r="P11" s="23">
        <v>0</v>
      </c>
      <c r="Q11" s="22"/>
      <c r="R11" s="23">
        <v>90</v>
      </c>
      <c r="S11" s="24">
        <v>46054</v>
      </c>
      <c r="T11" s="23">
        <v>0</v>
      </c>
      <c r="U11" s="25">
        <v>4</v>
      </c>
      <c r="V11" s="23">
        <v>0</v>
      </c>
      <c r="W11" s="18" t="s">
        <v>47</v>
      </c>
      <c r="X11" s="18" t="s">
        <v>48</v>
      </c>
      <c r="Y11" s="18" t="s">
        <v>36</v>
      </c>
      <c r="Z11" s="18" t="s">
        <v>43</v>
      </c>
      <c r="AA11" s="18" t="s">
        <v>49</v>
      </c>
      <c r="AB11" s="18" t="s">
        <v>207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28" customFormat="1" ht="35.1" customHeight="1" x14ac:dyDescent="0.25">
      <c r="A12" s="18" t="s">
        <v>80</v>
      </c>
      <c r="B12" s="19">
        <v>46068</v>
      </c>
      <c r="C12" s="19">
        <v>46068</v>
      </c>
      <c r="D12" s="18" t="s">
        <v>231</v>
      </c>
      <c r="E12" s="20">
        <v>0.45833333333333331</v>
      </c>
      <c r="F12" s="20">
        <v>0.5</v>
      </c>
      <c r="G12" s="20">
        <v>1.7361111111111109E-4</v>
      </c>
      <c r="H12" s="18" t="s">
        <v>86</v>
      </c>
      <c r="I12" s="21">
        <v>0.47642569444444444</v>
      </c>
      <c r="J12" s="18" t="s">
        <v>76</v>
      </c>
      <c r="K12" s="18" t="s">
        <v>72</v>
      </c>
      <c r="L12" s="22">
        <v>1</v>
      </c>
      <c r="M12" s="22">
        <v>71182</v>
      </c>
      <c r="N12" s="18" t="s">
        <v>53</v>
      </c>
      <c r="O12" s="22" t="s">
        <v>82</v>
      </c>
      <c r="P12" s="23">
        <v>70</v>
      </c>
      <c r="Q12" s="22"/>
      <c r="R12" s="23">
        <v>70</v>
      </c>
      <c r="S12" s="24">
        <v>46068</v>
      </c>
      <c r="T12" s="23">
        <v>10.5</v>
      </c>
      <c r="U12" s="25">
        <v>4</v>
      </c>
      <c r="V12" s="23">
        <v>59.5</v>
      </c>
      <c r="W12" s="18" t="s">
        <v>47</v>
      </c>
      <c r="X12" s="18" t="s">
        <v>48</v>
      </c>
      <c r="Y12" s="18" t="s">
        <v>78</v>
      </c>
      <c r="Z12" s="18" t="s">
        <v>9</v>
      </c>
      <c r="AA12" s="18" t="s">
        <v>49</v>
      </c>
      <c r="AB12" s="18" t="s">
        <v>83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28" customFormat="1" ht="35.1" customHeight="1" x14ac:dyDescent="0.25">
      <c r="A13" s="9" t="s">
        <v>71</v>
      </c>
      <c r="B13" s="10">
        <v>46068</v>
      </c>
      <c r="C13" s="10">
        <v>46068</v>
      </c>
      <c r="D13" s="11" t="s">
        <v>231</v>
      </c>
      <c r="E13" s="12">
        <v>0.47916666666666669</v>
      </c>
      <c r="F13" s="12">
        <v>0.48958333333333331</v>
      </c>
      <c r="G13" s="12">
        <v>1.0416666666666666E-2</v>
      </c>
      <c r="H13" s="9" t="s">
        <v>235</v>
      </c>
      <c r="I13" s="13"/>
      <c r="J13" s="9" t="s">
        <v>76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18" t="s">
        <v>44</v>
      </c>
      <c r="B14" s="19">
        <v>46068</v>
      </c>
      <c r="C14" s="19">
        <v>46068</v>
      </c>
      <c r="D14" s="18" t="s">
        <v>231</v>
      </c>
      <c r="E14" s="20">
        <v>0.45833333333333331</v>
      </c>
      <c r="F14" s="20">
        <v>0.5</v>
      </c>
      <c r="G14" s="20">
        <v>3.4722222222222218E-4</v>
      </c>
      <c r="H14" s="18" t="s">
        <v>149</v>
      </c>
      <c r="I14" s="21">
        <v>0.48326701388888887</v>
      </c>
      <c r="J14" s="18" t="s">
        <v>76</v>
      </c>
      <c r="K14" s="18" t="s">
        <v>128</v>
      </c>
      <c r="L14" s="22">
        <v>1</v>
      </c>
      <c r="M14" s="22">
        <v>70974</v>
      </c>
      <c r="N14" s="18" t="s">
        <v>53</v>
      </c>
      <c r="O14" s="22" t="str">
        <f>AC14</f>
        <v>SFO</v>
      </c>
      <c r="P14" s="23">
        <v>117.65</v>
      </c>
      <c r="Q14" s="22"/>
      <c r="R14" s="23">
        <v>117.65</v>
      </c>
      <c r="S14" s="24">
        <v>46054</v>
      </c>
      <c r="T14" s="23">
        <v>8.8237500000000004</v>
      </c>
      <c r="U14" s="25">
        <v>4</v>
      </c>
      <c r="V14" s="23">
        <v>108.82625</v>
      </c>
      <c r="W14" s="18" t="s">
        <v>47</v>
      </c>
      <c r="X14" s="18" t="s">
        <v>48</v>
      </c>
      <c r="Y14" s="18" t="s">
        <v>36</v>
      </c>
      <c r="Z14" s="18" t="s">
        <v>9</v>
      </c>
      <c r="AA14" s="18" t="s">
        <v>49</v>
      </c>
      <c r="AB14" s="18" t="s">
        <v>50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28" customFormat="1" ht="35.1" customHeight="1" x14ac:dyDescent="0.25">
      <c r="A15" s="18" t="s">
        <v>80</v>
      </c>
      <c r="B15" s="19">
        <v>46068</v>
      </c>
      <c r="C15" s="19">
        <v>46068</v>
      </c>
      <c r="D15" s="18" t="s">
        <v>231</v>
      </c>
      <c r="E15" s="20">
        <v>0.45833333333333331</v>
      </c>
      <c r="F15" s="20">
        <v>0.5</v>
      </c>
      <c r="G15" s="20">
        <v>1.7361111111111109E-4</v>
      </c>
      <c r="H15" s="18" t="s">
        <v>86</v>
      </c>
      <c r="I15" s="21">
        <v>0.48431712962962964</v>
      </c>
      <c r="J15" s="18" t="s">
        <v>76</v>
      </c>
      <c r="K15" s="18" t="s">
        <v>128</v>
      </c>
      <c r="L15" s="22">
        <v>1</v>
      </c>
      <c r="M15" s="22">
        <v>71182</v>
      </c>
      <c r="N15" s="18" t="s">
        <v>53</v>
      </c>
      <c r="O15" s="22" t="s">
        <v>82</v>
      </c>
      <c r="P15" s="23">
        <v>70</v>
      </c>
      <c r="Q15" s="22"/>
      <c r="R15" s="23">
        <v>70</v>
      </c>
      <c r="S15" s="24">
        <v>46068</v>
      </c>
      <c r="T15" s="23">
        <v>10.5</v>
      </c>
      <c r="U15" s="25">
        <v>4</v>
      </c>
      <c r="V15" s="23">
        <v>59.5</v>
      </c>
      <c r="W15" s="18" t="s">
        <v>47</v>
      </c>
      <c r="X15" s="18" t="s">
        <v>48</v>
      </c>
      <c r="Y15" s="18" t="s">
        <v>78</v>
      </c>
      <c r="Z15" s="18" t="s">
        <v>9</v>
      </c>
      <c r="AA15" s="18" t="s">
        <v>49</v>
      </c>
      <c r="AB15" s="18" t="s">
        <v>83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28" customFormat="1" ht="35.1" customHeight="1" x14ac:dyDescent="0.25">
      <c r="A16" s="18" t="s">
        <v>204</v>
      </c>
      <c r="B16" s="19">
        <v>46068</v>
      </c>
      <c r="C16" s="19">
        <v>46068</v>
      </c>
      <c r="D16" s="18" t="s">
        <v>231</v>
      </c>
      <c r="E16" s="20">
        <v>0.45833333333333331</v>
      </c>
      <c r="F16" s="20">
        <v>0.5</v>
      </c>
      <c r="G16" s="20">
        <v>1.7361111111111109E-4</v>
      </c>
      <c r="H16" s="18" t="s">
        <v>212</v>
      </c>
      <c r="I16" s="21">
        <v>0.48883275462962966</v>
      </c>
      <c r="J16" s="18" t="s">
        <v>76</v>
      </c>
      <c r="K16" s="18" t="s">
        <v>128</v>
      </c>
      <c r="L16" s="22">
        <v>1</v>
      </c>
      <c r="M16" s="22">
        <v>71978</v>
      </c>
      <c r="N16" s="18" t="s">
        <v>53</v>
      </c>
      <c r="O16" s="22" t="s">
        <v>206</v>
      </c>
      <c r="P16" s="23">
        <v>0</v>
      </c>
      <c r="Q16" s="22"/>
      <c r="R16" s="23">
        <v>90</v>
      </c>
      <c r="S16" s="24">
        <v>46054</v>
      </c>
      <c r="T16" s="23">
        <v>0</v>
      </c>
      <c r="U16" s="25">
        <v>4</v>
      </c>
      <c r="V16" s="23">
        <v>0</v>
      </c>
      <c r="W16" s="18" t="s">
        <v>47</v>
      </c>
      <c r="X16" s="18" t="s">
        <v>48</v>
      </c>
      <c r="Y16" s="18" t="s">
        <v>36</v>
      </c>
      <c r="Z16" s="18" t="s">
        <v>43</v>
      </c>
      <c r="AA16" s="18" t="s">
        <v>49</v>
      </c>
      <c r="AB16" s="18" t="s">
        <v>207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71</v>
      </c>
      <c r="B17" s="10">
        <v>46068</v>
      </c>
      <c r="C17" s="10">
        <v>46068</v>
      </c>
      <c r="D17" s="11" t="s">
        <v>231</v>
      </c>
      <c r="E17" s="12">
        <v>0.48958333333333331</v>
      </c>
      <c r="F17" s="12">
        <v>0.5</v>
      </c>
      <c r="G17" s="12">
        <v>1.0416666666666666E-2</v>
      </c>
      <c r="H17" s="9" t="s">
        <v>236</v>
      </c>
      <c r="I17" s="13"/>
      <c r="J17" s="9" t="s">
        <v>76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5.1" customHeight="1" x14ac:dyDescent="0.25">
      <c r="A18" s="18" t="s">
        <v>204</v>
      </c>
      <c r="B18" s="19">
        <v>46068</v>
      </c>
      <c r="C18" s="19">
        <v>46068</v>
      </c>
      <c r="D18" s="18" t="s">
        <v>231</v>
      </c>
      <c r="E18" s="20">
        <v>0.45833333333333331</v>
      </c>
      <c r="F18" s="20">
        <v>0.5</v>
      </c>
      <c r="G18" s="20">
        <v>1.7361111111111109E-4</v>
      </c>
      <c r="H18" s="18" t="s">
        <v>212</v>
      </c>
      <c r="I18" s="21">
        <v>0.49469039351851851</v>
      </c>
      <c r="J18" s="18" t="s">
        <v>76</v>
      </c>
      <c r="K18" s="18" t="s">
        <v>128</v>
      </c>
      <c r="L18" s="22">
        <v>1</v>
      </c>
      <c r="M18" s="22">
        <v>71978</v>
      </c>
      <c r="N18" s="18" t="s">
        <v>53</v>
      </c>
      <c r="O18" s="22" t="s">
        <v>206</v>
      </c>
      <c r="P18" s="23">
        <v>0</v>
      </c>
      <c r="Q18" s="22"/>
      <c r="R18" s="23">
        <v>90</v>
      </c>
      <c r="S18" s="24">
        <v>46054</v>
      </c>
      <c r="T18" s="23">
        <v>0</v>
      </c>
      <c r="U18" s="25">
        <v>4</v>
      </c>
      <c r="V18" s="23">
        <v>0</v>
      </c>
      <c r="W18" s="18" t="s">
        <v>47</v>
      </c>
      <c r="X18" s="18" t="s">
        <v>48</v>
      </c>
      <c r="Y18" s="18" t="s">
        <v>36</v>
      </c>
      <c r="Z18" s="18" t="s">
        <v>43</v>
      </c>
      <c r="AA18" s="18" t="s">
        <v>49</v>
      </c>
      <c r="AB18" s="18" t="s">
        <v>207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18" t="s">
        <v>89</v>
      </c>
      <c r="B19" s="19">
        <v>46068</v>
      </c>
      <c r="C19" s="19">
        <v>46068</v>
      </c>
      <c r="D19" s="18" t="s">
        <v>231</v>
      </c>
      <c r="E19" s="20">
        <v>0.25</v>
      </c>
      <c r="F19" s="20">
        <v>0.99930555555555556</v>
      </c>
      <c r="G19" s="20">
        <v>3.4722222222222218E-4</v>
      </c>
      <c r="H19" s="18" t="s">
        <v>139</v>
      </c>
      <c r="I19" s="21">
        <v>0.4995282407407407</v>
      </c>
      <c r="J19" s="18" t="s">
        <v>41</v>
      </c>
      <c r="K19" s="18" t="s">
        <v>128</v>
      </c>
      <c r="L19" s="22">
        <v>1</v>
      </c>
      <c r="M19" s="22">
        <v>70409</v>
      </c>
      <c r="N19" s="18" t="s">
        <v>46</v>
      </c>
      <c r="O19" s="22" t="s">
        <v>91</v>
      </c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47</v>
      </c>
      <c r="X19" s="18" t="s">
        <v>48</v>
      </c>
      <c r="Y19" s="18" t="s">
        <v>36</v>
      </c>
      <c r="Z19" s="18" t="s">
        <v>9</v>
      </c>
      <c r="AA19" s="18" t="s">
        <v>49</v>
      </c>
      <c r="AB19" s="18" t="s">
        <v>92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8" t="s">
        <v>144</v>
      </c>
      <c r="B20" s="19">
        <v>46068</v>
      </c>
      <c r="C20" s="19">
        <v>46068</v>
      </c>
      <c r="D20" s="18" t="s">
        <v>231</v>
      </c>
      <c r="E20" s="20">
        <v>0.47916666666666669</v>
      </c>
      <c r="F20" s="20">
        <v>0.5</v>
      </c>
      <c r="G20" s="20">
        <v>1.7361111111111109E-4</v>
      </c>
      <c r="H20" s="18" t="s">
        <v>213</v>
      </c>
      <c r="I20" s="21">
        <v>0.49935462962962962</v>
      </c>
      <c r="J20" s="18" t="s">
        <v>76</v>
      </c>
      <c r="K20" s="18" t="s">
        <v>128</v>
      </c>
      <c r="L20" s="22">
        <v>1</v>
      </c>
      <c r="M20" s="22">
        <v>70034</v>
      </c>
      <c r="N20" s="18" t="s">
        <v>53</v>
      </c>
      <c r="O20" s="22" t="s">
        <v>146</v>
      </c>
      <c r="P20" s="23">
        <v>44.71</v>
      </c>
      <c r="Q20" s="22"/>
      <c r="R20" s="23">
        <v>44.71</v>
      </c>
      <c r="S20" s="24">
        <v>46054</v>
      </c>
      <c r="T20" s="23">
        <v>6.7065000000000001</v>
      </c>
      <c r="U20" s="25">
        <v>4</v>
      </c>
      <c r="V20" s="23">
        <v>38.003500000000003</v>
      </c>
      <c r="W20" s="18" t="s">
        <v>47</v>
      </c>
      <c r="X20" s="18" t="s">
        <v>48</v>
      </c>
      <c r="Y20" s="18" t="s">
        <v>36</v>
      </c>
      <c r="Z20" s="18" t="s">
        <v>9</v>
      </c>
      <c r="AA20" s="18" t="s">
        <v>49</v>
      </c>
      <c r="AB20" s="18" t="s">
        <v>190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8" customFormat="1" ht="35.1" customHeight="1" x14ac:dyDescent="0.25">
      <c r="A21" s="9" t="s">
        <v>71</v>
      </c>
      <c r="B21" s="10">
        <v>46068</v>
      </c>
      <c r="C21" s="10">
        <v>46068</v>
      </c>
      <c r="D21" s="11" t="s">
        <v>231</v>
      </c>
      <c r="E21" s="12">
        <v>0.5</v>
      </c>
      <c r="F21" s="12">
        <v>0.54166666666666663</v>
      </c>
      <c r="G21" s="12">
        <v>4.1666666666666664E-2</v>
      </c>
      <c r="H21" s="9" t="s">
        <v>216</v>
      </c>
      <c r="I21" s="13"/>
      <c r="J21" s="9" t="s">
        <v>76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28" customFormat="1" ht="35.1" customHeight="1" x14ac:dyDescent="0.25">
      <c r="A22" s="18" t="s">
        <v>44</v>
      </c>
      <c r="B22" s="19">
        <v>46068</v>
      </c>
      <c r="C22" s="19">
        <v>46068</v>
      </c>
      <c r="D22" s="18" t="s">
        <v>231</v>
      </c>
      <c r="E22" s="20">
        <v>0.45833333333333331</v>
      </c>
      <c r="F22" s="20">
        <v>0.54166666666666663</v>
      </c>
      <c r="G22" s="20">
        <v>3.4722222222222218E-4</v>
      </c>
      <c r="H22" s="18" t="s">
        <v>149</v>
      </c>
      <c r="I22" s="21">
        <v>0.51876458333333331</v>
      </c>
      <c r="J22" s="18" t="s">
        <v>76</v>
      </c>
      <c r="K22" s="18" t="s">
        <v>129</v>
      </c>
      <c r="L22" s="22">
        <v>1</v>
      </c>
      <c r="M22" s="22">
        <v>70976</v>
      </c>
      <c r="N22" s="18" t="s">
        <v>46</v>
      </c>
      <c r="O22" s="22" t="str">
        <f>AC22</f>
        <v>SFO</v>
      </c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47</v>
      </c>
      <c r="X22" s="18" t="s">
        <v>48</v>
      </c>
      <c r="Y22" s="18" t="s">
        <v>36</v>
      </c>
      <c r="Z22" s="18" t="s">
        <v>9</v>
      </c>
      <c r="AA22" s="18" t="s">
        <v>49</v>
      </c>
      <c r="AB22" s="18" t="s">
        <v>50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9" t="s">
        <v>237</v>
      </c>
      <c r="B23" s="10">
        <v>46068</v>
      </c>
      <c r="C23" s="10">
        <v>46068</v>
      </c>
      <c r="D23" s="11" t="s">
        <v>231</v>
      </c>
      <c r="E23" s="12">
        <v>0.54166666666666663</v>
      </c>
      <c r="F23" s="12">
        <v>0.58333333333333337</v>
      </c>
      <c r="G23" s="12">
        <v>4.1666666666666664E-2</v>
      </c>
      <c r="H23" s="9" t="s">
        <v>237</v>
      </c>
      <c r="I23" s="13"/>
      <c r="J23" s="9" t="s">
        <v>96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8" customFormat="1" ht="35.1" customHeight="1" x14ac:dyDescent="0.25">
      <c r="A24" s="18" t="s">
        <v>144</v>
      </c>
      <c r="B24" s="19">
        <v>46068</v>
      </c>
      <c r="C24" s="19">
        <v>46068</v>
      </c>
      <c r="D24" s="18" t="s">
        <v>231</v>
      </c>
      <c r="E24" s="20">
        <v>0.54166666666666663</v>
      </c>
      <c r="F24" s="20">
        <v>0.66666666666666663</v>
      </c>
      <c r="G24" s="20">
        <v>1.7361111111111109E-4</v>
      </c>
      <c r="H24" s="18" t="s">
        <v>220</v>
      </c>
      <c r="I24" s="21">
        <v>0.55487581018518517</v>
      </c>
      <c r="J24" s="18" t="s">
        <v>96</v>
      </c>
      <c r="K24" s="18" t="s">
        <v>229</v>
      </c>
      <c r="L24" s="22">
        <v>1</v>
      </c>
      <c r="M24" s="22">
        <v>70032</v>
      </c>
      <c r="N24" s="18" t="s">
        <v>46</v>
      </c>
      <c r="O24" s="22" t="s">
        <v>152</v>
      </c>
      <c r="P24" s="23">
        <v>0</v>
      </c>
      <c r="Q24" s="22"/>
      <c r="R24" s="23">
        <v>0</v>
      </c>
      <c r="S24" s="24">
        <v>46054</v>
      </c>
      <c r="T24" s="23">
        <v>0</v>
      </c>
      <c r="U24" s="25">
        <v>4</v>
      </c>
      <c r="V24" s="23">
        <v>0</v>
      </c>
      <c r="W24" s="18" t="s">
        <v>47</v>
      </c>
      <c r="X24" s="18" t="s">
        <v>48</v>
      </c>
      <c r="Y24" s="18" t="s">
        <v>36</v>
      </c>
      <c r="Z24" s="18" t="s">
        <v>9</v>
      </c>
      <c r="AA24" s="18" t="s">
        <v>49</v>
      </c>
      <c r="AB24" s="18" t="s">
        <v>153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238</v>
      </c>
      <c r="B25" s="10">
        <v>46068</v>
      </c>
      <c r="C25" s="10">
        <v>46068</v>
      </c>
      <c r="D25" s="11" t="s">
        <v>231</v>
      </c>
      <c r="E25" s="12">
        <v>0.58333333333333337</v>
      </c>
      <c r="F25" s="12">
        <v>0.625</v>
      </c>
      <c r="G25" s="12">
        <v>4.1666666666666664E-2</v>
      </c>
      <c r="H25" s="9" t="s">
        <v>238</v>
      </c>
      <c r="I25" s="13"/>
      <c r="J25" s="9" t="s">
        <v>96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46068</v>
      </c>
      <c r="T25" s="16">
        <v>0</v>
      </c>
      <c r="U25" s="14">
        <v>1</v>
      </c>
      <c r="V25" s="16">
        <v>0</v>
      </c>
      <c r="W25" s="9" t="s">
        <v>34</v>
      </c>
      <c r="X25" s="9" t="s">
        <v>35</v>
      </c>
      <c r="Y25" s="9" t="s">
        <v>78</v>
      </c>
      <c r="Z25" s="9" t="s">
        <v>68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28" customFormat="1" ht="35.1" customHeight="1" x14ac:dyDescent="0.25">
      <c r="A26" s="18" t="s">
        <v>144</v>
      </c>
      <c r="B26" s="19">
        <v>46068</v>
      </c>
      <c r="C26" s="19">
        <v>46068</v>
      </c>
      <c r="D26" s="18" t="s">
        <v>231</v>
      </c>
      <c r="E26" s="20">
        <v>0.54166666666666663</v>
      </c>
      <c r="F26" s="20">
        <v>0.66666666666666663</v>
      </c>
      <c r="G26" s="20">
        <v>1.7361111111111109E-4</v>
      </c>
      <c r="H26" s="18" t="s">
        <v>219</v>
      </c>
      <c r="I26" s="21">
        <v>0.59955196759259255</v>
      </c>
      <c r="J26" s="18" t="s">
        <v>96</v>
      </c>
      <c r="K26" s="18" t="s">
        <v>229</v>
      </c>
      <c r="L26" s="22">
        <v>1</v>
      </c>
      <c r="M26" s="22">
        <v>70031</v>
      </c>
      <c r="N26" s="18" t="s">
        <v>53</v>
      </c>
      <c r="O26" s="22" t="s">
        <v>152</v>
      </c>
      <c r="P26" s="23">
        <v>44.71</v>
      </c>
      <c r="Q26" s="22"/>
      <c r="R26" s="23">
        <v>44.71</v>
      </c>
      <c r="S26" s="24">
        <v>46054</v>
      </c>
      <c r="T26" s="23">
        <v>6.7065000000000001</v>
      </c>
      <c r="U26" s="25">
        <v>4</v>
      </c>
      <c r="V26" s="23">
        <v>38.003500000000003</v>
      </c>
      <c r="W26" s="18" t="s">
        <v>47</v>
      </c>
      <c r="X26" s="18" t="s">
        <v>48</v>
      </c>
      <c r="Y26" s="18" t="s">
        <v>36</v>
      </c>
      <c r="Z26" s="18" t="s">
        <v>9</v>
      </c>
      <c r="AA26" s="18" t="s">
        <v>49</v>
      </c>
      <c r="AB26" s="18" t="s">
        <v>153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5.1" customHeight="1" x14ac:dyDescent="0.25">
      <c r="A27" s="9" t="s">
        <v>239</v>
      </c>
      <c r="B27" s="10">
        <v>46068</v>
      </c>
      <c r="C27" s="10">
        <v>46068</v>
      </c>
      <c r="D27" s="11" t="s">
        <v>231</v>
      </c>
      <c r="E27" s="12">
        <v>0.625</v>
      </c>
      <c r="F27" s="12">
        <v>0.66666666666666663</v>
      </c>
      <c r="G27" s="12">
        <v>4.1666666666666664E-2</v>
      </c>
      <c r="H27" s="9" t="s">
        <v>240</v>
      </c>
      <c r="I27" s="13"/>
      <c r="J27" s="9" t="s">
        <v>96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46068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78</v>
      </c>
      <c r="Z27" s="9" t="s">
        <v>68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18" t="s">
        <v>144</v>
      </c>
      <c r="B28" s="19">
        <v>46068</v>
      </c>
      <c r="C28" s="19">
        <v>46068</v>
      </c>
      <c r="D28" s="18" t="s">
        <v>231</v>
      </c>
      <c r="E28" s="20">
        <v>0.54166666666666663</v>
      </c>
      <c r="F28" s="20">
        <v>0.66666666666666663</v>
      </c>
      <c r="G28" s="20">
        <v>1.7361111111111109E-4</v>
      </c>
      <c r="H28" s="18" t="s">
        <v>220</v>
      </c>
      <c r="I28" s="21">
        <v>0.64172476851851845</v>
      </c>
      <c r="J28" s="18" t="s">
        <v>96</v>
      </c>
      <c r="K28" s="18" t="s">
        <v>240</v>
      </c>
      <c r="L28" s="22">
        <v>1</v>
      </c>
      <c r="M28" s="22">
        <v>70031</v>
      </c>
      <c r="N28" s="18" t="s">
        <v>53</v>
      </c>
      <c r="O28" s="22" t="s">
        <v>152</v>
      </c>
      <c r="P28" s="23">
        <v>44.71</v>
      </c>
      <c r="Q28" s="22"/>
      <c r="R28" s="23">
        <v>44.71</v>
      </c>
      <c r="S28" s="24">
        <v>46054</v>
      </c>
      <c r="T28" s="23">
        <v>6.7065000000000001</v>
      </c>
      <c r="U28" s="25">
        <v>4</v>
      </c>
      <c r="V28" s="23">
        <v>38.003500000000003</v>
      </c>
      <c r="W28" s="18" t="s">
        <v>47</v>
      </c>
      <c r="X28" s="18" t="s">
        <v>48</v>
      </c>
      <c r="Y28" s="18" t="s">
        <v>36</v>
      </c>
      <c r="Z28" s="18" t="s">
        <v>9</v>
      </c>
      <c r="AA28" s="18" t="s">
        <v>49</v>
      </c>
      <c r="AB28" s="18" t="s">
        <v>153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8" customFormat="1" ht="35.1" customHeight="1" x14ac:dyDescent="0.25">
      <c r="A29" s="9" t="s">
        <v>103</v>
      </c>
      <c r="B29" s="10">
        <v>46068</v>
      </c>
      <c r="C29" s="10">
        <v>46068</v>
      </c>
      <c r="D29" s="11" t="s">
        <v>231</v>
      </c>
      <c r="E29" s="12">
        <v>0.66666666666666663</v>
      </c>
      <c r="F29" s="12">
        <v>0.70833333333333337</v>
      </c>
      <c r="G29" s="12">
        <v>4.1666666666666664E-2</v>
      </c>
      <c r="H29" s="9" t="s">
        <v>176</v>
      </c>
      <c r="I29" s="13" t="s">
        <v>209</v>
      </c>
      <c r="J29" s="9" t="s">
        <v>105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18" t="s">
        <v>172</v>
      </c>
      <c r="B30" s="19">
        <v>46068</v>
      </c>
      <c r="C30" s="19">
        <v>46068</v>
      </c>
      <c r="D30" s="18" t="s">
        <v>231</v>
      </c>
      <c r="E30" s="20">
        <v>0.66666666666666663</v>
      </c>
      <c r="F30" s="20">
        <v>0.79166666666666663</v>
      </c>
      <c r="G30" s="20">
        <v>3.4722222222222218E-4</v>
      </c>
      <c r="H30" s="18" t="s">
        <v>173</v>
      </c>
      <c r="I30" s="21">
        <v>0.67306990740740735</v>
      </c>
      <c r="J30" s="18" t="s">
        <v>105</v>
      </c>
      <c r="K30" s="18" t="s">
        <v>176</v>
      </c>
      <c r="L30" s="22">
        <v>1</v>
      </c>
      <c r="M30" s="22">
        <v>69904</v>
      </c>
      <c r="N30" s="18" t="s">
        <v>46</v>
      </c>
      <c r="O30" s="22" t="s">
        <v>174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47</v>
      </c>
      <c r="X30" s="18" t="s">
        <v>48</v>
      </c>
      <c r="Y30" s="18" t="s">
        <v>36</v>
      </c>
      <c r="Z30" s="18" t="s">
        <v>9</v>
      </c>
      <c r="AA30" s="18" t="s">
        <v>49</v>
      </c>
      <c r="AB30" s="18" t="s">
        <v>175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8" customFormat="1" ht="35.1" customHeight="1" x14ac:dyDescent="0.25">
      <c r="A31" s="18" t="s">
        <v>74</v>
      </c>
      <c r="B31" s="19">
        <v>46068</v>
      </c>
      <c r="C31" s="19">
        <v>46068</v>
      </c>
      <c r="D31" s="18" t="s">
        <v>231</v>
      </c>
      <c r="E31" s="20">
        <v>0.66666666666666663</v>
      </c>
      <c r="F31" s="20">
        <v>0.79166666666666663</v>
      </c>
      <c r="G31" s="20">
        <v>3.4722222222222218E-4</v>
      </c>
      <c r="H31" s="18" t="s">
        <v>110</v>
      </c>
      <c r="I31" s="21">
        <v>0.69574085648148154</v>
      </c>
      <c r="J31" s="18" t="s">
        <v>105</v>
      </c>
      <c r="K31" s="18" t="s">
        <v>176</v>
      </c>
      <c r="L31" s="22">
        <v>1</v>
      </c>
      <c r="M31" s="22">
        <v>71440</v>
      </c>
      <c r="N31" s="18" t="s">
        <v>46</v>
      </c>
      <c r="O31" s="22" t="s">
        <v>107</v>
      </c>
      <c r="P31" s="23">
        <v>0</v>
      </c>
      <c r="Q31" s="22"/>
      <c r="R31" s="23">
        <v>0</v>
      </c>
      <c r="S31" s="24">
        <v>46068</v>
      </c>
      <c r="T31" s="23">
        <v>0</v>
      </c>
      <c r="U31" s="25">
        <v>4</v>
      </c>
      <c r="V31" s="23">
        <v>0</v>
      </c>
      <c r="W31" s="18" t="s">
        <v>47</v>
      </c>
      <c r="X31" s="18" t="s">
        <v>48</v>
      </c>
      <c r="Y31" s="18" t="s">
        <v>78</v>
      </c>
      <c r="Z31" s="18" t="s">
        <v>9</v>
      </c>
      <c r="AA31" s="18" t="s">
        <v>49</v>
      </c>
      <c r="AB31" s="18" t="s">
        <v>108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28" customFormat="1" ht="35.1" customHeight="1" x14ac:dyDescent="0.25">
      <c r="A32" s="18" t="s">
        <v>172</v>
      </c>
      <c r="B32" s="19">
        <v>46068</v>
      </c>
      <c r="C32" s="19">
        <v>46068</v>
      </c>
      <c r="D32" s="18" t="s">
        <v>231</v>
      </c>
      <c r="E32" s="20">
        <v>0.66666666666666663</v>
      </c>
      <c r="F32" s="20">
        <v>0.75</v>
      </c>
      <c r="G32" s="20">
        <v>3.4722222222222218E-4</v>
      </c>
      <c r="H32" s="18" t="s">
        <v>173</v>
      </c>
      <c r="I32" s="21">
        <v>0.69608831018518513</v>
      </c>
      <c r="J32" s="18" t="s">
        <v>105</v>
      </c>
      <c r="K32" s="18" t="s">
        <v>176</v>
      </c>
      <c r="L32" s="22">
        <v>1</v>
      </c>
      <c r="M32" s="22">
        <v>69903</v>
      </c>
      <c r="N32" s="18" t="s">
        <v>53</v>
      </c>
      <c r="O32" s="22" t="s">
        <v>174</v>
      </c>
      <c r="P32" s="23">
        <v>100</v>
      </c>
      <c r="Q32" s="22"/>
      <c r="R32" s="23">
        <v>100</v>
      </c>
      <c r="S32" s="24">
        <v>46054</v>
      </c>
      <c r="T32" s="23">
        <v>15</v>
      </c>
      <c r="U32" s="25">
        <v>4</v>
      </c>
      <c r="V32" s="23">
        <v>85</v>
      </c>
      <c r="W32" s="18" t="s">
        <v>47</v>
      </c>
      <c r="X32" s="18" t="s">
        <v>48</v>
      </c>
      <c r="Y32" s="18" t="s">
        <v>36</v>
      </c>
      <c r="Z32" s="18" t="s">
        <v>9</v>
      </c>
      <c r="AA32" s="18" t="s">
        <v>49</v>
      </c>
      <c r="AB32" s="18" t="s">
        <v>175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8" customFormat="1" ht="35.1" customHeight="1" x14ac:dyDescent="0.25">
      <c r="A33" s="9" t="s">
        <v>103</v>
      </c>
      <c r="B33" s="10">
        <v>46068</v>
      </c>
      <c r="C33" s="10">
        <v>46068</v>
      </c>
      <c r="D33" s="11" t="s">
        <v>231</v>
      </c>
      <c r="E33" s="12">
        <v>0.70833333333333337</v>
      </c>
      <c r="F33" s="12">
        <v>0.75</v>
      </c>
      <c r="G33" s="12">
        <v>4.1666666666666664E-2</v>
      </c>
      <c r="H33" s="9" t="s">
        <v>185</v>
      </c>
      <c r="I33" s="13" t="s">
        <v>209</v>
      </c>
      <c r="J33" s="9" t="s">
        <v>32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5.1" customHeight="1" x14ac:dyDescent="0.25">
      <c r="A34" s="18" t="s">
        <v>172</v>
      </c>
      <c r="B34" s="19">
        <v>46068</v>
      </c>
      <c r="C34" s="19">
        <v>46068</v>
      </c>
      <c r="D34" s="18" t="s">
        <v>231</v>
      </c>
      <c r="E34" s="20">
        <v>0.66666666666666663</v>
      </c>
      <c r="F34" s="20">
        <v>0.75</v>
      </c>
      <c r="G34" s="20">
        <v>3.4722222222222218E-4</v>
      </c>
      <c r="H34" s="18" t="s">
        <v>173</v>
      </c>
      <c r="I34" s="21">
        <v>0.7206738425925926</v>
      </c>
      <c r="J34" s="18" t="s">
        <v>105</v>
      </c>
      <c r="K34" s="18" t="s">
        <v>188</v>
      </c>
      <c r="L34" s="22">
        <v>1</v>
      </c>
      <c r="M34" s="22">
        <v>69903</v>
      </c>
      <c r="N34" s="18" t="s">
        <v>53</v>
      </c>
      <c r="O34" s="22" t="s">
        <v>174</v>
      </c>
      <c r="P34" s="23">
        <v>100</v>
      </c>
      <c r="Q34" s="22"/>
      <c r="R34" s="23">
        <v>100</v>
      </c>
      <c r="S34" s="24">
        <v>46054</v>
      </c>
      <c r="T34" s="23">
        <v>15</v>
      </c>
      <c r="U34" s="25">
        <v>4</v>
      </c>
      <c r="V34" s="23">
        <v>85</v>
      </c>
      <c r="W34" s="18" t="s">
        <v>47</v>
      </c>
      <c r="X34" s="18" t="s">
        <v>48</v>
      </c>
      <c r="Y34" s="18" t="s">
        <v>36</v>
      </c>
      <c r="Z34" s="18" t="s">
        <v>9</v>
      </c>
      <c r="AA34" s="18" t="s">
        <v>49</v>
      </c>
      <c r="AB34" s="18" t="s">
        <v>175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28" customFormat="1" ht="35.1" customHeight="1" x14ac:dyDescent="0.25">
      <c r="A35" s="9" t="s">
        <v>225</v>
      </c>
      <c r="B35" s="10">
        <v>46068</v>
      </c>
      <c r="C35" s="10">
        <v>46068</v>
      </c>
      <c r="D35" s="11" t="s">
        <v>231</v>
      </c>
      <c r="E35" s="12">
        <v>0.75</v>
      </c>
      <c r="F35" s="12">
        <v>0.79166666666666663</v>
      </c>
      <c r="G35" s="12">
        <v>4.1666666666666664E-2</v>
      </c>
      <c r="H35" s="9" t="s">
        <v>226</v>
      </c>
      <c r="I35" s="13"/>
      <c r="J35" s="9" t="s">
        <v>227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5.1" customHeight="1" x14ac:dyDescent="0.25">
      <c r="A36" s="9" t="s">
        <v>225</v>
      </c>
      <c r="B36" s="10">
        <v>46068</v>
      </c>
      <c r="C36" s="10">
        <v>46068</v>
      </c>
      <c r="D36" s="11" t="s">
        <v>231</v>
      </c>
      <c r="E36" s="12">
        <v>0.79166666666666663</v>
      </c>
      <c r="F36" s="12">
        <v>0.83333333333333337</v>
      </c>
      <c r="G36" s="12">
        <v>4.1666666666666664E-2</v>
      </c>
      <c r="H36" s="9" t="s">
        <v>228</v>
      </c>
      <c r="I36" s="13"/>
      <c r="J36" s="9" t="s">
        <v>227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28" customFormat="1" ht="35.1" customHeight="1" x14ac:dyDescent="0.25">
      <c r="A37" s="9" t="s">
        <v>122</v>
      </c>
      <c r="B37" s="10">
        <v>46068</v>
      </c>
      <c r="C37" s="10">
        <v>46068</v>
      </c>
      <c r="D37" s="11" t="s">
        <v>231</v>
      </c>
      <c r="E37" s="12">
        <v>0.83333333333333337</v>
      </c>
      <c r="F37" s="12">
        <v>0.875</v>
      </c>
      <c r="G37" s="12">
        <v>4.1666666666666664E-2</v>
      </c>
      <c r="H37" s="9" t="s">
        <v>123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28" customFormat="1" ht="35.1" customHeight="1" x14ac:dyDescent="0.25">
      <c r="A38" s="18" t="s">
        <v>204</v>
      </c>
      <c r="B38" s="19">
        <v>46068</v>
      </c>
      <c r="C38" s="19">
        <v>46068</v>
      </c>
      <c r="D38" s="18" t="s">
        <v>231</v>
      </c>
      <c r="E38" s="20">
        <v>0.25</v>
      </c>
      <c r="F38" s="20">
        <v>0.875</v>
      </c>
      <c r="G38" s="20">
        <v>1.7361111111111109E-4</v>
      </c>
      <c r="H38" s="18" t="s">
        <v>205</v>
      </c>
      <c r="I38" s="21">
        <v>0.86523148148148143</v>
      </c>
      <c r="J38" s="18" t="s">
        <v>41</v>
      </c>
      <c r="K38" s="18" t="s">
        <v>165</v>
      </c>
      <c r="L38" s="22">
        <v>1</v>
      </c>
      <c r="M38" s="22">
        <v>71977</v>
      </c>
      <c r="N38" s="18" t="s">
        <v>53</v>
      </c>
      <c r="O38" s="22" t="s">
        <v>206</v>
      </c>
      <c r="P38" s="23">
        <v>0</v>
      </c>
      <c r="Q38" s="22"/>
      <c r="R38" s="23">
        <v>90</v>
      </c>
      <c r="S38" s="24">
        <v>46054</v>
      </c>
      <c r="T38" s="23">
        <v>0</v>
      </c>
      <c r="U38" s="25">
        <v>4</v>
      </c>
      <c r="V38" s="23">
        <v>0</v>
      </c>
      <c r="W38" s="18" t="s">
        <v>47</v>
      </c>
      <c r="X38" s="18" t="s">
        <v>48</v>
      </c>
      <c r="Y38" s="18" t="s">
        <v>36</v>
      </c>
      <c r="Z38" s="18" t="s">
        <v>43</v>
      </c>
      <c r="AA38" s="18" t="s">
        <v>49</v>
      </c>
      <c r="AB38" s="18" t="s">
        <v>207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5.1" customHeight="1" x14ac:dyDescent="0.25">
      <c r="A39" s="18" t="s">
        <v>133</v>
      </c>
      <c r="B39" s="19">
        <v>46068</v>
      </c>
      <c r="C39" s="19">
        <v>46068</v>
      </c>
      <c r="D39" s="18" t="s">
        <v>231</v>
      </c>
      <c r="E39" s="20">
        <v>0.25</v>
      </c>
      <c r="F39" s="20">
        <v>0.99930555555555556</v>
      </c>
      <c r="G39" s="20">
        <v>1.7361111111111109E-4</v>
      </c>
      <c r="H39" s="18" t="s">
        <v>137</v>
      </c>
      <c r="I39" s="21">
        <v>0.87406249999999996</v>
      </c>
      <c r="J39" s="18" t="s">
        <v>41</v>
      </c>
      <c r="K39" s="18" t="s">
        <v>165</v>
      </c>
      <c r="L39" s="22">
        <v>1</v>
      </c>
      <c r="M39" s="22">
        <v>66852</v>
      </c>
      <c r="N39" s="18" t="s">
        <v>46</v>
      </c>
      <c r="O39" s="22" t="s">
        <v>135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47</v>
      </c>
      <c r="X39" s="18" t="s">
        <v>48</v>
      </c>
      <c r="Y39" s="18" t="s">
        <v>36</v>
      </c>
      <c r="Z39" s="18" t="s">
        <v>9</v>
      </c>
      <c r="AA39" s="18" t="s">
        <v>49</v>
      </c>
      <c r="AB39" s="18" t="s">
        <v>136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8" customFormat="1" ht="35.1" customHeight="1" x14ac:dyDescent="0.25">
      <c r="A40" s="18" t="s">
        <v>172</v>
      </c>
      <c r="B40" s="19">
        <v>46068</v>
      </c>
      <c r="C40" s="19">
        <v>46068</v>
      </c>
      <c r="D40" s="18" t="s">
        <v>231</v>
      </c>
      <c r="E40" s="20">
        <v>0.83333333333333337</v>
      </c>
      <c r="F40" s="20">
        <v>0.95833333333333337</v>
      </c>
      <c r="G40" s="20">
        <v>3.4722222222222218E-4</v>
      </c>
      <c r="H40" s="18" t="s">
        <v>177</v>
      </c>
      <c r="I40" s="21">
        <v>0.8737152777777778</v>
      </c>
      <c r="J40" s="18" t="s">
        <v>41</v>
      </c>
      <c r="K40" s="18" t="s">
        <v>165</v>
      </c>
      <c r="L40" s="22">
        <v>1</v>
      </c>
      <c r="M40" s="22">
        <v>69902</v>
      </c>
      <c r="N40" s="18" t="s">
        <v>53</v>
      </c>
      <c r="O40" s="22" t="s">
        <v>174</v>
      </c>
      <c r="P40" s="23">
        <v>100</v>
      </c>
      <c r="Q40" s="22"/>
      <c r="R40" s="23">
        <v>100</v>
      </c>
      <c r="S40" s="24">
        <v>46054</v>
      </c>
      <c r="T40" s="23">
        <v>15</v>
      </c>
      <c r="U40" s="25">
        <v>4</v>
      </c>
      <c r="V40" s="23">
        <v>85</v>
      </c>
      <c r="W40" s="18" t="s">
        <v>47</v>
      </c>
      <c r="X40" s="18" t="s">
        <v>48</v>
      </c>
      <c r="Y40" s="18" t="s">
        <v>36</v>
      </c>
      <c r="Z40" s="18" t="s">
        <v>9</v>
      </c>
      <c r="AA40" s="18" t="s">
        <v>49</v>
      </c>
      <c r="AB40" s="18" t="s">
        <v>175</v>
      </c>
      <c r="AC40" s="18" t="s">
        <v>38</v>
      </c>
      <c r="AD40" s="7" t="str">
        <f t="shared" si="0"/>
        <v/>
      </c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</row>
    <row r="41" spans="1:49" s="28" customFormat="1" ht="35.1" customHeight="1" x14ac:dyDescent="0.25">
      <c r="A41" s="9" t="s">
        <v>124</v>
      </c>
      <c r="B41" s="10">
        <v>46068</v>
      </c>
      <c r="C41" s="10">
        <v>46068</v>
      </c>
      <c r="D41" s="11" t="s">
        <v>231</v>
      </c>
      <c r="E41" s="12">
        <v>0.875</v>
      </c>
      <c r="F41" s="12">
        <v>0.9375</v>
      </c>
      <c r="G41" s="12">
        <v>6.25E-2</v>
      </c>
      <c r="H41" s="9" t="s">
        <v>160</v>
      </c>
      <c r="I41" s="13" t="s">
        <v>209</v>
      </c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5.1" customHeight="1" x14ac:dyDescent="0.25">
      <c r="A42" s="18" t="s">
        <v>172</v>
      </c>
      <c r="B42" s="19">
        <v>46068</v>
      </c>
      <c r="C42" s="19">
        <v>46068</v>
      </c>
      <c r="D42" s="18" t="s">
        <v>231</v>
      </c>
      <c r="E42" s="20">
        <v>0.83333333333333337</v>
      </c>
      <c r="F42" s="20">
        <v>0.95833333333333337</v>
      </c>
      <c r="G42" s="20">
        <v>3.4722222222222218E-4</v>
      </c>
      <c r="H42" s="18" t="s">
        <v>177</v>
      </c>
      <c r="I42" s="21">
        <v>0.91692164351851846</v>
      </c>
      <c r="J42" s="18" t="s">
        <v>41</v>
      </c>
      <c r="K42" s="18" t="s">
        <v>160</v>
      </c>
      <c r="L42" s="22">
        <v>1</v>
      </c>
      <c r="M42" s="22">
        <v>69902</v>
      </c>
      <c r="N42" s="18" t="s">
        <v>53</v>
      </c>
      <c r="O42" s="22" t="s">
        <v>174</v>
      </c>
      <c r="P42" s="23">
        <v>100</v>
      </c>
      <c r="Q42" s="22"/>
      <c r="R42" s="23">
        <v>100</v>
      </c>
      <c r="S42" s="24">
        <v>46054</v>
      </c>
      <c r="T42" s="23">
        <v>15</v>
      </c>
      <c r="U42" s="25">
        <v>4</v>
      </c>
      <c r="V42" s="23">
        <v>85</v>
      </c>
      <c r="W42" s="18" t="s">
        <v>47</v>
      </c>
      <c r="X42" s="18" t="s">
        <v>48</v>
      </c>
      <c r="Y42" s="18" t="s">
        <v>36</v>
      </c>
      <c r="Z42" s="18" t="s">
        <v>9</v>
      </c>
      <c r="AA42" s="18" t="s">
        <v>49</v>
      </c>
      <c r="AB42" s="18" t="s">
        <v>175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8" customFormat="1" ht="35.1" customHeight="1" x14ac:dyDescent="0.25">
      <c r="A43" s="9" t="s">
        <v>124</v>
      </c>
      <c r="B43" s="10">
        <v>46068</v>
      </c>
      <c r="C43" s="10">
        <v>46068</v>
      </c>
      <c r="D43" s="11" t="s">
        <v>231</v>
      </c>
      <c r="E43" s="12">
        <v>0.9375</v>
      </c>
      <c r="F43" s="12">
        <v>1</v>
      </c>
      <c r="G43" s="12">
        <v>6.25E-2</v>
      </c>
      <c r="H43" s="9" t="s">
        <v>187</v>
      </c>
      <c r="I43" s="13" t="s">
        <v>209</v>
      </c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3" xr:uid="{BEFFF80A-39D5-4F34-BB07-38FF121BCB6A}"/>
  <sortState xmlns:xlrd2="http://schemas.microsoft.com/office/spreadsheetml/2017/richdata2" ref="A2:AD326">
    <sortCondition sortBy="cellColor" ref="E1:E500" dxfId="18"/>
  </sortState>
  <conditionalFormatting sqref="AD1:AD43">
    <cfRule type="cellIs" dxfId="17" priority="3" operator="equal">
      <formula>"NO"</formula>
    </cfRule>
  </conditionalFormatting>
  <conditionalFormatting sqref="E2:F43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2026-02-16T03:07:38Z</dcterms:modified>
</cp:coreProperties>
</file>