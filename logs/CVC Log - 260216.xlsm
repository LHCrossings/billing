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F535837F-EA57-4ED0-8B62-AEB14D3B144E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Friday!$A$1:$AD$74</definedName>
    <definedName name="_xlnm._FilterDatabase" localSheetId="1" hidden="1">Monday!$A$1:$AD$62</definedName>
    <definedName name="_xlnm._FilterDatabase" localSheetId="6" hidden="1">Saturday!$A$1:$AD$70</definedName>
    <definedName name="_xlnm._FilterDatabase" localSheetId="7" hidden="1">Sunday!$A$1:$AD$65</definedName>
    <definedName name="_xlnm._FilterDatabase" localSheetId="4" hidden="1">Thursday!$A$1:$AD$81</definedName>
    <definedName name="_xlnm._FilterDatabase" localSheetId="2" hidden="1">Tuesday!$A$1:$AD$72</definedName>
    <definedName name="_xlnm._FilterDatabase" localSheetId="3" hidden="1">Wednesday!$A$1:$AD$83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33" i="63"/>
  <c r="AD34" i="63"/>
  <c r="AD35" i="63"/>
  <c r="AD36" i="63"/>
  <c r="AD37" i="63"/>
  <c r="AD38" i="63"/>
  <c r="AD39" i="63"/>
  <c r="AD40" i="63"/>
  <c r="AD41" i="63"/>
  <c r="AD42" i="63"/>
  <c r="AD43" i="63"/>
  <c r="AD44" i="63"/>
  <c r="AD45" i="63"/>
  <c r="AD46" i="63"/>
  <c r="AD47" i="63"/>
  <c r="AD48" i="63"/>
  <c r="AD49" i="63"/>
  <c r="AD50" i="63"/>
  <c r="AD51" i="63"/>
  <c r="AD52" i="63"/>
  <c r="AD53" i="63"/>
  <c r="AD54" i="63"/>
  <c r="AD55" i="63"/>
  <c r="AD56" i="63"/>
  <c r="AD57" i="63"/>
  <c r="AD58" i="63"/>
  <c r="AD59" i="63"/>
  <c r="AD60" i="63"/>
  <c r="AD61" i="63"/>
  <c r="AD62" i="63"/>
  <c r="AD63" i="63"/>
  <c r="AD64" i="63"/>
  <c r="AD65" i="63"/>
  <c r="O54" i="63"/>
  <c r="O38" i="63"/>
  <c r="O36" i="63"/>
  <c r="O49" i="63"/>
  <c r="O46" i="63"/>
  <c r="O15" i="63"/>
  <c r="O20" i="63"/>
  <c r="O56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AD35" i="62"/>
  <c r="AD36" i="62"/>
  <c r="AD37" i="62"/>
  <c r="AD38" i="62"/>
  <c r="AD39" i="62"/>
  <c r="AD40" i="62"/>
  <c r="AD41" i="62"/>
  <c r="AD42" i="62"/>
  <c r="AD43" i="62"/>
  <c r="AD44" i="62"/>
  <c r="AD45" i="62"/>
  <c r="AD46" i="62"/>
  <c r="AD47" i="62"/>
  <c r="AD48" i="62"/>
  <c r="AD49" i="62"/>
  <c r="AD50" i="62"/>
  <c r="AD51" i="62"/>
  <c r="AD52" i="62"/>
  <c r="AD53" i="62"/>
  <c r="AD54" i="62"/>
  <c r="AD55" i="62"/>
  <c r="AD56" i="62"/>
  <c r="AD57" i="62"/>
  <c r="AD58" i="62"/>
  <c r="AD59" i="62"/>
  <c r="AD60" i="62"/>
  <c r="AD61" i="62"/>
  <c r="AD62" i="62"/>
  <c r="AD63" i="62"/>
  <c r="AD64" i="62"/>
  <c r="AD65" i="62"/>
  <c r="AD66" i="62"/>
  <c r="AD67" i="62"/>
  <c r="AD68" i="62"/>
  <c r="AD69" i="62"/>
  <c r="AD70" i="62"/>
  <c r="O55" i="62"/>
  <c r="O50" i="62"/>
  <c r="O45" i="62"/>
  <c r="O41" i="62"/>
  <c r="O36" i="62"/>
  <c r="O7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47" i="61"/>
  <c r="AD48" i="61"/>
  <c r="AD49" i="61"/>
  <c r="AD50" i="61"/>
  <c r="AD51" i="61"/>
  <c r="AD52" i="61"/>
  <c r="AD53" i="61"/>
  <c r="AD54" i="61"/>
  <c r="AD55" i="61"/>
  <c r="AD56" i="61"/>
  <c r="AD57" i="61"/>
  <c r="AD58" i="61"/>
  <c r="AD59" i="61"/>
  <c r="AD60" i="61"/>
  <c r="AD61" i="61"/>
  <c r="AD62" i="61"/>
  <c r="AD73" i="61"/>
  <c r="AD74" i="61"/>
  <c r="O44" i="61"/>
  <c r="O61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50" i="60"/>
  <c r="AD51" i="60"/>
  <c r="AD52" i="60"/>
  <c r="AD53" i="60"/>
  <c r="AD54" i="60"/>
  <c r="AD55" i="60"/>
  <c r="AD56" i="60"/>
  <c r="AD57" i="60"/>
  <c r="AD58" i="60"/>
  <c r="AD59" i="60"/>
  <c r="AD60" i="60"/>
  <c r="AD61" i="60"/>
  <c r="AD62" i="60"/>
  <c r="AD63" i="60"/>
  <c r="AD64" i="60"/>
  <c r="AD65" i="60"/>
  <c r="AD66" i="60"/>
  <c r="AD67" i="60"/>
  <c r="AD68" i="60"/>
  <c r="AD69" i="60"/>
  <c r="AD70" i="60"/>
  <c r="AD71" i="60"/>
  <c r="AD72" i="60"/>
  <c r="AD73" i="60"/>
  <c r="AD74" i="60"/>
  <c r="AD75" i="60"/>
  <c r="AD76" i="60"/>
  <c r="AD77" i="60"/>
  <c r="AD78" i="60"/>
  <c r="AD79" i="60"/>
  <c r="AD80" i="60"/>
  <c r="AD81" i="60"/>
  <c r="AD17" i="60"/>
  <c r="O63" i="60"/>
  <c r="O61" i="60"/>
  <c r="O57" i="60"/>
  <c r="O28" i="60"/>
  <c r="O6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AD52" i="59"/>
  <c r="AD53" i="59"/>
  <c r="AD54" i="59"/>
  <c r="AD55" i="59"/>
  <c r="AD56" i="59"/>
  <c r="AD57" i="59"/>
  <c r="AD58" i="59"/>
  <c r="AD59" i="59"/>
  <c r="AD60" i="59"/>
  <c r="AD61" i="59"/>
  <c r="AD62" i="59"/>
  <c r="AD63" i="59"/>
  <c r="AD64" i="59"/>
  <c r="AD65" i="59"/>
  <c r="AD66" i="59"/>
  <c r="AD67" i="59"/>
  <c r="AD68" i="59"/>
  <c r="AD69" i="59"/>
  <c r="AD70" i="59"/>
  <c r="AD71" i="59"/>
  <c r="AD72" i="59"/>
  <c r="AD73" i="59"/>
  <c r="AD74" i="59"/>
  <c r="AD75" i="59"/>
  <c r="AD76" i="59"/>
  <c r="AD77" i="59"/>
  <c r="AD78" i="59"/>
  <c r="AD79" i="59"/>
  <c r="AD80" i="59"/>
  <c r="AD81" i="59"/>
  <c r="AD82" i="59"/>
  <c r="AD83" i="59"/>
  <c r="O73" i="59"/>
  <c r="O66" i="59"/>
  <c r="O59" i="59"/>
  <c r="O28" i="59"/>
  <c r="O37" i="59"/>
  <c r="O13" i="59"/>
  <c r="O10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AD55" i="58"/>
  <c r="AD56" i="58"/>
  <c r="AD57" i="58"/>
  <c r="AD58" i="58"/>
  <c r="AD59" i="58"/>
  <c r="AD60" i="58"/>
  <c r="AD61" i="58"/>
  <c r="AD62" i="58"/>
  <c r="AD63" i="58"/>
  <c r="AD64" i="58"/>
  <c r="AD65" i="58"/>
  <c r="AD66" i="58"/>
  <c r="AD67" i="58"/>
  <c r="AD68" i="58"/>
  <c r="AD69" i="58"/>
  <c r="AD70" i="58"/>
  <c r="AD71" i="58"/>
  <c r="AD72" i="58"/>
  <c r="AD16" i="58"/>
  <c r="O63" i="58"/>
  <c r="O52" i="58"/>
  <c r="O27" i="58"/>
  <c r="O12" i="58"/>
  <c r="O13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48" i="57"/>
  <c r="AD49" i="57"/>
  <c r="AD50" i="57"/>
  <c r="AD51" i="57"/>
  <c r="AD52" i="57"/>
  <c r="AD53" i="57"/>
  <c r="AD54" i="57"/>
  <c r="AD55" i="57"/>
  <c r="AD56" i="57"/>
  <c r="AD57" i="57"/>
  <c r="AD58" i="57"/>
  <c r="AD59" i="57"/>
  <c r="AD60" i="57"/>
  <c r="AD61" i="57"/>
  <c r="AD62" i="57"/>
  <c r="O49" i="57"/>
  <c r="O15" i="57"/>
  <c r="O11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<sst xmlns="http://schemas.openxmlformats.org/spreadsheetml/2006/main" count="13749" uniqueCount="258">
  <si>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</si>
  <si>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</si>
  <si>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</si>
  <si>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</si>
  <si>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</si>
  <si>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</si>
  <si>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</si>
  <si>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</si>
  <si>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</si>
  <si>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</si>
  <si>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</si>
  <si>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</si>
  <si>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</si>
  <si>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</si>
  <si>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</si>
  <si>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</si>
  <si>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</si>
  <si>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</si>
  <si>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</si>
  <si>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</si>
  <si>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</si>
  <si>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</si>
  <si>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</si>
  <si>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</si>
  <si>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</si>
  <si>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</si>
  <si>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</si>
  <si>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</si>
  <si>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</si>
  <si>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</si>
  <si>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</si>
  <si>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</si>
  <si>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</si>
  <si>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</si>
  <si>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</si>
  <si>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</si>
  <si>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</si>
  <si>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</si>
  <si>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CVC</t>
  </si>
  <si>
    <t>Phoenix TV</t>
  </si>
  <si>
    <t>Phoenix Evening Express</t>
  </si>
  <si>
    <t>M</t>
  </si>
  <si>
    <t>Programming</t>
  </si>
  <si>
    <t>Non-Agency</t>
  </si>
  <si>
    <t>Impact Marketing:Big Valley Ford Lincoln</t>
  </si>
  <si>
    <t>BVFL15E199: BVF_Performance_PresDay2026_15 (BVFL15E199)</t>
  </si>
  <si>
    <t>BNS</t>
  </si>
  <si>
    <t>26Q1</t>
  </si>
  <si>
    <t>Charmaine Lane</t>
  </si>
  <si>
    <t>Internal Ad Sales</t>
  </si>
  <si>
    <t>Y</t>
  </si>
  <si>
    <t>2410</t>
  </si>
  <si>
    <t>BVFL15E195: BVF_EvergreenTruck_Jan2026_15 (BVFL15E195)</t>
  </si>
  <si>
    <t>BVFL15E200: BVF_WorkTrucks_PresDay2026_15 (BVFL15E200)</t>
  </si>
  <si>
    <t>COM</t>
  </si>
  <si>
    <t>BVFL15E197: BVF_WorkTrucksEvergeen_Jan2026_15 (BVFL15E197)</t>
  </si>
  <si>
    <t>OCA National Convention (T)</t>
  </si>
  <si>
    <t>OCANAT33E07: 2025_OCA_National_Crossings_TV</t>
  </si>
  <si>
    <t>Trade</t>
  </si>
  <si>
    <t>2090</t>
  </si>
  <si>
    <t>Solsken Communications:My Sister's House (Solsken)</t>
  </si>
  <si>
    <t>MSH30M27: MSH STH 2025 MAN</t>
  </si>
  <si>
    <t>STH 25</t>
  </si>
  <si>
    <t>2111</t>
  </si>
  <si>
    <t>Da Ai TV</t>
  </si>
  <si>
    <t>Calling Dr. Marvelous</t>
  </si>
  <si>
    <t xml:space="preserve">ID15KIDS BEFORE SHOW </t>
  </si>
  <si>
    <t>MBC</t>
  </si>
  <si>
    <t>MBC Newsdesk</t>
  </si>
  <si>
    <t>K</t>
  </si>
  <si>
    <t>Misfit:CA Community Colleges</t>
  </si>
  <si>
    <t>CALCC30K01: ICanGo AAPI KOR (CALCC30K01)</t>
  </si>
  <si>
    <t>2408</t>
  </si>
  <si>
    <t>BVFL05BBK202: BVF KNY 05BB-Korean</t>
  </si>
  <si>
    <t>BVFL15E201: BVF_MachE_PresDay2026_15 (BVFL15E201)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</si>
  <si>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</si>
  <si>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</si>
  <si>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</si>
  <si>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</si>
  <si>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</si>
  <si>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</si>
  <si>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</si>
  <si>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Health Plan of San Joaquin</t>
  </si>
  <si>
    <t>HPSJ30V01: Vietnamese Flu Video-3 VIE (HPSJ30V01)</t>
  </si>
  <si>
    <t>V</t>
  </si>
  <si>
    <t>2601-2603</t>
  </si>
  <si>
    <t>Calendar</t>
  </si>
  <si>
    <t>2376</t>
  </si>
  <si>
    <t>iGraphix:Sky River Casino</t>
  </si>
  <si>
    <t>SRC30V49: February Promotion VIE (FP0226-V)</t>
  </si>
  <si>
    <t>30223</t>
  </si>
  <si>
    <t>2456</t>
  </si>
  <si>
    <t>Oriental Medicine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</si>
  <si>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</si>
  <si>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</si>
  <si>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</si>
  <si>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</si>
  <si>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</si>
  <si>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</si>
  <si>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</si>
  <si>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</si>
  <si>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</si>
  <si>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MSH30P27: MSH STH 2025 PUN</t>
  </si>
  <si>
    <t>iHeartMedia:California Department of Pesticide Regulations</t>
  </si>
  <si>
    <t>CDPR30P01: Spray Days Animated PUN (DRP250109-P)</t>
  </si>
  <si>
    <t>2004</t>
  </si>
  <si>
    <t>Punjab Update</t>
  </si>
  <si>
    <t>World News</t>
  </si>
  <si>
    <t>TV5</t>
  </si>
  <si>
    <t>Frontline Pilipinas</t>
  </si>
  <si>
    <t>T</t>
  </si>
  <si>
    <t>Sacramento County Water Agency</t>
  </si>
  <si>
    <t>SCWA15T05: Storm Ready (SCWA15T05)</t>
  </si>
  <si>
    <t>2367</t>
  </si>
  <si>
    <t>SCWA15T06: Storm Ready 311 Nov23 (SCWA15T06)</t>
  </si>
  <si>
    <t>TFC</t>
  </si>
  <si>
    <t>TV Patrol World</t>
  </si>
  <si>
    <t>Ikaw Lang Ang Iibigin</t>
  </si>
  <si>
    <t>Magandang Buhay</t>
  </si>
  <si>
    <t>Phoenix News Express P1</t>
  </si>
  <si>
    <t>C</t>
  </si>
  <si>
    <t>Saeshe:Cache Creek Casino</t>
  </si>
  <si>
    <t>CCC15M109: CK1008 26LNY Promo Lion Dance MAN (CCC15M109)</t>
  </si>
  <si>
    <t>M/C</t>
  </si>
  <si>
    <t>1005-C</t>
  </si>
  <si>
    <t>2338</t>
  </si>
  <si>
    <t>CCC15M110: CK1008 Branding 26 MAN (CCC15M110)</t>
  </si>
  <si>
    <t>CCC15C109: CK1008 26LNY Promo Lion Dance CAN (CCC15C109)</t>
  </si>
  <si>
    <t>CCC15C110: CK1008 Branding 26 CAN (CCC15C110)</t>
  </si>
  <si>
    <t>Time Advertising, Inc.:Graton Casino</t>
  </si>
  <si>
    <t>GRATON15C24: LNY 2026 Greeting 15 CAN</t>
  </si>
  <si>
    <t>2445</t>
  </si>
  <si>
    <t>CALCC30C01: ICanGo AAPI CAN (CALCC30C01)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</si>
  <si>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</si>
  <si>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</si>
  <si>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</si>
  <si>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</si>
  <si>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</si>
  <si>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</si>
  <si>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</si>
  <si>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Viet Drama</t>
  </si>
  <si>
    <t>Punjabi News</t>
  </si>
  <si>
    <t>Cantonese Variety</t>
  </si>
  <si>
    <t>Chinese News</t>
  </si>
  <si>
    <t>Jiangsu Variety</t>
  </si>
  <si>
    <t>Tuesday</t>
  </si>
  <si>
    <t>BVFL15E196: BVF_ExpolorerEvergreen_Jan2026_15 (BVFL15E196)</t>
  </si>
  <si>
    <t>Science Around Us</t>
  </si>
  <si>
    <t>FUJICM30J714:  TOYOTA People are the Destination TWTW3477000H (AH9092)</t>
  </si>
  <si>
    <t>Non-agency</t>
  </si>
  <si>
    <t>Top News</t>
  </si>
  <si>
    <t>SRC30V50: LNY Host Greeting VIE (SHG2026-V)</t>
  </si>
  <si>
    <t>SCWA15V05: Storm Ready (SCWA15V05)</t>
  </si>
  <si>
    <t>SCWA15V06: Storm Ready 311 Nov23 (SCWA15V06)</t>
  </si>
  <si>
    <t>Prince of Peace Enterprises, Inc.</t>
  </si>
  <si>
    <t>KLO30V10: Kwan Loong Oil Happiness REV (KLO30V10)</t>
  </si>
  <si>
    <t>2602</t>
  </si>
  <si>
    <t>2444</t>
  </si>
  <si>
    <t>CCC15V109: CK1008 26LNY Promo Lion Dance VIE (CCC15V109)</t>
  </si>
  <si>
    <t>1005-V</t>
  </si>
  <si>
    <t>2339</t>
  </si>
  <si>
    <t>CCC15V111: CK1008 26 Concert VIE</t>
  </si>
  <si>
    <t>CCC15V110: CK1008 Branding 26 VIE (CCC15V110)</t>
  </si>
  <si>
    <t>CALCC30V01: ICanGo AAPI VIE (CALCC30V01)</t>
  </si>
  <si>
    <t>Talk With Celebrities</t>
  </si>
  <si>
    <t>BVFL15E198: BVF_BroncoEvergreen_Jan2026_15 (BVFL15E198)</t>
  </si>
  <si>
    <t>CALCC30T01: ICanGo AAPI TAG (CALCC30T01)</t>
  </si>
  <si>
    <t>Till I Met You</t>
  </si>
  <si>
    <t>CALCC30M01: ICanGo AAPI MAN (CALCC30M01)</t>
  </si>
  <si>
    <t>GRATON15M24: LNY 2026 Greeting 15 MAN</t>
  </si>
  <si>
    <t>Places We Must Go S3</t>
  </si>
  <si>
    <t>Viet Variety</t>
  </si>
  <si>
    <t>Spice</t>
  </si>
  <si>
    <t>Big</t>
  </si>
  <si>
    <t>Filipino Variety</t>
  </si>
  <si>
    <t>Filipino News</t>
  </si>
  <si>
    <t xml:space="preserve">Fujisankei </t>
  </si>
  <si>
    <t>Wednesday</t>
  </si>
  <si>
    <t>Children's Time</t>
  </si>
  <si>
    <t>Healthy Life</t>
  </si>
  <si>
    <t>The Poor Heiress</t>
  </si>
  <si>
    <t>BVFL05BBM202: BVF LNY 05BB-Mandarin</t>
  </si>
  <si>
    <t>Who's Still Standing - Youth</t>
  </si>
  <si>
    <t>Thursday</t>
  </si>
  <si>
    <t>Save Our Earth Together</t>
  </si>
  <si>
    <t>ID15KIDS BEFORE SHOW</t>
  </si>
  <si>
    <t>FUJICM30J717:  TOYOTA Super Hero Belt TYTW3921000H (AH9099)</t>
  </si>
  <si>
    <t>Rodi Platcow Malin:Thunder Valley Casino</t>
  </si>
  <si>
    <t>TVC30V28: TVCR Thrill of the Moment SAC VIE (RPM-12690-25-4)</t>
  </si>
  <si>
    <t>10882-CV</t>
  </si>
  <si>
    <t>2380</t>
  </si>
  <si>
    <t>MSH30V27: MSH STH 2025 VIE</t>
  </si>
  <si>
    <t>Vietnamese Past &amp; Present Culture</t>
  </si>
  <si>
    <t>Never Say Goodbye</t>
  </si>
  <si>
    <t>My Hong Kong Perspectives</t>
  </si>
  <si>
    <t>Love Never Comes Late</t>
  </si>
  <si>
    <t>Friday</t>
  </si>
  <si>
    <t>IW Group, Inc.:California Department of Food and Agriculture (CDFA)</t>
  </si>
  <si>
    <t>CDFA LNY Advertorial Package</t>
  </si>
  <si>
    <t>BILLING LINE</t>
  </si>
  <si>
    <t>PKG</t>
  </si>
  <si>
    <t>CDFA LNY 2026</t>
  </si>
  <si>
    <t>Branded Content</t>
  </si>
  <si>
    <t>H&amp;L Partners:Toyota PRODUCTION</t>
  </si>
  <si>
    <t>Production Charges</t>
  </si>
  <si>
    <t>PRD</t>
  </si>
  <si>
    <t>Chinese Medicine</t>
  </si>
  <si>
    <t>Technology in Our Life</t>
  </si>
  <si>
    <t>SCWA15SA05: Storm Ready (SCWA15SA05)</t>
  </si>
  <si>
    <t>SCWA15SA06: Storm Ready 311 Nov23 (SCWA15SA06)</t>
  </si>
  <si>
    <t>CDPR30T01: Spray Days Animated TAG (DRP250109-T)</t>
  </si>
  <si>
    <t>Hanggang Saan</t>
  </si>
  <si>
    <t>My Hong Kong Story</t>
  </si>
  <si>
    <t>The Hits</t>
  </si>
  <si>
    <t>Saturday</t>
  </si>
  <si>
    <t>ID15KIDS BEFORE SHOW (REPLAY)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</si>
  <si>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</si>
  <si>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</si>
  <si>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</si>
  <si>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</si>
  <si>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</si>
  <si>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</si>
  <si>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</si>
  <si>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BVFL15E203: BVF_BlackWidow_Feb2026_15 (BVFL15E203)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</si>
  <si>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</si>
  <si>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</si>
  <si>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</si>
  <si>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</si>
  <si>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</si>
  <si>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</si>
  <si>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</si>
  <si>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>CALCC30H01: ICanGo AAPI HMO (CALCC30H01)</t>
  </si>
  <si>
    <t>Hm</t>
  </si>
  <si>
    <t>MSH30H27: MSH STH 2025 HMO</t>
  </si>
  <si>
    <t>BVFL15E204: BVF_WorkTrucks_Feb2026_15 (BVFL15E204)</t>
  </si>
  <si>
    <t>SRC30E44: High Limit Refresh 2025 V3 ENG (SRC0925-E)</t>
  </si>
  <si>
    <t>30220</t>
  </si>
  <si>
    <t>2458</t>
  </si>
  <si>
    <t>SRC30E49: February Promotion ENG (FP0226-E)</t>
  </si>
  <si>
    <t>SCWA15H05: Storm Ready (SCWA15H05)</t>
  </si>
  <si>
    <t>SCWA15H06: Storm Ready 311 Nov23 (SCWA15H06)</t>
  </si>
  <si>
    <t xml:space="preserve">Hmong Report </t>
  </si>
  <si>
    <t>South Asian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</si>
  <si>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</si>
  <si>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</si>
  <si>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</si>
  <si>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</si>
  <si>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</si>
  <si>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</si>
  <si>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</si>
  <si>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</si>
  <si>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</si>
  <si>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</si>
  <si>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BVFL15E205: BVF_MustangRTR_Feb2026_15 (BVFL15E205)</t>
  </si>
  <si>
    <t>CDPR30H01: Spray Days Animated HMO (DRP250109-H)</t>
  </si>
  <si>
    <t>Filipino Drama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</si>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</sst>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A46A6A"/>
        <bgColor indexed="64"/>
      </patternFill>
    </fill>
    <fill>
      <patternFill patternType="solid">
        <fgColor rgb="FFFF66CC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88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49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38" fillId="30" borderId="10" xfId="0" applyFont="1" applyFill="1" applyBorder="1"/>
    <xf numFmtId="0" fontId="38" fillId="31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15" fillId="31" borderId="10" xfId="0" applyFont="1" applyFill="1" applyBorder="1" applyAlignment="1">
      <alignment horizontal="center" vertical="center" wrapText="1"/>
    </xf>
    <xf numFmtId="0" fontId="38" fillId="33" borderId="10" xfId="0" applyFont="1" applyFill="1" applyBorder="1"/>
    <xf numFmtId="0" fontId="0" fillId="31" borderId="10" xfId="0" applyFill="1" applyBorder="1"/>
    <xf numFmtId="0" fontId="0" fillId="27" borderId="10" xfId="0" applyFill="1" applyBorder="1"/>
    <xf numFmtId="0" fontId="15" fillId="32" borderId="10" xfId="0" applyFont="1" applyFill="1" applyBorder="1" applyAlignment="1">
      <alignment horizontal="center" vertical="center" wrapText="1"/>
    </xf>
    <xf numFmtId="0" fontId="38" fillId="34" borderId="10" xfId="0" applyFont="1" applyFill="1" applyBorder="1"/>
    <xf numFmtId="49" fontId="15" fillId="24" borderId="10" xfId="172" applyNumberFormat="1" applyFont="1" applyFill="1" applyBorder="1" applyAlignment="1">
      <alignment horizontal="center" vertical="top" wrapText="1"/>
    </xf>
    <xf numFmtId="167" fontId="15" fillId="24" borderId="10" xfId="172" applyNumberFormat="1" applyFont="1" applyFill="1" applyBorder="1" applyAlignment="1">
      <alignment horizontal="center" vertical="top" wrapText="1"/>
    </xf>
    <xf numFmtId="165" fontId="15" fillId="24" borderId="10" xfId="172" applyNumberFormat="1" applyFont="1" applyFill="1" applyBorder="1" applyAlignment="1">
      <alignment horizontal="center" vertical="top" wrapText="1"/>
    </xf>
    <xf numFmtId="165" fontId="37" fillId="24" borderId="10" xfId="172" applyNumberFormat="1" applyFont="1" applyFill="1" applyBorder="1" applyAlignment="1">
      <alignment horizontal="center" vertical="top" wrapText="1"/>
    </xf>
    <xf numFmtId="1" fontId="15" fillId="24" borderId="10" xfId="172" applyNumberFormat="1" applyFont="1" applyFill="1" applyBorder="1" applyAlignment="1">
      <alignment horizontal="center" vertical="top" wrapText="1"/>
    </xf>
    <xf numFmtId="44" fontId="15" fillId="24" borderId="10" xfId="40" applyFont="1" applyFill="1" applyBorder="1" applyAlignment="1">
      <alignment horizontal="center" vertical="top" wrapText="1"/>
    </xf>
    <xf numFmtId="166" fontId="15" fillId="24" borderId="10" xfId="172" applyFont="1" applyFill="1" applyBorder="1" applyAlignment="1">
      <alignment horizontal="center" vertical="top" wrapText="1"/>
    </xf>
    <xf numFmtId="1" fontId="15" fillId="24" borderId="10" xfId="173" applyNumberFormat="1" applyFont="1" applyFill="1" applyBorder="1" applyAlignment="1">
      <alignment horizontal="center" vertical="top" wrapText="1"/>
    </xf>
    <xf numFmtId="0" fontId="38" fillId="35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44" fontId="15" fillId="36" borderId="10" xfId="40" applyFont="1" applyFill="1" applyBorder="1" applyAlignment="1">
      <alignment horizontal="center" vertical="center" wrapText="1"/>
    </xf>
    <xf numFmtId="0" fontId="0" fillId="34" borderId="10" xfId="0" applyFill="1" applyBorder="1"/>
    <xf numFmtId="0" fontId="0" fillId="0" borderId="10" xfId="0" applyBorder="1"/>
    <xf numFmtId="49" fontId="15" fillId="28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49" fontId="15" fillId="24" borderId="0" xfId="172" applyNumberFormat="1" applyFont="1" applyFill="1" applyBorder="1" applyAlignment="1">
      <alignment horizontal="center" vertical="top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4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4" borderId="0" xfId="172" applyNumberFormat="1" applyFont="1" applyFill="1" applyBorder="1" applyAlignment="1">
      <alignment horizontal="center" vertical="top" wrapText="1"/>
    </xf>
    <xf numFmtId="165" fontId="15" fillId="29" borderId="0" xfId="172" applyNumberFormat="1" applyFont="1" applyFill="1" applyBorder="1" applyAlignment="1">
      <alignment horizontal="center" vertical="top" wrapText="1"/>
    </xf>
    <xf numFmtId="49" fontId="15" fillId="29" borderId="0" xfId="172" applyNumberFormat="1" applyFont="1" applyFill="1" applyBorder="1" applyAlignment="1">
      <alignment horizontal="center" vertical="top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37" fillId="24" borderId="0" xfId="172" applyNumberFormat="1" applyFont="1" applyFill="1" applyBorder="1" applyAlignment="1">
      <alignment horizontal="center" vertical="top" wrapText="1"/>
    </xf>
    <xf numFmtId="1" fontId="15" fillId="28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4" borderId="0" xfId="172" applyNumberFormat="1" applyFont="1" applyFill="1" applyBorder="1" applyAlignment="1">
      <alignment horizontal="center" vertical="top" wrapText="1"/>
    </xf>
    <xf numFmtId="44" fontId="15" fillId="28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36" borderId="0" xfId="40" applyFont="1" applyFill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4" borderId="0" xfId="40" applyFont="1" applyFill="1" applyBorder="1" applyAlignment="1">
      <alignment horizontal="center" vertical="top" wrapText="1"/>
    </xf>
    <xf numFmtId="166" fontId="15" fillId="28" borderId="0" xfId="172" applyFont="1" applyFill="1" applyBorder="1" applyAlignment="1">
      <alignment horizontal="center" vertical="top" wrapText="1"/>
    </xf>
    <xf numFmtId="166" fontId="15" fillId="24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1" fontId="15" fillId="24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32" borderId="0" xfId="0" applyFont="1" applyFill="1" applyBorder="1"/>
    <xf numFmtId="0" fontId="38" fillId="31" borderId="0" xfId="0" applyFont="1" applyFill="1" applyBorder="1"/>
    <xf numFmtId="0" fontId="38" fillId="30" borderId="0" xfId="0" applyFont="1" applyFill="1" applyBorder="1"/>
    <xf numFmtId="0" fontId="38" fillId="27" borderId="0" xfId="0" applyFont="1" applyFill="1" applyBorder="1"/>
    <xf numFmtId="0" fontId="38" fillId="35" borderId="0" xfId="0" applyFont="1" applyFill="1" applyBorder="1"/>
    <xf numFmtId="0" fontId="15" fillId="28" borderId="0" xfId="0" applyFont="1" applyFill="1" applyBorder="1" applyAlignment="1">
      <alignment horizontal="center" vertical="center" wrapText="1"/>
    </xf>
    <xf numFmtId="0" fontId="15" fillId="31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B54E102E-A7F5-4B61-AA6A-E3890D36D0D4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9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1ECBB-A532-4BD7-B109-76B530956E40}">
  <dimension ref="A1:AW2460"/>
  <sheetViews>
    <sheetView tabSelected="1" zoomScale="55" zoomScaleNormal="55" workbookViewId="0"/>
  </sheetViews>
  <sheetFormatPr defaultColWidth="0" defaultRowHeight="12.75" x14ac:dyDescent="0.2"/>
  <cols>
    <col min="1" max="1" width="52.57031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75.140625" bestFit="1" customWidth="1"/>
    <col min="9" max="9" width="42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15" bestFit="1" customWidth="1"/>
    <col min="16" max="16" width="16.285156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6.285156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256</v>
      </c>
    </row>
    <row r="2" spans="1:49" s="28" customFormat="1" ht="31.5" x14ac:dyDescent="0.25">
      <c r="A2" s="9" t="s">
        <v>221</v>
      </c>
      <c r="B2" s="10">
        <v>46074</v>
      </c>
      <c r="C2" s="10">
        <v>46074</v>
      </c>
      <c r="D2" s="11" t="s">
        <v>214</v>
      </c>
      <c r="E2" s="12">
        <v>0.54166666666666663</v>
      </c>
      <c r="F2" s="12">
        <v>0.58333333333333337</v>
      </c>
      <c r="G2" s="12">
        <v>4.1666666666666664E-2</v>
      </c>
      <c r="H2" s="48" t="s">
        <v>221</v>
      </c>
      <c r="I2" s="13"/>
      <c r="J2" s="9" t="s">
        <v>97</v>
      </c>
      <c r="K2" s="9" t="s">
        <v>222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149</v>
      </c>
      <c r="AA2" s="9" t="s">
        <v>37</v>
      </c>
      <c r="AB2" s="9" t="s">
        <v>37</v>
      </c>
      <c r="AC2" s="9" t="s">
        <v>38</v>
      </c>
      <c r="AD2" s="7" t="s">
        <v>257</v>
      </c>
    </row>
    <row r="3" spans="1:49" s="28" customFormat="1" ht="31.5" x14ac:dyDescent="0.25">
      <c r="A3" s="9" t="s">
        <v>251</v>
      </c>
      <c r="B3" s="10">
        <v>46075</v>
      </c>
      <c r="C3" s="10">
        <v>46075</v>
      </c>
      <c r="D3" s="11" t="s">
        <v>243</v>
      </c>
      <c r="E3" s="12">
        <v>0.625</v>
      </c>
      <c r="F3" s="12">
        <v>0.66666666666666663</v>
      </c>
      <c r="G3" s="12">
        <v>4.1666666666666664E-2</v>
      </c>
      <c r="H3" s="9" t="s">
        <v>252</v>
      </c>
      <c r="I3" s="13"/>
      <c r="J3" s="9" t="s">
        <v>97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46075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86</v>
      </c>
      <c r="Z3" s="9" t="s">
        <v>149</v>
      </c>
      <c r="AA3" s="9" t="s">
        <v>37</v>
      </c>
      <c r="AB3" s="9" t="s">
        <v>37</v>
      </c>
      <c r="AC3" s="9" t="s">
        <v>38</v>
      </c>
      <c r="AD3" s="7" t="s">
        <v>257</v>
      </c>
    </row>
    <row r="4" spans="1:49" s="17" customFormat="1" ht="31.5" x14ac:dyDescent="0.25">
      <c r="A4" s="9" t="s">
        <v>64</v>
      </c>
      <c r="B4" s="10">
        <v>46069</v>
      </c>
      <c r="C4" s="10">
        <v>46069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65</v>
      </c>
      <c r="I4" s="13" t="s">
        <v>66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257</v>
      </c>
      <c r="AE4" s="28"/>
      <c r="AF4" s="28"/>
      <c r="AG4" s="28"/>
      <c r="AH4" s="28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</row>
    <row r="5" spans="1:49" s="17" customFormat="1" ht="31.5" x14ac:dyDescent="0.25">
      <c r="A5" s="9" t="s">
        <v>64</v>
      </c>
      <c r="B5" s="10">
        <v>46069</v>
      </c>
      <c r="C5" s="10">
        <v>46069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65</v>
      </c>
      <c r="I5" s="13" t="s">
        <v>66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257</v>
      </c>
      <c r="AE5" s="28"/>
      <c r="AF5" s="28"/>
      <c r="AG5" s="28"/>
      <c r="AH5" s="28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</row>
    <row r="6" spans="1:49" s="17" customFormat="1" ht="31.5" x14ac:dyDescent="0.25">
      <c r="A6" s="9" t="s">
        <v>64</v>
      </c>
      <c r="B6" s="10">
        <v>46070</v>
      </c>
      <c r="C6" s="10">
        <v>46070</v>
      </c>
      <c r="D6" s="11" t="s">
        <v>145</v>
      </c>
      <c r="E6" s="12">
        <v>0.29166666666666669</v>
      </c>
      <c r="F6" s="12">
        <v>0.3125</v>
      </c>
      <c r="G6" s="12">
        <v>2.0833333333333332E-2</v>
      </c>
      <c r="H6" s="9" t="s">
        <v>147</v>
      </c>
      <c r="I6" s="13" t="s">
        <v>66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257</v>
      </c>
      <c r="AE6" s="28"/>
      <c r="AF6" s="28"/>
      <c r="AG6" s="28"/>
      <c r="AH6" s="28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</row>
    <row r="7" spans="1:49" s="17" customFormat="1" ht="31.5" x14ac:dyDescent="0.25">
      <c r="A7" s="9" t="s">
        <v>64</v>
      </c>
      <c r="B7" s="10">
        <v>46070</v>
      </c>
      <c r="C7" s="10">
        <v>46070</v>
      </c>
      <c r="D7" s="11" t="s">
        <v>145</v>
      </c>
      <c r="E7" s="12">
        <v>0.3125</v>
      </c>
      <c r="F7" s="12">
        <v>0.33333333333333331</v>
      </c>
      <c r="G7" s="12">
        <v>2.0833333333333332E-2</v>
      </c>
      <c r="H7" s="9" t="s">
        <v>147</v>
      </c>
      <c r="I7" s="13" t="s">
        <v>66</v>
      </c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257</v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28" customFormat="1" ht="31.5" x14ac:dyDescent="0.25">
      <c r="A8" s="9" t="s">
        <v>64</v>
      </c>
      <c r="B8" s="10">
        <v>46071</v>
      </c>
      <c r="C8" s="10">
        <v>46071</v>
      </c>
      <c r="D8" s="11" t="s">
        <v>177</v>
      </c>
      <c r="E8" s="12">
        <v>0.29166666666666669</v>
      </c>
      <c r="F8" s="12">
        <v>0.3125</v>
      </c>
      <c r="G8" s="12">
        <v>2.0833333333333332E-2</v>
      </c>
      <c r="H8" s="9" t="s">
        <v>178</v>
      </c>
      <c r="I8" s="13" t="s">
        <v>66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257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1.5" x14ac:dyDescent="0.25">
      <c r="A9" s="9" t="s">
        <v>64</v>
      </c>
      <c r="B9" s="10">
        <v>46071</v>
      </c>
      <c r="C9" s="10">
        <v>46071</v>
      </c>
      <c r="D9" s="11" t="s">
        <v>177</v>
      </c>
      <c r="E9" s="12">
        <v>0.3125</v>
      </c>
      <c r="F9" s="12">
        <v>0.33333333333333331</v>
      </c>
      <c r="G9" s="12">
        <v>2.0833333333333332E-2</v>
      </c>
      <c r="H9" s="9" t="s">
        <v>178</v>
      </c>
      <c r="I9" s="13" t="s">
        <v>66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257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1.5" x14ac:dyDescent="0.25">
      <c r="A10" s="9" t="s">
        <v>64</v>
      </c>
      <c r="B10" s="10">
        <v>46072</v>
      </c>
      <c r="C10" s="10">
        <v>46072</v>
      </c>
      <c r="D10" s="11" t="s">
        <v>183</v>
      </c>
      <c r="E10" s="12">
        <v>0.29166666666666669</v>
      </c>
      <c r="F10" s="12">
        <v>0.3125</v>
      </c>
      <c r="G10" s="12">
        <v>2.0833333333333332E-2</v>
      </c>
      <c r="H10" s="9" t="s">
        <v>184</v>
      </c>
      <c r="I10" s="13" t="s">
        <v>185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257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9" t="s">
        <v>64</v>
      </c>
      <c r="B11" s="10">
        <v>46072</v>
      </c>
      <c r="C11" s="10">
        <v>46072</v>
      </c>
      <c r="D11" s="11" t="s">
        <v>183</v>
      </c>
      <c r="E11" s="12">
        <v>0.3125</v>
      </c>
      <c r="F11" s="12">
        <v>0.33333333333333331</v>
      </c>
      <c r="G11" s="12">
        <v>2.0833333333333332E-2</v>
      </c>
      <c r="H11" s="9" t="s">
        <v>184</v>
      </c>
      <c r="I11" s="13" t="s">
        <v>185</v>
      </c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257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64</v>
      </c>
      <c r="B12" s="10">
        <v>46073</v>
      </c>
      <c r="C12" s="10">
        <v>46073</v>
      </c>
      <c r="D12" s="11" t="s">
        <v>196</v>
      </c>
      <c r="E12" s="12">
        <v>0.29166666666666669</v>
      </c>
      <c r="F12" s="12">
        <v>0.3125</v>
      </c>
      <c r="G12" s="12">
        <v>2.0833333333333332E-2</v>
      </c>
      <c r="H12" s="9" t="s">
        <v>206</v>
      </c>
      <c r="I12" s="13" t="s">
        <v>185</v>
      </c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257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9" t="s">
        <v>64</v>
      </c>
      <c r="B13" s="10">
        <v>46073</v>
      </c>
      <c r="C13" s="10">
        <v>46073</v>
      </c>
      <c r="D13" s="11" t="s">
        <v>196</v>
      </c>
      <c r="E13" s="12">
        <v>0.3125</v>
      </c>
      <c r="F13" s="12">
        <v>0.33333333333333331</v>
      </c>
      <c r="G13" s="12">
        <v>2.0833333333333332E-2</v>
      </c>
      <c r="H13" s="9" t="s">
        <v>206</v>
      </c>
      <c r="I13" s="13" t="s">
        <v>185</v>
      </c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257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1.5" x14ac:dyDescent="0.25">
      <c r="A14" s="9" t="s">
        <v>64</v>
      </c>
      <c r="B14" s="10">
        <v>46074</v>
      </c>
      <c r="C14" s="10">
        <v>46074</v>
      </c>
      <c r="D14" s="11" t="s">
        <v>214</v>
      </c>
      <c r="E14" s="12">
        <v>0.29166666666666669</v>
      </c>
      <c r="F14" s="12">
        <v>0.3125</v>
      </c>
      <c r="G14" s="12">
        <v>2.0833333333333332E-2</v>
      </c>
      <c r="H14" s="9" t="s">
        <v>65</v>
      </c>
      <c r="I14" s="13" t="s">
        <v>215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257</v>
      </c>
    </row>
    <row r="15" spans="1:49" s="17" customFormat="1" ht="31.5" x14ac:dyDescent="0.25">
      <c r="A15" s="9" t="s">
        <v>64</v>
      </c>
      <c r="B15" s="10">
        <v>46074</v>
      </c>
      <c r="C15" s="10">
        <v>46074</v>
      </c>
      <c r="D15" s="11" t="s">
        <v>214</v>
      </c>
      <c r="E15" s="12">
        <v>0.3125</v>
      </c>
      <c r="F15" s="12">
        <v>0.33333333333333331</v>
      </c>
      <c r="G15" s="12">
        <v>2.0833333333333332E-2</v>
      </c>
      <c r="H15" s="9" t="s">
        <v>65</v>
      </c>
      <c r="I15" s="13" t="s">
        <v>215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257</v>
      </c>
      <c r="AE15" s="28"/>
      <c r="AF15" s="28"/>
      <c r="AG15" s="28"/>
      <c r="AH15" s="28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</row>
    <row r="16" spans="1:49" s="17" customFormat="1" ht="31.5" x14ac:dyDescent="0.25">
      <c r="A16" s="9" t="s">
        <v>64</v>
      </c>
      <c r="B16" s="10">
        <v>46075</v>
      </c>
      <c r="C16" s="10">
        <v>46075</v>
      </c>
      <c r="D16" s="11" t="s">
        <v>243</v>
      </c>
      <c r="E16" s="12">
        <v>0.29166666666666669</v>
      </c>
      <c r="F16" s="12">
        <v>0.3125</v>
      </c>
      <c r="G16" s="12">
        <v>2.0833333333333332E-2</v>
      </c>
      <c r="H16" s="9" t="s">
        <v>178</v>
      </c>
      <c r="I16" s="13" t="s">
        <v>215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257</v>
      </c>
      <c r="AE16" s="50"/>
      <c r="AF16" s="50"/>
      <c r="AG16" s="50"/>
      <c r="AH16" s="50"/>
    </row>
    <row r="17" spans="1:49" s="28" customFormat="1" ht="31.5" x14ac:dyDescent="0.25">
      <c r="A17" s="9" t="s">
        <v>64</v>
      </c>
      <c r="B17" s="10">
        <v>46075</v>
      </c>
      <c r="C17" s="10">
        <v>46075</v>
      </c>
      <c r="D17" s="11" t="s">
        <v>243</v>
      </c>
      <c r="E17" s="12">
        <v>0.3125</v>
      </c>
      <c r="F17" s="12">
        <v>0.33333333333333331</v>
      </c>
      <c r="G17" s="12">
        <v>2.0833333333333332E-2</v>
      </c>
      <c r="H17" s="9" t="s">
        <v>178</v>
      </c>
      <c r="I17" s="13" t="s">
        <v>215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257</v>
      </c>
    </row>
    <row r="18" spans="1:49" s="28" customFormat="1" ht="31.5" x14ac:dyDescent="0.25">
      <c r="A18" s="9" t="s">
        <v>76</v>
      </c>
      <c r="B18" s="10">
        <v>46069</v>
      </c>
      <c r="C18" s="10">
        <v>46069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77</v>
      </c>
      <c r="I18" s="13"/>
      <c r="J18" s="9" t="s">
        <v>78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">
        <v>257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9" t="s">
        <v>76</v>
      </c>
      <c r="B19" s="10">
        <v>46070</v>
      </c>
      <c r="C19" s="10">
        <v>46070</v>
      </c>
      <c r="D19" s="11" t="s">
        <v>145</v>
      </c>
      <c r="E19" s="12">
        <v>0.41666666666666669</v>
      </c>
      <c r="F19" s="12">
        <v>0.45833333333333331</v>
      </c>
      <c r="G19" s="12">
        <v>4.1666666666666664E-2</v>
      </c>
      <c r="H19" s="9" t="s">
        <v>77</v>
      </c>
      <c r="I19" s="13"/>
      <c r="J19" s="9" t="s">
        <v>78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257</v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28" customFormat="1" ht="31.5" x14ac:dyDescent="0.25">
      <c r="A20" s="18" t="s">
        <v>76</v>
      </c>
      <c r="B20" s="19">
        <v>46070</v>
      </c>
      <c r="C20" s="19">
        <v>46070</v>
      </c>
      <c r="D20" s="18" t="s">
        <v>145</v>
      </c>
      <c r="E20" s="20">
        <v>0.41666666666666669</v>
      </c>
      <c r="F20" s="20">
        <v>0.45833333333333331</v>
      </c>
      <c r="G20" s="20">
        <v>3.4722222222222224E-4</v>
      </c>
      <c r="H20" s="18" t="s">
        <v>148</v>
      </c>
      <c r="I20" s="23">
        <v>0.42370370370370369</v>
      </c>
      <c r="J20" s="18" t="s">
        <v>78</v>
      </c>
      <c r="K20" s="18" t="s">
        <v>176</v>
      </c>
      <c r="L20" s="24">
        <v>1</v>
      </c>
      <c r="M20" s="24">
        <v>4</v>
      </c>
      <c r="N20" s="18" t="s">
        <v>54</v>
      </c>
      <c r="O20" s="24"/>
      <c r="P20" s="25">
        <v>0</v>
      </c>
      <c r="Q20" s="24"/>
      <c r="R20" s="25">
        <v>0</v>
      </c>
      <c r="S20" s="26">
        <v>46054</v>
      </c>
      <c r="T20" s="25">
        <v>0</v>
      </c>
      <c r="U20" s="27">
        <v>4</v>
      </c>
      <c r="V20" s="25">
        <v>0</v>
      </c>
      <c r="W20" s="18" t="s">
        <v>34</v>
      </c>
      <c r="X20" s="18" t="s">
        <v>35</v>
      </c>
      <c r="Y20" s="18" t="s">
        <v>36</v>
      </c>
      <c r="Z20" s="18" t="s">
        <v>149</v>
      </c>
      <c r="AA20" s="18" t="s">
        <v>50</v>
      </c>
      <c r="AB20" s="18">
        <v>1109</v>
      </c>
      <c r="AC20" s="18" t="s">
        <v>38</v>
      </c>
      <c r="AD20" s="7" t="s">
        <v>257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1.5" x14ac:dyDescent="0.25">
      <c r="A21" s="9" t="s">
        <v>76</v>
      </c>
      <c r="B21" s="10">
        <v>46071</v>
      </c>
      <c r="C21" s="10">
        <v>46071</v>
      </c>
      <c r="D21" s="11" t="s">
        <v>177</v>
      </c>
      <c r="E21" s="12">
        <v>0.41666666666666669</v>
      </c>
      <c r="F21" s="12">
        <v>0.45833333333333331</v>
      </c>
      <c r="G21" s="12">
        <v>4.1666666666666664E-2</v>
      </c>
      <c r="H21" s="9" t="s">
        <v>77</v>
      </c>
      <c r="I21" s="13"/>
      <c r="J21" s="9" t="s">
        <v>78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257</v>
      </c>
    </row>
    <row r="22" spans="1:49" s="17" customFormat="1" ht="31.5" x14ac:dyDescent="0.25">
      <c r="A22" s="9" t="s">
        <v>76</v>
      </c>
      <c r="B22" s="10">
        <v>46072</v>
      </c>
      <c r="C22" s="10">
        <v>46072</v>
      </c>
      <c r="D22" s="11" t="s">
        <v>183</v>
      </c>
      <c r="E22" s="12">
        <v>0.41666666666666669</v>
      </c>
      <c r="F22" s="12">
        <v>0.45833333333333331</v>
      </c>
      <c r="G22" s="12">
        <v>4.1666666666666664E-2</v>
      </c>
      <c r="H22" s="9" t="s">
        <v>77</v>
      </c>
      <c r="I22" s="13"/>
      <c r="J22" s="9" t="s">
        <v>78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">
        <v>257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18" t="s">
        <v>76</v>
      </c>
      <c r="B23" s="19">
        <v>46072</v>
      </c>
      <c r="C23" s="19">
        <v>46072</v>
      </c>
      <c r="D23" s="18" t="s">
        <v>183</v>
      </c>
      <c r="E23" s="20">
        <v>0.41666666666666669</v>
      </c>
      <c r="F23" s="20">
        <v>0.45833333333333331</v>
      </c>
      <c r="G23" s="20">
        <v>3.4722222222222224E-4</v>
      </c>
      <c r="H23" s="18" t="s">
        <v>186</v>
      </c>
      <c r="I23" s="23">
        <v>0.42243055555555553</v>
      </c>
      <c r="J23" s="18" t="s">
        <v>78</v>
      </c>
      <c r="K23" s="18" t="s">
        <v>76</v>
      </c>
      <c r="L23" s="24">
        <v>1</v>
      </c>
      <c r="M23" s="24">
        <v>4</v>
      </c>
      <c r="N23" s="18" t="s">
        <v>54</v>
      </c>
      <c r="O23" s="24"/>
      <c r="P23" s="25">
        <v>0</v>
      </c>
      <c r="Q23" s="24"/>
      <c r="R23" s="25">
        <v>0</v>
      </c>
      <c r="S23" s="26">
        <v>46054</v>
      </c>
      <c r="T23" s="25">
        <v>0</v>
      </c>
      <c r="U23" s="27">
        <v>4</v>
      </c>
      <c r="V23" s="25">
        <v>0</v>
      </c>
      <c r="W23" s="18" t="s">
        <v>34</v>
      </c>
      <c r="X23" s="18" t="s">
        <v>35</v>
      </c>
      <c r="Y23" s="18" t="s">
        <v>36</v>
      </c>
      <c r="Z23" s="18" t="s">
        <v>149</v>
      </c>
      <c r="AA23" s="18" t="s">
        <v>50</v>
      </c>
      <c r="AB23" s="18">
        <v>1109</v>
      </c>
      <c r="AC23" s="18" t="s">
        <v>38</v>
      </c>
      <c r="AD23" s="7" t="s">
        <v>257</v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17" customFormat="1" ht="31.5" x14ac:dyDescent="0.25">
      <c r="A24" s="9" t="s">
        <v>76</v>
      </c>
      <c r="B24" s="10">
        <v>46073</v>
      </c>
      <c r="C24" s="10">
        <v>46073</v>
      </c>
      <c r="D24" s="11" t="s">
        <v>196</v>
      </c>
      <c r="E24" s="12">
        <v>0.41666666666666669</v>
      </c>
      <c r="F24" s="12">
        <v>0.45833333333333331</v>
      </c>
      <c r="G24" s="12">
        <v>4.1666666666666664E-2</v>
      </c>
      <c r="H24" s="9" t="s">
        <v>77</v>
      </c>
      <c r="I24" s="13"/>
      <c r="J24" s="9" t="s">
        <v>78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">
        <v>257</v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28" customFormat="1" ht="31.5" x14ac:dyDescent="0.25">
      <c r="A25" s="39" t="s">
        <v>203</v>
      </c>
      <c r="B25" s="40">
        <v>46073</v>
      </c>
      <c r="C25" s="40">
        <v>46073</v>
      </c>
      <c r="D25" s="39" t="s">
        <v>196</v>
      </c>
      <c r="E25" s="41">
        <v>0</v>
      </c>
      <c r="F25" s="41">
        <v>0</v>
      </c>
      <c r="G25" s="41">
        <v>3.4722222222222224E-4</v>
      </c>
      <c r="H25" s="39" t="s">
        <v>204</v>
      </c>
      <c r="I25" s="42" t="s">
        <v>199</v>
      </c>
      <c r="J25" s="39" t="s">
        <v>110</v>
      </c>
      <c r="K25" s="39" t="s">
        <v>139</v>
      </c>
      <c r="L25" s="43">
        <v>1</v>
      </c>
      <c r="M25" s="43">
        <v>1</v>
      </c>
      <c r="N25" s="39" t="s">
        <v>205</v>
      </c>
      <c r="O25" s="43" t="s">
        <v>205</v>
      </c>
      <c r="P25" s="44">
        <v>900</v>
      </c>
      <c r="Q25" s="43"/>
      <c r="R25" s="44">
        <v>900</v>
      </c>
      <c r="S25" s="45">
        <v>46054</v>
      </c>
      <c r="T25" s="44">
        <v>0</v>
      </c>
      <c r="U25" s="46">
        <v>4</v>
      </c>
      <c r="V25" s="44">
        <v>900</v>
      </c>
      <c r="W25" s="39" t="s">
        <v>48</v>
      </c>
      <c r="X25" s="39" t="s">
        <v>202</v>
      </c>
      <c r="Y25" s="39" t="s">
        <v>36</v>
      </c>
      <c r="Z25" s="39" t="s">
        <v>9</v>
      </c>
      <c r="AA25" s="39" t="s">
        <v>50</v>
      </c>
      <c r="AB25" s="39">
        <v>0</v>
      </c>
      <c r="AC25" s="39" t="s">
        <v>38</v>
      </c>
      <c r="AD25" s="7" t="s">
        <v>256</v>
      </c>
      <c r="AE25" s="29"/>
      <c r="AF25" s="29"/>
      <c r="AG25" s="29"/>
      <c r="AH25" s="29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</row>
    <row r="26" spans="1:49" s="28" customFormat="1" ht="31.5" x14ac:dyDescent="0.25">
      <c r="A26" s="18" t="s">
        <v>82</v>
      </c>
      <c r="B26" s="19">
        <v>46069</v>
      </c>
      <c r="C26" s="19">
        <v>46069</v>
      </c>
      <c r="D26" s="18" t="s">
        <v>30</v>
      </c>
      <c r="E26" s="20">
        <v>0.45833333333333331</v>
      </c>
      <c r="F26" s="20">
        <v>0.54166666666666663</v>
      </c>
      <c r="G26" s="20">
        <v>3.4722222222222218E-4</v>
      </c>
      <c r="H26" s="18" t="s">
        <v>83</v>
      </c>
      <c r="I26" s="23">
        <v>0.51380787037037035</v>
      </c>
      <c r="J26" s="18" t="s">
        <v>84</v>
      </c>
      <c r="K26" s="18" t="s">
        <v>140</v>
      </c>
      <c r="L26" s="24">
        <v>1</v>
      </c>
      <c r="M26" s="24">
        <v>70171</v>
      </c>
      <c r="N26" s="18" t="s">
        <v>46</v>
      </c>
      <c r="O26" s="24" t="s">
        <v>85</v>
      </c>
      <c r="P26" s="25">
        <v>0</v>
      </c>
      <c r="Q26" s="24"/>
      <c r="R26" s="25">
        <v>0</v>
      </c>
      <c r="S26" s="26">
        <v>46069</v>
      </c>
      <c r="T26" s="25">
        <v>0</v>
      </c>
      <c r="U26" s="27">
        <v>4</v>
      </c>
      <c r="V26" s="25">
        <v>0</v>
      </c>
      <c r="W26" s="18" t="s">
        <v>48</v>
      </c>
      <c r="X26" s="18" t="s">
        <v>49</v>
      </c>
      <c r="Y26" s="18" t="s">
        <v>86</v>
      </c>
      <c r="Z26" s="18" t="s">
        <v>43</v>
      </c>
      <c r="AA26" s="18" t="s">
        <v>50</v>
      </c>
      <c r="AB26" s="18" t="s">
        <v>87</v>
      </c>
      <c r="AC26" s="18" t="s">
        <v>38</v>
      </c>
      <c r="AD26" s="7" t="s">
        <v>257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1.5" x14ac:dyDescent="0.25">
      <c r="A27" s="18" t="s">
        <v>82</v>
      </c>
      <c r="B27" s="19">
        <v>46069</v>
      </c>
      <c r="C27" s="19">
        <v>46069</v>
      </c>
      <c r="D27" s="18" t="s">
        <v>30</v>
      </c>
      <c r="E27" s="20">
        <v>0.5</v>
      </c>
      <c r="F27" s="20">
        <v>0.54166666666666663</v>
      </c>
      <c r="G27" s="20">
        <v>3.4722222222222218E-4</v>
      </c>
      <c r="H27" s="18" t="s">
        <v>83</v>
      </c>
      <c r="I27" s="23">
        <v>0.52032407407407411</v>
      </c>
      <c r="J27" s="18" t="s">
        <v>84</v>
      </c>
      <c r="K27" s="18" t="s">
        <v>140</v>
      </c>
      <c r="L27" s="24">
        <v>1</v>
      </c>
      <c r="M27" s="24">
        <v>70170</v>
      </c>
      <c r="N27" s="18" t="s">
        <v>54</v>
      </c>
      <c r="O27" s="24" t="s">
        <v>85</v>
      </c>
      <c r="P27" s="25">
        <v>35</v>
      </c>
      <c r="Q27" s="24"/>
      <c r="R27" s="25">
        <v>35</v>
      </c>
      <c r="S27" s="26">
        <v>46069</v>
      </c>
      <c r="T27" s="25">
        <v>0</v>
      </c>
      <c r="U27" s="27">
        <v>4</v>
      </c>
      <c r="V27" s="25">
        <v>35</v>
      </c>
      <c r="W27" s="18" t="s">
        <v>48</v>
      </c>
      <c r="X27" s="18" t="s">
        <v>49</v>
      </c>
      <c r="Y27" s="18" t="s">
        <v>86</v>
      </c>
      <c r="Z27" s="18" t="s">
        <v>43</v>
      </c>
      <c r="AA27" s="18" t="s">
        <v>50</v>
      </c>
      <c r="AB27" s="18" t="s">
        <v>87</v>
      </c>
      <c r="AC27" s="18" t="s">
        <v>38</v>
      </c>
      <c r="AD27" s="7" t="s">
        <v>257</v>
      </c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</row>
    <row r="28" spans="1:49" s="17" customFormat="1" ht="31.5" x14ac:dyDescent="0.25">
      <c r="A28" s="18" t="s">
        <v>82</v>
      </c>
      <c r="B28" s="19">
        <v>46069</v>
      </c>
      <c r="C28" s="19">
        <v>46069</v>
      </c>
      <c r="D28" s="18" t="s">
        <v>30</v>
      </c>
      <c r="E28" s="20">
        <v>0.5</v>
      </c>
      <c r="F28" s="20">
        <v>0.54166666666666663</v>
      </c>
      <c r="G28" s="20">
        <v>3.4722222222222218E-4</v>
      </c>
      <c r="H28" s="18" t="s">
        <v>83</v>
      </c>
      <c r="I28" s="23">
        <v>0.54069444444444448</v>
      </c>
      <c r="J28" s="18" t="s">
        <v>84</v>
      </c>
      <c r="K28" s="18" t="s">
        <v>140</v>
      </c>
      <c r="L28" s="24">
        <v>1</v>
      </c>
      <c r="M28" s="24">
        <v>70170</v>
      </c>
      <c r="N28" s="18" t="s">
        <v>54</v>
      </c>
      <c r="O28" s="24" t="s">
        <v>85</v>
      </c>
      <c r="P28" s="25">
        <v>35</v>
      </c>
      <c r="Q28" s="24"/>
      <c r="R28" s="25">
        <v>35</v>
      </c>
      <c r="S28" s="26">
        <v>46069</v>
      </c>
      <c r="T28" s="25">
        <v>0</v>
      </c>
      <c r="U28" s="27">
        <v>4</v>
      </c>
      <c r="V28" s="25">
        <v>35</v>
      </c>
      <c r="W28" s="18" t="s">
        <v>48</v>
      </c>
      <c r="X28" s="18" t="s">
        <v>49</v>
      </c>
      <c r="Y28" s="18" t="s">
        <v>86</v>
      </c>
      <c r="Z28" s="18" t="s">
        <v>43</v>
      </c>
      <c r="AA28" s="18" t="s">
        <v>50</v>
      </c>
      <c r="AB28" s="18" t="s">
        <v>87</v>
      </c>
      <c r="AC28" s="18" t="s">
        <v>38</v>
      </c>
      <c r="AD28" s="7" t="s">
        <v>257</v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17" customFormat="1" ht="31.5" x14ac:dyDescent="0.25">
      <c r="A29" s="18" t="s">
        <v>82</v>
      </c>
      <c r="B29" s="19">
        <v>46070</v>
      </c>
      <c r="C29" s="19">
        <v>46070</v>
      </c>
      <c r="D29" s="18" t="s">
        <v>145</v>
      </c>
      <c r="E29" s="20">
        <v>0.45833333333333331</v>
      </c>
      <c r="F29" s="20">
        <v>0.54166666666666663</v>
      </c>
      <c r="G29" s="20">
        <v>3.4722222222222218E-4</v>
      </c>
      <c r="H29" s="18" t="s">
        <v>83</v>
      </c>
      <c r="I29" s="23">
        <v>0.54079861111111116</v>
      </c>
      <c r="J29" s="18" t="s">
        <v>84</v>
      </c>
      <c r="K29" s="18" t="s">
        <v>140</v>
      </c>
      <c r="L29" s="24">
        <v>1</v>
      </c>
      <c r="M29" s="24">
        <v>70171</v>
      </c>
      <c r="N29" s="18" t="s">
        <v>46</v>
      </c>
      <c r="O29" s="24" t="s">
        <v>85</v>
      </c>
      <c r="P29" s="25">
        <v>0</v>
      </c>
      <c r="Q29" s="24"/>
      <c r="R29" s="25">
        <v>0</v>
      </c>
      <c r="S29" s="26">
        <v>46070</v>
      </c>
      <c r="T29" s="25">
        <v>0</v>
      </c>
      <c r="U29" s="27">
        <v>4</v>
      </c>
      <c r="V29" s="25">
        <v>0</v>
      </c>
      <c r="W29" s="18" t="s">
        <v>48</v>
      </c>
      <c r="X29" s="18" t="s">
        <v>49</v>
      </c>
      <c r="Y29" s="18" t="s">
        <v>86</v>
      </c>
      <c r="Z29" s="18" t="s">
        <v>43</v>
      </c>
      <c r="AA29" s="18" t="s">
        <v>50</v>
      </c>
      <c r="AB29" s="18" t="s">
        <v>87</v>
      </c>
      <c r="AC29" s="18" t="s">
        <v>38</v>
      </c>
      <c r="AD29" s="7" t="s">
        <v>257</v>
      </c>
      <c r="AE29" s="28"/>
      <c r="AF29" s="28"/>
      <c r="AG29" s="28"/>
      <c r="AH29" s="28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</row>
    <row r="30" spans="1:49" s="17" customFormat="1" ht="31.5" x14ac:dyDescent="0.25">
      <c r="A30" s="18" t="s">
        <v>82</v>
      </c>
      <c r="B30" s="19">
        <v>46071</v>
      </c>
      <c r="C30" s="19">
        <v>46071</v>
      </c>
      <c r="D30" s="18" t="s">
        <v>177</v>
      </c>
      <c r="E30" s="20">
        <v>0.45833333333333331</v>
      </c>
      <c r="F30" s="20">
        <v>0.5</v>
      </c>
      <c r="G30" s="20">
        <v>3.4722222222222218E-4</v>
      </c>
      <c r="H30" s="18" t="s">
        <v>83</v>
      </c>
      <c r="I30" s="23">
        <v>0.48349537037037038</v>
      </c>
      <c r="J30" s="18" t="s">
        <v>84</v>
      </c>
      <c r="K30" s="18" t="s">
        <v>171</v>
      </c>
      <c r="L30" s="24">
        <v>1</v>
      </c>
      <c r="M30" s="24">
        <v>70169</v>
      </c>
      <c r="N30" s="18" t="s">
        <v>54</v>
      </c>
      <c r="O30" s="24" t="s">
        <v>85</v>
      </c>
      <c r="P30" s="25">
        <v>35</v>
      </c>
      <c r="Q30" s="24"/>
      <c r="R30" s="25">
        <v>35</v>
      </c>
      <c r="S30" s="26">
        <v>46071</v>
      </c>
      <c r="T30" s="25">
        <v>0</v>
      </c>
      <c r="U30" s="27">
        <v>4</v>
      </c>
      <c r="V30" s="25">
        <v>35</v>
      </c>
      <c r="W30" s="18" t="s">
        <v>48</v>
      </c>
      <c r="X30" s="18" t="s">
        <v>49</v>
      </c>
      <c r="Y30" s="18" t="s">
        <v>86</v>
      </c>
      <c r="Z30" s="18" t="s">
        <v>43</v>
      </c>
      <c r="AA30" s="18" t="s">
        <v>50</v>
      </c>
      <c r="AB30" s="18" t="s">
        <v>87</v>
      </c>
      <c r="AC30" s="18" t="s">
        <v>38</v>
      </c>
      <c r="AD30" s="7" t="s">
        <v>257</v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28" customFormat="1" ht="31.5" x14ac:dyDescent="0.25">
      <c r="A31" s="18" t="s">
        <v>82</v>
      </c>
      <c r="B31" s="19">
        <v>46071</v>
      </c>
      <c r="C31" s="19">
        <v>46071</v>
      </c>
      <c r="D31" s="18" t="s">
        <v>177</v>
      </c>
      <c r="E31" s="20">
        <v>0.45833333333333331</v>
      </c>
      <c r="F31" s="20">
        <v>0.5</v>
      </c>
      <c r="G31" s="20">
        <v>3.4722222222222218E-4</v>
      </c>
      <c r="H31" s="18" t="s">
        <v>83</v>
      </c>
      <c r="I31" s="23">
        <v>0.49844907407407407</v>
      </c>
      <c r="J31" s="18" t="s">
        <v>84</v>
      </c>
      <c r="K31" s="18" t="s">
        <v>171</v>
      </c>
      <c r="L31" s="24">
        <v>1</v>
      </c>
      <c r="M31" s="24">
        <v>70169</v>
      </c>
      <c r="N31" s="18" t="s">
        <v>54</v>
      </c>
      <c r="O31" s="24" t="s">
        <v>85</v>
      </c>
      <c r="P31" s="25">
        <v>35</v>
      </c>
      <c r="Q31" s="24"/>
      <c r="R31" s="25">
        <v>35</v>
      </c>
      <c r="S31" s="26">
        <v>46071</v>
      </c>
      <c r="T31" s="25">
        <v>0</v>
      </c>
      <c r="U31" s="27">
        <v>4</v>
      </c>
      <c r="V31" s="25">
        <v>35</v>
      </c>
      <c r="W31" s="18" t="s">
        <v>48</v>
      </c>
      <c r="X31" s="18" t="s">
        <v>49</v>
      </c>
      <c r="Y31" s="18" t="s">
        <v>86</v>
      </c>
      <c r="Z31" s="18" t="s">
        <v>43</v>
      </c>
      <c r="AA31" s="18" t="s">
        <v>50</v>
      </c>
      <c r="AB31" s="18" t="s">
        <v>87</v>
      </c>
      <c r="AC31" s="18" t="s">
        <v>38</v>
      </c>
      <c r="AD31" s="7" t="s">
        <v>257</v>
      </c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</row>
    <row r="32" spans="1:49" s="28" customFormat="1" ht="31.5" x14ac:dyDescent="0.25">
      <c r="A32" s="18" t="s">
        <v>82</v>
      </c>
      <c r="B32" s="19">
        <v>46071</v>
      </c>
      <c r="C32" s="19">
        <v>46071</v>
      </c>
      <c r="D32" s="18" t="s">
        <v>177</v>
      </c>
      <c r="E32" s="20">
        <v>0.45833333333333331</v>
      </c>
      <c r="F32" s="20">
        <v>0.54166666666666663</v>
      </c>
      <c r="G32" s="20">
        <v>3.4722222222222218E-4</v>
      </c>
      <c r="H32" s="18" t="s">
        <v>83</v>
      </c>
      <c r="I32" s="23">
        <v>0.52972222222222221</v>
      </c>
      <c r="J32" s="18" t="s">
        <v>84</v>
      </c>
      <c r="K32" s="18" t="s">
        <v>140</v>
      </c>
      <c r="L32" s="24">
        <v>1</v>
      </c>
      <c r="M32" s="24">
        <v>70171</v>
      </c>
      <c r="N32" s="18" t="s">
        <v>46</v>
      </c>
      <c r="O32" s="24" t="s">
        <v>85</v>
      </c>
      <c r="P32" s="25">
        <v>0</v>
      </c>
      <c r="Q32" s="24"/>
      <c r="R32" s="25">
        <v>0</v>
      </c>
      <c r="S32" s="26">
        <v>46071</v>
      </c>
      <c r="T32" s="25">
        <v>0</v>
      </c>
      <c r="U32" s="27">
        <v>4</v>
      </c>
      <c r="V32" s="25">
        <v>0</v>
      </c>
      <c r="W32" s="18" t="s">
        <v>48</v>
      </c>
      <c r="X32" s="18" t="s">
        <v>49</v>
      </c>
      <c r="Y32" s="18" t="s">
        <v>86</v>
      </c>
      <c r="Z32" s="18" t="s">
        <v>43</v>
      </c>
      <c r="AA32" s="18" t="s">
        <v>50</v>
      </c>
      <c r="AB32" s="18" t="s">
        <v>87</v>
      </c>
      <c r="AC32" s="18" t="s">
        <v>38</v>
      </c>
      <c r="AD32" s="7" t="s">
        <v>257</v>
      </c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</row>
    <row r="33" spans="1:49" s="17" customFormat="1" ht="31.5" x14ac:dyDescent="0.25">
      <c r="A33" s="18" t="s">
        <v>82</v>
      </c>
      <c r="B33" s="19">
        <v>46071</v>
      </c>
      <c r="C33" s="19">
        <v>46071</v>
      </c>
      <c r="D33" s="18" t="s">
        <v>177</v>
      </c>
      <c r="E33" s="20">
        <v>0.5</v>
      </c>
      <c r="F33" s="20">
        <v>0.54166666666666663</v>
      </c>
      <c r="G33" s="20">
        <v>3.4722222222222218E-4</v>
      </c>
      <c r="H33" s="18" t="s">
        <v>83</v>
      </c>
      <c r="I33" s="23">
        <v>0.50491898148148151</v>
      </c>
      <c r="J33" s="18" t="s">
        <v>84</v>
      </c>
      <c r="K33" s="18" t="s">
        <v>140</v>
      </c>
      <c r="L33" s="24">
        <v>1</v>
      </c>
      <c r="M33" s="24">
        <v>70170</v>
      </c>
      <c r="N33" s="18" t="s">
        <v>54</v>
      </c>
      <c r="O33" s="24" t="s">
        <v>85</v>
      </c>
      <c r="P33" s="25">
        <v>35</v>
      </c>
      <c r="Q33" s="24"/>
      <c r="R33" s="25">
        <v>35</v>
      </c>
      <c r="S33" s="26">
        <v>46071</v>
      </c>
      <c r="T33" s="25">
        <v>0</v>
      </c>
      <c r="U33" s="27">
        <v>4</v>
      </c>
      <c r="V33" s="25">
        <v>35</v>
      </c>
      <c r="W33" s="18" t="s">
        <v>48</v>
      </c>
      <c r="X33" s="18" t="s">
        <v>49</v>
      </c>
      <c r="Y33" s="18" t="s">
        <v>86</v>
      </c>
      <c r="Z33" s="18" t="s">
        <v>43</v>
      </c>
      <c r="AA33" s="18" t="s">
        <v>50</v>
      </c>
      <c r="AB33" s="18" t="s">
        <v>87</v>
      </c>
      <c r="AC33" s="18" t="s">
        <v>38</v>
      </c>
      <c r="AD33" s="7" t="s">
        <v>257</v>
      </c>
      <c r="AE33" s="28"/>
      <c r="AF33" s="28"/>
      <c r="AG33" s="28"/>
      <c r="AH33" s="28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</row>
    <row r="34" spans="1:49" s="28" customFormat="1" ht="31.5" x14ac:dyDescent="0.25">
      <c r="A34" s="18" t="s">
        <v>82</v>
      </c>
      <c r="B34" s="19">
        <v>46071</v>
      </c>
      <c r="C34" s="19">
        <v>46071</v>
      </c>
      <c r="D34" s="18" t="s">
        <v>177</v>
      </c>
      <c r="E34" s="20">
        <v>0.5</v>
      </c>
      <c r="F34" s="20">
        <v>0.54166666666666663</v>
      </c>
      <c r="G34" s="20">
        <v>3.4722222222222218E-4</v>
      </c>
      <c r="H34" s="18" t="s">
        <v>83</v>
      </c>
      <c r="I34" s="23">
        <v>0.53488425925925931</v>
      </c>
      <c r="J34" s="18" t="s">
        <v>84</v>
      </c>
      <c r="K34" s="18" t="s">
        <v>140</v>
      </c>
      <c r="L34" s="24">
        <v>1</v>
      </c>
      <c r="M34" s="24">
        <v>70170</v>
      </c>
      <c r="N34" s="18" t="s">
        <v>54</v>
      </c>
      <c r="O34" s="24" t="s">
        <v>85</v>
      </c>
      <c r="P34" s="25">
        <v>35</v>
      </c>
      <c r="Q34" s="24"/>
      <c r="R34" s="25">
        <v>35</v>
      </c>
      <c r="S34" s="26">
        <v>46071</v>
      </c>
      <c r="T34" s="25">
        <v>0</v>
      </c>
      <c r="U34" s="27">
        <v>4</v>
      </c>
      <c r="V34" s="25">
        <v>35</v>
      </c>
      <c r="W34" s="18" t="s">
        <v>48</v>
      </c>
      <c r="X34" s="18" t="s">
        <v>49</v>
      </c>
      <c r="Y34" s="18" t="s">
        <v>86</v>
      </c>
      <c r="Z34" s="18" t="s">
        <v>43</v>
      </c>
      <c r="AA34" s="18" t="s">
        <v>50</v>
      </c>
      <c r="AB34" s="18" t="s">
        <v>87</v>
      </c>
      <c r="AC34" s="18" t="s">
        <v>38</v>
      </c>
      <c r="AD34" s="7" t="s">
        <v>257</v>
      </c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</row>
    <row r="35" spans="1:49" s="17" customFormat="1" ht="31.5" x14ac:dyDescent="0.25">
      <c r="A35" s="18" t="s">
        <v>82</v>
      </c>
      <c r="B35" s="19">
        <v>46072</v>
      </c>
      <c r="C35" s="19">
        <v>46072</v>
      </c>
      <c r="D35" s="18" t="s">
        <v>183</v>
      </c>
      <c r="E35" s="20">
        <v>0.45833333333333331</v>
      </c>
      <c r="F35" s="20">
        <v>0.54166666666666663</v>
      </c>
      <c r="G35" s="20">
        <v>3.4722222222222218E-4</v>
      </c>
      <c r="H35" s="18" t="s">
        <v>83</v>
      </c>
      <c r="I35" s="23">
        <v>0.47297453703703701</v>
      </c>
      <c r="J35" s="18" t="s">
        <v>84</v>
      </c>
      <c r="K35" s="18" t="s">
        <v>150</v>
      </c>
      <c r="L35" s="24">
        <v>1</v>
      </c>
      <c r="M35" s="24">
        <v>70171</v>
      </c>
      <c r="N35" s="18" t="s">
        <v>46</v>
      </c>
      <c r="O35" s="24" t="s">
        <v>85</v>
      </c>
      <c r="P35" s="25">
        <v>0</v>
      </c>
      <c r="Q35" s="24"/>
      <c r="R35" s="25">
        <v>0</v>
      </c>
      <c r="S35" s="26">
        <v>46072</v>
      </c>
      <c r="T35" s="25">
        <v>0</v>
      </c>
      <c r="U35" s="27">
        <v>4</v>
      </c>
      <c r="V35" s="25">
        <v>0</v>
      </c>
      <c r="W35" s="18" t="s">
        <v>48</v>
      </c>
      <c r="X35" s="18" t="s">
        <v>49</v>
      </c>
      <c r="Y35" s="18" t="s">
        <v>86</v>
      </c>
      <c r="Z35" s="18" t="s">
        <v>43</v>
      </c>
      <c r="AA35" s="18" t="s">
        <v>50</v>
      </c>
      <c r="AB35" s="18" t="s">
        <v>87</v>
      </c>
      <c r="AC35" s="18" t="s">
        <v>38</v>
      </c>
      <c r="AD35" s="7" t="s">
        <v>257</v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17" customFormat="1" ht="31.5" x14ac:dyDescent="0.25">
      <c r="A36" s="18" t="s">
        <v>82</v>
      </c>
      <c r="B36" s="19">
        <v>46072</v>
      </c>
      <c r="C36" s="19">
        <v>46072</v>
      </c>
      <c r="D36" s="18" t="s">
        <v>183</v>
      </c>
      <c r="E36" s="20">
        <v>0.45833333333333331</v>
      </c>
      <c r="F36" s="20">
        <v>0.5</v>
      </c>
      <c r="G36" s="20">
        <v>3.4722222222222218E-4</v>
      </c>
      <c r="H36" s="18" t="s">
        <v>83</v>
      </c>
      <c r="I36" s="23">
        <v>0.47759259259259257</v>
      </c>
      <c r="J36" s="18" t="s">
        <v>84</v>
      </c>
      <c r="K36" s="18" t="s">
        <v>150</v>
      </c>
      <c r="L36" s="24">
        <v>1</v>
      </c>
      <c r="M36" s="24">
        <v>70169</v>
      </c>
      <c r="N36" s="18" t="s">
        <v>54</v>
      </c>
      <c r="O36" s="24" t="s">
        <v>85</v>
      </c>
      <c r="P36" s="25">
        <v>35</v>
      </c>
      <c r="Q36" s="24"/>
      <c r="R36" s="25">
        <v>35</v>
      </c>
      <c r="S36" s="26">
        <v>46072</v>
      </c>
      <c r="T36" s="25">
        <v>0</v>
      </c>
      <c r="U36" s="27">
        <v>4</v>
      </c>
      <c r="V36" s="25">
        <v>35</v>
      </c>
      <c r="W36" s="18" t="s">
        <v>48</v>
      </c>
      <c r="X36" s="18" t="s">
        <v>49</v>
      </c>
      <c r="Y36" s="18" t="s">
        <v>86</v>
      </c>
      <c r="Z36" s="18" t="s">
        <v>43</v>
      </c>
      <c r="AA36" s="18" t="s">
        <v>50</v>
      </c>
      <c r="AB36" s="18" t="s">
        <v>87</v>
      </c>
      <c r="AC36" s="18" t="s">
        <v>38</v>
      </c>
      <c r="AD36" s="7" t="s">
        <v>257</v>
      </c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</row>
    <row r="37" spans="1:49" s="28" customFormat="1" ht="31.5" x14ac:dyDescent="0.25">
      <c r="A37" s="18" t="s">
        <v>82</v>
      </c>
      <c r="B37" s="19">
        <v>46072</v>
      </c>
      <c r="C37" s="19">
        <v>46072</v>
      </c>
      <c r="D37" s="18" t="s">
        <v>183</v>
      </c>
      <c r="E37" s="20">
        <v>0.45833333333333331</v>
      </c>
      <c r="F37" s="20">
        <v>0.5</v>
      </c>
      <c r="G37" s="20">
        <v>3.4722222222222218E-4</v>
      </c>
      <c r="H37" s="18" t="s">
        <v>83</v>
      </c>
      <c r="I37" s="23">
        <v>0.48739583333333331</v>
      </c>
      <c r="J37" s="18" t="s">
        <v>84</v>
      </c>
      <c r="K37" s="18" t="s">
        <v>171</v>
      </c>
      <c r="L37" s="24">
        <v>1</v>
      </c>
      <c r="M37" s="24">
        <v>70169</v>
      </c>
      <c r="N37" s="18" t="s">
        <v>54</v>
      </c>
      <c r="O37" s="24" t="s">
        <v>85</v>
      </c>
      <c r="P37" s="25">
        <v>35</v>
      </c>
      <c r="Q37" s="24"/>
      <c r="R37" s="25">
        <v>35</v>
      </c>
      <c r="S37" s="26">
        <v>46072</v>
      </c>
      <c r="T37" s="25">
        <v>0</v>
      </c>
      <c r="U37" s="27">
        <v>4</v>
      </c>
      <c r="V37" s="25">
        <v>35</v>
      </c>
      <c r="W37" s="18" t="s">
        <v>48</v>
      </c>
      <c r="X37" s="18" t="s">
        <v>49</v>
      </c>
      <c r="Y37" s="18" t="s">
        <v>86</v>
      </c>
      <c r="Z37" s="18" t="s">
        <v>43</v>
      </c>
      <c r="AA37" s="18" t="s">
        <v>50</v>
      </c>
      <c r="AB37" s="18" t="s">
        <v>87</v>
      </c>
      <c r="AC37" s="18" t="s">
        <v>38</v>
      </c>
      <c r="AD37" s="7" t="s">
        <v>257</v>
      </c>
    </row>
    <row r="38" spans="1:49" s="28" customFormat="1" ht="31.5" x14ac:dyDescent="0.25">
      <c r="A38" s="18" t="s">
        <v>82</v>
      </c>
      <c r="B38" s="19">
        <v>46072</v>
      </c>
      <c r="C38" s="19">
        <v>46072</v>
      </c>
      <c r="D38" s="18" t="s">
        <v>183</v>
      </c>
      <c r="E38" s="20">
        <v>0.5</v>
      </c>
      <c r="F38" s="20">
        <v>0.54166666666666663</v>
      </c>
      <c r="G38" s="20">
        <v>3.4722222222222218E-4</v>
      </c>
      <c r="H38" s="18" t="s">
        <v>83</v>
      </c>
      <c r="I38" s="23">
        <v>0.5268518518518519</v>
      </c>
      <c r="J38" s="18" t="s">
        <v>84</v>
      </c>
      <c r="K38" s="18" t="s">
        <v>140</v>
      </c>
      <c r="L38" s="24">
        <v>1</v>
      </c>
      <c r="M38" s="24">
        <v>70170</v>
      </c>
      <c r="N38" s="18" t="s">
        <v>54</v>
      </c>
      <c r="O38" s="24" t="s">
        <v>85</v>
      </c>
      <c r="P38" s="25">
        <v>35</v>
      </c>
      <c r="Q38" s="24"/>
      <c r="R38" s="25">
        <v>35</v>
      </c>
      <c r="S38" s="26">
        <v>46072</v>
      </c>
      <c r="T38" s="25">
        <v>0</v>
      </c>
      <c r="U38" s="27">
        <v>4</v>
      </c>
      <c r="V38" s="25">
        <v>35</v>
      </c>
      <c r="W38" s="18" t="s">
        <v>48</v>
      </c>
      <c r="X38" s="18" t="s">
        <v>49</v>
      </c>
      <c r="Y38" s="18" t="s">
        <v>86</v>
      </c>
      <c r="Z38" s="18" t="s">
        <v>43</v>
      </c>
      <c r="AA38" s="18" t="s">
        <v>50</v>
      </c>
      <c r="AB38" s="18" t="s">
        <v>87</v>
      </c>
      <c r="AC38" s="18" t="s">
        <v>38</v>
      </c>
      <c r="AD38" s="7" t="s">
        <v>257</v>
      </c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s="17" customFormat="1" ht="31.5" x14ac:dyDescent="0.25">
      <c r="A39" s="18" t="s">
        <v>82</v>
      </c>
      <c r="B39" s="19">
        <v>46072</v>
      </c>
      <c r="C39" s="19">
        <v>46072</v>
      </c>
      <c r="D39" s="18" t="s">
        <v>183</v>
      </c>
      <c r="E39" s="20">
        <v>0.5</v>
      </c>
      <c r="F39" s="20">
        <v>0.54166666666666663</v>
      </c>
      <c r="G39" s="20">
        <v>3.4722222222222218E-4</v>
      </c>
      <c r="H39" s="18" t="s">
        <v>83</v>
      </c>
      <c r="I39" s="23">
        <v>0.53361111111111115</v>
      </c>
      <c r="J39" s="18" t="s">
        <v>84</v>
      </c>
      <c r="K39" s="18" t="s">
        <v>140</v>
      </c>
      <c r="L39" s="24">
        <v>1</v>
      </c>
      <c r="M39" s="24">
        <v>70170</v>
      </c>
      <c r="N39" s="18" t="s">
        <v>54</v>
      </c>
      <c r="O39" s="24" t="s">
        <v>85</v>
      </c>
      <c r="P39" s="25">
        <v>35</v>
      </c>
      <c r="Q39" s="24"/>
      <c r="R39" s="25">
        <v>35</v>
      </c>
      <c r="S39" s="26">
        <v>46072</v>
      </c>
      <c r="T39" s="25">
        <v>0</v>
      </c>
      <c r="U39" s="27">
        <v>4</v>
      </c>
      <c r="V39" s="25">
        <v>35</v>
      </c>
      <c r="W39" s="18" t="s">
        <v>48</v>
      </c>
      <c r="X39" s="18" t="s">
        <v>49</v>
      </c>
      <c r="Y39" s="18" t="s">
        <v>86</v>
      </c>
      <c r="Z39" s="18" t="s">
        <v>43</v>
      </c>
      <c r="AA39" s="18" t="s">
        <v>50</v>
      </c>
      <c r="AB39" s="18" t="s">
        <v>87</v>
      </c>
      <c r="AC39" s="18" t="s">
        <v>38</v>
      </c>
      <c r="AD39" s="7" t="s">
        <v>257</v>
      </c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</row>
    <row r="40" spans="1:49" s="17" customFormat="1" ht="31.5" x14ac:dyDescent="0.25">
      <c r="A40" s="18" t="s">
        <v>82</v>
      </c>
      <c r="B40" s="19">
        <v>46073</v>
      </c>
      <c r="C40" s="19">
        <v>46073</v>
      </c>
      <c r="D40" s="18" t="s">
        <v>196</v>
      </c>
      <c r="E40" s="20">
        <v>0.45833333333333331</v>
      </c>
      <c r="F40" s="20">
        <v>0.54166666666666663</v>
      </c>
      <c r="G40" s="20">
        <v>3.4722222222222218E-4</v>
      </c>
      <c r="H40" s="18" t="s">
        <v>83</v>
      </c>
      <c r="I40" s="23">
        <v>0.51497685185185182</v>
      </c>
      <c r="J40" s="18" t="s">
        <v>84</v>
      </c>
      <c r="K40" s="18" t="s">
        <v>140</v>
      </c>
      <c r="L40" s="24">
        <v>1</v>
      </c>
      <c r="M40" s="24">
        <v>70171</v>
      </c>
      <c r="N40" s="18" t="s">
        <v>46</v>
      </c>
      <c r="O40" s="24" t="s">
        <v>85</v>
      </c>
      <c r="P40" s="25">
        <v>0</v>
      </c>
      <c r="Q40" s="24"/>
      <c r="R40" s="25">
        <v>0</v>
      </c>
      <c r="S40" s="26">
        <v>46073</v>
      </c>
      <c r="T40" s="25">
        <v>0</v>
      </c>
      <c r="U40" s="27">
        <v>4</v>
      </c>
      <c r="V40" s="25">
        <v>0</v>
      </c>
      <c r="W40" s="18" t="s">
        <v>48</v>
      </c>
      <c r="X40" s="18" t="s">
        <v>49</v>
      </c>
      <c r="Y40" s="18" t="s">
        <v>86</v>
      </c>
      <c r="Z40" s="18" t="s">
        <v>43</v>
      </c>
      <c r="AA40" s="18" t="s">
        <v>50</v>
      </c>
      <c r="AB40" s="18" t="s">
        <v>87</v>
      </c>
      <c r="AC40" s="18" t="s">
        <v>38</v>
      </c>
      <c r="AD40" s="7" t="s">
        <v>257</v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1.5" x14ac:dyDescent="0.25">
      <c r="A41" s="18" t="s">
        <v>82</v>
      </c>
      <c r="B41" s="19">
        <v>46073</v>
      </c>
      <c r="C41" s="19">
        <v>46073</v>
      </c>
      <c r="D41" s="18" t="s">
        <v>196</v>
      </c>
      <c r="E41" s="20">
        <v>0.5</v>
      </c>
      <c r="F41" s="20">
        <v>0.54166666666666663</v>
      </c>
      <c r="G41" s="20">
        <v>3.4722222222222218E-4</v>
      </c>
      <c r="H41" s="18" t="s">
        <v>83</v>
      </c>
      <c r="I41" s="23">
        <v>0.5068287037037037</v>
      </c>
      <c r="J41" s="18" t="s">
        <v>84</v>
      </c>
      <c r="K41" s="18" t="s">
        <v>140</v>
      </c>
      <c r="L41" s="24">
        <v>1</v>
      </c>
      <c r="M41" s="24">
        <v>70170</v>
      </c>
      <c r="N41" s="18" t="s">
        <v>54</v>
      </c>
      <c r="O41" s="24" t="s">
        <v>85</v>
      </c>
      <c r="P41" s="25">
        <v>35</v>
      </c>
      <c r="Q41" s="24"/>
      <c r="R41" s="25">
        <v>35</v>
      </c>
      <c r="S41" s="26">
        <v>46073</v>
      </c>
      <c r="T41" s="25">
        <v>0</v>
      </c>
      <c r="U41" s="27">
        <v>4</v>
      </c>
      <c r="V41" s="25">
        <v>35</v>
      </c>
      <c r="W41" s="18" t="s">
        <v>48</v>
      </c>
      <c r="X41" s="18" t="s">
        <v>49</v>
      </c>
      <c r="Y41" s="18" t="s">
        <v>86</v>
      </c>
      <c r="Z41" s="18" t="s">
        <v>43</v>
      </c>
      <c r="AA41" s="18" t="s">
        <v>50</v>
      </c>
      <c r="AB41" s="18" t="s">
        <v>87</v>
      </c>
      <c r="AC41" s="18" t="s">
        <v>38</v>
      </c>
      <c r="AD41" s="7" t="s">
        <v>257</v>
      </c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</row>
    <row r="42" spans="1:49" s="28" customFormat="1" ht="31.5" x14ac:dyDescent="0.25">
      <c r="A42" s="18" t="s">
        <v>82</v>
      </c>
      <c r="B42" s="19">
        <v>46073</v>
      </c>
      <c r="C42" s="19">
        <v>46073</v>
      </c>
      <c r="D42" s="18" t="s">
        <v>196</v>
      </c>
      <c r="E42" s="20">
        <v>0.5</v>
      </c>
      <c r="F42" s="20">
        <v>0.54166666666666663</v>
      </c>
      <c r="G42" s="20">
        <v>3.4722222222222218E-4</v>
      </c>
      <c r="H42" s="18" t="s">
        <v>83</v>
      </c>
      <c r="I42" s="23">
        <v>0.54068287037037033</v>
      </c>
      <c r="J42" s="18" t="s">
        <v>84</v>
      </c>
      <c r="K42" s="18" t="s">
        <v>140</v>
      </c>
      <c r="L42" s="24">
        <v>1</v>
      </c>
      <c r="M42" s="24">
        <v>70170</v>
      </c>
      <c r="N42" s="18" t="s">
        <v>54</v>
      </c>
      <c r="O42" s="24" t="s">
        <v>85</v>
      </c>
      <c r="P42" s="25">
        <v>35</v>
      </c>
      <c r="Q42" s="24"/>
      <c r="R42" s="25">
        <v>35</v>
      </c>
      <c r="S42" s="26">
        <v>46073</v>
      </c>
      <c r="T42" s="25">
        <v>0</v>
      </c>
      <c r="U42" s="27">
        <v>4</v>
      </c>
      <c r="V42" s="25">
        <v>35</v>
      </c>
      <c r="W42" s="18" t="s">
        <v>48</v>
      </c>
      <c r="X42" s="18" t="s">
        <v>49</v>
      </c>
      <c r="Y42" s="18" t="s">
        <v>86</v>
      </c>
      <c r="Z42" s="18" t="s">
        <v>43</v>
      </c>
      <c r="AA42" s="18" t="s">
        <v>50</v>
      </c>
      <c r="AB42" s="18" t="s">
        <v>87</v>
      </c>
      <c r="AC42" s="18" t="s">
        <v>38</v>
      </c>
      <c r="AD42" s="7" t="s">
        <v>257</v>
      </c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</row>
    <row r="43" spans="1:49" s="28" customFormat="1" ht="31.5" x14ac:dyDescent="0.25">
      <c r="A43" s="18" t="s">
        <v>82</v>
      </c>
      <c r="B43" s="19">
        <v>46074</v>
      </c>
      <c r="C43" s="19">
        <v>46074</v>
      </c>
      <c r="D43" s="18" t="s">
        <v>214</v>
      </c>
      <c r="E43" s="20">
        <v>0.45833333333333331</v>
      </c>
      <c r="F43" s="20">
        <v>0.5</v>
      </c>
      <c r="G43" s="20">
        <v>3.4722222222222218E-4</v>
      </c>
      <c r="H43" s="18" t="s">
        <v>83</v>
      </c>
      <c r="I43" s="23">
        <v>0.46986111111111112</v>
      </c>
      <c r="J43" s="18" t="s">
        <v>84</v>
      </c>
      <c r="K43" s="18" t="s">
        <v>150</v>
      </c>
      <c r="L43" s="24">
        <v>1</v>
      </c>
      <c r="M43" s="24">
        <v>70169</v>
      </c>
      <c r="N43" s="18" t="s">
        <v>54</v>
      </c>
      <c r="O43" s="24" t="s">
        <v>85</v>
      </c>
      <c r="P43" s="25">
        <v>35</v>
      </c>
      <c r="Q43" s="24"/>
      <c r="R43" s="25">
        <v>35</v>
      </c>
      <c r="S43" s="26">
        <v>46074</v>
      </c>
      <c r="T43" s="25">
        <v>0</v>
      </c>
      <c r="U43" s="27">
        <v>4</v>
      </c>
      <c r="V43" s="25">
        <v>35</v>
      </c>
      <c r="W43" s="18" t="s">
        <v>48</v>
      </c>
      <c r="X43" s="18" t="s">
        <v>49</v>
      </c>
      <c r="Y43" s="18" t="s">
        <v>86</v>
      </c>
      <c r="Z43" s="18" t="s">
        <v>43</v>
      </c>
      <c r="AA43" s="18" t="s">
        <v>50</v>
      </c>
      <c r="AB43" s="18" t="s">
        <v>87</v>
      </c>
      <c r="AC43" s="18" t="s">
        <v>38</v>
      </c>
      <c r="AD43" s="7" t="s">
        <v>257</v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28" customFormat="1" ht="31.5" x14ac:dyDescent="0.25">
      <c r="A44" s="18" t="s">
        <v>82</v>
      </c>
      <c r="B44" s="19">
        <v>46074</v>
      </c>
      <c r="C44" s="19">
        <v>46074</v>
      </c>
      <c r="D44" s="18" t="s">
        <v>214</v>
      </c>
      <c r="E44" s="20">
        <v>0.45833333333333331</v>
      </c>
      <c r="F44" s="20">
        <v>0.5</v>
      </c>
      <c r="G44" s="20">
        <v>3.4722222222222218E-4</v>
      </c>
      <c r="H44" s="18" t="s">
        <v>83</v>
      </c>
      <c r="I44" s="23">
        <v>0.48895833333333333</v>
      </c>
      <c r="J44" s="18" t="s">
        <v>84</v>
      </c>
      <c r="K44" s="18" t="s">
        <v>218</v>
      </c>
      <c r="L44" s="24">
        <v>1</v>
      </c>
      <c r="M44" s="24">
        <v>70169</v>
      </c>
      <c r="N44" s="18" t="s">
        <v>54</v>
      </c>
      <c r="O44" s="24" t="s">
        <v>85</v>
      </c>
      <c r="P44" s="25">
        <v>35</v>
      </c>
      <c r="Q44" s="24"/>
      <c r="R44" s="25">
        <v>35</v>
      </c>
      <c r="S44" s="26">
        <v>46074</v>
      </c>
      <c r="T44" s="25">
        <v>0</v>
      </c>
      <c r="U44" s="27">
        <v>4</v>
      </c>
      <c r="V44" s="25">
        <v>35</v>
      </c>
      <c r="W44" s="18" t="s">
        <v>48</v>
      </c>
      <c r="X44" s="18" t="s">
        <v>49</v>
      </c>
      <c r="Y44" s="18" t="s">
        <v>86</v>
      </c>
      <c r="Z44" s="18" t="s">
        <v>43</v>
      </c>
      <c r="AA44" s="18" t="s">
        <v>50</v>
      </c>
      <c r="AB44" s="18" t="s">
        <v>87</v>
      </c>
      <c r="AC44" s="18" t="s">
        <v>38</v>
      </c>
      <c r="AD44" s="7" t="s">
        <v>257</v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8" customFormat="1" ht="31.5" x14ac:dyDescent="0.25">
      <c r="A45" s="18" t="s">
        <v>82</v>
      </c>
      <c r="B45" s="19">
        <v>46074</v>
      </c>
      <c r="C45" s="19">
        <v>46074</v>
      </c>
      <c r="D45" s="18" t="s">
        <v>214</v>
      </c>
      <c r="E45" s="20">
        <v>0.45833333333333331</v>
      </c>
      <c r="F45" s="20">
        <v>0.54166666666666663</v>
      </c>
      <c r="G45" s="20">
        <v>3.4722222222222218E-4</v>
      </c>
      <c r="H45" s="18" t="s">
        <v>83</v>
      </c>
      <c r="I45" s="23">
        <v>0.49306712962962962</v>
      </c>
      <c r="J45" s="18" t="s">
        <v>84</v>
      </c>
      <c r="K45" s="18" t="s">
        <v>171</v>
      </c>
      <c r="L45" s="24">
        <v>1</v>
      </c>
      <c r="M45" s="24">
        <v>70171</v>
      </c>
      <c r="N45" s="18" t="s">
        <v>46</v>
      </c>
      <c r="O45" s="24" t="s">
        <v>85</v>
      </c>
      <c r="P45" s="25">
        <v>0</v>
      </c>
      <c r="Q45" s="24"/>
      <c r="R45" s="25">
        <v>0</v>
      </c>
      <c r="S45" s="26">
        <v>46074</v>
      </c>
      <c r="T45" s="25">
        <v>0</v>
      </c>
      <c r="U45" s="27">
        <v>4</v>
      </c>
      <c r="V45" s="25">
        <v>0</v>
      </c>
      <c r="W45" s="18" t="s">
        <v>48</v>
      </c>
      <c r="X45" s="18" t="s">
        <v>49</v>
      </c>
      <c r="Y45" s="18" t="s">
        <v>86</v>
      </c>
      <c r="Z45" s="18" t="s">
        <v>43</v>
      </c>
      <c r="AA45" s="18" t="s">
        <v>50</v>
      </c>
      <c r="AB45" s="18" t="s">
        <v>87</v>
      </c>
      <c r="AC45" s="18" t="s">
        <v>38</v>
      </c>
      <c r="AD45" s="7" t="s">
        <v>257</v>
      </c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</row>
    <row r="46" spans="1:49" s="28" customFormat="1" ht="31.5" x14ac:dyDescent="0.25">
      <c r="A46" s="18" t="s">
        <v>82</v>
      </c>
      <c r="B46" s="19">
        <v>46075</v>
      </c>
      <c r="C46" s="19">
        <v>46075</v>
      </c>
      <c r="D46" s="18" t="s">
        <v>243</v>
      </c>
      <c r="E46" s="20">
        <v>0.45833333333333331</v>
      </c>
      <c r="F46" s="20">
        <v>0.5</v>
      </c>
      <c r="G46" s="20">
        <v>3.4722222222222218E-4</v>
      </c>
      <c r="H46" s="18" t="s">
        <v>83</v>
      </c>
      <c r="I46" s="23">
        <v>0.47038194444444442</v>
      </c>
      <c r="J46" s="18" t="s">
        <v>84</v>
      </c>
      <c r="K46" s="18" t="s">
        <v>80</v>
      </c>
      <c r="L46" s="24">
        <v>1</v>
      </c>
      <c r="M46" s="24">
        <v>70169</v>
      </c>
      <c r="N46" s="18" t="s">
        <v>54</v>
      </c>
      <c r="O46" s="24" t="s">
        <v>85</v>
      </c>
      <c r="P46" s="25">
        <v>35</v>
      </c>
      <c r="Q46" s="24"/>
      <c r="R46" s="25">
        <v>35</v>
      </c>
      <c r="S46" s="26">
        <v>46075</v>
      </c>
      <c r="T46" s="25">
        <v>0</v>
      </c>
      <c r="U46" s="27">
        <v>4</v>
      </c>
      <c r="V46" s="25">
        <v>35</v>
      </c>
      <c r="W46" s="18" t="s">
        <v>48</v>
      </c>
      <c r="X46" s="18" t="s">
        <v>49</v>
      </c>
      <c r="Y46" s="18" t="s">
        <v>86</v>
      </c>
      <c r="Z46" s="18" t="s">
        <v>43</v>
      </c>
      <c r="AA46" s="18" t="s">
        <v>50</v>
      </c>
      <c r="AB46" s="18" t="s">
        <v>87</v>
      </c>
      <c r="AC46" s="18" t="s">
        <v>38</v>
      </c>
      <c r="AD46" s="7" t="s">
        <v>257</v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28" customFormat="1" ht="31.5" x14ac:dyDescent="0.25">
      <c r="A47" s="18" t="s">
        <v>82</v>
      </c>
      <c r="B47" s="19">
        <v>46075</v>
      </c>
      <c r="C47" s="19">
        <v>46075</v>
      </c>
      <c r="D47" s="18" t="s">
        <v>243</v>
      </c>
      <c r="E47" s="20">
        <v>0.45833333333333331</v>
      </c>
      <c r="F47" s="20">
        <v>0.5</v>
      </c>
      <c r="G47" s="20">
        <v>3.4722222222222218E-4</v>
      </c>
      <c r="H47" s="18" t="s">
        <v>83</v>
      </c>
      <c r="I47" s="23">
        <v>0.48837962962962961</v>
      </c>
      <c r="J47" s="18" t="s">
        <v>84</v>
      </c>
      <c r="K47" s="18" t="s">
        <v>171</v>
      </c>
      <c r="L47" s="24">
        <v>1</v>
      </c>
      <c r="M47" s="24">
        <v>70169</v>
      </c>
      <c r="N47" s="18" t="s">
        <v>54</v>
      </c>
      <c r="O47" s="24" t="s">
        <v>85</v>
      </c>
      <c r="P47" s="25">
        <v>35</v>
      </c>
      <c r="Q47" s="24"/>
      <c r="R47" s="25">
        <v>35</v>
      </c>
      <c r="S47" s="26">
        <v>46075</v>
      </c>
      <c r="T47" s="25">
        <v>0</v>
      </c>
      <c r="U47" s="27">
        <v>4</v>
      </c>
      <c r="V47" s="25">
        <v>35</v>
      </c>
      <c r="W47" s="18" t="s">
        <v>48</v>
      </c>
      <c r="X47" s="18" t="s">
        <v>49</v>
      </c>
      <c r="Y47" s="18" t="s">
        <v>86</v>
      </c>
      <c r="Z47" s="18" t="s">
        <v>43</v>
      </c>
      <c r="AA47" s="18" t="s">
        <v>50</v>
      </c>
      <c r="AB47" s="18" t="s">
        <v>87</v>
      </c>
      <c r="AC47" s="18" t="s">
        <v>38</v>
      </c>
      <c r="AD47" s="7" t="s">
        <v>257</v>
      </c>
    </row>
    <row r="48" spans="1:49" s="28" customFormat="1" ht="31.5" x14ac:dyDescent="0.25">
      <c r="A48" s="18" t="s">
        <v>82</v>
      </c>
      <c r="B48" s="19">
        <v>46075</v>
      </c>
      <c r="C48" s="19">
        <v>46075</v>
      </c>
      <c r="D48" s="18" t="s">
        <v>243</v>
      </c>
      <c r="E48" s="20">
        <v>0.45833333333333331</v>
      </c>
      <c r="F48" s="20">
        <v>0.54166666666666663</v>
      </c>
      <c r="G48" s="20">
        <v>3.4722222222222218E-4</v>
      </c>
      <c r="H48" s="18" t="s">
        <v>83</v>
      </c>
      <c r="I48" s="23">
        <v>0.51978009259259261</v>
      </c>
      <c r="J48" s="18" t="s">
        <v>84</v>
      </c>
      <c r="K48" s="18" t="s">
        <v>140</v>
      </c>
      <c r="L48" s="24">
        <v>1</v>
      </c>
      <c r="M48" s="24">
        <v>70171</v>
      </c>
      <c r="N48" s="18" t="s">
        <v>46</v>
      </c>
      <c r="O48" s="24" t="s">
        <v>85</v>
      </c>
      <c r="P48" s="25">
        <v>0</v>
      </c>
      <c r="Q48" s="24"/>
      <c r="R48" s="25">
        <v>0</v>
      </c>
      <c r="S48" s="26">
        <v>46075</v>
      </c>
      <c r="T48" s="25">
        <v>0</v>
      </c>
      <c r="U48" s="27">
        <v>4</v>
      </c>
      <c r="V48" s="25">
        <v>0</v>
      </c>
      <c r="W48" s="18" t="s">
        <v>48</v>
      </c>
      <c r="X48" s="18" t="s">
        <v>49</v>
      </c>
      <c r="Y48" s="18" t="s">
        <v>86</v>
      </c>
      <c r="Z48" s="18" t="s">
        <v>43</v>
      </c>
      <c r="AA48" s="18" t="s">
        <v>50</v>
      </c>
      <c r="AB48" s="18" t="s">
        <v>87</v>
      </c>
      <c r="AC48" s="18" t="s">
        <v>38</v>
      </c>
      <c r="AD48" s="7" t="s">
        <v>257</v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28" customFormat="1" ht="31.5" x14ac:dyDescent="0.25">
      <c r="A49" s="9" t="s">
        <v>228</v>
      </c>
      <c r="B49" s="10">
        <v>46074</v>
      </c>
      <c r="C49" s="10">
        <v>46074</v>
      </c>
      <c r="D49" s="11" t="s">
        <v>214</v>
      </c>
      <c r="E49" s="12">
        <v>0.75</v>
      </c>
      <c r="F49" s="12">
        <v>0.79166666666666663</v>
      </c>
      <c r="G49" s="12">
        <v>4.1666666666666664E-2</v>
      </c>
      <c r="H49" s="9" t="s">
        <v>229</v>
      </c>
      <c r="I49" s="13"/>
      <c r="J49" s="9" t="s">
        <v>230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">
        <v>257</v>
      </c>
    </row>
    <row r="50" spans="1:49" s="28" customFormat="1" ht="31.5" x14ac:dyDescent="0.25">
      <c r="A50" s="9" t="s">
        <v>228</v>
      </c>
      <c r="B50" s="10">
        <v>46074</v>
      </c>
      <c r="C50" s="10">
        <v>46074</v>
      </c>
      <c r="D50" s="11" t="s">
        <v>214</v>
      </c>
      <c r="E50" s="12">
        <v>0.79166666666666663</v>
      </c>
      <c r="F50" s="12">
        <v>0.83333333333333337</v>
      </c>
      <c r="G50" s="12">
        <v>4.1666666666666664E-2</v>
      </c>
      <c r="H50" s="9" t="s">
        <v>241</v>
      </c>
      <c r="I50" s="13"/>
      <c r="J50" s="9" t="s">
        <v>230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">
        <v>257</v>
      </c>
    </row>
    <row r="51" spans="1:49" s="28" customFormat="1" ht="31.5" x14ac:dyDescent="0.25">
      <c r="A51" s="9" t="s">
        <v>228</v>
      </c>
      <c r="B51" s="10">
        <v>46075</v>
      </c>
      <c r="C51" s="10">
        <v>46075</v>
      </c>
      <c r="D51" s="11" t="s">
        <v>243</v>
      </c>
      <c r="E51" s="12">
        <v>0.75</v>
      </c>
      <c r="F51" s="12">
        <v>0.79166666666666663</v>
      </c>
      <c r="G51" s="12">
        <v>4.1666666666666664E-2</v>
      </c>
      <c r="H51" s="9" t="s">
        <v>229</v>
      </c>
      <c r="I51" s="13"/>
      <c r="J51" s="9" t="s">
        <v>230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">
        <v>257</v>
      </c>
    </row>
    <row r="52" spans="1:49" s="28" customFormat="1" ht="31.5" x14ac:dyDescent="0.25">
      <c r="A52" s="9" t="s">
        <v>228</v>
      </c>
      <c r="B52" s="10">
        <v>46075</v>
      </c>
      <c r="C52" s="10">
        <v>46075</v>
      </c>
      <c r="D52" s="11" t="s">
        <v>243</v>
      </c>
      <c r="E52" s="12">
        <v>0.79166666666666663</v>
      </c>
      <c r="F52" s="12">
        <v>0.83333333333333337</v>
      </c>
      <c r="G52" s="12">
        <v>4.1666666666666664E-2</v>
      </c>
      <c r="H52" s="9" t="s">
        <v>241</v>
      </c>
      <c r="I52" s="13"/>
      <c r="J52" s="9" t="s">
        <v>230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">
        <v>257</v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28" customFormat="1" ht="31.5" x14ac:dyDescent="0.25">
      <c r="A53" s="18" t="s">
        <v>88</v>
      </c>
      <c r="B53" s="19">
        <v>46069</v>
      </c>
      <c r="C53" s="19">
        <v>46069</v>
      </c>
      <c r="D53" s="18" t="s">
        <v>30</v>
      </c>
      <c r="E53" s="20">
        <v>0.45833333333333331</v>
      </c>
      <c r="F53" s="20">
        <v>0.5</v>
      </c>
      <c r="G53" s="20">
        <v>3.4722222222222218E-4</v>
      </c>
      <c r="H53" s="18" t="s">
        <v>89</v>
      </c>
      <c r="I53" s="23">
        <v>0.46652777777777776</v>
      </c>
      <c r="J53" s="18" t="s">
        <v>84</v>
      </c>
      <c r="K53" s="18" t="s">
        <v>80</v>
      </c>
      <c r="L53" s="24">
        <v>1</v>
      </c>
      <c r="M53" s="24">
        <v>71436</v>
      </c>
      <c r="N53" s="18" t="s">
        <v>54</v>
      </c>
      <c r="O53" s="24" t="s">
        <v>90</v>
      </c>
      <c r="P53" s="25">
        <v>41.17647058823529</v>
      </c>
      <c r="Q53" s="24"/>
      <c r="R53" s="25">
        <v>41.17647058823529</v>
      </c>
      <c r="S53" s="26">
        <v>46069</v>
      </c>
      <c r="T53" s="25">
        <v>6.1764705882352935</v>
      </c>
      <c r="U53" s="27">
        <v>4</v>
      </c>
      <c r="V53" s="25">
        <v>35</v>
      </c>
      <c r="W53" s="18" t="s">
        <v>48</v>
      </c>
      <c r="X53" s="18" t="s">
        <v>49</v>
      </c>
      <c r="Y53" s="18" t="s">
        <v>86</v>
      </c>
      <c r="Z53" s="18" t="s">
        <v>9</v>
      </c>
      <c r="AA53" s="18" t="s">
        <v>50</v>
      </c>
      <c r="AB53" s="18" t="s">
        <v>91</v>
      </c>
      <c r="AC53" s="18" t="s">
        <v>38</v>
      </c>
      <c r="AD53" s="7" t="s">
        <v>257</v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28" customFormat="1" ht="31.5" x14ac:dyDescent="0.25">
      <c r="A54" s="18" t="s">
        <v>88</v>
      </c>
      <c r="B54" s="19">
        <v>46070</v>
      </c>
      <c r="C54" s="19">
        <v>46070</v>
      </c>
      <c r="D54" s="18" t="s">
        <v>145</v>
      </c>
      <c r="E54" s="20">
        <v>0.45833333333333331</v>
      </c>
      <c r="F54" s="20">
        <v>0.5</v>
      </c>
      <c r="G54" s="20">
        <v>3.4722222222222218E-4</v>
      </c>
      <c r="H54" s="18" t="s">
        <v>89</v>
      </c>
      <c r="I54" s="23">
        <v>0.47749999999999998</v>
      </c>
      <c r="J54" s="18" t="s">
        <v>84</v>
      </c>
      <c r="K54" s="18" t="s">
        <v>150</v>
      </c>
      <c r="L54" s="24">
        <v>1</v>
      </c>
      <c r="M54" s="24">
        <v>71436</v>
      </c>
      <c r="N54" s="18" t="s">
        <v>54</v>
      </c>
      <c r="O54" s="24" t="s">
        <v>90</v>
      </c>
      <c r="P54" s="25">
        <v>41.17647058823529</v>
      </c>
      <c r="Q54" s="24"/>
      <c r="R54" s="25">
        <v>41.17647058823529</v>
      </c>
      <c r="S54" s="26">
        <v>46070</v>
      </c>
      <c r="T54" s="25">
        <v>6.1764705882352935</v>
      </c>
      <c r="U54" s="27">
        <v>4</v>
      </c>
      <c r="V54" s="25">
        <v>35</v>
      </c>
      <c r="W54" s="18" t="s">
        <v>48</v>
      </c>
      <c r="X54" s="18" t="s">
        <v>49</v>
      </c>
      <c r="Y54" s="18" t="s">
        <v>86</v>
      </c>
      <c r="Z54" s="18" t="s">
        <v>9</v>
      </c>
      <c r="AA54" s="18" t="s">
        <v>50</v>
      </c>
      <c r="AB54" s="18" t="s">
        <v>91</v>
      </c>
      <c r="AC54" s="18" t="s">
        <v>38</v>
      </c>
      <c r="AD54" s="7" t="s">
        <v>257</v>
      </c>
    </row>
    <row r="55" spans="1:49" s="28" customFormat="1" ht="31.5" x14ac:dyDescent="0.25">
      <c r="A55" s="18" t="s">
        <v>88</v>
      </c>
      <c r="B55" s="19">
        <v>46070</v>
      </c>
      <c r="C55" s="19">
        <v>46070</v>
      </c>
      <c r="D55" s="18" t="s">
        <v>145</v>
      </c>
      <c r="E55" s="20">
        <v>0.45833333333333331</v>
      </c>
      <c r="F55" s="20">
        <v>0.54166666666666663</v>
      </c>
      <c r="G55" s="20">
        <v>3.4722222222222218E-4</v>
      </c>
      <c r="H55" s="18" t="s">
        <v>151</v>
      </c>
      <c r="I55" s="23">
        <v>0.52965277777777775</v>
      </c>
      <c r="J55" s="18" t="s">
        <v>84</v>
      </c>
      <c r="K55" s="18" t="s">
        <v>140</v>
      </c>
      <c r="L55" s="24">
        <v>1</v>
      </c>
      <c r="M55" s="24">
        <v>71438</v>
      </c>
      <c r="N55" s="18" t="s">
        <v>46</v>
      </c>
      <c r="O55" s="24" t="s">
        <v>90</v>
      </c>
      <c r="P55" s="25">
        <v>0</v>
      </c>
      <c r="Q55" s="24"/>
      <c r="R55" s="25">
        <v>0</v>
      </c>
      <c r="S55" s="26">
        <v>46070</v>
      </c>
      <c r="T55" s="25">
        <v>0</v>
      </c>
      <c r="U55" s="27">
        <v>4</v>
      </c>
      <c r="V55" s="25">
        <v>0</v>
      </c>
      <c r="W55" s="18" t="s">
        <v>48</v>
      </c>
      <c r="X55" s="18" t="s">
        <v>49</v>
      </c>
      <c r="Y55" s="18" t="s">
        <v>86</v>
      </c>
      <c r="Z55" s="18" t="s">
        <v>9</v>
      </c>
      <c r="AA55" s="18" t="s">
        <v>50</v>
      </c>
      <c r="AB55" s="18" t="s">
        <v>91</v>
      </c>
      <c r="AC55" s="18" t="s">
        <v>38</v>
      </c>
      <c r="AD55" s="7" t="s">
        <v>257</v>
      </c>
    </row>
    <row r="56" spans="1:49" s="28" customFormat="1" ht="31.5" x14ac:dyDescent="0.25">
      <c r="A56" s="18" t="s">
        <v>88</v>
      </c>
      <c r="B56" s="19">
        <v>46071</v>
      </c>
      <c r="C56" s="19">
        <v>46071</v>
      </c>
      <c r="D56" s="18" t="s">
        <v>177</v>
      </c>
      <c r="E56" s="20">
        <v>0.45833333333333331</v>
      </c>
      <c r="F56" s="20">
        <v>0.5</v>
      </c>
      <c r="G56" s="20">
        <v>3.4722222222222218E-4</v>
      </c>
      <c r="H56" s="18" t="s">
        <v>151</v>
      </c>
      <c r="I56" s="23">
        <v>0.49879629629629629</v>
      </c>
      <c r="J56" s="18" t="s">
        <v>84</v>
      </c>
      <c r="K56" s="18" t="s">
        <v>171</v>
      </c>
      <c r="L56" s="24">
        <v>1</v>
      </c>
      <c r="M56" s="24">
        <v>71437</v>
      </c>
      <c r="N56" s="18" t="s">
        <v>54</v>
      </c>
      <c r="O56" s="24" t="s">
        <v>90</v>
      </c>
      <c r="P56" s="25">
        <v>41.17647058823529</v>
      </c>
      <c r="Q56" s="24"/>
      <c r="R56" s="25">
        <v>41.17647058823529</v>
      </c>
      <c r="S56" s="26">
        <v>46071</v>
      </c>
      <c r="T56" s="25">
        <v>6.1764705882352935</v>
      </c>
      <c r="U56" s="27">
        <v>4</v>
      </c>
      <c r="V56" s="25">
        <v>35</v>
      </c>
      <c r="W56" s="18" t="s">
        <v>48</v>
      </c>
      <c r="X56" s="18" t="s">
        <v>49</v>
      </c>
      <c r="Y56" s="18" t="s">
        <v>86</v>
      </c>
      <c r="Z56" s="18" t="s">
        <v>9</v>
      </c>
      <c r="AA56" s="18" t="s">
        <v>50</v>
      </c>
      <c r="AB56" s="18" t="s">
        <v>91</v>
      </c>
      <c r="AC56" s="18" t="s">
        <v>38</v>
      </c>
      <c r="AD56" s="7" t="s">
        <v>257</v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28" customFormat="1" ht="31.5" x14ac:dyDescent="0.25">
      <c r="A57" s="18" t="s">
        <v>88</v>
      </c>
      <c r="B57" s="19">
        <v>46071</v>
      </c>
      <c r="C57" s="19">
        <v>46071</v>
      </c>
      <c r="D57" s="18" t="s">
        <v>177</v>
      </c>
      <c r="E57" s="20">
        <v>0.45833333333333331</v>
      </c>
      <c r="F57" s="20">
        <v>0.54166666666666663</v>
      </c>
      <c r="G57" s="20">
        <v>3.4722222222222218E-4</v>
      </c>
      <c r="H57" s="18" t="s">
        <v>151</v>
      </c>
      <c r="I57" s="23">
        <v>0.51247685185185188</v>
      </c>
      <c r="J57" s="18" t="s">
        <v>84</v>
      </c>
      <c r="K57" s="18" t="s">
        <v>140</v>
      </c>
      <c r="L57" s="24">
        <v>1</v>
      </c>
      <c r="M57" s="24">
        <v>71438</v>
      </c>
      <c r="N57" s="18" t="s">
        <v>46</v>
      </c>
      <c r="O57" s="24" t="s">
        <v>90</v>
      </c>
      <c r="P57" s="25">
        <v>0</v>
      </c>
      <c r="Q57" s="24"/>
      <c r="R57" s="25">
        <v>0</v>
      </c>
      <c r="S57" s="26">
        <v>46071</v>
      </c>
      <c r="T57" s="25">
        <v>0</v>
      </c>
      <c r="U57" s="27">
        <v>4</v>
      </c>
      <c r="V57" s="25">
        <v>0</v>
      </c>
      <c r="W57" s="18" t="s">
        <v>48</v>
      </c>
      <c r="X57" s="18" t="s">
        <v>49</v>
      </c>
      <c r="Y57" s="18" t="s">
        <v>86</v>
      </c>
      <c r="Z57" s="18" t="s">
        <v>9</v>
      </c>
      <c r="AA57" s="18" t="s">
        <v>50</v>
      </c>
      <c r="AB57" s="18" t="s">
        <v>91</v>
      </c>
      <c r="AC57" s="18" t="s">
        <v>38</v>
      </c>
      <c r="AD57" s="7" t="s">
        <v>257</v>
      </c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</row>
    <row r="58" spans="1:49" s="28" customFormat="1" ht="31.5" x14ac:dyDescent="0.25">
      <c r="A58" s="18" t="s">
        <v>88</v>
      </c>
      <c r="B58" s="19">
        <v>46072</v>
      </c>
      <c r="C58" s="19">
        <v>46072</v>
      </c>
      <c r="D58" s="18" t="s">
        <v>183</v>
      </c>
      <c r="E58" s="20">
        <v>0.45833333333333331</v>
      </c>
      <c r="F58" s="20">
        <v>0.5</v>
      </c>
      <c r="G58" s="20">
        <v>3.4722222222222218E-4</v>
      </c>
      <c r="H58" s="18" t="s">
        <v>151</v>
      </c>
      <c r="I58" s="23">
        <v>0.47262731481481479</v>
      </c>
      <c r="J58" s="18" t="s">
        <v>84</v>
      </c>
      <c r="K58" s="18" t="s">
        <v>150</v>
      </c>
      <c r="L58" s="24">
        <v>1</v>
      </c>
      <c r="M58" s="24">
        <v>71437</v>
      </c>
      <c r="N58" s="18" t="s">
        <v>54</v>
      </c>
      <c r="O58" s="24" t="s">
        <v>90</v>
      </c>
      <c r="P58" s="25">
        <v>41.17647058823529</v>
      </c>
      <c r="Q58" s="24"/>
      <c r="R58" s="25">
        <v>41.17647058823529</v>
      </c>
      <c r="S58" s="26">
        <v>46072</v>
      </c>
      <c r="T58" s="25">
        <v>6.1764705882352935</v>
      </c>
      <c r="U58" s="27">
        <v>4</v>
      </c>
      <c r="V58" s="25">
        <v>35</v>
      </c>
      <c r="W58" s="18" t="s">
        <v>48</v>
      </c>
      <c r="X58" s="18" t="s">
        <v>49</v>
      </c>
      <c r="Y58" s="18" t="s">
        <v>86</v>
      </c>
      <c r="Z58" s="18" t="s">
        <v>9</v>
      </c>
      <c r="AA58" s="18" t="s">
        <v>50</v>
      </c>
      <c r="AB58" s="18" t="s">
        <v>91</v>
      </c>
      <c r="AC58" s="18" t="s">
        <v>38</v>
      </c>
      <c r="AD58" s="7" t="s">
        <v>257</v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28" customFormat="1" ht="31.5" x14ac:dyDescent="0.25">
      <c r="A59" s="18" t="s">
        <v>88</v>
      </c>
      <c r="B59" s="19">
        <v>46072</v>
      </c>
      <c r="C59" s="19">
        <v>46072</v>
      </c>
      <c r="D59" s="18" t="s">
        <v>183</v>
      </c>
      <c r="E59" s="20">
        <v>0.45833333333333331</v>
      </c>
      <c r="F59" s="20">
        <v>0.5</v>
      </c>
      <c r="G59" s="20">
        <v>3.4722222222222218E-4</v>
      </c>
      <c r="H59" s="18" t="s">
        <v>89</v>
      </c>
      <c r="I59" s="23">
        <v>0.49872685185185184</v>
      </c>
      <c r="J59" s="18" t="s">
        <v>84</v>
      </c>
      <c r="K59" s="18" t="s">
        <v>171</v>
      </c>
      <c r="L59" s="24">
        <v>1</v>
      </c>
      <c r="M59" s="24">
        <v>71436</v>
      </c>
      <c r="N59" s="18" t="s">
        <v>54</v>
      </c>
      <c r="O59" s="24" t="s">
        <v>90</v>
      </c>
      <c r="P59" s="25">
        <v>41.17647058823529</v>
      </c>
      <c r="Q59" s="24"/>
      <c r="R59" s="25">
        <v>41.17647058823529</v>
      </c>
      <c r="S59" s="26">
        <v>46072</v>
      </c>
      <c r="T59" s="25">
        <v>6.1764705882352935</v>
      </c>
      <c r="U59" s="27">
        <v>4</v>
      </c>
      <c r="V59" s="25">
        <v>35</v>
      </c>
      <c r="W59" s="18" t="s">
        <v>48</v>
      </c>
      <c r="X59" s="18" t="s">
        <v>49</v>
      </c>
      <c r="Y59" s="18" t="s">
        <v>86</v>
      </c>
      <c r="Z59" s="18" t="s">
        <v>9</v>
      </c>
      <c r="AA59" s="18" t="s">
        <v>50</v>
      </c>
      <c r="AB59" s="18" t="s">
        <v>91</v>
      </c>
      <c r="AC59" s="18" t="s">
        <v>38</v>
      </c>
      <c r="AD59" s="7" t="s">
        <v>257</v>
      </c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</row>
    <row r="60" spans="1:49" s="28" customFormat="1" ht="31.5" x14ac:dyDescent="0.25">
      <c r="A60" s="18" t="s">
        <v>88</v>
      </c>
      <c r="B60" s="19">
        <v>46073</v>
      </c>
      <c r="C60" s="19">
        <v>46073</v>
      </c>
      <c r="D60" s="18" t="s">
        <v>196</v>
      </c>
      <c r="E60" s="20">
        <v>0.45833333333333331</v>
      </c>
      <c r="F60" s="20">
        <v>0.5</v>
      </c>
      <c r="G60" s="20">
        <v>3.4722222222222218E-4</v>
      </c>
      <c r="H60" s="18" t="s">
        <v>89</v>
      </c>
      <c r="I60" s="23">
        <v>0.46568287037037037</v>
      </c>
      <c r="J60" s="18" t="s">
        <v>84</v>
      </c>
      <c r="K60" s="18" t="s">
        <v>150</v>
      </c>
      <c r="L60" s="24">
        <v>1</v>
      </c>
      <c r="M60" s="24">
        <v>71436</v>
      </c>
      <c r="N60" s="18" t="s">
        <v>54</v>
      </c>
      <c r="O60" s="24" t="s">
        <v>90</v>
      </c>
      <c r="P60" s="25">
        <v>41.17647058823529</v>
      </c>
      <c r="Q60" s="24"/>
      <c r="R60" s="25">
        <v>41.17647058823529</v>
      </c>
      <c r="S60" s="26">
        <v>46073</v>
      </c>
      <c r="T60" s="25">
        <v>6.1764705882352935</v>
      </c>
      <c r="U60" s="27">
        <v>4</v>
      </c>
      <c r="V60" s="25">
        <v>35</v>
      </c>
      <c r="W60" s="18" t="s">
        <v>48</v>
      </c>
      <c r="X60" s="18" t="s">
        <v>49</v>
      </c>
      <c r="Y60" s="18" t="s">
        <v>86</v>
      </c>
      <c r="Z60" s="18" t="s">
        <v>9</v>
      </c>
      <c r="AA60" s="18" t="s">
        <v>50</v>
      </c>
      <c r="AB60" s="18" t="s">
        <v>91</v>
      </c>
      <c r="AC60" s="18" t="s">
        <v>38</v>
      </c>
      <c r="AD60" s="7" t="s">
        <v>257</v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28" customFormat="1" ht="31.5" x14ac:dyDescent="0.25">
      <c r="A61" s="18" t="s">
        <v>88</v>
      </c>
      <c r="B61" s="19">
        <v>46074</v>
      </c>
      <c r="C61" s="19">
        <v>46074</v>
      </c>
      <c r="D61" s="18" t="s">
        <v>214</v>
      </c>
      <c r="E61" s="20">
        <v>0.45833333333333331</v>
      </c>
      <c r="F61" s="20">
        <v>0.54166666666666663</v>
      </c>
      <c r="G61" s="20">
        <v>3.4722222222222218E-4</v>
      </c>
      <c r="H61" s="18" t="s">
        <v>151</v>
      </c>
      <c r="I61" s="23">
        <v>0.5258680555555556</v>
      </c>
      <c r="J61" s="18" t="s">
        <v>84</v>
      </c>
      <c r="K61" s="18" t="s">
        <v>140</v>
      </c>
      <c r="L61" s="24">
        <v>1</v>
      </c>
      <c r="M61" s="24">
        <v>71438</v>
      </c>
      <c r="N61" s="18" t="s">
        <v>46</v>
      </c>
      <c r="O61" s="24" t="s">
        <v>90</v>
      </c>
      <c r="P61" s="25">
        <v>0</v>
      </c>
      <c r="Q61" s="24"/>
      <c r="R61" s="25">
        <v>0</v>
      </c>
      <c r="S61" s="26">
        <v>46074</v>
      </c>
      <c r="T61" s="25">
        <v>0</v>
      </c>
      <c r="U61" s="27">
        <v>4</v>
      </c>
      <c r="V61" s="25">
        <v>0</v>
      </c>
      <c r="W61" s="18" t="s">
        <v>48</v>
      </c>
      <c r="X61" s="18" t="s">
        <v>49</v>
      </c>
      <c r="Y61" s="18" t="s">
        <v>86</v>
      </c>
      <c r="Z61" s="18" t="s">
        <v>9</v>
      </c>
      <c r="AA61" s="18" t="s">
        <v>50</v>
      </c>
      <c r="AB61" s="18" t="s">
        <v>91</v>
      </c>
      <c r="AC61" s="18" t="s">
        <v>38</v>
      </c>
      <c r="AD61" s="7" t="s">
        <v>257</v>
      </c>
    </row>
    <row r="62" spans="1:49" s="28" customFormat="1" ht="31.5" x14ac:dyDescent="0.25">
      <c r="A62" s="18" t="s">
        <v>88</v>
      </c>
      <c r="B62" s="19">
        <v>46074</v>
      </c>
      <c r="C62" s="19">
        <v>46074</v>
      </c>
      <c r="D62" s="18" t="s">
        <v>214</v>
      </c>
      <c r="E62" s="20">
        <v>0.75</v>
      </c>
      <c r="F62" s="20">
        <v>0.83333333333333337</v>
      </c>
      <c r="G62" s="20">
        <v>3.4722222222222218E-4</v>
      </c>
      <c r="H62" s="18" t="s">
        <v>238</v>
      </c>
      <c r="I62" s="23">
        <v>0.77884259259259259</v>
      </c>
      <c r="J62" s="18" t="s">
        <v>232</v>
      </c>
      <c r="K62" s="18" t="s">
        <v>228</v>
      </c>
      <c r="L62" s="24">
        <v>1</v>
      </c>
      <c r="M62" s="24">
        <v>71442</v>
      </c>
      <c r="N62" s="18" t="s">
        <v>54</v>
      </c>
      <c r="O62" s="24" t="s">
        <v>236</v>
      </c>
      <c r="P62" s="25">
        <v>52.941176470588239</v>
      </c>
      <c r="Q62" s="24"/>
      <c r="R62" s="25">
        <v>52.941176470588239</v>
      </c>
      <c r="S62" s="26">
        <v>46074</v>
      </c>
      <c r="T62" s="25">
        <v>7.9411764705882355</v>
      </c>
      <c r="U62" s="27">
        <v>4</v>
      </c>
      <c r="V62" s="25">
        <v>45</v>
      </c>
      <c r="W62" s="18" t="s">
        <v>48</v>
      </c>
      <c r="X62" s="18" t="s">
        <v>49</v>
      </c>
      <c r="Y62" s="18" t="s">
        <v>86</v>
      </c>
      <c r="Z62" s="18" t="s">
        <v>9</v>
      </c>
      <c r="AA62" s="18" t="s">
        <v>50</v>
      </c>
      <c r="AB62" s="18" t="s">
        <v>237</v>
      </c>
      <c r="AC62" s="18" t="s">
        <v>38</v>
      </c>
      <c r="AD62" s="7" t="s">
        <v>257</v>
      </c>
    </row>
    <row r="63" spans="1:49" ht="31.5" x14ac:dyDescent="0.2">
      <c r="A63" s="52" t="s">
        <v>88</v>
      </c>
      <c r="B63" s="55">
        <v>46074</v>
      </c>
      <c r="C63" s="55">
        <v>46074</v>
      </c>
      <c r="D63" s="52" t="s">
        <v>214</v>
      </c>
      <c r="E63" s="59">
        <v>0.75</v>
      </c>
      <c r="F63" s="59">
        <v>0.83333333333333337</v>
      </c>
      <c r="G63" s="59">
        <v>3.4722222222222218E-4</v>
      </c>
      <c r="H63" s="52" t="s">
        <v>238</v>
      </c>
      <c r="I63" s="64">
        <v>0.79827546296296292</v>
      </c>
      <c r="J63" s="52" t="s">
        <v>232</v>
      </c>
      <c r="K63" s="52" t="s">
        <v>241</v>
      </c>
      <c r="L63" s="67">
        <v>1</v>
      </c>
      <c r="M63" s="67">
        <v>71442</v>
      </c>
      <c r="N63" s="52" t="s">
        <v>54</v>
      </c>
      <c r="O63" s="67" t="s">
        <v>236</v>
      </c>
      <c r="P63" s="70">
        <v>52.941176470588239</v>
      </c>
      <c r="Q63" s="67"/>
      <c r="R63" s="70">
        <v>52.941176470588239</v>
      </c>
      <c r="S63" s="75">
        <v>46074</v>
      </c>
      <c r="T63" s="70">
        <v>7.9411764705882355</v>
      </c>
      <c r="U63" s="77">
        <v>4</v>
      </c>
      <c r="V63" s="70">
        <v>45</v>
      </c>
      <c r="W63" s="52" t="s">
        <v>48</v>
      </c>
      <c r="X63" s="52" t="s">
        <v>49</v>
      </c>
      <c r="Y63" s="52" t="s">
        <v>86</v>
      </c>
      <c r="Z63" s="52" t="s">
        <v>9</v>
      </c>
      <c r="AA63" s="52" t="s">
        <v>50</v>
      </c>
      <c r="AB63" s="52" t="s">
        <v>237</v>
      </c>
      <c r="AC63" s="52" t="s">
        <v>38</v>
      </c>
      <c r="AD63" s="79" t="s">
        <v>257</v>
      </c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</row>
    <row r="64" spans="1:49" ht="31.5" x14ac:dyDescent="0.25">
      <c r="A64" s="52" t="s">
        <v>88</v>
      </c>
      <c r="B64" s="55">
        <v>46074</v>
      </c>
      <c r="C64" s="55">
        <v>46074</v>
      </c>
      <c r="D64" s="52" t="s">
        <v>214</v>
      </c>
      <c r="E64" s="59">
        <v>0.75</v>
      </c>
      <c r="F64" s="59">
        <v>0.83333333333333337</v>
      </c>
      <c r="G64" s="59">
        <v>3.4722222222222218E-4</v>
      </c>
      <c r="H64" s="52" t="s">
        <v>235</v>
      </c>
      <c r="I64" s="64">
        <v>0.81935185185185189</v>
      </c>
      <c r="J64" s="52" t="s">
        <v>232</v>
      </c>
      <c r="K64" s="52" t="s">
        <v>241</v>
      </c>
      <c r="L64" s="67">
        <v>1</v>
      </c>
      <c r="M64" s="67">
        <v>71444</v>
      </c>
      <c r="N64" s="52" t="s">
        <v>46</v>
      </c>
      <c r="O64" s="67" t="s">
        <v>236</v>
      </c>
      <c r="P64" s="70">
        <v>0</v>
      </c>
      <c r="Q64" s="67"/>
      <c r="R64" s="70">
        <v>0</v>
      </c>
      <c r="S64" s="75">
        <v>46074</v>
      </c>
      <c r="T64" s="70">
        <v>0</v>
      </c>
      <c r="U64" s="77">
        <v>4</v>
      </c>
      <c r="V64" s="70">
        <v>0</v>
      </c>
      <c r="W64" s="52" t="s">
        <v>48</v>
      </c>
      <c r="X64" s="52" t="s">
        <v>49</v>
      </c>
      <c r="Y64" s="52" t="s">
        <v>86</v>
      </c>
      <c r="Z64" s="52" t="s">
        <v>9</v>
      </c>
      <c r="AA64" s="52" t="s">
        <v>50</v>
      </c>
      <c r="AB64" s="52" t="s">
        <v>237</v>
      </c>
      <c r="AC64" s="52" t="s">
        <v>38</v>
      </c>
      <c r="AD64" s="79" t="s">
        <v>257</v>
      </c>
      <c r="AE64" s="81"/>
      <c r="AF64" s="81"/>
      <c r="AG64" s="81"/>
      <c r="AH64" s="81"/>
      <c r="AI64" s="87"/>
      <c r="AJ64" s="87"/>
      <c r="AK64" s="87"/>
      <c r="AL64" s="87"/>
      <c r="AM64" s="87"/>
      <c r="AN64" s="87"/>
      <c r="AO64" s="87"/>
      <c r="AP64" s="87"/>
      <c r="AQ64" s="87"/>
      <c r="AR64" s="87"/>
      <c r="AS64" s="87"/>
      <c r="AT64" s="87"/>
      <c r="AU64" s="87"/>
      <c r="AV64" s="87"/>
      <c r="AW64" s="87"/>
    </row>
    <row r="65" spans="1:49" ht="31.5" x14ac:dyDescent="0.2">
      <c r="A65" s="52" t="s">
        <v>88</v>
      </c>
      <c r="B65" s="55">
        <v>46075</v>
      </c>
      <c r="C65" s="55">
        <v>46075</v>
      </c>
      <c r="D65" s="52" t="s">
        <v>243</v>
      </c>
      <c r="E65" s="59">
        <v>0.75</v>
      </c>
      <c r="F65" s="59">
        <v>0.83333333333333337</v>
      </c>
      <c r="G65" s="59">
        <v>3.4722222222222218E-4</v>
      </c>
      <c r="H65" s="52" t="s">
        <v>238</v>
      </c>
      <c r="I65" s="64">
        <v>0.7820138888888889</v>
      </c>
      <c r="J65" s="52" t="s">
        <v>232</v>
      </c>
      <c r="K65" s="52" t="s">
        <v>228</v>
      </c>
      <c r="L65" s="67">
        <v>1</v>
      </c>
      <c r="M65" s="67">
        <v>71442</v>
      </c>
      <c r="N65" s="52" t="s">
        <v>54</v>
      </c>
      <c r="O65" s="67" t="s">
        <v>236</v>
      </c>
      <c r="P65" s="70">
        <v>52.941176470588239</v>
      </c>
      <c r="Q65" s="67"/>
      <c r="R65" s="70">
        <v>52.941176470588239</v>
      </c>
      <c r="S65" s="75">
        <v>46075</v>
      </c>
      <c r="T65" s="70">
        <v>7.9411764705882355</v>
      </c>
      <c r="U65" s="77">
        <v>4</v>
      </c>
      <c r="V65" s="70">
        <v>45</v>
      </c>
      <c r="W65" s="52" t="s">
        <v>48</v>
      </c>
      <c r="X65" s="52" t="s">
        <v>49</v>
      </c>
      <c r="Y65" s="52" t="s">
        <v>86</v>
      </c>
      <c r="Z65" s="52" t="s">
        <v>9</v>
      </c>
      <c r="AA65" s="52" t="s">
        <v>50</v>
      </c>
      <c r="AB65" s="52" t="s">
        <v>237</v>
      </c>
      <c r="AC65" s="52" t="s">
        <v>38</v>
      </c>
      <c r="AD65" s="79" t="s">
        <v>257</v>
      </c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</row>
    <row r="66" spans="1:49" ht="31.5" x14ac:dyDescent="0.25">
      <c r="A66" s="52" t="s">
        <v>88</v>
      </c>
      <c r="B66" s="55">
        <v>46075</v>
      </c>
      <c r="C66" s="55">
        <v>46075</v>
      </c>
      <c r="D66" s="52" t="s">
        <v>243</v>
      </c>
      <c r="E66" s="59">
        <v>0.75</v>
      </c>
      <c r="F66" s="59">
        <v>0.83333333333333337</v>
      </c>
      <c r="G66" s="59">
        <v>3.4722222222222218E-4</v>
      </c>
      <c r="H66" s="52" t="s">
        <v>235</v>
      </c>
      <c r="I66" s="64">
        <v>0.80248842592592595</v>
      </c>
      <c r="J66" s="52" t="s">
        <v>232</v>
      </c>
      <c r="K66" s="52" t="s">
        <v>241</v>
      </c>
      <c r="L66" s="67">
        <v>1</v>
      </c>
      <c r="M66" s="67">
        <v>71444</v>
      </c>
      <c r="N66" s="52" t="s">
        <v>46</v>
      </c>
      <c r="O66" s="67" t="s">
        <v>236</v>
      </c>
      <c r="P66" s="70">
        <v>0</v>
      </c>
      <c r="Q66" s="67"/>
      <c r="R66" s="70">
        <v>0</v>
      </c>
      <c r="S66" s="75">
        <v>46075</v>
      </c>
      <c r="T66" s="70">
        <v>0</v>
      </c>
      <c r="U66" s="77">
        <v>4</v>
      </c>
      <c r="V66" s="70">
        <v>0</v>
      </c>
      <c r="W66" s="52" t="s">
        <v>48</v>
      </c>
      <c r="X66" s="52" t="s">
        <v>49</v>
      </c>
      <c r="Y66" s="52" t="s">
        <v>86</v>
      </c>
      <c r="Z66" s="52" t="s">
        <v>9</v>
      </c>
      <c r="AA66" s="52" t="s">
        <v>50</v>
      </c>
      <c r="AB66" s="52" t="s">
        <v>237</v>
      </c>
      <c r="AC66" s="52" t="s">
        <v>38</v>
      </c>
      <c r="AD66" s="79" t="s">
        <v>257</v>
      </c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</row>
    <row r="67" spans="1:49" ht="31.5" x14ac:dyDescent="0.25">
      <c r="A67" s="52" t="s">
        <v>88</v>
      </c>
      <c r="B67" s="55">
        <v>46075</v>
      </c>
      <c r="C67" s="55">
        <v>46075</v>
      </c>
      <c r="D67" s="52" t="s">
        <v>243</v>
      </c>
      <c r="E67" s="59">
        <v>0.75</v>
      </c>
      <c r="F67" s="59">
        <v>0.83333333333333337</v>
      </c>
      <c r="G67" s="59">
        <v>3.4722222222222218E-4</v>
      </c>
      <c r="H67" s="52" t="s">
        <v>238</v>
      </c>
      <c r="I67" s="64">
        <v>0.81259259259259264</v>
      </c>
      <c r="J67" s="52" t="s">
        <v>232</v>
      </c>
      <c r="K67" s="52" t="s">
        <v>241</v>
      </c>
      <c r="L67" s="67">
        <v>1</v>
      </c>
      <c r="M67" s="67">
        <v>71442</v>
      </c>
      <c r="N67" s="52" t="s">
        <v>54</v>
      </c>
      <c r="O67" s="67" t="s">
        <v>236</v>
      </c>
      <c r="P67" s="70">
        <v>52.941176470588239</v>
      </c>
      <c r="Q67" s="67"/>
      <c r="R67" s="70">
        <v>52.941176470588239</v>
      </c>
      <c r="S67" s="75">
        <v>46075</v>
      </c>
      <c r="T67" s="70">
        <v>7.9411764705882355</v>
      </c>
      <c r="U67" s="77">
        <v>4</v>
      </c>
      <c r="V67" s="70">
        <v>45</v>
      </c>
      <c r="W67" s="52" t="s">
        <v>48</v>
      </c>
      <c r="X67" s="52" t="s">
        <v>49</v>
      </c>
      <c r="Y67" s="52" t="s">
        <v>86</v>
      </c>
      <c r="Z67" s="52" t="s">
        <v>9</v>
      </c>
      <c r="AA67" s="52" t="s">
        <v>50</v>
      </c>
      <c r="AB67" s="52" t="s">
        <v>237</v>
      </c>
      <c r="AC67" s="52" t="s">
        <v>38</v>
      </c>
      <c r="AD67" s="79" t="s">
        <v>257</v>
      </c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</row>
    <row r="68" spans="1:49" ht="31.5" x14ac:dyDescent="0.2">
      <c r="A68" s="52" t="s">
        <v>103</v>
      </c>
      <c r="B68" s="55">
        <v>46069</v>
      </c>
      <c r="C68" s="55">
        <v>46069</v>
      </c>
      <c r="D68" s="52" t="s">
        <v>30</v>
      </c>
      <c r="E68" s="59">
        <v>0.58333333333333337</v>
      </c>
      <c r="F68" s="59">
        <v>0.66666666666666663</v>
      </c>
      <c r="G68" s="59">
        <v>3.4722222222222218E-4</v>
      </c>
      <c r="H68" s="52" t="s">
        <v>104</v>
      </c>
      <c r="I68" s="64">
        <v>0.66471064814814818</v>
      </c>
      <c r="J68" s="52" t="s">
        <v>101</v>
      </c>
      <c r="K68" s="52" t="s">
        <v>141</v>
      </c>
      <c r="L68" s="67">
        <v>1</v>
      </c>
      <c r="M68" s="67">
        <v>59763</v>
      </c>
      <c r="N68" s="52" t="s">
        <v>54</v>
      </c>
      <c r="O68" s="67"/>
      <c r="P68" s="70">
        <v>50</v>
      </c>
      <c r="Q68" s="67"/>
      <c r="R68" s="70">
        <v>50</v>
      </c>
      <c r="S68" s="75">
        <v>46054</v>
      </c>
      <c r="T68" s="70">
        <v>0</v>
      </c>
      <c r="U68" s="77">
        <v>4</v>
      </c>
      <c r="V68" s="70">
        <v>50</v>
      </c>
      <c r="W68" s="52" t="s">
        <v>48</v>
      </c>
      <c r="X68" s="52" t="s">
        <v>49</v>
      </c>
      <c r="Y68" s="52" t="s">
        <v>36</v>
      </c>
      <c r="Z68" s="52" t="s">
        <v>9</v>
      </c>
      <c r="AA68" s="52" t="s">
        <v>50</v>
      </c>
      <c r="AB68" s="52" t="s">
        <v>105</v>
      </c>
      <c r="AC68" s="52" t="s">
        <v>38</v>
      </c>
      <c r="AD68" s="79" t="s">
        <v>257</v>
      </c>
      <c r="AE68" s="53"/>
      <c r="AF68" s="53"/>
      <c r="AG68" s="53"/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</row>
    <row r="69" spans="1:49" ht="31.5" x14ac:dyDescent="0.25">
      <c r="A69" s="52" t="s">
        <v>103</v>
      </c>
      <c r="B69" s="55">
        <v>46073</v>
      </c>
      <c r="C69" s="55">
        <v>46073</v>
      </c>
      <c r="D69" s="52" t="s">
        <v>196</v>
      </c>
      <c r="E69" s="59">
        <v>0.66666666666666663</v>
      </c>
      <c r="F69" s="59">
        <v>0.79166666666666663</v>
      </c>
      <c r="G69" s="59">
        <v>3.4722222222222218E-4</v>
      </c>
      <c r="H69" s="52" t="s">
        <v>210</v>
      </c>
      <c r="I69" s="64">
        <v>0.76503472222222224</v>
      </c>
      <c r="J69" s="52" t="s">
        <v>110</v>
      </c>
      <c r="K69" s="52" t="s">
        <v>174</v>
      </c>
      <c r="L69" s="67">
        <v>1</v>
      </c>
      <c r="M69" s="67">
        <v>59760</v>
      </c>
      <c r="N69" s="52" t="s">
        <v>54</v>
      </c>
      <c r="O69" s="67"/>
      <c r="P69" s="70">
        <v>50</v>
      </c>
      <c r="Q69" s="67"/>
      <c r="R69" s="70">
        <v>50</v>
      </c>
      <c r="S69" s="75">
        <v>46054</v>
      </c>
      <c r="T69" s="70">
        <v>0</v>
      </c>
      <c r="U69" s="77">
        <v>4</v>
      </c>
      <c r="V69" s="70">
        <v>50</v>
      </c>
      <c r="W69" s="52" t="s">
        <v>48</v>
      </c>
      <c r="X69" s="52" t="s">
        <v>49</v>
      </c>
      <c r="Y69" s="52" t="s">
        <v>36</v>
      </c>
      <c r="Z69" s="52" t="s">
        <v>9</v>
      </c>
      <c r="AA69" s="52" t="s">
        <v>50</v>
      </c>
      <c r="AB69" s="52" t="s">
        <v>105</v>
      </c>
      <c r="AC69" s="52" t="s">
        <v>38</v>
      </c>
      <c r="AD69" s="79" t="s">
        <v>257</v>
      </c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</row>
    <row r="70" spans="1:49" ht="31.5" x14ac:dyDescent="0.25">
      <c r="A70" s="52" t="s">
        <v>103</v>
      </c>
      <c r="B70" s="55">
        <v>46074</v>
      </c>
      <c r="C70" s="55">
        <v>46074</v>
      </c>
      <c r="D70" s="52" t="s">
        <v>214</v>
      </c>
      <c r="E70" s="59">
        <v>0.66666666666666663</v>
      </c>
      <c r="F70" s="59">
        <v>0.75</v>
      </c>
      <c r="G70" s="59">
        <v>3.4722222222222218E-4</v>
      </c>
      <c r="H70" s="52" t="s">
        <v>210</v>
      </c>
      <c r="I70" s="64">
        <v>0.7281481481481481</v>
      </c>
      <c r="J70" s="52" t="s">
        <v>110</v>
      </c>
      <c r="K70" s="52" t="s">
        <v>167</v>
      </c>
      <c r="L70" s="67">
        <v>1</v>
      </c>
      <c r="M70" s="67">
        <v>59761</v>
      </c>
      <c r="N70" s="52" t="s">
        <v>54</v>
      </c>
      <c r="O70" s="67"/>
      <c r="P70" s="70">
        <v>40</v>
      </c>
      <c r="Q70" s="67"/>
      <c r="R70" s="70">
        <v>40</v>
      </c>
      <c r="S70" s="75">
        <v>46054</v>
      </c>
      <c r="T70" s="70">
        <v>0</v>
      </c>
      <c r="U70" s="77">
        <v>4</v>
      </c>
      <c r="V70" s="70">
        <v>40</v>
      </c>
      <c r="W70" s="52" t="s">
        <v>48</v>
      </c>
      <c r="X70" s="52" t="s">
        <v>49</v>
      </c>
      <c r="Y70" s="52" t="s">
        <v>36</v>
      </c>
      <c r="Z70" s="52" t="s">
        <v>9</v>
      </c>
      <c r="AA70" s="52" t="s">
        <v>50</v>
      </c>
      <c r="AB70" s="52" t="s">
        <v>105</v>
      </c>
      <c r="AC70" s="52" t="s">
        <v>38</v>
      </c>
      <c r="AD70" s="79" t="s">
        <v>257</v>
      </c>
      <c r="AE70" s="80"/>
      <c r="AF70" s="80"/>
      <c r="AG70" s="80"/>
      <c r="AH70" s="80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  <c r="AT70" s="86"/>
      <c r="AU70" s="86"/>
      <c r="AV70" s="86"/>
      <c r="AW70" s="86"/>
    </row>
    <row r="71" spans="1:49" ht="31.5" x14ac:dyDescent="0.25">
      <c r="A71" s="52" t="s">
        <v>103</v>
      </c>
      <c r="B71" s="55">
        <v>46075</v>
      </c>
      <c r="C71" s="55">
        <v>46075</v>
      </c>
      <c r="D71" s="52" t="s">
        <v>243</v>
      </c>
      <c r="E71" s="59">
        <v>0.75</v>
      </c>
      <c r="F71" s="59">
        <v>0.83333333333333337</v>
      </c>
      <c r="G71" s="59">
        <v>3.4722222222222218E-4</v>
      </c>
      <c r="H71" s="52" t="s">
        <v>254</v>
      </c>
      <c r="I71" s="64">
        <v>0.79380787037037037</v>
      </c>
      <c r="J71" s="52" t="s">
        <v>232</v>
      </c>
      <c r="K71" s="52" t="s">
        <v>241</v>
      </c>
      <c r="L71" s="67">
        <v>1</v>
      </c>
      <c r="M71" s="67">
        <v>59762</v>
      </c>
      <c r="N71" s="52" t="s">
        <v>54</v>
      </c>
      <c r="O71" s="67"/>
      <c r="P71" s="70">
        <v>50</v>
      </c>
      <c r="Q71" s="67"/>
      <c r="R71" s="70">
        <v>50</v>
      </c>
      <c r="S71" s="75">
        <v>46054</v>
      </c>
      <c r="T71" s="70">
        <v>0</v>
      </c>
      <c r="U71" s="77">
        <v>4</v>
      </c>
      <c r="V71" s="70">
        <v>50</v>
      </c>
      <c r="W71" s="52" t="s">
        <v>48</v>
      </c>
      <c r="X71" s="52" t="s">
        <v>49</v>
      </c>
      <c r="Y71" s="52" t="s">
        <v>36</v>
      </c>
      <c r="Z71" s="52" t="s">
        <v>9</v>
      </c>
      <c r="AA71" s="52" t="s">
        <v>50</v>
      </c>
      <c r="AB71" s="52" t="s">
        <v>105</v>
      </c>
      <c r="AC71" s="52" t="s">
        <v>38</v>
      </c>
      <c r="AD71" s="79" t="s">
        <v>257</v>
      </c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</row>
    <row r="72" spans="1:49" ht="31.5" x14ac:dyDescent="0.2">
      <c r="A72" s="52" t="s">
        <v>44</v>
      </c>
      <c r="B72" s="55">
        <v>46069</v>
      </c>
      <c r="C72" s="55">
        <v>46069</v>
      </c>
      <c r="D72" s="52" t="s">
        <v>30</v>
      </c>
      <c r="E72" s="59">
        <v>0.25</v>
      </c>
      <c r="F72" s="59">
        <v>0.875</v>
      </c>
      <c r="G72" s="62">
        <v>1.7361111111111109E-4</v>
      </c>
      <c r="H72" s="63" t="s">
        <v>53</v>
      </c>
      <c r="I72" s="64">
        <v>0.25908564814814816</v>
      </c>
      <c r="J72" s="52" t="s">
        <v>41</v>
      </c>
      <c r="K72" s="52" t="s">
        <v>40</v>
      </c>
      <c r="L72" s="67">
        <v>1</v>
      </c>
      <c r="M72" s="67">
        <v>71013</v>
      </c>
      <c r="N72" s="52" t="s">
        <v>54</v>
      </c>
      <c r="O72" s="67" t="s">
        <v>47</v>
      </c>
      <c r="P72" s="70">
        <v>15</v>
      </c>
      <c r="Q72" s="67"/>
      <c r="R72" s="70">
        <v>15</v>
      </c>
      <c r="S72" s="75">
        <v>46054</v>
      </c>
      <c r="T72" s="70">
        <v>2.25</v>
      </c>
      <c r="U72" s="77">
        <v>4</v>
      </c>
      <c r="V72" s="70">
        <v>12.75</v>
      </c>
      <c r="W72" s="52" t="s">
        <v>48</v>
      </c>
      <c r="X72" s="52" t="s">
        <v>49</v>
      </c>
      <c r="Y72" s="52" t="s">
        <v>36</v>
      </c>
      <c r="Z72" s="52" t="s">
        <v>9</v>
      </c>
      <c r="AA72" s="52" t="s">
        <v>50</v>
      </c>
      <c r="AB72" s="52" t="s">
        <v>51</v>
      </c>
      <c r="AC72" s="52" t="s">
        <v>38</v>
      </c>
      <c r="AD72" s="79" t="s">
        <v>257</v>
      </c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</row>
    <row r="73" spans="1:49" ht="31.5" x14ac:dyDescent="0.2">
      <c r="A73" s="52" t="s">
        <v>44</v>
      </c>
      <c r="B73" s="55">
        <v>46069</v>
      </c>
      <c r="C73" s="55">
        <v>46069</v>
      </c>
      <c r="D73" s="52" t="s">
        <v>30</v>
      </c>
      <c r="E73" s="59">
        <v>0.25</v>
      </c>
      <c r="F73" s="59">
        <v>0.875</v>
      </c>
      <c r="G73" s="62">
        <v>1.7361111111111109E-4</v>
      </c>
      <c r="H73" s="63" t="s">
        <v>55</v>
      </c>
      <c r="I73" s="64">
        <v>0.26082175925925927</v>
      </c>
      <c r="J73" s="52" t="s">
        <v>41</v>
      </c>
      <c r="K73" s="52" t="s">
        <v>40</v>
      </c>
      <c r="L73" s="67">
        <v>1</v>
      </c>
      <c r="M73" s="67">
        <v>71013</v>
      </c>
      <c r="N73" s="52" t="s">
        <v>54</v>
      </c>
      <c r="O73" s="67" t="s">
        <v>47</v>
      </c>
      <c r="P73" s="70">
        <v>15</v>
      </c>
      <c r="Q73" s="67"/>
      <c r="R73" s="70">
        <v>15</v>
      </c>
      <c r="S73" s="75">
        <v>46054</v>
      </c>
      <c r="T73" s="70">
        <v>2.25</v>
      </c>
      <c r="U73" s="77">
        <v>4</v>
      </c>
      <c r="V73" s="70">
        <v>12.75</v>
      </c>
      <c r="W73" s="52" t="s">
        <v>48</v>
      </c>
      <c r="X73" s="52" t="s">
        <v>49</v>
      </c>
      <c r="Y73" s="52" t="s">
        <v>36</v>
      </c>
      <c r="Z73" s="52" t="s">
        <v>9</v>
      </c>
      <c r="AA73" s="52" t="s">
        <v>50</v>
      </c>
      <c r="AB73" s="52" t="s">
        <v>51</v>
      </c>
      <c r="AC73" s="52" t="s">
        <v>38</v>
      </c>
      <c r="AD73" s="79" t="s">
        <v>257</v>
      </c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</row>
    <row r="74" spans="1:49" ht="31.5" x14ac:dyDescent="0.25">
      <c r="A74" s="52" t="s">
        <v>44</v>
      </c>
      <c r="B74" s="55">
        <v>46069</v>
      </c>
      <c r="C74" s="55">
        <v>46069</v>
      </c>
      <c r="D74" s="52" t="s">
        <v>30</v>
      </c>
      <c r="E74" s="59">
        <v>0.25</v>
      </c>
      <c r="F74" s="59">
        <v>0.99930555555555556</v>
      </c>
      <c r="G74" s="62">
        <v>1.7361111111111109E-4</v>
      </c>
      <c r="H74" s="63" t="s">
        <v>45</v>
      </c>
      <c r="I74" s="64">
        <v>0.28212962962962962</v>
      </c>
      <c r="J74" s="52" t="s">
        <v>41</v>
      </c>
      <c r="K74" s="52" t="s">
        <v>40</v>
      </c>
      <c r="L74" s="67">
        <v>1</v>
      </c>
      <c r="M74" s="67">
        <v>71016</v>
      </c>
      <c r="N74" s="52" t="s">
        <v>46</v>
      </c>
      <c r="O74" s="67" t="s">
        <v>47</v>
      </c>
      <c r="P74" s="70">
        <v>0</v>
      </c>
      <c r="Q74" s="67"/>
      <c r="R74" s="70">
        <v>0</v>
      </c>
      <c r="S74" s="75">
        <v>46054</v>
      </c>
      <c r="T74" s="70">
        <v>0</v>
      </c>
      <c r="U74" s="77">
        <v>4</v>
      </c>
      <c r="V74" s="70">
        <v>0</v>
      </c>
      <c r="W74" s="52" t="s">
        <v>48</v>
      </c>
      <c r="X74" s="52" t="s">
        <v>49</v>
      </c>
      <c r="Y74" s="52" t="s">
        <v>36</v>
      </c>
      <c r="Z74" s="52" t="s">
        <v>9</v>
      </c>
      <c r="AA74" s="52" t="s">
        <v>50</v>
      </c>
      <c r="AB74" s="52" t="s">
        <v>51</v>
      </c>
      <c r="AC74" s="52" t="s">
        <v>38</v>
      </c>
      <c r="AD74" s="79" t="s">
        <v>257</v>
      </c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</row>
    <row r="75" spans="1:49" ht="31.5" x14ac:dyDescent="0.25">
      <c r="A75" s="52" t="s">
        <v>44</v>
      </c>
      <c r="B75" s="55">
        <v>46069</v>
      </c>
      <c r="C75" s="55">
        <v>46069</v>
      </c>
      <c r="D75" s="52" t="s">
        <v>30</v>
      </c>
      <c r="E75" s="59">
        <v>0.25</v>
      </c>
      <c r="F75" s="59">
        <v>0.99930555555555556</v>
      </c>
      <c r="G75" s="62">
        <v>1.7361111111111109E-4</v>
      </c>
      <c r="H75" s="63" t="s">
        <v>52</v>
      </c>
      <c r="I75" s="64">
        <v>0.28403935185185186</v>
      </c>
      <c r="J75" s="52" t="s">
        <v>41</v>
      </c>
      <c r="K75" s="52" t="s">
        <v>40</v>
      </c>
      <c r="L75" s="67">
        <v>1</v>
      </c>
      <c r="M75" s="67">
        <v>71016</v>
      </c>
      <c r="N75" s="52" t="s">
        <v>46</v>
      </c>
      <c r="O75" s="67" t="s">
        <v>47</v>
      </c>
      <c r="P75" s="70">
        <v>0</v>
      </c>
      <c r="Q75" s="67"/>
      <c r="R75" s="70">
        <v>0</v>
      </c>
      <c r="S75" s="75">
        <v>46054</v>
      </c>
      <c r="T75" s="70">
        <v>0</v>
      </c>
      <c r="U75" s="77">
        <v>4</v>
      </c>
      <c r="V75" s="70">
        <v>0</v>
      </c>
      <c r="W75" s="52" t="s">
        <v>48</v>
      </c>
      <c r="X75" s="52" t="s">
        <v>49</v>
      </c>
      <c r="Y75" s="52" t="s">
        <v>36</v>
      </c>
      <c r="Z75" s="52" t="s">
        <v>9</v>
      </c>
      <c r="AA75" s="52" t="s">
        <v>50</v>
      </c>
      <c r="AB75" s="52" t="s">
        <v>51</v>
      </c>
      <c r="AC75" s="52" t="s">
        <v>38</v>
      </c>
      <c r="AD75" s="79" t="s">
        <v>257</v>
      </c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</row>
    <row r="76" spans="1:49" ht="31.5" x14ac:dyDescent="0.25">
      <c r="A76" s="52" t="s">
        <v>44</v>
      </c>
      <c r="B76" s="55">
        <v>46069</v>
      </c>
      <c r="C76" s="55">
        <v>46069</v>
      </c>
      <c r="D76" s="52" t="s">
        <v>30</v>
      </c>
      <c r="E76" s="59">
        <v>0.33333333333333331</v>
      </c>
      <c r="F76" s="59">
        <v>0.375</v>
      </c>
      <c r="G76" s="62">
        <v>1.7361111111111109E-4</v>
      </c>
      <c r="H76" s="63" t="s">
        <v>74</v>
      </c>
      <c r="I76" s="64">
        <v>0.34399305555555554</v>
      </c>
      <c r="J76" s="52" t="s">
        <v>69</v>
      </c>
      <c r="K76" s="52" t="s">
        <v>68</v>
      </c>
      <c r="L76" s="67">
        <v>1</v>
      </c>
      <c r="M76" s="67">
        <v>71018</v>
      </c>
      <c r="N76" s="52" t="s">
        <v>54</v>
      </c>
      <c r="O76" s="67" t="s">
        <v>47</v>
      </c>
      <c r="P76" s="70">
        <v>15</v>
      </c>
      <c r="Q76" s="67"/>
      <c r="R76" s="70">
        <v>15</v>
      </c>
      <c r="S76" s="75">
        <v>46054</v>
      </c>
      <c r="T76" s="70">
        <v>2.25</v>
      </c>
      <c r="U76" s="77">
        <v>4</v>
      </c>
      <c r="V76" s="70">
        <v>12.75</v>
      </c>
      <c r="W76" s="52" t="s">
        <v>48</v>
      </c>
      <c r="X76" s="52" t="s">
        <v>49</v>
      </c>
      <c r="Y76" s="52" t="s">
        <v>36</v>
      </c>
      <c r="Z76" s="52" t="s">
        <v>9</v>
      </c>
      <c r="AA76" s="52" t="s">
        <v>50</v>
      </c>
      <c r="AB76" s="52" t="s">
        <v>51</v>
      </c>
      <c r="AC76" s="52" t="s">
        <v>38</v>
      </c>
      <c r="AD76" s="79" t="s">
        <v>257</v>
      </c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</row>
    <row r="77" spans="1:49" ht="31.5" x14ac:dyDescent="0.25">
      <c r="A77" s="52" t="s">
        <v>44</v>
      </c>
      <c r="B77" s="55">
        <v>46069</v>
      </c>
      <c r="C77" s="55">
        <v>46069</v>
      </c>
      <c r="D77" s="52" t="s">
        <v>30</v>
      </c>
      <c r="E77" s="59">
        <v>0.33333333333333331</v>
      </c>
      <c r="F77" s="59">
        <v>0.375</v>
      </c>
      <c r="G77" s="62">
        <v>1.7361111111111109E-4</v>
      </c>
      <c r="H77" s="63" t="s">
        <v>45</v>
      </c>
      <c r="I77" s="64">
        <v>0.34520833333333334</v>
      </c>
      <c r="J77" s="52" t="s">
        <v>69</v>
      </c>
      <c r="K77" s="52" t="s">
        <v>68</v>
      </c>
      <c r="L77" s="67">
        <v>1</v>
      </c>
      <c r="M77" s="67">
        <v>71018</v>
      </c>
      <c r="N77" s="52" t="s">
        <v>54</v>
      </c>
      <c r="O77" s="67" t="s">
        <v>47</v>
      </c>
      <c r="P77" s="70">
        <v>15</v>
      </c>
      <c r="Q77" s="67"/>
      <c r="R77" s="70">
        <v>15</v>
      </c>
      <c r="S77" s="75">
        <v>46054</v>
      </c>
      <c r="T77" s="70">
        <v>2.25</v>
      </c>
      <c r="U77" s="77">
        <v>4</v>
      </c>
      <c r="V77" s="70">
        <v>12.75</v>
      </c>
      <c r="W77" s="52" t="s">
        <v>48</v>
      </c>
      <c r="X77" s="52" t="s">
        <v>49</v>
      </c>
      <c r="Y77" s="52" t="s">
        <v>36</v>
      </c>
      <c r="Z77" s="52" t="s">
        <v>9</v>
      </c>
      <c r="AA77" s="52" t="s">
        <v>50</v>
      </c>
      <c r="AB77" s="52" t="s">
        <v>51</v>
      </c>
      <c r="AC77" s="52" t="s">
        <v>38</v>
      </c>
      <c r="AD77" s="79" t="s">
        <v>257</v>
      </c>
      <c r="AE77" s="83"/>
      <c r="AF77" s="83"/>
      <c r="AG77" s="83"/>
      <c r="AH77" s="83"/>
      <c r="AI77" s="82"/>
      <c r="AJ77" s="82"/>
      <c r="AK77" s="82"/>
      <c r="AL77" s="82"/>
      <c r="AM77" s="82"/>
      <c r="AN77" s="82"/>
      <c r="AO77" s="82"/>
      <c r="AP77" s="82"/>
      <c r="AQ77" s="82"/>
      <c r="AR77" s="82"/>
      <c r="AS77" s="82"/>
      <c r="AT77" s="82"/>
      <c r="AU77" s="82"/>
      <c r="AV77" s="82"/>
      <c r="AW77" s="82"/>
    </row>
    <row r="78" spans="1:49" ht="31.5" x14ac:dyDescent="0.2">
      <c r="A78" s="52" t="s">
        <v>44</v>
      </c>
      <c r="B78" s="55">
        <v>46069</v>
      </c>
      <c r="C78" s="55">
        <v>46069</v>
      </c>
      <c r="D78" s="52" t="s">
        <v>30</v>
      </c>
      <c r="E78" s="59">
        <v>0.33333333333333331</v>
      </c>
      <c r="F78" s="59">
        <v>0.41666666666666669</v>
      </c>
      <c r="G78" s="59">
        <v>1.157407407407407E-4</v>
      </c>
      <c r="H78" s="52" t="s">
        <v>73</v>
      </c>
      <c r="I78" s="64">
        <v>0.40873842592592591</v>
      </c>
      <c r="J78" s="52" t="s">
        <v>69</v>
      </c>
      <c r="K78" s="52" t="s">
        <v>75</v>
      </c>
      <c r="L78" s="67">
        <v>1</v>
      </c>
      <c r="M78" s="67">
        <v>71105</v>
      </c>
      <c r="N78" s="52" t="s">
        <v>46</v>
      </c>
      <c r="O78" s="67" t="s">
        <v>47</v>
      </c>
      <c r="P78" s="70">
        <v>0</v>
      </c>
      <c r="Q78" s="67"/>
      <c r="R78" s="70">
        <v>0</v>
      </c>
      <c r="S78" s="75">
        <v>46054</v>
      </c>
      <c r="T78" s="70">
        <v>0</v>
      </c>
      <c r="U78" s="77">
        <v>4</v>
      </c>
      <c r="V78" s="70">
        <v>0</v>
      </c>
      <c r="W78" s="52" t="s">
        <v>48</v>
      </c>
      <c r="X78" s="52" t="s">
        <v>49</v>
      </c>
      <c r="Y78" s="52" t="s">
        <v>36</v>
      </c>
      <c r="Z78" s="52" t="s">
        <v>9</v>
      </c>
      <c r="AA78" s="52" t="s">
        <v>50</v>
      </c>
      <c r="AB78" s="52" t="s">
        <v>51</v>
      </c>
      <c r="AC78" s="52" t="s">
        <v>38</v>
      </c>
      <c r="AD78" s="79" t="s">
        <v>257</v>
      </c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</row>
    <row r="79" spans="1:49" ht="31.5" x14ac:dyDescent="0.25">
      <c r="A79" s="52" t="s">
        <v>44</v>
      </c>
      <c r="B79" s="55">
        <v>46069</v>
      </c>
      <c r="C79" s="55">
        <v>46069</v>
      </c>
      <c r="D79" s="52" t="s">
        <v>30</v>
      </c>
      <c r="E79" s="59">
        <v>0.58333333333333337</v>
      </c>
      <c r="F79" s="59">
        <v>0.66666666666666663</v>
      </c>
      <c r="G79" s="62">
        <v>1.7361111111111109E-4</v>
      </c>
      <c r="H79" s="63" t="s">
        <v>45</v>
      </c>
      <c r="I79" s="64">
        <v>0.59111111111111114</v>
      </c>
      <c r="J79" s="52" t="s">
        <v>97</v>
      </c>
      <c r="K79" s="52" t="s">
        <v>141</v>
      </c>
      <c r="L79" s="67">
        <v>1</v>
      </c>
      <c r="M79" s="67">
        <v>71009</v>
      </c>
      <c r="N79" s="52" t="s">
        <v>54</v>
      </c>
      <c r="O79" s="67" t="s">
        <v>47</v>
      </c>
      <c r="P79" s="70">
        <v>15</v>
      </c>
      <c r="Q79" s="67"/>
      <c r="R79" s="70">
        <v>15</v>
      </c>
      <c r="S79" s="75">
        <v>46054</v>
      </c>
      <c r="T79" s="70">
        <v>2.25</v>
      </c>
      <c r="U79" s="77">
        <v>4</v>
      </c>
      <c r="V79" s="70">
        <v>12.75</v>
      </c>
      <c r="W79" s="52" t="s">
        <v>48</v>
      </c>
      <c r="X79" s="52" t="s">
        <v>49</v>
      </c>
      <c r="Y79" s="52" t="s">
        <v>36</v>
      </c>
      <c r="Z79" s="52" t="s">
        <v>9</v>
      </c>
      <c r="AA79" s="52" t="s">
        <v>50</v>
      </c>
      <c r="AB79" s="52" t="s">
        <v>51</v>
      </c>
      <c r="AC79" s="52" t="s">
        <v>38</v>
      </c>
      <c r="AD79" s="79" t="s">
        <v>257</v>
      </c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</row>
    <row r="80" spans="1:49" ht="31.5" x14ac:dyDescent="0.25">
      <c r="A80" s="52" t="s">
        <v>44</v>
      </c>
      <c r="B80" s="55">
        <v>46069</v>
      </c>
      <c r="C80" s="55">
        <v>46069</v>
      </c>
      <c r="D80" s="52" t="s">
        <v>30</v>
      </c>
      <c r="E80" s="59">
        <v>0.58333333333333337</v>
      </c>
      <c r="F80" s="59">
        <v>0.66666666666666663</v>
      </c>
      <c r="G80" s="62">
        <v>1.7361111111111109E-4</v>
      </c>
      <c r="H80" s="63" t="s">
        <v>52</v>
      </c>
      <c r="I80" s="64">
        <v>0.59232638888888889</v>
      </c>
      <c r="J80" s="52" t="s">
        <v>97</v>
      </c>
      <c r="K80" s="52" t="s">
        <v>141</v>
      </c>
      <c r="L80" s="67">
        <v>1</v>
      </c>
      <c r="M80" s="67">
        <v>71009</v>
      </c>
      <c r="N80" s="52" t="s">
        <v>54</v>
      </c>
      <c r="O80" s="67" t="s">
        <v>47</v>
      </c>
      <c r="P80" s="70">
        <v>15</v>
      </c>
      <c r="Q80" s="67"/>
      <c r="R80" s="70">
        <v>15</v>
      </c>
      <c r="S80" s="75">
        <v>46054</v>
      </c>
      <c r="T80" s="70">
        <v>2.25</v>
      </c>
      <c r="U80" s="77">
        <v>4</v>
      </c>
      <c r="V80" s="70">
        <v>12.75</v>
      </c>
      <c r="W80" s="52" t="s">
        <v>48</v>
      </c>
      <c r="X80" s="52" t="s">
        <v>49</v>
      </c>
      <c r="Y80" s="52" t="s">
        <v>36</v>
      </c>
      <c r="Z80" s="52" t="s">
        <v>9</v>
      </c>
      <c r="AA80" s="52" t="s">
        <v>50</v>
      </c>
      <c r="AB80" s="52" t="s">
        <v>51</v>
      </c>
      <c r="AC80" s="52" t="s">
        <v>38</v>
      </c>
      <c r="AD80" s="79" t="s">
        <v>257</v>
      </c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</row>
    <row r="81" spans="1:49" ht="31.5" x14ac:dyDescent="0.2">
      <c r="A81" s="52" t="s">
        <v>44</v>
      </c>
      <c r="B81" s="55">
        <v>46069</v>
      </c>
      <c r="C81" s="55">
        <v>46069</v>
      </c>
      <c r="D81" s="52" t="s">
        <v>30</v>
      </c>
      <c r="E81" s="59">
        <v>0.66666666666666663</v>
      </c>
      <c r="F81" s="59">
        <v>0.79166666666666663</v>
      </c>
      <c r="G81" s="62">
        <v>1.7361111111111109E-4</v>
      </c>
      <c r="H81" s="63" t="s">
        <v>53</v>
      </c>
      <c r="I81" s="64">
        <v>0.67331018518518515</v>
      </c>
      <c r="J81" s="52" t="s">
        <v>110</v>
      </c>
      <c r="K81" s="52" t="s">
        <v>109</v>
      </c>
      <c r="L81" s="67">
        <v>1</v>
      </c>
      <c r="M81" s="67">
        <v>71003</v>
      </c>
      <c r="N81" s="52" t="s">
        <v>54</v>
      </c>
      <c r="O81" s="67" t="s">
        <v>47</v>
      </c>
      <c r="P81" s="70">
        <v>15</v>
      </c>
      <c r="Q81" s="67"/>
      <c r="R81" s="70">
        <v>15</v>
      </c>
      <c r="S81" s="75">
        <v>46054</v>
      </c>
      <c r="T81" s="70">
        <v>2.25</v>
      </c>
      <c r="U81" s="77">
        <v>4</v>
      </c>
      <c r="V81" s="70">
        <v>12.75</v>
      </c>
      <c r="W81" s="52" t="s">
        <v>48</v>
      </c>
      <c r="X81" s="52" t="s">
        <v>49</v>
      </c>
      <c r="Y81" s="52" t="s">
        <v>36</v>
      </c>
      <c r="Z81" s="52" t="s">
        <v>9</v>
      </c>
      <c r="AA81" s="52" t="s">
        <v>50</v>
      </c>
      <c r="AB81" s="52" t="s">
        <v>51</v>
      </c>
      <c r="AC81" s="52" t="s">
        <v>38</v>
      </c>
      <c r="AD81" s="79" t="s">
        <v>257</v>
      </c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</row>
    <row r="82" spans="1:49" ht="31.5" x14ac:dyDescent="0.2">
      <c r="A82" s="52" t="s">
        <v>44</v>
      </c>
      <c r="B82" s="55">
        <v>46069</v>
      </c>
      <c r="C82" s="55">
        <v>46069</v>
      </c>
      <c r="D82" s="52" t="s">
        <v>30</v>
      </c>
      <c r="E82" s="59">
        <v>0.66666666666666663</v>
      </c>
      <c r="F82" s="59">
        <v>0.79166666666666663</v>
      </c>
      <c r="G82" s="62">
        <v>1.7361111111111109E-4</v>
      </c>
      <c r="H82" s="63" t="s">
        <v>55</v>
      </c>
      <c r="I82" s="64">
        <v>0.67435185185185187</v>
      </c>
      <c r="J82" s="52" t="s">
        <v>110</v>
      </c>
      <c r="K82" s="52" t="s">
        <v>109</v>
      </c>
      <c r="L82" s="67">
        <v>1</v>
      </c>
      <c r="M82" s="67">
        <v>71003</v>
      </c>
      <c r="N82" s="52" t="s">
        <v>54</v>
      </c>
      <c r="O82" s="67" t="s">
        <v>47</v>
      </c>
      <c r="P82" s="70">
        <v>15</v>
      </c>
      <c r="Q82" s="67"/>
      <c r="R82" s="70">
        <v>15</v>
      </c>
      <c r="S82" s="75">
        <v>46054</v>
      </c>
      <c r="T82" s="70">
        <v>2.25</v>
      </c>
      <c r="U82" s="77">
        <v>4</v>
      </c>
      <c r="V82" s="70">
        <v>12.75</v>
      </c>
      <c r="W82" s="52" t="s">
        <v>48</v>
      </c>
      <c r="X82" s="52" t="s">
        <v>49</v>
      </c>
      <c r="Y82" s="52" t="s">
        <v>36</v>
      </c>
      <c r="Z82" s="52" t="s">
        <v>9</v>
      </c>
      <c r="AA82" s="52" t="s">
        <v>50</v>
      </c>
      <c r="AB82" s="52" t="s">
        <v>51</v>
      </c>
      <c r="AC82" s="52" t="s">
        <v>38</v>
      </c>
      <c r="AD82" s="79" t="s">
        <v>257</v>
      </c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</row>
    <row r="83" spans="1:49" ht="31.5" x14ac:dyDescent="0.2">
      <c r="A83" s="52" t="s">
        <v>44</v>
      </c>
      <c r="B83" s="55">
        <v>46070</v>
      </c>
      <c r="C83" s="55">
        <v>46070</v>
      </c>
      <c r="D83" s="52" t="s">
        <v>145</v>
      </c>
      <c r="E83" s="59">
        <v>0.25</v>
      </c>
      <c r="F83" s="59">
        <v>0.875</v>
      </c>
      <c r="G83" s="62">
        <v>1.7361111111111109E-4</v>
      </c>
      <c r="H83" s="63" t="s">
        <v>52</v>
      </c>
      <c r="I83" s="64">
        <v>0.25989583333333333</v>
      </c>
      <c r="J83" s="52" t="s">
        <v>41</v>
      </c>
      <c r="K83" s="52" t="s">
        <v>40</v>
      </c>
      <c r="L83" s="67">
        <v>1</v>
      </c>
      <c r="M83" s="67">
        <v>71013</v>
      </c>
      <c r="N83" s="52" t="s">
        <v>54</v>
      </c>
      <c r="O83" s="67" t="s">
        <v>47</v>
      </c>
      <c r="P83" s="70">
        <v>15</v>
      </c>
      <c r="Q83" s="67"/>
      <c r="R83" s="70">
        <v>15</v>
      </c>
      <c r="S83" s="75">
        <v>46054</v>
      </c>
      <c r="T83" s="70">
        <v>2.25</v>
      </c>
      <c r="U83" s="77">
        <v>4</v>
      </c>
      <c r="V83" s="70">
        <v>12.75</v>
      </c>
      <c r="W83" s="52" t="s">
        <v>48</v>
      </c>
      <c r="X83" s="52" t="s">
        <v>49</v>
      </c>
      <c r="Y83" s="52" t="s">
        <v>36</v>
      </c>
      <c r="Z83" s="52" t="s">
        <v>9</v>
      </c>
      <c r="AA83" s="52" t="s">
        <v>50</v>
      </c>
      <c r="AB83" s="52" t="s">
        <v>51</v>
      </c>
      <c r="AC83" s="52" t="s">
        <v>38</v>
      </c>
      <c r="AD83" s="79" t="s">
        <v>257</v>
      </c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</row>
    <row r="84" spans="1:49" ht="31.5" x14ac:dyDescent="0.2">
      <c r="A84" s="52" t="s">
        <v>44</v>
      </c>
      <c r="B84" s="55">
        <v>46070</v>
      </c>
      <c r="C84" s="55">
        <v>46070</v>
      </c>
      <c r="D84" s="52" t="s">
        <v>145</v>
      </c>
      <c r="E84" s="59">
        <v>0.25</v>
      </c>
      <c r="F84" s="59">
        <v>0.875</v>
      </c>
      <c r="G84" s="62">
        <v>1.7361111111111109E-4</v>
      </c>
      <c r="H84" s="63" t="s">
        <v>146</v>
      </c>
      <c r="I84" s="64">
        <v>0.26128472222222221</v>
      </c>
      <c r="J84" s="52" t="s">
        <v>41</v>
      </c>
      <c r="K84" s="52" t="s">
        <v>40</v>
      </c>
      <c r="L84" s="67">
        <v>1</v>
      </c>
      <c r="M84" s="67">
        <v>71013</v>
      </c>
      <c r="N84" s="52" t="s">
        <v>54</v>
      </c>
      <c r="O84" s="67" t="s">
        <v>47</v>
      </c>
      <c r="P84" s="70">
        <v>15</v>
      </c>
      <c r="Q84" s="67"/>
      <c r="R84" s="70">
        <v>15</v>
      </c>
      <c r="S84" s="75">
        <v>46054</v>
      </c>
      <c r="T84" s="70">
        <v>2.25</v>
      </c>
      <c r="U84" s="77">
        <v>4</v>
      </c>
      <c r="V84" s="70">
        <v>12.75</v>
      </c>
      <c r="W84" s="52" t="s">
        <v>48</v>
      </c>
      <c r="X84" s="52" t="s">
        <v>49</v>
      </c>
      <c r="Y84" s="52" t="s">
        <v>36</v>
      </c>
      <c r="Z84" s="52" t="s">
        <v>9</v>
      </c>
      <c r="AA84" s="52" t="s">
        <v>50</v>
      </c>
      <c r="AB84" s="52" t="s">
        <v>51</v>
      </c>
      <c r="AC84" s="52" t="s">
        <v>38</v>
      </c>
      <c r="AD84" s="79" t="s">
        <v>257</v>
      </c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</row>
    <row r="85" spans="1:49" ht="31.5" x14ac:dyDescent="0.25">
      <c r="A85" s="52" t="s">
        <v>44</v>
      </c>
      <c r="B85" s="55">
        <v>46070</v>
      </c>
      <c r="C85" s="55">
        <v>46070</v>
      </c>
      <c r="D85" s="52" t="s">
        <v>145</v>
      </c>
      <c r="E85" s="59">
        <v>0.25</v>
      </c>
      <c r="F85" s="59">
        <v>0.99930555555555556</v>
      </c>
      <c r="G85" s="62">
        <v>1.7361111111111109E-4</v>
      </c>
      <c r="H85" s="63" t="s">
        <v>52</v>
      </c>
      <c r="I85" s="64">
        <v>0.28086805555555555</v>
      </c>
      <c r="J85" s="52" t="s">
        <v>41</v>
      </c>
      <c r="K85" s="52" t="s">
        <v>40</v>
      </c>
      <c r="L85" s="67">
        <v>1</v>
      </c>
      <c r="M85" s="67">
        <v>71016</v>
      </c>
      <c r="N85" s="52" t="s">
        <v>46</v>
      </c>
      <c r="O85" s="67" t="s">
        <v>47</v>
      </c>
      <c r="P85" s="70">
        <v>0</v>
      </c>
      <c r="Q85" s="67"/>
      <c r="R85" s="70">
        <v>0</v>
      </c>
      <c r="S85" s="75">
        <v>46054</v>
      </c>
      <c r="T85" s="70">
        <v>0</v>
      </c>
      <c r="U85" s="77">
        <v>4</v>
      </c>
      <c r="V85" s="70">
        <v>0</v>
      </c>
      <c r="W85" s="52" t="s">
        <v>48</v>
      </c>
      <c r="X85" s="52" t="s">
        <v>49</v>
      </c>
      <c r="Y85" s="52" t="s">
        <v>36</v>
      </c>
      <c r="Z85" s="52" t="s">
        <v>9</v>
      </c>
      <c r="AA85" s="52" t="s">
        <v>50</v>
      </c>
      <c r="AB85" s="52" t="s">
        <v>51</v>
      </c>
      <c r="AC85" s="52" t="s">
        <v>38</v>
      </c>
      <c r="AD85" s="79" t="s">
        <v>257</v>
      </c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</row>
    <row r="86" spans="1:49" ht="31.5" x14ac:dyDescent="0.25">
      <c r="A86" s="52" t="s">
        <v>44</v>
      </c>
      <c r="B86" s="55">
        <v>46070</v>
      </c>
      <c r="C86" s="55">
        <v>46070</v>
      </c>
      <c r="D86" s="52" t="s">
        <v>145</v>
      </c>
      <c r="E86" s="59">
        <v>0.25</v>
      </c>
      <c r="F86" s="59">
        <v>0.99930555555555556</v>
      </c>
      <c r="G86" s="62">
        <v>1.7361111111111109E-4</v>
      </c>
      <c r="H86" s="63" t="s">
        <v>146</v>
      </c>
      <c r="I86" s="64">
        <v>0.28208333333333335</v>
      </c>
      <c r="J86" s="52" t="s">
        <v>41</v>
      </c>
      <c r="K86" s="52" t="s">
        <v>40</v>
      </c>
      <c r="L86" s="67">
        <v>1</v>
      </c>
      <c r="M86" s="67">
        <v>71016</v>
      </c>
      <c r="N86" s="52" t="s">
        <v>46</v>
      </c>
      <c r="O86" s="67" t="s">
        <v>47</v>
      </c>
      <c r="P86" s="70">
        <v>0</v>
      </c>
      <c r="Q86" s="67"/>
      <c r="R86" s="70">
        <v>0</v>
      </c>
      <c r="S86" s="75">
        <v>46054</v>
      </c>
      <c r="T86" s="70">
        <v>0</v>
      </c>
      <c r="U86" s="77">
        <v>4</v>
      </c>
      <c r="V86" s="70">
        <v>0</v>
      </c>
      <c r="W86" s="52" t="s">
        <v>48</v>
      </c>
      <c r="X86" s="52" t="s">
        <v>49</v>
      </c>
      <c r="Y86" s="52" t="s">
        <v>36</v>
      </c>
      <c r="Z86" s="52" t="s">
        <v>9</v>
      </c>
      <c r="AA86" s="52" t="s">
        <v>50</v>
      </c>
      <c r="AB86" s="52" t="s">
        <v>51</v>
      </c>
      <c r="AC86" s="52" t="s">
        <v>38</v>
      </c>
      <c r="AD86" s="79" t="s">
        <v>257</v>
      </c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</row>
    <row r="87" spans="1:49" ht="31.5" x14ac:dyDescent="0.25">
      <c r="A87" s="52" t="s">
        <v>44</v>
      </c>
      <c r="B87" s="55">
        <v>46070</v>
      </c>
      <c r="C87" s="55">
        <v>46070</v>
      </c>
      <c r="D87" s="52" t="s">
        <v>145</v>
      </c>
      <c r="E87" s="59">
        <v>0.33333333333333331</v>
      </c>
      <c r="F87" s="59">
        <v>0.41666666666666669</v>
      </c>
      <c r="G87" s="59">
        <v>1.157407407407407E-4</v>
      </c>
      <c r="H87" s="52" t="s">
        <v>73</v>
      </c>
      <c r="I87" s="64">
        <v>0.33846064814814819</v>
      </c>
      <c r="J87" s="52" t="s">
        <v>69</v>
      </c>
      <c r="K87" s="52" t="s">
        <v>68</v>
      </c>
      <c r="L87" s="67">
        <v>1</v>
      </c>
      <c r="M87" s="67">
        <v>71105</v>
      </c>
      <c r="N87" s="52" t="s">
        <v>46</v>
      </c>
      <c r="O87" s="67" t="s">
        <v>47</v>
      </c>
      <c r="P87" s="70">
        <v>0</v>
      </c>
      <c r="Q87" s="67"/>
      <c r="R87" s="70">
        <v>0</v>
      </c>
      <c r="S87" s="75">
        <v>46054</v>
      </c>
      <c r="T87" s="70">
        <v>0</v>
      </c>
      <c r="U87" s="77">
        <v>4</v>
      </c>
      <c r="V87" s="70">
        <v>0</v>
      </c>
      <c r="W87" s="52" t="s">
        <v>48</v>
      </c>
      <c r="X87" s="52" t="s">
        <v>49</v>
      </c>
      <c r="Y87" s="52" t="s">
        <v>36</v>
      </c>
      <c r="Z87" s="52" t="s">
        <v>9</v>
      </c>
      <c r="AA87" s="52" t="s">
        <v>50</v>
      </c>
      <c r="AB87" s="52" t="s">
        <v>51</v>
      </c>
      <c r="AC87" s="52" t="s">
        <v>38</v>
      </c>
      <c r="AD87" s="79" t="s">
        <v>257</v>
      </c>
      <c r="AE87" s="83"/>
      <c r="AF87" s="83"/>
      <c r="AG87" s="83"/>
      <c r="AH87" s="83"/>
      <c r="AI87" s="87"/>
      <c r="AJ87" s="87"/>
      <c r="AK87" s="87"/>
      <c r="AL87" s="87"/>
      <c r="AM87" s="87"/>
      <c r="AN87" s="87"/>
      <c r="AO87" s="87"/>
      <c r="AP87" s="87"/>
      <c r="AQ87" s="87"/>
      <c r="AR87" s="87"/>
      <c r="AS87" s="87"/>
      <c r="AT87" s="87"/>
      <c r="AU87" s="87"/>
      <c r="AV87" s="87"/>
      <c r="AW87" s="87"/>
    </row>
    <row r="88" spans="1:49" ht="31.5" x14ac:dyDescent="0.25">
      <c r="A88" s="52" t="s">
        <v>44</v>
      </c>
      <c r="B88" s="55">
        <v>46070</v>
      </c>
      <c r="C88" s="55">
        <v>46070</v>
      </c>
      <c r="D88" s="52" t="s">
        <v>145</v>
      </c>
      <c r="E88" s="59">
        <v>0.54166666666666663</v>
      </c>
      <c r="F88" s="59">
        <v>0.66666666666666663</v>
      </c>
      <c r="G88" s="62">
        <v>1.7361111111111109E-4</v>
      </c>
      <c r="H88" s="63" t="s">
        <v>52</v>
      </c>
      <c r="I88" s="64">
        <v>0.55474537037037042</v>
      </c>
      <c r="J88" s="52" t="s">
        <v>97</v>
      </c>
      <c r="K88" s="52" t="s">
        <v>172</v>
      </c>
      <c r="L88" s="67">
        <v>1</v>
      </c>
      <c r="M88" s="67">
        <v>71006</v>
      </c>
      <c r="N88" s="52" t="s">
        <v>54</v>
      </c>
      <c r="O88" s="67" t="s">
        <v>47</v>
      </c>
      <c r="P88" s="70">
        <v>15</v>
      </c>
      <c r="Q88" s="67"/>
      <c r="R88" s="70">
        <v>15</v>
      </c>
      <c r="S88" s="75">
        <v>46054</v>
      </c>
      <c r="T88" s="70">
        <v>2.25</v>
      </c>
      <c r="U88" s="77">
        <v>4</v>
      </c>
      <c r="V88" s="70">
        <v>12.75</v>
      </c>
      <c r="W88" s="52" t="s">
        <v>48</v>
      </c>
      <c r="X88" s="52" t="s">
        <v>49</v>
      </c>
      <c r="Y88" s="52" t="s">
        <v>36</v>
      </c>
      <c r="Z88" s="52" t="s">
        <v>9</v>
      </c>
      <c r="AA88" s="52" t="s">
        <v>50</v>
      </c>
      <c r="AB88" s="52" t="s">
        <v>51</v>
      </c>
      <c r="AC88" s="52" t="s">
        <v>38</v>
      </c>
      <c r="AD88" s="79" t="s">
        <v>257</v>
      </c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</row>
    <row r="89" spans="1:49" ht="31.5" x14ac:dyDescent="0.25">
      <c r="A89" s="52" t="s">
        <v>44</v>
      </c>
      <c r="B89" s="55">
        <v>46070</v>
      </c>
      <c r="C89" s="55">
        <v>46070</v>
      </c>
      <c r="D89" s="52" t="s">
        <v>145</v>
      </c>
      <c r="E89" s="59">
        <v>0.54166666666666663</v>
      </c>
      <c r="F89" s="59">
        <v>0.66666666666666663</v>
      </c>
      <c r="G89" s="62">
        <v>1.7361111111111109E-4</v>
      </c>
      <c r="H89" s="63" t="s">
        <v>146</v>
      </c>
      <c r="I89" s="64">
        <v>0.55543981481481486</v>
      </c>
      <c r="J89" s="52" t="s">
        <v>97</v>
      </c>
      <c r="K89" s="52" t="s">
        <v>172</v>
      </c>
      <c r="L89" s="67">
        <v>1</v>
      </c>
      <c r="M89" s="67">
        <v>71006</v>
      </c>
      <c r="N89" s="52" t="s">
        <v>54</v>
      </c>
      <c r="O89" s="67" t="s">
        <v>47</v>
      </c>
      <c r="P89" s="70">
        <v>15</v>
      </c>
      <c r="Q89" s="67"/>
      <c r="R89" s="70">
        <v>15</v>
      </c>
      <c r="S89" s="75">
        <v>46054</v>
      </c>
      <c r="T89" s="70">
        <v>2.25</v>
      </c>
      <c r="U89" s="77">
        <v>4</v>
      </c>
      <c r="V89" s="70">
        <v>12.75</v>
      </c>
      <c r="W89" s="52" t="s">
        <v>48</v>
      </c>
      <c r="X89" s="52" t="s">
        <v>49</v>
      </c>
      <c r="Y89" s="52" t="s">
        <v>36</v>
      </c>
      <c r="Z89" s="52" t="s">
        <v>9</v>
      </c>
      <c r="AA89" s="52" t="s">
        <v>50</v>
      </c>
      <c r="AB89" s="52" t="s">
        <v>51</v>
      </c>
      <c r="AC89" s="52" t="s">
        <v>38</v>
      </c>
      <c r="AD89" s="79" t="s">
        <v>257</v>
      </c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</row>
    <row r="90" spans="1:49" ht="31.5" x14ac:dyDescent="0.25">
      <c r="A90" s="52" t="s">
        <v>44</v>
      </c>
      <c r="B90" s="55">
        <v>46070</v>
      </c>
      <c r="C90" s="55">
        <v>46070</v>
      </c>
      <c r="D90" s="52" t="s">
        <v>145</v>
      </c>
      <c r="E90" s="59">
        <v>0.54166666666666663</v>
      </c>
      <c r="F90" s="59">
        <v>0.66666666666666663</v>
      </c>
      <c r="G90" s="62">
        <v>1.7361111111111109E-4</v>
      </c>
      <c r="H90" s="63" t="s">
        <v>55</v>
      </c>
      <c r="I90" s="64">
        <v>0.57613425925925921</v>
      </c>
      <c r="J90" s="52" t="s">
        <v>97</v>
      </c>
      <c r="K90" s="52" t="s">
        <v>173</v>
      </c>
      <c r="L90" s="67">
        <v>1</v>
      </c>
      <c r="M90" s="67">
        <v>71011</v>
      </c>
      <c r="N90" s="52" t="s">
        <v>46</v>
      </c>
      <c r="O90" s="67" t="s">
        <v>47</v>
      </c>
      <c r="P90" s="70">
        <v>0</v>
      </c>
      <c r="Q90" s="67"/>
      <c r="R90" s="70">
        <v>0</v>
      </c>
      <c r="S90" s="75">
        <v>46054</v>
      </c>
      <c r="T90" s="70">
        <v>0</v>
      </c>
      <c r="U90" s="77">
        <v>4</v>
      </c>
      <c r="V90" s="70">
        <v>0</v>
      </c>
      <c r="W90" s="52" t="s">
        <v>48</v>
      </c>
      <c r="X90" s="52" t="s">
        <v>49</v>
      </c>
      <c r="Y90" s="52" t="s">
        <v>36</v>
      </c>
      <c r="Z90" s="52" t="s">
        <v>9</v>
      </c>
      <c r="AA90" s="52" t="s">
        <v>50</v>
      </c>
      <c r="AB90" s="52" t="s">
        <v>51</v>
      </c>
      <c r="AC90" s="52" t="s">
        <v>38</v>
      </c>
      <c r="AD90" s="79" t="s">
        <v>257</v>
      </c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</row>
    <row r="91" spans="1:49" ht="31.5" x14ac:dyDescent="0.25">
      <c r="A91" s="52" t="s">
        <v>44</v>
      </c>
      <c r="B91" s="55">
        <v>46070</v>
      </c>
      <c r="C91" s="55">
        <v>46070</v>
      </c>
      <c r="D91" s="52" t="s">
        <v>145</v>
      </c>
      <c r="E91" s="59">
        <v>0.54166666666666663</v>
      </c>
      <c r="F91" s="59">
        <v>0.66666666666666663</v>
      </c>
      <c r="G91" s="62">
        <v>1.7361111111111109E-4</v>
      </c>
      <c r="H91" s="63" t="s">
        <v>165</v>
      </c>
      <c r="I91" s="64">
        <v>0.57734953703703706</v>
      </c>
      <c r="J91" s="52" t="s">
        <v>97</v>
      </c>
      <c r="K91" s="52" t="s">
        <v>173</v>
      </c>
      <c r="L91" s="67">
        <v>1</v>
      </c>
      <c r="M91" s="67">
        <v>71011</v>
      </c>
      <c r="N91" s="52" t="s">
        <v>46</v>
      </c>
      <c r="O91" s="67" t="s">
        <v>47</v>
      </c>
      <c r="P91" s="70">
        <v>0</v>
      </c>
      <c r="Q91" s="67"/>
      <c r="R91" s="70">
        <v>0</v>
      </c>
      <c r="S91" s="75">
        <v>46054</v>
      </c>
      <c r="T91" s="70">
        <v>0</v>
      </c>
      <c r="U91" s="77">
        <v>4</v>
      </c>
      <c r="V91" s="70">
        <v>0</v>
      </c>
      <c r="W91" s="52" t="s">
        <v>48</v>
      </c>
      <c r="X91" s="52" t="s">
        <v>49</v>
      </c>
      <c r="Y91" s="52" t="s">
        <v>36</v>
      </c>
      <c r="Z91" s="52" t="s">
        <v>9</v>
      </c>
      <c r="AA91" s="52" t="s">
        <v>50</v>
      </c>
      <c r="AB91" s="52" t="s">
        <v>51</v>
      </c>
      <c r="AC91" s="52" t="s">
        <v>38</v>
      </c>
      <c r="AD91" s="79" t="s">
        <v>257</v>
      </c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</row>
    <row r="92" spans="1:49" ht="31.5" x14ac:dyDescent="0.25">
      <c r="A92" s="52" t="s">
        <v>44</v>
      </c>
      <c r="B92" s="55">
        <v>46070</v>
      </c>
      <c r="C92" s="55">
        <v>46070</v>
      </c>
      <c r="D92" s="52" t="s">
        <v>145</v>
      </c>
      <c r="E92" s="59">
        <v>0.54166666666666663</v>
      </c>
      <c r="F92" s="59">
        <v>0.66666666666666663</v>
      </c>
      <c r="G92" s="62">
        <v>1.7361111111111109E-4</v>
      </c>
      <c r="H92" s="63" t="s">
        <v>52</v>
      </c>
      <c r="I92" s="64">
        <v>0.6106597222222222</v>
      </c>
      <c r="J92" s="52" t="s">
        <v>97</v>
      </c>
      <c r="K92" s="52" t="s">
        <v>141</v>
      </c>
      <c r="L92" s="67">
        <v>1</v>
      </c>
      <c r="M92" s="67">
        <v>71011</v>
      </c>
      <c r="N92" s="52" t="s">
        <v>46</v>
      </c>
      <c r="O92" s="67" t="s">
        <v>47</v>
      </c>
      <c r="P92" s="70">
        <v>0</v>
      </c>
      <c r="Q92" s="67"/>
      <c r="R92" s="70">
        <v>0</v>
      </c>
      <c r="S92" s="75">
        <v>46054</v>
      </c>
      <c r="T92" s="70">
        <v>0</v>
      </c>
      <c r="U92" s="77">
        <v>4</v>
      </c>
      <c r="V92" s="70">
        <v>0</v>
      </c>
      <c r="W92" s="52" t="s">
        <v>48</v>
      </c>
      <c r="X92" s="52" t="s">
        <v>49</v>
      </c>
      <c r="Y92" s="52" t="s">
        <v>36</v>
      </c>
      <c r="Z92" s="52" t="s">
        <v>9</v>
      </c>
      <c r="AA92" s="52" t="s">
        <v>50</v>
      </c>
      <c r="AB92" s="52" t="s">
        <v>51</v>
      </c>
      <c r="AC92" s="52" t="s">
        <v>38</v>
      </c>
      <c r="AD92" s="79" t="s">
        <v>257</v>
      </c>
      <c r="AE92" s="80"/>
      <c r="AF92" s="80"/>
      <c r="AG92" s="80"/>
      <c r="AH92" s="80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</row>
    <row r="93" spans="1:49" ht="31.5" x14ac:dyDescent="0.25">
      <c r="A93" s="52" t="s">
        <v>44</v>
      </c>
      <c r="B93" s="55">
        <v>46070</v>
      </c>
      <c r="C93" s="55">
        <v>46070</v>
      </c>
      <c r="D93" s="52" t="s">
        <v>145</v>
      </c>
      <c r="E93" s="59">
        <v>0.54166666666666663</v>
      </c>
      <c r="F93" s="59">
        <v>0.66666666666666663</v>
      </c>
      <c r="G93" s="62">
        <v>1.7361111111111109E-4</v>
      </c>
      <c r="H93" s="63" t="s">
        <v>146</v>
      </c>
      <c r="I93" s="64">
        <v>0.6125694444444445</v>
      </c>
      <c r="J93" s="52" t="s">
        <v>97</v>
      </c>
      <c r="K93" s="52" t="s">
        <v>141</v>
      </c>
      <c r="L93" s="67">
        <v>1</v>
      </c>
      <c r="M93" s="67">
        <v>71011</v>
      </c>
      <c r="N93" s="52" t="s">
        <v>46</v>
      </c>
      <c r="O93" s="67" t="s">
        <v>47</v>
      </c>
      <c r="P93" s="70">
        <v>0</v>
      </c>
      <c r="Q93" s="67"/>
      <c r="R93" s="70">
        <v>0</v>
      </c>
      <c r="S93" s="75">
        <v>46054</v>
      </c>
      <c r="T93" s="70">
        <v>0</v>
      </c>
      <c r="U93" s="77">
        <v>4</v>
      </c>
      <c r="V93" s="70">
        <v>0</v>
      </c>
      <c r="W93" s="52" t="s">
        <v>48</v>
      </c>
      <c r="X93" s="52" t="s">
        <v>49</v>
      </c>
      <c r="Y93" s="52" t="s">
        <v>36</v>
      </c>
      <c r="Z93" s="52" t="s">
        <v>9</v>
      </c>
      <c r="AA93" s="52" t="s">
        <v>50</v>
      </c>
      <c r="AB93" s="52" t="s">
        <v>51</v>
      </c>
      <c r="AC93" s="52" t="s">
        <v>38</v>
      </c>
      <c r="AD93" s="79" t="s">
        <v>257</v>
      </c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</row>
    <row r="94" spans="1:49" ht="31.5" x14ac:dyDescent="0.25">
      <c r="A94" s="52" t="s">
        <v>44</v>
      </c>
      <c r="B94" s="55">
        <v>46070</v>
      </c>
      <c r="C94" s="55">
        <v>46070</v>
      </c>
      <c r="D94" s="52" t="s">
        <v>145</v>
      </c>
      <c r="E94" s="59">
        <v>0.58333333333333337</v>
      </c>
      <c r="F94" s="59">
        <v>0.66666666666666663</v>
      </c>
      <c r="G94" s="62">
        <v>1.7361111111111109E-4</v>
      </c>
      <c r="H94" s="63" t="s">
        <v>52</v>
      </c>
      <c r="I94" s="64">
        <v>0.60048611111111116</v>
      </c>
      <c r="J94" s="52" t="s">
        <v>97</v>
      </c>
      <c r="K94" s="52" t="s">
        <v>141</v>
      </c>
      <c r="L94" s="67">
        <v>1</v>
      </c>
      <c r="M94" s="67">
        <v>71009</v>
      </c>
      <c r="N94" s="52" t="s">
        <v>54</v>
      </c>
      <c r="O94" s="67" t="s">
        <v>47</v>
      </c>
      <c r="P94" s="70">
        <v>15</v>
      </c>
      <c r="Q94" s="67"/>
      <c r="R94" s="70">
        <v>15</v>
      </c>
      <c r="S94" s="75">
        <v>46054</v>
      </c>
      <c r="T94" s="70">
        <v>2.25</v>
      </c>
      <c r="U94" s="77">
        <v>4</v>
      </c>
      <c r="V94" s="70">
        <v>12.75</v>
      </c>
      <c r="W94" s="52" t="s">
        <v>48</v>
      </c>
      <c r="X94" s="52" t="s">
        <v>49</v>
      </c>
      <c r="Y94" s="52" t="s">
        <v>36</v>
      </c>
      <c r="Z94" s="52" t="s">
        <v>9</v>
      </c>
      <c r="AA94" s="52" t="s">
        <v>50</v>
      </c>
      <c r="AB94" s="52" t="s">
        <v>51</v>
      </c>
      <c r="AC94" s="52" t="s">
        <v>38</v>
      </c>
      <c r="AD94" s="79" t="s">
        <v>257</v>
      </c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</row>
    <row r="95" spans="1:49" ht="31.5" x14ac:dyDescent="0.25">
      <c r="A95" s="52" t="s">
        <v>44</v>
      </c>
      <c r="B95" s="55">
        <v>46070</v>
      </c>
      <c r="C95" s="55">
        <v>46070</v>
      </c>
      <c r="D95" s="52" t="s">
        <v>145</v>
      </c>
      <c r="E95" s="59">
        <v>0.58333333333333337</v>
      </c>
      <c r="F95" s="59">
        <v>0.66666666666666663</v>
      </c>
      <c r="G95" s="62">
        <v>1.7361111111111109E-4</v>
      </c>
      <c r="H95" s="63" t="s">
        <v>146</v>
      </c>
      <c r="I95" s="64">
        <v>0.60222222222222221</v>
      </c>
      <c r="J95" s="52" t="s">
        <v>97</v>
      </c>
      <c r="K95" s="52" t="s">
        <v>141</v>
      </c>
      <c r="L95" s="67">
        <v>1</v>
      </c>
      <c r="M95" s="67">
        <v>71009</v>
      </c>
      <c r="N95" s="52" t="s">
        <v>54</v>
      </c>
      <c r="O95" s="67" t="s">
        <v>47</v>
      </c>
      <c r="P95" s="70">
        <v>15</v>
      </c>
      <c r="Q95" s="67"/>
      <c r="R95" s="70">
        <v>15</v>
      </c>
      <c r="S95" s="75">
        <v>46054</v>
      </c>
      <c r="T95" s="70">
        <v>2.25</v>
      </c>
      <c r="U95" s="77">
        <v>4</v>
      </c>
      <c r="V95" s="70">
        <v>12.75</v>
      </c>
      <c r="W95" s="52" t="s">
        <v>48</v>
      </c>
      <c r="X95" s="52" t="s">
        <v>49</v>
      </c>
      <c r="Y95" s="52" t="s">
        <v>36</v>
      </c>
      <c r="Z95" s="52" t="s">
        <v>9</v>
      </c>
      <c r="AA95" s="52" t="s">
        <v>50</v>
      </c>
      <c r="AB95" s="52" t="s">
        <v>51</v>
      </c>
      <c r="AC95" s="52" t="s">
        <v>38</v>
      </c>
      <c r="AD95" s="79" t="s">
        <v>257</v>
      </c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</row>
    <row r="96" spans="1:49" ht="31.5" x14ac:dyDescent="0.25">
      <c r="A96" s="52" t="s">
        <v>44</v>
      </c>
      <c r="B96" s="55">
        <v>46070</v>
      </c>
      <c r="C96" s="55">
        <v>46070</v>
      </c>
      <c r="D96" s="52" t="s">
        <v>145</v>
      </c>
      <c r="E96" s="59">
        <v>0.66666666666666663</v>
      </c>
      <c r="F96" s="59">
        <v>0.79166666666666663</v>
      </c>
      <c r="G96" s="62">
        <v>1.7361111111111109E-4</v>
      </c>
      <c r="H96" s="63" t="s">
        <v>52</v>
      </c>
      <c r="I96" s="64">
        <v>0.67304398148148148</v>
      </c>
      <c r="J96" s="52" t="s">
        <v>110</v>
      </c>
      <c r="K96" s="52" t="s">
        <v>109</v>
      </c>
      <c r="L96" s="67">
        <v>1</v>
      </c>
      <c r="M96" s="67">
        <v>71003</v>
      </c>
      <c r="N96" s="52" t="s">
        <v>54</v>
      </c>
      <c r="O96" s="67" t="s">
        <v>47</v>
      </c>
      <c r="P96" s="70">
        <v>15</v>
      </c>
      <c r="Q96" s="67"/>
      <c r="R96" s="70">
        <v>15</v>
      </c>
      <c r="S96" s="75">
        <v>46054</v>
      </c>
      <c r="T96" s="70">
        <v>2.25</v>
      </c>
      <c r="U96" s="77">
        <v>4</v>
      </c>
      <c r="V96" s="70">
        <v>12.75</v>
      </c>
      <c r="W96" s="52" t="s">
        <v>48</v>
      </c>
      <c r="X96" s="52" t="s">
        <v>49</v>
      </c>
      <c r="Y96" s="52" t="s">
        <v>36</v>
      </c>
      <c r="Z96" s="52" t="s">
        <v>9</v>
      </c>
      <c r="AA96" s="52" t="s">
        <v>50</v>
      </c>
      <c r="AB96" s="52" t="s">
        <v>51</v>
      </c>
      <c r="AC96" s="52" t="s">
        <v>38</v>
      </c>
      <c r="AD96" s="79" t="s">
        <v>257</v>
      </c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</row>
    <row r="97" spans="1:49" ht="31.5" x14ac:dyDescent="0.25">
      <c r="A97" s="52" t="s">
        <v>44</v>
      </c>
      <c r="B97" s="55">
        <v>46070</v>
      </c>
      <c r="C97" s="55">
        <v>46070</v>
      </c>
      <c r="D97" s="52" t="s">
        <v>145</v>
      </c>
      <c r="E97" s="59">
        <v>0.66666666666666663</v>
      </c>
      <c r="F97" s="59">
        <v>0.79166666666666663</v>
      </c>
      <c r="G97" s="62">
        <v>1.7361111111111109E-4</v>
      </c>
      <c r="H97" s="63" t="s">
        <v>146</v>
      </c>
      <c r="I97" s="64">
        <v>0.67425925925925922</v>
      </c>
      <c r="J97" s="52" t="s">
        <v>110</v>
      </c>
      <c r="K97" s="52" t="s">
        <v>109</v>
      </c>
      <c r="L97" s="67">
        <v>1</v>
      </c>
      <c r="M97" s="67">
        <v>71003</v>
      </c>
      <c r="N97" s="52" t="s">
        <v>54</v>
      </c>
      <c r="O97" s="67" t="s">
        <v>47</v>
      </c>
      <c r="P97" s="70">
        <v>15</v>
      </c>
      <c r="Q97" s="67"/>
      <c r="R97" s="70">
        <v>15</v>
      </c>
      <c r="S97" s="75">
        <v>46054</v>
      </c>
      <c r="T97" s="70">
        <v>2.25</v>
      </c>
      <c r="U97" s="77">
        <v>4</v>
      </c>
      <c r="V97" s="70">
        <v>12.75</v>
      </c>
      <c r="W97" s="52" t="s">
        <v>48</v>
      </c>
      <c r="X97" s="52" t="s">
        <v>49</v>
      </c>
      <c r="Y97" s="52" t="s">
        <v>36</v>
      </c>
      <c r="Z97" s="52" t="s">
        <v>9</v>
      </c>
      <c r="AA97" s="52" t="s">
        <v>50</v>
      </c>
      <c r="AB97" s="52" t="s">
        <v>51</v>
      </c>
      <c r="AC97" s="52" t="s">
        <v>38</v>
      </c>
      <c r="AD97" s="79" t="s">
        <v>257</v>
      </c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</row>
    <row r="98" spans="1:49" ht="31.5" x14ac:dyDescent="0.25">
      <c r="A98" s="52" t="s">
        <v>44</v>
      </c>
      <c r="B98" s="55">
        <v>46070</v>
      </c>
      <c r="C98" s="55">
        <v>46070</v>
      </c>
      <c r="D98" s="52" t="s">
        <v>145</v>
      </c>
      <c r="E98" s="59">
        <v>0.66666666666666663</v>
      </c>
      <c r="F98" s="59">
        <v>0.79166666666666663</v>
      </c>
      <c r="G98" s="62">
        <v>1.7361111111111109E-4</v>
      </c>
      <c r="H98" s="63" t="s">
        <v>55</v>
      </c>
      <c r="I98" s="64">
        <v>0.78114583333333332</v>
      </c>
      <c r="J98" s="52" t="s">
        <v>110</v>
      </c>
      <c r="K98" s="52" t="s">
        <v>175</v>
      </c>
      <c r="L98" s="67">
        <v>1</v>
      </c>
      <c r="M98" s="67">
        <v>71004</v>
      </c>
      <c r="N98" s="52" t="s">
        <v>46</v>
      </c>
      <c r="O98" s="67" t="s">
        <v>47</v>
      </c>
      <c r="P98" s="70">
        <v>0</v>
      </c>
      <c r="Q98" s="67"/>
      <c r="R98" s="70">
        <v>0</v>
      </c>
      <c r="S98" s="75">
        <v>46054</v>
      </c>
      <c r="T98" s="70">
        <v>0</v>
      </c>
      <c r="U98" s="77">
        <v>4</v>
      </c>
      <c r="V98" s="70">
        <v>0</v>
      </c>
      <c r="W98" s="52" t="s">
        <v>48</v>
      </c>
      <c r="X98" s="52" t="s">
        <v>49</v>
      </c>
      <c r="Y98" s="52" t="s">
        <v>36</v>
      </c>
      <c r="Z98" s="52" t="s">
        <v>9</v>
      </c>
      <c r="AA98" s="52" t="s">
        <v>50</v>
      </c>
      <c r="AB98" s="52" t="s">
        <v>51</v>
      </c>
      <c r="AC98" s="52" t="s">
        <v>38</v>
      </c>
      <c r="AD98" s="79" t="s">
        <v>257</v>
      </c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</row>
    <row r="99" spans="1:49" ht="31.5" x14ac:dyDescent="0.25">
      <c r="A99" s="52" t="s">
        <v>44</v>
      </c>
      <c r="B99" s="55">
        <v>46070</v>
      </c>
      <c r="C99" s="55">
        <v>46070</v>
      </c>
      <c r="D99" s="52" t="s">
        <v>145</v>
      </c>
      <c r="E99" s="59">
        <v>0.66666666666666663</v>
      </c>
      <c r="F99" s="59">
        <v>0.79166666666666663</v>
      </c>
      <c r="G99" s="62">
        <v>1.7361111111111109E-4</v>
      </c>
      <c r="H99" s="63" t="s">
        <v>165</v>
      </c>
      <c r="I99" s="64">
        <v>0.78270833333333334</v>
      </c>
      <c r="J99" s="52" t="s">
        <v>110</v>
      </c>
      <c r="K99" s="52" t="s">
        <v>175</v>
      </c>
      <c r="L99" s="67">
        <v>1</v>
      </c>
      <c r="M99" s="67">
        <v>71004</v>
      </c>
      <c r="N99" s="52" t="s">
        <v>46</v>
      </c>
      <c r="O99" s="67" t="s">
        <v>47</v>
      </c>
      <c r="P99" s="70">
        <v>0</v>
      </c>
      <c r="Q99" s="67"/>
      <c r="R99" s="70">
        <v>0</v>
      </c>
      <c r="S99" s="75">
        <v>46054</v>
      </c>
      <c r="T99" s="70">
        <v>0</v>
      </c>
      <c r="U99" s="77">
        <v>4</v>
      </c>
      <c r="V99" s="70">
        <v>0</v>
      </c>
      <c r="W99" s="52" t="s">
        <v>48</v>
      </c>
      <c r="X99" s="52" t="s">
        <v>49</v>
      </c>
      <c r="Y99" s="52" t="s">
        <v>36</v>
      </c>
      <c r="Z99" s="52" t="s">
        <v>9</v>
      </c>
      <c r="AA99" s="52" t="s">
        <v>50</v>
      </c>
      <c r="AB99" s="52" t="s">
        <v>51</v>
      </c>
      <c r="AC99" s="52" t="s">
        <v>38</v>
      </c>
      <c r="AD99" s="79" t="s">
        <v>257</v>
      </c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</row>
    <row r="100" spans="1:49" ht="31.5" x14ac:dyDescent="0.2">
      <c r="A100" s="52" t="s">
        <v>44</v>
      </c>
      <c r="B100" s="55">
        <v>46071</v>
      </c>
      <c r="C100" s="55">
        <v>46071</v>
      </c>
      <c r="D100" s="52" t="s">
        <v>177</v>
      </c>
      <c r="E100" s="59">
        <v>0.25</v>
      </c>
      <c r="F100" s="59">
        <v>0.875</v>
      </c>
      <c r="G100" s="62">
        <v>1.7361111111111109E-4</v>
      </c>
      <c r="H100" s="63" t="s">
        <v>52</v>
      </c>
      <c r="I100" s="64">
        <v>0.26472222222222225</v>
      </c>
      <c r="J100" s="52" t="s">
        <v>41</v>
      </c>
      <c r="K100" s="52" t="s">
        <v>40</v>
      </c>
      <c r="L100" s="67">
        <v>1</v>
      </c>
      <c r="M100" s="67">
        <v>71013</v>
      </c>
      <c r="N100" s="52" t="s">
        <v>54</v>
      </c>
      <c r="O100" s="67" t="s">
        <v>47</v>
      </c>
      <c r="P100" s="70">
        <v>15</v>
      </c>
      <c r="Q100" s="67"/>
      <c r="R100" s="70">
        <v>15</v>
      </c>
      <c r="S100" s="75">
        <v>46054</v>
      </c>
      <c r="T100" s="70">
        <v>2.25</v>
      </c>
      <c r="U100" s="77">
        <v>4</v>
      </c>
      <c r="V100" s="70">
        <v>12.75</v>
      </c>
      <c r="W100" s="52" t="s">
        <v>48</v>
      </c>
      <c r="X100" s="52" t="s">
        <v>49</v>
      </c>
      <c r="Y100" s="52" t="s">
        <v>36</v>
      </c>
      <c r="Z100" s="52" t="s">
        <v>9</v>
      </c>
      <c r="AA100" s="52" t="s">
        <v>50</v>
      </c>
      <c r="AB100" s="52" t="s">
        <v>51</v>
      </c>
      <c r="AC100" s="52" t="s">
        <v>38</v>
      </c>
      <c r="AD100" s="79" t="s">
        <v>257</v>
      </c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</row>
    <row r="101" spans="1:49" ht="31.5" x14ac:dyDescent="0.2">
      <c r="A101" s="52" t="s">
        <v>44</v>
      </c>
      <c r="B101" s="55">
        <v>46071</v>
      </c>
      <c r="C101" s="55">
        <v>46071</v>
      </c>
      <c r="D101" s="52" t="s">
        <v>177</v>
      </c>
      <c r="E101" s="59">
        <v>0.25</v>
      </c>
      <c r="F101" s="59">
        <v>0.875</v>
      </c>
      <c r="G101" s="62">
        <v>1.7361111111111109E-4</v>
      </c>
      <c r="H101" s="63" t="s">
        <v>146</v>
      </c>
      <c r="I101" s="64">
        <v>0.26645833333333335</v>
      </c>
      <c r="J101" s="52" t="s">
        <v>41</v>
      </c>
      <c r="K101" s="52" t="s">
        <v>40</v>
      </c>
      <c r="L101" s="67">
        <v>1</v>
      </c>
      <c r="M101" s="67">
        <v>71013</v>
      </c>
      <c r="N101" s="52" t="s">
        <v>54</v>
      </c>
      <c r="O101" s="67" t="s">
        <v>47</v>
      </c>
      <c r="P101" s="70">
        <v>15</v>
      </c>
      <c r="Q101" s="67"/>
      <c r="R101" s="70">
        <v>15</v>
      </c>
      <c r="S101" s="75">
        <v>46054</v>
      </c>
      <c r="T101" s="70">
        <v>2.25</v>
      </c>
      <c r="U101" s="77">
        <v>4</v>
      </c>
      <c r="V101" s="70">
        <v>12.75</v>
      </c>
      <c r="W101" s="52" t="s">
        <v>48</v>
      </c>
      <c r="X101" s="52" t="s">
        <v>49</v>
      </c>
      <c r="Y101" s="52" t="s">
        <v>36</v>
      </c>
      <c r="Z101" s="52" t="s">
        <v>9</v>
      </c>
      <c r="AA101" s="52" t="s">
        <v>50</v>
      </c>
      <c r="AB101" s="52" t="s">
        <v>51</v>
      </c>
      <c r="AC101" s="52" t="s">
        <v>38</v>
      </c>
      <c r="AD101" s="79" t="s">
        <v>257</v>
      </c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</row>
    <row r="102" spans="1:49" ht="31.5" x14ac:dyDescent="0.25">
      <c r="A102" s="52" t="s">
        <v>44</v>
      </c>
      <c r="B102" s="55">
        <v>46071</v>
      </c>
      <c r="C102" s="55">
        <v>46071</v>
      </c>
      <c r="D102" s="52" t="s">
        <v>177</v>
      </c>
      <c r="E102" s="59">
        <v>0.25</v>
      </c>
      <c r="F102" s="59">
        <v>0.99930555555555556</v>
      </c>
      <c r="G102" s="62">
        <v>1.7361111111111109E-4</v>
      </c>
      <c r="H102" s="63" t="s">
        <v>52</v>
      </c>
      <c r="I102" s="64">
        <v>0.28396990740740741</v>
      </c>
      <c r="J102" s="52" t="s">
        <v>41</v>
      </c>
      <c r="K102" s="52" t="s">
        <v>40</v>
      </c>
      <c r="L102" s="67">
        <v>1</v>
      </c>
      <c r="M102" s="67">
        <v>71016</v>
      </c>
      <c r="N102" s="52" t="s">
        <v>46</v>
      </c>
      <c r="O102" s="67" t="s">
        <v>47</v>
      </c>
      <c r="P102" s="70">
        <v>0</v>
      </c>
      <c r="Q102" s="67"/>
      <c r="R102" s="70">
        <v>0</v>
      </c>
      <c r="S102" s="75">
        <v>46054</v>
      </c>
      <c r="T102" s="70">
        <v>0</v>
      </c>
      <c r="U102" s="77">
        <v>4</v>
      </c>
      <c r="V102" s="70">
        <v>0</v>
      </c>
      <c r="W102" s="52" t="s">
        <v>48</v>
      </c>
      <c r="X102" s="52" t="s">
        <v>49</v>
      </c>
      <c r="Y102" s="52" t="s">
        <v>36</v>
      </c>
      <c r="Z102" s="52" t="s">
        <v>9</v>
      </c>
      <c r="AA102" s="52" t="s">
        <v>50</v>
      </c>
      <c r="AB102" s="52" t="s">
        <v>51</v>
      </c>
      <c r="AC102" s="52" t="s">
        <v>38</v>
      </c>
      <c r="AD102" s="79" t="s">
        <v>257</v>
      </c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</row>
    <row r="103" spans="1:49" ht="31.5" x14ac:dyDescent="0.25">
      <c r="A103" s="52" t="s">
        <v>44</v>
      </c>
      <c r="B103" s="55">
        <v>46071</v>
      </c>
      <c r="C103" s="55">
        <v>46071</v>
      </c>
      <c r="D103" s="52" t="s">
        <v>177</v>
      </c>
      <c r="E103" s="59">
        <v>0.25</v>
      </c>
      <c r="F103" s="59">
        <v>0.99930555555555556</v>
      </c>
      <c r="G103" s="62">
        <v>1.7361111111111109E-4</v>
      </c>
      <c r="H103" s="63" t="s">
        <v>146</v>
      </c>
      <c r="I103" s="64">
        <v>0.28587962962962965</v>
      </c>
      <c r="J103" s="52" t="s">
        <v>41</v>
      </c>
      <c r="K103" s="52" t="s">
        <v>40</v>
      </c>
      <c r="L103" s="67">
        <v>1</v>
      </c>
      <c r="M103" s="67">
        <v>71016</v>
      </c>
      <c r="N103" s="52" t="s">
        <v>46</v>
      </c>
      <c r="O103" s="67" t="s">
        <v>47</v>
      </c>
      <c r="P103" s="70">
        <v>0</v>
      </c>
      <c r="Q103" s="67"/>
      <c r="R103" s="70">
        <v>0</v>
      </c>
      <c r="S103" s="75">
        <v>46054</v>
      </c>
      <c r="T103" s="70">
        <v>0</v>
      </c>
      <c r="U103" s="77">
        <v>4</v>
      </c>
      <c r="V103" s="70">
        <v>0</v>
      </c>
      <c r="W103" s="52" t="s">
        <v>48</v>
      </c>
      <c r="X103" s="52" t="s">
        <v>49</v>
      </c>
      <c r="Y103" s="52" t="s">
        <v>36</v>
      </c>
      <c r="Z103" s="52" t="s">
        <v>9</v>
      </c>
      <c r="AA103" s="52" t="s">
        <v>50</v>
      </c>
      <c r="AB103" s="52" t="s">
        <v>51</v>
      </c>
      <c r="AC103" s="52" t="s">
        <v>38</v>
      </c>
      <c r="AD103" s="79" t="s">
        <v>257</v>
      </c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</row>
    <row r="104" spans="1:49" ht="31.5" x14ac:dyDescent="0.25">
      <c r="A104" s="52" t="s">
        <v>44</v>
      </c>
      <c r="B104" s="55">
        <v>46071</v>
      </c>
      <c r="C104" s="55">
        <v>46071</v>
      </c>
      <c r="D104" s="52" t="s">
        <v>177</v>
      </c>
      <c r="E104" s="59">
        <v>0.33333333333333331</v>
      </c>
      <c r="F104" s="59">
        <v>0.41666666666666669</v>
      </c>
      <c r="G104" s="59">
        <v>1.157407407407407E-4</v>
      </c>
      <c r="H104" s="52" t="s">
        <v>73</v>
      </c>
      <c r="I104" s="64">
        <v>0.33894675925925927</v>
      </c>
      <c r="J104" s="52" t="s">
        <v>69</v>
      </c>
      <c r="K104" s="52" t="s">
        <v>68</v>
      </c>
      <c r="L104" s="67">
        <v>1</v>
      </c>
      <c r="M104" s="67">
        <v>71105</v>
      </c>
      <c r="N104" s="52" t="s">
        <v>46</v>
      </c>
      <c r="O104" s="67" t="s">
        <v>47</v>
      </c>
      <c r="P104" s="70">
        <v>0</v>
      </c>
      <c r="Q104" s="67"/>
      <c r="R104" s="70">
        <v>0</v>
      </c>
      <c r="S104" s="75">
        <v>46054</v>
      </c>
      <c r="T104" s="70">
        <v>0</v>
      </c>
      <c r="U104" s="77">
        <v>4</v>
      </c>
      <c r="V104" s="70">
        <v>0</v>
      </c>
      <c r="W104" s="52" t="s">
        <v>48</v>
      </c>
      <c r="X104" s="52" t="s">
        <v>49</v>
      </c>
      <c r="Y104" s="52" t="s">
        <v>36</v>
      </c>
      <c r="Z104" s="52" t="s">
        <v>9</v>
      </c>
      <c r="AA104" s="52" t="s">
        <v>50</v>
      </c>
      <c r="AB104" s="52" t="s">
        <v>51</v>
      </c>
      <c r="AC104" s="52" t="s">
        <v>38</v>
      </c>
      <c r="AD104" s="79" t="s">
        <v>257</v>
      </c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</row>
    <row r="105" spans="1:49" ht="31.5" x14ac:dyDescent="0.2">
      <c r="A105" s="52" t="s">
        <v>44</v>
      </c>
      <c r="B105" s="55">
        <v>46071</v>
      </c>
      <c r="C105" s="55">
        <v>46071</v>
      </c>
      <c r="D105" s="52" t="s">
        <v>177</v>
      </c>
      <c r="E105" s="59">
        <v>0.33333333333333331</v>
      </c>
      <c r="F105" s="59">
        <v>0.41666666666666669</v>
      </c>
      <c r="G105" s="62">
        <v>1.7361111111111109E-4</v>
      </c>
      <c r="H105" s="63" t="s">
        <v>52</v>
      </c>
      <c r="I105" s="64">
        <v>0.38218750000000001</v>
      </c>
      <c r="J105" s="52" t="s">
        <v>69</v>
      </c>
      <c r="K105" s="52" t="s">
        <v>75</v>
      </c>
      <c r="L105" s="67">
        <v>1</v>
      </c>
      <c r="M105" s="67">
        <v>71020</v>
      </c>
      <c r="N105" s="52" t="s">
        <v>46</v>
      </c>
      <c r="O105" s="67" t="s">
        <v>47</v>
      </c>
      <c r="P105" s="70">
        <v>0</v>
      </c>
      <c r="Q105" s="67"/>
      <c r="R105" s="70">
        <v>0</v>
      </c>
      <c r="S105" s="75">
        <v>46054</v>
      </c>
      <c r="T105" s="70">
        <v>0</v>
      </c>
      <c r="U105" s="77">
        <v>4</v>
      </c>
      <c r="V105" s="70">
        <v>0</v>
      </c>
      <c r="W105" s="52" t="s">
        <v>48</v>
      </c>
      <c r="X105" s="52" t="s">
        <v>49</v>
      </c>
      <c r="Y105" s="52" t="s">
        <v>36</v>
      </c>
      <c r="Z105" s="52" t="s">
        <v>9</v>
      </c>
      <c r="AA105" s="52" t="s">
        <v>50</v>
      </c>
      <c r="AB105" s="52" t="s">
        <v>51</v>
      </c>
      <c r="AC105" s="52" t="s">
        <v>38</v>
      </c>
      <c r="AD105" s="79" t="s">
        <v>257</v>
      </c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</row>
    <row r="106" spans="1:49" ht="31.5" x14ac:dyDescent="0.2">
      <c r="A106" s="52" t="s">
        <v>44</v>
      </c>
      <c r="B106" s="55">
        <v>46071</v>
      </c>
      <c r="C106" s="55">
        <v>46071</v>
      </c>
      <c r="D106" s="52" t="s">
        <v>177</v>
      </c>
      <c r="E106" s="59">
        <v>0.33333333333333331</v>
      </c>
      <c r="F106" s="59">
        <v>0.41666666666666669</v>
      </c>
      <c r="G106" s="62">
        <v>1.7361111111111109E-4</v>
      </c>
      <c r="H106" s="63" t="s">
        <v>146</v>
      </c>
      <c r="I106" s="64">
        <v>0.38374999999999998</v>
      </c>
      <c r="J106" s="52" t="s">
        <v>69</v>
      </c>
      <c r="K106" s="52" t="s">
        <v>75</v>
      </c>
      <c r="L106" s="67">
        <v>1</v>
      </c>
      <c r="M106" s="67">
        <v>71020</v>
      </c>
      <c r="N106" s="52" t="s">
        <v>46</v>
      </c>
      <c r="O106" s="67" t="s">
        <v>47</v>
      </c>
      <c r="P106" s="70">
        <v>0</v>
      </c>
      <c r="Q106" s="67"/>
      <c r="R106" s="70">
        <v>0</v>
      </c>
      <c r="S106" s="75">
        <v>46054</v>
      </c>
      <c r="T106" s="70">
        <v>0</v>
      </c>
      <c r="U106" s="77">
        <v>4</v>
      </c>
      <c r="V106" s="70">
        <v>0</v>
      </c>
      <c r="W106" s="52" t="s">
        <v>48</v>
      </c>
      <c r="X106" s="52" t="s">
        <v>49</v>
      </c>
      <c r="Y106" s="52" t="s">
        <v>36</v>
      </c>
      <c r="Z106" s="52" t="s">
        <v>9</v>
      </c>
      <c r="AA106" s="52" t="s">
        <v>50</v>
      </c>
      <c r="AB106" s="52" t="s">
        <v>51</v>
      </c>
      <c r="AC106" s="52" t="s">
        <v>38</v>
      </c>
      <c r="AD106" s="79" t="s">
        <v>257</v>
      </c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</row>
    <row r="107" spans="1:49" ht="31.5" x14ac:dyDescent="0.25">
      <c r="A107" s="52" t="s">
        <v>44</v>
      </c>
      <c r="B107" s="55">
        <v>46071</v>
      </c>
      <c r="C107" s="55">
        <v>46071</v>
      </c>
      <c r="D107" s="52" t="s">
        <v>177</v>
      </c>
      <c r="E107" s="59">
        <v>0.54166666666666663</v>
      </c>
      <c r="F107" s="59">
        <v>0.66666666666666663</v>
      </c>
      <c r="G107" s="62">
        <v>1.7361111111111109E-4</v>
      </c>
      <c r="H107" s="63" t="s">
        <v>55</v>
      </c>
      <c r="I107" s="64">
        <v>0.54748842592592595</v>
      </c>
      <c r="J107" s="52" t="s">
        <v>97</v>
      </c>
      <c r="K107" s="52" t="s">
        <v>172</v>
      </c>
      <c r="L107" s="67">
        <v>1</v>
      </c>
      <c r="M107" s="67">
        <v>71006</v>
      </c>
      <c r="N107" s="52" t="s">
        <v>54</v>
      </c>
      <c r="O107" s="67" t="s">
        <v>47</v>
      </c>
      <c r="P107" s="70">
        <v>15</v>
      </c>
      <c r="Q107" s="67"/>
      <c r="R107" s="70">
        <v>15</v>
      </c>
      <c r="S107" s="75">
        <v>46054</v>
      </c>
      <c r="T107" s="70">
        <v>2.25</v>
      </c>
      <c r="U107" s="77">
        <v>4</v>
      </c>
      <c r="V107" s="70">
        <v>12.75</v>
      </c>
      <c r="W107" s="52" t="s">
        <v>48</v>
      </c>
      <c r="X107" s="52" t="s">
        <v>49</v>
      </c>
      <c r="Y107" s="52" t="s">
        <v>36</v>
      </c>
      <c r="Z107" s="52" t="s">
        <v>9</v>
      </c>
      <c r="AA107" s="52" t="s">
        <v>50</v>
      </c>
      <c r="AB107" s="52" t="s">
        <v>51</v>
      </c>
      <c r="AC107" s="52" t="s">
        <v>38</v>
      </c>
      <c r="AD107" s="79" t="s">
        <v>257</v>
      </c>
      <c r="AE107" s="80"/>
      <c r="AF107" s="80"/>
      <c r="AG107" s="80"/>
      <c r="AH107" s="80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  <c r="AT107" s="86"/>
      <c r="AU107" s="86"/>
      <c r="AV107" s="86"/>
      <c r="AW107" s="86"/>
    </row>
    <row r="108" spans="1:49" ht="31.5" x14ac:dyDescent="0.25">
      <c r="A108" s="52" t="s">
        <v>44</v>
      </c>
      <c r="B108" s="55">
        <v>46071</v>
      </c>
      <c r="C108" s="55">
        <v>46071</v>
      </c>
      <c r="D108" s="52" t="s">
        <v>177</v>
      </c>
      <c r="E108" s="59">
        <v>0.54166666666666663</v>
      </c>
      <c r="F108" s="59">
        <v>0.66666666666666663</v>
      </c>
      <c r="G108" s="62">
        <v>1.7361111111111109E-4</v>
      </c>
      <c r="H108" s="63" t="s">
        <v>165</v>
      </c>
      <c r="I108" s="64">
        <v>0.54870370370370369</v>
      </c>
      <c r="J108" s="52" t="s">
        <v>97</v>
      </c>
      <c r="K108" s="52" t="s">
        <v>172</v>
      </c>
      <c r="L108" s="67">
        <v>1</v>
      </c>
      <c r="M108" s="67">
        <v>71006</v>
      </c>
      <c r="N108" s="52" t="s">
        <v>54</v>
      </c>
      <c r="O108" s="67" t="s">
        <v>47</v>
      </c>
      <c r="P108" s="70">
        <v>15</v>
      </c>
      <c r="Q108" s="67"/>
      <c r="R108" s="70">
        <v>15</v>
      </c>
      <c r="S108" s="75">
        <v>46054</v>
      </c>
      <c r="T108" s="70">
        <v>2.25</v>
      </c>
      <c r="U108" s="77">
        <v>4</v>
      </c>
      <c r="V108" s="70">
        <v>12.75</v>
      </c>
      <c r="W108" s="52" t="s">
        <v>48</v>
      </c>
      <c r="X108" s="52" t="s">
        <v>49</v>
      </c>
      <c r="Y108" s="52" t="s">
        <v>36</v>
      </c>
      <c r="Z108" s="52" t="s">
        <v>9</v>
      </c>
      <c r="AA108" s="52" t="s">
        <v>50</v>
      </c>
      <c r="AB108" s="52" t="s">
        <v>51</v>
      </c>
      <c r="AC108" s="52" t="s">
        <v>38</v>
      </c>
      <c r="AD108" s="79" t="s">
        <v>257</v>
      </c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</row>
    <row r="109" spans="1:49" ht="31.5" x14ac:dyDescent="0.25">
      <c r="A109" s="52" t="s">
        <v>44</v>
      </c>
      <c r="B109" s="55">
        <v>46071</v>
      </c>
      <c r="C109" s="55">
        <v>46071</v>
      </c>
      <c r="D109" s="52" t="s">
        <v>177</v>
      </c>
      <c r="E109" s="59">
        <v>0.54166666666666663</v>
      </c>
      <c r="F109" s="59">
        <v>0.66666666666666663</v>
      </c>
      <c r="G109" s="62">
        <v>1.7361111111111109E-4</v>
      </c>
      <c r="H109" s="63" t="s">
        <v>52</v>
      </c>
      <c r="I109" s="64">
        <v>0.58234953703703707</v>
      </c>
      <c r="J109" s="52" t="s">
        <v>97</v>
      </c>
      <c r="K109" s="52" t="s">
        <v>173</v>
      </c>
      <c r="L109" s="67">
        <v>1</v>
      </c>
      <c r="M109" s="67">
        <v>71011</v>
      </c>
      <c r="N109" s="52" t="s">
        <v>46</v>
      </c>
      <c r="O109" s="67" t="s">
        <v>47</v>
      </c>
      <c r="P109" s="70">
        <v>0</v>
      </c>
      <c r="Q109" s="67"/>
      <c r="R109" s="70">
        <v>0</v>
      </c>
      <c r="S109" s="75">
        <v>46054</v>
      </c>
      <c r="T109" s="70">
        <v>0</v>
      </c>
      <c r="U109" s="77">
        <v>4</v>
      </c>
      <c r="V109" s="70">
        <v>0</v>
      </c>
      <c r="W109" s="52" t="s">
        <v>48</v>
      </c>
      <c r="X109" s="52" t="s">
        <v>49</v>
      </c>
      <c r="Y109" s="52" t="s">
        <v>36</v>
      </c>
      <c r="Z109" s="52" t="s">
        <v>9</v>
      </c>
      <c r="AA109" s="52" t="s">
        <v>50</v>
      </c>
      <c r="AB109" s="52" t="s">
        <v>51</v>
      </c>
      <c r="AC109" s="52" t="s">
        <v>38</v>
      </c>
      <c r="AD109" s="79" t="s">
        <v>257</v>
      </c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</row>
    <row r="110" spans="1:49" ht="31.5" x14ac:dyDescent="0.25">
      <c r="A110" s="52" t="s">
        <v>44</v>
      </c>
      <c r="B110" s="55">
        <v>46071</v>
      </c>
      <c r="C110" s="55">
        <v>46071</v>
      </c>
      <c r="D110" s="52" t="s">
        <v>177</v>
      </c>
      <c r="E110" s="59">
        <v>0.54166666666666663</v>
      </c>
      <c r="F110" s="59">
        <v>0.66666666666666663</v>
      </c>
      <c r="G110" s="62">
        <v>1.7361111111111109E-4</v>
      </c>
      <c r="H110" s="63" t="s">
        <v>146</v>
      </c>
      <c r="I110" s="64">
        <v>0.58304398148148151</v>
      </c>
      <c r="J110" s="52" t="s">
        <v>97</v>
      </c>
      <c r="K110" s="52" t="s">
        <v>173</v>
      </c>
      <c r="L110" s="67">
        <v>1</v>
      </c>
      <c r="M110" s="67">
        <v>71011</v>
      </c>
      <c r="N110" s="52" t="s">
        <v>46</v>
      </c>
      <c r="O110" s="67" t="s">
        <v>47</v>
      </c>
      <c r="P110" s="70">
        <v>0</v>
      </c>
      <c r="Q110" s="67"/>
      <c r="R110" s="70">
        <v>0</v>
      </c>
      <c r="S110" s="75">
        <v>46054</v>
      </c>
      <c r="T110" s="70">
        <v>0</v>
      </c>
      <c r="U110" s="77">
        <v>4</v>
      </c>
      <c r="V110" s="70">
        <v>0</v>
      </c>
      <c r="W110" s="52" t="s">
        <v>48</v>
      </c>
      <c r="X110" s="52" t="s">
        <v>49</v>
      </c>
      <c r="Y110" s="52" t="s">
        <v>36</v>
      </c>
      <c r="Z110" s="52" t="s">
        <v>9</v>
      </c>
      <c r="AA110" s="52" t="s">
        <v>50</v>
      </c>
      <c r="AB110" s="52" t="s">
        <v>51</v>
      </c>
      <c r="AC110" s="52" t="s">
        <v>38</v>
      </c>
      <c r="AD110" s="79" t="s">
        <v>257</v>
      </c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</row>
    <row r="111" spans="1:49" ht="31.5" x14ac:dyDescent="0.2">
      <c r="A111" s="52" t="s">
        <v>44</v>
      </c>
      <c r="B111" s="55">
        <v>46071</v>
      </c>
      <c r="C111" s="55">
        <v>46071</v>
      </c>
      <c r="D111" s="52" t="s">
        <v>177</v>
      </c>
      <c r="E111" s="59">
        <v>0.54166666666666663</v>
      </c>
      <c r="F111" s="59">
        <v>0.66666666666666663</v>
      </c>
      <c r="G111" s="62">
        <v>1.7361111111111109E-4</v>
      </c>
      <c r="H111" s="63" t="s">
        <v>52</v>
      </c>
      <c r="I111" s="64">
        <v>0.64425925925925931</v>
      </c>
      <c r="J111" s="52" t="s">
        <v>97</v>
      </c>
      <c r="K111" s="52" t="s">
        <v>141</v>
      </c>
      <c r="L111" s="67">
        <v>1</v>
      </c>
      <c r="M111" s="67">
        <v>71011</v>
      </c>
      <c r="N111" s="52" t="s">
        <v>46</v>
      </c>
      <c r="O111" s="67" t="s">
        <v>47</v>
      </c>
      <c r="P111" s="70">
        <v>0</v>
      </c>
      <c r="Q111" s="67"/>
      <c r="R111" s="70">
        <v>0</v>
      </c>
      <c r="S111" s="75">
        <v>46054</v>
      </c>
      <c r="T111" s="70">
        <v>0</v>
      </c>
      <c r="U111" s="77">
        <v>4</v>
      </c>
      <c r="V111" s="70">
        <v>0</v>
      </c>
      <c r="W111" s="52" t="s">
        <v>48</v>
      </c>
      <c r="X111" s="52" t="s">
        <v>49</v>
      </c>
      <c r="Y111" s="52" t="s">
        <v>36</v>
      </c>
      <c r="Z111" s="52" t="s">
        <v>9</v>
      </c>
      <c r="AA111" s="52" t="s">
        <v>50</v>
      </c>
      <c r="AB111" s="52" t="s">
        <v>51</v>
      </c>
      <c r="AC111" s="52" t="s">
        <v>38</v>
      </c>
      <c r="AD111" s="79" t="s">
        <v>257</v>
      </c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</row>
    <row r="112" spans="1:49" ht="31.5" x14ac:dyDescent="0.2">
      <c r="A112" s="52" t="s">
        <v>44</v>
      </c>
      <c r="B112" s="55">
        <v>46071</v>
      </c>
      <c r="C112" s="55">
        <v>46071</v>
      </c>
      <c r="D112" s="52" t="s">
        <v>177</v>
      </c>
      <c r="E112" s="59">
        <v>0.54166666666666663</v>
      </c>
      <c r="F112" s="59">
        <v>0.66666666666666663</v>
      </c>
      <c r="G112" s="62">
        <v>1.7361111111111109E-4</v>
      </c>
      <c r="H112" s="63" t="s">
        <v>146</v>
      </c>
      <c r="I112" s="64">
        <v>0.64547453703703705</v>
      </c>
      <c r="J112" s="52" t="s">
        <v>97</v>
      </c>
      <c r="K112" s="52" t="s">
        <v>141</v>
      </c>
      <c r="L112" s="67">
        <v>1</v>
      </c>
      <c r="M112" s="67">
        <v>71011</v>
      </c>
      <c r="N112" s="52" t="s">
        <v>46</v>
      </c>
      <c r="O112" s="67" t="s">
        <v>47</v>
      </c>
      <c r="P112" s="70">
        <v>0</v>
      </c>
      <c r="Q112" s="67"/>
      <c r="R112" s="70">
        <v>0</v>
      </c>
      <c r="S112" s="75">
        <v>46054</v>
      </c>
      <c r="T112" s="70">
        <v>0</v>
      </c>
      <c r="U112" s="77">
        <v>4</v>
      </c>
      <c r="V112" s="70">
        <v>0</v>
      </c>
      <c r="W112" s="52" t="s">
        <v>48</v>
      </c>
      <c r="X112" s="52" t="s">
        <v>49</v>
      </c>
      <c r="Y112" s="52" t="s">
        <v>36</v>
      </c>
      <c r="Z112" s="52" t="s">
        <v>9</v>
      </c>
      <c r="AA112" s="52" t="s">
        <v>50</v>
      </c>
      <c r="AB112" s="52" t="s">
        <v>51</v>
      </c>
      <c r="AC112" s="52" t="s">
        <v>38</v>
      </c>
      <c r="AD112" s="79" t="s">
        <v>257</v>
      </c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</row>
    <row r="113" spans="1:49" ht="31.5" x14ac:dyDescent="0.25">
      <c r="A113" s="52" t="s">
        <v>44</v>
      </c>
      <c r="B113" s="55">
        <v>46071</v>
      </c>
      <c r="C113" s="55">
        <v>46071</v>
      </c>
      <c r="D113" s="52" t="s">
        <v>177</v>
      </c>
      <c r="E113" s="59">
        <v>0.58333333333333337</v>
      </c>
      <c r="F113" s="59">
        <v>0.66666666666666663</v>
      </c>
      <c r="G113" s="62">
        <v>1.7361111111111109E-4</v>
      </c>
      <c r="H113" s="63" t="s">
        <v>52</v>
      </c>
      <c r="I113" s="64">
        <v>0.59982638888888884</v>
      </c>
      <c r="J113" s="52" t="s">
        <v>97</v>
      </c>
      <c r="K113" s="52" t="s">
        <v>141</v>
      </c>
      <c r="L113" s="67">
        <v>1</v>
      </c>
      <c r="M113" s="67">
        <v>71009</v>
      </c>
      <c r="N113" s="52" t="s">
        <v>54</v>
      </c>
      <c r="O113" s="67" t="s">
        <v>47</v>
      </c>
      <c r="P113" s="70">
        <v>15</v>
      </c>
      <c r="Q113" s="67"/>
      <c r="R113" s="70">
        <v>15</v>
      </c>
      <c r="S113" s="75">
        <v>46054</v>
      </c>
      <c r="T113" s="70">
        <v>2.25</v>
      </c>
      <c r="U113" s="77">
        <v>4</v>
      </c>
      <c r="V113" s="70">
        <v>12.75</v>
      </c>
      <c r="W113" s="52" t="s">
        <v>48</v>
      </c>
      <c r="X113" s="52" t="s">
        <v>49</v>
      </c>
      <c r="Y113" s="52" t="s">
        <v>36</v>
      </c>
      <c r="Z113" s="52" t="s">
        <v>9</v>
      </c>
      <c r="AA113" s="52" t="s">
        <v>50</v>
      </c>
      <c r="AB113" s="52" t="s">
        <v>51</v>
      </c>
      <c r="AC113" s="52" t="s">
        <v>38</v>
      </c>
      <c r="AD113" s="79" t="s">
        <v>257</v>
      </c>
      <c r="AE113" s="80"/>
      <c r="AF113" s="80"/>
      <c r="AG113" s="80"/>
      <c r="AH113" s="80"/>
      <c r="AI113" s="86"/>
      <c r="AJ113" s="86"/>
      <c r="AK113" s="86"/>
      <c r="AL113" s="86"/>
      <c r="AM113" s="86"/>
      <c r="AN113" s="86"/>
      <c r="AO113" s="86"/>
      <c r="AP113" s="86"/>
      <c r="AQ113" s="86"/>
      <c r="AR113" s="86"/>
      <c r="AS113" s="86"/>
      <c r="AT113" s="86"/>
      <c r="AU113" s="86"/>
      <c r="AV113" s="86"/>
      <c r="AW113" s="86"/>
    </row>
    <row r="114" spans="1:49" ht="31.5" x14ac:dyDescent="0.25">
      <c r="A114" s="52" t="s">
        <v>44</v>
      </c>
      <c r="B114" s="55">
        <v>46071</v>
      </c>
      <c r="C114" s="55">
        <v>46071</v>
      </c>
      <c r="D114" s="52" t="s">
        <v>177</v>
      </c>
      <c r="E114" s="59">
        <v>0.58333333333333337</v>
      </c>
      <c r="F114" s="59">
        <v>0.66666666666666663</v>
      </c>
      <c r="G114" s="62">
        <v>1.7361111111111109E-4</v>
      </c>
      <c r="H114" s="63" t="s">
        <v>146</v>
      </c>
      <c r="I114" s="64">
        <v>0.60173611111111114</v>
      </c>
      <c r="J114" s="52" t="s">
        <v>97</v>
      </c>
      <c r="K114" s="52" t="s">
        <v>141</v>
      </c>
      <c r="L114" s="67">
        <v>1</v>
      </c>
      <c r="M114" s="67">
        <v>71009</v>
      </c>
      <c r="N114" s="52" t="s">
        <v>54</v>
      </c>
      <c r="O114" s="67" t="s">
        <v>47</v>
      </c>
      <c r="P114" s="70">
        <v>15</v>
      </c>
      <c r="Q114" s="67"/>
      <c r="R114" s="70">
        <v>15</v>
      </c>
      <c r="S114" s="75">
        <v>46054</v>
      </c>
      <c r="T114" s="70">
        <v>2.25</v>
      </c>
      <c r="U114" s="77">
        <v>4</v>
      </c>
      <c r="V114" s="70">
        <v>12.75</v>
      </c>
      <c r="W114" s="52" t="s">
        <v>48</v>
      </c>
      <c r="X114" s="52" t="s">
        <v>49</v>
      </c>
      <c r="Y114" s="52" t="s">
        <v>36</v>
      </c>
      <c r="Z114" s="52" t="s">
        <v>9</v>
      </c>
      <c r="AA114" s="52" t="s">
        <v>50</v>
      </c>
      <c r="AB114" s="52" t="s">
        <v>51</v>
      </c>
      <c r="AC114" s="52" t="s">
        <v>38</v>
      </c>
      <c r="AD114" s="79" t="s">
        <v>257</v>
      </c>
      <c r="AE114" s="80"/>
      <c r="AF114" s="80"/>
      <c r="AG114" s="80"/>
      <c r="AH114" s="80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</row>
    <row r="115" spans="1:49" ht="31.5" x14ac:dyDescent="0.25">
      <c r="A115" s="52" t="s">
        <v>44</v>
      </c>
      <c r="B115" s="55">
        <v>46071</v>
      </c>
      <c r="C115" s="55">
        <v>46071</v>
      </c>
      <c r="D115" s="52" t="s">
        <v>177</v>
      </c>
      <c r="E115" s="59">
        <v>0.66666666666666663</v>
      </c>
      <c r="F115" s="59">
        <v>0.79166666666666663</v>
      </c>
      <c r="G115" s="62">
        <v>1.7361111111111109E-4</v>
      </c>
      <c r="H115" s="63" t="s">
        <v>55</v>
      </c>
      <c r="I115" s="64">
        <v>0.67513888888888884</v>
      </c>
      <c r="J115" s="52" t="s">
        <v>110</v>
      </c>
      <c r="K115" s="52" t="s">
        <v>109</v>
      </c>
      <c r="L115" s="67">
        <v>1</v>
      </c>
      <c r="M115" s="67">
        <v>71003</v>
      </c>
      <c r="N115" s="52" t="s">
        <v>54</v>
      </c>
      <c r="O115" s="67" t="s">
        <v>47</v>
      </c>
      <c r="P115" s="70">
        <v>15</v>
      </c>
      <c r="Q115" s="67"/>
      <c r="R115" s="70">
        <v>15</v>
      </c>
      <c r="S115" s="75">
        <v>46054</v>
      </c>
      <c r="T115" s="70">
        <v>2.25</v>
      </c>
      <c r="U115" s="77">
        <v>4</v>
      </c>
      <c r="V115" s="70">
        <v>12.75</v>
      </c>
      <c r="W115" s="52" t="s">
        <v>48</v>
      </c>
      <c r="X115" s="52" t="s">
        <v>49</v>
      </c>
      <c r="Y115" s="52" t="s">
        <v>36</v>
      </c>
      <c r="Z115" s="52" t="s">
        <v>9</v>
      </c>
      <c r="AA115" s="52" t="s">
        <v>50</v>
      </c>
      <c r="AB115" s="52" t="s">
        <v>51</v>
      </c>
      <c r="AC115" s="52" t="s">
        <v>38</v>
      </c>
      <c r="AD115" s="79" t="s">
        <v>257</v>
      </c>
      <c r="AE115" s="80"/>
      <c r="AF115" s="80"/>
      <c r="AG115" s="80"/>
      <c r="AH115" s="80"/>
      <c r="AI115" s="86"/>
      <c r="AJ115" s="86"/>
      <c r="AK115" s="86"/>
      <c r="AL115" s="86"/>
      <c r="AM115" s="86"/>
      <c r="AN115" s="86"/>
      <c r="AO115" s="86"/>
      <c r="AP115" s="86"/>
      <c r="AQ115" s="86"/>
      <c r="AR115" s="86"/>
      <c r="AS115" s="86"/>
      <c r="AT115" s="86"/>
      <c r="AU115" s="86"/>
      <c r="AV115" s="86"/>
      <c r="AW115" s="86"/>
    </row>
    <row r="116" spans="1:49" ht="31.5" x14ac:dyDescent="0.25">
      <c r="A116" s="52" t="s">
        <v>44</v>
      </c>
      <c r="B116" s="55">
        <v>46071</v>
      </c>
      <c r="C116" s="55">
        <v>46071</v>
      </c>
      <c r="D116" s="52" t="s">
        <v>177</v>
      </c>
      <c r="E116" s="59">
        <v>0.66666666666666663</v>
      </c>
      <c r="F116" s="59">
        <v>0.79166666666666663</v>
      </c>
      <c r="G116" s="62">
        <v>1.7361111111111109E-4</v>
      </c>
      <c r="H116" s="63" t="s">
        <v>165</v>
      </c>
      <c r="I116" s="64">
        <v>0.6763541666666667</v>
      </c>
      <c r="J116" s="52" t="s">
        <v>110</v>
      </c>
      <c r="K116" s="52" t="s">
        <v>109</v>
      </c>
      <c r="L116" s="67">
        <v>1</v>
      </c>
      <c r="M116" s="67">
        <v>71003</v>
      </c>
      <c r="N116" s="52" t="s">
        <v>54</v>
      </c>
      <c r="O116" s="67" t="s">
        <v>47</v>
      </c>
      <c r="P116" s="70">
        <v>15</v>
      </c>
      <c r="Q116" s="67"/>
      <c r="R116" s="70">
        <v>15</v>
      </c>
      <c r="S116" s="75">
        <v>46054</v>
      </c>
      <c r="T116" s="70">
        <v>2.25</v>
      </c>
      <c r="U116" s="77">
        <v>4</v>
      </c>
      <c r="V116" s="70">
        <v>12.75</v>
      </c>
      <c r="W116" s="52" t="s">
        <v>48</v>
      </c>
      <c r="X116" s="52" t="s">
        <v>49</v>
      </c>
      <c r="Y116" s="52" t="s">
        <v>36</v>
      </c>
      <c r="Z116" s="52" t="s">
        <v>9</v>
      </c>
      <c r="AA116" s="52" t="s">
        <v>50</v>
      </c>
      <c r="AB116" s="52" t="s">
        <v>51</v>
      </c>
      <c r="AC116" s="52" t="s">
        <v>38</v>
      </c>
      <c r="AD116" s="79" t="s">
        <v>257</v>
      </c>
      <c r="AE116" s="80"/>
      <c r="AF116" s="80"/>
      <c r="AG116" s="80"/>
      <c r="AH116" s="80"/>
      <c r="AI116" s="86"/>
      <c r="AJ116" s="86"/>
      <c r="AK116" s="86"/>
      <c r="AL116" s="86"/>
      <c r="AM116" s="86"/>
      <c r="AN116" s="86"/>
      <c r="AO116" s="86"/>
      <c r="AP116" s="86"/>
      <c r="AQ116" s="86"/>
      <c r="AR116" s="86"/>
      <c r="AS116" s="86"/>
      <c r="AT116" s="86"/>
      <c r="AU116" s="86"/>
      <c r="AV116" s="86"/>
      <c r="AW116" s="86"/>
    </row>
    <row r="117" spans="1:49" ht="31.5" x14ac:dyDescent="0.25">
      <c r="A117" s="52" t="s">
        <v>44</v>
      </c>
      <c r="B117" s="55">
        <v>46071</v>
      </c>
      <c r="C117" s="55">
        <v>46071</v>
      </c>
      <c r="D117" s="52" t="s">
        <v>177</v>
      </c>
      <c r="E117" s="59">
        <v>0.66666666666666663</v>
      </c>
      <c r="F117" s="59">
        <v>0.79166666666666663</v>
      </c>
      <c r="G117" s="62">
        <v>1.7361111111111109E-4</v>
      </c>
      <c r="H117" s="63" t="s">
        <v>52</v>
      </c>
      <c r="I117" s="64">
        <v>0.76875000000000004</v>
      </c>
      <c r="J117" s="52" t="s">
        <v>110</v>
      </c>
      <c r="K117" s="52" t="s">
        <v>174</v>
      </c>
      <c r="L117" s="67">
        <v>1</v>
      </c>
      <c r="M117" s="67">
        <v>71004</v>
      </c>
      <c r="N117" s="52" t="s">
        <v>46</v>
      </c>
      <c r="O117" s="67" t="s">
        <v>47</v>
      </c>
      <c r="P117" s="70">
        <v>0</v>
      </c>
      <c r="Q117" s="67"/>
      <c r="R117" s="70">
        <v>0</v>
      </c>
      <c r="S117" s="75">
        <v>46054</v>
      </c>
      <c r="T117" s="70">
        <v>0</v>
      </c>
      <c r="U117" s="77">
        <v>4</v>
      </c>
      <c r="V117" s="70">
        <v>0</v>
      </c>
      <c r="W117" s="52" t="s">
        <v>48</v>
      </c>
      <c r="X117" s="52" t="s">
        <v>49</v>
      </c>
      <c r="Y117" s="52" t="s">
        <v>36</v>
      </c>
      <c r="Z117" s="52" t="s">
        <v>9</v>
      </c>
      <c r="AA117" s="52" t="s">
        <v>50</v>
      </c>
      <c r="AB117" s="52" t="s">
        <v>51</v>
      </c>
      <c r="AC117" s="52" t="s">
        <v>38</v>
      </c>
      <c r="AD117" s="79" t="s">
        <v>257</v>
      </c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</row>
    <row r="118" spans="1:49" ht="31.5" x14ac:dyDescent="0.25">
      <c r="A118" s="52" t="s">
        <v>44</v>
      </c>
      <c r="B118" s="55">
        <v>46071</v>
      </c>
      <c r="C118" s="55">
        <v>46071</v>
      </c>
      <c r="D118" s="52" t="s">
        <v>177</v>
      </c>
      <c r="E118" s="59">
        <v>0.66666666666666663</v>
      </c>
      <c r="F118" s="59">
        <v>0.79166666666666663</v>
      </c>
      <c r="G118" s="62">
        <v>1.7361111111111109E-4</v>
      </c>
      <c r="H118" s="63" t="s">
        <v>146</v>
      </c>
      <c r="I118" s="64">
        <v>0.77048611111111109</v>
      </c>
      <c r="J118" s="52" t="s">
        <v>110</v>
      </c>
      <c r="K118" s="52" t="s">
        <v>174</v>
      </c>
      <c r="L118" s="67">
        <v>1</v>
      </c>
      <c r="M118" s="67">
        <v>71004</v>
      </c>
      <c r="N118" s="52" t="s">
        <v>46</v>
      </c>
      <c r="O118" s="67" t="s">
        <v>47</v>
      </c>
      <c r="P118" s="70">
        <v>0</v>
      </c>
      <c r="Q118" s="67"/>
      <c r="R118" s="70">
        <v>0</v>
      </c>
      <c r="S118" s="75">
        <v>46054</v>
      </c>
      <c r="T118" s="70">
        <v>0</v>
      </c>
      <c r="U118" s="77">
        <v>4</v>
      </c>
      <c r="V118" s="70">
        <v>0</v>
      </c>
      <c r="W118" s="52" t="s">
        <v>48</v>
      </c>
      <c r="X118" s="52" t="s">
        <v>49</v>
      </c>
      <c r="Y118" s="52" t="s">
        <v>36</v>
      </c>
      <c r="Z118" s="52" t="s">
        <v>9</v>
      </c>
      <c r="AA118" s="52" t="s">
        <v>50</v>
      </c>
      <c r="AB118" s="52" t="s">
        <v>51</v>
      </c>
      <c r="AC118" s="52" t="s">
        <v>38</v>
      </c>
      <c r="AD118" s="79" t="s">
        <v>257</v>
      </c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</row>
    <row r="119" spans="1:49" ht="31.5" x14ac:dyDescent="0.2">
      <c r="A119" s="52" t="s">
        <v>44</v>
      </c>
      <c r="B119" s="55">
        <v>46071</v>
      </c>
      <c r="C119" s="55">
        <v>46071</v>
      </c>
      <c r="D119" s="52" t="s">
        <v>177</v>
      </c>
      <c r="E119" s="59">
        <v>0.79166666666666663</v>
      </c>
      <c r="F119" s="59">
        <v>0.99930555555555556</v>
      </c>
      <c r="G119" s="59">
        <v>1.157407407407407E-4</v>
      </c>
      <c r="H119" s="52" t="s">
        <v>181</v>
      </c>
      <c r="I119" s="64">
        <v>0.85291666666666666</v>
      </c>
      <c r="J119" s="52" t="s">
        <v>41</v>
      </c>
      <c r="K119" s="52" t="s">
        <v>143</v>
      </c>
      <c r="L119" s="67">
        <v>1</v>
      </c>
      <c r="M119" s="67">
        <v>71104</v>
      </c>
      <c r="N119" s="52" t="s">
        <v>46</v>
      </c>
      <c r="O119" s="67" t="s">
        <v>47</v>
      </c>
      <c r="P119" s="70">
        <v>0</v>
      </c>
      <c r="Q119" s="67"/>
      <c r="R119" s="70">
        <v>0</v>
      </c>
      <c r="S119" s="75">
        <v>46054</v>
      </c>
      <c r="T119" s="70">
        <v>0</v>
      </c>
      <c r="U119" s="77">
        <v>4</v>
      </c>
      <c r="V119" s="70">
        <v>0</v>
      </c>
      <c r="W119" s="52" t="s">
        <v>48</v>
      </c>
      <c r="X119" s="52" t="s">
        <v>49</v>
      </c>
      <c r="Y119" s="52" t="s">
        <v>36</v>
      </c>
      <c r="Z119" s="52" t="s">
        <v>9</v>
      </c>
      <c r="AA119" s="52" t="s">
        <v>50</v>
      </c>
      <c r="AB119" s="52" t="s">
        <v>51</v>
      </c>
      <c r="AC119" s="52" t="s">
        <v>38</v>
      </c>
      <c r="AD119" s="79" t="s">
        <v>257</v>
      </c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</row>
    <row r="120" spans="1:49" ht="31.5" x14ac:dyDescent="0.2">
      <c r="A120" s="52" t="s">
        <v>44</v>
      </c>
      <c r="B120" s="55">
        <v>46072</v>
      </c>
      <c r="C120" s="55">
        <v>46072</v>
      </c>
      <c r="D120" s="52" t="s">
        <v>183</v>
      </c>
      <c r="E120" s="59">
        <v>0.25</v>
      </c>
      <c r="F120" s="59">
        <v>0.875</v>
      </c>
      <c r="G120" s="62">
        <v>1.7361111111111109E-4</v>
      </c>
      <c r="H120" s="63" t="s">
        <v>52</v>
      </c>
      <c r="I120" s="64">
        <v>0.26472222222222225</v>
      </c>
      <c r="J120" s="52" t="s">
        <v>41</v>
      </c>
      <c r="K120" s="52" t="s">
        <v>40</v>
      </c>
      <c r="L120" s="67">
        <v>1</v>
      </c>
      <c r="M120" s="67">
        <v>71013</v>
      </c>
      <c r="N120" s="52" t="s">
        <v>54</v>
      </c>
      <c r="O120" s="67" t="s">
        <v>47</v>
      </c>
      <c r="P120" s="70">
        <v>15</v>
      </c>
      <c r="Q120" s="67"/>
      <c r="R120" s="70">
        <v>15</v>
      </c>
      <c r="S120" s="75">
        <v>46054</v>
      </c>
      <c r="T120" s="70">
        <v>2.25</v>
      </c>
      <c r="U120" s="77">
        <v>4</v>
      </c>
      <c r="V120" s="70">
        <v>12.75</v>
      </c>
      <c r="W120" s="52" t="s">
        <v>48</v>
      </c>
      <c r="X120" s="52" t="s">
        <v>49</v>
      </c>
      <c r="Y120" s="52" t="s">
        <v>36</v>
      </c>
      <c r="Z120" s="52" t="s">
        <v>9</v>
      </c>
      <c r="AA120" s="52" t="s">
        <v>50</v>
      </c>
      <c r="AB120" s="52" t="s">
        <v>51</v>
      </c>
      <c r="AC120" s="52" t="s">
        <v>38</v>
      </c>
      <c r="AD120" s="79" t="s">
        <v>257</v>
      </c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</row>
    <row r="121" spans="1:49" ht="31.5" x14ac:dyDescent="0.2">
      <c r="A121" s="52" t="s">
        <v>44</v>
      </c>
      <c r="B121" s="55">
        <v>46072</v>
      </c>
      <c r="C121" s="55">
        <v>46072</v>
      </c>
      <c r="D121" s="52" t="s">
        <v>183</v>
      </c>
      <c r="E121" s="59">
        <v>0.25</v>
      </c>
      <c r="F121" s="59">
        <v>0.875</v>
      </c>
      <c r="G121" s="62">
        <v>1.7361111111111109E-4</v>
      </c>
      <c r="H121" s="63" t="s">
        <v>146</v>
      </c>
      <c r="I121" s="64">
        <v>0.26645833333333335</v>
      </c>
      <c r="J121" s="52" t="s">
        <v>41</v>
      </c>
      <c r="K121" s="52" t="s">
        <v>40</v>
      </c>
      <c r="L121" s="67">
        <v>1</v>
      </c>
      <c r="M121" s="67">
        <v>71013</v>
      </c>
      <c r="N121" s="52" t="s">
        <v>54</v>
      </c>
      <c r="O121" s="67" t="s">
        <v>47</v>
      </c>
      <c r="P121" s="70">
        <v>15</v>
      </c>
      <c r="Q121" s="67"/>
      <c r="R121" s="70">
        <v>15</v>
      </c>
      <c r="S121" s="75">
        <v>46054</v>
      </c>
      <c r="T121" s="70">
        <v>2.25</v>
      </c>
      <c r="U121" s="77">
        <v>4</v>
      </c>
      <c r="V121" s="70">
        <v>12.75</v>
      </c>
      <c r="W121" s="52" t="s">
        <v>48</v>
      </c>
      <c r="X121" s="52" t="s">
        <v>49</v>
      </c>
      <c r="Y121" s="52" t="s">
        <v>36</v>
      </c>
      <c r="Z121" s="52" t="s">
        <v>9</v>
      </c>
      <c r="AA121" s="52" t="s">
        <v>50</v>
      </c>
      <c r="AB121" s="52" t="s">
        <v>51</v>
      </c>
      <c r="AC121" s="52" t="s">
        <v>38</v>
      </c>
      <c r="AD121" s="79" t="s">
        <v>257</v>
      </c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</row>
    <row r="122" spans="1:49" ht="31.5" x14ac:dyDescent="0.25">
      <c r="A122" s="52" t="s">
        <v>44</v>
      </c>
      <c r="B122" s="55">
        <v>46072</v>
      </c>
      <c r="C122" s="55">
        <v>46072</v>
      </c>
      <c r="D122" s="52" t="s">
        <v>183</v>
      </c>
      <c r="E122" s="59">
        <v>0.25</v>
      </c>
      <c r="F122" s="59">
        <v>0.99930555555555556</v>
      </c>
      <c r="G122" s="62">
        <v>1.7361111111111109E-4</v>
      </c>
      <c r="H122" s="63" t="s">
        <v>52</v>
      </c>
      <c r="I122" s="64">
        <v>0.28402777777777777</v>
      </c>
      <c r="J122" s="52" t="s">
        <v>41</v>
      </c>
      <c r="K122" s="52" t="s">
        <v>40</v>
      </c>
      <c r="L122" s="67">
        <v>1</v>
      </c>
      <c r="M122" s="67">
        <v>71016</v>
      </c>
      <c r="N122" s="52" t="s">
        <v>46</v>
      </c>
      <c r="O122" s="67" t="s">
        <v>47</v>
      </c>
      <c r="P122" s="70">
        <v>0</v>
      </c>
      <c r="Q122" s="67"/>
      <c r="R122" s="70">
        <v>0</v>
      </c>
      <c r="S122" s="75">
        <v>46054</v>
      </c>
      <c r="T122" s="70">
        <v>0</v>
      </c>
      <c r="U122" s="77">
        <v>4</v>
      </c>
      <c r="V122" s="70">
        <v>0</v>
      </c>
      <c r="W122" s="52" t="s">
        <v>48</v>
      </c>
      <c r="X122" s="52" t="s">
        <v>49</v>
      </c>
      <c r="Y122" s="52" t="s">
        <v>36</v>
      </c>
      <c r="Z122" s="52" t="s">
        <v>9</v>
      </c>
      <c r="AA122" s="52" t="s">
        <v>50</v>
      </c>
      <c r="AB122" s="52" t="s">
        <v>51</v>
      </c>
      <c r="AC122" s="52" t="s">
        <v>38</v>
      </c>
      <c r="AD122" s="79" t="s">
        <v>257</v>
      </c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</row>
    <row r="123" spans="1:49" ht="31.5" x14ac:dyDescent="0.25">
      <c r="A123" s="52" t="s">
        <v>44</v>
      </c>
      <c r="B123" s="55">
        <v>46072</v>
      </c>
      <c r="C123" s="55">
        <v>46072</v>
      </c>
      <c r="D123" s="52" t="s">
        <v>183</v>
      </c>
      <c r="E123" s="59">
        <v>0.25</v>
      </c>
      <c r="F123" s="59">
        <v>0.99930555555555556</v>
      </c>
      <c r="G123" s="62">
        <v>1.7361111111111109E-4</v>
      </c>
      <c r="H123" s="63" t="s">
        <v>146</v>
      </c>
      <c r="I123" s="64">
        <v>0.28593750000000001</v>
      </c>
      <c r="J123" s="52" t="s">
        <v>41</v>
      </c>
      <c r="K123" s="52" t="s">
        <v>40</v>
      </c>
      <c r="L123" s="67">
        <v>1</v>
      </c>
      <c r="M123" s="67">
        <v>71016</v>
      </c>
      <c r="N123" s="52" t="s">
        <v>46</v>
      </c>
      <c r="O123" s="67" t="s">
        <v>47</v>
      </c>
      <c r="P123" s="70">
        <v>0</v>
      </c>
      <c r="Q123" s="67"/>
      <c r="R123" s="70">
        <v>0</v>
      </c>
      <c r="S123" s="75">
        <v>46054</v>
      </c>
      <c r="T123" s="70">
        <v>0</v>
      </c>
      <c r="U123" s="77">
        <v>4</v>
      </c>
      <c r="V123" s="70">
        <v>0</v>
      </c>
      <c r="W123" s="52" t="s">
        <v>48</v>
      </c>
      <c r="X123" s="52" t="s">
        <v>49</v>
      </c>
      <c r="Y123" s="52" t="s">
        <v>36</v>
      </c>
      <c r="Z123" s="52" t="s">
        <v>9</v>
      </c>
      <c r="AA123" s="52" t="s">
        <v>50</v>
      </c>
      <c r="AB123" s="52" t="s">
        <v>51</v>
      </c>
      <c r="AC123" s="52" t="s">
        <v>38</v>
      </c>
      <c r="AD123" s="79" t="s">
        <v>257</v>
      </c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</row>
    <row r="124" spans="1:49" ht="31.5" x14ac:dyDescent="0.25">
      <c r="A124" s="52" t="s">
        <v>44</v>
      </c>
      <c r="B124" s="55">
        <v>46072</v>
      </c>
      <c r="C124" s="55">
        <v>46072</v>
      </c>
      <c r="D124" s="52" t="s">
        <v>183</v>
      </c>
      <c r="E124" s="59">
        <v>0.33333333333333331</v>
      </c>
      <c r="F124" s="59">
        <v>0.375</v>
      </c>
      <c r="G124" s="62">
        <v>1.7361111111111109E-4</v>
      </c>
      <c r="H124" s="63" t="s">
        <v>55</v>
      </c>
      <c r="I124" s="64">
        <v>0.35656249999999995</v>
      </c>
      <c r="J124" s="52" t="s">
        <v>69</v>
      </c>
      <c r="K124" s="52" t="s">
        <v>68</v>
      </c>
      <c r="L124" s="67">
        <v>1</v>
      </c>
      <c r="M124" s="67">
        <v>71018</v>
      </c>
      <c r="N124" s="52" t="s">
        <v>54</v>
      </c>
      <c r="O124" s="67" t="s">
        <v>47</v>
      </c>
      <c r="P124" s="70">
        <v>15</v>
      </c>
      <c r="Q124" s="67"/>
      <c r="R124" s="70">
        <v>15</v>
      </c>
      <c r="S124" s="75">
        <v>46054</v>
      </c>
      <c r="T124" s="70">
        <v>2.25</v>
      </c>
      <c r="U124" s="77">
        <v>4</v>
      </c>
      <c r="V124" s="70">
        <v>12.75</v>
      </c>
      <c r="W124" s="52" t="s">
        <v>48</v>
      </c>
      <c r="X124" s="52" t="s">
        <v>49</v>
      </c>
      <c r="Y124" s="52" t="s">
        <v>36</v>
      </c>
      <c r="Z124" s="52" t="s">
        <v>9</v>
      </c>
      <c r="AA124" s="52" t="s">
        <v>50</v>
      </c>
      <c r="AB124" s="52" t="s">
        <v>51</v>
      </c>
      <c r="AC124" s="52" t="s">
        <v>38</v>
      </c>
      <c r="AD124" s="79" t="s">
        <v>257</v>
      </c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</row>
    <row r="125" spans="1:49" ht="31.5" x14ac:dyDescent="0.25">
      <c r="A125" s="52" t="s">
        <v>44</v>
      </c>
      <c r="B125" s="55">
        <v>46072</v>
      </c>
      <c r="C125" s="55">
        <v>46072</v>
      </c>
      <c r="D125" s="52" t="s">
        <v>183</v>
      </c>
      <c r="E125" s="59">
        <v>0.33333333333333331</v>
      </c>
      <c r="F125" s="59">
        <v>0.375</v>
      </c>
      <c r="G125" s="62">
        <v>1.7361111111111109E-4</v>
      </c>
      <c r="H125" s="63" t="s">
        <v>165</v>
      </c>
      <c r="I125" s="64">
        <v>0.35777777777777775</v>
      </c>
      <c r="J125" s="52" t="s">
        <v>69</v>
      </c>
      <c r="K125" s="52" t="s">
        <v>68</v>
      </c>
      <c r="L125" s="67">
        <v>1</v>
      </c>
      <c r="M125" s="67">
        <v>71018</v>
      </c>
      <c r="N125" s="52" t="s">
        <v>54</v>
      </c>
      <c r="O125" s="67" t="s">
        <v>47</v>
      </c>
      <c r="P125" s="70">
        <v>15</v>
      </c>
      <c r="Q125" s="67"/>
      <c r="R125" s="70">
        <v>15</v>
      </c>
      <c r="S125" s="75">
        <v>46054</v>
      </c>
      <c r="T125" s="70">
        <v>2.25</v>
      </c>
      <c r="U125" s="77">
        <v>4</v>
      </c>
      <c r="V125" s="70">
        <v>12.75</v>
      </c>
      <c r="W125" s="52" t="s">
        <v>48</v>
      </c>
      <c r="X125" s="52" t="s">
        <v>49</v>
      </c>
      <c r="Y125" s="52" t="s">
        <v>36</v>
      </c>
      <c r="Z125" s="52" t="s">
        <v>9</v>
      </c>
      <c r="AA125" s="52" t="s">
        <v>50</v>
      </c>
      <c r="AB125" s="52" t="s">
        <v>51</v>
      </c>
      <c r="AC125" s="52" t="s">
        <v>38</v>
      </c>
      <c r="AD125" s="79" t="s">
        <v>257</v>
      </c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</row>
    <row r="126" spans="1:49" ht="31.5" x14ac:dyDescent="0.2">
      <c r="A126" s="52" t="s">
        <v>44</v>
      </c>
      <c r="B126" s="55">
        <v>46072</v>
      </c>
      <c r="C126" s="55">
        <v>46072</v>
      </c>
      <c r="D126" s="52" t="s">
        <v>183</v>
      </c>
      <c r="E126" s="59">
        <v>0.33333333333333331</v>
      </c>
      <c r="F126" s="59">
        <v>0.41666666666666669</v>
      </c>
      <c r="G126" s="59">
        <v>1.157407407407407E-4</v>
      </c>
      <c r="H126" s="52" t="s">
        <v>73</v>
      </c>
      <c r="I126" s="64">
        <v>0.41591435185185183</v>
      </c>
      <c r="J126" s="52" t="s">
        <v>69</v>
      </c>
      <c r="K126" s="52" t="s">
        <v>75</v>
      </c>
      <c r="L126" s="67">
        <v>1</v>
      </c>
      <c r="M126" s="67">
        <v>71105</v>
      </c>
      <c r="N126" s="52" t="s">
        <v>46</v>
      </c>
      <c r="O126" s="67" t="s">
        <v>47</v>
      </c>
      <c r="P126" s="70">
        <v>0</v>
      </c>
      <c r="Q126" s="67"/>
      <c r="R126" s="70">
        <v>0</v>
      </c>
      <c r="S126" s="75">
        <v>46054</v>
      </c>
      <c r="T126" s="70">
        <v>0</v>
      </c>
      <c r="U126" s="77">
        <v>4</v>
      </c>
      <c r="V126" s="70">
        <v>0</v>
      </c>
      <c r="W126" s="52" t="s">
        <v>48</v>
      </c>
      <c r="X126" s="52" t="s">
        <v>49</v>
      </c>
      <c r="Y126" s="52" t="s">
        <v>36</v>
      </c>
      <c r="Z126" s="52" t="s">
        <v>9</v>
      </c>
      <c r="AA126" s="52" t="s">
        <v>50</v>
      </c>
      <c r="AB126" s="52" t="s">
        <v>51</v>
      </c>
      <c r="AC126" s="52" t="s">
        <v>38</v>
      </c>
      <c r="AD126" s="79" t="s">
        <v>257</v>
      </c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</row>
    <row r="127" spans="1:49" ht="31.5" x14ac:dyDescent="0.25">
      <c r="A127" s="52" t="s">
        <v>44</v>
      </c>
      <c r="B127" s="55">
        <v>46072</v>
      </c>
      <c r="C127" s="55">
        <v>46072</v>
      </c>
      <c r="D127" s="52" t="s">
        <v>183</v>
      </c>
      <c r="E127" s="59">
        <v>0.54166666666666663</v>
      </c>
      <c r="F127" s="59">
        <v>0.66666666666666663</v>
      </c>
      <c r="G127" s="62">
        <v>1.7361111111111109E-4</v>
      </c>
      <c r="H127" s="63" t="s">
        <v>52</v>
      </c>
      <c r="I127" s="64">
        <v>0.55571759259259257</v>
      </c>
      <c r="J127" s="52" t="s">
        <v>97</v>
      </c>
      <c r="K127" s="52" t="s">
        <v>172</v>
      </c>
      <c r="L127" s="67">
        <v>1</v>
      </c>
      <c r="M127" s="67">
        <v>71011</v>
      </c>
      <c r="N127" s="52" t="s">
        <v>46</v>
      </c>
      <c r="O127" s="67" t="s">
        <v>47</v>
      </c>
      <c r="P127" s="70">
        <v>0</v>
      </c>
      <c r="Q127" s="67"/>
      <c r="R127" s="70">
        <v>0</v>
      </c>
      <c r="S127" s="75">
        <v>46054</v>
      </c>
      <c r="T127" s="70">
        <v>0</v>
      </c>
      <c r="U127" s="77">
        <v>4</v>
      </c>
      <c r="V127" s="70">
        <v>0</v>
      </c>
      <c r="W127" s="52" t="s">
        <v>48</v>
      </c>
      <c r="X127" s="52" t="s">
        <v>49</v>
      </c>
      <c r="Y127" s="52" t="s">
        <v>36</v>
      </c>
      <c r="Z127" s="52" t="s">
        <v>9</v>
      </c>
      <c r="AA127" s="52" t="s">
        <v>50</v>
      </c>
      <c r="AB127" s="52" t="s">
        <v>51</v>
      </c>
      <c r="AC127" s="52" t="s">
        <v>38</v>
      </c>
      <c r="AD127" s="79" t="s">
        <v>257</v>
      </c>
      <c r="AE127" s="83"/>
      <c r="AF127" s="83"/>
      <c r="AG127" s="83"/>
      <c r="AH127" s="83"/>
      <c r="AI127" s="87"/>
      <c r="AJ127" s="87"/>
      <c r="AK127" s="87"/>
      <c r="AL127" s="87"/>
      <c r="AM127" s="87"/>
      <c r="AN127" s="87"/>
      <c r="AO127" s="87"/>
      <c r="AP127" s="87"/>
      <c r="AQ127" s="87"/>
      <c r="AR127" s="87"/>
      <c r="AS127" s="87"/>
      <c r="AT127" s="87"/>
      <c r="AU127" s="87"/>
      <c r="AV127" s="87"/>
      <c r="AW127" s="87"/>
    </row>
    <row r="128" spans="1:49" ht="31.5" x14ac:dyDescent="0.25">
      <c r="A128" s="52" t="s">
        <v>44</v>
      </c>
      <c r="B128" s="55">
        <v>46072</v>
      </c>
      <c r="C128" s="55">
        <v>46072</v>
      </c>
      <c r="D128" s="52" t="s">
        <v>183</v>
      </c>
      <c r="E128" s="59">
        <v>0.54166666666666663</v>
      </c>
      <c r="F128" s="59">
        <v>0.66666666666666663</v>
      </c>
      <c r="G128" s="62">
        <v>1.7361111111111109E-4</v>
      </c>
      <c r="H128" s="63" t="s">
        <v>146</v>
      </c>
      <c r="I128" s="64">
        <v>0.55658564814814815</v>
      </c>
      <c r="J128" s="52" t="s">
        <v>97</v>
      </c>
      <c r="K128" s="52" t="s">
        <v>172</v>
      </c>
      <c r="L128" s="67">
        <v>1</v>
      </c>
      <c r="M128" s="67">
        <v>71011</v>
      </c>
      <c r="N128" s="52" t="s">
        <v>46</v>
      </c>
      <c r="O128" s="67" t="s">
        <v>47</v>
      </c>
      <c r="P128" s="70">
        <v>0</v>
      </c>
      <c r="Q128" s="67"/>
      <c r="R128" s="70">
        <v>0</v>
      </c>
      <c r="S128" s="75">
        <v>46054</v>
      </c>
      <c r="T128" s="70">
        <v>0</v>
      </c>
      <c r="U128" s="77">
        <v>4</v>
      </c>
      <c r="V128" s="70">
        <v>0</v>
      </c>
      <c r="W128" s="52" t="s">
        <v>48</v>
      </c>
      <c r="X128" s="52" t="s">
        <v>49</v>
      </c>
      <c r="Y128" s="52" t="s">
        <v>36</v>
      </c>
      <c r="Z128" s="52" t="s">
        <v>9</v>
      </c>
      <c r="AA128" s="52" t="s">
        <v>50</v>
      </c>
      <c r="AB128" s="52" t="s">
        <v>51</v>
      </c>
      <c r="AC128" s="52" t="s">
        <v>38</v>
      </c>
      <c r="AD128" s="79" t="s">
        <v>257</v>
      </c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</row>
    <row r="129" spans="1:49" ht="31.5" x14ac:dyDescent="0.25">
      <c r="A129" s="52" t="s">
        <v>44</v>
      </c>
      <c r="B129" s="55">
        <v>46072</v>
      </c>
      <c r="C129" s="55">
        <v>46072</v>
      </c>
      <c r="D129" s="52" t="s">
        <v>183</v>
      </c>
      <c r="E129" s="59">
        <v>0.54166666666666663</v>
      </c>
      <c r="F129" s="59">
        <v>0.66666666666666663</v>
      </c>
      <c r="G129" s="62">
        <v>1.7361111111111109E-4</v>
      </c>
      <c r="H129" s="63" t="s">
        <v>52</v>
      </c>
      <c r="I129" s="64">
        <v>0.56818287037037041</v>
      </c>
      <c r="J129" s="52" t="s">
        <v>97</v>
      </c>
      <c r="K129" s="52" t="s">
        <v>173</v>
      </c>
      <c r="L129" s="67">
        <v>1</v>
      </c>
      <c r="M129" s="67">
        <v>71006</v>
      </c>
      <c r="N129" s="52" t="s">
        <v>54</v>
      </c>
      <c r="O129" s="67" t="s">
        <v>47</v>
      </c>
      <c r="P129" s="70">
        <v>15</v>
      </c>
      <c r="Q129" s="67"/>
      <c r="R129" s="70">
        <v>15</v>
      </c>
      <c r="S129" s="75">
        <v>46054</v>
      </c>
      <c r="T129" s="70">
        <v>2.25</v>
      </c>
      <c r="U129" s="77">
        <v>4</v>
      </c>
      <c r="V129" s="70">
        <v>12.75</v>
      </c>
      <c r="W129" s="52" t="s">
        <v>48</v>
      </c>
      <c r="X129" s="52" t="s">
        <v>49</v>
      </c>
      <c r="Y129" s="52" t="s">
        <v>36</v>
      </c>
      <c r="Z129" s="52" t="s">
        <v>9</v>
      </c>
      <c r="AA129" s="52" t="s">
        <v>50</v>
      </c>
      <c r="AB129" s="52" t="s">
        <v>51</v>
      </c>
      <c r="AC129" s="52" t="s">
        <v>38</v>
      </c>
      <c r="AD129" s="79" t="s">
        <v>257</v>
      </c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</row>
    <row r="130" spans="1:49" ht="31.5" x14ac:dyDescent="0.25">
      <c r="A130" s="52" t="s">
        <v>44</v>
      </c>
      <c r="B130" s="55">
        <v>46072</v>
      </c>
      <c r="C130" s="55">
        <v>46072</v>
      </c>
      <c r="D130" s="52" t="s">
        <v>183</v>
      </c>
      <c r="E130" s="59">
        <v>0.54166666666666663</v>
      </c>
      <c r="F130" s="59">
        <v>0.66666666666666663</v>
      </c>
      <c r="G130" s="62">
        <v>1.7361111111111109E-4</v>
      </c>
      <c r="H130" s="63" t="s">
        <v>146</v>
      </c>
      <c r="I130" s="64">
        <v>0.56887731481481485</v>
      </c>
      <c r="J130" s="52" t="s">
        <v>97</v>
      </c>
      <c r="K130" s="52" t="s">
        <v>173</v>
      </c>
      <c r="L130" s="67">
        <v>1</v>
      </c>
      <c r="M130" s="67">
        <v>71006</v>
      </c>
      <c r="N130" s="52" t="s">
        <v>54</v>
      </c>
      <c r="O130" s="67" t="s">
        <v>47</v>
      </c>
      <c r="P130" s="70">
        <v>15</v>
      </c>
      <c r="Q130" s="67"/>
      <c r="R130" s="70">
        <v>15</v>
      </c>
      <c r="S130" s="75">
        <v>46054</v>
      </c>
      <c r="T130" s="70">
        <v>2.25</v>
      </c>
      <c r="U130" s="77">
        <v>4</v>
      </c>
      <c r="V130" s="70">
        <v>12.75</v>
      </c>
      <c r="W130" s="52" t="s">
        <v>48</v>
      </c>
      <c r="X130" s="52" t="s">
        <v>49</v>
      </c>
      <c r="Y130" s="52" t="s">
        <v>36</v>
      </c>
      <c r="Z130" s="52" t="s">
        <v>9</v>
      </c>
      <c r="AA130" s="52" t="s">
        <v>50</v>
      </c>
      <c r="AB130" s="52" t="s">
        <v>51</v>
      </c>
      <c r="AC130" s="52" t="s">
        <v>38</v>
      </c>
      <c r="AD130" s="79" t="s">
        <v>257</v>
      </c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</row>
    <row r="131" spans="1:49" ht="31.5" x14ac:dyDescent="0.25">
      <c r="A131" s="52" t="s">
        <v>44</v>
      </c>
      <c r="B131" s="55">
        <v>46072</v>
      </c>
      <c r="C131" s="55">
        <v>46072</v>
      </c>
      <c r="D131" s="52" t="s">
        <v>183</v>
      </c>
      <c r="E131" s="59">
        <v>0.54166666666666663</v>
      </c>
      <c r="F131" s="59">
        <v>0.66666666666666663</v>
      </c>
      <c r="G131" s="62">
        <v>1.7361111111111109E-4</v>
      </c>
      <c r="H131" s="63" t="s">
        <v>55</v>
      </c>
      <c r="I131" s="64">
        <v>0.65593749999999995</v>
      </c>
      <c r="J131" s="52" t="s">
        <v>97</v>
      </c>
      <c r="K131" s="52" t="s">
        <v>141</v>
      </c>
      <c r="L131" s="67">
        <v>1</v>
      </c>
      <c r="M131" s="67">
        <v>71011</v>
      </c>
      <c r="N131" s="52" t="s">
        <v>46</v>
      </c>
      <c r="O131" s="67" t="s">
        <v>47</v>
      </c>
      <c r="P131" s="70">
        <v>0</v>
      </c>
      <c r="Q131" s="67"/>
      <c r="R131" s="70">
        <v>0</v>
      </c>
      <c r="S131" s="75">
        <v>46054</v>
      </c>
      <c r="T131" s="70">
        <v>0</v>
      </c>
      <c r="U131" s="77">
        <v>4</v>
      </c>
      <c r="V131" s="70">
        <v>0</v>
      </c>
      <c r="W131" s="52" t="s">
        <v>48</v>
      </c>
      <c r="X131" s="52" t="s">
        <v>49</v>
      </c>
      <c r="Y131" s="52" t="s">
        <v>36</v>
      </c>
      <c r="Z131" s="52" t="s">
        <v>9</v>
      </c>
      <c r="AA131" s="52" t="s">
        <v>50</v>
      </c>
      <c r="AB131" s="52" t="s">
        <v>51</v>
      </c>
      <c r="AC131" s="52" t="s">
        <v>38</v>
      </c>
      <c r="AD131" s="79" t="s">
        <v>257</v>
      </c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</row>
    <row r="132" spans="1:49" ht="31.5" x14ac:dyDescent="0.2">
      <c r="A132" s="52" t="s">
        <v>44</v>
      </c>
      <c r="B132" s="55">
        <v>46072</v>
      </c>
      <c r="C132" s="55">
        <v>46072</v>
      </c>
      <c r="D132" s="52" t="s">
        <v>183</v>
      </c>
      <c r="E132" s="59">
        <v>0.54166666666666663</v>
      </c>
      <c r="F132" s="59">
        <v>0.66666666666666663</v>
      </c>
      <c r="G132" s="62">
        <v>1.7361111111111109E-4</v>
      </c>
      <c r="H132" s="63" t="s">
        <v>165</v>
      </c>
      <c r="I132" s="64">
        <v>0.65784722222222225</v>
      </c>
      <c r="J132" s="52" t="s">
        <v>97</v>
      </c>
      <c r="K132" s="52" t="s">
        <v>141</v>
      </c>
      <c r="L132" s="67">
        <v>1</v>
      </c>
      <c r="M132" s="67">
        <v>71011</v>
      </c>
      <c r="N132" s="52" t="s">
        <v>46</v>
      </c>
      <c r="O132" s="67" t="s">
        <v>47</v>
      </c>
      <c r="P132" s="70">
        <v>0</v>
      </c>
      <c r="Q132" s="67"/>
      <c r="R132" s="70">
        <v>0</v>
      </c>
      <c r="S132" s="75">
        <v>46054</v>
      </c>
      <c r="T132" s="70">
        <v>0</v>
      </c>
      <c r="U132" s="77">
        <v>4</v>
      </c>
      <c r="V132" s="70">
        <v>0</v>
      </c>
      <c r="W132" s="52" t="s">
        <v>48</v>
      </c>
      <c r="X132" s="52" t="s">
        <v>49</v>
      </c>
      <c r="Y132" s="52" t="s">
        <v>36</v>
      </c>
      <c r="Z132" s="52" t="s">
        <v>9</v>
      </c>
      <c r="AA132" s="52" t="s">
        <v>50</v>
      </c>
      <c r="AB132" s="52" t="s">
        <v>51</v>
      </c>
      <c r="AC132" s="52" t="s">
        <v>38</v>
      </c>
      <c r="AD132" s="79" t="s">
        <v>257</v>
      </c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</row>
    <row r="133" spans="1:49" ht="31.5" x14ac:dyDescent="0.25">
      <c r="A133" s="52" t="s">
        <v>44</v>
      </c>
      <c r="B133" s="55">
        <v>46072</v>
      </c>
      <c r="C133" s="55">
        <v>46072</v>
      </c>
      <c r="D133" s="52" t="s">
        <v>183</v>
      </c>
      <c r="E133" s="59">
        <v>0.58333333333333337</v>
      </c>
      <c r="F133" s="59">
        <v>0.66666666666666663</v>
      </c>
      <c r="G133" s="62">
        <v>1.7361111111111109E-4</v>
      </c>
      <c r="H133" s="63" t="s">
        <v>52</v>
      </c>
      <c r="I133" s="64">
        <v>0.59136574074074078</v>
      </c>
      <c r="J133" s="52" t="s">
        <v>97</v>
      </c>
      <c r="K133" s="52" t="s">
        <v>141</v>
      </c>
      <c r="L133" s="67">
        <v>1</v>
      </c>
      <c r="M133" s="67">
        <v>71009</v>
      </c>
      <c r="N133" s="52" t="s">
        <v>54</v>
      </c>
      <c r="O133" s="67" t="s">
        <v>47</v>
      </c>
      <c r="P133" s="70">
        <v>15</v>
      </c>
      <c r="Q133" s="67"/>
      <c r="R133" s="70">
        <v>15</v>
      </c>
      <c r="S133" s="75">
        <v>46054</v>
      </c>
      <c r="T133" s="70">
        <v>2.25</v>
      </c>
      <c r="U133" s="77">
        <v>4</v>
      </c>
      <c r="V133" s="70">
        <v>12.75</v>
      </c>
      <c r="W133" s="52" t="s">
        <v>48</v>
      </c>
      <c r="X133" s="52" t="s">
        <v>49</v>
      </c>
      <c r="Y133" s="52" t="s">
        <v>36</v>
      </c>
      <c r="Z133" s="52" t="s">
        <v>9</v>
      </c>
      <c r="AA133" s="52" t="s">
        <v>50</v>
      </c>
      <c r="AB133" s="52" t="s">
        <v>51</v>
      </c>
      <c r="AC133" s="52" t="s">
        <v>38</v>
      </c>
      <c r="AD133" s="79" t="s">
        <v>257</v>
      </c>
      <c r="AE133" s="83"/>
      <c r="AF133" s="83"/>
      <c r="AG133" s="83"/>
      <c r="AH133" s="83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</row>
    <row r="134" spans="1:49" ht="31.5" x14ac:dyDescent="0.25">
      <c r="A134" s="52" t="s">
        <v>44</v>
      </c>
      <c r="B134" s="55">
        <v>46072</v>
      </c>
      <c r="C134" s="55">
        <v>46072</v>
      </c>
      <c r="D134" s="52" t="s">
        <v>183</v>
      </c>
      <c r="E134" s="59">
        <v>0.58333333333333337</v>
      </c>
      <c r="F134" s="59">
        <v>0.66666666666666663</v>
      </c>
      <c r="G134" s="62">
        <v>1.7361111111111109E-4</v>
      </c>
      <c r="H134" s="63" t="s">
        <v>146</v>
      </c>
      <c r="I134" s="64">
        <v>0.59310185185185182</v>
      </c>
      <c r="J134" s="52" t="s">
        <v>97</v>
      </c>
      <c r="K134" s="52" t="s">
        <v>141</v>
      </c>
      <c r="L134" s="67">
        <v>1</v>
      </c>
      <c r="M134" s="67">
        <v>71009</v>
      </c>
      <c r="N134" s="52" t="s">
        <v>54</v>
      </c>
      <c r="O134" s="67" t="s">
        <v>47</v>
      </c>
      <c r="P134" s="70">
        <v>15</v>
      </c>
      <c r="Q134" s="67"/>
      <c r="R134" s="70">
        <v>15</v>
      </c>
      <c r="S134" s="75">
        <v>46054</v>
      </c>
      <c r="T134" s="70">
        <v>2.25</v>
      </c>
      <c r="U134" s="77">
        <v>4</v>
      </c>
      <c r="V134" s="70">
        <v>12.75</v>
      </c>
      <c r="W134" s="52" t="s">
        <v>48</v>
      </c>
      <c r="X134" s="52" t="s">
        <v>49</v>
      </c>
      <c r="Y134" s="52" t="s">
        <v>36</v>
      </c>
      <c r="Z134" s="52" t="s">
        <v>9</v>
      </c>
      <c r="AA134" s="52" t="s">
        <v>50</v>
      </c>
      <c r="AB134" s="52" t="s">
        <v>51</v>
      </c>
      <c r="AC134" s="52" t="s">
        <v>38</v>
      </c>
      <c r="AD134" s="79" t="s">
        <v>257</v>
      </c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</row>
    <row r="135" spans="1:49" ht="31.5" x14ac:dyDescent="0.2">
      <c r="A135" s="52" t="s">
        <v>44</v>
      </c>
      <c r="B135" s="55">
        <v>46072</v>
      </c>
      <c r="C135" s="55">
        <v>46072</v>
      </c>
      <c r="D135" s="52" t="s">
        <v>183</v>
      </c>
      <c r="E135" s="59">
        <v>0.66666666666666663</v>
      </c>
      <c r="F135" s="59">
        <v>0.79166666666666663</v>
      </c>
      <c r="G135" s="62">
        <v>1.7361111111111109E-4</v>
      </c>
      <c r="H135" s="63" t="s">
        <v>52</v>
      </c>
      <c r="I135" s="64">
        <v>0.67393518518518514</v>
      </c>
      <c r="J135" s="52" t="s">
        <v>110</v>
      </c>
      <c r="K135" s="52" t="s">
        <v>109</v>
      </c>
      <c r="L135" s="67">
        <v>1</v>
      </c>
      <c r="M135" s="67">
        <v>71003</v>
      </c>
      <c r="N135" s="52" t="s">
        <v>54</v>
      </c>
      <c r="O135" s="67" t="s">
        <v>47</v>
      </c>
      <c r="P135" s="70">
        <v>15</v>
      </c>
      <c r="Q135" s="67"/>
      <c r="R135" s="70">
        <v>15</v>
      </c>
      <c r="S135" s="75">
        <v>46054</v>
      </c>
      <c r="T135" s="70">
        <v>2.25</v>
      </c>
      <c r="U135" s="77">
        <v>4</v>
      </c>
      <c r="V135" s="70">
        <v>12.75</v>
      </c>
      <c r="W135" s="52" t="s">
        <v>48</v>
      </c>
      <c r="X135" s="52" t="s">
        <v>49</v>
      </c>
      <c r="Y135" s="52" t="s">
        <v>36</v>
      </c>
      <c r="Z135" s="52" t="s">
        <v>9</v>
      </c>
      <c r="AA135" s="52" t="s">
        <v>50</v>
      </c>
      <c r="AB135" s="52" t="s">
        <v>51</v>
      </c>
      <c r="AC135" s="52" t="s">
        <v>38</v>
      </c>
      <c r="AD135" s="79" t="s">
        <v>257</v>
      </c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</row>
    <row r="136" spans="1:49" ht="31.5" x14ac:dyDescent="0.25">
      <c r="A136" s="52" t="s">
        <v>44</v>
      </c>
      <c r="B136" s="55">
        <v>46072</v>
      </c>
      <c r="C136" s="55">
        <v>46072</v>
      </c>
      <c r="D136" s="52" t="s">
        <v>183</v>
      </c>
      <c r="E136" s="59">
        <v>0.66666666666666663</v>
      </c>
      <c r="F136" s="59">
        <v>0.79166666666666663</v>
      </c>
      <c r="G136" s="62">
        <v>1.7361111111111109E-4</v>
      </c>
      <c r="H136" s="63" t="s">
        <v>146</v>
      </c>
      <c r="I136" s="64">
        <v>0.67515046296296299</v>
      </c>
      <c r="J136" s="52" t="s">
        <v>110</v>
      </c>
      <c r="K136" s="52" t="s">
        <v>109</v>
      </c>
      <c r="L136" s="67">
        <v>1</v>
      </c>
      <c r="M136" s="67">
        <v>71003</v>
      </c>
      <c r="N136" s="52" t="s">
        <v>54</v>
      </c>
      <c r="O136" s="67" t="s">
        <v>47</v>
      </c>
      <c r="P136" s="70">
        <v>15</v>
      </c>
      <c r="Q136" s="67"/>
      <c r="R136" s="70">
        <v>15</v>
      </c>
      <c r="S136" s="75">
        <v>46054</v>
      </c>
      <c r="T136" s="70">
        <v>2.25</v>
      </c>
      <c r="U136" s="77">
        <v>4</v>
      </c>
      <c r="V136" s="70">
        <v>12.75</v>
      </c>
      <c r="W136" s="52" t="s">
        <v>48</v>
      </c>
      <c r="X136" s="52" t="s">
        <v>49</v>
      </c>
      <c r="Y136" s="52" t="s">
        <v>36</v>
      </c>
      <c r="Z136" s="52" t="s">
        <v>9</v>
      </c>
      <c r="AA136" s="52" t="s">
        <v>50</v>
      </c>
      <c r="AB136" s="52" t="s">
        <v>51</v>
      </c>
      <c r="AC136" s="52" t="s">
        <v>38</v>
      </c>
      <c r="AD136" s="79" t="s">
        <v>257</v>
      </c>
      <c r="AE136" s="80"/>
      <c r="AF136" s="80"/>
      <c r="AG136" s="80"/>
      <c r="AH136" s="80"/>
      <c r="AI136" s="86"/>
      <c r="AJ136" s="86"/>
      <c r="AK136" s="86"/>
      <c r="AL136" s="86"/>
      <c r="AM136" s="86"/>
      <c r="AN136" s="86"/>
      <c r="AO136" s="86"/>
      <c r="AP136" s="86"/>
      <c r="AQ136" s="86"/>
      <c r="AR136" s="86"/>
      <c r="AS136" s="86"/>
      <c r="AT136" s="86"/>
      <c r="AU136" s="86"/>
      <c r="AV136" s="86"/>
      <c r="AW136" s="86"/>
    </row>
    <row r="137" spans="1:49" ht="31.5" x14ac:dyDescent="0.25">
      <c r="A137" s="52" t="s">
        <v>44</v>
      </c>
      <c r="B137" s="55">
        <v>46072</v>
      </c>
      <c r="C137" s="55">
        <v>46072</v>
      </c>
      <c r="D137" s="52" t="s">
        <v>183</v>
      </c>
      <c r="E137" s="59">
        <v>0.79166666666666663</v>
      </c>
      <c r="F137" s="59">
        <v>0.99930555555555556</v>
      </c>
      <c r="G137" s="59">
        <v>1.157407407407407E-4</v>
      </c>
      <c r="H137" s="52" t="s">
        <v>181</v>
      </c>
      <c r="I137" s="64">
        <v>0.81648148148148147</v>
      </c>
      <c r="J137" s="52" t="s">
        <v>41</v>
      </c>
      <c r="K137" s="52" t="s">
        <v>194</v>
      </c>
      <c r="L137" s="67">
        <v>1</v>
      </c>
      <c r="M137" s="67">
        <v>71104</v>
      </c>
      <c r="N137" s="52" t="s">
        <v>46</v>
      </c>
      <c r="O137" s="67" t="s">
        <v>47</v>
      </c>
      <c r="P137" s="70">
        <v>0</v>
      </c>
      <c r="Q137" s="67"/>
      <c r="R137" s="70">
        <v>0</v>
      </c>
      <c r="S137" s="75">
        <v>46054</v>
      </c>
      <c r="T137" s="70">
        <v>0</v>
      </c>
      <c r="U137" s="77">
        <v>4</v>
      </c>
      <c r="V137" s="70">
        <v>0</v>
      </c>
      <c r="W137" s="52" t="s">
        <v>48</v>
      </c>
      <c r="X137" s="52" t="s">
        <v>49</v>
      </c>
      <c r="Y137" s="52" t="s">
        <v>36</v>
      </c>
      <c r="Z137" s="52" t="s">
        <v>9</v>
      </c>
      <c r="AA137" s="52" t="s">
        <v>50</v>
      </c>
      <c r="AB137" s="52" t="s">
        <v>51</v>
      </c>
      <c r="AC137" s="52" t="s">
        <v>38</v>
      </c>
      <c r="AD137" s="79" t="s">
        <v>257</v>
      </c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</row>
    <row r="138" spans="1:49" ht="31.5" x14ac:dyDescent="0.2">
      <c r="A138" s="52" t="s">
        <v>44</v>
      </c>
      <c r="B138" s="55">
        <v>46073</v>
      </c>
      <c r="C138" s="55">
        <v>46073</v>
      </c>
      <c r="D138" s="52" t="s">
        <v>196</v>
      </c>
      <c r="E138" s="59">
        <v>0.33333333333333331</v>
      </c>
      <c r="F138" s="59">
        <v>0.375</v>
      </c>
      <c r="G138" s="62">
        <v>1.7361111111111109E-4</v>
      </c>
      <c r="H138" s="63" t="s">
        <v>52</v>
      </c>
      <c r="I138" s="64">
        <v>0.35730324074074077</v>
      </c>
      <c r="J138" s="52" t="s">
        <v>69</v>
      </c>
      <c r="K138" s="52" t="s">
        <v>68</v>
      </c>
      <c r="L138" s="67">
        <v>1</v>
      </c>
      <c r="M138" s="67">
        <v>71018</v>
      </c>
      <c r="N138" s="52" t="s">
        <v>54</v>
      </c>
      <c r="O138" s="67" t="s">
        <v>47</v>
      </c>
      <c r="P138" s="70">
        <v>15</v>
      </c>
      <c r="Q138" s="67"/>
      <c r="R138" s="70">
        <v>15</v>
      </c>
      <c r="S138" s="75">
        <v>46054</v>
      </c>
      <c r="T138" s="70">
        <v>2.25</v>
      </c>
      <c r="U138" s="77">
        <v>4</v>
      </c>
      <c r="V138" s="70">
        <v>12.75</v>
      </c>
      <c r="W138" s="52" t="s">
        <v>48</v>
      </c>
      <c r="X138" s="52" t="s">
        <v>49</v>
      </c>
      <c r="Y138" s="52" t="s">
        <v>36</v>
      </c>
      <c r="Z138" s="52" t="s">
        <v>9</v>
      </c>
      <c r="AA138" s="52" t="s">
        <v>50</v>
      </c>
      <c r="AB138" s="52" t="s">
        <v>51</v>
      </c>
      <c r="AC138" s="52" t="s">
        <v>38</v>
      </c>
      <c r="AD138" s="79" t="s">
        <v>257</v>
      </c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</row>
    <row r="139" spans="1:49" ht="31.5" x14ac:dyDescent="0.25">
      <c r="A139" s="52" t="s">
        <v>44</v>
      </c>
      <c r="B139" s="55">
        <v>46073</v>
      </c>
      <c r="C139" s="55">
        <v>46073</v>
      </c>
      <c r="D139" s="52" t="s">
        <v>196</v>
      </c>
      <c r="E139" s="59">
        <v>0.33333333333333331</v>
      </c>
      <c r="F139" s="59">
        <v>0.375</v>
      </c>
      <c r="G139" s="62">
        <v>1.7361111111111109E-4</v>
      </c>
      <c r="H139" s="63" t="s">
        <v>146</v>
      </c>
      <c r="I139" s="64">
        <v>0.35853009259259255</v>
      </c>
      <c r="J139" s="52" t="s">
        <v>69</v>
      </c>
      <c r="K139" s="52" t="s">
        <v>68</v>
      </c>
      <c r="L139" s="67">
        <v>1</v>
      </c>
      <c r="M139" s="67">
        <v>71018</v>
      </c>
      <c r="N139" s="52" t="s">
        <v>54</v>
      </c>
      <c r="O139" s="67" t="s">
        <v>47</v>
      </c>
      <c r="P139" s="70">
        <v>15</v>
      </c>
      <c r="Q139" s="67"/>
      <c r="R139" s="70">
        <v>15</v>
      </c>
      <c r="S139" s="75">
        <v>46054</v>
      </c>
      <c r="T139" s="70">
        <v>2.25</v>
      </c>
      <c r="U139" s="77">
        <v>4</v>
      </c>
      <c r="V139" s="70">
        <v>12.75</v>
      </c>
      <c r="W139" s="52" t="s">
        <v>48</v>
      </c>
      <c r="X139" s="52" t="s">
        <v>49</v>
      </c>
      <c r="Y139" s="52" t="s">
        <v>36</v>
      </c>
      <c r="Z139" s="52" t="s">
        <v>9</v>
      </c>
      <c r="AA139" s="52" t="s">
        <v>50</v>
      </c>
      <c r="AB139" s="52" t="s">
        <v>51</v>
      </c>
      <c r="AC139" s="52" t="s">
        <v>38</v>
      </c>
      <c r="AD139" s="79" t="s">
        <v>257</v>
      </c>
      <c r="AE139" s="85"/>
      <c r="AF139" s="85"/>
      <c r="AG139" s="85"/>
      <c r="AH139" s="85"/>
      <c r="AI139" s="85"/>
      <c r="AJ139" s="85"/>
      <c r="AK139" s="85"/>
      <c r="AL139" s="85"/>
      <c r="AM139" s="85"/>
      <c r="AN139" s="85"/>
      <c r="AO139" s="85"/>
      <c r="AP139" s="85"/>
      <c r="AQ139" s="85"/>
      <c r="AR139" s="85"/>
      <c r="AS139" s="85"/>
      <c r="AT139" s="85"/>
      <c r="AU139" s="85"/>
      <c r="AV139" s="85"/>
      <c r="AW139" s="85"/>
    </row>
    <row r="140" spans="1:49" ht="31.5" x14ac:dyDescent="0.25">
      <c r="A140" s="52" t="s">
        <v>44</v>
      </c>
      <c r="B140" s="55">
        <v>46073</v>
      </c>
      <c r="C140" s="55">
        <v>46073</v>
      </c>
      <c r="D140" s="52" t="s">
        <v>196</v>
      </c>
      <c r="E140" s="59">
        <v>0.33333333333333331</v>
      </c>
      <c r="F140" s="59">
        <v>0.41666666666666669</v>
      </c>
      <c r="G140" s="59">
        <v>1.157407407407407E-4</v>
      </c>
      <c r="H140" s="52" t="s">
        <v>73</v>
      </c>
      <c r="I140" s="64">
        <v>0.35724537037037035</v>
      </c>
      <c r="J140" s="52" t="s">
        <v>69</v>
      </c>
      <c r="K140" s="52" t="s">
        <v>68</v>
      </c>
      <c r="L140" s="67">
        <v>1</v>
      </c>
      <c r="M140" s="67">
        <v>71105</v>
      </c>
      <c r="N140" s="52" t="s">
        <v>46</v>
      </c>
      <c r="O140" s="67" t="s">
        <v>47</v>
      </c>
      <c r="P140" s="70">
        <v>0</v>
      </c>
      <c r="Q140" s="67"/>
      <c r="R140" s="70">
        <v>0</v>
      </c>
      <c r="S140" s="75">
        <v>46054</v>
      </c>
      <c r="T140" s="70">
        <v>0</v>
      </c>
      <c r="U140" s="77">
        <v>4</v>
      </c>
      <c r="V140" s="70">
        <v>0</v>
      </c>
      <c r="W140" s="52" t="s">
        <v>48</v>
      </c>
      <c r="X140" s="52" t="s">
        <v>49</v>
      </c>
      <c r="Y140" s="52" t="s">
        <v>36</v>
      </c>
      <c r="Z140" s="52" t="s">
        <v>9</v>
      </c>
      <c r="AA140" s="52" t="s">
        <v>50</v>
      </c>
      <c r="AB140" s="52" t="s">
        <v>51</v>
      </c>
      <c r="AC140" s="52" t="s">
        <v>38</v>
      </c>
      <c r="AD140" s="79" t="s">
        <v>257</v>
      </c>
      <c r="AE140" s="84"/>
      <c r="AF140" s="84"/>
      <c r="AG140" s="84"/>
      <c r="AH140" s="84"/>
      <c r="AI140" s="82"/>
      <c r="AJ140" s="82"/>
      <c r="AK140" s="82"/>
      <c r="AL140" s="82"/>
      <c r="AM140" s="82"/>
      <c r="AN140" s="82"/>
      <c r="AO140" s="82"/>
      <c r="AP140" s="82"/>
      <c r="AQ140" s="82"/>
      <c r="AR140" s="82"/>
      <c r="AS140" s="82"/>
      <c r="AT140" s="82"/>
      <c r="AU140" s="82"/>
      <c r="AV140" s="82"/>
      <c r="AW140" s="82"/>
    </row>
    <row r="141" spans="1:49" ht="31.5" x14ac:dyDescent="0.2">
      <c r="A141" s="52" t="s">
        <v>44</v>
      </c>
      <c r="B141" s="55">
        <v>46073</v>
      </c>
      <c r="C141" s="55">
        <v>46073</v>
      </c>
      <c r="D141" s="52" t="s">
        <v>196</v>
      </c>
      <c r="E141" s="59">
        <v>0.33333333333333331</v>
      </c>
      <c r="F141" s="59">
        <v>0.41666666666666669</v>
      </c>
      <c r="G141" s="62">
        <v>1.7361111111111109E-4</v>
      </c>
      <c r="H141" s="63" t="s">
        <v>52</v>
      </c>
      <c r="I141" s="64">
        <v>0.4064814814814815</v>
      </c>
      <c r="J141" s="52" t="s">
        <v>69</v>
      </c>
      <c r="K141" s="52" t="s">
        <v>75</v>
      </c>
      <c r="L141" s="67">
        <v>1</v>
      </c>
      <c r="M141" s="67">
        <v>71020</v>
      </c>
      <c r="N141" s="52" t="s">
        <v>46</v>
      </c>
      <c r="O141" s="67" t="s">
        <v>47</v>
      </c>
      <c r="P141" s="70">
        <v>0</v>
      </c>
      <c r="Q141" s="67"/>
      <c r="R141" s="70">
        <v>0</v>
      </c>
      <c r="S141" s="75">
        <v>46054</v>
      </c>
      <c r="T141" s="70">
        <v>0</v>
      </c>
      <c r="U141" s="77">
        <v>4</v>
      </c>
      <c r="V141" s="70">
        <v>0</v>
      </c>
      <c r="W141" s="52" t="s">
        <v>48</v>
      </c>
      <c r="X141" s="52" t="s">
        <v>49</v>
      </c>
      <c r="Y141" s="52" t="s">
        <v>36</v>
      </c>
      <c r="Z141" s="52" t="s">
        <v>9</v>
      </c>
      <c r="AA141" s="52" t="s">
        <v>50</v>
      </c>
      <c r="AB141" s="52" t="s">
        <v>51</v>
      </c>
      <c r="AC141" s="52" t="s">
        <v>38</v>
      </c>
      <c r="AD141" s="79" t="s">
        <v>257</v>
      </c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</row>
    <row r="142" spans="1:49" ht="31.5" x14ac:dyDescent="0.25">
      <c r="A142" s="52" t="s">
        <v>44</v>
      </c>
      <c r="B142" s="55">
        <v>46073</v>
      </c>
      <c r="C142" s="55">
        <v>46073</v>
      </c>
      <c r="D142" s="52" t="s">
        <v>196</v>
      </c>
      <c r="E142" s="59">
        <v>0.33333333333333331</v>
      </c>
      <c r="F142" s="59">
        <v>0.41666666666666669</v>
      </c>
      <c r="G142" s="62">
        <v>1.7361111111111109E-4</v>
      </c>
      <c r="H142" s="63" t="s">
        <v>146</v>
      </c>
      <c r="I142" s="64">
        <v>0.40717592592592594</v>
      </c>
      <c r="J142" s="52" t="s">
        <v>69</v>
      </c>
      <c r="K142" s="52" t="s">
        <v>75</v>
      </c>
      <c r="L142" s="67">
        <v>1</v>
      </c>
      <c r="M142" s="67">
        <v>71020</v>
      </c>
      <c r="N142" s="52" t="s">
        <v>46</v>
      </c>
      <c r="O142" s="67" t="s">
        <v>47</v>
      </c>
      <c r="P142" s="70">
        <v>0</v>
      </c>
      <c r="Q142" s="67"/>
      <c r="R142" s="70">
        <v>0</v>
      </c>
      <c r="S142" s="75">
        <v>46054</v>
      </c>
      <c r="T142" s="70">
        <v>0</v>
      </c>
      <c r="U142" s="77">
        <v>4</v>
      </c>
      <c r="V142" s="70">
        <v>0</v>
      </c>
      <c r="W142" s="52" t="s">
        <v>48</v>
      </c>
      <c r="X142" s="52" t="s">
        <v>49</v>
      </c>
      <c r="Y142" s="52" t="s">
        <v>36</v>
      </c>
      <c r="Z142" s="52" t="s">
        <v>9</v>
      </c>
      <c r="AA142" s="52" t="s">
        <v>50</v>
      </c>
      <c r="AB142" s="52" t="s">
        <v>51</v>
      </c>
      <c r="AC142" s="52" t="s">
        <v>38</v>
      </c>
      <c r="AD142" s="79" t="s">
        <v>257</v>
      </c>
      <c r="AE142" s="80"/>
      <c r="AF142" s="80"/>
      <c r="AG142" s="80"/>
      <c r="AH142" s="80"/>
      <c r="AI142" s="86"/>
      <c r="AJ142" s="86"/>
      <c r="AK142" s="86"/>
      <c r="AL142" s="86"/>
      <c r="AM142" s="86"/>
      <c r="AN142" s="86"/>
      <c r="AO142" s="86"/>
      <c r="AP142" s="86"/>
      <c r="AQ142" s="86"/>
      <c r="AR142" s="86"/>
      <c r="AS142" s="86"/>
      <c r="AT142" s="86"/>
      <c r="AU142" s="86"/>
      <c r="AV142" s="86"/>
      <c r="AW142" s="86"/>
    </row>
    <row r="143" spans="1:49" ht="31.5" x14ac:dyDescent="0.25">
      <c r="A143" s="52" t="s">
        <v>44</v>
      </c>
      <c r="B143" s="55">
        <v>46073</v>
      </c>
      <c r="C143" s="55">
        <v>46073</v>
      </c>
      <c r="D143" s="52" t="s">
        <v>196</v>
      </c>
      <c r="E143" s="59">
        <v>0.66666666666666663</v>
      </c>
      <c r="F143" s="59">
        <v>0.79166666666666663</v>
      </c>
      <c r="G143" s="62">
        <v>1.7361111111111109E-4</v>
      </c>
      <c r="H143" s="63" t="s">
        <v>55</v>
      </c>
      <c r="I143" s="64">
        <v>0.67269675925925931</v>
      </c>
      <c r="J143" s="52" t="s">
        <v>110</v>
      </c>
      <c r="K143" s="52" t="s">
        <v>109</v>
      </c>
      <c r="L143" s="67">
        <v>1</v>
      </c>
      <c r="M143" s="67">
        <v>71003</v>
      </c>
      <c r="N143" s="52" t="s">
        <v>54</v>
      </c>
      <c r="O143" s="67" t="s">
        <v>47</v>
      </c>
      <c r="P143" s="70">
        <v>15</v>
      </c>
      <c r="Q143" s="67"/>
      <c r="R143" s="70">
        <v>15</v>
      </c>
      <c r="S143" s="75">
        <v>46054</v>
      </c>
      <c r="T143" s="70">
        <v>2.25</v>
      </c>
      <c r="U143" s="77">
        <v>4</v>
      </c>
      <c r="V143" s="70">
        <v>12.75</v>
      </c>
      <c r="W143" s="52" t="s">
        <v>48</v>
      </c>
      <c r="X143" s="52" t="s">
        <v>49</v>
      </c>
      <c r="Y143" s="52" t="s">
        <v>36</v>
      </c>
      <c r="Z143" s="52" t="s">
        <v>9</v>
      </c>
      <c r="AA143" s="52" t="s">
        <v>50</v>
      </c>
      <c r="AB143" s="52" t="s">
        <v>51</v>
      </c>
      <c r="AC143" s="52" t="s">
        <v>38</v>
      </c>
      <c r="AD143" s="79" t="s">
        <v>257</v>
      </c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</row>
    <row r="144" spans="1:49" ht="31.5" x14ac:dyDescent="0.25">
      <c r="A144" s="52" t="s">
        <v>44</v>
      </c>
      <c r="B144" s="55">
        <v>46073</v>
      </c>
      <c r="C144" s="55">
        <v>46073</v>
      </c>
      <c r="D144" s="52" t="s">
        <v>196</v>
      </c>
      <c r="E144" s="59">
        <v>0.66666666666666663</v>
      </c>
      <c r="F144" s="59">
        <v>0.79166666666666663</v>
      </c>
      <c r="G144" s="62">
        <v>1.7361111111111109E-4</v>
      </c>
      <c r="H144" s="63" t="s">
        <v>165</v>
      </c>
      <c r="I144" s="64">
        <v>0.67356481481481478</v>
      </c>
      <c r="J144" s="52" t="s">
        <v>110</v>
      </c>
      <c r="K144" s="52" t="s">
        <v>109</v>
      </c>
      <c r="L144" s="67">
        <v>1</v>
      </c>
      <c r="M144" s="67">
        <v>71003</v>
      </c>
      <c r="N144" s="52" t="s">
        <v>54</v>
      </c>
      <c r="O144" s="67" t="s">
        <v>47</v>
      </c>
      <c r="P144" s="70">
        <v>15</v>
      </c>
      <c r="Q144" s="67"/>
      <c r="R144" s="70">
        <v>15</v>
      </c>
      <c r="S144" s="75">
        <v>46054</v>
      </c>
      <c r="T144" s="70">
        <v>2.25</v>
      </c>
      <c r="U144" s="77">
        <v>4</v>
      </c>
      <c r="V144" s="70">
        <v>12.75</v>
      </c>
      <c r="W144" s="52" t="s">
        <v>48</v>
      </c>
      <c r="X144" s="52" t="s">
        <v>49</v>
      </c>
      <c r="Y144" s="52" t="s">
        <v>36</v>
      </c>
      <c r="Z144" s="52" t="s">
        <v>9</v>
      </c>
      <c r="AA144" s="52" t="s">
        <v>50</v>
      </c>
      <c r="AB144" s="52" t="s">
        <v>51</v>
      </c>
      <c r="AC144" s="52" t="s">
        <v>38</v>
      </c>
      <c r="AD144" s="79" t="s">
        <v>257</v>
      </c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</row>
    <row r="145" spans="1:49" ht="31.5" x14ac:dyDescent="0.25">
      <c r="A145" s="52" t="s">
        <v>44</v>
      </c>
      <c r="B145" s="55">
        <v>46073</v>
      </c>
      <c r="C145" s="55">
        <v>46073</v>
      </c>
      <c r="D145" s="52" t="s">
        <v>196</v>
      </c>
      <c r="E145" s="59">
        <v>0.79166666666666663</v>
      </c>
      <c r="F145" s="59">
        <v>0.99930555555555556</v>
      </c>
      <c r="G145" s="59">
        <v>1.157407407407407E-4</v>
      </c>
      <c r="H145" s="52" t="s">
        <v>181</v>
      </c>
      <c r="I145" s="64">
        <v>0.89476851851851846</v>
      </c>
      <c r="J145" s="52" t="s">
        <v>41</v>
      </c>
      <c r="K145" s="52" t="s">
        <v>137</v>
      </c>
      <c r="L145" s="67">
        <v>1</v>
      </c>
      <c r="M145" s="67">
        <v>71104</v>
      </c>
      <c r="N145" s="52" t="s">
        <v>46</v>
      </c>
      <c r="O145" s="67" t="s">
        <v>47</v>
      </c>
      <c r="P145" s="70">
        <v>0</v>
      </c>
      <c r="Q145" s="67"/>
      <c r="R145" s="70">
        <v>0</v>
      </c>
      <c r="S145" s="75">
        <v>46054</v>
      </c>
      <c r="T145" s="70">
        <v>0</v>
      </c>
      <c r="U145" s="77">
        <v>4</v>
      </c>
      <c r="V145" s="70">
        <v>0</v>
      </c>
      <c r="W145" s="52" t="s">
        <v>48</v>
      </c>
      <c r="X145" s="52" t="s">
        <v>49</v>
      </c>
      <c r="Y145" s="52" t="s">
        <v>36</v>
      </c>
      <c r="Z145" s="52" t="s">
        <v>9</v>
      </c>
      <c r="AA145" s="52" t="s">
        <v>50</v>
      </c>
      <c r="AB145" s="52" t="s">
        <v>51</v>
      </c>
      <c r="AC145" s="52" t="s">
        <v>38</v>
      </c>
      <c r="AD145" s="79" t="s">
        <v>257</v>
      </c>
      <c r="AE145" s="80"/>
      <c r="AF145" s="80"/>
      <c r="AG145" s="80"/>
      <c r="AH145" s="80"/>
      <c r="AI145" s="86"/>
      <c r="AJ145" s="86"/>
      <c r="AK145" s="86"/>
      <c r="AL145" s="86"/>
      <c r="AM145" s="86"/>
      <c r="AN145" s="86"/>
      <c r="AO145" s="86"/>
      <c r="AP145" s="86"/>
      <c r="AQ145" s="86"/>
      <c r="AR145" s="86"/>
      <c r="AS145" s="86"/>
      <c r="AT145" s="86"/>
      <c r="AU145" s="86"/>
      <c r="AV145" s="86"/>
      <c r="AW145" s="86"/>
    </row>
    <row r="146" spans="1:49" ht="31.5" x14ac:dyDescent="0.2">
      <c r="A146" s="52" t="s">
        <v>44</v>
      </c>
      <c r="B146" s="55">
        <v>46074</v>
      </c>
      <c r="C146" s="55">
        <v>46074</v>
      </c>
      <c r="D146" s="52" t="s">
        <v>214</v>
      </c>
      <c r="E146" s="59">
        <v>0.33333333333333331</v>
      </c>
      <c r="F146" s="59">
        <v>0.41666666666666669</v>
      </c>
      <c r="G146" s="59">
        <v>1.157407407407407E-4</v>
      </c>
      <c r="H146" s="52" t="s">
        <v>73</v>
      </c>
      <c r="I146" s="64">
        <v>0.40478009259259257</v>
      </c>
      <c r="J146" s="52" t="s">
        <v>69</v>
      </c>
      <c r="K146" s="52" t="s">
        <v>75</v>
      </c>
      <c r="L146" s="67">
        <v>1</v>
      </c>
      <c r="M146" s="67">
        <v>71105</v>
      </c>
      <c r="N146" s="52" t="s">
        <v>46</v>
      </c>
      <c r="O146" s="67" t="s">
        <v>47</v>
      </c>
      <c r="P146" s="70">
        <v>0</v>
      </c>
      <c r="Q146" s="67"/>
      <c r="R146" s="70">
        <v>0</v>
      </c>
      <c r="S146" s="75">
        <v>46054</v>
      </c>
      <c r="T146" s="70">
        <v>0</v>
      </c>
      <c r="U146" s="77">
        <v>4</v>
      </c>
      <c r="V146" s="70">
        <v>0</v>
      </c>
      <c r="W146" s="52" t="s">
        <v>48</v>
      </c>
      <c r="X146" s="52" t="s">
        <v>49</v>
      </c>
      <c r="Y146" s="52" t="s">
        <v>36</v>
      </c>
      <c r="Z146" s="52" t="s">
        <v>9</v>
      </c>
      <c r="AA146" s="52" t="s">
        <v>50</v>
      </c>
      <c r="AB146" s="52" t="s">
        <v>51</v>
      </c>
      <c r="AC146" s="52" t="s">
        <v>38</v>
      </c>
      <c r="AD146" s="79" t="s">
        <v>257</v>
      </c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</row>
    <row r="147" spans="1:49" ht="31.5" x14ac:dyDescent="0.25">
      <c r="A147" s="52" t="s">
        <v>44</v>
      </c>
      <c r="B147" s="55">
        <v>46074</v>
      </c>
      <c r="C147" s="55">
        <v>46074</v>
      </c>
      <c r="D147" s="52" t="s">
        <v>214</v>
      </c>
      <c r="E147" s="59">
        <v>0.54166666666666663</v>
      </c>
      <c r="F147" s="59">
        <v>0.66666666666666663</v>
      </c>
      <c r="G147" s="62">
        <v>1.7361111111111109E-4</v>
      </c>
      <c r="H147" s="63" t="s">
        <v>223</v>
      </c>
      <c r="I147" s="64">
        <v>0.56571759259259258</v>
      </c>
      <c r="J147" s="52" t="s">
        <v>97</v>
      </c>
      <c r="K147" s="52" t="s">
        <v>242</v>
      </c>
      <c r="L147" s="67">
        <v>1</v>
      </c>
      <c r="M147" s="67">
        <v>71006</v>
      </c>
      <c r="N147" s="52" t="s">
        <v>54</v>
      </c>
      <c r="O147" s="67" t="s">
        <v>47</v>
      </c>
      <c r="P147" s="70">
        <v>15</v>
      </c>
      <c r="Q147" s="67"/>
      <c r="R147" s="70">
        <v>15</v>
      </c>
      <c r="S147" s="75">
        <v>46054</v>
      </c>
      <c r="T147" s="70">
        <v>2.25</v>
      </c>
      <c r="U147" s="77">
        <v>4</v>
      </c>
      <c r="V147" s="70">
        <v>12.75</v>
      </c>
      <c r="W147" s="52" t="s">
        <v>48</v>
      </c>
      <c r="X147" s="52" t="s">
        <v>49</v>
      </c>
      <c r="Y147" s="52" t="s">
        <v>36</v>
      </c>
      <c r="Z147" s="52" t="s">
        <v>9</v>
      </c>
      <c r="AA147" s="52" t="s">
        <v>50</v>
      </c>
      <c r="AB147" s="52" t="s">
        <v>51</v>
      </c>
      <c r="AC147" s="52" t="s">
        <v>38</v>
      </c>
      <c r="AD147" s="79" t="s">
        <v>257</v>
      </c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</row>
    <row r="148" spans="1:49" ht="31.5" x14ac:dyDescent="0.25">
      <c r="A148" s="52" t="s">
        <v>44</v>
      </c>
      <c r="B148" s="55">
        <v>46074</v>
      </c>
      <c r="C148" s="55">
        <v>46074</v>
      </c>
      <c r="D148" s="52" t="s">
        <v>214</v>
      </c>
      <c r="E148" s="59">
        <v>0.54166666666666663</v>
      </c>
      <c r="F148" s="59">
        <v>0.66666666666666663</v>
      </c>
      <c r="G148" s="62">
        <v>1.7361111111111109E-4</v>
      </c>
      <c r="H148" s="63" t="s">
        <v>52</v>
      </c>
      <c r="I148" s="64">
        <v>0.56589120370370372</v>
      </c>
      <c r="J148" s="52" t="s">
        <v>97</v>
      </c>
      <c r="K148" s="52" t="s">
        <v>242</v>
      </c>
      <c r="L148" s="67">
        <v>1</v>
      </c>
      <c r="M148" s="67">
        <v>71006</v>
      </c>
      <c r="N148" s="52" t="s">
        <v>54</v>
      </c>
      <c r="O148" s="67" t="s">
        <v>47</v>
      </c>
      <c r="P148" s="70">
        <v>15</v>
      </c>
      <c r="Q148" s="67"/>
      <c r="R148" s="70">
        <v>15</v>
      </c>
      <c r="S148" s="75">
        <v>46054</v>
      </c>
      <c r="T148" s="70">
        <v>2.25</v>
      </c>
      <c r="U148" s="77">
        <v>4</v>
      </c>
      <c r="V148" s="70">
        <v>12.75</v>
      </c>
      <c r="W148" s="52" t="s">
        <v>48</v>
      </c>
      <c r="X148" s="52" t="s">
        <v>49</v>
      </c>
      <c r="Y148" s="52" t="s">
        <v>36</v>
      </c>
      <c r="Z148" s="52" t="s">
        <v>9</v>
      </c>
      <c r="AA148" s="52" t="s">
        <v>50</v>
      </c>
      <c r="AB148" s="52" t="s">
        <v>51</v>
      </c>
      <c r="AC148" s="52" t="s">
        <v>38</v>
      </c>
      <c r="AD148" s="79" t="s">
        <v>257</v>
      </c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</row>
    <row r="149" spans="1:49" ht="31.5" x14ac:dyDescent="0.25">
      <c r="A149" s="52" t="s">
        <v>44</v>
      </c>
      <c r="B149" s="55">
        <v>46074</v>
      </c>
      <c r="C149" s="55">
        <v>46074</v>
      </c>
      <c r="D149" s="52" t="s">
        <v>214</v>
      </c>
      <c r="E149" s="59">
        <v>0.54166666666666663</v>
      </c>
      <c r="F149" s="59">
        <v>0.66666666666666663</v>
      </c>
      <c r="G149" s="62">
        <v>1.7361111111111109E-4</v>
      </c>
      <c r="H149" s="63" t="s">
        <v>223</v>
      </c>
      <c r="I149" s="64">
        <v>0.61059027777777775</v>
      </c>
      <c r="J149" s="52" t="s">
        <v>97</v>
      </c>
      <c r="K149" s="52" t="s">
        <v>242</v>
      </c>
      <c r="L149" s="67">
        <v>1</v>
      </c>
      <c r="M149" s="67">
        <v>71011</v>
      </c>
      <c r="N149" s="52" t="s">
        <v>46</v>
      </c>
      <c r="O149" s="67" t="s">
        <v>47</v>
      </c>
      <c r="P149" s="70">
        <v>0</v>
      </c>
      <c r="Q149" s="67"/>
      <c r="R149" s="70">
        <v>0</v>
      </c>
      <c r="S149" s="75">
        <v>46054</v>
      </c>
      <c r="T149" s="70">
        <v>0</v>
      </c>
      <c r="U149" s="77">
        <v>4</v>
      </c>
      <c r="V149" s="70">
        <v>0</v>
      </c>
      <c r="W149" s="52" t="s">
        <v>48</v>
      </c>
      <c r="X149" s="52" t="s">
        <v>49</v>
      </c>
      <c r="Y149" s="52" t="s">
        <v>36</v>
      </c>
      <c r="Z149" s="52" t="s">
        <v>9</v>
      </c>
      <c r="AA149" s="52" t="s">
        <v>50</v>
      </c>
      <c r="AB149" s="52" t="s">
        <v>51</v>
      </c>
      <c r="AC149" s="52" t="s">
        <v>38</v>
      </c>
      <c r="AD149" s="79" t="s">
        <v>257</v>
      </c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</row>
    <row r="150" spans="1:49" ht="31.5" x14ac:dyDescent="0.25">
      <c r="A150" s="52" t="s">
        <v>44</v>
      </c>
      <c r="B150" s="55">
        <v>46074</v>
      </c>
      <c r="C150" s="55">
        <v>46074</v>
      </c>
      <c r="D150" s="52" t="s">
        <v>214</v>
      </c>
      <c r="E150" s="59">
        <v>0.54166666666666663</v>
      </c>
      <c r="F150" s="59">
        <v>0.66666666666666663</v>
      </c>
      <c r="G150" s="62">
        <v>1.7361111111111109E-4</v>
      </c>
      <c r="H150" s="63" t="s">
        <v>52</v>
      </c>
      <c r="I150" s="64">
        <v>0.6118055555555556</v>
      </c>
      <c r="J150" s="52" t="s">
        <v>97</v>
      </c>
      <c r="K150" s="52" t="s">
        <v>242</v>
      </c>
      <c r="L150" s="67">
        <v>1</v>
      </c>
      <c r="M150" s="67">
        <v>71011</v>
      </c>
      <c r="N150" s="52" t="s">
        <v>46</v>
      </c>
      <c r="O150" s="67" t="s">
        <v>47</v>
      </c>
      <c r="P150" s="70">
        <v>0</v>
      </c>
      <c r="Q150" s="67"/>
      <c r="R150" s="70">
        <v>0</v>
      </c>
      <c r="S150" s="75">
        <v>46054</v>
      </c>
      <c r="T150" s="70">
        <v>0</v>
      </c>
      <c r="U150" s="77">
        <v>4</v>
      </c>
      <c r="V150" s="70">
        <v>0</v>
      </c>
      <c r="W150" s="52" t="s">
        <v>48</v>
      </c>
      <c r="X150" s="52" t="s">
        <v>49</v>
      </c>
      <c r="Y150" s="52" t="s">
        <v>36</v>
      </c>
      <c r="Z150" s="52" t="s">
        <v>9</v>
      </c>
      <c r="AA150" s="52" t="s">
        <v>50</v>
      </c>
      <c r="AB150" s="52" t="s">
        <v>51</v>
      </c>
      <c r="AC150" s="52" t="s">
        <v>38</v>
      </c>
      <c r="AD150" s="79" t="s">
        <v>257</v>
      </c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</row>
    <row r="151" spans="1:49" ht="31.5" x14ac:dyDescent="0.25">
      <c r="A151" s="52" t="s">
        <v>44</v>
      </c>
      <c r="B151" s="55">
        <v>46074</v>
      </c>
      <c r="C151" s="55">
        <v>46074</v>
      </c>
      <c r="D151" s="52" t="s">
        <v>214</v>
      </c>
      <c r="E151" s="59">
        <v>0.54166666666666663</v>
      </c>
      <c r="F151" s="59">
        <v>0.66666666666666663</v>
      </c>
      <c r="G151" s="62">
        <v>1.7361111111111109E-4</v>
      </c>
      <c r="H151" s="63" t="s">
        <v>223</v>
      </c>
      <c r="I151" s="64">
        <v>0.6340393518518519</v>
      </c>
      <c r="J151" s="52" t="s">
        <v>97</v>
      </c>
      <c r="K151" s="52" t="s">
        <v>242</v>
      </c>
      <c r="L151" s="67">
        <v>1</v>
      </c>
      <c r="M151" s="67">
        <v>71011</v>
      </c>
      <c r="N151" s="52" t="s">
        <v>46</v>
      </c>
      <c r="O151" s="67" t="s">
        <v>47</v>
      </c>
      <c r="P151" s="70">
        <v>0</v>
      </c>
      <c r="Q151" s="67"/>
      <c r="R151" s="70">
        <v>0</v>
      </c>
      <c r="S151" s="75">
        <v>46054</v>
      </c>
      <c r="T151" s="70">
        <v>0</v>
      </c>
      <c r="U151" s="77">
        <v>4</v>
      </c>
      <c r="V151" s="70">
        <v>0</v>
      </c>
      <c r="W151" s="52" t="s">
        <v>48</v>
      </c>
      <c r="X151" s="52" t="s">
        <v>49</v>
      </c>
      <c r="Y151" s="52" t="s">
        <v>36</v>
      </c>
      <c r="Z151" s="52" t="s">
        <v>9</v>
      </c>
      <c r="AA151" s="52" t="s">
        <v>50</v>
      </c>
      <c r="AB151" s="52" t="s">
        <v>51</v>
      </c>
      <c r="AC151" s="52" t="s">
        <v>38</v>
      </c>
      <c r="AD151" s="79" t="s">
        <v>257</v>
      </c>
      <c r="AE151" s="80"/>
      <c r="AF151" s="80"/>
      <c r="AG151" s="80"/>
      <c r="AH151" s="80"/>
      <c r="AI151" s="86"/>
      <c r="AJ151" s="86"/>
      <c r="AK151" s="86"/>
      <c r="AL151" s="86"/>
      <c r="AM151" s="86"/>
      <c r="AN151" s="86"/>
      <c r="AO151" s="86"/>
      <c r="AP151" s="86"/>
      <c r="AQ151" s="86"/>
      <c r="AR151" s="86"/>
      <c r="AS151" s="86"/>
      <c r="AT151" s="86"/>
      <c r="AU151" s="86"/>
      <c r="AV151" s="86"/>
      <c r="AW151" s="86"/>
    </row>
    <row r="152" spans="1:49" ht="31.5" x14ac:dyDescent="0.25">
      <c r="A152" s="52" t="s">
        <v>44</v>
      </c>
      <c r="B152" s="55">
        <v>46074</v>
      </c>
      <c r="C152" s="55">
        <v>46074</v>
      </c>
      <c r="D152" s="52" t="s">
        <v>214</v>
      </c>
      <c r="E152" s="59">
        <v>0.54166666666666663</v>
      </c>
      <c r="F152" s="59">
        <v>0.66666666666666663</v>
      </c>
      <c r="G152" s="62">
        <v>1.7361111111111109E-4</v>
      </c>
      <c r="H152" s="63" t="s">
        <v>52</v>
      </c>
      <c r="I152" s="64">
        <v>0.6350810185185185</v>
      </c>
      <c r="J152" s="52" t="s">
        <v>97</v>
      </c>
      <c r="K152" s="52" t="s">
        <v>242</v>
      </c>
      <c r="L152" s="67">
        <v>1</v>
      </c>
      <c r="M152" s="67">
        <v>71011</v>
      </c>
      <c r="N152" s="52" t="s">
        <v>46</v>
      </c>
      <c r="O152" s="67" t="s">
        <v>47</v>
      </c>
      <c r="P152" s="70">
        <v>0</v>
      </c>
      <c r="Q152" s="67"/>
      <c r="R152" s="70">
        <v>0</v>
      </c>
      <c r="S152" s="75">
        <v>46054</v>
      </c>
      <c r="T152" s="70">
        <v>0</v>
      </c>
      <c r="U152" s="77">
        <v>4</v>
      </c>
      <c r="V152" s="70">
        <v>0</v>
      </c>
      <c r="W152" s="52" t="s">
        <v>48</v>
      </c>
      <c r="X152" s="52" t="s">
        <v>49</v>
      </c>
      <c r="Y152" s="52" t="s">
        <v>36</v>
      </c>
      <c r="Z152" s="52" t="s">
        <v>9</v>
      </c>
      <c r="AA152" s="52" t="s">
        <v>50</v>
      </c>
      <c r="AB152" s="52" t="s">
        <v>51</v>
      </c>
      <c r="AC152" s="52" t="s">
        <v>38</v>
      </c>
      <c r="AD152" s="79" t="s">
        <v>257</v>
      </c>
      <c r="AE152" s="80"/>
      <c r="AF152" s="80"/>
      <c r="AG152" s="80"/>
      <c r="AH152" s="80"/>
      <c r="AI152" s="86"/>
      <c r="AJ152" s="86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</row>
    <row r="153" spans="1:49" ht="31.5" x14ac:dyDescent="0.2">
      <c r="A153" s="52" t="s">
        <v>44</v>
      </c>
      <c r="B153" s="55">
        <v>46074</v>
      </c>
      <c r="C153" s="55">
        <v>46074</v>
      </c>
      <c r="D153" s="52" t="s">
        <v>214</v>
      </c>
      <c r="E153" s="59">
        <v>0.66666666666666663</v>
      </c>
      <c r="F153" s="59">
        <v>0.79166666666666663</v>
      </c>
      <c r="G153" s="62">
        <v>1.7361111111111109E-4</v>
      </c>
      <c r="H153" s="63" t="s">
        <v>223</v>
      </c>
      <c r="I153" s="64">
        <v>0.74858796296296293</v>
      </c>
      <c r="J153" s="52" t="s">
        <v>110</v>
      </c>
      <c r="K153" s="52" t="s">
        <v>167</v>
      </c>
      <c r="L153" s="67">
        <v>1</v>
      </c>
      <c r="M153" s="67">
        <v>71004</v>
      </c>
      <c r="N153" s="52" t="s">
        <v>46</v>
      </c>
      <c r="O153" s="67" t="s">
        <v>47</v>
      </c>
      <c r="P153" s="70">
        <v>0</v>
      </c>
      <c r="Q153" s="67"/>
      <c r="R153" s="70">
        <v>0</v>
      </c>
      <c r="S153" s="75">
        <v>46054</v>
      </c>
      <c r="T153" s="70">
        <v>0</v>
      </c>
      <c r="U153" s="77">
        <v>4</v>
      </c>
      <c r="V153" s="70">
        <v>0</v>
      </c>
      <c r="W153" s="52" t="s">
        <v>48</v>
      </c>
      <c r="X153" s="52" t="s">
        <v>49</v>
      </c>
      <c r="Y153" s="52" t="s">
        <v>36</v>
      </c>
      <c r="Z153" s="52" t="s">
        <v>9</v>
      </c>
      <c r="AA153" s="52" t="s">
        <v>50</v>
      </c>
      <c r="AB153" s="52" t="s">
        <v>51</v>
      </c>
      <c r="AC153" s="52" t="s">
        <v>38</v>
      </c>
      <c r="AD153" s="79" t="s">
        <v>257</v>
      </c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</row>
    <row r="154" spans="1:49" ht="31.5" x14ac:dyDescent="0.2">
      <c r="A154" s="52" t="s">
        <v>44</v>
      </c>
      <c r="B154" s="55">
        <v>46074</v>
      </c>
      <c r="C154" s="55">
        <v>46074</v>
      </c>
      <c r="D154" s="52" t="s">
        <v>214</v>
      </c>
      <c r="E154" s="59">
        <v>0.66666666666666663</v>
      </c>
      <c r="F154" s="59">
        <v>0.79166666666666663</v>
      </c>
      <c r="G154" s="62">
        <v>1.7361111111111109E-4</v>
      </c>
      <c r="H154" s="63" t="s">
        <v>52</v>
      </c>
      <c r="I154" s="64">
        <v>0.74962962962962965</v>
      </c>
      <c r="J154" s="52" t="s">
        <v>110</v>
      </c>
      <c r="K154" s="52" t="s">
        <v>167</v>
      </c>
      <c r="L154" s="67">
        <v>1</v>
      </c>
      <c r="M154" s="67">
        <v>71004</v>
      </c>
      <c r="N154" s="52" t="s">
        <v>46</v>
      </c>
      <c r="O154" s="67" t="s">
        <v>47</v>
      </c>
      <c r="P154" s="70">
        <v>0</v>
      </c>
      <c r="Q154" s="67"/>
      <c r="R154" s="70">
        <v>0</v>
      </c>
      <c r="S154" s="75">
        <v>46054</v>
      </c>
      <c r="T154" s="70">
        <v>0</v>
      </c>
      <c r="U154" s="77">
        <v>4</v>
      </c>
      <c r="V154" s="70">
        <v>0</v>
      </c>
      <c r="W154" s="52" t="s">
        <v>48</v>
      </c>
      <c r="X154" s="52" t="s">
        <v>49</v>
      </c>
      <c r="Y154" s="52" t="s">
        <v>36</v>
      </c>
      <c r="Z154" s="52" t="s">
        <v>9</v>
      </c>
      <c r="AA154" s="52" t="s">
        <v>50</v>
      </c>
      <c r="AB154" s="52" t="s">
        <v>51</v>
      </c>
      <c r="AC154" s="52" t="s">
        <v>38</v>
      </c>
      <c r="AD154" s="79" t="s">
        <v>257</v>
      </c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</row>
    <row r="155" spans="1:49" ht="31.5" x14ac:dyDescent="0.2">
      <c r="A155" s="52" t="s">
        <v>44</v>
      </c>
      <c r="B155" s="55">
        <v>46074</v>
      </c>
      <c r="C155" s="55">
        <v>46074</v>
      </c>
      <c r="D155" s="52" t="s">
        <v>214</v>
      </c>
      <c r="E155" s="59">
        <v>0.75</v>
      </c>
      <c r="F155" s="59">
        <v>0.83333333333333337</v>
      </c>
      <c r="G155" s="62">
        <v>1.7361111111111109E-4</v>
      </c>
      <c r="H155" s="63" t="s">
        <v>234</v>
      </c>
      <c r="I155" s="64">
        <v>0.76111111111111107</v>
      </c>
      <c r="J155" s="52" t="s">
        <v>232</v>
      </c>
      <c r="K155" s="52" t="s">
        <v>228</v>
      </c>
      <c r="L155" s="67">
        <v>1</v>
      </c>
      <c r="M155" s="67">
        <v>71021</v>
      </c>
      <c r="N155" s="52" t="s">
        <v>54</v>
      </c>
      <c r="O155" s="67" t="s">
        <v>47</v>
      </c>
      <c r="P155" s="70">
        <v>15</v>
      </c>
      <c r="Q155" s="67"/>
      <c r="R155" s="70">
        <v>15</v>
      </c>
      <c r="S155" s="75">
        <v>46054</v>
      </c>
      <c r="T155" s="70">
        <v>2.25</v>
      </c>
      <c r="U155" s="77">
        <v>4</v>
      </c>
      <c r="V155" s="70">
        <v>12.75</v>
      </c>
      <c r="W155" s="52" t="s">
        <v>48</v>
      </c>
      <c r="X155" s="52" t="s">
        <v>49</v>
      </c>
      <c r="Y155" s="52" t="s">
        <v>36</v>
      </c>
      <c r="Z155" s="52" t="s">
        <v>9</v>
      </c>
      <c r="AA155" s="52" t="s">
        <v>50</v>
      </c>
      <c r="AB155" s="52" t="s">
        <v>51</v>
      </c>
      <c r="AC155" s="52" t="s">
        <v>38</v>
      </c>
      <c r="AD155" s="79" t="s">
        <v>257</v>
      </c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</row>
    <row r="156" spans="1:49" ht="31.5" x14ac:dyDescent="0.25">
      <c r="A156" s="52" t="s">
        <v>44</v>
      </c>
      <c r="B156" s="55">
        <v>46074</v>
      </c>
      <c r="C156" s="55">
        <v>46074</v>
      </c>
      <c r="D156" s="52" t="s">
        <v>214</v>
      </c>
      <c r="E156" s="59">
        <v>0.75</v>
      </c>
      <c r="F156" s="59">
        <v>0.83333333333333337</v>
      </c>
      <c r="G156" s="62">
        <v>1.7361111111111109E-4</v>
      </c>
      <c r="H156" s="63" t="s">
        <v>55</v>
      </c>
      <c r="I156" s="64">
        <v>0.76232638888888893</v>
      </c>
      <c r="J156" s="52" t="s">
        <v>232</v>
      </c>
      <c r="K156" s="52" t="s">
        <v>228</v>
      </c>
      <c r="L156" s="67">
        <v>1</v>
      </c>
      <c r="M156" s="67">
        <v>71021</v>
      </c>
      <c r="N156" s="52" t="s">
        <v>54</v>
      </c>
      <c r="O156" s="67" t="s">
        <v>47</v>
      </c>
      <c r="P156" s="70">
        <v>15</v>
      </c>
      <c r="Q156" s="67"/>
      <c r="R156" s="70">
        <v>15</v>
      </c>
      <c r="S156" s="75">
        <v>46054</v>
      </c>
      <c r="T156" s="70">
        <v>2.25</v>
      </c>
      <c r="U156" s="77">
        <v>4</v>
      </c>
      <c r="V156" s="70">
        <v>12.75</v>
      </c>
      <c r="W156" s="52" t="s">
        <v>48</v>
      </c>
      <c r="X156" s="52" t="s">
        <v>49</v>
      </c>
      <c r="Y156" s="52" t="s">
        <v>36</v>
      </c>
      <c r="Z156" s="52" t="s">
        <v>9</v>
      </c>
      <c r="AA156" s="52" t="s">
        <v>50</v>
      </c>
      <c r="AB156" s="52" t="s">
        <v>51</v>
      </c>
      <c r="AC156" s="52" t="s">
        <v>38</v>
      </c>
      <c r="AD156" s="79" t="s">
        <v>257</v>
      </c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</row>
    <row r="157" spans="1:49" ht="31.5" x14ac:dyDescent="0.25">
      <c r="A157" s="52" t="s">
        <v>44</v>
      </c>
      <c r="B157" s="55">
        <v>46074</v>
      </c>
      <c r="C157" s="55">
        <v>46074</v>
      </c>
      <c r="D157" s="52" t="s">
        <v>214</v>
      </c>
      <c r="E157" s="59">
        <v>0.75</v>
      </c>
      <c r="F157" s="59">
        <v>0.83333333333333337</v>
      </c>
      <c r="G157" s="62">
        <v>1.7361111111111109E-4</v>
      </c>
      <c r="H157" s="63" t="s">
        <v>234</v>
      </c>
      <c r="I157" s="64">
        <v>0.77866898148148145</v>
      </c>
      <c r="J157" s="52" t="s">
        <v>232</v>
      </c>
      <c r="K157" s="52" t="s">
        <v>228</v>
      </c>
      <c r="L157" s="67">
        <v>1</v>
      </c>
      <c r="M157" s="67">
        <v>71023</v>
      </c>
      <c r="N157" s="52" t="s">
        <v>46</v>
      </c>
      <c r="O157" s="67" t="s">
        <v>47</v>
      </c>
      <c r="P157" s="70">
        <v>0</v>
      </c>
      <c r="Q157" s="67"/>
      <c r="R157" s="70">
        <v>0</v>
      </c>
      <c r="S157" s="75">
        <v>46054</v>
      </c>
      <c r="T157" s="70">
        <v>0</v>
      </c>
      <c r="U157" s="77">
        <v>4</v>
      </c>
      <c r="V157" s="70">
        <v>0</v>
      </c>
      <c r="W157" s="52" t="s">
        <v>48</v>
      </c>
      <c r="X157" s="52" t="s">
        <v>49</v>
      </c>
      <c r="Y157" s="52" t="s">
        <v>36</v>
      </c>
      <c r="Z157" s="52" t="s">
        <v>9</v>
      </c>
      <c r="AA157" s="52" t="s">
        <v>50</v>
      </c>
      <c r="AB157" s="52" t="s">
        <v>51</v>
      </c>
      <c r="AC157" s="52" t="s">
        <v>38</v>
      </c>
      <c r="AD157" s="79" t="s">
        <v>257</v>
      </c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</row>
    <row r="158" spans="1:49" ht="31.5" x14ac:dyDescent="0.25">
      <c r="A158" s="52" t="s">
        <v>44</v>
      </c>
      <c r="B158" s="55">
        <v>46074</v>
      </c>
      <c r="C158" s="55">
        <v>46074</v>
      </c>
      <c r="D158" s="52" t="s">
        <v>214</v>
      </c>
      <c r="E158" s="59">
        <v>0.75</v>
      </c>
      <c r="F158" s="59">
        <v>0.83333333333333337</v>
      </c>
      <c r="G158" s="62">
        <v>1.7361111111111109E-4</v>
      </c>
      <c r="H158" s="63" t="s">
        <v>55</v>
      </c>
      <c r="I158" s="64">
        <v>0.77953703703703703</v>
      </c>
      <c r="J158" s="52" t="s">
        <v>232</v>
      </c>
      <c r="K158" s="52" t="s">
        <v>228</v>
      </c>
      <c r="L158" s="67">
        <v>1</v>
      </c>
      <c r="M158" s="67">
        <v>71023</v>
      </c>
      <c r="N158" s="52" t="s">
        <v>46</v>
      </c>
      <c r="O158" s="67" t="s">
        <v>47</v>
      </c>
      <c r="P158" s="70">
        <v>0</v>
      </c>
      <c r="Q158" s="67"/>
      <c r="R158" s="70">
        <v>0</v>
      </c>
      <c r="S158" s="75">
        <v>46054</v>
      </c>
      <c r="T158" s="70">
        <v>0</v>
      </c>
      <c r="U158" s="77">
        <v>4</v>
      </c>
      <c r="V158" s="70">
        <v>0</v>
      </c>
      <c r="W158" s="52" t="s">
        <v>48</v>
      </c>
      <c r="X158" s="52" t="s">
        <v>49</v>
      </c>
      <c r="Y158" s="52" t="s">
        <v>36</v>
      </c>
      <c r="Z158" s="52" t="s">
        <v>9</v>
      </c>
      <c r="AA158" s="52" t="s">
        <v>50</v>
      </c>
      <c r="AB158" s="52" t="s">
        <v>51</v>
      </c>
      <c r="AC158" s="52" t="s">
        <v>38</v>
      </c>
      <c r="AD158" s="79" t="s">
        <v>257</v>
      </c>
      <c r="AE158" s="80"/>
      <c r="AF158" s="80"/>
      <c r="AG158" s="80"/>
      <c r="AH158" s="80"/>
      <c r="AI158" s="80"/>
      <c r="AJ158" s="80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</row>
    <row r="159" spans="1:49" ht="31.5" x14ac:dyDescent="0.2">
      <c r="A159" s="52" t="s">
        <v>44</v>
      </c>
      <c r="B159" s="55">
        <v>46075</v>
      </c>
      <c r="C159" s="55">
        <v>46075</v>
      </c>
      <c r="D159" s="52" t="s">
        <v>243</v>
      </c>
      <c r="E159" s="59">
        <v>0.33333333333333331</v>
      </c>
      <c r="F159" s="59">
        <v>0.41666666666666669</v>
      </c>
      <c r="G159" s="59">
        <v>1.157407407407407E-4</v>
      </c>
      <c r="H159" s="52" t="s">
        <v>73</v>
      </c>
      <c r="I159" s="64">
        <v>0.35828703703703701</v>
      </c>
      <c r="J159" s="52" t="s">
        <v>69</v>
      </c>
      <c r="K159" s="52" t="s">
        <v>75</v>
      </c>
      <c r="L159" s="67">
        <v>1</v>
      </c>
      <c r="M159" s="67">
        <v>71105</v>
      </c>
      <c r="N159" s="52" t="s">
        <v>46</v>
      </c>
      <c r="O159" s="67" t="s">
        <v>47</v>
      </c>
      <c r="P159" s="70">
        <v>0</v>
      </c>
      <c r="Q159" s="67"/>
      <c r="R159" s="70">
        <v>0</v>
      </c>
      <c r="S159" s="75">
        <v>46054</v>
      </c>
      <c r="T159" s="70">
        <v>0</v>
      </c>
      <c r="U159" s="77">
        <v>4</v>
      </c>
      <c r="V159" s="70">
        <v>0</v>
      </c>
      <c r="W159" s="52" t="s">
        <v>48</v>
      </c>
      <c r="X159" s="52" t="s">
        <v>49</v>
      </c>
      <c r="Y159" s="52" t="s">
        <v>36</v>
      </c>
      <c r="Z159" s="52" t="s">
        <v>9</v>
      </c>
      <c r="AA159" s="52" t="s">
        <v>50</v>
      </c>
      <c r="AB159" s="52" t="s">
        <v>51</v>
      </c>
      <c r="AC159" s="52" t="s">
        <v>38</v>
      </c>
      <c r="AD159" s="79" t="s">
        <v>257</v>
      </c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</row>
    <row r="160" spans="1:49" ht="31.5" x14ac:dyDescent="0.25">
      <c r="A160" s="52" t="s">
        <v>44</v>
      </c>
      <c r="B160" s="55">
        <v>46075</v>
      </c>
      <c r="C160" s="55">
        <v>46075</v>
      </c>
      <c r="D160" s="52" t="s">
        <v>243</v>
      </c>
      <c r="E160" s="59">
        <v>0.54166666666666663</v>
      </c>
      <c r="F160" s="59">
        <v>0.66666666666666663</v>
      </c>
      <c r="G160" s="62">
        <v>1.7361111111111109E-4</v>
      </c>
      <c r="H160" s="63" t="s">
        <v>234</v>
      </c>
      <c r="I160" s="64">
        <v>0.61649305555555556</v>
      </c>
      <c r="J160" s="52" t="s">
        <v>97</v>
      </c>
      <c r="K160" s="52" t="s">
        <v>242</v>
      </c>
      <c r="L160" s="67">
        <v>1</v>
      </c>
      <c r="M160" s="67">
        <v>71006</v>
      </c>
      <c r="N160" s="52" t="s">
        <v>54</v>
      </c>
      <c r="O160" s="67" t="s">
        <v>47</v>
      </c>
      <c r="P160" s="70">
        <v>15</v>
      </c>
      <c r="Q160" s="67"/>
      <c r="R160" s="70">
        <v>15</v>
      </c>
      <c r="S160" s="75">
        <v>46054</v>
      </c>
      <c r="T160" s="70">
        <v>2.25</v>
      </c>
      <c r="U160" s="77">
        <v>4</v>
      </c>
      <c r="V160" s="70">
        <v>12.75</v>
      </c>
      <c r="W160" s="52" t="s">
        <v>48</v>
      </c>
      <c r="X160" s="52" t="s">
        <v>49</v>
      </c>
      <c r="Y160" s="52" t="s">
        <v>36</v>
      </c>
      <c r="Z160" s="52" t="s">
        <v>9</v>
      </c>
      <c r="AA160" s="52" t="s">
        <v>50</v>
      </c>
      <c r="AB160" s="52" t="s">
        <v>51</v>
      </c>
      <c r="AC160" s="52" t="s">
        <v>38</v>
      </c>
      <c r="AD160" s="79" t="s">
        <v>257</v>
      </c>
      <c r="AE160" s="80"/>
      <c r="AF160" s="80"/>
      <c r="AG160" s="80"/>
      <c r="AH160" s="80"/>
      <c r="AI160" s="86"/>
      <c r="AJ160" s="86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</row>
    <row r="161" spans="1:49" ht="31.5" x14ac:dyDescent="0.25">
      <c r="A161" s="52" t="s">
        <v>44</v>
      </c>
      <c r="B161" s="55">
        <v>46075</v>
      </c>
      <c r="C161" s="55">
        <v>46075</v>
      </c>
      <c r="D161" s="52" t="s">
        <v>243</v>
      </c>
      <c r="E161" s="59">
        <v>0.54166666666666663</v>
      </c>
      <c r="F161" s="59">
        <v>0.66666666666666663</v>
      </c>
      <c r="G161" s="62">
        <v>1.7361111111111109E-4</v>
      </c>
      <c r="H161" s="63" t="s">
        <v>55</v>
      </c>
      <c r="I161" s="64">
        <v>0.61701388888888886</v>
      </c>
      <c r="J161" s="52" t="s">
        <v>97</v>
      </c>
      <c r="K161" s="52" t="s">
        <v>242</v>
      </c>
      <c r="L161" s="67">
        <v>1</v>
      </c>
      <c r="M161" s="67">
        <v>71006</v>
      </c>
      <c r="N161" s="52" t="s">
        <v>54</v>
      </c>
      <c r="O161" s="67" t="s">
        <v>47</v>
      </c>
      <c r="P161" s="70">
        <v>15</v>
      </c>
      <c r="Q161" s="67"/>
      <c r="R161" s="70">
        <v>15</v>
      </c>
      <c r="S161" s="75">
        <v>46054</v>
      </c>
      <c r="T161" s="70">
        <v>2.25</v>
      </c>
      <c r="U161" s="77">
        <v>4</v>
      </c>
      <c r="V161" s="70">
        <v>12.75</v>
      </c>
      <c r="W161" s="52" t="s">
        <v>48</v>
      </c>
      <c r="X161" s="52" t="s">
        <v>49</v>
      </c>
      <c r="Y161" s="52" t="s">
        <v>36</v>
      </c>
      <c r="Z161" s="52" t="s">
        <v>9</v>
      </c>
      <c r="AA161" s="52" t="s">
        <v>50</v>
      </c>
      <c r="AB161" s="52" t="s">
        <v>51</v>
      </c>
      <c r="AC161" s="52" t="s">
        <v>38</v>
      </c>
      <c r="AD161" s="79" t="s">
        <v>257</v>
      </c>
      <c r="AE161" s="80"/>
      <c r="AF161" s="80"/>
      <c r="AG161" s="80"/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0"/>
      <c r="AS161" s="80"/>
      <c r="AT161" s="80"/>
      <c r="AU161" s="80"/>
      <c r="AV161" s="80"/>
      <c r="AW161" s="80"/>
    </row>
    <row r="162" spans="1:49" ht="31.5" x14ac:dyDescent="0.25">
      <c r="A162" s="52" t="s">
        <v>44</v>
      </c>
      <c r="B162" s="55">
        <v>46075</v>
      </c>
      <c r="C162" s="55">
        <v>46075</v>
      </c>
      <c r="D162" s="52" t="s">
        <v>243</v>
      </c>
      <c r="E162" s="59">
        <v>0.66666666666666663</v>
      </c>
      <c r="F162" s="59">
        <v>0.79166666666666663</v>
      </c>
      <c r="G162" s="62">
        <v>1.7361111111111109E-4</v>
      </c>
      <c r="H162" s="63" t="s">
        <v>253</v>
      </c>
      <c r="I162" s="64">
        <v>0.74862268518518515</v>
      </c>
      <c r="J162" s="52" t="s">
        <v>110</v>
      </c>
      <c r="K162" s="52" t="s">
        <v>255</v>
      </c>
      <c r="L162" s="67">
        <v>1</v>
      </c>
      <c r="M162" s="67">
        <v>71004</v>
      </c>
      <c r="N162" s="52" t="s">
        <v>46</v>
      </c>
      <c r="O162" s="67" t="s">
        <v>47</v>
      </c>
      <c r="P162" s="70">
        <v>0</v>
      </c>
      <c r="Q162" s="67"/>
      <c r="R162" s="70">
        <v>0</v>
      </c>
      <c r="S162" s="75">
        <v>46054</v>
      </c>
      <c r="T162" s="70">
        <v>0</v>
      </c>
      <c r="U162" s="77">
        <v>4</v>
      </c>
      <c r="V162" s="70">
        <v>0</v>
      </c>
      <c r="W162" s="52" t="s">
        <v>48</v>
      </c>
      <c r="X162" s="52" t="s">
        <v>49</v>
      </c>
      <c r="Y162" s="52" t="s">
        <v>36</v>
      </c>
      <c r="Z162" s="52" t="s">
        <v>9</v>
      </c>
      <c r="AA162" s="52" t="s">
        <v>50</v>
      </c>
      <c r="AB162" s="52" t="s">
        <v>51</v>
      </c>
      <c r="AC162" s="52" t="s">
        <v>38</v>
      </c>
      <c r="AD162" s="79" t="s">
        <v>257</v>
      </c>
      <c r="AE162" s="80"/>
      <c r="AF162" s="80"/>
      <c r="AG162" s="80"/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0"/>
      <c r="AS162" s="80"/>
      <c r="AT162" s="80"/>
      <c r="AU162" s="80"/>
      <c r="AV162" s="80"/>
      <c r="AW162" s="80"/>
    </row>
    <row r="163" spans="1:49" ht="31.5" x14ac:dyDescent="0.25">
      <c r="A163" s="52" t="s">
        <v>44</v>
      </c>
      <c r="B163" s="55">
        <v>46075</v>
      </c>
      <c r="C163" s="55">
        <v>46075</v>
      </c>
      <c r="D163" s="52" t="s">
        <v>243</v>
      </c>
      <c r="E163" s="59">
        <v>0.66666666666666663</v>
      </c>
      <c r="F163" s="59">
        <v>0.79166666666666663</v>
      </c>
      <c r="G163" s="62">
        <v>1.7361111111111109E-4</v>
      </c>
      <c r="H163" s="63" t="s">
        <v>146</v>
      </c>
      <c r="I163" s="64">
        <v>0.74966435185185187</v>
      </c>
      <c r="J163" s="52" t="s">
        <v>110</v>
      </c>
      <c r="K163" s="52" t="s">
        <v>255</v>
      </c>
      <c r="L163" s="67">
        <v>1</v>
      </c>
      <c r="M163" s="67">
        <v>71004</v>
      </c>
      <c r="N163" s="52" t="s">
        <v>46</v>
      </c>
      <c r="O163" s="67" t="s">
        <v>47</v>
      </c>
      <c r="P163" s="70">
        <v>0</v>
      </c>
      <c r="Q163" s="67"/>
      <c r="R163" s="70">
        <v>0</v>
      </c>
      <c r="S163" s="75">
        <v>46054</v>
      </c>
      <c r="T163" s="70">
        <v>0</v>
      </c>
      <c r="U163" s="77">
        <v>4</v>
      </c>
      <c r="V163" s="70">
        <v>0</v>
      </c>
      <c r="W163" s="52" t="s">
        <v>48</v>
      </c>
      <c r="X163" s="52" t="s">
        <v>49</v>
      </c>
      <c r="Y163" s="52" t="s">
        <v>36</v>
      </c>
      <c r="Z163" s="52" t="s">
        <v>9</v>
      </c>
      <c r="AA163" s="52" t="s">
        <v>50</v>
      </c>
      <c r="AB163" s="52" t="s">
        <v>51</v>
      </c>
      <c r="AC163" s="52" t="s">
        <v>38</v>
      </c>
      <c r="AD163" s="79" t="s">
        <v>257</v>
      </c>
      <c r="AE163" s="80"/>
      <c r="AF163" s="80"/>
      <c r="AG163" s="80"/>
      <c r="AH163" s="80"/>
      <c r="AI163" s="86"/>
      <c r="AJ163" s="86"/>
      <c r="AK163" s="86"/>
      <c r="AL163" s="86"/>
      <c r="AM163" s="86"/>
      <c r="AN163" s="86"/>
      <c r="AO163" s="86"/>
      <c r="AP163" s="86"/>
      <c r="AQ163" s="86"/>
      <c r="AR163" s="86"/>
      <c r="AS163" s="86"/>
      <c r="AT163" s="86"/>
      <c r="AU163" s="86"/>
      <c r="AV163" s="86"/>
      <c r="AW163" s="86"/>
    </row>
    <row r="164" spans="1:49" ht="31.5" x14ac:dyDescent="0.2">
      <c r="A164" s="52" t="s">
        <v>44</v>
      </c>
      <c r="B164" s="55">
        <v>46075</v>
      </c>
      <c r="C164" s="55">
        <v>46075</v>
      </c>
      <c r="D164" s="52" t="s">
        <v>243</v>
      </c>
      <c r="E164" s="59">
        <v>0.75</v>
      </c>
      <c r="F164" s="59">
        <v>0.83333333333333337</v>
      </c>
      <c r="G164" s="62">
        <v>1.7361111111111109E-4</v>
      </c>
      <c r="H164" s="63" t="s">
        <v>253</v>
      </c>
      <c r="I164" s="64">
        <v>0.77305555555555561</v>
      </c>
      <c r="J164" s="52" t="s">
        <v>232</v>
      </c>
      <c r="K164" s="52" t="s">
        <v>228</v>
      </c>
      <c r="L164" s="67">
        <v>1</v>
      </c>
      <c r="M164" s="67">
        <v>71021</v>
      </c>
      <c r="N164" s="52" t="s">
        <v>54</v>
      </c>
      <c r="O164" s="67" t="s">
        <v>47</v>
      </c>
      <c r="P164" s="70">
        <v>15</v>
      </c>
      <c r="Q164" s="67"/>
      <c r="R164" s="70">
        <v>15</v>
      </c>
      <c r="S164" s="75">
        <v>46054</v>
      </c>
      <c r="T164" s="70">
        <v>2.25</v>
      </c>
      <c r="U164" s="77">
        <v>4</v>
      </c>
      <c r="V164" s="70">
        <v>12.75</v>
      </c>
      <c r="W164" s="52" t="s">
        <v>48</v>
      </c>
      <c r="X164" s="52" t="s">
        <v>49</v>
      </c>
      <c r="Y164" s="52" t="s">
        <v>36</v>
      </c>
      <c r="Z164" s="52" t="s">
        <v>9</v>
      </c>
      <c r="AA164" s="52" t="s">
        <v>50</v>
      </c>
      <c r="AB164" s="52" t="s">
        <v>51</v>
      </c>
      <c r="AC164" s="52" t="s">
        <v>38</v>
      </c>
      <c r="AD164" s="79" t="s">
        <v>257</v>
      </c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</row>
    <row r="165" spans="1:49" ht="31.5" x14ac:dyDescent="0.2">
      <c r="A165" s="52" t="s">
        <v>44</v>
      </c>
      <c r="B165" s="55">
        <v>46075</v>
      </c>
      <c r="C165" s="55">
        <v>46075</v>
      </c>
      <c r="D165" s="52" t="s">
        <v>243</v>
      </c>
      <c r="E165" s="59">
        <v>0.75</v>
      </c>
      <c r="F165" s="59">
        <v>0.83333333333333337</v>
      </c>
      <c r="G165" s="62">
        <v>1.7361111111111109E-4</v>
      </c>
      <c r="H165" s="63" t="s">
        <v>146</v>
      </c>
      <c r="I165" s="64">
        <v>0.77392361111111108</v>
      </c>
      <c r="J165" s="52" t="s">
        <v>232</v>
      </c>
      <c r="K165" s="52" t="s">
        <v>228</v>
      </c>
      <c r="L165" s="67">
        <v>1</v>
      </c>
      <c r="M165" s="67">
        <v>71021</v>
      </c>
      <c r="N165" s="52" t="s">
        <v>54</v>
      </c>
      <c r="O165" s="67" t="s">
        <v>47</v>
      </c>
      <c r="P165" s="70">
        <v>15</v>
      </c>
      <c r="Q165" s="67"/>
      <c r="R165" s="70">
        <v>15</v>
      </c>
      <c r="S165" s="75">
        <v>46054</v>
      </c>
      <c r="T165" s="70">
        <v>2.25</v>
      </c>
      <c r="U165" s="77">
        <v>4</v>
      </c>
      <c r="V165" s="70">
        <v>12.75</v>
      </c>
      <c r="W165" s="52" t="s">
        <v>48</v>
      </c>
      <c r="X165" s="52" t="s">
        <v>49</v>
      </c>
      <c r="Y165" s="52" t="s">
        <v>36</v>
      </c>
      <c r="Z165" s="52" t="s">
        <v>9</v>
      </c>
      <c r="AA165" s="52" t="s">
        <v>50</v>
      </c>
      <c r="AB165" s="52" t="s">
        <v>51</v>
      </c>
      <c r="AC165" s="52" t="s">
        <v>38</v>
      </c>
      <c r="AD165" s="79" t="s">
        <v>257</v>
      </c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</row>
    <row r="166" spans="1:49" ht="31.5" x14ac:dyDescent="0.2">
      <c r="A166" s="52" t="s">
        <v>44</v>
      </c>
      <c r="B166" s="55">
        <v>46075</v>
      </c>
      <c r="C166" s="55">
        <v>46075</v>
      </c>
      <c r="D166" s="52" t="s">
        <v>243</v>
      </c>
      <c r="E166" s="59">
        <v>0.79166666666666663</v>
      </c>
      <c r="F166" s="59">
        <v>0.99930555555555556</v>
      </c>
      <c r="G166" s="59">
        <v>1.157407407407407E-4</v>
      </c>
      <c r="H166" s="52" t="s">
        <v>181</v>
      </c>
      <c r="I166" s="64">
        <v>0.86601851851851852</v>
      </c>
      <c r="J166" s="52" t="s">
        <v>41</v>
      </c>
      <c r="K166" s="52" t="s">
        <v>143</v>
      </c>
      <c r="L166" s="67">
        <v>1</v>
      </c>
      <c r="M166" s="67">
        <v>71104</v>
      </c>
      <c r="N166" s="52" t="s">
        <v>46</v>
      </c>
      <c r="O166" s="67" t="s">
        <v>47</v>
      </c>
      <c r="P166" s="70">
        <v>0</v>
      </c>
      <c r="Q166" s="67"/>
      <c r="R166" s="70">
        <v>0</v>
      </c>
      <c r="S166" s="75">
        <v>46054</v>
      </c>
      <c r="T166" s="70">
        <v>0</v>
      </c>
      <c r="U166" s="77">
        <v>4</v>
      </c>
      <c r="V166" s="70">
        <v>0</v>
      </c>
      <c r="W166" s="52" t="s">
        <v>48</v>
      </c>
      <c r="X166" s="52" t="s">
        <v>49</v>
      </c>
      <c r="Y166" s="52" t="s">
        <v>36</v>
      </c>
      <c r="Z166" s="52" t="s">
        <v>9</v>
      </c>
      <c r="AA166" s="52" t="s">
        <v>50</v>
      </c>
      <c r="AB166" s="52" t="s">
        <v>51</v>
      </c>
      <c r="AC166" s="52" t="s">
        <v>38</v>
      </c>
      <c r="AD166" s="79" t="s">
        <v>257</v>
      </c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</row>
    <row r="167" spans="1:49" ht="31.5" x14ac:dyDescent="0.25">
      <c r="A167" s="53" t="s">
        <v>227</v>
      </c>
      <c r="B167" s="56">
        <v>46074</v>
      </c>
      <c r="C167" s="56">
        <v>46074</v>
      </c>
      <c r="D167" s="58" t="s">
        <v>214</v>
      </c>
      <c r="E167" s="60">
        <v>0.625</v>
      </c>
      <c r="F167" s="60">
        <v>0.66666666666666663</v>
      </c>
      <c r="G167" s="60">
        <v>4.1666666666666664E-2</v>
      </c>
      <c r="H167" s="53" t="s">
        <v>227</v>
      </c>
      <c r="I167" s="65"/>
      <c r="J167" s="53" t="s">
        <v>97</v>
      </c>
      <c r="K167" s="53" t="s">
        <v>227</v>
      </c>
      <c r="L167" s="68">
        <v>1</v>
      </c>
      <c r="M167" s="68">
        <v>1</v>
      </c>
      <c r="N167" s="53" t="s">
        <v>33</v>
      </c>
      <c r="O167" s="53"/>
      <c r="P167" s="71">
        <v>0</v>
      </c>
      <c r="Q167" s="68"/>
      <c r="R167" s="71">
        <v>0</v>
      </c>
      <c r="S167" s="53">
        <v>46074</v>
      </c>
      <c r="T167" s="71">
        <v>0</v>
      </c>
      <c r="U167" s="68">
        <v>1</v>
      </c>
      <c r="V167" s="71">
        <v>0</v>
      </c>
      <c r="W167" s="53" t="s">
        <v>34</v>
      </c>
      <c r="X167" s="53" t="s">
        <v>42</v>
      </c>
      <c r="Y167" s="53" t="s">
        <v>86</v>
      </c>
      <c r="Z167" s="53" t="s">
        <v>149</v>
      </c>
      <c r="AA167" s="53" t="s">
        <v>37</v>
      </c>
      <c r="AB167" s="53" t="s">
        <v>37</v>
      </c>
      <c r="AC167" s="53" t="s">
        <v>38</v>
      </c>
      <c r="AD167" s="79" t="s">
        <v>257</v>
      </c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0"/>
      <c r="AS167" s="80"/>
      <c r="AT167" s="80"/>
      <c r="AU167" s="80"/>
      <c r="AV167" s="80"/>
      <c r="AW167" s="80"/>
    </row>
    <row r="168" spans="1:49" ht="31.5" x14ac:dyDescent="0.25">
      <c r="A168" s="54" t="s">
        <v>197</v>
      </c>
      <c r="B168" s="57">
        <v>46073</v>
      </c>
      <c r="C168" s="57">
        <v>46073</v>
      </c>
      <c r="D168" s="54" t="s">
        <v>196</v>
      </c>
      <c r="E168" s="61">
        <v>0</v>
      </c>
      <c r="F168" s="61">
        <v>0</v>
      </c>
      <c r="G168" s="61">
        <v>3.4722222222222224E-4</v>
      </c>
      <c r="H168" s="54" t="s">
        <v>198</v>
      </c>
      <c r="I168" s="66" t="s">
        <v>199</v>
      </c>
      <c r="J168" s="54" t="s">
        <v>110</v>
      </c>
      <c r="K168" s="54" t="s">
        <v>139</v>
      </c>
      <c r="L168" s="69">
        <v>1</v>
      </c>
      <c r="M168" s="69">
        <v>1</v>
      </c>
      <c r="N168" s="54" t="s">
        <v>200</v>
      </c>
      <c r="O168" s="69" t="s">
        <v>201</v>
      </c>
      <c r="P168" s="74">
        <v>1800</v>
      </c>
      <c r="Q168" s="69"/>
      <c r="R168" s="74">
        <v>0</v>
      </c>
      <c r="S168" s="76">
        <v>46054</v>
      </c>
      <c r="T168" s="74">
        <v>0</v>
      </c>
      <c r="U168" s="78">
        <v>4</v>
      </c>
      <c r="V168" s="74">
        <v>1800</v>
      </c>
      <c r="W168" s="54" t="s">
        <v>48</v>
      </c>
      <c r="X168" s="54" t="s">
        <v>202</v>
      </c>
      <c r="Y168" s="54" t="s">
        <v>36</v>
      </c>
      <c r="Z168" s="54" t="s">
        <v>9</v>
      </c>
      <c r="AA168" s="54" t="s">
        <v>50</v>
      </c>
      <c r="AB168" s="54">
        <v>0</v>
      </c>
      <c r="AC168" s="54" t="s">
        <v>38</v>
      </c>
      <c r="AD168" s="79" t="s">
        <v>256</v>
      </c>
      <c r="AE168" s="83"/>
      <c r="AF168" s="83"/>
      <c r="AG168" s="83"/>
      <c r="AH168" s="83"/>
      <c r="AI168" s="84"/>
      <c r="AJ168" s="84"/>
      <c r="AK168" s="84"/>
      <c r="AL168" s="84"/>
      <c r="AM168" s="84"/>
      <c r="AN168" s="84"/>
      <c r="AO168" s="84"/>
      <c r="AP168" s="84"/>
      <c r="AQ168" s="84"/>
      <c r="AR168" s="84"/>
      <c r="AS168" s="84"/>
      <c r="AT168" s="84"/>
      <c r="AU168" s="84"/>
      <c r="AV168" s="84"/>
      <c r="AW168" s="84"/>
    </row>
    <row r="169" spans="1:49" ht="31.5" x14ac:dyDescent="0.2">
      <c r="A169" s="53" t="s">
        <v>136</v>
      </c>
      <c r="B169" s="56">
        <v>46069</v>
      </c>
      <c r="C169" s="56">
        <v>46069</v>
      </c>
      <c r="D169" s="58" t="s">
        <v>30</v>
      </c>
      <c r="E169" s="60">
        <v>0.875</v>
      </c>
      <c r="F169" s="60">
        <v>0.91666666666666663</v>
      </c>
      <c r="G169" s="60">
        <v>4.1666666666666664E-2</v>
      </c>
      <c r="H169" s="53" t="s">
        <v>137</v>
      </c>
      <c r="I169" s="65"/>
      <c r="J169" s="53" t="s">
        <v>41</v>
      </c>
      <c r="K169" s="53"/>
      <c r="L169" s="68">
        <v>1</v>
      </c>
      <c r="M169" s="68">
        <v>1</v>
      </c>
      <c r="N169" s="53" t="s">
        <v>33</v>
      </c>
      <c r="O169" s="53"/>
      <c r="P169" s="71">
        <v>0</v>
      </c>
      <c r="Q169" s="68"/>
      <c r="R169" s="71">
        <v>0</v>
      </c>
      <c r="S169" s="53">
        <v>46054</v>
      </c>
      <c r="T169" s="71">
        <v>0</v>
      </c>
      <c r="U169" s="68">
        <v>2</v>
      </c>
      <c r="V169" s="71">
        <v>0</v>
      </c>
      <c r="W169" s="53" t="s">
        <v>34</v>
      </c>
      <c r="X169" s="53" t="s">
        <v>42</v>
      </c>
      <c r="Y169" s="53" t="s">
        <v>36</v>
      </c>
      <c r="Z169" s="53" t="s">
        <v>43</v>
      </c>
      <c r="AA169" s="53" t="s">
        <v>37</v>
      </c>
      <c r="AB169" s="53" t="s">
        <v>37</v>
      </c>
      <c r="AC169" s="53" t="s">
        <v>38</v>
      </c>
      <c r="AD169" s="79" t="s">
        <v>257</v>
      </c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</row>
    <row r="170" spans="1:49" ht="31.5" x14ac:dyDescent="0.2">
      <c r="A170" s="53" t="s">
        <v>136</v>
      </c>
      <c r="B170" s="56">
        <v>46069</v>
      </c>
      <c r="C170" s="56">
        <v>46069</v>
      </c>
      <c r="D170" s="58" t="s">
        <v>30</v>
      </c>
      <c r="E170" s="60">
        <v>0.91666666666666663</v>
      </c>
      <c r="F170" s="60">
        <v>0.97916666666666663</v>
      </c>
      <c r="G170" s="60">
        <v>6.25E-2</v>
      </c>
      <c r="H170" s="53" t="s">
        <v>138</v>
      </c>
      <c r="I170" s="65"/>
      <c r="J170" s="53" t="s">
        <v>41</v>
      </c>
      <c r="K170" s="53"/>
      <c r="L170" s="68">
        <v>1</v>
      </c>
      <c r="M170" s="68">
        <v>1</v>
      </c>
      <c r="N170" s="53" t="s">
        <v>33</v>
      </c>
      <c r="O170" s="53"/>
      <c r="P170" s="71">
        <v>0</v>
      </c>
      <c r="Q170" s="68"/>
      <c r="R170" s="71">
        <v>0</v>
      </c>
      <c r="S170" s="53">
        <v>46054</v>
      </c>
      <c r="T170" s="71">
        <v>0</v>
      </c>
      <c r="U170" s="68">
        <v>2</v>
      </c>
      <c r="V170" s="71">
        <v>0</v>
      </c>
      <c r="W170" s="53" t="s">
        <v>34</v>
      </c>
      <c r="X170" s="53" t="s">
        <v>42</v>
      </c>
      <c r="Y170" s="53" t="s">
        <v>36</v>
      </c>
      <c r="Z170" s="53" t="s">
        <v>43</v>
      </c>
      <c r="AA170" s="53" t="s">
        <v>37</v>
      </c>
      <c r="AB170" s="53" t="s">
        <v>37</v>
      </c>
      <c r="AC170" s="53" t="s">
        <v>38</v>
      </c>
      <c r="AD170" s="79" t="s">
        <v>257</v>
      </c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</row>
    <row r="171" spans="1:49" ht="31.5" x14ac:dyDescent="0.2">
      <c r="A171" s="53" t="s">
        <v>136</v>
      </c>
      <c r="B171" s="56">
        <v>46070</v>
      </c>
      <c r="C171" s="56">
        <v>46070</v>
      </c>
      <c r="D171" s="58" t="s">
        <v>145</v>
      </c>
      <c r="E171" s="60">
        <v>0.875</v>
      </c>
      <c r="F171" s="60">
        <v>0.91666666666666663</v>
      </c>
      <c r="G171" s="60">
        <v>4.1666666666666664E-2</v>
      </c>
      <c r="H171" s="53" t="s">
        <v>137</v>
      </c>
      <c r="I171" s="65"/>
      <c r="J171" s="53" t="s">
        <v>41</v>
      </c>
      <c r="K171" s="53"/>
      <c r="L171" s="68">
        <v>1</v>
      </c>
      <c r="M171" s="68">
        <v>1</v>
      </c>
      <c r="N171" s="53" t="s">
        <v>33</v>
      </c>
      <c r="O171" s="53"/>
      <c r="P171" s="71">
        <v>0</v>
      </c>
      <c r="Q171" s="68"/>
      <c r="R171" s="71">
        <v>0</v>
      </c>
      <c r="S171" s="53">
        <v>46054</v>
      </c>
      <c r="T171" s="71">
        <v>0</v>
      </c>
      <c r="U171" s="68">
        <v>2</v>
      </c>
      <c r="V171" s="71">
        <v>0</v>
      </c>
      <c r="W171" s="53" t="s">
        <v>34</v>
      </c>
      <c r="X171" s="53" t="s">
        <v>42</v>
      </c>
      <c r="Y171" s="53" t="s">
        <v>36</v>
      </c>
      <c r="Z171" s="53" t="s">
        <v>43</v>
      </c>
      <c r="AA171" s="53" t="s">
        <v>37</v>
      </c>
      <c r="AB171" s="53" t="s">
        <v>37</v>
      </c>
      <c r="AC171" s="53" t="s">
        <v>38</v>
      </c>
      <c r="AD171" s="79" t="s">
        <v>257</v>
      </c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</row>
    <row r="172" spans="1:49" ht="31.5" x14ac:dyDescent="0.2">
      <c r="A172" s="53" t="s">
        <v>136</v>
      </c>
      <c r="B172" s="56">
        <v>46070</v>
      </c>
      <c r="C172" s="56">
        <v>46070</v>
      </c>
      <c r="D172" s="58" t="s">
        <v>145</v>
      </c>
      <c r="E172" s="60">
        <v>0.91666666666666663</v>
      </c>
      <c r="F172" s="60">
        <v>0.97916666666666663</v>
      </c>
      <c r="G172" s="60">
        <v>6.25E-2</v>
      </c>
      <c r="H172" s="53" t="s">
        <v>170</v>
      </c>
      <c r="I172" s="65"/>
      <c r="J172" s="53" t="s">
        <v>41</v>
      </c>
      <c r="K172" s="53"/>
      <c r="L172" s="68">
        <v>1</v>
      </c>
      <c r="M172" s="68">
        <v>1</v>
      </c>
      <c r="N172" s="53" t="s">
        <v>33</v>
      </c>
      <c r="O172" s="53"/>
      <c r="P172" s="71">
        <v>0</v>
      </c>
      <c r="Q172" s="68"/>
      <c r="R172" s="71">
        <v>0</v>
      </c>
      <c r="S172" s="53">
        <v>46054</v>
      </c>
      <c r="T172" s="71">
        <v>0</v>
      </c>
      <c r="U172" s="68">
        <v>2</v>
      </c>
      <c r="V172" s="71">
        <v>0</v>
      </c>
      <c r="W172" s="53" t="s">
        <v>34</v>
      </c>
      <c r="X172" s="53" t="s">
        <v>42</v>
      </c>
      <c r="Y172" s="53" t="s">
        <v>36</v>
      </c>
      <c r="Z172" s="53" t="s">
        <v>43</v>
      </c>
      <c r="AA172" s="53" t="s">
        <v>37</v>
      </c>
      <c r="AB172" s="53" t="s">
        <v>37</v>
      </c>
      <c r="AC172" s="53" t="s">
        <v>38</v>
      </c>
      <c r="AD172" s="79" t="s">
        <v>257</v>
      </c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</row>
    <row r="173" spans="1:49" ht="31.5" x14ac:dyDescent="0.2">
      <c r="A173" s="53" t="s">
        <v>136</v>
      </c>
      <c r="B173" s="56">
        <v>46071</v>
      </c>
      <c r="C173" s="56">
        <v>46071</v>
      </c>
      <c r="D173" s="58" t="s">
        <v>177</v>
      </c>
      <c r="E173" s="60">
        <v>0.875</v>
      </c>
      <c r="F173" s="60">
        <v>0.91666666666666663</v>
      </c>
      <c r="G173" s="60">
        <v>4.1666666666666664E-2</v>
      </c>
      <c r="H173" s="53" t="s">
        <v>137</v>
      </c>
      <c r="I173" s="65"/>
      <c r="J173" s="53" t="s">
        <v>41</v>
      </c>
      <c r="K173" s="53"/>
      <c r="L173" s="68">
        <v>1</v>
      </c>
      <c r="M173" s="68">
        <v>1</v>
      </c>
      <c r="N173" s="53" t="s">
        <v>33</v>
      </c>
      <c r="O173" s="53"/>
      <c r="P173" s="71">
        <v>0</v>
      </c>
      <c r="Q173" s="68"/>
      <c r="R173" s="71">
        <v>0</v>
      </c>
      <c r="S173" s="53">
        <v>46054</v>
      </c>
      <c r="T173" s="71">
        <v>0</v>
      </c>
      <c r="U173" s="68">
        <v>2</v>
      </c>
      <c r="V173" s="71">
        <v>0</v>
      </c>
      <c r="W173" s="53" t="s">
        <v>34</v>
      </c>
      <c r="X173" s="53" t="s">
        <v>42</v>
      </c>
      <c r="Y173" s="53" t="s">
        <v>36</v>
      </c>
      <c r="Z173" s="53" t="s">
        <v>43</v>
      </c>
      <c r="AA173" s="53" t="s">
        <v>37</v>
      </c>
      <c r="AB173" s="53" t="s">
        <v>37</v>
      </c>
      <c r="AC173" s="53" t="s">
        <v>38</v>
      </c>
      <c r="AD173" s="79" t="s">
        <v>257</v>
      </c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</row>
    <row r="174" spans="1:49" ht="31.5" x14ac:dyDescent="0.2">
      <c r="A174" s="53" t="s">
        <v>136</v>
      </c>
      <c r="B174" s="56">
        <v>46071</v>
      </c>
      <c r="C174" s="56">
        <v>46071</v>
      </c>
      <c r="D174" s="58" t="s">
        <v>177</v>
      </c>
      <c r="E174" s="60">
        <v>0.91666666666666663</v>
      </c>
      <c r="F174" s="60">
        <v>0.97916666666666663</v>
      </c>
      <c r="G174" s="60">
        <v>6.25E-2</v>
      </c>
      <c r="H174" s="53" t="s">
        <v>182</v>
      </c>
      <c r="I174" s="65"/>
      <c r="J174" s="53" t="s">
        <v>41</v>
      </c>
      <c r="K174" s="53"/>
      <c r="L174" s="68">
        <v>1</v>
      </c>
      <c r="M174" s="68">
        <v>1</v>
      </c>
      <c r="N174" s="53" t="s">
        <v>33</v>
      </c>
      <c r="O174" s="53"/>
      <c r="P174" s="71">
        <v>0</v>
      </c>
      <c r="Q174" s="68"/>
      <c r="R174" s="71">
        <v>0</v>
      </c>
      <c r="S174" s="53">
        <v>46054</v>
      </c>
      <c r="T174" s="71">
        <v>0</v>
      </c>
      <c r="U174" s="68">
        <v>2</v>
      </c>
      <c r="V174" s="71">
        <v>0</v>
      </c>
      <c r="W174" s="53" t="s">
        <v>34</v>
      </c>
      <c r="X174" s="53" t="s">
        <v>42</v>
      </c>
      <c r="Y174" s="53" t="s">
        <v>36</v>
      </c>
      <c r="Z174" s="53" t="s">
        <v>43</v>
      </c>
      <c r="AA174" s="53" t="s">
        <v>37</v>
      </c>
      <c r="AB174" s="53" t="s">
        <v>37</v>
      </c>
      <c r="AC174" s="53" t="s">
        <v>38</v>
      </c>
      <c r="AD174" s="79" t="s">
        <v>257</v>
      </c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</row>
    <row r="175" spans="1:49" ht="31.5" x14ac:dyDescent="0.2">
      <c r="A175" s="53" t="s">
        <v>136</v>
      </c>
      <c r="B175" s="56">
        <v>46072</v>
      </c>
      <c r="C175" s="56">
        <v>46072</v>
      </c>
      <c r="D175" s="58" t="s">
        <v>183</v>
      </c>
      <c r="E175" s="60">
        <v>0.875</v>
      </c>
      <c r="F175" s="60">
        <v>0.91666666666666663</v>
      </c>
      <c r="G175" s="60">
        <v>4.1666666666666664E-2</v>
      </c>
      <c r="H175" s="53" t="s">
        <v>137</v>
      </c>
      <c r="I175" s="65"/>
      <c r="J175" s="53" t="s">
        <v>41</v>
      </c>
      <c r="K175" s="53"/>
      <c r="L175" s="68">
        <v>1</v>
      </c>
      <c r="M175" s="68">
        <v>1</v>
      </c>
      <c r="N175" s="53" t="s">
        <v>33</v>
      </c>
      <c r="O175" s="53"/>
      <c r="P175" s="71">
        <v>0</v>
      </c>
      <c r="Q175" s="68"/>
      <c r="R175" s="71">
        <v>0</v>
      </c>
      <c r="S175" s="53">
        <v>46054</v>
      </c>
      <c r="T175" s="71">
        <v>0</v>
      </c>
      <c r="U175" s="68">
        <v>2</v>
      </c>
      <c r="V175" s="71">
        <v>0</v>
      </c>
      <c r="W175" s="53" t="s">
        <v>34</v>
      </c>
      <c r="X175" s="53" t="s">
        <v>42</v>
      </c>
      <c r="Y175" s="53" t="s">
        <v>36</v>
      </c>
      <c r="Z175" s="53" t="s">
        <v>43</v>
      </c>
      <c r="AA175" s="53" t="s">
        <v>37</v>
      </c>
      <c r="AB175" s="53" t="s">
        <v>37</v>
      </c>
      <c r="AC175" s="53" t="s">
        <v>38</v>
      </c>
      <c r="AD175" s="79" t="s">
        <v>257</v>
      </c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</row>
    <row r="176" spans="1:49" ht="31.5" x14ac:dyDescent="0.2">
      <c r="A176" s="53" t="s">
        <v>136</v>
      </c>
      <c r="B176" s="56">
        <v>46072</v>
      </c>
      <c r="C176" s="56">
        <v>46072</v>
      </c>
      <c r="D176" s="58" t="s">
        <v>183</v>
      </c>
      <c r="E176" s="60">
        <v>0.91666666666666663</v>
      </c>
      <c r="F176" s="60">
        <v>0.97916666666666663</v>
      </c>
      <c r="G176" s="60">
        <v>6.25E-2</v>
      </c>
      <c r="H176" s="53" t="s">
        <v>195</v>
      </c>
      <c r="I176" s="65"/>
      <c r="J176" s="53" t="s">
        <v>41</v>
      </c>
      <c r="K176" s="53"/>
      <c r="L176" s="68">
        <v>1</v>
      </c>
      <c r="M176" s="68">
        <v>1</v>
      </c>
      <c r="N176" s="53" t="s">
        <v>33</v>
      </c>
      <c r="O176" s="53"/>
      <c r="P176" s="71">
        <v>0</v>
      </c>
      <c r="Q176" s="68"/>
      <c r="R176" s="71">
        <v>0</v>
      </c>
      <c r="S176" s="53">
        <v>46054</v>
      </c>
      <c r="T176" s="71">
        <v>0</v>
      </c>
      <c r="U176" s="68">
        <v>2</v>
      </c>
      <c r="V176" s="71">
        <v>0</v>
      </c>
      <c r="W176" s="53" t="s">
        <v>34</v>
      </c>
      <c r="X176" s="53" t="s">
        <v>42</v>
      </c>
      <c r="Y176" s="53" t="s">
        <v>36</v>
      </c>
      <c r="Z176" s="53" t="s">
        <v>43</v>
      </c>
      <c r="AA176" s="53" t="s">
        <v>37</v>
      </c>
      <c r="AB176" s="53" t="s">
        <v>37</v>
      </c>
      <c r="AC176" s="53" t="s">
        <v>38</v>
      </c>
      <c r="AD176" s="79" t="s">
        <v>257</v>
      </c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</row>
    <row r="177" spans="1:49" ht="31.5" x14ac:dyDescent="0.2">
      <c r="A177" s="53" t="s">
        <v>136</v>
      </c>
      <c r="B177" s="56">
        <v>46073</v>
      </c>
      <c r="C177" s="56">
        <v>46073</v>
      </c>
      <c r="D177" s="58" t="s">
        <v>196</v>
      </c>
      <c r="E177" s="60">
        <v>0.875</v>
      </c>
      <c r="F177" s="60">
        <v>0.91666666666666663</v>
      </c>
      <c r="G177" s="60">
        <v>4.1666666666666664E-2</v>
      </c>
      <c r="H177" s="53" t="s">
        <v>137</v>
      </c>
      <c r="I177" s="65"/>
      <c r="J177" s="53" t="s">
        <v>41</v>
      </c>
      <c r="K177" s="53"/>
      <c r="L177" s="68">
        <v>1</v>
      </c>
      <c r="M177" s="68">
        <v>1</v>
      </c>
      <c r="N177" s="53" t="s">
        <v>33</v>
      </c>
      <c r="O177" s="53"/>
      <c r="P177" s="71">
        <v>0</v>
      </c>
      <c r="Q177" s="68"/>
      <c r="R177" s="71">
        <v>0</v>
      </c>
      <c r="S177" s="53">
        <v>46054</v>
      </c>
      <c r="T177" s="71">
        <v>0</v>
      </c>
      <c r="U177" s="68">
        <v>2</v>
      </c>
      <c r="V177" s="71">
        <v>0</v>
      </c>
      <c r="W177" s="53" t="s">
        <v>34</v>
      </c>
      <c r="X177" s="53" t="s">
        <v>42</v>
      </c>
      <c r="Y177" s="53" t="s">
        <v>36</v>
      </c>
      <c r="Z177" s="53" t="s">
        <v>43</v>
      </c>
      <c r="AA177" s="53" t="s">
        <v>37</v>
      </c>
      <c r="AB177" s="53" t="s">
        <v>37</v>
      </c>
      <c r="AC177" s="53" t="s">
        <v>38</v>
      </c>
      <c r="AD177" s="79" t="s">
        <v>257</v>
      </c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</row>
    <row r="178" spans="1:49" ht="31.5" x14ac:dyDescent="0.2">
      <c r="A178" s="53" t="s">
        <v>136</v>
      </c>
      <c r="B178" s="56">
        <v>46073</v>
      </c>
      <c r="C178" s="56">
        <v>46073</v>
      </c>
      <c r="D178" s="58" t="s">
        <v>196</v>
      </c>
      <c r="E178" s="60">
        <v>0.91666666666666663</v>
      </c>
      <c r="F178" s="60">
        <v>0.97916666666666663</v>
      </c>
      <c r="G178" s="60">
        <v>6.25E-2</v>
      </c>
      <c r="H178" s="53" t="s">
        <v>213</v>
      </c>
      <c r="I178" s="65"/>
      <c r="J178" s="53" t="s">
        <v>41</v>
      </c>
      <c r="K178" s="53"/>
      <c r="L178" s="68">
        <v>1</v>
      </c>
      <c r="M178" s="68">
        <v>1</v>
      </c>
      <c r="N178" s="53" t="s">
        <v>33</v>
      </c>
      <c r="O178" s="53"/>
      <c r="P178" s="71">
        <v>0</v>
      </c>
      <c r="Q178" s="68"/>
      <c r="R178" s="71">
        <v>0</v>
      </c>
      <c r="S178" s="53">
        <v>46054</v>
      </c>
      <c r="T178" s="71">
        <v>0</v>
      </c>
      <c r="U178" s="68">
        <v>2</v>
      </c>
      <c r="V178" s="71">
        <v>0</v>
      </c>
      <c r="W178" s="53" t="s">
        <v>34</v>
      </c>
      <c r="X178" s="53" t="s">
        <v>42</v>
      </c>
      <c r="Y178" s="53" t="s">
        <v>36</v>
      </c>
      <c r="Z178" s="53" t="s">
        <v>43</v>
      </c>
      <c r="AA178" s="53" t="s">
        <v>37</v>
      </c>
      <c r="AB178" s="53" t="s">
        <v>37</v>
      </c>
      <c r="AC178" s="53" t="s">
        <v>38</v>
      </c>
      <c r="AD178" s="79" t="s">
        <v>257</v>
      </c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</row>
    <row r="179" spans="1:49" ht="31.5" x14ac:dyDescent="0.2">
      <c r="A179" s="53" t="s">
        <v>136</v>
      </c>
      <c r="B179" s="56">
        <v>46074</v>
      </c>
      <c r="C179" s="56">
        <v>46074</v>
      </c>
      <c r="D179" s="58" t="s">
        <v>214</v>
      </c>
      <c r="E179" s="60">
        <v>0.875</v>
      </c>
      <c r="F179" s="60">
        <v>0.9375</v>
      </c>
      <c r="G179" s="60">
        <v>6.25E-2</v>
      </c>
      <c r="H179" s="53" t="s">
        <v>138</v>
      </c>
      <c r="I179" s="65" t="s">
        <v>216</v>
      </c>
      <c r="J179" s="53" t="s">
        <v>41</v>
      </c>
      <c r="K179" s="53"/>
      <c r="L179" s="68">
        <v>1</v>
      </c>
      <c r="M179" s="68">
        <v>1</v>
      </c>
      <c r="N179" s="53" t="s">
        <v>33</v>
      </c>
      <c r="O179" s="53"/>
      <c r="P179" s="71">
        <v>0</v>
      </c>
      <c r="Q179" s="68"/>
      <c r="R179" s="71">
        <v>0</v>
      </c>
      <c r="S179" s="53">
        <v>46054</v>
      </c>
      <c r="T179" s="71">
        <v>0</v>
      </c>
      <c r="U179" s="68">
        <v>2</v>
      </c>
      <c r="V179" s="71">
        <v>0</v>
      </c>
      <c r="W179" s="53" t="s">
        <v>34</v>
      </c>
      <c r="X179" s="53" t="s">
        <v>42</v>
      </c>
      <c r="Y179" s="53" t="s">
        <v>36</v>
      </c>
      <c r="Z179" s="53" t="s">
        <v>43</v>
      </c>
      <c r="AA179" s="53" t="s">
        <v>37</v>
      </c>
      <c r="AB179" s="53" t="s">
        <v>37</v>
      </c>
      <c r="AC179" s="53" t="s">
        <v>38</v>
      </c>
      <c r="AD179" s="79" t="s">
        <v>257</v>
      </c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</row>
    <row r="180" spans="1:49" ht="31.5" x14ac:dyDescent="0.2">
      <c r="A180" s="53" t="s">
        <v>136</v>
      </c>
      <c r="B180" s="56">
        <v>46074</v>
      </c>
      <c r="C180" s="56">
        <v>46074</v>
      </c>
      <c r="D180" s="58" t="s">
        <v>214</v>
      </c>
      <c r="E180" s="60">
        <v>0.9375</v>
      </c>
      <c r="F180" s="60">
        <v>1</v>
      </c>
      <c r="G180" s="60">
        <v>6.25E-2</v>
      </c>
      <c r="H180" s="53" t="s">
        <v>182</v>
      </c>
      <c r="I180" s="65" t="s">
        <v>216</v>
      </c>
      <c r="J180" s="53" t="s">
        <v>41</v>
      </c>
      <c r="K180" s="53"/>
      <c r="L180" s="68">
        <v>1</v>
      </c>
      <c r="M180" s="68">
        <v>1</v>
      </c>
      <c r="N180" s="53" t="s">
        <v>33</v>
      </c>
      <c r="O180" s="53"/>
      <c r="P180" s="71">
        <v>0</v>
      </c>
      <c r="Q180" s="68"/>
      <c r="R180" s="71">
        <v>0</v>
      </c>
      <c r="S180" s="53">
        <v>46054</v>
      </c>
      <c r="T180" s="71">
        <v>0</v>
      </c>
      <c r="U180" s="68">
        <v>2</v>
      </c>
      <c r="V180" s="71">
        <v>0</v>
      </c>
      <c r="W180" s="53" t="s">
        <v>34</v>
      </c>
      <c r="X180" s="53" t="s">
        <v>42</v>
      </c>
      <c r="Y180" s="53" t="s">
        <v>36</v>
      </c>
      <c r="Z180" s="53" t="s">
        <v>43</v>
      </c>
      <c r="AA180" s="53" t="s">
        <v>37</v>
      </c>
      <c r="AB180" s="53" t="s">
        <v>37</v>
      </c>
      <c r="AC180" s="53" t="s">
        <v>38</v>
      </c>
      <c r="AD180" s="79" t="s">
        <v>257</v>
      </c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</row>
    <row r="181" spans="1:49" ht="31.5" x14ac:dyDescent="0.2">
      <c r="A181" s="53" t="s">
        <v>136</v>
      </c>
      <c r="B181" s="56">
        <v>46075</v>
      </c>
      <c r="C181" s="56">
        <v>46075</v>
      </c>
      <c r="D181" s="58" t="s">
        <v>243</v>
      </c>
      <c r="E181" s="60">
        <v>0.875</v>
      </c>
      <c r="F181" s="60">
        <v>0.9375</v>
      </c>
      <c r="G181" s="60">
        <v>6.25E-2</v>
      </c>
      <c r="H181" s="53" t="s">
        <v>170</v>
      </c>
      <c r="I181" s="65" t="s">
        <v>216</v>
      </c>
      <c r="J181" s="53" t="s">
        <v>41</v>
      </c>
      <c r="K181" s="53"/>
      <c r="L181" s="68">
        <v>1</v>
      </c>
      <c r="M181" s="68">
        <v>1</v>
      </c>
      <c r="N181" s="53" t="s">
        <v>33</v>
      </c>
      <c r="O181" s="53"/>
      <c r="P181" s="71">
        <v>0</v>
      </c>
      <c r="Q181" s="68"/>
      <c r="R181" s="71">
        <v>0</v>
      </c>
      <c r="S181" s="53">
        <v>46054</v>
      </c>
      <c r="T181" s="71">
        <v>0</v>
      </c>
      <c r="U181" s="68">
        <v>2</v>
      </c>
      <c r="V181" s="71">
        <v>0</v>
      </c>
      <c r="W181" s="53" t="s">
        <v>34</v>
      </c>
      <c r="X181" s="53" t="s">
        <v>42</v>
      </c>
      <c r="Y181" s="53" t="s">
        <v>36</v>
      </c>
      <c r="Z181" s="53" t="s">
        <v>43</v>
      </c>
      <c r="AA181" s="53" t="s">
        <v>37</v>
      </c>
      <c r="AB181" s="53" t="s">
        <v>37</v>
      </c>
      <c r="AC181" s="53" t="s">
        <v>38</v>
      </c>
      <c r="AD181" s="79" t="s">
        <v>257</v>
      </c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</row>
    <row r="182" spans="1:49" ht="31.5" x14ac:dyDescent="0.2">
      <c r="A182" s="53" t="s">
        <v>136</v>
      </c>
      <c r="B182" s="56">
        <v>46075</v>
      </c>
      <c r="C182" s="56">
        <v>46075</v>
      </c>
      <c r="D182" s="58" t="s">
        <v>243</v>
      </c>
      <c r="E182" s="60">
        <v>0.9375</v>
      </c>
      <c r="F182" s="60">
        <v>1</v>
      </c>
      <c r="G182" s="60">
        <v>6.25E-2</v>
      </c>
      <c r="H182" s="53" t="s">
        <v>195</v>
      </c>
      <c r="I182" s="65" t="s">
        <v>216</v>
      </c>
      <c r="J182" s="53" t="s">
        <v>41</v>
      </c>
      <c r="K182" s="53"/>
      <c r="L182" s="68">
        <v>1</v>
      </c>
      <c r="M182" s="68">
        <v>1</v>
      </c>
      <c r="N182" s="53" t="s">
        <v>33</v>
      </c>
      <c r="O182" s="53"/>
      <c r="P182" s="71">
        <v>0</v>
      </c>
      <c r="Q182" s="68"/>
      <c r="R182" s="71">
        <v>0</v>
      </c>
      <c r="S182" s="53">
        <v>46054</v>
      </c>
      <c r="T182" s="71">
        <v>0</v>
      </c>
      <c r="U182" s="68">
        <v>2</v>
      </c>
      <c r="V182" s="71">
        <v>0</v>
      </c>
      <c r="W182" s="53" t="s">
        <v>34</v>
      </c>
      <c r="X182" s="53" t="s">
        <v>42</v>
      </c>
      <c r="Y182" s="53" t="s">
        <v>36</v>
      </c>
      <c r="Z182" s="53" t="s">
        <v>43</v>
      </c>
      <c r="AA182" s="53" t="s">
        <v>37</v>
      </c>
      <c r="AB182" s="53" t="s">
        <v>37</v>
      </c>
      <c r="AC182" s="53" t="s">
        <v>38</v>
      </c>
      <c r="AD182" s="79" t="s">
        <v>257</v>
      </c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</row>
    <row r="183" spans="1:49" ht="31.5" x14ac:dyDescent="0.25">
      <c r="A183" s="53" t="s">
        <v>224</v>
      </c>
      <c r="B183" s="56">
        <v>46074</v>
      </c>
      <c r="C183" s="56">
        <v>46074</v>
      </c>
      <c r="D183" s="58" t="s">
        <v>214</v>
      </c>
      <c r="E183" s="60">
        <v>0.58333333333333337</v>
      </c>
      <c r="F183" s="60">
        <v>0.625</v>
      </c>
      <c r="G183" s="60">
        <v>4.1666666666666664E-2</v>
      </c>
      <c r="H183" s="53" t="s">
        <v>225</v>
      </c>
      <c r="I183" s="65"/>
      <c r="J183" s="53" t="s">
        <v>97</v>
      </c>
      <c r="K183" s="53" t="s">
        <v>226</v>
      </c>
      <c r="L183" s="68">
        <v>1</v>
      </c>
      <c r="M183" s="68">
        <v>1</v>
      </c>
      <c r="N183" s="53" t="s">
        <v>33</v>
      </c>
      <c r="O183" s="53"/>
      <c r="P183" s="73">
        <v>0</v>
      </c>
      <c r="Q183" s="68"/>
      <c r="R183" s="71">
        <v>0</v>
      </c>
      <c r="S183" s="53">
        <v>46054</v>
      </c>
      <c r="T183" s="71">
        <v>0</v>
      </c>
      <c r="U183" s="68">
        <v>1</v>
      </c>
      <c r="V183" s="71">
        <v>0</v>
      </c>
      <c r="W183" s="53" t="s">
        <v>34</v>
      </c>
      <c r="X183" s="53" t="s">
        <v>35</v>
      </c>
      <c r="Y183" s="53" t="s">
        <v>36</v>
      </c>
      <c r="Z183" s="53" t="s">
        <v>149</v>
      </c>
      <c r="AA183" s="53" t="s">
        <v>37</v>
      </c>
      <c r="AB183" s="53" t="s">
        <v>37</v>
      </c>
      <c r="AC183" s="53" t="s">
        <v>38</v>
      </c>
      <c r="AD183" s="79" t="s">
        <v>257</v>
      </c>
      <c r="AE183" s="80"/>
      <c r="AF183" s="80"/>
      <c r="AG183" s="80"/>
      <c r="AH183" s="80"/>
      <c r="AI183" s="80"/>
      <c r="AJ183" s="80"/>
      <c r="AK183" s="80"/>
      <c r="AL183" s="80"/>
      <c r="AM183" s="80"/>
      <c r="AN183" s="80"/>
      <c r="AO183" s="80"/>
      <c r="AP183" s="80"/>
      <c r="AQ183" s="80"/>
      <c r="AR183" s="80"/>
      <c r="AS183" s="80"/>
      <c r="AT183" s="80"/>
      <c r="AU183" s="80"/>
      <c r="AV183" s="80"/>
      <c r="AW183" s="80"/>
    </row>
    <row r="184" spans="1:49" ht="31.5" x14ac:dyDescent="0.25">
      <c r="A184" s="53" t="s">
        <v>99</v>
      </c>
      <c r="B184" s="56">
        <v>46069</v>
      </c>
      <c r="C184" s="56">
        <v>46069</v>
      </c>
      <c r="D184" s="58" t="s">
        <v>30</v>
      </c>
      <c r="E184" s="60">
        <v>0.58333333333333337</v>
      </c>
      <c r="F184" s="60">
        <v>0.625</v>
      </c>
      <c r="G184" s="60">
        <v>4.1666666666666664E-2</v>
      </c>
      <c r="H184" s="53" t="s">
        <v>100</v>
      </c>
      <c r="I184" s="65"/>
      <c r="J184" s="53" t="s">
        <v>101</v>
      </c>
      <c r="K184" s="53"/>
      <c r="L184" s="68">
        <v>1</v>
      </c>
      <c r="M184" s="68">
        <v>1</v>
      </c>
      <c r="N184" s="53" t="s">
        <v>33</v>
      </c>
      <c r="O184" s="53"/>
      <c r="P184" s="71">
        <v>0</v>
      </c>
      <c r="Q184" s="68"/>
      <c r="R184" s="71">
        <v>0</v>
      </c>
      <c r="S184" s="53">
        <v>46054</v>
      </c>
      <c r="T184" s="71">
        <v>0</v>
      </c>
      <c r="U184" s="68">
        <v>2</v>
      </c>
      <c r="V184" s="71">
        <v>0</v>
      </c>
      <c r="W184" s="53" t="s">
        <v>34</v>
      </c>
      <c r="X184" s="53" t="s">
        <v>42</v>
      </c>
      <c r="Y184" s="53" t="s">
        <v>36</v>
      </c>
      <c r="Z184" s="53" t="s">
        <v>43</v>
      </c>
      <c r="AA184" s="53" t="s">
        <v>37</v>
      </c>
      <c r="AB184" s="53" t="s">
        <v>37</v>
      </c>
      <c r="AC184" s="53" t="s">
        <v>38</v>
      </c>
      <c r="AD184" s="79" t="s">
        <v>257</v>
      </c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0"/>
      <c r="AS184" s="80"/>
      <c r="AT184" s="80"/>
      <c r="AU184" s="80"/>
      <c r="AV184" s="80"/>
      <c r="AW184" s="80"/>
    </row>
    <row r="185" spans="1:49" ht="31.5" x14ac:dyDescent="0.25">
      <c r="A185" s="53" t="s">
        <v>99</v>
      </c>
      <c r="B185" s="56">
        <v>46069</v>
      </c>
      <c r="C185" s="56">
        <v>46069</v>
      </c>
      <c r="D185" s="58" t="s">
        <v>30</v>
      </c>
      <c r="E185" s="60">
        <v>0.625</v>
      </c>
      <c r="F185" s="60">
        <v>0.64583333333333337</v>
      </c>
      <c r="G185" s="60">
        <v>2.0833333333333332E-2</v>
      </c>
      <c r="H185" s="53" t="s">
        <v>106</v>
      </c>
      <c r="I185" s="65"/>
      <c r="J185" s="53" t="s">
        <v>101</v>
      </c>
      <c r="K185" s="53"/>
      <c r="L185" s="68">
        <v>1</v>
      </c>
      <c r="M185" s="68">
        <v>1</v>
      </c>
      <c r="N185" s="53" t="s">
        <v>33</v>
      </c>
      <c r="O185" s="53"/>
      <c r="P185" s="71">
        <v>0</v>
      </c>
      <c r="Q185" s="68"/>
      <c r="R185" s="71">
        <v>0</v>
      </c>
      <c r="S185" s="53">
        <v>46054</v>
      </c>
      <c r="T185" s="71">
        <v>0</v>
      </c>
      <c r="U185" s="68">
        <v>2</v>
      </c>
      <c r="V185" s="71">
        <v>0</v>
      </c>
      <c r="W185" s="53" t="s">
        <v>34</v>
      </c>
      <c r="X185" s="53" t="s">
        <v>42</v>
      </c>
      <c r="Y185" s="53" t="s">
        <v>36</v>
      </c>
      <c r="Z185" s="53" t="s">
        <v>43</v>
      </c>
      <c r="AA185" s="53" t="s">
        <v>37</v>
      </c>
      <c r="AB185" s="53" t="s">
        <v>37</v>
      </c>
      <c r="AC185" s="53" t="s">
        <v>38</v>
      </c>
      <c r="AD185" s="79" t="s">
        <v>257</v>
      </c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0"/>
      <c r="AS185" s="80"/>
      <c r="AT185" s="80"/>
      <c r="AU185" s="80"/>
      <c r="AV185" s="80"/>
      <c r="AW185" s="80"/>
    </row>
    <row r="186" spans="1:49" ht="31.5" x14ac:dyDescent="0.25">
      <c r="A186" s="53" t="s">
        <v>99</v>
      </c>
      <c r="B186" s="56">
        <v>46069</v>
      </c>
      <c r="C186" s="56">
        <v>46069</v>
      </c>
      <c r="D186" s="58" t="s">
        <v>30</v>
      </c>
      <c r="E186" s="60">
        <v>0.64583333333333337</v>
      </c>
      <c r="F186" s="60">
        <v>0.66666666666666663</v>
      </c>
      <c r="G186" s="60">
        <v>2.0833333333333332E-2</v>
      </c>
      <c r="H186" s="53" t="s">
        <v>107</v>
      </c>
      <c r="I186" s="65"/>
      <c r="J186" s="53" t="s">
        <v>101</v>
      </c>
      <c r="K186" s="53"/>
      <c r="L186" s="68">
        <v>1</v>
      </c>
      <c r="M186" s="68">
        <v>1</v>
      </c>
      <c r="N186" s="53" t="s">
        <v>33</v>
      </c>
      <c r="O186" s="53"/>
      <c r="P186" s="71">
        <v>0</v>
      </c>
      <c r="Q186" s="68"/>
      <c r="R186" s="71">
        <v>0</v>
      </c>
      <c r="S186" s="53">
        <v>46054</v>
      </c>
      <c r="T186" s="71">
        <v>0</v>
      </c>
      <c r="U186" s="68">
        <v>2</v>
      </c>
      <c r="V186" s="71">
        <v>0</v>
      </c>
      <c r="W186" s="53" t="s">
        <v>34</v>
      </c>
      <c r="X186" s="53" t="s">
        <v>42</v>
      </c>
      <c r="Y186" s="53" t="s">
        <v>36</v>
      </c>
      <c r="Z186" s="53" t="s">
        <v>43</v>
      </c>
      <c r="AA186" s="53" t="s">
        <v>37</v>
      </c>
      <c r="AB186" s="53" t="s">
        <v>37</v>
      </c>
      <c r="AC186" s="53" t="s">
        <v>38</v>
      </c>
      <c r="AD186" s="79" t="s">
        <v>257</v>
      </c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0"/>
      <c r="AS186" s="80"/>
      <c r="AT186" s="80"/>
      <c r="AU186" s="80"/>
      <c r="AV186" s="80"/>
      <c r="AW186" s="80"/>
    </row>
    <row r="187" spans="1:49" ht="31.5" x14ac:dyDescent="0.2">
      <c r="A187" s="53" t="s">
        <v>99</v>
      </c>
      <c r="B187" s="56">
        <v>46070</v>
      </c>
      <c r="C187" s="56">
        <v>46070</v>
      </c>
      <c r="D187" s="58" t="s">
        <v>145</v>
      </c>
      <c r="E187" s="60">
        <v>0.58333333333333337</v>
      </c>
      <c r="F187" s="60">
        <v>0.625</v>
      </c>
      <c r="G187" s="60">
        <v>4.1666666666666664E-2</v>
      </c>
      <c r="H187" s="53" t="s">
        <v>100</v>
      </c>
      <c r="I187" s="65"/>
      <c r="J187" s="53" t="s">
        <v>101</v>
      </c>
      <c r="K187" s="53"/>
      <c r="L187" s="68">
        <v>1</v>
      </c>
      <c r="M187" s="68">
        <v>1</v>
      </c>
      <c r="N187" s="53" t="s">
        <v>33</v>
      </c>
      <c r="O187" s="53"/>
      <c r="P187" s="71">
        <v>0</v>
      </c>
      <c r="Q187" s="68"/>
      <c r="R187" s="71">
        <v>0</v>
      </c>
      <c r="S187" s="53">
        <v>46054</v>
      </c>
      <c r="T187" s="71">
        <v>0</v>
      </c>
      <c r="U187" s="68">
        <v>2</v>
      </c>
      <c r="V187" s="71">
        <v>0</v>
      </c>
      <c r="W187" s="53" t="s">
        <v>34</v>
      </c>
      <c r="X187" s="53" t="s">
        <v>42</v>
      </c>
      <c r="Y187" s="53" t="s">
        <v>36</v>
      </c>
      <c r="Z187" s="53" t="s">
        <v>43</v>
      </c>
      <c r="AA187" s="53" t="s">
        <v>37</v>
      </c>
      <c r="AB187" s="53" t="s">
        <v>37</v>
      </c>
      <c r="AC187" s="53" t="s">
        <v>38</v>
      </c>
      <c r="AD187" s="79" t="s">
        <v>257</v>
      </c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</row>
    <row r="188" spans="1:49" ht="31.5" x14ac:dyDescent="0.2">
      <c r="A188" s="53" t="s">
        <v>99</v>
      </c>
      <c r="B188" s="56">
        <v>46070</v>
      </c>
      <c r="C188" s="56">
        <v>46070</v>
      </c>
      <c r="D188" s="58" t="s">
        <v>145</v>
      </c>
      <c r="E188" s="60">
        <v>0.625</v>
      </c>
      <c r="F188" s="60">
        <v>0.64583333333333337</v>
      </c>
      <c r="G188" s="60">
        <v>2.0833333333333332E-2</v>
      </c>
      <c r="H188" s="53" t="s">
        <v>106</v>
      </c>
      <c r="I188" s="65"/>
      <c r="J188" s="53" t="s">
        <v>101</v>
      </c>
      <c r="K188" s="53"/>
      <c r="L188" s="68">
        <v>1</v>
      </c>
      <c r="M188" s="68">
        <v>1</v>
      </c>
      <c r="N188" s="53" t="s">
        <v>33</v>
      </c>
      <c r="O188" s="53"/>
      <c r="P188" s="71">
        <v>0</v>
      </c>
      <c r="Q188" s="68"/>
      <c r="R188" s="71">
        <v>0</v>
      </c>
      <c r="S188" s="53">
        <v>46054</v>
      </c>
      <c r="T188" s="71">
        <v>0</v>
      </c>
      <c r="U188" s="68">
        <v>2</v>
      </c>
      <c r="V188" s="71">
        <v>0</v>
      </c>
      <c r="W188" s="53" t="s">
        <v>34</v>
      </c>
      <c r="X188" s="53" t="s">
        <v>42</v>
      </c>
      <c r="Y188" s="53" t="s">
        <v>36</v>
      </c>
      <c r="Z188" s="53" t="s">
        <v>43</v>
      </c>
      <c r="AA188" s="53" t="s">
        <v>37</v>
      </c>
      <c r="AB188" s="53" t="s">
        <v>37</v>
      </c>
      <c r="AC188" s="53" t="s">
        <v>38</v>
      </c>
      <c r="AD188" s="79" t="s">
        <v>257</v>
      </c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</row>
    <row r="189" spans="1:49" ht="31.5" x14ac:dyDescent="0.25">
      <c r="A189" s="53" t="s">
        <v>99</v>
      </c>
      <c r="B189" s="56">
        <v>46070</v>
      </c>
      <c r="C189" s="56">
        <v>46070</v>
      </c>
      <c r="D189" s="58" t="s">
        <v>145</v>
      </c>
      <c r="E189" s="60">
        <v>0.64583333333333337</v>
      </c>
      <c r="F189" s="60">
        <v>0.66666666666666663</v>
      </c>
      <c r="G189" s="60">
        <v>2.0833333333333332E-2</v>
      </c>
      <c r="H189" s="53" t="s">
        <v>107</v>
      </c>
      <c r="I189" s="65"/>
      <c r="J189" s="53" t="s">
        <v>101</v>
      </c>
      <c r="K189" s="53"/>
      <c r="L189" s="68">
        <v>1</v>
      </c>
      <c r="M189" s="68">
        <v>1</v>
      </c>
      <c r="N189" s="53" t="s">
        <v>33</v>
      </c>
      <c r="O189" s="53"/>
      <c r="P189" s="71">
        <v>0</v>
      </c>
      <c r="Q189" s="68"/>
      <c r="R189" s="71">
        <v>0</v>
      </c>
      <c r="S189" s="53">
        <v>46054</v>
      </c>
      <c r="T189" s="71">
        <v>0</v>
      </c>
      <c r="U189" s="68">
        <v>2</v>
      </c>
      <c r="V189" s="71">
        <v>0</v>
      </c>
      <c r="W189" s="53" t="s">
        <v>34</v>
      </c>
      <c r="X189" s="53" t="s">
        <v>42</v>
      </c>
      <c r="Y189" s="53" t="s">
        <v>36</v>
      </c>
      <c r="Z189" s="53" t="s">
        <v>43</v>
      </c>
      <c r="AA189" s="53" t="s">
        <v>37</v>
      </c>
      <c r="AB189" s="53" t="s">
        <v>37</v>
      </c>
      <c r="AC189" s="53" t="s">
        <v>38</v>
      </c>
      <c r="AD189" s="79" t="s">
        <v>257</v>
      </c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</row>
    <row r="190" spans="1:49" ht="31.5" x14ac:dyDescent="0.25">
      <c r="A190" s="53" t="s">
        <v>99</v>
      </c>
      <c r="B190" s="56">
        <v>46071</v>
      </c>
      <c r="C190" s="56">
        <v>46071</v>
      </c>
      <c r="D190" s="58" t="s">
        <v>177</v>
      </c>
      <c r="E190" s="60">
        <v>0.58333333333333337</v>
      </c>
      <c r="F190" s="60">
        <v>0.625</v>
      </c>
      <c r="G190" s="60">
        <v>4.1666666666666664E-2</v>
      </c>
      <c r="H190" s="53" t="s">
        <v>100</v>
      </c>
      <c r="I190" s="65"/>
      <c r="J190" s="53" t="s">
        <v>101</v>
      </c>
      <c r="K190" s="53"/>
      <c r="L190" s="68">
        <v>1</v>
      </c>
      <c r="M190" s="68">
        <v>1</v>
      </c>
      <c r="N190" s="53" t="s">
        <v>33</v>
      </c>
      <c r="O190" s="53"/>
      <c r="P190" s="71">
        <v>0</v>
      </c>
      <c r="Q190" s="68"/>
      <c r="R190" s="71">
        <v>0</v>
      </c>
      <c r="S190" s="53">
        <v>46054</v>
      </c>
      <c r="T190" s="71">
        <v>0</v>
      </c>
      <c r="U190" s="68">
        <v>2</v>
      </c>
      <c r="V190" s="71">
        <v>0</v>
      </c>
      <c r="W190" s="53" t="s">
        <v>34</v>
      </c>
      <c r="X190" s="53" t="s">
        <v>42</v>
      </c>
      <c r="Y190" s="53" t="s">
        <v>36</v>
      </c>
      <c r="Z190" s="53" t="s">
        <v>43</v>
      </c>
      <c r="AA190" s="53" t="s">
        <v>37</v>
      </c>
      <c r="AB190" s="53" t="s">
        <v>37</v>
      </c>
      <c r="AC190" s="53" t="s">
        <v>38</v>
      </c>
      <c r="AD190" s="79" t="s">
        <v>257</v>
      </c>
      <c r="AE190" s="80"/>
      <c r="AF190" s="80"/>
      <c r="AG190" s="80"/>
      <c r="AH190" s="80"/>
      <c r="AI190" s="86"/>
      <c r="AJ190" s="86"/>
      <c r="AK190" s="86"/>
      <c r="AL190" s="86"/>
      <c r="AM190" s="86"/>
      <c r="AN190" s="86"/>
      <c r="AO190" s="86"/>
      <c r="AP190" s="86"/>
      <c r="AQ190" s="86"/>
      <c r="AR190" s="86"/>
      <c r="AS190" s="86"/>
      <c r="AT190" s="86"/>
      <c r="AU190" s="86"/>
      <c r="AV190" s="86"/>
      <c r="AW190" s="86"/>
    </row>
    <row r="191" spans="1:49" ht="31.5" x14ac:dyDescent="0.25">
      <c r="A191" s="53" t="s">
        <v>99</v>
      </c>
      <c r="B191" s="56">
        <v>46071</v>
      </c>
      <c r="C191" s="56">
        <v>46071</v>
      </c>
      <c r="D191" s="58" t="s">
        <v>177</v>
      </c>
      <c r="E191" s="60">
        <v>0.625</v>
      </c>
      <c r="F191" s="60">
        <v>0.64583333333333337</v>
      </c>
      <c r="G191" s="60">
        <v>2.0833333333333332E-2</v>
      </c>
      <c r="H191" s="53" t="s">
        <v>106</v>
      </c>
      <c r="I191" s="65"/>
      <c r="J191" s="53" t="s">
        <v>101</v>
      </c>
      <c r="K191" s="53"/>
      <c r="L191" s="68">
        <v>1</v>
      </c>
      <c r="M191" s="68">
        <v>1</v>
      </c>
      <c r="N191" s="53" t="s">
        <v>33</v>
      </c>
      <c r="O191" s="53"/>
      <c r="P191" s="71">
        <v>0</v>
      </c>
      <c r="Q191" s="68"/>
      <c r="R191" s="71">
        <v>0</v>
      </c>
      <c r="S191" s="53">
        <v>46054</v>
      </c>
      <c r="T191" s="71">
        <v>0</v>
      </c>
      <c r="U191" s="68">
        <v>2</v>
      </c>
      <c r="V191" s="71">
        <v>0</v>
      </c>
      <c r="W191" s="53" t="s">
        <v>34</v>
      </c>
      <c r="X191" s="53" t="s">
        <v>42</v>
      </c>
      <c r="Y191" s="53" t="s">
        <v>36</v>
      </c>
      <c r="Z191" s="53" t="s">
        <v>43</v>
      </c>
      <c r="AA191" s="53" t="s">
        <v>37</v>
      </c>
      <c r="AB191" s="53" t="s">
        <v>37</v>
      </c>
      <c r="AC191" s="53" t="s">
        <v>38</v>
      </c>
      <c r="AD191" s="79" t="s">
        <v>257</v>
      </c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0"/>
      <c r="AS191" s="80"/>
      <c r="AT191" s="80"/>
      <c r="AU191" s="80"/>
      <c r="AV191" s="80"/>
      <c r="AW191" s="80"/>
    </row>
    <row r="192" spans="1:49" ht="31.5" x14ac:dyDescent="0.25">
      <c r="A192" s="53" t="s">
        <v>99</v>
      </c>
      <c r="B192" s="56">
        <v>46071</v>
      </c>
      <c r="C192" s="56">
        <v>46071</v>
      </c>
      <c r="D192" s="58" t="s">
        <v>177</v>
      </c>
      <c r="E192" s="60">
        <v>0.64583333333333337</v>
      </c>
      <c r="F192" s="60">
        <v>0.66666666666666663</v>
      </c>
      <c r="G192" s="60">
        <v>2.0833333333333332E-2</v>
      </c>
      <c r="H192" s="53" t="s">
        <v>107</v>
      </c>
      <c r="I192" s="65"/>
      <c r="J192" s="53" t="s">
        <v>101</v>
      </c>
      <c r="K192" s="53"/>
      <c r="L192" s="68">
        <v>1</v>
      </c>
      <c r="M192" s="68">
        <v>1</v>
      </c>
      <c r="N192" s="53" t="s">
        <v>33</v>
      </c>
      <c r="O192" s="53"/>
      <c r="P192" s="71">
        <v>0</v>
      </c>
      <c r="Q192" s="68"/>
      <c r="R192" s="71">
        <v>0</v>
      </c>
      <c r="S192" s="53">
        <v>46054</v>
      </c>
      <c r="T192" s="71">
        <v>0</v>
      </c>
      <c r="U192" s="68">
        <v>2</v>
      </c>
      <c r="V192" s="71">
        <v>0</v>
      </c>
      <c r="W192" s="53" t="s">
        <v>34</v>
      </c>
      <c r="X192" s="53" t="s">
        <v>42</v>
      </c>
      <c r="Y192" s="53" t="s">
        <v>36</v>
      </c>
      <c r="Z192" s="53" t="s">
        <v>43</v>
      </c>
      <c r="AA192" s="53" t="s">
        <v>37</v>
      </c>
      <c r="AB192" s="53" t="s">
        <v>37</v>
      </c>
      <c r="AC192" s="53" t="s">
        <v>38</v>
      </c>
      <c r="AD192" s="79" t="s">
        <v>257</v>
      </c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0"/>
      <c r="AS192" s="80"/>
      <c r="AT192" s="80"/>
      <c r="AU192" s="80"/>
      <c r="AV192" s="80"/>
      <c r="AW192" s="80"/>
    </row>
    <row r="193" spans="1:49" ht="31.5" x14ac:dyDescent="0.25">
      <c r="A193" s="53" t="s">
        <v>99</v>
      </c>
      <c r="B193" s="56">
        <v>46072</v>
      </c>
      <c r="C193" s="56">
        <v>46072</v>
      </c>
      <c r="D193" s="58" t="s">
        <v>183</v>
      </c>
      <c r="E193" s="60">
        <v>0.58333333333333337</v>
      </c>
      <c r="F193" s="60">
        <v>0.625</v>
      </c>
      <c r="G193" s="60">
        <v>4.1666666666666664E-2</v>
      </c>
      <c r="H193" s="53" t="s">
        <v>100</v>
      </c>
      <c r="I193" s="65"/>
      <c r="J193" s="53" t="s">
        <v>101</v>
      </c>
      <c r="K193" s="53"/>
      <c r="L193" s="68">
        <v>1</v>
      </c>
      <c r="M193" s="68">
        <v>1</v>
      </c>
      <c r="N193" s="53" t="s">
        <v>33</v>
      </c>
      <c r="O193" s="53"/>
      <c r="P193" s="71">
        <v>0</v>
      </c>
      <c r="Q193" s="68"/>
      <c r="R193" s="71">
        <v>0</v>
      </c>
      <c r="S193" s="53">
        <v>46054</v>
      </c>
      <c r="T193" s="71">
        <v>0</v>
      </c>
      <c r="U193" s="68">
        <v>2</v>
      </c>
      <c r="V193" s="71">
        <v>0</v>
      </c>
      <c r="W193" s="53" t="s">
        <v>34</v>
      </c>
      <c r="X193" s="53" t="s">
        <v>42</v>
      </c>
      <c r="Y193" s="53" t="s">
        <v>36</v>
      </c>
      <c r="Z193" s="53" t="s">
        <v>43</v>
      </c>
      <c r="AA193" s="53" t="s">
        <v>37</v>
      </c>
      <c r="AB193" s="53" t="s">
        <v>37</v>
      </c>
      <c r="AC193" s="53" t="s">
        <v>38</v>
      </c>
      <c r="AD193" s="79" t="s">
        <v>257</v>
      </c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0"/>
      <c r="AS193" s="80"/>
      <c r="AT193" s="80"/>
      <c r="AU193" s="80"/>
      <c r="AV193" s="80"/>
      <c r="AW193" s="80"/>
    </row>
    <row r="194" spans="1:49" ht="31.5" x14ac:dyDescent="0.25">
      <c r="A194" s="53" t="s">
        <v>99</v>
      </c>
      <c r="B194" s="56">
        <v>46072</v>
      </c>
      <c r="C194" s="56">
        <v>46072</v>
      </c>
      <c r="D194" s="58" t="s">
        <v>183</v>
      </c>
      <c r="E194" s="60">
        <v>0.625</v>
      </c>
      <c r="F194" s="60">
        <v>0.64583333333333337</v>
      </c>
      <c r="G194" s="60">
        <v>2.0833333333333332E-2</v>
      </c>
      <c r="H194" s="53" t="s">
        <v>106</v>
      </c>
      <c r="I194" s="65"/>
      <c r="J194" s="53" t="s">
        <v>101</v>
      </c>
      <c r="K194" s="53"/>
      <c r="L194" s="68">
        <v>1</v>
      </c>
      <c r="M194" s="68">
        <v>1</v>
      </c>
      <c r="N194" s="53" t="s">
        <v>33</v>
      </c>
      <c r="O194" s="53"/>
      <c r="P194" s="71">
        <v>0</v>
      </c>
      <c r="Q194" s="68"/>
      <c r="R194" s="71">
        <v>0</v>
      </c>
      <c r="S194" s="53">
        <v>46054</v>
      </c>
      <c r="T194" s="71">
        <v>0</v>
      </c>
      <c r="U194" s="68">
        <v>2</v>
      </c>
      <c r="V194" s="71">
        <v>0</v>
      </c>
      <c r="W194" s="53" t="s">
        <v>34</v>
      </c>
      <c r="X194" s="53" t="s">
        <v>42</v>
      </c>
      <c r="Y194" s="53" t="s">
        <v>36</v>
      </c>
      <c r="Z194" s="53" t="s">
        <v>43</v>
      </c>
      <c r="AA194" s="53" t="s">
        <v>37</v>
      </c>
      <c r="AB194" s="53" t="s">
        <v>37</v>
      </c>
      <c r="AC194" s="53" t="s">
        <v>38</v>
      </c>
      <c r="AD194" s="79" t="s">
        <v>257</v>
      </c>
      <c r="AE194" s="80"/>
      <c r="AF194" s="80"/>
      <c r="AG194" s="80"/>
      <c r="AH194" s="80"/>
      <c r="AI194" s="86"/>
      <c r="AJ194" s="86"/>
      <c r="AK194" s="86"/>
      <c r="AL194" s="86"/>
      <c r="AM194" s="86"/>
      <c r="AN194" s="86"/>
      <c r="AO194" s="86"/>
      <c r="AP194" s="86"/>
      <c r="AQ194" s="86"/>
      <c r="AR194" s="86"/>
      <c r="AS194" s="86"/>
      <c r="AT194" s="86"/>
      <c r="AU194" s="86"/>
      <c r="AV194" s="86"/>
      <c r="AW194" s="86"/>
    </row>
    <row r="195" spans="1:49" ht="31.5" x14ac:dyDescent="0.25">
      <c r="A195" s="53" t="s">
        <v>99</v>
      </c>
      <c r="B195" s="56">
        <v>46072</v>
      </c>
      <c r="C195" s="56">
        <v>46072</v>
      </c>
      <c r="D195" s="58" t="s">
        <v>183</v>
      </c>
      <c r="E195" s="60">
        <v>0.64583333333333337</v>
      </c>
      <c r="F195" s="60">
        <v>0.66666666666666663</v>
      </c>
      <c r="G195" s="60">
        <v>2.0833333333333332E-2</v>
      </c>
      <c r="H195" s="53" t="s">
        <v>107</v>
      </c>
      <c r="I195" s="65"/>
      <c r="J195" s="53" t="s">
        <v>101</v>
      </c>
      <c r="K195" s="53"/>
      <c r="L195" s="68">
        <v>1</v>
      </c>
      <c r="M195" s="68">
        <v>1</v>
      </c>
      <c r="N195" s="53" t="s">
        <v>33</v>
      </c>
      <c r="O195" s="53"/>
      <c r="P195" s="71">
        <v>0</v>
      </c>
      <c r="Q195" s="68"/>
      <c r="R195" s="71">
        <v>0</v>
      </c>
      <c r="S195" s="53">
        <v>46054</v>
      </c>
      <c r="T195" s="71">
        <v>0</v>
      </c>
      <c r="U195" s="68">
        <v>2</v>
      </c>
      <c r="V195" s="71">
        <v>0</v>
      </c>
      <c r="W195" s="53" t="s">
        <v>34</v>
      </c>
      <c r="X195" s="53" t="s">
        <v>42</v>
      </c>
      <c r="Y195" s="53" t="s">
        <v>36</v>
      </c>
      <c r="Z195" s="53" t="s">
        <v>43</v>
      </c>
      <c r="AA195" s="53" t="s">
        <v>37</v>
      </c>
      <c r="AB195" s="53" t="s">
        <v>37</v>
      </c>
      <c r="AC195" s="53" t="s">
        <v>38</v>
      </c>
      <c r="AD195" s="79" t="s">
        <v>257</v>
      </c>
      <c r="AE195" s="80"/>
      <c r="AF195" s="80"/>
      <c r="AG195" s="80"/>
      <c r="AH195" s="80"/>
      <c r="AI195" s="80"/>
      <c r="AJ195" s="80"/>
      <c r="AK195" s="80"/>
      <c r="AL195" s="80"/>
      <c r="AM195" s="80"/>
      <c r="AN195" s="80"/>
      <c r="AO195" s="80"/>
      <c r="AP195" s="80"/>
      <c r="AQ195" s="80"/>
      <c r="AR195" s="80"/>
      <c r="AS195" s="80"/>
      <c r="AT195" s="80"/>
      <c r="AU195" s="80"/>
      <c r="AV195" s="80"/>
      <c r="AW195" s="80"/>
    </row>
    <row r="196" spans="1:49" ht="31.5" x14ac:dyDescent="0.2">
      <c r="A196" s="53" t="s">
        <v>99</v>
      </c>
      <c r="B196" s="56">
        <v>46073</v>
      </c>
      <c r="C196" s="56">
        <v>46073</v>
      </c>
      <c r="D196" s="58" t="s">
        <v>196</v>
      </c>
      <c r="E196" s="60">
        <v>0.58333333333333337</v>
      </c>
      <c r="F196" s="60">
        <v>0.625</v>
      </c>
      <c r="G196" s="60">
        <v>4.1666666666666664E-2</v>
      </c>
      <c r="H196" s="53" t="s">
        <v>100</v>
      </c>
      <c r="I196" s="65"/>
      <c r="J196" s="53" t="s">
        <v>101</v>
      </c>
      <c r="K196" s="53"/>
      <c r="L196" s="68">
        <v>1</v>
      </c>
      <c r="M196" s="68">
        <v>1</v>
      </c>
      <c r="N196" s="53" t="s">
        <v>33</v>
      </c>
      <c r="O196" s="53"/>
      <c r="P196" s="71">
        <v>0</v>
      </c>
      <c r="Q196" s="68"/>
      <c r="R196" s="71">
        <v>0</v>
      </c>
      <c r="S196" s="53">
        <v>46054</v>
      </c>
      <c r="T196" s="71">
        <v>0</v>
      </c>
      <c r="U196" s="68">
        <v>2</v>
      </c>
      <c r="V196" s="71">
        <v>0</v>
      </c>
      <c r="W196" s="53" t="s">
        <v>34</v>
      </c>
      <c r="X196" s="53" t="s">
        <v>42</v>
      </c>
      <c r="Y196" s="53" t="s">
        <v>36</v>
      </c>
      <c r="Z196" s="53" t="s">
        <v>43</v>
      </c>
      <c r="AA196" s="53" t="s">
        <v>37</v>
      </c>
      <c r="AB196" s="53" t="s">
        <v>37</v>
      </c>
      <c r="AC196" s="53" t="s">
        <v>38</v>
      </c>
      <c r="AD196" s="79" t="s">
        <v>257</v>
      </c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</row>
    <row r="197" spans="1:49" ht="31.5" x14ac:dyDescent="0.2">
      <c r="A197" s="53" t="s">
        <v>99</v>
      </c>
      <c r="B197" s="56">
        <v>46073</v>
      </c>
      <c r="C197" s="56">
        <v>46073</v>
      </c>
      <c r="D197" s="58" t="s">
        <v>196</v>
      </c>
      <c r="E197" s="60">
        <v>0.625</v>
      </c>
      <c r="F197" s="60">
        <v>0.64583333333333337</v>
      </c>
      <c r="G197" s="60">
        <v>2.0833333333333332E-2</v>
      </c>
      <c r="H197" s="53" t="s">
        <v>106</v>
      </c>
      <c r="I197" s="65"/>
      <c r="J197" s="53" t="s">
        <v>101</v>
      </c>
      <c r="K197" s="53"/>
      <c r="L197" s="68">
        <v>1</v>
      </c>
      <c r="M197" s="68">
        <v>1</v>
      </c>
      <c r="N197" s="53" t="s">
        <v>33</v>
      </c>
      <c r="O197" s="53"/>
      <c r="P197" s="71">
        <v>0</v>
      </c>
      <c r="Q197" s="68"/>
      <c r="R197" s="71">
        <v>0</v>
      </c>
      <c r="S197" s="53">
        <v>46054</v>
      </c>
      <c r="T197" s="71">
        <v>0</v>
      </c>
      <c r="U197" s="68">
        <v>2</v>
      </c>
      <c r="V197" s="71">
        <v>0</v>
      </c>
      <c r="W197" s="53" t="s">
        <v>34</v>
      </c>
      <c r="X197" s="53" t="s">
        <v>42</v>
      </c>
      <c r="Y197" s="53" t="s">
        <v>36</v>
      </c>
      <c r="Z197" s="53" t="s">
        <v>43</v>
      </c>
      <c r="AA197" s="53" t="s">
        <v>37</v>
      </c>
      <c r="AB197" s="53" t="s">
        <v>37</v>
      </c>
      <c r="AC197" s="53" t="s">
        <v>38</v>
      </c>
      <c r="AD197" s="79" t="s">
        <v>257</v>
      </c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</row>
    <row r="198" spans="1:49" ht="31.5" x14ac:dyDescent="0.25">
      <c r="A198" s="53" t="s">
        <v>99</v>
      </c>
      <c r="B198" s="56">
        <v>46073</v>
      </c>
      <c r="C198" s="56">
        <v>46073</v>
      </c>
      <c r="D198" s="58" t="s">
        <v>196</v>
      </c>
      <c r="E198" s="60">
        <v>0.64583333333333337</v>
      </c>
      <c r="F198" s="60">
        <v>0.66666666666666663</v>
      </c>
      <c r="G198" s="60">
        <v>2.0833333333333332E-2</v>
      </c>
      <c r="H198" s="53" t="s">
        <v>107</v>
      </c>
      <c r="I198" s="65"/>
      <c r="J198" s="53" t="s">
        <v>101</v>
      </c>
      <c r="K198" s="53"/>
      <c r="L198" s="68">
        <v>1</v>
      </c>
      <c r="M198" s="68">
        <v>1</v>
      </c>
      <c r="N198" s="53" t="s">
        <v>33</v>
      </c>
      <c r="O198" s="53"/>
      <c r="P198" s="71">
        <v>0</v>
      </c>
      <c r="Q198" s="68"/>
      <c r="R198" s="71">
        <v>0</v>
      </c>
      <c r="S198" s="53">
        <v>46054</v>
      </c>
      <c r="T198" s="71">
        <v>0</v>
      </c>
      <c r="U198" s="68">
        <v>2</v>
      </c>
      <c r="V198" s="71">
        <v>0</v>
      </c>
      <c r="W198" s="53" t="s">
        <v>34</v>
      </c>
      <c r="X198" s="53" t="s">
        <v>42</v>
      </c>
      <c r="Y198" s="53" t="s">
        <v>36</v>
      </c>
      <c r="Z198" s="53" t="s">
        <v>43</v>
      </c>
      <c r="AA198" s="53" t="s">
        <v>37</v>
      </c>
      <c r="AB198" s="53" t="s">
        <v>37</v>
      </c>
      <c r="AC198" s="53" t="s">
        <v>38</v>
      </c>
      <c r="AD198" s="79" t="s">
        <v>257</v>
      </c>
      <c r="AE198" s="80"/>
      <c r="AF198" s="80"/>
      <c r="AG198" s="80"/>
      <c r="AH198" s="80"/>
      <c r="AI198" s="80"/>
      <c r="AJ198" s="80"/>
      <c r="AK198" s="80"/>
      <c r="AL198" s="80"/>
      <c r="AM198" s="80"/>
      <c r="AN198" s="80"/>
      <c r="AO198" s="80"/>
      <c r="AP198" s="80"/>
      <c r="AQ198" s="80"/>
      <c r="AR198" s="80"/>
      <c r="AS198" s="80"/>
      <c r="AT198" s="80"/>
      <c r="AU198" s="80"/>
      <c r="AV198" s="80"/>
      <c r="AW198" s="80"/>
    </row>
    <row r="199" spans="1:49" ht="31.5" x14ac:dyDescent="0.2">
      <c r="A199" s="53" t="s">
        <v>67</v>
      </c>
      <c r="B199" s="56">
        <v>46069</v>
      </c>
      <c r="C199" s="56">
        <v>46069</v>
      </c>
      <c r="D199" s="58" t="s">
        <v>30</v>
      </c>
      <c r="E199" s="60">
        <v>0.33333333333333331</v>
      </c>
      <c r="F199" s="60">
        <v>0.375</v>
      </c>
      <c r="G199" s="60">
        <v>4.1666666666666664E-2</v>
      </c>
      <c r="H199" s="53" t="s">
        <v>68</v>
      </c>
      <c r="I199" s="65"/>
      <c r="J199" s="53" t="s">
        <v>69</v>
      </c>
      <c r="K199" s="53"/>
      <c r="L199" s="68">
        <v>1</v>
      </c>
      <c r="M199" s="68">
        <v>1</v>
      </c>
      <c r="N199" s="53" t="s">
        <v>33</v>
      </c>
      <c r="O199" s="53"/>
      <c r="P199" s="71">
        <v>0</v>
      </c>
      <c r="Q199" s="68"/>
      <c r="R199" s="71">
        <v>0</v>
      </c>
      <c r="S199" s="53">
        <v>46054</v>
      </c>
      <c r="T199" s="71">
        <v>0</v>
      </c>
      <c r="U199" s="68">
        <v>2</v>
      </c>
      <c r="V199" s="71">
        <v>0</v>
      </c>
      <c r="W199" s="53" t="s">
        <v>34</v>
      </c>
      <c r="X199" s="53" t="s">
        <v>42</v>
      </c>
      <c r="Y199" s="53" t="s">
        <v>36</v>
      </c>
      <c r="Z199" s="53" t="s">
        <v>43</v>
      </c>
      <c r="AA199" s="53" t="s">
        <v>37</v>
      </c>
      <c r="AB199" s="53" t="s">
        <v>37</v>
      </c>
      <c r="AC199" s="53" t="s">
        <v>38</v>
      </c>
      <c r="AD199" s="79" t="s">
        <v>257</v>
      </c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</row>
    <row r="200" spans="1:49" ht="31.5" x14ac:dyDescent="0.2">
      <c r="A200" s="53" t="s">
        <v>67</v>
      </c>
      <c r="B200" s="56">
        <v>46069</v>
      </c>
      <c r="C200" s="56">
        <v>46069</v>
      </c>
      <c r="D200" s="58" t="s">
        <v>30</v>
      </c>
      <c r="E200" s="60">
        <v>0.375</v>
      </c>
      <c r="F200" s="60">
        <v>0.41666666666666669</v>
      </c>
      <c r="G200" s="60">
        <v>4.1666666666666664E-2</v>
      </c>
      <c r="H200" s="53" t="s">
        <v>75</v>
      </c>
      <c r="I200" s="65"/>
      <c r="J200" s="53" t="s">
        <v>69</v>
      </c>
      <c r="K200" s="53"/>
      <c r="L200" s="68">
        <v>1</v>
      </c>
      <c r="M200" s="68">
        <v>1</v>
      </c>
      <c r="N200" s="53" t="s">
        <v>33</v>
      </c>
      <c r="O200" s="53"/>
      <c r="P200" s="71">
        <v>0</v>
      </c>
      <c r="Q200" s="68"/>
      <c r="R200" s="71">
        <v>0</v>
      </c>
      <c r="S200" s="53">
        <v>46054</v>
      </c>
      <c r="T200" s="71">
        <v>0</v>
      </c>
      <c r="U200" s="68">
        <v>2</v>
      </c>
      <c r="V200" s="71">
        <v>0</v>
      </c>
      <c r="W200" s="53" t="s">
        <v>34</v>
      </c>
      <c r="X200" s="53" t="s">
        <v>42</v>
      </c>
      <c r="Y200" s="53" t="s">
        <v>36</v>
      </c>
      <c r="Z200" s="53" t="s">
        <v>43</v>
      </c>
      <c r="AA200" s="53" t="s">
        <v>37</v>
      </c>
      <c r="AB200" s="53" t="s">
        <v>37</v>
      </c>
      <c r="AC200" s="53" t="s">
        <v>38</v>
      </c>
      <c r="AD200" s="79" t="s">
        <v>257</v>
      </c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</row>
    <row r="201" spans="1:49" ht="31.5" x14ac:dyDescent="0.25">
      <c r="A201" s="53" t="s">
        <v>67</v>
      </c>
      <c r="B201" s="56">
        <v>46070</v>
      </c>
      <c r="C201" s="56">
        <v>46070</v>
      </c>
      <c r="D201" s="58" t="s">
        <v>145</v>
      </c>
      <c r="E201" s="60">
        <v>0.33333333333333331</v>
      </c>
      <c r="F201" s="60">
        <v>0.375</v>
      </c>
      <c r="G201" s="60">
        <v>4.1666666666666664E-2</v>
      </c>
      <c r="H201" s="53" t="s">
        <v>68</v>
      </c>
      <c r="I201" s="65"/>
      <c r="J201" s="53" t="s">
        <v>69</v>
      </c>
      <c r="K201" s="53"/>
      <c r="L201" s="68">
        <v>1</v>
      </c>
      <c r="M201" s="68">
        <v>1</v>
      </c>
      <c r="N201" s="53" t="s">
        <v>33</v>
      </c>
      <c r="O201" s="53"/>
      <c r="P201" s="71">
        <v>0</v>
      </c>
      <c r="Q201" s="68"/>
      <c r="R201" s="71">
        <v>0</v>
      </c>
      <c r="S201" s="53">
        <v>46054</v>
      </c>
      <c r="T201" s="71">
        <v>0</v>
      </c>
      <c r="U201" s="68">
        <v>2</v>
      </c>
      <c r="V201" s="71">
        <v>0</v>
      </c>
      <c r="W201" s="53" t="s">
        <v>34</v>
      </c>
      <c r="X201" s="53" t="s">
        <v>42</v>
      </c>
      <c r="Y201" s="53" t="s">
        <v>36</v>
      </c>
      <c r="Z201" s="53" t="s">
        <v>43</v>
      </c>
      <c r="AA201" s="53" t="s">
        <v>37</v>
      </c>
      <c r="AB201" s="53" t="s">
        <v>37</v>
      </c>
      <c r="AC201" s="53" t="s">
        <v>38</v>
      </c>
      <c r="AD201" s="79" t="s">
        <v>257</v>
      </c>
      <c r="AE201" s="80"/>
      <c r="AF201" s="80"/>
      <c r="AG201" s="80"/>
      <c r="AH201" s="80"/>
      <c r="AI201" s="80"/>
      <c r="AJ201" s="80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</row>
    <row r="202" spans="1:49" ht="31.5" x14ac:dyDescent="0.25">
      <c r="A202" s="53" t="s">
        <v>67</v>
      </c>
      <c r="B202" s="56">
        <v>46070</v>
      </c>
      <c r="C202" s="56">
        <v>46070</v>
      </c>
      <c r="D202" s="58" t="s">
        <v>145</v>
      </c>
      <c r="E202" s="60">
        <v>0.375</v>
      </c>
      <c r="F202" s="60">
        <v>0.41666666666666669</v>
      </c>
      <c r="G202" s="60">
        <v>4.1666666666666664E-2</v>
      </c>
      <c r="H202" s="53" t="s">
        <v>75</v>
      </c>
      <c r="I202" s="65"/>
      <c r="J202" s="53" t="s">
        <v>69</v>
      </c>
      <c r="K202" s="53"/>
      <c r="L202" s="68">
        <v>1</v>
      </c>
      <c r="M202" s="68">
        <v>1</v>
      </c>
      <c r="N202" s="53" t="s">
        <v>33</v>
      </c>
      <c r="O202" s="53"/>
      <c r="P202" s="71">
        <v>0</v>
      </c>
      <c r="Q202" s="68"/>
      <c r="R202" s="71">
        <v>0</v>
      </c>
      <c r="S202" s="53">
        <v>46054</v>
      </c>
      <c r="T202" s="71">
        <v>0</v>
      </c>
      <c r="U202" s="68">
        <v>2</v>
      </c>
      <c r="V202" s="71">
        <v>0</v>
      </c>
      <c r="W202" s="53" t="s">
        <v>34</v>
      </c>
      <c r="X202" s="53" t="s">
        <v>42</v>
      </c>
      <c r="Y202" s="53" t="s">
        <v>36</v>
      </c>
      <c r="Z202" s="53" t="s">
        <v>43</v>
      </c>
      <c r="AA202" s="53" t="s">
        <v>37</v>
      </c>
      <c r="AB202" s="53" t="s">
        <v>37</v>
      </c>
      <c r="AC202" s="53" t="s">
        <v>38</v>
      </c>
      <c r="AD202" s="79" t="s">
        <v>257</v>
      </c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</row>
    <row r="203" spans="1:49" ht="31.5" x14ac:dyDescent="0.2">
      <c r="A203" s="53" t="s">
        <v>67</v>
      </c>
      <c r="B203" s="56">
        <v>46071</v>
      </c>
      <c r="C203" s="56">
        <v>46071</v>
      </c>
      <c r="D203" s="58" t="s">
        <v>177</v>
      </c>
      <c r="E203" s="60">
        <v>0.33333333333333331</v>
      </c>
      <c r="F203" s="60">
        <v>0.375</v>
      </c>
      <c r="G203" s="60">
        <v>4.1666666666666664E-2</v>
      </c>
      <c r="H203" s="53" t="s">
        <v>68</v>
      </c>
      <c r="I203" s="65"/>
      <c r="J203" s="53" t="s">
        <v>69</v>
      </c>
      <c r="K203" s="53"/>
      <c r="L203" s="68">
        <v>1</v>
      </c>
      <c r="M203" s="68">
        <v>1</v>
      </c>
      <c r="N203" s="53" t="s">
        <v>33</v>
      </c>
      <c r="O203" s="53"/>
      <c r="P203" s="71">
        <v>0</v>
      </c>
      <c r="Q203" s="68"/>
      <c r="R203" s="71">
        <v>0</v>
      </c>
      <c r="S203" s="53">
        <v>46054</v>
      </c>
      <c r="T203" s="71">
        <v>0</v>
      </c>
      <c r="U203" s="68">
        <v>2</v>
      </c>
      <c r="V203" s="71">
        <v>0</v>
      </c>
      <c r="W203" s="53" t="s">
        <v>34</v>
      </c>
      <c r="X203" s="53" t="s">
        <v>42</v>
      </c>
      <c r="Y203" s="53" t="s">
        <v>36</v>
      </c>
      <c r="Z203" s="53" t="s">
        <v>43</v>
      </c>
      <c r="AA203" s="53" t="s">
        <v>37</v>
      </c>
      <c r="AB203" s="53" t="s">
        <v>37</v>
      </c>
      <c r="AC203" s="53" t="s">
        <v>38</v>
      </c>
      <c r="AD203" s="79" t="s">
        <v>257</v>
      </c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</row>
    <row r="204" spans="1:49" ht="31.5" x14ac:dyDescent="0.2">
      <c r="A204" s="53" t="s">
        <v>67</v>
      </c>
      <c r="B204" s="56">
        <v>46071</v>
      </c>
      <c r="C204" s="56">
        <v>46071</v>
      </c>
      <c r="D204" s="58" t="s">
        <v>177</v>
      </c>
      <c r="E204" s="60">
        <v>0.375</v>
      </c>
      <c r="F204" s="60">
        <v>0.41666666666666669</v>
      </c>
      <c r="G204" s="60">
        <v>4.1666666666666664E-2</v>
      </c>
      <c r="H204" s="53" t="s">
        <v>75</v>
      </c>
      <c r="I204" s="65"/>
      <c r="J204" s="53" t="s">
        <v>69</v>
      </c>
      <c r="K204" s="53"/>
      <c r="L204" s="68">
        <v>1</v>
      </c>
      <c r="M204" s="68">
        <v>1</v>
      </c>
      <c r="N204" s="53" t="s">
        <v>33</v>
      </c>
      <c r="O204" s="53"/>
      <c r="P204" s="71">
        <v>0</v>
      </c>
      <c r="Q204" s="68"/>
      <c r="R204" s="71">
        <v>0</v>
      </c>
      <c r="S204" s="53">
        <v>46054</v>
      </c>
      <c r="T204" s="71">
        <v>0</v>
      </c>
      <c r="U204" s="68">
        <v>2</v>
      </c>
      <c r="V204" s="71">
        <v>0</v>
      </c>
      <c r="W204" s="53" t="s">
        <v>34</v>
      </c>
      <c r="X204" s="53" t="s">
        <v>42</v>
      </c>
      <c r="Y204" s="53" t="s">
        <v>36</v>
      </c>
      <c r="Z204" s="53" t="s">
        <v>43</v>
      </c>
      <c r="AA204" s="53" t="s">
        <v>37</v>
      </c>
      <c r="AB204" s="53" t="s">
        <v>37</v>
      </c>
      <c r="AC204" s="53" t="s">
        <v>38</v>
      </c>
      <c r="AD204" s="79" t="s">
        <v>257</v>
      </c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</row>
    <row r="205" spans="1:49" ht="31.5" x14ac:dyDescent="0.2">
      <c r="A205" s="53" t="s">
        <v>67</v>
      </c>
      <c r="B205" s="56">
        <v>46072</v>
      </c>
      <c r="C205" s="56">
        <v>46072</v>
      </c>
      <c r="D205" s="58" t="s">
        <v>183</v>
      </c>
      <c r="E205" s="60">
        <v>0.33333333333333331</v>
      </c>
      <c r="F205" s="60">
        <v>0.375</v>
      </c>
      <c r="G205" s="60">
        <v>4.1666666666666664E-2</v>
      </c>
      <c r="H205" s="53" t="s">
        <v>68</v>
      </c>
      <c r="I205" s="65"/>
      <c r="J205" s="53" t="s">
        <v>69</v>
      </c>
      <c r="K205" s="53"/>
      <c r="L205" s="68">
        <v>1</v>
      </c>
      <c r="M205" s="68">
        <v>1</v>
      </c>
      <c r="N205" s="53" t="s">
        <v>33</v>
      </c>
      <c r="O205" s="53"/>
      <c r="P205" s="71">
        <v>0</v>
      </c>
      <c r="Q205" s="68"/>
      <c r="R205" s="71">
        <v>0</v>
      </c>
      <c r="S205" s="53">
        <v>46054</v>
      </c>
      <c r="T205" s="71">
        <v>0</v>
      </c>
      <c r="U205" s="68">
        <v>2</v>
      </c>
      <c r="V205" s="71">
        <v>0</v>
      </c>
      <c r="W205" s="53" t="s">
        <v>34</v>
      </c>
      <c r="X205" s="53" t="s">
        <v>42</v>
      </c>
      <c r="Y205" s="53" t="s">
        <v>36</v>
      </c>
      <c r="Z205" s="53" t="s">
        <v>43</v>
      </c>
      <c r="AA205" s="53" t="s">
        <v>37</v>
      </c>
      <c r="AB205" s="53" t="s">
        <v>37</v>
      </c>
      <c r="AC205" s="53" t="s">
        <v>38</v>
      </c>
      <c r="AD205" s="79" t="s">
        <v>257</v>
      </c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</row>
    <row r="206" spans="1:49" ht="31.5" x14ac:dyDescent="0.2">
      <c r="A206" s="53" t="s">
        <v>67</v>
      </c>
      <c r="B206" s="56">
        <v>46072</v>
      </c>
      <c r="C206" s="56">
        <v>46072</v>
      </c>
      <c r="D206" s="58" t="s">
        <v>183</v>
      </c>
      <c r="E206" s="60">
        <v>0.375</v>
      </c>
      <c r="F206" s="60">
        <v>0.41666666666666669</v>
      </c>
      <c r="G206" s="60">
        <v>4.1666666666666664E-2</v>
      </c>
      <c r="H206" s="53" t="s">
        <v>75</v>
      </c>
      <c r="I206" s="65"/>
      <c r="J206" s="53" t="s">
        <v>69</v>
      </c>
      <c r="K206" s="53"/>
      <c r="L206" s="68">
        <v>1</v>
      </c>
      <c r="M206" s="68">
        <v>1</v>
      </c>
      <c r="N206" s="53" t="s">
        <v>33</v>
      </c>
      <c r="O206" s="53"/>
      <c r="P206" s="71">
        <v>0</v>
      </c>
      <c r="Q206" s="68"/>
      <c r="R206" s="71">
        <v>0</v>
      </c>
      <c r="S206" s="53">
        <v>46054</v>
      </c>
      <c r="T206" s="71">
        <v>0</v>
      </c>
      <c r="U206" s="68">
        <v>2</v>
      </c>
      <c r="V206" s="71">
        <v>0</v>
      </c>
      <c r="W206" s="53" t="s">
        <v>34</v>
      </c>
      <c r="X206" s="53" t="s">
        <v>42</v>
      </c>
      <c r="Y206" s="53" t="s">
        <v>36</v>
      </c>
      <c r="Z206" s="53" t="s">
        <v>43</v>
      </c>
      <c r="AA206" s="53" t="s">
        <v>37</v>
      </c>
      <c r="AB206" s="53" t="s">
        <v>37</v>
      </c>
      <c r="AC206" s="53" t="s">
        <v>38</v>
      </c>
      <c r="AD206" s="79" t="s">
        <v>257</v>
      </c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</row>
    <row r="207" spans="1:49" ht="31.5" x14ac:dyDescent="0.2">
      <c r="A207" s="53" t="s">
        <v>67</v>
      </c>
      <c r="B207" s="56">
        <v>46073</v>
      </c>
      <c r="C207" s="56">
        <v>46073</v>
      </c>
      <c r="D207" s="58" t="s">
        <v>196</v>
      </c>
      <c r="E207" s="60">
        <v>0.33333333333333331</v>
      </c>
      <c r="F207" s="60">
        <v>0.375</v>
      </c>
      <c r="G207" s="60">
        <v>4.1666666666666664E-2</v>
      </c>
      <c r="H207" s="53" t="s">
        <v>68</v>
      </c>
      <c r="I207" s="65"/>
      <c r="J207" s="53" t="s">
        <v>69</v>
      </c>
      <c r="K207" s="53"/>
      <c r="L207" s="68">
        <v>1</v>
      </c>
      <c r="M207" s="68">
        <v>1</v>
      </c>
      <c r="N207" s="53" t="s">
        <v>33</v>
      </c>
      <c r="O207" s="53"/>
      <c r="P207" s="71">
        <v>0</v>
      </c>
      <c r="Q207" s="68"/>
      <c r="R207" s="71">
        <v>0</v>
      </c>
      <c r="S207" s="53">
        <v>46054</v>
      </c>
      <c r="T207" s="71">
        <v>0</v>
      </c>
      <c r="U207" s="68">
        <v>2</v>
      </c>
      <c r="V207" s="71">
        <v>0</v>
      </c>
      <c r="W207" s="53" t="s">
        <v>34</v>
      </c>
      <c r="X207" s="53" t="s">
        <v>42</v>
      </c>
      <c r="Y207" s="53" t="s">
        <v>36</v>
      </c>
      <c r="Z207" s="53" t="s">
        <v>43</v>
      </c>
      <c r="AA207" s="53" t="s">
        <v>37</v>
      </c>
      <c r="AB207" s="53" t="s">
        <v>37</v>
      </c>
      <c r="AC207" s="53" t="s">
        <v>38</v>
      </c>
      <c r="AD207" s="79" t="s">
        <v>257</v>
      </c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</row>
    <row r="208" spans="1:49" ht="31.5" x14ac:dyDescent="0.25">
      <c r="A208" s="53" t="s">
        <v>67</v>
      </c>
      <c r="B208" s="56">
        <v>46073</v>
      </c>
      <c r="C208" s="56">
        <v>46073</v>
      </c>
      <c r="D208" s="58" t="s">
        <v>196</v>
      </c>
      <c r="E208" s="60">
        <v>0.375</v>
      </c>
      <c r="F208" s="60">
        <v>0.41666666666666669</v>
      </c>
      <c r="G208" s="60">
        <v>4.1666666666666664E-2</v>
      </c>
      <c r="H208" s="53" t="s">
        <v>75</v>
      </c>
      <c r="I208" s="65"/>
      <c r="J208" s="53" t="s">
        <v>69</v>
      </c>
      <c r="K208" s="53"/>
      <c r="L208" s="68">
        <v>1</v>
      </c>
      <c r="M208" s="68">
        <v>1</v>
      </c>
      <c r="N208" s="53" t="s">
        <v>33</v>
      </c>
      <c r="O208" s="53"/>
      <c r="P208" s="71">
        <v>0</v>
      </c>
      <c r="Q208" s="68"/>
      <c r="R208" s="71">
        <v>0</v>
      </c>
      <c r="S208" s="53">
        <v>46054</v>
      </c>
      <c r="T208" s="71">
        <v>0</v>
      </c>
      <c r="U208" s="68">
        <v>2</v>
      </c>
      <c r="V208" s="71">
        <v>0</v>
      </c>
      <c r="W208" s="53" t="s">
        <v>34</v>
      </c>
      <c r="X208" s="53" t="s">
        <v>42</v>
      </c>
      <c r="Y208" s="53" t="s">
        <v>36</v>
      </c>
      <c r="Z208" s="53" t="s">
        <v>43</v>
      </c>
      <c r="AA208" s="53" t="s">
        <v>37</v>
      </c>
      <c r="AB208" s="53" t="s">
        <v>37</v>
      </c>
      <c r="AC208" s="53" t="s">
        <v>38</v>
      </c>
      <c r="AD208" s="79" t="s">
        <v>257</v>
      </c>
      <c r="AE208" s="80"/>
      <c r="AF208" s="80"/>
      <c r="AG208" s="80"/>
      <c r="AH208" s="80"/>
      <c r="AI208" s="80"/>
      <c r="AJ208" s="80"/>
      <c r="AK208" s="80"/>
      <c r="AL208" s="80"/>
      <c r="AM208" s="80"/>
      <c r="AN208" s="80"/>
      <c r="AO208" s="80"/>
      <c r="AP208" s="80"/>
      <c r="AQ208" s="80"/>
      <c r="AR208" s="80"/>
      <c r="AS208" s="80"/>
      <c r="AT208" s="80"/>
      <c r="AU208" s="80"/>
      <c r="AV208" s="80"/>
      <c r="AW208" s="80"/>
    </row>
    <row r="209" spans="1:49" ht="31.5" x14ac:dyDescent="0.25">
      <c r="A209" s="53" t="s">
        <v>67</v>
      </c>
      <c r="B209" s="56">
        <v>46074</v>
      </c>
      <c r="C209" s="56">
        <v>46074</v>
      </c>
      <c r="D209" s="58" t="s">
        <v>214</v>
      </c>
      <c r="E209" s="60">
        <v>0.33333333333333331</v>
      </c>
      <c r="F209" s="60">
        <v>0.41666666666666669</v>
      </c>
      <c r="G209" s="60">
        <v>8.3333333333333329E-2</v>
      </c>
      <c r="H209" s="53" t="s">
        <v>75</v>
      </c>
      <c r="I209" s="65" t="s">
        <v>216</v>
      </c>
      <c r="J209" s="53" t="s">
        <v>69</v>
      </c>
      <c r="K209" s="53"/>
      <c r="L209" s="68">
        <v>1</v>
      </c>
      <c r="M209" s="68">
        <v>1</v>
      </c>
      <c r="N209" s="53" t="s">
        <v>33</v>
      </c>
      <c r="O209" s="53"/>
      <c r="P209" s="71">
        <v>0</v>
      </c>
      <c r="Q209" s="68"/>
      <c r="R209" s="71">
        <v>0</v>
      </c>
      <c r="S209" s="53">
        <v>46054</v>
      </c>
      <c r="T209" s="71">
        <v>0</v>
      </c>
      <c r="U209" s="68">
        <v>2</v>
      </c>
      <c r="V209" s="71">
        <v>0</v>
      </c>
      <c r="W209" s="53" t="s">
        <v>34</v>
      </c>
      <c r="X209" s="53" t="s">
        <v>42</v>
      </c>
      <c r="Y209" s="53" t="s">
        <v>36</v>
      </c>
      <c r="Z209" s="53" t="s">
        <v>43</v>
      </c>
      <c r="AA209" s="53" t="s">
        <v>37</v>
      </c>
      <c r="AB209" s="53" t="s">
        <v>37</v>
      </c>
      <c r="AC209" s="53" t="s">
        <v>38</v>
      </c>
      <c r="AD209" s="79" t="s">
        <v>257</v>
      </c>
      <c r="AE209" s="80"/>
      <c r="AF209" s="80"/>
      <c r="AG209" s="80"/>
      <c r="AH209" s="80"/>
      <c r="AI209" s="86"/>
      <c r="AJ209" s="86"/>
      <c r="AK209" s="86"/>
      <c r="AL209" s="86"/>
      <c r="AM209" s="86"/>
      <c r="AN209" s="86"/>
      <c r="AO209" s="86"/>
      <c r="AP209" s="86"/>
      <c r="AQ209" s="86"/>
      <c r="AR209" s="86"/>
      <c r="AS209" s="86"/>
      <c r="AT209" s="86"/>
      <c r="AU209" s="86"/>
      <c r="AV209" s="86"/>
      <c r="AW209" s="86"/>
    </row>
    <row r="210" spans="1:49" ht="31.5" x14ac:dyDescent="0.2">
      <c r="A210" s="53" t="s">
        <v>67</v>
      </c>
      <c r="B210" s="56">
        <v>46075</v>
      </c>
      <c r="C210" s="56">
        <v>46075</v>
      </c>
      <c r="D210" s="58" t="s">
        <v>243</v>
      </c>
      <c r="E210" s="60">
        <v>0.33333333333333331</v>
      </c>
      <c r="F210" s="60">
        <v>0.41666666666666669</v>
      </c>
      <c r="G210" s="60">
        <v>8.3333333333333329E-2</v>
      </c>
      <c r="H210" s="53" t="s">
        <v>75</v>
      </c>
      <c r="I210" s="65" t="s">
        <v>216</v>
      </c>
      <c r="J210" s="53" t="s">
        <v>69</v>
      </c>
      <c r="K210" s="53"/>
      <c r="L210" s="68">
        <v>1</v>
      </c>
      <c r="M210" s="68">
        <v>1</v>
      </c>
      <c r="N210" s="53" t="s">
        <v>33</v>
      </c>
      <c r="O210" s="53"/>
      <c r="P210" s="71">
        <v>0</v>
      </c>
      <c r="Q210" s="68"/>
      <c r="R210" s="71">
        <v>0</v>
      </c>
      <c r="S210" s="53">
        <v>46054</v>
      </c>
      <c r="T210" s="71">
        <v>0</v>
      </c>
      <c r="U210" s="68">
        <v>2</v>
      </c>
      <c r="V210" s="71">
        <v>0</v>
      </c>
      <c r="W210" s="53" t="s">
        <v>34</v>
      </c>
      <c r="X210" s="53" t="s">
        <v>42</v>
      </c>
      <c r="Y210" s="53" t="s">
        <v>36</v>
      </c>
      <c r="Z210" s="53" t="s">
        <v>43</v>
      </c>
      <c r="AA210" s="53" t="s">
        <v>37</v>
      </c>
      <c r="AB210" s="53" t="s">
        <v>37</v>
      </c>
      <c r="AC210" s="53" t="s">
        <v>38</v>
      </c>
      <c r="AD210" s="79" t="s">
        <v>257</v>
      </c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</row>
    <row r="211" spans="1:49" ht="31.5" x14ac:dyDescent="0.25">
      <c r="A211" s="53" t="s">
        <v>244</v>
      </c>
      <c r="B211" s="56">
        <v>46075</v>
      </c>
      <c r="C211" s="56">
        <v>46075</v>
      </c>
      <c r="D211" s="58" t="s">
        <v>243</v>
      </c>
      <c r="E211" s="60">
        <v>0.25</v>
      </c>
      <c r="F211" s="60">
        <v>0.29166666666666669</v>
      </c>
      <c r="G211" s="60">
        <v>4.1666666666666664E-2</v>
      </c>
      <c r="H211" s="53" t="s">
        <v>245</v>
      </c>
      <c r="I211" s="65"/>
      <c r="J211" s="53" t="s">
        <v>32</v>
      </c>
      <c r="K211" s="53" t="s">
        <v>245</v>
      </c>
      <c r="L211" s="68">
        <v>1</v>
      </c>
      <c r="M211" s="68">
        <v>1</v>
      </c>
      <c r="N211" s="53" t="s">
        <v>33</v>
      </c>
      <c r="O211" s="53"/>
      <c r="P211" s="72">
        <v>183.33333333333334</v>
      </c>
      <c r="Q211" s="68"/>
      <c r="R211" s="71">
        <v>183.33333333333334</v>
      </c>
      <c r="S211" s="53">
        <v>46054</v>
      </c>
      <c r="T211" s="71">
        <v>27.5</v>
      </c>
      <c r="U211" s="68">
        <v>1</v>
      </c>
      <c r="V211" s="71">
        <v>155.83333333333334</v>
      </c>
      <c r="W211" s="53" t="s">
        <v>246</v>
      </c>
      <c r="X211" s="53" t="s">
        <v>35</v>
      </c>
      <c r="Y211" s="53" t="s">
        <v>36</v>
      </c>
      <c r="Z211" s="53" t="s">
        <v>9</v>
      </c>
      <c r="AA211" s="53" t="s">
        <v>50</v>
      </c>
      <c r="AB211" s="53" t="s">
        <v>37</v>
      </c>
      <c r="AC211" s="53" t="s">
        <v>38</v>
      </c>
      <c r="AD211" s="79" t="s">
        <v>257</v>
      </c>
      <c r="AE211" s="82"/>
      <c r="AF211" s="82"/>
      <c r="AG211" s="82"/>
      <c r="AH211" s="82"/>
      <c r="AI211" s="84"/>
      <c r="AJ211" s="84"/>
      <c r="AK211" s="84"/>
      <c r="AL211" s="84"/>
      <c r="AM211" s="84"/>
      <c r="AN211" s="84"/>
      <c r="AO211" s="84"/>
      <c r="AP211" s="84"/>
      <c r="AQ211" s="84"/>
      <c r="AR211" s="84"/>
      <c r="AS211" s="84"/>
      <c r="AT211" s="84"/>
      <c r="AU211" s="84"/>
      <c r="AV211" s="84"/>
      <c r="AW211" s="84"/>
    </row>
    <row r="212" spans="1:49" ht="31.5" x14ac:dyDescent="0.25">
      <c r="A212" s="52" t="s">
        <v>70</v>
      </c>
      <c r="B212" s="55">
        <v>46069</v>
      </c>
      <c r="C212" s="55">
        <v>46069</v>
      </c>
      <c r="D212" s="52" t="s">
        <v>30</v>
      </c>
      <c r="E212" s="59">
        <v>0.33333333333333331</v>
      </c>
      <c r="F212" s="59">
        <v>0.41666666666666669</v>
      </c>
      <c r="G212" s="59">
        <v>3.4722222222222218E-4</v>
      </c>
      <c r="H212" s="52" t="s">
        <v>71</v>
      </c>
      <c r="I212" s="64">
        <v>0.34416666666666668</v>
      </c>
      <c r="J212" s="52" t="s">
        <v>69</v>
      </c>
      <c r="K212" s="52" t="s">
        <v>68</v>
      </c>
      <c r="L212" s="67">
        <v>1</v>
      </c>
      <c r="M212" s="67">
        <v>70996</v>
      </c>
      <c r="N212" s="52" t="s">
        <v>46</v>
      </c>
      <c r="O212" s="67" t="s">
        <v>38</v>
      </c>
      <c r="P212" s="70">
        <v>0</v>
      </c>
      <c r="Q212" s="67"/>
      <c r="R212" s="70">
        <v>0</v>
      </c>
      <c r="S212" s="75">
        <v>46054</v>
      </c>
      <c r="T212" s="70">
        <v>0</v>
      </c>
      <c r="U212" s="77">
        <v>4</v>
      </c>
      <c r="V212" s="70">
        <v>0</v>
      </c>
      <c r="W212" s="52" t="s">
        <v>48</v>
      </c>
      <c r="X212" s="52" t="s">
        <v>49</v>
      </c>
      <c r="Y212" s="52" t="s">
        <v>36</v>
      </c>
      <c r="Z212" s="52" t="s">
        <v>9</v>
      </c>
      <c r="AA212" s="52" t="s">
        <v>50</v>
      </c>
      <c r="AB212" s="52" t="s">
        <v>72</v>
      </c>
      <c r="AC212" s="52" t="s">
        <v>38</v>
      </c>
      <c r="AD212" s="79" t="s">
        <v>257</v>
      </c>
      <c r="AE212" s="80"/>
      <c r="AF212" s="80"/>
      <c r="AG212" s="80"/>
      <c r="AH212" s="80"/>
      <c r="AI212" s="80"/>
      <c r="AJ212" s="80"/>
      <c r="AK212" s="80"/>
      <c r="AL212" s="80"/>
      <c r="AM212" s="80"/>
      <c r="AN212" s="80"/>
      <c r="AO212" s="80"/>
      <c r="AP212" s="80"/>
      <c r="AQ212" s="80"/>
      <c r="AR212" s="80"/>
      <c r="AS212" s="80"/>
      <c r="AT212" s="80"/>
      <c r="AU212" s="80"/>
      <c r="AV212" s="80"/>
      <c r="AW212" s="80"/>
    </row>
    <row r="213" spans="1:49" ht="31.5" x14ac:dyDescent="0.25">
      <c r="A213" s="52" t="s">
        <v>70</v>
      </c>
      <c r="B213" s="55">
        <v>46069</v>
      </c>
      <c r="C213" s="55">
        <v>46069</v>
      </c>
      <c r="D213" s="52" t="s">
        <v>30</v>
      </c>
      <c r="E213" s="59">
        <v>0.33333333333333331</v>
      </c>
      <c r="F213" s="59">
        <v>0.41666666666666669</v>
      </c>
      <c r="G213" s="59">
        <v>3.4722222222222218E-4</v>
      </c>
      <c r="H213" s="52" t="s">
        <v>71</v>
      </c>
      <c r="I213" s="64">
        <v>0.38946759259259262</v>
      </c>
      <c r="J213" s="52" t="s">
        <v>69</v>
      </c>
      <c r="K213" s="52" t="s">
        <v>75</v>
      </c>
      <c r="L213" s="67">
        <v>1</v>
      </c>
      <c r="M213" s="67">
        <v>70994</v>
      </c>
      <c r="N213" s="52" t="s">
        <v>54</v>
      </c>
      <c r="O213" s="67" t="s">
        <v>38</v>
      </c>
      <c r="P213" s="70">
        <v>58.82</v>
      </c>
      <c r="Q213" s="67"/>
      <c r="R213" s="70">
        <v>58.82</v>
      </c>
      <c r="S213" s="75">
        <v>46054</v>
      </c>
      <c r="T213" s="70">
        <v>4.4115000000000002</v>
      </c>
      <c r="U213" s="77">
        <v>4</v>
      </c>
      <c r="V213" s="70">
        <v>54.408500000000004</v>
      </c>
      <c r="W213" s="52" t="s">
        <v>48</v>
      </c>
      <c r="X213" s="52" t="s">
        <v>49</v>
      </c>
      <c r="Y213" s="52" t="s">
        <v>36</v>
      </c>
      <c r="Z213" s="52" t="s">
        <v>9</v>
      </c>
      <c r="AA213" s="52" t="s">
        <v>50</v>
      </c>
      <c r="AB213" s="52" t="s">
        <v>72</v>
      </c>
      <c r="AC213" s="52" t="s">
        <v>38</v>
      </c>
      <c r="AD213" s="79" t="s">
        <v>257</v>
      </c>
      <c r="AE213" s="83"/>
      <c r="AF213" s="83"/>
      <c r="AG213" s="83"/>
      <c r="AH213" s="83"/>
      <c r="AI213" s="82"/>
      <c r="AJ213" s="82"/>
      <c r="AK213" s="82"/>
      <c r="AL213" s="82"/>
      <c r="AM213" s="82"/>
      <c r="AN213" s="82"/>
      <c r="AO213" s="82"/>
      <c r="AP213" s="82"/>
      <c r="AQ213" s="82"/>
      <c r="AR213" s="82"/>
      <c r="AS213" s="82"/>
      <c r="AT213" s="82"/>
      <c r="AU213" s="82"/>
      <c r="AV213" s="82"/>
      <c r="AW213" s="82"/>
    </row>
    <row r="214" spans="1:49" ht="31.5" x14ac:dyDescent="0.2">
      <c r="A214" s="52" t="s">
        <v>70</v>
      </c>
      <c r="B214" s="55">
        <v>46069</v>
      </c>
      <c r="C214" s="55">
        <v>46069</v>
      </c>
      <c r="D214" s="52" t="s">
        <v>30</v>
      </c>
      <c r="E214" s="59">
        <v>0.79166666666666663</v>
      </c>
      <c r="F214" s="59">
        <v>0.83333333333333337</v>
      </c>
      <c r="G214" s="59">
        <v>3.4722222222222218E-4</v>
      </c>
      <c r="H214" s="52" t="s">
        <v>132</v>
      </c>
      <c r="I214" s="64">
        <v>0.82224537037037038</v>
      </c>
      <c r="J214" s="52" t="s">
        <v>120</v>
      </c>
      <c r="K214" s="52" t="s">
        <v>142</v>
      </c>
      <c r="L214" s="67">
        <v>1</v>
      </c>
      <c r="M214" s="67">
        <v>70979</v>
      </c>
      <c r="N214" s="52" t="s">
        <v>54</v>
      </c>
      <c r="O214" s="67" t="s">
        <v>38</v>
      </c>
      <c r="P214" s="70">
        <v>58.82</v>
      </c>
      <c r="Q214" s="67"/>
      <c r="R214" s="70">
        <v>58.82</v>
      </c>
      <c r="S214" s="75">
        <v>46054</v>
      </c>
      <c r="T214" s="70">
        <v>4.4115000000000002</v>
      </c>
      <c r="U214" s="77">
        <v>4</v>
      </c>
      <c r="V214" s="70">
        <v>54.408500000000004</v>
      </c>
      <c r="W214" s="52" t="s">
        <v>48</v>
      </c>
      <c r="X214" s="52" t="s">
        <v>49</v>
      </c>
      <c r="Y214" s="52" t="s">
        <v>36</v>
      </c>
      <c r="Z214" s="52" t="s">
        <v>9</v>
      </c>
      <c r="AA214" s="52" t="s">
        <v>50</v>
      </c>
      <c r="AB214" s="52" t="s">
        <v>72</v>
      </c>
      <c r="AC214" s="52" t="s">
        <v>38</v>
      </c>
      <c r="AD214" s="79" t="s">
        <v>257</v>
      </c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</row>
    <row r="215" spans="1:49" ht="31.5" x14ac:dyDescent="0.25">
      <c r="A215" s="52" t="s">
        <v>70</v>
      </c>
      <c r="B215" s="55">
        <v>46070</v>
      </c>
      <c r="C215" s="55">
        <v>46070</v>
      </c>
      <c r="D215" s="52" t="s">
        <v>145</v>
      </c>
      <c r="E215" s="59">
        <v>0.33333333333333331</v>
      </c>
      <c r="F215" s="59">
        <v>0.41666666666666669</v>
      </c>
      <c r="G215" s="59">
        <v>3.4722222222222218E-4</v>
      </c>
      <c r="H215" s="52" t="s">
        <v>71</v>
      </c>
      <c r="I215" s="64">
        <v>0.3385185185185185</v>
      </c>
      <c r="J215" s="52" t="s">
        <v>69</v>
      </c>
      <c r="K215" s="52" t="s">
        <v>68</v>
      </c>
      <c r="L215" s="67">
        <v>1</v>
      </c>
      <c r="M215" s="67">
        <v>70994</v>
      </c>
      <c r="N215" s="52" t="s">
        <v>54</v>
      </c>
      <c r="O215" s="67" t="s">
        <v>38</v>
      </c>
      <c r="P215" s="70">
        <v>58.82</v>
      </c>
      <c r="Q215" s="67"/>
      <c r="R215" s="70">
        <v>58.82</v>
      </c>
      <c r="S215" s="75">
        <v>46054</v>
      </c>
      <c r="T215" s="70">
        <v>4.4115000000000002</v>
      </c>
      <c r="U215" s="77">
        <v>4</v>
      </c>
      <c r="V215" s="70">
        <v>54.408500000000004</v>
      </c>
      <c r="W215" s="52" t="s">
        <v>48</v>
      </c>
      <c r="X215" s="52" t="s">
        <v>49</v>
      </c>
      <c r="Y215" s="52" t="s">
        <v>36</v>
      </c>
      <c r="Z215" s="52" t="s">
        <v>9</v>
      </c>
      <c r="AA215" s="52" t="s">
        <v>50</v>
      </c>
      <c r="AB215" s="52" t="s">
        <v>72</v>
      </c>
      <c r="AC215" s="52" t="s">
        <v>38</v>
      </c>
      <c r="AD215" s="79" t="s">
        <v>257</v>
      </c>
      <c r="AE215" s="80"/>
      <c r="AF215" s="80"/>
      <c r="AG215" s="80"/>
      <c r="AH215" s="80"/>
      <c r="AI215" s="80"/>
      <c r="AJ215" s="80"/>
      <c r="AK215" s="80"/>
      <c r="AL215" s="80"/>
      <c r="AM215" s="80"/>
      <c r="AN215" s="80"/>
      <c r="AO215" s="80"/>
      <c r="AP215" s="80"/>
      <c r="AQ215" s="80"/>
      <c r="AR215" s="80"/>
      <c r="AS215" s="80"/>
      <c r="AT215" s="80"/>
      <c r="AU215" s="80"/>
      <c r="AV215" s="80"/>
      <c r="AW215" s="80"/>
    </row>
    <row r="216" spans="1:49" ht="31.5" x14ac:dyDescent="0.25">
      <c r="A216" s="52" t="s">
        <v>70</v>
      </c>
      <c r="B216" s="55">
        <v>46070</v>
      </c>
      <c r="C216" s="55">
        <v>46070</v>
      </c>
      <c r="D216" s="52" t="s">
        <v>145</v>
      </c>
      <c r="E216" s="59">
        <v>0.33333333333333331</v>
      </c>
      <c r="F216" s="59">
        <v>0.41666666666666669</v>
      </c>
      <c r="G216" s="59">
        <v>3.4722222222222218E-4</v>
      </c>
      <c r="H216" s="52" t="s">
        <v>71</v>
      </c>
      <c r="I216" s="64">
        <v>0.36504629629629631</v>
      </c>
      <c r="J216" s="52" t="s">
        <v>69</v>
      </c>
      <c r="K216" s="52" t="s">
        <v>68</v>
      </c>
      <c r="L216" s="67">
        <v>1</v>
      </c>
      <c r="M216" s="67">
        <v>70996</v>
      </c>
      <c r="N216" s="52" t="s">
        <v>46</v>
      </c>
      <c r="O216" s="67" t="s">
        <v>38</v>
      </c>
      <c r="P216" s="70">
        <v>0</v>
      </c>
      <c r="Q216" s="67"/>
      <c r="R216" s="70">
        <v>0</v>
      </c>
      <c r="S216" s="75">
        <v>46054</v>
      </c>
      <c r="T216" s="70">
        <v>0</v>
      </c>
      <c r="U216" s="77">
        <v>4</v>
      </c>
      <c r="V216" s="70">
        <v>0</v>
      </c>
      <c r="W216" s="52" t="s">
        <v>48</v>
      </c>
      <c r="X216" s="52" t="s">
        <v>49</v>
      </c>
      <c r="Y216" s="52" t="s">
        <v>36</v>
      </c>
      <c r="Z216" s="52" t="s">
        <v>9</v>
      </c>
      <c r="AA216" s="52" t="s">
        <v>50</v>
      </c>
      <c r="AB216" s="52" t="s">
        <v>72</v>
      </c>
      <c r="AC216" s="52" t="s">
        <v>38</v>
      </c>
      <c r="AD216" s="79" t="s">
        <v>257</v>
      </c>
      <c r="AE216" s="80"/>
      <c r="AF216" s="80"/>
      <c r="AG216" s="80"/>
      <c r="AH216" s="80"/>
      <c r="AI216" s="80"/>
      <c r="AJ216" s="80"/>
      <c r="AK216" s="80"/>
      <c r="AL216" s="80"/>
      <c r="AM216" s="80"/>
      <c r="AN216" s="80"/>
      <c r="AO216" s="80"/>
      <c r="AP216" s="80"/>
      <c r="AQ216" s="80"/>
      <c r="AR216" s="80"/>
      <c r="AS216" s="80"/>
      <c r="AT216" s="80"/>
      <c r="AU216" s="80"/>
      <c r="AV216" s="80"/>
      <c r="AW216" s="80"/>
    </row>
    <row r="217" spans="1:49" ht="31.5" x14ac:dyDescent="0.25">
      <c r="A217" s="52" t="s">
        <v>70</v>
      </c>
      <c r="B217" s="55">
        <v>46070</v>
      </c>
      <c r="C217" s="55">
        <v>46070</v>
      </c>
      <c r="D217" s="52" t="s">
        <v>145</v>
      </c>
      <c r="E217" s="59">
        <v>0.45833333333333331</v>
      </c>
      <c r="F217" s="59">
        <v>0.5</v>
      </c>
      <c r="G217" s="59">
        <v>3.4722222222222218E-4</v>
      </c>
      <c r="H217" s="52" t="s">
        <v>163</v>
      </c>
      <c r="I217" s="64">
        <v>0.49780092592592595</v>
      </c>
      <c r="J217" s="52" t="s">
        <v>84</v>
      </c>
      <c r="K217" s="52" t="s">
        <v>171</v>
      </c>
      <c r="L217" s="67">
        <v>1</v>
      </c>
      <c r="M217" s="67">
        <v>70998</v>
      </c>
      <c r="N217" s="52" t="s">
        <v>54</v>
      </c>
      <c r="O217" s="67" t="s">
        <v>38</v>
      </c>
      <c r="P217" s="70">
        <v>58.82</v>
      </c>
      <c r="Q217" s="67"/>
      <c r="R217" s="70">
        <v>58.82</v>
      </c>
      <c r="S217" s="75">
        <v>46054</v>
      </c>
      <c r="T217" s="70">
        <v>4.4115000000000002</v>
      </c>
      <c r="U217" s="77">
        <v>4</v>
      </c>
      <c r="V217" s="70">
        <v>54.408500000000004</v>
      </c>
      <c r="W217" s="52" t="s">
        <v>48</v>
      </c>
      <c r="X217" s="52" t="s">
        <v>49</v>
      </c>
      <c r="Y217" s="52" t="s">
        <v>36</v>
      </c>
      <c r="Z217" s="52" t="s">
        <v>9</v>
      </c>
      <c r="AA217" s="52" t="s">
        <v>50</v>
      </c>
      <c r="AB217" s="52" t="s">
        <v>72</v>
      </c>
      <c r="AC217" s="52" t="s">
        <v>38</v>
      </c>
      <c r="AD217" s="79" t="s">
        <v>257</v>
      </c>
      <c r="AE217" s="80"/>
      <c r="AF217" s="80"/>
      <c r="AG217" s="80"/>
      <c r="AH217" s="80"/>
      <c r="AI217" s="80"/>
      <c r="AJ217" s="80"/>
      <c r="AK217" s="80"/>
      <c r="AL217" s="80"/>
      <c r="AM217" s="80"/>
      <c r="AN217" s="80"/>
      <c r="AO217" s="80"/>
      <c r="AP217" s="80"/>
      <c r="AQ217" s="80"/>
      <c r="AR217" s="80"/>
      <c r="AS217" s="80"/>
      <c r="AT217" s="80"/>
      <c r="AU217" s="80"/>
      <c r="AV217" s="80"/>
      <c r="AW217" s="80"/>
    </row>
    <row r="218" spans="1:49" ht="31.5" x14ac:dyDescent="0.2">
      <c r="A218" s="52" t="s">
        <v>70</v>
      </c>
      <c r="B218" s="55">
        <v>46070</v>
      </c>
      <c r="C218" s="55">
        <v>46070</v>
      </c>
      <c r="D218" s="52" t="s">
        <v>145</v>
      </c>
      <c r="E218" s="59">
        <v>0.66666666666666663</v>
      </c>
      <c r="F218" s="59">
        <v>0.79166666666666663</v>
      </c>
      <c r="G218" s="59">
        <v>3.4722222222222218E-4</v>
      </c>
      <c r="H218" s="52" t="s">
        <v>166</v>
      </c>
      <c r="I218" s="64">
        <v>0.71818287037037032</v>
      </c>
      <c r="J218" s="52" t="s">
        <v>110</v>
      </c>
      <c r="K218" s="52" t="s">
        <v>167</v>
      </c>
      <c r="L218" s="67">
        <v>1</v>
      </c>
      <c r="M218" s="67">
        <v>70992</v>
      </c>
      <c r="N218" s="52" t="s">
        <v>46</v>
      </c>
      <c r="O218" s="67" t="s">
        <v>38</v>
      </c>
      <c r="P218" s="70">
        <v>0</v>
      </c>
      <c r="Q218" s="67"/>
      <c r="R218" s="70">
        <v>0</v>
      </c>
      <c r="S218" s="75">
        <v>46054</v>
      </c>
      <c r="T218" s="70">
        <v>0</v>
      </c>
      <c r="U218" s="77">
        <v>4</v>
      </c>
      <c r="V218" s="70">
        <v>0</v>
      </c>
      <c r="W218" s="52" t="s">
        <v>48</v>
      </c>
      <c r="X218" s="52" t="s">
        <v>49</v>
      </c>
      <c r="Y218" s="52" t="s">
        <v>36</v>
      </c>
      <c r="Z218" s="52" t="s">
        <v>9</v>
      </c>
      <c r="AA218" s="52" t="s">
        <v>50</v>
      </c>
      <c r="AB218" s="52" t="s">
        <v>72</v>
      </c>
      <c r="AC218" s="52" t="s">
        <v>38</v>
      </c>
      <c r="AD218" s="79" t="s">
        <v>257</v>
      </c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</row>
    <row r="219" spans="1:49" ht="31.5" x14ac:dyDescent="0.25">
      <c r="A219" s="52" t="s">
        <v>70</v>
      </c>
      <c r="B219" s="55">
        <v>46070</v>
      </c>
      <c r="C219" s="55">
        <v>46070</v>
      </c>
      <c r="D219" s="52" t="s">
        <v>145</v>
      </c>
      <c r="E219" s="59">
        <v>0.83333333333333337</v>
      </c>
      <c r="F219" s="59">
        <v>0.875</v>
      </c>
      <c r="G219" s="59">
        <v>3.4722222222222218E-4</v>
      </c>
      <c r="H219" s="52" t="s">
        <v>168</v>
      </c>
      <c r="I219" s="64">
        <v>0.85530092592592588</v>
      </c>
      <c r="J219" s="52" t="s">
        <v>41</v>
      </c>
      <c r="K219" s="52" t="s">
        <v>143</v>
      </c>
      <c r="L219" s="67">
        <v>1</v>
      </c>
      <c r="M219" s="67">
        <v>70981</v>
      </c>
      <c r="N219" s="52" t="s">
        <v>54</v>
      </c>
      <c r="O219" s="67" t="s">
        <v>38</v>
      </c>
      <c r="P219" s="70">
        <v>58.82</v>
      </c>
      <c r="Q219" s="67"/>
      <c r="R219" s="70">
        <v>58.82</v>
      </c>
      <c r="S219" s="75">
        <v>46054</v>
      </c>
      <c r="T219" s="70">
        <v>4.4115000000000002</v>
      </c>
      <c r="U219" s="77">
        <v>4</v>
      </c>
      <c r="V219" s="70">
        <v>54.408500000000004</v>
      </c>
      <c r="W219" s="52" t="s">
        <v>48</v>
      </c>
      <c r="X219" s="52" t="s">
        <v>49</v>
      </c>
      <c r="Y219" s="52" t="s">
        <v>36</v>
      </c>
      <c r="Z219" s="52" t="s">
        <v>9</v>
      </c>
      <c r="AA219" s="52" t="s">
        <v>50</v>
      </c>
      <c r="AB219" s="52" t="s">
        <v>72</v>
      </c>
      <c r="AC219" s="52" t="s">
        <v>38</v>
      </c>
      <c r="AD219" s="79" t="s">
        <v>257</v>
      </c>
      <c r="AE219" s="80"/>
      <c r="AF219" s="80"/>
      <c r="AG219" s="80"/>
      <c r="AH219" s="80"/>
      <c r="AI219" s="80"/>
      <c r="AJ219" s="80"/>
      <c r="AK219" s="80"/>
      <c r="AL219" s="80"/>
      <c r="AM219" s="80"/>
      <c r="AN219" s="80"/>
      <c r="AO219" s="80"/>
      <c r="AP219" s="80"/>
      <c r="AQ219" s="80"/>
      <c r="AR219" s="80"/>
      <c r="AS219" s="80"/>
      <c r="AT219" s="80"/>
      <c r="AU219" s="80"/>
      <c r="AV219" s="80"/>
      <c r="AW219" s="80"/>
    </row>
    <row r="220" spans="1:49" ht="31.5" x14ac:dyDescent="0.25">
      <c r="A220" s="52" t="s">
        <v>70</v>
      </c>
      <c r="B220" s="55">
        <v>46071</v>
      </c>
      <c r="C220" s="55">
        <v>46071</v>
      </c>
      <c r="D220" s="52" t="s">
        <v>177</v>
      </c>
      <c r="E220" s="59">
        <v>0.25</v>
      </c>
      <c r="F220" s="59">
        <v>0.99930555555555556</v>
      </c>
      <c r="G220" s="59">
        <v>3.4722222222222218E-4</v>
      </c>
      <c r="H220" s="52" t="s">
        <v>168</v>
      </c>
      <c r="I220" s="64">
        <v>0.33211805555555557</v>
      </c>
      <c r="J220" s="52" t="s">
        <v>41</v>
      </c>
      <c r="K220" s="52" t="s">
        <v>178</v>
      </c>
      <c r="L220" s="67">
        <v>1</v>
      </c>
      <c r="M220" s="67">
        <v>70983</v>
      </c>
      <c r="N220" s="52" t="s">
        <v>46</v>
      </c>
      <c r="O220" s="67" t="s">
        <v>38</v>
      </c>
      <c r="P220" s="70">
        <v>0</v>
      </c>
      <c r="Q220" s="67"/>
      <c r="R220" s="70">
        <v>0</v>
      </c>
      <c r="S220" s="75">
        <v>46054</v>
      </c>
      <c r="T220" s="70">
        <v>0</v>
      </c>
      <c r="U220" s="77">
        <v>4</v>
      </c>
      <c r="V220" s="70">
        <v>0</v>
      </c>
      <c r="W220" s="52" t="s">
        <v>48</v>
      </c>
      <c r="X220" s="52" t="s">
        <v>49</v>
      </c>
      <c r="Y220" s="52" t="s">
        <v>36</v>
      </c>
      <c r="Z220" s="52" t="s">
        <v>9</v>
      </c>
      <c r="AA220" s="52" t="s">
        <v>50</v>
      </c>
      <c r="AB220" s="52" t="s">
        <v>72</v>
      </c>
      <c r="AC220" s="52" t="s">
        <v>38</v>
      </c>
      <c r="AD220" s="79" t="s">
        <v>257</v>
      </c>
      <c r="AE220" s="80"/>
      <c r="AF220" s="80"/>
      <c r="AG220" s="80"/>
      <c r="AH220" s="80"/>
      <c r="AI220" s="86"/>
      <c r="AJ220" s="86"/>
      <c r="AK220" s="86"/>
      <c r="AL220" s="86"/>
      <c r="AM220" s="86"/>
      <c r="AN220" s="86"/>
      <c r="AO220" s="86"/>
      <c r="AP220" s="86"/>
      <c r="AQ220" s="86"/>
      <c r="AR220" s="86"/>
      <c r="AS220" s="86"/>
      <c r="AT220" s="86"/>
      <c r="AU220" s="86"/>
      <c r="AV220" s="86"/>
      <c r="AW220" s="86"/>
    </row>
    <row r="221" spans="1:49" ht="31.5" x14ac:dyDescent="0.25">
      <c r="A221" s="52" t="s">
        <v>70</v>
      </c>
      <c r="B221" s="55">
        <v>46071</v>
      </c>
      <c r="C221" s="55">
        <v>46071</v>
      </c>
      <c r="D221" s="52" t="s">
        <v>177</v>
      </c>
      <c r="E221" s="59">
        <v>0.33333333333333331</v>
      </c>
      <c r="F221" s="59">
        <v>0.41666666666666669</v>
      </c>
      <c r="G221" s="59">
        <v>3.4722222222222218E-4</v>
      </c>
      <c r="H221" s="52" t="s">
        <v>71</v>
      </c>
      <c r="I221" s="64">
        <v>0.3538425925925926</v>
      </c>
      <c r="J221" s="52" t="s">
        <v>69</v>
      </c>
      <c r="K221" s="52" t="s">
        <v>68</v>
      </c>
      <c r="L221" s="67">
        <v>1</v>
      </c>
      <c r="M221" s="67">
        <v>70994</v>
      </c>
      <c r="N221" s="52" t="s">
        <v>54</v>
      </c>
      <c r="O221" s="67" t="s">
        <v>38</v>
      </c>
      <c r="P221" s="70">
        <v>58.82</v>
      </c>
      <c r="Q221" s="67"/>
      <c r="R221" s="70">
        <v>58.82</v>
      </c>
      <c r="S221" s="75">
        <v>46054</v>
      </c>
      <c r="T221" s="70">
        <v>4.4115000000000002</v>
      </c>
      <c r="U221" s="77">
        <v>4</v>
      </c>
      <c r="V221" s="70">
        <v>54.408500000000004</v>
      </c>
      <c r="W221" s="52" t="s">
        <v>48</v>
      </c>
      <c r="X221" s="52" t="s">
        <v>49</v>
      </c>
      <c r="Y221" s="52" t="s">
        <v>36</v>
      </c>
      <c r="Z221" s="52" t="s">
        <v>9</v>
      </c>
      <c r="AA221" s="52" t="s">
        <v>50</v>
      </c>
      <c r="AB221" s="52" t="s">
        <v>72</v>
      </c>
      <c r="AC221" s="52" t="s">
        <v>38</v>
      </c>
      <c r="AD221" s="79" t="s">
        <v>257</v>
      </c>
      <c r="AE221" s="80"/>
      <c r="AF221" s="80"/>
      <c r="AG221" s="80"/>
      <c r="AH221" s="80"/>
      <c r="AI221" s="80"/>
      <c r="AJ221" s="80"/>
      <c r="AK221" s="80"/>
      <c r="AL221" s="80"/>
      <c r="AM221" s="80"/>
      <c r="AN221" s="80"/>
      <c r="AO221" s="80"/>
      <c r="AP221" s="80"/>
      <c r="AQ221" s="80"/>
      <c r="AR221" s="80"/>
      <c r="AS221" s="80"/>
      <c r="AT221" s="80"/>
      <c r="AU221" s="80"/>
      <c r="AV221" s="80"/>
      <c r="AW221" s="80"/>
    </row>
    <row r="222" spans="1:49" ht="31.5" x14ac:dyDescent="0.25">
      <c r="A222" s="52" t="s">
        <v>70</v>
      </c>
      <c r="B222" s="55">
        <v>46071</v>
      </c>
      <c r="C222" s="55">
        <v>46071</v>
      </c>
      <c r="D222" s="52" t="s">
        <v>177</v>
      </c>
      <c r="E222" s="59">
        <v>0.45833333333333331</v>
      </c>
      <c r="F222" s="59">
        <v>0.5</v>
      </c>
      <c r="G222" s="59">
        <v>3.4722222222222218E-4</v>
      </c>
      <c r="H222" s="52" t="s">
        <v>163</v>
      </c>
      <c r="I222" s="64">
        <v>0.49914351851851851</v>
      </c>
      <c r="J222" s="52" t="s">
        <v>84</v>
      </c>
      <c r="K222" s="52" t="s">
        <v>171</v>
      </c>
      <c r="L222" s="67">
        <v>1</v>
      </c>
      <c r="M222" s="67">
        <v>70998</v>
      </c>
      <c r="N222" s="52" t="s">
        <v>54</v>
      </c>
      <c r="O222" s="67" t="s">
        <v>38</v>
      </c>
      <c r="P222" s="70">
        <v>58.82</v>
      </c>
      <c r="Q222" s="67"/>
      <c r="R222" s="70">
        <v>58.82</v>
      </c>
      <c r="S222" s="75">
        <v>46054</v>
      </c>
      <c r="T222" s="70">
        <v>4.4115000000000002</v>
      </c>
      <c r="U222" s="77">
        <v>4</v>
      </c>
      <c r="V222" s="70">
        <v>54.408500000000004</v>
      </c>
      <c r="W222" s="52" t="s">
        <v>48</v>
      </c>
      <c r="X222" s="52" t="s">
        <v>49</v>
      </c>
      <c r="Y222" s="52" t="s">
        <v>36</v>
      </c>
      <c r="Z222" s="52" t="s">
        <v>9</v>
      </c>
      <c r="AA222" s="52" t="s">
        <v>50</v>
      </c>
      <c r="AB222" s="52" t="s">
        <v>72</v>
      </c>
      <c r="AC222" s="52" t="s">
        <v>38</v>
      </c>
      <c r="AD222" s="79" t="s">
        <v>257</v>
      </c>
      <c r="AE222" s="80"/>
      <c r="AF222" s="80"/>
      <c r="AG222" s="80"/>
      <c r="AH222" s="80"/>
      <c r="AI222" s="80"/>
      <c r="AJ222" s="80"/>
      <c r="AK222" s="80"/>
      <c r="AL222" s="80"/>
      <c r="AM222" s="80"/>
      <c r="AN222" s="80"/>
      <c r="AO222" s="80"/>
      <c r="AP222" s="80"/>
      <c r="AQ222" s="80"/>
      <c r="AR222" s="80"/>
      <c r="AS222" s="80"/>
      <c r="AT222" s="80"/>
      <c r="AU222" s="80"/>
      <c r="AV222" s="80"/>
      <c r="AW222" s="80"/>
    </row>
    <row r="223" spans="1:49" ht="31.5" x14ac:dyDescent="0.25">
      <c r="A223" s="52" t="s">
        <v>70</v>
      </c>
      <c r="B223" s="55">
        <v>46071</v>
      </c>
      <c r="C223" s="55">
        <v>46071</v>
      </c>
      <c r="D223" s="52" t="s">
        <v>177</v>
      </c>
      <c r="E223" s="59">
        <v>0.45833333333333331</v>
      </c>
      <c r="F223" s="59">
        <v>0.54166666666666663</v>
      </c>
      <c r="G223" s="59">
        <v>3.4722222222222218E-4</v>
      </c>
      <c r="H223" s="52" t="s">
        <v>163</v>
      </c>
      <c r="I223" s="64">
        <v>0.53627314814814819</v>
      </c>
      <c r="J223" s="52" t="s">
        <v>84</v>
      </c>
      <c r="K223" s="52" t="s">
        <v>140</v>
      </c>
      <c r="L223" s="67">
        <v>1</v>
      </c>
      <c r="M223" s="67">
        <v>71000</v>
      </c>
      <c r="N223" s="52" t="s">
        <v>46</v>
      </c>
      <c r="O223" s="67" t="s">
        <v>38</v>
      </c>
      <c r="P223" s="70">
        <v>0</v>
      </c>
      <c r="Q223" s="67"/>
      <c r="R223" s="70">
        <v>0</v>
      </c>
      <c r="S223" s="75">
        <v>46054</v>
      </c>
      <c r="T223" s="70">
        <v>0</v>
      </c>
      <c r="U223" s="77">
        <v>4</v>
      </c>
      <c r="V223" s="70">
        <v>0</v>
      </c>
      <c r="W223" s="52" t="s">
        <v>48</v>
      </c>
      <c r="X223" s="52" t="s">
        <v>49</v>
      </c>
      <c r="Y223" s="52" t="s">
        <v>36</v>
      </c>
      <c r="Z223" s="52" t="s">
        <v>9</v>
      </c>
      <c r="AA223" s="52" t="s">
        <v>50</v>
      </c>
      <c r="AB223" s="52" t="s">
        <v>72</v>
      </c>
      <c r="AC223" s="52" t="s">
        <v>38</v>
      </c>
      <c r="AD223" s="79" t="s">
        <v>257</v>
      </c>
      <c r="AE223" s="80"/>
      <c r="AF223" s="80"/>
      <c r="AG223" s="80"/>
      <c r="AH223" s="80"/>
      <c r="AI223" s="80"/>
      <c r="AJ223" s="80"/>
      <c r="AK223" s="80"/>
      <c r="AL223" s="80"/>
      <c r="AM223" s="80"/>
      <c r="AN223" s="80"/>
      <c r="AO223" s="80"/>
      <c r="AP223" s="80"/>
      <c r="AQ223" s="80"/>
      <c r="AR223" s="80"/>
      <c r="AS223" s="80"/>
      <c r="AT223" s="80"/>
      <c r="AU223" s="80"/>
      <c r="AV223" s="80"/>
      <c r="AW223" s="80"/>
    </row>
    <row r="224" spans="1:49" ht="31.5" x14ac:dyDescent="0.2">
      <c r="A224" s="52" t="s">
        <v>70</v>
      </c>
      <c r="B224" s="55">
        <v>46071</v>
      </c>
      <c r="C224" s="55">
        <v>46071</v>
      </c>
      <c r="D224" s="52" t="s">
        <v>177</v>
      </c>
      <c r="E224" s="59">
        <v>0.66666666666666663</v>
      </c>
      <c r="F224" s="59">
        <v>0.79166666666666663</v>
      </c>
      <c r="G224" s="59">
        <v>3.4722222222222218E-4</v>
      </c>
      <c r="H224" s="52" t="s">
        <v>166</v>
      </c>
      <c r="I224" s="64">
        <v>0.765625</v>
      </c>
      <c r="J224" s="52" t="s">
        <v>110</v>
      </c>
      <c r="K224" s="52" t="s">
        <v>174</v>
      </c>
      <c r="L224" s="67">
        <v>1</v>
      </c>
      <c r="M224" s="67">
        <v>70990</v>
      </c>
      <c r="N224" s="52" t="s">
        <v>54</v>
      </c>
      <c r="O224" s="67" t="s">
        <v>38</v>
      </c>
      <c r="P224" s="70">
        <v>58.82</v>
      </c>
      <c r="Q224" s="67"/>
      <c r="R224" s="70">
        <v>58.82</v>
      </c>
      <c r="S224" s="75">
        <v>46054</v>
      </c>
      <c r="T224" s="70">
        <v>4.4115000000000002</v>
      </c>
      <c r="U224" s="77">
        <v>4</v>
      </c>
      <c r="V224" s="70">
        <v>54.408500000000004</v>
      </c>
      <c r="W224" s="52" t="s">
        <v>48</v>
      </c>
      <c r="X224" s="52" t="s">
        <v>49</v>
      </c>
      <c r="Y224" s="52" t="s">
        <v>36</v>
      </c>
      <c r="Z224" s="52" t="s">
        <v>9</v>
      </c>
      <c r="AA224" s="52" t="s">
        <v>50</v>
      </c>
      <c r="AB224" s="52" t="s">
        <v>72</v>
      </c>
      <c r="AC224" s="52" t="s">
        <v>38</v>
      </c>
      <c r="AD224" s="79" t="s">
        <v>257</v>
      </c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</row>
    <row r="225" spans="1:49" ht="31.5" x14ac:dyDescent="0.25">
      <c r="A225" s="52" t="s">
        <v>70</v>
      </c>
      <c r="B225" s="55">
        <v>46071</v>
      </c>
      <c r="C225" s="55">
        <v>46071</v>
      </c>
      <c r="D225" s="52" t="s">
        <v>177</v>
      </c>
      <c r="E225" s="59">
        <v>0.79166666666666663</v>
      </c>
      <c r="F225" s="59">
        <v>0.83333333333333337</v>
      </c>
      <c r="G225" s="59">
        <v>3.4722222222222218E-4</v>
      </c>
      <c r="H225" s="52" t="s">
        <v>132</v>
      </c>
      <c r="I225" s="64">
        <v>0.81636574074074075</v>
      </c>
      <c r="J225" s="52" t="s">
        <v>120</v>
      </c>
      <c r="K225" s="52" t="s">
        <v>142</v>
      </c>
      <c r="L225" s="67">
        <v>1</v>
      </c>
      <c r="M225" s="67">
        <v>70979</v>
      </c>
      <c r="N225" s="52" t="s">
        <v>54</v>
      </c>
      <c r="O225" s="67" t="s">
        <v>38</v>
      </c>
      <c r="P225" s="70">
        <v>58.82</v>
      </c>
      <c r="Q225" s="67"/>
      <c r="R225" s="70">
        <v>58.82</v>
      </c>
      <c r="S225" s="75">
        <v>46054</v>
      </c>
      <c r="T225" s="70">
        <v>4.4115000000000002</v>
      </c>
      <c r="U225" s="77">
        <v>4</v>
      </c>
      <c r="V225" s="70">
        <v>54.408500000000004</v>
      </c>
      <c r="W225" s="52" t="s">
        <v>48</v>
      </c>
      <c r="X225" s="52" t="s">
        <v>49</v>
      </c>
      <c r="Y225" s="52" t="s">
        <v>36</v>
      </c>
      <c r="Z225" s="52" t="s">
        <v>9</v>
      </c>
      <c r="AA225" s="52" t="s">
        <v>50</v>
      </c>
      <c r="AB225" s="52" t="s">
        <v>72</v>
      </c>
      <c r="AC225" s="52" t="s">
        <v>38</v>
      </c>
      <c r="AD225" s="79" t="s">
        <v>257</v>
      </c>
      <c r="AE225" s="80"/>
      <c r="AF225" s="80"/>
      <c r="AG225" s="80"/>
      <c r="AH225" s="80"/>
      <c r="AI225" s="80"/>
      <c r="AJ225" s="80"/>
      <c r="AK225" s="80"/>
      <c r="AL225" s="80"/>
      <c r="AM225" s="80"/>
      <c r="AN225" s="80"/>
      <c r="AO225" s="80"/>
      <c r="AP225" s="80"/>
      <c r="AQ225" s="80"/>
      <c r="AR225" s="80"/>
      <c r="AS225" s="80"/>
      <c r="AT225" s="80"/>
      <c r="AU225" s="80"/>
      <c r="AV225" s="80"/>
      <c r="AW225" s="80"/>
    </row>
    <row r="226" spans="1:49" ht="31.5" x14ac:dyDescent="0.25">
      <c r="A226" s="52" t="s">
        <v>70</v>
      </c>
      <c r="B226" s="55">
        <v>46071</v>
      </c>
      <c r="C226" s="55">
        <v>46071</v>
      </c>
      <c r="D226" s="52" t="s">
        <v>177</v>
      </c>
      <c r="E226" s="59">
        <v>0.83333333333333337</v>
      </c>
      <c r="F226" s="59">
        <v>0.875</v>
      </c>
      <c r="G226" s="59">
        <v>3.4722222222222218E-4</v>
      </c>
      <c r="H226" s="52" t="s">
        <v>168</v>
      </c>
      <c r="I226" s="64">
        <v>0.84491898148148148</v>
      </c>
      <c r="J226" s="52" t="s">
        <v>41</v>
      </c>
      <c r="K226" s="52" t="s">
        <v>143</v>
      </c>
      <c r="L226" s="67">
        <v>1</v>
      </c>
      <c r="M226" s="67">
        <v>70981</v>
      </c>
      <c r="N226" s="52" t="s">
        <v>54</v>
      </c>
      <c r="O226" s="67" t="s">
        <v>38</v>
      </c>
      <c r="P226" s="70">
        <v>58.82</v>
      </c>
      <c r="Q226" s="67"/>
      <c r="R226" s="70">
        <v>58.82</v>
      </c>
      <c r="S226" s="75">
        <v>46054</v>
      </c>
      <c r="T226" s="70">
        <v>4.4115000000000002</v>
      </c>
      <c r="U226" s="77">
        <v>4</v>
      </c>
      <c r="V226" s="70">
        <v>54.408500000000004</v>
      </c>
      <c r="W226" s="52" t="s">
        <v>48</v>
      </c>
      <c r="X226" s="52" t="s">
        <v>49</v>
      </c>
      <c r="Y226" s="52" t="s">
        <v>36</v>
      </c>
      <c r="Z226" s="52" t="s">
        <v>9</v>
      </c>
      <c r="AA226" s="52" t="s">
        <v>50</v>
      </c>
      <c r="AB226" s="52" t="s">
        <v>72</v>
      </c>
      <c r="AC226" s="52" t="s">
        <v>38</v>
      </c>
      <c r="AD226" s="79" t="s">
        <v>257</v>
      </c>
      <c r="AE226" s="80"/>
      <c r="AF226" s="80"/>
      <c r="AG226" s="80"/>
      <c r="AH226" s="80"/>
      <c r="AI226" s="80"/>
      <c r="AJ226" s="80"/>
      <c r="AK226" s="80"/>
      <c r="AL226" s="80"/>
      <c r="AM226" s="80"/>
      <c r="AN226" s="80"/>
      <c r="AO226" s="80"/>
      <c r="AP226" s="80"/>
      <c r="AQ226" s="80"/>
      <c r="AR226" s="80"/>
      <c r="AS226" s="80"/>
      <c r="AT226" s="80"/>
      <c r="AU226" s="80"/>
      <c r="AV226" s="80"/>
      <c r="AW226" s="80"/>
    </row>
    <row r="227" spans="1:49" ht="31.5" x14ac:dyDescent="0.25">
      <c r="A227" s="52" t="s">
        <v>70</v>
      </c>
      <c r="B227" s="55">
        <v>46072</v>
      </c>
      <c r="C227" s="55">
        <v>46072</v>
      </c>
      <c r="D227" s="52" t="s">
        <v>183</v>
      </c>
      <c r="E227" s="59">
        <v>0.25</v>
      </c>
      <c r="F227" s="59">
        <v>0.99930555555555556</v>
      </c>
      <c r="G227" s="59">
        <v>3.4722222222222218E-4</v>
      </c>
      <c r="H227" s="52" t="s">
        <v>168</v>
      </c>
      <c r="I227" s="64">
        <v>0.27979166666666666</v>
      </c>
      <c r="J227" s="52" t="s">
        <v>41</v>
      </c>
      <c r="K227" s="52" t="s">
        <v>40</v>
      </c>
      <c r="L227" s="67">
        <v>1</v>
      </c>
      <c r="M227" s="67">
        <v>70983</v>
      </c>
      <c r="N227" s="52" t="s">
        <v>46</v>
      </c>
      <c r="O227" s="67" t="s">
        <v>38</v>
      </c>
      <c r="P227" s="70">
        <v>0</v>
      </c>
      <c r="Q227" s="67"/>
      <c r="R227" s="70">
        <v>0</v>
      </c>
      <c r="S227" s="75">
        <v>46054</v>
      </c>
      <c r="T227" s="70">
        <v>0</v>
      </c>
      <c r="U227" s="77">
        <v>4</v>
      </c>
      <c r="V227" s="70">
        <v>0</v>
      </c>
      <c r="W227" s="52" t="s">
        <v>48</v>
      </c>
      <c r="X227" s="52" t="s">
        <v>49</v>
      </c>
      <c r="Y227" s="52" t="s">
        <v>36</v>
      </c>
      <c r="Z227" s="52" t="s">
        <v>9</v>
      </c>
      <c r="AA227" s="52" t="s">
        <v>50</v>
      </c>
      <c r="AB227" s="52" t="s">
        <v>72</v>
      </c>
      <c r="AC227" s="52" t="s">
        <v>38</v>
      </c>
      <c r="AD227" s="79" t="s">
        <v>257</v>
      </c>
      <c r="AE227" s="80"/>
      <c r="AF227" s="80"/>
      <c r="AG227" s="80"/>
      <c r="AH227" s="80"/>
      <c r="AI227" s="86"/>
      <c r="AJ227" s="86"/>
      <c r="AK227" s="86"/>
      <c r="AL227" s="86"/>
      <c r="AM227" s="86"/>
      <c r="AN227" s="86"/>
      <c r="AO227" s="86"/>
      <c r="AP227" s="86"/>
      <c r="AQ227" s="86"/>
      <c r="AR227" s="86"/>
      <c r="AS227" s="86"/>
      <c r="AT227" s="86"/>
      <c r="AU227" s="86"/>
      <c r="AV227" s="86"/>
      <c r="AW227" s="86"/>
    </row>
    <row r="228" spans="1:49" ht="31.5" x14ac:dyDescent="0.2">
      <c r="A228" s="52" t="s">
        <v>70</v>
      </c>
      <c r="B228" s="55">
        <v>46072</v>
      </c>
      <c r="C228" s="55">
        <v>46072</v>
      </c>
      <c r="D228" s="52" t="s">
        <v>183</v>
      </c>
      <c r="E228" s="59">
        <v>0.45833333333333331</v>
      </c>
      <c r="F228" s="59">
        <v>0.54166666666666663</v>
      </c>
      <c r="G228" s="59">
        <v>3.4722222222222218E-4</v>
      </c>
      <c r="H228" s="52" t="s">
        <v>163</v>
      </c>
      <c r="I228" s="64">
        <v>0.48704861111111108</v>
      </c>
      <c r="J228" s="52" t="s">
        <v>84</v>
      </c>
      <c r="K228" s="52" t="s">
        <v>171</v>
      </c>
      <c r="L228" s="67">
        <v>1</v>
      </c>
      <c r="M228" s="67">
        <v>71000</v>
      </c>
      <c r="N228" s="52" t="s">
        <v>46</v>
      </c>
      <c r="O228" s="67" t="s">
        <v>38</v>
      </c>
      <c r="P228" s="70">
        <v>0</v>
      </c>
      <c r="Q228" s="67"/>
      <c r="R228" s="70">
        <v>0</v>
      </c>
      <c r="S228" s="75">
        <v>46054</v>
      </c>
      <c r="T228" s="70">
        <v>0</v>
      </c>
      <c r="U228" s="77">
        <v>4</v>
      </c>
      <c r="V228" s="70">
        <v>0</v>
      </c>
      <c r="W228" s="52" t="s">
        <v>48</v>
      </c>
      <c r="X228" s="52" t="s">
        <v>49</v>
      </c>
      <c r="Y228" s="52" t="s">
        <v>36</v>
      </c>
      <c r="Z228" s="52" t="s">
        <v>9</v>
      </c>
      <c r="AA228" s="52" t="s">
        <v>50</v>
      </c>
      <c r="AB228" s="52" t="s">
        <v>72</v>
      </c>
      <c r="AC228" s="52" t="s">
        <v>38</v>
      </c>
      <c r="AD228" s="79" t="s">
        <v>257</v>
      </c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</row>
    <row r="229" spans="1:49" ht="31.5" x14ac:dyDescent="0.25">
      <c r="A229" s="52" t="s">
        <v>70</v>
      </c>
      <c r="B229" s="55">
        <v>46072</v>
      </c>
      <c r="C229" s="55">
        <v>46072</v>
      </c>
      <c r="D229" s="52" t="s">
        <v>183</v>
      </c>
      <c r="E229" s="59">
        <v>0.66666666666666663</v>
      </c>
      <c r="F229" s="59">
        <v>0.79166666666666663</v>
      </c>
      <c r="G229" s="59">
        <v>3.4722222222222218E-4</v>
      </c>
      <c r="H229" s="52" t="s">
        <v>166</v>
      </c>
      <c r="I229" s="64">
        <v>0.70320601851851849</v>
      </c>
      <c r="J229" s="52" t="s">
        <v>110</v>
      </c>
      <c r="K229" s="52" t="s">
        <v>175</v>
      </c>
      <c r="L229" s="67">
        <v>1</v>
      </c>
      <c r="M229" s="67">
        <v>70992</v>
      </c>
      <c r="N229" s="52" t="s">
        <v>46</v>
      </c>
      <c r="O229" s="67" t="s">
        <v>38</v>
      </c>
      <c r="P229" s="70">
        <v>0</v>
      </c>
      <c r="Q229" s="67"/>
      <c r="R229" s="70">
        <v>0</v>
      </c>
      <c r="S229" s="75">
        <v>46054</v>
      </c>
      <c r="T229" s="70">
        <v>0</v>
      </c>
      <c r="U229" s="77">
        <v>4</v>
      </c>
      <c r="V229" s="70">
        <v>0</v>
      </c>
      <c r="W229" s="52" t="s">
        <v>48</v>
      </c>
      <c r="X229" s="52" t="s">
        <v>49</v>
      </c>
      <c r="Y229" s="52" t="s">
        <v>36</v>
      </c>
      <c r="Z229" s="52" t="s">
        <v>9</v>
      </c>
      <c r="AA229" s="52" t="s">
        <v>50</v>
      </c>
      <c r="AB229" s="52" t="s">
        <v>72</v>
      </c>
      <c r="AC229" s="52" t="s">
        <v>38</v>
      </c>
      <c r="AD229" s="79" t="s">
        <v>257</v>
      </c>
      <c r="AE229" s="80"/>
      <c r="AF229" s="80"/>
      <c r="AG229" s="80"/>
      <c r="AH229" s="80"/>
      <c r="AI229" s="86"/>
      <c r="AJ229" s="86"/>
      <c r="AK229" s="86"/>
      <c r="AL229" s="86"/>
      <c r="AM229" s="86"/>
      <c r="AN229" s="86"/>
      <c r="AO229" s="86"/>
      <c r="AP229" s="86"/>
      <c r="AQ229" s="86"/>
      <c r="AR229" s="86"/>
      <c r="AS229" s="86"/>
      <c r="AT229" s="86"/>
      <c r="AU229" s="86"/>
      <c r="AV229" s="86"/>
      <c r="AW229" s="86"/>
    </row>
    <row r="230" spans="1:49" ht="31.5" x14ac:dyDescent="0.2">
      <c r="A230" s="52" t="s">
        <v>70</v>
      </c>
      <c r="B230" s="55">
        <v>46072</v>
      </c>
      <c r="C230" s="55">
        <v>46072</v>
      </c>
      <c r="D230" s="52" t="s">
        <v>183</v>
      </c>
      <c r="E230" s="59">
        <v>0.66666666666666663</v>
      </c>
      <c r="F230" s="59">
        <v>0.79166666666666663</v>
      </c>
      <c r="G230" s="59">
        <v>3.4722222222222218E-4</v>
      </c>
      <c r="H230" s="52" t="s">
        <v>166</v>
      </c>
      <c r="I230" s="64">
        <v>0.70320601851851849</v>
      </c>
      <c r="J230" s="52" t="s">
        <v>110</v>
      </c>
      <c r="K230" s="52" t="s">
        <v>175</v>
      </c>
      <c r="L230" s="67">
        <v>1</v>
      </c>
      <c r="M230" s="67">
        <v>70990</v>
      </c>
      <c r="N230" s="52" t="s">
        <v>54</v>
      </c>
      <c r="O230" s="67" t="s">
        <v>38</v>
      </c>
      <c r="P230" s="70">
        <v>58.82</v>
      </c>
      <c r="Q230" s="67"/>
      <c r="R230" s="70">
        <v>58.82</v>
      </c>
      <c r="S230" s="75">
        <v>46054</v>
      </c>
      <c r="T230" s="70">
        <v>4.4115000000000002</v>
      </c>
      <c r="U230" s="77">
        <v>4</v>
      </c>
      <c r="V230" s="70">
        <v>54.408500000000004</v>
      </c>
      <c r="W230" s="52" t="s">
        <v>48</v>
      </c>
      <c r="X230" s="52" t="s">
        <v>49</v>
      </c>
      <c r="Y230" s="52" t="s">
        <v>36</v>
      </c>
      <c r="Z230" s="52" t="s">
        <v>9</v>
      </c>
      <c r="AA230" s="52" t="s">
        <v>50</v>
      </c>
      <c r="AB230" s="52" t="s">
        <v>72</v>
      </c>
      <c r="AC230" s="52" t="s">
        <v>38</v>
      </c>
      <c r="AD230" s="79" t="s">
        <v>257</v>
      </c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</row>
    <row r="231" spans="1:49" ht="31.5" x14ac:dyDescent="0.25">
      <c r="A231" s="52" t="s">
        <v>70</v>
      </c>
      <c r="B231" s="55">
        <v>46072</v>
      </c>
      <c r="C231" s="55">
        <v>46072</v>
      </c>
      <c r="D231" s="52" t="s">
        <v>183</v>
      </c>
      <c r="E231" s="59">
        <v>0.79166666666666663</v>
      </c>
      <c r="F231" s="59">
        <v>0.83333333333333337</v>
      </c>
      <c r="G231" s="59">
        <v>3.4722222222222218E-4</v>
      </c>
      <c r="H231" s="52" t="s">
        <v>132</v>
      </c>
      <c r="I231" s="64">
        <v>0.7971759259259259</v>
      </c>
      <c r="J231" s="52" t="s">
        <v>120</v>
      </c>
      <c r="K231" s="52" t="s">
        <v>119</v>
      </c>
      <c r="L231" s="67">
        <v>1</v>
      </c>
      <c r="M231" s="67">
        <v>70979</v>
      </c>
      <c r="N231" s="52" t="s">
        <v>54</v>
      </c>
      <c r="O231" s="67" t="s">
        <v>38</v>
      </c>
      <c r="P231" s="70">
        <v>58.82</v>
      </c>
      <c r="Q231" s="67"/>
      <c r="R231" s="70">
        <v>58.82</v>
      </c>
      <c r="S231" s="75">
        <v>46054</v>
      </c>
      <c r="T231" s="70">
        <v>4.4115000000000002</v>
      </c>
      <c r="U231" s="77">
        <v>4</v>
      </c>
      <c r="V231" s="70">
        <v>54.408500000000004</v>
      </c>
      <c r="W231" s="52" t="s">
        <v>48</v>
      </c>
      <c r="X231" s="52" t="s">
        <v>49</v>
      </c>
      <c r="Y231" s="52" t="s">
        <v>36</v>
      </c>
      <c r="Z231" s="52" t="s">
        <v>9</v>
      </c>
      <c r="AA231" s="52" t="s">
        <v>50</v>
      </c>
      <c r="AB231" s="52" t="s">
        <v>72</v>
      </c>
      <c r="AC231" s="52" t="s">
        <v>38</v>
      </c>
      <c r="AD231" s="79" t="s">
        <v>257</v>
      </c>
      <c r="AE231" s="80"/>
      <c r="AF231" s="80"/>
      <c r="AG231" s="80"/>
      <c r="AH231" s="80"/>
      <c r="AI231" s="80"/>
      <c r="AJ231" s="80"/>
      <c r="AK231" s="80"/>
      <c r="AL231" s="80"/>
      <c r="AM231" s="80"/>
      <c r="AN231" s="80"/>
      <c r="AO231" s="80"/>
      <c r="AP231" s="80"/>
      <c r="AQ231" s="80"/>
      <c r="AR231" s="80"/>
      <c r="AS231" s="80"/>
      <c r="AT231" s="80"/>
      <c r="AU231" s="80"/>
      <c r="AV231" s="80"/>
      <c r="AW231" s="80"/>
    </row>
    <row r="232" spans="1:49" ht="31.5" x14ac:dyDescent="0.2">
      <c r="A232" s="52" t="s">
        <v>70</v>
      </c>
      <c r="B232" s="55">
        <v>46073</v>
      </c>
      <c r="C232" s="55">
        <v>46073</v>
      </c>
      <c r="D232" s="52" t="s">
        <v>196</v>
      </c>
      <c r="E232" s="59">
        <v>0.25</v>
      </c>
      <c r="F232" s="59">
        <v>0.99930555555555556</v>
      </c>
      <c r="G232" s="59">
        <v>3.4722222222222218E-4</v>
      </c>
      <c r="H232" s="52" t="s">
        <v>168</v>
      </c>
      <c r="I232" s="64">
        <v>0.94663194444444443</v>
      </c>
      <c r="J232" s="52" t="s">
        <v>41</v>
      </c>
      <c r="K232" s="52" t="s">
        <v>213</v>
      </c>
      <c r="L232" s="67">
        <v>1</v>
      </c>
      <c r="M232" s="67">
        <v>70983</v>
      </c>
      <c r="N232" s="52" t="s">
        <v>46</v>
      </c>
      <c r="O232" s="67" t="s">
        <v>38</v>
      </c>
      <c r="P232" s="70">
        <v>0</v>
      </c>
      <c r="Q232" s="67"/>
      <c r="R232" s="70">
        <v>0</v>
      </c>
      <c r="S232" s="75">
        <v>46054</v>
      </c>
      <c r="T232" s="70">
        <v>0</v>
      </c>
      <c r="U232" s="77">
        <v>4</v>
      </c>
      <c r="V232" s="70">
        <v>0</v>
      </c>
      <c r="W232" s="52" t="s">
        <v>48</v>
      </c>
      <c r="X232" s="52" t="s">
        <v>49</v>
      </c>
      <c r="Y232" s="52" t="s">
        <v>36</v>
      </c>
      <c r="Z232" s="52" t="s">
        <v>9</v>
      </c>
      <c r="AA232" s="52" t="s">
        <v>50</v>
      </c>
      <c r="AB232" s="52" t="s">
        <v>72</v>
      </c>
      <c r="AC232" s="52" t="s">
        <v>38</v>
      </c>
      <c r="AD232" s="79" t="s">
        <v>257</v>
      </c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</row>
    <row r="233" spans="1:49" ht="31.5" x14ac:dyDescent="0.25">
      <c r="A233" s="52" t="s">
        <v>70</v>
      </c>
      <c r="B233" s="55">
        <v>46073</v>
      </c>
      <c r="C233" s="55">
        <v>46073</v>
      </c>
      <c r="D233" s="52" t="s">
        <v>196</v>
      </c>
      <c r="E233" s="59">
        <v>0.66666666666666663</v>
      </c>
      <c r="F233" s="59">
        <v>0.79166666666666663</v>
      </c>
      <c r="G233" s="59">
        <v>3.4722222222222218E-4</v>
      </c>
      <c r="H233" s="52" t="s">
        <v>166</v>
      </c>
      <c r="I233" s="64">
        <v>0.70401620370370366</v>
      </c>
      <c r="J233" s="52" t="s">
        <v>110</v>
      </c>
      <c r="K233" s="52" t="s">
        <v>175</v>
      </c>
      <c r="L233" s="67">
        <v>1</v>
      </c>
      <c r="M233" s="67">
        <v>70990</v>
      </c>
      <c r="N233" s="52" t="s">
        <v>54</v>
      </c>
      <c r="O233" s="67" t="s">
        <v>38</v>
      </c>
      <c r="P233" s="70">
        <v>58.82</v>
      </c>
      <c r="Q233" s="67"/>
      <c r="R233" s="70">
        <v>58.82</v>
      </c>
      <c r="S233" s="75">
        <v>46054</v>
      </c>
      <c r="T233" s="70">
        <v>4.4115000000000002</v>
      </c>
      <c r="U233" s="77">
        <v>4</v>
      </c>
      <c r="V233" s="70">
        <v>54.408500000000004</v>
      </c>
      <c r="W233" s="52" t="s">
        <v>48</v>
      </c>
      <c r="X233" s="52" t="s">
        <v>49</v>
      </c>
      <c r="Y233" s="52" t="s">
        <v>36</v>
      </c>
      <c r="Z233" s="52" t="s">
        <v>9</v>
      </c>
      <c r="AA233" s="52" t="s">
        <v>50</v>
      </c>
      <c r="AB233" s="52" t="s">
        <v>72</v>
      </c>
      <c r="AC233" s="52" t="s">
        <v>38</v>
      </c>
      <c r="AD233" s="79" t="s">
        <v>257</v>
      </c>
      <c r="AE233" s="80"/>
      <c r="AF233" s="80"/>
      <c r="AG233" s="80"/>
      <c r="AH233" s="80"/>
      <c r="AI233" s="80"/>
      <c r="AJ233" s="80"/>
      <c r="AK233" s="80"/>
      <c r="AL233" s="80"/>
      <c r="AM233" s="80"/>
      <c r="AN233" s="80"/>
      <c r="AO233" s="80"/>
      <c r="AP233" s="80"/>
      <c r="AQ233" s="80"/>
      <c r="AR233" s="80"/>
      <c r="AS233" s="80"/>
      <c r="AT233" s="80"/>
      <c r="AU233" s="80"/>
      <c r="AV233" s="80"/>
      <c r="AW233" s="80"/>
    </row>
    <row r="234" spans="1:49" ht="31.5" x14ac:dyDescent="0.2">
      <c r="A234" s="52" t="s">
        <v>70</v>
      </c>
      <c r="B234" s="55">
        <v>46074</v>
      </c>
      <c r="C234" s="55">
        <v>46074</v>
      </c>
      <c r="D234" s="52" t="s">
        <v>214</v>
      </c>
      <c r="E234" s="59">
        <v>0.33333333333333331</v>
      </c>
      <c r="F234" s="59">
        <v>0.41666666666666669</v>
      </c>
      <c r="G234" s="59">
        <v>3.4722222222222218E-4</v>
      </c>
      <c r="H234" s="52" t="s">
        <v>71</v>
      </c>
      <c r="I234" s="64">
        <v>0.39574074074074073</v>
      </c>
      <c r="J234" s="52" t="s">
        <v>69</v>
      </c>
      <c r="K234" s="52" t="s">
        <v>75</v>
      </c>
      <c r="L234" s="67">
        <v>1</v>
      </c>
      <c r="M234" s="67">
        <v>70996</v>
      </c>
      <c r="N234" s="52" t="s">
        <v>46</v>
      </c>
      <c r="O234" s="67" t="s">
        <v>38</v>
      </c>
      <c r="P234" s="70">
        <v>0</v>
      </c>
      <c r="Q234" s="67"/>
      <c r="R234" s="70">
        <v>0</v>
      </c>
      <c r="S234" s="75">
        <v>46054</v>
      </c>
      <c r="T234" s="70">
        <v>0</v>
      </c>
      <c r="U234" s="77">
        <v>4</v>
      </c>
      <c r="V234" s="70">
        <v>0</v>
      </c>
      <c r="W234" s="52" t="s">
        <v>48</v>
      </c>
      <c r="X234" s="52" t="s">
        <v>49</v>
      </c>
      <c r="Y234" s="52" t="s">
        <v>36</v>
      </c>
      <c r="Z234" s="52" t="s">
        <v>9</v>
      </c>
      <c r="AA234" s="52" t="s">
        <v>50</v>
      </c>
      <c r="AB234" s="52" t="s">
        <v>72</v>
      </c>
      <c r="AC234" s="52" t="s">
        <v>38</v>
      </c>
      <c r="AD234" s="79" t="s">
        <v>257</v>
      </c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</row>
    <row r="235" spans="1:49" ht="31.5" x14ac:dyDescent="0.25">
      <c r="A235" s="52" t="s">
        <v>70</v>
      </c>
      <c r="B235" s="55">
        <v>46074</v>
      </c>
      <c r="C235" s="55">
        <v>46074</v>
      </c>
      <c r="D235" s="52" t="s">
        <v>214</v>
      </c>
      <c r="E235" s="59">
        <v>0.66666666666666663</v>
      </c>
      <c r="F235" s="59">
        <v>0.79166666666666663</v>
      </c>
      <c r="G235" s="59">
        <v>3.4722222222222218E-4</v>
      </c>
      <c r="H235" s="52" t="s">
        <v>166</v>
      </c>
      <c r="I235" s="64">
        <v>0.7126851851851852</v>
      </c>
      <c r="J235" s="52" t="s">
        <v>110</v>
      </c>
      <c r="K235" s="52" t="s">
        <v>167</v>
      </c>
      <c r="L235" s="67">
        <v>1</v>
      </c>
      <c r="M235" s="67">
        <v>70992</v>
      </c>
      <c r="N235" s="52" t="s">
        <v>46</v>
      </c>
      <c r="O235" s="67" t="s">
        <v>38</v>
      </c>
      <c r="P235" s="70">
        <v>0</v>
      </c>
      <c r="Q235" s="67"/>
      <c r="R235" s="70">
        <v>0</v>
      </c>
      <c r="S235" s="75">
        <v>46054</v>
      </c>
      <c r="T235" s="70">
        <v>0</v>
      </c>
      <c r="U235" s="77">
        <v>4</v>
      </c>
      <c r="V235" s="70">
        <v>0</v>
      </c>
      <c r="W235" s="52" t="s">
        <v>48</v>
      </c>
      <c r="X235" s="52" t="s">
        <v>49</v>
      </c>
      <c r="Y235" s="52" t="s">
        <v>36</v>
      </c>
      <c r="Z235" s="52" t="s">
        <v>9</v>
      </c>
      <c r="AA235" s="52" t="s">
        <v>50</v>
      </c>
      <c r="AB235" s="52" t="s">
        <v>72</v>
      </c>
      <c r="AC235" s="52" t="s">
        <v>38</v>
      </c>
      <c r="AD235" s="79" t="s">
        <v>257</v>
      </c>
      <c r="AE235" s="80"/>
      <c r="AF235" s="80"/>
      <c r="AG235" s="80"/>
      <c r="AH235" s="80"/>
      <c r="AI235" s="86"/>
      <c r="AJ235" s="86"/>
      <c r="AK235" s="86"/>
      <c r="AL235" s="86"/>
      <c r="AM235" s="86"/>
      <c r="AN235" s="86"/>
      <c r="AO235" s="86"/>
      <c r="AP235" s="86"/>
      <c r="AQ235" s="86"/>
      <c r="AR235" s="86"/>
      <c r="AS235" s="86"/>
      <c r="AT235" s="86"/>
      <c r="AU235" s="86"/>
      <c r="AV235" s="86"/>
      <c r="AW235" s="86"/>
    </row>
    <row r="236" spans="1:49" ht="31.5" x14ac:dyDescent="0.2">
      <c r="A236" s="52" t="s">
        <v>70</v>
      </c>
      <c r="B236" s="55">
        <v>46074</v>
      </c>
      <c r="C236" s="55">
        <v>46074</v>
      </c>
      <c r="D236" s="52" t="s">
        <v>214</v>
      </c>
      <c r="E236" s="59">
        <v>0.75</v>
      </c>
      <c r="F236" s="59">
        <v>0.83333333333333337</v>
      </c>
      <c r="G236" s="59">
        <v>3.4722222222222218E-4</v>
      </c>
      <c r="H236" s="52" t="s">
        <v>231</v>
      </c>
      <c r="I236" s="64">
        <v>0.76128472222222221</v>
      </c>
      <c r="J236" s="52" t="s">
        <v>232</v>
      </c>
      <c r="K236" s="52" t="s">
        <v>228</v>
      </c>
      <c r="L236" s="67">
        <v>1</v>
      </c>
      <c r="M236" s="67">
        <v>70987</v>
      </c>
      <c r="N236" s="52" t="s">
        <v>46</v>
      </c>
      <c r="O236" s="67" t="s">
        <v>38</v>
      </c>
      <c r="P236" s="70">
        <v>0</v>
      </c>
      <c r="Q236" s="67"/>
      <c r="R236" s="70">
        <v>0</v>
      </c>
      <c r="S236" s="75">
        <v>46054</v>
      </c>
      <c r="T236" s="70">
        <v>0</v>
      </c>
      <c r="U236" s="77">
        <v>4</v>
      </c>
      <c r="V236" s="70">
        <v>0</v>
      </c>
      <c r="W236" s="52" t="s">
        <v>48</v>
      </c>
      <c r="X236" s="52" t="s">
        <v>49</v>
      </c>
      <c r="Y236" s="52" t="s">
        <v>36</v>
      </c>
      <c r="Z236" s="52" t="s">
        <v>9</v>
      </c>
      <c r="AA236" s="52" t="s">
        <v>50</v>
      </c>
      <c r="AB236" s="52" t="s">
        <v>72</v>
      </c>
      <c r="AC236" s="52" t="s">
        <v>38</v>
      </c>
      <c r="AD236" s="79" t="s">
        <v>257</v>
      </c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</row>
    <row r="237" spans="1:49" ht="31.5" x14ac:dyDescent="0.25">
      <c r="A237" s="52" t="s">
        <v>70</v>
      </c>
      <c r="B237" s="55">
        <v>46074</v>
      </c>
      <c r="C237" s="55">
        <v>46074</v>
      </c>
      <c r="D237" s="52" t="s">
        <v>214</v>
      </c>
      <c r="E237" s="59">
        <v>0.75</v>
      </c>
      <c r="F237" s="59">
        <v>0.83333333333333337</v>
      </c>
      <c r="G237" s="59">
        <v>3.4722222222222218E-4</v>
      </c>
      <c r="H237" s="52" t="s">
        <v>231</v>
      </c>
      <c r="I237" s="64">
        <v>0.77918981481481486</v>
      </c>
      <c r="J237" s="52" t="s">
        <v>232</v>
      </c>
      <c r="K237" s="52" t="s">
        <v>228</v>
      </c>
      <c r="L237" s="67">
        <v>1</v>
      </c>
      <c r="M237" s="67">
        <v>70987</v>
      </c>
      <c r="N237" s="52" t="s">
        <v>46</v>
      </c>
      <c r="O237" s="67" t="s">
        <v>38</v>
      </c>
      <c r="P237" s="70">
        <v>0</v>
      </c>
      <c r="Q237" s="67"/>
      <c r="R237" s="70">
        <v>0</v>
      </c>
      <c r="S237" s="75">
        <v>46054</v>
      </c>
      <c r="T237" s="70">
        <v>0</v>
      </c>
      <c r="U237" s="77">
        <v>4</v>
      </c>
      <c r="V237" s="70">
        <v>0</v>
      </c>
      <c r="W237" s="52" t="s">
        <v>48</v>
      </c>
      <c r="X237" s="52" t="s">
        <v>49</v>
      </c>
      <c r="Y237" s="52" t="s">
        <v>36</v>
      </c>
      <c r="Z237" s="52" t="s">
        <v>9</v>
      </c>
      <c r="AA237" s="52" t="s">
        <v>50</v>
      </c>
      <c r="AB237" s="52" t="s">
        <v>72</v>
      </c>
      <c r="AC237" s="52" t="s">
        <v>38</v>
      </c>
      <c r="AD237" s="79" t="s">
        <v>257</v>
      </c>
      <c r="AE237" s="80"/>
      <c r="AF237" s="80"/>
      <c r="AG237" s="80"/>
      <c r="AH237" s="80"/>
      <c r="AI237" s="80"/>
      <c r="AJ237" s="80"/>
      <c r="AK237" s="80"/>
      <c r="AL237" s="80"/>
      <c r="AM237" s="80"/>
      <c r="AN237" s="80"/>
      <c r="AO237" s="80"/>
      <c r="AP237" s="80"/>
      <c r="AQ237" s="80"/>
      <c r="AR237" s="80"/>
      <c r="AS237" s="80"/>
      <c r="AT237" s="80"/>
      <c r="AU237" s="80"/>
      <c r="AV237" s="80"/>
      <c r="AW237" s="80"/>
    </row>
    <row r="238" spans="1:49" ht="31.5" x14ac:dyDescent="0.2">
      <c r="A238" s="52" t="s">
        <v>70</v>
      </c>
      <c r="B238" s="55">
        <v>46074</v>
      </c>
      <c r="C238" s="55">
        <v>46074</v>
      </c>
      <c r="D238" s="52" t="s">
        <v>214</v>
      </c>
      <c r="E238" s="59">
        <v>0.75</v>
      </c>
      <c r="F238" s="59">
        <v>0.83333333333333337</v>
      </c>
      <c r="G238" s="59">
        <v>3.4722222222222218E-4</v>
      </c>
      <c r="H238" s="52" t="s">
        <v>231</v>
      </c>
      <c r="I238" s="64">
        <v>0.79010416666666672</v>
      </c>
      <c r="J238" s="52" t="s">
        <v>232</v>
      </c>
      <c r="K238" s="52" t="s">
        <v>228</v>
      </c>
      <c r="L238" s="67">
        <v>1</v>
      </c>
      <c r="M238" s="67">
        <v>70985</v>
      </c>
      <c r="N238" s="52" t="s">
        <v>54</v>
      </c>
      <c r="O238" s="67" t="s">
        <v>38</v>
      </c>
      <c r="P238" s="70">
        <v>58.82</v>
      </c>
      <c r="Q238" s="67"/>
      <c r="R238" s="70">
        <v>58.82</v>
      </c>
      <c r="S238" s="75">
        <v>46054</v>
      </c>
      <c r="T238" s="70">
        <v>4.4115000000000002</v>
      </c>
      <c r="U238" s="77">
        <v>4</v>
      </c>
      <c r="V238" s="70">
        <v>54.408500000000004</v>
      </c>
      <c r="W238" s="52" t="s">
        <v>48</v>
      </c>
      <c r="X238" s="52" t="s">
        <v>49</v>
      </c>
      <c r="Y238" s="52" t="s">
        <v>36</v>
      </c>
      <c r="Z238" s="52" t="s">
        <v>9</v>
      </c>
      <c r="AA238" s="52" t="s">
        <v>50</v>
      </c>
      <c r="AB238" s="52" t="s">
        <v>72</v>
      </c>
      <c r="AC238" s="52" t="s">
        <v>38</v>
      </c>
      <c r="AD238" s="79" t="s">
        <v>257</v>
      </c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</row>
    <row r="239" spans="1:49" ht="31.5" x14ac:dyDescent="0.25">
      <c r="A239" s="52" t="s">
        <v>70</v>
      </c>
      <c r="B239" s="55">
        <v>46074</v>
      </c>
      <c r="C239" s="55">
        <v>46074</v>
      </c>
      <c r="D239" s="52" t="s">
        <v>214</v>
      </c>
      <c r="E239" s="59">
        <v>0.75</v>
      </c>
      <c r="F239" s="59">
        <v>0.83333333333333337</v>
      </c>
      <c r="G239" s="59">
        <v>3.4722222222222218E-4</v>
      </c>
      <c r="H239" s="52" t="s">
        <v>231</v>
      </c>
      <c r="I239" s="64">
        <v>0.81439814814814815</v>
      </c>
      <c r="J239" s="52" t="s">
        <v>232</v>
      </c>
      <c r="K239" s="52" t="s">
        <v>241</v>
      </c>
      <c r="L239" s="67">
        <v>1</v>
      </c>
      <c r="M239" s="67">
        <v>70985</v>
      </c>
      <c r="N239" s="52" t="s">
        <v>54</v>
      </c>
      <c r="O239" s="67" t="s">
        <v>38</v>
      </c>
      <c r="P239" s="70">
        <v>58.82</v>
      </c>
      <c r="Q239" s="67"/>
      <c r="R239" s="70">
        <v>58.82</v>
      </c>
      <c r="S239" s="75">
        <v>46054</v>
      </c>
      <c r="T239" s="70">
        <v>4.4115000000000002</v>
      </c>
      <c r="U239" s="77">
        <v>4</v>
      </c>
      <c r="V239" s="70">
        <v>54.408500000000004</v>
      </c>
      <c r="W239" s="52" t="s">
        <v>48</v>
      </c>
      <c r="X239" s="52" t="s">
        <v>49</v>
      </c>
      <c r="Y239" s="52" t="s">
        <v>36</v>
      </c>
      <c r="Z239" s="52" t="s">
        <v>9</v>
      </c>
      <c r="AA239" s="52" t="s">
        <v>50</v>
      </c>
      <c r="AB239" s="52" t="s">
        <v>72</v>
      </c>
      <c r="AC239" s="52" t="s">
        <v>38</v>
      </c>
      <c r="AD239" s="79" t="s">
        <v>257</v>
      </c>
      <c r="AE239" s="80"/>
      <c r="AF239" s="80"/>
      <c r="AG239" s="80"/>
      <c r="AH239" s="80"/>
      <c r="AI239" s="80"/>
      <c r="AJ239" s="80"/>
      <c r="AK239" s="80"/>
      <c r="AL239" s="80"/>
      <c r="AM239" s="80"/>
      <c r="AN239" s="80"/>
      <c r="AO239" s="80"/>
      <c r="AP239" s="80"/>
      <c r="AQ239" s="80"/>
      <c r="AR239" s="80"/>
      <c r="AS239" s="80"/>
      <c r="AT239" s="80"/>
      <c r="AU239" s="80"/>
      <c r="AV239" s="80"/>
      <c r="AW239" s="80"/>
    </row>
    <row r="240" spans="1:49" ht="31.5" x14ac:dyDescent="0.25">
      <c r="A240" s="52" t="s">
        <v>70</v>
      </c>
      <c r="B240" s="55">
        <v>46075</v>
      </c>
      <c r="C240" s="55">
        <v>46075</v>
      </c>
      <c r="D240" s="52" t="s">
        <v>243</v>
      </c>
      <c r="E240" s="59">
        <v>0.25</v>
      </c>
      <c r="F240" s="59">
        <v>0.99930555555555556</v>
      </c>
      <c r="G240" s="59">
        <v>3.4722222222222218E-4</v>
      </c>
      <c r="H240" s="52" t="s">
        <v>168</v>
      </c>
      <c r="I240" s="64">
        <v>0.90576388888888892</v>
      </c>
      <c r="J240" s="52" t="s">
        <v>41</v>
      </c>
      <c r="K240" s="52" t="s">
        <v>170</v>
      </c>
      <c r="L240" s="67">
        <v>1</v>
      </c>
      <c r="M240" s="67">
        <v>70983</v>
      </c>
      <c r="N240" s="52" t="s">
        <v>46</v>
      </c>
      <c r="O240" s="67" t="s">
        <v>38</v>
      </c>
      <c r="P240" s="70">
        <v>0</v>
      </c>
      <c r="Q240" s="67"/>
      <c r="R240" s="70">
        <v>0</v>
      </c>
      <c r="S240" s="75">
        <v>46054</v>
      </c>
      <c r="T240" s="70">
        <v>0</v>
      </c>
      <c r="U240" s="77">
        <v>4</v>
      </c>
      <c r="V240" s="70">
        <v>0</v>
      </c>
      <c r="W240" s="52" t="s">
        <v>48</v>
      </c>
      <c r="X240" s="52" t="s">
        <v>49</v>
      </c>
      <c r="Y240" s="52" t="s">
        <v>36</v>
      </c>
      <c r="Z240" s="52" t="s">
        <v>9</v>
      </c>
      <c r="AA240" s="52" t="s">
        <v>50</v>
      </c>
      <c r="AB240" s="52" t="s">
        <v>72</v>
      </c>
      <c r="AC240" s="52" t="s">
        <v>38</v>
      </c>
      <c r="AD240" s="79" t="s">
        <v>257</v>
      </c>
      <c r="AE240" s="82"/>
      <c r="AF240" s="82"/>
      <c r="AG240" s="82"/>
      <c r="AH240" s="82"/>
      <c r="AI240" s="84"/>
      <c r="AJ240" s="84"/>
      <c r="AK240" s="84"/>
      <c r="AL240" s="84"/>
      <c r="AM240" s="84"/>
      <c r="AN240" s="84"/>
      <c r="AO240" s="84"/>
      <c r="AP240" s="84"/>
      <c r="AQ240" s="84"/>
      <c r="AR240" s="84"/>
      <c r="AS240" s="84"/>
      <c r="AT240" s="84"/>
      <c r="AU240" s="84"/>
      <c r="AV240" s="84"/>
      <c r="AW240" s="84"/>
    </row>
    <row r="241" spans="1:49" ht="31.5" x14ac:dyDescent="0.2">
      <c r="A241" s="52" t="s">
        <v>70</v>
      </c>
      <c r="B241" s="55">
        <v>46075</v>
      </c>
      <c r="C241" s="55">
        <v>46075</v>
      </c>
      <c r="D241" s="52" t="s">
        <v>243</v>
      </c>
      <c r="E241" s="59">
        <v>0.45833333333333331</v>
      </c>
      <c r="F241" s="59">
        <v>0.5</v>
      </c>
      <c r="G241" s="59">
        <v>3.4722222222222218E-4</v>
      </c>
      <c r="H241" s="52" t="s">
        <v>163</v>
      </c>
      <c r="I241" s="64">
        <v>0.48311342592592593</v>
      </c>
      <c r="J241" s="52" t="s">
        <v>84</v>
      </c>
      <c r="K241" s="52" t="s">
        <v>171</v>
      </c>
      <c r="L241" s="67">
        <v>1</v>
      </c>
      <c r="M241" s="67">
        <v>70998</v>
      </c>
      <c r="N241" s="52" t="s">
        <v>54</v>
      </c>
      <c r="O241" s="67" t="s">
        <v>38</v>
      </c>
      <c r="P241" s="70">
        <v>58.82</v>
      </c>
      <c r="Q241" s="67"/>
      <c r="R241" s="70">
        <v>58.82</v>
      </c>
      <c r="S241" s="75">
        <v>46054</v>
      </c>
      <c r="T241" s="70">
        <v>4.4115000000000002</v>
      </c>
      <c r="U241" s="77">
        <v>4</v>
      </c>
      <c r="V241" s="70">
        <v>54.408500000000004</v>
      </c>
      <c r="W241" s="52" t="s">
        <v>48</v>
      </c>
      <c r="X241" s="52" t="s">
        <v>49</v>
      </c>
      <c r="Y241" s="52" t="s">
        <v>36</v>
      </c>
      <c r="Z241" s="52" t="s">
        <v>9</v>
      </c>
      <c r="AA241" s="52" t="s">
        <v>50</v>
      </c>
      <c r="AB241" s="52" t="s">
        <v>72</v>
      </c>
      <c r="AC241" s="52" t="s">
        <v>38</v>
      </c>
      <c r="AD241" s="79" t="s">
        <v>257</v>
      </c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</row>
    <row r="242" spans="1:49" ht="31.5" x14ac:dyDescent="0.2">
      <c r="A242" s="52" t="s">
        <v>70</v>
      </c>
      <c r="B242" s="55">
        <v>46075</v>
      </c>
      <c r="C242" s="55">
        <v>46075</v>
      </c>
      <c r="D242" s="52" t="s">
        <v>243</v>
      </c>
      <c r="E242" s="59">
        <v>0.45833333333333331</v>
      </c>
      <c r="F242" s="59">
        <v>0.54166666666666663</v>
      </c>
      <c r="G242" s="59">
        <v>3.4722222222222218E-4</v>
      </c>
      <c r="H242" s="52" t="s">
        <v>163</v>
      </c>
      <c r="I242" s="64">
        <v>0.52151620370370366</v>
      </c>
      <c r="J242" s="52" t="s">
        <v>84</v>
      </c>
      <c r="K242" s="52" t="s">
        <v>140</v>
      </c>
      <c r="L242" s="67">
        <v>1</v>
      </c>
      <c r="M242" s="67">
        <v>71000</v>
      </c>
      <c r="N242" s="52" t="s">
        <v>46</v>
      </c>
      <c r="O242" s="67" t="s">
        <v>38</v>
      </c>
      <c r="P242" s="70">
        <v>0</v>
      </c>
      <c r="Q242" s="67"/>
      <c r="R242" s="70">
        <v>0</v>
      </c>
      <c r="S242" s="75">
        <v>46054</v>
      </c>
      <c r="T242" s="70">
        <v>0</v>
      </c>
      <c r="U242" s="77">
        <v>4</v>
      </c>
      <c r="V242" s="70">
        <v>0</v>
      </c>
      <c r="W242" s="52" t="s">
        <v>48</v>
      </c>
      <c r="X242" s="52" t="s">
        <v>49</v>
      </c>
      <c r="Y242" s="52" t="s">
        <v>36</v>
      </c>
      <c r="Z242" s="52" t="s">
        <v>9</v>
      </c>
      <c r="AA242" s="52" t="s">
        <v>50</v>
      </c>
      <c r="AB242" s="52" t="s">
        <v>72</v>
      </c>
      <c r="AC242" s="52" t="s">
        <v>38</v>
      </c>
      <c r="AD242" s="79" t="s">
        <v>257</v>
      </c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</row>
    <row r="243" spans="1:49" ht="31.5" x14ac:dyDescent="0.25">
      <c r="A243" s="52" t="s">
        <v>70</v>
      </c>
      <c r="B243" s="55">
        <v>46075</v>
      </c>
      <c r="C243" s="55">
        <v>46075</v>
      </c>
      <c r="D243" s="52" t="s">
        <v>243</v>
      </c>
      <c r="E243" s="59">
        <v>0.75</v>
      </c>
      <c r="F243" s="59">
        <v>0.83333333333333337</v>
      </c>
      <c r="G243" s="59">
        <v>3.4722222222222218E-4</v>
      </c>
      <c r="H243" s="52" t="s">
        <v>231</v>
      </c>
      <c r="I243" s="64">
        <v>0.75354166666666667</v>
      </c>
      <c r="J243" s="52" t="s">
        <v>232</v>
      </c>
      <c r="K243" s="52" t="s">
        <v>228</v>
      </c>
      <c r="L243" s="67">
        <v>1</v>
      </c>
      <c r="M243" s="67">
        <v>70985</v>
      </c>
      <c r="N243" s="52" t="s">
        <v>54</v>
      </c>
      <c r="O243" s="67" t="s">
        <v>38</v>
      </c>
      <c r="P243" s="70">
        <v>58.82</v>
      </c>
      <c r="Q243" s="67"/>
      <c r="R243" s="70">
        <v>58.82</v>
      </c>
      <c r="S243" s="75">
        <v>46054</v>
      </c>
      <c r="T243" s="70">
        <v>4.4115000000000002</v>
      </c>
      <c r="U243" s="77">
        <v>4</v>
      </c>
      <c r="V243" s="70">
        <v>54.408500000000004</v>
      </c>
      <c r="W243" s="52" t="s">
        <v>48</v>
      </c>
      <c r="X243" s="52" t="s">
        <v>49</v>
      </c>
      <c r="Y243" s="52" t="s">
        <v>36</v>
      </c>
      <c r="Z243" s="52" t="s">
        <v>9</v>
      </c>
      <c r="AA243" s="52" t="s">
        <v>50</v>
      </c>
      <c r="AB243" s="52" t="s">
        <v>72</v>
      </c>
      <c r="AC243" s="52" t="s">
        <v>38</v>
      </c>
      <c r="AD243" s="79" t="s">
        <v>257</v>
      </c>
      <c r="AE243" s="80"/>
      <c r="AF243" s="80"/>
      <c r="AG243" s="80"/>
      <c r="AH243" s="80"/>
      <c r="AI243" s="86"/>
      <c r="AJ243" s="86"/>
      <c r="AK243" s="86"/>
      <c r="AL243" s="86"/>
      <c r="AM243" s="86"/>
      <c r="AN243" s="86"/>
      <c r="AO243" s="86"/>
      <c r="AP243" s="86"/>
      <c r="AQ243" s="86"/>
      <c r="AR243" s="86"/>
      <c r="AS243" s="86"/>
      <c r="AT243" s="86"/>
      <c r="AU243" s="86"/>
      <c r="AV243" s="86"/>
      <c r="AW243" s="86"/>
    </row>
    <row r="244" spans="1:49" ht="31.5" x14ac:dyDescent="0.2">
      <c r="A244" s="52" t="s">
        <v>70</v>
      </c>
      <c r="B244" s="55">
        <v>46075</v>
      </c>
      <c r="C244" s="55">
        <v>46075</v>
      </c>
      <c r="D244" s="52" t="s">
        <v>243</v>
      </c>
      <c r="E244" s="59">
        <v>0.75</v>
      </c>
      <c r="F244" s="59">
        <v>0.83333333333333337</v>
      </c>
      <c r="G244" s="59">
        <v>3.4722222222222218E-4</v>
      </c>
      <c r="H244" s="52" t="s">
        <v>231</v>
      </c>
      <c r="I244" s="64">
        <v>0.77357638888888891</v>
      </c>
      <c r="J244" s="52" t="s">
        <v>232</v>
      </c>
      <c r="K244" s="52" t="s">
        <v>228</v>
      </c>
      <c r="L244" s="67">
        <v>1</v>
      </c>
      <c r="M244" s="67">
        <v>70985</v>
      </c>
      <c r="N244" s="52" t="s">
        <v>54</v>
      </c>
      <c r="O244" s="67" t="s">
        <v>38</v>
      </c>
      <c r="P244" s="70">
        <v>58.82</v>
      </c>
      <c r="Q244" s="67"/>
      <c r="R244" s="70">
        <v>58.82</v>
      </c>
      <c r="S244" s="75">
        <v>46054</v>
      </c>
      <c r="T244" s="70">
        <v>4.4115000000000002</v>
      </c>
      <c r="U244" s="77">
        <v>4</v>
      </c>
      <c r="V244" s="70">
        <v>54.408500000000004</v>
      </c>
      <c r="W244" s="52" t="s">
        <v>48</v>
      </c>
      <c r="X244" s="52" t="s">
        <v>49</v>
      </c>
      <c r="Y244" s="52" t="s">
        <v>36</v>
      </c>
      <c r="Z244" s="52" t="s">
        <v>9</v>
      </c>
      <c r="AA244" s="52" t="s">
        <v>50</v>
      </c>
      <c r="AB244" s="52" t="s">
        <v>72</v>
      </c>
      <c r="AC244" s="52" t="s">
        <v>38</v>
      </c>
      <c r="AD244" s="79" t="s">
        <v>257</v>
      </c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</row>
    <row r="245" spans="1:49" ht="31.5" x14ac:dyDescent="0.2">
      <c r="A245" s="52" t="s">
        <v>70</v>
      </c>
      <c r="B245" s="55">
        <v>46075</v>
      </c>
      <c r="C245" s="55">
        <v>46075</v>
      </c>
      <c r="D245" s="52" t="s">
        <v>243</v>
      </c>
      <c r="E245" s="59">
        <v>0.75</v>
      </c>
      <c r="F245" s="59">
        <v>0.83333333333333337</v>
      </c>
      <c r="G245" s="59">
        <v>3.4722222222222218E-4</v>
      </c>
      <c r="H245" s="52" t="s">
        <v>231</v>
      </c>
      <c r="I245" s="64">
        <v>0.80962962962962959</v>
      </c>
      <c r="J245" s="52" t="s">
        <v>232</v>
      </c>
      <c r="K245" s="52" t="s">
        <v>241</v>
      </c>
      <c r="L245" s="67">
        <v>1</v>
      </c>
      <c r="M245" s="67">
        <v>70987</v>
      </c>
      <c r="N245" s="52" t="s">
        <v>46</v>
      </c>
      <c r="O245" s="67" t="s">
        <v>38</v>
      </c>
      <c r="P245" s="70">
        <v>0</v>
      </c>
      <c r="Q245" s="67"/>
      <c r="R245" s="70">
        <v>0</v>
      </c>
      <c r="S245" s="75">
        <v>46054</v>
      </c>
      <c r="T245" s="70">
        <v>0</v>
      </c>
      <c r="U245" s="77">
        <v>4</v>
      </c>
      <c r="V245" s="70">
        <v>0</v>
      </c>
      <c r="W245" s="52" t="s">
        <v>48</v>
      </c>
      <c r="X245" s="52" t="s">
        <v>49</v>
      </c>
      <c r="Y245" s="52" t="s">
        <v>36</v>
      </c>
      <c r="Z245" s="52" t="s">
        <v>9</v>
      </c>
      <c r="AA245" s="52" t="s">
        <v>50</v>
      </c>
      <c r="AB245" s="52" t="s">
        <v>72</v>
      </c>
      <c r="AC245" s="52" t="s">
        <v>38</v>
      </c>
      <c r="AD245" s="79" t="s">
        <v>257</v>
      </c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</row>
    <row r="246" spans="1:49" ht="31.5" x14ac:dyDescent="0.25">
      <c r="A246" s="52" t="s">
        <v>70</v>
      </c>
      <c r="B246" s="55">
        <v>46075</v>
      </c>
      <c r="C246" s="55">
        <v>46075</v>
      </c>
      <c r="D246" s="52" t="s">
        <v>243</v>
      </c>
      <c r="E246" s="59">
        <v>0.75</v>
      </c>
      <c r="F246" s="59">
        <v>0.83333333333333337</v>
      </c>
      <c r="G246" s="59">
        <v>3.4722222222222218E-4</v>
      </c>
      <c r="H246" s="52" t="s">
        <v>231</v>
      </c>
      <c r="I246" s="64">
        <v>0.82614583333333336</v>
      </c>
      <c r="J246" s="52" t="s">
        <v>232</v>
      </c>
      <c r="K246" s="52" t="s">
        <v>241</v>
      </c>
      <c r="L246" s="67">
        <v>1</v>
      </c>
      <c r="M246" s="67">
        <v>70987</v>
      </c>
      <c r="N246" s="52" t="s">
        <v>46</v>
      </c>
      <c r="O246" s="67" t="s">
        <v>38</v>
      </c>
      <c r="P246" s="70">
        <v>0</v>
      </c>
      <c r="Q246" s="67"/>
      <c r="R246" s="70">
        <v>0</v>
      </c>
      <c r="S246" s="75">
        <v>46054</v>
      </c>
      <c r="T246" s="70">
        <v>0</v>
      </c>
      <c r="U246" s="77">
        <v>4</v>
      </c>
      <c r="V246" s="70">
        <v>0</v>
      </c>
      <c r="W246" s="52" t="s">
        <v>48</v>
      </c>
      <c r="X246" s="52" t="s">
        <v>49</v>
      </c>
      <c r="Y246" s="52" t="s">
        <v>36</v>
      </c>
      <c r="Z246" s="52" t="s">
        <v>9</v>
      </c>
      <c r="AA246" s="52" t="s">
        <v>50</v>
      </c>
      <c r="AB246" s="52" t="s">
        <v>72</v>
      </c>
      <c r="AC246" s="52" t="s">
        <v>38</v>
      </c>
      <c r="AD246" s="79" t="s">
        <v>257</v>
      </c>
      <c r="AE246" s="80"/>
      <c r="AF246" s="80"/>
      <c r="AG246" s="80"/>
      <c r="AH246" s="80"/>
      <c r="AI246" s="80"/>
      <c r="AJ246" s="80"/>
      <c r="AK246" s="80"/>
      <c r="AL246" s="80"/>
      <c r="AM246" s="80"/>
      <c r="AN246" s="80"/>
      <c r="AO246" s="80"/>
      <c r="AP246" s="80"/>
      <c r="AQ246" s="80"/>
      <c r="AR246" s="80"/>
      <c r="AS246" s="80"/>
      <c r="AT246" s="80"/>
      <c r="AU246" s="80"/>
      <c r="AV246" s="80"/>
      <c r="AW246" s="80"/>
    </row>
    <row r="247" spans="1:49" ht="31.5" x14ac:dyDescent="0.2">
      <c r="A247" s="52" t="s">
        <v>70</v>
      </c>
      <c r="B247" s="55">
        <v>46075</v>
      </c>
      <c r="C247" s="55">
        <v>46075</v>
      </c>
      <c r="D247" s="52" t="s">
        <v>243</v>
      </c>
      <c r="E247" s="59">
        <v>0.83333333333333337</v>
      </c>
      <c r="F247" s="59">
        <v>0.875</v>
      </c>
      <c r="G247" s="59">
        <v>3.4722222222222218E-4</v>
      </c>
      <c r="H247" s="52" t="s">
        <v>168</v>
      </c>
      <c r="I247" s="64">
        <v>0.87416666666666665</v>
      </c>
      <c r="J247" s="52" t="s">
        <v>41</v>
      </c>
      <c r="K247" s="52" t="s">
        <v>143</v>
      </c>
      <c r="L247" s="67">
        <v>1</v>
      </c>
      <c r="M247" s="67">
        <v>70981</v>
      </c>
      <c r="N247" s="52" t="s">
        <v>54</v>
      </c>
      <c r="O247" s="67" t="s">
        <v>38</v>
      </c>
      <c r="P247" s="70">
        <v>58.82</v>
      </c>
      <c r="Q247" s="67"/>
      <c r="R247" s="70">
        <v>58.82</v>
      </c>
      <c r="S247" s="75">
        <v>46054</v>
      </c>
      <c r="T247" s="70">
        <v>4.4115000000000002</v>
      </c>
      <c r="U247" s="77">
        <v>4</v>
      </c>
      <c r="V247" s="70">
        <v>54.408500000000004</v>
      </c>
      <c r="W247" s="52" t="s">
        <v>48</v>
      </c>
      <c r="X247" s="52" t="s">
        <v>49</v>
      </c>
      <c r="Y247" s="52" t="s">
        <v>36</v>
      </c>
      <c r="Z247" s="52" t="s">
        <v>9</v>
      </c>
      <c r="AA247" s="52" t="s">
        <v>50</v>
      </c>
      <c r="AB247" s="52" t="s">
        <v>72</v>
      </c>
      <c r="AC247" s="52" t="s">
        <v>38</v>
      </c>
      <c r="AD247" s="79" t="s">
        <v>257</v>
      </c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</row>
    <row r="248" spans="1:49" ht="31.5" x14ac:dyDescent="0.25">
      <c r="A248" s="53" t="s">
        <v>29</v>
      </c>
      <c r="B248" s="56">
        <v>46069</v>
      </c>
      <c r="C248" s="56">
        <v>46069</v>
      </c>
      <c r="D248" s="58" t="s">
        <v>30</v>
      </c>
      <c r="E248" s="60">
        <v>0</v>
      </c>
      <c r="F248" s="60">
        <v>0.25</v>
      </c>
      <c r="G248" s="60">
        <v>0.25</v>
      </c>
      <c r="H248" s="53" t="s">
        <v>31</v>
      </c>
      <c r="I248" s="65"/>
      <c r="J248" s="53" t="s">
        <v>32</v>
      </c>
      <c r="K248" s="53" t="s">
        <v>31</v>
      </c>
      <c r="L248" s="68">
        <v>1</v>
      </c>
      <c r="M248" s="68">
        <v>1</v>
      </c>
      <c r="N248" s="53" t="s">
        <v>33</v>
      </c>
      <c r="O248" s="53"/>
      <c r="P248" s="73">
        <v>0</v>
      </c>
      <c r="Q248" s="68"/>
      <c r="R248" s="73">
        <v>0</v>
      </c>
      <c r="S248" s="53">
        <v>46054</v>
      </c>
      <c r="T248" s="71">
        <v>0</v>
      </c>
      <c r="U248" s="68">
        <v>1</v>
      </c>
      <c r="V248" s="71">
        <v>0</v>
      </c>
      <c r="W248" s="53" t="s">
        <v>34</v>
      </c>
      <c r="X248" s="53" t="s">
        <v>35</v>
      </c>
      <c r="Y248" s="53" t="s">
        <v>36</v>
      </c>
      <c r="Z248" s="53" t="s">
        <v>9</v>
      </c>
      <c r="AA248" s="53" t="s">
        <v>37</v>
      </c>
      <c r="AB248" s="53" t="s">
        <v>37</v>
      </c>
      <c r="AC248" s="53" t="s">
        <v>38</v>
      </c>
      <c r="AD248" s="79" t="s">
        <v>257</v>
      </c>
      <c r="AE248" s="80"/>
      <c r="AF248" s="80"/>
      <c r="AG248" s="80"/>
      <c r="AH248" s="80"/>
      <c r="AI248" s="80"/>
      <c r="AJ248" s="80"/>
      <c r="AK248" s="80"/>
      <c r="AL248" s="80"/>
      <c r="AM248" s="80"/>
      <c r="AN248" s="80"/>
      <c r="AO248" s="80"/>
      <c r="AP248" s="80"/>
      <c r="AQ248" s="80"/>
      <c r="AR248" s="80"/>
      <c r="AS248" s="80"/>
      <c r="AT248" s="80"/>
      <c r="AU248" s="80"/>
      <c r="AV248" s="80"/>
      <c r="AW248" s="80"/>
    </row>
    <row r="249" spans="1:49" ht="31.5" x14ac:dyDescent="0.2">
      <c r="A249" s="53" t="s">
        <v>29</v>
      </c>
      <c r="B249" s="56">
        <v>46070</v>
      </c>
      <c r="C249" s="56">
        <v>46070</v>
      </c>
      <c r="D249" s="58" t="s">
        <v>145</v>
      </c>
      <c r="E249" s="60">
        <v>0</v>
      </c>
      <c r="F249" s="60">
        <v>0.25</v>
      </c>
      <c r="G249" s="60">
        <v>0.25</v>
      </c>
      <c r="H249" s="53" t="s">
        <v>31</v>
      </c>
      <c r="I249" s="65"/>
      <c r="J249" s="53" t="s">
        <v>32</v>
      </c>
      <c r="K249" s="53" t="s">
        <v>31</v>
      </c>
      <c r="L249" s="68">
        <v>1</v>
      </c>
      <c r="M249" s="68">
        <v>1</v>
      </c>
      <c r="N249" s="53" t="s">
        <v>33</v>
      </c>
      <c r="O249" s="53"/>
      <c r="P249" s="73">
        <v>0</v>
      </c>
      <c r="Q249" s="68"/>
      <c r="R249" s="73">
        <v>0</v>
      </c>
      <c r="S249" s="53">
        <v>46054</v>
      </c>
      <c r="T249" s="71">
        <v>0</v>
      </c>
      <c r="U249" s="68">
        <v>1</v>
      </c>
      <c r="V249" s="71">
        <v>0</v>
      </c>
      <c r="W249" s="53" t="s">
        <v>34</v>
      </c>
      <c r="X249" s="53" t="s">
        <v>35</v>
      </c>
      <c r="Y249" s="53" t="s">
        <v>36</v>
      </c>
      <c r="Z249" s="53" t="s">
        <v>9</v>
      </c>
      <c r="AA249" s="53" t="s">
        <v>37</v>
      </c>
      <c r="AB249" s="53" t="s">
        <v>37</v>
      </c>
      <c r="AC249" s="53" t="s">
        <v>38</v>
      </c>
      <c r="AD249" s="79" t="s">
        <v>257</v>
      </c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</row>
    <row r="250" spans="1:49" ht="31.5" x14ac:dyDescent="0.25">
      <c r="A250" s="53" t="s">
        <v>29</v>
      </c>
      <c r="B250" s="56">
        <v>46071</v>
      </c>
      <c r="C250" s="56">
        <v>46071</v>
      </c>
      <c r="D250" s="58" t="s">
        <v>177</v>
      </c>
      <c r="E250" s="60">
        <v>0</v>
      </c>
      <c r="F250" s="60">
        <v>0.25</v>
      </c>
      <c r="G250" s="60">
        <v>0.25</v>
      </c>
      <c r="H250" s="53" t="s">
        <v>31</v>
      </c>
      <c r="I250" s="65"/>
      <c r="J250" s="53" t="s">
        <v>32</v>
      </c>
      <c r="K250" s="53" t="s">
        <v>31</v>
      </c>
      <c r="L250" s="68">
        <v>1</v>
      </c>
      <c r="M250" s="68">
        <v>1</v>
      </c>
      <c r="N250" s="53" t="s">
        <v>33</v>
      </c>
      <c r="O250" s="53"/>
      <c r="P250" s="73">
        <v>0</v>
      </c>
      <c r="Q250" s="68"/>
      <c r="R250" s="73">
        <v>0</v>
      </c>
      <c r="S250" s="53">
        <v>46054</v>
      </c>
      <c r="T250" s="71">
        <v>0</v>
      </c>
      <c r="U250" s="68">
        <v>1</v>
      </c>
      <c r="V250" s="71">
        <v>0</v>
      </c>
      <c r="W250" s="53" t="s">
        <v>34</v>
      </c>
      <c r="X250" s="53" t="s">
        <v>35</v>
      </c>
      <c r="Y250" s="53" t="s">
        <v>36</v>
      </c>
      <c r="Z250" s="53" t="s">
        <v>9</v>
      </c>
      <c r="AA250" s="53" t="s">
        <v>37</v>
      </c>
      <c r="AB250" s="53" t="s">
        <v>37</v>
      </c>
      <c r="AC250" s="53" t="s">
        <v>38</v>
      </c>
      <c r="AD250" s="79" t="s">
        <v>257</v>
      </c>
      <c r="AE250" s="80"/>
      <c r="AF250" s="80"/>
      <c r="AG250" s="80"/>
      <c r="AH250" s="80"/>
      <c r="AI250" s="86"/>
      <c r="AJ250" s="86"/>
      <c r="AK250" s="86"/>
      <c r="AL250" s="86"/>
      <c r="AM250" s="86"/>
      <c r="AN250" s="86"/>
      <c r="AO250" s="86"/>
      <c r="AP250" s="86"/>
      <c r="AQ250" s="86"/>
      <c r="AR250" s="86"/>
      <c r="AS250" s="86"/>
      <c r="AT250" s="86"/>
      <c r="AU250" s="86"/>
      <c r="AV250" s="86"/>
      <c r="AW250" s="86"/>
    </row>
    <row r="251" spans="1:49" ht="31.5" x14ac:dyDescent="0.25">
      <c r="A251" s="53" t="s">
        <v>29</v>
      </c>
      <c r="B251" s="56">
        <v>46072</v>
      </c>
      <c r="C251" s="56">
        <v>46072</v>
      </c>
      <c r="D251" s="58" t="s">
        <v>183</v>
      </c>
      <c r="E251" s="60">
        <v>0</v>
      </c>
      <c r="F251" s="60">
        <v>0.25</v>
      </c>
      <c r="G251" s="60">
        <v>0.25</v>
      </c>
      <c r="H251" s="53" t="s">
        <v>31</v>
      </c>
      <c r="I251" s="65"/>
      <c r="J251" s="53" t="s">
        <v>32</v>
      </c>
      <c r="K251" s="53" t="s">
        <v>31</v>
      </c>
      <c r="L251" s="68">
        <v>1</v>
      </c>
      <c r="M251" s="68">
        <v>1</v>
      </c>
      <c r="N251" s="53" t="s">
        <v>33</v>
      </c>
      <c r="O251" s="53"/>
      <c r="P251" s="73">
        <v>0</v>
      </c>
      <c r="Q251" s="68"/>
      <c r="R251" s="73">
        <v>0</v>
      </c>
      <c r="S251" s="53">
        <v>46054</v>
      </c>
      <c r="T251" s="71">
        <v>0</v>
      </c>
      <c r="U251" s="68">
        <v>1</v>
      </c>
      <c r="V251" s="71">
        <v>0</v>
      </c>
      <c r="W251" s="53" t="s">
        <v>34</v>
      </c>
      <c r="X251" s="53" t="s">
        <v>35</v>
      </c>
      <c r="Y251" s="53" t="s">
        <v>36</v>
      </c>
      <c r="Z251" s="53" t="s">
        <v>9</v>
      </c>
      <c r="AA251" s="53" t="s">
        <v>37</v>
      </c>
      <c r="AB251" s="53" t="s">
        <v>37</v>
      </c>
      <c r="AC251" s="53" t="s">
        <v>38</v>
      </c>
      <c r="AD251" s="79" t="s">
        <v>257</v>
      </c>
      <c r="AE251" s="80"/>
      <c r="AF251" s="80"/>
      <c r="AG251" s="80"/>
      <c r="AH251" s="80"/>
      <c r="AI251" s="80"/>
      <c r="AJ251" s="80"/>
      <c r="AK251" s="80"/>
      <c r="AL251" s="80"/>
      <c r="AM251" s="80"/>
      <c r="AN251" s="80"/>
      <c r="AO251" s="80"/>
      <c r="AP251" s="80"/>
      <c r="AQ251" s="80"/>
      <c r="AR251" s="80"/>
      <c r="AS251" s="80"/>
      <c r="AT251" s="80"/>
      <c r="AU251" s="80"/>
      <c r="AV251" s="80"/>
      <c r="AW251" s="80"/>
    </row>
    <row r="252" spans="1:49" ht="31.5" x14ac:dyDescent="0.2">
      <c r="A252" s="53" t="s">
        <v>29</v>
      </c>
      <c r="B252" s="56">
        <v>46073</v>
      </c>
      <c r="C252" s="56">
        <v>46073</v>
      </c>
      <c r="D252" s="58" t="s">
        <v>196</v>
      </c>
      <c r="E252" s="60">
        <v>0</v>
      </c>
      <c r="F252" s="60">
        <v>0.25</v>
      </c>
      <c r="G252" s="60">
        <v>0.25</v>
      </c>
      <c r="H252" s="53" t="s">
        <v>31</v>
      </c>
      <c r="I252" s="65"/>
      <c r="J252" s="53" t="s">
        <v>32</v>
      </c>
      <c r="K252" s="53" t="s">
        <v>31</v>
      </c>
      <c r="L252" s="68">
        <v>1</v>
      </c>
      <c r="M252" s="68">
        <v>1</v>
      </c>
      <c r="N252" s="53" t="s">
        <v>33</v>
      </c>
      <c r="O252" s="53"/>
      <c r="P252" s="73">
        <v>0</v>
      </c>
      <c r="Q252" s="68"/>
      <c r="R252" s="73">
        <v>0</v>
      </c>
      <c r="S252" s="53">
        <v>46054</v>
      </c>
      <c r="T252" s="71">
        <v>0</v>
      </c>
      <c r="U252" s="68">
        <v>1</v>
      </c>
      <c r="V252" s="71">
        <v>0</v>
      </c>
      <c r="W252" s="53" t="s">
        <v>34</v>
      </c>
      <c r="X252" s="53" t="s">
        <v>35</v>
      </c>
      <c r="Y252" s="53" t="s">
        <v>36</v>
      </c>
      <c r="Z252" s="53" t="s">
        <v>9</v>
      </c>
      <c r="AA252" s="53" t="s">
        <v>37</v>
      </c>
      <c r="AB252" s="53" t="s">
        <v>37</v>
      </c>
      <c r="AC252" s="53" t="s">
        <v>38</v>
      </c>
      <c r="AD252" s="79" t="s">
        <v>257</v>
      </c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</row>
    <row r="253" spans="1:49" ht="31.5" x14ac:dyDescent="0.25">
      <c r="A253" s="53" t="s">
        <v>29</v>
      </c>
      <c r="B253" s="56">
        <v>46074</v>
      </c>
      <c r="C253" s="56">
        <v>46074</v>
      </c>
      <c r="D253" s="58" t="s">
        <v>214</v>
      </c>
      <c r="E253" s="60">
        <v>0</v>
      </c>
      <c r="F253" s="60">
        <v>0.25</v>
      </c>
      <c r="G253" s="60">
        <v>0.25</v>
      </c>
      <c r="H253" s="53" t="s">
        <v>31</v>
      </c>
      <c r="I253" s="65"/>
      <c r="J253" s="53" t="s">
        <v>32</v>
      </c>
      <c r="K253" s="53" t="s">
        <v>31</v>
      </c>
      <c r="L253" s="68">
        <v>1</v>
      </c>
      <c r="M253" s="68">
        <v>1</v>
      </c>
      <c r="N253" s="53" t="s">
        <v>33</v>
      </c>
      <c r="O253" s="53"/>
      <c r="P253" s="73">
        <v>0</v>
      </c>
      <c r="Q253" s="68"/>
      <c r="R253" s="73">
        <v>0</v>
      </c>
      <c r="S253" s="53">
        <v>46054</v>
      </c>
      <c r="T253" s="71">
        <v>0</v>
      </c>
      <c r="U253" s="68">
        <v>1</v>
      </c>
      <c r="V253" s="71">
        <v>0</v>
      </c>
      <c r="W253" s="53" t="s">
        <v>34</v>
      </c>
      <c r="X253" s="53" t="s">
        <v>35</v>
      </c>
      <c r="Y253" s="53" t="s">
        <v>36</v>
      </c>
      <c r="Z253" s="53" t="s">
        <v>9</v>
      </c>
      <c r="AA253" s="53" t="s">
        <v>37</v>
      </c>
      <c r="AB253" s="53" t="s">
        <v>37</v>
      </c>
      <c r="AC253" s="53" t="s">
        <v>38</v>
      </c>
      <c r="AD253" s="79" t="s">
        <v>257</v>
      </c>
      <c r="AE253" s="82"/>
      <c r="AF253" s="82"/>
      <c r="AG253" s="82"/>
      <c r="AH253" s="82"/>
      <c r="AI253" s="87"/>
      <c r="AJ253" s="87"/>
      <c r="AK253" s="87"/>
      <c r="AL253" s="87"/>
      <c r="AM253" s="87"/>
      <c r="AN253" s="87"/>
      <c r="AO253" s="87"/>
      <c r="AP253" s="87"/>
      <c r="AQ253" s="87"/>
      <c r="AR253" s="87"/>
      <c r="AS253" s="87"/>
      <c r="AT253" s="87"/>
      <c r="AU253" s="87"/>
      <c r="AV253" s="87"/>
      <c r="AW253" s="87"/>
    </row>
    <row r="254" spans="1:49" ht="31.5" x14ac:dyDescent="0.25">
      <c r="A254" s="53" t="s">
        <v>29</v>
      </c>
      <c r="B254" s="56">
        <v>46075</v>
      </c>
      <c r="C254" s="56">
        <v>46075</v>
      </c>
      <c r="D254" s="58" t="s">
        <v>243</v>
      </c>
      <c r="E254" s="60">
        <v>0</v>
      </c>
      <c r="F254" s="60">
        <v>0.25</v>
      </c>
      <c r="G254" s="60">
        <v>0.25</v>
      </c>
      <c r="H254" s="53" t="s">
        <v>31</v>
      </c>
      <c r="I254" s="65"/>
      <c r="J254" s="53" t="s">
        <v>32</v>
      </c>
      <c r="K254" s="53" t="s">
        <v>31</v>
      </c>
      <c r="L254" s="68">
        <v>1</v>
      </c>
      <c r="M254" s="68">
        <v>1</v>
      </c>
      <c r="N254" s="53" t="s">
        <v>33</v>
      </c>
      <c r="O254" s="53"/>
      <c r="P254" s="73">
        <v>0</v>
      </c>
      <c r="Q254" s="68"/>
      <c r="R254" s="73">
        <v>0</v>
      </c>
      <c r="S254" s="53">
        <v>46054</v>
      </c>
      <c r="T254" s="71">
        <v>0</v>
      </c>
      <c r="U254" s="68">
        <v>1</v>
      </c>
      <c r="V254" s="71">
        <v>0</v>
      </c>
      <c r="W254" s="53" t="s">
        <v>34</v>
      </c>
      <c r="X254" s="53" t="s">
        <v>35</v>
      </c>
      <c r="Y254" s="53" t="s">
        <v>36</v>
      </c>
      <c r="Z254" s="53" t="s">
        <v>9</v>
      </c>
      <c r="AA254" s="53" t="s">
        <v>37</v>
      </c>
      <c r="AB254" s="53" t="s">
        <v>37</v>
      </c>
      <c r="AC254" s="53" t="s">
        <v>38</v>
      </c>
      <c r="AD254" s="79" t="s">
        <v>257</v>
      </c>
      <c r="AE254" s="81"/>
      <c r="AF254" s="81"/>
      <c r="AG254" s="81"/>
      <c r="AH254" s="81"/>
      <c r="AI254" s="84"/>
      <c r="AJ254" s="84"/>
      <c r="AK254" s="84"/>
      <c r="AL254" s="84"/>
      <c r="AM254" s="84"/>
      <c r="AN254" s="84"/>
      <c r="AO254" s="84"/>
      <c r="AP254" s="84"/>
      <c r="AQ254" s="84"/>
      <c r="AR254" s="84"/>
      <c r="AS254" s="84"/>
      <c r="AT254" s="84"/>
      <c r="AU254" s="84"/>
      <c r="AV254" s="84"/>
      <c r="AW254" s="84"/>
    </row>
    <row r="255" spans="1:49" ht="31.5" x14ac:dyDescent="0.25">
      <c r="A255" s="52" t="s">
        <v>56</v>
      </c>
      <c r="B255" s="55">
        <v>46069</v>
      </c>
      <c r="C255" s="55">
        <v>46069</v>
      </c>
      <c r="D255" s="52" t="s">
        <v>30</v>
      </c>
      <c r="E255" s="59">
        <v>0.25</v>
      </c>
      <c r="F255" s="59">
        <v>0.99930555555555556</v>
      </c>
      <c r="G255" s="59">
        <v>3.8194444444444446E-4</v>
      </c>
      <c r="H255" s="52" t="s">
        <v>57</v>
      </c>
      <c r="I255" s="64">
        <v>0.72121527777777783</v>
      </c>
      <c r="J255" s="52" t="s">
        <v>32</v>
      </c>
      <c r="K255" s="52" t="s">
        <v>117</v>
      </c>
      <c r="L255" s="67">
        <v>1</v>
      </c>
      <c r="M255" s="67">
        <v>61686</v>
      </c>
      <c r="N255" s="52" t="s">
        <v>54</v>
      </c>
      <c r="O255" s="67"/>
      <c r="P255" s="70">
        <v>92.592592592592595</v>
      </c>
      <c r="Q255" s="67"/>
      <c r="R255" s="70">
        <v>92.592592592592595</v>
      </c>
      <c r="S255" s="75">
        <v>46054</v>
      </c>
      <c r="T255" s="70">
        <v>0</v>
      </c>
      <c r="U255" s="77">
        <v>4</v>
      </c>
      <c r="V255" s="70">
        <v>92.592592592592595</v>
      </c>
      <c r="W255" s="52" t="s">
        <v>34</v>
      </c>
      <c r="X255" s="52" t="s">
        <v>58</v>
      </c>
      <c r="Y255" s="52" t="s">
        <v>36</v>
      </c>
      <c r="Z255" s="52" t="s">
        <v>58</v>
      </c>
      <c r="AA255" s="52" t="s">
        <v>50</v>
      </c>
      <c r="AB255" s="52" t="s">
        <v>59</v>
      </c>
      <c r="AC255" s="52" t="s">
        <v>38</v>
      </c>
      <c r="AD255" s="79" t="s">
        <v>257</v>
      </c>
      <c r="AE255" s="80"/>
      <c r="AF255" s="80"/>
      <c r="AG255" s="80"/>
      <c r="AH255" s="80"/>
      <c r="AI255" s="86"/>
      <c r="AJ255" s="86"/>
      <c r="AK255" s="86"/>
      <c r="AL255" s="86"/>
      <c r="AM255" s="86"/>
      <c r="AN255" s="86"/>
      <c r="AO255" s="86"/>
      <c r="AP255" s="86"/>
      <c r="AQ255" s="86"/>
      <c r="AR255" s="86"/>
      <c r="AS255" s="86"/>
      <c r="AT255" s="86"/>
      <c r="AU255" s="86"/>
      <c r="AV255" s="86"/>
      <c r="AW255" s="86"/>
    </row>
    <row r="256" spans="1:49" ht="31.5" x14ac:dyDescent="0.25">
      <c r="A256" s="53" t="s">
        <v>39</v>
      </c>
      <c r="B256" s="56">
        <v>46069</v>
      </c>
      <c r="C256" s="56">
        <v>46069</v>
      </c>
      <c r="D256" s="58" t="s">
        <v>30</v>
      </c>
      <c r="E256" s="60">
        <v>0.25</v>
      </c>
      <c r="F256" s="60">
        <v>0.29166666666666669</v>
      </c>
      <c r="G256" s="60">
        <v>4.1666666666666664E-2</v>
      </c>
      <c r="H256" s="53" t="s">
        <v>40</v>
      </c>
      <c r="I256" s="65"/>
      <c r="J256" s="53" t="s">
        <v>41</v>
      </c>
      <c r="K256" s="53"/>
      <c r="L256" s="68">
        <v>1</v>
      </c>
      <c r="M256" s="68">
        <v>1</v>
      </c>
      <c r="N256" s="53" t="s">
        <v>33</v>
      </c>
      <c r="O256" s="53"/>
      <c r="P256" s="73">
        <v>0</v>
      </c>
      <c r="Q256" s="68"/>
      <c r="R256" s="73">
        <v>0</v>
      </c>
      <c r="S256" s="53">
        <v>46054</v>
      </c>
      <c r="T256" s="73">
        <v>0</v>
      </c>
      <c r="U256" s="68">
        <v>2</v>
      </c>
      <c r="V256" s="73">
        <v>0</v>
      </c>
      <c r="W256" s="53" t="s">
        <v>34</v>
      </c>
      <c r="X256" s="53" t="s">
        <v>42</v>
      </c>
      <c r="Y256" s="53" t="s">
        <v>36</v>
      </c>
      <c r="Z256" s="53" t="s">
        <v>43</v>
      </c>
      <c r="AA256" s="53" t="s">
        <v>37</v>
      </c>
      <c r="AB256" s="53" t="s">
        <v>37</v>
      </c>
      <c r="AC256" s="53" t="s">
        <v>38</v>
      </c>
      <c r="AD256" s="79" t="s">
        <v>257</v>
      </c>
      <c r="AE256" s="80"/>
      <c r="AF256" s="80"/>
      <c r="AG256" s="80"/>
      <c r="AH256" s="80"/>
      <c r="AI256" s="80"/>
      <c r="AJ256" s="80"/>
      <c r="AK256" s="80"/>
      <c r="AL256" s="80"/>
      <c r="AM256" s="80"/>
      <c r="AN256" s="80"/>
      <c r="AO256" s="80"/>
      <c r="AP256" s="80"/>
      <c r="AQ256" s="80"/>
      <c r="AR256" s="80"/>
      <c r="AS256" s="80"/>
      <c r="AT256" s="80"/>
      <c r="AU256" s="80"/>
      <c r="AV256" s="80"/>
      <c r="AW256" s="80"/>
    </row>
    <row r="257" spans="1:49" ht="31.5" x14ac:dyDescent="0.25">
      <c r="A257" s="53" t="s">
        <v>39</v>
      </c>
      <c r="B257" s="56">
        <v>46069</v>
      </c>
      <c r="C257" s="56">
        <v>46069</v>
      </c>
      <c r="D257" s="58" t="s">
        <v>30</v>
      </c>
      <c r="E257" s="60">
        <v>0.79166666666666663</v>
      </c>
      <c r="F257" s="60">
        <v>0.8125</v>
      </c>
      <c r="G257" s="60">
        <v>2.0833333333333332E-2</v>
      </c>
      <c r="H257" s="53" t="s">
        <v>119</v>
      </c>
      <c r="I257" s="65"/>
      <c r="J257" s="53" t="s">
        <v>120</v>
      </c>
      <c r="K257" s="53"/>
      <c r="L257" s="68">
        <v>1</v>
      </c>
      <c r="M257" s="68">
        <v>1</v>
      </c>
      <c r="N257" s="53" t="s">
        <v>33</v>
      </c>
      <c r="O257" s="53"/>
      <c r="P257" s="71">
        <v>0</v>
      </c>
      <c r="Q257" s="68"/>
      <c r="R257" s="71">
        <v>0</v>
      </c>
      <c r="S257" s="53">
        <v>46054</v>
      </c>
      <c r="T257" s="71">
        <v>0</v>
      </c>
      <c r="U257" s="68">
        <v>2</v>
      </c>
      <c r="V257" s="71">
        <v>0</v>
      </c>
      <c r="W257" s="53" t="s">
        <v>34</v>
      </c>
      <c r="X257" s="53" t="s">
        <v>42</v>
      </c>
      <c r="Y257" s="53" t="s">
        <v>36</v>
      </c>
      <c r="Z257" s="53" t="s">
        <v>43</v>
      </c>
      <c r="AA257" s="53" t="s">
        <v>37</v>
      </c>
      <c r="AB257" s="53" t="s">
        <v>37</v>
      </c>
      <c r="AC257" s="53" t="s">
        <v>38</v>
      </c>
      <c r="AD257" s="79" t="s">
        <v>257</v>
      </c>
      <c r="AE257" s="80"/>
      <c r="AF257" s="80"/>
      <c r="AG257" s="80"/>
      <c r="AH257" s="80"/>
      <c r="AI257" s="80"/>
      <c r="AJ257" s="80"/>
      <c r="AK257" s="80"/>
      <c r="AL257" s="80"/>
      <c r="AM257" s="80"/>
      <c r="AN257" s="80"/>
      <c r="AO257" s="80"/>
      <c r="AP257" s="80"/>
      <c r="AQ257" s="80"/>
      <c r="AR257" s="80"/>
      <c r="AS257" s="80"/>
      <c r="AT257" s="80"/>
      <c r="AU257" s="80"/>
      <c r="AV257" s="80"/>
      <c r="AW257" s="80"/>
    </row>
    <row r="258" spans="1:49" ht="31.5" x14ac:dyDescent="0.2">
      <c r="A258" s="53" t="s">
        <v>39</v>
      </c>
      <c r="B258" s="56">
        <v>46069</v>
      </c>
      <c r="C258" s="56">
        <v>46069</v>
      </c>
      <c r="D258" s="58" t="s">
        <v>30</v>
      </c>
      <c r="E258" s="60">
        <v>0.8125</v>
      </c>
      <c r="F258" s="60">
        <v>0.83333333333333337</v>
      </c>
      <c r="G258" s="60">
        <v>2.0833333333333332E-2</v>
      </c>
      <c r="H258" s="53" t="s">
        <v>133</v>
      </c>
      <c r="I258" s="65"/>
      <c r="J258" s="53" t="s">
        <v>120</v>
      </c>
      <c r="K258" s="53"/>
      <c r="L258" s="68">
        <v>1</v>
      </c>
      <c r="M258" s="68">
        <v>1</v>
      </c>
      <c r="N258" s="53" t="s">
        <v>33</v>
      </c>
      <c r="O258" s="53"/>
      <c r="P258" s="71">
        <v>0</v>
      </c>
      <c r="Q258" s="68"/>
      <c r="R258" s="71">
        <v>0</v>
      </c>
      <c r="S258" s="53">
        <v>46054</v>
      </c>
      <c r="T258" s="71">
        <v>0</v>
      </c>
      <c r="U258" s="68">
        <v>2</v>
      </c>
      <c r="V258" s="71">
        <v>0</v>
      </c>
      <c r="W258" s="53" t="s">
        <v>34</v>
      </c>
      <c r="X258" s="53" t="s">
        <v>42</v>
      </c>
      <c r="Y258" s="53" t="s">
        <v>36</v>
      </c>
      <c r="Z258" s="53" t="s">
        <v>43</v>
      </c>
      <c r="AA258" s="53" t="s">
        <v>37</v>
      </c>
      <c r="AB258" s="53" t="s">
        <v>37</v>
      </c>
      <c r="AC258" s="53" t="s">
        <v>38</v>
      </c>
      <c r="AD258" s="79" t="s">
        <v>257</v>
      </c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</row>
    <row r="259" spans="1:49" ht="31.5" x14ac:dyDescent="0.2">
      <c r="A259" s="53" t="s">
        <v>39</v>
      </c>
      <c r="B259" s="56">
        <v>46069</v>
      </c>
      <c r="C259" s="56">
        <v>46069</v>
      </c>
      <c r="D259" s="58" t="s">
        <v>30</v>
      </c>
      <c r="E259" s="60">
        <v>0.97916666666666663</v>
      </c>
      <c r="F259" s="60">
        <v>1</v>
      </c>
      <c r="G259" s="60">
        <v>2.0833333333333332E-2</v>
      </c>
      <c r="H259" s="53" t="s">
        <v>139</v>
      </c>
      <c r="I259" s="65"/>
      <c r="J259" s="53" t="s">
        <v>120</v>
      </c>
      <c r="K259" s="53"/>
      <c r="L259" s="68">
        <v>1</v>
      </c>
      <c r="M259" s="68">
        <v>1</v>
      </c>
      <c r="N259" s="53" t="s">
        <v>33</v>
      </c>
      <c r="O259" s="53"/>
      <c r="P259" s="71">
        <v>0</v>
      </c>
      <c r="Q259" s="68"/>
      <c r="R259" s="71">
        <v>0</v>
      </c>
      <c r="S259" s="53">
        <v>46054</v>
      </c>
      <c r="T259" s="71">
        <v>0</v>
      </c>
      <c r="U259" s="68">
        <v>2</v>
      </c>
      <c r="V259" s="71">
        <v>0</v>
      </c>
      <c r="W259" s="53" t="s">
        <v>34</v>
      </c>
      <c r="X259" s="53" t="s">
        <v>42</v>
      </c>
      <c r="Y259" s="53" t="s">
        <v>36</v>
      </c>
      <c r="Z259" s="53" t="s">
        <v>43</v>
      </c>
      <c r="AA259" s="53" t="s">
        <v>37</v>
      </c>
      <c r="AB259" s="53" t="s">
        <v>37</v>
      </c>
      <c r="AC259" s="53" t="s">
        <v>38</v>
      </c>
      <c r="AD259" s="79" t="s">
        <v>257</v>
      </c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</row>
    <row r="260" spans="1:49" ht="31.5" x14ac:dyDescent="0.2">
      <c r="A260" s="53" t="s">
        <v>39</v>
      </c>
      <c r="B260" s="56">
        <v>46070</v>
      </c>
      <c r="C260" s="56">
        <v>46070</v>
      </c>
      <c r="D260" s="58" t="s">
        <v>145</v>
      </c>
      <c r="E260" s="60">
        <v>0.25</v>
      </c>
      <c r="F260" s="60">
        <v>0.29166666666666669</v>
      </c>
      <c r="G260" s="60">
        <v>4.1666666666666664E-2</v>
      </c>
      <c r="H260" s="53" t="s">
        <v>40</v>
      </c>
      <c r="I260" s="65"/>
      <c r="J260" s="53" t="s">
        <v>41</v>
      </c>
      <c r="K260" s="53"/>
      <c r="L260" s="68">
        <v>1</v>
      </c>
      <c r="M260" s="68">
        <v>1</v>
      </c>
      <c r="N260" s="53" t="s">
        <v>33</v>
      </c>
      <c r="O260" s="53"/>
      <c r="P260" s="73">
        <v>0</v>
      </c>
      <c r="Q260" s="68"/>
      <c r="R260" s="73">
        <v>0</v>
      </c>
      <c r="S260" s="53">
        <v>46054</v>
      </c>
      <c r="T260" s="73">
        <v>0</v>
      </c>
      <c r="U260" s="68">
        <v>2</v>
      </c>
      <c r="V260" s="73">
        <v>0</v>
      </c>
      <c r="W260" s="53" t="s">
        <v>34</v>
      </c>
      <c r="X260" s="53" t="s">
        <v>42</v>
      </c>
      <c r="Y260" s="53" t="s">
        <v>36</v>
      </c>
      <c r="Z260" s="53" t="s">
        <v>43</v>
      </c>
      <c r="AA260" s="53" t="s">
        <v>37</v>
      </c>
      <c r="AB260" s="53" t="s">
        <v>37</v>
      </c>
      <c r="AC260" s="53" t="s">
        <v>38</v>
      </c>
      <c r="AD260" s="79" t="s">
        <v>257</v>
      </c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</row>
    <row r="261" spans="1:49" ht="31.5" x14ac:dyDescent="0.2">
      <c r="A261" s="53" t="s">
        <v>39</v>
      </c>
      <c r="B261" s="56">
        <v>46070</v>
      </c>
      <c r="C261" s="56">
        <v>46070</v>
      </c>
      <c r="D261" s="58" t="s">
        <v>145</v>
      </c>
      <c r="E261" s="60">
        <v>0.79166666666666663</v>
      </c>
      <c r="F261" s="60">
        <v>0.8125</v>
      </c>
      <c r="G261" s="60">
        <v>2.0833333333333332E-2</v>
      </c>
      <c r="H261" s="53" t="s">
        <v>119</v>
      </c>
      <c r="I261" s="65"/>
      <c r="J261" s="53" t="s">
        <v>120</v>
      </c>
      <c r="K261" s="53"/>
      <c r="L261" s="68">
        <v>1</v>
      </c>
      <c r="M261" s="68">
        <v>1</v>
      </c>
      <c r="N261" s="53" t="s">
        <v>33</v>
      </c>
      <c r="O261" s="53"/>
      <c r="P261" s="71">
        <v>0</v>
      </c>
      <c r="Q261" s="68"/>
      <c r="R261" s="71">
        <v>0</v>
      </c>
      <c r="S261" s="53">
        <v>46054</v>
      </c>
      <c r="T261" s="71">
        <v>0</v>
      </c>
      <c r="U261" s="68">
        <v>2</v>
      </c>
      <c r="V261" s="71">
        <v>0</v>
      </c>
      <c r="W261" s="53" t="s">
        <v>34</v>
      </c>
      <c r="X261" s="53" t="s">
        <v>42</v>
      </c>
      <c r="Y261" s="53" t="s">
        <v>36</v>
      </c>
      <c r="Z261" s="53" t="s">
        <v>43</v>
      </c>
      <c r="AA261" s="53" t="s">
        <v>37</v>
      </c>
      <c r="AB261" s="53" t="s">
        <v>37</v>
      </c>
      <c r="AC261" s="53" t="s">
        <v>38</v>
      </c>
      <c r="AD261" s="79" t="s">
        <v>257</v>
      </c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</row>
    <row r="262" spans="1:49" ht="31.5" x14ac:dyDescent="0.25">
      <c r="A262" s="53" t="s">
        <v>39</v>
      </c>
      <c r="B262" s="56">
        <v>46070</v>
      </c>
      <c r="C262" s="56">
        <v>46070</v>
      </c>
      <c r="D262" s="58" t="s">
        <v>145</v>
      </c>
      <c r="E262" s="60">
        <v>0.8125</v>
      </c>
      <c r="F262" s="60">
        <v>0.83333333333333337</v>
      </c>
      <c r="G262" s="60">
        <v>2.0833333333333332E-2</v>
      </c>
      <c r="H262" s="53" t="s">
        <v>133</v>
      </c>
      <c r="I262" s="65"/>
      <c r="J262" s="53" t="s">
        <v>120</v>
      </c>
      <c r="K262" s="53"/>
      <c r="L262" s="68">
        <v>1</v>
      </c>
      <c r="M262" s="68">
        <v>1</v>
      </c>
      <c r="N262" s="53" t="s">
        <v>33</v>
      </c>
      <c r="O262" s="53"/>
      <c r="P262" s="71">
        <v>0</v>
      </c>
      <c r="Q262" s="68"/>
      <c r="R262" s="71">
        <v>0</v>
      </c>
      <c r="S262" s="53">
        <v>46054</v>
      </c>
      <c r="T262" s="71">
        <v>0</v>
      </c>
      <c r="U262" s="68">
        <v>2</v>
      </c>
      <c r="V262" s="71">
        <v>0</v>
      </c>
      <c r="W262" s="53" t="s">
        <v>34</v>
      </c>
      <c r="X262" s="53" t="s">
        <v>42</v>
      </c>
      <c r="Y262" s="53" t="s">
        <v>36</v>
      </c>
      <c r="Z262" s="53" t="s">
        <v>43</v>
      </c>
      <c r="AA262" s="53" t="s">
        <v>37</v>
      </c>
      <c r="AB262" s="53" t="s">
        <v>37</v>
      </c>
      <c r="AC262" s="53" t="s">
        <v>38</v>
      </c>
      <c r="AD262" s="79" t="s">
        <v>257</v>
      </c>
      <c r="AE262" s="80"/>
      <c r="AF262" s="80"/>
      <c r="AG262" s="80"/>
      <c r="AH262" s="80"/>
      <c r="AI262" s="86"/>
      <c r="AJ262" s="86"/>
      <c r="AK262" s="86"/>
      <c r="AL262" s="86"/>
      <c r="AM262" s="86"/>
      <c r="AN262" s="86"/>
      <c r="AO262" s="86"/>
      <c r="AP262" s="86"/>
      <c r="AQ262" s="86"/>
      <c r="AR262" s="86"/>
      <c r="AS262" s="86"/>
      <c r="AT262" s="86"/>
      <c r="AU262" s="86"/>
      <c r="AV262" s="86"/>
      <c r="AW262" s="86"/>
    </row>
    <row r="263" spans="1:49" ht="31.5" x14ac:dyDescent="0.2">
      <c r="A263" s="53" t="s">
        <v>39</v>
      </c>
      <c r="B263" s="56">
        <v>46070</v>
      </c>
      <c r="C263" s="56">
        <v>46070</v>
      </c>
      <c r="D263" s="58" t="s">
        <v>145</v>
      </c>
      <c r="E263" s="60">
        <v>0.97916666666666663</v>
      </c>
      <c r="F263" s="60">
        <v>1</v>
      </c>
      <c r="G263" s="60">
        <v>2.0833333333333332E-2</v>
      </c>
      <c r="H263" s="53" t="s">
        <v>139</v>
      </c>
      <c r="I263" s="65"/>
      <c r="J263" s="53" t="s">
        <v>120</v>
      </c>
      <c r="K263" s="53"/>
      <c r="L263" s="68">
        <v>1</v>
      </c>
      <c r="M263" s="68">
        <v>1</v>
      </c>
      <c r="N263" s="53" t="s">
        <v>33</v>
      </c>
      <c r="O263" s="53"/>
      <c r="P263" s="71">
        <v>0</v>
      </c>
      <c r="Q263" s="68"/>
      <c r="R263" s="71">
        <v>0</v>
      </c>
      <c r="S263" s="53">
        <v>46054</v>
      </c>
      <c r="T263" s="71">
        <v>0</v>
      </c>
      <c r="U263" s="68">
        <v>2</v>
      </c>
      <c r="V263" s="71">
        <v>0</v>
      </c>
      <c r="W263" s="53" t="s">
        <v>34</v>
      </c>
      <c r="X263" s="53" t="s">
        <v>42</v>
      </c>
      <c r="Y263" s="53" t="s">
        <v>36</v>
      </c>
      <c r="Z263" s="53" t="s">
        <v>43</v>
      </c>
      <c r="AA263" s="53" t="s">
        <v>37</v>
      </c>
      <c r="AB263" s="53" t="s">
        <v>37</v>
      </c>
      <c r="AC263" s="53" t="s">
        <v>38</v>
      </c>
      <c r="AD263" s="79" t="s">
        <v>257</v>
      </c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</row>
    <row r="264" spans="1:49" ht="31.5" x14ac:dyDescent="0.2">
      <c r="A264" s="53" t="s">
        <v>39</v>
      </c>
      <c r="B264" s="56">
        <v>46071</v>
      </c>
      <c r="C264" s="56">
        <v>46071</v>
      </c>
      <c r="D264" s="58" t="s">
        <v>177</v>
      </c>
      <c r="E264" s="60">
        <v>0.25</v>
      </c>
      <c r="F264" s="60">
        <v>0.29166666666666669</v>
      </c>
      <c r="G264" s="60">
        <v>4.1666666666666664E-2</v>
      </c>
      <c r="H264" s="53" t="s">
        <v>40</v>
      </c>
      <c r="I264" s="65"/>
      <c r="J264" s="53" t="s">
        <v>41</v>
      </c>
      <c r="K264" s="53"/>
      <c r="L264" s="68">
        <v>1</v>
      </c>
      <c r="M264" s="68">
        <v>1</v>
      </c>
      <c r="N264" s="53" t="s">
        <v>33</v>
      </c>
      <c r="O264" s="53"/>
      <c r="P264" s="73">
        <v>0</v>
      </c>
      <c r="Q264" s="68"/>
      <c r="R264" s="73">
        <v>0</v>
      </c>
      <c r="S264" s="53">
        <v>46054</v>
      </c>
      <c r="T264" s="73">
        <v>0</v>
      </c>
      <c r="U264" s="68">
        <v>2</v>
      </c>
      <c r="V264" s="73">
        <v>0</v>
      </c>
      <c r="W264" s="53" t="s">
        <v>34</v>
      </c>
      <c r="X264" s="53" t="s">
        <v>42</v>
      </c>
      <c r="Y264" s="53" t="s">
        <v>36</v>
      </c>
      <c r="Z264" s="53" t="s">
        <v>43</v>
      </c>
      <c r="AA264" s="53" t="s">
        <v>37</v>
      </c>
      <c r="AB264" s="53" t="s">
        <v>37</v>
      </c>
      <c r="AC264" s="53" t="s">
        <v>38</v>
      </c>
      <c r="AD264" s="79" t="s">
        <v>257</v>
      </c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</row>
    <row r="265" spans="1:49" ht="31.5" x14ac:dyDescent="0.2">
      <c r="A265" s="53" t="s">
        <v>39</v>
      </c>
      <c r="B265" s="56">
        <v>46071</v>
      </c>
      <c r="C265" s="56">
        <v>46071</v>
      </c>
      <c r="D265" s="58" t="s">
        <v>177</v>
      </c>
      <c r="E265" s="60">
        <v>0.79166666666666663</v>
      </c>
      <c r="F265" s="60">
        <v>0.8125</v>
      </c>
      <c r="G265" s="60">
        <v>2.0833333333333332E-2</v>
      </c>
      <c r="H265" s="53" t="s">
        <v>119</v>
      </c>
      <c r="I265" s="65"/>
      <c r="J265" s="53" t="s">
        <v>120</v>
      </c>
      <c r="K265" s="53"/>
      <c r="L265" s="68">
        <v>1</v>
      </c>
      <c r="M265" s="68">
        <v>1</v>
      </c>
      <c r="N265" s="53" t="s">
        <v>33</v>
      </c>
      <c r="O265" s="53"/>
      <c r="P265" s="71">
        <v>0</v>
      </c>
      <c r="Q265" s="68"/>
      <c r="R265" s="71">
        <v>0</v>
      </c>
      <c r="S265" s="53">
        <v>46054</v>
      </c>
      <c r="T265" s="71">
        <v>0</v>
      </c>
      <c r="U265" s="68">
        <v>2</v>
      </c>
      <c r="V265" s="71">
        <v>0</v>
      </c>
      <c r="W265" s="53" t="s">
        <v>34</v>
      </c>
      <c r="X265" s="53" t="s">
        <v>42</v>
      </c>
      <c r="Y265" s="53" t="s">
        <v>36</v>
      </c>
      <c r="Z265" s="53" t="s">
        <v>43</v>
      </c>
      <c r="AA265" s="53" t="s">
        <v>37</v>
      </c>
      <c r="AB265" s="53" t="s">
        <v>37</v>
      </c>
      <c r="AC265" s="53" t="s">
        <v>38</v>
      </c>
      <c r="AD265" s="79" t="s">
        <v>257</v>
      </c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</row>
    <row r="266" spans="1:49" ht="31.5" x14ac:dyDescent="0.25">
      <c r="A266" s="53" t="s">
        <v>39</v>
      </c>
      <c r="B266" s="56">
        <v>46071</v>
      </c>
      <c r="C266" s="56">
        <v>46071</v>
      </c>
      <c r="D266" s="58" t="s">
        <v>177</v>
      </c>
      <c r="E266" s="60">
        <v>0.8125</v>
      </c>
      <c r="F266" s="60">
        <v>0.83333333333333337</v>
      </c>
      <c r="G266" s="60">
        <v>2.0833333333333332E-2</v>
      </c>
      <c r="H266" s="53" t="s">
        <v>133</v>
      </c>
      <c r="I266" s="65"/>
      <c r="J266" s="53" t="s">
        <v>120</v>
      </c>
      <c r="K266" s="53"/>
      <c r="L266" s="68">
        <v>1</v>
      </c>
      <c r="M266" s="68">
        <v>1</v>
      </c>
      <c r="N266" s="53" t="s">
        <v>33</v>
      </c>
      <c r="O266" s="53"/>
      <c r="P266" s="71">
        <v>0</v>
      </c>
      <c r="Q266" s="68"/>
      <c r="R266" s="71">
        <v>0</v>
      </c>
      <c r="S266" s="53">
        <v>46054</v>
      </c>
      <c r="T266" s="71">
        <v>0</v>
      </c>
      <c r="U266" s="68">
        <v>2</v>
      </c>
      <c r="V266" s="71">
        <v>0</v>
      </c>
      <c r="W266" s="53" t="s">
        <v>34</v>
      </c>
      <c r="X266" s="53" t="s">
        <v>42</v>
      </c>
      <c r="Y266" s="53" t="s">
        <v>36</v>
      </c>
      <c r="Z266" s="53" t="s">
        <v>43</v>
      </c>
      <c r="AA266" s="53" t="s">
        <v>37</v>
      </c>
      <c r="AB266" s="53" t="s">
        <v>37</v>
      </c>
      <c r="AC266" s="53" t="s">
        <v>38</v>
      </c>
      <c r="AD266" s="79" t="s">
        <v>257</v>
      </c>
      <c r="AE266" s="80"/>
      <c r="AF266" s="80"/>
      <c r="AG266" s="80"/>
      <c r="AH266" s="80"/>
      <c r="AI266" s="80"/>
      <c r="AJ266" s="80"/>
      <c r="AK266" s="80"/>
      <c r="AL266" s="80"/>
      <c r="AM266" s="80"/>
      <c r="AN266" s="80"/>
      <c r="AO266" s="80"/>
      <c r="AP266" s="80"/>
      <c r="AQ266" s="80"/>
      <c r="AR266" s="80"/>
      <c r="AS266" s="80"/>
      <c r="AT266" s="80"/>
      <c r="AU266" s="80"/>
      <c r="AV266" s="80"/>
      <c r="AW266" s="80"/>
    </row>
    <row r="267" spans="1:49" ht="31.5" x14ac:dyDescent="0.2">
      <c r="A267" s="53" t="s">
        <v>39</v>
      </c>
      <c r="B267" s="56">
        <v>46071</v>
      </c>
      <c r="C267" s="56">
        <v>46071</v>
      </c>
      <c r="D267" s="58" t="s">
        <v>177</v>
      </c>
      <c r="E267" s="60">
        <v>0.97916666666666663</v>
      </c>
      <c r="F267" s="60">
        <v>1</v>
      </c>
      <c r="G267" s="60">
        <v>2.0833333333333332E-2</v>
      </c>
      <c r="H267" s="53" t="s">
        <v>139</v>
      </c>
      <c r="I267" s="65"/>
      <c r="J267" s="53" t="s">
        <v>120</v>
      </c>
      <c r="K267" s="53"/>
      <c r="L267" s="68">
        <v>1</v>
      </c>
      <c r="M267" s="68">
        <v>1</v>
      </c>
      <c r="N267" s="53" t="s">
        <v>33</v>
      </c>
      <c r="O267" s="53"/>
      <c r="P267" s="71">
        <v>0</v>
      </c>
      <c r="Q267" s="68"/>
      <c r="R267" s="71">
        <v>0</v>
      </c>
      <c r="S267" s="53">
        <v>46054</v>
      </c>
      <c r="T267" s="71">
        <v>0</v>
      </c>
      <c r="U267" s="68">
        <v>2</v>
      </c>
      <c r="V267" s="71">
        <v>0</v>
      </c>
      <c r="W267" s="53" t="s">
        <v>34</v>
      </c>
      <c r="X267" s="53" t="s">
        <v>42</v>
      </c>
      <c r="Y267" s="53" t="s">
        <v>36</v>
      </c>
      <c r="Z267" s="53" t="s">
        <v>43</v>
      </c>
      <c r="AA267" s="53" t="s">
        <v>37</v>
      </c>
      <c r="AB267" s="53" t="s">
        <v>37</v>
      </c>
      <c r="AC267" s="53" t="s">
        <v>38</v>
      </c>
      <c r="AD267" s="79" t="s">
        <v>257</v>
      </c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</row>
    <row r="268" spans="1:49" ht="31.5" x14ac:dyDescent="0.25">
      <c r="A268" s="53" t="s">
        <v>39</v>
      </c>
      <c r="B268" s="56">
        <v>46072</v>
      </c>
      <c r="C268" s="56">
        <v>46072</v>
      </c>
      <c r="D268" s="58" t="s">
        <v>183</v>
      </c>
      <c r="E268" s="60">
        <v>0.25</v>
      </c>
      <c r="F268" s="60">
        <v>0.29166666666666669</v>
      </c>
      <c r="G268" s="60">
        <v>4.1666666666666664E-2</v>
      </c>
      <c r="H268" s="53" t="s">
        <v>40</v>
      </c>
      <c r="I268" s="65"/>
      <c r="J268" s="53" t="s">
        <v>41</v>
      </c>
      <c r="K268" s="53"/>
      <c r="L268" s="68">
        <v>1</v>
      </c>
      <c r="M268" s="68">
        <v>1</v>
      </c>
      <c r="N268" s="53" t="s">
        <v>33</v>
      </c>
      <c r="O268" s="53"/>
      <c r="P268" s="73">
        <v>0</v>
      </c>
      <c r="Q268" s="68"/>
      <c r="R268" s="73">
        <v>0</v>
      </c>
      <c r="S268" s="53">
        <v>46054</v>
      </c>
      <c r="T268" s="73">
        <v>0</v>
      </c>
      <c r="U268" s="68">
        <v>2</v>
      </c>
      <c r="V268" s="73">
        <v>0</v>
      </c>
      <c r="W268" s="53" t="s">
        <v>34</v>
      </c>
      <c r="X268" s="53" t="s">
        <v>42</v>
      </c>
      <c r="Y268" s="53" t="s">
        <v>36</v>
      </c>
      <c r="Z268" s="53" t="s">
        <v>43</v>
      </c>
      <c r="AA268" s="53" t="s">
        <v>37</v>
      </c>
      <c r="AB268" s="53" t="s">
        <v>37</v>
      </c>
      <c r="AC268" s="53" t="s">
        <v>38</v>
      </c>
      <c r="AD268" s="79" t="s">
        <v>257</v>
      </c>
      <c r="AE268" s="80"/>
      <c r="AF268" s="80"/>
      <c r="AG268" s="80"/>
      <c r="AH268" s="80"/>
      <c r="AI268" s="86"/>
      <c r="AJ268" s="86"/>
      <c r="AK268" s="86"/>
      <c r="AL268" s="86"/>
      <c r="AM268" s="86"/>
      <c r="AN268" s="86"/>
      <c r="AO268" s="86"/>
      <c r="AP268" s="86"/>
      <c r="AQ268" s="86"/>
      <c r="AR268" s="86"/>
      <c r="AS268" s="86"/>
      <c r="AT268" s="86"/>
      <c r="AU268" s="86"/>
      <c r="AV268" s="86"/>
      <c r="AW268" s="86"/>
    </row>
    <row r="269" spans="1:49" ht="31.5" x14ac:dyDescent="0.2">
      <c r="A269" s="53" t="s">
        <v>39</v>
      </c>
      <c r="B269" s="56">
        <v>46072</v>
      </c>
      <c r="C269" s="56">
        <v>46072</v>
      </c>
      <c r="D269" s="58" t="s">
        <v>183</v>
      </c>
      <c r="E269" s="60">
        <v>0.79166666666666663</v>
      </c>
      <c r="F269" s="60">
        <v>0.8125</v>
      </c>
      <c r="G269" s="60">
        <v>2.0833333333333332E-2</v>
      </c>
      <c r="H269" s="53" t="s">
        <v>119</v>
      </c>
      <c r="I269" s="65"/>
      <c r="J269" s="53" t="s">
        <v>120</v>
      </c>
      <c r="K269" s="53"/>
      <c r="L269" s="68">
        <v>1</v>
      </c>
      <c r="M269" s="68">
        <v>1</v>
      </c>
      <c r="N269" s="53" t="s">
        <v>33</v>
      </c>
      <c r="O269" s="53"/>
      <c r="P269" s="71">
        <v>0</v>
      </c>
      <c r="Q269" s="68"/>
      <c r="R269" s="71">
        <v>0</v>
      </c>
      <c r="S269" s="53">
        <v>46054</v>
      </c>
      <c r="T269" s="71">
        <v>0</v>
      </c>
      <c r="U269" s="68">
        <v>2</v>
      </c>
      <c r="V269" s="71">
        <v>0</v>
      </c>
      <c r="W269" s="53" t="s">
        <v>34</v>
      </c>
      <c r="X269" s="53" t="s">
        <v>42</v>
      </c>
      <c r="Y269" s="53" t="s">
        <v>36</v>
      </c>
      <c r="Z269" s="53" t="s">
        <v>43</v>
      </c>
      <c r="AA269" s="53" t="s">
        <v>37</v>
      </c>
      <c r="AB269" s="53" t="s">
        <v>37</v>
      </c>
      <c r="AC269" s="53" t="s">
        <v>38</v>
      </c>
      <c r="AD269" s="79" t="s">
        <v>257</v>
      </c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</row>
    <row r="270" spans="1:49" ht="31.5" x14ac:dyDescent="0.2">
      <c r="A270" s="53" t="s">
        <v>39</v>
      </c>
      <c r="B270" s="56">
        <v>46072</v>
      </c>
      <c r="C270" s="56">
        <v>46072</v>
      </c>
      <c r="D270" s="58" t="s">
        <v>183</v>
      </c>
      <c r="E270" s="60">
        <v>0.8125</v>
      </c>
      <c r="F270" s="60">
        <v>0.83333333333333337</v>
      </c>
      <c r="G270" s="60">
        <v>2.0833333333333332E-2</v>
      </c>
      <c r="H270" s="53" t="s">
        <v>194</v>
      </c>
      <c r="I270" s="65"/>
      <c r="J270" s="53" t="s">
        <v>120</v>
      </c>
      <c r="K270" s="53"/>
      <c r="L270" s="68">
        <v>1</v>
      </c>
      <c r="M270" s="68">
        <v>1</v>
      </c>
      <c r="N270" s="53" t="s">
        <v>33</v>
      </c>
      <c r="O270" s="53"/>
      <c r="P270" s="71">
        <v>0</v>
      </c>
      <c r="Q270" s="68"/>
      <c r="R270" s="71">
        <v>0</v>
      </c>
      <c r="S270" s="53">
        <v>46054</v>
      </c>
      <c r="T270" s="71">
        <v>0</v>
      </c>
      <c r="U270" s="68">
        <v>2</v>
      </c>
      <c r="V270" s="71">
        <v>0</v>
      </c>
      <c r="W270" s="53" t="s">
        <v>34</v>
      </c>
      <c r="X270" s="53" t="s">
        <v>42</v>
      </c>
      <c r="Y270" s="53" t="s">
        <v>36</v>
      </c>
      <c r="Z270" s="53" t="s">
        <v>43</v>
      </c>
      <c r="AA270" s="53" t="s">
        <v>37</v>
      </c>
      <c r="AB270" s="53" t="s">
        <v>37</v>
      </c>
      <c r="AC270" s="53" t="s">
        <v>38</v>
      </c>
      <c r="AD270" s="79" t="s">
        <v>257</v>
      </c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</row>
    <row r="271" spans="1:49" ht="31.5" x14ac:dyDescent="0.2">
      <c r="A271" s="53" t="s">
        <v>39</v>
      </c>
      <c r="B271" s="56">
        <v>46072</v>
      </c>
      <c r="C271" s="56">
        <v>46072</v>
      </c>
      <c r="D271" s="58" t="s">
        <v>183</v>
      </c>
      <c r="E271" s="60">
        <v>0.97916666666666663</v>
      </c>
      <c r="F271" s="60">
        <v>1</v>
      </c>
      <c r="G271" s="60">
        <v>2.0833333333333332E-2</v>
      </c>
      <c r="H271" s="53" t="s">
        <v>139</v>
      </c>
      <c r="I271" s="65"/>
      <c r="J271" s="53" t="s">
        <v>120</v>
      </c>
      <c r="K271" s="53"/>
      <c r="L271" s="68">
        <v>1</v>
      </c>
      <c r="M271" s="68">
        <v>1</v>
      </c>
      <c r="N271" s="53" t="s">
        <v>33</v>
      </c>
      <c r="O271" s="53"/>
      <c r="P271" s="71">
        <v>0</v>
      </c>
      <c r="Q271" s="68"/>
      <c r="R271" s="71">
        <v>0</v>
      </c>
      <c r="S271" s="53">
        <v>46054</v>
      </c>
      <c r="T271" s="71">
        <v>0</v>
      </c>
      <c r="U271" s="68">
        <v>2</v>
      </c>
      <c r="V271" s="71">
        <v>0</v>
      </c>
      <c r="W271" s="53" t="s">
        <v>34</v>
      </c>
      <c r="X271" s="53" t="s">
        <v>42</v>
      </c>
      <c r="Y271" s="53" t="s">
        <v>36</v>
      </c>
      <c r="Z271" s="53" t="s">
        <v>43</v>
      </c>
      <c r="AA271" s="53" t="s">
        <v>37</v>
      </c>
      <c r="AB271" s="53" t="s">
        <v>37</v>
      </c>
      <c r="AC271" s="53" t="s">
        <v>38</v>
      </c>
      <c r="AD271" s="79" t="s">
        <v>257</v>
      </c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</row>
    <row r="272" spans="1:49" ht="31.5" x14ac:dyDescent="0.25">
      <c r="A272" s="53" t="s">
        <v>39</v>
      </c>
      <c r="B272" s="56">
        <v>46073</v>
      </c>
      <c r="C272" s="56">
        <v>46073</v>
      </c>
      <c r="D272" s="58" t="s">
        <v>196</v>
      </c>
      <c r="E272" s="60">
        <v>0.25</v>
      </c>
      <c r="F272" s="60">
        <v>0.29166666666666669</v>
      </c>
      <c r="G272" s="60">
        <v>4.1666666666666664E-2</v>
      </c>
      <c r="H272" s="53" t="s">
        <v>40</v>
      </c>
      <c r="I272" s="65"/>
      <c r="J272" s="53" t="s">
        <v>41</v>
      </c>
      <c r="K272" s="53"/>
      <c r="L272" s="68">
        <v>1</v>
      </c>
      <c r="M272" s="68">
        <v>1</v>
      </c>
      <c r="N272" s="53" t="s">
        <v>33</v>
      </c>
      <c r="O272" s="53"/>
      <c r="P272" s="73">
        <v>0</v>
      </c>
      <c r="Q272" s="68"/>
      <c r="R272" s="73">
        <v>0</v>
      </c>
      <c r="S272" s="53">
        <v>46054</v>
      </c>
      <c r="T272" s="73">
        <v>0</v>
      </c>
      <c r="U272" s="68">
        <v>2</v>
      </c>
      <c r="V272" s="73">
        <v>0</v>
      </c>
      <c r="W272" s="53" t="s">
        <v>34</v>
      </c>
      <c r="X272" s="53" t="s">
        <v>42</v>
      </c>
      <c r="Y272" s="53" t="s">
        <v>36</v>
      </c>
      <c r="Z272" s="53" t="s">
        <v>43</v>
      </c>
      <c r="AA272" s="53" t="s">
        <v>37</v>
      </c>
      <c r="AB272" s="53" t="s">
        <v>37</v>
      </c>
      <c r="AC272" s="53" t="s">
        <v>38</v>
      </c>
      <c r="AD272" s="79" t="s">
        <v>257</v>
      </c>
      <c r="AE272" s="83"/>
      <c r="AF272" s="83"/>
      <c r="AG272" s="83"/>
      <c r="AH272" s="83"/>
      <c r="AI272" s="84"/>
      <c r="AJ272" s="84"/>
      <c r="AK272" s="84"/>
      <c r="AL272" s="84"/>
      <c r="AM272" s="84"/>
      <c r="AN272" s="84"/>
      <c r="AO272" s="84"/>
      <c r="AP272" s="84"/>
      <c r="AQ272" s="84"/>
      <c r="AR272" s="84"/>
      <c r="AS272" s="84"/>
      <c r="AT272" s="84"/>
      <c r="AU272" s="84"/>
      <c r="AV272" s="84"/>
      <c r="AW272" s="84"/>
    </row>
    <row r="273" spans="1:49" ht="31.5" x14ac:dyDescent="0.25">
      <c r="A273" s="53" t="s">
        <v>39</v>
      </c>
      <c r="B273" s="56">
        <v>46073</v>
      </c>
      <c r="C273" s="56">
        <v>46073</v>
      </c>
      <c r="D273" s="58" t="s">
        <v>196</v>
      </c>
      <c r="E273" s="60">
        <v>0.79166666666666663</v>
      </c>
      <c r="F273" s="60">
        <v>0.8125</v>
      </c>
      <c r="G273" s="60">
        <v>2.0833333333333332E-2</v>
      </c>
      <c r="H273" s="53" t="s">
        <v>119</v>
      </c>
      <c r="I273" s="65"/>
      <c r="J273" s="53" t="s">
        <v>120</v>
      </c>
      <c r="K273" s="53"/>
      <c r="L273" s="68">
        <v>1</v>
      </c>
      <c r="M273" s="68">
        <v>1</v>
      </c>
      <c r="N273" s="53" t="s">
        <v>33</v>
      </c>
      <c r="O273" s="53"/>
      <c r="P273" s="71">
        <v>0</v>
      </c>
      <c r="Q273" s="68"/>
      <c r="R273" s="71">
        <v>0</v>
      </c>
      <c r="S273" s="53">
        <v>46054</v>
      </c>
      <c r="T273" s="71">
        <v>0</v>
      </c>
      <c r="U273" s="68">
        <v>2</v>
      </c>
      <c r="V273" s="71">
        <v>0</v>
      </c>
      <c r="W273" s="53" t="s">
        <v>34</v>
      </c>
      <c r="X273" s="53" t="s">
        <v>42</v>
      </c>
      <c r="Y273" s="53" t="s">
        <v>36</v>
      </c>
      <c r="Z273" s="53" t="s">
        <v>43</v>
      </c>
      <c r="AA273" s="53" t="s">
        <v>37</v>
      </c>
      <c r="AB273" s="53" t="s">
        <v>37</v>
      </c>
      <c r="AC273" s="53" t="s">
        <v>38</v>
      </c>
      <c r="AD273" s="79" t="s">
        <v>257</v>
      </c>
      <c r="AE273" s="80"/>
      <c r="AF273" s="80"/>
      <c r="AG273" s="80"/>
      <c r="AH273" s="80"/>
      <c r="AI273" s="80"/>
      <c r="AJ273" s="80"/>
      <c r="AK273" s="80"/>
      <c r="AL273" s="80"/>
      <c r="AM273" s="80"/>
      <c r="AN273" s="80"/>
      <c r="AO273" s="80"/>
      <c r="AP273" s="80"/>
      <c r="AQ273" s="80"/>
      <c r="AR273" s="80"/>
      <c r="AS273" s="80"/>
      <c r="AT273" s="80"/>
      <c r="AU273" s="80"/>
      <c r="AV273" s="80"/>
      <c r="AW273" s="80"/>
    </row>
    <row r="274" spans="1:49" ht="31.5" x14ac:dyDescent="0.2">
      <c r="A274" s="53" t="s">
        <v>39</v>
      </c>
      <c r="B274" s="56">
        <v>46073</v>
      </c>
      <c r="C274" s="56">
        <v>46073</v>
      </c>
      <c r="D274" s="58" t="s">
        <v>196</v>
      </c>
      <c r="E274" s="60">
        <v>0.8125</v>
      </c>
      <c r="F274" s="60">
        <v>0.83333333333333337</v>
      </c>
      <c r="G274" s="60">
        <v>2.0833333333333332E-2</v>
      </c>
      <c r="H274" s="53" t="s">
        <v>212</v>
      </c>
      <c r="I274" s="65"/>
      <c r="J274" s="53" t="s">
        <v>120</v>
      </c>
      <c r="K274" s="53"/>
      <c r="L274" s="68">
        <v>1</v>
      </c>
      <c r="M274" s="68">
        <v>1</v>
      </c>
      <c r="N274" s="53" t="s">
        <v>33</v>
      </c>
      <c r="O274" s="53"/>
      <c r="P274" s="71">
        <v>0</v>
      </c>
      <c r="Q274" s="68"/>
      <c r="R274" s="71">
        <v>0</v>
      </c>
      <c r="S274" s="53">
        <v>46054</v>
      </c>
      <c r="T274" s="71">
        <v>0</v>
      </c>
      <c r="U274" s="68">
        <v>2</v>
      </c>
      <c r="V274" s="71">
        <v>0</v>
      </c>
      <c r="W274" s="53" t="s">
        <v>34</v>
      </c>
      <c r="X274" s="53" t="s">
        <v>42</v>
      </c>
      <c r="Y274" s="53" t="s">
        <v>36</v>
      </c>
      <c r="Z274" s="53" t="s">
        <v>43</v>
      </c>
      <c r="AA274" s="53" t="s">
        <v>37</v>
      </c>
      <c r="AB274" s="53" t="s">
        <v>37</v>
      </c>
      <c r="AC274" s="53" t="s">
        <v>38</v>
      </c>
      <c r="AD274" s="79" t="s">
        <v>257</v>
      </c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</row>
    <row r="275" spans="1:49" ht="31.5" x14ac:dyDescent="0.2">
      <c r="A275" s="53" t="s">
        <v>39</v>
      </c>
      <c r="B275" s="56">
        <v>46073</v>
      </c>
      <c r="C275" s="56">
        <v>46073</v>
      </c>
      <c r="D275" s="58" t="s">
        <v>196</v>
      </c>
      <c r="E275" s="60">
        <v>0.97916666666666663</v>
      </c>
      <c r="F275" s="60">
        <v>1</v>
      </c>
      <c r="G275" s="60">
        <v>2.0833333333333332E-2</v>
      </c>
      <c r="H275" s="53" t="s">
        <v>139</v>
      </c>
      <c r="I275" s="65"/>
      <c r="J275" s="53" t="s">
        <v>120</v>
      </c>
      <c r="K275" s="53"/>
      <c r="L275" s="68">
        <v>1</v>
      </c>
      <c r="M275" s="68">
        <v>1</v>
      </c>
      <c r="N275" s="53" t="s">
        <v>33</v>
      </c>
      <c r="O275" s="53"/>
      <c r="P275" s="71">
        <v>0</v>
      </c>
      <c r="Q275" s="68"/>
      <c r="R275" s="71">
        <v>0</v>
      </c>
      <c r="S275" s="53">
        <v>46054</v>
      </c>
      <c r="T275" s="71">
        <v>0</v>
      </c>
      <c r="U275" s="68">
        <v>2</v>
      </c>
      <c r="V275" s="71">
        <v>0</v>
      </c>
      <c r="W275" s="53" t="s">
        <v>34</v>
      </c>
      <c r="X275" s="53" t="s">
        <v>42</v>
      </c>
      <c r="Y275" s="53" t="s">
        <v>36</v>
      </c>
      <c r="Z275" s="53" t="s">
        <v>43</v>
      </c>
      <c r="AA275" s="53" t="s">
        <v>37</v>
      </c>
      <c r="AB275" s="53" t="s">
        <v>37</v>
      </c>
      <c r="AC275" s="53" t="s">
        <v>38</v>
      </c>
      <c r="AD275" s="79" t="s">
        <v>257</v>
      </c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</row>
    <row r="276" spans="1:49" ht="31.5" x14ac:dyDescent="0.25">
      <c r="A276" s="53" t="s">
        <v>39</v>
      </c>
      <c r="B276" s="56">
        <v>46074</v>
      </c>
      <c r="C276" s="56">
        <v>46074</v>
      </c>
      <c r="D276" s="58" t="s">
        <v>214</v>
      </c>
      <c r="E276" s="60">
        <v>0.25</v>
      </c>
      <c r="F276" s="60">
        <v>0.29166666666666669</v>
      </c>
      <c r="G276" s="60">
        <v>4.1666666666666664E-2</v>
      </c>
      <c r="H276" s="53" t="s">
        <v>40</v>
      </c>
      <c r="I276" s="65"/>
      <c r="J276" s="53" t="s">
        <v>41</v>
      </c>
      <c r="K276" s="53"/>
      <c r="L276" s="68">
        <v>1</v>
      </c>
      <c r="M276" s="68">
        <v>1</v>
      </c>
      <c r="N276" s="53" t="s">
        <v>33</v>
      </c>
      <c r="O276" s="53"/>
      <c r="P276" s="73">
        <v>0</v>
      </c>
      <c r="Q276" s="68"/>
      <c r="R276" s="73">
        <v>0</v>
      </c>
      <c r="S276" s="53">
        <v>46054</v>
      </c>
      <c r="T276" s="73">
        <v>0</v>
      </c>
      <c r="U276" s="68">
        <v>2</v>
      </c>
      <c r="V276" s="73">
        <v>0</v>
      </c>
      <c r="W276" s="53" t="s">
        <v>34</v>
      </c>
      <c r="X276" s="53" t="s">
        <v>42</v>
      </c>
      <c r="Y276" s="53" t="s">
        <v>36</v>
      </c>
      <c r="Z276" s="53" t="s">
        <v>43</v>
      </c>
      <c r="AA276" s="53" t="s">
        <v>37</v>
      </c>
      <c r="AB276" s="53" t="s">
        <v>37</v>
      </c>
      <c r="AC276" s="53" t="s">
        <v>38</v>
      </c>
      <c r="AD276" s="79" t="s">
        <v>257</v>
      </c>
      <c r="AE276" s="80"/>
      <c r="AF276" s="80"/>
      <c r="AG276" s="80"/>
      <c r="AH276" s="80"/>
      <c r="AI276" s="86"/>
      <c r="AJ276" s="86"/>
      <c r="AK276" s="86"/>
      <c r="AL276" s="86"/>
      <c r="AM276" s="86"/>
      <c r="AN276" s="86"/>
      <c r="AO276" s="86"/>
      <c r="AP276" s="86"/>
      <c r="AQ276" s="86"/>
      <c r="AR276" s="86"/>
      <c r="AS276" s="86"/>
      <c r="AT276" s="86"/>
      <c r="AU276" s="86"/>
      <c r="AV276" s="86"/>
      <c r="AW276" s="86"/>
    </row>
    <row r="277" spans="1:49" ht="31.5" x14ac:dyDescent="0.2">
      <c r="A277" s="52" t="s">
        <v>154</v>
      </c>
      <c r="B277" s="55">
        <v>46070</v>
      </c>
      <c r="C277" s="55">
        <v>46070</v>
      </c>
      <c r="D277" s="52" t="s">
        <v>145</v>
      </c>
      <c r="E277" s="59">
        <v>0.45833333333333331</v>
      </c>
      <c r="F277" s="59">
        <v>0.54166666666666663</v>
      </c>
      <c r="G277" s="59">
        <v>3.4722222222222218E-4</v>
      </c>
      <c r="H277" s="52" t="s">
        <v>155</v>
      </c>
      <c r="I277" s="64">
        <v>0.46833333333333332</v>
      </c>
      <c r="J277" s="52" t="s">
        <v>84</v>
      </c>
      <c r="K277" s="52" t="s">
        <v>150</v>
      </c>
      <c r="L277" s="67">
        <v>1</v>
      </c>
      <c r="M277" s="67">
        <v>71251</v>
      </c>
      <c r="N277" s="52" t="s">
        <v>54</v>
      </c>
      <c r="O277" s="67" t="s">
        <v>156</v>
      </c>
      <c r="P277" s="70">
        <v>40</v>
      </c>
      <c r="Q277" s="67"/>
      <c r="R277" s="70">
        <v>40</v>
      </c>
      <c r="S277" s="75">
        <v>46070</v>
      </c>
      <c r="T277" s="70">
        <v>0</v>
      </c>
      <c r="U277" s="77">
        <v>4</v>
      </c>
      <c r="V277" s="70">
        <v>40</v>
      </c>
      <c r="W277" s="52" t="s">
        <v>48</v>
      </c>
      <c r="X277" s="52" t="s">
        <v>49</v>
      </c>
      <c r="Y277" s="52" t="s">
        <v>86</v>
      </c>
      <c r="Z277" s="52" t="s">
        <v>9</v>
      </c>
      <c r="AA277" s="52" t="s">
        <v>50</v>
      </c>
      <c r="AB277" s="52" t="s">
        <v>157</v>
      </c>
      <c r="AC277" s="52" t="s">
        <v>38</v>
      </c>
      <c r="AD277" s="79" t="s">
        <v>257</v>
      </c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</row>
    <row r="278" spans="1:49" ht="31.5" x14ac:dyDescent="0.2">
      <c r="A278" s="52" t="s">
        <v>154</v>
      </c>
      <c r="B278" s="55">
        <v>46070</v>
      </c>
      <c r="C278" s="55">
        <v>46070</v>
      </c>
      <c r="D278" s="52" t="s">
        <v>145</v>
      </c>
      <c r="E278" s="59">
        <v>0.45833333333333331</v>
      </c>
      <c r="F278" s="59">
        <v>0.54166666666666663</v>
      </c>
      <c r="G278" s="59">
        <v>3.4722222222222218E-4</v>
      </c>
      <c r="H278" s="52" t="s">
        <v>155</v>
      </c>
      <c r="I278" s="64">
        <v>0.50814814814814813</v>
      </c>
      <c r="J278" s="52" t="s">
        <v>84</v>
      </c>
      <c r="K278" s="52" t="s">
        <v>140</v>
      </c>
      <c r="L278" s="67">
        <v>1</v>
      </c>
      <c r="M278" s="67">
        <v>71251</v>
      </c>
      <c r="N278" s="52" t="s">
        <v>54</v>
      </c>
      <c r="O278" s="67" t="s">
        <v>156</v>
      </c>
      <c r="P278" s="70">
        <v>40</v>
      </c>
      <c r="Q278" s="67"/>
      <c r="R278" s="70">
        <v>40</v>
      </c>
      <c r="S278" s="75">
        <v>46070</v>
      </c>
      <c r="T278" s="70">
        <v>0</v>
      </c>
      <c r="U278" s="77">
        <v>4</v>
      </c>
      <c r="V278" s="70">
        <v>40</v>
      </c>
      <c r="W278" s="52" t="s">
        <v>48</v>
      </c>
      <c r="X278" s="52" t="s">
        <v>49</v>
      </c>
      <c r="Y278" s="52" t="s">
        <v>86</v>
      </c>
      <c r="Z278" s="52" t="s">
        <v>9</v>
      </c>
      <c r="AA278" s="52" t="s">
        <v>50</v>
      </c>
      <c r="AB278" s="52" t="s">
        <v>157</v>
      </c>
      <c r="AC278" s="52" t="s">
        <v>38</v>
      </c>
      <c r="AD278" s="79" t="s">
        <v>257</v>
      </c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</row>
    <row r="279" spans="1:49" ht="31.5" x14ac:dyDescent="0.25">
      <c r="A279" s="52" t="s">
        <v>154</v>
      </c>
      <c r="B279" s="55">
        <v>46071</v>
      </c>
      <c r="C279" s="55">
        <v>46071</v>
      </c>
      <c r="D279" s="52" t="s">
        <v>177</v>
      </c>
      <c r="E279" s="59">
        <v>0.45833333333333331</v>
      </c>
      <c r="F279" s="59">
        <v>0.54166666666666663</v>
      </c>
      <c r="G279" s="59">
        <v>3.4722222222222218E-4</v>
      </c>
      <c r="H279" s="52" t="s">
        <v>155</v>
      </c>
      <c r="I279" s="64">
        <v>0.47751157407407407</v>
      </c>
      <c r="J279" s="52" t="s">
        <v>84</v>
      </c>
      <c r="K279" s="52" t="s">
        <v>150</v>
      </c>
      <c r="L279" s="67">
        <v>1</v>
      </c>
      <c r="M279" s="67">
        <v>71251</v>
      </c>
      <c r="N279" s="52" t="s">
        <v>54</v>
      </c>
      <c r="O279" s="67" t="s">
        <v>156</v>
      </c>
      <c r="P279" s="70">
        <v>40</v>
      </c>
      <c r="Q279" s="67"/>
      <c r="R279" s="70">
        <v>40</v>
      </c>
      <c r="S279" s="75">
        <v>46071</v>
      </c>
      <c r="T279" s="70">
        <v>0</v>
      </c>
      <c r="U279" s="77">
        <v>4</v>
      </c>
      <c r="V279" s="70">
        <v>40</v>
      </c>
      <c r="W279" s="52" t="s">
        <v>48</v>
      </c>
      <c r="X279" s="52" t="s">
        <v>49</v>
      </c>
      <c r="Y279" s="52" t="s">
        <v>86</v>
      </c>
      <c r="Z279" s="52" t="s">
        <v>9</v>
      </c>
      <c r="AA279" s="52" t="s">
        <v>50</v>
      </c>
      <c r="AB279" s="52" t="s">
        <v>157</v>
      </c>
      <c r="AC279" s="52" t="s">
        <v>38</v>
      </c>
      <c r="AD279" s="79" t="s">
        <v>257</v>
      </c>
      <c r="AE279" s="80"/>
      <c r="AF279" s="80"/>
      <c r="AG279" s="80"/>
      <c r="AH279" s="80"/>
      <c r="AI279" s="80"/>
      <c r="AJ279" s="80"/>
      <c r="AK279" s="80"/>
      <c r="AL279" s="80"/>
      <c r="AM279" s="80"/>
      <c r="AN279" s="80"/>
      <c r="AO279" s="80"/>
      <c r="AP279" s="80"/>
      <c r="AQ279" s="80"/>
      <c r="AR279" s="80"/>
      <c r="AS279" s="80"/>
      <c r="AT279" s="80"/>
      <c r="AU279" s="80"/>
      <c r="AV279" s="80"/>
      <c r="AW279" s="80"/>
    </row>
    <row r="280" spans="1:49" ht="31.5" x14ac:dyDescent="0.25">
      <c r="A280" s="52" t="s">
        <v>154</v>
      </c>
      <c r="B280" s="55">
        <v>46071</v>
      </c>
      <c r="C280" s="55">
        <v>46071</v>
      </c>
      <c r="D280" s="52" t="s">
        <v>177</v>
      </c>
      <c r="E280" s="59">
        <v>0.45833333333333331</v>
      </c>
      <c r="F280" s="59">
        <v>0.54166666666666663</v>
      </c>
      <c r="G280" s="59">
        <v>3.4722222222222218E-4</v>
      </c>
      <c r="H280" s="52" t="s">
        <v>155</v>
      </c>
      <c r="I280" s="64">
        <v>0.52902777777777776</v>
      </c>
      <c r="J280" s="52" t="s">
        <v>84</v>
      </c>
      <c r="K280" s="52" t="s">
        <v>140</v>
      </c>
      <c r="L280" s="67">
        <v>1</v>
      </c>
      <c r="M280" s="67">
        <v>71251</v>
      </c>
      <c r="N280" s="52" t="s">
        <v>54</v>
      </c>
      <c r="O280" s="67" t="s">
        <v>156</v>
      </c>
      <c r="P280" s="70">
        <v>40</v>
      </c>
      <c r="Q280" s="67"/>
      <c r="R280" s="70">
        <v>40</v>
      </c>
      <c r="S280" s="75">
        <v>46071</v>
      </c>
      <c r="T280" s="70">
        <v>0</v>
      </c>
      <c r="U280" s="77">
        <v>4</v>
      </c>
      <c r="V280" s="70">
        <v>40</v>
      </c>
      <c r="W280" s="52" t="s">
        <v>48</v>
      </c>
      <c r="X280" s="52" t="s">
        <v>49</v>
      </c>
      <c r="Y280" s="52" t="s">
        <v>86</v>
      </c>
      <c r="Z280" s="52" t="s">
        <v>9</v>
      </c>
      <c r="AA280" s="52" t="s">
        <v>50</v>
      </c>
      <c r="AB280" s="52" t="s">
        <v>157</v>
      </c>
      <c r="AC280" s="52" t="s">
        <v>38</v>
      </c>
      <c r="AD280" s="79" t="s">
        <v>257</v>
      </c>
      <c r="AE280" s="80"/>
      <c r="AF280" s="80"/>
      <c r="AG280" s="80"/>
      <c r="AH280" s="80"/>
      <c r="AI280" s="80"/>
      <c r="AJ280" s="80"/>
      <c r="AK280" s="80"/>
      <c r="AL280" s="80"/>
      <c r="AM280" s="80"/>
      <c r="AN280" s="80"/>
      <c r="AO280" s="80"/>
      <c r="AP280" s="80"/>
      <c r="AQ280" s="80"/>
      <c r="AR280" s="80"/>
      <c r="AS280" s="80"/>
      <c r="AT280" s="80"/>
      <c r="AU280" s="80"/>
      <c r="AV280" s="80"/>
      <c r="AW280" s="80"/>
    </row>
    <row r="281" spans="1:49" ht="31.5" x14ac:dyDescent="0.2">
      <c r="A281" s="52" t="s">
        <v>154</v>
      </c>
      <c r="B281" s="55">
        <v>46072</v>
      </c>
      <c r="C281" s="55">
        <v>46072</v>
      </c>
      <c r="D281" s="52" t="s">
        <v>183</v>
      </c>
      <c r="E281" s="59">
        <v>0.45833333333333331</v>
      </c>
      <c r="F281" s="59">
        <v>0.54166666666666663</v>
      </c>
      <c r="G281" s="59">
        <v>3.4722222222222218E-4</v>
      </c>
      <c r="H281" s="52" t="s">
        <v>155</v>
      </c>
      <c r="I281" s="64">
        <v>0.46587962962962964</v>
      </c>
      <c r="J281" s="52" t="s">
        <v>84</v>
      </c>
      <c r="K281" s="52" t="s">
        <v>150</v>
      </c>
      <c r="L281" s="67">
        <v>1</v>
      </c>
      <c r="M281" s="67">
        <v>71251</v>
      </c>
      <c r="N281" s="52" t="s">
        <v>54</v>
      </c>
      <c r="O281" s="67" t="s">
        <v>156</v>
      </c>
      <c r="P281" s="70">
        <v>40</v>
      </c>
      <c r="Q281" s="67"/>
      <c r="R281" s="70">
        <v>40</v>
      </c>
      <c r="S281" s="75">
        <v>46072</v>
      </c>
      <c r="T281" s="70">
        <v>0</v>
      </c>
      <c r="U281" s="77">
        <v>4</v>
      </c>
      <c r="V281" s="70">
        <v>40</v>
      </c>
      <c r="W281" s="52" t="s">
        <v>48</v>
      </c>
      <c r="X281" s="52" t="s">
        <v>49</v>
      </c>
      <c r="Y281" s="52" t="s">
        <v>86</v>
      </c>
      <c r="Z281" s="52" t="s">
        <v>9</v>
      </c>
      <c r="AA281" s="52" t="s">
        <v>50</v>
      </c>
      <c r="AB281" s="52" t="s">
        <v>157</v>
      </c>
      <c r="AC281" s="52" t="s">
        <v>38</v>
      </c>
      <c r="AD281" s="79" t="s">
        <v>257</v>
      </c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</row>
    <row r="282" spans="1:49" ht="31.5" x14ac:dyDescent="0.25">
      <c r="A282" s="52" t="s">
        <v>154</v>
      </c>
      <c r="B282" s="55">
        <v>46072</v>
      </c>
      <c r="C282" s="55">
        <v>46072</v>
      </c>
      <c r="D282" s="52" t="s">
        <v>183</v>
      </c>
      <c r="E282" s="59">
        <v>0.45833333333333331</v>
      </c>
      <c r="F282" s="59">
        <v>0.54166666666666663</v>
      </c>
      <c r="G282" s="59">
        <v>3.4722222222222218E-4</v>
      </c>
      <c r="H282" s="52" t="s">
        <v>155</v>
      </c>
      <c r="I282" s="64">
        <v>0.53395833333333331</v>
      </c>
      <c r="J282" s="52" t="s">
        <v>84</v>
      </c>
      <c r="K282" s="52" t="s">
        <v>140</v>
      </c>
      <c r="L282" s="67">
        <v>1</v>
      </c>
      <c r="M282" s="67">
        <v>71251</v>
      </c>
      <c r="N282" s="52" t="s">
        <v>54</v>
      </c>
      <c r="O282" s="67" t="s">
        <v>156</v>
      </c>
      <c r="P282" s="70">
        <v>40</v>
      </c>
      <c r="Q282" s="67"/>
      <c r="R282" s="70">
        <v>40</v>
      </c>
      <c r="S282" s="75">
        <v>46072</v>
      </c>
      <c r="T282" s="70">
        <v>0</v>
      </c>
      <c r="U282" s="77">
        <v>4</v>
      </c>
      <c r="V282" s="70">
        <v>40</v>
      </c>
      <c r="W282" s="52" t="s">
        <v>48</v>
      </c>
      <c r="X282" s="52" t="s">
        <v>49</v>
      </c>
      <c r="Y282" s="52" t="s">
        <v>86</v>
      </c>
      <c r="Z282" s="52" t="s">
        <v>9</v>
      </c>
      <c r="AA282" s="52" t="s">
        <v>50</v>
      </c>
      <c r="AB282" s="52" t="s">
        <v>157</v>
      </c>
      <c r="AC282" s="52" t="s">
        <v>38</v>
      </c>
      <c r="AD282" s="79" t="s">
        <v>257</v>
      </c>
      <c r="AE282" s="80"/>
      <c r="AF282" s="80"/>
      <c r="AG282" s="80"/>
      <c r="AH282" s="80"/>
      <c r="AI282" s="80"/>
      <c r="AJ282" s="80"/>
      <c r="AK282" s="80"/>
      <c r="AL282" s="80"/>
      <c r="AM282" s="80"/>
      <c r="AN282" s="80"/>
      <c r="AO282" s="80"/>
      <c r="AP282" s="80"/>
      <c r="AQ282" s="80"/>
      <c r="AR282" s="80"/>
      <c r="AS282" s="80"/>
      <c r="AT282" s="80"/>
      <c r="AU282" s="80"/>
      <c r="AV282" s="80"/>
      <c r="AW282" s="80"/>
    </row>
    <row r="283" spans="1:49" ht="31.5" x14ac:dyDescent="0.2">
      <c r="A283" s="52" t="s">
        <v>154</v>
      </c>
      <c r="B283" s="55">
        <v>46073</v>
      </c>
      <c r="C283" s="55">
        <v>46073</v>
      </c>
      <c r="D283" s="52" t="s">
        <v>196</v>
      </c>
      <c r="E283" s="59">
        <v>0.45833333333333331</v>
      </c>
      <c r="F283" s="59">
        <v>0.54166666666666663</v>
      </c>
      <c r="G283" s="59">
        <v>3.4722222222222218E-4</v>
      </c>
      <c r="H283" s="52" t="s">
        <v>155</v>
      </c>
      <c r="I283" s="64">
        <v>0.46533564814814815</v>
      </c>
      <c r="J283" s="52" t="s">
        <v>84</v>
      </c>
      <c r="K283" s="52" t="s">
        <v>150</v>
      </c>
      <c r="L283" s="67">
        <v>1</v>
      </c>
      <c r="M283" s="67">
        <v>71251</v>
      </c>
      <c r="N283" s="52" t="s">
        <v>54</v>
      </c>
      <c r="O283" s="67" t="s">
        <v>156</v>
      </c>
      <c r="P283" s="70">
        <v>40</v>
      </c>
      <c r="Q283" s="67"/>
      <c r="R283" s="70">
        <v>40</v>
      </c>
      <c r="S283" s="75">
        <v>46073</v>
      </c>
      <c r="T283" s="70">
        <v>0</v>
      </c>
      <c r="U283" s="77">
        <v>4</v>
      </c>
      <c r="V283" s="70">
        <v>40</v>
      </c>
      <c r="W283" s="52" t="s">
        <v>48</v>
      </c>
      <c r="X283" s="52" t="s">
        <v>49</v>
      </c>
      <c r="Y283" s="52" t="s">
        <v>86</v>
      </c>
      <c r="Z283" s="52" t="s">
        <v>9</v>
      </c>
      <c r="AA283" s="52" t="s">
        <v>50</v>
      </c>
      <c r="AB283" s="52" t="s">
        <v>157</v>
      </c>
      <c r="AC283" s="52" t="s">
        <v>38</v>
      </c>
      <c r="AD283" s="79" t="s">
        <v>257</v>
      </c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</row>
    <row r="284" spans="1:49" ht="31.5" x14ac:dyDescent="0.25">
      <c r="A284" s="52" t="s">
        <v>154</v>
      </c>
      <c r="B284" s="55">
        <v>46073</v>
      </c>
      <c r="C284" s="55">
        <v>46073</v>
      </c>
      <c r="D284" s="52" t="s">
        <v>196</v>
      </c>
      <c r="E284" s="59">
        <v>0.45833333333333331</v>
      </c>
      <c r="F284" s="59">
        <v>0.54166666666666663</v>
      </c>
      <c r="G284" s="59">
        <v>3.4722222222222218E-4</v>
      </c>
      <c r="H284" s="52" t="s">
        <v>155</v>
      </c>
      <c r="I284" s="64">
        <v>0.54033564814814816</v>
      </c>
      <c r="J284" s="52" t="s">
        <v>84</v>
      </c>
      <c r="K284" s="52" t="s">
        <v>140</v>
      </c>
      <c r="L284" s="67">
        <v>1</v>
      </c>
      <c r="M284" s="67">
        <v>71251</v>
      </c>
      <c r="N284" s="52" t="s">
        <v>54</v>
      </c>
      <c r="O284" s="67" t="s">
        <v>156</v>
      </c>
      <c r="P284" s="70">
        <v>40</v>
      </c>
      <c r="Q284" s="67"/>
      <c r="R284" s="70">
        <v>40</v>
      </c>
      <c r="S284" s="75">
        <v>46073</v>
      </c>
      <c r="T284" s="70">
        <v>0</v>
      </c>
      <c r="U284" s="77">
        <v>4</v>
      </c>
      <c r="V284" s="70">
        <v>40</v>
      </c>
      <c r="W284" s="52" t="s">
        <v>48</v>
      </c>
      <c r="X284" s="52" t="s">
        <v>49</v>
      </c>
      <c r="Y284" s="52" t="s">
        <v>86</v>
      </c>
      <c r="Z284" s="52" t="s">
        <v>9</v>
      </c>
      <c r="AA284" s="52" t="s">
        <v>50</v>
      </c>
      <c r="AB284" s="52" t="s">
        <v>157</v>
      </c>
      <c r="AC284" s="52" t="s">
        <v>38</v>
      </c>
      <c r="AD284" s="79" t="s">
        <v>257</v>
      </c>
      <c r="AE284" s="83"/>
      <c r="AF284" s="83"/>
      <c r="AG284" s="83"/>
      <c r="AH284" s="83"/>
      <c r="AI284" s="84"/>
      <c r="AJ284" s="84"/>
      <c r="AK284" s="84"/>
      <c r="AL284" s="84"/>
      <c r="AM284" s="84"/>
      <c r="AN284" s="84"/>
      <c r="AO284" s="84"/>
      <c r="AP284" s="84"/>
      <c r="AQ284" s="84"/>
      <c r="AR284" s="84"/>
      <c r="AS284" s="84"/>
      <c r="AT284" s="84"/>
      <c r="AU284" s="84"/>
      <c r="AV284" s="84"/>
      <c r="AW284" s="84"/>
    </row>
    <row r="285" spans="1:49" ht="31.5" x14ac:dyDescent="0.25">
      <c r="A285" s="52" t="s">
        <v>154</v>
      </c>
      <c r="B285" s="55">
        <v>46074</v>
      </c>
      <c r="C285" s="55">
        <v>46074</v>
      </c>
      <c r="D285" s="52" t="s">
        <v>214</v>
      </c>
      <c r="E285" s="59">
        <v>0.45833333333333331</v>
      </c>
      <c r="F285" s="59">
        <v>0.54166666666666663</v>
      </c>
      <c r="G285" s="59">
        <v>3.4722222222222218E-4</v>
      </c>
      <c r="H285" s="52" t="s">
        <v>155</v>
      </c>
      <c r="I285" s="64">
        <v>0.53353009259259254</v>
      </c>
      <c r="J285" s="52" t="s">
        <v>84</v>
      </c>
      <c r="K285" s="52" t="s">
        <v>140</v>
      </c>
      <c r="L285" s="67">
        <v>1</v>
      </c>
      <c r="M285" s="67">
        <v>71253</v>
      </c>
      <c r="N285" s="52" t="s">
        <v>46</v>
      </c>
      <c r="O285" s="67" t="s">
        <v>156</v>
      </c>
      <c r="P285" s="70">
        <v>0</v>
      </c>
      <c r="Q285" s="67"/>
      <c r="R285" s="70">
        <v>0</v>
      </c>
      <c r="S285" s="75">
        <v>46074</v>
      </c>
      <c r="T285" s="70">
        <v>0</v>
      </c>
      <c r="U285" s="77">
        <v>4</v>
      </c>
      <c r="V285" s="70">
        <v>0</v>
      </c>
      <c r="W285" s="52" t="s">
        <v>48</v>
      </c>
      <c r="X285" s="52" t="s">
        <v>49</v>
      </c>
      <c r="Y285" s="52" t="s">
        <v>86</v>
      </c>
      <c r="Z285" s="52" t="s">
        <v>9</v>
      </c>
      <c r="AA285" s="52" t="s">
        <v>50</v>
      </c>
      <c r="AB285" s="52" t="s">
        <v>157</v>
      </c>
      <c r="AC285" s="52" t="s">
        <v>38</v>
      </c>
      <c r="AD285" s="79" t="s">
        <v>257</v>
      </c>
      <c r="AE285" s="80"/>
      <c r="AF285" s="80"/>
      <c r="AG285" s="80"/>
      <c r="AH285" s="80"/>
      <c r="AI285" s="80"/>
      <c r="AJ285" s="80"/>
      <c r="AK285" s="80"/>
      <c r="AL285" s="80"/>
      <c r="AM285" s="80"/>
      <c r="AN285" s="80"/>
      <c r="AO285" s="80"/>
      <c r="AP285" s="80"/>
      <c r="AQ285" s="80"/>
      <c r="AR285" s="80"/>
      <c r="AS285" s="80"/>
      <c r="AT285" s="80"/>
      <c r="AU285" s="80"/>
      <c r="AV285" s="80"/>
      <c r="AW285" s="80"/>
    </row>
    <row r="286" spans="1:49" ht="31.5" x14ac:dyDescent="0.25">
      <c r="A286" s="52" t="s">
        <v>154</v>
      </c>
      <c r="B286" s="55">
        <v>46075</v>
      </c>
      <c r="C286" s="55">
        <v>46075</v>
      </c>
      <c r="D286" s="52" t="s">
        <v>243</v>
      </c>
      <c r="E286" s="59">
        <v>0.45833333333333331</v>
      </c>
      <c r="F286" s="59">
        <v>0.54166666666666663</v>
      </c>
      <c r="G286" s="59">
        <v>3.4722222222222218E-4</v>
      </c>
      <c r="H286" s="52" t="s">
        <v>155</v>
      </c>
      <c r="I286" s="64">
        <v>0.4700347222222222</v>
      </c>
      <c r="J286" s="52" t="s">
        <v>84</v>
      </c>
      <c r="K286" s="52" t="s">
        <v>80</v>
      </c>
      <c r="L286" s="67">
        <v>1</v>
      </c>
      <c r="M286" s="67">
        <v>71252</v>
      </c>
      <c r="N286" s="52" t="s">
        <v>54</v>
      </c>
      <c r="O286" s="67" t="s">
        <v>156</v>
      </c>
      <c r="P286" s="70">
        <v>40</v>
      </c>
      <c r="Q286" s="67"/>
      <c r="R286" s="70">
        <v>40</v>
      </c>
      <c r="S286" s="75">
        <v>46075</v>
      </c>
      <c r="T286" s="70">
        <v>0</v>
      </c>
      <c r="U286" s="77">
        <v>4</v>
      </c>
      <c r="V286" s="70">
        <v>40</v>
      </c>
      <c r="W286" s="52" t="s">
        <v>48</v>
      </c>
      <c r="X286" s="52" t="s">
        <v>49</v>
      </c>
      <c r="Y286" s="52" t="s">
        <v>86</v>
      </c>
      <c r="Z286" s="52" t="s">
        <v>9</v>
      </c>
      <c r="AA286" s="52" t="s">
        <v>50</v>
      </c>
      <c r="AB286" s="52" t="s">
        <v>157</v>
      </c>
      <c r="AC286" s="52" t="s">
        <v>38</v>
      </c>
      <c r="AD286" s="79" t="s">
        <v>257</v>
      </c>
      <c r="AE286" s="80"/>
      <c r="AF286" s="80"/>
      <c r="AG286" s="80"/>
      <c r="AH286" s="80"/>
      <c r="AI286" s="86"/>
      <c r="AJ286" s="86"/>
      <c r="AK286" s="86"/>
      <c r="AL286" s="86"/>
      <c r="AM286" s="86"/>
      <c r="AN286" s="86"/>
      <c r="AO286" s="86"/>
      <c r="AP286" s="86"/>
      <c r="AQ286" s="86"/>
      <c r="AR286" s="86"/>
      <c r="AS286" s="86"/>
      <c r="AT286" s="86"/>
      <c r="AU286" s="86"/>
      <c r="AV286" s="86"/>
      <c r="AW286" s="86"/>
    </row>
    <row r="287" spans="1:49" ht="31.5" x14ac:dyDescent="0.25">
      <c r="A287" s="52" t="s">
        <v>154</v>
      </c>
      <c r="B287" s="55">
        <v>46075</v>
      </c>
      <c r="C287" s="55">
        <v>46075</v>
      </c>
      <c r="D287" s="52" t="s">
        <v>243</v>
      </c>
      <c r="E287" s="59">
        <v>0.45833333333333331</v>
      </c>
      <c r="F287" s="59">
        <v>0.54166666666666663</v>
      </c>
      <c r="G287" s="59">
        <v>3.4722222222222218E-4</v>
      </c>
      <c r="H287" s="52" t="s">
        <v>155</v>
      </c>
      <c r="I287" s="64">
        <v>0.52703703703703708</v>
      </c>
      <c r="J287" s="52" t="s">
        <v>84</v>
      </c>
      <c r="K287" s="52" t="s">
        <v>140</v>
      </c>
      <c r="L287" s="67">
        <v>1</v>
      </c>
      <c r="M287" s="67">
        <v>71252</v>
      </c>
      <c r="N287" s="52" t="s">
        <v>54</v>
      </c>
      <c r="O287" s="67" t="s">
        <v>156</v>
      </c>
      <c r="P287" s="70">
        <v>40</v>
      </c>
      <c r="Q287" s="67"/>
      <c r="R287" s="70">
        <v>40</v>
      </c>
      <c r="S287" s="75">
        <v>46075</v>
      </c>
      <c r="T287" s="70">
        <v>0</v>
      </c>
      <c r="U287" s="77">
        <v>4</v>
      </c>
      <c r="V287" s="70">
        <v>40</v>
      </c>
      <c r="W287" s="52" t="s">
        <v>48</v>
      </c>
      <c r="X287" s="52" t="s">
        <v>49</v>
      </c>
      <c r="Y287" s="52" t="s">
        <v>86</v>
      </c>
      <c r="Z287" s="52" t="s">
        <v>9</v>
      </c>
      <c r="AA287" s="52" t="s">
        <v>50</v>
      </c>
      <c r="AB287" s="52" t="s">
        <v>157</v>
      </c>
      <c r="AC287" s="52" t="s">
        <v>38</v>
      </c>
      <c r="AD287" s="79" t="s">
        <v>257</v>
      </c>
      <c r="AE287" s="80"/>
      <c r="AF287" s="80"/>
      <c r="AG287" s="80"/>
      <c r="AH287" s="80"/>
      <c r="AI287" s="80"/>
      <c r="AJ287" s="80"/>
      <c r="AK287" s="80"/>
      <c r="AL287" s="80"/>
      <c r="AM287" s="80"/>
      <c r="AN287" s="80"/>
      <c r="AO287" s="80"/>
      <c r="AP287" s="80"/>
      <c r="AQ287" s="80"/>
      <c r="AR287" s="80"/>
      <c r="AS287" s="80"/>
      <c r="AT287" s="80"/>
      <c r="AU287" s="80"/>
      <c r="AV287" s="80"/>
      <c r="AW287" s="80"/>
    </row>
    <row r="288" spans="1:49" ht="31.5" x14ac:dyDescent="0.2">
      <c r="A288" s="52" t="s">
        <v>187</v>
      </c>
      <c r="B288" s="55">
        <v>46072</v>
      </c>
      <c r="C288" s="55">
        <v>46072</v>
      </c>
      <c r="D288" s="52" t="s">
        <v>183</v>
      </c>
      <c r="E288" s="59">
        <v>0.45833333333333331</v>
      </c>
      <c r="F288" s="59">
        <v>0.54166666666666663</v>
      </c>
      <c r="G288" s="59">
        <v>3.4722222222222218E-4</v>
      </c>
      <c r="H288" s="52" t="s">
        <v>188</v>
      </c>
      <c r="I288" s="64">
        <v>0.46674768518518517</v>
      </c>
      <c r="J288" s="52" t="s">
        <v>84</v>
      </c>
      <c r="K288" s="52" t="s">
        <v>150</v>
      </c>
      <c r="L288" s="67">
        <v>1</v>
      </c>
      <c r="M288" s="67">
        <v>70379</v>
      </c>
      <c r="N288" s="52" t="s">
        <v>46</v>
      </c>
      <c r="O288" s="67" t="s">
        <v>189</v>
      </c>
      <c r="P288" s="70">
        <v>0</v>
      </c>
      <c r="Q288" s="67"/>
      <c r="R288" s="70">
        <v>0</v>
      </c>
      <c r="S288" s="75">
        <v>46054</v>
      </c>
      <c r="T288" s="70">
        <v>0</v>
      </c>
      <c r="U288" s="77">
        <v>4</v>
      </c>
      <c r="V288" s="70">
        <v>0</v>
      </c>
      <c r="W288" s="52" t="s">
        <v>48</v>
      </c>
      <c r="X288" s="52" t="s">
        <v>49</v>
      </c>
      <c r="Y288" s="52" t="s">
        <v>36</v>
      </c>
      <c r="Z288" s="52" t="s">
        <v>9</v>
      </c>
      <c r="AA288" s="52" t="s">
        <v>50</v>
      </c>
      <c r="AB288" s="52" t="s">
        <v>190</v>
      </c>
      <c r="AC288" s="52" t="s">
        <v>38</v>
      </c>
      <c r="AD288" s="79" t="s">
        <v>257</v>
      </c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</row>
    <row r="289" spans="1:49" ht="31.5" x14ac:dyDescent="0.25">
      <c r="A289" s="52" t="s">
        <v>111</v>
      </c>
      <c r="B289" s="55">
        <v>46069</v>
      </c>
      <c r="C289" s="55">
        <v>46069</v>
      </c>
      <c r="D289" s="52" t="s">
        <v>30</v>
      </c>
      <c r="E289" s="59">
        <v>0.66666666666666663</v>
      </c>
      <c r="F289" s="59">
        <v>0.79166666666666663</v>
      </c>
      <c r="G289" s="62">
        <v>1.7361111111111112E-4</v>
      </c>
      <c r="H289" s="63" t="s">
        <v>112</v>
      </c>
      <c r="I289" s="64">
        <v>0.73439814814814819</v>
      </c>
      <c r="J289" s="52" t="s">
        <v>110</v>
      </c>
      <c r="K289" s="52" t="s">
        <v>117</v>
      </c>
      <c r="L289" s="67">
        <v>1</v>
      </c>
      <c r="M289" s="67">
        <v>69833</v>
      </c>
      <c r="N289" s="52" t="s">
        <v>54</v>
      </c>
      <c r="O289" s="67"/>
      <c r="P289" s="70">
        <v>28</v>
      </c>
      <c r="Q289" s="67"/>
      <c r="R289" s="70">
        <v>28</v>
      </c>
      <c r="S289" s="75">
        <v>46069</v>
      </c>
      <c r="T289" s="70">
        <v>0</v>
      </c>
      <c r="U289" s="77">
        <v>4</v>
      </c>
      <c r="V289" s="70">
        <v>28</v>
      </c>
      <c r="W289" s="52" t="s">
        <v>34</v>
      </c>
      <c r="X289" s="52" t="s">
        <v>49</v>
      </c>
      <c r="Y289" s="52" t="s">
        <v>86</v>
      </c>
      <c r="Z289" s="52" t="s">
        <v>43</v>
      </c>
      <c r="AA289" s="52" t="s">
        <v>50</v>
      </c>
      <c r="AB289" s="52" t="s">
        <v>113</v>
      </c>
      <c r="AC289" s="52" t="s">
        <v>38</v>
      </c>
      <c r="AD289" s="79" t="s">
        <v>257</v>
      </c>
      <c r="AE289" s="80"/>
      <c r="AF289" s="80"/>
      <c r="AG289" s="80"/>
      <c r="AH289" s="80"/>
      <c r="AI289" s="80"/>
      <c r="AJ289" s="80"/>
      <c r="AK289" s="80"/>
      <c r="AL289" s="80"/>
      <c r="AM289" s="80"/>
      <c r="AN289" s="80"/>
      <c r="AO289" s="80"/>
      <c r="AP289" s="80"/>
      <c r="AQ289" s="80"/>
      <c r="AR289" s="80"/>
      <c r="AS289" s="80"/>
      <c r="AT289" s="80"/>
      <c r="AU289" s="80"/>
      <c r="AV289" s="80"/>
      <c r="AW289" s="80"/>
    </row>
    <row r="290" spans="1:49" ht="31.5" x14ac:dyDescent="0.2">
      <c r="A290" s="52" t="s">
        <v>111</v>
      </c>
      <c r="B290" s="55">
        <v>46069</v>
      </c>
      <c r="C290" s="55">
        <v>46069</v>
      </c>
      <c r="D290" s="52" t="s">
        <v>30</v>
      </c>
      <c r="E290" s="59">
        <v>0.66666666666666663</v>
      </c>
      <c r="F290" s="59">
        <v>0.79166666666666663</v>
      </c>
      <c r="G290" s="62">
        <v>1.7361111111111112E-4</v>
      </c>
      <c r="H290" s="63" t="s">
        <v>114</v>
      </c>
      <c r="I290" s="64">
        <v>0.73630787037037038</v>
      </c>
      <c r="J290" s="52" t="s">
        <v>110</v>
      </c>
      <c r="K290" s="52" t="s">
        <v>117</v>
      </c>
      <c r="L290" s="67">
        <v>1</v>
      </c>
      <c r="M290" s="67">
        <v>69833</v>
      </c>
      <c r="N290" s="52" t="s">
        <v>54</v>
      </c>
      <c r="O290" s="67"/>
      <c r="P290" s="70">
        <v>0</v>
      </c>
      <c r="Q290" s="67"/>
      <c r="R290" s="70">
        <v>0</v>
      </c>
      <c r="S290" s="75">
        <v>46069</v>
      </c>
      <c r="T290" s="70">
        <v>0</v>
      </c>
      <c r="U290" s="77">
        <v>4</v>
      </c>
      <c r="V290" s="70">
        <v>0</v>
      </c>
      <c r="W290" s="52" t="s">
        <v>34</v>
      </c>
      <c r="X290" s="52" t="s">
        <v>49</v>
      </c>
      <c r="Y290" s="52" t="s">
        <v>86</v>
      </c>
      <c r="Z290" s="52" t="s">
        <v>43</v>
      </c>
      <c r="AA290" s="52" t="s">
        <v>50</v>
      </c>
      <c r="AB290" s="52" t="s">
        <v>113</v>
      </c>
      <c r="AC290" s="52" t="s">
        <v>38</v>
      </c>
      <c r="AD290" s="79" t="s">
        <v>257</v>
      </c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</row>
    <row r="291" spans="1:49" ht="31.5" x14ac:dyDescent="0.2">
      <c r="A291" s="52" t="s">
        <v>111</v>
      </c>
      <c r="B291" s="55">
        <v>46070</v>
      </c>
      <c r="C291" s="55">
        <v>46070</v>
      </c>
      <c r="D291" s="52" t="s">
        <v>145</v>
      </c>
      <c r="E291" s="59">
        <v>0.45833333333333331</v>
      </c>
      <c r="F291" s="59">
        <v>0.54166666666666663</v>
      </c>
      <c r="G291" s="62">
        <v>1.7361111111111112E-4</v>
      </c>
      <c r="H291" s="63" t="s">
        <v>152</v>
      </c>
      <c r="I291" s="64">
        <v>0.46815972222222224</v>
      </c>
      <c r="J291" s="52" t="s">
        <v>84</v>
      </c>
      <c r="K291" s="52" t="s">
        <v>150</v>
      </c>
      <c r="L291" s="67">
        <v>1</v>
      </c>
      <c r="M291" s="67">
        <v>69836</v>
      </c>
      <c r="N291" s="52" t="s">
        <v>54</v>
      </c>
      <c r="O291" s="67"/>
      <c r="P291" s="70">
        <v>21.75</v>
      </c>
      <c r="Q291" s="67"/>
      <c r="R291" s="70">
        <v>21.75</v>
      </c>
      <c r="S291" s="75">
        <v>46070</v>
      </c>
      <c r="T291" s="70">
        <v>0</v>
      </c>
      <c r="U291" s="77">
        <v>4</v>
      </c>
      <c r="V291" s="70">
        <v>21.75</v>
      </c>
      <c r="W291" s="52" t="s">
        <v>34</v>
      </c>
      <c r="X291" s="52" t="s">
        <v>49</v>
      </c>
      <c r="Y291" s="52" t="s">
        <v>86</v>
      </c>
      <c r="Z291" s="52" t="s">
        <v>43</v>
      </c>
      <c r="AA291" s="52" t="s">
        <v>50</v>
      </c>
      <c r="AB291" s="52" t="s">
        <v>113</v>
      </c>
      <c r="AC291" s="52" t="s">
        <v>38</v>
      </c>
      <c r="AD291" s="79" t="s">
        <v>257</v>
      </c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</row>
    <row r="292" spans="1:49" ht="31.5" x14ac:dyDescent="0.2">
      <c r="A292" s="52" t="s">
        <v>111</v>
      </c>
      <c r="B292" s="55">
        <v>46070</v>
      </c>
      <c r="C292" s="55">
        <v>46070</v>
      </c>
      <c r="D292" s="52" t="s">
        <v>145</v>
      </c>
      <c r="E292" s="59">
        <v>0.45833333333333331</v>
      </c>
      <c r="F292" s="59">
        <v>0.54166666666666663</v>
      </c>
      <c r="G292" s="62">
        <v>1.7361111111111112E-4</v>
      </c>
      <c r="H292" s="63" t="s">
        <v>153</v>
      </c>
      <c r="I292" s="64">
        <v>0.46937499999999999</v>
      </c>
      <c r="J292" s="52" t="s">
        <v>84</v>
      </c>
      <c r="K292" s="52" t="s">
        <v>150</v>
      </c>
      <c r="L292" s="67">
        <v>1</v>
      </c>
      <c r="M292" s="67">
        <v>69836</v>
      </c>
      <c r="N292" s="52" t="s">
        <v>54</v>
      </c>
      <c r="O292" s="67"/>
      <c r="P292" s="70">
        <v>0</v>
      </c>
      <c r="Q292" s="67"/>
      <c r="R292" s="70">
        <v>0</v>
      </c>
      <c r="S292" s="75">
        <v>46070</v>
      </c>
      <c r="T292" s="70">
        <v>0</v>
      </c>
      <c r="U292" s="77">
        <v>4</v>
      </c>
      <c r="V292" s="70">
        <v>0</v>
      </c>
      <c r="W292" s="52" t="s">
        <v>34</v>
      </c>
      <c r="X292" s="52" t="s">
        <v>49</v>
      </c>
      <c r="Y292" s="52" t="s">
        <v>86</v>
      </c>
      <c r="Z292" s="52" t="s">
        <v>43</v>
      </c>
      <c r="AA292" s="52" t="s">
        <v>50</v>
      </c>
      <c r="AB292" s="52" t="s">
        <v>113</v>
      </c>
      <c r="AC292" s="52" t="s">
        <v>38</v>
      </c>
      <c r="AD292" s="79" t="s">
        <v>257</v>
      </c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</row>
    <row r="293" spans="1:49" ht="31.5" x14ac:dyDescent="0.2">
      <c r="A293" s="52" t="s">
        <v>111</v>
      </c>
      <c r="B293" s="55">
        <v>46070</v>
      </c>
      <c r="C293" s="55">
        <v>46070</v>
      </c>
      <c r="D293" s="52" t="s">
        <v>145</v>
      </c>
      <c r="E293" s="59">
        <v>0.66666666666666663</v>
      </c>
      <c r="F293" s="59">
        <v>0.79166666666666663</v>
      </c>
      <c r="G293" s="62">
        <v>1.7361111111111112E-4</v>
      </c>
      <c r="H293" s="63" t="s">
        <v>112</v>
      </c>
      <c r="I293" s="64">
        <v>0.75660879629629629</v>
      </c>
      <c r="J293" s="52" t="s">
        <v>110</v>
      </c>
      <c r="K293" s="52" t="s">
        <v>174</v>
      </c>
      <c r="L293" s="67">
        <v>1</v>
      </c>
      <c r="M293" s="67">
        <v>69833</v>
      </c>
      <c r="N293" s="52" t="s">
        <v>54</v>
      </c>
      <c r="O293" s="67"/>
      <c r="P293" s="70">
        <v>28</v>
      </c>
      <c r="Q293" s="67"/>
      <c r="R293" s="70">
        <v>28</v>
      </c>
      <c r="S293" s="75">
        <v>46070</v>
      </c>
      <c r="T293" s="70">
        <v>0</v>
      </c>
      <c r="U293" s="77">
        <v>4</v>
      </c>
      <c r="V293" s="70">
        <v>28</v>
      </c>
      <c r="W293" s="52" t="s">
        <v>34</v>
      </c>
      <c r="X293" s="52" t="s">
        <v>49</v>
      </c>
      <c r="Y293" s="52" t="s">
        <v>86</v>
      </c>
      <c r="Z293" s="52" t="s">
        <v>43</v>
      </c>
      <c r="AA293" s="52" t="s">
        <v>50</v>
      </c>
      <c r="AB293" s="52" t="s">
        <v>113</v>
      </c>
      <c r="AC293" s="52" t="s">
        <v>38</v>
      </c>
      <c r="AD293" s="79" t="s">
        <v>257</v>
      </c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</row>
    <row r="294" spans="1:49" ht="31.5" x14ac:dyDescent="0.2">
      <c r="A294" s="52" t="s">
        <v>111</v>
      </c>
      <c r="B294" s="55">
        <v>46070</v>
      </c>
      <c r="C294" s="55">
        <v>46070</v>
      </c>
      <c r="D294" s="52" t="s">
        <v>145</v>
      </c>
      <c r="E294" s="59">
        <v>0.66666666666666663</v>
      </c>
      <c r="F294" s="59">
        <v>0.79166666666666663</v>
      </c>
      <c r="G294" s="62">
        <v>1.7361111111111112E-4</v>
      </c>
      <c r="H294" s="63" t="s">
        <v>114</v>
      </c>
      <c r="I294" s="64">
        <v>0.75921296296296292</v>
      </c>
      <c r="J294" s="52" t="s">
        <v>110</v>
      </c>
      <c r="K294" s="52" t="s">
        <v>174</v>
      </c>
      <c r="L294" s="67">
        <v>1</v>
      </c>
      <c r="M294" s="67">
        <v>69833</v>
      </c>
      <c r="N294" s="52" t="s">
        <v>54</v>
      </c>
      <c r="O294" s="67"/>
      <c r="P294" s="70">
        <v>0</v>
      </c>
      <c r="Q294" s="67"/>
      <c r="R294" s="70">
        <v>0</v>
      </c>
      <c r="S294" s="75">
        <v>46070</v>
      </c>
      <c r="T294" s="70">
        <v>0</v>
      </c>
      <c r="U294" s="77">
        <v>4</v>
      </c>
      <c r="V294" s="70">
        <v>0</v>
      </c>
      <c r="W294" s="52" t="s">
        <v>34</v>
      </c>
      <c r="X294" s="52" t="s">
        <v>49</v>
      </c>
      <c r="Y294" s="52" t="s">
        <v>86</v>
      </c>
      <c r="Z294" s="52" t="s">
        <v>43</v>
      </c>
      <c r="AA294" s="52" t="s">
        <v>50</v>
      </c>
      <c r="AB294" s="52" t="s">
        <v>113</v>
      </c>
      <c r="AC294" s="52" t="s">
        <v>38</v>
      </c>
      <c r="AD294" s="79" t="s">
        <v>257</v>
      </c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</row>
    <row r="295" spans="1:49" ht="31.5" x14ac:dyDescent="0.25">
      <c r="A295" s="52" t="s">
        <v>111</v>
      </c>
      <c r="B295" s="55">
        <v>46071</v>
      </c>
      <c r="C295" s="55">
        <v>46071</v>
      </c>
      <c r="D295" s="52" t="s">
        <v>177</v>
      </c>
      <c r="E295" s="59">
        <v>0.45833333333333331</v>
      </c>
      <c r="F295" s="59">
        <v>0.54166666666666663</v>
      </c>
      <c r="G295" s="62">
        <v>1.7361111111111112E-4</v>
      </c>
      <c r="H295" s="63" t="s">
        <v>152</v>
      </c>
      <c r="I295" s="64">
        <v>0.54079861111111116</v>
      </c>
      <c r="J295" s="52" t="s">
        <v>84</v>
      </c>
      <c r="K295" s="52" t="s">
        <v>140</v>
      </c>
      <c r="L295" s="67">
        <v>1</v>
      </c>
      <c r="M295" s="67">
        <v>69836</v>
      </c>
      <c r="N295" s="52" t="s">
        <v>54</v>
      </c>
      <c r="O295" s="67"/>
      <c r="P295" s="70">
        <v>21.75</v>
      </c>
      <c r="Q295" s="67"/>
      <c r="R295" s="70">
        <v>21.75</v>
      </c>
      <c r="S295" s="75">
        <v>46071</v>
      </c>
      <c r="T295" s="70">
        <v>0</v>
      </c>
      <c r="U295" s="77">
        <v>4</v>
      </c>
      <c r="V295" s="70">
        <v>21.75</v>
      </c>
      <c r="W295" s="52" t="s">
        <v>34</v>
      </c>
      <c r="X295" s="52" t="s">
        <v>49</v>
      </c>
      <c r="Y295" s="52" t="s">
        <v>86</v>
      </c>
      <c r="Z295" s="52" t="s">
        <v>43</v>
      </c>
      <c r="AA295" s="52" t="s">
        <v>50</v>
      </c>
      <c r="AB295" s="52" t="s">
        <v>113</v>
      </c>
      <c r="AC295" s="52" t="s">
        <v>38</v>
      </c>
      <c r="AD295" s="79" t="s">
        <v>257</v>
      </c>
      <c r="AE295" s="80"/>
      <c r="AF295" s="80"/>
      <c r="AG295" s="80"/>
      <c r="AH295" s="80"/>
      <c r="AI295" s="80"/>
      <c r="AJ295" s="80"/>
      <c r="AK295" s="80"/>
      <c r="AL295" s="80"/>
      <c r="AM295" s="80"/>
      <c r="AN295" s="80"/>
      <c r="AO295" s="80"/>
      <c r="AP295" s="80"/>
      <c r="AQ295" s="80"/>
      <c r="AR295" s="80"/>
      <c r="AS295" s="80"/>
      <c r="AT295" s="80"/>
      <c r="AU295" s="80"/>
      <c r="AV295" s="80"/>
      <c r="AW295" s="80"/>
    </row>
    <row r="296" spans="1:49" ht="31.5" x14ac:dyDescent="0.25">
      <c r="A296" s="52" t="s">
        <v>111</v>
      </c>
      <c r="B296" s="55">
        <v>46071</v>
      </c>
      <c r="C296" s="55">
        <v>46071</v>
      </c>
      <c r="D296" s="52" t="s">
        <v>177</v>
      </c>
      <c r="E296" s="59">
        <v>0.45833333333333331</v>
      </c>
      <c r="F296" s="59">
        <v>0.54166666666666663</v>
      </c>
      <c r="G296" s="62">
        <v>1.7361111111111112E-4</v>
      </c>
      <c r="H296" s="63" t="s">
        <v>153</v>
      </c>
      <c r="I296" s="64">
        <v>0.54131944444444446</v>
      </c>
      <c r="J296" s="52" t="s">
        <v>84</v>
      </c>
      <c r="K296" s="52" t="s">
        <v>140</v>
      </c>
      <c r="L296" s="67">
        <v>1</v>
      </c>
      <c r="M296" s="67">
        <v>69836</v>
      </c>
      <c r="N296" s="52" t="s">
        <v>54</v>
      </c>
      <c r="O296" s="67"/>
      <c r="P296" s="70">
        <v>0</v>
      </c>
      <c r="Q296" s="67"/>
      <c r="R296" s="70">
        <v>0</v>
      </c>
      <c r="S296" s="75">
        <v>46071</v>
      </c>
      <c r="T296" s="70">
        <v>0</v>
      </c>
      <c r="U296" s="77">
        <v>4</v>
      </c>
      <c r="V296" s="70">
        <v>0</v>
      </c>
      <c r="W296" s="52" t="s">
        <v>34</v>
      </c>
      <c r="X296" s="52" t="s">
        <v>49</v>
      </c>
      <c r="Y296" s="52" t="s">
        <v>86</v>
      </c>
      <c r="Z296" s="52" t="s">
        <v>43</v>
      </c>
      <c r="AA296" s="52" t="s">
        <v>50</v>
      </c>
      <c r="AB296" s="52" t="s">
        <v>113</v>
      </c>
      <c r="AC296" s="52" t="s">
        <v>38</v>
      </c>
      <c r="AD296" s="79" t="s">
        <v>257</v>
      </c>
      <c r="AE296" s="80"/>
      <c r="AF296" s="80"/>
      <c r="AG296" s="80"/>
      <c r="AH296" s="80"/>
      <c r="AI296" s="80"/>
      <c r="AJ296" s="80"/>
      <c r="AK296" s="80"/>
      <c r="AL296" s="80"/>
      <c r="AM296" s="80"/>
      <c r="AN296" s="80"/>
      <c r="AO296" s="80"/>
      <c r="AP296" s="80"/>
      <c r="AQ296" s="80"/>
      <c r="AR296" s="80"/>
      <c r="AS296" s="80"/>
      <c r="AT296" s="80"/>
      <c r="AU296" s="80"/>
      <c r="AV296" s="80"/>
      <c r="AW296" s="80"/>
    </row>
    <row r="297" spans="1:49" ht="31.5" x14ac:dyDescent="0.25">
      <c r="A297" s="52" t="s">
        <v>111</v>
      </c>
      <c r="B297" s="55">
        <v>46073</v>
      </c>
      <c r="C297" s="55">
        <v>46073</v>
      </c>
      <c r="D297" s="52" t="s">
        <v>196</v>
      </c>
      <c r="E297" s="59">
        <v>0.54166666666666663</v>
      </c>
      <c r="F297" s="59">
        <v>0.66666666666666663</v>
      </c>
      <c r="G297" s="62">
        <v>1.7361111111111112E-4</v>
      </c>
      <c r="H297" s="63" t="s">
        <v>208</v>
      </c>
      <c r="I297" s="64">
        <v>0.55510416666666662</v>
      </c>
      <c r="J297" s="52" t="s">
        <v>97</v>
      </c>
      <c r="K297" s="52" t="s">
        <v>172</v>
      </c>
      <c r="L297" s="67">
        <v>1</v>
      </c>
      <c r="M297" s="67">
        <v>69835</v>
      </c>
      <c r="N297" s="52" t="s">
        <v>54</v>
      </c>
      <c r="O297" s="67"/>
      <c r="P297" s="70">
        <v>22</v>
      </c>
      <c r="Q297" s="67"/>
      <c r="R297" s="70">
        <v>22</v>
      </c>
      <c r="S297" s="75">
        <v>46073</v>
      </c>
      <c r="T297" s="70">
        <v>0</v>
      </c>
      <c r="U297" s="77">
        <v>4</v>
      </c>
      <c r="V297" s="70">
        <v>22</v>
      </c>
      <c r="W297" s="52" t="s">
        <v>34</v>
      </c>
      <c r="X297" s="52" t="s">
        <v>49</v>
      </c>
      <c r="Y297" s="52" t="s">
        <v>86</v>
      </c>
      <c r="Z297" s="52" t="s">
        <v>43</v>
      </c>
      <c r="AA297" s="52" t="s">
        <v>50</v>
      </c>
      <c r="AB297" s="52" t="s">
        <v>113</v>
      </c>
      <c r="AC297" s="52" t="s">
        <v>38</v>
      </c>
      <c r="AD297" s="79" t="s">
        <v>257</v>
      </c>
      <c r="AE297" s="80"/>
      <c r="AF297" s="80"/>
      <c r="AG297" s="80"/>
      <c r="AH297" s="80"/>
      <c r="AI297" s="80"/>
      <c r="AJ297" s="80"/>
      <c r="AK297" s="80"/>
      <c r="AL297" s="80"/>
      <c r="AM297" s="80"/>
      <c r="AN297" s="80"/>
      <c r="AO297" s="80"/>
      <c r="AP297" s="80"/>
      <c r="AQ297" s="80"/>
      <c r="AR297" s="80"/>
      <c r="AS297" s="80"/>
      <c r="AT297" s="80"/>
      <c r="AU297" s="80"/>
      <c r="AV297" s="80"/>
      <c r="AW297" s="80"/>
    </row>
    <row r="298" spans="1:49" ht="31.5" x14ac:dyDescent="0.25">
      <c r="A298" s="52" t="s">
        <v>111</v>
      </c>
      <c r="B298" s="55">
        <v>46073</v>
      </c>
      <c r="C298" s="55">
        <v>46073</v>
      </c>
      <c r="D298" s="52" t="s">
        <v>196</v>
      </c>
      <c r="E298" s="59">
        <v>0.54166666666666663</v>
      </c>
      <c r="F298" s="59">
        <v>0.66666666666666663</v>
      </c>
      <c r="G298" s="62">
        <v>1.7361111111111112E-4</v>
      </c>
      <c r="H298" s="63" t="s">
        <v>209</v>
      </c>
      <c r="I298" s="64">
        <v>0.5564930555555555</v>
      </c>
      <c r="J298" s="52" t="s">
        <v>97</v>
      </c>
      <c r="K298" s="52" t="s">
        <v>172</v>
      </c>
      <c r="L298" s="67">
        <v>1</v>
      </c>
      <c r="M298" s="67">
        <v>69835</v>
      </c>
      <c r="N298" s="52" t="s">
        <v>54</v>
      </c>
      <c r="O298" s="67"/>
      <c r="P298" s="70">
        <v>0</v>
      </c>
      <c r="Q298" s="67"/>
      <c r="R298" s="70">
        <v>0</v>
      </c>
      <c r="S298" s="75">
        <v>46073</v>
      </c>
      <c r="T298" s="70">
        <v>0</v>
      </c>
      <c r="U298" s="77">
        <v>4</v>
      </c>
      <c r="V298" s="70">
        <v>0</v>
      </c>
      <c r="W298" s="52" t="s">
        <v>34</v>
      </c>
      <c r="X298" s="52" t="s">
        <v>49</v>
      </c>
      <c r="Y298" s="52" t="s">
        <v>86</v>
      </c>
      <c r="Z298" s="52" t="s">
        <v>43</v>
      </c>
      <c r="AA298" s="52" t="s">
        <v>50</v>
      </c>
      <c r="AB298" s="52" t="s">
        <v>113</v>
      </c>
      <c r="AC298" s="52" t="s">
        <v>38</v>
      </c>
      <c r="AD298" s="79" t="s">
        <v>257</v>
      </c>
      <c r="AE298" s="80"/>
      <c r="AF298" s="80"/>
      <c r="AG298" s="80"/>
      <c r="AH298" s="80"/>
      <c r="AI298" s="80"/>
      <c r="AJ298" s="80"/>
      <c r="AK298" s="80"/>
      <c r="AL298" s="80"/>
      <c r="AM298" s="80"/>
      <c r="AN298" s="80"/>
      <c r="AO298" s="80"/>
      <c r="AP298" s="80"/>
      <c r="AQ298" s="80"/>
      <c r="AR298" s="80"/>
      <c r="AS298" s="80"/>
      <c r="AT298" s="80"/>
      <c r="AU298" s="80"/>
      <c r="AV298" s="80"/>
      <c r="AW298" s="80"/>
    </row>
    <row r="299" spans="1:49" ht="31.5" x14ac:dyDescent="0.25">
      <c r="A299" s="52" t="s">
        <v>111</v>
      </c>
      <c r="B299" s="55">
        <v>46074</v>
      </c>
      <c r="C299" s="55">
        <v>46074</v>
      </c>
      <c r="D299" s="52" t="s">
        <v>214</v>
      </c>
      <c r="E299" s="59">
        <v>0.45833333333333331</v>
      </c>
      <c r="F299" s="59">
        <v>0.54166666666666663</v>
      </c>
      <c r="G299" s="62">
        <v>1.7361111111111112E-4</v>
      </c>
      <c r="H299" s="63" t="s">
        <v>152</v>
      </c>
      <c r="I299" s="64">
        <v>0.46439814814814817</v>
      </c>
      <c r="J299" s="52" t="s">
        <v>84</v>
      </c>
      <c r="K299" s="52" t="s">
        <v>150</v>
      </c>
      <c r="L299" s="67">
        <v>1</v>
      </c>
      <c r="M299" s="67">
        <v>69836</v>
      </c>
      <c r="N299" s="52" t="s">
        <v>54</v>
      </c>
      <c r="O299" s="67"/>
      <c r="P299" s="70">
        <v>21.75</v>
      </c>
      <c r="Q299" s="67"/>
      <c r="R299" s="70">
        <v>21.75</v>
      </c>
      <c r="S299" s="75">
        <v>46074</v>
      </c>
      <c r="T299" s="70">
        <v>0</v>
      </c>
      <c r="U299" s="77">
        <v>4</v>
      </c>
      <c r="V299" s="70">
        <v>21.75</v>
      </c>
      <c r="W299" s="52" t="s">
        <v>34</v>
      </c>
      <c r="X299" s="52" t="s">
        <v>49</v>
      </c>
      <c r="Y299" s="52" t="s">
        <v>86</v>
      </c>
      <c r="Z299" s="52" t="s">
        <v>43</v>
      </c>
      <c r="AA299" s="52" t="s">
        <v>50</v>
      </c>
      <c r="AB299" s="52" t="s">
        <v>113</v>
      </c>
      <c r="AC299" s="52" t="s">
        <v>38</v>
      </c>
      <c r="AD299" s="79" t="s">
        <v>257</v>
      </c>
      <c r="AE299" s="82"/>
      <c r="AF299" s="82"/>
      <c r="AG299" s="82"/>
      <c r="AH299" s="82"/>
      <c r="AI299" s="87"/>
      <c r="AJ299" s="87"/>
      <c r="AK299" s="87"/>
      <c r="AL299" s="87"/>
      <c r="AM299" s="87"/>
      <c r="AN299" s="87"/>
      <c r="AO299" s="87"/>
      <c r="AP299" s="87"/>
      <c r="AQ299" s="87"/>
      <c r="AR299" s="87"/>
      <c r="AS299" s="87"/>
      <c r="AT299" s="87"/>
      <c r="AU299" s="87"/>
      <c r="AV299" s="87"/>
      <c r="AW299" s="87"/>
    </row>
    <row r="300" spans="1:49" ht="31.5" x14ac:dyDescent="0.2">
      <c r="A300" s="52" t="s">
        <v>111</v>
      </c>
      <c r="B300" s="55">
        <v>46074</v>
      </c>
      <c r="C300" s="55">
        <v>46074</v>
      </c>
      <c r="D300" s="52" t="s">
        <v>214</v>
      </c>
      <c r="E300" s="59">
        <v>0.45833333333333331</v>
      </c>
      <c r="F300" s="59">
        <v>0.54166666666666663</v>
      </c>
      <c r="G300" s="62">
        <v>1.7361111111111112E-4</v>
      </c>
      <c r="H300" s="63" t="s">
        <v>153</v>
      </c>
      <c r="I300" s="64">
        <v>0.46561342592592592</v>
      </c>
      <c r="J300" s="52" t="s">
        <v>84</v>
      </c>
      <c r="K300" s="52" t="s">
        <v>150</v>
      </c>
      <c r="L300" s="67">
        <v>1</v>
      </c>
      <c r="M300" s="67">
        <v>69836</v>
      </c>
      <c r="N300" s="52" t="s">
        <v>54</v>
      </c>
      <c r="O300" s="67"/>
      <c r="P300" s="70">
        <v>0</v>
      </c>
      <c r="Q300" s="67"/>
      <c r="R300" s="70">
        <v>0</v>
      </c>
      <c r="S300" s="75">
        <v>46074</v>
      </c>
      <c r="T300" s="70">
        <v>0</v>
      </c>
      <c r="U300" s="77">
        <v>4</v>
      </c>
      <c r="V300" s="70">
        <v>0</v>
      </c>
      <c r="W300" s="52" t="s">
        <v>34</v>
      </c>
      <c r="X300" s="52" t="s">
        <v>49</v>
      </c>
      <c r="Y300" s="52" t="s">
        <v>86</v>
      </c>
      <c r="Z300" s="52" t="s">
        <v>43</v>
      </c>
      <c r="AA300" s="52" t="s">
        <v>50</v>
      </c>
      <c r="AB300" s="52" t="s">
        <v>113</v>
      </c>
      <c r="AC300" s="52" t="s">
        <v>38</v>
      </c>
      <c r="AD300" s="79" t="s">
        <v>257</v>
      </c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</row>
    <row r="301" spans="1:49" ht="31.5" x14ac:dyDescent="0.25">
      <c r="A301" s="52" t="s">
        <v>111</v>
      </c>
      <c r="B301" s="55">
        <v>46074</v>
      </c>
      <c r="C301" s="55">
        <v>46074</v>
      </c>
      <c r="D301" s="52" t="s">
        <v>214</v>
      </c>
      <c r="E301" s="59">
        <v>0.75</v>
      </c>
      <c r="F301" s="59">
        <v>0.83333333333333337</v>
      </c>
      <c r="G301" s="62">
        <v>1.7361111111111112E-4</v>
      </c>
      <c r="H301" s="63" t="s">
        <v>239</v>
      </c>
      <c r="I301" s="64">
        <v>0.80901620370370375</v>
      </c>
      <c r="J301" s="52" t="s">
        <v>232</v>
      </c>
      <c r="K301" s="52" t="s">
        <v>241</v>
      </c>
      <c r="L301" s="67">
        <v>1</v>
      </c>
      <c r="M301" s="67">
        <v>69834</v>
      </c>
      <c r="N301" s="52" t="s">
        <v>54</v>
      </c>
      <c r="O301" s="67"/>
      <c r="P301" s="70">
        <v>34</v>
      </c>
      <c r="Q301" s="67"/>
      <c r="R301" s="70">
        <v>34</v>
      </c>
      <c r="S301" s="75">
        <v>46074</v>
      </c>
      <c r="T301" s="70">
        <v>0</v>
      </c>
      <c r="U301" s="77">
        <v>4</v>
      </c>
      <c r="V301" s="70">
        <v>34</v>
      </c>
      <c r="W301" s="52" t="s">
        <v>34</v>
      </c>
      <c r="X301" s="52" t="s">
        <v>49</v>
      </c>
      <c r="Y301" s="52" t="s">
        <v>86</v>
      </c>
      <c r="Z301" s="52" t="s">
        <v>43</v>
      </c>
      <c r="AA301" s="52" t="s">
        <v>50</v>
      </c>
      <c r="AB301" s="52" t="s">
        <v>113</v>
      </c>
      <c r="AC301" s="52" t="s">
        <v>38</v>
      </c>
      <c r="AD301" s="79" t="s">
        <v>257</v>
      </c>
      <c r="AE301" s="80"/>
      <c r="AF301" s="80"/>
      <c r="AG301" s="80"/>
      <c r="AH301" s="80"/>
      <c r="AI301" s="86"/>
      <c r="AJ301" s="86"/>
      <c r="AK301" s="86"/>
      <c r="AL301" s="86"/>
      <c r="AM301" s="86"/>
      <c r="AN301" s="86"/>
      <c r="AO301" s="86"/>
      <c r="AP301" s="86"/>
      <c r="AQ301" s="86"/>
      <c r="AR301" s="86"/>
      <c r="AS301" s="86"/>
      <c r="AT301" s="86"/>
      <c r="AU301" s="86"/>
      <c r="AV301" s="86"/>
      <c r="AW301" s="86"/>
    </row>
    <row r="302" spans="1:49" ht="31.5" x14ac:dyDescent="0.25">
      <c r="A302" s="52" t="s">
        <v>111</v>
      </c>
      <c r="B302" s="55">
        <v>46074</v>
      </c>
      <c r="C302" s="55">
        <v>46074</v>
      </c>
      <c r="D302" s="52" t="s">
        <v>214</v>
      </c>
      <c r="E302" s="59">
        <v>0.75</v>
      </c>
      <c r="F302" s="59">
        <v>0.83333333333333337</v>
      </c>
      <c r="G302" s="62">
        <v>1.7361111111111112E-4</v>
      </c>
      <c r="H302" s="63" t="s">
        <v>240</v>
      </c>
      <c r="I302" s="64">
        <v>0.8102314814814815</v>
      </c>
      <c r="J302" s="52" t="s">
        <v>232</v>
      </c>
      <c r="K302" s="52" t="s">
        <v>241</v>
      </c>
      <c r="L302" s="67">
        <v>1</v>
      </c>
      <c r="M302" s="67">
        <v>69834</v>
      </c>
      <c r="N302" s="52" t="s">
        <v>54</v>
      </c>
      <c r="O302" s="67"/>
      <c r="P302" s="70">
        <v>0</v>
      </c>
      <c r="Q302" s="67"/>
      <c r="R302" s="70">
        <v>0</v>
      </c>
      <c r="S302" s="75">
        <v>46074</v>
      </c>
      <c r="T302" s="70">
        <v>0</v>
      </c>
      <c r="U302" s="77">
        <v>4</v>
      </c>
      <c r="V302" s="70">
        <v>0</v>
      </c>
      <c r="W302" s="52" t="s">
        <v>34</v>
      </c>
      <c r="X302" s="52" t="s">
        <v>49</v>
      </c>
      <c r="Y302" s="52" t="s">
        <v>86</v>
      </c>
      <c r="Z302" s="52" t="s">
        <v>43</v>
      </c>
      <c r="AA302" s="52" t="s">
        <v>50</v>
      </c>
      <c r="AB302" s="52" t="s">
        <v>113</v>
      </c>
      <c r="AC302" s="52" t="s">
        <v>38</v>
      </c>
      <c r="AD302" s="79" t="s">
        <v>257</v>
      </c>
      <c r="AE302" s="80"/>
      <c r="AF302" s="80"/>
      <c r="AG302" s="80"/>
      <c r="AH302" s="80"/>
      <c r="AI302" s="80"/>
      <c r="AJ302" s="80"/>
      <c r="AK302" s="80"/>
      <c r="AL302" s="80"/>
      <c r="AM302" s="80"/>
      <c r="AN302" s="80"/>
      <c r="AO302" s="80"/>
      <c r="AP302" s="80"/>
      <c r="AQ302" s="80"/>
      <c r="AR302" s="80"/>
      <c r="AS302" s="80"/>
      <c r="AT302" s="80"/>
      <c r="AU302" s="80"/>
      <c r="AV302" s="80"/>
      <c r="AW302" s="80"/>
    </row>
    <row r="303" spans="1:49" ht="31.5" x14ac:dyDescent="0.25">
      <c r="A303" s="52" t="s">
        <v>111</v>
      </c>
      <c r="B303" s="55">
        <v>46075</v>
      </c>
      <c r="C303" s="55">
        <v>46075</v>
      </c>
      <c r="D303" s="52" t="s">
        <v>243</v>
      </c>
      <c r="E303" s="59">
        <v>0.66666666666666663</v>
      </c>
      <c r="F303" s="59">
        <v>0.79166666666666663</v>
      </c>
      <c r="G303" s="62">
        <v>1.7361111111111112E-4</v>
      </c>
      <c r="H303" s="63" t="s">
        <v>112</v>
      </c>
      <c r="I303" s="64">
        <v>0.72159722222222222</v>
      </c>
      <c r="J303" s="52" t="s">
        <v>110</v>
      </c>
      <c r="K303" s="52" t="s">
        <v>255</v>
      </c>
      <c r="L303" s="67">
        <v>1</v>
      </c>
      <c r="M303" s="67">
        <v>69833</v>
      </c>
      <c r="N303" s="52" t="s">
        <v>54</v>
      </c>
      <c r="O303" s="67"/>
      <c r="P303" s="70">
        <v>28</v>
      </c>
      <c r="Q303" s="67"/>
      <c r="R303" s="70">
        <v>28</v>
      </c>
      <c r="S303" s="75">
        <v>46075</v>
      </c>
      <c r="T303" s="70">
        <v>0</v>
      </c>
      <c r="U303" s="77">
        <v>4</v>
      </c>
      <c r="V303" s="70">
        <v>28</v>
      </c>
      <c r="W303" s="52" t="s">
        <v>34</v>
      </c>
      <c r="X303" s="52" t="s">
        <v>49</v>
      </c>
      <c r="Y303" s="52" t="s">
        <v>86</v>
      </c>
      <c r="Z303" s="52" t="s">
        <v>43</v>
      </c>
      <c r="AA303" s="52" t="s">
        <v>50</v>
      </c>
      <c r="AB303" s="52" t="s">
        <v>113</v>
      </c>
      <c r="AC303" s="52" t="s">
        <v>38</v>
      </c>
      <c r="AD303" s="79" t="s">
        <v>257</v>
      </c>
      <c r="AE303" s="80"/>
      <c r="AF303" s="80"/>
      <c r="AG303" s="80"/>
      <c r="AH303" s="80"/>
      <c r="AI303" s="80"/>
      <c r="AJ303" s="80"/>
      <c r="AK303" s="80"/>
      <c r="AL303" s="80"/>
      <c r="AM303" s="80"/>
      <c r="AN303" s="80"/>
      <c r="AO303" s="80"/>
      <c r="AP303" s="80"/>
      <c r="AQ303" s="80"/>
      <c r="AR303" s="80"/>
      <c r="AS303" s="80"/>
      <c r="AT303" s="80"/>
      <c r="AU303" s="80"/>
      <c r="AV303" s="80"/>
      <c r="AW303" s="80"/>
    </row>
    <row r="304" spans="1:49" ht="31.5" x14ac:dyDescent="0.25">
      <c r="A304" s="52" t="s">
        <v>111</v>
      </c>
      <c r="B304" s="55">
        <v>46075</v>
      </c>
      <c r="C304" s="55">
        <v>46075</v>
      </c>
      <c r="D304" s="52" t="s">
        <v>243</v>
      </c>
      <c r="E304" s="59">
        <v>0.66666666666666663</v>
      </c>
      <c r="F304" s="59">
        <v>0.79166666666666663</v>
      </c>
      <c r="G304" s="62">
        <v>1.7361111111111112E-4</v>
      </c>
      <c r="H304" s="63" t="s">
        <v>114</v>
      </c>
      <c r="I304" s="64">
        <v>0.72350694444444441</v>
      </c>
      <c r="J304" s="52" t="s">
        <v>110</v>
      </c>
      <c r="K304" s="52" t="s">
        <v>255</v>
      </c>
      <c r="L304" s="67">
        <v>1</v>
      </c>
      <c r="M304" s="67">
        <v>69833</v>
      </c>
      <c r="N304" s="52" t="s">
        <v>54</v>
      </c>
      <c r="O304" s="67"/>
      <c r="P304" s="70">
        <v>0</v>
      </c>
      <c r="Q304" s="67"/>
      <c r="R304" s="70">
        <v>0</v>
      </c>
      <c r="S304" s="75">
        <v>46075</v>
      </c>
      <c r="T304" s="70">
        <v>0</v>
      </c>
      <c r="U304" s="77">
        <v>4</v>
      </c>
      <c r="V304" s="70">
        <v>0</v>
      </c>
      <c r="W304" s="52" t="s">
        <v>34</v>
      </c>
      <c r="X304" s="52" t="s">
        <v>49</v>
      </c>
      <c r="Y304" s="52" t="s">
        <v>86</v>
      </c>
      <c r="Z304" s="52" t="s">
        <v>43</v>
      </c>
      <c r="AA304" s="52" t="s">
        <v>50</v>
      </c>
      <c r="AB304" s="52" t="s">
        <v>113</v>
      </c>
      <c r="AC304" s="52" t="s">
        <v>38</v>
      </c>
      <c r="AD304" s="79" t="s">
        <v>257</v>
      </c>
      <c r="AE304" s="80"/>
      <c r="AF304" s="80"/>
      <c r="AG304" s="80"/>
      <c r="AH304" s="80"/>
      <c r="AI304" s="86"/>
      <c r="AJ304" s="86"/>
      <c r="AK304" s="86"/>
      <c r="AL304" s="86"/>
      <c r="AM304" s="86"/>
      <c r="AN304" s="86"/>
      <c r="AO304" s="86"/>
      <c r="AP304" s="86"/>
      <c r="AQ304" s="86"/>
      <c r="AR304" s="86"/>
      <c r="AS304" s="86"/>
      <c r="AT304" s="86"/>
      <c r="AU304" s="86"/>
      <c r="AV304" s="86"/>
      <c r="AW304" s="86"/>
    </row>
    <row r="305" spans="1:49" ht="31.5" x14ac:dyDescent="0.2">
      <c r="A305" s="52" t="s">
        <v>121</v>
      </c>
      <c r="B305" s="55">
        <v>46069</v>
      </c>
      <c r="C305" s="55">
        <v>46069</v>
      </c>
      <c r="D305" s="52" t="s">
        <v>30</v>
      </c>
      <c r="E305" s="59">
        <v>0.79166666666666663</v>
      </c>
      <c r="F305" s="59">
        <v>0.99930555555555556</v>
      </c>
      <c r="G305" s="62">
        <v>1.7361111111111109E-4</v>
      </c>
      <c r="H305" s="63" t="s">
        <v>127</v>
      </c>
      <c r="I305" s="64">
        <v>0.79804398148148148</v>
      </c>
      <c r="J305" s="52" t="s">
        <v>123</v>
      </c>
      <c r="K305" s="52" t="s">
        <v>119</v>
      </c>
      <c r="L305" s="67">
        <v>1</v>
      </c>
      <c r="M305" s="67">
        <v>69566</v>
      </c>
      <c r="N305" s="52" t="s">
        <v>54</v>
      </c>
      <c r="O305" s="67" t="s">
        <v>124</v>
      </c>
      <c r="P305" s="70">
        <v>0</v>
      </c>
      <c r="Q305" s="67"/>
      <c r="R305" s="70">
        <v>16.531831119544499</v>
      </c>
      <c r="S305" s="75">
        <v>46054</v>
      </c>
      <c r="T305" s="70">
        <v>0</v>
      </c>
      <c r="U305" s="77">
        <v>4</v>
      </c>
      <c r="V305" s="70">
        <v>0</v>
      </c>
      <c r="W305" s="52" t="s">
        <v>48</v>
      </c>
      <c r="X305" s="52" t="s">
        <v>49</v>
      </c>
      <c r="Y305" s="52" t="s">
        <v>36</v>
      </c>
      <c r="Z305" s="52" t="s">
        <v>9</v>
      </c>
      <c r="AA305" s="52" t="s">
        <v>50</v>
      </c>
      <c r="AB305" s="52" t="s">
        <v>125</v>
      </c>
      <c r="AC305" s="52" t="s">
        <v>38</v>
      </c>
      <c r="AD305" s="79" t="s">
        <v>257</v>
      </c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</row>
    <row r="306" spans="1:49" ht="31.5" x14ac:dyDescent="0.25">
      <c r="A306" s="52" t="s">
        <v>121</v>
      </c>
      <c r="B306" s="55">
        <v>46069</v>
      </c>
      <c r="C306" s="55">
        <v>46069</v>
      </c>
      <c r="D306" s="52" t="s">
        <v>30</v>
      </c>
      <c r="E306" s="59">
        <v>0.79166666666666663</v>
      </c>
      <c r="F306" s="59">
        <v>0.99930555555555556</v>
      </c>
      <c r="G306" s="62">
        <v>1.7361111111111109E-4</v>
      </c>
      <c r="H306" s="63" t="s">
        <v>128</v>
      </c>
      <c r="I306" s="64">
        <v>0.80012731481481481</v>
      </c>
      <c r="J306" s="52" t="s">
        <v>123</v>
      </c>
      <c r="K306" s="52" t="s">
        <v>119</v>
      </c>
      <c r="L306" s="67">
        <v>1</v>
      </c>
      <c r="M306" s="67">
        <v>69566</v>
      </c>
      <c r="N306" s="52" t="s">
        <v>54</v>
      </c>
      <c r="O306" s="67" t="s">
        <v>124</v>
      </c>
      <c r="P306" s="70">
        <v>0</v>
      </c>
      <c r="Q306" s="67"/>
      <c r="R306" s="70">
        <v>16.531831119544499</v>
      </c>
      <c r="S306" s="75">
        <v>46054</v>
      </c>
      <c r="T306" s="70">
        <v>0</v>
      </c>
      <c r="U306" s="77">
        <v>4</v>
      </c>
      <c r="V306" s="70">
        <v>0</v>
      </c>
      <c r="W306" s="52" t="s">
        <v>48</v>
      </c>
      <c r="X306" s="52" t="s">
        <v>49</v>
      </c>
      <c r="Y306" s="52" t="s">
        <v>36</v>
      </c>
      <c r="Z306" s="52" t="s">
        <v>9</v>
      </c>
      <c r="AA306" s="52" t="s">
        <v>50</v>
      </c>
      <c r="AB306" s="52" t="s">
        <v>125</v>
      </c>
      <c r="AC306" s="52" t="s">
        <v>38</v>
      </c>
      <c r="AD306" s="79" t="s">
        <v>257</v>
      </c>
      <c r="AE306" s="80"/>
      <c r="AF306" s="80"/>
      <c r="AG306" s="80"/>
      <c r="AH306" s="80"/>
      <c r="AI306" s="86"/>
      <c r="AJ306" s="86"/>
      <c r="AK306" s="86"/>
      <c r="AL306" s="86"/>
      <c r="AM306" s="86"/>
      <c r="AN306" s="86"/>
      <c r="AO306" s="86"/>
      <c r="AP306" s="86"/>
      <c r="AQ306" s="86"/>
      <c r="AR306" s="86"/>
      <c r="AS306" s="86"/>
      <c r="AT306" s="86"/>
      <c r="AU306" s="86"/>
      <c r="AV306" s="86"/>
      <c r="AW306" s="86"/>
    </row>
    <row r="307" spans="1:49" ht="31.5" x14ac:dyDescent="0.2">
      <c r="A307" s="52" t="s">
        <v>121</v>
      </c>
      <c r="B307" s="55">
        <v>46069</v>
      </c>
      <c r="C307" s="55">
        <v>46069</v>
      </c>
      <c r="D307" s="52" t="s">
        <v>30</v>
      </c>
      <c r="E307" s="59">
        <v>0.79166666666666663</v>
      </c>
      <c r="F307" s="59">
        <v>0.99930555555555556</v>
      </c>
      <c r="G307" s="62">
        <v>1.7361111111111109E-4</v>
      </c>
      <c r="H307" s="63" t="s">
        <v>122</v>
      </c>
      <c r="I307" s="64">
        <v>0.86686342592592591</v>
      </c>
      <c r="J307" s="52" t="s">
        <v>123</v>
      </c>
      <c r="K307" s="52" t="s">
        <v>143</v>
      </c>
      <c r="L307" s="67">
        <v>1</v>
      </c>
      <c r="M307" s="67">
        <v>69566</v>
      </c>
      <c r="N307" s="52" t="s">
        <v>54</v>
      </c>
      <c r="O307" s="67" t="s">
        <v>124</v>
      </c>
      <c r="P307" s="70">
        <v>0</v>
      </c>
      <c r="Q307" s="67"/>
      <c r="R307" s="70">
        <v>16.531831119544499</v>
      </c>
      <c r="S307" s="75">
        <v>46054</v>
      </c>
      <c r="T307" s="70">
        <v>0</v>
      </c>
      <c r="U307" s="77">
        <v>4</v>
      </c>
      <c r="V307" s="70">
        <v>0</v>
      </c>
      <c r="W307" s="52" t="s">
        <v>48</v>
      </c>
      <c r="X307" s="52" t="s">
        <v>49</v>
      </c>
      <c r="Y307" s="52" t="s">
        <v>36</v>
      </c>
      <c r="Z307" s="52" t="s">
        <v>9</v>
      </c>
      <c r="AA307" s="52" t="s">
        <v>50</v>
      </c>
      <c r="AB307" s="52" t="s">
        <v>125</v>
      </c>
      <c r="AC307" s="52" t="s">
        <v>38</v>
      </c>
      <c r="AD307" s="79" t="s">
        <v>257</v>
      </c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</row>
    <row r="308" spans="1:49" ht="31.5" x14ac:dyDescent="0.25">
      <c r="A308" s="52" t="s">
        <v>121</v>
      </c>
      <c r="B308" s="55">
        <v>46069</v>
      </c>
      <c r="C308" s="55">
        <v>46069</v>
      </c>
      <c r="D308" s="52" t="s">
        <v>30</v>
      </c>
      <c r="E308" s="59">
        <v>0.79166666666666663</v>
      </c>
      <c r="F308" s="59">
        <v>0.99930555555555556</v>
      </c>
      <c r="G308" s="62">
        <v>1.7361111111111109E-4</v>
      </c>
      <c r="H308" s="63" t="s">
        <v>126</v>
      </c>
      <c r="I308" s="64">
        <v>0.86790509259259263</v>
      </c>
      <c r="J308" s="52" t="s">
        <v>123</v>
      </c>
      <c r="K308" s="52" t="s">
        <v>143</v>
      </c>
      <c r="L308" s="67">
        <v>1</v>
      </c>
      <c r="M308" s="67">
        <v>69566</v>
      </c>
      <c r="N308" s="52" t="s">
        <v>54</v>
      </c>
      <c r="O308" s="67" t="s">
        <v>124</v>
      </c>
      <c r="P308" s="70">
        <v>0</v>
      </c>
      <c r="Q308" s="67"/>
      <c r="R308" s="70">
        <v>16.531831119544499</v>
      </c>
      <c r="S308" s="75">
        <v>46054</v>
      </c>
      <c r="T308" s="70">
        <v>0</v>
      </c>
      <c r="U308" s="77">
        <v>4</v>
      </c>
      <c r="V308" s="70">
        <v>0</v>
      </c>
      <c r="W308" s="52" t="s">
        <v>48</v>
      </c>
      <c r="X308" s="52" t="s">
        <v>49</v>
      </c>
      <c r="Y308" s="52" t="s">
        <v>36</v>
      </c>
      <c r="Z308" s="52" t="s">
        <v>9</v>
      </c>
      <c r="AA308" s="52" t="s">
        <v>50</v>
      </c>
      <c r="AB308" s="52" t="s">
        <v>125</v>
      </c>
      <c r="AC308" s="52" t="s">
        <v>38</v>
      </c>
      <c r="AD308" s="79" t="s">
        <v>257</v>
      </c>
      <c r="AE308" s="83"/>
      <c r="AF308" s="83"/>
      <c r="AG308" s="83"/>
      <c r="AH308" s="83"/>
      <c r="AI308" s="82"/>
      <c r="AJ308" s="82"/>
      <c r="AK308" s="82"/>
      <c r="AL308" s="82"/>
      <c r="AM308" s="82"/>
      <c r="AN308" s="82"/>
      <c r="AO308" s="82"/>
      <c r="AP308" s="82"/>
      <c r="AQ308" s="82"/>
      <c r="AR308" s="82"/>
      <c r="AS308" s="82"/>
      <c r="AT308" s="82"/>
      <c r="AU308" s="82"/>
      <c r="AV308" s="82"/>
      <c r="AW308" s="82"/>
    </row>
    <row r="309" spans="1:49" ht="31.5" x14ac:dyDescent="0.25">
      <c r="A309" s="52" t="s">
        <v>121</v>
      </c>
      <c r="B309" s="55">
        <v>46069</v>
      </c>
      <c r="C309" s="55">
        <v>46069</v>
      </c>
      <c r="D309" s="52" t="s">
        <v>30</v>
      </c>
      <c r="E309" s="59">
        <v>0.79166666666666663</v>
      </c>
      <c r="F309" s="59">
        <v>0.99930555555555556</v>
      </c>
      <c r="G309" s="62">
        <v>1.7361111111111109E-4</v>
      </c>
      <c r="H309" s="63" t="s">
        <v>122</v>
      </c>
      <c r="I309" s="64">
        <v>0.90082175925925922</v>
      </c>
      <c r="J309" s="52" t="s">
        <v>123</v>
      </c>
      <c r="K309" s="52" t="s">
        <v>137</v>
      </c>
      <c r="L309" s="67">
        <v>1</v>
      </c>
      <c r="M309" s="67">
        <v>69567</v>
      </c>
      <c r="N309" s="52" t="s">
        <v>46</v>
      </c>
      <c r="O309" s="67" t="s">
        <v>124</v>
      </c>
      <c r="P309" s="70">
        <v>0</v>
      </c>
      <c r="Q309" s="67"/>
      <c r="R309" s="70">
        <v>0</v>
      </c>
      <c r="S309" s="75">
        <v>46054</v>
      </c>
      <c r="T309" s="70">
        <v>0</v>
      </c>
      <c r="U309" s="77">
        <v>4</v>
      </c>
      <c r="V309" s="70">
        <v>0</v>
      </c>
      <c r="W309" s="52" t="s">
        <v>48</v>
      </c>
      <c r="X309" s="52" t="s">
        <v>49</v>
      </c>
      <c r="Y309" s="52" t="s">
        <v>36</v>
      </c>
      <c r="Z309" s="52" t="s">
        <v>9</v>
      </c>
      <c r="AA309" s="52" t="s">
        <v>50</v>
      </c>
      <c r="AB309" s="52" t="s">
        <v>125</v>
      </c>
      <c r="AC309" s="52" t="s">
        <v>38</v>
      </c>
      <c r="AD309" s="79" t="s">
        <v>257</v>
      </c>
      <c r="AE309" s="80"/>
      <c r="AF309" s="80"/>
      <c r="AG309" s="80"/>
      <c r="AH309" s="80"/>
      <c r="AI309" s="80"/>
      <c r="AJ309" s="80"/>
      <c r="AK309" s="80"/>
      <c r="AL309" s="80"/>
      <c r="AM309" s="80"/>
      <c r="AN309" s="80"/>
      <c r="AO309" s="80"/>
      <c r="AP309" s="80"/>
      <c r="AQ309" s="80"/>
      <c r="AR309" s="80"/>
      <c r="AS309" s="80"/>
      <c r="AT309" s="80"/>
      <c r="AU309" s="80"/>
      <c r="AV309" s="80"/>
      <c r="AW309" s="80"/>
    </row>
    <row r="310" spans="1:49" ht="31.5" x14ac:dyDescent="0.25">
      <c r="A310" s="52" t="s">
        <v>121</v>
      </c>
      <c r="B310" s="55">
        <v>46069</v>
      </c>
      <c r="C310" s="55">
        <v>46069</v>
      </c>
      <c r="D310" s="52" t="s">
        <v>30</v>
      </c>
      <c r="E310" s="59">
        <v>0.79166666666666663</v>
      </c>
      <c r="F310" s="59">
        <v>0.99930555555555556</v>
      </c>
      <c r="G310" s="62">
        <v>1.7361111111111109E-4</v>
      </c>
      <c r="H310" s="63" t="s">
        <v>126</v>
      </c>
      <c r="I310" s="64">
        <v>0.90186342592592594</v>
      </c>
      <c r="J310" s="52" t="s">
        <v>123</v>
      </c>
      <c r="K310" s="52" t="s">
        <v>137</v>
      </c>
      <c r="L310" s="67">
        <v>1</v>
      </c>
      <c r="M310" s="67">
        <v>69567</v>
      </c>
      <c r="N310" s="52" t="s">
        <v>46</v>
      </c>
      <c r="O310" s="67" t="s">
        <v>124</v>
      </c>
      <c r="P310" s="70">
        <v>0</v>
      </c>
      <c r="Q310" s="67"/>
      <c r="R310" s="70">
        <v>0</v>
      </c>
      <c r="S310" s="75">
        <v>46054</v>
      </c>
      <c r="T310" s="70">
        <v>0</v>
      </c>
      <c r="U310" s="77">
        <v>4</v>
      </c>
      <c r="V310" s="70">
        <v>0</v>
      </c>
      <c r="W310" s="52" t="s">
        <v>48</v>
      </c>
      <c r="X310" s="52" t="s">
        <v>49</v>
      </c>
      <c r="Y310" s="52" t="s">
        <v>36</v>
      </c>
      <c r="Z310" s="52" t="s">
        <v>9</v>
      </c>
      <c r="AA310" s="52" t="s">
        <v>50</v>
      </c>
      <c r="AB310" s="52" t="s">
        <v>125</v>
      </c>
      <c r="AC310" s="52" t="s">
        <v>38</v>
      </c>
      <c r="AD310" s="79" t="s">
        <v>257</v>
      </c>
      <c r="AE310" s="80"/>
      <c r="AF310" s="80"/>
      <c r="AG310" s="80"/>
      <c r="AH310" s="80"/>
      <c r="AI310" s="80"/>
      <c r="AJ310" s="80"/>
      <c r="AK310" s="80"/>
      <c r="AL310" s="80"/>
      <c r="AM310" s="80"/>
      <c r="AN310" s="80"/>
      <c r="AO310" s="80"/>
      <c r="AP310" s="80"/>
      <c r="AQ310" s="80"/>
      <c r="AR310" s="80"/>
      <c r="AS310" s="80"/>
      <c r="AT310" s="80"/>
      <c r="AU310" s="80"/>
      <c r="AV310" s="80"/>
      <c r="AW310" s="80"/>
    </row>
    <row r="311" spans="1:49" ht="31.5" x14ac:dyDescent="0.25">
      <c r="A311" s="52" t="s">
        <v>121</v>
      </c>
      <c r="B311" s="55">
        <v>46069</v>
      </c>
      <c r="C311" s="55">
        <v>46069</v>
      </c>
      <c r="D311" s="52" t="s">
        <v>30</v>
      </c>
      <c r="E311" s="59">
        <v>0.79166666666666663</v>
      </c>
      <c r="F311" s="59">
        <v>0.99930555555555556</v>
      </c>
      <c r="G311" s="62">
        <v>1.7361111111111109E-4</v>
      </c>
      <c r="H311" s="63" t="s">
        <v>122</v>
      </c>
      <c r="I311" s="64">
        <v>0.95351851851851854</v>
      </c>
      <c r="J311" s="52" t="s">
        <v>123</v>
      </c>
      <c r="K311" s="52" t="s">
        <v>144</v>
      </c>
      <c r="L311" s="67">
        <v>1</v>
      </c>
      <c r="M311" s="67">
        <v>69567</v>
      </c>
      <c r="N311" s="52" t="s">
        <v>46</v>
      </c>
      <c r="O311" s="67" t="s">
        <v>124</v>
      </c>
      <c r="P311" s="70">
        <v>0</v>
      </c>
      <c r="Q311" s="67"/>
      <c r="R311" s="70">
        <v>0</v>
      </c>
      <c r="S311" s="75">
        <v>46054</v>
      </c>
      <c r="T311" s="70">
        <v>0</v>
      </c>
      <c r="U311" s="77">
        <v>4</v>
      </c>
      <c r="V311" s="70">
        <v>0</v>
      </c>
      <c r="W311" s="52" t="s">
        <v>48</v>
      </c>
      <c r="X311" s="52" t="s">
        <v>49</v>
      </c>
      <c r="Y311" s="52" t="s">
        <v>36</v>
      </c>
      <c r="Z311" s="52" t="s">
        <v>9</v>
      </c>
      <c r="AA311" s="52" t="s">
        <v>50</v>
      </c>
      <c r="AB311" s="52" t="s">
        <v>125</v>
      </c>
      <c r="AC311" s="52" t="s">
        <v>38</v>
      </c>
      <c r="AD311" s="79" t="s">
        <v>257</v>
      </c>
      <c r="AE311" s="81"/>
      <c r="AF311" s="81"/>
      <c r="AG311" s="81"/>
      <c r="AH311" s="81"/>
      <c r="AI311" s="82"/>
      <c r="AJ311" s="82"/>
      <c r="AK311" s="82"/>
      <c r="AL311" s="82"/>
      <c r="AM311" s="82"/>
      <c r="AN311" s="82"/>
      <c r="AO311" s="82"/>
      <c r="AP311" s="82"/>
      <c r="AQ311" s="82"/>
      <c r="AR311" s="82"/>
      <c r="AS311" s="82"/>
      <c r="AT311" s="82"/>
      <c r="AU311" s="82"/>
      <c r="AV311" s="82"/>
      <c r="AW311" s="82"/>
    </row>
    <row r="312" spans="1:49" ht="31.5" x14ac:dyDescent="0.2">
      <c r="A312" s="52" t="s">
        <v>121</v>
      </c>
      <c r="B312" s="55">
        <v>46069</v>
      </c>
      <c r="C312" s="55">
        <v>46069</v>
      </c>
      <c r="D312" s="52" t="s">
        <v>30</v>
      </c>
      <c r="E312" s="59">
        <v>0.79166666666666663</v>
      </c>
      <c r="F312" s="59">
        <v>0.99930555555555556</v>
      </c>
      <c r="G312" s="62">
        <v>1.7361111111111109E-4</v>
      </c>
      <c r="H312" s="63" t="s">
        <v>126</v>
      </c>
      <c r="I312" s="64">
        <v>0.95456018518518515</v>
      </c>
      <c r="J312" s="52" t="s">
        <v>123</v>
      </c>
      <c r="K312" s="52" t="s">
        <v>144</v>
      </c>
      <c r="L312" s="67">
        <v>1</v>
      </c>
      <c r="M312" s="67">
        <v>69567</v>
      </c>
      <c r="N312" s="52" t="s">
        <v>46</v>
      </c>
      <c r="O312" s="67" t="s">
        <v>124</v>
      </c>
      <c r="P312" s="70">
        <v>0</v>
      </c>
      <c r="Q312" s="67"/>
      <c r="R312" s="70">
        <v>0</v>
      </c>
      <c r="S312" s="75">
        <v>46054</v>
      </c>
      <c r="T312" s="70">
        <v>0</v>
      </c>
      <c r="U312" s="77">
        <v>4</v>
      </c>
      <c r="V312" s="70">
        <v>0</v>
      </c>
      <c r="W312" s="52" t="s">
        <v>48</v>
      </c>
      <c r="X312" s="52" t="s">
        <v>49</v>
      </c>
      <c r="Y312" s="52" t="s">
        <v>36</v>
      </c>
      <c r="Z312" s="52" t="s">
        <v>9</v>
      </c>
      <c r="AA312" s="52" t="s">
        <v>50</v>
      </c>
      <c r="AB312" s="52" t="s">
        <v>125</v>
      </c>
      <c r="AC312" s="52" t="s">
        <v>38</v>
      </c>
      <c r="AD312" s="79" t="s">
        <v>257</v>
      </c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</row>
    <row r="313" spans="1:49" ht="31.5" x14ac:dyDescent="0.2">
      <c r="A313" s="52" t="s">
        <v>121</v>
      </c>
      <c r="B313" s="55">
        <v>46069</v>
      </c>
      <c r="C313" s="55">
        <v>46069</v>
      </c>
      <c r="D313" s="52" t="s">
        <v>30</v>
      </c>
      <c r="E313" s="59">
        <v>0.79166666666666663</v>
      </c>
      <c r="F313" s="59">
        <v>0.99930555555555556</v>
      </c>
      <c r="G313" s="62">
        <v>1.7361111111111109E-4</v>
      </c>
      <c r="H313" s="63" t="s">
        <v>127</v>
      </c>
      <c r="I313" s="64">
        <v>0.98384259259259255</v>
      </c>
      <c r="J313" s="52" t="s">
        <v>123</v>
      </c>
      <c r="K313" s="52" t="s">
        <v>139</v>
      </c>
      <c r="L313" s="67">
        <v>1</v>
      </c>
      <c r="M313" s="67">
        <v>69566</v>
      </c>
      <c r="N313" s="52" t="s">
        <v>54</v>
      </c>
      <c r="O313" s="67" t="s">
        <v>124</v>
      </c>
      <c r="P313" s="70">
        <v>0</v>
      </c>
      <c r="Q313" s="67"/>
      <c r="R313" s="70">
        <v>16.531831119544499</v>
      </c>
      <c r="S313" s="75">
        <v>46054</v>
      </c>
      <c r="T313" s="70">
        <v>0</v>
      </c>
      <c r="U313" s="77">
        <v>4</v>
      </c>
      <c r="V313" s="70">
        <v>0</v>
      </c>
      <c r="W313" s="52" t="s">
        <v>48</v>
      </c>
      <c r="X313" s="52" t="s">
        <v>49</v>
      </c>
      <c r="Y313" s="52" t="s">
        <v>36</v>
      </c>
      <c r="Z313" s="52" t="s">
        <v>9</v>
      </c>
      <c r="AA313" s="52" t="s">
        <v>50</v>
      </c>
      <c r="AB313" s="52" t="s">
        <v>125</v>
      </c>
      <c r="AC313" s="52" t="s">
        <v>38</v>
      </c>
      <c r="AD313" s="79" t="s">
        <v>257</v>
      </c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</row>
    <row r="314" spans="1:49" ht="31.5" x14ac:dyDescent="0.2">
      <c r="A314" s="52" t="s">
        <v>121</v>
      </c>
      <c r="B314" s="55">
        <v>46069</v>
      </c>
      <c r="C314" s="55">
        <v>46069</v>
      </c>
      <c r="D314" s="52" t="s">
        <v>30</v>
      </c>
      <c r="E314" s="59">
        <v>0.79166666666666663</v>
      </c>
      <c r="F314" s="59">
        <v>0.99930555555555556</v>
      </c>
      <c r="G314" s="62">
        <v>1.7361111111111109E-4</v>
      </c>
      <c r="H314" s="63" t="s">
        <v>128</v>
      </c>
      <c r="I314" s="64">
        <v>0.98557870370370371</v>
      </c>
      <c r="J314" s="52" t="s">
        <v>123</v>
      </c>
      <c r="K314" s="52" t="s">
        <v>139</v>
      </c>
      <c r="L314" s="67">
        <v>1</v>
      </c>
      <c r="M314" s="67">
        <v>69566</v>
      </c>
      <c r="N314" s="52" t="s">
        <v>54</v>
      </c>
      <c r="O314" s="67" t="s">
        <v>124</v>
      </c>
      <c r="P314" s="70">
        <v>0</v>
      </c>
      <c r="Q314" s="67"/>
      <c r="R314" s="70">
        <v>16.531831119544499</v>
      </c>
      <c r="S314" s="75">
        <v>46054</v>
      </c>
      <c r="T314" s="70">
        <v>0</v>
      </c>
      <c r="U314" s="77">
        <v>4</v>
      </c>
      <c r="V314" s="70">
        <v>0</v>
      </c>
      <c r="W314" s="52" t="s">
        <v>48</v>
      </c>
      <c r="X314" s="52" t="s">
        <v>49</v>
      </c>
      <c r="Y314" s="52" t="s">
        <v>36</v>
      </c>
      <c r="Z314" s="52" t="s">
        <v>9</v>
      </c>
      <c r="AA314" s="52" t="s">
        <v>50</v>
      </c>
      <c r="AB314" s="52" t="s">
        <v>125</v>
      </c>
      <c r="AC314" s="52" t="s">
        <v>38</v>
      </c>
      <c r="AD314" s="79" t="s">
        <v>257</v>
      </c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</row>
    <row r="315" spans="1:49" ht="31.5" x14ac:dyDescent="0.25">
      <c r="A315" s="52" t="s">
        <v>121</v>
      </c>
      <c r="B315" s="55">
        <v>46070</v>
      </c>
      <c r="C315" s="55">
        <v>46070</v>
      </c>
      <c r="D315" s="52" t="s">
        <v>145</v>
      </c>
      <c r="E315" s="59">
        <v>0.45833333333333331</v>
      </c>
      <c r="F315" s="59">
        <v>0.54166666666666663</v>
      </c>
      <c r="G315" s="62">
        <v>1.7361111111111109E-4</v>
      </c>
      <c r="H315" s="63" t="s">
        <v>158</v>
      </c>
      <c r="I315" s="64">
        <v>0.48724537037037036</v>
      </c>
      <c r="J315" s="52" t="s">
        <v>84</v>
      </c>
      <c r="K315" s="52" t="s">
        <v>171</v>
      </c>
      <c r="L315" s="67">
        <v>1</v>
      </c>
      <c r="M315" s="67">
        <v>69570</v>
      </c>
      <c r="N315" s="52" t="s">
        <v>54</v>
      </c>
      <c r="O315" s="67" t="s">
        <v>159</v>
      </c>
      <c r="P315" s="70">
        <v>0</v>
      </c>
      <c r="Q315" s="67"/>
      <c r="R315" s="70">
        <v>19.042139037433099</v>
      </c>
      <c r="S315" s="75">
        <v>46054</v>
      </c>
      <c r="T315" s="70">
        <v>0</v>
      </c>
      <c r="U315" s="77">
        <v>4</v>
      </c>
      <c r="V315" s="70">
        <v>0</v>
      </c>
      <c r="W315" s="52" t="s">
        <v>48</v>
      </c>
      <c r="X315" s="52" t="s">
        <v>49</v>
      </c>
      <c r="Y315" s="52" t="s">
        <v>36</v>
      </c>
      <c r="Z315" s="52" t="s">
        <v>9</v>
      </c>
      <c r="AA315" s="52" t="s">
        <v>50</v>
      </c>
      <c r="AB315" s="52" t="s">
        <v>160</v>
      </c>
      <c r="AC315" s="52" t="s">
        <v>38</v>
      </c>
      <c r="AD315" s="79" t="s">
        <v>257</v>
      </c>
      <c r="AE315" s="80"/>
      <c r="AF315" s="80"/>
      <c r="AG315" s="80"/>
      <c r="AH315" s="80"/>
      <c r="AI315" s="86"/>
      <c r="AJ315" s="86"/>
      <c r="AK315" s="86"/>
      <c r="AL315" s="86"/>
      <c r="AM315" s="86"/>
      <c r="AN315" s="86"/>
      <c r="AO315" s="86"/>
      <c r="AP315" s="86"/>
      <c r="AQ315" s="86"/>
      <c r="AR315" s="86"/>
      <c r="AS315" s="86"/>
      <c r="AT315" s="86"/>
      <c r="AU315" s="86"/>
      <c r="AV315" s="86"/>
      <c r="AW315" s="86"/>
    </row>
    <row r="316" spans="1:49" ht="31.5" x14ac:dyDescent="0.25">
      <c r="A316" s="52" t="s">
        <v>121</v>
      </c>
      <c r="B316" s="55">
        <v>46070</v>
      </c>
      <c r="C316" s="55">
        <v>46070</v>
      </c>
      <c r="D316" s="52" t="s">
        <v>145</v>
      </c>
      <c r="E316" s="59">
        <v>0.45833333333333331</v>
      </c>
      <c r="F316" s="59">
        <v>0.54166666666666663</v>
      </c>
      <c r="G316" s="62">
        <v>1.7361111111111109E-4</v>
      </c>
      <c r="H316" s="63" t="s">
        <v>161</v>
      </c>
      <c r="I316" s="64">
        <v>0.4891550925925926</v>
      </c>
      <c r="J316" s="52" t="s">
        <v>84</v>
      </c>
      <c r="K316" s="52" t="s">
        <v>171</v>
      </c>
      <c r="L316" s="67">
        <v>1</v>
      </c>
      <c r="M316" s="67">
        <v>69570</v>
      </c>
      <c r="N316" s="52" t="s">
        <v>54</v>
      </c>
      <c r="O316" s="67" t="s">
        <v>159</v>
      </c>
      <c r="P316" s="70">
        <v>0</v>
      </c>
      <c r="Q316" s="67"/>
      <c r="R316" s="70">
        <v>19.042139037433099</v>
      </c>
      <c r="S316" s="75">
        <v>46054</v>
      </c>
      <c r="T316" s="70">
        <v>0</v>
      </c>
      <c r="U316" s="77">
        <v>4</v>
      </c>
      <c r="V316" s="70">
        <v>0</v>
      </c>
      <c r="W316" s="52" t="s">
        <v>48</v>
      </c>
      <c r="X316" s="52" t="s">
        <v>49</v>
      </c>
      <c r="Y316" s="52" t="s">
        <v>36</v>
      </c>
      <c r="Z316" s="52" t="s">
        <v>9</v>
      </c>
      <c r="AA316" s="52" t="s">
        <v>50</v>
      </c>
      <c r="AB316" s="52" t="s">
        <v>160</v>
      </c>
      <c r="AC316" s="52" t="s">
        <v>38</v>
      </c>
      <c r="AD316" s="79" t="s">
        <v>257</v>
      </c>
      <c r="AE316" s="80"/>
      <c r="AF316" s="80"/>
      <c r="AG316" s="80"/>
      <c r="AH316" s="80"/>
      <c r="AI316" s="86"/>
      <c r="AJ316" s="86"/>
      <c r="AK316" s="86"/>
      <c r="AL316" s="86"/>
      <c r="AM316" s="86"/>
      <c r="AN316" s="86"/>
      <c r="AO316" s="86"/>
      <c r="AP316" s="86"/>
      <c r="AQ316" s="86"/>
      <c r="AR316" s="86"/>
      <c r="AS316" s="86"/>
      <c r="AT316" s="86"/>
      <c r="AU316" s="86"/>
      <c r="AV316" s="86"/>
      <c r="AW316" s="86"/>
    </row>
    <row r="317" spans="1:49" ht="31.5" x14ac:dyDescent="0.2">
      <c r="A317" s="52" t="s">
        <v>121</v>
      </c>
      <c r="B317" s="55">
        <v>46070</v>
      </c>
      <c r="C317" s="55">
        <v>46070</v>
      </c>
      <c r="D317" s="52" t="s">
        <v>145</v>
      </c>
      <c r="E317" s="59">
        <v>0.45833333333333331</v>
      </c>
      <c r="F317" s="59">
        <v>0.54166666666666663</v>
      </c>
      <c r="G317" s="62">
        <v>1.7361111111111109E-4</v>
      </c>
      <c r="H317" s="63" t="s">
        <v>162</v>
      </c>
      <c r="I317" s="64">
        <v>0.49762731481481481</v>
      </c>
      <c r="J317" s="52" t="s">
        <v>84</v>
      </c>
      <c r="K317" s="52" t="s">
        <v>171</v>
      </c>
      <c r="L317" s="67">
        <v>1</v>
      </c>
      <c r="M317" s="67">
        <v>69570</v>
      </c>
      <c r="N317" s="52" t="s">
        <v>54</v>
      </c>
      <c r="O317" s="67" t="s">
        <v>159</v>
      </c>
      <c r="P317" s="70">
        <v>0</v>
      </c>
      <c r="Q317" s="67"/>
      <c r="R317" s="70">
        <v>19.042139037433099</v>
      </c>
      <c r="S317" s="75">
        <v>46054</v>
      </c>
      <c r="T317" s="70">
        <v>0</v>
      </c>
      <c r="U317" s="77">
        <v>4</v>
      </c>
      <c r="V317" s="70">
        <v>0</v>
      </c>
      <c r="W317" s="52" t="s">
        <v>48</v>
      </c>
      <c r="X317" s="52" t="s">
        <v>49</v>
      </c>
      <c r="Y317" s="52" t="s">
        <v>36</v>
      </c>
      <c r="Z317" s="52" t="s">
        <v>9</v>
      </c>
      <c r="AA317" s="52" t="s">
        <v>50</v>
      </c>
      <c r="AB317" s="52" t="s">
        <v>160</v>
      </c>
      <c r="AC317" s="52" t="s">
        <v>38</v>
      </c>
      <c r="AD317" s="79" t="s">
        <v>257</v>
      </c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</row>
    <row r="318" spans="1:49" ht="31.5" x14ac:dyDescent="0.2">
      <c r="A318" s="52" t="s">
        <v>121</v>
      </c>
      <c r="B318" s="55">
        <v>46070</v>
      </c>
      <c r="C318" s="55">
        <v>46070</v>
      </c>
      <c r="D318" s="52" t="s">
        <v>145</v>
      </c>
      <c r="E318" s="59">
        <v>0.45833333333333331</v>
      </c>
      <c r="F318" s="59">
        <v>0.54166666666666663</v>
      </c>
      <c r="G318" s="62">
        <v>1.7361111111111109E-4</v>
      </c>
      <c r="H318" s="63" t="s">
        <v>161</v>
      </c>
      <c r="I318" s="64">
        <v>0.49953703703703706</v>
      </c>
      <c r="J318" s="52" t="s">
        <v>84</v>
      </c>
      <c r="K318" s="52" t="s">
        <v>171</v>
      </c>
      <c r="L318" s="67">
        <v>1</v>
      </c>
      <c r="M318" s="67">
        <v>69570</v>
      </c>
      <c r="N318" s="52" t="s">
        <v>54</v>
      </c>
      <c r="O318" s="67" t="s">
        <v>159</v>
      </c>
      <c r="P318" s="70">
        <v>0</v>
      </c>
      <c r="Q318" s="67"/>
      <c r="R318" s="70">
        <v>19.042139037433099</v>
      </c>
      <c r="S318" s="75">
        <v>46054</v>
      </c>
      <c r="T318" s="70">
        <v>0</v>
      </c>
      <c r="U318" s="77">
        <v>4</v>
      </c>
      <c r="V318" s="70">
        <v>0</v>
      </c>
      <c r="W318" s="52" t="s">
        <v>48</v>
      </c>
      <c r="X318" s="52" t="s">
        <v>49</v>
      </c>
      <c r="Y318" s="52" t="s">
        <v>36</v>
      </c>
      <c r="Z318" s="52" t="s">
        <v>9</v>
      </c>
      <c r="AA318" s="52" t="s">
        <v>50</v>
      </c>
      <c r="AB318" s="52" t="s">
        <v>160</v>
      </c>
      <c r="AC318" s="52" t="s">
        <v>38</v>
      </c>
      <c r="AD318" s="79" t="s">
        <v>257</v>
      </c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</row>
    <row r="319" spans="1:49" ht="31.5" x14ac:dyDescent="0.25">
      <c r="A319" s="52" t="s">
        <v>121</v>
      </c>
      <c r="B319" s="55">
        <v>46070</v>
      </c>
      <c r="C319" s="55">
        <v>46070</v>
      </c>
      <c r="D319" s="52" t="s">
        <v>145</v>
      </c>
      <c r="E319" s="59">
        <v>0.45833333333333331</v>
      </c>
      <c r="F319" s="59">
        <v>0.54166666666666663</v>
      </c>
      <c r="G319" s="62">
        <v>1.7361111111111109E-4</v>
      </c>
      <c r="H319" s="63" t="s">
        <v>158</v>
      </c>
      <c r="I319" s="64">
        <v>0.53532407407407412</v>
      </c>
      <c r="J319" s="52" t="s">
        <v>84</v>
      </c>
      <c r="K319" s="52" t="s">
        <v>140</v>
      </c>
      <c r="L319" s="67">
        <v>1</v>
      </c>
      <c r="M319" s="67">
        <v>69570</v>
      </c>
      <c r="N319" s="52" t="s">
        <v>54</v>
      </c>
      <c r="O319" s="67" t="s">
        <v>159</v>
      </c>
      <c r="P319" s="70">
        <v>0</v>
      </c>
      <c r="Q319" s="67"/>
      <c r="R319" s="70">
        <v>19.042139037433099</v>
      </c>
      <c r="S319" s="75">
        <v>46054</v>
      </c>
      <c r="T319" s="70">
        <v>0</v>
      </c>
      <c r="U319" s="77">
        <v>4</v>
      </c>
      <c r="V319" s="70">
        <v>0</v>
      </c>
      <c r="W319" s="52" t="s">
        <v>48</v>
      </c>
      <c r="X319" s="52" t="s">
        <v>49</v>
      </c>
      <c r="Y319" s="52" t="s">
        <v>36</v>
      </c>
      <c r="Z319" s="52" t="s">
        <v>9</v>
      </c>
      <c r="AA319" s="52" t="s">
        <v>50</v>
      </c>
      <c r="AB319" s="52" t="s">
        <v>160</v>
      </c>
      <c r="AC319" s="52" t="s">
        <v>38</v>
      </c>
      <c r="AD319" s="79" t="s">
        <v>257</v>
      </c>
      <c r="AE319" s="80"/>
      <c r="AF319" s="80"/>
      <c r="AG319" s="80"/>
      <c r="AH319" s="80"/>
      <c r="AI319" s="86"/>
      <c r="AJ319" s="86"/>
      <c r="AK319" s="86"/>
      <c r="AL319" s="86"/>
      <c r="AM319" s="86"/>
      <c r="AN319" s="86"/>
      <c r="AO319" s="86"/>
      <c r="AP319" s="86"/>
      <c r="AQ319" s="86"/>
      <c r="AR319" s="86"/>
      <c r="AS319" s="86"/>
      <c r="AT319" s="86"/>
      <c r="AU319" s="86"/>
      <c r="AV319" s="86"/>
      <c r="AW319" s="86"/>
    </row>
    <row r="320" spans="1:49" ht="31.5" x14ac:dyDescent="0.25">
      <c r="A320" s="52" t="s">
        <v>121</v>
      </c>
      <c r="B320" s="55">
        <v>46070</v>
      </c>
      <c r="C320" s="55">
        <v>46070</v>
      </c>
      <c r="D320" s="52" t="s">
        <v>145</v>
      </c>
      <c r="E320" s="59">
        <v>0.45833333333333331</v>
      </c>
      <c r="F320" s="59">
        <v>0.54166666666666663</v>
      </c>
      <c r="G320" s="62">
        <v>1.7361111111111109E-4</v>
      </c>
      <c r="H320" s="63" t="s">
        <v>161</v>
      </c>
      <c r="I320" s="64">
        <v>0.53723379629629631</v>
      </c>
      <c r="J320" s="52" t="s">
        <v>84</v>
      </c>
      <c r="K320" s="52" t="s">
        <v>140</v>
      </c>
      <c r="L320" s="67">
        <v>1</v>
      </c>
      <c r="M320" s="67">
        <v>69570</v>
      </c>
      <c r="N320" s="52" t="s">
        <v>54</v>
      </c>
      <c r="O320" s="67" t="s">
        <v>159</v>
      </c>
      <c r="P320" s="70">
        <v>0</v>
      </c>
      <c r="Q320" s="67"/>
      <c r="R320" s="70">
        <v>19.042139037433099</v>
      </c>
      <c r="S320" s="75">
        <v>46054</v>
      </c>
      <c r="T320" s="70">
        <v>0</v>
      </c>
      <c r="U320" s="77">
        <v>4</v>
      </c>
      <c r="V320" s="70">
        <v>0</v>
      </c>
      <c r="W320" s="52" t="s">
        <v>48</v>
      </c>
      <c r="X320" s="52" t="s">
        <v>49</v>
      </c>
      <c r="Y320" s="52" t="s">
        <v>36</v>
      </c>
      <c r="Z320" s="52" t="s">
        <v>9</v>
      </c>
      <c r="AA320" s="52" t="s">
        <v>50</v>
      </c>
      <c r="AB320" s="52" t="s">
        <v>160</v>
      </c>
      <c r="AC320" s="52" t="s">
        <v>38</v>
      </c>
      <c r="AD320" s="79" t="s">
        <v>257</v>
      </c>
      <c r="AE320" s="80"/>
      <c r="AF320" s="80"/>
      <c r="AG320" s="80"/>
      <c r="AH320" s="80"/>
      <c r="AI320" s="86"/>
      <c r="AJ320" s="86"/>
      <c r="AK320" s="86"/>
      <c r="AL320" s="86"/>
      <c r="AM320" s="86"/>
      <c r="AN320" s="86"/>
      <c r="AO320" s="86"/>
      <c r="AP320" s="86"/>
      <c r="AQ320" s="86"/>
      <c r="AR320" s="86"/>
      <c r="AS320" s="86"/>
      <c r="AT320" s="86"/>
      <c r="AU320" s="86"/>
      <c r="AV320" s="86"/>
      <c r="AW320" s="86"/>
    </row>
    <row r="321" spans="1:49" ht="31.5" x14ac:dyDescent="0.25">
      <c r="A321" s="52" t="s">
        <v>121</v>
      </c>
      <c r="B321" s="55">
        <v>46070</v>
      </c>
      <c r="C321" s="55">
        <v>46070</v>
      </c>
      <c r="D321" s="52" t="s">
        <v>145</v>
      </c>
      <c r="E321" s="59">
        <v>0.79166666666666663</v>
      </c>
      <c r="F321" s="59">
        <v>0.99930555555555556</v>
      </c>
      <c r="G321" s="62">
        <v>1.7361111111111109E-4</v>
      </c>
      <c r="H321" s="63" t="s">
        <v>122</v>
      </c>
      <c r="I321" s="64">
        <v>0.87420138888888888</v>
      </c>
      <c r="J321" s="52" t="s">
        <v>123</v>
      </c>
      <c r="K321" s="52" t="s">
        <v>143</v>
      </c>
      <c r="L321" s="67">
        <v>1</v>
      </c>
      <c r="M321" s="67">
        <v>69567</v>
      </c>
      <c r="N321" s="52" t="s">
        <v>46</v>
      </c>
      <c r="O321" s="67" t="s">
        <v>124</v>
      </c>
      <c r="P321" s="70">
        <v>0</v>
      </c>
      <c r="Q321" s="67"/>
      <c r="R321" s="70">
        <v>0</v>
      </c>
      <c r="S321" s="75">
        <v>46054</v>
      </c>
      <c r="T321" s="70">
        <v>0</v>
      </c>
      <c r="U321" s="77">
        <v>4</v>
      </c>
      <c r="V321" s="70">
        <v>0</v>
      </c>
      <c r="W321" s="52" t="s">
        <v>48</v>
      </c>
      <c r="X321" s="52" t="s">
        <v>49</v>
      </c>
      <c r="Y321" s="52" t="s">
        <v>36</v>
      </c>
      <c r="Z321" s="52" t="s">
        <v>9</v>
      </c>
      <c r="AA321" s="52" t="s">
        <v>50</v>
      </c>
      <c r="AB321" s="52" t="s">
        <v>125</v>
      </c>
      <c r="AC321" s="52" t="s">
        <v>38</v>
      </c>
      <c r="AD321" s="79" t="s">
        <v>257</v>
      </c>
      <c r="AE321" s="80"/>
      <c r="AF321" s="80"/>
      <c r="AG321" s="80"/>
      <c r="AH321" s="80"/>
      <c r="AI321" s="80"/>
      <c r="AJ321" s="80"/>
      <c r="AK321" s="80"/>
      <c r="AL321" s="80"/>
      <c r="AM321" s="80"/>
      <c r="AN321" s="80"/>
      <c r="AO321" s="80"/>
      <c r="AP321" s="80"/>
      <c r="AQ321" s="80"/>
      <c r="AR321" s="80"/>
      <c r="AS321" s="80"/>
      <c r="AT321" s="80"/>
      <c r="AU321" s="80"/>
      <c r="AV321" s="80"/>
      <c r="AW321" s="80"/>
    </row>
    <row r="322" spans="1:49" ht="31.5" x14ac:dyDescent="0.25">
      <c r="A322" s="52" t="s">
        <v>121</v>
      </c>
      <c r="B322" s="55">
        <v>46070</v>
      </c>
      <c r="C322" s="55">
        <v>46070</v>
      </c>
      <c r="D322" s="52" t="s">
        <v>145</v>
      </c>
      <c r="E322" s="59">
        <v>0.79166666666666663</v>
      </c>
      <c r="F322" s="59">
        <v>0.99930555555555556</v>
      </c>
      <c r="G322" s="62">
        <v>1.7361111111111109E-4</v>
      </c>
      <c r="H322" s="63" t="s">
        <v>126</v>
      </c>
      <c r="I322" s="64">
        <v>0.87472222222222218</v>
      </c>
      <c r="J322" s="52" t="s">
        <v>123</v>
      </c>
      <c r="K322" s="52" t="s">
        <v>143</v>
      </c>
      <c r="L322" s="67">
        <v>1</v>
      </c>
      <c r="M322" s="67">
        <v>69567</v>
      </c>
      <c r="N322" s="52" t="s">
        <v>46</v>
      </c>
      <c r="O322" s="67" t="s">
        <v>124</v>
      </c>
      <c r="P322" s="70">
        <v>0</v>
      </c>
      <c r="Q322" s="67"/>
      <c r="R322" s="70">
        <v>0</v>
      </c>
      <c r="S322" s="75">
        <v>46054</v>
      </c>
      <c r="T322" s="70">
        <v>0</v>
      </c>
      <c r="U322" s="77">
        <v>4</v>
      </c>
      <c r="V322" s="70">
        <v>0</v>
      </c>
      <c r="W322" s="52" t="s">
        <v>48</v>
      </c>
      <c r="X322" s="52" t="s">
        <v>49</v>
      </c>
      <c r="Y322" s="52" t="s">
        <v>36</v>
      </c>
      <c r="Z322" s="52" t="s">
        <v>9</v>
      </c>
      <c r="AA322" s="52" t="s">
        <v>50</v>
      </c>
      <c r="AB322" s="52" t="s">
        <v>125</v>
      </c>
      <c r="AC322" s="52" t="s">
        <v>38</v>
      </c>
      <c r="AD322" s="79" t="s">
        <v>257</v>
      </c>
      <c r="AE322" s="80"/>
      <c r="AF322" s="80"/>
      <c r="AG322" s="80"/>
      <c r="AH322" s="80"/>
      <c r="AI322" s="80"/>
      <c r="AJ322" s="80"/>
      <c r="AK322" s="80"/>
      <c r="AL322" s="80"/>
      <c r="AM322" s="80"/>
      <c r="AN322" s="80"/>
      <c r="AO322" s="80"/>
      <c r="AP322" s="80"/>
      <c r="AQ322" s="80"/>
      <c r="AR322" s="80"/>
      <c r="AS322" s="80"/>
      <c r="AT322" s="80"/>
      <c r="AU322" s="80"/>
      <c r="AV322" s="80"/>
      <c r="AW322" s="80"/>
    </row>
    <row r="323" spans="1:49" ht="31.5" x14ac:dyDescent="0.25">
      <c r="A323" s="52" t="s">
        <v>121</v>
      </c>
      <c r="B323" s="55">
        <v>46070</v>
      </c>
      <c r="C323" s="55">
        <v>46070</v>
      </c>
      <c r="D323" s="52" t="s">
        <v>145</v>
      </c>
      <c r="E323" s="59">
        <v>0.79166666666666663</v>
      </c>
      <c r="F323" s="59">
        <v>0.99930555555555556</v>
      </c>
      <c r="G323" s="62">
        <v>1.7361111111111109E-4</v>
      </c>
      <c r="H323" s="63" t="s">
        <v>122</v>
      </c>
      <c r="I323" s="64">
        <v>0.93768518518518518</v>
      </c>
      <c r="J323" s="52" t="s">
        <v>123</v>
      </c>
      <c r="K323" s="52" t="s">
        <v>170</v>
      </c>
      <c r="L323" s="67">
        <v>1</v>
      </c>
      <c r="M323" s="67">
        <v>69567</v>
      </c>
      <c r="N323" s="52" t="s">
        <v>46</v>
      </c>
      <c r="O323" s="67" t="s">
        <v>124</v>
      </c>
      <c r="P323" s="70">
        <v>0</v>
      </c>
      <c r="Q323" s="67"/>
      <c r="R323" s="70">
        <v>0</v>
      </c>
      <c r="S323" s="75">
        <v>46054</v>
      </c>
      <c r="T323" s="70">
        <v>0</v>
      </c>
      <c r="U323" s="77">
        <v>4</v>
      </c>
      <c r="V323" s="70">
        <v>0</v>
      </c>
      <c r="W323" s="52" t="s">
        <v>48</v>
      </c>
      <c r="X323" s="52" t="s">
        <v>49</v>
      </c>
      <c r="Y323" s="52" t="s">
        <v>36</v>
      </c>
      <c r="Z323" s="52" t="s">
        <v>9</v>
      </c>
      <c r="AA323" s="52" t="s">
        <v>50</v>
      </c>
      <c r="AB323" s="52" t="s">
        <v>125</v>
      </c>
      <c r="AC323" s="52" t="s">
        <v>38</v>
      </c>
      <c r="AD323" s="79" t="s">
        <v>257</v>
      </c>
      <c r="AE323" s="80"/>
      <c r="AF323" s="80"/>
      <c r="AG323" s="80"/>
      <c r="AH323" s="80"/>
      <c r="AI323" s="80"/>
      <c r="AJ323" s="80"/>
      <c r="AK323" s="80"/>
      <c r="AL323" s="80"/>
      <c r="AM323" s="80"/>
      <c r="AN323" s="80"/>
      <c r="AO323" s="80"/>
      <c r="AP323" s="80"/>
      <c r="AQ323" s="80"/>
      <c r="AR323" s="80"/>
      <c r="AS323" s="80"/>
      <c r="AT323" s="80"/>
      <c r="AU323" s="80"/>
      <c r="AV323" s="80"/>
      <c r="AW323" s="80"/>
    </row>
    <row r="324" spans="1:49" ht="31.5" x14ac:dyDescent="0.25">
      <c r="A324" s="52" t="s">
        <v>121</v>
      </c>
      <c r="B324" s="55">
        <v>46070</v>
      </c>
      <c r="C324" s="55">
        <v>46070</v>
      </c>
      <c r="D324" s="52" t="s">
        <v>145</v>
      </c>
      <c r="E324" s="59">
        <v>0.79166666666666663</v>
      </c>
      <c r="F324" s="59">
        <v>0.99930555555555556</v>
      </c>
      <c r="G324" s="62">
        <v>1.7361111111111109E-4</v>
      </c>
      <c r="H324" s="63" t="s">
        <v>126</v>
      </c>
      <c r="I324" s="64">
        <v>0.9397685185185185</v>
      </c>
      <c r="J324" s="52" t="s">
        <v>123</v>
      </c>
      <c r="K324" s="52" t="s">
        <v>170</v>
      </c>
      <c r="L324" s="67">
        <v>1</v>
      </c>
      <c r="M324" s="67">
        <v>69567</v>
      </c>
      <c r="N324" s="52" t="s">
        <v>46</v>
      </c>
      <c r="O324" s="67" t="s">
        <v>124</v>
      </c>
      <c r="P324" s="70">
        <v>0</v>
      </c>
      <c r="Q324" s="67"/>
      <c r="R324" s="70">
        <v>0</v>
      </c>
      <c r="S324" s="75">
        <v>46054</v>
      </c>
      <c r="T324" s="70">
        <v>0</v>
      </c>
      <c r="U324" s="77">
        <v>4</v>
      </c>
      <c r="V324" s="70">
        <v>0</v>
      </c>
      <c r="W324" s="52" t="s">
        <v>48</v>
      </c>
      <c r="X324" s="52" t="s">
        <v>49</v>
      </c>
      <c r="Y324" s="52" t="s">
        <v>36</v>
      </c>
      <c r="Z324" s="52" t="s">
        <v>9</v>
      </c>
      <c r="AA324" s="52" t="s">
        <v>50</v>
      </c>
      <c r="AB324" s="52" t="s">
        <v>125</v>
      </c>
      <c r="AC324" s="52" t="s">
        <v>38</v>
      </c>
      <c r="AD324" s="79" t="s">
        <v>257</v>
      </c>
      <c r="AE324" s="80"/>
      <c r="AF324" s="80"/>
      <c r="AG324" s="80"/>
      <c r="AH324" s="80"/>
      <c r="AI324" s="80"/>
      <c r="AJ324" s="80"/>
      <c r="AK324" s="80"/>
      <c r="AL324" s="80"/>
      <c r="AM324" s="80"/>
      <c r="AN324" s="80"/>
      <c r="AO324" s="80"/>
      <c r="AP324" s="80"/>
      <c r="AQ324" s="80"/>
      <c r="AR324" s="80"/>
      <c r="AS324" s="80"/>
      <c r="AT324" s="80"/>
      <c r="AU324" s="80"/>
      <c r="AV324" s="80"/>
      <c r="AW324" s="80"/>
    </row>
    <row r="325" spans="1:49" ht="31.5" x14ac:dyDescent="0.2">
      <c r="A325" s="52" t="s">
        <v>121</v>
      </c>
      <c r="B325" s="55">
        <v>46071</v>
      </c>
      <c r="C325" s="55">
        <v>46071</v>
      </c>
      <c r="D325" s="52" t="s">
        <v>177</v>
      </c>
      <c r="E325" s="59">
        <v>0.45833333333333331</v>
      </c>
      <c r="F325" s="59">
        <v>0.54166666666666663</v>
      </c>
      <c r="G325" s="62">
        <v>1.7361111111111109E-4</v>
      </c>
      <c r="H325" s="63" t="s">
        <v>162</v>
      </c>
      <c r="I325" s="64">
        <v>0.47224537037037034</v>
      </c>
      <c r="J325" s="52" t="s">
        <v>84</v>
      </c>
      <c r="K325" s="52" t="s">
        <v>150</v>
      </c>
      <c r="L325" s="67">
        <v>1</v>
      </c>
      <c r="M325" s="67">
        <v>69570</v>
      </c>
      <c r="N325" s="52" t="s">
        <v>54</v>
      </c>
      <c r="O325" s="67" t="s">
        <v>159</v>
      </c>
      <c r="P325" s="70">
        <v>0</v>
      </c>
      <c r="Q325" s="67"/>
      <c r="R325" s="70">
        <v>19.042139037433099</v>
      </c>
      <c r="S325" s="75">
        <v>46054</v>
      </c>
      <c r="T325" s="70">
        <v>0</v>
      </c>
      <c r="U325" s="77">
        <v>4</v>
      </c>
      <c r="V325" s="70">
        <v>0</v>
      </c>
      <c r="W325" s="52" t="s">
        <v>48</v>
      </c>
      <c r="X325" s="52" t="s">
        <v>49</v>
      </c>
      <c r="Y325" s="52" t="s">
        <v>36</v>
      </c>
      <c r="Z325" s="52" t="s">
        <v>9</v>
      </c>
      <c r="AA325" s="52" t="s">
        <v>50</v>
      </c>
      <c r="AB325" s="52" t="s">
        <v>160</v>
      </c>
      <c r="AC325" s="52" t="s">
        <v>38</v>
      </c>
      <c r="AD325" s="79" t="s">
        <v>257</v>
      </c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</row>
    <row r="326" spans="1:49" ht="31.5" x14ac:dyDescent="0.25">
      <c r="A326" s="52" t="s">
        <v>121</v>
      </c>
      <c r="B326" s="55">
        <v>46071</v>
      </c>
      <c r="C326" s="55">
        <v>46071</v>
      </c>
      <c r="D326" s="52" t="s">
        <v>177</v>
      </c>
      <c r="E326" s="59">
        <v>0.45833333333333331</v>
      </c>
      <c r="F326" s="59">
        <v>0.54166666666666663</v>
      </c>
      <c r="G326" s="62">
        <v>1.7361111111111109E-4</v>
      </c>
      <c r="H326" s="63" t="s">
        <v>161</v>
      </c>
      <c r="I326" s="64">
        <v>0.47346064814814814</v>
      </c>
      <c r="J326" s="52" t="s">
        <v>84</v>
      </c>
      <c r="K326" s="52" t="s">
        <v>150</v>
      </c>
      <c r="L326" s="67">
        <v>1</v>
      </c>
      <c r="M326" s="67">
        <v>69570</v>
      </c>
      <c r="N326" s="52" t="s">
        <v>54</v>
      </c>
      <c r="O326" s="67" t="s">
        <v>159</v>
      </c>
      <c r="P326" s="70">
        <v>0</v>
      </c>
      <c r="Q326" s="67"/>
      <c r="R326" s="70">
        <v>19.042139037433099</v>
      </c>
      <c r="S326" s="75">
        <v>46054</v>
      </c>
      <c r="T326" s="70">
        <v>0</v>
      </c>
      <c r="U326" s="77">
        <v>4</v>
      </c>
      <c r="V326" s="70">
        <v>0</v>
      </c>
      <c r="W326" s="52" t="s">
        <v>48</v>
      </c>
      <c r="X326" s="52" t="s">
        <v>49</v>
      </c>
      <c r="Y326" s="52" t="s">
        <v>36</v>
      </c>
      <c r="Z326" s="52" t="s">
        <v>9</v>
      </c>
      <c r="AA326" s="52" t="s">
        <v>50</v>
      </c>
      <c r="AB326" s="52" t="s">
        <v>160</v>
      </c>
      <c r="AC326" s="52" t="s">
        <v>38</v>
      </c>
      <c r="AD326" s="79" t="s">
        <v>257</v>
      </c>
      <c r="AE326" s="80"/>
      <c r="AF326" s="80"/>
      <c r="AG326" s="80"/>
      <c r="AH326" s="80"/>
      <c r="AI326" s="80"/>
      <c r="AJ326" s="80"/>
      <c r="AK326" s="80"/>
      <c r="AL326" s="80"/>
      <c r="AM326" s="80"/>
      <c r="AN326" s="80"/>
      <c r="AO326" s="80"/>
      <c r="AP326" s="80"/>
      <c r="AQ326" s="80"/>
      <c r="AR326" s="80"/>
      <c r="AS326" s="80"/>
      <c r="AT326" s="80"/>
      <c r="AU326" s="80"/>
      <c r="AV326" s="80"/>
      <c r="AW326" s="80"/>
    </row>
    <row r="327" spans="1:49" ht="31.5" x14ac:dyDescent="0.2">
      <c r="A327" s="52" t="s">
        <v>121</v>
      </c>
      <c r="B327" s="55">
        <v>46071</v>
      </c>
      <c r="C327" s="55">
        <v>46071</v>
      </c>
      <c r="D327" s="52" t="s">
        <v>177</v>
      </c>
      <c r="E327" s="59">
        <v>0.45833333333333331</v>
      </c>
      <c r="F327" s="59">
        <v>0.54166666666666663</v>
      </c>
      <c r="G327" s="62">
        <v>1.7361111111111109E-4</v>
      </c>
      <c r="H327" s="63" t="s">
        <v>158</v>
      </c>
      <c r="I327" s="64">
        <v>0.49827546296296299</v>
      </c>
      <c r="J327" s="52" t="s">
        <v>84</v>
      </c>
      <c r="K327" s="52" t="s">
        <v>171</v>
      </c>
      <c r="L327" s="67">
        <v>1</v>
      </c>
      <c r="M327" s="67">
        <v>69570</v>
      </c>
      <c r="N327" s="52" t="s">
        <v>54</v>
      </c>
      <c r="O327" s="67" t="s">
        <v>159</v>
      </c>
      <c r="P327" s="70">
        <v>0</v>
      </c>
      <c r="Q327" s="67"/>
      <c r="R327" s="70">
        <v>19.042139037433099</v>
      </c>
      <c r="S327" s="75">
        <v>46054</v>
      </c>
      <c r="T327" s="70">
        <v>0</v>
      </c>
      <c r="U327" s="77">
        <v>4</v>
      </c>
      <c r="V327" s="70">
        <v>0</v>
      </c>
      <c r="W327" s="52" t="s">
        <v>48</v>
      </c>
      <c r="X327" s="52" t="s">
        <v>49</v>
      </c>
      <c r="Y327" s="52" t="s">
        <v>36</v>
      </c>
      <c r="Z327" s="52" t="s">
        <v>9</v>
      </c>
      <c r="AA327" s="52" t="s">
        <v>50</v>
      </c>
      <c r="AB327" s="52" t="s">
        <v>160</v>
      </c>
      <c r="AC327" s="52" t="s">
        <v>38</v>
      </c>
      <c r="AD327" s="79" t="s">
        <v>257</v>
      </c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</row>
    <row r="328" spans="1:49" ht="31.5" x14ac:dyDescent="0.2">
      <c r="A328" s="52" t="s">
        <v>121</v>
      </c>
      <c r="B328" s="55">
        <v>46071</v>
      </c>
      <c r="C328" s="55">
        <v>46071</v>
      </c>
      <c r="D328" s="52" t="s">
        <v>177</v>
      </c>
      <c r="E328" s="59">
        <v>0.45833333333333331</v>
      </c>
      <c r="F328" s="59">
        <v>0.54166666666666663</v>
      </c>
      <c r="G328" s="62">
        <v>1.7361111111111109E-4</v>
      </c>
      <c r="H328" s="63" t="s">
        <v>161</v>
      </c>
      <c r="I328" s="64">
        <v>0.49966435185185187</v>
      </c>
      <c r="J328" s="52" t="s">
        <v>84</v>
      </c>
      <c r="K328" s="52" t="s">
        <v>171</v>
      </c>
      <c r="L328" s="67">
        <v>1</v>
      </c>
      <c r="M328" s="67">
        <v>69570</v>
      </c>
      <c r="N328" s="52" t="s">
        <v>54</v>
      </c>
      <c r="O328" s="67" t="s">
        <v>159</v>
      </c>
      <c r="P328" s="70">
        <v>0</v>
      </c>
      <c r="Q328" s="67"/>
      <c r="R328" s="70">
        <v>19.042139037433099</v>
      </c>
      <c r="S328" s="75">
        <v>46054</v>
      </c>
      <c r="T328" s="70">
        <v>0</v>
      </c>
      <c r="U328" s="77">
        <v>4</v>
      </c>
      <c r="V328" s="70">
        <v>0</v>
      </c>
      <c r="W328" s="52" t="s">
        <v>48</v>
      </c>
      <c r="X328" s="52" t="s">
        <v>49</v>
      </c>
      <c r="Y328" s="52" t="s">
        <v>36</v>
      </c>
      <c r="Z328" s="52" t="s">
        <v>9</v>
      </c>
      <c r="AA328" s="52" t="s">
        <v>50</v>
      </c>
      <c r="AB328" s="52" t="s">
        <v>160</v>
      </c>
      <c r="AC328" s="52" t="s">
        <v>38</v>
      </c>
      <c r="AD328" s="79" t="s">
        <v>257</v>
      </c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</row>
    <row r="329" spans="1:49" ht="31.5" x14ac:dyDescent="0.25">
      <c r="A329" s="52" t="s">
        <v>121</v>
      </c>
      <c r="B329" s="55">
        <v>46071</v>
      </c>
      <c r="C329" s="55">
        <v>46071</v>
      </c>
      <c r="D329" s="52" t="s">
        <v>177</v>
      </c>
      <c r="E329" s="59">
        <v>0.45833333333333331</v>
      </c>
      <c r="F329" s="59">
        <v>0.54166666666666663</v>
      </c>
      <c r="G329" s="62">
        <v>1.7361111111111109E-4</v>
      </c>
      <c r="H329" s="63" t="s">
        <v>162</v>
      </c>
      <c r="I329" s="64">
        <v>0.51108796296296299</v>
      </c>
      <c r="J329" s="52" t="s">
        <v>84</v>
      </c>
      <c r="K329" s="52" t="s">
        <v>140</v>
      </c>
      <c r="L329" s="67">
        <v>1</v>
      </c>
      <c r="M329" s="67">
        <v>69570</v>
      </c>
      <c r="N329" s="52" t="s">
        <v>54</v>
      </c>
      <c r="O329" s="67" t="s">
        <v>159</v>
      </c>
      <c r="P329" s="70">
        <v>0</v>
      </c>
      <c r="Q329" s="67"/>
      <c r="R329" s="70">
        <v>19.042139037433099</v>
      </c>
      <c r="S329" s="75">
        <v>46054</v>
      </c>
      <c r="T329" s="70">
        <v>0</v>
      </c>
      <c r="U329" s="77">
        <v>4</v>
      </c>
      <c r="V329" s="70">
        <v>0</v>
      </c>
      <c r="W329" s="52" t="s">
        <v>48</v>
      </c>
      <c r="X329" s="52" t="s">
        <v>49</v>
      </c>
      <c r="Y329" s="52" t="s">
        <v>36</v>
      </c>
      <c r="Z329" s="52" t="s">
        <v>9</v>
      </c>
      <c r="AA329" s="52" t="s">
        <v>50</v>
      </c>
      <c r="AB329" s="52" t="s">
        <v>160</v>
      </c>
      <c r="AC329" s="52" t="s">
        <v>38</v>
      </c>
      <c r="AD329" s="79" t="s">
        <v>257</v>
      </c>
      <c r="AE329" s="80"/>
      <c r="AF329" s="80"/>
      <c r="AG329" s="80"/>
      <c r="AH329" s="80"/>
      <c r="AI329" s="80"/>
      <c r="AJ329" s="80"/>
      <c r="AK329" s="80"/>
      <c r="AL329" s="80"/>
      <c r="AM329" s="80"/>
      <c r="AN329" s="80"/>
      <c r="AO329" s="80"/>
      <c r="AP329" s="80"/>
      <c r="AQ329" s="80"/>
      <c r="AR329" s="80"/>
      <c r="AS329" s="80"/>
      <c r="AT329" s="80"/>
      <c r="AU329" s="80"/>
      <c r="AV329" s="80"/>
      <c r="AW329" s="80"/>
    </row>
    <row r="330" spans="1:49" ht="31.5" x14ac:dyDescent="0.25">
      <c r="A330" s="52" t="s">
        <v>121</v>
      </c>
      <c r="B330" s="55">
        <v>46071</v>
      </c>
      <c r="C330" s="55">
        <v>46071</v>
      </c>
      <c r="D330" s="52" t="s">
        <v>177</v>
      </c>
      <c r="E330" s="59">
        <v>0.45833333333333331</v>
      </c>
      <c r="F330" s="59">
        <v>0.54166666666666663</v>
      </c>
      <c r="G330" s="62">
        <v>1.7361111111111109E-4</v>
      </c>
      <c r="H330" s="63" t="s">
        <v>161</v>
      </c>
      <c r="I330" s="64">
        <v>0.51282407407407404</v>
      </c>
      <c r="J330" s="52" t="s">
        <v>84</v>
      </c>
      <c r="K330" s="52" t="s">
        <v>140</v>
      </c>
      <c r="L330" s="67">
        <v>1</v>
      </c>
      <c r="M330" s="67">
        <v>69570</v>
      </c>
      <c r="N330" s="52" t="s">
        <v>54</v>
      </c>
      <c r="O330" s="67" t="s">
        <v>159</v>
      </c>
      <c r="P330" s="70">
        <v>0</v>
      </c>
      <c r="Q330" s="67"/>
      <c r="R330" s="70">
        <v>19.042139037433099</v>
      </c>
      <c r="S330" s="75">
        <v>46054</v>
      </c>
      <c r="T330" s="70">
        <v>0</v>
      </c>
      <c r="U330" s="77">
        <v>4</v>
      </c>
      <c r="V330" s="70">
        <v>0</v>
      </c>
      <c r="W330" s="52" t="s">
        <v>48</v>
      </c>
      <c r="X330" s="52" t="s">
        <v>49</v>
      </c>
      <c r="Y330" s="52" t="s">
        <v>36</v>
      </c>
      <c r="Z330" s="52" t="s">
        <v>9</v>
      </c>
      <c r="AA330" s="52" t="s">
        <v>50</v>
      </c>
      <c r="AB330" s="52" t="s">
        <v>160</v>
      </c>
      <c r="AC330" s="52" t="s">
        <v>38</v>
      </c>
      <c r="AD330" s="79" t="s">
        <v>257</v>
      </c>
      <c r="AE330" s="80"/>
      <c r="AF330" s="80"/>
      <c r="AG330" s="80"/>
      <c r="AH330" s="80"/>
      <c r="AI330" s="80"/>
      <c r="AJ330" s="80"/>
      <c r="AK330" s="80"/>
      <c r="AL330" s="80"/>
      <c r="AM330" s="80"/>
      <c r="AN330" s="80"/>
      <c r="AO330" s="80"/>
      <c r="AP330" s="80"/>
      <c r="AQ330" s="80"/>
      <c r="AR330" s="80"/>
      <c r="AS330" s="80"/>
      <c r="AT330" s="80"/>
      <c r="AU330" s="80"/>
      <c r="AV330" s="80"/>
      <c r="AW330" s="80"/>
    </row>
    <row r="331" spans="1:49" ht="31.5" x14ac:dyDescent="0.25">
      <c r="A331" s="52" t="s">
        <v>121</v>
      </c>
      <c r="B331" s="55">
        <v>46071</v>
      </c>
      <c r="C331" s="55">
        <v>46071</v>
      </c>
      <c r="D331" s="52" t="s">
        <v>177</v>
      </c>
      <c r="E331" s="59">
        <v>0.79166666666666663</v>
      </c>
      <c r="F331" s="59">
        <v>0.99930555555555556</v>
      </c>
      <c r="G331" s="62">
        <v>1.7361111111111109E-4</v>
      </c>
      <c r="H331" s="63" t="s">
        <v>127</v>
      </c>
      <c r="I331" s="64">
        <v>0.83253472222222225</v>
      </c>
      <c r="J331" s="52" t="s">
        <v>123</v>
      </c>
      <c r="K331" s="52" t="s">
        <v>142</v>
      </c>
      <c r="L331" s="67">
        <v>1</v>
      </c>
      <c r="M331" s="67">
        <v>69567</v>
      </c>
      <c r="N331" s="52" t="s">
        <v>46</v>
      </c>
      <c r="O331" s="67" t="s">
        <v>124</v>
      </c>
      <c r="P331" s="70">
        <v>0</v>
      </c>
      <c r="Q331" s="67"/>
      <c r="R331" s="70">
        <v>0</v>
      </c>
      <c r="S331" s="75">
        <v>46054</v>
      </c>
      <c r="T331" s="70">
        <v>0</v>
      </c>
      <c r="U331" s="77">
        <v>4</v>
      </c>
      <c r="V331" s="70">
        <v>0</v>
      </c>
      <c r="W331" s="52" t="s">
        <v>48</v>
      </c>
      <c r="X331" s="52" t="s">
        <v>49</v>
      </c>
      <c r="Y331" s="52" t="s">
        <v>36</v>
      </c>
      <c r="Z331" s="52" t="s">
        <v>9</v>
      </c>
      <c r="AA331" s="52" t="s">
        <v>50</v>
      </c>
      <c r="AB331" s="52" t="s">
        <v>125</v>
      </c>
      <c r="AC331" s="52" t="s">
        <v>38</v>
      </c>
      <c r="AD331" s="79" t="s">
        <v>257</v>
      </c>
      <c r="AE331" s="80"/>
      <c r="AF331" s="80"/>
      <c r="AG331" s="80"/>
      <c r="AH331" s="80"/>
      <c r="AI331" s="80"/>
      <c r="AJ331" s="80"/>
      <c r="AK331" s="80"/>
      <c r="AL331" s="80"/>
      <c r="AM331" s="80"/>
      <c r="AN331" s="80"/>
      <c r="AO331" s="80"/>
      <c r="AP331" s="80"/>
      <c r="AQ331" s="80"/>
      <c r="AR331" s="80"/>
      <c r="AS331" s="80"/>
      <c r="AT331" s="80"/>
      <c r="AU331" s="80"/>
      <c r="AV331" s="80"/>
      <c r="AW331" s="80"/>
    </row>
    <row r="332" spans="1:49" ht="31.5" x14ac:dyDescent="0.25">
      <c r="A332" s="52" t="s">
        <v>121</v>
      </c>
      <c r="B332" s="55">
        <v>46071</v>
      </c>
      <c r="C332" s="55">
        <v>46071</v>
      </c>
      <c r="D332" s="52" t="s">
        <v>177</v>
      </c>
      <c r="E332" s="59">
        <v>0.79166666666666663</v>
      </c>
      <c r="F332" s="59">
        <v>0.99930555555555556</v>
      </c>
      <c r="G332" s="62">
        <v>1.7361111111111109E-4</v>
      </c>
      <c r="H332" s="63" t="s">
        <v>128</v>
      </c>
      <c r="I332" s="64">
        <v>0.83305555555555555</v>
      </c>
      <c r="J332" s="52" t="s">
        <v>123</v>
      </c>
      <c r="K332" s="52" t="s">
        <v>142</v>
      </c>
      <c r="L332" s="67">
        <v>1</v>
      </c>
      <c r="M332" s="67">
        <v>69567</v>
      </c>
      <c r="N332" s="52" t="s">
        <v>46</v>
      </c>
      <c r="O332" s="67" t="s">
        <v>124</v>
      </c>
      <c r="P332" s="70">
        <v>0</v>
      </c>
      <c r="Q332" s="67"/>
      <c r="R332" s="70">
        <v>0</v>
      </c>
      <c r="S332" s="75">
        <v>46054</v>
      </c>
      <c r="T332" s="70">
        <v>0</v>
      </c>
      <c r="U332" s="77">
        <v>4</v>
      </c>
      <c r="V332" s="70">
        <v>0</v>
      </c>
      <c r="W332" s="52" t="s">
        <v>48</v>
      </c>
      <c r="X332" s="52" t="s">
        <v>49</v>
      </c>
      <c r="Y332" s="52" t="s">
        <v>36</v>
      </c>
      <c r="Z332" s="52" t="s">
        <v>9</v>
      </c>
      <c r="AA332" s="52" t="s">
        <v>50</v>
      </c>
      <c r="AB332" s="52" t="s">
        <v>125</v>
      </c>
      <c r="AC332" s="52" t="s">
        <v>38</v>
      </c>
      <c r="AD332" s="79" t="s">
        <v>257</v>
      </c>
      <c r="AE332" s="80"/>
      <c r="AF332" s="80"/>
      <c r="AG332" s="80"/>
      <c r="AH332" s="80"/>
      <c r="AI332" s="80"/>
      <c r="AJ332" s="80"/>
      <c r="AK332" s="80"/>
      <c r="AL332" s="80"/>
      <c r="AM332" s="80"/>
      <c r="AN332" s="80"/>
      <c r="AO332" s="80"/>
      <c r="AP332" s="80"/>
      <c r="AQ332" s="80"/>
      <c r="AR332" s="80"/>
      <c r="AS332" s="80"/>
      <c r="AT332" s="80"/>
      <c r="AU332" s="80"/>
      <c r="AV332" s="80"/>
      <c r="AW332" s="80"/>
    </row>
    <row r="333" spans="1:49" ht="31.5" x14ac:dyDescent="0.2">
      <c r="A333" s="52" t="s">
        <v>121</v>
      </c>
      <c r="B333" s="55">
        <v>46071</v>
      </c>
      <c r="C333" s="55">
        <v>46071</v>
      </c>
      <c r="D333" s="52" t="s">
        <v>177</v>
      </c>
      <c r="E333" s="59">
        <v>0.79166666666666663</v>
      </c>
      <c r="F333" s="59">
        <v>0.99930555555555556</v>
      </c>
      <c r="G333" s="62">
        <v>1.7361111111111109E-4</v>
      </c>
      <c r="H333" s="63" t="s">
        <v>122</v>
      </c>
      <c r="I333" s="64">
        <v>0.84439814814814818</v>
      </c>
      <c r="J333" s="52" t="s">
        <v>123</v>
      </c>
      <c r="K333" s="52" t="s">
        <v>143</v>
      </c>
      <c r="L333" s="67">
        <v>1</v>
      </c>
      <c r="M333" s="67">
        <v>69567</v>
      </c>
      <c r="N333" s="52" t="s">
        <v>46</v>
      </c>
      <c r="O333" s="67" t="s">
        <v>124</v>
      </c>
      <c r="P333" s="70">
        <v>0</v>
      </c>
      <c r="Q333" s="67"/>
      <c r="R333" s="70">
        <v>0</v>
      </c>
      <c r="S333" s="75">
        <v>46054</v>
      </c>
      <c r="T333" s="70">
        <v>0</v>
      </c>
      <c r="U333" s="77">
        <v>4</v>
      </c>
      <c r="V333" s="70">
        <v>0</v>
      </c>
      <c r="W333" s="52" t="s">
        <v>48</v>
      </c>
      <c r="X333" s="52" t="s">
        <v>49</v>
      </c>
      <c r="Y333" s="52" t="s">
        <v>36</v>
      </c>
      <c r="Z333" s="52" t="s">
        <v>9</v>
      </c>
      <c r="AA333" s="52" t="s">
        <v>50</v>
      </c>
      <c r="AB333" s="52" t="s">
        <v>125</v>
      </c>
      <c r="AC333" s="52" t="s">
        <v>38</v>
      </c>
      <c r="AD333" s="79" t="s">
        <v>257</v>
      </c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</row>
    <row r="334" spans="1:49" ht="31.5" x14ac:dyDescent="0.2">
      <c r="A334" s="52" t="s">
        <v>121</v>
      </c>
      <c r="B334" s="55">
        <v>46071</v>
      </c>
      <c r="C334" s="55">
        <v>46071</v>
      </c>
      <c r="D334" s="52" t="s">
        <v>177</v>
      </c>
      <c r="E334" s="59">
        <v>0.79166666666666663</v>
      </c>
      <c r="F334" s="59">
        <v>0.99930555555555556</v>
      </c>
      <c r="G334" s="62">
        <v>1.7361111111111109E-4</v>
      </c>
      <c r="H334" s="63" t="s">
        <v>126</v>
      </c>
      <c r="I334" s="64">
        <v>0.84526620370370376</v>
      </c>
      <c r="J334" s="52" t="s">
        <v>123</v>
      </c>
      <c r="K334" s="52" t="s">
        <v>143</v>
      </c>
      <c r="L334" s="67">
        <v>1</v>
      </c>
      <c r="M334" s="67">
        <v>69567</v>
      </c>
      <c r="N334" s="52" t="s">
        <v>46</v>
      </c>
      <c r="O334" s="67" t="s">
        <v>124</v>
      </c>
      <c r="P334" s="70">
        <v>0</v>
      </c>
      <c r="Q334" s="67"/>
      <c r="R334" s="70">
        <v>0</v>
      </c>
      <c r="S334" s="75">
        <v>46054</v>
      </c>
      <c r="T334" s="70">
        <v>0</v>
      </c>
      <c r="U334" s="77">
        <v>4</v>
      </c>
      <c r="V334" s="70">
        <v>0</v>
      </c>
      <c r="W334" s="52" t="s">
        <v>48</v>
      </c>
      <c r="X334" s="52" t="s">
        <v>49</v>
      </c>
      <c r="Y334" s="52" t="s">
        <v>36</v>
      </c>
      <c r="Z334" s="52" t="s">
        <v>9</v>
      </c>
      <c r="AA334" s="52" t="s">
        <v>50</v>
      </c>
      <c r="AB334" s="52" t="s">
        <v>125</v>
      </c>
      <c r="AC334" s="52" t="s">
        <v>38</v>
      </c>
      <c r="AD334" s="79" t="s">
        <v>257</v>
      </c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</row>
    <row r="335" spans="1:49" ht="31.5" x14ac:dyDescent="0.2">
      <c r="A335" s="52" t="s">
        <v>121</v>
      </c>
      <c r="B335" s="55">
        <v>46071</v>
      </c>
      <c r="C335" s="55">
        <v>46071</v>
      </c>
      <c r="D335" s="52" t="s">
        <v>177</v>
      </c>
      <c r="E335" s="59">
        <v>0.79166666666666663</v>
      </c>
      <c r="F335" s="59">
        <v>0.99930555555555556</v>
      </c>
      <c r="G335" s="62">
        <v>1.7361111111111109E-4</v>
      </c>
      <c r="H335" s="63" t="s">
        <v>122</v>
      </c>
      <c r="I335" s="64">
        <v>0.87936342592592598</v>
      </c>
      <c r="J335" s="52" t="s">
        <v>123</v>
      </c>
      <c r="K335" s="52" t="s">
        <v>137</v>
      </c>
      <c r="L335" s="67">
        <v>1</v>
      </c>
      <c r="M335" s="67">
        <v>69566</v>
      </c>
      <c r="N335" s="52" t="s">
        <v>54</v>
      </c>
      <c r="O335" s="67" t="s">
        <v>124</v>
      </c>
      <c r="P335" s="70">
        <v>0</v>
      </c>
      <c r="Q335" s="67"/>
      <c r="R335" s="70">
        <v>16.531831119544499</v>
      </c>
      <c r="S335" s="75">
        <v>46054</v>
      </c>
      <c r="T335" s="70">
        <v>0</v>
      </c>
      <c r="U335" s="77">
        <v>4</v>
      </c>
      <c r="V335" s="70">
        <v>0</v>
      </c>
      <c r="W335" s="52" t="s">
        <v>48</v>
      </c>
      <c r="X335" s="52" t="s">
        <v>49</v>
      </c>
      <c r="Y335" s="52" t="s">
        <v>36</v>
      </c>
      <c r="Z335" s="52" t="s">
        <v>9</v>
      </c>
      <c r="AA335" s="52" t="s">
        <v>50</v>
      </c>
      <c r="AB335" s="52" t="s">
        <v>125</v>
      </c>
      <c r="AC335" s="52" t="s">
        <v>38</v>
      </c>
      <c r="AD335" s="79" t="s">
        <v>257</v>
      </c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</row>
    <row r="336" spans="1:49" ht="31.5" x14ac:dyDescent="0.2">
      <c r="A336" s="52" t="s">
        <v>121</v>
      </c>
      <c r="B336" s="55">
        <v>46071</v>
      </c>
      <c r="C336" s="55">
        <v>46071</v>
      </c>
      <c r="D336" s="52" t="s">
        <v>177</v>
      </c>
      <c r="E336" s="59">
        <v>0.79166666666666663</v>
      </c>
      <c r="F336" s="59">
        <v>0.99930555555555556</v>
      </c>
      <c r="G336" s="62">
        <v>1.7361111111111109E-4</v>
      </c>
      <c r="H336" s="63" t="s">
        <v>126</v>
      </c>
      <c r="I336" s="64">
        <v>0.88057870370370372</v>
      </c>
      <c r="J336" s="52" t="s">
        <v>123</v>
      </c>
      <c r="K336" s="52" t="s">
        <v>137</v>
      </c>
      <c r="L336" s="67">
        <v>1</v>
      </c>
      <c r="M336" s="67">
        <v>69566</v>
      </c>
      <c r="N336" s="52" t="s">
        <v>54</v>
      </c>
      <c r="O336" s="67" t="s">
        <v>124</v>
      </c>
      <c r="P336" s="70">
        <v>0</v>
      </c>
      <c r="Q336" s="67"/>
      <c r="R336" s="70">
        <v>16.531831119544499</v>
      </c>
      <c r="S336" s="75">
        <v>46054</v>
      </c>
      <c r="T336" s="70">
        <v>0</v>
      </c>
      <c r="U336" s="77">
        <v>4</v>
      </c>
      <c r="V336" s="70">
        <v>0</v>
      </c>
      <c r="W336" s="52" t="s">
        <v>48</v>
      </c>
      <c r="X336" s="52" t="s">
        <v>49</v>
      </c>
      <c r="Y336" s="52" t="s">
        <v>36</v>
      </c>
      <c r="Z336" s="52" t="s">
        <v>9</v>
      </c>
      <c r="AA336" s="52" t="s">
        <v>50</v>
      </c>
      <c r="AB336" s="52" t="s">
        <v>125</v>
      </c>
      <c r="AC336" s="52" t="s">
        <v>38</v>
      </c>
      <c r="AD336" s="79" t="s">
        <v>257</v>
      </c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</row>
    <row r="337" spans="1:49" ht="31.5" x14ac:dyDescent="0.25">
      <c r="A337" s="52" t="s">
        <v>121</v>
      </c>
      <c r="B337" s="55">
        <v>46071</v>
      </c>
      <c r="C337" s="55">
        <v>46071</v>
      </c>
      <c r="D337" s="52" t="s">
        <v>177</v>
      </c>
      <c r="E337" s="59">
        <v>0.79166666666666663</v>
      </c>
      <c r="F337" s="59">
        <v>0.99930555555555556</v>
      </c>
      <c r="G337" s="62">
        <v>1.7361111111111109E-4</v>
      </c>
      <c r="H337" s="63" t="s">
        <v>122</v>
      </c>
      <c r="I337" s="64">
        <v>0.95143518518518522</v>
      </c>
      <c r="J337" s="52" t="s">
        <v>123</v>
      </c>
      <c r="K337" s="52" t="s">
        <v>182</v>
      </c>
      <c r="L337" s="67">
        <v>1</v>
      </c>
      <c r="M337" s="67">
        <v>69566</v>
      </c>
      <c r="N337" s="52" t="s">
        <v>54</v>
      </c>
      <c r="O337" s="67" t="s">
        <v>124</v>
      </c>
      <c r="P337" s="70">
        <v>0</v>
      </c>
      <c r="Q337" s="67"/>
      <c r="R337" s="70">
        <v>16.531831119544499</v>
      </c>
      <c r="S337" s="75">
        <v>46054</v>
      </c>
      <c r="T337" s="70">
        <v>0</v>
      </c>
      <c r="U337" s="77">
        <v>4</v>
      </c>
      <c r="V337" s="70">
        <v>0</v>
      </c>
      <c r="W337" s="52" t="s">
        <v>48</v>
      </c>
      <c r="X337" s="52" t="s">
        <v>49</v>
      </c>
      <c r="Y337" s="52" t="s">
        <v>36</v>
      </c>
      <c r="Z337" s="52" t="s">
        <v>9</v>
      </c>
      <c r="AA337" s="52" t="s">
        <v>50</v>
      </c>
      <c r="AB337" s="52" t="s">
        <v>125</v>
      </c>
      <c r="AC337" s="52" t="s">
        <v>38</v>
      </c>
      <c r="AD337" s="79" t="s">
        <v>257</v>
      </c>
      <c r="AE337" s="80"/>
      <c r="AF337" s="80"/>
      <c r="AG337" s="80"/>
      <c r="AH337" s="80"/>
      <c r="AI337" s="80"/>
      <c r="AJ337" s="80"/>
      <c r="AK337" s="80"/>
      <c r="AL337" s="80"/>
      <c r="AM337" s="80"/>
      <c r="AN337" s="80"/>
      <c r="AO337" s="80"/>
      <c r="AP337" s="80"/>
      <c r="AQ337" s="80"/>
      <c r="AR337" s="80"/>
      <c r="AS337" s="80"/>
      <c r="AT337" s="80"/>
      <c r="AU337" s="80"/>
      <c r="AV337" s="80"/>
      <c r="AW337" s="80"/>
    </row>
    <row r="338" spans="1:49" ht="31.5" x14ac:dyDescent="0.25">
      <c r="A338" s="52" t="s">
        <v>121</v>
      </c>
      <c r="B338" s="55">
        <v>46071</v>
      </c>
      <c r="C338" s="55">
        <v>46071</v>
      </c>
      <c r="D338" s="52" t="s">
        <v>177</v>
      </c>
      <c r="E338" s="59">
        <v>0.79166666666666663</v>
      </c>
      <c r="F338" s="59">
        <v>0.99930555555555556</v>
      </c>
      <c r="G338" s="62">
        <v>1.7361111111111109E-4</v>
      </c>
      <c r="H338" s="63" t="s">
        <v>126</v>
      </c>
      <c r="I338" s="64">
        <v>0.95386574074074071</v>
      </c>
      <c r="J338" s="52" t="s">
        <v>123</v>
      </c>
      <c r="K338" s="52" t="s">
        <v>182</v>
      </c>
      <c r="L338" s="67">
        <v>1</v>
      </c>
      <c r="M338" s="67">
        <v>69566</v>
      </c>
      <c r="N338" s="52" t="s">
        <v>54</v>
      </c>
      <c r="O338" s="67" t="s">
        <v>124</v>
      </c>
      <c r="P338" s="70">
        <v>0</v>
      </c>
      <c r="Q338" s="67"/>
      <c r="R338" s="70">
        <v>16.531831119544499</v>
      </c>
      <c r="S338" s="75">
        <v>46054</v>
      </c>
      <c r="T338" s="70">
        <v>0</v>
      </c>
      <c r="U338" s="77">
        <v>4</v>
      </c>
      <c r="V338" s="70">
        <v>0</v>
      </c>
      <c r="W338" s="52" t="s">
        <v>48</v>
      </c>
      <c r="X338" s="52" t="s">
        <v>49</v>
      </c>
      <c r="Y338" s="52" t="s">
        <v>36</v>
      </c>
      <c r="Z338" s="52" t="s">
        <v>9</v>
      </c>
      <c r="AA338" s="52" t="s">
        <v>50</v>
      </c>
      <c r="AB338" s="52" t="s">
        <v>125</v>
      </c>
      <c r="AC338" s="52" t="s">
        <v>38</v>
      </c>
      <c r="AD338" s="79" t="s">
        <v>257</v>
      </c>
      <c r="AE338" s="80"/>
      <c r="AF338" s="80"/>
      <c r="AG338" s="80"/>
      <c r="AH338" s="80"/>
      <c r="AI338" s="80"/>
      <c r="AJ338" s="80"/>
      <c r="AK338" s="80"/>
      <c r="AL338" s="80"/>
      <c r="AM338" s="80"/>
      <c r="AN338" s="80"/>
      <c r="AO338" s="80"/>
      <c r="AP338" s="80"/>
      <c r="AQ338" s="80"/>
      <c r="AR338" s="80"/>
      <c r="AS338" s="80"/>
      <c r="AT338" s="80"/>
      <c r="AU338" s="80"/>
      <c r="AV338" s="80"/>
      <c r="AW338" s="80"/>
    </row>
    <row r="339" spans="1:49" ht="31.5" x14ac:dyDescent="0.25">
      <c r="A339" s="52" t="s">
        <v>121</v>
      </c>
      <c r="B339" s="55">
        <v>46071</v>
      </c>
      <c r="C339" s="55">
        <v>46071</v>
      </c>
      <c r="D339" s="52" t="s">
        <v>177</v>
      </c>
      <c r="E339" s="59">
        <v>0.79166666666666663</v>
      </c>
      <c r="F339" s="59">
        <v>0.99930555555555556</v>
      </c>
      <c r="G339" s="62">
        <v>1.7361111111111109E-4</v>
      </c>
      <c r="H339" s="63" t="s">
        <v>122</v>
      </c>
      <c r="I339" s="64">
        <v>0.96881944444444446</v>
      </c>
      <c r="J339" s="52" t="s">
        <v>123</v>
      </c>
      <c r="K339" s="52" t="s">
        <v>182</v>
      </c>
      <c r="L339" s="67">
        <v>1</v>
      </c>
      <c r="M339" s="67">
        <v>69566</v>
      </c>
      <c r="N339" s="52" t="s">
        <v>54</v>
      </c>
      <c r="O339" s="67" t="s">
        <v>124</v>
      </c>
      <c r="P339" s="70">
        <v>0</v>
      </c>
      <c r="Q339" s="67"/>
      <c r="R339" s="70">
        <v>16.531831119544499</v>
      </c>
      <c r="S339" s="75">
        <v>46054</v>
      </c>
      <c r="T339" s="70">
        <v>0</v>
      </c>
      <c r="U339" s="77">
        <v>4</v>
      </c>
      <c r="V339" s="70">
        <v>0</v>
      </c>
      <c r="W339" s="52" t="s">
        <v>48</v>
      </c>
      <c r="X339" s="52" t="s">
        <v>49</v>
      </c>
      <c r="Y339" s="52" t="s">
        <v>36</v>
      </c>
      <c r="Z339" s="52" t="s">
        <v>9</v>
      </c>
      <c r="AA339" s="52" t="s">
        <v>50</v>
      </c>
      <c r="AB339" s="52" t="s">
        <v>125</v>
      </c>
      <c r="AC339" s="52" t="s">
        <v>38</v>
      </c>
      <c r="AD339" s="79" t="s">
        <v>257</v>
      </c>
      <c r="AE339" s="80"/>
      <c r="AF339" s="80"/>
      <c r="AG339" s="80"/>
      <c r="AH339" s="80"/>
      <c r="AI339" s="80"/>
      <c r="AJ339" s="80"/>
      <c r="AK339" s="80"/>
      <c r="AL339" s="80"/>
      <c r="AM339" s="80"/>
      <c r="AN339" s="80"/>
      <c r="AO339" s="80"/>
      <c r="AP339" s="80"/>
      <c r="AQ339" s="80"/>
      <c r="AR339" s="80"/>
      <c r="AS339" s="80"/>
      <c r="AT339" s="80"/>
      <c r="AU339" s="80"/>
      <c r="AV339" s="80"/>
      <c r="AW339" s="80"/>
    </row>
    <row r="340" spans="1:49" ht="31.5" x14ac:dyDescent="0.25">
      <c r="A340" s="52" t="s">
        <v>121</v>
      </c>
      <c r="B340" s="55">
        <v>46071</v>
      </c>
      <c r="C340" s="55">
        <v>46071</v>
      </c>
      <c r="D340" s="52" t="s">
        <v>177</v>
      </c>
      <c r="E340" s="59">
        <v>0.79166666666666663</v>
      </c>
      <c r="F340" s="59">
        <v>0.99930555555555556</v>
      </c>
      <c r="G340" s="62">
        <v>1.7361111111111109E-4</v>
      </c>
      <c r="H340" s="63" t="s">
        <v>126</v>
      </c>
      <c r="I340" s="64">
        <v>0.97211805555555553</v>
      </c>
      <c r="J340" s="52" t="s">
        <v>123</v>
      </c>
      <c r="K340" s="52" t="s">
        <v>182</v>
      </c>
      <c r="L340" s="67">
        <v>1</v>
      </c>
      <c r="M340" s="67">
        <v>69566</v>
      </c>
      <c r="N340" s="52" t="s">
        <v>54</v>
      </c>
      <c r="O340" s="67" t="s">
        <v>124</v>
      </c>
      <c r="P340" s="70">
        <v>0</v>
      </c>
      <c r="Q340" s="67"/>
      <c r="R340" s="70">
        <v>16.531831119544499</v>
      </c>
      <c r="S340" s="75">
        <v>46054</v>
      </c>
      <c r="T340" s="70">
        <v>0</v>
      </c>
      <c r="U340" s="77">
        <v>4</v>
      </c>
      <c r="V340" s="70">
        <v>0</v>
      </c>
      <c r="W340" s="52" t="s">
        <v>48</v>
      </c>
      <c r="X340" s="52" t="s">
        <v>49</v>
      </c>
      <c r="Y340" s="52" t="s">
        <v>36</v>
      </c>
      <c r="Z340" s="52" t="s">
        <v>9</v>
      </c>
      <c r="AA340" s="52" t="s">
        <v>50</v>
      </c>
      <c r="AB340" s="52" t="s">
        <v>125</v>
      </c>
      <c r="AC340" s="52" t="s">
        <v>38</v>
      </c>
      <c r="AD340" s="79" t="s">
        <v>257</v>
      </c>
      <c r="AE340" s="80"/>
      <c r="AF340" s="80"/>
      <c r="AG340" s="80"/>
      <c r="AH340" s="80"/>
      <c r="AI340" s="80"/>
      <c r="AJ340" s="80"/>
      <c r="AK340" s="80"/>
      <c r="AL340" s="80"/>
      <c r="AM340" s="80"/>
      <c r="AN340" s="80"/>
      <c r="AO340" s="80"/>
      <c r="AP340" s="80"/>
      <c r="AQ340" s="80"/>
      <c r="AR340" s="80"/>
      <c r="AS340" s="80"/>
      <c r="AT340" s="80"/>
      <c r="AU340" s="80"/>
      <c r="AV340" s="80"/>
      <c r="AW340" s="80"/>
    </row>
    <row r="341" spans="1:49" ht="31.5" x14ac:dyDescent="0.25">
      <c r="A341" s="52" t="s">
        <v>121</v>
      </c>
      <c r="B341" s="55">
        <v>46072</v>
      </c>
      <c r="C341" s="55">
        <v>46072</v>
      </c>
      <c r="D341" s="52" t="s">
        <v>183</v>
      </c>
      <c r="E341" s="59">
        <v>0.45833333333333331</v>
      </c>
      <c r="F341" s="59">
        <v>0.54166666666666663</v>
      </c>
      <c r="G341" s="62">
        <v>1.7361111111111109E-4</v>
      </c>
      <c r="H341" s="63" t="s">
        <v>158</v>
      </c>
      <c r="I341" s="64">
        <v>0.47245370370370371</v>
      </c>
      <c r="J341" s="52" t="s">
        <v>84</v>
      </c>
      <c r="K341" s="52" t="s">
        <v>150</v>
      </c>
      <c r="L341" s="67">
        <v>1</v>
      </c>
      <c r="M341" s="67">
        <v>69570</v>
      </c>
      <c r="N341" s="52" t="s">
        <v>54</v>
      </c>
      <c r="O341" s="67" t="s">
        <v>159</v>
      </c>
      <c r="P341" s="70">
        <v>0</v>
      </c>
      <c r="Q341" s="67"/>
      <c r="R341" s="70">
        <v>19.042139037433099</v>
      </c>
      <c r="S341" s="75">
        <v>46054</v>
      </c>
      <c r="T341" s="70">
        <v>0</v>
      </c>
      <c r="U341" s="77">
        <v>4</v>
      </c>
      <c r="V341" s="70">
        <v>0</v>
      </c>
      <c r="W341" s="52" t="s">
        <v>48</v>
      </c>
      <c r="X341" s="52" t="s">
        <v>49</v>
      </c>
      <c r="Y341" s="52" t="s">
        <v>36</v>
      </c>
      <c r="Z341" s="52" t="s">
        <v>9</v>
      </c>
      <c r="AA341" s="52" t="s">
        <v>50</v>
      </c>
      <c r="AB341" s="52" t="s">
        <v>160</v>
      </c>
      <c r="AC341" s="52" t="s">
        <v>38</v>
      </c>
      <c r="AD341" s="79" t="s">
        <v>257</v>
      </c>
      <c r="AE341" s="80"/>
      <c r="AF341" s="80"/>
      <c r="AG341" s="80"/>
      <c r="AH341" s="80"/>
      <c r="AI341" s="80"/>
      <c r="AJ341" s="80"/>
      <c r="AK341" s="80"/>
      <c r="AL341" s="80"/>
      <c r="AM341" s="80"/>
      <c r="AN341" s="80"/>
      <c r="AO341" s="80"/>
      <c r="AP341" s="80"/>
      <c r="AQ341" s="80"/>
      <c r="AR341" s="80"/>
      <c r="AS341" s="80"/>
      <c r="AT341" s="80"/>
      <c r="AU341" s="80"/>
      <c r="AV341" s="80"/>
      <c r="AW341" s="80"/>
    </row>
    <row r="342" spans="1:49" ht="31.5" x14ac:dyDescent="0.2">
      <c r="A342" s="52" t="s">
        <v>121</v>
      </c>
      <c r="B342" s="55">
        <v>46072</v>
      </c>
      <c r="C342" s="55">
        <v>46072</v>
      </c>
      <c r="D342" s="52" t="s">
        <v>183</v>
      </c>
      <c r="E342" s="59">
        <v>0.45833333333333331</v>
      </c>
      <c r="F342" s="59">
        <v>0.54166666666666663</v>
      </c>
      <c r="G342" s="62">
        <v>1.7361111111111109E-4</v>
      </c>
      <c r="H342" s="63" t="s">
        <v>161</v>
      </c>
      <c r="I342" s="64">
        <v>0.47332175925925923</v>
      </c>
      <c r="J342" s="52" t="s">
        <v>84</v>
      </c>
      <c r="K342" s="52" t="s">
        <v>150</v>
      </c>
      <c r="L342" s="67">
        <v>1</v>
      </c>
      <c r="M342" s="67">
        <v>69570</v>
      </c>
      <c r="N342" s="52" t="s">
        <v>54</v>
      </c>
      <c r="O342" s="67" t="s">
        <v>159</v>
      </c>
      <c r="P342" s="70">
        <v>0</v>
      </c>
      <c r="Q342" s="67"/>
      <c r="R342" s="70">
        <v>19.042139037433099</v>
      </c>
      <c r="S342" s="75">
        <v>46054</v>
      </c>
      <c r="T342" s="70">
        <v>0</v>
      </c>
      <c r="U342" s="77">
        <v>4</v>
      </c>
      <c r="V342" s="70">
        <v>0</v>
      </c>
      <c r="W342" s="52" t="s">
        <v>48</v>
      </c>
      <c r="X342" s="52" t="s">
        <v>49</v>
      </c>
      <c r="Y342" s="52" t="s">
        <v>36</v>
      </c>
      <c r="Z342" s="52" t="s">
        <v>9</v>
      </c>
      <c r="AA342" s="52" t="s">
        <v>50</v>
      </c>
      <c r="AB342" s="52" t="s">
        <v>160</v>
      </c>
      <c r="AC342" s="52" t="s">
        <v>38</v>
      </c>
      <c r="AD342" s="79" t="s">
        <v>257</v>
      </c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</row>
    <row r="343" spans="1:49" ht="31.5" x14ac:dyDescent="0.25">
      <c r="A343" s="52" t="s">
        <v>121</v>
      </c>
      <c r="B343" s="55">
        <v>46072</v>
      </c>
      <c r="C343" s="55">
        <v>46072</v>
      </c>
      <c r="D343" s="52" t="s">
        <v>183</v>
      </c>
      <c r="E343" s="59">
        <v>0.45833333333333331</v>
      </c>
      <c r="F343" s="59">
        <v>0.54166666666666663</v>
      </c>
      <c r="G343" s="62">
        <v>1.7361111111111109E-4</v>
      </c>
      <c r="H343" s="63" t="s">
        <v>162</v>
      </c>
      <c r="I343" s="64">
        <v>0.52546296296296291</v>
      </c>
      <c r="J343" s="52" t="s">
        <v>84</v>
      </c>
      <c r="K343" s="52" t="s">
        <v>140</v>
      </c>
      <c r="L343" s="67">
        <v>1</v>
      </c>
      <c r="M343" s="67">
        <v>69570</v>
      </c>
      <c r="N343" s="52" t="s">
        <v>54</v>
      </c>
      <c r="O343" s="67" t="s">
        <v>159</v>
      </c>
      <c r="P343" s="70">
        <v>0</v>
      </c>
      <c r="Q343" s="67"/>
      <c r="R343" s="70">
        <v>19.042139037433099</v>
      </c>
      <c r="S343" s="75">
        <v>46054</v>
      </c>
      <c r="T343" s="70">
        <v>0</v>
      </c>
      <c r="U343" s="77">
        <v>4</v>
      </c>
      <c r="V343" s="70">
        <v>0</v>
      </c>
      <c r="W343" s="52" t="s">
        <v>48</v>
      </c>
      <c r="X343" s="52" t="s">
        <v>49</v>
      </c>
      <c r="Y343" s="52" t="s">
        <v>36</v>
      </c>
      <c r="Z343" s="52" t="s">
        <v>9</v>
      </c>
      <c r="AA343" s="52" t="s">
        <v>50</v>
      </c>
      <c r="AB343" s="52" t="s">
        <v>160</v>
      </c>
      <c r="AC343" s="52" t="s">
        <v>38</v>
      </c>
      <c r="AD343" s="79" t="s">
        <v>257</v>
      </c>
      <c r="AE343" s="80"/>
      <c r="AF343" s="80"/>
      <c r="AG343" s="80"/>
      <c r="AH343" s="80"/>
      <c r="AI343" s="86"/>
      <c r="AJ343" s="86"/>
      <c r="AK343" s="86"/>
      <c r="AL343" s="86"/>
      <c r="AM343" s="86"/>
      <c r="AN343" s="86"/>
      <c r="AO343" s="86"/>
      <c r="AP343" s="86"/>
      <c r="AQ343" s="86"/>
      <c r="AR343" s="86"/>
      <c r="AS343" s="86"/>
      <c r="AT343" s="86"/>
      <c r="AU343" s="86"/>
      <c r="AV343" s="86"/>
      <c r="AW343" s="86"/>
    </row>
    <row r="344" spans="1:49" ht="31.5" x14ac:dyDescent="0.25">
      <c r="A344" s="52" t="s">
        <v>121</v>
      </c>
      <c r="B344" s="55">
        <v>46072</v>
      </c>
      <c r="C344" s="55">
        <v>46072</v>
      </c>
      <c r="D344" s="52" t="s">
        <v>183</v>
      </c>
      <c r="E344" s="59">
        <v>0.45833333333333331</v>
      </c>
      <c r="F344" s="59">
        <v>0.54166666666666663</v>
      </c>
      <c r="G344" s="62">
        <v>1.7361111111111109E-4</v>
      </c>
      <c r="H344" s="63" t="s">
        <v>161</v>
      </c>
      <c r="I344" s="64">
        <v>0.52719907407407407</v>
      </c>
      <c r="J344" s="52" t="s">
        <v>84</v>
      </c>
      <c r="K344" s="52" t="s">
        <v>140</v>
      </c>
      <c r="L344" s="67">
        <v>1</v>
      </c>
      <c r="M344" s="67">
        <v>69570</v>
      </c>
      <c r="N344" s="52" t="s">
        <v>54</v>
      </c>
      <c r="O344" s="67" t="s">
        <v>159</v>
      </c>
      <c r="P344" s="70">
        <v>0</v>
      </c>
      <c r="Q344" s="67"/>
      <c r="R344" s="70">
        <v>19.042139037433099</v>
      </c>
      <c r="S344" s="75">
        <v>46054</v>
      </c>
      <c r="T344" s="70">
        <v>0</v>
      </c>
      <c r="U344" s="77">
        <v>4</v>
      </c>
      <c r="V344" s="70">
        <v>0</v>
      </c>
      <c r="W344" s="52" t="s">
        <v>48</v>
      </c>
      <c r="X344" s="52" t="s">
        <v>49</v>
      </c>
      <c r="Y344" s="52" t="s">
        <v>36</v>
      </c>
      <c r="Z344" s="52" t="s">
        <v>9</v>
      </c>
      <c r="AA344" s="52" t="s">
        <v>50</v>
      </c>
      <c r="AB344" s="52" t="s">
        <v>160</v>
      </c>
      <c r="AC344" s="52" t="s">
        <v>38</v>
      </c>
      <c r="AD344" s="79" t="s">
        <v>257</v>
      </c>
      <c r="AE344" s="80"/>
      <c r="AF344" s="80"/>
      <c r="AG344" s="80"/>
      <c r="AH344" s="80"/>
      <c r="AI344" s="80"/>
      <c r="AJ344" s="80"/>
      <c r="AK344" s="80"/>
      <c r="AL344" s="80"/>
      <c r="AM344" s="80"/>
      <c r="AN344" s="80"/>
      <c r="AO344" s="80"/>
      <c r="AP344" s="80"/>
      <c r="AQ344" s="80"/>
      <c r="AR344" s="80"/>
      <c r="AS344" s="80"/>
      <c r="AT344" s="80"/>
      <c r="AU344" s="80"/>
      <c r="AV344" s="80"/>
      <c r="AW344" s="80"/>
    </row>
    <row r="345" spans="1:49" ht="31.5" x14ac:dyDescent="0.25">
      <c r="A345" s="52" t="s">
        <v>121</v>
      </c>
      <c r="B345" s="55">
        <v>46072</v>
      </c>
      <c r="C345" s="55">
        <v>46072</v>
      </c>
      <c r="D345" s="52" t="s">
        <v>183</v>
      </c>
      <c r="E345" s="59">
        <v>0.45833333333333331</v>
      </c>
      <c r="F345" s="59">
        <v>0.54166666666666663</v>
      </c>
      <c r="G345" s="62">
        <v>1.7361111111111109E-4</v>
      </c>
      <c r="H345" s="63" t="s">
        <v>158</v>
      </c>
      <c r="I345" s="64">
        <v>0.54052083333333334</v>
      </c>
      <c r="J345" s="52" t="s">
        <v>84</v>
      </c>
      <c r="K345" s="52" t="s">
        <v>140</v>
      </c>
      <c r="L345" s="67">
        <v>1</v>
      </c>
      <c r="M345" s="67">
        <v>69570</v>
      </c>
      <c r="N345" s="52" t="s">
        <v>54</v>
      </c>
      <c r="O345" s="67" t="s">
        <v>159</v>
      </c>
      <c r="P345" s="70">
        <v>0</v>
      </c>
      <c r="Q345" s="67"/>
      <c r="R345" s="70">
        <v>19.042139037433099</v>
      </c>
      <c r="S345" s="75">
        <v>46054</v>
      </c>
      <c r="T345" s="70">
        <v>0</v>
      </c>
      <c r="U345" s="77">
        <v>4</v>
      </c>
      <c r="V345" s="70">
        <v>0</v>
      </c>
      <c r="W345" s="52" t="s">
        <v>48</v>
      </c>
      <c r="X345" s="52" t="s">
        <v>49</v>
      </c>
      <c r="Y345" s="52" t="s">
        <v>36</v>
      </c>
      <c r="Z345" s="52" t="s">
        <v>9</v>
      </c>
      <c r="AA345" s="52" t="s">
        <v>50</v>
      </c>
      <c r="AB345" s="52" t="s">
        <v>160</v>
      </c>
      <c r="AC345" s="52" t="s">
        <v>38</v>
      </c>
      <c r="AD345" s="79" t="s">
        <v>257</v>
      </c>
      <c r="AE345" s="80"/>
      <c r="AF345" s="80"/>
      <c r="AG345" s="80"/>
      <c r="AH345" s="80"/>
      <c r="AI345" s="86"/>
      <c r="AJ345" s="86"/>
      <c r="AK345" s="86"/>
      <c r="AL345" s="86"/>
      <c r="AM345" s="86"/>
      <c r="AN345" s="86"/>
      <c r="AO345" s="86"/>
      <c r="AP345" s="86"/>
      <c r="AQ345" s="86"/>
      <c r="AR345" s="86"/>
      <c r="AS345" s="86"/>
      <c r="AT345" s="86"/>
      <c r="AU345" s="86"/>
      <c r="AV345" s="86"/>
      <c r="AW345" s="86"/>
    </row>
    <row r="346" spans="1:49" ht="31.5" x14ac:dyDescent="0.25">
      <c r="A346" s="52" t="s">
        <v>121</v>
      </c>
      <c r="B346" s="55">
        <v>46072</v>
      </c>
      <c r="C346" s="55">
        <v>46072</v>
      </c>
      <c r="D346" s="52" t="s">
        <v>183</v>
      </c>
      <c r="E346" s="59">
        <v>0.45833333333333331</v>
      </c>
      <c r="F346" s="59">
        <v>0.54166666666666663</v>
      </c>
      <c r="G346" s="62">
        <v>1.7361111111111109E-4</v>
      </c>
      <c r="H346" s="63" t="s">
        <v>161</v>
      </c>
      <c r="I346" s="64">
        <v>0.54138888888888892</v>
      </c>
      <c r="J346" s="52" t="s">
        <v>84</v>
      </c>
      <c r="K346" s="52" t="s">
        <v>140</v>
      </c>
      <c r="L346" s="67">
        <v>1</v>
      </c>
      <c r="M346" s="67">
        <v>69570</v>
      </c>
      <c r="N346" s="52" t="s">
        <v>54</v>
      </c>
      <c r="O346" s="67" t="s">
        <v>159</v>
      </c>
      <c r="P346" s="70">
        <v>0</v>
      </c>
      <c r="Q346" s="67"/>
      <c r="R346" s="70">
        <v>19.042139037433099</v>
      </c>
      <c r="S346" s="75">
        <v>46054</v>
      </c>
      <c r="T346" s="70">
        <v>0</v>
      </c>
      <c r="U346" s="77">
        <v>4</v>
      </c>
      <c r="V346" s="70">
        <v>0</v>
      </c>
      <c r="W346" s="52" t="s">
        <v>48</v>
      </c>
      <c r="X346" s="52" t="s">
        <v>49</v>
      </c>
      <c r="Y346" s="52" t="s">
        <v>36</v>
      </c>
      <c r="Z346" s="52" t="s">
        <v>9</v>
      </c>
      <c r="AA346" s="52" t="s">
        <v>50</v>
      </c>
      <c r="AB346" s="52" t="s">
        <v>160</v>
      </c>
      <c r="AC346" s="52" t="s">
        <v>38</v>
      </c>
      <c r="AD346" s="79" t="s">
        <v>257</v>
      </c>
      <c r="AE346" s="80"/>
      <c r="AF346" s="80"/>
      <c r="AG346" s="80"/>
      <c r="AH346" s="80"/>
      <c r="AI346" s="80"/>
      <c r="AJ346" s="80"/>
      <c r="AK346" s="80"/>
      <c r="AL346" s="80"/>
      <c r="AM346" s="80"/>
      <c r="AN346" s="80"/>
      <c r="AO346" s="80"/>
      <c r="AP346" s="80"/>
      <c r="AQ346" s="80"/>
      <c r="AR346" s="80"/>
      <c r="AS346" s="80"/>
      <c r="AT346" s="80"/>
      <c r="AU346" s="80"/>
      <c r="AV346" s="80"/>
      <c r="AW346" s="80"/>
    </row>
    <row r="347" spans="1:49" ht="31.5" x14ac:dyDescent="0.25">
      <c r="A347" s="52" t="s">
        <v>121</v>
      </c>
      <c r="B347" s="55">
        <v>46072</v>
      </c>
      <c r="C347" s="55">
        <v>46072</v>
      </c>
      <c r="D347" s="52" t="s">
        <v>183</v>
      </c>
      <c r="E347" s="59">
        <v>0.79166666666666663</v>
      </c>
      <c r="F347" s="59">
        <v>0.99930555555555556</v>
      </c>
      <c r="G347" s="62">
        <v>1.7361111111111109E-4</v>
      </c>
      <c r="H347" s="63" t="s">
        <v>127</v>
      </c>
      <c r="I347" s="64">
        <v>0.81130787037037033</v>
      </c>
      <c r="J347" s="52" t="s">
        <v>123</v>
      </c>
      <c r="K347" s="52" t="s">
        <v>119</v>
      </c>
      <c r="L347" s="67">
        <v>1</v>
      </c>
      <c r="M347" s="67">
        <v>69566</v>
      </c>
      <c r="N347" s="52" t="s">
        <v>54</v>
      </c>
      <c r="O347" s="67" t="s">
        <v>124</v>
      </c>
      <c r="P347" s="70">
        <v>0</v>
      </c>
      <c r="Q347" s="67"/>
      <c r="R347" s="70">
        <v>16.531831119544499</v>
      </c>
      <c r="S347" s="75">
        <v>46054</v>
      </c>
      <c r="T347" s="70">
        <v>0</v>
      </c>
      <c r="U347" s="77">
        <v>4</v>
      </c>
      <c r="V347" s="70">
        <v>0</v>
      </c>
      <c r="W347" s="52" t="s">
        <v>48</v>
      </c>
      <c r="X347" s="52" t="s">
        <v>49</v>
      </c>
      <c r="Y347" s="52" t="s">
        <v>36</v>
      </c>
      <c r="Z347" s="52" t="s">
        <v>9</v>
      </c>
      <c r="AA347" s="52" t="s">
        <v>50</v>
      </c>
      <c r="AB347" s="52" t="s">
        <v>125</v>
      </c>
      <c r="AC347" s="52" t="s">
        <v>38</v>
      </c>
      <c r="AD347" s="79" t="s">
        <v>257</v>
      </c>
      <c r="AE347" s="80"/>
      <c r="AF347" s="80"/>
      <c r="AG347" s="80"/>
      <c r="AH347" s="80"/>
      <c r="AI347" s="80"/>
      <c r="AJ347" s="80"/>
      <c r="AK347" s="80"/>
      <c r="AL347" s="80"/>
      <c r="AM347" s="80"/>
      <c r="AN347" s="80"/>
      <c r="AO347" s="80"/>
      <c r="AP347" s="80"/>
      <c r="AQ347" s="80"/>
      <c r="AR347" s="80"/>
      <c r="AS347" s="80"/>
      <c r="AT347" s="80"/>
      <c r="AU347" s="80"/>
      <c r="AV347" s="80"/>
      <c r="AW347" s="80"/>
    </row>
    <row r="348" spans="1:49" ht="31.5" x14ac:dyDescent="0.25">
      <c r="A348" s="52" t="s">
        <v>121</v>
      </c>
      <c r="B348" s="55">
        <v>46072</v>
      </c>
      <c r="C348" s="55">
        <v>46072</v>
      </c>
      <c r="D348" s="52" t="s">
        <v>183</v>
      </c>
      <c r="E348" s="59">
        <v>0.79166666666666663</v>
      </c>
      <c r="F348" s="59">
        <v>0.99930555555555556</v>
      </c>
      <c r="G348" s="62">
        <v>1.7361111111111109E-4</v>
      </c>
      <c r="H348" s="63" t="s">
        <v>128</v>
      </c>
      <c r="I348" s="64">
        <v>0.81217592592592591</v>
      </c>
      <c r="J348" s="52" t="s">
        <v>123</v>
      </c>
      <c r="K348" s="52" t="s">
        <v>119</v>
      </c>
      <c r="L348" s="67">
        <v>1</v>
      </c>
      <c r="M348" s="67">
        <v>69566</v>
      </c>
      <c r="N348" s="52" t="s">
        <v>54</v>
      </c>
      <c r="O348" s="67" t="s">
        <v>124</v>
      </c>
      <c r="P348" s="70">
        <v>0</v>
      </c>
      <c r="Q348" s="67"/>
      <c r="R348" s="70">
        <v>16.531831119544499</v>
      </c>
      <c r="S348" s="75">
        <v>46054</v>
      </c>
      <c r="T348" s="70">
        <v>0</v>
      </c>
      <c r="U348" s="77">
        <v>4</v>
      </c>
      <c r="V348" s="70">
        <v>0</v>
      </c>
      <c r="W348" s="52" t="s">
        <v>48</v>
      </c>
      <c r="X348" s="52" t="s">
        <v>49</v>
      </c>
      <c r="Y348" s="52" t="s">
        <v>36</v>
      </c>
      <c r="Z348" s="52" t="s">
        <v>9</v>
      </c>
      <c r="AA348" s="52" t="s">
        <v>50</v>
      </c>
      <c r="AB348" s="52" t="s">
        <v>125</v>
      </c>
      <c r="AC348" s="52" t="s">
        <v>38</v>
      </c>
      <c r="AD348" s="79" t="s">
        <v>257</v>
      </c>
      <c r="AE348" s="80"/>
      <c r="AF348" s="80"/>
      <c r="AG348" s="80"/>
      <c r="AH348" s="80"/>
      <c r="AI348" s="80"/>
      <c r="AJ348" s="80"/>
      <c r="AK348" s="80"/>
      <c r="AL348" s="80"/>
      <c r="AM348" s="80"/>
      <c r="AN348" s="80"/>
      <c r="AO348" s="80"/>
      <c r="AP348" s="80"/>
      <c r="AQ348" s="80"/>
      <c r="AR348" s="80"/>
      <c r="AS348" s="80"/>
      <c r="AT348" s="80"/>
      <c r="AU348" s="80"/>
      <c r="AV348" s="80"/>
      <c r="AW348" s="80"/>
    </row>
    <row r="349" spans="1:49" ht="31.5" x14ac:dyDescent="0.25">
      <c r="A349" s="52" t="s">
        <v>121</v>
      </c>
      <c r="B349" s="55">
        <v>46072</v>
      </c>
      <c r="C349" s="55">
        <v>46072</v>
      </c>
      <c r="D349" s="52" t="s">
        <v>183</v>
      </c>
      <c r="E349" s="59">
        <v>0.79166666666666663</v>
      </c>
      <c r="F349" s="59">
        <v>0.99930555555555556</v>
      </c>
      <c r="G349" s="62">
        <v>1.7361111111111109E-4</v>
      </c>
      <c r="H349" s="63" t="s">
        <v>122</v>
      </c>
      <c r="I349" s="64">
        <v>0.8659027777777778</v>
      </c>
      <c r="J349" s="52" t="s">
        <v>123</v>
      </c>
      <c r="K349" s="52" t="s">
        <v>143</v>
      </c>
      <c r="L349" s="67">
        <v>1</v>
      </c>
      <c r="M349" s="67">
        <v>69567</v>
      </c>
      <c r="N349" s="52" t="s">
        <v>46</v>
      </c>
      <c r="O349" s="67" t="s">
        <v>124</v>
      </c>
      <c r="P349" s="70">
        <v>0</v>
      </c>
      <c r="Q349" s="67"/>
      <c r="R349" s="70">
        <v>0</v>
      </c>
      <c r="S349" s="75">
        <v>46054</v>
      </c>
      <c r="T349" s="70">
        <v>0</v>
      </c>
      <c r="U349" s="77">
        <v>4</v>
      </c>
      <c r="V349" s="70">
        <v>0</v>
      </c>
      <c r="W349" s="52" t="s">
        <v>48</v>
      </c>
      <c r="X349" s="52" t="s">
        <v>49</v>
      </c>
      <c r="Y349" s="52" t="s">
        <v>36</v>
      </c>
      <c r="Z349" s="52" t="s">
        <v>9</v>
      </c>
      <c r="AA349" s="52" t="s">
        <v>50</v>
      </c>
      <c r="AB349" s="52" t="s">
        <v>125</v>
      </c>
      <c r="AC349" s="52" t="s">
        <v>38</v>
      </c>
      <c r="AD349" s="79" t="s">
        <v>257</v>
      </c>
      <c r="AE349" s="80"/>
      <c r="AF349" s="80"/>
      <c r="AG349" s="80"/>
      <c r="AH349" s="80"/>
      <c r="AI349" s="80"/>
      <c r="AJ349" s="80"/>
      <c r="AK349" s="80"/>
      <c r="AL349" s="80"/>
      <c r="AM349" s="80"/>
      <c r="AN349" s="80"/>
      <c r="AO349" s="80"/>
      <c r="AP349" s="80"/>
      <c r="AQ349" s="80"/>
      <c r="AR349" s="80"/>
      <c r="AS349" s="80"/>
      <c r="AT349" s="80"/>
      <c r="AU349" s="80"/>
      <c r="AV349" s="80"/>
      <c r="AW349" s="80"/>
    </row>
    <row r="350" spans="1:49" ht="31.5" x14ac:dyDescent="0.2">
      <c r="A350" s="52" t="s">
        <v>121</v>
      </c>
      <c r="B350" s="55">
        <v>46072</v>
      </c>
      <c r="C350" s="55">
        <v>46072</v>
      </c>
      <c r="D350" s="52" t="s">
        <v>183</v>
      </c>
      <c r="E350" s="59">
        <v>0.79166666666666663</v>
      </c>
      <c r="F350" s="59">
        <v>0.99930555555555556</v>
      </c>
      <c r="G350" s="62">
        <v>1.7361111111111109E-4</v>
      </c>
      <c r="H350" s="63" t="s">
        <v>126</v>
      </c>
      <c r="I350" s="64">
        <v>0.86694444444444441</v>
      </c>
      <c r="J350" s="52" t="s">
        <v>123</v>
      </c>
      <c r="K350" s="52" t="s">
        <v>143</v>
      </c>
      <c r="L350" s="67">
        <v>1</v>
      </c>
      <c r="M350" s="67">
        <v>69567</v>
      </c>
      <c r="N350" s="52" t="s">
        <v>46</v>
      </c>
      <c r="O350" s="67" t="s">
        <v>124</v>
      </c>
      <c r="P350" s="70">
        <v>0</v>
      </c>
      <c r="Q350" s="67"/>
      <c r="R350" s="70">
        <v>0</v>
      </c>
      <c r="S350" s="75">
        <v>46054</v>
      </c>
      <c r="T350" s="70">
        <v>0</v>
      </c>
      <c r="U350" s="77">
        <v>4</v>
      </c>
      <c r="V350" s="70">
        <v>0</v>
      </c>
      <c r="W350" s="52" t="s">
        <v>48</v>
      </c>
      <c r="X350" s="52" t="s">
        <v>49</v>
      </c>
      <c r="Y350" s="52" t="s">
        <v>36</v>
      </c>
      <c r="Z350" s="52" t="s">
        <v>9</v>
      </c>
      <c r="AA350" s="52" t="s">
        <v>50</v>
      </c>
      <c r="AB350" s="52" t="s">
        <v>125</v>
      </c>
      <c r="AC350" s="52" t="s">
        <v>38</v>
      </c>
      <c r="AD350" s="79" t="s">
        <v>257</v>
      </c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</row>
    <row r="351" spans="1:49" ht="31.5" x14ac:dyDescent="0.25">
      <c r="A351" s="52" t="s">
        <v>121</v>
      </c>
      <c r="B351" s="55">
        <v>46072</v>
      </c>
      <c r="C351" s="55">
        <v>46072</v>
      </c>
      <c r="D351" s="52" t="s">
        <v>183</v>
      </c>
      <c r="E351" s="59">
        <v>0.79166666666666663</v>
      </c>
      <c r="F351" s="59">
        <v>0.99930555555555556</v>
      </c>
      <c r="G351" s="62">
        <v>1.7361111111111109E-4</v>
      </c>
      <c r="H351" s="63" t="s">
        <v>122</v>
      </c>
      <c r="I351" s="64">
        <v>0.90832175925925929</v>
      </c>
      <c r="J351" s="52" t="s">
        <v>123</v>
      </c>
      <c r="K351" s="52" t="s">
        <v>137</v>
      </c>
      <c r="L351" s="67">
        <v>1</v>
      </c>
      <c r="M351" s="67">
        <v>69566</v>
      </c>
      <c r="N351" s="52" t="s">
        <v>54</v>
      </c>
      <c r="O351" s="67" t="s">
        <v>124</v>
      </c>
      <c r="P351" s="70">
        <v>0</v>
      </c>
      <c r="Q351" s="67"/>
      <c r="R351" s="70">
        <v>16.531831119544499</v>
      </c>
      <c r="S351" s="75">
        <v>46054</v>
      </c>
      <c r="T351" s="70">
        <v>0</v>
      </c>
      <c r="U351" s="77">
        <v>4</v>
      </c>
      <c r="V351" s="70">
        <v>0</v>
      </c>
      <c r="W351" s="52" t="s">
        <v>48</v>
      </c>
      <c r="X351" s="52" t="s">
        <v>49</v>
      </c>
      <c r="Y351" s="52" t="s">
        <v>36</v>
      </c>
      <c r="Z351" s="52" t="s">
        <v>9</v>
      </c>
      <c r="AA351" s="52" t="s">
        <v>50</v>
      </c>
      <c r="AB351" s="52" t="s">
        <v>125</v>
      </c>
      <c r="AC351" s="52" t="s">
        <v>38</v>
      </c>
      <c r="AD351" s="79" t="s">
        <v>257</v>
      </c>
      <c r="AE351" s="80"/>
      <c r="AF351" s="80"/>
      <c r="AG351" s="80"/>
      <c r="AH351" s="80"/>
      <c r="AI351" s="80"/>
      <c r="AJ351" s="80"/>
      <c r="AK351" s="80"/>
      <c r="AL351" s="80"/>
      <c r="AM351" s="80"/>
      <c r="AN351" s="80"/>
      <c r="AO351" s="80"/>
      <c r="AP351" s="80"/>
      <c r="AQ351" s="80"/>
      <c r="AR351" s="80"/>
      <c r="AS351" s="80"/>
      <c r="AT351" s="80"/>
      <c r="AU351" s="80"/>
      <c r="AV351" s="80"/>
      <c r="AW351" s="80"/>
    </row>
    <row r="352" spans="1:49" ht="31.5" x14ac:dyDescent="0.25">
      <c r="A352" s="52" t="s">
        <v>121</v>
      </c>
      <c r="B352" s="55">
        <v>46072</v>
      </c>
      <c r="C352" s="55">
        <v>46072</v>
      </c>
      <c r="D352" s="52" t="s">
        <v>183</v>
      </c>
      <c r="E352" s="59">
        <v>0.79166666666666663</v>
      </c>
      <c r="F352" s="59">
        <v>0.99930555555555556</v>
      </c>
      <c r="G352" s="62">
        <v>1.7361111111111109E-4</v>
      </c>
      <c r="H352" s="63" t="s">
        <v>126</v>
      </c>
      <c r="I352" s="64">
        <v>0.90937500000000004</v>
      </c>
      <c r="J352" s="52" t="s">
        <v>123</v>
      </c>
      <c r="K352" s="52" t="s">
        <v>137</v>
      </c>
      <c r="L352" s="67">
        <v>1</v>
      </c>
      <c r="M352" s="67">
        <v>69566</v>
      </c>
      <c r="N352" s="52" t="s">
        <v>54</v>
      </c>
      <c r="O352" s="67" t="s">
        <v>124</v>
      </c>
      <c r="P352" s="70">
        <v>0</v>
      </c>
      <c r="Q352" s="67"/>
      <c r="R352" s="70">
        <v>16.531831119544499</v>
      </c>
      <c r="S352" s="75">
        <v>46054</v>
      </c>
      <c r="T352" s="70">
        <v>0</v>
      </c>
      <c r="U352" s="77">
        <v>4</v>
      </c>
      <c r="V352" s="70">
        <v>0</v>
      </c>
      <c r="W352" s="52" t="s">
        <v>48</v>
      </c>
      <c r="X352" s="52" t="s">
        <v>49</v>
      </c>
      <c r="Y352" s="52" t="s">
        <v>36</v>
      </c>
      <c r="Z352" s="52" t="s">
        <v>9</v>
      </c>
      <c r="AA352" s="52" t="s">
        <v>50</v>
      </c>
      <c r="AB352" s="52" t="s">
        <v>125</v>
      </c>
      <c r="AC352" s="52" t="s">
        <v>38</v>
      </c>
      <c r="AD352" s="79" t="s">
        <v>257</v>
      </c>
      <c r="AE352" s="80"/>
      <c r="AF352" s="80"/>
      <c r="AG352" s="80"/>
      <c r="AH352" s="80"/>
      <c r="AI352" s="80"/>
      <c r="AJ352" s="80"/>
      <c r="AK352" s="80"/>
      <c r="AL352" s="80"/>
      <c r="AM352" s="80"/>
      <c r="AN352" s="80"/>
      <c r="AO352" s="80"/>
      <c r="AP352" s="80"/>
      <c r="AQ352" s="80"/>
      <c r="AR352" s="80"/>
      <c r="AS352" s="80"/>
      <c r="AT352" s="80"/>
      <c r="AU352" s="80"/>
      <c r="AV352" s="80"/>
      <c r="AW352" s="80"/>
    </row>
    <row r="353" spans="1:49" ht="31.5" x14ac:dyDescent="0.2">
      <c r="A353" s="52" t="s">
        <v>121</v>
      </c>
      <c r="B353" s="55">
        <v>46072</v>
      </c>
      <c r="C353" s="55">
        <v>46072</v>
      </c>
      <c r="D353" s="52" t="s">
        <v>183</v>
      </c>
      <c r="E353" s="59">
        <v>0.79166666666666663</v>
      </c>
      <c r="F353" s="59">
        <v>0.99930555555555556</v>
      </c>
      <c r="G353" s="62">
        <v>1.7361111111111109E-4</v>
      </c>
      <c r="H353" s="63" t="s">
        <v>122</v>
      </c>
      <c r="I353" s="64">
        <v>0.9583680555555556</v>
      </c>
      <c r="J353" s="52" t="s">
        <v>123</v>
      </c>
      <c r="K353" s="52" t="s">
        <v>195</v>
      </c>
      <c r="L353" s="67">
        <v>1</v>
      </c>
      <c r="M353" s="67">
        <v>69567</v>
      </c>
      <c r="N353" s="52" t="s">
        <v>46</v>
      </c>
      <c r="O353" s="67" t="s">
        <v>124</v>
      </c>
      <c r="P353" s="70">
        <v>0</v>
      </c>
      <c r="Q353" s="67"/>
      <c r="R353" s="70">
        <v>0</v>
      </c>
      <c r="S353" s="75">
        <v>46054</v>
      </c>
      <c r="T353" s="70">
        <v>0</v>
      </c>
      <c r="U353" s="77">
        <v>4</v>
      </c>
      <c r="V353" s="70">
        <v>0</v>
      </c>
      <c r="W353" s="52" t="s">
        <v>48</v>
      </c>
      <c r="X353" s="52" t="s">
        <v>49</v>
      </c>
      <c r="Y353" s="52" t="s">
        <v>36</v>
      </c>
      <c r="Z353" s="52" t="s">
        <v>9</v>
      </c>
      <c r="AA353" s="52" t="s">
        <v>50</v>
      </c>
      <c r="AB353" s="52" t="s">
        <v>125</v>
      </c>
      <c r="AC353" s="52" t="s">
        <v>38</v>
      </c>
      <c r="AD353" s="79" t="s">
        <v>257</v>
      </c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</row>
    <row r="354" spans="1:49" ht="31.5" x14ac:dyDescent="0.2">
      <c r="A354" s="52" t="s">
        <v>121</v>
      </c>
      <c r="B354" s="55">
        <v>46072</v>
      </c>
      <c r="C354" s="55">
        <v>46072</v>
      </c>
      <c r="D354" s="52" t="s">
        <v>183</v>
      </c>
      <c r="E354" s="59">
        <v>0.79166666666666663</v>
      </c>
      <c r="F354" s="59">
        <v>0.99930555555555556</v>
      </c>
      <c r="G354" s="62">
        <v>1.7361111111111109E-4</v>
      </c>
      <c r="H354" s="63" t="s">
        <v>126</v>
      </c>
      <c r="I354" s="64">
        <v>0.96010416666666665</v>
      </c>
      <c r="J354" s="52" t="s">
        <v>123</v>
      </c>
      <c r="K354" s="52" t="s">
        <v>195</v>
      </c>
      <c r="L354" s="67">
        <v>1</v>
      </c>
      <c r="M354" s="67">
        <v>69567</v>
      </c>
      <c r="N354" s="52" t="s">
        <v>46</v>
      </c>
      <c r="O354" s="67" t="s">
        <v>124</v>
      </c>
      <c r="P354" s="70">
        <v>0</v>
      </c>
      <c r="Q354" s="67"/>
      <c r="R354" s="70">
        <v>0</v>
      </c>
      <c r="S354" s="75">
        <v>46054</v>
      </c>
      <c r="T354" s="70">
        <v>0</v>
      </c>
      <c r="U354" s="77">
        <v>4</v>
      </c>
      <c r="V354" s="70">
        <v>0</v>
      </c>
      <c r="W354" s="52" t="s">
        <v>48</v>
      </c>
      <c r="X354" s="52" t="s">
        <v>49</v>
      </c>
      <c r="Y354" s="52" t="s">
        <v>36</v>
      </c>
      <c r="Z354" s="52" t="s">
        <v>9</v>
      </c>
      <c r="AA354" s="52" t="s">
        <v>50</v>
      </c>
      <c r="AB354" s="52" t="s">
        <v>125</v>
      </c>
      <c r="AC354" s="52" t="s">
        <v>38</v>
      </c>
      <c r="AD354" s="79" t="s">
        <v>257</v>
      </c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</row>
    <row r="355" spans="1:49" ht="31.5" x14ac:dyDescent="0.2">
      <c r="A355" s="52" t="s">
        <v>121</v>
      </c>
      <c r="B355" s="55">
        <v>46072</v>
      </c>
      <c r="C355" s="55">
        <v>46072</v>
      </c>
      <c r="D355" s="52" t="s">
        <v>183</v>
      </c>
      <c r="E355" s="59">
        <v>0.79166666666666663</v>
      </c>
      <c r="F355" s="59">
        <v>0.99930555555555556</v>
      </c>
      <c r="G355" s="62">
        <v>1.7361111111111109E-4</v>
      </c>
      <c r="H355" s="63" t="s">
        <v>127</v>
      </c>
      <c r="I355" s="64">
        <v>0.9924884259259259</v>
      </c>
      <c r="J355" s="52" t="s">
        <v>123</v>
      </c>
      <c r="K355" s="52" t="s">
        <v>139</v>
      </c>
      <c r="L355" s="67">
        <v>1</v>
      </c>
      <c r="M355" s="67">
        <v>69566</v>
      </c>
      <c r="N355" s="52" t="s">
        <v>54</v>
      </c>
      <c r="O355" s="67" t="s">
        <v>124</v>
      </c>
      <c r="P355" s="70">
        <v>0</v>
      </c>
      <c r="Q355" s="67"/>
      <c r="R355" s="70">
        <v>16.531831119544499</v>
      </c>
      <c r="S355" s="75">
        <v>46054</v>
      </c>
      <c r="T355" s="70">
        <v>0</v>
      </c>
      <c r="U355" s="77">
        <v>4</v>
      </c>
      <c r="V355" s="70">
        <v>0</v>
      </c>
      <c r="W355" s="52" t="s">
        <v>48</v>
      </c>
      <c r="X355" s="52" t="s">
        <v>49</v>
      </c>
      <c r="Y355" s="52" t="s">
        <v>36</v>
      </c>
      <c r="Z355" s="52" t="s">
        <v>9</v>
      </c>
      <c r="AA355" s="52" t="s">
        <v>50</v>
      </c>
      <c r="AB355" s="52" t="s">
        <v>125</v>
      </c>
      <c r="AC355" s="52" t="s">
        <v>38</v>
      </c>
      <c r="AD355" s="79" t="s">
        <v>257</v>
      </c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</row>
    <row r="356" spans="1:49" ht="31.5" x14ac:dyDescent="0.25">
      <c r="A356" s="52" t="s">
        <v>121</v>
      </c>
      <c r="B356" s="55">
        <v>46072</v>
      </c>
      <c r="C356" s="55">
        <v>46072</v>
      </c>
      <c r="D356" s="52" t="s">
        <v>183</v>
      </c>
      <c r="E356" s="59">
        <v>0.79166666666666663</v>
      </c>
      <c r="F356" s="59">
        <v>0.99930555555555556</v>
      </c>
      <c r="G356" s="62">
        <v>1.7361111111111109E-4</v>
      </c>
      <c r="H356" s="63" t="s">
        <v>128</v>
      </c>
      <c r="I356" s="64">
        <v>0.99353009259259262</v>
      </c>
      <c r="J356" s="52" t="s">
        <v>123</v>
      </c>
      <c r="K356" s="52" t="s">
        <v>139</v>
      </c>
      <c r="L356" s="67">
        <v>1</v>
      </c>
      <c r="M356" s="67">
        <v>69566</v>
      </c>
      <c r="N356" s="52" t="s">
        <v>54</v>
      </c>
      <c r="O356" s="67" t="s">
        <v>124</v>
      </c>
      <c r="P356" s="70">
        <v>0</v>
      </c>
      <c r="Q356" s="67"/>
      <c r="R356" s="70">
        <v>16.531831119544499</v>
      </c>
      <c r="S356" s="75">
        <v>46054</v>
      </c>
      <c r="T356" s="70">
        <v>0</v>
      </c>
      <c r="U356" s="77">
        <v>4</v>
      </c>
      <c r="V356" s="70">
        <v>0</v>
      </c>
      <c r="W356" s="52" t="s">
        <v>48</v>
      </c>
      <c r="X356" s="52" t="s">
        <v>49</v>
      </c>
      <c r="Y356" s="52" t="s">
        <v>36</v>
      </c>
      <c r="Z356" s="52" t="s">
        <v>9</v>
      </c>
      <c r="AA356" s="52" t="s">
        <v>50</v>
      </c>
      <c r="AB356" s="52" t="s">
        <v>125</v>
      </c>
      <c r="AC356" s="52" t="s">
        <v>38</v>
      </c>
      <c r="AD356" s="79" t="s">
        <v>257</v>
      </c>
      <c r="AE356" s="80"/>
      <c r="AF356" s="80"/>
      <c r="AG356" s="80"/>
      <c r="AH356" s="80"/>
      <c r="AI356" s="86"/>
      <c r="AJ356" s="86"/>
      <c r="AK356" s="86"/>
      <c r="AL356" s="86"/>
      <c r="AM356" s="86"/>
      <c r="AN356" s="86"/>
      <c r="AO356" s="86"/>
      <c r="AP356" s="86"/>
      <c r="AQ356" s="86"/>
      <c r="AR356" s="86"/>
      <c r="AS356" s="86"/>
      <c r="AT356" s="86"/>
      <c r="AU356" s="86"/>
      <c r="AV356" s="86"/>
      <c r="AW356" s="86"/>
    </row>
    <row r="357" spans="1:49" ht="31.5" x14ac:dyDescent="0.25">
      <c r="A357" s="52" t="s">
        <v>121</v>
      </c>
      <c r="B357" s="55">
        <v>46073</v>
      </c>
      <c r="C357" s="55">
        <v>46073</v>
      </c>
      <c r="D357" s="52" t="s">
        <v>196</v>
      </c>
      <c r="E357" s="59">
        <v>0.45833333333333331</v>
      </c>
      <c r="F357" s="59">
        <v>0.54166666666666663</v>
      </c>
      <c r="G357" s="62">
        <v>1.7361111111111109E-4</v>
      </c>
      <c r="H357" s="63" t="s">
        <v>162</v>
      </c>
      <c r="I357" s="64">
        <v>0.48736111111111113</v>
      </c>
      <c r="J357" s="52" t="s">
        <v>84</v>
      </c>
      <c r="K357" s="52" t="s">
        <v>171</v>
      </c>
      <c r="L357" s="67">
        <v>1</v>
      </c>
      <c r="M357" s="67">
        <v>69570</v>
      </c>
      <c r="N357" s="52" t="s">
        <v>54</v>
      </c>
      <c r="O357" s="67" t="s">
        <v>159</v>
      </c>
      <c r="P357" s="70">
        <v>0</v>
      </c>
      <c r="Q357" s="67"/>
      <c r="R357" s="70">
        <v>19.042139037433099</v>
      </c>
      <c r="S357" s="75">
        <v>46054</v>
      </c>
      <c r="T357" s="70">
        <v>0</v>
      </c>
      <c r="U357" s="77">
        <v>4</v>
      </c>
      <c r="V357" s="70">
        <v>0</v>
      </c>
      <c r="W357" s="52" t="s">
        <v>48</v>
      </c>
      <c r="X357" s="52" t="s">
        <v>49</v>
      </c>
      <c r="Y357" s="52" t="s">
        <v>36</v>
      </c>
      <c r="Z357" s="52" t="s">
        <v>9</v>
      </c>
      <c r="AA357" s="52" t="s">
        <v>50</v>
      </c>
      <c r="AB357" s="52" t="s">
        <v>160</v>
      </c>
      <c r="AC357" s="52" t="s">
        <v>38</v>
      </c>
      <c r="AD357" s="79" t="s">
        <v>257</v>
      </c>
      <c r="AE357" s="80"/>
      <c r="AF357" s="80"/>
      <c r="AG357" s="80"/>
      <c r="AH357" s="80"/>
      <c r="AI357" s="80"/>
      <c r="AJ357" s="80"/>
      <c r="AK357" s="80"/>
      <c r="AL357" s="80"/>
      <c r="AM357" s="80"/>
      <c r="AN357" s="80"/>
      <c r="AO357" s="80"/>
      <c r="AP357" s="80"/>
      <c r="AQ357" s="80"/>
      <c r="AR357" s="80"/>
      <c r="AS357" s="80"/>
      <c r="AT357" s="80"/>
      <c r="AU357" s="80"/>
      <c r="AV357" s="80"/>
      <c r="AW357" s="80"/>
    </row>
    <row r="358" spans="1:49" ht="31.5" x14ac:dyDescent="0.25">
      <c r="A358" s="52" t="s">
        <v>121</v>
      </c>
      <c r="B358" s="55">
        <v>46073</v>
      </c>
      <c r="C358" s="55">
        <v>46073</v>
      </c>
      <c r="D358" s="52" t="s">
        <v>196</v>
      </c>
      <c r="E358" s="59">
        <v>0.45833333333333331</v>
      </c>
      <c r="F358" s="59">
        <v>0.54166666666666663</v>
      </c>
      <c r="G358" s="62">
        <v>1.7361111111111109E-4</v>
      </c>
      <c r="H358" s="63" t="s">
        <v>161</v>
      </c>
      <c r="I358" s="64">
        <v>0.48927083333333332</v>
      </c>
      <c r="J358" s="52" t="s">
        <v>84</v>
      </c>
      <c r="K358" s="52" t="s">
        <v>171</v>
      </c>
      <c r="L358" s="67">
        <v>1</v>
      </c>
      <c r="M358" s="67">
        <v>69570</v>
      </c>
      <c r="N358" s="52" t="s">
        <v>54</v>
      </c>
      <c r="O358" s="67" t="s">
        <v>159</v>
      </c>
      <c r="P358" s="70">
        <v>0</v>
      </c>
      <c r="Q358" s="67"/>
      <c r="R358" s="70">
        <v>19.042139037433099</v>
      </c>
      <c r="S358" s="75">
        <v>46054</v>
      </c>
      <c r="T358" s="70">
        <v>0</v>
      </c>
      <c r="U358" s="77">
        <v>4</v>
      </c>
      <c r="V358" s="70">
        <v>0</v>
      </c>
      <c r="W358" s="52" t="s">
        <v>48</v>
      </c>
      <c r="X358" s="52" t="s">
        <v>49</v>
      </c>
      <c r="Y358" s="52" t="s">
        <v>36</v>
      </c>
      <c r="Z358" s="52" t="s">
        <v>9</v>
      </c>
      <c r="AA358" s="52" t="s">
        <v>50</v>
      </c>
      <c r="AB358" s="52" t="s">
        <v>160</v>
      </c>
      <c r="AC358" s="52" t="s">
        <v>38</v>
      </c>
      <c r="AD358" s="79" t="s">
        <v>257</v>
      </c>
      <c r="AE358" s="80"/>
      <c r="AF358" s="80"/>
      <c r="AG358" s="80"/>
      <c r="AH358" s="80"/>
      <c r="AI358" s="80"/>
      <c r="AJ358" s="80"/>
      <c r="AK358" s="80"/>
      <c r="AL358" s="80"/>
      <c r="AM358" s="80"/>
      <c r="AN358" s="80"/>
      <c r="AO358" s="80"/>
      <c r="AP358" s="80"/>
      <c r="AQ358" s="80"/>
      <c r="AR358" s="80"/>
      <c r="AS358" s="80"/>
      <c r="AT358" s="80"/>
      <c r="AU358" s="80"/>
      <c r="AV358" s="80"/>
      <c r="AW358" s="80"/>
    </row>
    <row r="359" spans="1:49" ht="31.5" x14ac:dyDescent="0.25">
      <c r="A359" s="52" t="s">
        <v>121</v>
      </c>
      <c r="B359" s="55">
        <v>46073</v>
      </c>
      <c r="C359" s="55">
        <v>46073</v>
      </c>
      <c r="D359" s="52" t="s">
        <v>196</v>
      </c>
      <c r="E359" s="59">
        <v>0.45833333333333331</v>
      </c>
      <c r="F359" s="59">
        <v>0.54166666666666663</v>
      </c>
      <c r="G359" s="62">
        <v>1.7361111111111109E-4</v>
      </c>
      <c r="H359" s="63" t="s">
        <v>158</v>
      </c>
      <c r="I359" s="64">
        <v>0.50665509259259256</v>
      </c>
      <c r="J359" s="52" t="s">
        <v>84</v>
      </c>
      <c r="K359" s="52" t="s">
        <v>140</v>
      </c>
      <c r="L359" s="67">
        <v>1</v>
      </c>
      <c r="M359" s="67">
        <v>69570</v>
      </c>
      <c r="N359" s="52" t="s">
        <v>54</v>
      </c>
      <c r="O359" s="67" t="s">
        <v>159</v>
      </c>
      <c r="P359" s="70">
        <v>0</v>
      </c>
      <c r="Q359" s="67"/>
      <c r="R359" s="70">
        <v>19.042139037433099</v>
      </c>
      <c r="S359" s="75">
        <v>46054</v>
      </c>
      <c r="T359" s="70">
        <v>0</v>
      </c>
      <c r="U359" s="77">
        <v>4</v>
      </c>
      <c r="V359" s="70">
        <v>0</v>
      </c>
      <c r="W359" s="52" t="s">
        <v>48</v>
      </c>
      <c r="X359" s="52" t="s">
        <v>49</v>
      </c>
      <c r="Y359" s="52" t="s">
        <v>36</v>
      </c>
      <c r="Z359" s="52" t="s">
        <v>9</v>
      </c>
      <c r="AA359" s="52" t="s">
        <v>50</v>
      </c>
      <c r="AB359" s="52" t="s">
        <v>160</v>
      </c>
      <c r="AC359" s="52" t="s">
        <v>38</v>
      </c>
      <c r="AD359" s="79" t="s">
        <v>257</v>
      </c>
      <c r="AE359" s="80"/>
      <c r="AF359" s="80"/>
      <c r="AG359" s="80"/>
      <c r="AH359" s="80"/>
      <c r="AI359" s="80"/>
      <c r="AJ359" s="80"/>
      <c r="AK359" s="80"/>
      <c r="AL359" s="80"/>
      <c r="AM359" s="80"/>
      <c r="AN359" s="80"/>
      <c r="AO359" s="80"/>
      <c r="AP359" s="80"/>
      <c r="AQ359" s="80"/>
      <c r="AR359" s="80"/>
      <c r="AS359" s="80"/>
      <c r="AT359" s="80"/>
      <c r="AU359" s="80"/>
      <c r="AV359" s="80"/>
      <c r="AW359" s="80"/>
    </row>
    <row r="360" spans="1:49" ht="31.5" x14ac:dyDescent="0.25">
      <c r="A360" s="52" t="s">
        <v>121</v>
      </c>
      <c r="B360" s="55">
        <v>46073</v>
      </c>
      <c r="C360" s="55">
        <v>46073</v>
      </c>
      <c r="D360" s="52" t="s">
        <v>196</v>
      </c>
      <c r="E360" s="59">
        <v>0.45833333333333331</v>
      </c>
      <c r="F360" s="59">
        <v>0.54166666666666663</v>
      </c>
      <c r="G360" s="62">
        <v>1.7361111111111109E-4</v>
      </c>
      <c r="H360" s="63" t="s">
        <v>161</v>
      </c>
      <c r="I360" s="64">
        <v>0.50839120370370372</v>
      </c>
      <c r="J360" s="52" t="s">
        <v>84</v>
      </c>
      <c r="K360" s="52" t="s">
        <v>140</v>
      </c>
      <c r="L360" s="67">
        <v>1</v>
      </c>
      <c r="M360" s="67">
        <v>69570</v>
      </c>
      <c r="N360" s="52" t="s">
        <v>54</v>
      </c>
      <c r="O360" s="67" t="s">
        <v>159</v>
      </c>
      <c r="P360" s="70">
        <v>0</v>
      </c>
      <c r="Q360" s="67"/>
      <c r="R360" s="70">
        <v>19.042139037433099</v>
      </c>
      <c r="S360" s="75">
        <v>46054</v>
      </c>
      <c r="T360" s="70">
        <v>0</v>
      </c>
      <c r="U360" s="77">
        <v>4</v>
      </c>
      <c r="V360" s="70">
        <v>0</v>
      </c>
      <c r="W360" s="52" t="s">
        <v>48</v>
      </c>
      <c r="X360" s="52" t="s">
        <v>49</v>
      </c>
      <c r="Y360" s="52" t="s">
        <v>36</v>
      </c>
      <c r="Z360" s="52" t="s">
        <v>9</v>
      </c>
      <c r="AA360" s="52" t="s">
        <v>50</v>
      </c>
      <c r="AB360" s="52" t="s">
        <v>160</v>
      </c>
      <c r="AC360" s="52" t="s">
        <v>38</v>
      </c>
      <c r="AD360" s="79" t="s">
        <v>257</v>
      </c>
      <c r="AE360" s="80"/>
      <c r="AF360" s="80"/>
      <c r="AG360" s="80"/>
      <c r="AH360" s="80"/>
      <c r="AI360" s="80"/>
      <c r="AJ360" s="80"/>
      <c r="AK360" s="80"/>
      <c r="AL360" s="80"/>
      <c r="AM360" s="80"/>
      <c r="AN360" s="80"/>
      <c r="AO360" s="80"/>
      <c r="AP360" s="80"/>
      <c r="AQ360" s="80"/>
      <c r="AR360" s="80"/>
      <c r="AS360" s="80"/>
      <c r="AT360" s="80"/>
      <c r="AU360" s="80"/>
      <c r="AV360" s="80"/>
      <c r="AW360" s="80"/>
    </row>
    <row r="361" spans="1:49" ht="31.5" x14ac:dyDescent="0.2">
      <c r="A361" s="52" t="s">
        <v>121</v>
      </c>
      <c r="B361" s="55">
        <v>46073</v>
      </c>
      <c r="C361" s="55">
        <v>46073</v>
      </c>
      <c r="D361" s="52" t="s">
        <v>196</v>
      </c>
      <c r="E361" s="59">
        <v>0.45833333333333331</v>
      </c>
      <c r="F361" s="59">
        <v>0.54166666666666663</v>
      </c>
      <c r="G361" s="62">
        <v>1.7361111111111109E-4</v>
      </c>
      <c r="H361" s="63" t="s">
        <v>162</v>
      </c>
      <c r="I361" s="64">
        <v>0.53489583333333335</v>
      </c>
      <c r="J361" s="52" t="s">
        <v>84</v>
      </c>
      <c r="K361" s="52" t="s">
        <v>140</v>
      </c>
      <c r="L361" s="67">
        <v>1</v>
      </c>
      <c r="M361" s="67">
        <v>69570</v>
      </c>
      <c r="N361" s="52" t="s">
        <v>54</v>
      </c>
      <c r="O361" s="67" t="s">
        <v>159</v>
      </c>
      <c r="P361" s="70">
        <v>0</v>
      </c>
      <c r="Q361" s="67"/>
      <c r="R361" s="70">
        <v>19.042139037433099</v>
      </c>
      <c r="S361" s="75">
        <v>46054</v>
      </c>
      <c r="T361" s="70">
        <v>0</v>
      </c>
      <c r="U361" s="77">
        <v>4</v>
      </c>
      <c r="V361" s="70">
        <v>0</v>
      </c>
      <c r="W361" s="52" t="s">
        <v>48</v>
      </c>
      <c r="X361" s="52" t="s">
        <v>49</v>
      </c>
      <c r="Y361" s="52" t="s">
        <v>36</v>
      </c>
      <c r="Z361" s="52" t="s">
        <v>9</v>
      </c>
      <c r="AA361" s="52" t="s">
        <v>50</v>
      </c>
      <c r="AB361" s="52" t="s">
        <v>160</v>
      </c>
      <c r="AC361" s="52" t="s">
        <v>38</v>
      </c>
      <c r="AD361" s="79" t="s">
        <v>257</v>
      </c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</row>
    <row r="362" spans="1:49" ht="31.5" x14ac:dyDescent="0.2">
      <c r="A362" s="52" t="s">
        <v>121</v>
      </c>
      <c r="B362" s="55">
        <v>46073</v>
      </c>
      <c r="C362" s="55">
        <v>46073</v>
      </c>
      <c r="D362" s="52" t="s">
        <v>196</v>
      </c>
      <c r="E362" s="59">
        <v>0.45833333333333331</v>
      </c>
      <c r="F362" s="59">
        <v>0.54166666666666663</v>
      </c>
      <c r="G362" s="62">
        <v>1.7361111111111109E-4</v>
      </c>
      <c r="H362" s="63" t="s">
        <v>161</v>
      </c>
      <c r="I362" s="64">
        <v>0.53680555555555554</v>
      </c>
      <c r="J362" s="52" t="s">
        <v>84</v>
      </c>
      <c r="K362" s="52" t="s">
        <v>140</v>
      </c>
      <c r="L362" s="67">
        <v>1</v>
      </c>
      <c r="M362" s="67">
        <v>69570</v>
      </c>
      <c r="N362" s="52" t="s">
        <v>54</v>
      </c>
      <c r="O362" s="67" t="s">
        <v>159</v>
      </c>
      <c r="P362" s="70">
        <v>0</v>
      </c>
      <c r="Q362" s="67"/>
      <c r="R362" s="70">
        <v>19.042139037433099</v>
      </c>
      <c r="S362" s="75">
        <v>46054</v>
      </c>
      <c r="T362" s="70">
        <v>0</v>
      </c>
      <c r="U362" s="77">
        <v>4</v>
      </c>
      <c r="V362" s="70">
        <v>0</v>
      </c>
      <c r="W362" s="52" t="s">
        <v>48</v>
      </c>
      <c r="X362" s="52" t="s">
        <v>49</v>
      </c>
      <c r="Y362" s="52" t="s">
        <v>36</v>
      </c>
      <c r="Z362" s="52" t="s">
        <v>9</v>
      </c>
      <c r="AA362" s="52" t="s">
        <v>50</v>
      </c>
      <c r="AB362" s="52" t="s">
        <v>160</v>
      </c>
      <c r="AC362" s="52" t="s">
        <v>38</v>
      </c>
      <c r="AD362" s="79" t="s">
        <v>257</v>
      </c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</row>
    <row r="363" spans="1:49" ht="31.5" x14ac:dyDescent="0.2">
      <c r="A363" s="52" t="s">
        <v>121</v>
      </c>
      <c r="B363" s="55">
        <v>46073</v>
      </c>
      <c r="C363" s="55">
        <v>46073</v>
      </c>
      <c r="D363" s="52" t="s">
        <v>196</v>
      </c>
      <c r="E363" s="59">
        <v>0.79166666666666663</v>
      </c>
      <c r="F363" s="59">
        <v>0.99930555555555556</v>
      </c>
      <c r="G363" s="62">
        <v>1.7361111111111109E-4</v>
      </c>
      <c r="H363" s="63" t="s">
        <v>122</v>
      </c>
      <c r="I363" s="64">
        <v>0.85311342592592587</v>
      </c>
      <c r="J363" s="52" t="s">
        <v>123</v>
      </c>
      <c r="K363" s="52" t="s">
        <v>143</v>
      </c>
      <c r="L363" s="67">
        <v>1</v>
      </c>
      <c r="M363" s="67">
        <v>69567</v>
      </c>
      <c r="N363" s="52" t="s">
        <v>46</v>
      </c>
      <c r="O363" s="67" t="s">
        <v>124</v>
      </c>
      <c r="P363" s="70">
        <v>0</v>
      </c>
      <c r="Q363" s="67"/>
      <c r="R363" s="70">
        <v>0</v>
      </c>
      <c r="S363" s="75">
        <v>46054</v>
      </c>
      <c r="T363" s="70">
        <v>0</v>
      </c>
      <c r="U363" s="77">
        <v>4</v>
      </c>
      <c r="V363" s="70">
        <v>0</v>
      </c>
      <c r="W363" s="52" t="s">
        <v>48</v>
      </c>
      <c r="X363" s="52" t="s">
        <v>49</v>
      </c>
      <c r="Y363" s="52" t="s">
        <v>36</v>
      </c>
      <c r="Z363" s="52" t="s">
        <v>9</v>
      </c>
      <c r="AA363" s="52" t="s">
        <v>50</v>
      </c>
      <c r="AB363" s="52" t="s">
        <v>125</v>
      </c>
      <c r="AC363" s="52" t="s">
        <v>38</v>
      </c>
      <c r="AD363" s="79" t="s">
        <v>257</v>
      </c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</row>
    <row r="364" spans="1:49" ht="31.5" x14ac:dyDescent="0.25">
      <c r="A364" s="52" t="s">
        <v>121</v>
      </c>
      <c r="B364" s="55">
        <v>46073</v>
      </c>
      <c r="C364" s="55">
        <v>46073</v>
      </c>
      <c r="D364" s="52" t="s">
        <v>196</v>
      </c>
      <c r="E364" s="59">
        <v>0.79166666666666663</v>
      </c>
      <c r="F364" s="59">
        <v>0.99930555555555556</v>
      </c>
      <c r="G364" s="62">
        <v>1.7361111111111109E-4</v>
      </c>
      <c r="H364" s="63" t="s">
        <v>126</v>
      </c>
      <c r="I364" s="64">
        <v>0.85484953703703703</v>
      </c>
      <c r="J364" s="52" t="s">
        <v>123</v>
      </c>
      <c r="K364" s="52" t="s">
        <v>143</v>
      </c>
      <c r="L364" s="67">
        <v>1</v>
      </c>
      <c r="M364" s="67">
        <v>69567</v>
      </c>
      <c r="N364" s="52" t="s">
        <v>46</v>
      </c>
      <c r="O364" s="67" t="s">
        <v>124</v>
      </c>
      <c r="P364" s="70">
        <v>0</v>
      </c>
      <c r="Q364" s="67"/>
      <c r="R364" s="70">
        <v>0</v>
      </c>
      <c r="S364" s="75">
        <v>46054</v>
      </c>
      <c r="T364" s="70">
        <v>0</v>
      </c>
      <c r="U364" s="77">
        <v>4</v>
      </c>
      <c r="V364" s="70">
        <v>0</v>
      </c>
      <c r="W364" s="52" t="s">
        <v>48</v>
      </c>
      <c r="X364" s="52" t="s">
        <v>49</v>
      </c>
      <c r="Y364" s="52" t="s">
        <v>36</v>
      </c>
      <c r="Z364" s="52" t="s">
        <v>9</v>
      </c>
      <c r="AA364" s="52" t="s">
        <v>50</v>
      </c>
      <c r="AB364" s="52" t="s">
        <v>125</v>
      </c>
      <c r="AC364" s="52" t="s">
        <v>38</v>
      </c>
      <c r="AD364" s="79" t="s">
        <v>257</v>
      </c>
      <c r="AE364" s="80"/>
      <c r="AF364" s="80"/>
      <c r="AG364" s="80"/>
      <c r="AH364" s="80"/>
      <c r="AI364" s="86"/>
      <c r="AJ364" s="86"/>
      <c r="AK364" s="86"/>
      <c r="AL364" s="86"/>
      <c r="AM364" s="86"/>
      <c r="AN364" s="86"/>
      <c r="AO364" s="86"/>
      <c r="AP364" s="86"/>
      <c r="AQ364" s="86"/>
      <c r="AR364" s="86"/>
      <c r="AS364" s="86"/>
      <c r="AT364" s="86"/>
      <c r="AU364" s="86"/>
      <c r="AV364" s="86"/>
      <c r="AW364" s="86"/>
    </row>
    <row r="365" spans="1:49" ht="31.5" x14ac:dyDescent="0.25">
      <c r="A365" s="52" t="s">
        <v>121</v>
      </c>
      <c r="B365" s="55">
        <v>46073</v>
      </c>
      <c r="C365" s="55">
        <v>46073</v>
      </c>
      <c r="D365" s="52" t="s">
        <v>196</v>
      </c>
      <c r="E365" s="59">
        <v>0.79166666666666663</v>
      </c>
      <c r="F365" s="59">
        <v>0.99930555555555556</v>
      </c>
      <c r="G365" s="62">
        <v>1.7361111111111109E-4</v>
      </c>
      <c r="H365" s="63" t="s">
        <v>122</v>
      </c>
      <c r="I365" s="64">
        <v>0.93141203703703701</v>
      </c>
      <c r="J365" s="52" t="s">
        <v>123</v>
      </c>
      <c r="K365" s="52" t="s">
        <v>213</v>
      </c>
      <c r="L365" s="67">
        <v>1</v>
      </c>
      <c r="M365" s="67">
        <v>69567</v>
      </c>
      <c r="N365" s="52" t="s">
        <v>46</v>
      </c>
      <c r="O365" s="67" t="s">
        <v>124</v>
      </c>
      <c r="P365" s="70">
        <v>0</v>
      </c>
      <c r="Q365" s="67"/>
      <c r="R365" s="70">
        <v>0</v>
      </c>
      <c r="S365" s="75">
        <v>46054</v>
      </c>
      <c r="T365" s="70">
        <v>0</v>
      </c>
      <c r="U365" s="77">
        <v>4</v>
      </c>
      <c r="V365" s="70">
        <v>0</v>
      </c>
      <c r="W365" s="52" t="s">
        <v>48</v>
      </c>
      <c r="X365" s="52" t="s">
        <v>49</v>
      </c>
      <c r="Y365" s="52" t="s">
        <v>36</v>
      </c>
      <c r="Z365" s="52" t="s">
        <v>9</v>
      </c>
      <c r="AA365" s="52" t="s">
        <v>50</v>
      </c>
      <c r="AB365" s="52" t="s">
        <v>125</v>
      </c>
      <c r="AC365" s="52" t="s">
        <v>38</v>
      </c>
      <c r="AD365" s="79" t="s">
        <v>257</v>
      </c>
      <c r="AE365" s="80"/>
      <c r="AF365" s="80"/>
      <c r="AG365" s="80"/>
      <c r="AH365" s="80"/>
      <c r="AI365" s="86"/>
      <c r="AJ365" s="86"/>
      <c r="AK365" s="86"/>
      <c r="AL365" s="86"/>
      <c r="AM365" s="86"/>
      <c r="AN365" s="86"/>
      <c r="AO365" s="86"/>
      <c r="AP365" s="86"/>
      <c r="AQ365" s="86"/>
      <c r="AR365" s="86"/>
      <c r="AS365" s="86"/>
      <c r="AT365" s="86"/>
      <c r="AU365" s="86"/>
      <c r="AV365" s="86"/>
      <c r="AW365" s="86"/>
    </row>
    <row r="366" spans="1:49" ht="31.5" x14ac:dyDescent="0.25">
      <c r="A366" s="52" t="s">
        <v>121</v>
      </c>
      <c r="B366" s="55">
        <v>46073</v>
      </c>
      <c r="C366" s="55">
        <v>46073</v>
      </c>
      <c r="D366" s="52" t="s">
        <v>196</v>
      </c>
      <c r="E366" s="59">
        <v>0.79166666666666663</v>
      </c>
      <c r="F366" s="59">
        <v>0.99930555555555556</v>
      </c>
      <c r="G366" s="62">
        <v>1.7361111111111109E-4</v>
      </c>
      <c r="H366" s="63" t="s">
        <v>126</v>
      </c>
      <c r="I366" s="64">
        <v>0.93384259259259261</v>
      </c>
      <c r="J366" s="52" t="s">
        <v>123</v>
      </c>
      <c r="K366" s="52" t="s">
        <v>213</v>
      </c>
      <c r="L366" s="67">
        <v>1</v>
      </c>
      <c r="M366" s="67">
        <v>69567</v>
      </c>
      <c r="N366" s="52" t="s">
        <v>46</v>
      </c>
      <c r="O366" s="67" t="s">
        <v>124</v>
      </c>
      <c r="P366" s="70">
        <v>0</v>
      </c>
      <c r="Q366" s="67"/>
      <c r="R366" s="70">
        <v>0</v>
      </c>
      <c r="S366" s="75">
        <v>46054</v>
      </c>
      <c r="T366" s="70">
        <v>0</v>
      </c>
      <c r="U366" s="77">
        <v>4</v>
      </c>
      <c r="V366" s="70">
        <v>0</v>
      </c>
      <c r="W366" s="52" t="s">
        <v>48</v>
      </c>
      <c r="X366" s="52" t="s">
        <v>49</v>
      </c>
      <c r="Y366" s="52" t="s">
        <v>36</v>
      </c>
      <c r="Z366" s="52" t="s">
        <v>9</v>
      </c>
      <c r="AA366" s="52" t="s">
        <v>50</v>
      </c>
      <c r="AB366" s="52" t="s">
        <v>125</v>
      </c>
      <c r="AC366" s="52" t="s">
        <v>38</v>
      </c>
      <c r="AD366" s="79" t="s">
        <v>257</v>
      </c>
      <c r="AE366" s="80"/>
      <c r="AF366" s="80"/>
      <c r="AG366" s="80"/>
      <c r="AH366" s="80"/>
      <c r="AI366" s="86"/>
      <c r="AJ366" s="86"/>
      <c r="AK366" s="86"/>
      <c r="AL366" s="86"/>
      <c r="AM366" s="86"/>
      <c r="AN366" s="86"/>
      <c r="AO366" s="86"/>
      <c r="AP366" s="86"/>
      <c r="AQ366" s="86"/>
      <c r="AR366" s="86"/>
      <c r="AS366" s="86"/>
      <c r="AT366" s="86"/>
      <c r="AU366" s="86"/>
      <c r="AV366" s="86"/>
      <c r="AW366" s="86"/>
    </row>
    <row r="367" spans="1:49" ht="31.5" x14ac:dyDescent="0.25">
      <c r="A367" s="52" t="s">
        <v>121</v>
      </c>
      <c r="B367" s="55">
        <v>46074</v>
      </c>
      <c r="C367" s="55">
        <v>46074</v>
      </c>
      <c r="D367" s="52" t="s">
        <v>214</v>
      </c>
      <c r="E367" s="59">
        <v>0.45833333333333331</v>
      </c>
      <c r="F367" s="59">
        <v>0.54166666666666663</v>
      </c>
      <c r="G367" s="62">
        <v>1.7361111111111109E-4</v>
      </c>
      <c r="H367" s="63" t="s">
        <v>158</v>
      </c>
      <c r="I367" s="64">
        <v>0.50445601851851851</v>
      </c>
      <c r="J367" s="52" t="s">
        <v>84</v>
      </c>
      <c r="K367" s="52" t="s">
        <v>140</v>
      </c>
      <c r="L367" s="67">
        <v>1</v>
      </c>
      <c r="M367" s="67">
        <v>69571</v>
      </c>
      <c r="N367" s="52" t="s">
        <v>46</v>
      </c>
      <c r="O367" s="67" t="s">
        <v>159</v>
      </c>
      <c r="P367" s="70">
        <v>0</v>
      </c>
      <c r="Q367" s="67"/>
      <c r="R367" s="70">
        <v>0</v>
      </c>
      <c r="S367" s="75">
        <v>46054</v>
      </c>
      <c r="T367" s="70">
        <v>0</v>
      </c>
      <c r="U367" s="77">
        <v>4</v>
      </c>
      <c r="V367" s="70">
        <v>0</v>
      </c>
      <c r="W367" s="52" t="s">
        <v>48</v>
      </c>
      <c r="X367" s="52" t="s">
        <v>49</v>
      </c>
      <c r="Y367" s="52" t="s">
        <v>36</v>
      </c>
      <c r="Z367" s="52" t="s">
        <v>9</v>
      </c>
      <c r="AA367" s="52" t="s">
        <v>50</v>
      </c>
      <c r="AB367" s="52" t="s">
        <v>160</v>
      </c>
      <c r="AC367" s="52" t="s">
        <v>38</v>
      </c>
      <c r="AD367" s="79" t="s">
        <v>257</v>
      </c>
      <c r="AE367" s="80"/>
      <c r="AF367" s="80"/>
      <c r="AG367" s="80"/>
      <c r="AH367" s="80"/>
      <c r="AI367" s="80"/>
      <c r="AJ367" s="80"/>
      <c r="AK367" s="80"/>
      <c r="AL367" s="80"/>
      <c r="AM367" s="80"/>
      <c r="AN367" s="80"/>
      <c r="AO367" s="80"/>
      <c r="AP367" s="80"/>
      <c r="AQ367" s="80"/>
      <c r="AR367" s="80"/>
      <c r="AS367" s="80"/>
      <c r="AT367" s="80"/>
      <c r="AU367" s="80"/>
      <c r="AV367" s="80"/>
      <c r="AW367" s="80"/>
    </row>
    <row r="368" spans="1:49" ht="31.5" x14ac:dyDescent="0.2">
      <c r="A368" s="52" t="s">
        <v>121</v>
      </c>
      <c r="B368" s="55">
        <v>46074</v>
      </c>
      <c r="C368" s="55">
        <v>46074</v>
      </c>
      <c r="D368" s="52" t="s">
        <v>214</v>
      </c>
      <c r="E368" s="59">
        <v>0.45833333333333331</v>
      </c>
      <c r="F368" s="59">
        <v>0.54166666666666663</v>
      </c>
      <c r="G368" s="62">
        <v>1.7361111111111109E-4</v>
      </c>
      <c r="H368" s="63" t="s">
        <v>161</v>
      </c>
      <c r="I368" s="64">
        <v>0.50619212962962967</v>
      </c>
      <c r="J368" s="52" t="s">
        <v>84</v>
      </c>
      <c r="K368" s="52" t="s">
        <v>140</v>
      </c>
      <c r="L368" s="67">
        <v>1</v>
      </c>
      <c r="M368" s="67">
        <v>69571</v>
      </c>
      <c r="N368" s="52" t="s">
        <v>46</v>
      </c>
      <c r="O368" s="67" t="s">
        <v>159</v>
      </c>
      <c r="P368" s="70">
        <v>0</v>
      </c>
      <c r="Q368" s="67"/>
      <c r="R368" s="70">
        <v>0</v>
      </c>
      <c r="S368" s="75">
        <v>46054</v>
      </c>
      <c r="T368" s="70">
        <v>0</v>
      </c>
      <c r="U368" s="77">
        <v>4</v>
      </c>
      <c r="V368" s="70">
        <v>0</v>
      </c>
      <c r="W368" s="52" t="s">
        <v>48</v>
      </c>
      <c r="X368" s="52" t="s">
        <v>49</v>
      </c>
      <c r="Y368" s="52" t="s">
        <v>36</v>
      </c>
      <c r="Z368" s="52" t="s">
        <v>9</v>
      </c>
      <c r="AA368" s="52" t="s">
        <v>50</v>
      </c>
      <c r="AB368" s="52" t="s">
        <v>160</v>
      </c>
      <c r="AC368" s="52" t="s">
        <v>38</v>
      </c>
      <c r="AD368" s="79" t="s">
        <v>257</v>
      </c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</row>
    <row r="369" spans="1:49" ht="31.5" x14ac:dyDescent="0.2">
      <c r="A369" s="52" t="s">
        <v>121</v>
      </c>
      <c r="B369" s="55">
        <v>46074</v>
      </c>
      <c r="C369" s="55">
        <v>46074</v>
      </c>
      <c r="D369" s="52" t="s">
        <v>214</v>
      </c>
      <c r="E369" s="59">
        <v>0.45833333333333331</v>
      </c>
      <c r="F369" s="59">
        <v>0.54166666666666663</v>
      </c>
      <c r="G369" s="62">
        <v>1.7361111111111109E-4</v>
      </c>
      <c r="H369" s="63" t="s">
        <v>162</v>
      </c>
      <c r="I369" s="64">
        <v>0.5190393518518519</v>
      </c>
      <c r="J369" s="52" t="s">
        <v>84</v>
      </c>
      <c r="K369" s="52" t="s">
        <v>140</v>
      </c>
      <c r="L369" s="67">
        <v>1</v>
      </c>
      <c r="M369" s="67">
        <v>69571</v>
      </c>
      <c r="N369" s="52" t="s">
        <v>46</v>
      </c>
      <c r="O369" s="67" t="s">
        <v>159</v>
      </c>
      <c r="P369" s="70">
        <v>0</v>
      </c>
      <c r="Q369" s="67"/>
      <c r="R369" s="70">
        <v>0</v>
      </c>
      <c r="S369" s="75">
        <v>46054</v>
      </c>
      <c r="T369" s="70">
        <v>0</v>
      </c>
      <c r="U369" s="77">
        <v>4</v>
      </c>
      <c r="V369" s="70">
        <v>0</v>
      </c>
      <c r="W369" s="52" t="s">
        <v>48</v>
      </c>
      <c r="X369" s="52" t="s">
        <v>49</v>
      </c>
      <c r="Y369" s="52" t="s">
        <v>36</v>
      </c>
      <c r="Z369" s="52" t="s">
        <v>9</v>
      </c>
      <c r="AA369" s="52" t="s">
        <v>50</v>
      </c>
      <c r="AB369" s="52" t="s">
        <v>160</v>
      </c>
      <c r="AC369" s="52" t="s">
        <v>38</v>
      </c>
      <c r="AD369" s="79" t="s">
        <v>257</v>
      </c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</row>
    <row r="370" spans="1:49" ht="31.5" x14ac:dyDescent="0.25">
      <c r="A370" s="52" t="s">
        <v>121</v>
      </c>
      <c r="B370" s="55">
        <v>46074</v>
      </c>
      <c r="C370" s="55">
        <v>46074</v>
      </c>
      <c r="D370" s="52" t="s">
        <v>214</v>
      </c>
      <c r="E370" s="59">
        <v>0.45833333333333331</v>
      </c>
      <c r="F370" s="59">
        <v>0.54166666666666663</v>
      </c>
      <c r="G370" s="62">
        <v>1.7361111111111109E-4</v>
      </c>
      <c r="H370" s="63" t="s">
        <v>161</v>
      </c>
      <c r="I370" s="64">
        <v>0.52094907407407409</v>
      </c>
      <c r="J370" s="52" t="s">
        <v>84</v>
      </c>
      <c r="K370" s="52" t="s">
        <v>140</v>
      </c>
      <c r="L370" s="67">
        <v>1</v>
      </c>
      <c r="M370" s="67">
        <v>69571</v>
      </c>
      <c r="N370" s="52" t="s">
        <v>46</v>
      </c>
      <c r="O370" s="67" t="s">
        <v>159</v>
      </c>
      <c r="P370" s="70">
        <v>0</v>
      </c>
      <c r="Q370" s="67"/>
      <c r="R370" s="70">
        <v>0</v>
      </c>
      <c r="S370" s="75">
        <v>46054</v>
      </c>
      <c r="T370" s="70">
        <v>0</v>
      </c>
      <c r="U370" s="77">
        <v>4</v>
      </c>
      <c r="V370" s="70">
        <v>0</v>
      </c>
      <c r="W370" s="52" t="s">
        <v>48</v>
      </c>
      <c r="X370" s="52" t="s">
        <v>49</v>
      </c>
      <c r="Y370" s="52" t="s">
        <v>36</v>
      </c>
      <c r="Z370" s="52" t="s">
        <v>9</v>
      </c>
      <c r="AA370" s="52" t="s">
        <v>50</v>
      </c>
      <c r="AB370" s="52" t="s">
        <v>160</v>
      </c>
      <c r="AC370" s="52" t="s">
        <v>38</v>
      </c>
      <c r="AD370" s="79" t="s">
        <v>257</v>
      </c>
      <c r="AE370" s="80"/>
      <c r="AF370" s="80"/>
      <c r="AG370" s="80"/>
      <c r="AH370" s="80"/>
      <c r="AI370" s="86"/>
      <c r="AJ370" s="86"/>
      <c r="AK370" s="86"/>
      <c r="AL370" s="86"/>
      <c r="AM370" s="86"/>
      <c r="AN370" s="86"/>
      <c r="AO370" s="86"/>
      <c r="AP370" s="86"/>
      <c r="AQ370" s="86"/>
      <c r="AR370" s="86"/>
      <c r="AS370" s="86"/>
      <c r="AT370" s="86"/>
      <c r="AU370" s="86"/>
      <c r="AV370" s="86"/>
      <c r="AW370" s="86"/>
    </row>
    <row r="371" spans="1:49" ht="31.5" x14ac:dyDescent="0.2">
      <c r="A371" s="52" t="s">
        <v>121</v>
      </c>
      <c r="B371" s="55">
        <v>46074</v>
      </c>
      <c r="C371" s="55">
        <v>46074</v>
      </c>
      <c r="D371" s="52" t="s">
        <v>214</v>
      </c>
      <c r="E371" s="59">
        <v>0.79166666666666663</v>
      </c>
      <c r="F371" s="59">
        <v>0.99930555555555556</v>
      </c>
      <c r="G371" s="62">
        <v>1.7361111111111109E-4</v>
      </c>
      <c r="H371" s="63" t="s">
        <v>122</v>
      </c>
      <c r="I371" s="64">
        <v>0.84453703703703709</v>
      </c>
      <c r="J371" s="52" t="s">
        <v>123</v>
      </c>
      <c r="K371" s="52" t="s">
        <v>143</v>
      </c>
      <c r="L371" s="67">
        <v>1</v>
      </c>
      <c r="M371" s="67">
        <v>69567</v>
      </c>
      <c r="N371" s="52" t="s">
        <v>46</v>
      </c>
      <c r="O371" s="67" t="s">
        <v>124</v>
      </c>
      <c r="P371" s="70">
        <v>0</v>
      </c>
      <c r="Q371" s="67"/>
      <c r="R371" s="70">
        <v>0</v>
      </c>
      <c r="S371" s="75">
        <v>46054</v>
      </c>
      <c r="T371" s="70">
        <v>0</v>
      </c>
      <c r="U371" s="77">
        <v>4</v>
      </c>
      <c r="V371" s="70">
        <v>0</v>
      </c>
      <c r="W371" s="52" t="s">
        <v>48</v>
      </c>
      <c r="X371" s="52" t="s">
        <v>49</v>
      </c>
      <c r="Y371" s="52" t="s">
        <v>36</v>
      </c>
      <c r="Z371" s="52" t="s">
        <v>9</v>
      </c>
      <c r="AA371" s="52" t="s">
        <v>50</v>
      </c>
      <c r="AB371" s="52" t="s">
        <v>125</v>
      </c>
      <c r="AC371" s="52" t="s">
        <v>38</v>
      </c>
      <c r="AD371" s="79" t="s">
        <v>257</v>
      </c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</row>
    <row r="372" spans="1:49" ht="31.5" x14ac:dyDescent="0.2">
      <c r="A372" s="52" t="s">
        <v>121</v>
      </c>
      <c r="B372" s="55">
        <v>46074</v>
      </c>
      <c r="C372" s="55">
        <v>46074</v>
      </c>
      <c r="D372" s="52" t="s">
        <v>214</v>
      </c>
      <c r="E372" s="59">
        <v>0.79166666666666663</v>
      </c>
      <c r="F372" s="59">
        <v>0.99930555555555556</v>
      </c>
      <c r="G372" s="62">
        <v>1.7361111111111109E-4</v>
      </c>
      <c r="H372" s="63" t="s">
        <v>126</v>
      </c>
      <c r="I372" s="64">
        <v>0.84575231481481483</v>
      </c>
      <c r="J372" s="52" t="s">
        <v>123</v>
      </c>
      <c r="K372" s="52" t="s">
        <v>143</v>
      </c>
      <c r="L372" s="67">
        <v>1</v>
      </c>
      <c r="M372" s="67">
        <v>69567</v>
      </c>
      <c r="N372" s="52" t="s">
        <v>46</v>
      </c>
      <c r="O372" s="67" t="s">
        <v>124</v>
      </c>
      <c r="P372" s="70">
        <v>0</v>
      </c>
      <c r="Q372" s="67"/>
      <c r="R372" s="70">
        <v>0</v>
      </c>
      <c r="S372" s="75">
        <v>46054</v>
      </c>
      <c r="T372" s="70">
        <v>0</v>
      </c>
      <c r="U372" s="77">
        <v>4</v>
      </c>
      <c r="V372" s="70">
        <v>0</v>
      </c>
      <c r="W372" s="52" t="s">
        <v>48</v>
      </c>
      <c r="X372" s="52" t="s">
        <v>49</v>
      </c>
      <c r="Y372" s="52" t="s">
        <v>36</v>
      </c>
      <c r="Z372" s="52" t="s">
        <v>9</v>
      </c>
      <c r="AA372" s="52" t="s">
        <v>50</v>
      </c>
      <c r="AB372" s="52" t="s">
        <v>125</v>
      </c>
      <c r="AC372" s="52" t="s">
        <v>38</v>
      </c>
      <c r="AD372" s="79" t="s">
        <v>257</v>
      </c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</row>
    <row r="373" spans="1:49" ht="31.5" x14ac:dyDescent="0.25">
      <c r="A373" s="52" t="s">
        <v>121</v>
      </c>
      <c r="B373" s="55">
        <v>46074</v>
      </c>
      <c r="C373" s="55">
        <v>46074</v>
      </c>
      <c r="D373" s="52" t="s">
        <v>214</v>
      </c>
      <c r="E373" s="59">
        <v>0.79166666666666663</v>
      </c>
      <c r="F373" s="59">
        <v>0.99930555555555556</v>
      </c>
      <c r="G373" s="62">
        <v>1.7361111111111109E-4</v>
      </c>
      <c r="H373" s="63" t="s">
        <v>122</v>
      </c>
      <c r="I373" s="64">
        <v>0.91167824074074078</v>
      </c>
      <c r="J373" s="52" t="s">
        <v>123</v>
      </c>
      <c r="K373" s="52" t="s">
        <v>144</v>
      </c>
      <c r="L373" s="67">
        <v>1</v>
      </c>
      <c r="M373" s="67">
        <v>69566</v>
      </c>
      <c r="N373" s="52" t="s">
        <v>54</v>
      </c>
      <c r="O373" s="67" t="s">
        <v>124</v>
      </c>
      <c r="P373" s="70">
        <v>0</v>
      </c>
      <c r="Q373" s="67"/>
      <c r="R373" s="70">
        <v>16.531831119544499</v>
      </c>
      <c r="S373" s="75">
        <v>46054</v>
      </c>
      <c r="T373" s="70">
        <v>0</v>
      </c>
      <c r="U373" s="77">
        <v>4</v>
      </c>
      <c r="V373" s="70">
        <v>0</v>
      </c>
      <c r="W373" s="52" t="s">
        <v>48</v>
      </c>
      <c r="X373" s="52" t="s">
        <v>49</v>
      </c>
      <c r="Y373" s="52" t="s">
        <v>36</v>
      </c>
      <c r="Z373" s="52" t="s">
        <v>9</v>
      </c>
      <c r="AA373" s="52" t="s">
        <v>50</v>
      </c>
      <c r="AB373" s="52" t="s">
        <v>125</v>
      </c>
      <c r="AC373" s="52" t="s">
        <v>38</v>
      </c>
      <c r="AD373" s="79" t="s">
        <v>257</v>
      </c>
      <c r="AE373" s="82"/>
      <c r="AF373" s="82"/>
      <c r="AG373" s="82"/>
      <c r="AH373" s="82"/>
      <c r="AI373" s="87"/>
      <c r="AJ373" s="87"/>
      <c r="AK373" s="87"/>
      <c r="AL373" s="87"/>
      <c r="AM373" s="87"/>
      <c r="AN373" s="87"/>
      <c r="AO373" s="87"/>
      <c r="AP373" s="87"/>
      <c r="AQ373" s="87"/>
      <c r="AR373" s="87"/>
      <c r="AS373" s="87"/>
      <c r="AT373" s="87"/>
      <c r="AU373" s="87"/>
      <c r="AV373" s="87"/>
      <c r="AW373" s="87"/>
    </row>
    <row r="374" spans="1:49" ht="31.5" x14ac:dyDescent="0.25">
      <c r="A374" s="52" t="s">
        <v>121</v>
      </c>
      <c r="B374" s="55">
        <v>46074</v>
      </c>
      <c r="C374" s="55">
        <v>46074</v>
      </c>
      <c r="D374" s="52" t="s">
        <v>214</v>
      </c>
      <c r="E374" s="59">
        <v>0.79166666666666663</v>
      </c>
      <c r="F374" s="59">
        <v>0.99930555555555556</v>
      </c>
      <c r="G374" s="62">
        <v>1.7361111111111109E-4</v>
      </c>
      <c r="H374" s="63" t="s">
        <v>126</v>
      </c>
      <c r="I374" s="64">
        <v>0.91202546296296294</v>
      </c>
      <c r="J374" s="52" t="s">
        <v>123</v>
      </c>
      <c r="K374" s="52" t="s">
        <v>144</v>
      </c>
      <c r="L374" s="67">
        <v>1</v>
      </c>
      <c r="M374" s="67">
        <v>69566</v>
      </c>
      <c r="N374" s="52" t="s">
        <v>54</v>
      </c>
      <c r="O374" s="67" t="s">
        <v>124</v>
      </c>
      <c r="P374" s="70">
        <v>0</v>
      </c>
      <c r="Q374" s="67"/>
      <c r="R374" s="70">
        <v>16.531831119544499</v>
      </c>
      <c r="S374" s="75">
        <v>46054</v>
      </c>
      <c r="T374" s="70">
        <v>0</v>
      </c>
      <c r="U374" s="77">
        <v>4</v>
      </c>
      <c r="V374" s="70">
        <v>0</v>
      </c>
      <c r="W374" s="52" t="s">
        <v>48</v>
      </c>
      <c r="X374" s="52" t="s">
        <v>49</v>
      </c>
      <c r="Y374" s="52" t="s">
        <v>36</v>
      </c>
      <c r="Z374" s="52" t="s">
        <v>9</v>
      </c>
      <c r="AA374" s="52" t="s">
        <v>50</v>
      </c>
      <c r="AB374" s="52" t="s">
        <v>125</v>
      </c>
      <c r="AC374" s="52" t="s">
        <v>38</v>
      </c>
      <c r="AD374" s="79" t="s">
        <v>257</v>
      </c>
      <c r="AE374" s="80"/>
      <c r="AF374" s="80"/>
      <c r="AG374" s="80"/>
      <c r="AH374" s="80"/>
      <c r="AI374" s="86"/>
      <c r="AJ374" s="86"/>
      <c r="AK374" s="86"/>
      <c r="AL374" s="86"/>
      <c r="AM374" s="86"/>
      <c r="AN374" s="86"/>
      <c r="AO374" s="86"/>
      <c r="AP374" s="86"/>
      <c r="AQ374" s="86"/>
      <c r="AR374" s="86"/>
      <c r="AS374" s="86"/>
      <c r="AT374" s="86"/>
      <c r="AU374" s="86"/>
      <c r="AV374" s="86"/>
      <c r="AW374" s="86"/>
    </row>
    <row r="375" spans="1:49" ht="31.5" x14ac:dyDescent="0.25">
      <c r="A375" s="52" t="s">
        <v>121</v>
      </c>
      <c r="B375" s="55">
        <v>46074</v>
      </c>
      <c r="C375" s="55">
        <v>46074</v>
      </c>
      <c r="D375" s="52" t="s">
        <v>214</v>
      </c>
      <c r="E375" s="59">
        <v>0.79166666666666663</v>
      </c>
      <c r="F375" s="59">
        <v>0.99930555555555556</v>
      </c>
      <c r="G375" s="62">
        <v>1.7361111111111109E-4</v>
      </c>
      <c r="H375" s="63" t="s">
        <v>122</v>
      </c>
      <c r="I375" s="64">
        <v>0.93392361111111111</v>
      </c>
      <c r="J375" s="52" t="s">
        <v>123</v>
      </c>
      <c r="K375" s="52" t="s">
        <v>144</v>
      </c>
      <c r="L375" s="67">
        <v>1</v>
      </c>
      <c r="M375" s="67">
        <v>69566</v>
      </c>
      <c r="N375" s="52" t="s">
        <v>54</v>
      </c>
      <c r="O375" s="67" t="s">
        <v>124</v>
      </c>
      <c r="P375" s="70">
        <v>0</v>
      </c>
      <c r="Q375" s="67"/>
      <c r="R375" s="70">
        <v>16.531831119544499</v>
      </c>
      <c r="S375" s="75">
        <v>46054</v>
      </c>
      <c r="T375" s="70">
        <v>0</v>
      </c>
      <c r="U375" s="77">
        <v>4</v>
      </c>
      <c r="V375" s="70">
        <v>0</v>
      </c>
      <c r="W375" s="52" t="s">
        <v>48</v>
      </c>
      <c r="X375" s="52" t="s">
        <v>49</v>
      </c>
      <c r="Y375" s="52" t="s">
        <v>36</v>
      </c>
      <c r="Z375" s="52" t="s">
        <v>9</v>
      </c>
      <c r="AA375" s="52" t="s">
        <v>50</v>
      </c>
      <c r="AB375" s="52" t="s">
        <v>125</v>
      </c>
      <c r="AC375" s="52" t="s">
        <v>38</v>
      </c>
      <c r="AD375" s="79" t="s">
        <v>257</v>
      </c>
      <c r="AE375" s="80"/>
      <c r="AF375" s="80"/>
      <c r="AG375" s="80"/>
      <c r="AH375" s="80"/>
      <c r="AI375" s="80"/>
      <c r="AJ375" s="80"/>
      <c r="AK375" s="80"/>
      <c r="AL375" s="80"/>
      <c r="AM375" s="80"/>
      <c r="AN375" s="80"/>
      <c r="AO375" s="80"/>
      <c r="AP375" s="80"/>
      <c r="AQ375" s="80"/>
      <c r="AR375" s="80"/>
      <c r="AS375" s="80"/>
      <c r="AT375" s="80"/>
      <c r="AU375" s="80"/>
      <c r="AV375" s="80"/>
      <c r="AW375" s="80"/>
    </row>
    <row r="376" spans="1:49" ht="31.5" x14ac:dyDescent="0.25">
      <c r="A376" s="52" t="s">
        <v>121</v>
      </c>
      <c r="B376" s="55">
        <v>46074</v>
      </c>
      <c r="C376" s="55">
        <v>46074</v>
      </c>
      <c r="D376" s="52" t="s">
        <v>214</v>
      </c>
      <c r="E376" s="59">
        <v>0.79166666666666663</v>
      </c>
      <c r="F376" s="59">
        <v>0.99930555555555556</v>
      </c>
      <c r="G376" s="62">
        <v>1.7361111111111109E-4</v>
      </c>
      <c r="H376" s="63" t="s">
        <v>126</v>
      </c>
      <c r="I376" s="64">
        <v>0.93513888888888885</v>
      </c>
      <c r="J376" s="52" t="s">
        <v>123</v>
      </c>
      <c r="K376" s="52" t="s">
        <v>144</v>
      </c>
      <c r="L376" s="67">
        <v>1</v>
      </c>
      <c r="M376" s="67">
        <v>69566</v>
      </c>
      <c r="N376" s="52" t="s">
        <v>54</v>
      </c>
      <c r="O376" s="67" t="s">
        <v>124</v>
      </c>
      <c r="P376" s="70">
        <v>0</v>
      </c>
      <c r="Q376" s="67"/>
      <c r="R376" s="70">
        <v>16.531831119544499</v>
      </c>
      <c r="S376" s="75">
        <v>46054</v>
      </c>
      <c r="T376" s="70">
        <v>0</v>
      </c>
      <c r="U376" s="77">
        <v>4</v>
      </c>
      <c r="V376" s="70">
        <v>0</v>
      </c>
      <c r="W376" s="52" t="s">
        <v>48</v>
      </c>
      <c r="X376" s="52" t="s">
        <v>49</v>
      </c>
      <c r="Y376" s="52" t="s">
        <v>36</v>
      </c>
      <c r="Z376" s="52" t="s">
        <v>9</v>
      </c>
      <c r="AA376" s="52" t="s">
        <v>50</v>
      </c>
      <c r="AB376" s="52" t="s">
        <v>125</v>
      </c>
      <c r="AC376" s="52" t="s">
        <v>38</v>
      </c>
      <c r="AD376" s="79" t="s">
        <v>257</v>
      </c>
      <c r="AE376" s="80"/>
      <c r="AF376" s="80"/>
      <c r="AG376" s="80"/>
      <c r="AH376" s="80"/>
      <c r="AI376" s="80"/>
      <c r="AJ376" s="80"/>
      <c r="AK376" s="80"/>
      <c r="AL376" s="80"/>
      <c r="AM376" s="80"/>
      <c r="AN376" s="80"/>
      <c r="AO376" s="80"/>
      <c r="AP376" s="80"/>
      <c r="AQ376" s="80"/>
      <c r="AR376" s="80"/>
      <c r="AS376" s="80"/>
      <c r="AT376" s="80"/>
      <c r="AU376" s="80"/>
      <c r="AV376" s="80"/>
      <c r="AW376" s="80"/>
    </row>
    <row r="377" spans="1:49" ht="31.5" x14ac:dyDescent="0.25">
      <c r="A377" s="52" t="s">
        <v>121</v>
      </c>
      <c r="B377" s="55">
        <v>46074</v>
      </c>
      <c r="C377" s="55">
        <v>46074</v>
      </c>
      <c r="D377" s="52" t="s">
        <v>214</v>
      </c>
      <c r="E377" s="59">
        <v>0.79166666666666663</v>
      </c>
      <c r="F377" s="59">
        <v>0.99930555555555556</v>
      </c>
      <c r="G377" s="62">
        <v>1.7361111111111109E-4</v>
      </c>
      <c r="H377" s="63" t="s">
        <v>122</v>
      </c>
      <c r="I377" s="64">
        <v>0.94714120370370369</v>
      </c>
      <c r="J377" s="52" t="s">
        <v>123</v>
      </c>
      <c r="K377" s="52" t="s">
        <v>182</v>
      </c>
      <c r="L377" s="67">
        <v>1</v>
      </c>
      <c r="M377" s="67">
        <v>69566</v>
      </c>
      <c r="N377" s="52" t="s">
        <v>54</v>
      </c>
      <c r="O377" s="67" t="s">
        <v>124</v>
      </c>
      <c r="P377" s="70">
        <v>0</v>
      </c>
      <c r="Q377" s="67"/>
      <c r="R377" s="70">
        <v>16.531831119544499</v>
      </c>
      <c r="S377" s="75">
        <v>46054</v>
      </c>
      <c r="T377" s="70">
        <v>0</v>
      </c>
      <c r="U377" s="77">
        <v>4</v>
      </c>
      <c r="V377" s="70">
        <v>0</v>
      </c>
      <c r="W377" s="52" t="s">
        <v>48</v>
      </c>
      <c r="X377" s="52" t="s">
        <v>49</v>
      </c>
      <c r="Y377" s="52" t="s">
        <v>36</v>
      </c>
      <c r="Z377" s="52" t="s">
        <v>9</v>
      </c>
      <c r="AA377" s="52" t="s">
        <v>50</v>
      </c>
      <c r="AB377" s="52" t="s">
        <v>125</v>
      </c>
      <c r="AC377" s="52" t="s">
        <v>38</v>
      </c>
      <c r="AD377" s="79" t="s">
        <v>257</v>
      </c>
      <c r="AE377" s="80"/>
      <c r="AF377" s="80"/>
      <c r="AG377" s="80"/>
      <c r="AH377" s="80"/>
      <c r="AI377" s="80"/>
      <c r="AJ377" s="80"/>
      <c r="AK377" s="80"/>
      <c r="AL377" s="80"/>
      <c r="AM377" s="80"/>
      <c r="AN377" s="80"/>
      <c r="AO377" s="80"/>
      <c r="AP377" s="80"/>
      <c r="AQ377" s="80"/>
      <c r="AR377" s="80"/>
      <c r="AS377" s="80"/>
      <c r="AT377" s="80"/>
      <c r="AU377" s="80"/>
      <c r="AV377" s="80"/>
      <c r="AW377" s="80"/>
    </row>
    <row r="378" spans="1:49" ht="31.5" x14ac:dyDescent="0.25">
      <c r="A378" s="52" t="s">
        <v>121</v>
      </c>
      <c r="B378" s="55">
        <v>46074</v>
      </c>
      <c r="C378" s="55">
        <v>46074</v>
      </c>
      <c r="D378" s="52" t="s">
        <v>214</v>
      </c>
      <c r="E378" s="59">
        <v>0.79166666666666663</v>
      </c>
      <c r="F378" s="59">
        <v>0.99930555555555556</v>
      </c>
      <c r="G378" s="62">
        <v>1.7361111111111109E-4</v>
      </c>
      <c r="H378" s="63" t="s">
        <v>126</v>
      </c>
      <c r="I378" s="64">
        <v>0.94974537037037032</v>
      </c>
      <c r="J378" s="52" t="s">
        <v>123</v>
      </c>
      <c r="K378" s="52" t="s">
        <v>182</v>
      </c>
      <c r="L378" s="67">
        <v>1</v>
      </c>
      <c r="M378" s="67">
        <v>69566</v>
      </c>
      <c r="N378" s="52" t="s">
        <v>54</v>
      </c>
      <c r="O378" s="67" t="s">
        <v>124</v>
      </c>
      <c r="P378" s="70">
        <v>0</v>
      </c>
      <c r="Q378" s="67"/>
      <c r="R378" s="70">
        <v>16.531831119544499</v>
      </c>
      <c r="S378" s="75">
        <v>46054</v>
      </c>
      <c r="T378" s="70">
        <v>0</v>
      </c>
      <c r="U378" s="77">
        <v>4</v>
      </c>
      <c r="V378" s="70">
        <v>0</v>
      </c>
      <c r="W378" s="52" t="s">
        <v>48</v>
      </c>
      <c r="X378" s="52" t="s">
        <v>49</v>
      </c>
      <c r="Y378" s="52" t="s">
        <v>36</v>
      </c>
      <c r="Z378" s="52" t="s">
        <v>9</v>
      </c>
      <c r="AA378" s="52" t="s">
        <v>50</v>
      </c>
      <c r="AB378" s="52" t="s">
        <v>125</v>
      </c>
      <c r="AC378" s="52" t="s">
        <v>38</v>
      </c>
      <c r="AD378" s="79" t="s">
        <v>257</v>
      </c>
      <c r="AE378" s="80"/>
      <c r="AF378" s="80"/>
      <c r="AG378" s="80"/>
      <c r="AH378" s="80"/>
      <c r="AI378" s="80"/>
      <c r="AJ378" s="80"/>
      <c r="AK378" s="80"/>
      <c r="AL378" s="80"/>
      <c r="AM378" s="80"/>
      <c r="AN378" s="80"/>
      <c r="AO378" s="80"/>
      <c r="AP378" s="80"/>
      <c r="AQ378" s="80"/>
      <c r="AR378" s="80"/>
      <c r="AS378" s="80"/>
      <c r="AT378" s="80"/>
      <c r="AU378" s="80"/>
      <c r="AV378" s="80"/>
      <c r="AW378" s="80"/>
    </row>
    <row r="379" spans="1:49" ht="31.5" x14ac:dyDescent="0.25">
      <c r="A379" s="52" t="s">
        <v>121</v>
      </c>
      <c r="B379" s="55">
        <v>46074</v>
      </c>
      <c r="C379" s="55">
        <v>46074</v>
      </c>
      <c r="D379" s="52" t="s">
        <v>214</v>
      </c>
      <c r="E379" s="59">
        <v>0.79166666666666663</v>
      </c>
      <c r="F379" s="59">
        <v>0.99930555555555556</v>
      </c>
      <c r="G379" s="62">
        <v>1.7361111111111109E-4</v>
      </c>
      <c r="H379" s="63" t="s">
        <v>122</v>
      </c>
      <c r="I379" s="64">
        <v>0.98982638888888885</v>
      </c>
      <c r="J379" s="52" t="s">
        <v>123</v>
      </c>
      <c r="K379" s="52" t="s">
        <v>182</v>
      </c>
      <c r="L379" s="67">
        <v>1</v>
      </c>
      <c r="M379" s="67">
        <v>69567</v>
      </c>
      <c r="N379" s="52" t="s">
        <v>46</v>
      </c>
      <c r="O379" s="67" t="s">
        <v>124</v>
      </c>
      <c r="P379" s="70">
        <v>0</v>
      </c>
      <c r="Q379" s="67"/>
      <c r="R379" s="70">
        <v>0</v>
      </c>
      <c r="S379" s="75">
        <v>46054</v>
      </c>
      <c r="T379" s="70">
        <v>0</v>
      </c>
      <c r="U379" s="77">
        <v>4</v>
      </c>
      <c r="V379" s="70">
        <v>0</v>
      </c>
      <c r="W379" s="52" t="s">
        <v>48</v>
      </c>
      <c r="X379" s="52" t="s">
        <v>49</v>
      </c>
      <c r="Y379" s="52" t="s">
        <v>36</v>
      </c>
      <c r="Z379" s="52" t="s">
        <v>9</v>
      </c>
      <c r="AA379" s="52" t="s">
        <v>50</v>
      </c>
      <c r="AB379" s="52" t="s">
        <v>125</v>
      </c>
      <c r="AC379" s="52" t="s">
        <v>38</v>
      </c>
      <c r="AD379" s="79" t="s">
        <v>257</v>
      </c>
      <c r="AE379" s="80"/>
      <c r="AF379" s="80"/>
      <c r="AG379" s="80"/>
      <c r="AH379" s="80"/>
      <c r="AI379" s="80"/>
      <c r="AJ379" s="80"/>
      <c r="AK379" s="80"/>
      <c r="AL379" s="80"/>
      <c r="AM379" s="80"/>
      <c r="AN379" s="80"/>
      <c r="AO379" s="80"/>
      <c r="AP379" s="80"/>
      <c r="AQ379" s="80"/>
      <c r="AR379" s="80"/>
      <c r="AS379" s="80"/>
      <c r="AT379" s="80"/>
      <c r="AU379" s="80"/>
      <c r="AV379" s="80"/>
      <c r="AW379" s="80"/>
    </row>
    <row r="380" spans="1:49" ht="31.5" x14ac:dyDescent="0.25">
      <c r="A380" s="52" t="s">
        <v>121</v>
      </c>
      <c r="B380" s="55">
        <v>46074</v>
      </c>
      <c r="C380" s="55">
        <v>46074</v>
      </c>
      <c r="D380" s="52" t="s">
        <v>214</v>
      </c>
      <c r="E380" s="59">
        <v>0.79166666666666663</v>
      </c>
      <c r="F380" s="59">
        <v>0.99930555555555556</v>
      </c>
      <c r="G380" s="62">
        <v>1.7361111111111109E-4</v>
      </c>
      <c r="H380" s="63" t="s">
        <v>126</v>
      </c>
      <c r="I380" s="64">
        <v>0.9929513888888889</v>
      </c>
      <c r="J380" s="52" t="s">
        <v>123</v>
      </c>
      <c r="K380" s="52" t="s">
        <v>182</v>
      </c>
      <c r="L380" s="67">
        <v>1</v>
      </c>
      <c r="M380" s="67">
        <v>69567</v>
      </c>
      <c r="N380" s="52" t="s">
        <v>46</v>
      </c>
      <c r="O380" s="67" t="s">
        <v>124</v>
      </c>
      <c r="P380" s="70">
        <v>0</v>
      </c>
      <c r="Q380" s="67"/>
      <c r="R380" s="70">
        <v>0</v>
      </c>
      <c r="S380" s="75">
        <v>46054</v>
      </c>
      <c r="T380" s="70">
        <v>0</v>
      </c>
      <c r="U380" s="77">
        <v>4</v>
      </c>
      <c r="V380" s="70">
        <v>0</v>
      </c>
      <c r="W380" s="52" t="s">
        <v>48</v>
      </c>
      <c r="X380" s="52" t="s">
        <v>49</v>
      </c>
      <c r="Y380" s="52" t="s">
        <v>36</v>
      </c>
      <c r="Z380" s="52" t="s">
        <v>9</v>
      </c>
      <c r="AA380" s="52" t="s">
        <v>50</v>
      </c>
      <c r="AB380" s="52" t="s">
        <v>125</v>
      </c>
      <c r="AC380" s="52" t="s">
        <v>38</v>
      </c>
      <c r="AD380" s="79" t="s">
        <v>257</v>
      </c>
      <c r="AE380" s="80"/>
      <c r="AF380" s="80"/>
      <c r="AG380" s="80"/>
      <c r="AH380" s="80"/>
      <c r="AI380" s="80"/>
      <c r="AJ380" s="80"/>
      <c r="AK380" s="80"/>
      <c r="AL380" s="80"/>
      <c r="AM380" s="80"/>
      <c r="AN380" s="80"/>
      <c r="AO380" s="80"/>
      <c r="AP380" s="80"/>
      <c r="AQ380" s="80"/>
      <c r="AR380" s="80"/>
      <c r="AS380" s="80"/>
      <c r="AT380" s="80"/>
      <c r="AU380" s="80"/>
      <c r="AV380" s="80"/>
      <c r="AW380" s="80"/>
    </row>
    <row r="381" spans="1:49" ht="31.5" x14ac:dyDescent="0.2">
      <c r="A381" s="52" t="s">
        <v>121</v>
      </c>
      <c r="B381" s="55">
        <v>46075</v>
      </c>
      <c r="C381" s="55">
        <v>46075</v>
      </c>
      <c r="D381" s="52" t="s">
        <v>243</v>
      </c>
      <c r="E381" s="59">
        <v>0.45833333333333331</v>
      </c>
      <c r="F381" s="59">
        <v>0.54166666666666663</v>
      </c>
      <c r="G381" s="62">
        <v>1.7361111111111109E-4</v>
      </c>
      <c r="H381" s="63" t="s">
        <v>158</v>
      </c>
      <c r="I381" s="64">
        <v>0.47780092592592593</v>
      </c>
      <c r="J381" s="52" t="s">
        <v>84</v>
      </c>
      <c r="K381" s="52" t="s">
        <v>80</v>
      </c>
      <c r="L381" s="67">
        <v>1</v>
      </c>
      <c r="M381" s="67">
        <v>69571</v>
      </c>
      <c r="N381" s="52" t="s">
        <v>46</v>
      </c>
      <c r="O381" s="67" t="s">
        <v>159</v>
      </c>
      <c r="P381" s="70">
        <v>0</v>
      </c>
      <c r="Q381" s="67"/>
      <c r="R381" s="70">
        <v>0</v>
      </c>
      <c r="S381" s="75">
        <v>46054</v>
      </c>
      <c r="T381" s="70">
        <v>0</v>
      </c>
      <c r="U381" s="77">
        <v>4</v>
      </c>
      <c r="V381" s="70">
        <v>0</v>
      </c>
      <c r="W381" s="52" t="s">
        <v>48</v>
      </c>
      <c r="X381" s="52" t="s">
        <v>49</v>
      </c>
      <c r="Y381" s="52" t="s">
        <v>36</v>
      </c>
      <c r="Z381" s="52" t="s">
        <v>9</v>
      </c>
      <c r="AA381" s="52" t="s">
        <v>50</v>
      </c>
      <c r="AB381" s="52" t="s">
        <v>160</v>
      </c>
      <c r="AC381" s="52" t="s">
        <v>38</v>
      </c>
      <c r="AD381" s="79" t="s">
        <v>257</v>
      </c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</row>
    <row r="382" spans="1:49" ht="31.5" x14ac:dyDescent="0.2">
      <c r="A382" s="52" t="s">
        <v>121</v>
      </c>
      <c r="B382" s="55">
        <v>46075</v>
      </c>
      <c r="C382" s="55">
        <v>46075</v>
      </c>
      <c r="D382" s="52" t="s">
        <v>243</v>
      </c>
      <c r="E382" s="59">
        <v>0.45833333333333331</v>
      </c>
      <c r="F382" s="59">
        <v>0.54166666666666663</v>
      </c>
      <c r="G382" s="62">
        <v>1.7361111111111109E-4</v>
      </c>
      <c r="H382" s="63" t="s">
        <v>161</v>
      </c>
      <c r="I382" s="64">
        <v>0.4788425925925926</v>
      </c>
      <c r="J382" s="52" t="s">
        <v>84</v>
      </c>
      <c r="K382" s="52" t="s">
        <v>80</v>
      </c>
      <c r="L382" s="67">
        <v>1</v>
      </c>
      <c r="M382" s="67">
        <v>69571</v>
      </c>
      <c r="N382" s="52" t="s">
        <v>46</v>
      </c>
      <c r="O382" s="67" t="s">
        <v>159</v>
      </c>
      <c r="P382" s="70">
        <v>0</v>
      </c>
      <c r="Q382" s="67"/>
      <c r="R382" s="70">
        <v>0</v>
      </c>
      <c r="S382" s="75">
        <v>46054</v>
      </c>
      <c r="T382" s="70">
        <v>0</v>
      </c>
      <c r="U382" s="77">
        <v>4</v>
      </c>
      <c r="V382" s="70">
        <v>0</v>
      </c>
      <c r="W382" s="52" t="s">
        <v>48</v>
      </c>
      <c r="X382" s="52" t="s">
        <v>49</v>
      </c>
      <c r="Y382" s="52" t="s">
        <v>36</v>
      </c>
      <c r="Z382" s="52" t="s">
        <v>9</v>
      </c>
      <c r="AA382" s="52" t="s">
        <v>50</v>
      </c>
      <c r="AB382" s="52" t="s">
        <v>160</v>
      </c>
      <c r="AC382" s="52" t="s">
        <v>38</v>
      </c>
      <c r="AD382" s="79" t="s">
        <v>257</v>
      </c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</row>
    <row r="383" spans="1:49" ht="31.5" x14ac:dyDescent="0.25">
      <c r="A383" s="52" t="s">
        <v>121</v>
      </c>
      <c r="B383" s="55">
        <v>46075</v>
      </c>
      <c r="C383" s="55">
        <v>46075</v>
      </c>
      <c r="D383" s="52" t="s">
        <v>243</v>
      </c>
      <c r="E383" s="59">
        <v>0.45833333333333331</v>
      </c>
      <c r="F383" s="59">
        <v>0.54166666666666663</v>
      </c>
      <c r="G383" s="62">
        <v>1.7361111111111109E-4</v>
      </c>
      <c r="H383" s="63" t="s">
        <v>162</v>
      </c>
      <c r="I383" s="64">
        <v>0.53493055555555558</v>
      </c>
      <c r="J383" s="52" t="s">
        <v>84</v>
      </c>
      <c r="K383" s="52" t="s">
        <v>140</v>
      </c>
      <c r="L383" s="67">
        <v>1</v>
      </c>
      <c r="M383" s="67">
        <v>69571</v>
      </c>
      <c r="N383" s="52" t="s">
        <v>46</v>
      </c>
      <c r="O383" s="67" t="s">
        <v>159</v>
      </c>
      <c r="P383" s="70">
        <v>0</v>
      </c>
      <c r="Q383" s="67"/>
      <c r="R383" s="70">
        <v>0</v>
      </c>
      <c r="S383" s="75">
        <v>46054</v>
      </c>
      <c r="T383" s="70">
        <v>0</v>
      </c>
      <c r="U383" s="77">
        <v>4</v>
      </c>
      <c r="V383" s="70">
        <v>0</v>
      </c>
      <c r="W383" s="52" t="s">
        <v>48</v>
      </c>
      <c r="X383" s="52" t="s">
        <v>49</v>
      </c>
      <c r="Y383" s="52" t="s">
        <v>36</v>
      </c>
      <c r="Z383" s="52" t="s">
        <v>9</v>
      </c>
      <c r="AA383" s="52" t="s">
        <v>50</v>
      </c>
      <c r="AB383" s="52" t="s">
        <v>160</v>
      </c>
      <c r="AC383" s="52" t="s">
        <v>38</v>
      </c>
      <c r="AD383" s="79" t="s">
        <v>257</v>
      </c>
      <c r="AE383" s="80"/>
      <c r="AF383" s="80"/>
      <c r="AG383" s="80"/>
      <c r="AH383" s="80"/>
      <c r="AI383" s="80"/>
      <c r="AJ383" s="80"/>
      <c r="AK383" s="80"/>
      <c r="AL383" s="80"/>
      <c r="AM383" s="80"/>
      <c r="AN383" s="80"/>
      <c r="AO383" s="80"/>
      <c r="AP383" s="80"/>
      <c r="AQ383" s="80"/>
      <c r="AR383" s="80"/>
      <c r="AS383" s="80"/>
      <c r="AT383" s="80"/>
      <c r="AU383" s="80"/>
      <c r="AV383" s="80"/>
      <c r="AW383" s="80"/>
    </row>
    <row r="384" spans="1:49" ht="31.5" x14ac:dyDescent="0.25">
      <c r="A384" s="52" t="s">
        <v>121</v>
      </c>
      <c r="B384" s="55">
        <v>46075</v>
      </c>
      <c r="C384" s="55">
        <v>46075</v>
      </c>
      <c r="D384" s="52" t="s">
        <v>243</v>
      </c>
      <c r="E384" s="59">
        <v>0.45833333333333331</v>
      </c>
      <c r="F384" s="59">
        <v>0.54166666666666663</v>
      </c>
      <c r="G384" s="62">
        <v>1.7361111111111109E-4</v>
      </c>
      <c r="H384" s="63" t="s">
        <v>161</v>
      </c>
      <c r="I384" s="64">
        <v>0.53684027777777776</v>
      </c>
      <c r="J384" s="52" t="s">
        <v>84</v>
      </c>
      <c r="K384" s="52" t="s">
        <v>140</v>
      </c>
      <c r="L384" s="67">
        <v>1</v>
      </c>
      <c r="M384" s="67">
        <v>69571</v>
      </c>
      <c r="N384" s="52" t="s">
        <v>46</v>
      </c>
      <c r="O384" s="67" t="s">
        <v>159</v>
      </c>
      <c r="P384" s="70">
        <v>0</v>
      </c>
      <c r="Q384" s="67"/>
      <c r="R384" s="70">
        <v>0</v>
      </c>
      <c r="S384" s="75">
        <v>46054</v>
      </c>
      <c r="T384" s="70">
        <v>0</v>
      </c>
      <c r="U384" s="77">
        <v>4</v>
      </c>
      <c r="V384" s="70">
        <v>0</v>
      </c>
      <c r="W384" s="52" t="s">
        <v>48</v>
      </c>
      <c r="X384" s="52" t="s">
        <v>49</v>
      </c>
      <c r="Y384" s="52" t="s">
        <v>36</v>
      </c>
      <c r="Z384" s="52" t="s">
        <v>9</v>
      </c>
      <c r="AA384" s="52" t="s">
        <v>50</v>
      </c>
      <c r="AB384" s="52" t="s">
        <v>160</v>
      </c>
      <c r="AC384" s="52" t="s">
        <v>38</v>
      </c>
      <c r="AD384" s="79" t="s">
        <v>257</v>
      </c>
      <c r="AE384" s="80"/>
      <c r="AF384" s="80"/>
      <c r="AG384" s="80"/>
      <c r="AH384" s="80"/>
      <c r="AI384" s="86"/>
      <c r="AJ384" s="86"/>
      <c r="AK384" s="86"/>
      <c r="AL384" s="86"/>
      <c r="AM384" s="86"/>
      <c r="AN384" s="86"/>
      <c r="AO384" s="86"/>
      <c r="AP384" s="86"/>
      <c r="AQ384" s="86"/>
      <c r="AR384" s="86"/>
      <c r="AS384" s="86"/>
      <c r="AT384" s="86"/>
      <c r="AU384" s="86"/>
      <c r="AV384" s="86"/>
      <c r="AW384" s="86"/>
    </row>
    <row r="385" spans="1:49" ht="31.5" x14ac:dyDescent="0.25">
      <c r="A385" s="52" t="s">
        <v>121</v>
      </c>
      <c r="B385" s="55">
        <v>46075</v>
      </c>
      <c r="C385" s="55">
        <v>46075</v>
      </c>
      <c r="D385" s="52" t="s">
        <v>243</v>
      </c>
      <c r="E385" s="59">
        <v>0.79166666666666663</v>
      </c>
      <c r="F385" s="59">
        <v>0.99930555555555556</v>
      </c>
      <c r="G385" s="62">
        <v>1.7361111111111109E-4</v>
      </c>
      <c r="H385" s="63" t="s">
        <v>122</v>
      </c>
      <c r="I385" s="64">
        <v>0.84275462962962966</v>
      </c>
      <c r="J385" s="52" t="s">
        <v>123</v>
      </c>
      <c r="K385" s="52" t="s">
        <v>143</v>
      </c>
      <c r="L385" s="67">
        <v>1</v>
      </c>
      <c r="M385" s="67">
        <v>69567</v>
      </c>
      <c r="N385" s="52" t="s">
        <v>46</v>
      </c>
      <c r="O385" s="67" t="s">
        <v>124</v>
      </c>
      <c r="P385" s="70">
        <v>0</v>
      </c>
      <c r="Q385" s="67"/>
      <c r="R385" s="70">
        <v>0</v>
      </c>
      <c r="S385" s="75">
        <v>46054</v>
      </c>
      <c r="T385" s="70">
        <v>0</v>
      </c>
      <c r="U385" s="77">
        <v>4</v>
      </c>
      <c r="V385" s="70">
        <v>0</v>
      </c>
      <c r="W385" s="52" t="s">
        <v>48</v>
      </c>
      <c r="X385" s="52" t="s">
        <v>49</v>
      </c>
      <c r="Y385" s="52" t="s">
        <v>36</v>
      </c>
      <c r="Z385" s="52" t="s">
        <v>9</v>
      </c>
      <c r="AA385" s="52" t="s">
        <v>50</v>
      </c>
      <c r="AB385" s="52" t="s">
        <v>125</v>
      </c>
      <c r="AC385" s="52" t="s">
        <v>38</v>
      </c>
      <c r="AD385" s="79" t="s">
        <v>257</v>
      </c>
      <c r="AE385" s="80"/>
      <c r="AF385" s="80"/>
      <c r="AG385" s="80"/>
      <c r="AH385" s="80"/>
      <c r="AI385" s="86"/>
      <c r="AJ385" s="86"/>
      <c r="AK385" s="86"/>
      <c r="AL385" s="86"/>
      <c r="AM385" s="86"/>
      <c r="AN385" s="86"/>
      <c r="AO385" s="86"/>
      <c r="AP385" s="86"/>
      <c r="AQ385" s="86"/>
      <c r="AR385" s="86"/>
      <c r="AS385" s="86"/>
      <c r="AT385" s="86"/>
      <c r="AU385" s="86"/>
      <c r="AV385" s="86"/>
      <c r="AW385" s="86"/>
    </row>
    <row r="386" spans="1:49" ht="31.5" x14ac:dyDescent="0.25">
      <c r="A386" s="52" t="s">
        <v>121</v>
      </c>
      <c r="B386" s="55">
        <v>46075</v>
      </c>
      <c r="C386" s="55">
        <v>46075</v>
      </c>
      <c r="D386" s="52" t="s">
        <v>243</v>
      </c>
      <c r="E386" s="59">
        <v>0.79166666666666663</v>
      </c>
      <c r="F386" s="59">
        <v>0.99930555555555556</v>
      </c>
      <c r="G386" s="62">
        <v>1.7361111111111109E-4</v>
      </c>
      <c r="H386" s="63" t="s">
        <v>126</v>
      </c>
      <c r="I386" s="64">
        <v>0.8439699074074074</v>
      </c>
      <c r="J386" s="52" t="s">
        <v>123</v>
      </c>
      <c r="K386" s="52" t="s">
        <v>143</v>
      </c>
      <c r="L386" s="67">
        <v>1</v>
      </c>
      <c r="M386" s="67">
        <v>69567</v>
      </c>
      <c r="N386" s="52" t="s">
        <v>46</v>
      </c>
      <c r="O386" s="67" t="s">
        <v>124</v>
      </c>
      <c r="P386" s="70">
        <v>0</v>
      </c>
      <c r="Q386" s="67"/>
      <c r="R386" s="70">
        <v>0</v>
      </c>
      <c r="S386" s="75">
        <v>46054</v>
      </c>
      <c r="T386" s="70">
        <v>0</v>
      </c>
      <c r="U386" s="77">
        <v>4</v>
      </c>
      <c r="V386" s="70">
        <v>0</v>
      </c>
      <c r="W386" s="52" t="s">
        <v>48</v>
      </c>
      <c r="X386" s="52" t="s">
        <v>49</v>
      </c>
      <c r="Y386" s="52" t="s">
        <v>36</v>
      </c>
      <c r="Z386" s="52" t="s">
        <v>9</v>
      </c>
      <c r="AA386" s="52" t="s">
        <v>50</v>
      </c>
      <c r="AB386" s="52" t="s">
        <v>125</v>
      </c>
      <c r="AC386" s="52" t="s">
        <v>38</v>
      </c>
      <c r="AD386" s="79" t="s">
        <v>257</v>
      </c>
      <c r="AE386" s="80"/>
      <c r="AF386" s="80"/>
      <c r="AG386" s="80"/>
      <c r="AH386" s="80"/>
      <c r="AI386" s="86"/>
      <c r="AJ386" s="86"/>
      <c r="AK386" s="86"/>
      <c r="AL386" s="86"/>
      <c r="AM386" s="86"/>
      <c r="AN386" s="86"/>
      <c r="AO386" s="86"/>
      <c r="AP386" s="86"/>
      <c r="AQ386" s="86"/>
      <c r="AR386" s="86"/>
      <c r="AS386" s="86"/>
      <c r="AT386" s="86"/>
      <c r="AU386" s="86"/>
      <c r="AV386" s="86"/>
      <c r="AW386" s="86"/>
    </row>
    <row r="387" spans="1:49" ht="31.5" x14ac:dyDescent="0.25">
      <c r="A387" s="52" t="s">
        <v>121</v>
      </c>
      <c r="B387" s="55">
        <v>46075</v>
      </c>
      <c r="C387" s="55">
        <v>46075</v>
      </c>
      <c r="D387" s="52" t="s">
        <v>243</v>
      </c>
      <c r="E387" s="59">
        <v>0.79166666666666663</v>
      </c>
      <c r="F387" s="59">
        <v>0.99930555555555556</v>
      </c>
      <c r="G387" s="62">
        <v>1.7361111111111109E-4</v>
      </c>
      <c r="H387" s="63" t="s">
        <v>122</v>
      </c>
      <c r="I387" s="64">
        <v>0.91288194444444448</v>
      </c>
      <c r="J387" s="52" t="s">
        <v>123</v>
      </c>
      <c r="K387" s="52" t="s">
        <v>170</v>
      </c>
      <c r="L387" s="67">
        <v>1</v>
      </c>
      <c r="M387" s="67">
        <v>69567</v>
      </c>
      <c r="N387" s="52" t="s">
        <v>46</v>
      </c>
      <c r="O387" s="67" t="s">
        <v>124</v>
      </c>
      <c r="P387" s="70">
        <v>0</v>
      </c>
      <c r="Q387" s="67"/>
      <c r="R387" s="70">
        <v>0</v>
      </c>
      <c r="S387" s="75">
        <v>46054</v>
      </c>
      <c r="T387" s="70">
        <v>0</v>
      </c>
      <c r="U387" s="77">
        <v>4</v>
      </c>
      <c r="V387" s="70">
        <v>0</v>
      </c>
      <c r="W387" s="52" t="s">
        <v>48</v>
      </c>
      <c r="X387" s="52" t="s">
        <v>49</v>
      </c>
      <c r="Y387" s="52" t="s">
        <v>36</v>
      </c>
      <c r="Z387" s="52" t="s">
        <v>9</v>
      </c>
      <c r="AA387" s="52" t="s">
        <v>50</v>
      </c>
      <c r="AB387" s="52" t="s">
        <v>125</v>
      </c>
      <c r="AC387" s="52" t="s">
        <v>38</v>
      </c>
      <c r="AD387" s="79" t="s">
        <v>257</v>
      </c>
      <c r="AE387" s="80"/>
      <c r="AF387" s="80"/>
      <c r="AG387" s="80"/>
      <c r="AH387" s="80"/>
      <c r="AI387" s="80"/>
      <c r="AJ387" s="80"/>
      <c r="AK387" s="80"/>
      <c r="AL387" s="80"/>
      <c r="AM387" s="80"/>
      <c r="AN387" s="80"/>
      <c r="AO387" s="80"/>
      <c r="AP387" s="80"/>
      <c r="AQ387" s="80"/>
      <c r="AR387" s="80"/>
      <c r="AS387" s="80"/>
      <c r="AT387" s="80"/>
      <c r="AU387" s="80"/>
      <c r="AV387" s="80"/>
      <c r="AW387" s="80"/>
    </row>
    <row r="388" spans="1:49" ht="31.5" x14ac:dyDescent="0.25">
      <c r="A388" s="52" t="s">
        <v>121</v>
      </c>
      <c r="B388" s="55">
        <v>46075</v>
      </c>
      <c r="C388" s="55">
        <v>46075</v>
      </c>
      <c r="D388" s="52" t="s">
        <v>243</v>
      </c>
      <c r="E388" s="59">
        <v>0.79166666666666663</v>
      </c>
      <c r="F388" s="59">
        <v>0.99930555555555556</v>
      </c>
      <c r="G388" s="62">
        <v>1.7361111111111109E-4</v>
      </c>
      <c r="H388" s="63" t="s">
        <v>126</v>
      </c>
      <c r="I388" s="64">
        <v>0.91496527777777781</v>
      </c>
      <c r="J388" s="52" t="s">
        <v>123</v>
      </c>
      <c r="K388" s="52" t="s">
        <v>170</v>
      </c>
      <c r="L388" s="67">
        <v>1</v>
      </c>
      <c r="M388" s="67">
        <v>69567</v>
      </c>
      <c r="N388" s="52" t="s">
        <v>46</v>
      </c>
      <c r="O388" s="67" t="s">
        <v>124</v>
      </c>
      <c r="P388" s="70">
        <v>0</v>
      </c>
      <c r="Q388" s="67"/>
      <c r="R388" s="70">
        <v>0</v>
      </c>
      <c r="S388" s="75">
        <v>46054</v>
      </c>
      <c r="T388" s="70">
        <v>0</v>
      </c>
      <c r="U388" s="77">
        <v>4</v>
      </c>
      <c r="V388" s="70">
        <v>0</v>
      </c>
      <c r="W388" s="52" t="s">
        <v>48</v>
      </c>
      <c r="X388" s="52" t="s">
        <v>49</v>
      </c>
      <c r="Y388" s="52" t="s">
        <v>36</v>
      </c>
      <c r="Z388" s="52" t="s">
        <v>9</v>
      </c>
      <c r="AA388" s="52" t="s">
        <v>50</v>
      </c>
      <c r="AB388" s="52" t="s">
        <v>125</v>
      </c>
      <c r="AC388" s="52" t="s">
        <v>38</v>
      </c>
      <c r="AD388" s="79" t="s">
        <v>257</v>
      </c>
      <c r="AE388" s="80"/>
      <c r="AF388" s="80"/>
      <c r="AG388" s="80"/>
      <c r="AH388" s="80"/>
      <c r="AI388" s="86"/>
      <c r="AJ388" s="86"/>
      <c r="AK388" s="86"/>
      <c r="AL388" s="86"/>
      <c r="AM388" s="86"/>
      <c r="AN388" s="86"/>
      <c r="AO388" s="86"/>
      <c r="AP388" s="86"/>
      <c r="AQ388" s="86"/>
      <c r="AR388" s="86"/>
      <c r="AS388" s="86"/>
      <c r="AT388" s="86"/>
      <c r="AU388" s="86"/>
      <c r="AV388" s="86"/>
      <c r="AW388" s="86"/>
    </row>
    <row r="389" spans="1:49" ht="31.5" x14ac:dyDescent="0.25">
      <c r="A389" s="52" t="s">
        <v>121</v>
      </c>
      <c r="B389" s="55">
        <v>46075</v>
      </c>
      <c r="C389" s="55">
        <v>46075</v>
      </c>
      <c r="D389" s="52" t="s">
        <v>243</v>
      </c>
      <c r="E389" s="59">
        <v>0.79166666666666663</v>
      </c>
      <c r="F389" s="59">
        <v>0.99930555555555556</v>
      </c>
      <c r="G389" s="62">
        <v>1.7361111111111109E-4</v>
      </c>
      <c r="H389" s="63" t="s">
        <v>122</v>
      </c>
      <c r="I389" s="64">
        <v>0.95149305555555552</v>
      </c>
      <c r="J389" s="52" t="s">
        <v>123</v>
      </c>
      <c r="K389" s="52" t="s">
        <v>195</v>
      </c>
      <c r="L389" s="67">
        <v>1</v>
      </c>
      <c r="M389" s="67">
        <v>69566</v>
      </c>
      <c r="N389" s="52" t="s">
        <v>54</v>
      </c>
      <c r="O389" s="67" t="s">
        <v>124</v>
      </c>
      <c r="P389" s="70">
        <v>0</v>
      </c>
      <c r="Q389" s="67"/>
      <c r="R389" s="70">
        <v>16.531831119544499</v>
      </c>
      <c r="S389" s="75">
        <v>46054</v>
      </c>
      <c r="T389" s="70">
        <v>0</v>
      </c>
      <c r="U389" s="77">
        <v>4</v>
      </c>
      <c r="V389" s="70">
        <v>0</v>
      </c>
      <c r="W389" s="52" t="s">
        <v>48</v>
      </c>
      <c r="X389" s="52" t="s">
        <v>49</v>
      </c>
      <c r="Y389" s="52" t="s">
        <v>36</v>
      </c>
      <c r="Z389" s="52" t="s">
        <v>9</v>
      </c>
      <c r="AA389" s="52" t="s">
        <v>50</v>
      </c>
      <c r="AB389" s="52" t="s">
        <v>125</v>
      </c>
      <c r="AC389" s="52" t="s">
        <v>38</v>
      </c>
      <c r="AD389" s="79" t="s">
        <v>257</v>
      </c>
      <c r="AE389" s="80"/>
      <c r="AF389" s="80"/>
      <c r="AG389" s="80"/>
      <c r="AH389" s="80"/>
      <c r="AI389" s="86"/>
      <c r="AJ389" s="86"/>
      <c r="AK389" s="86"/>
      <c r="AL389" s="86"/>
      <c r="AM389" s="86"/>
      <c r="AN389" s="86"/>
      <c r="AO389" s="86"/>
      <c r="AP389" s="86"/>
      <c r="AQ389" s="86"/>
      <c r="AR389" s="86"/>
      <c r="AS389" s="86"/>
      <c r="AT389" s="86"/>
      <c r="AU389" s="86"/>
      <c r="AV389" s="86"/>
      <c r="AW389" s="86"/>
    </row>
    <row r="390" spans="1:49" ht="31.5" x14ac:dyDescent="0.25">
      <c r="A390" s="52" t="s">
        <v>121</v>
      </c>
      <c r="B390" s="55">
        <v>46075</v>
      </c>
      <c r="C390" s="55">
        <v>46075</v>
      </c>
      <c r="D390" s="52" t="s">
        <v>243</v>
      </c>
      <c r="E390" s="59">
        <v>0.79166666666666663</v>
      </c>
      <c r="F390" s="59">
        <v>0.99930555555555556</v>
      </c>
      <c r="G390" s="62">
        <v>1.7361111111111109E-4</v>
      </c>
      <c r="H390" s="63" t="s">
        <v>126</v>
      </c>
      <c r="I390" s="64">
        <v>0.95392361111111112</v>
      </c>
      <c r="J390" s="52" t="s">
        <v>123</v>
      </c>
      <c r="K390" s="52" t="s">
        <v>195</v>
      </c>
      <c r="L390" s="67">
        <v>1</v>
      </c>
      <c r="M390" s="67">
        <v>69566</v>
      </c>
      <c r="N390" s="52" t="s">
        <v>54</v>
      </c>
      <c r="O390" s="67" t="s">
        <v>124</v>
      </c>
      <c r="P390" s="70">
        <v>0</v>
      </c>
      <c r="Q390" s="67"/>
      <c r="R390" s="70">
        <v>16.531831119544499</v>
      </c>
      <c r="S390" s="75">
        <v>46054</v>
      </c>
      <c r="T390" s="70">
        <v>0</v>
      </c>
      <c r="U390" s="77">
        <v>4</v>
      </c>
      <c r="V390" s="70">
        <v>0</v>
      </c>
      <c r="W390" s="52" t="s">
        <v>48</v>
      </c>
      <c r="X390" s="52" t="s">
        <v>49</v>
      </c>
      <c r="Y390" s="52" t="s">
        <v>36</v>
      </c>
      <c r="Z390" s="52" t="s">
        <v>9</v>
      </c>
      <c r="AA390" s="52" t="s">
        <v>50</v>
      </c>
      <c r="AB390" s="52" t="s">
        <v>125</v>
      </c>
      <c r="AC390" s="52" t="s">
        <v>38</v>
      </c>
      <c r="AD390" s="79" t="s">
        <v>257</v>
      </c>
      <c r="AE390" s="80"/>
      <c r="AF390" s="80"/>
      <c r="AG390" s="80"/>
      <c r="AH390" s="80"/>
      <c r="AI390" s="86"/>
      <c r="AJ390" s="86"/>
      <c r="AK390" s="86"/>
      <c r="AL390" s="86"/>
      <c r="AM390" s="86"/>
      <c r="AN390" s="86"/>
      <c r="AO390" s="86"/>
      <c r="AP390" s="86"/>
      <c r="AQ390" s="86"/>
      <c r="AR390" s="86"/>
      <c r="AS390" s="86"/>
      <c r="AT390" s="86"/>
      <c r="AU390" s="86"/>
      <c r="AV390" s="86"/>
      <c r="AW390" s="86"/>
    </row>
    <row r="391" spans="1:49" ht="31.5" x14ac:dyDescent="0.25">
      <c r="A391" s="52" t="s">
        <v>121</v>
      </c>
      <c r="B391" s="55">
        <v>46075</v>
      </c>
      <c r="C391" s="55">
        <v>46075</v>
      </c>
      <c r="D391" s="52" t="s">
        <v>243</v>
      </c>
      <c r="E391" s="59">
        <v>0.79166666666666663</v>
      </c>
      <c r="F391" s="59">
        <v>0.99930555555555556</v>
      </c>
      <c r="G391" s="62">
        <v>1.7361111111111109E-4</v>
      </c>
      <c r="H391" s="63" t="s">
        <v>122</v>
      </c>
      <c r="I391" s="64">
        <v>0.96098379629629627</v>
      </c>
      <c r="J391" s="52" t="s">
        <v>123</v>
      </c>
      <c r="K391" s="52" t="s">
        <v>195</v>
      </c>
      <c r="L391" s="67">
        <v>1</v>
      </c>
      <c r="M391" s="67">
        <v>69566</v>
      </c>
      <c r="N391" s="52" t="s">
        <v>54</v>
      </c>
      <c r="O391" s="67" t="s">
        <v>124</v>
      </c>
      <c r="P391" s="70">
        <v>0</v>
      </c>
      <c r="Q391" s="67"/>
      <c r="R391" s="70">
        <v>16.531831119544499</v>
      </c>
      <c r="S391" s="75">
        <v>46054</v>
      </c>
      <c r="T391" s="70">
        <v>0</v>
      </c>
      <c r="U391" s="77">
        <v>4</v>
      </c>
      <c r="V391" s="70">
        <v>0</v>
      </c>
      <c r="W391" s="52" t="s">
        <v>48</v>
      </c>
      <c r="X391" s="52" t="s">
        <v>49</v>
      </c>
      <c r="Y391" s="52" t="s">
        <v>36</v>
      </c>
      <c r="Z391" s="52" t="s">
        <v>9</v>
      </c>
      <c r="AA391" s="52" t="s">
        <v>50</v>
      </c>
      <c r="AB391" s="52" t="s">
        <v>125</v>
      </c>
      <c r="AC391" s="52" t="s">
        <v>38</v>
      </c>
      <c r="AD391" s="79" t="s">
        <v>257</v>
      </c>
      <c r="AE391" s="80"/>
      <c r="AF391" s="80"/>
      <c r="AG391" s="80"/>
      <c r="AH391" s="80"/>
      <c r="AI391" s="86"/>
      <c r="AJ391" s="86"/>
      <c r="AK391" s="86"/>
      <c r="AL391" s="86"/>
      <c r="AM391" s="86"/>
      <c r="AN391" s="86"/>
      <c r="AO391" s="86"/>
      <c r="AP391" s="86"/>
      <c r="AQ391" s="86"/>
      <c r="AR391" s="86"/>
      <c r="AS391" s="86"/>
      <c r="AT391" s="86"/>
      <c r="AU391" s="86"/>
      <c r="AV391" s="86"/>
      <c r="AW391" s="86"/>
    </row>
    <row r="392" spans="1:49" ht="31.5" x14ac:dyDescent="0.25">
      <c r="A392" s="52" t="s">
        <v>121</v>
      </c>
      <c r="B392" s="55">
        <v>46075</v>
      </c>
      <c r="C392" s="55">
        <v>46075</v>
      </c>
      <c r="D392" s="52" t="s">
        <v>243</v>
      </c>
      <c r="E392" s="59">
        <v>0.79166666666666663</v>
      </c>
      <c r="F392" s="59">
        <v>0.99930555555555556</v>
      </c>
      <c r="G392" s="62">
        <v>1.7361111111111109E-4</v>
      </c>
      <c r="H392" s="63" t="s">
        <v>126</v>
      </c>
      <c r="I392" s="64">
        <v>0.96306712962962959</v>
      </c>
      <c r="J392" s="52" t="s">
        <v>123</v>
      </c>
      <c r="K392" s="52" t="s">
        <v>195</v>
      </c>
      <c r="L392" s="67">
        <v>1</v>
      </c>
      <c r="M392" s="67">
        <v>69566</v>
      </c>
      <c r="N392" s="52" t="s">
        <v>54</v>
      </c>
      <c r="O392" s="67" t="s">
        <v>124</v>
      </c>
      <c r="P392" s="70">
        <v>0</v>
      </c>
      <c r="Q392" s="67"/>
      <c r="R392" s="70">
        <v>16.531831119544499</v>
      </c>
      <c r="S392" s="75">
        <v>46054</v>
      </c>
      <c r="T392" s="70">
        <v>0</v>
      </c>
      <c r="U392" s="77">
        <v>4</v>
      </c>
      <c r="V392" s="70">
        <v>0</v>
      </c>
      <c r="W392" s="52" t="s">
        <v>48</v>
      </c>
      <c r="X392" s="52" t="s">
        <v>49</v>
      </c>
      <c r="Y392" s="52" t="s">
        <v>36</v>
      </c>
      <c r="Z392" s="52" t="s">
        <v>9</v>
      </c>
      <c r="AA392" s="52" t="s">
        <v>50</v>
      </c>
      <c r="AB392" s="52" t="s">
        <v>125</v>
      </c>
      <c r="AC392" s="52" t="s">
        <v>38</v>
      </c>
      <c r="AD392" s="79" t="s">
        <v>257</v>
      </c>
      <c r="AE392" s="80"/>
      <c r="AF392" s="80"/>
      <c r="AG392" s="80"/>
      <c r="AH392" s="80"/>
      <c r="AI392" s="80"/>
      <c r="AJ392" s="80"/>
      <c r="AK392" s="80"/>
      <c r="AL392" s="80"/>
      <c r="AM392" s="80"/>
      <c r="AN392" s="80"/>
      <c r="AO392" s="80"/>
      <c r="AP392" s="80"/>
      <c r="AQ392" s="80"/>
      <c r="AR392" s="80"/>
      <c r="AS392" s="80"/>
      <c r="AT392" s="80"/>
      <c r="AU392" s="80"/>
      <c r="AV392" s="80"/>
      <c r="AW392" s="80"/>
    </row>
    <row r="393" spans="1:49" ht="31.5" x14ac:dyDescent="0.25">
      <c r="A393" s="52" t="s">
        <v>121</v>
      </c>
      <c r="B393" s="55">
        <v>46075</v>
      </c>
      <c r="C393" s="55">
        <v>46075</v>
      </c>
      <c r="D393" s="52" t="s">
        <v>243</v>
      </c>
      <c r="E393" s="59">
        <v>0.79166666666666663</v>
      </c>
      <c r="F393" s="59">
        <v>0.99930555555555556</v>
      </c>
      <c r="G393" s="62">
        <v>1.7361111111111109E-4</v>
      </c>
      <c r="H393" s="63" t="s">
        <v>122</v>
      </c>
      <c r="I393" s="64">
        <v>0.98006944444444444</v>
      </c>
      <c r="J393" s="52" t="s">
        <v>123</v>
      </c>
      <c r="K393" s="52" t="s">
        <v>195</v>
      </c>
      <c r="L393" s="67">
        <v>1</v>
      </c>
      <c r="M393" s="67">
        <v>69566</v>
      </c>
      <c r="N393" s="52" t="s">
        <v>54</v>
      </c>
      <c r="O393" s="67" t="s">
        <v>124</v>
      </c>
      <c r="P393" s="70">
        <v>0</v>
      </c>
      <c r="Q393" s="67"/>
      <c r="R393" s="70">
        <v>16.531831119544499</v>
      </c>
      <c r="S393" s="75">
        <v>46054</v>
      </c>
      <c r="T393" s="70">
        <v>0</v>
      </c>
      <c r="U393" s="77">
        <v>4</v>
      </c>
      <c r="V393" s="70">
        <v>0</v>
      </c>
      <c r="W393" s="52" t="s">
        <v>48</v>
      </c>
      <c r="X393" s="52" t="s">
        <v>49</v>
      </c>
      <c r="Y393" s="52" t="s">
        <v>36</v>
      </c>
      <c r="Z393" s="52" t="s">
        <v>9</v>
      </c>
      <c r="AA393" s="52" t="s">
        <v>50</v>
      </c>
      <c r="AB393" s="52" t="s">
        <v>125</v>
      </c>
      <c r="AC393" s="52" t="s">
        <v>38</v>
      </c>
      <c r="AD393" s="79" t="s">
        <v>257</v>
      </c>
      <c r="AE393" s="80"/>
      <c r="AF393" s="80"/>
      <c r="AG393" s="80"/>
      <c r="AH393" s="80"/>
      <c r="AI393" s="80"/>
      <c r="AJ393" s="80"/>
      <c r="AK393" s="80"/>
      <c r="AL393" s="80"/>
      <c r="AM393" s="80"/>
      <c r="AN393" s="80"/>
      <c r="AO393" s="80"/>
      <c r="AP393" s="80"/>
      <c r="AQ393" s="80"/>
      <c r="AR393" s="80"/>
      <c r="AS393" s="80"/>
      <c r="AT393" s="80"/>
      <c r="AU393" s="80"/>
      <c r="AV393" s="80"/>
      <c r="AW393" s="80"/>
    </row>
    <row r="394" spans="1:49" ht="31.5" x14ac:dyDescent="0.25">
      <c r="A394" s="52" t="s">
        <v>121</v>
      </c>
      <c r="B394" s="55">
        <v>46075</v>
      </c>
      <c r="C394" s="55">
        <v>46075</v>
      </c>
      <c r="D394" s="52" t="s">
        <v>243</v>
      </c>
      <c r="E394" s="59">
        <v>0.79166666666666663</v>
      </c>
      <c r="F394" s="59">
        <v>0.99930555555555556</v>
      </c>
      <c r="G394" s="62">
        <v>1.7361111111111109E-4</v>
      </c>
      <c r="H394" s="63" t="s">
        <v>126</v>
      </c>
      <c r="I394" s="64">
        <v>0.9823263888888889</v>
      </c>
      <c r="J394" s="52" t="s">
        <v>123</v>
      </c>
      <c r="K394" s="52" t="s">
        <v>195</v>
      </c>
      <c r="L394" s="67">
        <v>1</v>
      </c>
      <c r="M394" s="67">
        <v>69566</v>
      </c>
      <c r="N394" s="52" t="s">
        <v>54</v>
      </c>
      <c r="O394" s="67" t="s">
        <v>124</v>
      </c>
      <c r="P394" s="70">
        <v>0</v>
      </c>
      <c r="Q394" s="67"/>
      <c r="R394" s="70">
        <v>16.531831119544499</v>
      </c>
      <c r="S394" s="75">
        <v>46054</v>
      </c>
      <c r="T394" s="70">
        <v>0</v>
      </c>
      <c r="U394" s="77">
        <v>4</v>
      </c>
      <c r="V394" s="70">
        <v>0</v>
      </c>
      <c r="W394" s="52" t="s">
        <v>48</v>
      </c>
      <c r="X394" s="52" t="s">
        <v>49</v>
      </c>
      <c r="Y394" s="52" t="s">
        <v>36</v>
      </c>
      <c r="Z394" s="52" t="s">
        <v>9</v>
      </c>
      <c r="AA394" s="52" t="s">
        <v>50</v>
      </c>
      <c r="AB394" s="52" t="s">
        <v>125</v>
      </c>
      <c r="AC394" s="52" t="s">
        <v>38</v>
      </c>
      <c r="AD394" s="79" t="s">
        <v>257</v>
      </c>
      <c r="AE394" s="80"/>
      <c r="AF394" s="80"/>
      <c r="AG394" s="80"/>
      <c r="AH394" s="80"/>
      <c r="AI394" s="80"/>
      <c r="AJ394" s="80"/>
      <c r="AK394" s="80"/>
      <c r="AL394" s="80"/>
      <c r="AM394" s="80"/>
      <c r="AN394" s="80"/>
      <c r="AO394" s="80"/>
      <c r="AP394" s="80"/>
      <c r="AQ394" s="80"/>
      <c r="AR394" s="80"/>
      <c r="AS394" s="80"/>
      <c r="AT394" s="80"/>
      <c r="AU394" s="80"/>
      <c r="AV394" s="80"/>
      <c r="AW394" s="80"/>
    </row>
    <row r="395" spans="1:49" ht="31.5" x14ac:dyDescent="0.2">
      <c r="A395" s="53" t="s">
        <v>134</v>
      </c>
      <c r="B395" s="56">
        <v>46069</v>
      </c>
      <c r="C395" s="56">
        <v>46069</v>
      </c>
      <c r="D395" s="58" t="s">
        <v>30</v>
      </c>
      <c r="E395" s="60">
        <v>0.83333333333333337</v>
      </c>
      <c r="F395" s="60">
        <v>0.875</v>
      </c>
      <c r="G395" s="60">
        <v>4.1666666666666664E-2</v>
      </c>
      <c r="H395" s="53" t="s">
        <v>135</v>
      </c>
      <c r="I395" s="65"/>
      <c r="J395" s="53" t="s">
        <v>41</v>
      </c>
      <c r="K395" s="53"/>
      <c r="L395" s="68">
        <v>1</v>
      </c>
      <c r="M395" s="68">
        <v>1</v>
      </c>
      <c r="N395" s="53" t="s">
        <v>33</v>
      </c>
      <c r="O395" s="53"/>
      <c r="P395" s="71">
        <v>0</v>
      </c>
      <c r="Q395" s="68"/>
      <c r="R395" s="71">
        <v>0</v>
      </c>
      <c r="S395" s="53">
        <v>46054</v>
      </c>
      <c r="T395" s="71">
        <v>0</v>
      </c>
      <c r="U395" s="68">
        <v>2</v>
      </c>
      <c r="V395" s="71">
        <v>0</v>
      </c>
      <c r="W395" s="53" t="s">
        <v>34</v>
      </c>
      <c r="X395" s="53" t="s">
        <v>42</v>
      </c>
      <c r="Y395" s="53" t="s">
        <v>36</v>
      </c>
      <c r="Z395" s="53" t="s">
        <v>43</v>
      </c>
      <c r="AA395" s="53" t="s">
        <v>37</v>
      </c>
      <c r="AB395" s="53" t="s">
        <v>37</v>
      </c>
      <c r="AC395" s="53" t="s">
        <v>38</v>
      </c>
      <c r="AD395" s="79" t="s">
        <v>257</v>
      </c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</row>
    <row r="396" spans="1:49" ht="31.5" x14ac:dyDescent="0.25">
      <c r="A396" s="53" t="s">
        <v>134</v>
      </c>
      <c r="B396" s="56">
        <v>46070</v>
      </c>
      <c r="C396" s="56">
        <v>46070</v>
      </c>
      <c r="D396" s="58" t="s">
        <v>145</v>
      </c>
      <c r="E396" s="60">
        <v>0.83333333333333337</v>
      </c>
      <c r="F396" s="60">
        <v>0.875</v>
      </c>
      <c r="G396" s="60">
        <v>4.1666666666666664E-2</v>
      </c>
      <c r="H396" s="53" t="s">
        <v>135</v>
      </c>
      <c r="I396" s="65"/>
      <c r="J396" s="53" t="s">
        <v>41</v>
      </c>
      <c r="K396" s="53"/>
      <c r="L396" s="68">
        <v>1</v>
      </c>
      <c r="M396" s="68">
        <v>1</v>
      </c>
      <c r="N396" s="53" t="s">
        <v>33</v>
      </c>
      <c r="O396" s="53"/>
      <c r="P396" s="71">
        <v>0</v>
      </c>
      <c r="Q396" s="68"/>
      <c r="R396" s="71">
        <v>0</v>
      </c>
      <c r="S396" s="53">
        <v>46054</v>
      </c>
      <c r="T396" s="71">
        <v>0</v>
      </c>
      <c r="U396" s="68">
        <v>2</v>
      </c>
      <c r="V396" s="71">
        <v>0</v>
      </c>
      <c r="W396" s="53" t="s">
        <v>34</v>
      </c>
      <c r="X396" s="53" t="s">
        <v>42</v>
      </c>
      <c r="Y396" s="53" t="s">
        <v>36</v>
      </c>
      <c r="Z396" s="53" t="s">
        <v>43</v>
      </c>
      <c r="AA396" s="53" t="s">
        <v>37</v>
      </c>
      <c r="AB396" s="53" t="s">
        <v>37</v>
      </c>
      <c r="AC396" s="53" t="s">
        <v>38</v>
      </c>
      <c r="AD396" s="79" t="s">
        <v>257</v>
      </c>
      <c r="AE396" s="80"/>
      <c r="AF396" s="80"/>
      <c r="AG396" s="80"/>
      <c r="AH396" s="80"/>
      <c r="AI396" s="80"/>
      <c r="AJ396" s="80"/>
      <c r="AK396" s="80"/>
      <c r="AL396" s="80"/>
      <c r="AM396" s="80"/>
      <c r="AN396" s="80"/>
      <c r="AO396" s="80"/>
      <c r="AP396" s="80"/>
      <c r="AQ396" s="80"/>
      <c r="AR396" s="80"/>
      <c r="AS396" s="80"/>
      <c r="AT396" s="80"/>
      <c r="AU396" s="80"/>
      <c r="AV396" s="80"/>
      <c r="AW396" s="80"/>
    </row>
    <row r="397" spans="1:49" ht="31.5" x14ac:dyDescent="0.25">
      <c r="A397" s="53" t="s">
        <v>134</v>
      </c>
      <c r="B397" s="56">
        <v>46071</v>
      </c>
      <c r="C397" s="56">
        <v>46071</v>
      </c>
      <c r="D397" s="58" t="s">
        <v>177</v>
      </c>
      <c r="E397" s="60">
        <v>0.83333333333333337</v>
      </c>
      <c r="F397" s="60">
        <v>0.875</v>
      </c>
      <c r="G397" s="60">
        <v>4.1666666666666664E-2</v>
      </c>
      <c r="H397" s="53" t="s">
        <v>135</v>
      </c>
      <c r="I397" s="65"/>
      <c r="J397" s="53" t="s">
        <v>41</v>
      </c>
      <c r="K397" s="53"/>
      <c r="L397" s="68">
        <v>1</v>
      </c>
      <c r="M397" s="68">
        <v>1</v>
      </c>
      <c r="N397" s="53" t="s">
        <v>33</v>
      </c>
      <c r="O397" s="53"/>
      <c r="P397" s="71">
        <v>0</v>
      </c>
      <c r="Q397" s="68"/>
      <c r="R397" s="71">
        <v>0</v>
      </c>
      <c r="S397" s="53">
        <v>46054</v>
      </c>
      <c r="T397" s="71">
        <v>0</v>
      </c>
      <c r="U397" s="68">
        <v>2</v>
      </c>
      <c r="V397" s="71">
        <v>0</v>
      </c>
      <c r="W397" s="53" t="s">
        <v>34</v>
      </c>
      <c r="X397" s="53" t="s">
        <v>42</v>
      </c>
      <c r="Y397" s="53" t="s">
        <v>36</v>
      </c>
      <c r="Z397" s="53" t="s">
        <v>43</v>
      </c>
      <c r="AA397" s="53" t="s">
        <v>37</v>
      </c>
      <c r="AB397" s="53" t="s">
        <v>37</v>
      </c>
      <c r="AC397" s="53" t="s">
        <v>38</v>
      </c>
      <c r="AD397" s="79" t="s">
        <v>257</v>
      </c>
      <c r="AE397" s="80"/>
      <c r="AF397" s="80"/>
      <c r="AG397" s="80"/>
      <c r="AH397" s="80"/>
      <c r="AI397" s="86"/>
      <c r="AJ397" s="86"/>
      <c r="AK397" s="86"/>
      <c r="AL397" s="86"/>
      <c r="AM397" s="86"/>
      <c r="AN397" s="86"/>
      <c r="AO397" s="86"/>
      <c r="AP397" s="86"/>
      <c r="AQ397" s="86"/>
      <c r="AR397" s="86"/>
      <c r="AS397" s="86"/>
      <c r="AT397" s="86"/>
      <c r="AU397" s="86"/>
      <c r="AV397" s="86"/>
      <c r="AW397" s="86"/>
    </row>
    <row r="398" spans="1:49" ht="31.5" x14ac:dyDescent="0.25">
      <c r="A398" s="53" t="s">
        <v>134</v>
      </c>
      <c r="B398" s="56">
        <v>46072</v>
      </c>
      <c r="C398" s="56">
        <v>46072</v>
      </c>
      <c r="D398" s="58" t="s">
        <v>183</v>
      </c>
      <c r="E398" s="60">
        <v>0.83333333333333337</v>
      </c>
      <c r="F398" s="60">
        <v>0.875</v>
      </c>
      <c r="G398" s="60">
        <v>4.1666666666666664E-2</v>
      </c>
      <c r="H398" s="53" t="s">
        <v>135</v>
      </c>
      <c r="I398" s="65"/>
      <c r="J398" s="53" t="s">
        <v>41</v>
      </c>
      <c r="K398" s="53"/>
      <c r="L398" s="68">
        <v>1</v>
      </c>
      <c r="M398" s="68">
        <v>1</v>
      </c>
      <c r="N398" s="53" t="s">
        <v>33</v>
      </c>
      <c r="O398" s="53"/>
      <c r="P398" s="71">
        <v>0</v>
      </c>
      <c r="Q398" s="68"/>
      <c r="R398" s="71">
        <v>0</v>
      </c>
      <c r="S398" s="53">
        <v>46054</v>
      </c>
      <c r="T398" s="71">
        <v>0</v>
      </c>
      <c r="U398" s="68">
        <v>2</v>
      </c>
      <c r="V398" s="71">
        <v>0</v>
      </c>
      <c r="W398" s="53" t="s">
        <v>34</v>
      </c>
      <c r="X398" s="53" t="s">
        <v>42</v>
      </c>
      <c r="Y398" s="53" t="s">
        <v>36</v>
      </c>
      <c r="Z398" s="53" t="s">
        <v>43</v>
      </c>
      <c r="AA398" s="53" t="s">
        <v>37</v>
      </c>
      <c r="AB398" s="53" t="s">
        <v>37</v>
      </c>
      <c r="AC398" s="53" t="s">
        <v>38</v>
      </c>
      <c r="AD398" s="79" t="s">
        <v>257</v>
      </c>
      <c r="AE398" s="80"/>
      <c r="AF398" s="80"/>
      <c r="AG398" s="80"/>
      <c r="AH398" s="80"/>
      <c r="AI398" s="80"/>
      <c r="AJ398" s="80"/>
      <c r="AK398" s="80"/>
      <c r="AL398" s="80"/>
      <c r="AM398" s="80"/>
      <c r="AN398" s="80"/>
      <c r="AO398" s="80"/>
      <c r="AP398" s="80"/>
      <c r="AQ398" s="80"/>
      <c r="AR398" s="80"/>
      <c r="AS398" s="80"/>
      <c r="AT398" s="80"/>
      <c r="AU398" s="80"/>
      <c r="AV398" s="80"/>
      <c r="AW398" s="80"/>
    </row>
    <row r="399" spans="1:49" ht="31.5" x14ac:dyDescent="0.2">
      <c r="A399" s="53" t="s">
        <v>134</v>
      </c>
      <c r="B399" s="56">
        <v>46073</v>
      </c>
      <c r="C399" s="56">
        <v>46073</v>
      </c>
      <c r="D399" s="58" t="s">
        <v>196</v>
      </c>
      <c r="E399" s="60">
        <v>0.83333333333333337</v>
      </c>
      <c r="F399" s="60">
        <v>0.875</v>
      </c>
      <c r="G399" s="60">
        <v>4.1666666666666664E-2</v>
      </c>
      <c r="H399" s="53" t="s">
        <v>135</v>
      </c>
      <c r="I399" s="65"/>
      <c r="J399" s="53" t="s">
        <v>41</v>
      </c>
      <c r="K399" s="53"/>
      <c r="L399" s="68">
        <v>1</v>
      </c>
      <c r="M399" s="68">
        <v>1</v>
      </c>
      <c r="N399" s="53" t="s">
        <v>33</v>
      </c>
      <c r="O399" s="53"/>
      <c r="P399" s="71">
        <v>0</v>
      </c>
      <c r="Q399" s="68"/>
      <c r="R399" s="71">
        <v>0</v>
      </c>
      <c r="S399" s="53">
        <v>46054</v>
      </c>
      <c r="T399" s="71">
        <v>0</v>
      </c>
      <c r="U399" s="68">
        <v>2</v>
      </c>
      <c r="V399" s="71">
        <v>0</v>
      </c>
      <c r="W399" s="53" t="s">
        <v>34</v>
      </c>
      <c r="X399" s="53" t="s">
        <v>42</v>
      </c>
      <c r="Y399" s="53" t="s">
        <v>36</v>
      </c>
      <c r="Z399" s="53" t="s">
        <v>43</v>
      </c>
      <c r="AA399" s="53" t="s">
        <v>37</v>
      </c>
      <c r="AB399" s="53" t="s">
        <v>37</v>
      </c>
      <c r="AC399" s="53" t="s">
        <v>38</v>
      </c>
      <c r="AD399" s="79" t="s">
        <v>257</v>
      </c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</row>
    <row r="400" spans="1:49" ht="31.5" x14ac:dyDescent="0.2">
      <c r="A400" s="53" t="s">
        <v>134</v>
      </c>
      <c r="B400" s="56">
        <v>46074</v>
      </c>
      <c r="C400" s="56">
        <v>46074</v>
      </c>
      <c r="D400" s="58" t="s">
        <v>214</v>
      </c>
      <c r="E400" s="60">
        <v>0.83333333333333337</v>
      </c>
      <c r="F400" s="60">
        <v>0.875</v>
      </c>
      <c r="G400" s="60">
        <v>4.1666666666666664E-2</v>
      </c>
      <c r="H400" s="53" t="s">
        <v>135</v>
      </c>
      <c r="I400" s="65"/>
      <c r="J400" s="53" t="s">
        <v>41</v>
      </c>
      <c r="K400" s="53"/>
      <c r="L400" s="68">
        <v>1</v>
      </c>
      <c r="M400" s="68">
        <v>1</v>
      </c>
      <c r="N400" s="53" t="s">
        <v>33</v>
      </c>
      <c r="O400" s="53"/>
      <c r="P400" s="71">
        <v>0</v>
      </c>
      <c r="Q400" s="68"/>
      <c r="R400" s="71">
        <v>0</v>
      </c>
      <c r="S400" s="53">
        <v>46054</v>
      </c>
      <c r="T400" s="71">
        <v>0</v>
      </c>
      <c r="U400" s="68">
        <v>2</v>
      </c>
      <c r="V400" s="71">
        <v>0</v>
      </c>
      <c r="W400" s="53" t="s">
        <v>34</v>
      </c>
      <c r="X400" s="53" t="s">
        <v>42</v>
      </c>
      <c r="Y400" s="53" t="s">
        <v>36</v>
      </c>
      <c r="Z400" s="53" t="s">
        <v>43</v>
      </c>
      <c r="AA400" s="53" t="s">
        <v>37</v>
      </c>
      <c r="AB400" s="53" t="s">
        <v>37</v>
      </c>
      <c r="AC400" s="53" t="s">
        <v>38</v>
      </c>
      <c r="AD400" s="79" t="s">
        <v>257</v>
      </c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</row>
    <row r="401" spans="1:49" s="28" customFormat="1" ht="31.5" x14ac:dyDescent="0.25">
      <c r="A401" s="9" t="s">
        <v>134</v>
      </c>
      <c r="B401" s="10">
        <v>46075</v>
      </c>
      <c r="C401" s="10">
        <v>46075</v>
      </c>
      <c r="D401" s="11" t="s">
        <v>243</v>
      </c>
      <c r="E401" s="12">
        <v>0.83333333333333337</v>
      </c>
      <c r="F401" s="12">
        <v>0.875</v>
      </c>
      <c r="G401" s="12">
        <v>4.1666666666666664E-2</v>
      </c>
      <c r="H401" s="9" t="s">
        <v>135</v>
      </c>
      <c r="I401" s="13"/>
      <c r="J401" s="9" t="s">
        <v>41</v>
      </c>
      <c r="K401" s="9"/>
      <c r="L401" s="14">
        <v>1</v>
      </c>
      <c r="M401" s="14">
        <v>1</v>
      </c>
      <c r="N401" s="9" t="s">
        <v>33</v>
      </c>
      <c r="O401" s="9"/>
      <c r="P401" s="16">
        <v>0</v>
      </c>
      <c r="Q401" s="14"/>
      <c r="R401" s="16">
        <v>0</v>
      </c>
      <c r="S401" s="9">
        <v>46054</v>
      </c>
      <c r="T401" s="16">
        <v>0</v>
      </c>
      <c r="U401" s="14">
        <v>2</v>
      </c>
      <c r="V401" s="16">
        <v>0</v>
      </c>
      <c r="W401" s="9" t="s">
        <v>34</v>
      </c>
      <c r="X401" s="9" t="s">
        <v>42</v>
      </c>
      <c r="Y401" s="9" t="s">
        <v>36</v>
      </c>
      <c r="Z401" s="9" t="s">
        <v>43</v>
      </c>
      <c r="AA401" s="9" t="s">
        <v>37</v>
      </c>
      <c r="AB401" s="9" t="s">
        <v>37</v>
      </c>
      <c r="AC401" s="9" t="s">
        <v>38</v>
      </c>
      <c r="AD401" s="7" t="s">
        <v>257</v>
      </c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</row>
    <row r="402" spans="1:49" s="28" customFormat="1" ht="31.5" x14ac:dyDescent="0.25">
      <c r="A402" s="9" t="s">
        <v>250</v>
      </c>
      <c r="B402" s="10">
        <v>46075</v>
      </c>
      <c r="C402" s="10">
        <v>46075</v>
      </c>
      <c r="D402" s="11" t="s">
        <v>243</v>
      </c>
      <c r="E402" s="12">
        <v>0.58333333333333337</v>
      </c>
      <c r="F402" s="12">
        <v>0.625</v>
      </c>
      <c r="G402" s="12">
        <v>4.1666666666666664E-2</v>
      </c>
      <c r="H402" s="9" t="s">
        <v>250</v>
      </c>
      <c r="I402" s="13"/>
      <c r="J402" s="9" t="s">
        <v>97</v>
      </c>
      <c r="K402" s="9"/>
      <c r="L402" s="14">
        <v>1</v>
      </c>
      <c r="M402" s="14">
        <v>1</v>
      </c>
      <c r="N402" s="9" t="s">
        <v>33</v>
      </c>
      <c r="O402" s="9"/>
      <c r="P402" s="16">
        <v>0</v>
      </c>
      <c r="Q402" s="14"/>
      <c r="R402" s="16">
        <v>0</v>
      </c>
      <c r="S402" s="9">
        <v>46075</v>
      </c>
      <c r="T402" s="16">
        <v>0</v>
      </c>
      <c r="U402" s="14">
        <v>1</v>
      </c>
      <c r="V402" s="16">
        <v>0</v>
      </c>
      <c r="W402" s="9" t="s">
        <v>34</v>
      </c>
      <c r="X402" s="9" t="s">
        <v>35</v>
      </c>
      <c r="Y402" s="9" t="s">
        <v>86</v>
      </c>
      <c r="Z402" s="9" t="s">
        <v>149</v>
      </c>
      <c r="AA402" s="9" t="s">
        <v>37</v>
      </c>
      <c r="AB402" s="9" t="s">
        <v>37</v>
      </c>
      <c r="AC402" s="9" t="s">
        <v>38</v>
      </c>
      <c r="AD402" s="7" t="s">
        <v>257</v>
      </c>
    </row>
    <row r="403" spans="1:49" s="28" customFormat="1" ht="31.5" x14ac:dyDescent="0.25">
      <c r="A403" s="9" t="s">
        <v>249</v>
      </c>
      <c r="B403" s="10">
        <v>46075</v>
      </c>
      <c r="C403" s="10">
        <v>46075</v>
      </c>
      <c r="D403" s="11" t="s">
        <v>243</v>
      </c>
      <c r="E403" s="12">
        <v>0.54166666666666663</v>
      </c>
      <c r="F403" s="12">
        <v>0.58333333333333337</v>
      </c>
      <c r="G403" s="12">
        <v>4.1666666666666664E-2</v>
      </c>
      <c r="H403" s="9" t="s">
        <v>249</v>
      </c>
      <c r="I403" s="13"/>
      <c r="J403" s="9" t="s">
        <v>97</v>
      </c>
      <c r="K403" s="9"/>
      <c r="L403" s="14">
        <v>1</v>
      </c>
      <c r="M403" s="14">
        <v>1</v>
      </c>
      <c r="N403" s="9" t="s">
        <v>33</v>
      </c>
      <c r="O403" s="9"/>
      <c r="P403" s="16">
        <v>0</v>
      </c>
      <c r="Q403" s="14"/>
      <c r="R403" s="16">
        <v>0</v>
      </c>
      <c r="S403" s="9">
        <v>46054</v>
      </c>
      <c r="T403" s="16">
        <v>0</v>
      </c>
      <c r="U403" s="14">
        <v>2</v>
      </c>
      <c r="V403" s="16">
        <v>0</v>
      </c>
      <c r="W403" s="9" t="s">
        <v>34</v>
      </c>
      <c r="X403" s="9" t="s">
        <v>42</v>
      </c>
      <c r="Y403" s="9" t="s">
        <v>36</v>
      </c>
      <c r="Z403" s="9" t="s">
        <v>43</v>
      </c>
      <c r="AA403" s="9" t="s">
        <v>37</v>
      </c>
      <c r="AB403" s="9" t="s">
        <v>37</v>
      </c>
      <c r="AC403" s="9" t="s">
        <v>38</v>
      </c>
      <c r="AD403" s="7" t="s">
        <v>257</v>
      </c>
    </row>
    <row r="404" spans="1:49" s="28" customFormat="1" ht="31.5" x14ac:dyDescent="0.25">
      <c r="A404" s="18" t="s">
        <v>60</v>
      </c>
      <c r="B404" s="19">
        <v>46069</v>
      </c>
      <c r="C404" s="19">
        <v>46069</v>
      </c>
      <c r="D404" s="18" t="s">
        <v>30</v>
      </c>
      <c r="E404" s="20">
        <v>0.25</v>
      </c>
      <c r="F404" s="20">
        <v>0.99930555555555556</v>
      </c>
      <c r="G404" s="20">
        <v>3.4722222222222218E-4</v>
      </c>
      <c r="H404" s="18" t="s">
        <v>61</v>
      </c>
      <c r="I404" s="23">
        <v>0.86703703703703705</v>
      </c>
      <c r="J404" s="18" t="s">
        <v>41</v>
      </c>
      <c r="K404" s="18" t="s">
        <v>143</v>
      </c>
      <c r="L404" s="24">
        <v>1</v>
      </c>
      <c r="M404" s="24">
        <v>64407</v>
      </c>
      <c r="N404" s="18" t="s">
        <v>54</v>
      </c>
      <c r="O404" s="24" t="s">
        <v>62</v>
      </c>
      <c r="P404" s="25">
        <v>30</v>
      </c>
      <c r="Q404" s="24"/>
      <c r="R404" s="25">
        <v>30</v>
      </c>
      <c r="S404" s="26">
        <v>46054</v>
      </c>
      <c r="T404" s="25">
        <v>4.5</v>
      </c>
      <c r="U404" s="27">
        <v>4</v>
      </c>
      <c r="V404" s="25">
        <v>25.5</v>
      </c>
      <c r="W404" s="18" t="s">
        <v>48</v>
      </c>
      <c r="X404" s="18" t="s">
        <v>49</v>
      </c>
      <c r="Y404" s="18" t="s">
        <v>36</v>
      </c>
      <c r="Z404" s="18" t="s">
        <v>9</v>
      </c>
      <c r="AA404" s="18" t="s">
        <v>50</v>
      </c>
      <c r="AB404" s="18" t="s">
        <v>63</v>
      </c>
      <c r="AC404" s="18" t="s">
        <v>38</v>
      </c>
      <c r="AD404" s="7" t="s">
        <v>257</v>
      </c>
      <c r="AE404" s="9"/>
      <c r="AF404" s="9"/>
      <c r="AG404" s="9"/>
      <c r="AH404" s="9"/>
      <c r="AI404" s="9"/>
      <c r="AJ404" s="9"/>
      <c r="AK404" s="9"/>
      <c r="AL404" s="9"/>
      <c r="AM404" s="9"/>
      <c r="AN404" s="9"/>
      <c r="AO404" s="9"/>
      <c r="AP404" s="9"/>
      <c r="AQ404" s="9"/>
      <c r="AR404" s="9"/>
      <c r="AS404" s="9"/>
      <c r="AT404" s="9"/>
      <c r="AU404" s="9"/>
      <c r="AV404" s="9"/>
      <c r="AW404" s="9"/>
    </row>
    <row r="405" spans="1:49" s="28" customFormat="1" ht="31.5" x14ac:dyDescent="0.25">
      <c r="A405" s="18" t="s">
        <v>60</v>
      </c>
      <c r="B405" s="19">
        <v>46069</v>
      </c>
      <c r="C405" s="19">
        <v>46069</v>
      </c>
      <c r="D405" s="18" t="s">
        <v>30</v>
      </c>
      <c r="E405" s="20">
        <v>0.58333333333333337</v>
      </c>
      <c r="F405" s="20">
        <v>0.66666666666666663</v>
      </c>
      <c r="G405" s="20">
        <v>3.4722222222222218E-4</v>
      </c>
      <c r="H405" s="18" t="s">
        <v>102</v>
      </c>
      <c r="I405" s="23">
        <v>0.6227314814814815</v>
      </c>
      <c r="J405" s="18" t="s">
        <v>97</v>
      </c>
      <c r="K405" s="18" t="s">
        <v>141</v>
      </c>
      <c r="L405" s="24">
        <v>1</v>
      </c>
      <c r="M405" s="24">
        <v>64419</v>
      </c>
      <c r="N405" s="18" t="s">
        <v>46</v>
      </c>
      <c r="O405" s="24" t="s">
        <v>62</v>
      </c>
      <c r="P405" s="25">
        <v>0</v>
      </c>
      <c r="Q405" s="24"/>
      <c r="R405" s="25">
        <v>0</v>
      </c>
      <c r="S405" s="26">
        <v>46054</v>
      </c>
      <c r="T405" s="25">
        <v>0</v>
      </c>
      <c r="U405" s="27">
        <v>4</v>
      </c>
      <c r="V405" s="25">
        <v>0</v>
      </c>
      <c r="W405" s="18" t="s">
        <v>48</v>
      </c>
      <c r="X405" s="18" t="s">
        <v>49</v>
      </c>
      <c r="Y405" s="18" t="s">
        <v>36</v>
      </c>
      <c r="Z405" s="18" t="s">
        <v>9</v>
      </c>
      <c r="AA405" s="18" t="s">
        <v>50</v>
      </c>
      <c r="AB405" s="18" t="s">
        <v>63</v>
      </c>
      <c r="AC405" s="18" t="s">
        <v>38</v>
      </c>
      <c r="AD405" s="7" t="s">
        <v>257</v>
      </c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</row>
    <row r="406" spans="1:49" s="28" customFormat="1" ht="31.5" x14ac:dyDescent="0.25">
      <c r="A406" s="18" t="s">
        <v>60</v>
      </c>
      <c r="B406" s="19">
        <v>46070</v>
      </c>
      <c r="C406" s="19">
        <v>46070</v>
      </c>
      <c r="D406" s="18" t="s">
        <v>145</v>
      </c>
      <c r="E406" s="20">
        <v>0.25</v>
      </c>
      <c r="F406" s="20">
        <v>0.99930555555555556</v>
      </c>
      <c r="G406" s="20">
        <v>3.4722222222222218E-4</v>
      </c>
      <c r="H406" s="18" t="s">
        <v>61</v>
      </c>
      <c r="I406" s="23">
        <v>0.90061342592592597</v>
      </c>
      <c r="J406" s="18" t="s">
        <v>41</v>
      </c>
      <c r="K406" s="18" t="s">
        <v>137</v>
      </c>
      <c r="L406" s="24">
        <v>1</v>
      </c>
      <c r="M406" s="24">
        <v>64415</v>
      </c>
      <c r="N406" s="18" t="s">
        <v>46</v>
      </c>
      <c r="O406" s="24" t="s">
        <v>62</v>
      </c>
      <c r="P406" s="25">
        <v>0</v>
      </c>
      <c r="Q406" s="24"/>
      <c r="R406" s="25">
        <v>0</v>
      </c>
      <c r="S406" s="26">
        <v>46054</v>
      </c>
      <c r="T406" s="25">
        <v>0</v>
      </c>
      <c r="U406" s="27">
        <v>4</v>
      </c>
      <c r="V406" s="25">
        <v>0</v>
      </c>
      <c r="W406" s="18" t="s">
        <v>48</v>
      </c>
      <c r="X406" s="18" t="s">
        <v>49</v>
      </c>
      <c r="Y406" s="18" t="s">
        <v>36</v>
      </c>
      <c r="Z406" s="18" t="s">
        <v>9</v>
      </c>
      <c r="AA406" s="18" t="s">
        <v>50</v>
      </c>
      <c r="AB406" s="18" t="s">
        <v>63</v>
      </c>
      <c r="AC406" s="18" t="s">
        <v>38</v>
      </c>
      <c r="AD406" s="7" t="s">
        <v>257</v>
      </c>
      <c r="AE406" s="9"/>
      <c r="AF406" s="9"/>
      <c r="AG406" s="9"/>
      <c r="AH406" s="9"/>
      <c r="AI406" s="9"/>
      <c r="AJ406" s="9"/>
      <c r="AK406" s="9"/>
      <c r="AL406" s="9"/>
      <c r="AM406" s="9"/>
      <c r="AN406" s="9"/>
      <c r="AO406" s="9"/>
      <c r="AP406" s="9"/>
      <c r="AQ406" s="9"/>
      <c r="AR406" s="9"/>
      <c r="AS406" s="9"/>
      <c r="AT406" s="9"/>
      <c r="AU406" s="9"/>
      <c r="AV406" s="9"/>
      <c r="AW406" s="9"/>
    </row>
    <row r="407" spans="1:49" s="28" customFormat="1" ht="31.5" x14ac:dyDescent="0.25">
      <c r="A407" s="18" t="s">
        <v>60</v>
      </c>
      <c r="B407" s="19">
        <v>46072</v>
      </c>
      <c r="C407" s="19">
        <v>46072</v>
      </c>
      <c r="D407" s="18" t="s">
        <v>183</v>
      </c>
      <c r="E407" s="20">
        <v>0.45833333333333331</v>
      </c>
      <c r="F407" s="20">
        <v>0.54166666666666663</v>
      </c>
      <c r="G407" s="20">
        <v>3.4722222222222218E-4</v>
      </c>
      <c r="H407" s="18" t="s">
        <v>191</v>
      </c>
      <c r="I407" s="23">
        <v>0.52563657407407405</v>
      </c>
      <c r="J407" s="18" t="s">
        <v>84</v>
      </c>
      <c r="K407" s="18" t="s">
        <v>140</v>
      </c>
      <c r="L407" s="24">
        <v>1</v>
      </c>
      <c r="M407" s="24">
        <v>64409</v>
      </c>
      <c r="N407" s="18" t="s">
        <v>54</v>
      </c>
      <c r="O407" s="24" t="s">
        <v>62</v>
      </c>
      <c r="P407" s="25">
        <v>30</v>
      </c>
      <c r="Q407" s="24"/>
      <c r="R407" s="25">
        <v>30</v>
      </c>
      <c r="S407" s="26">
        <v>46054</v>
      </c>
      <c r="T407" s="25">
        <v>4.5</v>
      </c>
      <c r="U407" s="27">
        <v>4</v>
      </c>
      <c r="V407" s="25">
        <v>25.5</v>
      </c>
      <c r="W407" s="18" t="s">
        <v>48</v>
      </c>
      <c r="X407" s="18" t="s">
        <v>49</v>
      </c>
      <c r="Y407" s="18" t="s">
        <v>36</v>
      </c>
      <c r="Z407" s="18" t="s">
        <v>9</v>
      </c>
      <c r="AA407" s="18" t="s">
        <v>50</v>
      </c>
      <c r="AB407" s="18" t="s">
        <v>63</v>
      </c>
      <c r="AC407" s="18" t="s">
        <v>38</v>
      </c>
      <c r="AD407" s="7" t="s">
        <v>257</v>
      </c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</row>
    <row r="408" spans="1:49" s="28" customFormat="1" ht="31.5" x14ac:dyDescent="0.25">
      <c r="A408" s="18" t="s">
        <v>60</v>
      </c>
      <c r="B408" s="19">
        <v>46072</v>
      </c>
      <c r="C408" s="19">
        <v>46072</v>
      </c>
      <c r="D408" s="18" t="s">
        <v>183</v>
      </c>
      <c r="E408" s="20">
        <v>0.45833333333333331</v>
      </c>
      <c r="F408" s="20">
        <v>0.54166666666666663</v>
      </c>
      <c r="G408" s="20">
        <v>3.4722222222222218E-4</v>
      </c>
      <c r="H408" s="18" t="s">
        <v>191</v>
      </c>
      <c r="I408" s="23">
        <v>0.54069444444444448</v>
      </c>
      <c r="J408" s="18" t="s">
        <v>84</v>
      </c>
      <c r="K408" s="18" t="s">
        <v>140</v>
      </c>
      <c r="L408" s="24">
        <v>1</v>
      </c>
      <c r="M408" s="24">
        <v>64409</v>
      </c>
      <c r="N408" s="18" t="s">
        <v>54</v>
      </c>
      <c r="O408" s="24" t="s">
        <v>62</v>
      </c>
      <c r="P408" s="25">
        <v>30</v>
      </c>
      <c r="Q408" s="24"/>
      <c r="R408" s="25">
        <v>30</v>
      </c>
      <c r="S408" s="26">
        <v>46054</v>
      </c>
      <c r="T408" s="25">
        <v>4.5</v>
      </c>
      <c r="U408" s="27">
        <v>4</v>
      </c>
      <c r="V408" s="25">
        <v>25.5</v>
      </c>
      <c r="W408" s="18" t="s">
        <v>48</v>
      </c>
      <c r="X408" s="18" t="s">
        <v>49</v>
      </c>
      <c r="Y408" s="18" t="s">
        <v>36</v>
      </c>
      <c r="Z408" s="18" t="s">
        <v>9</v>
      </c>
      <c r="AA408" s="18" t="s">
        <v>50</v>
      </c>
      <c r="AB408" s="18" t="s">
        <v>63</v>
      </c>
      <c r="AC408" s="18" t="s">
        <v>38</v>
      </c>
      <c r="AD408" s="7" t="s">
        <v>257</v>
      </c>
    </row>
    <row r="409" spans="1:49" s="28" customFormat="1" ht="31.5" x14ac:dyDescent="0.25">
      <c r="A409" s="18" t="s">
        <v>60</v>
      </c>
      <c r="B409" s="19">
        <v>46073</v>
      </c>
      <c r="C409" s="19">
        <v>46073</v>
      </c>
      <c r="D409" s="18" t="s">
        <v>196</v>
      </c>
      <c r="E409" s="20">
        <v>0.45833333333333331</v>
      </c>
      <c r="F409" s="20">
        <v>0.54166666666666663</v>
      </c>
      <c r="G409" s="20">
        <v>3.4722222222222218E-4</v>
      </c>
      <c r="H409" s="18" t="s">
        <v>191</v>
      </c>
      <c r="I409" s="23">
        <v>0.4775578703703704</v>
      </c>
      <c r="J409" s="18" t="s">
        <v>84</v>
      </c>
      <c r="K409" s="18" t="s">
        <v>150</v>
      </c>
      <c r="L409" s="24">
        <v>1</v>
      </c>
      <c r="M409" s="24">
        <v>64417</v>
      </c>
      <c r="N409" s="18" t="s">
        <v>46</v>
      </c>
      <c r="O409" s="24" t="s">
        <v>62</v>
      </c>
      <c r="P409" s="25">
        <v>0</v>
      </c>
      <c r="Q409" s="24"/>
      <c r="R409" s="25">
        <v>0</v>
      </c>
      <c r="S409" s="26">
        <v>46054</v>
      </c>
      <c r="T409" s="25">
        <v>0</v>
      </c>
      <c r="U409" s="27">
        <v>4</v>
      </c>
      <c r="V409" s="25">
        <v>0</v>
      </c>
      <c r="W409" s="18" t="s">
        <v>48</v>
      </c>
      <c r="X409" s="18" t="s">
        <v>49</v>
      </c>
      <c r="Y409" s="18" t="s">
        <v>36</v>
      </c>
      <c r="Z409" s="18" t="s">
        <v>9</v>
      </c>
      <c r="AA409" s="18" t="s">
        <v>50</v>
      </c>
      <c r="AB409" s="18" t="s">
        <v>63</v>
      </c>
      <c r="AC409" s="18" t="s">
        <v>38</v>
      </c>
      <c r="AD409" s="7" t="s">
        <v>257</v>
      </c>
      <c r="AE409" s="9"/>
      <c r="AF409" s="9"/>
      <c r="AG409" s="9"/>
      <c r="AH409" s="9"/>
      <c r="AI409" s="9"/>
      <c r="AJ409" s="9"/>
      <c r="AK409" s="9"/>
      <c r="AL409" s="9"/>
      <c r="AM409" s="9"/>
      <c r="AN409" s="9"/>
      <c r="AO409" s="9"/>
      <c r="AP409" s="9"/>
      <c r="AQ409" s="9"/>
      <c r="AR409" s="9"/>
      <c r="AS409" s="9"/>
      <c r="AT409" s="9"/>
      <c r="AU409" s="9"/>
      <c r="AV409" s="9"/>
      <c r="AW409" s="9"/>
    </row>
    <row r="410" spans="1:49" s="28" customFormat="1" ht="31.5" x14ac:dyDescent="0.25">
      <c r="A410" s="18" t="s">
        <v>60</v>
      </c>
      <c r="B410" s="19">
        <v>46073</v>
      </c>
      <c r="C410" s="19">
        <v>46073</v>
      </c>
      <c r="D410" s="18" t="s">
        <v>196</v>
      </c>
      <c r="E410" s="20">
        <v>0.58333333333333337</v>
      </c>
      <c r="F410" s="20">
        <v>0.66666666666666663</v>
      </c>
      <c r="G410" s="20">
        <v>3.4722222222222218E-4</v>
      </c>
      <c r="H410" s="18" t="s">
        <v>102</v>
      </c>
      <c r="I410" s="23">
        <v>0.60784722222222221</v>
      </c>
      <c r="J410" s="18" t="s">
        <v>97</v>
      </c>
      <c r="K410" s="18" t="s">
        <v>141</v>
      </c>
      <c r="L410" s="24">
        <v>1</v>
      </c>
      <c r="M410" s="24">
        <v>64419</v>
      </c>
      <c r="N410" s="18" t="s">
        <v>46</v>
      </c>
      <c r="O410" s="24" t="s">
        <v>62</v>
      </c>
      <c r="P410" s="25">
        <v>0</v>
      </c>
      <c r="Q410" s="24"/>
      <c r="R410" s="25">
        <v>0</v>
      </c>
      <c r="S410" s="26">
        <v>46054</v>
      </c>
      <c r="T410" s="25">
        <v>0</v>
      </c>
      <c r="U410" s="27">
        <v>4</v>
      </c>
      <c r="V410" s="25">
        <v>0</v>
      </c>
      <c r="W410" s="18" t="s">
        <v>48</v>
      </c>
      <c r="X410" s="18" t="s">
        <v>49</v>
      </c>
      <c r="Y410" s="18" t="s">
        <v>36</v>
      </c>
      <c r="Z410" s="18" t="s">
        <v>9</v>
      </c>
      <c r="AA410" s="18" t="s">
        <v>50</v>
      </c>
      <c r="AB410" s="18" t="s">
        <v>63</v>
      </c>
      <c r="AC410" s="18" t="s">
        <v>38</v>
      </c>
      <c r="AD410" s="7" t="s">
        <v>257</v>
      </c>
    </row>
    <row r="411" spans="1:49" s="28" customFormat="1" ht="31.5" x14ac:dyDescent="0.25">
      <c r="A411" s="18" t="s">
        <v>60</v>
      </c>
      <c r="B411" s="19">
        <v>46073</v>
      </c>
      <c r="C411" s="19">
        <v>46073</v>
      </c>
      <c r="D411" s="18" t="s">
        <v>196</v>
      </c>
      <c r="E411" s="20">
        <v>0.58333333333333337</v>
      </c>
      <c r="F411" s="20">
        <v>0.66666666666666663</v>
      </c>
      <c r="G411" s="20">
        <v>3.4722222222222218E-4</v>
      </c>
      <c r="H411" s="18" t="s">
        <v>102</v>
      </c>
      <c r="I411" s="23">
        <v>0.62984953703703705</v>
      </c>
      <c r="J411" s="18" t="s">
        <v>97</v>
      </c>
      <c r="K411" s="18" t="s">
        <v>141</v>
      </c>
      <c r="L411" s="24">
        <v>1</v>
      </c>
      <c r="M411" s="24">
        <v>64413</v>
      </c>
      <c r="N411" s="18" t="s">
        <v>54</v>
      </c>
      <c r="O411" s="24" t="s">
        <v>62</v>
      </c>
      <c r="P411" s="25">
        <v>30</v>
      </c>
      <c r="Q411" s="24"/>
      <c r="R411" s="25">
        <v>30</v>
      </c>
      <c r="S411" s="26">
        <v>46054</v>
      </c>
      <c r="T411" s="25">
        <v>4.5</v>
      </c>
      <c r="U411" s="27">
        <v>4</v>
      </c>
      <c r="V411" s="25">
        <v>25.5</v>
      </c>
      <c r="W411" s="18" t="s">
        <v>48</v>
      </c>
      <c r="X411" s="18" t="s">
        <v>49</v>
      </c>
      <c r="Y411" s="18" t="s">
        <v>36</v>
      </c>
      <c r="Z411" s="18" t="s">
        <v>9</v>
      </c>
      <c r="AA411" s="18" t="s">
        <v>50</v>
      </c>
      <c r="AB411" s="18" t="s">
        <v>63</v>
      </c>
      <c r="AC411" s="18" t="s">
        <v>38</v>
      </c>
      <c r="AD411" s="7" t="s">
        <v>257</v>
      </c>
    </row>
    <row r="412" spans="1:49" s="28" customFormat="1" ht="31.5" x14ac:dyDescent="0.25">
      <c r="A412" s="18" t="s">
        <v>60</v>
      </c>
      <c r="B412" s="19">
        <v>46073</v>
      </c>
      <c r="C412" s="19">
        <v>46073</v>
      </c>
      <c r="D412" s="18" t="s">
        <v>196</v>
      </c>
      <c r="E412" s="20">
        <v>0.58333333333333337</v>
      </c>
      <c r="F412" s="20">
        <v>0.66666666666666663</v>
      </c>
      <c r="G412" s="20">
        <v>3.4722222222222218E-4</v>
      </c>
      <c r="H412" s="18" t="s">
        <v>102</v>
      </c>
      <c r="I412" s="23">
        <v>0.64450231481481479</v>
      </c>
      <c r="J412" s="18" t="s">
        <v>97</v>
      </c>
      <c r="K412" s="18" t="s">
        <v>141</v>
      </c>
      <c r="L412" s="24">
        <v>1</v>
      </c>
      <c r="M412" s="24">
        <v>64413</v>
      </c>
      <c r="N412" s="18" t="s">
        <v>54</v>
      </c>
      <c r="O412" s="24" t="s">
        <v>62</v>
      </c>
      <c r="P412" s="25">
        <v>30</v>
      </c>
      <c r="Q412" s="24"/>
      <c r="R412" s="25">
        <v>30</v>
      </c>
      <c r="S412" s="26">
        <v>46054</v>
      </c>
      <c r="T412" s="25">
        <v>4.5</v>
      </c>
      <c r="U412" s="27">
        <v>4</v>
      </c>
      <c r="V412" s="25">
        <v>25.5</v>
      </c>
      <c r="W412" s="18" t="s">
        <v>48</v>
      </c>
      <c r="X412" s="18" t="s">
        <v>49</v>
      </c>
      <c r="Y412" s="18" t="s">
        <v>36</v>
      </c>
      <c r="Z412" s="18" t="s">
        <v>9</v>
      </c>
      <c r="AA412" s="18" t="s">
        <v>50</v>
      </c>
      <c r="AB412" s="18" t="s">
        <v>63</v>
      </c>
      <c r="AC412" s="18" t="s">
        <v>38</v>
      </c>
      <c r="AD412" s="7" t="s">
        <v>257</v>
      </c>
    </row>
    <row r="413" spans="1:49" s="28" customFormat="1" ht="31.5" x14ac:dyDescent="0.25">
      <c r="A413" s="18" t="s">
        <v>60</v>
      </c>
      <c r="B413" s="19">
        <v>46074</v>
      </c>
      <c r="C413" s="19">
        <v>46074</v>
      </c>
      <c r="D413" s="18" t="s">
        <v>214</v>
      </c>
      <c r="E413" s="20">
        <v>0.25</v>
      </c>
      <c r="F413" s="20">
        <v>0.99930555555555556</v>
      </c>
      <c r="G413" s="20">
        <v>3.4722222222222218E-4</v>
      </c>
      <c r="H413" s="18" t="s">
        <v>61</v>
      </c>
      <c r="I413" s="23">
        <v>0.8948842592592593</v>
      </c>
      <c r="J413" s="18" t="s">
        <v>41</v>
      </c>
      <c r="K413" s="18" t="s">
        <v>144</v>
      </c>
      <c r="L413" s="24">
        <v>1</v>
      </c>
      <c r="M413" s="24">
        <v>64407</v>
      </c>
      <c r="N413" s="18" t="s">
        <v>54</v>
      </c>
      <c r="O413" s="24" t="s">
        <v>62</v>
      </c>
      <c r="P413" s="25">
        <v>30</v>
      </c>
      <c r="Q413" s="24"/>
      <c r="R413" s="25">
        <v>30</v>
      </c>
      <c r="S413" s="26">
        <v>46054</v>
      </c>
      <c r="T413" s="25">
        <v>4.5</v>
      </c>
      <c r="U413" s="27">
        <v>4</v>
      </c>
      <c r="V413" s="25">
        <v>25.5</v>
      </c>
      <c r="W413" s="18" t="s">
        <v>48</v>
      </c>
      <c r="X413" s="18" t="s">
        <v>49</v>
      </c>
      <c r="Y413" s="18" t="s">
        <v>36</v>
      </c>
      <c r="Z413" s="18" t="s">
        <v>9</v>
      </c>
      <c r="AA413" s="18" t="s">
        <v>50</v>
      </c>
      <c r="AB413" s="18" t="s">
        <v>63</v>
      </c>
      <c r="AC413" s="18" t="s">
        <v>38</v>
      </c>
      <c r="AD413" s="7" t="s">
        <v>257</v>
      </c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</row>
    <row r="414" spans="1:49" s="28" customFormat="1" ht="31.5" x14ac:dyDescent="0.25">
      <c r="A414" s="18" t="s">
        <v>60</v>
      </c>
      <c r="B414" s="19">
        <v>46074</v>
      </c>
      <c r="C414" s="19">
        <v>46074</v>
      </c>
      <c r="D414" s="18" t="s">
        <v>214</v>
      </c>
      <c r="E414" s="20">
        <v>0.75</v>
      </c>
      <c r="F414" s="20">
        <v>0.83333333333333337</v>
      </c>
      <c r="G414" s="20">
        <v>3.4722222222222218E-4</v>
      </c>
      <c r="H414" s="18" t="s">
        <v>233</v>
      </c>
      <c r="I414" s="23">
        <v>0.77368055555555559</v>
      </c>
      <c r="J414" s="18" t="s">
        <v>232</v>
      </c>
      <c r="K414" s="18" t="s">
        <v>228</v>
      </c>
      <c r="L414" s="24">
        <v>1</v>
      </c>
      <c r="M414" s="24">
        <v>64418</v>
      </c>
      <c r="N414" s="18" t="s">
        <v>46</v>
      </c>
      <c r="O414" s="24" t="s">
        <v>62</v>
      </c>
      <c r="P414" s="25">
        <v>0</v>
      </c>
      <c r="Q414" s="24"/>
      <c r="R414" s="25">
        <v>0</v>
      </c>
      <c r="S414" s="26">
        <v>46054</v>
      </c>
      <c r="T414" s="25">
        <v>0</v>
      </c>
      <c r="U414" s="27">
        <v>4</v>
      </c>
      <c r="V414" s="25">
        <v>0</v>
      </c>
      <c r="W414" s="18" t="s">
        <v>48</v>
      </c>
      <c r="X414" s="18" t="s">
        <v>49</v>
      </c>
      <c r="Y414" s="18" t="s">
        <v>36</v>
      </c>
      <c r="Z414" s="18" t="s">
        <v>9</v>
      </c>
      <c r="AA414" s="18" t="s">
        <v>50</v>
      </c>
      <c r="AB414" s="18" t="s">
        <v>63</v>
      </c>
      <c r="AC414" s="18" t="s">
        <v>38</v>
      </c>
      <c r="AD414" s="7" t="s">
        <v>257</v>
      </c>
    </row>
    <row r="415" spans="1:49" s="28" customFormat="1" ht="31.5" x14ac:dyDescent="0.25">
      <c r="A415" s="18" t="s">
        <v>60</v>
      </c>
      <c r="B415" s="19">
        <v>46074</v>
      </c>
      <c r="C415" s="19">
        <v>46074</v>
      </c>
      <c r="D415" s="18" t="s">
        <v>214</v>
      </c>
      <c r="E415" s="20">
        <v>0.75</v>
      </c>
      <c r="F415" s="20">
        <v>0.83333333333333337</v>
      </c>
      <c r="G415" s="20">
        <v>3.4722222222222218E-4</v>
      </c>
      <c r="H415" s="18" t="s">
        <v>233</v>
      </c>
      <c r="I415" s="23">
        <v>0.78322916666666664</v>
      </c>
      <c r="J415" s="18" t="s">
        <v>232</v>
      </c>
      <c r="K415" s="18" t="s">
        <v>228</v>
      </c>
      <c r="L415" s="24">
        <v>1</v>
      </c>
      <c r="M415" s="24">
        <v>64410</v>
      </c>
      <c r="N415" s="18" t="s">
        <v>54</v>
      </c>
      <c r="O415" s="24" t="s">
        <v>62</v>
      </c>
      <c r="P415" s="25">
        <v>30</v>
      </c>
      <c r="Q415" s="24"/>
      <c r="R415" s="25">
        <v>30</v>
      </c>
      <c r="S415" s="26">
        <v>46054</v>
      </c>
      <c r="T415" s="25">
        <v>4.5</v>
      </c>
      <c r="U415" s="27">
        <v>4</v>
      </c>
      <c r="V415" s="25">
        <v>25.5</v>
      </c>
      <c r="W415" s="18" t="s">
        <v>48</v>
      </c>
      <c r="X415" s="18" t="s">
        <v>49</v>
      </c>
      <c r="Y415" s="18" t="s">
        <v>36</v>
      </c>
      <c r="Z415" s="18" t="s">
        <v>9</v>
      </c>
      <c r="AA415" s="18" t="s">
        <v>50</v>
      </c>
      <c r="AB415" s="18" t="s">
        <v>63</v>
      </c>
      <c r="AC415" s="18" t="s">
        <v>38</v>
      </c>
      <c r="AD415" s="7" t="s">
        <v>257</v>
      </c>
      <c r="AE415" s="9"/>
      <c r="AF415" s="9"/>
      <c r="AG415" s="9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</row>
    <row r="416" spans="1:49" s="28" customFormat="1" ht="31.5" x14ac:dyDescent="0.25">
      <c r="A416" s="18" t="s">
        <v>60</v>
      </c>
      <c r="B416" s="19">
        <v>46075</v>
      </c>
      <c r="C416" s="19">
        <v>46075</v>
      </c>
      <c r="D416" s="18" t="s">
        <v>243</v>
      </c>
      <c r="E416" s="20">
        <v>0.75</v>
      </c>
      <c r="F416" s="20">
        <v>0.83333333333333337</v>
      </c>
      <c r="G416" s="20">
        <v>3.4722222222222218E-4</v>
      </c>
      <c r="H416" s="18" t="s">
        <v>233</v>
      </c>
      <c r="I416" s="23">
        <v>0.76528935185185187</v>
      </c>
      <c r="J416" s="18" t="s">
        <v>232</v>
      </c>
      <c r="K416" s="18" t="s">
        <v>228</v>
      </c>
      <c r="L416" s="24">
        <v>1</v>
      </c>
      <c r="M416" s="24">
        <v>64418</v>
      </c>
      <c r="N416" s="18" t="s">
        <v>46</v>
      </c>
      <c r="O416" s="24" t="s">
        <v>62</v>
      </c>
      <c r="P416" s="25">
        <v>0</v>
      </c>
      <c r="Q416" s="24"/>
      <c r="R416" s="25">
        <v>0</v>
      </c>
      <c r="S416" s="26">
        <v>46054</v>
      </c>
      <c r="T416" s="25">
        <v>0</v>
      </c>
      <c r="U416" s="27">
        <v>4</v>
      </c>
      <c r="V416" s="25">
        <v>0</v>
      </c>
      <c r="W416" s="18" t="s">
        <v>48</v>
      </c>
      <c r="X416" s="18" t="s">
        <v>49</v>
      </c>
      <c r="Y416" s="18" t="s">
        <v>36</v>
      </c>
      <c r="Z416" s="18" t="s">
        <v>9</v>
      </c>
      <c r="AA416" s="18" t="s">
        <v>50</v>
      </c>
      <c r="AB416" s="18" t="s">
        <v>63</v>
      </c>
      <c r="AC416" s="18" t="s">
        <v>38</v>
      </c>
      <c r="AD416" s="7" t="s">
        <v>257</v>
      </c>
    </row>
    <row r="417" spans="1:49" s="28" customFormat="1" ht="31.5" x14ac:dyDescent="0.25">
      <c r="A417" s="18" t="s">
        <v>60</v>
      </c>
      <c r="B417" s="19">
        <v>46075</v>
      </c>
      <c r="C417" s="19">
        <v>46075</v>
      </c>
      <c r="D417" s="18" t="s">
        <v>243</v>
      </c>
      <c r="E417" s="20">
        <v>0.75</v>
      </c>
      <c r="F417" s="20">
        <v>0.83333333333333337</v>
      </c>
      <c r="G417" s="20">
        <v>3.4722222222222218E-4</v>
      </c>
      <c r="H417" s="18" t="s">
        <v>233</v>
      </c>
      <c r="I417" s="23">
        <v>0.80283564814814812</v>
      </c>
      <c r="J417" s="18" t="s">
        <v>232</v>
      </c>
      <c r="K417" s="18" t="s">
        <v>241</v>
      </c>
      <c r="L417" s="24">
        <v>1</v>
      </c>
      <c r="M417" s="24">
        <v>64410</v>
      </c>
      <c r="N417" s="18" t="s">
        <v>54</v>
      </c>
      <c r="O417" s="24" t="s">
        <v>62</v>
      </c>
      <c r="P417" s="25">
        <v>30</v>
      </c>
      <c r="Q417" s="24"/>
      <c r="R417" s="25">
        <v>30</v>
      </c>
      <c r="S417" s="26">
        <v>46054</v>
      </c>
      <c r="T417" s="25">
        <v>4.5</v>
      </c>
      <c r="U417" s="27">
        <v>4</v>
      </c>
      <c r="V417" s="25">
        <v>25.5</v>
      </c>
      <c r="W417" s="18" t="s">
        <v>48</v>
      </c>
      <c r="X417" s="18" t="s">
        <v>49</v>
      </c>
      <c r="Y417" s="18" t="s">
        <v>36</v>
      </c>
      <c r="Z417" s="18" t="s">
        <v>9</v>
      </c>
      <c r="AA417" s="18" t="s">
        <v>50</v>
      </c>
      <c r="AB417" s="18" t="s">
        <v>63</v>
      </c>
      <c r="AC417" s="18" t="s">
        <v>38</v>
      </c>
      <c r="AD417" s="7" t="s">
        <v>257</v>
      </c>
      <c r="AE417" s="9"/>
      <c r="AF417" s="9"/>
      <c r="AG417" s="9"/>
      <c r="AH417" s="9"/>
      <c r="AI417" s="9"/>
      <c r="AJ417" s="9"/>
      <c r="AK417" s="9"/>
      <c r="AL417" s="9"/>
      <c r="AM417" s="9"/>
      <c r="AN417" s="9"/>
      <c r="AO417" s="9"/>
      <c r="AP417" s="9"/>
      <c r="AQ417" s="9"/>
      <c r="AR417" s="9"/>
      <c r="AS417" s="9"/>
      <c r="AT417" s="9"/>
      <c r="AU417" s="9"/>
      <c r="AV417" s="9"/>
      <c r="AW417" s="9"/>
    </row>
    <row r="418" spans="1:49" s="28" customFormat="1" ht="31.5" x14ac:dyDescent="0.25">
      <c r="A418" s="18" t="s">
        <v>60</v>
      </c>
      <c r="B418" s="19">
        <v>46075</v>
      </c>
      <c r="C418" s="19">
        <v>46075</v>
      </c>
      <c r="D418" s="18" t="s">
        <v>243</v>
      </c>
      <c r="E418" s="20">
        <v>0.75</v>
      </c>
      <c r="F418" s="20">
        <v>0.83333333333333337</v>
      </c>
      <c r="G418" s="20">
        <v>3.4722222222222218E-4</v>
      </c>
      <c r="H418" s="18" t="s">
        <v>233</v>
      </c>
      <c r="I418" s="23">
        <v>0.81155092592592593</v>
      </c>
      <c r="J418" s="18" t="s">
        <v>232</v>
      </c>
      <c r="K418" s="18" t="s">
        <v>241</v>
      </c>
      <c r="L418" s="24">
        <v>1</v>
      </c>
      <c r="M418" s="24">
        <v>64410</v>
      </c>
      <c r="N418" s="18" t="s">
        <v>54</v>
      </c>
      <c r="O418" s="24" t="s">
        <v>62</v>
      </c>
      <c r="P418" s="25">
        <v>30</v>
      </c>
      <c r="Q418" s="24"/>
      <c r="R418" s="25">
        <v>30</v>
      </c>
      <c r="S418" s="26">
        <v>46054</v>
      </c>
      <c r="T418" s="25">
        <v>4.5</v>
      </c>
      <c r="U418" s="27">
        <v>4</v>
      </c>
      <c r="V418" s="25">
        <v>25.5</v>
      </c>
      <c r="W418" s="18" t="s">
        <v>48</v>
      </c>
      <c r="X418" s="18" t="s">
        <v>49</v>
      </c>
      <c r="Y418" s="18" t="s">
        <v>36</v>
      </c>
      <c r="Z418" s="18" t="s">
        <v>9</v>
      </c>
      <c r="AA418" s="18" t="s">
        <v>50</v>
      </c>
      <c r="AB418" s="18" t="s">
        <v>63</v>
      </c>
      <c r="AC418" s="18" t="s">
        <v>38</v>
      </c>
      <c r="AD418" s="7" t="s">
        <v>257</v>
      </c>
      <c r="AE418" s="9"/>
      <c r="AF418" s="9"/>
      <c r="AG418" s="9"/>
      <c r="AH418" s="9"/>
      <c r="AI418" s="9"/>
      <c r="AJ418" s="9"/>
      <c r="AK418" s="9"/>
      <c r="AL418" s="9"/>
      <c r="AM418" s="9"/>
      <c r="AN418" s="9"/>
      <c r="AO418" s="9"/>
      <c r="AP418" s="9"/>
      <c r="AQ418" s="9"/>
      <c r="AR418" s="9"/>
      <c r="AS418" s="9"/>
      <c r="AT418" s="9"/>
      <c r="AU418" s="9"/>
      <c r="AV418" s="9"/>
      <c r="AW418" s="9"/>
    </row>
    <row r="419" spans="1:49" s="28" customFormat="1" ht="31.5" x14ac:dyDescent="0.25">
      <c r="A419" s="9" t="s">
        <v>115</v>
      </c>
      <c r="B419" s="10">
        <v>46069</v>
      </c>
      <c r="C419" s="10">
        <v>46069</v>
      </c>
      <c r="D419" s="11" t="s">
        <v>30</v>
      </c>
      <c r="E419" s="12">
        <v>0.6875</v>
      </c>
      <c r="F419" s="12">
        <v>0.70833333333333337</v>
      </c>
      <c r="G419" s="12">
        <v>2.0833333333333332E-2</v>
      </c>
      <c r="H419" s="9" t="s">
        <v>116</v>
      </c>
      <c r="I419" s="13"/>
      <c r="J419" s="9" t="s">
        <v>110</v>
      </c>
      <c r="K419" s="9"/>
      <c r="L419" s="14">
        <v>1</v>
      </c>
      <c r="M419" s="14">
        <v>1</v>
      </c>
      <c r="N419" s="9" t="s">
        <v>33</v>
      </c>
      <c r="O419" s="9"/>
      <c r="P419" s="16">
        <v>0</v>
      </c>
      <c r="Q419" s="14"/>
      <c r="R419" s="16">
        <v>0</v>
      </c>
      <c r="S419" s="9">
        <v>46054</v>
      </c>
      <c r="T419" s="16">
        <v>0</v>
      </c>
      <c r="U419" s="14">
        <v>2</v>
      </c>
      <c r="V419" s="16">
        <v>0</v>
      </c>
      <c r="W419" s="9" t="s">
        <v>34</v>
      </c>
      <c r="X419" s="9" t="s">
        <v>42</v>
      </c>
      <c r="Y419" s="9" t="s">
        <v>36</v>
      </c>
      <c r="Z419" s="9" t="s">
        <v>43</v>
      </c>
      <c r="AA419" s="9" t="s">
        <v>37</v>
      </c>
      <c r="AB419" s="9" t="s">
        <v>37</v>
      </c>
      <c r="AC419" s="9" t="s">
        <v>38</v>
      </c>
      <c r="AD419" s="7" t="s">
        <v>257</v>
      </c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</row>
    <row r="420" spans="1:49" s="28" customFormat="1" ht="31.5" x14ac:dyDescent="0.25">
      <c r="A420" s="9" t="s">
        <v>115</v>
      </c>
      <c r="B420" s="10">
        <v>46069</v>
      </c>
      <c r="C420" s="10">
        <v>46069</v>
      </c>
      <c r="D420" s="11" t="s">
        <v>30</v>
      </c>
      <c r="E420" s="12">
        <v>0.75</v>
      </c>
      <c r="F420" s="12">
        <v>0.77083333333333337</v>
      </c>
      <c r="G420" s="12">
        <v>2.0833333333333332E-2</v>
      </c>
      <c r="H420" s="9" t="s">
        <v>118</v>
      </c>
      <c r="I420" s="13"/>
      <c r="J420" s="9" t="s">
        <v>110</v>
      </c>
      <c r="K420" s="9"/>
      <c r="L420" s="14">
        <v>1</v>
      </c>
      <c r="M420" s="14">
        <v>1</v>
      </c>
      <c r="N420" s="9" t="s">
        <v>33</v>
      </c>
      <c r="O420" s="9"/>
      <c r="P420" s="16">
        <v>0</v>
      </c>
      <c r="Q420" s="14"/>
      <c r="R420" s="16">
        <v>0</v>
      </c>
      <c r="S420" s="9">
        <v>46054</v>
      </c>
      <c r="T420" s="16">
        <v>0</v>
      </c>
      <c r="U420" s="14">
        <v>2</v>
      </c>
      <c r="V420" s="16">
        <v>0</v>
      </c>
      <c r="W420" s="9" t="s">
        <v>34</v>
      </c>
      <c r="X420" s="9" t="s">
        <v>42</v>
      </c>
      <c r="Y420" s="9" t="s">
        <v>36</v>
      </c>
      <c r="Z420" s="9" t="s">
        <v>43</v>
      </c>
      <c r="AA420" s="9" t="s">
        <v>37</v>
      </c>
      <c r="AB420" s="9" t="s">
        <v>37</v>
      </c>
      <c r="AC420" s="9" t="s">
        <v>38</v>
      </c>
      <c r="AD420" s="7" t="s">
        <v>257</v>
      </c>
    </row>
    <row r="421" spans="1:49" s="28" customFormat="1" ht="31.5" x14ac:dyDescent="0.25">
      <c r="A421" s="9" t="s">
        <v>115</v>
      </c>
      <c r="B421" s="10">
        <v>46069</v>
      </c>
      <c r="C421" s="10">
        <v>46069</v>
      </c>
      <c r="D421" s="11" t="s">
        <v>30</v>
      </c>
      <c r="E421" s="12">
        <v>0.77083333333333337</v>
      </c>
      <c r="F421" s="12">
        <v>0.79166666666666663</v>
      </c>
      <c r="G421" s="12">
        <v>2.0833333333333332E-2</v>
      </c>
      <c r="H421" s="9" t="s">
        <v>116</v>
      </c>
      <c r="I421" s="13"/>
      <c r="J421" s="9" t="s">
        <v>110</v>
      </c>
      <c r="K421" s="9"/>
      <c r="L421" s="14">
        <v>1</v>
      </c>
      <c r="M421" s="14">
        <v>1</v>
      </c>
      <c r="N421" s="9" t="s">
        <v>33</v>
      </c>
      <c r="O421" s="9"/>
      <c r="P421" s="16">
        <v>0</v>
      </c>
      <c r="Q421" s="14"/>
      <c r="R421" s="16">
        <v>0</v>
      </c>
      <c r="S421" s="9">
        <v>46054</v>
      </c>
      <c r="T421" s="16">
        <v>0</v>
      </c>
      <c r="U421" s="14">
        <v>2</v>
      </c>
      <c r="V421" s="16">
        <v>0</v>
      </c>
      <c r="W421" s="9" t="s">
        <v>34</v>
      </c>
      <c r="X421" s="9" t="s">
        <v>42</v>
      </c>
      <c r="Y421" s="9" t="s">
        <v>36</v>
      </c>
      <c r="Z421" s="9" t="s">
        <v>43</v>
      </c>
      <c r="AA421" s="9" t="s">
        <v>37</v>
      </c>
      <c r="AB421" s="9" t="s">
        <v>37</v>
      </c>
      <c r="AC421" s="9" t="s">
        <v>38</v>
      </c>
      <c r="AD421" s="7" t="s">
        <v>257</v>
      </c>
    </row>
    <row r="422" spans="1:49" s="28" customFormat="1" ht="31.5" x14ac:dyDescent="0.25">
      <c r="A422" s="9" t="s">
        <v>115</v>
      </c>
      <c r="B422" s="10">
        <v>46070</v>
      </c>
      <c r="C422" s="10">
        <v>46070</v>
      </c>
      <c r="D422" s="11" t="s">
        <v>145</v>
      </c>
      <c r="E422" s="12">
        <v>0.6875</v>
      </c>
      <c r="F422" s="12">
        <v>0.70833333333333337</v>
      </c>
      <c r="G422" s="12">
        <v>2.0833333333333332E-2</v>
      </c>
      <c r="H422" s="9" t="s">
        <v>116</v>
      </c>
      <c r="I422" s="13"/>
      <c r="J422" s="9" t="s">
        <v>110</v>
      </c>
      <c r="K422" s="9"/>
      <c r="L422" s="14">
        <v>1</v>
      </c>
      <c r="M422" s="14">
        <v>1</v>
      </c>
      <c r="N422" s="9" t="s">
        <v>33</v>
      </c>
      <c r="O422" s="9"/>
      <c r="P422" s="16">
        <v>0</v>
      </c>
      <c r="Q422" s="14"/>
      <c r="R422" s="16">
        <v>0</v>
      </c>
      <c r="S422" s="9">
        <v>46054</v>
      </c>
      <c r="T422" s="16">
        <v>0</v>
      </c>
      <c r="U422" s="14">
        <v>2</v>
      </c>
      <c r="V422" s="16">
        <v>0</v>
      </c>
      <c r="W422" s="9" t="s">
        <v>34</v>
      </c>
      <c r="X422" s="9" t="s">
        <v>42</v>
      </c>
      <c r="Y422" s="9" t="s">
        <v>36</v>
      </c>
      <c r="Z422" s="9" t="s">
        <v>43</v>
      </c>
      <c r="AA422" s="9" t="s">
        <v>37</v>
      </c>
      <c r="AB422" s="9" t="s">
        <v>37</v>
      </c>
      <c r="AC422" s="9" t="s">
        <v>38</v>
      </c>
      <c r="AD422" s="7" t="s">
        <v>257</v>
      </c>
    </row>
    <row r="423" spans="1:49" s="28" customFormat="1" ht="31.5" x14ac:dyDescent="0.25">
      <c r="A423" s="9" t="s">
        <v>115</v>
      </c>
      <c r="B423" s="10">
        <v>46070</v>
      </c>
      <c r="C423" s="10">
        <v>46070</v>
      </c>
      <c r="D423" s="11" t="s">
        <v>145</v>
      </c>
      <c r="E423" s="12">
        <v>0.75</v>
      </c>
      <c r="F423" s="12">
        <v>0.77083333333333337</v>
      </c>
      <c r="G423" s="12">
        <v>2.0833333333333332E-2</v>
      </c>
      <c r="H423" s="9" t="s">
        <v>118</v>
      </c>
      <c r="I423" s="13"/>
      <c r="J423" s="9" t="s">
        <v>110</v>
      </c>
      <c r="K423" s="9"/>
      <c r="L423" s="14">
        <v>1</v>
      </c>
      <c r="M423" s="14">
        <v>1</v>
      </c>
      <c r="N423" s="9" t="s">
        <v>33</v>
      </c>
      <c r="O423" s="9"/>
      <c r="P423" s="16">
        <v>0</v>
      </c>
      <c r="Q423" s="14"/>
      <c r="R423" s="16">
        <v>0</v>
      </c>
      <c r="S423" s="9">
        <v>46054</v>
      </c>
      <c r="T423" s="16">
        <v>0</v>
      </c>
      <c r="U423" s="14">
        <v>2</v>
      </c>
      <c r="V423" s="16">
        <v>0</v>
      </c>
      <c r="W423" s="9" t="s">
        <v>34</v>
      </c>
      <c r="X423" s="9" t="s">
        <v>42</v>
      </c>
      <c r="Y423" s="9" t="s">
        <v>36</v>
      </c>
      <c r="Z423" s="9" t="s">
        <v>43</v>
      </c>
      <c r="AA423" s="9" t="s">
        <v>37</v>
      </c>
      <c r="AB423" s="9" t="s">
        <v>37</v>
      </c>
      <c r="AC423" s="9" t="s">
        <v>38</v>
      </c>
      <c r="AD423" s="7" t="s">
        <v>257</v>
      </c>
    </row>
    <row r="424" spans="1:49" s="28" customFormat="1" ht="31.5" x14ac:dyDescent="0.25">
      <c r="A424" s="9" t="s">
        <v>115</v>
      </c>
      <c r="B424" s="10">
        <v>46070</v>
      </c>
      <c r="C424" s="10">
        <v>46070</v>
      </c>
      <c r="D424" s="11" t="s">
        <v>145</v>
      </c>
      <c r="E424" s="12">
        <v>0.77083333333333337</v>
      </c>
      <c r="F424" s="12">
        <v>0.79166666666666663</v>
      </c>
      <c r="G424" s="12">
        <v>2.0833333333333332E-2</v>
      </c>
      <c r="H424" s="9" t="s">
        <v>116</v>
      </c>
      <c r="I424" s="13"/>
      <c r="J424" s="9" t="s">
        <v>110</v>
      </c>
      <c r="K424" s="9"/>
      <c r="L424" s="14">
        <v>1</v>
      </c>
      <c r="M424" s="14">
        <v>1</v>
      </c>
      <c r="N424" s="9" t="s">
        <v>33</v>
      </c>
      <c r="O424" s="9"/>
      <c r="P424" s="16">
        <v>0</v>
      </c>
      <c r="Q424" s="14"/>
      <c r="R424" s="16">
        <v>0</v>
      </c>
      <c r="S424" s="9">
        <v>46054</v>
      </c>
      <c r="T424" s="16">
        <v>0</v>
      </c>
      <c r="U424" s="14">
        <v>2</v>
      </c>
      <c r="V424" s="16">
        <v>0</v>
      </c>
      <c r="W424" s="9" t="s">
        <v>34</v>
      </c>
      <c r="X424" s="9" t="s">
        <v>42</v>
      </c>
      <c r="Y424" s="9" t="s">
        <v>36</v>
      </c>
      <c r="Z424" s="9" t="s">
        <v>43</v>
      </c>
      <c r="AA424" s="9" t="s">
        <v>37</v>
      </c>
      <c r="AB424" s="9" t="s">
        <v>37</v>
      </c>
      <c r="AC424" s="9" t="s">
        <v>38</v>
      </c>
      <c r="AD424" s="7" t="s">
        <v>257</v>
      </c>
      <c r="AE424" s="9"/>
      <c r="AF424" s="9"/>
      <c r="AG424" s="9"/>
      <c r="AH424" s="9"/>
      <c r="AI424" s="9"/>
      <c r="AJ424" s="9"/>
      <c r="AK424" s="9"/>
      <c r="AL424" s="9"/>
      <c r="AM424" s="9"/>
      <c r="AN424" s="9"/>
      <c r="AO424" s="9"/>
      <c r="AP424" s="9"/>
      <c r="AQ424" s="9"/>
      <c r="AR424" s="9"/>
      <c r="AS424" s="9"/>
      <c r="AT424" s="9"/>
      <c r="AU424" s="9"/>
      <c r="AV424" s="9"/>
      <c r="AW424" s="9"/>
    </row>
    <row r="425" spans="1:49" s="28" customFormat="1" ht="31.5" x14ac:dyDescent="0.25">
      <c r="A425" s="9" t="s">
        <v>115</v>
      </c>
      <c r="B425" s="10">
        <v>46071</v>
      </c>
      <c r="C425" s="10">
        <v>46071</v>
      </c>
      <c r="D425" s="11" t="s">
        <v>177</v>
      </c>
      <c r="E425" s="12">
        <v>0.6875</v>
      </c>
      <c r="F425" s="12">
        <v>0.70833333333333337</v>
      </c>
      <c r="G425" s="12">
        <v>2.0833333333333332E-2</v>
      </c>
      <c r="H425" s="9" t="s">
        <v>116</v>
      </c>
      <c r="I425" s="13"/>
      <c r="J425" s="9" t="s">
        <v>110</v>
      </c>
      <c r="K425" s="9"/>
      <c r="L425" s="14">
        <v>1</v>
      </c>
      <c r="M425" s="14">
        <v>1</v>
      </c>
      <c r="N425" s="9" t="s">
        <v>33</v>
      </c>
      <c r="O425" s="9"/>
      <c r="P425" s="16">
        <v>0</v>
      </c>
      <c r="Q425" s="14"/>
      <c r="R425" s="16">
        <v>0</v>
      </c>
      <c r="S425" s="9">
        <v>46054</v>
      </c>
      <c r="T425" s="16">
        <v>0</v>
      </c>
      <c r="U425" s="14">
        <v>2</v>
      </c>
      <c r="V425" s="16">
        <v>0</v>
      </c>
      <c r="W425" s="9" t="s">
        <v>34</v>
      </c>
      <c r="X425" s="9" t="s">
        <v>42</v>
      </c>
      <c r="Y425" s="9" t="s">
        <v>36</v>
      </c>
      <c r="Z425" s="9" t="s">
        <v>43</v>
      </c>
      <c r="AA425" s="9" t="s">
        <v>37</v>
      </c>
      <c r="AB425" s="9" t="s">
        <v>37</v>
      </c>
      <c r="AC425" s="9" t="s">
        <v>38</v>
      </c>
      <c r="AD425" s="7" t="s">
        <v>257</v>
      </c>
    </row>
    <row r="426" spans="1:49" s="28" customFormat="1" ht="31.5" x14ac:dyDescent="0.25">
      <c r="A426" s="9" t="s">
        <v>115</v>
      </c>
      <c r="B426" s="10">
        <v>46071</v>
      </c>
      <c r="C426" s="10">
        <v>46071</v>
      </c>
      <c r="D426" s="11" t="s">
        <v>177</v>
      </c>
      <c r="E426" s="12">
        <v>0.75</v>
      </c>
      <c r="F426" s="12">
        <v>0.77083333333333337</v>
      </c>
      <c r="G426" s="12">
        <v>2.0833333333333332E-2</v>
      </c>
      <c r="H426" s="9" t="s">
        <v>118</v>
      </c>
      <c r="I426" s="13"/>
      <c r="J426" s="9" t="s">
        <v>110</v>
      </c>
      <c r="K426" s="9"/>
      <c r="L426" s="14">
        <v>1</v>
      </c>
      <c r="M426" s="14">
        <v>1</v>
      </c>
      <c r="N426" s="9" t="s">
        <v>33</v>
      </c>
      <c r="O426" s="9"/>
      <c r="P426" s="16">
        <v>0</v>
      </c>
      <c r="Q426" s="14"/>
      <c r="R426" s="16">
        <v>0</v>
      </c>
      <c r="S426" s="9">
        <v>46054</v>
      </c>
      <c r="T426" s="16">
        <v>0</v>
      </c>
      <c r="U426" s="14">
        <v>2</v>
      </c>
      <c r="V426" s="16">
        <v>0</v>
      </c>
      <c r="W426" s="9" t="s">
        <v>34</v>
      </c>
      <c r="X426" s="9" t="s">
        <v>42</v>
      </c>
      <c r="Y426" s="9" t="s">
        <v>36</v>
      </c>
      <c r="Z426" s="9" t="s">
        <v>43</v>
      </c>
      <c r="AA426" s="9" t="s">
        <v>37</v>
      </c>
      <c r="AB426" s="9" t="s">
        <v>37</v>
      </c>
      <c r="AC426" s="9" t="s">
        <v>38</v>
      </c>
      <c r="AD426" s="7" t="s">
        <v>257</v>
      </c>
    </row>
    <row r="427" spans="1:49" s="28" customFormat="1" ht="31.5" x14ac:dyDescent="0.25">
      <c r="A427" s="9" t="s">
        <v>115</v>
      </c>
      <c r="B427" s="10">
        <v>46071</v>
      </c>
      <c r="C427" s="10">
        <v>46071</v>
      </c>
      <c r="D427" s="11" t="s">
        <v>177</v>
      </c>
      <c r="E427" s="12">
        <v>0.77083333333333337</v>
      </c>
      <c r="F427" s="12">
        <v>0.79166666666666663</v>
      </c>
      <c r="G427" s="12">
        <v>2.0833333333333332E-2</v>
      </c>
      <c r="H427" s="9" t="s">
        <v>116</v>
      </c>
      <c r="I427" s="13"/>
      <c r="J427" s="9" t="s">
        <v>110</v>
      </c>
      <c r="K427" s="9"/>
      <c r="L427" s="14">
        <v>1</v>
      </c>
      <c r="M427" s="14">
        <v>1</v>
      </c>
      <c r="N427" s="9" t="s">
        <v>33</v>
      </c>
      <c r="O427" s="9"/>
      <c r="P427" s="16">
        <v>0</v>
      </c>
      <c r="Q427" s="14"/>
      <c r="R427" s="16">
        <v>0</v>
      </c>
      <c r="S427" s="9">
        <v>46054</v>
      </c>
      <c r="T427" s="16">
        <v>0</v>
      </c>
      <c r="U427" s="14">
        <v>2</v>
      </c>
      <c r="V427" s="16">
        <v>0</v>
      </c>
      <c r="W427" s="9" t="s">
        <v>34</v>
      </c>
      <c r="X427" s="9" t="s">
        <v>42</v>
      </c>
      <c r="Y427" s="9" t="s">
        <v>36</v>
      </c>
      <c r="Z427" s="9" t="s">
        <v>43</v>
      </c>
      <c r="AA427" s="9" t="s">
        <v>37</v>
      </c>
      <c r="AB427" s="9" t="s">
        <v>37</v>
      </c>
      <c r="AC427" s="9" t="s">
        <v>38</v>
      </c>
      <c r="AD427" s="7" t="s">
        <v>257</v>
      </c>
      <c r="AE427" s="9"/>
      <c r="AF427" s="9"/>
      <c r="AG427" s="9"/>
      <c r="AH427" s="9"/>
      <c r="AI427" s="9"/>
      <c r="AJ427" s="9"/>
      <c r="AK427" s="9"/>
      <c r="AL427" s="9"/>
      <c r="AM427" s="9"/>
      <c r="AN427" s="9"/>
      <c r="AO427" s="9"/>
      <c r="AP427" s="9"/>
      <c r="AQ427" s="9"/>
      <c r="AR427" s="9"/>
      <c r="AS427" s="9"/>
      <c r="AT427" s="9"/>
      <c r="AU427" s="9"/>
      <c r="AV427" s="9"/>
      <c r="AW427" s="9"/>
    </row>
    <row r="428" spans="1:49" s="28" customFormat="1" ht="31.5" x14ac:dyDescent="0.25">
      <c r="A428" s="9" t="s">
        <v>115</v>
      </c>
      <c r="B428" s="10">
        <v>46072</v>
      </c>
      <c r="C428" s="10">
        <v>46072</v>
      </c>
      <c r="D428" s="11" t="s">
        <v>183</v>
      </c>
      <c r="E428" s="12">
        <v>0.6875</v>
      </c>
      <c r="F428" s="12">
        <v>0.70833333333333337</v>
      </c>
      <c r="G428" s="12">
        <v>2.0833333333333332E-2</v>
      </c>
      <c r="H428" s="9" t="s">
        <v>116</v>
      </c>
      <c r="I428" s="13"/>
      <c r="J428" s="9" t="s">
        <v>110</v>
      </c>
      <c r="K428" s="9"/>
      <c r="L428" s="14">
        <v>1</v>
      </c>
      <c r="M428" s="14">
        <v>1</v>
      </c>
      <c r="N428" s="9" t="s">
        <v>33</v>
      </c>
      <c r="O428" s="9"/>
      <c r="P428" s="16">
        <v>0</v>
      </c>
      <c r="Q428" s="14"/>
      <c r="R428" s="16">
        <v>0</v>
      </c>
      <c r="S428" s="9">
        <v>46054</v>
      </c>
      <c r="T428" s="16">
        <v>0</v>
      </c>
      <c r="U428" s="14">
        <v>2</v>
      </c>
      <c r="V428" s="16">
        <v>0</v>
      </c>
      <c r="W428" s="9" t="s">
        <v>34</v>
      </c>
      <c r="X428" s="9" t="s">
        <v>42</v>
      </c>
      <c r="Y428" s="9" t="s">
        <v>36</v>
      </c>
      <c r="Z428" s="9" t="s">
        <v>43</v>
      </c>
      <c r="AA428" s="9" t="s">
        <v>37</v>
      </c>
      <c r="AB428" s="9" t="s">
        <v>37</v>
      </c>
      <c r="AC428" s="9" t="s">
        <v>38</v>
      </c>
      <c r="AD428" s="7" t="s">
        <v>257</v>
      </c>
    </row>
    <row r="429" spans="1:49" s="28" customFormat="1" ht="31.5" x14ac:dyDescent="0.25">
      <c r="A429" s="9" t="s">
        <v>115</v>
      </c>
      <c r="B429" s="10">
        <v>46072</v>
      </c>
      <c r="C429" s="10">
        <v>46072</v>
      </c>
      <c r="D429" s="11" t="s">
        <v>183</v>
      </c>
      <c r="E429" s="12">
        <v>0.75</v>
      </c>
      <c r="F429" s="12">
        <v>0.77083333333333337</v>
      </c>
      <c r="G429" s="12">
        <v>2.0833333333333332E-2</v>
      </c>
      <c r="H429" s="9" t="s">
        <v>118</v>
      </c>
      <c r="I429" s="13"/>
      <c r="J429" s="9" t="s">
        <v>110</v>
      </c>
      <c r="K429" s="9"/>
      <c r="L429" s="14">
        <v>1</v>
      </c>
      <c r="M429" s="14">
        <v>1</v>
      </c>
      <c r="N429" s="9" t="s">
        <v>33</v>
      </c>
      <c r="O429" s="9"/>
      <c r="P429" s="16">
        <v>0</v>
      </c>
      <c r="Q429" s="14"/>
      <c r="R429" s="16">
        <v>0</v>
      </c>
      <c r="S429" s="9">
        <v>46054</v>
      </c>
      <c r="T429" s="16">
        <v>0</v>
      </c>
      <c r="U429" s="14">
        <v>2</v>
      </c>
      <c r="V429" s="16">
        <v>0</v>
      </c>
      <c r="W429" s="9" t="s">
        <v>34</v>
      </c>
      <c r="X429" s="9" t="s">
        <v>42</v>
      </c>
      <c r="Y429" s="9" t="s">
        <v>36</v>
      </c>
      <c r="Z429" s="9" t="s">
        <v>43</v>
      </c>
      <c r="AA429" s="9" t="s">
        <v>37</v>
      </c>
      <c r="AB429" s="9" t="s">
        <v>37</v>
      </c>
      <c r="AC429" s="9" t="s">
        <v>38</v>
      </c>
      <c r="AD429" s="7" t="s">
        <v>257</v>
      </c>
    </row>
    <row r="430" spans="1:49" s="28" customFormat="1" ht="31.5" x14ac:dyDescent="0.25">
      <c r="A430" s="9" t="s">
        <v>115</v>
      </c>
      <c r="B430" s="10">
        <v>46072</v>
      </c>
      <c r="C430" s="10">
        <v>46072</v>
      </c>
      <c r="D430" s="11" t="s">
        <v>183</v>
      </c>
      <c r="E430" s="12">
        <v>0.77083333333333337</v>
      </c>
      <c r="F430" s="12">
        <v>0.79166666666666663</v>
      </c>
      <c r="G430" s="12">
        <v>2.0833333333333332E-2</v>
      </c>
      <c r="H430" s="9" t="s">
        <v>116</v>
      </c>
      <c r="I430" s="13"/>
      <c r="J430" s="9" t="s">
        <v>110</v>
      </c>
      <c r="K430" s="9"/>
      <c r="L430" s="14">
        <v>1</v>
      </c>
      <c r="M430" s="14">
        <v>1</v>
      </c>
      <c r="N430" s="9" t="s">
        <v>33</v>
      </c>
      <c r="O430" s="9"/>
      <c r="P430" s="16">
        <v>0</v>
      </c>
      <c r="Q430" s="14"/>
      <c r="R430" s="16">
        <v>0</v>
      </c>
      <c r="S430" s="9">
        <v>46054</v>
      </c>
      <c r="T430" s="16">
        <v>0</v>
      </c>
      <c r="U430" s="14">
        <v>2</v>
      </c>
      <c r="V430" s="16">
        <v>0</v>
      </c>
      <c r="W430" s="9" t="s">
        <v>34</v>
      </c>
      <c r="X430" s="9" t="s">
        <v>42</v>
      </c>
      <c r="Y430" s="9" t="s">
        <v>36</v>
      </c>
      <c r="Z430" s="9" t="s">
        <v>43</v>
      </c>
      <c r="AA430" s="9" t="s">
        <v>37</v>
      </c>
      <c r="AB430" s="9" t="s">
        <v>37</v>
      </c>
      <c r="AC430" s="9" t="s">
        <v>38</v>
      </c>
      <c r="AD430" s="7" t="s">
        <v>257</v>
      </c>
    </row>
    <row r="431" spans="1:49" s="28" customFormat="1" ht="31.5" x14ac:dyDescent="0.25">
      <c r="A431" s="9" t="s">
        <v>115</v>
      </c>
      <c r="B431" s="10">
        <v>46073</v>
      </c>
      <c r="C431" s="10">
        <v>46073</v>
      </c>
      <c r="D431" s="11" t="s">
        <v>196</v>
      </c>
      <c r="E431" s="12">
        <v>0.6875</v>
      </c>
      <c r="F431" s="12">
        <v>0.70833333333333337</v>
      </c>
      <c r="G431" s="12">
        <v>2.0833333333333332E-2</v>
      </c>
      <c r="H431" s="9" t="s">
        <v>116</v>
      </c>
      <c r="I431" s="13"/>
      <c r="J431" s="9" t="s">
        <v>110</v>
      </c>
      <c r="K431" s="9"/>
      <c r="L431" s="14">
        <v>1</v>
      </c>
      <c r="M431" s="14">
        <v>1</v>
      </c>
      <c r="N431" s="9" t="s">
        <v>33</v>
      </c>
      <c r="O431" s="9"/>
      <c r="P431" s="16">
        <v>0</v>
      </c>
      <c r="Q431" s="14"/>
      <c r="R431" s="16">
        <v>0</v>
      </c>
      <c r="S431" s="9">
        <v>46054</v>
      </c>
      <c r="T431" s="16">
        <v>0</v>
      </c>
      <c r="U431" s="14">
        <v>2</v>
      </c>
      <c r="V431" s="16">
        <v>0</v>
      </c>
      <c r="W431" s="9" t="s">
        <v>34</v>
      </c>
      <c r="X431" s="9" t="s">
        <v>42</v>
      </c>
      <c r="Y431" s="9" t="s">
        <v>36</v>
      </c>
      <c r="Z431" s="9" t="s">
        <v>43</v>
      </c>
      <c r="AA431" s="9" t="s">
        <v>37</v>
      </c>
      <c r="AB431" s="9" t="s">
        <v>37</v>
      </c>
      <c r="AC431" s="9" t="s">
        <v>38</v>
      </c>
      <c r="AD431" s="7" t="s">
        <v>257</v>
      </c>
    </row>
    <row r="432" spans="1:49" s="28" customFormat="1" ht="31.5" x14ac:dyDescent="0.25">
      <c r="A432" s="9" t="s">
        <v>115</v>
      </c>
      <c r="B432" s="10">
        <v>46073</v>
      </c>
      <c r="C432" s="10">
        <v>46073</v>
      </c>
      <c r="D432" s="11" t="s">
        <v>196</v>
      </c>
      <c r="E432" s="12">
        <v>0.75</v>
      </c>
      <c r="F432" s="12">
        <v>0.77083333333333337</v>
      </c>
      <c r="G432" s="12">
        <v>2.0833333333333332E-2</v>
      </c>
      <c r="H432" s="9" t="s">
        <v>118</v>
      </c>
      <c r="I432" s="13"/>
      <c r="J432" s="9" t="s">
        <v>110</v>
      </c>
      <c r="K432" s="9"/>
      <c r="L432" s="14">
        <v>1</v>
      </c>
      <c r="M432" s="14">
        <v>1</v>
      </c>
      <c r="N432" s="9" t="s">
        <v>33</v>
      </c>
      <c r="O432" s="9"/>
      <c r="P432" s="16">
        <v>0</v>
      </c>
      <c r="Q432" s="14"/>
      <c r="R432" s="16">
        <v>0</v>
      </c>
      <c r="S432" s="9">
        <v>46054</v>
      </c>
      <c r="T432" s="16">
        <v>0</v>
      </c>
      <c r="U432" s="14">
        <v>2</v>
      </c>
      <c r="V432" s="16">
        <v>0</v>
      </c>
      <c r="W432" s="9" t="s">
        <v>34</v>
      </c>
      <c r="X432" s="9" t="s">
        <v>42</v>
      </c>
      <c r="Y432" s="9" t="s">
        <v>36</v>
      </c>
      <c r="Z432" s="9" t="s">
        <v>43</v>
      </c>
      <c r="AA432" s="9" t="s">
        <v>37</v>
      </c>
      <c r="AB432" s="9" t="s">
        <v>37</v>
      </c>
      <c r="AC432" s="9" t="s">
        <v>38</v>
      </c>
      <c r="AD432" s="7" t="s">
        <v>257</v>
      </c>
    </row>
    <row r="433" spans="1:49" s="28" customFormat="1" ht="31.5" x14ac:dyDescent="0.25">
      <c r="A433" s="9" t="s">
        <v>115</v>
      </c>
      <c r="B433" s="10">
        <v>46073</v>
      </c>
      <c r="C433" s="10">
        <v>46073</v>
      </c>
      <c r="D433" s="11" t="s">
        <v>196</v>
      </c>
      <c r="E433" s="12">
        <v>0.77083333333333337</v>
      </c>
      <c r="F433" s="12">
        <v>0.79166666666666663</v>
      </c>
      <c r="G433" s="12">
        <v>2.0833333333333332E-2</v>
      </c>
      <c r="H433" s="9" t="s">
        <v>116</v>
      </c>
      <c r="I433" s="13"/>
      <c r="J433" s="9" t="s">
        <v>110</v>
      </c>
      <c r="K433" s="9"/>
      <c r="L433" s="14">
        <v>1</v>
      </c>
      <c r="M433" s="14">
        <v>1</v>
      </c>
      <c r="N433" s="9" t="s">
        <v>33</v>
      </c>
      <c r="O433" s="9"/>
      <c r="P433" s="16">
        <v>0</v>
      </c>
      <c r="Q433" s="14"/>
      <c r="R433" s="16">
        <v>0</v>
      </c>
      <c r="S433" s="9">
        <v>46054</v>
      </c>
      <c r="T433" s="16">
        <v>0</v>
      </c>
      <c r="U433" s="14">
        <v>2</v>
      </c>
      <c r="V433" s="16">
        <v>0</v>
      </c>
      <c r="W433" s="9" t="s">
        <v>34</v>
      </c>
      <c r="X433" s="9" t="s">
        <v>42</v>
      </c>
      <c r="Y433" s="9" t="s">
        <v>36</v>
      </c>
      <c r="Z433" s="9" t="s">
        <v>43</v>
      </c>
      <c r="AA433" s="9" t="s">
        <v>37</v>
      </c>
      <c r="AB433" s="9" t="s">
        <v>37</v>
      </c>
      <c r="AC433" s="9" t="s">
        <v>38</v>
      </c>
      <c r="AD433" s="7" t="s">
        <v>257</v>
      </c>
    </row>
    <row r="434" spans="1:49" s="28" customFormat="1" ht="31.5" x14ac:dyDescent="0.25">
      <c r="A434" s="9" t="s">
        <v>115</v>
      </c>
      <c r="B434" s="10">
        <v>46074</v>
      </c>
      <c r="C434" s="10">
        <v>46074</v>
      </c>
      <c r="D434" s="11" t="s">
        <v>214</v>
      </c>
      <c r="E434" s="12">
        <v>0.70833333333333337</v>
      </c>
      <c r="F434" s="12">
        <v>0.75</v>
      </c>
      <c r="G434" s="12">
        <v>4.1666666666666664E-2</v>
      </c>
      <c r="H434" s="9" t="s">
        <v>167</v>
      </c>
      <c r="I434" s="13" t="s">
        <v>216</v>
      </c>
      <c r="J434" s="9" t="s">
        <v>110</v>
      </c>
      <c r="K434" s="9"/>
      <c r="L434" s="14">
        <v>1</v>
      </c>
      <c r="M434" s="14">
        <v>1</v>
      </c>
      <c r="N434" s="9" t="s">
        <v>33</v>
      </c>
      <c r="O434" s="9"/>
      <c r="P434" s="16">
        <v>0</v>
      </c>
      <c r="Q434" s="14"/>
      <c r="R434" s="16">
        <v>0</v>
      </c>
      <c r="S434" s="9">
        <v>46054</v>
      </c>
      <c r="T434" s="16">
        <v>0</v>
      </c>
      <c r="U434" s="14">
        <v>2</v>
      </c>
      <c r="V434" s="16">
        <v>0</v>
      </c>
      <c r="W434" s="9" t="s">
        <v>34</v>
      </c>
      <c r="X434" s="9" t="s">
        <v>42</v>
      </c>
      <c r="Y434" s="9" t="s">
        <v>36</v>
      </c>
      <c r="Z434" s="9" t="s">
        <v>43</v>
      </c>
      <c r="AA434" s="9" t="s">
        <v>37</v>
      </c>
      <c r="AB434" s="9" t="s">
        <v>37</v>
      </c>
      <c r="AC434" s="9" t="s">
        <v>38</v>
      </c>
      <c r="AD434" s="7" t="s">
        <v>257</v>
      </c>
    </row>
    <row r="435" spans="1:49" s="28" customFormat="1" ht="31.5" x14ac:dyDescent="0.25">
      <c r="A435" s="18" t="s">
        <v>129</v>
      </c>
      <c r="B435" s="19">
        <v>46069</v>
      </c>
      <c r="C435" s="19">
        <v>46069</v>
      </c>
      <c r="D435" s="18" t="s">
        <v>30</v>
      </c>
      <c r="E435" s="20">
        <v>0.79166666666666663</v>
      </c>
      <c r="F435" s="20">
        <v>0.83333333333333337</v>
      </c>
      <c r="G435" s="20">
        <v>1.7361111111111109E-4</v>
      </c>
      <c r="H435" s="18" t="s">
        <v>130</v>
      </c>
      <c r="I435" s="23">
        <v>0.81613425925925931</v>
      </c>
      <c r="J435" s="18" t="s">
        <v>120</v>
      </c>
      <c r="K435" s="18" t="s">
        <v>142</v>
      </c>
      <c r="L435" s="24">
        <v>1</v>
      </c>
      <c r="M435" s="24">
        <v>71275</v>
      </c>
      <c r="N435" s="18" t="s">
        <v>54</v>
      </c>
      <c r="O435" s="24" t="s">
        <v>38</v>
      </c>
      <c r="P435" s="25">
        <v>30</v>
      </c>
      <c r="Q435" s="24"/>
      <c r="R435" s="25">
        <v>30</v>
      </c>
      <c r="S435" s="26">
        <v>46069</v>
      </c>
      <c r="T435" s="25">
        <v>4.5</v>
      </c>
      <c r="U435" s="27">
        <v>4</v>
      </c>
      <c r="V435" s="25">
        <v>25.5</v>
      </c>
      <c r="W435" s="18" t="s">
        <v>48</v>
      </c>
      <c r="X435" s="18" t="s">
        <v>49</v>
      </c>
      <c r="Y435" s="18" t="s">
        <v>86</v>
      </c>
      <c r="Z435" s="18" t="s">
        <v>9</v>
      </c>
      <c r="AA435" s="18" t="s">
        <v>50</v>
      </c>
      <c r="AB435" s="18" t="s">
        <v>131</v>
      </c>
      <c r="AC435" s="18" t="s">
        <v>38</v>
      </c>
      <c r="AD435" s="7" t="s">
        <v>257</v>
      </c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</row>
    <row r="436" spans="1:49" s="28" customFormat="1" ht="31.5" x14ac:dyDescent="0.25">
      <c r="A436" s="18" t="s">
        <v>129</v>
      </c>
      <c r="B436" s="19">
        <v>46070</v>
      </c>
      <c r="C436" s="19">
        <v>46070</v>
      </c>
      <c r="D436" s="18" t="s">
        <v>145</v>
      </c>
      <c r="E436" s="20">
        <v>0.79166666666666663</v>
      </c>
      <c r="F436" s="20">
        <v>0.83333333333333337</v>
      </c>
      <c r="G436" s="20">
        <v>1.7361111111111109E-4</v>
      </c>
      <c r="H436" s="18" t="s">
        <v>130</v>
      </c>
      <c r="I436" s="23">
        <v>0.82190972222222225</v>
      </c>
      <c r="J436" s="18" t="s">
        <v>120</v>
      </c>
      <c r="K436" s="18" t="s">
        <v>142</v>
      </c>
      <c r="L436" s="24">
        <v>1</v>
      </c>
      <c r="M436" s="24">
        <v>71275</v>
      </c>
      <c r="N436" s="18" t="s">
        <v>54</v>
      </c>
      <c r="O436" s="24" t="s">
        <v>38</v>
      </c>
      <c r="P436" s="25">
        <v>30</v>
      </c>
      <c r="Q436" s="24"/>
      <c r="R436" s="25">
        <v>30</v>
      </c>
      <c r="S436" s="26">
        <v>46070</v>
      </c>
      <c r="T436" s="25">
        <v>4.5</v>
      </c>
      <c r="U436" s="27">
        <v>4</v>
      </c>
      <c r="V436" s="25">
        <v>25.5</v>
      </c>
      <c r="W436" s="18" t="s">
        <v>48</v>
      </c>
      <c r="X436" s="18" t="s">
        <v>49</v>
      </c>
      <c r="Y436" s="18" t="s">
        <v>86</v>
      </c>
      <c r="Z436" s="18" t="s">
        <v>9</v>
      </c>
      <c r="AA436" s="18" t="s">
        <v>50</v>
      </c>
      <c r="AB436" s="18" t="s">
        <v>131</v>
      </c>
      <c r="AC436" s="18" t="s">
        <v>38</v>
      </c>
      <c r="AD436" s="7" t="s">
        <v>257</v>
      </c>
    </row>
    <row r="437" spans="1:49" s="28" customFormat="1" ht="31.5" x14ac:dyDescent="0.25">
      <c r="A437" s="18" t="s">
        <v>129</v>
      </c>
      <c r="B437" s="19">
        <v>46070</v>
      </c>
      <c r="C437" s="19">
        <v>46070</v>
      </c>
      <c r="D437" s="18" t="s">
        <v>145</v>
      </c>
      <c r="E437" s="20">
        <v>0.83333333333333337</v>
      </c>
      <c r="F437" s="20">
        <v>0.91666666666666663</v>
      </c>
      <c r="G437" s="20">
        <v>1.7361111111111109E-4</v>
      </c>
      <c r="H437" s="18" t="s">
        <v>169</v>
      </c>
      <c r="I437" s="23">
        <v>0.8925925925925926</v>
      </c>
      <c r="J437" s="18" t="s">
        <v>41</v>
      </c>
      <c r="K437" s="18" t="s">
        <v>137</v>
      </c>
      <c r="L437" s="24">
        <v>1</v>
      </c>
      <c r="M437" s="24">
        <v>71277</v>
      </c>
      <c r="N437" s="18" t="s">
        <v>54</v>
      </c>
      <c r="O437" s="24" t="s">
        <v>38</v>
      </c>
      <c r="P437" s="25">
        <v>30</v>
      </c>
      <c r="Q437" s="24"/>
      <c r="R437" s="25">
        <v>30</v>
      </c>
      <c r="S437" s="26">
        <v>46070</v>
      </c>
      <c r="T437" s="25">
        <v>4.5</v>
      </c>
      <c r="U437" s="27">
        <v>4</v>
      </c>
      <c r="V437" s="25">
        <v>25.5</v>
      </c>
      <c r="W437" s="18" t="s">
        <v>48</v>
      </c>
      <c r="X437" s="18" t="s">
        <v>49</v>
      </c>
      <c r="Y437" s="18" t="s">
        <v>86</v>
      </c>
      <c r="Z437" s="18" t="s">
        <v>9</v>
      </c>
      <c r="AA437" s="18" t="s">
        <v>50</v>
      </c>
      <c r="AB437" s="18" t="s">
        <v>131</v>
      </c>
      <c r="AC437" s="18" t="s">
        <v>38</v>
      </c>
      <c r="AD437" s="7" t="s">
        <v>257</v>
      </c>
      <c r="AE437" s="9"/>
      <c r="AF437" s="9"/>
      <c r="AG437" s="9"/>
      <c r="AH437" s="9"/>
      <c r="AI437" s="9"/>
      <c r="AJ437" s="9"/>
      <c r="AK437" s="9"/>
      <c r="AL437" s="9"/>
      <c r="AM437" s="9"/>
      <c r="AN437" s="9"/>
      <c r="AO437" s="9"/>
      <c r="AP437" s="9"/>
      <c r="AQ437" s="9"/>
      <c r="AR437" s="9"/>
      <c r="AS437" s="9"/>
      <c r="AT437" s="9"/>
      <c r="AU437" s="9"/>
      <c r="AV437" s="9"/>
      <c r="AW437" s="9"/>
    </row>
    <row r="438" spans="1:49" s="28" customFormat="1" ht="31.5" x14ac:dyDescent="0.25">
      <c r="A438" s="18" t="s">
        <v>129</v>
      </c>
      <c r="B438" s="19">
        <v>46071</v>
      </c>
      <c r="C438" s="19">
        <v>46071</v>
      </c>
      <c r="D438" s="18" t="s">
        <v>177</v>
      </c>
      <c r="E438" s="20">
        <v>0.79166666666666663</v>
      </c>
      <c r="F438" s="20">
        <v>0.83333333333333337</v>
      </c>
      <c r="G438" s="20">
        <v>1.7361111111111109E-4</v>
      </c>
      <c r="H438" s="18" t="s">
        <v>130</v>
      </c>
      <c r="I438" s="23">
        <v>0.80483796296296295</v>
      </c>
      <c r="J438" s="18" t="s">
        <v>120</v>
      </c>
      <c r="K438" s="18" t="s">
        <v>119</v>
      </c>
      <c r="L438" s="24">
        <v>1</v>
      </c>
      <c r="M438" s="24">
        <v>71275</v>
      </c>
      <c r="N438" s="18" t="s">
        <v>54</v>
      </c>
      <c r="O438" s="24" t="s">
        <v>38</v>
      </c>
      <c r="P438" s="25">
        <v>30</v>
      </c>
      <c r="Q438" s="24"/>
      <c r="R438" s="25">
        <v>30</v>
      </c>
      <c r="S438" s="26">
        <v>46071</v>
      </c>
      <c r="T438" s="25">
        <v>4.5</v>
      </c>
      <c r="U438" s="27">
        <v>4</v>
      </c>
      <c r="V438" s="25">
        <v>25.5</v>
      </c>
      <c r="W438" s="18" t="s">
        <v>48</v>
      </c>
      <c r="X438" s="18" t="s">
        <v>49</v>
      </c>
      <c r="Y438" s="18" t="s">
        <v>86</v>
      </c>
      <c r="Z438" s="18" t="s">
        <v>9</v>
      </c>
      <c r="AA438" s="18" t="s">
        <v>50</v>
      </c>
      <c r="AB438" s="18" t="s">
        <v>131</v>
      </c>
      <c r="AC438" s="18" t="s">
        <v>38</v>
      </c>
      <c r="AD438" s="7" t="s">
        <v>257</v>
      </c>
    </row>
    <row r="439" spans="1:49" s="28" customFormat="1" ht="31.5" x14ac:dyDescent="0.25">
      <c r="A439" s="18" t="s">
        <v>129</v>
      </c>
      <c r="B439" s="19">
        <v>46071</v>
      </c>
      <c r="C439" s="19">
        <v>46071</v>
      </c>
      <c r="D439" s="18" t="s">
        <v>177</v>
      </c>
      <c r="E439" s="20">
        <v>0.83333333333333337</v>
      </c>
      <c r="F439" s="20">
        <v>0.91666666666666663</v>
      </c>
      <c r="G439" s="20">
        <v>1.7361111111111109E-4</v>
      </c>
      <c r="H439" s="18" t="s">
        <v>169</v>
      </c>
      <c r="I439" s="23">
        <v>0.84457175925925931</v>
      </c>
      <c r="J439" s="18" t="s">
        <v>41</v>
      </c>
      <c r="K439" s="18" t="s">
        <v>143</v>
      </c>
      <c r="L439" s="24">
        <v>1</v>
      </c>
      <c r="M439" s="24">
        <v>71277</v>
      </c>
      <c r="N439" s="18" t="s">
        <v>54</v>
      </c>
      <c r="O439" s="24" t="s">
        <v>38</v>
      </c>
      <c r="P439" s="25">
        <v>30</v>
      </c>
      <c r="Q439" s="24"/>
      <c r="R439" s="25">
        <v>30</v>
      </c>
      <c r="S439" s="26">
        <v>46071</v>
      </c>
      <c r="T439" s="25">
        <v>4.5</v>
      </c>
      <c r="U439" s="27">
        <v>4</v>
      </c>
      <c r="V439" s="25">
        <v>25.5</v>
      </c>
      <c r="W439" s="18" t="s">
        <v>48</v>
      </c>
      <c r="X439" s="18" t="s">
        <v>49</v>
      </c>
      <c r="Y439" s="18" t="s">
        <v>86</v>
      </c>
      <c r="Z439" s="18" t="s">
        <v>9</v>
      </c>
      <c r="AA439" s="18" t="s">
        <v>50</v>
      </c>
      <c r="AB439" s="18" t="s">
        <v>131</v>
      </c>
      <c r="AC439" s="18" t="s">
        <v>38</v>
      </c>
      <c r="AD439" s="7" t="s">
        <v>257</v>
      </c>
    </row>
    <row r="440" spans="1:49" s="28" customFormat="1" ht="31.5" x14ac:dyDescent="0.25">
      <c r="A440" s="18" t="s">
        <v>129</v>
      </c>
      <c r="B440" s="19">
        <v>46072</v>
      </c>
      <c r="C440" s="19">
        <v>46072</v>
      </c>
      <c r="D440" s="18" t="s">
        <v>183</v>
      </c>
      <c r="E440" s="20">
        <v>0.79166666666666663</v>
      </c>
      <c r="F440" s="20">
        <v>0.99930555555555556</v>
      </c>
      <c r="G440" s="20">
        <v>1.7361111111111109E-4</v>
      </c>
      <c r="H440" s="18" t="s">
        <v>130</v>
      </c>
      <c r="I440" s="23">
        <v>0.83215277777777774</v>
      </c>
      <c r="J440" s="18" t="s">
        <v>123</v>
      </c>
      <c r="K440" s="18" t="s">
        <v>194</v>
      </c>
      <c r="L440" s="24">
        <v>1</v>
      </c>
      <c r="M440" s="24">
        <v>71278</v>
      </c>
      <c r="N440" s="18" t="s">
        <v>46</v>
      </c>
      <c r="O440" s="24" t="s">
        <v>38</v>
      </c>
      <c r="P440" s="25">
        <v>0</v>
      </c>
      <c r="Q440" s="24"/>
      <c r="R440" s="25">
        <v>0</v>
      </c>
      <c r="S440" s="26">
        <v>46072</v>
      </c>
      <c r="T440" s="25">
        <v>0</v>
      </c>
      <c r="U440" s="27">
        <v>4</v>
      </c>
      <c r="V440" s="25">
        <v>0</v>
      </c>
      <c r="W440" s="18" t="s">
        <v>48</v>
      </c>
      <c r="X440" s="18" t="s">
        <v>49</v>
      </c>
      <c r="Y440" s="18" t="s">
        <v>86</v>
      </c>
      <c r="Z440" s="18" t="s">
        <v>9</v>
      </c>
      <c r="AA440" s="18" t="s">
        <v>50</v>
      </c>
      <c r="AB440" s="18" t="s">
        <v>131</v>
      </c>
      <c r="AC440" s="18" t="s">
        <v>38</v>
      </c>
      <c r="AD440" s="7" t="s">
        <v>257</v>
      </c>
    </row>
    <row r="441" spans="1:49" s="28" customFormat="1" ht="31.5" x14ac:dyDescent="0.25">
      <c r="A441" s="18" t="s">
        <v>129</v>
      </c>
      <c r="B441" s="19">
        <v>46072</v>
      </c>
      <c r="C441" s="19">
        <v>46072</v>
      </c>
      <c r="D441" s="18" t="s">
        <v>183</v>
      </c>
      <c r="E441" s="20">
        <v>0.83333333333333337</v>
      </c>
      <c r="F441" s="20">
        <v>0.91666666666666663</v>
      </c>
      <c r="G441" s="20">
        <v>1.7361111111111109E-4</v>
      </c>
      <c r="H441" s="18" t="s">
        <v>169</v>
      </c>
      <c r="I441" s="23">
        <v>0.90038194444444442</v>
      </c>
      <c r="J441" s="18" t="s">
        <v>41</v>
      </c>
      <c r="K441" s="18" t="s">
        <v>137</v>
      </c>
      <c r="L441" s="24">
        <v>1</v>
      </c>
      <c r="M441" s="24">
        <v>71277</v>
      </c>
      <c r="N441" s="18" t="s">
        <v>54</v>
      </c>
      <c r="O441" s="24" t="s">
        <v>38</v>
      </c>
      <c r="P441" s="25">
        <v>30</v>
      </c>
      <c r="Q441" s="24"/>
      <c r="R441" s="25">
        <v>30</v>
      </c>
      <c r="S441" s="26">
        <v>46072</v>
      </c>
      <c r="T441" s="25">
        <v>4.5</v>
      </c>
      <c r="U441" s="27">
        <v>4</v>
      </c>
      <c r="V441" s="25">
        <v>25.5</v>
      </c>
      <c r="W441" s="18" t="s">
        <v>48</v>
      </c>
      <c r="X441" s="18" t="s">
        <v>49</v>
      </c>
      <c r="Y441" s="18" t="s">
        <v>86</v>
      </c>
      <c r="Z441" s="18" t="s">
        <v>9</v>
      </c>
      <c r="AA441" s="18" t="s">
        <v>50</v>
      </c>
      <c r="AB441" s="18" t="s">
        <v>131</v>
      </c>
      <c r="AC441" s="18" t="s">
        <v>38</v>
      </c>
      <c r="AD441" s="7" t="s">
        <v>257</v>
      </c>
      <c r="AE441" s="9"/>
      <c r="AF441" s="9"/>
      <c r="AG441" s="9"/>
      <c r="AH441" s="9"/>
      <c r="AI441" s="9"/>
      <c r="AJ441" s="9"/>
      <c r="AK441" s="9"/>
      <c r="AL441" s="9"/>
      <c r="AM441" s="9"/>
      <c r="AN441" s="9"/>
      <c r="AO441" s="9"/>
      <c r="AP441" s="9"/>
      <c r="AQ441" s="9"/>
      <c r="AR441" s="9"/>
      <c r="AS441" s="9"/>
      <c r="AT441" s="9"/>
      <c r="AU441" s="9"/>
      <c r="AV441" s="9"/>
      <c r="AW441" s="9"/>
    </row>
    <row r="442" spans="1:49" s="28" customFormat="1" ht="31.5" x14ac:dyDescent="0.25">
      <c r="A442" s="18" t="s">
        <v>129</v>
      </c>
      <c r="B442" s="19">
        <v>46073</v>
      </c>
      <c r="C442" s="19">
        <v>46073</v>
      </c>
      <c r="D442" s="18" t="s">
        <v>196</v>
      </c>
      <c r="E442" s="20">
        <v>0.79166666666666663</v>
      </c>
      <c r="F442" s="20">
        <v>0.83333333333333337</v>
      </c>
      <c r="G442" s="20">
        <v>1.7361111111111109E-4</v>
      </c>
      <c r="H442" s="18" t="s">
        <v>130</v>
      </c>
      <c r="I442" s="23">
        <v>0.80008101851851854</v>
      </c>
      <c r="J442" s="18" t="s">
        <v>120</v>
      </c>
      <c r="K442" s="18" t="s">
        <v>119</v>
      </c>
      <c r="L442" s="24">
        <v>1</v>
      </c>
      <c r="M442" s="24">
        <v>71275</v>
      </c>
      <c r="N442" s="18" t="s">
        <v>54</v>
      </c>
      <c r="O442" s="24" t="s">
        <v>38</v>
      </c>
      <c r="P442" s="25">
        <v>30</v>
      </c>
      <c r="Q442" s="24"/>
      <c r="R442" s="25">
        <v>30</v>
      </c>
      <c r="S442" s="26">
        <v>46073</v>
      </c>
      <c r="T442" s="25">
        <v>4.5</v>
      </c>
      <c r="U442" s="27">
        <v>4</v>
      </c>
      <c r="V442" s="25">
        <v>25.5</v>
      </c>
      <c r="W442" s="18" t="s">
        <v>48</v>
      </c>
      <c r="X442" s="18" t="s">
        <v>49</v>
      </c>
      <c r="Y442" s="18" t="s">
        <v>86</v>
      </c>
      <c r="Z442" s="18" t="s">
        <v>9</v>
      </c>
      <c r="AA442" s="18" t="s">
        <v>50</v>
      </c>
      <c r="AB442" s="18" t="s">
        <v>131</v>
      </c>
      <c r="AC442" s="18" t="s">
        <v>38</v>
      </c>
      <c r="AD442" s="7" t="s">
        <v>257</v>
      </c>
      <c r="AE442" s="9"/>
      <c r="AF442" s="9"/>
      <c r="AG442" s="9"/>
      <c r="AH442" s="9"/>
      <c r="AI442" s="9"/>
      <c r="AJ442" s="9"/>
      <c r="AK442" s="9"/>
      <c r="AL442" s="9"/>
      <c r="AM442" s="9"/>
      <c r="AN442" s="9"/>
      <c r="AO442" s="9"/>
      <c r="AP442" s="9"/>
      <c r="AQ442" s="9"/>
      <c r="AR442" s="9"/>
      <c r="AS442" s="9"/>
      <c r="AT442" s="9"/>
      <c r="AU442" s="9"/>
      <c r="AV442" s="9"/>
      <c r="AW442" s="9"/>
    </row>
    <row r="443" spans="1:49" s="28" customFormat="1" ht="31.5" x14ac:dyDescent="0.25">
      <c r="A443" s="18" t="s">
        <v>129</v>
      </c>
      <c r="B443" s="19">
        <v>46073</v>
      </c>
      <c r="C443" s="19">
        <v>46073</v>
      </c>
      <c r="D443" s="18" t="s">
        <v>196</v>
      </c>
      <c r="E443" s="20">
        <v>0.79166666666666663</v>
      </c>
      <c r="F443" s="20">
        <v>0.99930555555555556</v>
      </c>
      <c r="G443" s="20">
        <v>1.7361111111111109E-4</v>
      </c>
      <c r="H443" s="18" t="s">
        <v>169</v>
      </c>
      <c r="I443" s="23">
        <v>0.90152777777777782</v>
      </c>
      <c r="J443" s="18" t="s">
        <v>123</v>
      </c>
      <c r="K443" s="18" t="s">
        <v>137</v>
      </c>
      <c r="L443" s="24">
        <v>1</v>
      </c>
      <c r="M443" s="24">
        <v>71278</v>
      </c>
      <c r="N443" s="18" t="s">
        <v>46</v>
      </c>
      <c r="O443" s="24" t="s">
        <v>38</v>
      </c>
      <c r="P443" s="25">
        <v>0</v>
      </c>
      <c r="Q443" s="24"/>
      <c r="R443" s="25">
        <v>0</v>
      </c>
      <c r="S443" s="26">
        <v>46073</v>
      </c>
      <c r="T443" s="25">
        <v>0</v>
      </c>
      <c r="U443" s="27">
        <v>4</v>
      </c>
      <c r="V443" s="25">
        <v>0</v>
      </c>
      <c r="W443" s="18" t="s">
        <v>48</v>
      </c>
      <c r="X443" s="18" t="s">
        <v>49</v>
      </c>
      <c r="Y443" s="18" t="s">
        <v>86</v>
      </c>
      <c r="Z443" s="18" t="s">
        <v>9</v>
      </c>
      <c r="AA443" s="18" t="s">
        <v>50</v>
      </c>
      <c r="AB443" s="18" t="s">
        <v>131</v>
      </c>
      <c r="AC443" s="18" t="s">
        <v>38</v>
      </c>
      <c r="AD443" s="7" t="s">
        <v>257</v>
      </c>
      <c r="AE443" s="9"/>
      <c r="AF443" s="9"/>
      <c r="AG443" s="9"/>
      <c r="AH443" s="9"/>
      <c r="AI443" s="9"/>
      <c r="AJ443" s="9"/>
      <c r="AK443" s="9"/>
      <c r="AL443" s="9"/>
      <c r="AM443" s="9"/>
      <c r="AN443" s="9"/>
      <c r="AO443" s="9"/>
      <c r="AP443" s="9"/>
      <c r="AQ443" s="9"/>
      <c r="AR443" s="9"/>
      <c r="AS443" s="9"/>
      <c r="AT443" s="9"/>
      <c r="AU443" s="9"/>
      <c r="AV443" s="9"/>
      <c r="AW443" s="9"/>
    </row>
    <row r="444" spans="1:49" s="28" customFormat="1" ht="31.5" x14ac:dyDescent="0.25">
      <c r="A444" s="9" t="s">
        <v>108</v>
      </c>
      <c r="B444" s="10">
        <v>46069</v>
      </c>
      <c r="C444" s="10">
        <v>46069</v>
      </c>
      <c r="D444" s="11" t="s">
        <v>30</v>
      </c>
      <c r="E444" s="12">
        <v>0.66666666666666663</v>
      </c>
      <c r="F444" s="12">
        <v>0.6875</v>
      </c>
      <c r="G444" s="12">
        <v>2.0833333333333332E-2</v>
      </c>
      <c r="H444" s="9" t="s">
        <v>109</v>
      </c>
      <c r="I444" s="13"/>
      <c r="J444" s="9" t="s">
        <v>110</v>
      </c>
      <c r="K444" s="9"/>
      <c r="L444" s="14">
        <v>1</v>
      </c>
      <c r="M444" s="14">
        <v>1</v>
      </c>
      <c r="N444" s="9" t="s">
        <v>33</v>
      </c>
      <c r="O444" s="9"/>
      <c r="P444" s="16">
        <v>0</v>
      </c>
      <c r="Q444" s="14"/>
      <c r="R444" s="16">
        <v>0</v>
      </c>
      <c r="S444" s="9">
        <v>46054</v>
      </c>
      <c r="T444" s="16">
        <v>0</v>
      </c>
      <c r="U444" s="14">
        <v>2</v>
      </c>
      <c r="V444" s="16">
        <v>0</v>
      </c>
      <c r="W444" s="9" t="s">
        <v>34</v>
      </c>
      <c r="X444" s="9" t="s">
        <v>42</v>
      </c>
      <c r="Y444" s="9" t="s">
        <v>36</v>
      </c>
      <c r="Z444" s="9" t="s">
        <v>43</v>
      </c>
      <c r="AA444" s="9" t="s">
        <v>37</v>
      </c>
      <c r="AB444" s="9" t="s">
        <v>37</v>
      </c>
      <c r="AC444" s="9" t="s">
        <v>38</v>
      </c>
      <c r="AD444" s="7" t="s">
        <v>257</v>
      </c>
    </row>
    <row r="445" spans="1:49" s="28" customFormat="1" ht="31.5" x14ac:dyDescent="0.25">
      <c r="A445" s="9" t="s">
        <v>108</v>
      </c>
      <c r="B445" s="10">
        <v>46069</v>
      </c>
      <c r="C445" s="10">
        <v>46069</v>
      </c>
      <c r="D445" s="11" t="s">
        <v>30</v>
      </c>
      <c r="E445" s="12">
        <v>0.70833333333333337</v>
      </c>
      <c r="F445" s="12">
        <v>0.75</v>
      </c>
      <c r="G445" s="12">
        <v>4.1666666666666664E-2</v>
      </c>
      <c r="H445" s="9" t="s">
        <v>117</v>
      </c>
      <c r="I445" s="13"/>
      <c r="J445" s="9" t="s">
        <v>110</v>
      </c>
      <c r="K445" s="9"/>
      <c r="L445" s="14">
        <v>1</v>
      </c>
      <c r="M445" s="14">
        <v>1</v>
      </c>
      <c r="N445" s="9" t="s">
        <v>33</v>
      </c>
      <c r="O445" s="9"/>
      <c r="P445" s="16">
        <v>0</v>
      </c>
      <c r="Q445" s="14"/>
      <c r="R445" s="16">
        <v>0</v>
      </c>
      <c r="S445" s="9">
        <v>46054</v>
      </c>
      <c r="T445" s="16">
        <v>0</v>
      </c>
      <c r="U445" s="14">
        <v>2</v>
      </c>
      <c r="V445" s="16">
        <v>0</v>
      </c>
      <c r="W445" s="9" t="s">
        <v>34</v>
      </c>
      <c r="X445" s="9" t="s">
        <v>42</v>
      </c>
      <c r="Y445" s="9" t="s">
        <v>36</v>
      </c>
      <c r="Z445" s="9" t="s">
        <v>43</v>
      </c>
      <c r="AA445" s="9" t="s">
        <v>37</v>
      </c>
      <c r="AB445" s="9" t="s">
        <v>37</v>
      </c>
      <c r="AC445" s="9" t="s">
        <v>38</v>
      </c>
      <c r="AD445" s="7" t="s">
        <v>257</v>
      </c>
    </row>
    <row r="446" spans="1:49" s="28" customFormat="1" ht="31.5" x14ac:dyDescent="0.25">
      <c r="A446" s="9" t="s">
        <v>108</v>
      </c>
      <c r="B446" s="10">
        <v>46070</v>
      </c>
      <c r="C446" s="10">
        <v>46070</v>
      </c>
      <c r="D446" s="11" t="s">
        <v>145</v>
      </c>
      <c r="E446" s="12">
        <v>0.66666666666666663</v>
      </c>
      <c r="F446" s="12">
        <v>0.6875</v>
      </c>
      <c r="G446" s="12">
        <v>2.0833333333333332E-2</v>
      </c>
      <c r="H446" s="9" t="s">
        <v>109</v>
      </c>
      <c r="I446" s="13"/>
      <c r="J446" s="9" t="s">
        <v>110</v>
      </c>
      <c r="K446" s="9"/>
      <c r="L446" s="14">
        <v>1</v>
      </c>
      <c r="M446" s="14">
        <v>1</v>
      </c>
      <c r="N446" s="9" t="s">
        <v>33</v>
      </c>
      <c r="O446" s="9"/>
      <c r="P446" s="16">
        <v>0</v>
      </c>
      <c r="Q446" s="14"/>
      <c r="R446" s="16">
        <v>0</v>
      </c>
      <c r="S446" s="9">
        <v>46054</v>
      </c>
      <c r="T446" s="16">
        <v>0</v>
      </c>
      <c r="U446" s="14">
        <v>2</v>
      </c>
      <c r="V446" s="16">
        <v>0</v>
      </c>
      <c r="W446" s="9" t="s">
        <v>34</v>
      </c>
      <c r="X446" s="9" t="s">
        <v>42</v>
      </c>
      <c r="Y446" s="9" t="s">
        <v>36</v>
      </c>
      <c r="Z446" s="9" t="s">
        <v>43</v>
      </c>
      <c r="AA446" s="9" t="s">
        <v>37</v>
      </c>
      <c r="AB446" s="9" t="s">
        <v>37</v>
      </c>
      <c r="AC446" s="9" t="s">
        <v>38</v>
      </c>
      <c r="AD446" s="7" t="s">
        <v>257</v>
      </c>
    </row>
    <row r="447" spans="1:49" s="28" customFormat="1" ht="31.5" x14ac:dyDescent="0.25">
      <c r="A447" s="9" t="s">
        <v>108</v>
      </c>
      <c r="B447" s="10">
        <v>46070</v>
      </c>
      <c r="C447" s="10">
        <v>46070</v>
      </c>
      <c r="D447" s="11" t="s">
        <v>145</v>
      </c>
      <c r="E447" s="12">
        <v>0.70833333333333337</v>
      </c>
      <c r="F447" s="12">
        <v>0.75</v>
      </c>
      <c r="G447" s="12">
        <v>4.1666666666666664E-2</v>
      </c>
      <c r="H447" s="9" t="s">
        <v>167</v>
      </c>
      <c r="I447" s="13"/>
      <c r="J447" s="9" t="s">
        <v>110</v>
      </c>
      <c r="K447" s="9"/>
      <c r="L447" s="14">
        <v>1</v>
      </c>
      <c r="M447" s="14">
        <v>1</v>
      </c>
      <c r="N447" s="9" t="s">
        <v>33</v>
      </c>
      <c r="O447" s="9"/>
      <c r="P447" s="16">
        <v>0</v>
      </c>
      <c r="Q447" s="14"/>
      <c r="R447" s="16">
        <v>0</v>
      </c>
      <c r="S447" s="9">
        <v>46054</v>
      </c>
      <c r="T447" s="16">
        <v>0</v>
      </c>
      <c r="U447" s="14">
        <v>2</v>
      </c>
      <c r="V447" s="16">
        <v>0</v>
      </c>
      <c r="W447" s="9" t="s">
        <v>34</v>
      </c>
      <c r="X447" s="9" t="s">
        <v>42</v>
      </c>
      <c r="Y447" s="9" t="s">
        <v>36</v>
      </c>
      <c r="Z447" s="9" t="s">
        <v>43</v>
      </c>
      <c r="AA447" s="9" t="s">
        <v>37</v>
      </c>
      <c r="AB447" s="9" t="s">
        <v>37</v>
      </c>
      <c r="AC447" s="9" t="s">
        <v>38</v>
      </c>
      <c r="AD447" s="7" t="s">
        <v>257</v>
      </c>
    </row>
    <row r="448" spans="1:49" s="28" customFormat="1" ht="31.5" x14ac:dyDescent="0.25">
      <c r="A448" s="9" t="s">
        <v>108</v>
      </c>
      <c r="B448" s="10">
        <v>46071</v>
      </c>
      <c r="C448" s="10">
        <v>46071</v>
      </c>
      <c r="D448" s="11" t="s">
        <v>177</v>
      </c>
      <c r="E448" s="12">
        <v>0.66666666666666663</v>
      </c>
      <c r="F448" s="12">
        <v>0.6875</v>
      </c>
      <c r="G448" s="12">
        <v>2.0833333333333332E-2</v>
      </c>
      <c r="H448" s="9" t="s">
        <v>109</v>
      </c>
      <c r="I448" s="13"/>
      <c r="J448" s="9" t="s">
        <v>110</v>
      </c>
      <c r="K448" s="9"/>
      <c r="L448" s="14">
        <v>1</v>
      </c>
      <c r="M448" s="14">
        <v>1</v>
      </c>
      <c r="N448" s="9" t="s">
        <v>33</v>
      </c>
      <c r="O448" s="9"/>
      <c r="P448" s="16">
        <v>0</v>
      </c>
      <c r="Q448" s="14"/>
      <c r="R448" s="16">
        <v>0</v>
      </c>
      <c r="S448" s="9">
        <v>46054</v>
      </c>
      <c r="T448" s="16">
        <v>0</v>
      </c>
      <c r="U448" s="14">
        <v>2</v>
      </c>
      <c r="V448" s="16">
        <v>0</v>
      </c>
      <c r="W448" s="9" t="s">
        <v>34</v>
      </c>
      <c r="X448" s="9" t="s">
        <v>42</v>
      </c>
      <c r="Y448" s="9" t="s">
        <v>36</v>
      </c>
      <c r="Z448" s="9" t="s">
        <v>43</v>
      </c>
      <c r="AA448" s="9" t="s">
        <v>37</v>
      </c>
      <c r="AB448" s="9" t="s">
        <v>37</v>
      </c>
      <c r="AC448" s="9" t="s">
        <v>38</v>
      </c>
      <c r="AD448" s="7" t="s">
        <v>257</v>
      </c>
    </row>
    <row r="449" spans="1:49" s="28" customFormat="1" ht="31.5" x14ac:dyDescent="0.25">
      <c r="A449" s="9" t="s">
        <v>108</v>
      </c>
      <c r="B449" s="10">
        <v>46071</v>
      </c>
      <c r="C449" s="10">
        <v>46071</v>
      </c>
      <c r="D449" s="11" t="s">
        <v>177</v>
      </c>
      <c r="E449" s="12">
        <v>0.70833333333333337</v>
      </c>
      <c r="F449" s="12">
        <v>0.75</v>
      </c>
      <c r="G449" s="12">
        <v>4.1666666666666664E-2</v>
      </c>
      <c r="H449" s="9" t="s">
        <v>180</v>
      </c>
      <c r="I449" s="13"/>
      <c r="J449" s="9" t="s">
        <v>110</v>
      </c>
      <c r="K449" s="9"/>
      <c r="L449" s="14">
        <v>1</v>
      </c>
      <c r="M449" s="14">
        <v>1</v>
      </c>
      <c r="N449" s="9" t="s">
        <v>33</v>
      </c>
      <c r="O449" s="9"/>
      <c r="P449" s="16">
        <v>0</v>
      </c>
      <c r="Q449" s="14"/>
      <c r="R449" s="16">
        <v>0</v>
      </c>
      <c r="S449" s="9">
        <v>46054</v>
      </c>
      <c r="T449" s="16">
        <v>0</v>
      </c>
      <c r="U449" s="14">
        <v>2</v>
      </c>
      <c r="V449" s="16">
        <v>0</v>
      </c>
      <c r="W449" s="9" t="s">
        <v>34</v>
      </c>
      <c r="X449" s="9" t="s">
        <v>42</v>
      </c>
      <c r="Y449" s="9" t="s">
        <v>36</v>
      </c>
      <c r="Z449" s="9" t="s">
        <v>43</v>
      </c>
      <c r="AA449" s="9" t="s">
        <v>37</v>
      </c>
      <c r="AB449" s="9" t="s">
        <v>37</v>
      </c>
      <c r="AC449" s="9" t="s">
        <v>38</v>
      </c>
      <c r="AD449" s="7" t="s">
        <v>257</v>
      </c>
    </row>
    <row r="450" spans="1:49" s="28" customFormat="1" ht="31.5" x14ac:dyDescent="0.25">
      <c r="A450" s="9" t="s">
        <v>108</v>
      </c>
      <c r="B450" s="10">
        <v>46072</v>
      </c>
      <c r="C450" s="10">
        <v>46072</v>
      </c>
      <c r="D450" s="11" t="s">
        <v>183</v>
      </c>
      <c r="E450" s="12">
        <v>0.66666666666666663</v>
      </c>
      <c r="F450" s="12">
        <v>0.6875</v>
      </c>
      <c r="G450" s="12">
        <v>2.0833333333333332E-2</v>
      </c>
      <c r="H450" s="9" t="s">
        <v>109</v>
      </c>
      <c r="I450" s="13"/>
      <c r="J450" s="9" t="s">
        <v>110</v>
      </c>
      <c r="K450" s="9"/>
      <c r="L450" s="14">
        <v>1</v>
      </c>
      <c r="M450" s="14">
        <v>1</v>
      </c>
      <c r="N450" s="9" t="s">
        <v>33</v>
      </c>
      <c r="O450" s="9"/>
      <c r="P450" s="16">
        <v>0</v>
      </c>
      <c r="Q450" s="14"/>
      <c r="R450" s="16">
        <v>0</v>
      </c>
      <c r="S450" s="9">
        <v>46054</v>
      </c>
      <c r="T450" s="16">
        <v>0</v>
      </c>
      <c r="U450" s="14">
        <v>2</v>
      </c>
      <c r="V450" s="16">
        <v>0</v>
      </c>
      <c r="W450" s="9" t="s">
        <v>34</v>
      </c>
      <c r="X450" s="9" t="s">
        <v>42</v>
      </c>
      <c r="Y450" s="9" t="s">
        <v>36</v>
      </c>
      <c r="Z450" s="9" t="s">
        <v>43</v>
      </c>
      <c r="AA450" s="9" t="s">
        <v>37</v>
      </c>
      <c r="AB450" s="9" t="s">
        <v>37</v>
      </c>
      <c r="AC450" s="9" t="s">
        <v>38</v>
      </c>
      <c r="AD450" s="7" t="s">
        <v>257</v>
      </c>
    </row>
    <row r="451" spans="1:49" s="28" customFormat="1" ht="31.5" x14ac:dyDescent="0.25">
      <c r="A451" s="9" t="s">
        <v>108</v>
      </c>
      <c r="B451" s="10">
        <v>46072</v>
      </c>
      <c r="C451" s="10">
        <v>46072</v>
      </c>
      <c r="D451" s="11" t="s">
        <v>183</v>
      </c>
      <c r="E451" s="12">
        <v>0.70833333333333337</v>
      </c>
      <c r="F451" s="12">
        <v>0.75</v>
      </c>
      <c r="G451" s="12">
        <v>4.1666666666666664E-2</v>
      </c>
      <c r="H451" s="9" t="s">
        <v>193</v>
      </c>
      <c r="I451" s="13"/>
      <c r="J451" s="9" t="s">
        <v>110</v>
      </c>
      <c r="K451" s="9"/>
      <c r="L451" s="14">
        <v>1</v>
      </c>
      <c r="M451" s="14">
        <v>1</v>
      </c>
      <c r="N451" s="9" t="s">
        <v>33</v>
      </c>
      <c r="O451" s="9"/>
      <c r="P451" s="16">
        <v>0</v>
      </c>
      <c r="Q451" s="14"/>
      <c r="R451" s="16">
        <v>0</v>
      </c>
      <c r="S451" s="9">
        <v>46054</v>
      </c>
      <c r="T451" s="16">
        <v>0</v>
      </c>
      <c r="U451" s="14">
        <v>2</v>
      </c>
      <c r="V451" s="16">
        <v>0</v>
      </c>
      <c r="W451" s="9" t="s">
        <v>34</v>
      </c>
      <c r="X451" s="9" t="s">
        <v>42</v>
      </c>
      <c r="Y451" s="9" t="s">
        <v>36</v>
      </c>
      <c r="Z451" s="9" t="s">
        <v>43</v>
      </c>
      <c r="AA451" s="9" t="s">
        <v>37</v>
      </c>
      <c r="AB451" s="9" t="s">
        <v>37</v>
      </c>
      <c r="AC451" s="9" t="s">
        <v>38</v>
      </c>
      <c r="AD451" s="7" t="s">
        <v>257</v>
      </c>
    </row>
    <row r="452" spans="1:49" s="28" customFormat="1" ht="31.5" x14ac:dyDescent="0.25">
      <c r="A452" s="9" t="s">
        <v>108</v>
      </c>
      <c r="B452" s="10">
        <v>46073</v>
      </c>
      <c r="C452" s="10">
        <v>46073</v>
      </c>
      <c r="D452" s="11" t="s">
        <v>196</v>
      </c>
      <c r="E452" s="12">
        <v>0.66666666666666663</v>
      </c>
      <c r="F452" s="12">
        <v>0.6875</v>
      </c>
      <c r="G452" s="12">
        <v>2.0833333333333332E-2</v>
      </c>
      <c r="H452" s="9" t="s">
        <v>109</v>
      </c>
      <c r="I452" s="13"/>
      <c r="J452" s="9" t="s">
        <v>110</v>
      </c>
      <c r="K452" s="9"/>
      <c r="L452" s="14">
        <v>1</v>
      </c>
      <c r="M452" s="14">
        <v>1</v>
      </c>
      <c r="N452" s="9" t="s">
        <v>33</v>
      </c>
      <c r="O452" s="9"/>
      <c r="P452" s="16">
        <v>0</v>
      </c>
      <c r="Q452" s="14"/>
      <c r="R452" s="16">
        <v>0</v>
      </c>
      <c r="S452" s="9">
        <v>46054</v>
      </c>
      <c r="T452" s="16">
        <v>0</v>
      </c>
      <c r="U452" s="14">
        <v>2</v>
      </c>
      <c r="V452" s="16">
        <v>0</v>
      </c>
      <c r="W452" s="9" t="s">
        <v>34</v>
      </c>
      <c r="X452" s="9" t="s">
        <v>42</v>
      </c>
      <c r="Y452" s="9" t="s">
        <v>36</v>
      </c>
      <c r="Z452" s="9" t="s">
        <v>43</v>
      </c>
      <c r="AA452" s="9" t="s">
        <v>37</v>
      </c>
      <c r="AB452" s="9" t="s">
        <v>37</v>
      </c>
      <c r="AC452" s="9" t="s">
        <v>38</v>
      </c>
      <c r="AD452" s="7" t="s">
        <v>257</v>
      </c>
    </row>
    <row r="453" spans="1:49" s="28" customFormat="1" ht="31.5" x14ac:dyDescent="0.25">
      <c r="A453" s="9" t="s">
        <v>108</v>
      </c>
      <c r="B453" s="10">
        <v>46073</v>
      </c>
      <c r="C453" s="10">
        <v>46073</v>
      </c>
      <c r="D453" s="11" t="s">
        <v>196</v>
      </c>
      <c r="E453" s="12">
        <v>0.70833333333333337</v>
      </c>
      <c r="F453" s="12">
        <v>0.75</v>
      </c>
      <c r="G453" s="12">
        <v>4.1666666666666664E-2</v>
      </c>
      <c r="H453" s="9" t="s">
        <v>211</v>
      </c>
      <c r="I453" s="13"/>
      <c r="J453" s="9" t="s">
        <v>110</v>
      </c>
      <c r="K453" s="9"/>
      <c r="L453" s="14">
        <v>1</v>
      </c>
      <c r="M453" s="14">
        <v>1</v>
      </c>
      <c r="N453" s="9" t="s">
        <v>33</v>
      </c>
      <c r="O453" s="9"/>
      <c r="P453" s="16">
        <v>0</v>
      </c>
      <c r="Q453" s="14"/>
      <c r="R453" s="16">
        <v>0</v>
      </c>
      <c r="S453" s="9">
        <v>46054</v>
      </c>
      <c r="T453" s="16">
        <v>0</v>
      </c>
      <c r="U453" s="14">
        <v>2</v>
      </c>
      <c r="V453" s="16">
        <v>0</v>
      </c>
      <c r="W453" s="9" t="s">
        <v>34</v>
      </c>
      <c r="X453" s="9" t="s">
        <v>42</v>
      </c>
      <c r="Y453" s="9" t="s">
        <v>36</v>
      </c>
      <c r="Z453" s="9" t="s">
        <v>43</v>
      </c>
      <c r="AA453" s="9" t="s">
        <v>37</v>
      </c>
      <c r="AB453" s="9" t="s">
        <v>37</v>
      </c>
      <c r="AC453" s="9" t="s">
        <v>38</v>
      </c>
      <c r="AD453" s="7" t="s">
        <v>257</v>
      </c>
    </row>
    <row r="454" spans="1:49" s="28" customFormat="1" ht="31.5" x14ac:dyDescent="0.25">
      <c r="A454" s="9" t="s">
        <v>108</v>
      </c>
      <c r="B454" s="10">
        <v>46074</v>
      </c>
      <c r="C454" s="10">
        <v>46074</v>
      </c>
      <c r="D454" s="11" t="s">
        <v>214</v>
      </c>
      <c r="E454" s="12">
        <v>0.66666666666666663</v>
      </c>
      <c r="F454" s="12">
        <v>0.70833333333333337</v>
      </c>
      <c r="G454" s="12">
        <v>4.1666666666666664E-2</v>
      </c>
      <c r="H454" s="9" t="s">
        <v>117</v>
      </c>
      <c r="I454" s="13" t="s">
        <v>216</v>
      </c>
      <c r="J454" s="9" t="s">
        <v>110</v>
      </c>
      <c r="K454" s="9"/>
      <c r="L454" s="14">
        <v>1</v>
      </c>
      <c r="M454" s="14">
        <v>1</v>
      </c>
      <c r="N454" s="9" t="s">
        <v>33</v>
      </c>
      <c r="O454" s="9"/>
      <c r="P454" s="16">
        <v>0</v>
      </c>
      <c r="Q454" s="14"/>
      <c r="R454" s="16">
        <v>0</v>
      </c>
      <c r="S454" s="9">
        <v>46054</v>
      </c>
      <c r="T454" s="16">
        <v>0</v>
      </c>
      <c r="U454" s="14">
        <v>2</v>
      </c>
      <c r="V454" s="16">
        <v>0</v>
      </c>
      <c r="W454" s="9" t="s">
        <v>34</v>
      </c>
      <c r="X454" s="9" t="s">
        <v>42</v>
      </c>
      <c r="Y454" s="9" t="s">
        <v>36</v>
      </c>
      <c r="Z454" s="9" t="s">
        <v>43</v>
      </c>
      <c r="AA454" s="9" t="s">
        <v>37</v>
      </c>
      <c r="AB454" s="9" t="s">
        <v>37</v>
      </c>
      <c r="AC454" s="9" t="s">
        <v>38</v>
      </c>
      <c r="AD454" s="7" t="s">
        <v>257</v>
      </c>
    </row>
    <row r="455" spans="1:49" s="28" customFormat="1" ht="31.5" x14ac:dyDescent="0.25">
      <c r="A455" s="9" t="s">
        <v>108</v>
      </c>
      <c r="B455" s="10">
        <v>46075</v>
      </c>
      <c r="C455" s="10">
        <v>46075</v>
      </c>
      <c r="D455" s="11" t="s">
        <v>243</v>
      </c>
      <c r="E455" s="12">
        <v>0.66666666666666663</v>
      </c>
      <c r="F455" s="12">
        <v>0.70833333333333337</v>
      </c>
      <c r="G455" s="12">
        <v>4.1666666666666664E-2</v>
      </c>
      <c r="H455" s="9" t="s">
        <v>180</v>
      </c>
      <c r="I455" s="13" t="s">
        <v>216</v>
      </c>
      <c r="J455" s="9" t="s">
        <v>110</v>
      </c>
      <c r="K455" s="9"/>
      <c r="L455" s="14">
        <v>1</v>
      </c>
      <c r="M455" s="14">
        <v>1</v>
      </c>
      <c r="N455" s="9" t="s">
        <v>33</v>
      </c>
      <c r="O455" s="9"/>
      <c r="P455" s="16">
        <v>0</v>
      </c>
      <c r="Q455" s="14"/>
      <c r="R455" s="16">
        <v>0</v>
      </c>
      <c r="S455" s="9">
        <v>46054</v>
      </c>
      <c r="T455" s="16">
        <v>0</v>
      </c>
      <c r="U455" s="14">
        <v>2</v>
      </c>
      <c r="V455" s="16">
        <v>0</v>
      </c>
      <c r="W455" s="9" t="s">
        <v>34</v>
      </c>
      <c r="X455" s="9" t="s">
        <v>42</v>
      </c>
      <c r="Y455" s="9" t="s">
        <v>36</v>
      </c>
      <c r="Z455" s="9" t="s">
        <v>43</v>
      </c>
      <c r="AA455" s="9" t="s">
        <v>37</v>
      </c>
      <c r="AB455" s="9" t="s">
        <v>37</v>
      </c>
      <c r="AC455" s="9" t="s">
        <v>38</v>
      </c>
      <c r="AD455" s="7" t="s">
        <v>257</v>
      </c>
    </row>
    <row r="456" spans="1:49" s="28" customFormat="1" ht="31.5" x14ac:dyDescent="0.25">
      <c r="A456" s="9" t="s">
        <v>108</v>
      </c>
      <c r="B456" s="10">
        <v>46075</v>
      </c>
      <c r="C456" s="10">
        <v>46075</v>
      </c>
      <c r="D456" s="11" t="s">
        <v>243</v>
      </c>
      <c r="E456" s="12">
        <v>0.70833333333333337</v>
      </c>
      <c r="F456" s="12">
        <v>0.75</v>
      </c>
      <c r="G456" s="12">
        <v>4.1666666666666664E-2</v>
      </c>
      <c r="H456" s="9" t="s">
        <v>193</v>
      </c>
      <c r="I456" s="13" t="s">
        <v>216</v>
      </c>
      <c r="J456" s="9" t="s">
        <v>110</v>
      </c>
      <c r="K456" s="9"/>
      <c r="L456" s="14">
        <v>1</v>
      </c>
      <c r="M456" s="14">
        <v>1</v>
      </c>
      <c r="N456" s="9" t="s">
        <v>33</v>
      </c>
      <c r="O456" s="9"/>
      <c r="P456" s="16">
        <v>0</v>
      </c>
      <c r="Q456" s="14"/>
      <c r="R456" s="16">
        <v>0</v>
      </c>
      <c r="S456" s="9">
        <v>46054</v>
      </c>
      <c r="T456" s="16">
        <v>0</v>
      </c>
      <c r="U456" s="14">
        <v>2</v>
      </c>
      <c r="V456" s="16">
        <v>0</v>
      </c>
      <c r="W456" s="9" t="s">
        <v>34</v>
      </c>
      <c r="X456" s="9" t="s">
        <v>42</v>
      </c>
      <c r="Y456" s="9" t="s">
        <v>36</v>
      </c>
      <c r="Z456" s="9" t="s">
        <v>43</v>
      </c>
      <c r="AA456" s="9" t="s">
        <v>37</v>
      </c>
      <c r="AB456" s="9" t="s">
        <v>37</v>
      </c>
      <c r="AC456" s="9" t="s">
        <v>38</v>
      </c>
      <c r="AD456" s="7" t="s">
        <v>257</v>
      </c>
    </row>
    <row r="457" spans="1:49" s="28" customFormat="1" ht="31.5" x14ac:dyDescent="0.25">
      <c r="A457" s="9" t="s">
        <v>95</v>
      </c>
      <c r="B457" s="10">
        <v>46069</v>
      </c>
      <c r="C457" s="10">
        <v>46069</v>
      </c>
      <c r="D457" s="11" t="s">
        <v>30</v>
      </c>
      <c r="E457" s="12">
        <v>0.54166666666666663</v>
      </c>
      <c r="F457" s="12">
        <v>0.5625</v>
      </c>
      <c r="G457" s="12">
        <v>2.0833333333333332E-2</v>
      </c>
      <c r="H457" s="9" t="s">
        <v>96</v>
      </c>
      <c r="I457" s="13"/>
      <c r="J457" s="9" t="s">
        <v>97</v>
      </c>
      <c r="K457" s="9"/>
      <c r="L457" s="14">
        <v>1</v>
      </c>
      <c r="M457" s="14">
        <v>1</v>
      </c>
      <c r="N457" s="9" t="s">
        <v>33</v>
      </c>
      <c r="O457" s="9"/>
      <c r="P457" s="16">
        <v>0</v>
      </c>
      <c r="Q457" s="14"/>
      <c r="R457" s="16">
        <v>0</v>
      </c>
      <c r="S457" s="9">
        <v>46054</v>
      </c>
      <c r="T457" s="16">
        <v>0</v>
      </c>
      <c r="U457" s="14">
        <v>2</v>
      </c>
      <c r="V457" s="16">
        <v>0</v>
      </c>
      <c r="W457" s="9" t="s">
        <v>34</v>
      </c>
      <c r="X457" s="9" t="s">
        <v>42</v>
      </c>
      <c r="Y457" s="9" t="s">
        <v>36</v>
      </c>
      <c r="Z457" s="9" t="s">
        <v>43</v>
      </c>
      <c r="AA457" s="9" t="s">
        <v>37</v>
      </c>
      <c r="AB457" s="9" t="s">
        <v>37</v>
      </c>
      <c r="AC457" s="9" t="s">
        <v>38</v>
      </c>
      <c r="AD457" s="7" t="s">
        <v>257</v>
      </c>
    </row>
    <row r="458" spans="1:49" s="28" customFormat="1" ht="31.5" x14ac:dyDescent="0.25">
      <c r="A458" s="9" t="s">
        <v>95</v>
      </c>
      <c r="B458" s="10">
        <v>46069</v>
      </c>
      <c r="C458" s="10">
        <v>46069</v>
      </c>
      <c r="D458" s="11" t="s">
        <v>30</v>
      </c>
      <c r="E458" s="12">
        <v>0.5625</v>
      </c>
      <c r="F458" s="12">
        <v>0.58333333333333337</v>
      </c>
      <c r="G458" s="12">
        <v>2.0833333333333332E-2</v>
      </c>
      <c r="H458" s="9" t="s">
        <v>98</v>
      </c>
      <c r="I458" s="13"/>
      <c r="J458" s="9" t="s">
        <v>97</v>
      </c>
      <c r="K458" s="9"/>
      <c r="L458" s="14">
        <v>1</v>
      </c>
      <c r="M458" s="14">
        <v>1</v>
      </c>
      <c r="N458" s="9" t="s">
        <v>33</v>
      </c>
      <c r="O458" s="9"/>
      <c r="P458" s="16">
        <v>0</v>
      </c>
      <c r="Q458" s="14"/>
      <c r="R458" s="16">
        <v>0</v>
      </c>
      <c r="S458" s="9">
        <v>46054</v>
      </c>
      <c r="T458" s="16">
        <v>0</v>
      </c>
      <c r="U458" s="14">
        <v>2</v>
      </c>
      <c r="V458" s="16">
        <v>0</v>
      </c>
      <c r="W458" s="9" t="s">
        <v>34</v>
      </c>
      <c r="X458" s="9" t="s">
        <v>42</v>
      </c>
      <c r="Y458" s="9" t="s">
        <v>36</v>
      </c>
      <c r="Z458" s="9" t="s">
        <v>43</v>
      </c>
      <c r="AA458" s="9" t="s">
        <v>37</v>
      </c>
      <c r="AB458" s="9" t="s">
        <v>37</v>
      </c>
      <c r="AC458" s="9" t="s">
        <v>38</v>
      </c>
      <c r="AD458" s="7" t="s">
        <v>257</v>
      </c>
    </row>
    <row r="459" spans="1:49" s="28" customFormat="1" ht="31.5" x14ac:dyDescent="0.25">
      <c r="A459" s="9" t="s">
        <v>95</v>
      </c>
      <c r="B459" s="10">
        <v>46070</v>
      </c>
      <c r="C459" s="10">
        <v>46070</v>
      </c>
      <c r="D459" s="11" t="s">
        <v>145</v>
      </c>
      <c r="E459" s="12">
        <v>0.54166666666666663</v>
      </c>
      <c r="F459" s="12">
        <v>0.5625</v>
      </c>
      <c r="G459" s="12">
        <v>2.0833333333333332E-2</v>
      </c>
      <c r="H459" s="9" t="s">
        <v>96</v>
      </c>
      <c r="I459" s="13"/>
      <c r="J459" s="9" t="s">
        <v>97</v>
      </c>
      <c r="K459" s="9"/>
      <c r="L459" s="14">
        <v>1</v>
      </c>
      <c r="M459" s="14">
        <v>1</v>
      </c>
      <c r="N459" s="9" t="s">
        <v>33</v>
      </c>
      <c r="O459" s="9"/>
      <c r="P459" s="16">
        <v>0</v>
      </c>
      <c r="Q459" s="14"/>
      <c r="R459" s="16">
        <v>0</v>
      </c>
      <c r="S459" s="9">
        <v>46054</v>
      </c>
      <c r="T459" s="16">
        <v>0</v>
      </c>
      <c r="U459" s="14">
        <v>2</v>
      </c>
      <c r="V459" s="16">
        <v>0</v>
      </c>
      <c r="W459" s="9" t="s">
        <v>34</v>
      </c>
      <c r="X459" s="9" t="s">
        <v>42</v>
      </c>
      <c r="Y459" s="9" t="s">
        <v>36</v>
      </c>
      <c r="Z459" s="9" t="s">
        <v>43</v>
      </c>
      <c r="AA459" s="9" t="s">
        <v>37</v>
      </c>
      <c r="AB459" s="9" t="s">
        <v>37</v>
      </c>
      <c r="AC459" s="9" t="s">
        <v>38</v>
      </c>
      <c r="AD459" s="7" t="s">
        <v>257</v>
      </c>
      <c r="AE459" s="9"/>
      <c r="AF459" s="9"/>
      <c r="AG459" s="9"/>
      <c r="AH459" s="9"/>
      <c r="AI459" s="9"/>
      <c r="AJ459" s="9"/>
      <c r="AK459" s="9"/>
      <c r="AL459" s="9"/>
      <c r="AM459" s="9"/>
      <c r="AN459" s="9"/>
      <c r="AO459" s="9"/>
      <c r="AP459" s="9"/>
      <c r="AQ459" s="9"/>
      <c r="AR459" s="9"/>
      <c r="AS459" s="9"/>
      <c r="AT459" s="9"/>
      <c r="AU459" s="9"/>
      <c r="AV459" s="9"/>
      <c r="AW459" s="9"/>
    </row>
    <row r="460" spans="1:49" s="28" customFormat="1" ht="31.5" x14ac:dyDescent="0.25">
      <c r="A460" s="9" t="s">
        <v>95</v>
      </c>
      <c r="B460" s="10">
        <v>46070</v>
      </c>
      <c r="C460" s="10">
        <v>46070</v>
      </c>
      <c r="D460" s="11" t="s">
        <v>145</v>
      </c>
      <c r="E460" s="12">
        <v>0.5625</v>
      </c>
      <c r="F460" s="12">
        <v>0.58333333333333337</v>
      </c>
      <c r="G460" s="12">
        <v>2.0833333333333332E-2</v>
      </c>
      <c r="H460" s="9" t="s">
        <v>98</v>
      </c>
      <c r="I460" s="13"/>
      <c r="J460" s="9" t="s">
        <v>97</v>
      </c>
      <c r="K460" s="9"/>
      <c r="L460" s="14">
        <v>1</v>
      </c>
      <c r="M460" s="14">
        <v>1</v>
      </c>
      <c r="N460" s="9" t="s">
        <v>33</v>
      </c>
      <c r="O460" s="9"/>
      <c r="P460" s="16">
        <v>0</v>
      </c>
      <c r="Q460" s="14"/>
      <c r="R460" s="16">
        <v>0</v>
      </c>
      <c r="S460" s="9">
        <v>46054</v>
      </c>
      <c r="T460" s="16">
        <v>0</v>
      </c>
      <c r="U460" s="14">
        <v>2</v>
      </c>
      <c r="V460" s="16">
        <v>0</v>
      </c>
      <c r="W460" s="9" t="s">
        <v>34</v>
      </c>
      <c r="X460" s="9" t="s">
        <v>42</v>
      </c>
      <c r="Y460" s="9" t="s">
        <v>36</v>
      </c>
      <c r="Z460" s="9" t="s">
        <v>43</v>
      </c>
      <c r="AA460" s="9" t="s">
        <v>37</v>
      </c>
      <c r="AB460" s="9" t="s">
        <v>37</v>
      </c>
      <c r="AC460" s="9" t="s">
        <v>38</v>
      </c>
      <c r="AD460" s="7" t="s">
        <v>257</v>
      </c>
      <c r="AE460" s="9"/>
      <c r="AF460" s="9"/>
      <c r="AG460" s="9"/>
      <c r="AH460" s="9"/>
      <c r="AI460" s="9"/>
      <c r="AJ460" s="9"/>
      <c r="AK460" s="9"/>
      <c r="AL460" s="9"/>
      <c r="AM460" s="9"/>
      <c r="AN460" s="9"/>
      <c r="AO460" s="9"/>
      <c r="AP460" s="9"/>
      <c r="AQ460" s="9"/>
      <c r="AR460" s="9"/>
      <c r="AS460" s="9"/>
      <c r="AT460" s="9"/>
      <c r="AU460" s="9"/>
      <c r="AV460" s="9"/>
      <c r="AW460" s="9"/>
    </row>
    <row r="461" spans="1:49" s="28" customFormat="1" ht="31.5" x14ac:dyDescent="0.25">
      <c r="A461" s="9" t="s">
        <v>95</v>
      </c>
      <c r="B461" s="10">
        <v>46071</v>
      </c>
      <c r="C461" s="10">
        <v>46071</v>
      </c>
      <c r="D461" s="11" t="s">
        <v>177</v>
      </c>
      <c r="E461" s="12">
        <v>0.54166666666666663</v>
      </c>
      <c r="F461" s="12">
        <v>0.5625</v>
      </c>
      <c r="G461" s="12">
        <v>2.0833333333333332E-2</v>
      </c>
      <c r="H461" s="9" t="s">
        <v>96</v>
      </c>
      <c r="I461" s="13"/>
      <c r="J461" s="9" t="s">
        <v>97</v>
      </c>
      <c r="K461" s="9"/>
      <c r="L461" s="14">
        <v>1</v>
      </c>
      <c r="M461" s="14">
        <v>1</v>
      </c>
      <c r="N461" s="9" t="s">
        <v>33</v>
      </c>
      <c r="O461" s="9"/>
      <c r="P461" s="16">
        <v>0</v>
      </c>
      <c r="Q461" s="14"/>
      <c r="R461" s="16">
        <v>0</v>
      </c>
      <c r="S461" s="9">
        <v>46054</v>
      </c>
      <c r="T461" s="16">
        <v>0</v>
      </c>
      <c r="U461" s="14">
        <v>2</v>
      </c>
      <c r="V461" s="16">
        <v>0</v>
      </c>
      <c r="W461" s="9" t="s">
        <v>34</v>
      </c>
      <c r="X461" s="9" t="s">
        <v>42</v>
      </c>
      <c r="Y461" s="9" t="s">
        <v>36</v>
      </c>
      <c r="Z461" s="9" t="s">
        <v>43</v>
      </c>
      <c r="AA461" s="9" t="s">
        <v>37</v>
      </c>
      <c r="AB461" s="9" t="s">
        <v>37</v>
      </c>
      <c r="AC461" s="9" t="s">
        <v>38</v>
      </c>
      <c r="AD461" s="7" t="s">
        <v>257</v>
      </c>
    </row>
    <row r="462" spans="1:49" s="28" customFormat="1" ht="31.5" x14ac:dyDescent="0.25">
      <c r="A462" s="9" t="s">
        <v>95</v>
      </c>
      <c r="B462" s="10">
        <v>46071</v>
      </c>
      <c r="C462" s="10">
        <v>46071</v>
      </c>
      <c r="D462" s="11" t="s">
        <v>177</v>
      </c>
      <c r="E462" s="12">
        <v>0.5625</v>
      </c>
      <c r="F462" s="12">
        <v>0.58333333333333337</v>
      </c>
      <c r="G462" s="12">
        <v>2.0833333333333332E-2</v>
      </c>
      <c r="H462" s="9" t="s">
        <v>98</v>
      </c>
      <c r="I462" s="13"/>
      <c r="J462" s="9" t="s">
        <v>97</v>
      </c>
      <c r="K462" s="9"/>
      <c r="L462" s="14">
        <v>1</v>
      </c>
      <c r="M462" s="14">
        <v>1</v>
      </c>
      <c r="N462" s="9" t="s">
        <v>33</v>
      </c>
      <c r="O462" s="9"/>
      <c r="P462" s="16">
        <v>0</v>
      </c>
      <c r="Q462" s="14"/>
      <c r="R462" s="16">
        <v>0</v>
      </c>
      <c r="S462" s="9">
        <v>46054</v>
      </c>
      <c r="T462" s="16">
        <v>0</v>
      </c>
      <c r="U462" s="14">
        <v>2</v>
      </c>
      <c r="V462" s="16">
        <v>0</v>
      </c>
      <c r="W462" s="9" t="s">
        <v>34</v>
      </c>
      <c r="X462" s="9" t="s">
        <v>42</v>
      </c>
      <c r="Y462" s="9" t="s">
        <v>36</v>
      </c>
      <c r="Z462" s="9" t="s">
        <v>43</v>
      </c>
      <c r="AA462" s="9" t="s">
        <v>37</v>
      </c>
      <c r="AB462" s="9" t="s">
        <v>37</v>
      </c>
      <c r="AC462" s="9" t="s">
        <v>38</v>
      </c>
      <c r="AD462" s="7" t="s">
        <v>257</v>
      </c>
    </row>
    <row r="463" spans="1:49" s="28" customFormat="1" ht="31.5" x14ac:dyDescent="0.25">
      <c r="A463" s="9" t="s">
        <v>95</v>
      </c>
      <c r="B463" s="10">
        <v>46072</v>
      </c>
      <c r="C463" s="10">
        <v>46072</v>
      </c>
      <c r="D463" s="11" t="s">
        <v>183</v>
      </c>
      <c r="E463" s="12">
        <v>0.54166666666666663</v>
      </c>
      <c r="F463" s="12">
        <v>0.5625</v>
      </c>
      <c r="G463" s="12">
        <v>2.0833333333333332E-2</v>
      </c>
      <c r="H463" s="9" t="s">
        <v>96</v>
      </c>
      <c r="I463" s="13"/>
      <c r="J463" s="9" t="s">
        <v>97</v>
      </c>
      <c r="K463" s="9"/>
      <c r="L463" s="14">
        <v>1</v>
      </c>
      <c r="M463" s="14">
        <v>1</v>
      </c>
      <c r="N463" s="9" t="s">
        <v>33</v>
      </c>
      <c r="O463" s="9"/>
      <c r="P463" s="16">
        <v>0</v>
      </c>
      <c r="Q463" s="14"/>
      <c r="R463" s="16">
        <v>0</v>
      </c>
      <c r="S463" s="9">
        <v>46054</v>
      </c>
      <c r="T463" s="16">
        <v>0</v>
      </c>
      <c r="U463" s="14">
        <v>2</v>
      </c>
      <c r="V463" s="16">
        <v>0</v>
      </c>
      <c r="W463" s="9" t="s">
        <v>34</v>
      </c>
      <c r="X463" s="9" t="s">
        <v>42</v>
      </c>
      <c r="Y463" s="9" t="s">
        <v>36</v>
      </c>
      <c r="Z463" s="9" t="s">
        <v>43</v>
      </c>
      <c r="AA463" s="9" t="s">
        <v>37</v>
      </c>
      <c r="AB463" s="9" t="s">
        <v>37</v>
      </c>
      <c r="AC463" s="9" t="s">
        <v>38</v>
      </c>
      <c r="AD463" s="7" t="s">
        <v>257</v>
      </c>
    </row>
    <row r="464" spans="1:49" s="28" customFormat="1" ht="31.5" x14ac:dyDescent="0.25">
      <c r="A464" s="9" t="s">
        <v>95</v>
      </c>
      <c r="B464" s="10">
        <v>46072</v>
      </c>
      <c r="C464" s="10">
        <v>46072</v>
      </c>
      <c r="D464" s="11" t="s">
        <v>183</v>
      </c>
      <c r="E464" s="12">
        <v>0.5625</v>
      </c>
      <c r="F464" s="12">
        <v>0.58333333333333337</v>
      </c>
      <c r="G464" s="12">
        <v>2.0833333333333332E-2</v>
      </c>
      <c r="H464" s="9" t="s">
        <v>98</v>
      </c>
      <c r="I464" s="13"/>
      <c r="J464" s="9" t="s">
        <v>97</v>
      </c>
      <c r="K464" s="9"/>
      <c r="L464" s="14">
        <v>1</v>
      </c>
      <c r="M464" s="14">
        <v>1</v>
      </c>
      <c r="N464" s="9" t="s">
        <v>33</v>
      </c>
      <c r="O464" s="9"/>
      <c r="P464" s="16">
        <v>0</v>
      </c>
      <c r="Q464" s="14"/>
      <c r="R464" s="16">
        <v>0</v>
      </c>
      <c r="S464" s="9">
        <v>46054</v>
      </c>
      <c r="T464" s="16">
        <v>0</v>
      </c>
      <c r="U464" s="14">
        <v>2</v>
      </c>
      <c r="V464" s="16">
        <v>0</v>
      </c>
      <c r="W464" s="9" t="s">
        <v>34</v>
      </c>
      <c r="X464" s="9" t="s">
        <v>42</v>
      </c>
      <c r="Y464" s="9" t="s">
        <v>36</v>
      </c>
      <c r="Z464" s="9" t="s">
        <v>43</v>
      </c>
      <c r="AA464" s="9" t="s">
        <v>37</v>
      </c>
      <c r="AB464" s="9" t="s">
        <v>37</v>
      </c>
      <c r="AC464" s="9" t="s">
        <v>38</v>
      </c>
      <c r="AD464" s="7" t="s">
        <v>257</v>
      </c>
    </row>
    <row r="465" spans="1:49" s="28" customFormat="1" ht="31.5" x14ac:dyDescent="0.25">
      <c r="A465" s="9" t="s">
        <v>95</v>
      </c>
      <c r="B465" s="10">
        <v>46073</v>
      </c>
      <c r="C465" s="10">
        <v>46073</v>
      </c>
      <c r="D465" s="11" t="s">
        <v>196</v>
      </c>
      <c r="E465" s="12">
        <v>0.54166666666666663</v>
      </c>
      <c r="F465" s="12">
        <v>0.5625</v>
      </c>
      <c r="G465" s="12">
        <v>2.0833333333333332E-2</v>
      </c>
      <c r="H465" s="9" t="s">
        <v>96</v>
      </c>
      <c r="I465" s="13"/>
      <c r="J465" s="9" t="s">
        <v>97</v>
      </c>
      <c r="K465" s="9"/>
      <c r="L465" s="14">
        <v>1</v>
      </c>
      <c r="M465" s="14">
        <v>1</v>
      </c>
      <c r="N465" s="9" t="s">
        <v>33</v>
      </c>
      <c r="O465" s="9"/>
      <c r="P465" s="16">
        <v>0</v>
      </c>
      <c r="Q465" s="14"/>
      <c r="R465" s="16">
        <v>0</v>
      </c>
      <c r="S465" s="9">
        <v>46054</v>
      </c>
      <c r="T465" s="16">
        <v>0</v>
      </c>
      <c r="U465" s="14">
        <v>2</v>
      </c>
      <c r="V465" s="16">
        <v>0</v>
      </c>
      <c r="W465" s="9" t="s">
        <v>34</v>
      </c>
      <c r="X465" s="9" t="s">
        <v>42</v>
      </c>
      <c r="Y465" s="9" t="s">
        <v>36</v>
      </c>
      <c r="Z465" s="9" t="s">
        <v>43</v>
      </c>
      <c r="AA465" s="9" t="s">
        <v>37</v>
      </c>
      <c r="AB465" s="9" t="s">
        <v>37</v>
      </c>
      <c r="AC465" s="9" t="s">
        <v>38</v>
      </c>
      <c r="AD465" s="7" t="s">
        <v>257</v>
      </c>
      <c r="AE465" s="9"/>
      <c r="AF465" s="9"/>
      <c r="AG465" s="9"/>
      <c r="AH465" s="9"/>
      <c r="AI465" s="9"/>
      <c r="AJ465" s="9"/>
      <c r="AK465" s="9"/>
      <c r="AL465" s="9"/>
      <c r="AM465" s="9"/>
      <c r="AN465" s="9"/>
      <c r="AO465" s="9"/>
      <c r="AP465" s="9"/>
      <c r="AQ465" s="9"/>
      <c r="AR465" s="9"/>
      <c r="AS465" s="9"/>
      <c r="AT465" s="9"/>
      <c r="AU465" s="9"/>
      <c r="AV465" s="9"/>
      <c r="AW465" s="9"/>
    </row>
    <row r="466" spans="1:49" s="28" customFormat="1" ht="31.5" x14ac:dyDescent="0.25">
      <c r="A466" s="9" t="s">
        <v>95</v>
      </c>
      <c r="B466" s="10">
        <v>46073</v>
      </c>
      <c r="C466" s="10">
        <v>46073</v>
      </c>
      <c r="D466" s="11" t="s">
        <v>196</v>
      </c>
      <c r="E466" s="12">
        <v>0.5625</v>
      </c>
      <c r="F466" s="12">
        <v>0.58333333333333337</v>
      </c>
      <c r="G466" s="12">
        <v>2.0833333333333332E-2</v>
      </c>
      <c r="H466" s="9" t="s">
        <v>98</v>
      </c>
      <c r="I466" s="13"/>
      <c r="J466" s="9" t="s">
        <v>97</v>
      </c>
      <c r="K466" s="9"/>
      <c r="L466" s="14">
        <v>1</v>
      </c>
      <c r="M466" s="14">
        <v>1</v>
      </c>
      <c r="N466" s="9" t="s">
        <v>33</v>
      </c>
      <c r="O466" s="9"/>
      <c r="P466" s="16">
        <v>0</v>
      </c>
      <c r="Q466" s="14"/>
      <c r="R466" s="16">
        <v>0</v>
      </c>
      <c r="S466" s="9">
        <v>46054</v>
      </c>
      <c r="T466" s="16">
        <v>0</v>
      </c>
      <c r="U466" s="14">
        <v>2</v>
      </c>
      <c r="V466" s="16">
        <v>0</v>
      </c>
      <c r="W466" s="9" t="s">
        <v>34</v>
      </c>
      <c r="X466" s="9" t="s">
        <v>42</v>
      </c>
      <c r="Y466" s="9" t="s">
        <v>36</v>
      </c>
      <c r="Z466" s="9" t="s">
        <v>43</v>
      </c>
      <c r="AA466" s="9" t="s">
        <v>37</v>
      </c>
      <c r="AB466" s="9" t="s">
        <v>37</v>
      </c>
      <c r="AC466" s="9" t="s">
        <v>38</v>
      </c>
      <c r="AD466" s="7" t="s">
        <v>257</v>
      </c>
      <c r="AE466" s="9"/>
      <c r="AF466" s="9"/>
      <c r="AG466" s="9"/>
      <c r="AH466" s="9"/>
      <c r="AI466" s="9"/>
      <c r="AJ466" s="9"/>
      <c r="AK466" s="9"/>
      <c r="AL466" s="9"/>
      <c r="AM466" s="9"/>
      <c r="AN466" s="9"/>
      <c r="AO466" s="9"/>
      <c r="AP466" s="9"/>
      <c r="AQ466" s="9"/>
      <c r="AR466" s="9"/>
      <c r="AS466" s="9"/>
      <c r="AT466" s="9"/>
      <c r="AU466" s="9"/>
      <c r="AV466" s="9"/>
      <c r="AW466" s="9"/>
    </row>
    <row r="467" spans="1:49" s="28" customFormat="1" ht="31.5" x14ac:dyDescent="0.25">
      <c r="A467" s="9" t="s">
        <v>79</v>
      </c>
      <c r="B467" s="10">
        <v>46069</v>
      </c>
      <c r="C467" s="10">
        <v>46069</v>
      </c>
      <c r="D467" s="11" t="s">
        <v>30</v>
      </c>
      <c r="E467" s="12">
        <v>0.45833333333333331</v>
      </c>
      <c r="F467" s="12">
        <v>0.47916666666666669</v>
      </c>
      <c r="G467" s="12">
        <v>2.0833333333333332E-2</v>
      </c>
      <c r="H467" s="9" t="s">
        <v>80</v>
      </c>
      <c r="I467" s="13" t="s">
        <v>81</v>
      </c>
      <c r="J467" s="9" t="s">
        <v>78</v>
      </c>
      <c r="K467" s="9"/>
      <c r="L467" s="14">
        <v>1</v>
      </c>
      <c r="M467" s="14">
        <v>1</v>
      </c>
      <c r="N467" s="9" t="s">
        <v>33</v>
      </c>
      <c r="O467" s="9"/>
      <c r="P467" s="16">
        <v>0</v>
      </c>
      <c r="Q467" s="14"/>
      <c r="R467" s="16">
        <v>0</v>
      </c>
      <c r="S467" s="9">
        <v>46054</v>
      </c>
      <c r="T467" s="16">
        <v>0</v>
      </c>
      <c r="U467" s="14">
        <v>2</v>
      </c>
      <c r="V467" s="16">
        <v>0</v>
      </c>
      <c r="W467" s="9" t="s">
        <v>34</v>
      </c>
      <c r="X467" s="9" t="s">
        <v>42</v>
      </c>
      <c r="Y467" s="9" t="s">
        <v>36</v>
      </c>
      <c r="Z467" s="9" t="s">
        <v>43</v>
      </c>
      <c r="AA467" s="9" t="s">
        <v>37</v>
      </c>
      <c r="AB467" s="9" t="s">
        <v>37</v>
      </c>
      <c r="AC467" s="9" t="s">
        <v>38</v>
      </c>
      <c r="AD467" s="7" t="s">
        <v>257</v>
      </c>
      <c r="AE467" s="9"/>
      <c r="AF467" s="9"/>
      <c r="AG467" s="9"/>
      <c r="AH467" s="9"/>
      <c r="AI467" s="9"/>
      <c r="AJ467" s="9"/>
      <c r="AK467" s="9"/>
      <c r="AL467" s="9"/>
      <c r="AM467" s="9"/>
      <c r="AN467" s="9"/>
      <c r="AO467" s="9"/>
      <c r="AP467" s="9"/>
      <c r="AQ467" s="9"/>
      <c r="AR467" s="9"/>
      <c r="AS467" s="9"/>
      <c r="AT467" s="9"/>
      <c r="AU467" s="9"/>
      <c r="AV467" s="9"/>
      <c r="AW467" s="9"/>
    </row>
    <row r="468" spans="1:49" s="28" customFormat="1" ht="31.5" x14ac:dyDescent="0.25">
      <c r="A468" s="9" t="s">
        <v>79</v>
      </c>
      <c r="B468" s="10">
        <v>46069</v>
      </c>
      <c r="C468" s="10">
        <v>46069</v>
      </c>
      <c r="D468" s="11" t="s">
        <v>30</v>
      </c>
      <c r="E468" s="12">
        <v>0.47916666666666669</v>
      </c>
      <c r="F468" s="12">
        <v>0.5</v>
      </c>
      <c r="G468" s="12">
        <v>2.0833333333333332E-2</v>
      </c>
      <c r="H468" s="9" t="s">
        <v>92</v>
      </c>
      <c r="I468" s="13"/>
      <c r="J468" s="9" t="s">
        <v>84</v>
      </c>
      <c r="K468" s="9"/>
      <c r="L468" s="14">
        <v>1</v>
      </c>
      <c r="M468" s="14">
        <v>1</v>
      </c>
      <c r="N468" s="9" t="s">
        <v>33</v>
      </c>
      <c r="O468" s="9"/>
      <c r="P468" s="16">
        <v>0</v>
      </c>
      <c r="Q468" s="14"/>
      <c r="R468" s="16">
        <v>0</v>
      </c>
      <c r="S468" s="9">
        <v>46054</v>
      </c>
      <c r="T468" s="16">
        <v>0</v>
      </c>
      <c r="U468" s="14">
        <v>2</v>
      </c>
      <c r="V468" s="16">
        <v>0</v>
      </c>
      <c r="W468" s="9" t="s">
        <v>34</v>
      </c>
      <c r="X468" s="9" t="s">
        <v>42</v>
      </c>
      <c r="Y468" s="9" t="s">
        <v>36</v>
      </c>
      <c r="Z468" s="9" t="s">
        <v>43</v>
      </c>
      <c r="AA468" s="9" t="s">
        <v>37</v>
      </c>
      <c r="AB468" s="9" t="s">
        <v>37</v>
      </c>
      <c r="AC468" s="9" t="s">
        <v>38</v>
      </c>
      <c r="AD468" s="7" t="s">
        <v>257</v>
      </c>
      <c r="AE468" s="9"/>
      <c r="AF468" s="9"/>
      <c r="AG468" s="9"/>
      <c r="AH468" s="9"/>
      <c r="AI468" s="9"/>
      <c r="AJ468" s="9"/>
      <c r="AK468" s="9"/>
      <c r="AL468" s="9"/>
      <c r="AM468" s="9"/>
      <c r="AN468" s="9"/>
      <c r="AO468" s="9"/>
      <c r="AP468" s="9"/>
      <c r="AQ468" s="9"/>
      <c r="AR468" s="9"/>
      <c r="AS468" s="9"/>
      <c r="AT468" s="9"/>
      <c r="AU468" s="9"/>
      <c r="AV468" s="9"/>
      <c r="AW468" s="9"/>
    </row>
    <row r="469" spans="1:49" s="28" customFormat="1" ht="31.5" x14ac:dyDescent="0.25">
      <c r="A469" s="9" t="s">
        <v>79</v>
      </c>
      <c r="B469" s="10">
        <v>46070</v>
      </c>
      <c r="C469" s="10">
        <v>46070</v>
      </c>
      <c r="D469" s="11" t="s">
        <v>145</v>
      </c>
      <c r="E469" s="12">
        <v>0.45833333333333331</v>
      </c>
      <c r="F469" s="12">
        <v>0.47916666666666669</v>
      </c>
      <c r="G469" s="12">
        <v>2.0833333333333332E-2</v>
      </c>
      <c r="H469" s="9" t="s">
        <v>150</v>
      </c>
      <c r="I469" s="13"/>
      <c r="J469" s="9" t="s">
        <v>84</v>
      </c>
      <c r="K469" s="9"/>
      <c r="L469" s="14">
        <v>1</v>
      </c>
      <c r="M469" s="14">
        <v>1</v>
      </c>
      <c r="N469" s="9" t="s">
        <v>33</v>
      </c>
      <c r="O469" s="9"/>
      <c r="P469" s="16">
        <v>0</v>
      </c>
      <c r="Q469" s="14"/>
      <c r="R469" s="16">
        <v>0</v>
      </c>
      <c r="S469" s="9">
        <v>46054</v>
      </c>
      <c r="T469" s="16">
        <v>0</v>
      </c>
      <c r="U469" s="14">
        <v>2</v>
      </c>
      <c r="V469" s="16">
        <v>0</v>
      </c>
      <c r="W469" s="9" t="s">
        <v>34</v>
      </c>
      <c r="X469" s="9" t="s">
        <v>42</v>
      </c>
      <c r="Y469" s="9" t="s">
        <v>36</v>
      </c>
      <c r="Z469" s="9" t="s">
        <v>43</v>
      </c>
      <c r="AA469" s="9" t="s">
        <v>37</v>
      </c>
      <c r="AB469" s="9" t="s">
        <v>37</v>
      </c>
      <c r="AC469" s="9" t="s">
        <v>38</v>
      </c>
      <c r="AD469" s="7" t="s">
        <v>257</v>
      </c>
      <c r="AI469" s="31"/>
      <c r="AJ469" s="31"/>
      <c r="AK469" s="31"/>
      <c r="AL469" s="31"/>
      <c r="AM469" s="31"/>
      <c r="AN469" s="31"/>
      <c r="AO469" s="31"/>
      <c r="AP469" s="31"/>
      <c r="AQ469" s="31"/>
      <c r="AR469" s="31"/>
      <c r="AS469" s="31"/>
      <c r="AT469" s="31"/>
      <c r="AU469" s="31"/>
      <c r="AV469" s="31"/>
      <c r="AW469" s="31"/>
    </row>
    <row r="470" spans="1:49" s="28" customFormat="1" ht="31.5" x14ac:dyDescent="0.25">
      <c r="A470" s="9" t="s">
        <v>79</v>
      </c>
      <c r="B470" s="10">
        <v>46070</v>
      </c>
      <c r="C470" s="10">
        <v>46070</v>
      </c>
      <c r="D470" s="11" t="s">
        <v>145</v>
      </c>
      <c r="E470" s="12">
        <v>0.47916666666666669</v>
      </c>
      <c r="F470" s="12">
        <v>0.5</v>
      </c>
      <c r="G470" s="12">
        <v>2.0833333333333332E-2</v>
      </c>
      <c r="H470" s="9" t="s">
        <v>164</v>
      </c>
      <c r="I470" s="13"/>
      <c r="J470" s="9" t="s">
        <v>84</v>
      </c>
      <c r="K470" s="9"/>
      <c r="L470" s="14">
        <v>1</v>
      </c>
      <c r="M470" s="14">
        <v>1</v>
      </c>
      <c r="N470" s="9" t="s">
        <v>33</v>
      </c>
      <c r="O470" s="9"/>
      <c r="P470" s="16">
        <v>0</v>
      </c>
      <c r="Q470" s="14"/>
      <c r="R470" s="16">
        <v>0</v>
      </c>
      <c r="S470" s="9">
        <v>46054</v>
      </c>
      <c r="T470" s="16">
        <v>0</v>
      </c>
      <c r="U470" s="14">
        <v>2</v>
      </c>
      <c r="V470" s="16">
        <v>0</v>
      </c>
      <c r="W470" s="9" t="s">
        <v>34</v>
      </c>
      <c r="X470" s="9" t="s">
        <v>42</v>
      </c>
      <c r="Y470" s="9" t="s">
        <v>36</v>
      </c>
      <c r="Z470" s="9" t="s">
        <v>43</v>
      </c>
      <c r="AA470" s="9" t="s">
        <v>37</v>
      </c>
      <c r="AB470" s="9" t="s">
        <v>37</v>
      </c>
      <c r="AC470" s="9" t="s">
        <v>38</v>
      </c>
      <c r="AD470" s="7" t="s">
        <v>257</v>
      </c>
      <c r="AI470" s="31"/>
      <c r="AJ470" s="31"/>
      <c r="AK470" s="31"/>
      <c r="AL470" s="31"/>
      <c r="AM470" s="31"/>
      <c r="AN470" s="31"/>
      <c r="AO470" s="31"/>
      <c r="AP470" s="31"/>
      <c r="AQ470" s="31"/>
      <c r="AR470" s="31"/>
      <c r="AS470" s="31"/>
      <c r="AT470" s="31"/>
      <c r="AU470" s="31"/>
      <c r="AV470" s="31"/>
      <c r="AW470" s="31"/>
    </row>
    <row r="471" spans="1:49" s="28" customFormat="1" ht="31.5" x14ac:dyDescent="0.25">
      <c r="A471" s="9" t="s">
        <v>79</v>
      </c>
      <c r="B471" s="10">
        <v>46071</v>
      </c>
      <c r="C471" s="10">
        <v>46071</v>
      </c>
      <c r="D471" s="11" t="s">
        <v>177</v>
      </c>
      <c r="E471" s="12">
        <v>0.45833333333333331</v>
      </c>
      <c r="F471" s="12">
        <v>0.47916666666666669</v>
      </c>
      <c r="G471" s="12">
        <v>2.0833333333333332E-2</v>
      </c>
      <c r="H471" s="9" t="s">
        <v>150</v>
      </c>
      <c r="I471" s="13"/>
      <c r="J471" s="9" t="s">
        <v>84</v>
      </c>
      <c r="K471" s="9"/>
      <c r="L471" s="14">
        <v>1</v>
      </c>
      <c r="M471" s="14">
        <v>1</v>
      </c>
      <c r="N471" s="9" t="s">
        <v>33</v>
      </c>
      <c r="O471" s="9"/>
      <c r="P471" s="16">
        <v>0</v>
      </c>
      <c r="Q471" s="14"/>
      <c r="R471" s="16">
        <v>0</v>
      </c>
      <c r="S471" s="9">
        <v>46054</v>
      </c>
      <c r="T471" s="16">
        <v>0</v>
      </c>
      <c r="U471" s="14">
        <v>2</v>
      </c>
      <c r="V471" s="16">
        <v>0</v>
      </c>
      <c r="W471" s="9" t="s">
        <v>34</v>
      </c>
      <c r="X471" s="9" t="s">
        <v>42</v>
      </c>
      <c r="Y471" s="9" t="s">
        <v>36</v>
      </c>
      <c r="Z471" s="9" t="s">
        <v>43</v>
      </c>
      <c r="AA471" s="9" t="s">
        <v>37</v>
      </c>
      <c r="AB471" s="9" t="s">
        <v>37</v>
      </c>
      <c r="AC471" s="9" t="s">
        <v>38</v>
      </c>
      <c r="AD471" s="7" t="s">
        <v>257</v>
      </c>
    </row>
    <row r="472" spans="1:49" ht="31.5" x14ac:dyDescent="0.25">
      <c r="A472" s="53" t="s">
        <v>79</v>
      </c>
      <c r="B472" s="56">
        <v>46071</v>
      </c>
      <c r="C472" s="56">
        <v>46071</v>
      </c>
      <c r="D472" s="58" t="s">
        <v>177</v>
      </c>
      <c r="E472" s="60">
        <v>0.47916666666666669</v>
      </c>
      <c r="F472" s="60">
        <v>0.5</v>
      </c>
      <c r="G472" s="60">
        <v>2.0833333333333332E-2</v>
      </c>
      <c r="H472" s="53" t="s">
        <v>179</v>
      </c>
      <c r="I472" s="65"/>
      <c r="J472" s="53" t="s">
        <v>84</v>
      </c>
      <c r="K472" s="53"/>
      <c r="L472" s="68">
        <v>1</v>
      </c>
      <c r="M472" s="68">
        <v>1</v>
      </c>
      <c r="N472" s="53" t="s">
        <v>33</v>
      </c>
      <c r="O472" s="53"/>
      <c r="P472" s="71">
        <v>0</v>
      </c>
      <c r="Q472" s="68"/>
      <c r="R472" s="71">
        <v>0</v>
      </c>
      <c r="S472" s="53">
        <v>46054</v>
      </c>
      <c r="T472" s="71">
        <v>0</v>
      </c>
      <c r="U472" s="68">
        <v>2</v>
      </c>
      <c r="V472" s="71">
        <v>0</v>
      </c>
      <c r="W472" s="53" t="s">
        <v>34</v>
      </c>
      <c r="X472" s="53" t="s">
        <v>42</v>
      </c>
      <c r="Y472" s="53" t="s">
        <v>36</v>
      </c>
      <c r="Z472" s="53" t="s">
        <v>43</v>
      </c>
      <c r="AA472" s="53" t="s">
        <v>37</v>
      </c>
      <c r="AB472" s="53" t="s">
        <v>37</v>
      </c>
      <c r="AC472" s="53" t="s">
        <v>38</v>
      </c>
      <c r="AD472" s="79" t="s">
        <v>257</v>
      </c>
      <c r="AE472" s="80"/>
      <c r="AF472" s="80"/>
      <c r="AG472" s="80"/>
      <c r="AH472" s="80"/>
      <c r="AI472" s="80"/>
      <c r="AJ472" s="80"/>
      <c r="AK472" s="80"/>
      <c r="AL472" s="80"/>
      <c r="AM472" s="80"/>
      <c r="AN472" s="80"/>
      <c r="AO472" s="80"/>
      <c r="AP472" s="80"/>
      <c r="AQ472" s="80"/>
      <c r="AR472" s="80"/>
      <c r="AS472" s="80"/>
      <c r="AT472" s="80"/>
      <c r="AU472" s="80"/>
      <c r="AV472" s="80"/>
      <c r="AW472" s="80"/>
    </row>
    <row r="473" spans="1:49" ht="31.5" x14ac:dyDescent="0.25">
      <c r="A473" s="53" t="s">
        <v>79</v>
      </c>
      <c r="B473" s="56">
        <v>46072</v>
      </c>
      <c r="C473" s="56">
        <v>46072</v>
      </c>
      <c r="D473" s="58" t="s">
        <v>183</v>
      </c>
      <c r="E473" s="60">
        <v>0.45833333333333331</v>
      </c>
      <c r="F473" s="60">
        <v>0.47916666666666669</v>
      </c>
      <c r="G473" s="60">
        <v>2.0833333333333332E-2</v>
      </c>
      <c r="H473" s="53" t="s">
        <v>150</v>
      </c>
      <c r="I473" s="65"/>
      <c r="J473" s="53" t="s">
        <v>84</v>
      </c>
      <c r="K473" s="53"/>
      <c r="L473" s="68">
        <v>1</v>
      </c>
      <c r="M473" s="68">
        <v>1</v>
      </c>
      <c r="N473" s="53" t="s">
        <v>33</v>
      </c>
      <c r="O473" s="53"/>
      <c r="P473" s="71">
        <v>0</v>
      </c>
      <c r="Q473" s="68"/>
      <c r="R473" s="71">
        <v>0</v>
      </c>
      <c r="S473" s="53">
        <v>46054</v>
      </c>
      <c r="T473" s="71">
        <v>0</v>
      </c>
      <c r="U473" s="68">
        <v>2</v>
      </c>
      <c r="V473" s="71">
        <v>0</v>
      </c>
      <c r="W473" s="53" t="s">
        <v>34</v>
      </c>
      <c r="X473" s="53" t="s">
        <v>42</v>
      </c>
      <c r="Y473" s="53" t="s">
        <v>36</v>
      </c>
      <c r="Z473" s="53" t="s">
        <v>43</v>
      </c>
      <c r="AA473" s="53" t="s">
        <v>37</v>
      </c>
      <c r="AB473" s="53" t="s">
        <v>37</v>
      </c>
      <c r="AC473" s="53" t="s">
        <v>38</v>
      </c>
      <c r="AD473" s="79" t="s">
        <v>257</v>
      </c>
      <c r="AE473" s="80"/>
      <c r="AF473" s="80"/>
      <c r="AG473" s="80"/>
      <c r="AH473" s="80"/>
      <c r="AI473" s="80"/>
      <c r="AJ473" s="80"/>
      <c r="AK473" s="80"/>
      <c r="AL473" s="80"/>
      <c r="AM473" s="80"/>
      <c r="AN473" s="80"/>
      <c r="AO473" s="80"/>
      <c r="AP473" s="80"/>
      <c r="AQ473" s="80"/>
      <c r="AR473" s="80"/>
      <c r="AS473" s="80"/>
      <c r="AT473" s="80"/>
      <c r="AU473" s="80"/>
      <c r="AV473" s="80"/>
      <c r="AW473" s="80"/>
    </row>
    <row r="474" spans="1:49" ht="31.5" x14ac:dyDescent="0.25">
      <c r="A474" s="53" t="s">
        <v>79</v>
      </c>
      <c r="B474" s="56">
        <v>46072</v>
      </c>
      <c r="C474" s="56">
        <v>46072</v>
      </c>
      <c r="D474" s="58" t="s">
        <v>183</v>
      </c>
      <c r="E474" s="60">
        <v>0.47916666666666669</v>
      </c>
      <c r="F474" s="60">
        <v>0.5</v>
      </c>
      <c r="G474" s="60">
        <v>2.0833333333333332E-2</v>
      </c>
      <c r="H474" s="53" t="s">
        <v>192</v>
      </c>
      <c r="I474" s="65"/>
      <c r="J474" s="53" t="s">
        <v>84</v>
      </c>
      <c r="K474" s="53"/>
      <c r="L474" s="68">
        <v>1</v>
      </c>
      <c r="M474" s="68">
        <v>1</v>
      </c>
      <c r="N474" s="53" t="s">
        <v>33</v>
      </c>
      <c r="O474" s="53"/>
      <c r="P474" s="71">
        <v>0</v>
      </c>
      <c r="Q474" s="68"/>
      <c r="R474" s="71">
        <v>0</v>
      </c>
      <c r="S474" s="53">
        <v>46054</v>
      </c>
      <c r="T474" s="71">
        <v>0</v>
      </c>
      <c r="U474" s="68">
        <v>2</v>
      </c>
      <c r="V474" s="71">
        <v>0</v>
      </c>
      <c r="W474" s="53" t="s">
        <v>34</v>
      </c>
      <c r="X474" s="53" t="s">
        <v>42</v>
      </c>
      <c r="Y474" s="53" t="s">
        <v>36</v>
      </c>
      <c r="Z474" s="53" t="s">
        <v>43</v>
      </c>
      <c r="AA474" s="53" t="s">
        <v>37</v>
      </c>
      <c r="AB474" s="53" t="s">
        <v>37</v>
      </c>
      <c r="AC474" s="53" t="s">
        <v>38</v>
      </c>
      <c r="AD474" s="79" t="s">
        <v>257</v>
      </c>
      <c r="AE474" s="80"/>
      <c r="AF474" s="80"/>
      <c r="AG474" s="80"/>
      <c r="AH474" s="80"/>
      <c r="AI474" s="80"/>
      <c r="AJ474" s="80"/>
      <c r="AK474" s="80"/>
      <c r="AL474" s="80"/>
      <c r="AM474" s="80"/>
      <c r="AN474" s="80"/>
      <c r="AO474" s="80"/>
      <c r="AP474" s="80"/>
      <c r="AQ474" s="80"/>
      <c r="AR474" s="80"/>
      <c r="AS474" s="80"/>
      <c r="AT474" s="80"/>
      <c r="AU474" s="80"/>
      <c r="AV474" s="80"/>
      <c r="AW474" s="80"/>
    </row>
    <row r="475" spans="1:49" ht="31.5" x14ac:dyDescent="0.25">
      <c r="A475" s="53" t="s">
        <v>79</v>
      </c>
      <c r="B475" s="56">
        <v>46073</v>
      </c>
      <c r="C475" s="56">
        <v>46073</v>
      </c>
      <c r="D475" s="58" t="s">
        <v>196</v>
      </c>
      <c r="E475" s="60">
        <v>0.45833333333333331</v>
      </c>
      <c r="F475" s="60">
        <v>0.47916666666666669</v>
      </c>
      <c r="G475" s="60">
        <v>2.0833333333333332E-2</v>
      </c>
      <c r="H475" s="53" t="s">
        <v>150</v>
      </c>
      <c r="I475" s="65"/>
      <c r="J475" s="53" t="s">
        <v>84</v>
      </c>
      <c r="K475" s="53"/>
      <c r="L475" s="68">
        <v>1</v>
      </c>
      <c r="M475" s="68">
        <v>1</v>
      </c>
      <c r="N475" s="53" t="s">
        <v>33</v>
      </c>
      <c r="O475" s="53"/>
      <c r="P475" s="71">
        <v>0</v>
      </c>
      <c r="Q475" s="68"/>
      <c r="R475" s="71">
        <v>0</v>
      </c>
      <c r="S475" s="53">
        <v>46054</v>
      </c>
      <c r="T475" s="71">
        <v>0</v>
      </c>
      <c r="U475" s="68">
        <v>2</v>
      </c>
      <c r="V475" s="71">
        <v>0</v>
      </c>
      <c r="W475" s="53" t="s">
        <v>34</v>
      </c>
      <c r="X475" s="53" t="s">
        <v>42</v>
      </c>
      <c r="Y475" s="53" t="s">
        <v>36</v>
      </c>
      <c r="Z475" s="53" t="s">
        <v>43</v>
      </c>
      <c r="AA475" s="53" t="s">
        <v>37</v>
      </c>
      <c r="AB475" s="53" t="s">
        <v>37</v>
      </c>
      <c r="AC475" s="53" t="s">
        <v>38</v>
      </c>
      <c r="AD475" s="79" t="s">
        <v>257</v>
      </c>
      <c r="AE475" s="80"/>
      <c r="AF475" s="80"/>
      <c r="AG475" s="80"/>
      <c r="AH475" s="80"/>
      <c r="AI475" s="86"/>
      <c r="AJ475" s="86"/>
      <c r="AK475" s="86"/>
      <c r="AL475" s="86"/>
      <c r="AM475" s="86"/>
      <c r="AN475" s="86"/>
      <c r="AO475" s="86"/>
      <c r="AP475" s="86"/>
      <c r="AQ475" s="86"/>
      <c r="AR475" s="86"/>
      <c r="AS475" s="86"/>
      <c r="AT475" s="86"/>
      <c r="AU475" s="86"/>
      <c r="AV475" s="86"/>
      <c r="AW475" s="86"/>
    </row>
    <row r="476" spans="1:49" ht="31.5" x14ac:dyDescent="0.25">
      <c r="A476" s="53" t="s">
        <v>79</v>
      </c>
      <c r="B476" s="56">
        <v>46073</v>
      </c>
      <c r="C476" s="56">
        <v>46073</v>
      </c>
      <c r="D476" s="58" t="s">
        <v>196</v>
      </c>
      <c r="E476" s="60">
        <v>0.47916666666666669</v>
      </c>
      <c r="F476" s="60">
        <v>0.5</v>
      </c>
      <c r="G476" s="60">
        <v>2.0833333333333332E-2</v>
      </c>
      <c r="H476" s="53" t="s">
        <v>207</v>
      </c>
      <c r="I476" s="65"/>
      <c r="J476" s="53" t="s">
        <v>84</v>
      </c>
      <c r="K476" s="53"/>
      <c r="L476" s="68">
        <v>1</v>
      </c>
      <c r="M476" s="68">
        <v>1</v>
      </c>
      <c r="N476" s="53" t="s">
        <v>33</v>
      </c>
      <c r="O476" s="53"/>
      <c r="P476" s="71">
        <v>0</v>
      </c>
      <c r="Q476" s="68"/>
      <c r="R476" s="71">
        <v>0</v>
      </c>
      <c r="S476" s="53">
        <v>46054</v>
      </c>
      <c r="T476" s="71">
        <v>0</v>
      </c>
      <c r="U476" s="68">
        <v>2</v>
      </c>
      <c r="V476" s="71">
        <v>0</v>
      </c>
      <c r="W476" s="53" t="s">
        <v>34</v>
      </c>
      <c r="X476" s="53" t="s">
        <v>42</v>
      </c>
      <c r="Y476" s="53" t="s">
        <v>36</v>
      </c>
      <c r="Z476" s="53" t="s">
        <v>43</v>
      </c>
      <c r="AA476" s="53" t="s">
        <v>37</v>
      </c>
      <c r="AB476" s="53" t="s">
        <v>37</v>
      </c>
      <c r="AC476" s="53" t="s">
        <v>38</v>
      </c>
      <c r="AD476" s="79" t="s">
        <v>257</v>
      </c>
      <c r="AE476" s="81"/>
      <c r="AF476" s="81"/>
      <c r="AG476" s="81"/>
      <c r="AH476" s="81"/>
      <c r="AI476" s="84"/>
      <c r="AJ476" s="84"/>
      <c r="AK476" s="84"/>
      <c r="AL476" s="84"/>
      <c r="AM476" s="84"/>
      <c r="AN476" s="84"/>
      <c r="AO476" s="84"/>
      <c r="AP476" s="84"/>
      <c r="AQ476" s="84"/>
      <c r="AR476" s="84"/>
      <c r="AS476" s="84"/>
      <c r="AT476" s="84"/>
      <c r="AU476" s="84"/>
      <c r="AV476" s="84"/>
      <c r="AW476" s="84"/>
    </row>
    <row r="477" spans="1:49" ht="31.5" x14ac:dyDescent="0.2">
      <c r="A477" s="53" t="s">
        <v>79</v>
      </c>
      <c r="B477" s="56">
        <v>46074</v>
      </c>
      <c r="C477" s="56">
        <v>46074</v>
      </c>
      <c r="D477" s="58" t="s">
        <v>214</v>
      </c>
      <c r="E477" s="60">
        <v>0.45833333333333331</v>
      </c>
      <c r="F477" s="60">
        <v>0.47916666666666669</v>
      </c>
      <c r="G477" s="60">
        <v>2.0833333333333332E-2</v>
      </c>
      <c r="H477" s="53" t="s">
        <v>150</v>
      </c>
      <c r="I477" s="65"/>
      <c r="J477" s="53" t="s">
        <v>84</v>
      </c>
      <c r="K477" s="53"/>
      <c r="L477" s="68">
        <v>1</v>
      </c>
      <c r="M477" s="68">
        <v>1</v>
      </c>
      <c r="N477" s="53" t="s">
        <v>33</v>
      </c>
      <c r="O477" s="53"/>
      <c r="P477" s="71">
        <v>0</v>
      </c>
      <c r="Q477" s="68"/>
      <c r="R477" s="71">
        <v>0</v>
      </c>
      <c r="S477" s="53">
        <v>46054</v>
      </c>
      <c r="T477" s="71">
        <v>0</v>
      </c>
      <c r="U477" s="68">
        <v>2</v>
      </c>
      <c r="V477" s="71">
        <v>0</v>
      </c>
      <c r="W477" s="53" t="s">
        <v>34</v>
      </c>
      <c r="X477" s="53" t="s">
        <v>42</v>
      </c>
      <c r="Y477" s="53" t="s">
        <v>36</v>
      </c>
      <c r="Z477" s="53" t="s">
        <v>43</v>
      </c>
      <c r="AA477" s="53" t="s">
        <v>37</v>
      </c>
      <c r="AB477" s="53" t="s">
        <v>37</v>
      </c>
      <c r="AC477" s="53" t="s">
        <v>38</v>
      </c>
      <c r="AD477" s="79" t="s">
        <v>257</v>
      </c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</row>
    <row r="478" spans="1:49" ht="31.5" x14ac:dyDescent="0.25">
      <c r="A478" s="53" t="s">
        <v>79</v>
      </c>
      <c r="B478" s="56">
        <v>46074</v>
      </c>
      <c r="C478" s="56">
        <v>46074</v>
      </c>
      <c r="D478" s="58" t="s">
        <v>214</v>
      </c>
      <c r="E478" s="60">
        <v>0.47916666666666669</v>
      </c>
      <c r="F478" s="60">
        <v>0.48958333333333331</v>
      </c>
      <c r="G478" s="60">
        <v>1.0416666666666666E-2</v>
      </c>
      <c r="H478" s="53" t="s">
        <v>218</v>
      </c>
      <c r="I478" s="65"/>
      <c r="J478" s="53" t="s">
        <v>84</v>
      </c>
      <c r="K478" s="53"/>
      <c r="L478" s="68">
        <v>1</v>
      </c>
      <c r="M478" s="68">
        <v>1</v>
      </c>
      <c r="N478" s="53" t="s">
        <v>33</v>
      </c>
      <c r="O478" s="53"/>
      <c r="P478" s="71">
        <v>0</v>
      </c>
      <c r="Q478" s="68"/>
      <c r="R478" s="71">
        <v>0</v>
      </c>
      <c r="S478" s="53">
        <v>46054</v>
      </c>
      <c r="T478" s="71">
        <v>0</v>
      </c>
      <c r="U478" s="68">
        <v>2</v>
      </c>
      <c r="V478" s="71">
        <v>0</v>
      </c>
      <c r="W478" s="53" t="s">
        <v>34</v>
      </c>
      <c r="X478" s="53" t="s">
        <v>42</v>
      </c>
      <c r="Y478" s="53" t="s">
        <v>36</v>
      </c>
      <c r="Z478" s="53" t="s">
        <v>43</v>
      </c>
      <c r="AA478" s="53" t="s">
        <v>37</v>
      </c>
      <c r="AB478" s="53" t="s">
        <v>37</v>
      </c>
      <c r="AC478" s="53" t="s">
        <v>38</v>
      </c>
      <c r="AD478" s="79" t="s">
        <v>257</v>
      </c>
      <c r="AE478" s="80"/>
      <c r="AF478" s="80"/>
      <c r="AG478" s="80"/>
      <c r="AH478" s="80"/>
      <c r="AI478" s="80"/>
      <c r="AJ478" s="80"/>
      <c r="AK478" s="80"/>
      <c r="AL478" s="80"/>
      <c r="AM478" s="80"/>
      <c r="AN478" s="80"/>
      <c r="AO478" s="80"/>
      <c r="AP478" s="80"/>
      <c r="AQ478" s="80"/>
      <c r="AR478" s="80"/>
      <c r="AS478" s="80"/>
      <c r="AT478" s="80"/>
      <c r="AU478" s="80"/>
      <c r="AV478" s="80"/>
      <c r="AW478" s="80"/>
    </row>
    <row r="479" spans="1:49" ht="31.5" x14ac:dyDescent="0.25">
      <c r="A479" s="53" t="s">
        <v>79</v>
      </c>
      <c r="B479" s="56">
        <v>46074</v>
      </c>
      <c r="C479" s="56">
        <v>46074</v>
      </c>
      <c r="D479" s="58" t="s">
        <v>214</v>
      </c>
      <c r="E479" s="60">
        <v>0.48958333333333331</v>
      </c>
      <c r="F479" s="60">
        <v>0.5</v>
      </c>
      <c r="G479" s="60">
        <v>1.0416666666666666E-2</v>
      </c>
      <c r="H479" s="53" t="s">
        <v>219</v>
      </c>
      <c r="I479" s="65"/>
      <c r="J479" s="53" t="s">
        <v>84</v>
      </c>
      <c r="K479" s="53"/>
      <c r="L479" s="68">
        <v>1</v>
      </c>
      <c r="M479" s="68">
        <v>1</v>
      </c>
      <c r="N479" s="53" t="s">
        <v>33</v>
      </c>
      <c r="O479" s="53"/>
      <c r="P479" s="71">
        <v>0</v>
      </c>
      <c r="Q479" s="68"/>
      <c r="R479" s="71">
        <v>0</v>
      </c>
      <c r="S479" s="53">
        <v>46054</v>
      </c>
      <c r="T479" s="71">
        <v>0</v>
      </c>
      <c r="U479" s="68">
        <v>2</v>
      </c>
      <c r="V479" s="71">
        <v>0</v>
      </c>
      <c r="W479" s="53" t="s">
        <v>34</v>
      </c>
      <c r="X479" s="53" t="s">
        <v>42</v>
      </c>
      <c r="Y479" s="53" t="s">
        <v>36</v>
      </c>
      <c r="Z479" s="53" t="s">
        <v>43</v>
      </c>
      <c r="AA479" s="53" t="s">
        <v>37</v>
      </c>
      <c r="AB479" s="53" t="s">
        <v>37</v>
      </c>
      <c r="AC479" s="53" t="s">
        <v>38</v>
      </c>
      <c r="AD479" s="79" t="s">
        <v>257</v>
      </c>
      <c r="AE479" s="80"/>
      <c r="AF479" s="80"/>
      <c r="AG479" s="80"/>
      <c r="AH479" s="80"/>
      <c r="AI479" s="80"/>
      <c r="AJ479" s="80"/>
      <c r="AK479" s="80"/>
      <c r="AL479" s="80"/>
      <c r="AM479" s="80"/>
      <c r="AN479" s="80"/>
      <c r="AO479" s="80"/>
      <c r="AP479" s="80"/>
      <c r="AQ479" s="80"/>
      <c r="AR479" s="80"/>
      <c r="AS479" s="80"/>
      <c r="AT479" s="80"/>
      <c r="AU479" s="80"/>
      <c r="AV479" s="80"/>
      <c r="AW479" s="80"/>
    </row>
    <row r="480" spans="1:49" ht="31.5" x14ac:dyDescent="0.25">
      <c r="A480" s="53" t="s">
        <v>79</v>
      </c>
      <c r="B480" s="56">
        <v>46074</v>
      </c>
      <c r="C480" s="56">
        <v>46074</v>
      </c>
      <c r="D480" s="58" t="s">
        <v>214</v>
      </c>
      <c r="E480" s="60">
        <v>0.5</v>
      </c>
      <c r="F480" s="60">
        <v>0.54166666666666663</v>
      </c>
      <c r="G480" s="60">
        <v>4.1666666666666664E-2</v>
      </c>
      <c r="H480" s="53" t="s">
        <v>220</v>
      </c>
      <c r="I480" s="65"/>
      <c r="J480" s="53" t="s">
        <v>84</v>
      </c>
      <c r="K480" s="53"/>
      <c r="L480" s="68">
        <v>1</v>
      </c>
      <c r="M480" s="68">
        <v>1</v>
      </c>
      <c r="N480" s="53" t="s">
        <v>33</v>
      </c>
      <c r="O480" s="53"/>
      <c r="P480" s="71">
        <v>0</v>
      </c>
      <c r="Q480" s="68"/>
      <c r="R480" s="71">
        <v>0</v>
      </c>
      <c r="S480" s="53">
        <v>46054</v>
      </c>
      <c r="T480" s="71">
        <v>0</v>
      </c>
      <c r="U480" s="68">
        <v>2</v>
      </c>
      <c r="V480" s="71">
        <v>0</v>
      </c>
      <c r="W480" s="53" t="s">
        <v>34</v>
      </c>
      <c r="X480" s="53" t="s">
        <v>42</v>
      </c>
      <c r="Y480" s="53" t="s">
        <v>36</v>
      </c>
      <c r="Z480" s="53" t="s">
        <v>43</v>
      </c>
      <c r="AA480" s="53" t="s">
        <v>37</v>
      </c>
      <c r="AB480" s="53" t="s">
        <v>37</v>
      </c>
      <c r="AC480" s="53" t="s">
        <v>38</v>
      </c>
      <c r="AD480" s="79" t="s">
        <v>257</v>
      </c>
      <c r="AE480" s="80"/>
      <c r="AF480" s="80"/>
      <c r="AG480" s="80"/>
      <c r="AH480" s="80"/>
      <c r="AI480" s="80"/>
      <c r="AJ480" s="80"/>
      <c r="AK480" s="80"/>
      <c r="AL480" s="80"/>
      <c r="AM480" s="80"/>
      <c r="AN480" s="80"/>
      <c r="AO480" s="80"/>
      <c r="AP480" s="80"/>
      <c r="AQ480" s="80"/>
      <c r="AR480" s="80"/>
      <c r="AS480" s="80"/>
      <c r="AT480" s="80"/>
      <c r="AU480" s="80"/>
      <c r="AV480" s="80"/>
      <c r="AW480" s="80"/>
    </row>
    <row r="481" spans="1:49" ht="31.5" x14ac:dyDescent="0.25">
      <c r="A481" s="53" t="s">
        <v>79</v>
      </c>
      <c r="B481" s="56">
        <v>46075</v>
      </c>
      <c r="C481" s="56">
        <v>46075</v>
      </c>
      <c r="D481" s="58" t="s">
        <v>243</v>
      </c>
      <c r="E481" s="60">
        <v>0.45833333333333331</v>
      </c>
      <c r="F481" s="60">
        <v>0.47916666666666669</v>
      </c>
      <c r="G481" s="60">
        <v>2.0833333333333332E-2</v>
      </c>
      <c r="H481" s="53" t="s">
        <v>80</v>
      </c>
      <c r="I481" s="65"/>
      <c r="J481" s="53" t="s">
        <v>84</v>
      </c>
      <c r="K481" s="53"/>
      <c r="L481" s="68">
        <v>1</v>
      </c>
      <c r="M481" s="68">
        <v>1</v>
      </c>
      <c r="N481" s="53" t="s">
        <v>33</v>
      </c>
      <c r="O481" s="53"/>
      <c r="P481" s="71">
        <v>0</v>
      </c>
      <c r="Q481" s="68"/>
      <c r="R481" s="71">
        <v>0</v>
      </c>
      <c r="S481" s="53">
        <v>46054</v>
      </c>
      <c r="T481" s="71">
        <v>0</v>
      </c>
      <c r="U481" s="68">
        <v>2</v>
      </c>
      <c r="V481" s="71">
        <v>0</v>
      </c>
      <c r="W481" s="53" t="s">
        <v>34</v>
      </c>
      <c r="X481" s="53" t="s">
        <v>42</v>
      </c>
      <c r="Y481" s="53" t="s">
        <v>36</v>
      </c>
      <c r="Z481" s="53" t="s">
        <v>43</v>
      </c>
      <c r="AA481" s="53" t="s">
        <v>37</v>
      </c>
      <c r="AB481" s="53" t="s">
        <v>37</v>
      </c>
      <c r="AC481" s="53" t="s">
        <v>38</v>
      </c>
      <c r="AD481" s="79" t="s">
        <v>257</v>
      </c>
      <c r="AE481" s="80"/>
      <c r="AF481" s="80"/>
      <c r="AG481" s="80"/>
      <c r="AH481" s="80"/>
      <c r="AI481" s="80"/>
      <c r="AJ481" s="80"/>
      <c r="AK481" s="80"/>
      <c r="AL481" s="80"/>
      <c r="AM481" s="80"/>
      <c r="AN481" s="80"/>
      <c r="AO481" s="80"/>
      <c r="AP481" s="80"/>
      <c r="AQ481" s="80"/>
      <c r="AR481" s="80"/>
      <c r="AS481" s="80"/>
      <c r="AT481" s="80"/>
      <c r="AU481" s="80"/>
      <c r="AV481" s="80"/>
      <c r="AW481" s="80"/>
    </row>
    <row r="482" spans="1:49" ht="31.5" x14ac:dyDescent="0.25">
      <c r="A482" s="53" t="s">
        <v>79</v>
      </c>
      <c r="B482" s="56">
        <v>46075</v>
      </c>
      <c r="C482" s="56">
        <v>46075</v>
      </c>
      <c r="D482" s="58" t="s">
        <v>243</v>
      </c>
      <c r="E482" s="60">
        <v>0.47916666666666669</v>
      </c>
      <c r="F482" s="60">
        <v>0.48958333333333331</v>
      </c>
      <c r="G482" s="60">
        <v>1.0416666666666666E-2</v>
      </c>
      <c r="H482" s="53" t="s">
        <v>247</v>
      </c>
      <c r="I482" s="65"/>
      <c r="J482" s="53" t="s">
        <v>84</v>
      </c>
      <c r="K482" s="53"/>
      <c r="L482" s="68">
        <v>1</v>
      </c>
      <c r="M482" s="68">
        <v>1</v>
      </c>
      <c r="N482" s="53" t="s">
        <v>33</v>
      </c>
      <c r="O482" s="53"/>
      <c r="P482" s="71">
        <v>0</v>
      </c>
      <c r="Q482" s="68"/>
      <c r="R482" s="71">
        <v>0</v>
      </c>
      <c r="S482" s="53">
        <v>46054</v>
      </c>
      <c r="T482" s="71">
        <v>0</v>
      </c>
      <c r="U482" s="68">
        <v>2</v>
      </c>
      <c r="V482" s="71">
        <v>0</v>
      </c>
      <c r="W482" s="53" t="s">
        <v>34</v>
      </c>
      <c r="X482" s="53" t="s">
        <v>42</v>
      </c>
      <c r="Y482" s="53" t="s">
        <v>36</v>
      </c>
      <c r="Z482" s="53" t="s">
        <v>43</v>
      </c>
      <c r="AA482" s="53" t="s">
        <v>37</v>
      </c>
      <c r="AB482" s="53" t="s">
        <v>37</v>
      </c>
      <c r="AC482" s="53" t="s">
        <v>38</v>
      </c>
      <c r="AD482" s="79" t="s">
        <v>257</v>
      </c>
      <c r="AE482" s="80"/>
      <c r="AF482" s="80"/>
      <c r="AG482" s="80"/>
      <c r="AH482" s="80"/>
      <c r="AI482" s="80"/>
      <c r="AJ482" s="80"/>
      <c r="AK482" s="80"/>
      <c r="AL482" s="80"/>
      <c r="AM482" s="80"/>
      <c r="AN482" s="80"/>
      <c r="AO482" s="80"/>
      <c r="AP482" s="80"/>
      <c r="AQ482" s="80"/>
      <c r="AR482" s="80"/>
      <c r="AS482" s="80"/>
      <c r="AT482" s="80"/>
      <c r="AU482" s="80"/>
      <c r="AV482" s="80"/>
      <c r="AW482" s="80"/>
    </row>
    <row r="483" spans="1:49" ht="31.5" x14ac:dyDescent="0.25">
      <c r="A483" s="53" t="s">
        <v>79</v>
      </c>
      <c r="B483" s="56">
        <v>46075</v>
      </c>
      <c r="C483" s="56">
        <v>46075</v>
      </c>
      <c r="D483" s="58" t="s">
        <v>243</v>
      </c>
      <c r="E483" s="60">
        <v>0.48958333333333331</v>
      </c>
      <c r="F483" s="60">
        <v>0.5</v>
      </c>
      <c r="G483" s="60">
        <v>1.0416666666666666E-2</v>
      </c>
      <c r="H483" s="53" t="s">
        <v>248</v>
      </c>
      <c r="I483" s="65"/>
      <c r="J483" s="53" t="s">
        <v>84</v>
      </c>
      <c r="K483" s="53"/>
      <c r="L483" s="68">
        <v>1</v>
      </c>
      <c r="M483" s="68">
        <v>1</v>
      </c>
      <c r="N483" s="53" t="s">
        <v>33</v>
      </c>
      <c r="O483" s="53"/>
      <c r="P483" s="71">
        <v>0</v>
      </c>
      <c r="Q483" s="68"/>
      <c r="R483" s="71">
        <v>0</v>
      </c>
      <c r="S483" s="53">
        <v>46054</v>
      </c>
      <c r="T483" s="71">
        <v>0</v>
      </c>
      <c r="U483" s="68">
        <v>2</v>
      </c>
      <c r="V483" s="71">
        <v>0</v>
      </c>
      <c r="W483" s="53" t="s">
        <v>34</v>
      </c>
      <c r="X483" s="53" t="s">
        <v>42</v>
      </c>
      <c r="Y483" s="53" t="s">
        <v>36</v>
      </c>
      <c r="Z483" s="53" t="s">
        <v>43</v>
      </c>
      <c r="AA483" s="53" t="s">
        <v>37</v>
      </c>
      <c r="AB483" s="53" t="s">
        <v>37</v>
      </c>
      <c r="AC483" s="53" t="s">
        <v>38</v>
      </c>
      <c r="AD483" s="79" t="s">
        <v>257</v>
      </c>
      <c r="AE483" s="80"/>
      <c r="AF483" s="80"/>
      <c r="AG483" s="80"/>
      <c r="AH483" s="80"/>
      <c r="AI483" s="80"/>
      <c r="AJ483" s="80"/>
      <c r="AK483" s="80"/>
      <c r="AL483" s="80"/>
      <c r="AM483" s="80"/>
      <c r="AN483" s="80"/>
      <c r="AO483" s="80"/>
      <c r="AP483" s="80"/>
      <c r="AQ483" s="80"/>
      <c r="AR483" s="80"/>
      <c r="AS483" s="80"/>
      <c r="AT483" s="80"/>
      <c r="AU483" s="80"/>
      <c r="AV483" s="80"/>
      <c r="AW483" s="80"/>
    </row>
    <row r="484" spans="1:49" ht="31.5" x14ac:dyDescent="0.25">
      <c r="A484" s="53" t="s">
        <v>79</v>
      </c>
      <c r="B484" s="56">
        <v>46075</v>
      </c>
      <c r="C484" s="56">
        <v>46075</v>
      </c>
      <c r="D484" s="58" t="s">
        <v>243</v>
      </c>
      <c r="E484" s="60">
        <v>0.5</v>
      </c>
      <c r="F484" s="60">
        <v>0.54166666666666663</v>
      </c>
      <c r="G484" s="60">
        <v>4.1666666666666664E-2</v>
      </c>
      <c r="H484" s="53" t="s">
        <v>220</v>
      </c>
      <c r="I484" s="65"/>
      <c r="J484" s="53" t="s">
        <v>84</v>
      </c>
      <c r="K484" s="53"/>
      <c r="L484" s="68">
        <v>1</v>
      </c>
      <c r="M484" s="68">
        <v>1</v>
      </c>
      <c r="N484" s="53" t="s">
        <v>33</v>
      </c>
      <c r="O484" s="53"/>
      <c r="P484" s="71">
        <v>0</v>
      </c>
      <c r="Q484" s="68"/>
      <c r="R484" s="71">
        <v>0</v>
      </c>
      <c r="S484" s="53">
        <v>46054</v>
      </c>
      <c r="T484" s="71">
        <v>0</v>
      </c>
      <c r="U484" s="68">
        <v>2</v>
      </c>
      <c r="V484" s="71">
        <v>0</v>
      </c>
      <c r="W484" s="53" t="s">
        <v>34</v>
      </c>
      <c r="X484" s="53" t="s">
        <v>42</v>
      </c>
      <c r="Y484" s="53" t="s">
        <v>36</v>
      </c>
      <c r="Z484" s="53" t="s">
        <v>43</v>
      </c>
      <c r="AA484" s="53" t="s">
        <v>37</v>
      </c>
      <c r="AB484" s="53" t="s">
        <v>37</v>
      </c>
      <c r="AC484" s="53" t="s">
        <v>38</v>
      </c>
      <c r="AD484" s="79" t="s">
        <v>257</v>
      </c>
      <c r="AE484" s="80"/>
      <c r="AF484" s="80"/>
      <c r="AG484" s="80"/>
      <c r="AH484" s="80"/>
      <c r="AI484" s="80"/>
      <c r="AJ484" s="80"/>
      <c r="AK484" s="80"/>
      <c r="AL484" s="80"/>
      <c r="AM484" s="80"/>
      <c r="AN484" s="80"/>
      <c r="AO484" s="80"/>
      <c r="AP484" s="80"/>
      <c r="AQ484" s="80"/>
      <c r="AR484" s="80"/>
      <c r="AS484" s="80"/>
      <c r="AT484" s="80"/>
      <c r="AU484" s="80"/>
      <c r="AV484" s="80"/>
      <c r="AW484" s="80"/>
    </row>
    <row r="485" spans="1:49" ht="31.5" x14ac:dyDescent="0.25">
      <c r="A485" s="53" t="s">
        <v>93</v>
      </c>
      <c r="B485" s="56">
        <v>46069</v>
      </c>
      <c r="C485" s="56">
        <v>46069</v>
      </c>
      <c r="D485" s="58" t="s">
        <v>30</v>
      </c>
      <c r="E485" s="60">
        <v>0.5</v>
      </c>
      <c r="F485" s="60">
        <v>0.54166666666666663</v>
      </c>
      <c r="G485" s="60">
        <v>4.1666666666666664E-2</v>
      </c>
      <c r="H485" s="53" t="s">
        <v>94</v>
      </c>
      <c r="I485" s="65"/>
      <c r="J485" s="53" t="s">
        <v>84</v>
      </c>
      <c r="K485" s="53"/>
      <c r="L485" s="68">
        <v>1</v>
      </c>
      <c r="M485" s="68">
        <v>1</v>
      </c>
      <c r="N485" s="53" t="s">
        <v>33</v>
      </c>
      <c r="O485" s="53"/>
      <c r="P485" s="71">
        <v>0</v>
      </c>
      <c r="Q485" s="68"/>
      <c r="R485" s="71">
        <v>0</v>
      </c>
      <c r="S485" s="53">
        <v>46054</v>
      </c>
      <c r="T485" s="71">
        <v>0</v>
      </c>
      <c r="U485" s="68">
        <v>2</v>
      </c>
      <c r="V485" s="71">
        <v>0</v>
      </c>
      <c r="W485" s="53" t="s">
        <v>34</v>
      </c>
      <c r="X485" s="53" t="s">
        <v>42</v>
      </c>
      <c r="Y485" s="53" t="s">
        <v>36</v>
      </c>
      <c r="Z485" s="53" t="s">
        <v>43</v>
      </c>
      <c r="AA485" s="53" t="s">
        <v>37</v>
      </c>
      <c r="AB485" s="53" t="s">
        <v>37</v>
      </c>
      <c r="AC485" s="53" t="s">
        <v>38</v>
      </c>
      <c r="AD485" s="79" t="s">
        <v>257</v>
      </c>
      <c r="AE485" s="80"/>
      <c r="AF485" s="80"/>
      <c r="AG485" s="80"/>
      <c r="AH485" s="80"/>
      <c r="AI485" s="80"/>
      <c r="AJ485" s="80"/>
      <c r="AK485" s="80"/>
      <c r="AL485" s="80"/>
      <c r="AM485" s="80"/>
      <c r="AN485" s="80"/>
      <c r="AO485" s="80"/>
      <c r="AP485" s="80"/>
      <c r="AQ485" s="80"/>
      <c r="AR485" s="80"/>
      <c r="AS485" s="80"/>
      <c r="AT485" s="80"/>
      <c r="AU485" s="80"/>
      <c r="AV485" s="80"/>
      <c r="AW485" s="80"/>
    </row>
    <row r="486" spans="1:49" ht="31.5" x14ac:dyDescent="0.2">
      <c r="A486" s="53" t="s">
        <v>93</v>
      </c>
      <c r="B486" s="56">
        <v>46070</v>
      </c>
      <c r="C486" s="56">
        <v>46070</v>
      </c>
      <c r="D486" s="58" t="s">
        <v>145</v>
      </c>
      <c r="E486" s="60">
        <v>0.5</v>
      </c>
      <c r="F486" s="60">
        <v>0.54166666666666663</v>
      </c>
      <c r="G486" s="60">
        <v>4.1666666666666664E-2</v>
      </c>
      <c r="H486" s="53" t="s">
        <v>94</v>
      </c>
      <c r="I486" s="65"/>
      <c r="J486" s="53" t="s">
        <v>84</v>
      </c>
      <c r="K486" s="53"/>
      <c r="L486" s="68">
        <v>1</v>
      </c>
      <c r="M486" s="68">
        <v>1</v>
      </c>
      <c r="N486" s="53" t="s">
        <v>33</v>
      </c>
      <c r="O486" s="53"/>
      <c r="P486" s="71">
        <v>0</v>
      </c>
      <c r="Q486" s="68"/>
      <c r="R486" s="71">
        <v>0</v>
      </c>
      <c r="S486" s="53">
        <v>46054</v>
      </c>
      <c r="T486" s="71">
        <v>0</v>
      </c>
      <c r="U486" s="68">
        <v>2</v>
      </c>
      <c r="V486" s="71">
        <v>0</v>
      </c>
      <c r="W486" s="53" t="s">
        <v>34</v>
      </c>
      <c r="X486" s="53" t="s">
        <v>42</v>
      </c>
      <c r="Y486" s="53" t="s">
        <v>36</v>
      </c>
      <c r="Z486" s="53" t="s">
        <v>43</v>
      </c>
      <c r="AA486" s="53" t="s">
        <v>37</v>
      </c>
      <c r="AB486" s="53" t="s">
        <v>37</v>
      </c>
      <c r="AC486" s="53" t="s">
        <v>38</v>
      </c>
      <c r="AD486" s="79" t="s">
        <v>257</v>
      </c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</row>
    <row r="487" spans="1:49" ht="31.5" x14ac:dyDescent="0.25">
      <c r="A487" s="53" t="s">
        <v>93</v>
      </c>
      <c r="B487" s="56">
        <v>46071</v>
      </c>
      <c r="C487" s="56">
        <v>46071</v>
      </c>
      <c r="D487" s="58" t="s">
        <v>177</v>
      </c>
      <c r="E487" s="60">
        <v>0.5</v>
      </c>
      <c r="F487" s="60">
        <v>0.54166666666666663</v>
      </c>
      <c r="G487" s="60">
        <v>4.1666666666666664E-2</v>
      </c>
      <c r="H487" s="53" t="s">
        <v>94</v>
      </c>
      <c r="I487" s="65"/>
      <c r="J487" s="53" t="s">
        <v>84</v>
      </c>
      <c r="K487" s="53"/>
      <c r="L487" s="68">
        <v>1</v>
      </c>
      <c r="M487" s="68">
        <v>1</v>
      </c>
      <c r="N487" s="53" t="s">
        <v>33</v>
      </c>
      <c r="O487" s="53"/>
      <c r="P487" s="71">
        <v>0</v>
      </c>
      <c r="Q487" s="68"/>
      <c r="R487" s="71">
        <v>0</v>
      </c>
      <c r="S487" s="53">
        <v>46054</v>
      </c>
      <c r="T487" s="71">
        <v>0</v>
      </c>
      <c r="U487" s="68">
        <v>2</v>
      </c>
      <c r="V487" s="71">
        <v>0</v>
      </c>
      <c r="W487" s="53" t="s">
        <v>34</v>
      </c>
      <c r="X487" s="53" t="s">
        <v>42</v>
      </c>
      <c r="Y487" s="53" t="s">
        <v>36</v>
      </c>
      <c r="Z487" s="53" t="s">
        <v>43</v>
      </c>
      <c r="AA487" s="53" t="s">
        <v>37</v>
      </c>
      <c r="AB487" s="53" t="s">
        <v>37</v>
      </c>
      <c r="AC487" s="53" t="s">
        <v>38</v>
      </c>
      <c r="AD487" s="79" t="s">
        <v>257</v>
      </c>
      <c r="AE487" s="80"/>
      <c r="AF487" s="80"/>
      <c r="AG487" s="80"/>
      <c r="AH487" s="80"/>
      <c r="AI487" s="80"/>
      <c r="AJ487" s="80"/>
      <c r="AK487" s="80"/>
      <c r="AL487" s="80"/>
      <c r="AM487" s="80"/>
      <c r="AN487" s="80"/>
      <c r="AO487" s="80"/>
      <c r="AP487" s="80"/>
      <c r="AQ487" s="80"/>
      <c r="AR487" s="80"/>
      <c r="AS487" s="80"/>
      <c r="AT487" s="80"/>
      <c r="AU487" s="80"/>
      <c r="AV487" s="80"/>
      <c r="AW487" s="80"/>
    </row>
    <row r="488" spans="1:49" ht="31.5" x14ac:dyDescent="0.25">
      <c r="A488" s="53" t="s">
        <v>93</v>
      </c>
      <c r="B488" s="56">
        <v>46072</v>
      </c>
      <c r="C488" s="56">
        <v>46072</v>
      </c>
      <c r="D488" s="58" t="s">
        <v>183</v>
      </c>
      <c r="E488" s="60">
        <v>0.5</v>
      </c>
      <c r="F488" s="60">
        <v>0.54166666666666663</v>
      </c>
      <c r="G488" s="60">
        <v>4.1666666666666664E-2</v>
      </c>
      <c r="H488" s="53" t="s">
        <v>94</v>
      </c>
      <c r="I488" s="65"/>
      <c r="J488" s="53" t="s">
        <v>84</v>
      </c>
      <c r="K488" s="53"/>
      <c r="L488" s="68">
        <v>1</v>
      </c>
      <c r="M488" s="68">
        <v>1</v>
      </c>
      <c r="N488" s="53" t="s">
        <v>33</v>
      </c>
      <c r="O488" s="53"/>
      <c r="P488" s="71">
        <v>0</v>
      </c>
      <c r="Q488" s="68"/>
      <c r="R488" s="71">
        <v>0</v>
      </c>
      <c r="S488" s="53">
        <v>46054</v>
      </c>
      <c r="T488" s="71">
        <v>0</v>
      </c>
      <c r="U488" s="68">
        <v>2</v>
      </c>
      <c r="V488" s="71">
        <v>0</v>
      </c>
      <c r="W488" s="53" t="s">
        <v>34</v>
      </c>
      <c r="X488" s="53" t="s">
        <v>42</v>
      </c>
      <c r="Y488" s="53" t="s">
        <v>36</v>
      </c>
      <c r="Z488" s="53" t="s">
        <v>43</v>
      </c>
      <c r="AA488" s="53" t="s">
        <v>37</v>
      </c>
      <c r="AB488" s="53" t="s">
        <v>37</v>
      </c>
      <c r="AC488" s="53" t="s">
        <v>38</v>
      </c>
      <c r="AD488" s="79" t="s">
        <v>257</v>
      </c>
      <c r="AE488" s="80"/>
      <c r="AF488" s="80"/>
      <c r="AG488" s="80"/>
      <c r="AH488" s="80"/>
      <c r="AI488" s="80"/>
      <c r="AJ488" s="80"/>
      <c r="AK488" s="80"/>
      <c r="AL488" s="80"/>
      <c r="AM488" s="80"/>
      <c r="AN488" s="80"/>
      <c r="AO488" s="80"/>
      <c r="AP488" s="80"/>
      <c r="AQ488" s="80"/>
      <c r="AR488" s="80"/>
      <c r="AS488" s="80"/>
      <c r="AT488" s="80"/>
      <c r="AU488" s="80"/>
      <c r="AV488" s="80"/>
      <c r="AW488" s="80"/>
    </row>
    <row r="489" spans="1:49" ht="31.5" x14ac:dyDescent="0.2">
      <c r="A489" s="53" t="s">
        <v>93</v>
      </c>
      <c r="B489" s="56">
        <v>46073</v>
      </c>
      <c r="C489" s="56">
        <v>46073</v>
      </c>
      <c r="D489" s="58" t="s">
        <v>196</v>
      </c>
      <c r="E489" s="60">
        <v>0.5</v>
      </c>
      <c r="F489" s="60">
        <v>0.54166666666666663</v>
      </c>
      <c r="G489" s="60">
        <v>4.1666666666666664E-2</v>
      </c>
      <c r="H489" s="53" t="s">
        <v>94</v>
      </c>
      <c r="I489" s="65"/>
      <c r="J489" s="53" t="s">
        <v>84</v>
      </c>
      <c r="K489" s="53"/>
      <c r="L489" s="68">
        <v>1</v>
      </c>
      <c r="M489" s="68">
        <v>1</v>
      </c>
      <c r="N489" s="53" t="s">
        <v>33</v>
      </c>
      <c r="O489" s="53"/>
      <c r="P489" s="71">
        <v>0</v>
      </c>
      <c r="Q489" s="68"/>
      <c r="R489" s="71">
        <v>0</v>
      </c>
      <c r="S489" s="53">
        <v>46054</v>
      </c>
      <c r="T489" s="71">
        <v>0</v>
      </c>
      <c r="U489" s="68">
        <v>2</v>
      </c>
      <c r="V489" s="71">
        <v>0</v>
      </c>
      <c r="W489" s="53" t="s">
        <v>34</v>
      </c>
      <c r="X489" s="53" t="s">
        <v>42</v>
      </c>
      <c r="Y489" s="53" t="s">
        <v>36</v>
      </c>
      <c r="Z489" s="53" t="s">
        <v>43</v>
      </c>
      <c r="AA489" s="53" t="s">
        <v>37</v>
      </c>
      <c r="AB489" s="53" t="s">
        <v>37</v>
      </c>
      <c r="AC489" s="53" t="s">
        <v>38</v>
      </c>
      <c r="AD489" s="79" t="s">
        <v>257</v>
      </c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</row>
    <row r="490" spans="1:49" ht="31.5" x14ac:dyDescent="0.25">
      <c r="A490" s="53" t="s">
        <v>93</v>
      </c>
      <c r="B490" s="56">
        <v>46074</v>
      </c>
      <c r="C490" s="56">
        <v>46074</v>
      </c>
      <c r="D490" s="58" t="s">
        <v>214</v>
      </c>
      <c r="E490" s="60">
        <v>0.41666666666666669</v>
      </c>
      <c r="F490" s="60">
        <v>0.45833333333333331</v>
      </c>
      <c r="G490" s="60">
        <v>4.1666666666666664E-2</v>
      </c>
      <c r="H490" s="53" t="s">
        <v>217</v>
      </c>
      <c r="I490" s="65"/>
      <c r="J490" s="53" t="s">
        <v>32</v>
      </c>
      <c r="K490" s="53"/>
      <c r="L490" s="68">
        <v>1</v>
      </c>
      <c r="M490" s="68">
        <v>1</v>
      </c>
      <c r="N490" s="53" t="s">
        <v>33</v>
      </c>
      <c r="O490" s="53"/>
      <c r="P490" s="71">
        <v>0</v>
      </c>
      <c r="Q490" s="68"/>
      <c r="R490" s="71">
        <v>0</v>
      </c>
      <c r="S490" s="53">
        <v>46054</v>
      </c>
      <c r="T490" s="71">
        <v>0</v>
      </c>
      <c r="U490" s="68">
        <v>1</v>
      </c>
      <c r="V490" s="71">
        <v>0</v>
      </c>
      <c r="W490" s="53" t="s">
        <v>34</v>
      </c>
      <c r="X490" s="53" t="s">
        <v>42</v>
      </c>
      <c r="Y490" s="53" t="s">
        <v>36</v>
      </c>
      <c r="Z490" s="53" t="s">
        <v>43</v>
      </c>
      <c r="AA490" s="53" t="s">
        <v>37</v>
      </c>
      <c r="AB490" s="53" t="s">
        <v>37</v>
      </c>
      <c r="AC490" s="53" t="s">
        <v>38</v>
      </c>
      <c r="AD490" s="79" t="s">
        <v>257</v>
      </c>
      <c r="AE490" s="80"/>
      <c r="AF490" s="80"/>
      <c r="AG490" s="80"/>
      <c r="AH490" s="80"/>
      <c r="AI490" s="86"/>
      <c r="AJ490" s="86"/>
      <c r="AK490" s="86"/>
      <c r="AL490" s="86"/>
      <c r="AM490" s="86"/>
      <c r="AN490" s="86"/>
      <c r="AO490" s="86"/>
      <c r="AP490" s="86"/>
      <c r="AQ490" s="86"/>
      <c r="AR490" s="86"/>
      <c r="AS490" s="86"/>
      <c r="AT490" s="86"/>
      <c r="AU490" s="86"/>
      <c r="AV490" s="86"/>
      <c r="AW490" s="86"/>
    </row>
    <row r="491" spans="1:49" ht="31.5" x14ac:dyDescent="0.25">
      <c r="A491" s="53" t="s">
        <v>93</v>
      </c>
      <c r="B491" s="56">
        <v>46075</v>
      </c>
      <c r="C491" s="56">
        <v>46075</v>
      </c>
      <c r="D491" s="58" t="s">
        <v>243</v>
      </c>
      <c r="E491" s="60">
        <v>0.41666666666666669</v>
      </c>
      <c r="F491" s="60">
        <v>0.45833333333333331</v>
      </c>
      <c r="G491" s="60">
        <v>4.1666666666666664E-2</v>
      </c>
      <c r="H491" s="53" t="s">
        <v>217</v>
      </c>
      <c r="I491" s="65"/>
      <c r="J491" s="53" t="s">
        <v>32</v>
      </c>
      <c r="K491" s="53"/>
      <c r="L491" s="68">
        <v>1</v>
      </c>
      <c r="M491" s="68">
        <v>1</v>
      </c>
      <c r="N491" s="53" t="s">
        <v>33</v>
      </c>
      <c r="O491" s="53"/>
      <c r="P491" s="71">
        <v>0</v>
      </c>
      <c r="Q491" s="68"/>
      <c r="R491" s="71">
        <v>0</v>
      </c>
      <c r="S491" s="53">
        <v>46054</v>
      </c>
      <c r="T491" s="71">
        <v>0</v>
      </c>
      <c r="U491" s="68">
        <v>1</v>
      </c>
      <c r="V491" s="71">
        <v>0</v>
      </c>
      <c r="W491" s="53" t="s">
        <v>34</v>
      </c>
      <c r="X491" s="53" t="s">
        <v>42</v>
      </c>
      <c r="Y491" s="53" t="s">
        <v>36</v>
      </c>
      <c r="Z491" s="53" t="s">
        <v>43</v>
      </c>
      <c r="AA491" s="53" t="s">
        <v>37</v>
      </c>
      <c r="AB491" s="53" t="s">
        <v>37</v>
      </c>
      <c r="AC491" s="53" t="s">
        <v>38</v>
      </c>
      <c r="AD491" s="79" t="s">
        <v>257</v>
      </c>
      <c r="AE491" s="80"/>
      <c r="AF491" s="80"/>
      <c r="AG491" s="80"/>
      <c r="AH491" s="80"/>
      <c r="AI491" s="80"/>
      <c r="AJ491" s="80"/>
      <c r="AK491" s="80"/>
      <c r="AL491" s="80"/>
      <c r="AM491" s="80"/>
      <c r="AN491" s="80"/>
      <c r="AO491" s="80"/>
      <c r="AP491" s="80"/>
      <c r="AQ491" s="80"/>
      <c r="AR491" s="80"/>
      <c r="AS491" s="80"/>
      <c r="AT491" s="80"/>
      <c r="AU491" s="80"/>
      <c r="AV491" s="80"/>
      <c r="AW491" s="80"/>
    </row>
    <row r="801" spans="1:49" s="28" customFormat="1" ht="15" x14ac:dyDescent="0.25">
      <c r="A801" s="51"/>
      <c r="B801" s="51"/>
      <c r="C801" s="51"/>
      <c r="D801" s="51"/>
      <c r="E801" s="51"/>
      <c r="F801" s="51"/>
      <c r="G801" s="51"/>
      <c r="H801" s="51"/>
      <c r="I801" s="51"/>
      <c r="J801" s="51"/>
      <c r="K801" s="51"/>
      <c r="L801" s="51"/>
      <c r="M801" s="51"/>
      <c r="N801" s="51"/>
      <c r="O801" s="51"/>
      <c r="P801" s="51"/>
      <c r="Q801" s="51"/>
      <c r="R801" s="51"/>
      <c r="S801" s="51"/>
      <c r="T801" s="51"/>
      <c r="U801" s="51"/>
      <c r="V801" s="51"/>
      <c r="W801" s="51"/>
      <c r="X801" s="51"/>
      <c r="Y801" s="51"/>
      <c r="Z801" s="51"/>
      <c r="AA801" s="51"/>
      <c r="AB801" s="51"/>
      <c r="AC801" s="51"/>
      <c r="AD801" s="51"/>
      <c r="AE801" s="51"/>
      <c r="AF801" s="51"/>
      <c r="AG801" s="51"/>
      <c r="AH801" s="51"/>
      <c r="AI801" s="51"/>
      <c r="AJ801" s="51"/>
      <c r="AK801" s="51"/>
      <c r="AL801" s="51"/>
      <c r="AM801" s="51"/>
      <c r="AN801" s="51"/>
      <c r="AO801" s="51"/>
      <c r="AP801" s="51"/>
      <c r="AQ801" s="51"/>
      <c r="AR801" s="51"/>
      <c r="AS801" s="51"/>
      <c r="AT801" s="51"/>
      <c r="AU801" s="51"/>
      <c r="AV801" s="51"/>
      <c r="AW801" s="51"/>
    </row>
    <row r="802" spans="1:49" s="28" customFormat="1" ht="15" x14ac:dyDescent="0.25">
      <c r="A802" s="51"/>
      <c r="B802" s="51"/>
      <c r="C802" s="51"/>
      <c r="D802" s="51"/>
      <c r="E802" s="51"/>
      <c r="F802" s="51"/>
      <c r="G802" s="51"/>
      <c r="H802" s="51"/>
      <c r="I802" s="51"/>
      <c r="J802" s="51"/>
      <c r="K802" s="51"/>
      <c r="L802" s="51"/>
      <c r="M802" s="51"/>
      <c r="N802" s="51"/>
      <c r="O802" s="51"/>
      <c r="P802" s="51"/>
      <c r="Q802" s="51"/>
      <c r="R802" s="51"/>
      <c r="S802" s="51"/>
      <c r="T802" s="51"/>
      <c r="U802" s="51"/>
      <c r="V802" s="51"/>
      <c r="W802" s="51"/>
      <c r="X802" s="51"/>
      <c r="Y802" s="51"/>
      <c r="Z802" s="51"/>
      <c r="AA802" s="51"/>
      <c r="AB802" s="51"/>
      <c r="AC802" s="51"/>
      <c r="AD802" s="51"/>
      <c r="AE802" s="51"/>
      <c r="AF802" s="51"/>
      <c r="AG802" s="51"/>
      <c r="AH802" s="51"/>
      <c r="AI802" s="51"/>
      <c r="AJ802" s="51"/>
      <c r="AK802" s="51"/>
      <c r="AL802" s="51"/>
      <c r="AM802" s="51"/>
      <c r="AN802" s="51"/>
      <c r="AO802" s="51"/>
      <c r="AP802" s="51"/>
      <c r="AQ802" s="51"/>
      <c r="AR802" s="51"/>
      <c r="AS802" s="51"/>
      <c r="AT802" s="51"/>
      <c r="AU802" s="51"/>
      <c r="AV802" s="51"/>
      <c r="AW802" s="51"/>
    </row>
    <row r="803" spans="1:49" s="30" customFormat="1" ht="15" x14ac:dyDescent="0.25">
      <c r="A803" s="51"/>
      <c r="B803" s="51"/>
      <c r="C803" s="51"/>
      <c r="D803" s="51"/>
      <c r="E803" s="51"/>
      <c r="F803" s="51"/>
      <c r="G803" s="51"/>
      <c r="H803" s="51"/>
      <c r="I803" s="51"/>
      <c r="J803" s="51"/>
      <c r="K803" s="51"/>
      <c r="L803" s="51"/>
      <c r="M803" s="51"/>
      <c r="N803" s="51"/>
      <c r="O803" s="51"/>
      <c r="P803" s="51"/>
      <c r="Q803" s="51"/>
      <c r="R803" s="51"/>
      <c r="S803" s="51"/>
      <c r="T803" s="51"/>
      <c r="U803" s="51"/>
      <c r="V803" s="51"/>
      <c r="W803" s="51"/>
      <c r="X803" s="51"/>
      <c r="Y803" s="51"/>
      <c r="Z803" s="51"/>
      <c r="AA803" s="51"/>
      <c r="AB803" s="51"/>
      <c r="AC803" s="51"/>
      <c r="AD803" s="51"/>
      <c r="AE803" s="51"/>
      <c r="AF803" s="51"/>
      <c r="AG803" s="51"/>
      <c r="AH803" s="51"/>
      <c r="AI803" s="51"/>
      <c r="AJ803" s="51"/>
      <c r="AK803" s="51"/>
      <c r="AL803" s="51"/>
      <c r="AM803" s="51"/>
      <c r="AN803" s="51"/>
      <c r="AO803" s="51"/>
      <c r="AP803" s="51"/>
      <c r="AQ803" s="51"/>
      <c r="AR803" s="51"/>
      <c r="AS803" s="51"/>
      <c r="AT803" s="51"/>
      <c r="AU803" s="51"/>
      <c r="AV803" s="51"/>
      <c r="AW803" s="51"/>
    </row>
    <row r="804" spans="1:49" s="30" customFormat="1" ht="15" x14ac:dyDescent="0.25">
      <c r="A804" s="51"/>
      <c r="B804" s="51"/>
      <c r="C804" s="51"/>
      <c r="D804" s="51"/>
      <c r="E804" s="51"/>
      <c r="F804" s="51"/>
      <c r="G804" s="51"/>
      <c r="H804" s="51"/>
      <c r="I804" s="51"/>
      <c r="J804" s="51"/>
      <c r="K804" s="51"/>
      <c r="L804" s="51"/>
      <c r="M804" s="51"/>
      <c r="N804" s="51"/>
      <c r="O804" s="51"/>
      <c r="P804" s="51"/>
      <c r="Q804" s="51"/>
      <c r="R804" s="51"/>
      <c r="S804" s="51"/>
      <c r="T804" s="51"/>
      <c r="U804" s="51"/>
      <c r="V804" s="51"/>
      <c r="W804" s="51"/>
      <c r="X804" s="51"/>
      <c r="Y804" s="51"/>
      <c r="Z804" s="51"/>
      <c r="AA804" s="51"/>
      <c r="AB804" s="51"/>
      <c r="AC804" s="51"/>
      <c r="AD804" s="51"/>
      <c r="AE804" s="51"/>
      <c r="AF804" s="51"/>
      <c r="AG804" s="51"/>
      <c r="AH804" s="51"/>
      <c r="AI804" s="51"/>
      <c r="AJ804" s="51"/>
      <c r="AK804" s="51"/>
      <c r="AL804" s="51"/>
      <c r="AM804" s="51"/>
      <c r="AN804" s="51"/>
      <c r="AO804" s="51"/>
      <c r="AP804" s="51"/>
      <c r="AQ804" s="51"/>
      <c r="AR804" s="51"/>
      <c r="AS804" s="51"/>
      <c r="AT804" s="51"/>
      <c r="AU804" s="51"/>
      <c r="AV804" s="51"/>
      <c r="AW804" s="51"/>
    </row>
    <row r="805" spans="1:49" s="33" customFormat="1" ht="15.75" x14ac:dyDescent="0.2">
      <c r="A805" s="51"/>
      <c r="B805" s="51"/>
      <c r="C805" s="51"/>
      <c r="D805" s="51"/>
      <c r="E805" s="51"/>
      <c r="F805" s="51"/>
      <c r="G805" s="51"/>
      <c r="H805" s="51"/>
      <c r="I805" s="51"/>
      <c r="J805" s="51"/>
      <c r="K805" s="51"/>
      <c r="L805" s="51"/>
      <c r="M805" s="51"/>
      <c r="N805" s="51"/>
      <c r="O805" s="51"/>
      <c r="P805" s="51"/>
      <c r="Q805" s="51"/>
      <c r="R805" s="51"/>
      <c r="S805" s="51"/>
      <c r="T805" s="51"/>
      <c r="U805" s="51"/>
      <c r="V805" s="51"/>
      <c r="W805" s="51"/>
      <c r="X805" s="51"/>
      <c r="Y805" s="51"/>
      <c r="Z805" s="51"/>
      <c r="AA805" s="51"/>
      <c r="AB805" s="51"/>
      <c r="AC805" s="51"/>
      <c r="AD805" s="51"/>
      <c r="AE805" s="51"/>
      <c r="AF805" s="51"/>
      <c r="AG805" s="51"/>
      <c r="AH805" s="51"/>
      <c r="AI805" s="51"/>
      <c r="AJ805" s="51"/>
      <c r="AK805" s="51"/>
      <c r="AL805" s="51"/>
      <c r="AM805" s="51"/>
      <c r="AN805" s="51"/>
      <c r="AO805" s="51"/>
      <c r="AP805" s="51"/>
      <c r="AQ805" s="51"/>
      <c r="AR805" s="51"/>
      <c r="AS805" s="51"/>
      <c r="AT805" s="51"/>
      <c r="AU805" s="51"/>
      <c r="AV805" s="51"/>
      <c r="AW805" s="51"/>
    </row>
    <row r="806" spans="1:49" s="28" customFormat="1" ht="15" x14ac:dyDescent="0.25">
      <c r="A806" s="51"/>
      <c r="B806" s="51"/>
      <c r="C806" s="51"/>
      <c r="D806" s="51"/>
      <c r="E806" s="51"/>
      <c r="F806" s="51"/>
      <c r="G806" s="51"/>
      <c r="H806" s="51"/>
      <c r="I806" s="51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</row>
    <row r="807" spans="1:49" s="28" customFormat="1" ht="15" x14ac:dyDescent="0.25">
      <c r="A807" s="51"/>
      <c r="B807" s="51"/>
      <c r="C807" s="51"/>
      <c r="D807" s="51"/>
      <c r="E807" s="51"/>
      <c r="F807" s="51"/>
      <c r="G807" s="51"/>
      <c r="H807" s="51"/>
      <c r="I807" s="51"/>
      <c r="J807" s="51"/>
      <c r="K807" s="51"/>
      <c r="L807" s="51"/>
      <c r="M807" s="51"/>
      <c r="N807" s="51"/>
      <c r="O807" s="51"/>
      <c r="P807" s="51"/>
      <c r="Q807" s="51"/>
      <c r="R807" s="51"/>
      <c r="S807" s="51"/>
      <c r="T807" s="51"/>
      <c r="U807" s="51"/>
      <c r="V807" s="51"/>
      <c r="W807" s="51"/>
      <c r="X807" s="51"/>
      <c r="Y807" s="51"/>
      <c r="Z807" s="51"/>
      <c r="AA807" s="51"/>
      <c r="AB807" s="51"/>
      <c r="AC807" s="51"/>
      <c r="AD807" s="51"/>
      <c r="AE807" s="51"/>
      <c r="AF807" s="51"/>
      <c r="AG807" s="51"/>
      <c r="AH807" s="51"/>
      <c r="AI807" s="51"/>
      <c r="AJ807" s="51"/>
      <c r="AK807" s="51"/>
      <c r="AL807" s="51"/>
      <c r="AM807" s="51"/>
      <c r="AN807" s="51"/>
      <c r="AO807" s="51"/>
      <c r="AP807" s="51"/>
      <c r="AQ807" s="51"/>
      <c r="AR807" s="51"/>
      <c r="AS807" s="51"/>
      <c r="AT807" s="51"/>
      <c r="AU807" s="51"/>
      <c r="AV807" s="51"/>
      <c r="AW807" s="51"/>
    </row>
    <row r="808" spans="1:49" s="33" customFormat="1" ht="15.75" x14ac:dyDescent="0.2">
      <c r="A808" s="51"/>
      <c r="B808" s="51"/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  <c r="T808" s="51"/>
      <c r="U808" s="51"/>
      <c r="V808" s="51"/>
      <c r="W808" s="51"/>
      <c r="X808" s="51"/>
      <c r="Y808" s="51"/>
      <c r="Z808" s="51"/>
      <c r="AA808" s="51"/>
      <c r="AB808" s="51"/>
      <c r="AC808" s="51"/>
      <c r="AD808" s="51"/>
      <c r="AE808" s="51"/>
      <c r="AF808" s="51"/>
      <c r="AG808" s="51"/>
      <c r="AH808" s="51"/>
      <c r="AI808" s="51"/>
      <c r="AJ808" s="51"/>
      <c r="AK808" s="51"/>
      <c r="AL808" s="51"/>
      <c r="AM808" s="51"/>
      <c r="AN808" s="51"/>
      <c r="AO808" s="51"/>
      <c r="AP808" s="51"/>
      <c r="AQ808" s="51"/>
      <c r="AR808" s="51"/>
      <c r="AS808" s="51"/>
      <c r="AT808" s="51"/>
      <c r="AU808" s="51"/>
      <c r="AV808" s="51"/>
      <c r="AW808" s="51"/>
    </row>
    <row r="809" spans="1:49" s="28" customFormat="1" ht="15" x14ac:dyDescent="0.25">
      <c r="A809" s="51"/>
      <c r="B809" s="51"/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</row>
    <row r="810" spans="1:49" s="33" customFormat="1" ht="15.75" x14ac:dyDescent="0.2">
      <c r="A810" s="51"/>
      <c r="B810" s="51"/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  <c r="T810" s="51"/>
      <c r="U810" s="51"/>
      <c r="V810" s="51"/>
      <c r="W810" s="51"/>
      <c r="X810" s="51"/>
      <c r="Y810" s="51"/>
      <c r="Z810" s="51"/>
      <c r="AA810" s="51"/>
      <c r="AB810" s="51"/>
      <c r="AC810" s="51"/>
      <c r="AD810" s="51"/>
      <c r="AE810" s="51"/>
      <c r="AF810" s="51"/>
      <c r="AG810" s="51"/>
      <c r="AH810" s="51"/>
      <c r="AI810" s="51"/>
      <c r="AJ810" s="51"/>
      <c r="AK810" s="51"/>
      <c r="AL810" s="51"/>
      <c r="AM810" s="51"/>
      <c r="AN810" s="51"/>
      <c r="AO810" s="51"/>
      <c r="AP810" s="51"/>
      <c r="AQ810" s="51"/>
      <c r="AR810" s="51"/>
      <c r="AS810" s="51"/>
      <c r="AT810" s="51"/>
      <c r="AU810" s="51"/>
      <c r="AV810" s="51"/>
      <c r="AW810" s="51"/>
    </row>
    <row r="811" spans="1:49" s="28" customFormat="1" ht="15" x14ac:dyDescent="0.25">
      <c r="A811" s="51"/>
      <c r="B811" s="51"/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  <c r="T811" s="51"/>
      <c r="U811" s="51"/>
      <c r="V811" s="51"/>
      <c r="W811" s="51"/>
      <c r="X811" s="51"/>
      <c r="Y811" s="51"/>
      <c r="Z811" s="51"/>
      <c r="AA811" s="51"/>
      <c r="AB811" s="51"/>
      <c r="AC811" s="51"/>
      <c r="AD811" s="51"/>
      <c r="AE811" s="51"/>
      <c r="AF811" s="51"/>
      <c r="AG811" s="51"/>
      <c r="AH811" s="51"/>
      <c r="AI811" s="51"/>
      <c r="AJ811" s="51"/>
      <c r="AK811" s="51"/>
      <c r="AL811" s="51"/>
      <c r="AM811" s="51"/>
      <c r="AN811" s="51"/>
      <c r="AO811" s="51"/>
      <c r="AP811" s="51"/>
      <c r="AQ811" s="51"/>
      <c r="AR811" s="51"/>
      <c r="AS811" s="51"/>
      <c r="AT811" s="51"/>
      <c r="AU811" s="51"/>
      <c r="AV811" s="51"/>
      <c r="AW811" s="51"/>
    </row>
    <row r="812" spans="1:49" s="28" customFormat="1" ht="15" x14ac:dyDescent="0.25">
      <c r="A812" s="51"/>
      <c r="B812" s="51"/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  <c r="T812" s="51"/>
      <c r="U812" s="51"/>
      <c r="V812" s="51"/>
      <c r="W812" s="51"/>
      <c r="X812" s="51"/>
      <c r="Y812" s="51"/>
      <c r="Z812" s="51"/>
      <c r="AA812" s="51"/>
      <c r="AB812" s="51"/>
      <c r="AC812" s="51"/>
      <c r="AD812" s="51"/>
      <c r="AE812" s="51"/>
      <c r="AF812" s="51"/>
      <c r="AG812" s="51"/>
      <c r="AH812" s="51"/>
      <c r="AI812" s="51"/>
      <c r="AJ812" s="51"/>
      <c r="AK812" s="51"/>
      <c r="AL812" s="51"/>
      <c r="AM812" s="51"/>
      <c r="AN812" s="51"/>
      <c r="AO812" s="51"/>
      <c r="AP812" s="51"/>
      <c r="AQ812" s="51"/>
      <c r="AR812" s="51"/>
      <c r="AS812" s="51"/>
      <c r="AT812" s="51"/>
      <c r="AU812" s="51"/>
      <c r="AV812" s="51"/>
      <c r="AW812" s="51"/>
    </row>
    <row r="813" spans="1:49" s="33" customFormat="1" ht="15.75" x14ac:dyDescent="0.2">
      <c r="A813" s="51"/>
      <c r="B813" s="51"/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  <c r="T813" s="51"/>
      <c r="U813" s="51"/>
      <c r="V813" s="51"/>
      <c r="W813" s="51"/>
      <c r="X813" s="51"/>
      <c r="Y813" s="51"/>
      <c r="Z813" s="51"/>
      <c r="AA813" s="51"/>
      <c r="AB813" s="51"/>
      <c r="AC813" s="51"/>
      <c r="AD813" s="51"/>
      <c r="AE813" s="51"/>
      <c r="AF813" s="51"/>
      <c r="AG813" s="51"/>
      <c r="AH813" s="51"/>
      <c r="AI813" s="51"/>
      <c r="AJ813" s="51"/>
      <c r="AK813" s="51"/>
      <c r="AL813" s="51"/>
      <c r="AM813" s="51"/>
      <c r="AN813" s="51"/>
      <c r="AO813" s="51"/>
      <c r="AP813" s="51"/>
      <c r="AQ813" s="51"/>
      <c r="AR813" s="51"/>
      <c r="AS813" s="51"/>
      <c r="AT813" s="51"/>
      <c r="AU813" s="51"/>
      <c r="AV813" s="51"/>
      <c r="AW813" s="51"/>
    </row>
    <row r="814" spans="1:49" s="29" customFormat="1" ht="15" x14ac:dyDescent="0.25">
      <c r="A814" s="51"/>
      <c r="B814" s="51"/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  <c r="T814" s="51"/>
      <c r="U814" s="51"/>
      <c r="V814" s="51"/>
      <c r="W814" s="51"/>
      <c r="X814" s="51"/>
      <c r="Y814" s="51"/>
      <c r="Z814" s="51"/>
      <c r="AA814" s="51"/>
      <c r="AB814" s="51"/>
      <c r="AC814" s="51"/>
      <c r="AD814" s="51"/>
      <c r="AE814" s="51"/>
      <c r="AF814" s="51"/>
      <c r="AG814" s="51"/>
      <c r="AH814" s="51"/>
      <c r="AI814" s="51"/>
      <c r="AJ814" s="51"/>
      <c r="AK814" s="51"/>
      <c r="AL814" s="51"/>
      <c r="AM814" s="51"/>
      <c r="AN814" s="51"/>
      <c r="AO814" s="51"/>
      <c r="AP814" s="51"/>
      <c r="AQ814" s="51"/>
      <c r="AR814" s="51"/>
      <c r="AS814" s="51"/>
      <c r="AT814" s="51"/>
      <c r="AU814" s="51"/>
      <c r="AV814" s="51"/>
      <c r="AW814" s="51"/>
    </row>
    <row r="815" spans="1:49" s="29" customFormat="1" ht="15" x14ac:dyDescent="0.25">
      <c r="A815" s="51"/>
      <c r="B815" s="51"/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  <c r="T815" s="51"/>
      <c r="U815" s="51"/>
      <c r="V815" s="51"/>
      <c r="W815" s="51"/>
      <c r="X815" s="51"/>
      <c r="Y815" s="51"/>
      <c r="Z815" s="51"/>
      <c r="AA815" s="51"/>
      <c r="AB815" s="51"/>
      <c r="AC815" s="51"/>
      <c r="AD815" s="51"/>
      <c r="AE815" s="51"/>
      <c r="AF815" s="51"/>
      <c r="AG815" s="51"/>
      <c r="AH815" s="51"/>
      <c r="AI815" s="51"/>
      <c r="AJ815" s="51"/>
      <c r="AK815" s="51"/>
      <c r="AL815" s="51"/>
      <c r="AM815" s="51"/>
      <c r="AN815" s="51"/>
      <c r="AO815" s="51"/>
      <c r="AP815" s="51"/>
      <c r="AQ815" s="51"/>
      <c r="AR815" s="51"/>
      <c r="AS815" s="51"/>
      <c r="AT815" s="51"/>
      <c r="AU815" s="51"/>
      <c r="AV815" s="51"/>
      <c r="AW815" s="51"/>
    </row>
    <row r="816" spans="1:49" s="33" customFormat="1" ht="15.75" x14ac:dyDescent="0.2">
      <c r="A816" s="51"/>
      <c r="B816" s="51"/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  <c r="T816" s="51"/>
      <c r="U816" s="51"/>
      <c r="V816" s="51"/>
      <c r="W816" s="51"/>
      <c r="X816" s="51"/>
      <c r="Y816" s="51"/>
      <c r="Z816" s="51"/>
      <c r="AA816" s="51"/>
      <c r="AB816" s="51"/>
      <c r="AC816" s="51"/>
      <c r="AD816" s="51"/>
      <c r="AE816" s="51"/>
      <c r="AF816" s="51"/>
      <c r="AG816" s="51"/>
      <c r="AH816" s="51"/>
      <c r="AI816" s="51"/>
      <c r="AJ816" s="51"/>
      <c r="AK816" s="51"/>
      <c r="AL816" s="51"/>
      <c r="AM816" s="51"/>
      <c r="AN816" s="51"/>
      <c r="AO816" s="51"/>
      <c r="AP816" s="51"/>
      <c r="AQ816" s="51"/>
      <c r="AR816" s="51"/>
      <c r="AS816" s="51"/>
      <c r="AT816" s="51"/>
      <c r="AU816" s="51"/>
      <c r="AV816" s="51"/>
      <c r="AW816" s="51"/>
    </row>
    <row r="817" spans="1:49" s="33" customFormat="1" ht="15.75" x14ac:dyDescent="0.2">
      <c r="A817" s="51"/>
      <c r="B817" s="51"/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  <c r="T817" s="51"/>
      <c r="U817" s="51"/>
      <c r="V817" s="51"/>
      <c r="W817" s="51"/>
      <c r="X817" s="51"/>
      <c r="Y817" s="51"/>
      <c r="Z817" s="51"/>
      <c r="AA817" s="51"/>
      <c r="AB817" s="51"/>
      <c r="AC817" s="51"/>
      <c r="AD817" s="51"/>
      <c r="AE817" s="51"/>
      <c r="AF817" s="51"/>
      <c r="AG817" s="51"/>
      <c r="AH817" s="51"/>
      <c r="AI817" s="51"/>
      <c r="AJ817" s="51"/>
      <c r="AK817" s="51"/>
      <c r="AL817" s="51"/>
      <c r="AM817" s="51"/>
      <c r="AN817" s="51"/>
      <c r="AO817" s="51"/>
      <c r="AP817" s="51"/>
      <c r="AQ817" s="51"/>
      <c r="AR817" s="51"/>
      <c r="AS817" s="51"/>
      <c r="AT817" s="51"/>
      <c r="AU817" s="51"/>
      <c r="AV817" s="51"/>
      <c r="AW817" s="51"/>
    </row>
    <row r="818" spans="1:49" s="29" customFormat="1" ht="15" x14ac:dyDescent="0.25">
      <c r="A818" s="51"/>
      <c r="B818" s="51"/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  <c r="T818" s="51"/>
      <c r="U818" s="51"/>
      <c r="V818" s="51"/>
      <c r="W818" s="51"/>
      <c r="X818" s="51"/>
      <c r="Y818" s="51"/>
      <c r="Z818" s="51"/>
      <c r="AA818" s="51"/>
      <c r="AB818" s="51"/>
      <c r="AC818" s="51"/>
      <c r="AD818" s="51"/>
      <c r="AE818" s="51"/>
      <c r="AF818" s="51"/>
      <c r="AG818" s="51"/>
      <c r="AH818" s="51"/>
      <c r="AI818" s="51"/>
      <c r="AJ818" s="51"/>
      <c r="AK818" s="51"/>
      <c r="AL818" s="51"/>
      <c r="AM818" s="51"/>
      <c r="AN818" s="51"/>
      <c r="AO818" s="51"/>
      <c r="AP818" s="51"/>
      <c r="AQ818" s="51"/>
      <c r="AR818" s="51"/>
      <c r="AS818" s="51"/>
      <c r="AT818" s="51"/>
      <c r="AU818" s="51"/>
      <c r="AV818" s="51"/>
      <c r="AW818" s="51"/>
    </row>
    <row r="819" spans="1:49" s="34" customFormat="1" ht="15" x14ac:dyDescent="0.25">
      <c r="A819" s="51"/>
      <c r="B819" s="51"/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51"/>
      <c r="U819" s="51"/>
      <c r="V819" s="51"/>
      <c r="W819" s="51"/>
      <c r="X819" s="51"/>
      <c r="Y819" s="51"/>
      <c r="Z819" s="51"/>
      <c r="AA819" s="51"/>
      <c r="AB819" s="51"/>
      <c r="AC819" s="51"/>
      <c r="AD819" s="51"/>
      <c r="AE819" s="51"/>
      <c r="AF819" s="51"/>
      <c r="AG819" s="51"/>
      <c r="AH819" s="51"/>
      <c r="AI819" s="51"/>
      <c r="AJ819" s="51"/>
      <c r="AK819" s="51"/>
      <c r="AL819" s="51"/>
      <c r="AM819" s="51"/>
      <c r="AN819" s="51"/>
      <c r="AO819" s="51"/>
      <c r="AP819" s="51"/>
      <c r="AQ819" s="51"/>
      <c r="AR819" s="51"/>
      <c r="AS819" s="51"/>
      <c r="AT819" s="51"/>
      <c r="AU819" s="51"/>
      <c r="AV819" s="51"/>
      <c r="AW819" s="51"/>
    </row>
    <row r="820" spans="1:49" s="30" customFormat="1" ht="15" x14ac:dyDescent="0.25">
      <c r="A820" s="51"/>
      <c r="B820" s="51"/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  <c r="T820" s="51"/>
      <c r="U820" s="51"/>
      <c r="V820" s="51"/>
      <c r="W820" s="51"/>
      <c r="X820" s="51"/>
      <c r="Y820" s="51"/>
      <c r="Z820" s="51"/>
      <c r="AA820" s="51"/>
      <c r="AB820" s="51"/>
      <c r="AC820" s="51"/>
      <c r="AD820" s="51"/>
      <c r="AE820" s="51"/>
      <c r="AF820" s="51"/>
      <c r="AG820" s="51"/>
      <c r="AH820" s="51"/>
      <c r="AI820" s="51"/>
      <c r="AJ820" s="51"/>
      <c r="AK820" s="51"/>
      <c r="AL820" s="51"/>
      <c r="AM820" s="51"/>
      <c r="AN820" s="51"/>
      <c r="AO820" s="51"/>
      <c r="AP820" s="51"/>
      <c r="AQ820" s="51"/>
      <c r="AR820" s="51"/>
      <c r="AS820" s="51"/>
      <c r="AT820" s="51"/>
      <c r="AU820" s="51"/>
      <c r="AV820" s="51"/>
      <c r="AW820" s="51"/>
    </row>
    <row r="821" spans="1:49" s="33" customFormat="1" ht="15.75" x14ac:dyDescent="0.2">
      <c r="A821" s="51"/>
      <c r="B821" s="51"/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  <c r="T821" s="51"/>
      <c r="U821" s="51"/>
      <c r="V821" s="51"/>
      <c r="W821" s="51"/>
      <c r="X821" s="51"/>
      <c r="Y821" s="51"/>
      <c r="Z821" s="51"/>
      <c r="AA821" s="51"/>
      <c r="AB821" s="51"/>
      <c r="AC821" s="51"/>
      <c r="AD821" s="51"/>
      <c r="AE821" s="51"/>
      <c r="AF821" s="51"/>
      <c r="AG821" s="51"/>
      <c r="AH821" s="51"/>
      <c r="AI821" s="51"/>
      <c r="AJ821" s="51"/>
      <c r="AK821" s="51"/>
      <c r="AL821" s="51"/>
      <c r="AM821" s="51"/>
      <c r="AN821" s="51"/>
      <c r="AO821" s="51"/>
      <c r="AP821" s="51"/>
      <c r="AQ821" s="51"/>
      <c r="AR821" s="51"/>
      <c r="AS821" s="51"/>
      <c r="AT821" s="51"/>
      <c r="AU821" s="51"/>
      <c r="AV821" s="51"/>
      <c r="AW821" s="51"/>
    </row>
    <row r="822" spans="1:49" s="30" customFormat="1" ht="15" x14ac:dyDescent="0.25">
      <c r="A822" s="51"/>
      <c r="B822" s="51"/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</row>
    <row r="823" spans="1:49" s="29" customFormat="1" ht="15" x14ac:dyDescent="0.25">
      <c r="A823" s="51"/>
      <c r="B823" s="51"/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  <c r="T823" s="51"/>
      <c r="U823" s="51"/>
      <c r="V823" s="51"/>
      <c r="W823" s="51"/>
      <c r="X823" s="51"/>
      <c r="Y823" s="51"/>
      <c r="Z823" s="51"/>
      <c r="AA823" s="51"/>
      <c r="AB823" s="51"/>
      <c r="AC823" s="51"/>
      <c r="AD823" s="51"/>
      <c r="AE823" s="51"/>
      <c r="AF823" s="51"/>
      <c r="AG823" s="51"/>
      <c r="AH823" s="51"/>
      <c r="AI823" s="51"/>
      <c r="AJ823" s="51"/>
      <c r="AK823" s="51"/>
      <c r="AL823" s="51"/>
      <c r="AM823" s="51"/>
      <c r="AN823" s="51"/>
      <c r="AO823" s="51"/>
      <c r="AP823" s="51"/>
      <c r="AQ823" s="51"/>
      <c r="AR823" s="51"/>
      <c r="AS823" s="51"/>
      <c r="AT823" s="51"/>
      <c r="AU823" s="51"/>
      <c r="AV823" s="51"/>
      <c r="AW823" s="51"/>
    </row>
    <row r="824" spans="1:49" s="29" customFormat="1" ht="15" x14ac:dyDescent="0.25">
      <c r="A824" s="51"/>
      <c r="B824" s="51"/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  <c r="T824" s="51"/>
      <c r="U824" s="51"/>
      <c r="V824" s="51"/>
      <c r="W824" s="51"/>
      <c r="X824" s="51"/>
      <c r="Y824" s="51"/>
      <c r="Z824" s="51"/>
      <c r="AA824" s="51"/>
      <c r="AB824" s="51"/>
      <c r="AC824" s="51"/>
      <c r="AD824" s="51"/>
      <c r="AE824" s="51"/>
      <c r="AF824" s="51"/>
      <c r="AG824" s="51"/>
      <c r="AH824" s="51"/>
      <c r="AI824" s="51"/>
      <c r="AJ824" s="51"/>
      <c r="AK824" s="51"/>
      <c r="AL824" s="51"/>
      <c r="AM824" s="51"/>
      <c r="AN824" s="51"/>
      <c r="AO824" s="51"/>
      <c r="AP824" s="51"/>
      <c r="AQ824" s="51"/>
      <c r="AR824" s="51"/>
      <c r="AS824" s="51"/>
      <c r="AT824" s="51"/>
      <c r="AU824" s="51"/>
      <c r="AV824" s="51"/>
      <c r="AW824" s="51"/>
    </row>
    <row r="825" spans="1:49" s="30" customFormat="1" ht="15" x14ac:dyDescent="0.25">
      <c r="A825" s="51"/>
      <c r="B825" s="51"/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  <c r="T825" s="51"/>
      <c r="U825" s="51"/>
      <c r="V825" s="51"/>
      <c r="W825" s="51"/>
      <c r="X825" s="51"/>
      <c r="Y825" s="51"/>
      <c r="Z825" s="51"/>
      <c r="AA825" s="51"/>
      <c r="AB825" s="51"/>
      <c r="AC825" s="51"/>
      <c r="AD825" s="51"/>
      <c r="AE825" s="51"/>
      <c r="AF825" s="51"/>
      <c r="AG825" s="51"/>
      <c r="AH825" s="51"/>
      <c r="AI825" s="51"/>
      <c r="AJ825" s="51"/>
      <c r="AK825" s="51"/>
      <c r="AL825" s="51"/>
      <c r="AM825" s="51"/>
      <c r="AN825" s="51"/>
      <c r="AO825" s="51"/>
      <c r="AP825" s="51"/>
      <c r="AQ825" s="51"/>
      <c r="AR825" s="51"/>
      <c r="AS825" s="51"/>
      <c r="AT825" s="51"/>
      <c r="AU825" s="51"/>
      <c r="AV825" s="51"/>
      <c r="AW825" s="51"/>
    </row>
    <row r="826" spans="1:49" s="29" customFormat="1" ht="15" x14ac:dyDescent="0.25">
      <c r="A826" s="51"/>
      <c r="B826" s="51"/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  <c r="T826" s="51"/>
      <c r="U826" s="51"/>
      <c r="V826" s="51"/>
      <c r="W826" s="51"/>
      <c r="X826" s="51"/>
      <c r="Y826" s="51"/>
      <c r="Z826" s="51"/>
      <c r="AA826" s="51"/>
      <c r="AB826" s="51"/>
      <c r="AC826" s="51"/>
      <c r="AD826" s="51"/>
      <c r="AE826" s="51"/>
      <c r="AF826" s="51"/>
      <c r="AG826" s="51"/>
      <c r="AH826" s="51"/>
      <c r="AI826" s="51"/>
      <c r="AJ826" s="51"/>
      <c r="AK826" s="51"/>
      <c r="AL826" s="51"/>
      <c r="AM826" s="51"/>
      <c r="AN826" s="51"/>
      <c r="AO826" s="51"/>
      <c r="AP826" s="51"/>
      <c r="AQ826" s="51"/>
      <c r="AR826" s="51"/>
      <c r="AS826" s="51"/>
      <c r="AT826" s="51"/>
      <c r="AU826" s="51"/>
      <c r="AV826" s="51"/>
      <c r="AW826" s="51"/>
    </row>
    <row r="827" spans="1:49" s="29" customFormat="1" ht="15" x14ac:dyDescent="0.25">
      <c r="A827" s="51"/>
      <c r="B827" s="51"/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  <c r="T827" s="51"/>
      <c r="U827" s="51"/>
      <c r="V827" s="51"/>
      <c r="W827" s="51"/>
      <c r="X827" s="51"/>
      <c r="Y827" s="51"/>
      <c r="Z827" s="51"/>
      <c r="AA827" s="51"/>
      <c r="AB827" s="51"/>
      <c r="AC827" s="51"/>
      <c r="AD827" s="51"/>
      <c r="AE827" s="51"/>
      <c r="AF827" s="51"/>
      <c r="AG827" s="51"/>
      <c r="AH827" s="51"/>
      <c r="AI827" s="51"/>
      <c r="AJ827" s="51"/>
      <c r="AK827" s="51"/>
      <c r="AL827" s="51"/>
      <c r="AM827" s="51"/>
      <c r="AN827" s="51"/>
      <c r="AO827" s="51"/>
      <c r="AP827" s="51"/>
      <c r="AQ827" s="51"/>
      <c r="AR827" s="51"/>
      <c r="AS827" s="51"/>
      <c r="AT827" s="51"/>
      <c r="AU827" s="51"/>
      <c r="AV827" s="51"/>
      <c r="AW827" s="51"/>
    </row>
    <row r="828" spans="1:49" s="33" customFormat="1" ht="15.75" x14ac:dyDescent="0.2">
      <c r="A828" s="51"/>
      <c r="B828" s="51"/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</row>
    <row r="829" spans="1:49" s="29" customFormat="1" ht="15" x14ac:dyDescent="0.25">
      <c r="A829" s="51"/>
      <c r="B829" s="51"/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  <c r="T829" s="51"/>
      <c r="U829" s="51"/>
      <c r="V829" s="51"/>
      <c r="W829" s="51"/>
      <c r="X829" s="51"/>
      <c r="Y829" s="51"/>
      <c r="Z829" s="51"/>
      <c r="AA829" s="51"/>
      <c r="AB829" s="51"/>
      <c r="AC829" s="51"/>
      <c r="AD829" s="51"/>
      <c r="AE829" s="51"/>
      <c r="AF829" s="51"/>
      <c r="AG829" s="51"/>
      <c r="AH829" s="51"/>
      <c r="AI829" s="51"/>
      <c r="AJ829" s="51"/>
      <c r="AK829" s="51"/>
      <c r="AL829" s="51"/>
      <c r="AM829" s="51"/>
      <c r="AN829" s="51"/>
      <c r="AO829" s="51"/>
      <c r="AP829" s="51"/>
      <c r="AQ829" s="51"/>
      <c r="AR829" s="51"/>
      <c r="AS829" s="51"/>
      <c r="AT829" s="51"/>
      <c r="AU829" s="51"/>
      <c r="AV829" s="51"/>
      <c r="AW829" s="51"/>
    </row>
    <row r="830" spans="1:49" s="29" customFormat="1" ht="15" x14ac:dyDescent="0.25">
      <c r="A830" s="51"/>
      <c r="B830" s="51"/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  <c r="T830" s="51"/>
      <c r="U830" s="51"/>
      <c r="V830" s="51"/>
      <c r="W830" s="51"/>
      <c r="X830" s="51"/>
      <c r="Y830" s="51"/>
      <c r="Z830" s="51"/>
      <c r="AA830" s="51"/>
      <c r="AB830" s="51"/>
      <c r="AC830" s="51"/>
      <c r="AD830" s="51"/>
      <c r="AE830" s="51"/>
      <c r="AF830" s="51"/>
      <c r="AG830" s="51"/>
      <c r="AH830" s="51"/>
      <c r="AI830" s="51"/>
      <c r="AJ830" s="51"/>
      <c r="AK830" s="51"/>
      <c r="AL830" s="51"/>
      <c r="AM830" s="51"/>
      <c r="AN830" s="51"/>
      <c r="AO830" s="51"/>
      <c r="AP830" s="51"/>
      <c r="AQ830" s="51"/>
      <c r="AR830" s="51"/>
      <c r="AS830" s="51"/>
      <c r="AT830" s="51"/>
      <c r="AU830" s="51"/>
      <c r="AV830" s="51"/>
      <c r="AW830" s="51"/>
    </row>
    <row r="831" spans="1:49" s="29" customFormat="1" ht="15" x14ac:dyDescent="0.25">
      <c r="A831" s="51"/>
      <c r="B831" s="51"/>
      <c r="C831" s="51"/>
      <c r="D831" s="51"/>
      <c r="E831" s="51"/>
      <c r="F831" s="51"/>
      <c r="G831" s="51"/>
      <c r="H831" s="5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</row>
    <row r="832" spans="1:49" s="29" customFormat="1" ht="15" x14ac:dyDescent="0.25">
      <c r="A832" s="51"/>
      <c r="B832" s="51"/>
      <c r="C832" s="51"/>
      <c r="D832" s="51"/>
      <c r="E832" s="51"/>
      <c r="F832" s="51"/>
      <c r="G832" s="51"/>
      <c r="H832" s="51"/>
      <c r="I832" s="51"/>
      <c r="J832" s="51"/>
      <c r="K832" s="51"/>
      <c r="L832" s="51"/>
      <c r="M832" s="51"/>
      <c r="N832" s="51"/>
      <c r="O832" s="51"/>
      <c r="P832" s="51"/>
      <c r="Q832" s="51"/>
      <c r="R832" s="51"/>
      <c r="S832" s="51"/>
      <c r="T832" s="51"/>
      <c r="U832" s="51"/>
      <c r="V832" s="51"/>
      <c r="W832" s="51"/>
      <c r="X832" s="51"/>
      <c r="Y832" s="51"/>
      <c r="Z832" s="51"/>
      <c r="AA832" s="51"/>
      <c r="AB832" s="51"/>
      <c r="AC832" s="51"/>
      <c r="AD832" s="51"/>
      <c r="AE832" s="51"/>
      <c r="AF832" s="51"/>
      <c r="AG832" s="51"/>
      <c r="AH832" s="51"/>
      <c r="AI832" s="51"/>
      <c r="AJ832" s="51"/>
      <c r="AK832" s="51"/>
      <c r="AL832" s="51"/>
      <c r="AM832" s="51"/>
      <c r="AN832" s="51"/>
      <c r="AO832" s="51"/>
      <c r="AP832" s="51"/>
      <c r="AQ832" s="51"/>
      <c r="AR832" s="51"/>
      <c r="AS832" s="51"/>
      <c r="AT832" s="51"/>
      <c r="AU832" s="51"/>
      <c r="AV832" s="51"/>
      <c r="AW832" s="51"/>
    </row>
    <row r="833" spans="1:49" s="30" customFormat="1" ht="15" x14ac:dyDescent="0.25">
      <c r="A833" s="51"/>
      <c r="B833" s="51"/>
      <c r="C833" s="51"/>
      <c r="D833" s="51"/>
      <c r="E833" s="51"/>
      <c r="F833" s="51"/>
      <c r="G833" s="51"/>
      <c r="H833" s="51"/>
      <c r="I833" s="51"/>
      <c r="J833" s="51"/>
      <c r="K833" s="51"/>
      <c r="L833" s="51"/>
      <c r="M833" s="51"/>
      <c r="N833" s="51"/>
      <c r="O833" s="51"/>
      <c r="P833" s="51"/>
      <c r="Q833" s="51"/>
      <c r="R833" s="51"/>
      <c r="S833" s="51"/>
      <c r="T833" s="51"/>
      <c r="U833" s="51"/>
      <c r="V833" s="51"/>
      <c r="W833" s="51"/>
      <c r="X833" s="51"/>
      <c r="Y833" s="51"/>
      <c r="Z833" s="51"/>
      <c r="AA833" s="51"/>
      <c r="AB833" s="51"/>
      <c r="AC833" s="51"/>
      <c r="AD833" s="51"/>
      <c r="AE833" s="51"/>
      <c r="AF833" s="51"/>
      <c r="AG833" s="51"/>
      <c r="AH833" s="51"/>
      <c r="AI833" s="51"/>
      <c r="AJ833" s="51"/>
      <c r="AK833" s="51"/>
      <c r="AL833" s="51"/>
      <c r="AM833" s="51"/>
      <c r="AN833" s="51"/>
      <c r="AO833" s="51"/>
      <c r="AP833" s="51"/>
      <c r="AQ833" s="51"/>
      <c r="AR833" s="51"/>
      <c r="AS833" s="51"/>
      <c r="AT833" s="51"/>
      <c r="AU833" s="51"/>
      <c r="AV833" s="51"/>
      <c r="AW833" s="51"/>
    </row>
    <row r="834" spans="1:49" s="30" customFormat="1" ht="15" x14ac:dyDescent="0.25">
      <c r="A834" s="51"/>
      <c r="B834" s="51"/>
      <c r="C834" s="51"/>
      <c r="D834" s="51"/>
      <c r="E834" s="51"/>
      <c r="F834" s="51"/>
      <c r="G834" s="51"/>
      <c r="H834" s="51"/>
      <c r="I834" s="51"/>
      <c r="J834" s="51"/>
      <c r="K834" s="51"/>
      <c r="L834" s="51"/>
      <c r="M834" s="51"/>
      <c r="N834" s="51"/>
      <c r="O834" s="51"/>
      <c r="P834" s="51"/>
      <c r="Q834" s="51"/>
      <c r="R834" s="51"/>
      <c r="S834" s="51"/>
      <c r="T834" s="51"/>
      <c r="U834" s="51"/>
      <c r="V834" s="51"/>
      <c r="W834" s="51"/>
      <c r="X834" s="51"/>
      <c r="Y834" s="51"/>
      <c r="Z834" s="51"/>
      <c r="AA834" s="51"/>
      <c r="AB834" s="51"/>
      <c r="AC834" s="51"/>
      <c r="AD834" s="51"/>
      <c r="AE834" s="51"/>
      <c r="AF834" s="51"/>
      <c r="AG834" s="51"/>
      <c r="AH834" s="51"/>
      <c r="AI834" s="51"/>
      <c r="AJ834" s="51"/>
      <c r="AK834" s="51"/>
      <c r="AL834" s="51"/>
      <c r="AM834" s="51"/>
      <c r="AN834" s="51"/>
      <c r="AO834" s="51"/>
      <c r="AP834" s="51"/>
      <c r="AQ834" s="51"/>
      <c r="AR834" s="51"/>
      <c r="AS834" s="51"/>
      <c r="AT834" s="51"/>
      <c r="AU834" s="51"/>
      <c r="AV834" s="51"/>
      <c r="AW834" s="51"/>
    </row>
    <row r="835" spans="1:49" s="30" customFormat="1" ht="15" x14ac:dyDescent="0.25">
      <c r="A835" s="51"/>
      <c r="B835" s="51"/>
      <c r="C835" s="51"/>
      <c r="D835" s="51"/>
      <c r="E835" s="51"/>
      <c r="F835" s="51"/>
      <c r="G835" s="51"/>
      <c r="H835" s="51"/>
      <c r="I835" s="51"/>
      <c r="J835" s="51"/>
      <c r="K835" s="51"/>
      <c r="L835" s="51"/>
      <c r="M835" s="51"/>
      <c r="N835" s="51"/>
      <c r="O835" s="51"/>
      <c r="P835" s="51"/>
      <c r="Q835" s="51"/>
      <c r="R835" s="51"/>
      <c r="S835" s="51"/>
      <c r="T835" s="51"/>
      <c r="U835" s="51"/>
      <c r="V835" s="51"/>
      <c r="W835" s="51"/>
      <c r="X835" s="51"/>
      <c r="Y835" s="51"/>
      <c r="Z835" s="51"/>
      <c r="AA835" s="51"/>
      <c r="AB835" s="51"/>
      <c r="AC835" s="51"/>
      <c r="AD835" s="51"/>
      <c r="AE835" s="51"/>
      <c r="AF835" s="51"/>
      <c r="AG835" s="51"/>
      <c r="AH835" s="51"/>
      <c r="AI835" s="51"/>
      <c r="AJ835" s="51"/>
      <c r="AK835" s="51"/>
      <c r="AL835" s="51"/>
      <c r="AM835" s="51"/>
      <c r="AN835" s="51"/>
      <c r="AO835" s="51"/>
      <c r="AP835" s="51"/>
      <c r="AQ835" s="51"/>
      <c r="AR835" s="51"/>
      <c r="AS835" s="51"/>
      <c r="AT835" s="51"/>
      <c r="AU835" s="51"/>
      <c r="AV835" s="51"/>
      <c r="AW835" s="51"/>
    </row>
    <row r="836" spans="1:49" s="30" customFormat="1" ht="15" x14ac:dyDescent="0.25">
      <c r="A836" s="51"/>
      <c r="B836" s="51"/>
      <c r="C836" s="51"/>
      <c r="D836" s="51"/>
      <c r="E836" s="51"/>
      <c r="F836" s="51"/>
      <c r="G836" s="51"/>
      <c r="H836" s="51"/>
      <c r="I836" s="51"/>
      <c r="J836" s="51"/>
      <c r="K836" s="51"/>
      <c r="L836" s="51"/>
      <c r="M836" s="51"/>
      <c r="N836" s="51"/>
      <c r="O836" s="51"/>
      <c r="P836" s="51"/>
      <c r="Q836" s="51"/>
      <c r="R836" s="51"/>
      <c r="S836" s="51"/>
      <c r="T836" s="51"/>
      <c r="U836" s="51"/>
      <c r="V836" s="51"/>
      <c r="W836" s="51"/>
      <c r="X836" s="51"/>
      <c r="Y836" s="51"/>
      <c r="Z836" s="51"/>
      <c r="AA836" s="51"/>
      <c r="AB836" s="51"/>
      <c r="AC836" s="51"/>
      <c r="AD836" s="51"/>
      <c r="AE836" s="51"/>
      <c r="AF836" s="51"/>
      <c r="AG836" s="51"/>
      <c r="AH836" s="51"/>
      <c r="AI836" s="51"/>
      <c r="AJ836" s="51"/>
      <c r="AK836" s="51"/>
      <c r="AL836" s="51"/>
      <c r="AM836" s="51"/>
      <c r="AN836" s="51"/>
      <c r="AO836" s="51"/>
      <c r="AP836" s="51"/>
      <c r="AQ836" s="51"/>
      <c r="AR836" s="51"/>
      <c r="AS836" s="51"/>
      <c r="AT836" s="51"/>
      <c r="AU836" s="51"/>
      <c r="AV836" s="51"/>
      <c r="AW836" s="51"/>
    </row>
    <row r="837" spans="1:49" s="30" customFormat="1" ht="15" x14ac:dyDescent="0.25">
      <c r="A837" s="51"/>
      <c r="B837" s="51"/>
      <c r="C837" s="51"/>
      <c r="D837" s="51"/>
      <c r="E837" s="51"/>
      <c r="F837" s="51"/>
      <c r="G837" s="51"/>
      <c r="H837" s="51"/>
      <c r="I837" s="51"/>
      <c r="J837" s="51"/>
      <c r="K837" s="51"/>
      <c r="L837" s="51"/>
      <c r="M837" s="51"/>
      <c r="N837" s="51"/>
      <c r="O837" s="51"/>
      <c r="P837" s="51"/>
      <c r="Q837" s="51"/>
      <c r="R837" s="51"/>
      <c r="S837" s="51"/>
      <c r="T837" s="51"/>
      <c r="U837" s="51"/>
      <c r="V837" s="51"/>
      <c r="W837" s="51"/>
      <c r="X837" s="51"/>
      <c r="Y837" s="51"/>
      <c r="Z837" s="51"/>
      <c r="AA837" s="51"/>
      <c r="AB837" s="51"/>
      <c r="AC837" s="51"/>
      <c r="AD837" s="51"/>
      <c r="AE837" s="51"/>
      <c r="AF837" s="51"/>
      <c r="AG837" s="51"/>
      <c r="AH837" s="51"/>
      <c r="AI837" s="51"/>
      <c r="AJ837" s="51"/>
      <c r="AK837" s="51"/>
      <c r="AL837" s="51"/>
      <c r="AM837" s="51"/>
      <c r="AN837" s="51"/>
      <c r="AO837" s="51"/>
      <c r="AP837" s="51"/>
      <c r="AQ837" s="51"/>
      <c r="AR837" s="51"/>
      <c r="AS837" s="51"/>
      <c r="AT837" s="51"/>
      <c r="AU837" s="51"/>
      <c r="AV837" s="51"/>
      <c r="AW837" s="51"/>
    </row>
    <row r="838" spans="1:49" s="32" customFormat="1" ht="15" x14ac:dyDescent="0.25">
      <c r="A838" s="51"/>
      <c r="B838" s="51"/>
      <c r="C838" s="51"/>
      <c r="D838" s="51"/>
      <c r="E838" s="51"/>
      <c r="F838" s="51"/>
      <c r="G838" s="51"/>
      <c r="H838" s="51"/>
      <c r="I838" s="51"/>
      <c r="J838" s="51"/>
      <c r="K838" s="51"/>
      <c r="L838" s="51"/>
      <c r="M838" s="51"/>
      <c r="N838" s="51"/>
      <c r="O838" s="51"/>
      <c r="P838" s="51"/>
      <c r="Q838" s="51"/>
      <c r="R838" s="51"/>
      <c r="S838" s="51"/>
      <c r="T838" s="51"/>
      <c r="U838" s="51"/>
      <c r="V838" s="51"/>
      <c r="W838" s="51"/>
      <c r="X838" s="51"/>
      <c r="Y838" s="51"/>
      <c r="Z838" s="51"/>
      <c r="AA838" s="51"/>
      <c r="AB838" s="51"/>
      <c r="AC838" s="51"/>
      <c r="AD838" s="51"/>
      <c r="AE838" s="51"/>
      <c r="AF838" s="51"/>
      <c r="AG838" s="51"/>
      <c r="AH838" s="51"/>
      <c r="AI838" s="51"/>
      <c r="AJ838" s="51"/>
      <c r="AK838" s="51"/>
      <c r="AL838" s="51"/>
      <c r="AM838" s="51"/>
      <c r="AN838" s="51"/>
      <c r="AO838" s="51"/>
      <c r="AP838" s="51"/>
      <c r="AQ838" s="51"/>
      <c r="AR838" s="51"/>
      <c r="AS838" s="51"/>
      <c r="AT838" s="51"/>
      <c r="AU838" s="51"/>
      <c r="AV838" s="51"/>
      <c r="AW838" s="51"/>
    </row>
    <row r="839" spans="1:49" s="33" customFormat="1" ht="15.75" x14ac:dyDescent="0.2">
      <c r="A839" s="51"/>
      <c r="B839" s="51"/>
      <c r="C839" s="51"/>
      <c r="D839" s="51"/>
      <c r="E839" s="51"/>
      <c r="F839" s="51"/>
      <c r="G839" s="51"/>
      <c r="H839" s="51"/>
      <c r="I839" s="51"/>
      <c r="J839" s="51"/>
      <c r="K839" s="51"/>
      <c r="L839" s="51"/>
      <c r="M839" s="51"/>
      <c r="N839" s="51"/>
      <c r="O839" s="51"/>
      <c r="P839" s="51"/>
      <c r="Q839" s="51"/>
      <c r="R839" s="51"/>
      <c r="S839" s="51"/>
      <c r="T839" s="51"/>
      <c r="U839" s="51"/>
      <c r="V839" s="51"/>
      <c r="W839" s="51"/>
      <c r="X839" s="51"/>
      <c r="Y839" s="51"/>
      <c r="Z839" s="51"/>
      <c r="AA839" s="51"/>
      <c r="AB839" s="51"/>
      <c r="AC839" s="51"/>
      <c r="AD839" s="51"/>
      <c r="AE839" s="51"/>
      <c r="AF839" s="51"/>
      <c r="AG839" s="51"/>
      <c r="AH839" s="51"/>
      <c r="AI839" s="51"/>
      <c r="AJ839" s="51"/>
      <c r="AK839" s="51"/>
      <c r="AL839" s="51"/>
      <c r="AM839" s="51"/>
      <c r="AN839" s="51"/>
      <c r="AO839" s="51"/>
      <c r="AP839" s="51"/>
      <c r="AQ839" s="51"/>
      <c r="AR839" s="51"/>
      <c r="AS839" s="51"/>
      <c r="AT839" s="51"/>
      <c r="AU839" s="51"/>
      <c r="AV839" s="51"/>
      <c r="AW839" s="51"/>
    </row>
    <row r="840" spans="1:49" s="32" customFormat="1" ht="15" x14ac:dyDescent="0.25">
      <c r="A840" s="51"/>
      <c r="B840" s="51"/>
      <c r="C840" s="51"/>
      <c r="D840" s="51"/>
      <c r="E840" s="51"/>
      <c r="F840" s="51"/>
      <c r="G840" s="51"/>
      <c r="H840" s="5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</row>
    <row r="841" spans="1:49" s="32" customFormat="1" ht="15" x14ac:dyDescent="0.25">
      <c r="A841" s="51"/>
      <c r="B841" s="51"/>
      <c r="C841" s="51"/>
      <c r="D841" s="51"/>
      <c r="E841" s="51"/>
      <c r="F841" s="51"/>
      <c r="G841" s="51"/>
      <c r="H841" s="51"/>
      <c r="I841" s="51"/>
      <c r="J841" s="51"/>
      <c r="K841" s="51"/>
      <c r="L841" s="51"/>
      <c r="M841" s="51"/>
      <c r="N841" s="51"/>
      <c r="O841" s="51"/>
      <c r="P841" s="51"/>
      <c r="Q841" s="51"/>
      <c r="R841" s="51"/>
      <c r="S841" s="51"/>
      <c r="T841" s="51"/>
      <c r="U841" s="51"/>
      <c r="V841" s="51"/>
      <c r="W841" s="51"/>
      <c r="X841" s="51"/>
      <c r="Y841" s="51"/>
      <c r="Z841" s="51"/>
      <c r="AA841" s="51"/>
      <c r="AB841" s="51"/>
      <c r="AC841" s="51"/>
      <c r="AD841" s="51"/>
      <c r="AE841" s="51"/>
      <c r="AF841" s="51"/>
      <c r="AG841" s="51"/>
      <c r="AH841" s="51"/>
      <c r="AI841" s="51"/>
      <c r="AJ841" s="51"/>
      <c r="AK841" s="51"/>
      <c r="AL841" s="51"/>
      <c r="AM841" s="51"/>
      <c r="AN841" s="51"/>
      <c r="AO841" s="51"/>
      <c r="AP841" s="51"/>
      <c r="AQ841" s="51"/>
      <c r="AR841" s="51"/>
      <c r="AS841" s="51"/>
      <c r="AT841" s="51"/>
      <c r="AU841" s="51"/>
      <c r="AV841" s="51"/>
      <c r="AW841" s="51"/>
    </row>
    <row r="842" spans="1:49" s="33" customFormat="1" ht="15.75" x14ac:dyDescent="0.2">
      <c r="A842" s="51"/>
      <c r="B842" s="51"/>
      <c r="C842" s="51"/>
      <c r="D842" s="51"/>
      <c r="E842" s="51"/>
      <c r="F842" s="51"/>
      <c r="G842" s="51"/>
      <c r="H842" s="51"/>
      <c r="I842" s="51"/>
      <c r="J842" s="51"/>
      <c r="K842" s="51"/>
      <c r="L842" s="51"/>
      <c r="M842" s="51"/>
      <c r="N842" s="51"/>
      <c r="O842" s="51"/>
      <c r="P842" s="51"/>
      <c r="Q842" s="51"/>
      <c r="R842" s="51"/>
      <c r="S842" s="51"/>
      <c r="T842" s="51"/>
      <c r="U842" s="51"/>
      <c r="V842" s="51"/>
      <c r="W842" s="51"/>
      <c r="X842" s="51"/>
      <c r="Y842" s="51"/>
      <c r="Z842" s="51"/>
      <c r="AA842" s="51"/>
      <c r="AB842" s="51"/>
      <c r="AC842" s="51"/>
      <c r="AD842" s="51"/>
      <c r="AE842" s="51"/>
      <c r="AF842" s="51"/>
      <c r="AG842" s="51"/>
      <c r="AH842" s="51"/>
      <c r="AI842" s="51"/>
      <c r="AJ842" s="51"/>
      <c r="AK842" s="51"/>
      <c r="AL842" s="51"/>
      <c r="AM842" s="51"/>
      <c r="AN842" s="51"/>
      <c r="AO842" s="51"/>
      <c r="AP842" s="51"/>
      <c r="AQ842" s="51"/>
      <c r="AR842" s="51"/>
      <c r="AS842" s="51"/>
      <c r="AT842" s="51"/>
      <c r="AU842" s="51"/>
      <c r="AV842" s="51"/>
      <c r="AW842" s="51"/>
    </row>
    <row r="843" spans="1:49" s="32" customFormat="1" ht="15" x14ac:dyDescent="0.25">
      <c r="A843" s="51"/>
      <c r="B843" s="51"/>
      <c r="C843" s="51"/>
      <c r="D843" s="51"/>
      <c r="E843" s="51"/>
      <c r="F843" s="51"/>
      <c r="G843" s="51"/>
      <c r="H843" s="51"/>
      <c r="I843" s="51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</row>
    <row r="844" spans="1:49" s="32" customFormat="1" ht="15" x14ac:dyDescent="0.25">
      <c r="A844" s="51"/>
      <c r="B844" s="51"/>
      <c r="C844" s="51"/>
      <c r="D844" s="51"/>
      <c r="E844" s="51"/>
      <c r="F844" s="51"/>
      <c r="G844" s="51"/>
      <c r="H844" s="51"/>
      <c r="I844" s="51"/>
      <c r="J844" s="51"/>
      <c r="K844" s="51"/>
      <c r="L844" s="51"/>
      <c r="M844" s="51"/>
      <c r="N844" s="51"/>
      <c r="O844" s="51"/>
      <c r="P844" s="51"/>
      <c r="Q844" s="51"/>
      <c r="R844" s="51"/>
      <c r="S844" s="51"/>
      <c r="T844" s="51"/>
      <c r="U844" s="51"/>
      <c r="V844" s="51"/>
      <c r="W844" s="51"/>
      <c r="X844" s="51"/>
      <c r="Y844" s="51"/>
      <c r="Z844" s="51"/>
      <c r="AA844" s="51"/>
      <c r="AB844" s="51"/>
      <c r="AC844" s="51"/>
      <c r="AD844" s="51"/>
      <c r="AE844" s="51"/>
      <c r="AF844" s="51"/>
      <c r="AG844" s="51"/>
      <c r="AH844" s="51"/>
      <c r="AI844" s="51"/>
      <c r="AJ844" s="51"/>
      <c r="AK844" s="51"/>
      <c r="AL844" s="51"/>
      <c r="AM844" s="51"/>
      <c r="AN844" s="51"/>
      <c r="AO844" s="51"/>
      <c r="AP844" s="51"/>
      <c r="AQ844" s="51"/>
      <c r="AR844" s="51"/>
      <c r="AS844" s="51"/>
      <c r="AT844" s="51"/>
      <c r="AU844" s="51"/>
      <c r="AV844" s="51"/>
      <c r="AW844" s="51"/>
    </row>
    <row r="845" spans="1:49" s="33" customFormat="1" ht="15.75" x14ac:dyDescent="0.2">
      <c r="A845" s="51"/>
      <c r="B845" s="51"/>
      <c r="C845" s="51"/>
      <c r="D845" s="51"/>
      <c r="E845" s="51"/>
      <c r="F845" s="51"/>
      <c r="G845" s="51"/>
      <c r="H845" s="51"/>
      <c r="I845" s="51"/>
      <c r="J845" s="51"/>
      <c r="K845" s="51"/>
      <c r="L845" s="51"/>
      <c r="M845" s="51"/>
      <c r="N845" s="51"/>
      <c r="O845" s="51"/>
      <c r="P845" s="51"/>
      <c r="Q845" s="51"/>
      <c r="R845" s="51"/>
      <c r="S845" s="51"/>
      <c r="T845" s="51"/>
      <c r="U845" s="51"/>
      <c r="V845" s="51"/>
      <c r="W845" s="51"/>
      <c r="X845" s="51"/>
      <c r="Y845" s="51"/>
      <c r="Z845" s="51"/>
      <c r="AA845" s="51"/>
      <c r="AB845" s="51"/>
      <c r="AC845" s="51"/>
      <c r="AD845" s="51"/>
      <c r="AE845" s="51"/>
      <c r="AF845" s="51"/>
      <c r="AG845" s="51"/>
      <c r="AH845" s="51"/>
      <c r="AI845" s="51"/>
      <c r="AJ845" s="51"/>
      <c r="AK845" s="51"/>
      <c r="AL845" s="51"/>
      <c r="AM845" s="51"/>
      <c r="AN845" s="51"/>
      <c r="AO845" s="51"/>
      <c r="AP845" s="51"/>
      <c r="AQ845" s="51"/>
      <c r="AR845" s="51"/>
      <c r="AS845" s="51"/>
      <c r="AT845" s="51"/>
      <c r="AU845" s="51"/>
      <c r="AV845" s="51"/>
      <c r="AW845" s="51"/>
    </row>
    <row r="846" spans="1:49" s="32" customFormat="1" ht="15" x14ac:dyDescent="0.25">
      <c r="A846" s="51"/>
      <c r="B846" s="51"/>
      <c r="C846" s="51"/>
      <c r="D846" s="51"/>
      <c r="E846" s="51"/>
      <c r="F846" s="51"/>
      <c r="G846" s="51"/>
      <c r="H846" s="51"/>
      <c r="I846" s="51"/>
      <c r="J846" s="51"/>
      <c r="K846" s="51"/>
      <c r="L846" s="51"/>
      <c r="M846" s="51"/>
      <c r="N846" s="51"/>
      <c r="O846" s="51"/>
      <c r="P846" s="51"/>
      <c r="Q846" s="51"/>
      <c r="R846" s="51"/>
      <c r="S846" s="51"/>
      <c r="T846" s="51"/>
      <c r="U846" s="51"/>
      <c r="V846" s="51"/>
      <c r="W846" s="51"/>
      <c r="X846" s="51"/>
      <c r="Y846" s="51"/>
      <c r="Z846" s="51"/>
      <c r="AA846" s="51"/>
      <c r="AB846" s="51"/>
      <c r="AC846" s="51"/>
      <c r="AD846" s="51"/>
      <c r="AE846" s="51"/>
      <c r="AF846" s="51"/>
      <c r="AG846" s="51"/>
      <c r="AH846" s="51"/>
      <c r="AI846" s="51"/>
      <c r="AJ846" s="51"/>
      <c r="AK846" s="51"/>
      <c r="AL846" s="51"/>
      <c r="AM846" s="51"/>
      <c r="AN846" s="51"/>
      <c r="AO846" s="51"/>
      <c r="AP846" s="51"/>
      <c r="AQ846" s="51"/>
      <c r="AR846" s="51"/>
      <c r="AS846" s="51"/>
      <c r="AT846" s="51"/>
      <c r="AU846" s="51"/>
      <c r="AV846" s="51"/>
      <c r="AW846" s="51"/>
    </row>
    <row r="847" spans="1:49" s="32" customFormat="1" ht="15" x14ac:dyDescent="0.25">
      <c r="A847" s="51"/>
      <c r="B847" s="51"/>
      <c r="C847" s="51"/>
      <c r="D847" s="51"/>
      <c r="E847" s="51"/>
      <c r="F847" s="51"/>
      <c r="G847" s="51"/>
      <c r="H847" s="51"/>
      <c r="I847" s="51"/>
      <c r="J847" s="51"/>
      <c r="K847" s="51"/>
      <c r="L847" s="51"/>
      <c r="M847" s="51"/>
      <c r="N847" s="51"/>
      <c r="O847" s="51"/>
      <c r="P847" s="51"/>
      <c r="Q847" s="51"/>
      <c r="R847" s="51"/>
      <c r="S847" s="51"/>
      <c r="T847" s="51"/>
      <c r="U847" s="51"/>
      <c r="V847" s="51"/>
      <c r="W847" s="51"/>
      <c r="X847" s="51"/>
      <c r="Y847" s="51"/>
      <c r="Z847" s="51"/>
      <c r="AA847" s="51"/>
      <c r="AB847" s="51"/>
      <c r="AC847" s="51"/>
      <c r="AD847" s="51"/>
      <c r="AE847" s="51"/>
      <c r="AF847" s="51"/>
      <c r="AG847" s="51"/>
      <c r="AH847" s="51"/>
      <c r="AI847" s="51"/>
      <c r="AJ847" s="51"/>
      <c r="AK847" s="51"/>
      <c r="AL847" s="51"/>
      <c r="AM847" s="51"/>
      <c r="AN847" s="51"/>
      <c r="AO847" s="51"/>
      <c r="AP847" s="51"/>
      <c r="AQ847" s="51"/>
      <c r="AR847" s="51"/>
      <c r="AS847" s="51"/>
      <c r="AT847" s="51"/>
      <c r="AU847" s="51"/>
      <c r="AV847" s="51"/>
      <c r="AW847" s="51"/>
    </row>
    <row r="848" spans="1:49" s="33" customFormat="1" ht="15.75" x14ac:dyDescent="0.2">
      <c r="A848" s="51"/>
      <c r="B848" s="51"/>
      <c r="C848" s="51"/>
      <c r="D848" s="51"/>
      <c r="E848" s="51"/>
      <c r="F848" s="51"/>
      <c r="G848" s="51"/>
      <c r="H848" s="51"/>
      <c r="I848" s="51"/>
      <c r="J848" s="51"/>
      <c r="K848" s="51"/>
      <c r="L848" s="51"/>
      <c r="M848" s="51"/>
      <c r="N848" s="51"/>
      <c r="O848" s="51"/>
      <c r="P848" s="51"/>
      <c r="Q848" s="51"/>
      <c r="R848" s="51"/>
      <c r="S848" s="51"/>
      <c r="T848" s="51"/>
      <c r="U848" s="51"/>
      <c r="V848" s="51"/>
      <c r="W848" s="51"/>
      <c r="X848" s="51"/>
      <c r="Y848" s="51"/>
      <c r="Z848" s="51"/>
      <c r="AA848" s="51"/>
      <c r="AB848" s="51"/>
      <c r="AC848" s="51"/>
      <c r="AD848" s="51"/>
      <c r="AE848" s="51"/>
      <c r="AF848" s="51"/>
      <c r="AG848" s="51"/>
      <c r="AH848" s="51"/>
      <c r="AI848" s="51"/>
      <c r="AJ848" s="51"/>
      <c r="AK848" s="51"/>
      <c r="AL848" s="51"/>
      <c r="AM848" s="51"/>
      <c r="AN848" s="51"/>
      <c r="AO848" s="51"/>
      <c r="AP848" s="51"/>
      <c r="AQ848" s="51"/>
      <c r="AR848" s="51"/>
      <c r="AS848" s="51"/>
      <c r="AT848" s="51"/>
      <c r="AU848" s="51"/>
      <c r="AV848" s="51"/>
      <c r="AW848" s="51"/>
    </row>
    <row r="849" spans="1:49" s="32" customFormat="1" ht="15" x14ac:dyDescent="0.25">
      <c r="A849" s="51"/>
      <c r="B849" s="51"/>
      <c r="C849" s="51"/>
      <c r="D849" s="51"/>
      <c r="E849" s="51"/>
      <c r="F849" s="51"/>
      <c r="G849" s="51"/>
      <c r="H849" s="51"/>
      <c r="I849" s="51"/>
      <c r="J849" s="51"/>
      <c r="K849" s="51"/>
      <c r="L849" s="51"/>
      <c r="M849" s="51"/>
      <c r="N849" s="51"/>
      <c r="O849" s="51"/>
      <c r="P849" s="51"/>
      <c r="Q849" s="51"/>
      <c r="R849" s="51"/>
      <c r="S849" s="51"/>
      <c r="T849" s="51"/>
      <c r="U849" s="51"/>
      <c r="V849" s="51"/>
      <c r="W849" s="51"/>
      <c r="X849" s="51"/>
      <c r="Y849" s="51"/>
      <c r="Z849" s="51"/>
      <c r="AA849" s="51"/>
      <c r="AB849" s="51"/>
      <c r="AC849" s="51"/>
      <c r="AD849" s="51"/>
      <c r="AE849" s="51"/>
      <c r="AF849" s="51"/>
      <c r="AG849" s="51"/>
      <c r="AH849" s="51"/>
      <c r="AI849" s="51"/>
      <c r="AJ849" s="51"/>
      <c r="AK849" s="51"/>
      <c r="AL849" s="51"/>
      <c r="AM849" s="51"/>
      <c r="AN849" s="51"/>
      <c r="AO849" s="51"/>
      <c r="AP849" s="51"/>
      <c r="AQ849" s="51"/>
      <c r="AR849" s="51"/>
      <c r="AS849" s="51"/>
      <c r="AT849" s="51"/>
      <c r="AU849" s="51"/>
      <c r="AV849" s="51"/>
      <c r="AW849" s="51"/>
    </row>
    <row r="850" spans="1:49" s="17" customFormat="1" ht="15" x14ac:dyDescent="0.25">
      <c r="A850" s="51"/>
      <c r="B850" s="51"/>
      <c r="C850" s="51"/>
      <c r="D850" s="51"/>
      <c r="E850" s="51"/>
      <c r="F850" s="51"/>
      <c r="G850" s="51"/>
      <c r="H850" s="51"/>
      <c r="I850" s="51"/>
      <c r="J850" s="51"/>
      <c r="K850" s="51"/>
      <c r="L850" s="51"/>
      <c r="M850" s="51"/>
      <c r="N850" s="51"/>
      <c r="O850" s="51"/>
      <c r="P850" s="51"/>
      <c r="Q850" s="51"/>
      <c r="R850" s="51"/>
      <c r="S850" s="51"/>
      <c r="T850" s="51"/>
      <c r="U850" s="51"/>
      <c r="V850" s="51"/>
      <c r="W850" s="51"/>
      <c r="X850" s="51"/>
      <c r="Y850" s="51"/>
      <c r="Z850" s="51"/>
      <c r="AA850" s="51"/>
      <c r="AB850" s="51"/>
      <c r="AC850" s="51"/>
      <c r="AD850" s="51"/>
      <c r="AE850" s="51"/>
      <c r="AF850" s="51"/>
      <c r="AG850" s="51"/>
      <c r="AH850" s="51"/>
      <c r="AI850" s="51"/>
      <c r="AJ850" s="51"/>
      <c r="AK850" s="51"/>
      <c r="AL850" s="51"/>
      <c r="AM850" s="51"/>
      <c r="AN850" s="51"/>
      <c r="AO850" s="51"/>
      <c r="AP850" s="51"/>
      <c r="AQ850" s="51"/>
      <c r="AR850" s="51"/>
      <c r="AS850" s="51"/>
      <c r="AT850" s="51"/>
      <c r="AU850" s="51"/>
      <c r="AV850" s="51"/>
      <c r="AW850" s="51"/>
    </row>
    <row r="851" spans="1:49" s="33" customFormat="1" ht="15.75" x14ac:dyDescent="0.2">
      <c r="A851" s="51"/>
      <c r="B851" s="51"/>
      <c r="C851" s="51"/>
      <c r="D851" s="51"/>
      <c r="E851" s="51"/>
      <c r="F851" s="51"/>
      <c r="G851" s="51"/>
      <c r="H851" s="51"/>
      <c r="I851" s="51"/>
      <c r="J851" s="51"/>
      <c r="K851" s="51"/>
      <c r="L851" s="51"/>
      <c r="M851" s="51"/>
      <c r="N851" s="51"/>
      <c r="O851" s="51"/>
      <c r="P851" s="51"/>
      <c r="Q851" s="51"/>
      <c r="R851" s="51"/>
      <c r="S851" s="51"/>
      <c r="T851" s="51"/>
      <c r="U851" s="51"/>
      <c r="V851" s="51"/>
      <c r="W851" s="51"/>
      <c r="X851" s="51"/>
      <c r="Y851" s="51"/>
      <c r="Z851" s="51"/>
      <c r="AA851" s="51"/>
      <c r="AB851" s="51"/>
      <c r="AC851" s="51"/>
      <c r="AD851" s="51"/>
      <c r="AE851" s="51"/>
      <c r="AF851" s="51"/>
      <c r="AG851" s="51"/>
      <c r="AH851" s="51"/>
      <c r="AI851" s="51"/>
      <c r="AJ851" s="51"/>
      <c r="AK851" s="51"/>
      <c r="AL851" s="51"/>
      <c r="AM851" s="51"/>
      <c r="AN851" s="51"/>
      <c r="AO851" s="51"/>
      <c r="AP851" s="51"/>
      <c r="AQ851" s="51"/>
      <c r="AR851" s="51"/>
      <c r="AS851" s="51"/>
      <c r="AT851" s="51"/>
      <c r="AU851" s="51"/>
      <c r="AV851" s="51"/>
      <c r="AW851" s="51"/>
    </row>
    <row r="852" spans="1:49" s="33" customFormat="1" ht="15.75" x14ac:dyDescent="0.2">
      <c r="A852" s="51"/>
      <c r="B852" s="51"/>
      <c r="C852" s="51"/>
      <c r="D852" s="51"/>
      <c r="E852" s="51"/>
      <c r="F852" s="51"/>
      <c r="G852" s="51"/>
      <c r="H852" s="51"/>
      <c r="I852" s="51"/>
      <c r="J852" s="51"/>
      <c r="K852" s="51"/>
      <c r="L852" s="51"/>
      <c r="M852" s="51"/>
      <c r="N852" s="51"/>
      <c r="O852" s="51"/>
      <c r="P852" s="51"/>
      <c r="Q852" s="51"/>
      <c r="R852" s="51"/>
      <c r="S852" s="51"/>
      <c r="T852" s="51"/>
      <c r="U852" s="51"/>
      <c r="V852" s="51"/>
      <c r="W852" s="51"/>
      <c r="X852" s="51"/>
      <c r="Y852" s="51"/>
      <c r="Z852" s="51"/>
      <c r="AA852" s="51"/>
      <c r="AB852" s="51"/>
      <c r="AC852" s="51"/>
      <c r="AD852" s="51"/>
      <c r="AE852" s="51"/>
      <c r="AF852" s="51"/>
      <c r="AG852" s="51"/>
      <c r="AH852" s="51"/>
      <c r="AI852" s="51"/>
      <c r="AJ852" s="51"/>
      <c r="AK852" s="51"/>
      <c r="AL852" s="51"/>
      <c r="AM852" s="51"/>
      <c r="AN852" s="51"/>
      <c r="AO852" s="51"/>
      <c r="AP852" s="51"/>
      <c r="AQ852" s="51"/>
      <c r="AR852" s="51"/>
      <c r="AS852" s="51"/>
      <c r="AT852" s="51"/>
      <c r="AU852" s="51"/>
      <c r="AV852" s="51"/>
      <c r="AW852" s="51"/>
    </row>
    <row r="853" spans="1:49" s="17" customFormat="1" ht="15" x14ac:dyDescent="0.25">
      <c r="A853" s="51"/>
      <c r="B853" s="51"/>
      <c r="C853" s="51"/>
      <c r="D853" s="51"/>
      <c r="E853" s="51"/>
      <c r="F853" s="51"/>
      <c r="G853" s="51"/>
      <c r="H853" s="51"/>
      <c r="I853" s="51"/>
      <c r="J853" s="51"/>
      <c r="K853" s="51"/>
      <c r="L853" s="51"/>
      <c r="M853" s="51"/>
      <c r="N853" s="51"/>
      <c r="O853" s="51"/>
      <c r="P853" s="51"/>
      <c r="Q853" s="51"/>
      <c r="R853" s="51"/>
      <c r="S853" s="51"/>
      <c r="T853" s="51"/>
      <c r="U853" s="51"/>
      <c r="V853" s="51"/>
      <c r="W853" s="51"/>
      <c r="X853" s="51"/>
      <c r="Y853" s="51"/>
      <c r="Z853" s="51"/>
      <c r="AA853" s="51"/>
      <c r="AB853" s="51"/>
      <c r="AC853" s="51"/>
      <c r="AD853" s="51"/>
      <c r="AE853" s="51"/>
      <c r="AF853" s="51"/>
      <c r="AG853" s="51"/>
      <c r="AH853" s="51"/>
      <c r="AI853" s="51"/>
      <c r="AJ853" s="51"/>
      <c r="AK853" s="51"/>
      <c r="AL853" s="51"/>
      <c r="AM853" s="51"/>
      <c r="AN853" s="51"/>
      <c r="AO853" s="51"/>
      <c r="AP853" s="51"/>
      <c r="AQ853" s="51"/>
      <c r="AR853" s="51"/>
      <c r="AS853" s="51"/>
      <c r="AT853" s="51"/>
      <c r="AU853" s="51"/>
      <c r="AV853" s="51"/>
      <c r="AW853" s="51"/>
    </row>
    <row r="854" spans="1:49" s="30" customFormat="1" ht="15" x14ac:dyDescent="0.25">
      <c r="A854" s="51"/>
      <c r="B854" s="51"/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  <c r="T854" s="51"/>
      <c r="U854" s="51"/>
      <c r="V854" s="51"/>
      <c r="W854" s="51"/>
      <c r="X854" s="51"/>
      <c r="Y854" s="51"/>
      <c r="Z854" s="51"/>
      <c r="AA854" s="51"/>
      <c r="AB854" s="51"/>
      <c r="AC854" s="51"/>
      <c r="AD854" s="51"/>
      <c r="AE854" s="51"/>
      <c r="AF854" s="51"/>
      <c r="AG854" s="51"/>
      <c r="AH854" s="51"/>
      <c r="AI854" s="51"/>
      <c r="AJ854" s="51"/>
      <c r="AK854" s="51"/>
      <c r="AL854" s="51"/>
      <c r="AM854" s="51"/>
      <c r="AN854" s="51"/>
      <c r="AO854" s="51"/>
      <c r="AP854" s="51"/>
      <c r="AQ854" s="51"/>
      <c r="AR854" s="51"/>
      <c r="AS854" s="51"/>
      <c r="AT854" s="51"/>
      <c r="AU854" s="51"/>
      <c r="AV854" s="51"/>
      <c r="AW854" s="51"/>
    </row>
    <row r="855" spans="1:49" s="33" customFormat="1" ht="15.75" x14ac:dyDescent="0.2">
      <c r="A855" s="51"/>
      <c r="B855" s="51"/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  <c r="T855" s="51"/>
      <c r="U855" s="51"/>
      <c r="V855" s="51"/>
      <c r="W855" s="51"/>
      <c r="X855" s="51"/>
      <c r="Y855" s="51"/>
      <c r="Z855" s="51"/>
      <c r="AA855" s="51"/>
      <c r="AB855" s="51"/>
      <c r="AC855" s="51"/>
      <c r="AD855" s="51"/>
      <c r="AE855" s="51"/>
      <c r="AF855" s="51"/>
      <c r="AG855" s="51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1"/>
      <c r="AS855" s="51"/>
      <c r="AT855" s="51"/>
      <c r="AU855" s="51"/>
      <c r="AV855" s="51"/>
      <c r="AW855" s="51"/>
    </row>
    <row r="856" spans="1:49" s="33" customFormat="1" ht="15.75" x14ac:dyDescent="0.2">
      <c r="A856" s="51"/>
      <c r="B856" s="51"/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  <c r="T856" s="51"/>
      <c r="U856" s="51"/>
      <c r="V856" s="51"/>
      <c r="W856" s="51"/>
      <c r="X856" s="51"/>
      <c r="Y856" s="51"/>
      <c r="Z856" s="51"/>
      <c r="AA856" s="51"/>
      <c r="AB856" s="51"/>
      <c r="AC856" s="51"/>
      <c r="AD856" s="51"/>
      <c r="AE856" s="51"/>
      <c r="AF856" s="51"/>
      <c r="AG856" s="51"/>
      <c r="AH856" s="51"/>
      <c r="AI856" s="51"/>
      <c r="AJ856" s="51"/>
      <c r="AK856" s="51"/>
      <c r="AL856" s="51"/>
      <c r="AM856" s="51"/>
      <c r="AN856" s="51"/>
      <c r="AO856" s="51"/>
      <c r="AP856" s="51"/>
      <c r="AQ856" s="51"/>
      <c r="AR856" s="51"/>
      <c r="AS856" s="51"/>
      <c r="AT856" s="51"/>
      <c r="AU856" s="51"/>
      <c r="AV856" s="51"/>
      <c r="AW856" s="51"/>
    </row>
    <row r="857" spans="1:49" s="33" customFormat="1" ht="15.75" x14ac:dyDescent="0.2">
      <c r="A857" s="51"/>
      <c r="B857" s="51"/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  <c r="T857" s="51"/>
      <c r="U857" s="51"/>
      <c r="V857" s="51"/>
      <c r="W857" s="51"/>
      <c r="X857" s="51"/>
      <c r="Y857" s="51"/>
      <c r="Z857" s="51"/>
      <c r="AA857" s="51"/>
      <c r="AB857" s="51"/>
      <c r="AC857" s="51"/>
      <c r="AD857" s="51"/>
      <c r="AE857" s="51"/>
      <c r="AF857" s="51"/>
      <c r="AG857" s="51"/>
      <c r="AH857" s="51"/>
      <c r="AI857" s="51"/>
      <c r="AJ857" s="51"/>
      <c r="AK857" s="51"/>
      <c r="AL857" s="51"/>
      <c r="AM857" s="51"/>
      <c r="AN857" s="51"/>
      <c r="AO857" s="51"/>
      <c r="AP857" s="51"/>
      <c r="AQ857" s="51"/>
      <c r="AR857" s="51"/>
      <c r="AS857" s="51"/>
      <c r="AT857" s="51"/>
      <c r="AU857" s="51"/>
      <c r="AV857" s="51"/>
      <c r="AW857" s="51"/>
    </row>
    <row r="858" spans="1:49" s="35" customFormat="1" x14ac:dyDescent="0.2">
      <c r="A858" s="51"/>
      <c r="B858" s="51"/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  <c r="T858" s="51"/>
      <c r="U858" s="51"/>
      <c r="V858" s="51"/>
      <c r="W858" s="51"/>
      <c r="X858" s="51"/>
      <c r="Y858" s="51"/>
      <c r="Z858" s="51"/>
      <c r="AA858" s="51"/>
      <c r="AB858" s="51"/>
      <c r="AC858" s="51"/>
      <c r="AD858" s="51"/>
      <c r="AE858" s="51"/>
      <c r="AF858" s="51"/>
      <c r="AG858" s="51"/>
      <c r="AH858" s="51"/>
      <c r="AI858" s="51"/>
      <c r="AJ858" s="51"/>
      <c r="AK858" s="51"/>
      <c r="AL858" s="51"/>
      <c r="AM858" s="51"/>
      <c r="AN858" s="51"/>
      <c r="AO858" s="51"/>
      <c r="AP858" s="51"/>
      <c r="AQ858" s="51"/>
      <c r="AR858" s="51"/>
      <c r="AS858" s="51"/>
      <c r="AT858" s="51"/>
      <c r="AU858" s="51"/>
      <c r="AV858" s="51"/>
      <c r="AW858" s="51"/>
    </row>
    <row r="859" spans="1:49" s="36" customFormat="1" x14ac:dyDescent="0.2">
      <c r="A859" s="51"/>
      <c r="B859" s="51"/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  <c r="T859" s="51"/>
      <c r="U859" s="51"/>
      <c r="V859" s="51"/>
      <c r="W859" s="51"/>
      <c r="X859" s="51"/>
      <c r="Y859" s="51"/>
      <c r="Z859" s="51"/>
      <c r="AA859" s="51"/>
      <c r="AB859" s="51"/>
      <c r="AC859" s="51"/>
      <c r="AD859" s="51"/>
      <c r="AE859" s="51"/>
      <c r="AF859" s="51"/>
      <c r="AG859" s="51"/>
      <c r="AH859" s="51"/>
      <c r="AI859" s="51"/>
      <c r="AJ859" s="51"/>
      <c r="AK859" s="51"/>
      <c r="AL859" s="51"/>
      <c r="AM859" s="51"/>
      <c r="AN859" s="51"/>
      <c r="AO859" s="51"/>
      <c r="AP859" s="51"/>
      <c r="AQ859" s="51"/>
      <c r="AR859" s="51"/>
      <c r="AS859" s="51"/>
      <c r="AT859" s="51"/>
      <c r="AU859" s="51"/>
      <c r="AV859" s="51"/>
      <c r="AW859" s="51"/>
    </row>
    <row r="860" spans="1:49" s="29" customFormat="1" ht="15" x14ac:dyDescent="0.25">
      <c r="A860" s="51"/>
      <c r="B860" s="51"/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</row>
    <row r="861" spans="1:49" s="33" customFormat="1" ht="15.75" x14ac:dyDescent="0.2">
      <c r="A861" s="51"/>
      <c r="B861" s="51"/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  <c r="T861" s="51"/>
      <c r="U861" s="51"/>
      <c r="V861" s="51"/>
      <c r="W861" s="51"/>
      <c r="X861" s="51"/>
      <c r="Y861" s="51"/>
      <c r="Z861" s="51"/>
      <c r="AA861" s="51"/>
      <c r="AB861" s="51"/>
      <c r="AC861" s="51"/>
      <c r="AD861" s="51"/>
      <c r="AE861" s="51"/>
      <c r="AF861" s="51"/>
      <c r="AG861" s="51"/>
      <c r="AH861" s="51"/>
      <c r="AI861" s="51"/>
      <c r="AJ861" s="51"/>
      <c r="AK861" s="51"/>
      <c r="AL861" s="51"/>
      <c r="AM861" s="51"/>
      <c r="AN861" s="51"/>
      <c r="AO861" s="51"/>
      <c r="AP861" s="51"/>
      <c r="AQ861" s="51"/>
      <c r="AR861" s="51"/>
      <c r="AS861" s="51"/>
      <c r="AT861" s="51"/>
      <c r="AU861" s="51"/>
      <c r="AV861" s="51"/>
      <c r="AW861" s="51"/>
    </row>
    <row r="862" spans="1:49" s="33" customFormat="1" ht="15.75" x14ac:dyDescent="0.2">
      <c r="A862" s="51"/>
      <c r="B862" s="51"/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  <c r="T862" s="51"/>
      <c r="U862" s="51"/>
      <c r="V862" s="51"/>
      <c r="W862" s="51"/>
      <c r="X862" s="51"/>
      <c r="Y862" s="51"/>
      <c r="Z862" s="51"/>
      <c r="AA862" s="51"/>
      <c r="AB862" s="51"/>
      <c r="AC862" s="51"/>
      <c r="AD862" s="51"/>
      <c r="AE862" s="51"/>
      <c r="AF862" s="51"/>
      <c r="AG862" s="51"/>
      <c r="AH862" s="51"/>
      <c r="AI862" s="51"/>
      <c r="AJ862" s="51"/>
      <c r="AK862" s="51"/>
      <c r="AL862" s="51"/>
      <c r="AM862" s="51"/>
      <c r="AN862" s="51"/>
      <c r="AO862" s="51"/>
      <c r="AP862" s="51"/>
      <c r="AQ862" s="51"/>
      <c r="AR862" s="51"/>
      <c r="AS862" s="51"/>
      <c r="AT862" s="51"/>
      <c r="AU862" s="51"/>
      <c r="AV862" s="51"/>
      <c r="AW862" s="51"/>
    </row>
    <row r="863" spans="1:49" s="37" customFormat="1" ht="15.75" x14ac:dyDescent="0.2">
      <c r="A863" s="51"/>
      <c r="B863" s="51"/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  <c r="T863" s="51"/>
      <c r="U863" s="51"/>
      <c r="V863" s="51"/>
      <c r="W863" s="51"/>
      <c r="X863" s="51"/>
      <c r="Y863" s="51"/>
      <c r="Z863" s="51"/>
      <c r="AA863" s="51"/>
      <c r="AB863" s="51"/>
      <c r="AC863" s="51"/>
      <c r="AD863" s="51"/>
      <c r="AE863" s="51"/>
      <c r="AF863" s="51"/>
      <c r="AG863" s="51"/>
      <c r="AH863" s="51"/>
      <c r="AI863" s="51"/>
      <c r="AJ863" s="51"/>
      <c r="AK863" s="51"/>
      <c r="AL863" s="51"/>
      <c r="AM863" s="51"/>
      <c r="AN863" s="51"/>
      <c r="AO863" s="51"/>
      <c r="AP863" s="51"/>
      <c r="AQ863" s="51"/>
      <c r="AR863" s="51"/>
      <c r="AS863" s="51"/>
      <c r="AT863" s="51"/>
      <c r="AU863" s="51"/>
      <c r="AV863" s="51"/>
      <c r="AW863" s="51"/>
    </row>
    <row r="864" spans="1:49" s="33" customFormat="1" ht="15.75" x14ac:dyDescent="0.2">
      <c r="A864" s="51"/>
      <c r="B864" s="51"/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</row>
    <row r="865" spans="1:49" s="32" customFormat="1" ht="15" x14ac:dyDescent="0.25">
      <c r="A865" s="51"/>
      <c r="B865" s="51"/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  <c r="T865" s="51"/>
      <c r="U865" s="51"/>
      <c r="V865" s="51"/>
      <c r="W865" s="51"/>
      <c r="X865" s="51"/>
      <c r="Y865" s="51"/>
      <c r="Z865" s="51"/>
      <c r="AA865" s="51"/>
      <c r="AB865" s="51"/>
      <c r="AC865" s="51"/>
      <c r="AD865" s="51"/>
      <c r="AE865" s="51"/>
      <c r="AF865" s="51"/>
      <c r="AG865" s="51"/>
      <c r="AH865" s="51"/>
      <c r="AI865" s="51"/>
      <c r="AJ865" s="51"/>
      <c r="AK865" s="51"/>
      <c r="AL865" s="51"/>
      <c r="AM865" s="51"/>
      <c r="AN865" s="51"/>
      <c r="AO865" s="51"/>
      <c r="AP865" s="51"/>
      <c r="AQ865" s="51"/>
      <c r="AR865" s="51"/>
      <c r="AS865" s="51"/>
      <c r="AT865" s="51"/>
      <c r="AU865" s="51"/>
      <c r="AV865" s="51"/>
      <c r="AW865" s="51"/>
    </row>
    <row r="866" spans="1:49" s="37" customFormat="1" ht="15.75" x14ac:dyDescent="0.2">
      <c r="A866" s="51"/>
      <c r="B866" s="51"/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  <c r="T866" s="51"/>
      <c r="U866" s="51"/>
      <c r="V866" s="51"/>
      <c r="W866" s="51"/>
      <c r="X866" s="51"/>
      <c r="Y866" s="51"/>
      <c r="Z866" s="51"/>
      <c r="AA866" s="51"/>
      <c r="AB866" s="51"/>
      <c r="AC866" s="51"/>
      <c r="AD866" s="51"/>
      <c r="AE866" s="51"/>
      <c r="AF866" s="51"/>
      <c r="AG866" s="51"/>
      <c r="AH866" s="51"/>
      <c r="AI866" s="51"/>
      <c r="AJ866" s="51"/>
      <c r="AK866" s="51"/>
      <c r="AL866" s="51"/>
      <c r="AM866" s="51"/>
      <c r="AN866" s="51"/>
      <c r="AO866" s="51"/>
      <c r="AP866" s="51"/>
      <c r="AQ866" s="51"/>
      <c r="AR866" s="51"/>
      <c r="AS866" s="51"/>
      <c r="AT866" s="51"/>
      <c r="AU866" s="51"/>
      <c r="AV866" s="51"/>
      <c r="AW866" s="51"/>
    </row>
    <row r="867" spans="1:49" s="32" customFormat="1" ht="15" x14ac:dyDescent="0.25">
      <c r="A867" s="51"/>
      <c r="B867" s="51"/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  <c r="T867" s="51"/>
      <c r="U867" s="51"/>
      <c r="V867" s="51"/>
      <c r="W867" s="51"/>
      <c r="X867" s="51"/>
      <c r="Y867" s="51"/>
      <c r="Z867" s="51"/>
      <c r="AA867" s="51"/>
      <c r="AB867" s="51"/>
      <c r="AC867" s="51"/>
      <c r="AD867" s="51"/>
      <c r="AE867" s="51"/>
      <c r="AF867" s="51"/>
      <c r="AG867" s="51"/>
      <c r="AH867" s="51"/>
      <c r="AI867" s="51"/>
      <c r="AJ867" s="51"/>
      <c r="AK867" s="51"/>
      <c r="AL867" s="51"/>
      <c r="AM867" s="51"/>
      <c r="AN867" s="51"/>
      <c r="AO867" s="51"/>
      <c r="AP867" s="51"/>
      <c r="AQ867" s="51"/>
      <c r="AR867" s="51"/>
      <c r="AS867" s="51"/>
      <c r="AT867" s="51"/>
      <c r="AU867" s="51"/>
      <c r="AV867" s="51"/>
      <c r="AW867" s="51"/>
    </row>
    <row r="868" spans="1:49" s="33" customFormat="1" ht="15.75" x14ac:dyDescent="0.2">
      <c r="A868" s="51"/>
      <c r="B868" s="51"/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  <c r="T868" s="51"/>
      <c r="U868" s="51"/>
      <c r="V868" s="51"/>
      <c r="W868" s="51"/>
      <c r="X868" s="51"/>
      <c r="Y868" s="51"/>
      <c r="Z868" s="51"/>
      <c r="AA868" s="51"/>
      <c r="AB868" s="51"/>
      <c r="AC868" s="51"/>
      <c r="AD868" s="51"/>
      <c r="AE868" s="51"/>
      <c r="AF868" s="51"/>
      <c r="AG868" s="51"/>
      <c r="AH868" s="51"/>
      <c r="AI868" s="51"/>
      <c r="AJ868" s="51"/>
      <c r="AK868" s="51"/>
      <c r="AL868" s="51"/>
      <c r="AM868" s="51"/>
      <c r="AN868" s="51"/>
      <c r="AO868" s="51"/>
      <c r="AP868" s="51"/>
      <c r="AQ868" s="51"/>
      <c r="AR868" s="51"/>
      <c r="AS868" s="51"/>
      <c r="AT868" s="51"/>
      <c r="AU868" s="51"/>
      <c r="AV868" s="51"/>
      <c r="AW868" s="51"/>
    </row>
    <row r="869" spans="1:49" s="28" customFormat="1" ht="15" x14ac:dyDescent="0.25">
      <c r="A869" s="51"/>
      <c r="B869" s="51"/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  <c r="T869" s="51"/>
      <c r="U869" s="51"/>
      <c r="V869" s="51"/>
      <c r="W869" s="51"/>
      <c r="X869" s="51"/>
      <c r="Y869" s="51"/>
      <c r="Z869" s="51"/>
      <c r="AA869" s="51"/>
      <c r="AB869" s="51"/>
      <c r="AC869" s="51"/>
      <c r="AD869" s="51"/>
      <c r="AE869" s="51"/>
      <c r="AF869" s="51"/>
      <c r="AG869" s="51"/>
      <c r="AH869" s="51"/>
      <c r="AI869" s="51"/>
      <c r="AJ869" s="51"/>
      <c r="AK869" s="51"/>
      <c r="AL869" s="51"/>
      <c r="AM869" s="51"/>
      <c r="AN869" s="51"/>
      <c r="AO869" s="51"/>
      <c r="AP869" s="51"/>
      <c r="AQ869" s="51"/>
      <c r="AR869" s="51"/>
      <c r="AS869" s="51"/>
      <c r="AT869" s="51"/>
      <c r="AU869" s="51"/>
      <c r="AV869" s="51"/>
      <c r="AW869" s="51"/>
    </row>
    <row r="870" spans="1:49" s="17" customFormat="1" ht="15" x14ac:dyDescent="0.25">
      <c r="A870" s="51"/>
      <c r="B870" s="51"/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  <c r="T870" s="51"/>
      <c r="U870" s="51"/>
      <c r="V870" s="51"/>
      <c r="W870" s="51"/>
      <c r="X870" s="51"/>
      <c r="Y870" s="51"/>
      <c r="Z870" s="51"/>
      <c r="AA870" s="51"/>
      <c r="AB870" s="51"/>
      <c r="AC870" s="51"/>
      <c r="AD870" s="51"/>
      <c r="AE870" s="51"/>
      <c r="AF870" s="51"/>
      <c r="AG870" s="51"/>
      <c r="AH870" s="51"/>
      <c r="AI870" s="51"/>
      <c r="AJ870" s="51"/>
      <c r="AK870" s="51"/>
      <c r="AL870" s="51"/>
      <c r="AM870" s="51"/>
      <c r="AN870" s="51"/>
      <c r="AO870" s="51"/>
      <c r="AP870" s="51"/>
      <c r="AQ870" s="51"/>
      <c r="AR870" s="51"/>
      <c r="AS870" s="51"/>
      <c r="AT870" s="51"/>
      <c r="AU870" s="51"/>
      <c r="AV870" s="51"/>
      <c r="AW870" s="51"/>
    </row>
    <row r="871" spans="1:49" s="38" customFormat="1" ht="15" x14ac:dyDescent="0.25">
      <c r="A871" s="51"/>
      <c r="B871" s="51"/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</row>
    <row r="872" spans="1:49" s="38" customFormat="1" ht="15" x14ac:dyDescent="0.25">
      <c r="A872" s="51"/>
      <c r="B872" s="51"/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  <c r="T872" s="51"/>
      <c r="U872" s="51"/>
      <c r="V872" s="51"/>
      <c r="W872" s="51"/>
      <c r="X872" s="51"/>
      <c r="Y872" s="51"/>
      <c r="Z872" s="51"/>
      <c r="AA872" s="51"/>
      <c r="AB872" s="51"/>
      <c r="AC872" s="51"/>
      <c r="AD872" s="51"/>
      <c r="AE872" s="51"/>
      <c r="AF872" s="51"/>
      <c r="AG872" s="51"/>
      <c r="AH872" s="51"/>
      <c r="AI872" s="51"/>
      <c r="AJ872" s="51"/>
      <c r="AK872" s="51"/>
      <c r="AL872" s="51"/>
      <c r="AM872" s="51"/>
      <c r="AN872" s="51"/>
      <c r="AO872" s="51"/>
      <c r="AP872" s="51"/>
      <c r="AQ872" s="51"/>
      <c r="AR872" s="51"/>
      <c r="AS872" s="51"/>
      <c r="AT872" s="51"/>
      <c r="AU872" s="51"/>
      <c r="AV872" s="51"/>
      <c r="AW872" s="51"/>
    </row>
    <row r="873" spans="1:49" s="33" customFormat="1" ht="15.75" x14ac:dyDescent="0.2">
      <c r="A873" s="51"/>
      <c r="B873" s="51"/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  <c r="T873" s="51"/>
      <c r="U873" s="51"/>
      <c r="V873" s="51"/>
      <c r="W873" s="51"/>
      <c r="X873" s="51"/>
      <c r="Y873" s="51"/>
      <c r="Z873" s="51"/>
      <c r="AA873" s="51"/>
      <c r="AB873" s="51"/>
      <c r="AC873" s="51"/>
      <c r="AD873" s="51"/>
      <c r="AE873" s="51"/>
      <c r="AF873" s="51"/>
      <c r="AG873" s="51"/>
      <c r="AH873" s="51"/>
      <c r="AI873" s="51"/>
      <c r="AJ873" s="51"/>
      <c r="AK873" s="51"/>
      <c r="AL873" s="51"/>
      <c r="AM873" s="51"/>
      <c r="AN873" s="51"/>
      <c r="AO873" s="51"/>
      <c r="AP873" s="51"/>
      <c r="AQ873" s="51"/>
      <c r="AR873" s="51"/>
      <c r="AS873" s="51"/>
      <c r="AT873" s="51"/>
      <c r="AU873" s="51"/>
      <c r="AV873" s="51"/>
      <c r="AW873" s="51"/>
    </row>
    <row r="874" spans="1:49" s="33" customFormat="1" ht="15.75" x14ac:dyDescent="0.2">
      <c r="A874" s="51"/>
      <c r="B874" s="51"/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  <c r="T874" s="51"/>
      <c r="U874" s="51"/>
      <c r="V874" s="51"/>
      <c r="W874" s="51"/>
      <c r="X874" s="51"/>
      <c r="Y874" s="51"/>
      <c r="Z874" s="51"/>
      <c r="AA874" s="51"/>
      <c r="AB874" s="51"/>
      <c r="AC874" s="51"/>
      <c r="AD874" s="51"/>
      <c r="AE874" s="51"/>
      <c r="AF874" s="51"/>
      <c r="AG874" s="51"/>
      <c r="AH874" s="51"/>
      <c r="AI874" s="51"/>
      <c r="AJ874" s="51"/>
      <c r="AK874" s="51"/>
      <c r="AL874" s="51"/>
      <c r="AM874" s="51"/>
      <c r="AN874" s="51"/>
      <c r="AO874" s="51"/>
      <c r="AP874" s="51"/>
      <c r="AQ874" s="51"/>
      <c r="AR874" s="51"/>
      <c r="AS874" s="51"/>
      <c r="AT874" s="51"/>
      <c r="AU874" s="51"/>
      <c r="AV874" s="51"/>
      <c r="AW874" s="51"/>
    </row>
    <row r="875" spans="1:49" s="33" customFormat="1" ht="15.75" x14ac:dyDescent="0.2">
      <c r="A875" s="51"/>
      <c r="B875" s="51"/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  <c r="T875" s="51"/>
      <c r="U875" s="51"/>
      <c r="V875" s="51"/>
      <c r="W875" s="51"/>
      <c r="X875" s="51"/>
      <c r="Y875" s="51"/>
      <c r="Z875" s="51"/>
      <c r="AA875" s="51"/>
      <c r="AB875" s="51"/>
      <c r="AC875" s="51"/>
      <c r="AD875" s="51"/>
      <c r="AE875" s="51"/>
      <c r="AF875" s="51"/>
      <c r="AG875" s="51"/>
      <c r="AH875" s="51"/>
      <c r="AI875" s="51"/>
      <c r="AJ875" s="51"/>
      <c r="AK875" s="51"/>
      <c r="AL875" s="51"/>
      <c r="AM875" s="51"/>
      <c r="AN875" s="51"/>
      <c r="AO875" s="51"/>
      <c r="AP875" s="51"/>
      <c r="AQ875" s="51"/>
      <c r="AR875" s="51"/>
      <c r="AS875" s="51"/>
      <c r="AT875" s="51"/>
      <c r="AU875" s="51"/>
      <c r="AV875" s="51"/>
      <c r="AW875" s="51"/>
    </row>
    <row r="876" spans="1:49" s="28" customFormat="1" ht="15" x14ac:dyDescent="0.25">
      <c r="A876" s="51"/>
      <c r="B876" s="51"/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  <c r="T876" s="51"/>
      <c r="U876" s="51"/>
      <c r="V876" s="51"/>
      <c r="W876" s="51"/>
      <c r="X876" s="51"/>
      <c r="Y876" s="51"/>
      <c r="Z876" s="51"/>
      <c r="AA876" s="51"/>
      <c r="AB876" s="51"/>
      <c r="AC876" s="51"/>
      <c r="AD876" s="51"/>
      <c r="AE876" s="51"/>
      <c r="AF876" s="51"/>
      <c r="AG876" s="51"/>
      <c r="AH876" s="51"/>
      <c r="AI876" s="51"/>
      <c r="AJ876" s="51"/>
      <c r="AK876" s="51"/>
      <c r="AL876" s="51"/>
      <c r="AM876" s="51"/>
      <c r="AN876" s="51"/>
      <c r="AO876" s="51"/>
      <c r="AP876" s="51"/>
      <c r="AQ876" s="51"/>
      <c r="AR876" s="51"/>
      <c r="AS876" s="51"/>
      <c r="AT876" s="51"/>
      <c r="AU876" s="51"/>
      <c r="AV876" s="51"/>
      <c r="AW876" s="51"/>
    </row>
    <row r="877" spans="1:49" s="33" customFormat="1" ht="15.75" x14ac:dyDescent="0.2">
      <c r="A877" s="51"/>
      <c r="B877" s="51"/>
      <c r="C877" s="51"/>
      <c r="D877" s="51"/>
      <c r="E877" s="51"/>
      <c r="F877" s="51"/>
      <c r="G877" s="51"/>
      <c r="H877" s="51"/>
      <c r="I877" s="51"/>
      <c r="J877" s="51"/>
      <c r="K877" s="51"/>
      <c r="L877" s="51"/>
      <c r="M877" s="51"/>
      <c r="N877" s="51"/>
      <c r="O877" s="51"/>
      <c r="P877" s="51"/>
      <c r="Q877" s="51"/>
      <c r="R877" s="51"/>
      <c r="S877" s="51"/>
      <c r="T877" s="51"/>
      <c r="U877" s="51"/>
      <c r="V877" s="51"/>
      <c r="W877" s="51"/>
      <c r="X877" s="51"/>
      <c r="Y877" s="51"/>
      <c r="Z877" s="51"/>
      <c r="AA877" s="51"/>
      <c r="AB877" s="51"/>
      <c r="AC877" s="51"/>
      <c r="AD877" s="51"/>
      <c r="AE877" s="51"/>
      <c r="AF877" s="51"/>
      <c r="AG877" s="51"/>
      <c r="AH877" s="51"/>
      <c r="AI877" s="51"/>
      <c r="AJ877" s="51"/>
      <c r="AK877" s="51"/>
      <c r="AL877" s="51"/>
      <c r="AM877" s="51"/>
      <c r="AN877" s="51"/>
      <c r="AO877" s="51"/>
      <c r="AP877" s="51"/>
      <c r="AQ877" s="51"/>
      <c r="AR877" s="51"/>
      <c r="AS877" s="51"/>
      <c r="AT877" s="51"/>
      <c r="AU877" s="51"/>
      <c r="AV877" s="51"/>
      <c r="AW877" s="51"/>
    </row>
    <row r="878" spans="1:49" s="28" customFormat="1" ht="15" x14ac:dyDescent="0.25">
      <c r="A878" s="51"/>
      <c r="B878" s="51"/>
      <c r="C878" s="51"/>
      <c r="D878" s="51"/>
      <c r="E878" s="51"/>
      <c r="F878" s="51"/>
      <c r="G878" s="51"/>
      <c r="H878" s="51"/>
      <c r="I878" s="51"/>
      <c r="J878" s="51"/>
      <c r="K878" s="51"/>
      <c r="L878" s="51"/>
      <c r="M878" s="51"/>
      <c r="N878" s="51"/>
      <c r="O878" s="51"/>
      <c r="P878" s="51"/>
      <c r="Q878" s="51"/>
      <c r="R878" s="51"/>
      <c r="S878" s="51"/>
      <c r="T878" s="51"/>
      <c r="U878" s="51"/>
      <c r="V878" s="51"/>
      <c r="W878" s="51"/>
      <c r="X878" s="51"/>
      <c r="Y878" s="51"/>
      <c r="Z878" s="51"/>
      <c r="AA878" s="51"/>
      <c r="AB878" s="51"/>
      <c r="AC878" s="51"/>
      <c r="AD878" s="51"/>
      <c r="AE878" s="51"/>
      <c r="AF878" s="51"/>
      <c r="AG878" s="51"/>
      <c r="AH878" s="51"/>
      <c r="AI878" s="51"/>
      <c r="AJ878" s="51"/>
      <c r="AK878" s="51"/>
      <c r="AL878" s="51"/>
      <c r="AM878" s="51"/>
      <c r="AN878" s="51"/>
      <c r="AO878" s="51"/>
      <c r="AP878" s="51"/>
      <c r="AQ878" s="51"/>
      <c r="AR878" s="51"/>
      <c r="AS878" s="51"/>
      <c r="AT878" s="51"/>
      <c r="AU878" s="51"/>
      <c r="AV878" s="51"/>
      <c r="AW878" s="51"/>
    </row>
    <row r="879" spans="1:49" s="28" customFormat="1" ht="15" x14ac:dyDescent="0.25">
      <c r="A879" s="51"/>
      <c r="B879" s="51"/>
      <c r="C879" s="51"/>
      <c r="D879" s="51"/>
      <c r="E879" s="51"/>
      <c r="F879" s="51"/>
      <c r="G879" s="51"/>
      <c r="H879" s="51"/>
      <c r="I879" s="51"/>
      <c r="J879" s="51"/>
      <c r="K879" s="51"/>
      <c r="L879" s="51"/>
      <c r="M879" s="51"/>
      <c r="N879" s="51"/>
      <c r="O879" s="51"/>
      <c r="P879" s="51"/>
      <c r="Q879" s="51"/>
      <c r="R879" s="51"/>
      <c r="S879" s="51"/>
      <c r="T879" s="51"/>
      <c r="U879" s="51"/>
      <c r="V879" s="51"/>
      <c r="W879" s="51"/>
      <c r="X879" s="51"/>
      <c r="Y879" s="51"/>
      <c r="Z879" s="51"/>
      <c r="AA879" s="51"/>
      <c r="AB879" s="51"/>
      <c r="AC879" s="51"/>
      <c r="AD879" s="51"/>
      <c r="AE879" s="51"/>
      <c r="AF879" s="51"/>
      <c r="AG879" s="51"/>
      <c r="AH879" s="51"/>
      <c r="AI879" s="51"/>
      <c r="AJ879" s="51"/>
      <c r="AK879" s="51"/>
      <c r="AL879" s="51"/>
      <c r="AM879" s="51"/>
      <c r="AN879" s="51"/>
      <c r="AO879" s="51"/>
      <c r="AP879" s="51"/>
      <c r="AQ879" s="51"/>
      <c r="AR879" s="51"/>
      <c r="AS879" s="51"/>
      <c r="AT879" s="51"/>
      <c r="AU879" s="51"/>
      <c r="AV879" s="51"/>
      <c r="AW879" s="51"/>
    </row>
    <row r="880" spans="1:49" s="28" customFormat="1" ht="15" x14ac:dyDescent="0.25">
      <c r="A880" s="51"/>
      <c r="B880" s="51"/>
      <c r="C880" s="51"/>
      <c r="D880" s="51"/>
      <c r="E880" s="51"/>
      <c r="F880" s="51"/>
      <c r="G880" s="51"/>
      <c r="H880" s="5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</row>
    <row r="881" spans="1:49" s="28" customFormat="1" ht="15" x14ac:dyDescent="0.25">
      <c r="A881" s="51"/>
      <c r="B881" s="51"/>
      <c r="C881" s="51"/>
      <c r="D881" s="51"/>
      <c r="E881" s="51"/>
      <c r="F881" s="51"/>
      <c r="G881" s="51"/>
      <c r="H881" s="51"/>
      <c r="I881" s="51"/>
      <c r="J881" s="51"/>
      <c r="K881" s="51"/>
      <c r="L881" s="51"/>
      <c r="M881" s="51"/>
      <c r="N881" s="51"/>
      <c r="O881" s="51"/>
      <c r="P881" s="51"/>
      <c r="Q881" s="51"/>
      <c r="R881" s="51"/>
      <c r="S881" s="51"/>
      <c r="T881" s="51"/>
      <c r="U881" s="51"/>
      <c r="V881" s="51"/>
      <c r="W881" s="51"/>
      <c r="X881" s="51"/>
      <c r="Y881" s="51"/>
      <c r="Z881" s="51"/>
      <c r="AA881" s="51"/>
      <c r="AB881" s="51"/>
      <c r="AC881" s="51"/>
      <c r="AD881" s="51"/>
      <c r="AE881" s="51"/>
      <c r="AF881" s="51"/>
      <c r="AG881" s="51"/>
      <c r="AH881" s="51"/>
      <c r="AI881" s="51"/>
      <c r="AJ881" s="51"/>
      <c r="AK881" s="51"/>
      <c r="AL881" s="51"/>
      <c r="AM881" s="51"/>
      <c r="AN881" s="51"/>
      <c r="AO881" s="51"/>
      <c r="AP881" s="51"/>
      <c r="AQ881" s="51"/>
      <c r="AR881" s="51"/>
      <c r="AS881" s="51"/>
      <c r="AT881" s="51"/>
      <c r="AU881" s="51"/>
      <c r="AV881" s="51"/>
      <c r="AW881" s="51"/>
    </row>
    <row r="882" spans="1:49" s="33" customFormat="1" ht="15.75" x14ac:dyDescent="0.2">
      <c r="A882" s="51"/>
      <c r="B882" s="51"/>
      <c r="C882" s="51"/>
      <c r="D882" s="51"/>
      <c r="E882" s="51"/>
      <c r="F882" s="51"/>
      <c r="G882" s="51"/>
      <c r="H882" s="51"/>
      <c r="I882" s="51"/>
      <c r="J882" s="51"/>
      <c r="K882" s="51"/>
      <c r="L882" s="51"/>
      <c r="M882" s="51"/>
      <c r="N882" s="51"/>
      <c r="O882" s="51"/>
      <c r="P882" s="51"/>
      <c r="Q882" s="51"/>
      <c r="R882" s="51"/>
      <c r="S882" s="51"/>
      <c r="T882" s="51"/>
      <c r="U882" s="51"/>
      <c r="V882" s="51"/>
      <c r="W882" s="51"/>
      <c r="X882" s="51"/>
      <c r="Y882" s="51"/>
      <c r="Z882" s="51"/>
      <c r="AA882" s="51"/>
      <c r="AB882" s="51"/>
      <c r="AC882" s="51"/>
      <c r="AD882" s="51"/>
      <c r="AE882" s="51"/>
      <c r="AF882" s="51"/>
      <c r="AG882" s="51"/>
      <c r="AH882" s="51"/>
      <c r="AI882" s="51"/>
      <c r="AJ882" s="51"/>
      <c r="AK882" s="51"/>
      <c r="AL882" s="51"/>
      <c r="AM882" s="51"/>
      <c r="AN882" s="51"/>
      <c r="AO882" s="51"/>
      <c r="AP882" s="51"/>
      <c r="AQ882" s="51"/>
      <c r="AR882" s="51"/>
      <c r="AS882" s="51"/>
      <c r="AT882" s="51"/>
      <c r="AU882" s="51"/>
      <c r="AV882" s="51"/>
      <c r="AW882" s="51"/>
    </row>
    <row r="1200" spans="1:49" s="33" customFormat="1" ht="15.75" x14ac:dyDescent="0.2">
      <c r="A1200" s="51"/>
      <c r="B1200" s="51"/>
      <c r="C1200" s="51"/>
      <c r="D1200" s="51"/>
      <c r="E1200" s="51"/>
      <c r="F1200" s="51"/>
      <c r="G1200" s="51"/>
      <c r="H1200" s="51"/>
      <c r="I1200" s="51"/>
      <c r="J1200" s="51"/>
      <c r="K1200" s="51"/>
      <c r="L1200" s="51"/>
      <c r="M1200" s="51"/>
      <c r="N1200" s="51"/>
      <c r="O1200" s="51"/>
      <c r="P1200" s="51"/>
      <c r="Q1200" s="51"/>
      <c r="R1200" s="51"/>
      <c r="S1200" s="51"/>
      <c r="T1200" s="51"/>
      <c r="U1200" s="51"/>
      <c r="V1200" s="51"/>
      <c r="W1200" s="51"/>
      <c r="X1200" s="51"/>
      <c r="Y1200" s="51"/>
      <c r="Z1200" s="51"/>
      <c r="AA1200" s="51"/>
      <c r="AB1200" s="51"/>
      <c r="AC1200" s="51"/>
      <c r="AD1200" s="51"/>
      <c r="AE1200" s="51"/>
      <c r="AF1200" s="51"/>
      <c r="AG1200" s="51"/>
      <c r="AH1200" s="51"/>
      <c r="AI1200" s="51"/>
      <c r="AJ1200" s="51"/>
      <c r="AK1200" s="51"/>
      <c r="AL1200" s="51"/>
      <c r="AM1200" s="51"/>
      <c r="AN1200" s="51"/>
      <c r="AO1200" s="51"/>
      <c r="AP1200" s="51"/>
      <c r="AQ1200" s="51"/>
      <c r="AR1200" s="51"/>
      <c r="AS1200" s="51"/>
      <c r="AT1200" s="51"/>
      <c r="AU1200" s="51"/>
      <c r="AV1200" s="51"/>
      <c r="AW1200" s="51"/>
    </row>
    <row r="1201" spans="1:49" s="33" customFormat="1" ht="15.75" x14ac:dyDescent="0.2">
      <c r="A1201" s="51"/>
      <c r="B1201" s="51"/>
      <c r="C1201" s="51"/>
      <c r="D1201" s="51"/>
      <c r="E1201" s="51"/>
      <c r="F1201" s="51"/>
      <c r="G1201" s="51"/>
      <c r="H1201" s="51"/>
      <c r="I1201" s="51"/>
      <c r="J1201" s="51"/>
      <c r="K1201" s="51"/>
      <c r="L1201" s="51"/>
      <c r="M1201" s="51"/>
      <c r="N1201" s="51"/>
      <c r="O1201" s="51"/>
      <c r="P1201" s="51"/>
      <c r="Q1201" s="51"/>
      <c r="R1201" s="51"/>
      <c r="S1201" s="51"/>
      <c r="T1201" s="51"/>
      <c r="U1201" s="51"/>
      <c r="V1201" s="51"/>
      <c r="W1201" s="51"/>
      <c r="X1201" s="51"/>
      <c r="Y1201" s="51"/>
      <c r="Z1201" s="51"/>
      <c r="AA1201" s="51"/>
      <c r="AB1201" s="51"/>
      <c r="AC1201" s="51"/>
      <c r="AD1201" s="51"/>
      <c r="AE1201" s="51"/>
      <c r="AF1201" s="51"/>
      <c r="AG1201" s="51"/>
      <c r="AH1201" s="51"/>
      <c r="AI1201" s="51"/>
      <c r="AJ1201" s="51"/>
      <c r="AK1201" s="51"/>
      <c r="AL1201" s="51"/>
      <c r="AM1201" s="51"/>
      <c r="AN1201" s="51"/>
      <c r="AO1201" s="51"/>
      <c r="AP1201" s="51"/>
      <c r="AQ1201" s="51"/>
      <c r="AR1201" s="51"/>
      <c r="AS1201" s="51"/>
      <c r="AT1201" s="51"/>
      <c r="AU1201" s="51"/>
      <c r="AV1201" s="51"/>
      <c r="AW1201" s="51"/>
    </row>
    <row r="1202" spans="1:49" s="28" customFormat="1" ht="15" x14ac:dyDescent="0.25">
      <c r="A1202" s="51"/>
      <c r="B1202" s="51"/>
      <c r="C1202" s="51"/>
      <c r="D1202" s="51"/>
      <c r="E1202" s="51"/>
      <c r="F1202" s="51"/>
      <c r="G1202" s="51"/>
      <c r="H1202" s="51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  <c r="Y1202" s="51"/>
      <c r="Z1202" s="51"/>
      <c r="AA1202" s="51"/>
      <c r="AB1202" s="51"/>
      <c r="AC1202" s="51"/>
      <c r="AD1202" s="51"/>
      <c r="AE1202" s="51"/>
      <c r="AF1202" s="51"/>
      <c r="AG1202" s="51"/>
      <c r="AH1202" s="51"/>
      <c r="AI1202" s="51"/>
      <c r="AJ1202" s="51"/>
      <c r="AK1202" s="51"/>
      <c r="AL1202" s="51"/>
      <c r="AM1202" s="51"/>
      <c r="AN1202" s="51"/>
      <c r="AO1202" s="51"/>
      <c r="AP1202" s="51"/>
      <c r="AQ1202" s="51"/>
      <c r="AR1202" s="51"/>
      <c r="AS1202" s="51"/>
      <c r="AT1202" s="51"/>
      <c r="AU1202" s="51"/>
      <c r="AV1202" s="51"/>
      <c r="AW1202" s="51"/>
    </row>
    <row r="1203" spans="1:49" s="28" customFormat="1" ht="15" x14ac:dyDescent="0.25">
      <c r="A1203" s="51"/>
      <c r="B1203" s="51"/>
      <c r="C1203" s="51"/>
      <c r="D1203" s="51"/>
      <c r="E1203" s="51"/>
      <c r="F1203" s="51"/>
      <c r="G1203" s="51"/>
      <c r="H1203" s="51"/>
      <c r="I1203" s="51"/>
      <c r="J1203" s="51"/>
      <c r="K1203" s="51"/>
      <c r="L1203" s="51"/>
      <c r="M1203" s="51"/>
      <c r="N1203" s="51"/>
      <c r="O1203" s="51"/>
      <c r="P1203" s="51"/>
      <c r="Q1203" s="51"/>
      <c r="R1203" s="51"/>
      <c r="S1203" s="51"/>
      <c r="T1203" s="51"/>
      <c r="U1203" s="51"/>
      <c r="V1203" s="51"/>
      <c r="W1203" s="51"/>
      <c r="X1203" s="51"/>
      <c r="Y1203" s="51"/>
      <c r="Z1203" s="51"/>
      <c r="AA1203" s="51"/>
      <c r="AB1203" s="51"/>
      <c r="AC1203" s="51"/>
      <c r="AD1203" s="51"/>
      <c r="AE1203" s="51"/>
      <c r="AF1203" s="51"/>
      <c r="AG1203" s="51"/>
      <c r="AH1203" s="51"/>
      <c r="AI1203" s="51"/>
      <c r="AJ1203" s="51"/>
      <c r="AK1203" s="51"/>
      <c r="AL1203" s="51"/>
      <c r="AM1203" s="51"/>
      <c r="AN1203" s="51"/>
      <c r="AO1203" s="51"/>
      <c r="AP1203" s="51"/>
      <c r="AQ1203" s="51"/>
      <c r="AR1203" s="51"/>
      <c r="AS1203" s="51"/>
      <c r="AT1203" s="51"/>
      <c r="AU1203" s="51"/>
      <c r="AV1203" s="51"/>
      <c r="AW1203" s="51"/>
    </row>
    <row r="1204" spans="1:49" s="32" customFormat="1" ht="15" x14ac:dyDescent="0.25">
      <c r="A1204" s="51"/>
      <c r="B1204" s="51"/>
      <c r="C1204" s="51"/>
      <c r="D1204" s="51"/>
      <c r="E1204" s="51"/>
      <c r="F1204" s="51"/>
      <c r="G1204" s="51"/>
      <c r="H1204" s="51"/>
      <c r="I1204" s="51"/>
      <c r="J1204" s="51"/>
      <c r="K1204" s="51"/>
      <c r="L1204" s="51"/>
      <c r="M1204" s="51"/>
      <c r="N1204" s="51"/>
      <c r="O1204" s="51"/>
      <c r="P1204" s="51"/>
      <c r="Q1204" s="51"/>
      <c r="R1204" s="51"/>
      <c r="S1204" s="51"/>
      <c r="T1204" s="51"/>
      <c r="U1204" s="51"/>
      <c r="V1204" s="51"/>
      <c r="W1204" s="51"/>
      <c r="X1204" s="51"/>
      <c r="Y1204" s="51"/>
      <c r="Z1204" s="51"/>
      <c r="AA1204" s="51"/>
      <c r="AB1204" s="51"/>
      <c r="AC1204" s="51"/>
      <c r="AD1204" s="51"/>
      <c r="AE1204" s="51"/>
      <c r="AF1204" s="51"/>
      <c r="AG1204" s="51"/>
      <c r="AH1204" s="51"/>
      <c r="AI1204" s="51"/>
      <c r="AJ1204" s="51"/>
      <c r="AK1204" s="51"/>
      <c r="AL1204" s="51"/>
      <c r="AM1204" s="51"/>
      <c r="AN1204" s="51"/>
      <c r="AO1204" s="51"/>
      <c r="AP1204" s="51"/>
      <c r="AQ1204" s="51"/>
      <c r="AR1204" s="51"/>
      <c r="AS1204" s="51"/>
      <c r="AT1204" s="51"/>
      <c r="AU1204" s="51"/>
      <c r="AV1204" s="51"/>
      <c r="AW1204" s="51"/>
    </row>
    <row r="1205" spans="1:49" s="32" customFormat="1" ht="15" x14ac:dyDescent="0.25">
      <c r="A1205" s="51"/>
      <c r="B1205" s="51"/>
      <c r="C1205" s="51"/>
      <c r="D1205" s="51"/>
      <c r="E1205" s="51"/>
      <c r="F1205" s="51"/>
      <c r="G1205" s="51"/>
      <c r="H1205" s="51"/>
      <c r="I1205" s="51"/>
      <c r="J1205" s="51"/>
      <c r="K1205" s="51"/>
      <c r="L1205" s="51"/>
      <c r="M1205" s="51"/>
      <c r="N1205" s="51"/>
      <c r="O1205" s="51"/>
      <c r="P1205" s="51"/>
      <c r="Q1205" s="51"/>
      <c r="R1205" s="51"/>
      <c r="S1205" s="51"/>
      <c r="T1205" s="51"/>
      <c r="U1205" s="51"/>
      <c r="V1205" s="51"/>
      <c r="W1205" s="51"/>
      <c r="X1205" s="51"/>
      <c r="Y1205" s="51"/>
      <c r="Z1205" s="51"/>
      <c r="AA1205" s="51"/>
      <c r="AB1205" s="51"/>
      <c r="AC1205" s="51"/>
      <c r="AD1205" s="51"/>
      <c r="AE1205" s="51"/>
      <c r="AF1205" s="51"/>
      <c r="AG1205" s="51"/>
      <c r="AH1205" s="51"/>
      <c r="AI1205" s="51"/>
      <c r="AJ1205" s="51"/>
      <c r="AK1205" s="51"/>
      <c r="AL1205" s="51"/>
      <c r="AM1205" s="51"/>
      <c r="AN1205" s="51"/>
      <c r="AO1205" s="51"/>
      <c r="AP1205" s="51"/>
      <c r="AQ1205" s="51"/>
      <c r="AR1205" s="51"/>
      <c r="AS1205" s="51"/>
      <c r="AT1205" s="51"/>
      <c r="AU1205" s="51"/>
      <c r="AV1205" s="51"/>
      <c r="AW1205" s="51"/>
    </row>
    <row r="1206" spans="1:49" s="17" customFormat="1" ht="15" x14ac:dyDescent="0.25">
      <c r="A1206" s="51"/>
      <c r="B1206" s="51"/>
      <c r="C1206" s="51"/>
      <c r="D1206" s="51"/>
      <c r="E1206" s="51"/>
      <c r="F1206" s="51"/>
      <c r="G1206" s="51"/>
      <c r="H1206" s="51"/>
      <c r="I1206" s="51"/>
      <c r="J1206" s="51"/>
      <c r="K1206" s="51"/>
      <c r="L1206" s="51"/>
      <c r="M1206" s="51"/>
      <c r="N1206" s="51"/>
      <c r="O1206" s="51"/>
      <c r="P1206" s="51"/>
      <c r="Q1206" s="51"/>
      <c r="R1206" s="51"/>
      <c r="S1206" s="51"/>
      <c r="T1206" s="51"/>
      <c r="U1206" s="51"/>
      <c r="V1206" s="51"/>
      <c r="W1206" s="51"/>
      <c r="X1206" s="51"/>
      <c r="Y1206" s="51"/>
      <c r="Z1206" s="51"/>
      <c r="AA1206" s="51"/>
      <c r="AB1206" s="51"/>
      <c r="AC1206" s="51"/>
      <c r="AD1206" s="51"/>
      <c r="AE1206" s="51"/>
      <c r="AF1206" s="51"/>
      <c r="AG1206" s="51"/>
      <c r="AH1206" s="51"/>
      <c r="AI1206" s="51"/>
      <c r="AJ1206" s="51"/>
      <c r="AK1206" s="51"/>
      <c r="AL1206" s="51"/>
      <c r="AM1206" s="51"/>
      <c r="AN1206" s="51"/>
      <c r="AO1206" s="51"/>
      <c r="AP1206" s="51"/>
      <c r="AQ1206" s="51"/>
      <c r="AR1206" s="51"/>
      <c r="AS1206" s="51"/>
      <c r="AT1206" s="51"/>
      <c r="AU1206" s="51"/>
      <c r="AV1206" s="51"/>
      <c r="AW1206" s="51"/>
    </row>
    <row r="1207" spans="1:49" s="33" customFormat="1" ht="15.75" x14ac:dyDescent="0.2">
      <c r="A1207" s="51"/>
      <c r="B1207" s="51"/>
      <c r="C1207" s="51"/>
      <c r="D1207" s="51"/>
      <c r="E1207" s="51"/>
      <c r="F1207" s="51"/>
      <c r="G1207" s="51"/>
      <c r="H1207" s="51"/>
      <c r="I1207" s="51"/>
      <c r="J1207" s="51"/>
      <c r="K1207" s="51"/>
      <c r="L1207" s="51"/>
      <c r="M1207" s="51"/>
      <c r="N1207" s="51"/>
      <c r="O1207" s="51"/>
      <c r="P1207" s="51"/>
      <c r="Q1207" s="51"/>
      <c r="R1207" s="51"/>
      <c r="S1207" s="51"/>
      <c r="T1207" s="51"/>
      <c r="U1207" s="51"/>
      <c r="V1207" s="51"/>
      <c r="W1207" s="51"/>
      <c r="X1207" s="51"/>
      <c r="Y1207" s="51"/>
      <c r="Z1207" s="51"/>
      <c r="AA1207" s="51"/>
      <c r="AB1207" s="51"/>
      <c r="AC1207" s="51"/>
      <c r="AD1207" s="51"/>
      <c r="AE1207" s="51"/>
      <c r="AF1207" s="51"/>
      <c r="AG1207" s="51"/>
      <c r="AH1207" s="51"/>
      <c r="AI1207" s="51"/>
      <c r="AJ1207" s="51"/>
      <c r="AK1207" s="51"/>
      <c r="AL1207" s="51"/>
      <c r="AM1207" s="51"/>
      <c r="AN1207" s="51"/>
      <c r="AO1207" s="51"/>
      <c r="AP1207" s="51"/>
      <c r="AQ1207" s="51"/>
      <c r="AR1207" s="51"/>
      <c r="AS1207" s="51"/>
      <c r="AT1207" s="51"/>
      <c r="AU1207" s="51"/>
      <c r="AV1207" s="51"/>
      <c r="AW1207" s="51"/>
    </row>
    <row r="1208" spans="1:49" s="33" customFormat="1" ht="15.75" x14ac:dyDescent="0.2">
      <c r="A1208" s="51"/>
      <c r="B1208" s="51"/>
      <c r="C1208" s="51"/>
      <c r="D1208" s="51"/>
      <c r="E1208" s="51"/>
      <c r="F1208" s="51"/>
      <c r="G1208" s="51"/>
      <c r="H1208" s="51"/>
      <c r="I1208" s="51"/>
      <c r="J1208" s="51"/>
      <c r="K1208" s="51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  <c r="Y1208" s="51"/>
      <c r="Z1208" s="51"/>
      <c r="AA1208" s="51"/>
      <c r="AB1208" s="51"/>
      <c r="AC1208" s="51"/>
      <c r="AD1208" s="51"/>
      <c r="AE1208" s="51"/>
      <c r="AF1208" s="51"/>
      <c r="AG1208" s="51"/>
      <c r="AH1208" s="51"/>
      <c r="AI1208" s="51"/>
      <c r="AJ1208" s="51"/>
      <c r="AK1208" s="51"/>
      <c r="AL1208" s="51"/>
      <c r="AM1208" s="51"/>
      <c r="AN1208" s="51"/>
      <c r="AO1208" s="51"/>
      <c r="AP1208" s="51"/>
      <c r="AQ1208" s="51"/>
      <c r="AR1208" s="51"/>
      <c r="AS1208" s="51"/>
      <c r="AT1208" s="51"/>
      <c r="AU1208" s="51"/>
      <c r="AV1208" s="51"/>
      <c r="AW1208" s="51"/>
    </row>
    <row r="1209" spans="1:49" s="33" customFormat="1" ht="15.75" x14ac:dyDescent="0.2">
      <c r="A1209" s="51"/>
      <c r="B1209" s="51"/>
      <c r="C1209" s="51"/>
      <c r="D1209" s="51"/>
      <c r="E1209" s="51"/>
      <c r="F1209" s="51"/>
      <c r="G1209" s="51"/>
      <c r="H1209" s="51"/>
      <c r="I1209" s="51"/>
      <c r="J1209" s="51"/>
      <c r="K1209" s="51"/>
      <c r="L1209" s="51"/>
      <c r="M1209" s="51"/>
      <c r="N1209" s="51"/>
      <c r="O1209" s="51"/>
      <c r="P1209" s="51"/>
      <c r="Q1209" s="51"/>
      <c r="R1209" s="51"/>
      <c r="S1209" s="51"/>
      <c r="T1209" s="51"/>
      <c r="U1209" s="51"/>
      <c r="V1209" s="51"/>
      <c r="W1209" s="51"/>
      <c r="X1209" s="51"/>
      <c r="Y1209" s="51"/>
      <c r="Z1209" s="51"/>
      <c r="AA1209" s="51"/>
      <c r="AB1209" s="51"/>
      <c r="AC1209" s="51"/>
      <c r="AD1209" s="51"/>
      <c r="AE1209" s="51"/>
      <c r="AF1209" s="51"/>
      <c r="AG1209" s="51"/>
      <c r="AH1209" s="51"/>
      <c r="AI1209" s="51"/>
      <c r="AJ1209" s="51"/>
      <c r="AK1209" s="51"/>
      <c r="AL1209" s="51"/>
      <c r="AM1209" s="51"/>
      <c r="AN1209" s="51"/>
      <c r="AO1209" s="51"/>
      <c r="AP1209" s="51"/>
      <c r="AQ1209" s="51"/>
      <c r="AR1209" s="51"/>
      <c r="AS1209" s="51"/>
      <c r="AT1209" s="51"/>
      <c r="AU1209" s="51"/>
      <c r="AV1209" s="51"/>
      <c r="AW1209" s="51"/>
    </row>
    <row r="1210" spans="1:49" s="30" customFormat="1" ht="15" x14ac:dyDescent="0.25">
      <c r="A1210" s="51"/>
      <c r="B1210" s="51"/>
      <c r="C1210" s="51"/>
      <c r="D1210" s="51"/>
      <c r="E1210" s="51"/>
      <c r="F1210" s="51"/>
      <c r="G1210" s="51"/>
      <c r="H1210" s="51"/>
      <c r="I1210" s="51"/>
      <c r="J1210" s="51"/>
      <c r="K1210" s="51"/>
      <c r="L1210" s="51"/>
      <c r="M1210" s="51"/>
      <c r="N1210" s="51"/>
      <c r="O1210" s="51"/>
      <c r="P1210" s="51"/>
      <c r="Q1210" s="51"/>
      <c r="R1210" s="51"/>
      <c r="S1210" s="51"/>
      <c r="T1210" s="51"/>
      <c r="U1210" s="51"/>
      <c r="V1210" s="51"/>
      <c r="W1210" s="51"/>
      <c r="X1210" s="51"/>
      <c r="Y1210" s="51"/>
      <c r="Z1210" s="51"/>
      <c r="AA1210" s="51"/>
      <c r="AB1210" s="51"/>
      <c r="AC1210" s="51"/>
      <c r="AD1210" s="51"/>
      <c r="AE1210" s="51"/>
      <c r="AF1210" s="51"/>
      <c r="AG1210" s="51"/>
      <c r="AH1210" s="51"/>
      <c r="AI1210" s="51"/>
      <c r="AJ1210" s="51"/>
      <c r="AK1210" s="51"/>
      <c r="AL1210" s="51"/>
      <c r="AM1210" s="51"/>
      <c r="AN1210" s="51"/>
      <c r="AO1210" s="51"/>
      <c r="AP1210" s="51"/>
      <c r="AQ1210" s="51"/>
      <c r="AR1210" s="51"/>
      <c r="AS1210" s="51"/>
      <c r="AT1210" s="51"/>
      <c r="AU1210" s="51"/>
      <c r="AV1210" s="51"/>
      <c r="AW1210" s="51"/>
    </row>
    <row r="1211" spans="1:49" s="17" customFormat="1" ht="15" x14ac:dyDescent="0.25">
      <c r="A1211" s="51"/>
      <c r="B1211" s="51"/>
      <c r="C1211" s="51"/>
      <c r="D1211" s="51"/>
      <c r="E1211" s="51"/>
      <c r="F1211" s="51"/>
      <c r="G1211" s="51"/>
      <c r="H1211" s="51"/>
      <c r="I1211" s="51"/>
      <c r="J1211" s="51"/>
      <c r="K1211" s="51"/>
      <c r="L1211" s="51"/>
      <c r="M1211" s="51"/>
      <c r="N1211" s="51"/>
      <c r="O1211" s="51"/>
      <c r="P1211" s="51"/>
      <c r="Q1211" s="51"/>
      <c r="R1211" s="51"/>
      <c r="S1211" s="51"/>
      <c r="T1211" s="51"/>
      <c r="U1211" s="51"/>
      <c r="V1211" s="51"/>
      <c r="W1211" s="51"/>
      <c r="X1211" s="51"/>
      <c r="Y1211" s="51"/>
      <c r="Z1211" s="51"/>
      <c r="AA1211" s="51"/>
      <c r="AB1211" s="51"/>
      <c r="AC1211" s="51"/>
      <c r="AD1211" s="51"/>
      <c r="AE1211" s="51"/>
      <c r="AF1211" s="51"/>
      <c r="AG1211" s="51"/>
      <c r="AH1211" s="51"/>
      <c r="AI1211" s="51"/>
      <c r="AJ1211" s="51"/>
      <c r="AK1211" s="51"/>
      <c r="AL1211" s="51"/>
      <c r="AM1211" s="51"/>
      <c r="AN1211" s="51"/>
      <c r="AO1211" s="51"/>
      <c r="AP1211" s="51"/>
      <c r="AQ1211" s="51"/>
      <c r="AR1211" s="51"/>
      <c r="AS1211" s="51"/>
      <c r="AT1211" s="51"/>
      <c r="AU1211" s="51"/>
      <c r="AV1211" s="51"/>
      <c r="AW1211" s="51"/>
    </row>
    <row r="1212" spans="1:49" s="33" customFormat="1" ht="15.75" x14ac:dyDescent="0.2">
      <c r="A1212" s="51"/>
      <c r="B1212" s="51"/>
      <c r="C1212" s="51"/>
      <c r="D1212" s="51"/>
      <c r="E1212" s="51"/>
      <c r="F1212" s="51"/>
      <c r="G1212" s="51"/>
      <c r="H1212" s="51"/>
      <c r="I1212" s="51"/>
      <c r="J1212" s="51"/>
      <c r="K1212" s="51"/>
      <c r="L1212" s="51"/>
      <c r="M1212" s="51"/>
      <c r="N1212" s="51"/>
      <c r="O1212" s="51"/>
      <c r="P1212" s="51"/>
      <c r="Q1212" s="51"/>
      <c r="R1212" s="51"/>
      <c r="S1212" s="51"/>
      <c r="T1212" s="51"/>
      <c r="U1212" s="51"/>
      <c r="V1212" s="51"/>
      <c r="W1212" s="51"/>
      <c r="X1212" s="51"/>
      <c r="Y1212" s="51"/>
      <c r="Z1212" s="51"/>
      <c r="AA1212" s="51"/>
      <c r="AB1212" s="51"/>
      <c r="AC1212" s="51"/>
      <c r="AD1212" s="51"/>
      <c r="AE1212" s="51"/>
      <c r="AF1212" s="51"/>
      <c r="AG1212" s="51"/>
      <c r="AH1212" s="51"/>
      <c r="AI1212" s="51"/>
      <c r="AJ1212" s="51"/>
      <c r="AK1212" s="51"/>
      <c r="AL1212" s="51"/>
      <c r="AM1212" s="51"/>
      <c r="AN1212" s="51"/>
      <c r="AO1212" s="51"/>
      <c r="AP1212" s="51"/>
      <c r="AQ1212" s="51"/>
      <c r="AR1212" s="51"/>
      <c r="AS1212" s="51"/>
      <c r="AT1212" s="51"/>
      <c r="AU1212" s="51"/>
      <c r="AV1212" s="51"/>
      <c r="AW1212" s="51"/>
    </row>
    <row r="1213" spans="1:49" s="28" customFormat="1" ht="15" x14ac:dyDescent="0.25">
      <c r="A1213" s="51"/>
      <c r="B1213" s="51"/>
      <c r="C1213" s="51"/>
      <c r="D1213" s="51"/>
      <c r="E1213" s="51"/>
      <c r="F1213" s="51"/>
      <c r="G1213" s="51"/>
      <c r="H1213" s="51"/>
      <c r="I1213" s="51"/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  <c r="Y1213" s="51"/>
      <c r="Z1213" s="51"/>
      <c r="AA1213" s="51"/>
      <c r="AB1213" s="51"/>
      <c r="AC1213" s="51"/>
      <c r="AD1213" s="51"/>
      <c r="AE1213" s="51"/>
      <c r="AF1213" s="51"/>
      <c r="AG1213" s="51"/>
      <c r="AH1213" s="51"/>
      <c r="AI1213" s="51"/>
      <c r="AJ1213" s="51"/>
      <c r="AK1213" s="51"/>
      <c r="AL1213" s="51"/>
      <c r="AM1213" s="51"/>
      <c r="AN1213" s="51"/>
      <c r="AO1213" s="51"/>
      <c r="AP1213" s="51"/>
      <c r="AQ1213" s="51"/>
      <c r="AR1213" s="51"/>
      <c r="AS1213" s="51"/>
      <c r="AT1213" s="51"/>
      <c r="AU1213" s="51"/>
      <c r="AV1213" s="51"/>
      <c r="AW1213" s="51"/>
    </row>
    <row r="1214" spans="1:49" s="33" customFormat="1" ht="15.75" x14ac:dyDescent="0.2">
      <c r="A1214" s="51"/>
      <c r="B1214" s="51"/>
      <c r="C1214" s="51"/>
      <c r="D1214" s="51"/>
      <c r="E1214" s="51"/>
      <c r="F1214" s="51"/>
      <c r="G1214" s="51"/>
      <c r="H1214" s="51"/>
      <c r="I1214" s="51"/>
      <c r="J1214" s="51"/>
      <c r="K1214" s="51"/>
      <c r="L1214" s="51"/>
      <c r="M1214" s="51"/>
      <c r="N1214" s="51"/>
      <c r="O1214" s="51"/>
      <c r="P1214" s="51"/>
      <c r="Q1214" s="51"/>
      <c r="R1214" s="51"/>
      <c r="S1214" s="51"/>
      <c r="T1214" s="51"/>
      <c r="U1214" s="51"/>
      <c r="V1214" s="51"/>
      <c r="W1214" s="51"/>
      <c r="X1214" s="51"/>
      <c r="Y1214" s="51"/>
      <c r="Z1214" s="51"/>
      <c r="AA1214" s="51"/>
      <c r="AB1214" s="51"/>
      <c r="AC1214" s="51"/>
      <c r="AD1214" s="51"/>
      <c r="AE1214" s="51"/>
      <c r="AF1214" s="51"/>
      <c r="AG1214" s="51"/>
      <c r="AH1214" s="51"/>
      <c r="AI1214" s="51"/>
      <c r="AJ1214" s="51"/>
      <c r="AK1214" s="51"/>
      <c r="AL1214" s="51"/>
      <c r="AM1214" s="51"/>
      <c r="AN1214" s="51"/>
      <c r="AO1214" s="51"/>
      <c r="AP1214" s="51"/>
      <c r="AQ1214" s="51"/>
      <c r="AR1214" s="51"/>
      <c r="AS1214" s="51"/>
      <c r="AT1214" s="51"/>
      <c r="AU1214" s="51"/>
      <c r="AV1214" s="51"/>
      <c r="AW1214" s="51"/>
    </row>
    <row r="1215" spans="1:49" s="33" customFormat="1" ht="15.75" x14ac:dyDescent="0.2">
      <c r="A1215" s="51"/>
      <c r="B1215" s="51"/>
      <c r="C1215" s="51"/>
      <c r="D1215" s="51"/>
      <c r="E1215" s="51"/>
      <c r="F1215" s="51"/>
      <c r="G1215" s="51"/>
      <c r="H1215" s="51"/>
      <c r="I1215" s="51"/>
      <c r="J1215" s="51"/>
      <c r="K1215" s="51"/>
      <c r="L1215" s="51"/>
      <c r="M1215" s="51"/>
      <c r="N1215" s="51"/>
      <c r="O1215" s="51"/>
      <c r="P1215" s="51"/>
      <c r="Q1215" s="51"/>
      <c r="R1215" s="51"/>
      <c r="S1215" s="51"/>
      <c r="T1215" s="51"/>
      <c r="U1215" s="51"/>
      <c r="V1215" s="51"/>
      <c r="W1215" s="51"/>
      <c r="X1215" s="51"/>
      <c r="Y1215" s="51"/>
      <c r="Z1215" s="51"/>
      <c r="AA1215" s="51"/>
      <c r="AB1215" s="51"/>
      <c r="AC1215" s="51"/>
      <c r="AD1215" s="51"/>
      <c r="AE1215" s="51"/>
      <c r="AF1215" s="51"/>
      <c r="AG1215" s="51"/>
      <c r="AH1215" s="51"/>
      <c r="AI1215" s="51"/>
      <c r="AJ1215" s="51"/>
      <c r="AK1215" s="51"/>
      <c r="AL1215" s="51"/>
      <c r="AM1215" s="51"/>
      <c r="AN1215" s="51"/>
      <c r="AO1215" s="51"/>
      <c r="AP1215" s="51"/>
      <c r="AQ1215" s="51"/>
      <c r="AR1215" s="51"/>
      <c r="AS1215" s="51"/>
      <c r="AT1215" s="51"/>
      <c r="AU1215" s="51"/>
      <c r="AV1215" s="51"/>
      <c r="AW1215" s="51"/>
    </row>
    <row r="1216" spans="1:49" s="33" customFormat="1" ht="15.75" x14ac:dyDescent="0.2">
      <c r="A1216" s="51"/>
      <c r="B1216" s="51"/>
      <c r="C1216" s="51"/>
      <c r="D1216" s="51"/>
      <c r="E1216" s="51"/>
      <c r="F1216" s="51"/>
      <c r="G1216" s="51"/>
      <c r="H1216" s="5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  <c r="Y1216" s="51"/>
      <c r="Z1216" s="51"/>
      <c r="AA1216" s="51"/>
      <c r="AB1216" s="51"/>
      <c r="AC1216" s="51"/>
      <c r="AD1216" s="51"/>
      <c r="AE1216" s="51"/>
      <c r="AF1216" s="51"/>
      <c r="AG1216" s="51"/>
      <c r="AH1216" s="51"/>
      <c r="AI1216" s="51"/>
      <c r="AJ1216" s="51"/>
      <c r="AK1216" s="51"/>
      <c r="AL1216" s="51"/>
      <c r="AM1216" s="51"/>
      <c r="AN1216" s="51"/>
      <c r="AO1216" s="51"/>
      <c r="AP1216" s="51"/>
      <c r="AQ1216" s="51"/>
      <c r="AR1216" s="51"/>
      <c r="AS1216" s="51"/>
      <c r="AT1216" s="51"/>
      <c r="AU1216" s="51"/>
      <c r="AV1216" s="51"/>
      <c r="AW1216" s="51"/>
    </row>
    <row r="1217" spans="1:49" s="28" customFormat="1" ht="15" x14ac:dyDescent="0.25">
      <c r="A1217" s="51"/>
      <c r="B1217" s="51"/>
      <c r="C1217" s="51"/>
      <c r="D1217" s="51"/>
      <c r="E1217" s="51"/>
      <c r="F1217" s="51"/>
      <c r="G1217" s="51"/>
      <c r="H1217" s="51"/>
      <c r="I1217" s="51"/>
      <c r="J1217" s="51"/>
      <c r="K1217" s="51"/>
      <c r="L1217" s="51"/>
      <c r="M1217" s="51"/>
      <c r="N1217" s="51"/>
      <c r="O1217" s="51"/>
      <c r="P1217" s="51"/>
      <c r="Q1217" s="51"/>
      <c r="R1217" s="51"/>
      <c r="S1217" s="51"/>
      <c r="T1217" s="51"/>
      <c r="U1217" s="51"/>
      <c r="V1217" s="51"/>
      <c r="W1217" s="51"/>
      <c r="X1217" s="51"/>
      <c r="Y1217" s="51"/>
      <c r="Z1217" s="51"/>
      <c r="AA1217" s="51"/>
      <c r="AB1217" s="51"/>
      <c r="AC1217" s="51"/>
      <c r="AD1217" s="51"/>
      <c r="AE1217" s="51"/>
      <c r="AF1217" s="51"/>
      <c r="AG1217" s="51"/>
      <c r="AH1217" s="51"/>
      <c r="AI1217" s="51"/>
      <c r="AJ1217" s="51"/>
      <c r="AK1217" s="51"/>
      <c r="AL1217" s="51"/>
      <c r="AM1217" s="51"/>
      <c r="AN1217" s="51"/>
      <c r="AO1217" s="51"/>
      <c r="AP1217" s="51"/>
      <c r="AQ1217" s="51"/>
      <c r="AR1217" s="51"/>
      <c r="AS1217" s="51"/>
      <c r="AT1217" s="51"/>
      <c r="AU1217" s="51"/>
      <c r="AV1217" s="51"/>
      <c r="AW1217" s="51"/>
    </row>
    <row r="1218" spans="1:49" s="17" customFormat="1" ht="15" x14ac:dyDescent="0.25">
      <c r="A1218" s="51"/>
      <c r="B1218" s="51"/>
      <c r="C1218" s="51"/>
      <c r="D1218" s="51"/>
      <c r="E1218" s="51"/>
      <c r="F1218" s="51"/>
      <c r="G1218" s="51"/>
      <c r="H1218" s="51"/>
      <c r="I1218" s="51"/>
      <c r="J1218" s="51"/>
      <c r="K1218" s="51"/>
      <c r="L1218" s="51"/>
      <c r="M1218" s="51"/>
      <c r="N1218" s="51"/>
      <c r="O1218" s="51"/>
      <c r="P1218" s="51"/>
      <c r="Q1218" s="51"/>
      <c r="R1218" s="51"/>
      <c r="S1218" s="51"/>
      <c r="T1218" s="51"/>
      <c r="U1218" s="51"/>
      <c r="V1218" s="51"/>
      <c r="W1218" s="51"/>
      <c r="X1218" s="51"/>
      <c r="Y1218" s="51"/>
      <c r="Z1218" s="51"/>
      <c r="AA1218" s="51"/>
      <c r="AB1218" s="51"/>
      <c r="AC1218" s="51"/>
      <c r="AD1218" s="51"/>
      <c r="AE1218" s="51"/>
      <c r="AF1218" s="51"/>
      <c r="AG1218" s="51"/>
      <c r="AH1218" s="51"/>
      <c r="AI1218" s="51"/>
      <c r="AJ1218" s="51"/>
      <c r="AK1218" s="51"/>
      <c r="AL1218" s="51"/>
      <c r="AM1218" s="51"/>
      <c r="AN1218" s="51"/>
      <c r="AO1218" s="51"/>
      <c r="AP1218" s="51"/>
      <c r="AQ1218" s="51"/>
      <c r="AR1218" s="51"/>
      <c r="AS1218" s="51"/>
      <c r="AT1218" s="51"/>
      <c r="AU1218" s="51"/>
      <c r="AV1218" s="51"/>
      <c r="AW1218" s="51"/>
    </row>
    <row r="1219" spans="1:49" s="28" customFormat="1" ht="15" x14ac:dyDescent="0.25">
      <c r="A1219" s="51"/>
      <c r="B1219" s="51"/>
      <c r="C1219" s="51"/>
      <c r="D1219" s="51"/>
      <c r="E1219" s="51"/>
      <c r="F1219" s="51"/>
      <c r="G1219" s="51"/>
      <c r="H1219" s="51"/>
      <c r="I1219" s="51"/>
      <c r="J1219" s="51"/>
      <c r="K1219" s="51"/>
      <c r="L1219" s="51"/>
      <c r="M1219" s="51"/>
      <c r="N1219" s="51"/>
      <c r="O1219" s="51"/>
      <c r="P1219" s="51"/>
      <c r="Q1219" s="51"/>
      <c r="R1219" s="51"/>
      <c r="S1219" s="51"/>
      <c r="T1219" s="51"/>
      <c r="U1219" s="51"/>
      <c r="V1219" s="51"/>
      <c r="W1219" s="51"/>
      <c r="X1219" s="51"/>
      <c r="Y1219" s="51"/>
      <c r="Z1219" s="51"/>
      <c r="AA1219" s="51"/>
      <c r="AB1219" s="51"/>
      <c r="AC1219" s="51"/>
      <c r="AD1219" s="51"/>
      <c r="AE1219" s="51"/>
      <c r="AF1219" s="51"/>
      <c r="AG1219" s="51"/>
      <c r="AH1219" s="51"/>
      <c r="AI1219" s="51"/>
      <c r="AJ1219" s="51"/>
      <c r="AK1219" s="51"/>
      <c r="AL1219" s="51"/>
      <c r="AM1219" s="51"/>
      <c r="AN1219" s="51"/>
      <c r="AO1219" s="51"/>
      <c r="AP1219" s="51"/>
      <c r="AQ1219" s="51"/>
      <c r="AR1219" s="51"/>
      <c r="AS1219" s="51"/>
      <c r="AT1219" s="51"/>
      <c r="AU1219" s="51"/>
      <c r="AV1219" s="51"/>
      <c r="AW1219" s="51"/>
    </row>
    <row r="1220" spans="1:49" s="17" customFormat="1" ht="15" x14ac:dyDescent="0.25">
      <c r="A1220" s="51"/>
      <c r="B1220" s="51"/>
      <c r="C1220" s="51"/>
      <c r="D1220" s="51"/>
      <c r="E1220" s="51"/>
      <c r="F1220" s="51"/>
      <c r="G1220" s="51"/>
      <c r="H1220" s="51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  <c r="Y1220" s="51"/>
      <c r="Z1220" s="51"/>
      <c r="AA1220" s="51"/>
      <c r="AB1220" s="51"/>
      <c r="AC1220" s="51"/>
      <c r="AD1220" s="51"/>
      <c r="AE1220" s="51"/>
      <c r="AF1220" s="51"/>
      <c r="AG1220" s="51"/>
      <c r="AH1220" s="51"/>
      <c r="AI1220" s="51"/>
      <c r="AJ1220" s="51"/>
      <c r="AK1220" s="51"/>
      <c r="AL1220" s="51"/>
      <c r="AM1220" s="51"/>
      <c r="AN1220" s="51"/>
      <c r="AO1220" s="51"/>
      <c r="AP1220" s="51"/>
      <c r="AQ1220" s="51"/>
      <c r="AR1220" s="51"/>
      <c r="AS1220" s="51"/>
      <c r="AT1220" s="51"/>
      <c r="AU1220" s="51"/>
      <c r="AV1220" s="51"/>
      <c r="AW1220" s="51"/>
    </row>
    <row r="1221" spans="1:49" s="28" customFormat="1" ht="15" x14ac:dyDescent="0.25">
      <c r="A1221" s="51"/>
      <c r="B1221" s="51"/>
      <c r="C1221" s="51"/>
      <c r="D1221" s="51"/>
      <c r="E1221" s="51"/>
      <c r="F1221" s="51"/>
      <c r="G1221" s="51"/>
      <c r="H1221" s="51"/>
      <c r="I1221" s="51"/>
      <c r="J1221" s="51"/>
      <c r="K1221" s="51"/>
      <c r="L1221" s="51"/>
      <c r="M1221" s="51"/>
      <c r="N1221" s="51"/>
      <c r="O1221" s="51"/>
      <c r="P1221" s="51"/>
      <c r="Q1221" s="51"/>
      <c r="R1221" s="51"/>
      <c r="S1221" s="51"/>
      <c r="T1221" s="51"/>
      <c r="U1221" s="51"/>
      <c r="V1221" s="51"/>
      <c r="W1221" s="51"/>
      <c r="X1221" s="51"/>
      <c r="Y1221" s="51"/>
      <c r="Z1221" s="51"/>
      <c r="AA1221" s="51"/>
      <c r="AB1221" s="51"/>
      <c r="AC1221" s="51"/>
      <c r="AD1221" s="51"/>
      <c r="AE1221" s="51"/>
      <c r="AF1221" s="51"/>
      <c r="AG1221" s="51"/>
      <c r="AH1221" s="51"/>
      <c r="AI1221" s="51"/>
      <c r="AJ1221" s="51"/>
      <c r="AK1221" s="51"/>
      <c r="AL1221" s="51"/>
      <c r="AM1221" s="51"/>
      <c r="AN1221" s="51"/>
      <c r="AO1221" s="51"/>
      <c r="AP1221" s="51"/>
      <c r="AQ1221" s="51"/>
      <c r="AR1221" s="51"/>
      <c r="AS1221" s="51"/>
      <c r="AT1221" s="51"/>
      <c r="AU1221" s="51"/>
      <c r="AV1221" s="51"/>
      <c r="AW1221" s="51"/>
    </row>
    <row r="1222" spans="1:49" s="30" customFormat="1" ht="15" x14ac:dyDescent="0.25">
      <c r="A1222" s="51"/>
      <c r="B1222" s="51"/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  <c r="S1222" s="51"/>
      <c r="T1222" s="51"/>
      <c r="U1222" s="51"/>
      <c r="V1222" s="51"/>
      <c r="W1222" s="51"/>
      <c r="X1222" s="51"/>
      <c r="Y1222" s="51"/>
      <c r="Z1222" s="51"/>
      <c r="AA1222" s="51"/>
      <c r="AB1222" s="51"/>
      <c r="AC1222" s="51"/>
      <c r="AD1222" s="51"/>
      <c r="AE1222" s="51"/>
      <c r="AF1222" s="51"/>
      <c r="AG1222" s="51"/>
      <c r="AH1222" s="51"/>
      <c r="AI1222" s="51"/>
      <c r="AJ1222" s="51"/>
      <c r="AK1222" s="51"/>
      <c r="AL1222" s="51"/>
      <c r="AM1222" s="51"/>
      <c r="AN1222" s="51"/>
      <c r="AO1222" s="51"/>
      <c r="AP1222" s="51"/>
      <c r="AQ1222" s="51"/>
      <c r="AR1222" s="51"/>
      <c r="AS1222" s="51"/>
      <c r="AT1222" s="51"/>
      <c r="AU1222" s="51"/>
      <c r="AV1222" s="51"/>
      <c r="AW1222" s="51"/>
    </row>
    <row r="1223" spans="1:49" s="29" customFormat="1" ht="15" x14ac:dyDescent="0.25">
      <c r="A1223" s="51"/>
      <c r="B1223" s="51"/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  <c r="S1223" s="51"/>
      <c r="T1223" s="51"/>
      <c r="U1223" s="51"/>
      <c r="V1223" s="51"/>
      <c r="W1223" s="51"/>
      <c r="X1223" s="51"/>
      <c r="Y1223" s="51"/>
      <c r="Z1223" s="51"/>
      <c r="AA1223" s="51"/>
      <c r="AB1223" s="51"/>
      <c r="AC1223" s="51"/>
      <c r="AD1223" s="51"/>
      <c r="AE1223" s="51"/>
      <c r="AF1223" s="51"/>
      <c r="AG1223" s="51"/>
      <c r="AH1223" s="51"/>
      <c r="AI1223" s="51"/>
      <c r="AJ1223" s="51"/>
      <c r="AK1223" s="51"/>
      <c r="AL1223" s="51"/>
      <c r="AM1223" s="51"/>
      <c r="AN1223" s="51"/>
      <c r="AO1223" s="51"/>
      <c r="AP1223" s="51"/>
      <c r="AQ1223" s="51"/>
      <c r="AR1223" s="51"/>
      <c r="AS1223" s="51"/>
      <c r="AT1223" s="51"/>
      <c r="AU1223" s="51"/>
      <c r="AV1223" s="51"/>
      <c r="AW1223" s="51"/>
    </row>
    <row r="1224" spans="1:49" s="33" customFormat="1" ht="15.75" x14ac:dyDescent="0.2">
      <c r="A1224" s="51"/>
      <c r="B1224" s="51"/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  <c r="S1224" s="51"/>
      <c r="T1224" s="51"/>
      <c r="U1224" s="51"/>
      <c r="V1224" s="51"/>
      <c r="W1224" s="51"/>
      <c r="X1224" s="51"/>
      <c r="Y1224" s="51"/>
      <c r="Z1224" s="51"/>
      <c r="AA1224" s="51"/>
      <c r="AB1224" s="51"/>
      <c r="AC1224" s="51"/>
      <c r="AD1224" s="51"/>
      <c r="AE1224" s="51"/>
      <c r="AF1224" s="51"/>
      <c r="AG1224" s="51"/>
      <c r="AH1224" s="51"/>
      <c r="AI1224" s="51"/>
      <c r="AJ1224" s="51"/>
      <c r="AK1224" s="51"/>
      <c r="AL1224" s="51"/>
      <c r="AM1224" s="51"/>
      <c r="AN1224" s="51"/>
      <c r="AO1224" s="51"/>
      <c r="AP1224" s="51"/>
      <c r="AQ1224" s="51"/>
      <c r="AR1224" s="51"/>
      <c r="AS1224" s="51"/>
      <c r="AT1224" s="51"/>
      <c r="AU1224" s="51"/>
      <c r="AV1224" s="51"/>
      <c r="AW1224" s="51"/>
    </row>
    <row r="1225" spans="1:49" s="29" customFormat="1" ht="15" x14ac:dyDescent="0.25">
      <c r="A1225" s="51"/>
      <c r="B1225" s="51"/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  <c r="S1225" s="51"/>
      <c r="T1225" s="51"/>
      <c r="U1225" s="51"/>
      <c r="V1225" s="51"/>
      <c r="W1225" s="51"/>
      <c r="X1225" s="51"/>
      <c r="Y1225" s="51"/>
      <c r="Z1225" s="51"/>
      <c r="AA1225" s="51"/>
      <c r="AB1225" s="51"/>
      <c r="AC1225" s="51"/>
      <c r="AD1225" s="51"/>
      <c r="AE1225" s="51"/>
      <c r="AF1225" s="51"/>
      <c r="AG1225" s="51"/>
      <c r="AH1225" s="51"/>
      <c r="AI1225" s="51"/>
      <c r="AJ1225" s="51"/>
      <c r="AK1225" s="51"/>
      <c r="AL1225" s="51"/>
      <c r="AM1225" s="51"/>
      <c r="AN1225" s="51"/>
      <c r="AO1225" s="51"/>
      <c r="AP1225" s="51"/>
      <c r="AQ1225" s="51"/>
      <c r="AR1225" s="51"/>
      <c r="AS1225" s="51"/>
      <c r="AT1225" s="51"/>
      <c r="AU1225" s="51"/>
      <c r="AV1225" s="51"/>
      <c r="AW1225" s="51"/>
    </row>
    <row r="1226" spans="1:49" s="30" customFormat="1" ht="15" x14ac:dyDescent="0.25">
      <c r="A1226" s="51"/>
      <c r="B1226" s="51"/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  <c r="S1226" s="51"/>
      <c r="T1226" s="51"/>
      <c r="U1226" s="51"/>
      <c r="V1226" s="51"/>
      <c r="W1226" s="51"/>
      <c r="X1226" s="51"/>
      <c r="Y1226" s="51"/>
      <c r="Z1226" s="51"/>
      <c r="AA1226" s="51"/>
      <c r="AB1226" s="51"/>
      <c r="AC1226" s="51"/>
      <c r="AD1226" s="51"/>
      <c r="AE1226" s="51"/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1"/>
      <c r="AS1226" s="51"/>
      <c r="AT1226" s="51"/>
      <c r="AU1226" s="51"/>
      <c r="AV1226" s="51"/>
      <c r="AW1226" s="51"/>
    </row>
    <row r="1227" spans="1:49" s="30" customFormat="1" ht="15" x14ac:dyDescent="0.25">
      <c r="A1227" s="51"/>
      <c r="B1227" s="51"/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  <c r="Y1227" s="51"/>
      <c r="Z1227" s="51"/>
      <c r="AA1227" s="51"/>
      <c r="AB1227" s="51"/>
      <c r="AC1227" s="51"/>
      <c r="AD1227" s="51"/>
      <c r="AE1227" s="51"/>
      <c r="AF1227" s="51"/>
      <c r="AG1227" s="51"/>
      <c r="AH1227" s="51"/>
      <c r="AI1227" s="51"/>
      <c r="AJ1227" s="51"/>
      <c r="AK1227" s="51"/>
      <c r="AL1227" s="51"/>
      <c r="AM1227" s="51"/>
      <c r="AN1227" s="51"/>
      <c r="AO1227" s="51"/>
      <c r="AP1227" s="51"/>
      <c r="AQ1227" s="51"/>
      <c r="AR1227" s="51"/>
      <c r="AS1227" s="51"/>
      <c r="AT1227" s="51"/>
      <c r="AU1227" s="51"/>
      <c r="AV1227" s="51"/>
      <c r="AW1227" s="51"/>
    </row>
    <row r="1228" spans="1:49" s="33" customFormat="1" ht="15.75" x14ac:dyDescent="0.2">
      <c r="A1228" s="51"/>
      <c r="B1228" s="51"/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  <c r="S1228" s="51"/>
      <c r="T1228" s="51"/>
      <c r="U1228" s="51"/>
      <c r="V1228" s="51"/>
      <c r="W1228" s="51"/>
      <c r="X1228" s="51"/>
      <c r="Y1228" s="51"/>
      <c r="Z1228" s="51"/>
      <c r="AA1228" s="51"/>
      <c r="AB1228" s="51"/>
      <c r="AC1228" s="51"/>
      <c r="AD1228" s="51"/>
      <c r="AE1228" s="51"/>
      <c r="AF1228" s="51"/>
      <c r="AG1228" s="51"/>
      <c r="AH1228" s="51"/>
      <c r="AI1228" s="51"/>
      <c r="AJ1228" s="51"/>
      <c r="AK1228" s="51"/>
      <c r="AL1228" s="51"/>
      <c r="AM1228" s="51"/>
      <c r="AN1228" s="51"/>
      <c r="AO1228" s="51"/>
      <c r="AP1228" s="51"/>
      <c r="AQ1228" s="51"/>
      <c r="AR1228" s="51"/>
      <c r="AS1228" s="51"/>
      <c r="AT1228" s="51"/>
      <c r="AU1228" s="51"/>
      <c r="AV1228" s="51"/>
      <c r="AW1228" s="51"/>
    </row>
    <row r="1229" spans="1:49" s="17" customFormat="1" ht="15" x14ac:dyDescent="0.25">
      <c r="A1229" s="51"/>
      <c r="B1229" s="51"/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  <c r="S1229" s="51"/>
      <c r="T1229" s="51"/>
      <c r="U1229" s="51"/>
      <c r="V1229" s="51"/>
      <c r="W1229" s="51"/>
      <c r="X1229" s="51"/>
      <c r="Y1229" s="51"/>
      <c r="Z1229" s="51"/>
      <c r="AA1229" s="51"/>
      <c r="AB1229" s="51"/>
      <c r="AC1229" s="51"/>
      <c r="AD1229" s="51"/>
      <c r="AE1229" s="51"/>
      <c r="AF1229" s="51"/>
      <c r="AG1229" s="51"/>
      <c r="AH1229" s="51"/>
      <c r="AI1229" s="51"/>
      <c r="AJ1229" s="51"/>
      <c r="AK1229" s="51"/>
      <c r="AL1229" s="51"/>
      <c r="AM1229" s="51"/>
      <c r="AN1229" s="51"/>
      <c r="AO1229" s="51"/>
      <c r="AP1229" s="51"/>
      <c r="AQ1229" s="51"/>
      <c r="AR1229" s="51"/>
      <c r="AS1229" s="51"/>
      <c r="AT1229" s="51"/>
      <c r="AU1229" s="51"/>
      <c r="AV1229" s="51"/>
      <c r="AW1229" s="51"/>
    </row>
    <row r="1230" spans="1:49" s="17" customFormat="1" ht="15" x14ac:dyDescent="0.25">
      <c r="A1230" s="51"/>
      <c r="B1230" s="51"/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  <c r="S1230" s="51"/>
      <c r="T1230" s="51"/>
      <c r="U1230" s="51"/>
      <c r="V1230" s="51"/>
      <c r="W1230" s="51"/>
      <c r="X1230" s="51"/>
      <c r="Y1230" s="51"/>
      <c r="Z1230" s="51"/>
      <c r="AA1230" s="51"/>
      <c r="AB1230" s="51"/>
      <c r="AC1230" s="51"/>
      <c r="AD1230" s="51"/>
      <c r="AE1230" s="51"/>
      <c r="AF1230" s="51"/>
      <c r="AG1230" s="51"/>
      <c r="AH1230" s="51"/>
      <c r="AI1230" s="51"/>
      <c r="AJ1230" s="51"/>
      <c r="AK1230" s="51"/>
      <c r="AL1230" s="51"/>
      <c r="AM1230" s="51"/>
      <c r="AN1230" s="51"/>
      <c r="AO1230" s="51"/>
      <c r="AP1230" s="51"/>
      <c r="AQ1230" s="51"/>
      <c r="AR1230" s="51"/>
      <c r="AS1230" s="51"/>
      <c r="AT1230" s="51"/>
      <c r="AU1230" s="51"/>
      <c r="AV1230" s="51"/>
      <c r="AW1230" s="51"/>
    </row>
    <row r="1231" spans="1:49" s="17" customFormat="1" ht="15" x14ac:dyDescent="0.25">
      <c r="A1231" s="51"/>
      <c r="B1231" s="51"/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  <c r="S1231" s="51"/>
      <c r="T1231" s="51"/>
      <c r="U1231" s="51"/>
      <c r="V1231" s="51"/>
      <c r="W1231" s="51"/>
      <c r="X1231" s="51"/>
      <c r="Y1231" s="51"/>
      <c r="Z1231" s="51"/>
      <c r="AA1231" s="51"/>
      <c r="AB1231" s="51"/>
      <c r="AC1231" s="51"/>
      <c r="AD1231" s="51"/>
      <c r="AE1231" s="51"/>
      <c r="AF1231" s="51"/>
      <c r="AG1231" s="51"/>
      <c r="AH1231" s="51"/>
      <c r="AI1231" s="51"/>
      <c r="AJ1231" s="51"/>
      <c r="AK1231" s="51"/>
      <c r="AL1231" s="51"/>
      <c r="AM1231" s="51"/>
      <c r="AN1231" s="51"/>
      <c r="AO1231" s="51"/>
      <c r="AP1231" s="51"/>
      <c r="AQ1231" s="51"/>
      <c r="AR1231" s="51"/>
      <c r="AS1231" s="51"/>
      <c r="AT1231" s="51"/>
      <c r="AU1231" s="51"/>
      <c r="AV1231" s="51"/>
      <c r="AW1231" s="51"/>
    </row>
    <row r="1232" spans="1:49" s="17" customFormat="1" ht="15" x14ac:dyDescent="0.25">
      <c r="A1232" s="51"/>
      <c r="B1232" s="51"/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  <c r="S1232" s="51"/>
      <c r="T1232" s="51"/>
      <c r="U1232" s="51"/>
      <c r="V1232" s="51"/>
      <c r="W1232" s="51"/>
      <c r="X1232" s="51"/>
      <c r="Y1232" s="51"/>
      <c r="Z1232" s="51"/>
      <c r="AA1232" s="51"/>
      <c r="AB1232" s="51"/>
      <c r="AC1232" s="51"/>
      <c r="AD1232" s="51"/>
      <c r="AE1232" s="51"/>
      <c r="AF1232" s="51"/>
      <c r="AG1232" s="51"/>
      <c r="AH1232" s="51"/>
      <c r="AI1232" s="51"/>
      <c r="AJ1232" s="51"/>
      <c r="AK1232" s="51"/>
      <c r="AL1232" s="51"/>
      <c r="AM1232" s="51"/>
      <c r="AN1232" s="51"/>
      <c r="AO1232" s="51"/>
      <c r="AP1232" s="51"/>
      <c r="AQ1232" s="51"/>
      <c r="AR1232" s="51"/>
      <c r="AS1232" s="51"/>
      <c r="AT1232" s="51"/>
      <c r="AU1232" s="51"/>
      <c r="AV1232" s="51"/>
      <c r="AW1232" s="51"/>
    </row>
    <row r="1233" spans="1:49" s="17" customFormat="1" ht="15" x14ac:dyDescent="0.25">
      <c r="A1233" s="51"/>
      <c r="B1233" s="51"/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  <c r="S1233" s="51"/>
      <c r="T1233" s="51"/>
      <c r="U1233" s="51"/>
      <c r="V1233" s="51"/>
      <c r="W1233" s="51"/>
      <c r="X1233" s="51"/>
      <c r="Y1233" s="51"/>
      <c r="Z1233" s="51"/>
      <c r="AA1233" s="51"/>
      <c r="AB1233" s="51"/>
      <c r="AC1233" s="51"/>
      <c r="AD1233" s="51"/>
      <c r="AE1233" s="51"/>
      <c r="AF1233" s="51"/>
      <c r="AG1233" s="51"/>
      <c r="AH1233" s="51"/>
      <c r="AI1233" s="51"/>
      <c r="AJ1233" s="51"/>
      <c r="AK1233" s="51"/>
      <c r="AL1233" s="51"/>
      <c r="AM1233" s="51"/>
      <c r="AN1233" s="51"/>
      <c r="AO1233" s="51"/>
      <c r="AP1233" s="51"/>
      <c r="AQ1233" s="51"/>
      <c r="AR1233" s="51"/>
      <c r="AS1233" s="51"/>
      <c r="AT1233" s="51"/>
      <c r="AU1233" s="51"/>
      <c r="AV1233" s="51"/>
      <c r="AW1233" s="51"/>
    </row>
    <row r="1234" spans="1:49" s="17" customFormat="1" ht="15" x14ac:dyDescent="0.25">
      <c r="A1234" s="51"/>
      <c r="B1234" s="51"/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  <c r="S1234" s="51"/>
      <c r="T1234" s="51"/>
      <c r="U1234" s="51"/>
      <c r="V1234" s="51"/>
      <c r="W1234" s="51"/>
      <c r="X1234" s="51"/>
      <c r="Y1234" s="51"/>
      <c r="Z1234" s="51"/>
      <c r="AA1234" s="51"/>
      <c r="AB1234" s="51"/>
      <c r="AC1234" s="51"/>
      <c r="AD1234" s="51"/>
      <c r="AE1234" s="51"/>
      <c r="AF1234" s="51"/>
      <c r="AG1234" s="51"/>
      <c r="AH1234" s="51"/>
      <c r="AI1234" s="51"/>
      <c r="AJ1234" s="51"/>
      <c r="AK1234" s="51"/>
      <c r="AL1234" s="51"/>
      <c r="AM1234" s="51"/>
      <c r="AN1234" s="51"/>
      <c r="AO1234" s="51"/>
      <c r="AP1234" s="51"/>
      <c r="AQ1234" s="51"/>
      <c r="AR1234" s="51"/>
      <c r="AS1234" s="51"/>
      <c r="AT1234" s="51"/>
      <c r="AU1234" s="51"/>
      <c r="AV1234" s="51"/>
      <c r="AW1234" s="51"/>
    </row>
    <row r="1235" spans="1:49" s="17" customFormat="1" ht="15" x14ac:dyDescent="0.25">
      <c r="A1235" s="51"/>
      <c r="B1235" s="51"/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  <c r="Y1235" s="51"/>
      <c r="Z1235" s="51"/>
      <c r="AA1235" s="51"/>
      <c r="AB1235" s="51"/>
      <c r="AC1235" s="51"/>
      <c r="AD1235" s="51"/>
      <c r="AE1235" s="51"/>
      <c r="AF1235" s="51"/>
      <c r="AG1235" s="51"/>
      <c r="AH1235" s="51"/>
      <c r="AI1235" s="51"/>
      <c r="AJ1235" s="51"/>
      <c r="AK1235" s="51"/>
      <c r="AL1235" s="51"/>
      <c r="AM1235" s="51"/>
      <c r="AN1235" s="51"/>
      <c r="AO1235" s="51"/>
      <c r="AP1235" s="51"/>
      <c r="AQ1235" s="51"/>
      <c r="AR1235" s="51"/>
      <c r="AS1235" s="51"/>
      <c r="AT1235" s="51"/>
      <c r="AU1235" s="51"/>
      <c r="AV1235" s="51"/>
      <c r="AW1235" s="51"/>
    </row>
    <row r="1236" spans="1:49" s="17" customFormat="1" ht="15" x14ac:dyDescent="0.25">
      <c r="A1236" s="51"/>
      <c r="B1236" s="51"/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  <c r="S1236" s="51"/>
      <c r="T1236" s="51"/>
      <c r="U1236" s="51"/>
      <c r="V1236" s="51"/>
      <c r="W1236" s="51"/>
      <c r="X1236" s="51"/>
      <c r="Y1236" s="51"/>
      <c r="Z1236" s="51"/>
      <c r="AA1236" s="51"/>
      <c r="AB1236" s="51"/>
      <c r="AC1236" s="51"/>
      <c r="AD1236" s="51"/>
      <c r="AE1236" s="51"/>
      <c r="AF1236" s="51"/>
      <c r="AG1236" s="51"/>
      <c r="AH1236" s="51"/>
      <c r="AI1236" s="51"/>
      <c r="AJ1236" s="51"/>
      <c r="AK1236" s="51"/>
      <c r="AL1236" s="51"/>
      <c r="AM1236" s="51"/>
      <c r="AN1236" s="51"/>
      <c r="AO1236" s="51"/>
      <c r="AP1236" s="51"/>
      <c r="AQ1236" s="51"/>
      <c r="AR1236" s="51"/>
      <c r="AS1236" s="51"/>
      <c r="AT1236" s="51"/>
      <c r="AU1236" s="51"/>
      <c r="AV1236" s="51"/>
      <c r="AW1236" s="51"/>
    </row>
    <row r="1237" spans="1:49" s="31" customFormat="1" ht="15.75" x14ac:dyDescent="0.2">
      <c r="A1237" s="51"/>
      <c r="B1237" s="51"/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  <c r="S1237" s="51"/>
      <c r="T1237" s="51"/>
      <c r="U1237" s="51"/>
      <c r="V1237" s="51"/>
      <c r="W1237" s="51"/>
      <c r="X1237" s="51"/>
      <c r="Y1237" s="51"/>
      <c r="Z1237" s="51"/>
      <c r="AA1237" s="51"/>
      <c r="AB1237" s="51"/>
      <c r="AC1237" s="51"/>
      <c r="AD1237" s="51"/>
      <c r="AE1237" s="51"/>
      <c r="AF1237" s="51"/>
      <c r="AG1237" s="51"/>
      <c r="AH1237" s="51"/>
      <c r="AI1237" s="51"/>
      <c r="AJ1237" s="51"/>
      <c r="AK1237" s="51"/>
      <c r="AL1237" s="51"/>
      <c r="AM1237" s="51"/>
      <c r="AN1237" s="51"/>
      <c r="AO1237" s="51"/>
      <c r="AP1237" s="51"/>
      <c r="AQ1237" s="51"/>
      <c r="AR1237" s="51"/>
      <c r="AS1237" s="51"/>
      <c r="AT1237" s="51"/>
      <c r="AU1237" s="51"/>
      <c r="AV1237" s="51"/>
      <c r="AW1237" s="51"/>
    </row>
    <row r="1238" spans="1:49" s="33" customFormat="1" ht="15.75" x14ac:dyDescent="0.2">
      <c r="A1238" s="51"/>
      <c r="B1238" s="51"/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  <c r="S1238" s="51"/>
      <c r="T1238" s="51"/>
      <c r="U1238" s="51"/>
      <c r="V1238" s="51"/>
      <c r="W1238" s="51"/>
      <c r="X1238" s="51"/>
      <c r="Y1238" s="51"/>
      <c r="Z1238" s="51"/>
      <c r="AA1238" s="51"/>
      <c r="AB1238" s="51"/>
      <c r="AC1238" s="51"/>
      <c r="AD1238" s="51"/>
      <c r="AE1238" s="51"/>
      <c r="AF1238" s="51"/>
      <c r="AG1238" s="51"/>
      <c r="AH1238" s="51"/>
      <c r="AI1238" s="51"/>
      <c r="AJ1238" s="51"/>
      <c r="AK1238" s="51"/>
      <c r="AL1238" s="51"/>
      <c r="AM1238" s="51"/>
      <c r="AN1238" s="51"/>
      <c r="AO1238" s="51"/>
      <c r="AP1238" s="51"/>
      <c r="AQ1238" s="51"/>
      <c r="AR1238" s="51"/>
      <c r="AS1238" s="51"/>
      <c r="AT1238" s="51"/>
      <c r="AU1238" s="51"/>
      <c r="AV1238" s="51"/>
      <c r="AW1238" s="51"/>
    </row>
    <row r="1239" spans="1:49" s="31" customFormat="1" ht="15.75" x14ac:dyDescent="0.2">
      <c r="A1239" s="51"/>
      <c r="B1239" s="51"/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  <c r="S1239" s="51"/>
      <c r="T1239" s="51"/>
      <c r="U1239" s="51"/>
      <c r="V1239" s="51"/>
      <c r="W1239" s="51"/>
      <c r="X1239" s="51"/>
      <c r="Y1239" s="51"/>
      <c r="Z1239" s="51"/>
      <c r="AA1239" s="51"/>
      <c r="AB1239" s="51"/>
      <c r="AC1239" s="51"/>
      <c r="AD1239" s="51"/>
      <c r="AE1239" s="51"/>
      <c r="AF1239" s="51"/>
      <c r="AG1239" s="51"/>
      <c r="AH1239" s="51"/>
      <c r="AI1239" s="51"/>
      <c r="AJ1239" s="51"/>
      <c r="AK1239" s="51"/>
      <c r="AL1239" s="51"/>
      <c r="AM1239" s="51"/>
      <c r="AN1239" s="51"/>
      <c r="AO1239" s="51"/>
      <c r="AP1239" s="51"/>
      <c r="AQ1239" s="51"/>
      <c r="AR1239" s="51"/>
      <c r="AS1239" s="51"/>
      <c r="AT1239" s="51"/>
      <c r="AU1239" s="51"/>
      <c r="AV1239" s="51"/>
      <c r="AW1239" s="51"/>
    </row>
    <row r="1240" spans="1:49" s="31" customFormat="1" ht="15.75" x14ac:dyDescent="0.2">
      <c r="A1240" s="51"/>
      <c r="B1240" s="51"/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  <c r="S1240" s="51"/>
      <c r="T1240" s="51"/>
      <c r="U1240" s="51"/>
      <c r="V1240" s="51"/>
      <c r="W1240" s="51"/>
      <c r="X1240" s="51"/>
      <c r="Y1240" s="51"/>
      <c r="Z1240" s="51"/>
      <c r="AA1240" s="51"/>
      <c r="AB1240" s="51"/>
      <c r="AC1240" s="51"/>
      <c r="AD1240" s="51"/>
      <c r="AE1240" s="51"/>
      <c r="AF1240" s="51"/>
      <c r="AG1240" s="51"/>
      <c r="AH1240" s="51"/>
      <c r="AI1240" s="51"/>
      <c r="AJ1240" s="51"/>
      <c r="AK1240" s="51"/>
      <c r="AL1240" s="51"/>
      <c r="AM1240" s="51"/>
      <c r="AN1240" s="51"/>
      <c r="AO1240" s="51"/>
      <c r="AP1240" s="51"/>
      <c r="AQ1240" s="51"/>
      <c r="AR1240" s="51"/>
      <c r="AS1240" s="51"/>
      <c r="AT1240" s="51"/>
      <c r="AU1240" s="51"/>
      <c r="AV1240" s="51"/>
      <c r="AW1240" s="51"/>
    </row>
    <row r="1241" spans="1:49" s="33" customFormat="1" ht="15.75" x14ac:dyDescent="0.2">
      <c r="A1241" s="51"/>
      <c r="B1241" s="51"/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  <c r="S1241" s="51"/>
      <c r="T1241" s="51"/>
      <c r="U1241" s="51"/>
      <c r="V1241" s="51"/>
      <c r="W1241" s="51"/>
      <c r="X1241" s="51"/>
      <c r="Y1241" s="51"/>
      <c r="Z1241" s="51"/>
      <c r="AA1241" s="51"/>
      <c r="AB1241" s="51"/>
      <c r="AC1241" s="51"/>
      <c r="AD1241" s="51"/>
      <c r="AE1241" s="51"/>
      <c r="AF1241" s="51"/>
      <c r="AG1241" s="51"/>
      <c r="AH1241" s="51"/>
      <c r="AI1241" s="51"/>
      <c r="AJ1241" s="51"/>
      <c r="AK1241" s="51"/>
      <c r="AL1241" s="51"/>
      <c r="AM1241" s="51"/>
      <c r="AN1241" s="51"/>
      <c r="AO1241" s="51"/>
      <c r="AP1241" s="51"/>
      <c r="AQ1241" s="51"/>
      <c r="AR1241" s="51"/>
      <c r="AS1241" s="51"/>
      <c r="AT1241" s="51"/>
      <c r="AU1241" s="51"/>
      <c r="AV1241" s="51"/>
      <c r="AW1241" s="51"/>
    </row>
    <row r="1242" spans="1:49" s="31" customFormat="1" ht="15.75" x14ac:dyDescent="0.2">
      <c r="A1242" s="51"/>
      <c r="B1242" s="51"/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  <c r="S1242" s="51"/>
      <c r="T1242" s="51"/>
      <c r="U1242" s="51"/>
      <c r="V1242" s="51"/>
      <c r="W1242" s="51"/>
      <c r="X1242" s="51"/>
      <c r="Y1242" s="51"/>
      <c r="Z1242" s="51"/>
      <c r="AA1242" s="51"/>
      <c r="AB1242" s="51"/>
      <c r="AC1242" s="51"/>
      <c r="AD1242" s="51"/>
      <c r="AE1242" s="51"/>
      <c r="AF1242" s="51"/>
      <c r="AG1242" s="51"/>
      <c r="AH1242" s="51"/>
      <c r="AI1242" s="51"/>
      <c r="AJ1242" s="51"/>
      <c r="AK1242" s="51"/>
      <c r="AL1242" s="51"/>
      <c r="AM1242" s="51"/>
      <c r="AN1242" s="51"/>
      <c r="AO1242" s="51"/>
      <c r="AP1242" s="51"/>
      <c r="AQ1242" s="51"/>
      <c r="AR1242" s="51"/>
      <c r="AS1242" s="51"/>
      <c r="AT1242" s="51"/>
      <c r="AU1242" s="51"/>
      <c r="AV1242" s="51"/>
      <c r="AW1242" s="51"/>
    </row>
    <row r="1243" spans="1:49" s="31" customFormat="1" ht="15.75" x14ac:dyDescent="0.2">
      <c r="A1243" s="51"/>
      <c r="B1243" s="51"/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  <c r="S1243" s="51"/>
      <c r="T1243" s="51"/>
      <c r="U1243" s="51"/>
      <c r="V1243" s="51"/>
      <c r="W1243" s="51"/>
      <c r="X1243" s="51"/>
      <c r="Y1243" s="51"/>
      <c r="Z1243" s="51"/>
      <c r="AA1243" s="51"/>
      <c r="AB1243" s="51"/>
      <c r="AC1243" s="51"/>
      <c r="AD1243" s="51"/>
      <c r="AE1243" s="51"/>
      <c r="AF1243" s="51"/>
      <c r="AG1243" s="51"/>
      <c r="AH1243" s="51"/>
      <c r="AI1243" s="51"/>
      <c r="AJ1243" s="51"/>
      <c r="AK1243" s="51"/>
      <c r="AL1243" s="51"/>
      <c r="AM1243" s="51"/>
      <c r="AN1243" s="51"/>
      <c r="AO1243" s="51"/>
      <c r="AP1243" s="51"/>
      <c r="AQ1243" s="51"/>
      <c r="AR1243" s="51"/>
      <c r="AS1243" s="51"/>
      <c r="AT1243" s="51"/>
      <c r="AU1243" s="51"/>
      <c r="AV1243" s="51"/>
      <c r="AW1243" s="51"/>
    </row>
    <row r="1244" spans="1:49" s="33" customFormat="1" ht="15.75" x14ac:dyDescent="0.2">
      <c r="A1244" s="51"/>
      <c r="B1244" s="51"/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  <c r="S1244" s="51"/>
      <c r="T1244" s="51"/>
      <c r="U1244" s="51"/>
      <c r="V1244" s="51"/>
      <c r="W1244" s="51"/>
      <c r="X1244" s="51"/>
      <c r="Y1244" s="51"/>
      <c r="Z1244" s="51"/>
      <c r="AA1244" s="51"/>
      <c r="AB1244" s="51"/>
      <c r="AC1244" s="51"/>
      <c r="AD1244" s="51"/>
      <c r="AE1244" s="51"/>
      <c r="AF1244" s="51"/>
      <c r="AG1244" s="51"/>
      <c r="AH1244" s="51"/>
      <c r="AI1244" s="51"/>
      <c r="AJ1244" s="51"/>
      <c r="AK1244" s="51"/>
      <c r="AL1244" s="51"/>
      <c r="AM1244" s="51"/>
      <c r="AN1244" s="51"/>
      <c r="AO1244" s="51"/>
      <c r="AP1244" s="51"/>
      <c r="AQ1244" s="51"/>
      <c r="AR1244" s="51"/>
      <c r="AS1244" s="51"/>
      <c r="AT1244" s="51"/>
      <c r="AU1244" s="51"/>
      <c r="AV1244" s="51"/>
      <c r="AW1244" s="51"/>
    </row>
    <row r="1245" spans="1:49" s="31" customFormat="1" ht="15.75" x14ac:dyDescent="0.2">
      <c r="A1245" s="51"/>
      <c r="B1245" s="51"/>
      <c r="C1245" s="51"/>
      <c r="D1245" s="51"/>
      <c r="E1245" s="51"/>
      <c r="F1245" s="51"/>
      <c r="G1245" s="51"/>
      <c r="H1245" s="51"/>
      <c r="I1245" s="51"/>
      <c r="J1245" s="51"/>
      <c r="K1245" s="51"/>
      <c r="L1245" s="51"/>
      <c r="M1245" s="51"/>
      <c r="N1245" s="51"/>
      <c r="O1245" s="51"/>
      <c r="P1245" s="51"/>
      <c r="Q1245" s="51"/>
      <c r="R1245" s="51"/>
      <c r="S1245" s="51"/>
      <c r="T1245" s="51"/>
      <c r="U1245" s="51"/>
      <c r="V1245" s="51"/>
      <c r="W1245" s="51"/>
      <c r="X1245" s="51"/>
      <c r="Y1245" s="51"/>
      <c r="Z1245" s="51"/>
      <c r="AA1245" s="51"/>
      <c r="AB1245" s="51"/>
      <c r="AC1245" s="51"/>
      <c r="AD1245" s="51"/>
      <c r="AE1245" s="51"/>
      <c r="AF1245" s="51"/>
      <c r="AG1245" s="51"/>
      <c r="AH1245" s="51"/>
      <c r="AI1245" s="51"/>
      <c r="AJ1245" s="51"/>
      <c r="AK1245" s="51"/>
      <c r="AL1245" s="51"/>
      <c r="AM1245" s="51"/>
      <c r="AN1245" s="51"/>
      <c r="AO1245" s="51"/>
      <c r="AP1245" s="51"/>
      <c r="AQ1245" s="51"/>
      <c r="AR1245" s="51"/>
      <c r="AS1245" s="51"/>
      <c r="AT1245" s="51"/>
      <c r="AU1245" s="51"/>
      <c r="AV1245" s="51"/>
      <c r="AW1245" s="51"/>
    </row>
    <row r="1246" spans="1:49" s="31" customFormat="1" ht="15.75" x14ac:dyDescent="0.2">
      <c r="A1246" s="51"/>
      <c r="B1246" s="51"/>
      <c r="C1246" s="51"/>
      <c r="D1246" s="51"/>
      <c r="E1246" s="51"/>
      <c r="F1246" s="51"/>
      <c r="G1246" s="51"/>
      <c r="H1246" s="51"/>
      <c r="I1246" s="51"/>
      <c r="J1246" s="51"/>
      <c r="K1246" s="51"/>
      <c r="L1246" s="51"/>
      <c r="M1246" s="51"/>
      <c r="N1246" s="51"/>
      <c r="O1246" s="51"/>
      <c r="P1246" s="51"/>
      <c r="Q1246" s="51"/>
      <c r="R1246" s="51"/>
      <c r="S1246" s="51"/>
      <c r="T1246" s="51"/>
      <c r="U1246" s="51"/>
      <c r="V1246" s="51"/>
      <c r="W1246" s="51"/>
      <c r="X1246" s="51"/>
      <c r="Y1246" s="51"/>
      <c r="Z1246" s="51"/>
      <c r="AA1246" s="51"/>
      <c r="AB1246" s="51"/>
      <c r="AC1246" s="51"/>
      <c r="AD1246" s="51"/>
      <c r="AE1246" s="51"/>
      <c r="AF1246" s="51"/>
      <c r="AG1246" s="51"/>
      <c r="AH1246" s="51"/>
      <c r="AI1246" s="51"/>
      <c r="AJ1246" s="51"/>
      <c r="AK1246" s="51"/>
      <c r="AL1246" s="51"/>
      <c r="AM1246" s="51"/>
      <c r="AN1246" s="51"/>
      <c r="AO1246" s="51"/>
      <c r="AP1246" s="51"/>
      <c r="AQ1246" s="51"/>
      <c r="AR1246" s="51"/>
      <c r="AS1246" s="51"/>
      <c r="AT1246" s="51"/>
      <c r="AU1246" s="51"/>
      <c r="AV1246" s="51"/>
      <c r="AW1246" s="51"/>
    </row>
    <row r="1247" spans="1:49" s="33" customFormat="1" ht="15.75" x14ac:dyDescent="0.2">
      <c r="A1247" s="51"/>
      <c r="B1247" s="51"/>
      <c r="C1247" s="51"/>
      <c r="D1247" s="51"/>
      <c r="E1247" s="51"/>
      <c r="F1247" s="51"/>
      <c r="G1247" s="51"/>
      <c r="H1247" s="51"/>
      <c r="I1247" s="51"/>
      <c r="J1247" s="51"/>
      <c r="K1247" s="51"/>
      <c r="L1247" s="51"/>
      <c r="M1247" s="51"/>
      <c r="N1247" s="51"/>
      <c r="O1247" s="51"/>
      <c r="P1247" s="51"/>
      <c r="Q1247" s="51"/>
      <c r="R1247" s="51"/>
      <c r="S1247" s="51"/>
      <c r="T1247" s="51"/>
      <c r="U1247" s="51"/>
      <c r="V1247" s="51"/>
      <c r="W1247" s="51"/>
      <c r="X1247" s="51"/>
      <c r="Y1247" s="51"/>
      <c r="Z1247" s="51"/>
      <c r="AA1247" s="51"/>
      <c r="AB1247" s="51"/>
      <c r="AC1247" s="51"/>
      <c r="AD1247" s="51"/>
      <c r="AE1247" s="51"/>
      <c r="AF1247" s="51"/>
      <c r="AG1247" s="51"/>
      <c r="AH1247" s="51"/>
      <c r="AI1247" s="51"/>
      <c r="AJ1247" s="51"/>
      <c r="AK1247" s="51"/>
      <c r="AL1247" s="51"/>
      <c r="AM1247" s="51"/>
      <c r="AN1247" s="51"/>
      <c r="AO1247" s="51"/>
      <c r="AP1247" s="51"/>
      <c r="AQ1247" s="51"/>
      <c r="AR1247" s="51"/>
      <c r="AS1247" s="51"/>
      <c r="AT1247" s="51"/>
      <c r="AU1247" s="51"/>
      <c r="AV1247" s="51"/>
      <c r="AW1247" s="51"/>
    </row>
    <row r="1248" spans="1:49" s="33" customFormat="1" ht="15.75" x14ac:dyDescent="0.2">
      <c r="A1248" s="51"/>
      <c r="B1248" s="51"/>
      <c r="C1248" s="51"/>
      <c r="D1248" s="51"/>
      <c r="E1248" s="51"/>
      <c r="F1248" s="51"/>
      <c r="G1248" s="51"/>
      <c r="H1248" s="51"/>
      <c r="I1248" s="51"/>
      <c r="J1248" s="51"/>
      <c r="K1248" s="51"/>
      <c r="L1248" s="51"/>
      <c r="M1248" s="51"/>
      <c r="N1248" s="51"/>
      <c r="O1248" s="51"/>
      <c r="P1248" s="51"/>
      <c r="Q1248" s="51"/>
      <c r="R1248" s="51"/>
      <c r="S1248" s="51"/>
      <c r="T1248" s="51"/>
      <c r="U1248" s="51"/>
      <c r="V1248" s="51"/>
      <c r="W1248" s="51"/>
      <c r="X1248" s="51"/>
      <c r="Y1248" s="51"/>
      <c r="Z1248" s="51"/>
      <c r="AA1248" s="51"/>
      <c r="AB1248" s="51"/>
      <c r="AC1248" s="51"/>
      <c r="AD1248" s="51"/>
      <c r="AE1248" s="51"/>
      <c r="AF1248" s="51"/>
      <c r="AG1248" s="51"/>
      <c r="AH1248" s="51"/>
      <c r="AI1248" s="51"/>
      <c r="AJ1248" s="51"/>
      <c r="AK1248" s="51"/>
      <c r="AL1248" s="51"/>
      <c r="AM1248" s="51"/>
      <c r="AN1248" s="51"/>
      <c r="AO1248" s="51"/>
      <c r="AP1248" s="51"/>
      <c r="AQ1248" s="51"/>
      <c r="AR1248" s="51"/>
      <c r="AS1248" s="51"/>
      <c r="AT1248" s="51"/>
      <c r="AU1248" s="51"/>
      <c r="AV1248" s="51"/>
      <c r="AW1248" s="51"/>
    </row>
    <row r="1249" spans="1:49" s="31" customFormat="1" ht="15.75" x14ac:dyDescent="0.2">
      <c r="A1249" s="51"/>
      <c r="B1249" s="51"/>
      <c r="C1249" s="51"/>
      <c r="D1249" s="51"/>
      <c r="E1249" s="51"/>
      <c r="F1249" s="51"/>
      <c r="G1249" s="51"/>
      <c r="H1249" s="51"/>
      <c r="I1249" s="51"/>
      <c r="J1249" s="51"/>
      <c r="K1249" s="51"/>
      <c r="L1249" s="51"/>
      <c r="M1249" s="51"/>
      <c r="N1249" s="51"/>
      <c r="O1249" s="51"/>
      <c r="P1249" s="51"/>
      <c r="Q1249" s="51"/>
      <c r="R1249" s="51"/>
      <c r="S1249" s="51"/>
      <c r="T1249" s="51"/>
      <c r="U1249" s="51"/>
      <c r="V1249" s="51"/>
      <c r="W1249" s="51"/>
      <c r="X1249" s="51"/>
      <c r="Y1249" s="51"/>
      <c r="Z1249" s="51"/>
      <c r="AA1249" s="51"/>
      <c r="AB1249" s="51"/>
      <c r="AC1249" s="51"/>
      <c r="AD1249" s="51"/>
      <c r="AE1249" s="51"/>
      <c r="AF1249" s="51"/>
      <c r="AG1249" s="51"/>
      <c r="AH1249" s="51"/>
      <c r="AI1249" s="51"/>
      <c r="AJ1249" s="51"/>
      <c r="AK1249" s="51"/>
      <c r="AL1249" s="51"/>
      <c r="AM1249" s="51"/>
      <c r="AN1249" s="51"/>
      <c r="AO1249" s="51"/>
      <c r="AP1249" s="51"/>
      <c r="AQ1249" s="51"/>
      <c r="AR1249" s="51"/>
      <c r="AS1249" s="51"/>
      <c r="AT1249" s="51"/>
      <c r="AU1249" s="51"/>
      <c r="AV1249" s="51"/>
      <c r="AW1249" s="51"/>
    </row>
    <row r="1250" spans="1:49" s="31" customFormat="1" ht="15.75" x14ac:dyDescent="0.2">
      <c r="A1250" s="51"/>
      <c r="B1250" s="51"/>
      <c r="C1250" s="51"/>
      <c r="D1250" s="51"/>
      <c r="E1250" s="51"/>
      <c r="F1250" s="51"/>
      <c r="G1250" s="51"/>
      <c r="H1250" s="51"/>
      <c r="I1250" s="51"/>
      <c r="J1250" s="51"/>
      <c r="K1250" s="51"/>
      <c r="L1250" s="51"/>
      <c r="M1250" s="51"/>
      <c r="N1250" s="51"/>
      <c r="O1250" s="51"/>
      <c r="P1250" s="51"/>
      <c r="Q1250" s="51"/>
      <c r="R1250" s="51"/>
      <c r="S1250" s="51"/>
      <c r="T1250" s="51"/>
      <c r="U1250" s="51"/>
      <c r="V1250" s="51"/>
      <c r="W1250" s="51"/>
      <c r="X1250" s="51"/>
      <c r="Y1250" s="51"/>
      <c r="Z1250" s="51"/>
      <c r="AA1250" s="51"/>
      <c r="AB1250" s="51"/>
      <c r="AC1250" s="51"/>
      <c r="AD1250" s="51"/>
      <c r="AE1250" s="51"/>
      <c r="AF1250" s="51"/>
      <c r="AG1250" s="51"/>
      <c r="AH1250" s="51"/>
      <c r="AI1250" s="51"/>
      <c r="AJ1250" s="51"/>
      <c r="AK1250" s="51"/>
      <c r="AL1250" s="51"/>
      <c r="AM1250" s="51"/>
      <c r="AN1250" s="51"/>
      <c r="AO1250" s="51"/>
      <c r="AP1250" s="51"/>
      <c r="AQ1250" s="51"/>
      <c r="AR1250" s="51"/>
      <c r="AS1250" s="51"/>
      <c r="AT1250" s="51"/>
      <c r="AU1250" s="51"/>
      <c r="AV1250" s="51"/>
      <c r="AW1250" s="51"/>
    </row>
    <row r="1251" spans="1:49" s="33" customFormat="1" ht="15.75" x14ac:dyDescent="0.2">
      <c r="A1251" s="51"/>
      <c r="B1251" s="51"/>
      <c r="C1251" s="51"/>
      <c r="D1251" s="51"/>
      <c r="E1251" s="51"/>
      <c r="F1251" s="51"/>
      <c r="G1251" s="51"/>
      <c r="H1251" s="51"/>
      <c r="I1251" s="51"/>
      <c r="J1251" s="51"/>
      <c r="K1251" s="51"/>
      <c r="L1251" s="51"/>
      <c r="M1251" s="51"/>
      <c r="N1251" s="51"/>
      <c r="O1251" s="51"/>
      <c r="P1251" s="51"/>
      <c r="Q1251" s="51"/>
      <c r="R1251" s="51"/>
      <c r="S1251" s="51"/>
      <c r="T1251" s="51"/>
      <c r="U1251" s="51"/>
      <c r="V1251" s="51"/>
      <c r="W1251" s="51"/>
      <c r="X1251" s="51"/>
      <c r="Y1251" s="51"/>
      <c r="Z1251" s="51"/>
      <c r="AA1251" s="51"/>
      <c r="AB1251" s="51"/>
      <c r="AC1251" s="51"/>
      <c r="AD1251" s="51"/>
      <c r="AE1251" s="51"/>
      <c r="AF1251" s="51"/>
      <c r="AG1251" s="51"/>
      <c r="AH1251" s="51"/>
      <c r="AI1251" s="51"/>
      <c r="AJ1251" s="51"/>
      <c r="AK1251" s="51"/>
      <c r="AL1251" s="51"/>
      <c r="AM1251" s="51"/>
      <c r="AN1251" s="51"/>
      <c r="AO1251" s="51"/>
      <c r="AP1251" s="51"/>
      <c r="AQ1251" s="51"/>
      <c r="AR1251" s="51"/>
      <c r="AS1251" s="51"/>
      <c r="AT1251" s="51"/>
      <c r="AU1251" s="51"/>
      <c r="AV1251" s="51"/>
      <c r="AW1251" s="51"/>
    </row>
    <row r="1252" spans="1:49" s="31" customFormat="1" ht="15.75" x14ac:dyDescent="0.2">
      <c r="A1252" s="51"/>
      <c r="B1252" s="51"/>
      <c r="C1252" s="51"/>
      <c r="D1252" s="51"/>
      <c r="E1252" s="51"/>
      <c r="F1252" s="51"/>
      <c r="G1252" s="51"/>
      <c r="H1252" s="51"/>
      <c r="I1252" s="51"/>
      <c r="J1252" s="51"/>
      <c r="K1252" s="51"/>
      <c r="L1252" s="51"/>
      <c r="M1252" s="51"/>
      <c r="N1252" s="51"/>
      <c r="O1252" s="51"/>
      <c r="P1252" s="51"/>
      <c r="Q1252" s="51"/>
      <c r="R1252" s="51"/>
      <c r="S1252" s="51"/>
      <c r="T1252" s="51"/>
      <c r="U1252" s="51"/>
      <c r="V1252" s="51"/>
      <c r="W1252" s="51"/>
      <c r="X1252" s="51"/>
      <c r="Y1252" s="51"/>
      <c r="Z1252" s="51"/>
      <c r="AA1252" s="51"/>
      <c r="AB1252" s="51"/>
      <c r="AC1252" s="51"/>
      <c r="AD1252" s="51"/>
      <c r="AE1252" s="51"/>
      <c r="AF1252" s="51"/>
      <c r="AG1252" s="51"/>
      <c r="AH1252" s="51"/>
      <c r="AI1252" s="51"/>
      <c r="AJ1252" s="51"/>
      <c r="AK1252" s="51"/>
      <c r="AL1252" s="51"/>
      <c r="AM1252" s="51"/>
      <c r="AN1252" s="51"/>
      <c r="AO1252" s="51"/>
      <c r="AP1252" s="51"/>
      <c r="AQ1252" s="51"/>
      <c r="AR1252" s="51"/>
      <c r="AS1252" s="51"/>
      <c r="AT1252" s="51"/>
      <c r="AU1252" s="51"/>
      <c r="AV1252" s="51"/>
      <c r="AW1252" s="51"/>
    </row>
    <row r="1253" spans="1:49" s="31" customFormat="1" ht="15.75" x14ac:dyDescent="0.2">
      <c r="A1253" s="51"/>
      <c r="B1253" s="51"/>
      <c r="C1253" s="51"/>
      <c r="D1253" s="51"/>
      <c r="E1253" s="51"/>
      <c r="F1253" s="51"/>
      <c r="G1253" s="51"/>
      <c r="H1253" s="51"/>
      <c r="I1253" s="51"/>
      <c r="J1253" s="51"/>
      <c r="K1253" s="51"/>
      <c r="L1253" s="51"/>
      <c r="M1253" s="51"/>
      <c r="N1253" s="51"/>
      <c r="O1253" s="51"/>
      <c r="P1253" s="51"/>
      <c r="Q1253" s="51"/>
      <c r="R1253" s="51"/>
      <c r="S1253" s="51"/>
      <c r="T1253" s="51"/>
      <c r="U1253" s="51"/>
      <c r="V1253" s="51"/>
      <c r="W1253" s="51"/>
      <c r="X1253" s="51"/>
      <c r="Y1253" s="51"/>
      <c r="Z1253" s="51"/>
      <c r="AA1253" s="51"/>
      <c r="AB1253" s="51"/>
      <c r="AC1253" s="51"/>
      <c r="AD1253" s="51"/>
      <c r="AE1253" s="51"/>
      <c r="AF1253" s="51"/>
      <c r="AG1253" s="51"/>
      <c r="AH1253" s="51"/>
      <c r="AI1253" s="51"/>
      <c r="AJ1253" s="51"/>
      <c r="AK1253" s="51"/>
      <c r="AL1253" s="51"/>
      <c r="AM1253" s="51"/>
      <c r="AN1253" s="51"/>
      <c r="AO1253" s="51"/>
      <c r="AP1253" s="51"/>
      <c r="AQ1253" s="51"/>
      <c r="AR1253" s="51"/>
      <c r="AS1253" s="51"/>
      <c r="AT1253" s="51"/>
      <c r="AU1253" s="51"/>
      <c r="AV1253" s="51"/>
      <c r="AW1253" s="51"/>
    </row>
    <row r="1254" spans="1:49" s="33" customFormat="1" ht="15.75" x14ac:dyDescent="0.2">
      <c r="A1254" s="51"/>
      <c r="B1254" s="51"/>
      <c r="C1254" s="51"/>
      <c r="D1254" s="51"/>
      <c r="E1254" s="51"/>
      <c r="F1254" s="51"/>
      <c r="G1254" s="51"/>
      <c r="H1254" s="51"/>
      <c r="I1254" s="51"/>
      <c r="J1254" s="51"/>
      <c r="K1254" s="51"/>
      <c r="L1254" s="51"/>
      <c r="M1254" s="51"/>
      <c r="N1254" s="51"/>
      <c r="O1254" s="51"/>
      <c r="P1254" s="51"/>
      <c r="Q1254" s="51"/>
      <c r="R1254" s="51"/>
      <c r="S1254" s="51"/>
      <c r="T1254" s="51"/>
      <c r="U1254" s="51"/>
      <c r="V1254" s="51"/>
      <c r="W1254" s="51"/>
      <c r="X1254" s="51"/>
      <c r="Y1254" s="51"/>
      <c r="Z1254" s="51"/>
      <c r="AA1254" s="51"/>
      <c r="AB1254" s="51"/>
      <c r="AC1254" s="51"/>
      <c r="AD1254" s="51"/>
      <c r="AE1254" s="51"/>
      <c r="AF1254" s="51"/>
      <c r="AG1254" s="51"/>
      <c r="AH1254" s="51"/>
      <c r="AI1254" s="51"/>
      <c r="AJ1254" s="51"/>
      <c r="AK1254" s="51"/>
      <c r="AL1254" s="51"/>
      <c r="AM1254" s="51"/>
      <c r="AN1254" s="51"/>
      <c r="AO1254" s="51"/>
      <c r="AP1254" s="51"/>
      <c r="AQ1254" s="51"/>
      <c r="AR1254" s="51"/>
      <c r="AS1254" s="51"/>
      <c r="AT1254" s="51"/>
      <c r="AU1254" s="51"/>
      <c r="AV1254" s="51"/>
      <c r="AW1254" s="51"/>
    </row>
    <row r="1255" spans="1:49" s="31" customFormat="1" ht="15.75" x14ac:dyDescent="0.2">
      <c r="A1255" s="51"/>
      <c r="B1255" s="51"/>
      <c r="C1255" s="51"/>
      <c r="D1255" s="51"/>
      <c r="E1255" s="51"/>
      <c r="F1255" s="51"/>
      <c r="G1255" s="51"/>
      <c r="H1255" s="51"/>
      <c r="I1255" s="51"/>
      <c r="J1255" s="51"/>
      <c r="K1255" s="51"/>
      <c r="L1255" s="51"/>
      <c r="M1255" s="51"/>
      <c r="N1255" s="51"/>
      <c r="O1255" s="51"/>
      <c r="P1255" s="51"/>
      <c r="Q1255" s="51"/>
      <c r="R1255" s="51"/>
      <c r="S1255" s="51"/>
      <c r="T1255" s="51"/>
      <c r="U1255" s="51"/>
      <c r="V1255" s="51"/>
      <c r="W1255" s="51"/>
      <c r="X1255" s="51"/>
      <c r="Y1255" s="51"/>
      <c r="Z1255" s="51"/>
      <c r="AA1255" s="51"/>
      <c r="AB1255" s="51"/>
      <c r="AC1255" s="51"/>
      <c r="AD1255" s="51"/>
      <c r="AE1255" s="51"/>
      <c r="AF1255" s="51"/>
      <c r="AG1255" s="51"/>
      <c r="AH1255" s="51"/>
      <c r="AI1255" s="51"/>
      <c r="AJ1255" s="51"/>
      <c r="AK1255" s="51"/>
      <c r="AL1255" s="51"/>
      <c r="AM1255" s="51"/>
      <c r="AN1255" s="51"/>
      <c r="AO1255" s="51"/>
      <c r="AP1255" s="51"/>
      <c r="AQ1255" s="51"/>
      <c r="AR1255" s="51"/>
      <c r="AS1255" s="51"/>
      <c r="AT1255" s="51"/>
      <c r="AU1255" s="51"/>
      <c r="AV1255" s="51"/>
      <c r="AW1255" s="51"/>
    </row>
    <row r="1256" spans="1:49" s="33" customFormat="1" ht="15.75" x14ac:dyDescent="0.2">
      <c r="A1256" s="51"/>
      <c r="B1256" s="51"/>
      <c r="C1256" s="51"/>
      <c r="D1256" s="51"/>
      <c r="E1256" s="51"/>
      <c r="F1256" s="51"/>
      <c r="G1256" s="51"/>
      <c r="H1256" s="51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  <c r="Y1256" s="51"/>
      <c r="Z1256" s="51"/>
      <c r="AA1256" s="51"/>
      <c r="AB1256" s="51"/>
      <c r="AC1256" s="51"/>
      <c r="AD1256" s="51"/>
      <c r="AE1256" s="51"/>
      <c r="AF1256" s="51"/>
      <c r="AG1256" s="51"/>
      <c r="AH1256" s="51"/>
      <c r="AI1256" s="51"/>
      <c r="AJ1256" s="51"/>
      <c r="AK1256" s="51"/>
      <c r="AL1256" s="51"/>
      <c r="AM1256" s="51"/>
      <c r="AN1256" s="51"/>
      <c r="AO1256" s="51"/>
      <c r="AP1256" s="51"/>
      <c r="AQ1256" s="51"/>
      <c r="AR1256" s="51"/>
      <c r="AS1256" s="51"/>
      <c r="AT1256" s="51"/>
      <c r="AU1256" s="51"/>
      <c r="AV1256" s="51"/>
      <c r="AW1256" s="51"/>
    </row>
    <row r="1257" spans="1:49" s="33" customFormat="1" ht="15.75" x14ac:dyDescent="0.2">
      <c r="A1257" s="51"/>
      <c r="B1257" s="51"/>
      <c r="C1257" s="51"/>
      <c r="D1257" s="51"/>
      <c r="E1257" s="51"/>
      <c r="F1257" s="51"/>
      <c r="G1257" s="51"/>
      <c r="H1257" s="51"/>
      <c r="I1257" s="51"/>
      <c r="J1257" s="51"/>
      <c r="K1257" s="51"/>
      <c r="L1257" s="51"/>
      <c r="M1257" s="51"/>
      <c r="N1257" s="51"/>
      <c r="O1257" s="51"/>
      <c r="P1257" s="51"/>
      <c r="Q1257" s="51"/>
      <c r="R1257" s="51"/>
      <c r="S1257" s="51"/>
      <c r="T1257" s="51"/>
      <c r="U1257" s="51"/>
      <c r="V1257" s="51"/>
      <c r="W1257" s="51"/>
      <c r="X1257" s="51"/>
      <c r="Y1257" s="51"/>
      <c r="Z1257" s="51"/>
      <c r="AA1257" s="51"/>
      <c r="AB1257" s="51"/>
      <c r="AC1257" s="51"/>
      <c r="AD1257" s="51"/>
      <c r="AE1257" s="51"/>
      <c r="AF1257" s="51"/>
      <c r="AG1257" s="51"/>
      <c r="AH1257" s="51"/>
      <c r="AI1257" s="51"/>
      <c r="AJ1257" s="51"/>
      <c r="AK1257" s="51"/>
      <c r="AL1257" s="51"/>
      <c r="AM1257" s="51"/>
      <c r="AN1257" s="51"/>
      <c r="AO1257" s="51"/>
      <c r="AP1257" s="51"/>
      <c r="AQ1257" s="51"/>
      <c r="AR1257" s="51"/>
      <c r="AS1257" s="51"/>
      <c r="AT1257" s="51"/>
      <c r="AU1257" s="51"/>
      <c r="AV1257" s="51"/>
      <c r="AW1257" s="51"/>
    </row>
    <row r="1258" spans="1:49" s="33" customFormat="1" ht="15.75" x14ac:dyDescent="0.2">
      <c r="A1258" s="51"/>
      <c r="B1258" s="51"/>
      <c r="C1258" s="51"/>
      <c r="D1258" s="51"/>
      <c r="E1258" s="51"/>
      <c r="F1258" s="51"/>
      <c r="G1258" s="51"/>
      <c r="H1258" s="51"/>
      <c r="I1258" s="51"/>
      <c r="J1258" s="51"/>
      <c r="K1258" s="51"/>
      <c r="L1258" s="51"/>
      <c r="M1258" s="51"/>
      <c r="N1258" s="51"/>
      <c r="O1258" s="51"/>
      <c r="P1258" s="51"/>
      <c r="Q1258" s="51"/>
      <c r="R1258" s="51"/>
      <c r="S1258" s="51"/>
      <c r="T1258" s="51"/>
      <c r="U1258" s="51"/>
      <c r="V1258" s="51"/>
      <c r="W1258" s="51"/>
      <c r="X1258" s="51"/>
      <c r="Y1258" s="51"/>
      <c r="Z1258" s="51"/>
      <c r="AA1258" s="51"/>
      <c r="AB1258" s="51"/>
      <c r="AC1258" s="51"/>
      <c r="AD1258" s="51"/>
      <c r="AE1258" s="51"/>
      <c r="AF1258" s="51"/>
      <c r="AG1258" s="51"/>
      <c r="AH1258" s="51"/>
      <c r="AI1258" s="51"/>
      <c r="AJ1258" s="51"/>
      <c r="AK1258" s="51"/>
      <c r="AL1258" s="51"/>
      <c r="AM1258" s="51"/>
      <c r="AN1258" s="51"/>
      <c r="AO1258" s="51"/>
      <c r="AP1258" s="51"/>
      <c r="AQ1258" s="51"/>
      <c r="AR1258" s="51"/>
      <c r="AS1258" s="51"/>
      <c r="AT1258" s="51"/>
      <c r="AU1258" s="51"/>
      <c r="AV1258" s="51"/>
      <c r="AW1258" s="51"/>
    </row>
    <row r="1259" spans="1:49" s="31" customFormat="1" ht="15.75" x14ac:dyDescent="0.2">
      <c r="A1259" s="51"/>
      <c r="B1259" s="51"/>
      <c r="C1259" s="51"/>
      <c r="D1259" s="51"/>
      <c r="E1259" s="51"/>
      <c r="F1259" s="51"/>
      <c r="G1259" s="51"/>
      <c r="H1259" s="51"/>
      <c r="I1259" s="51"/>
      <c r="J1259" s="51"/>
      <c r="K1259" s="51"/>
      <c r="L1259" s="51"/>
      <c r="M1259" s="51"/>
      <c r="N1259" s="51"/>
      <c r="O1259" s="51"/>
      <c r="P1259" s="51"/>
      <c r="Q1259" s="51"/>
      <c r="R1259" s="51"/>
      <c r="S1259" s="51"/>
      <c r="T1259" s="51"/>
      <c r="U1259" s="51"/>
      <c r="V1259" s="51"/>
      <c r="W1259" s="51"/>
      <c r="X1259" s="51"/>
      <c r="Y1259" s="51"/>
      <c r="Z1259" s="51"/>
      <c r="AA1259" s="51"/>
      <c r="AB1259" s="51"/>
      <c r="AC1259" s="51"/>
      <c r="AD1259" s="51"/>
      <c r="AE1259" s="51"/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1"/>
      <c r="AS1259" s="51"/>
      <c r="AT1259" s="51"/>
      <c r="AU1259" s="51"/>
      <c r="AV1259" s="51"/>
      <c r="AW1259" s="51"/>
    </row>
    <row r="1260" spans="1:49" s="33" customFormat="1" ht="15.75" x14ac:dyDescent="0.2">
      <c r="A1260" s="51"/>
      <c r="B1260" s="51"/>
      <c r="C1260" s="51"/>
      <c r="D1260" s="51"/>
      <c r="E1260" s="51"/>
      <c r="F1260" s="51"/>
      <c r="G1260" s="51"/>
      <c r="H1260" s="51"/>
      <c r="I1260" s="51"/>
      <c r="J1260" s="51"/>
      <c r="K1260" s="51"/>
      <c r="L1260" s="51"/>
      <c r="M1260" s="51"/>
      <c r="N1260" s="51"/>
      <c r="O1260" s="51"/>
      <c r="P1260" s="51"/>
      <c r="Q1260" s="51"/>
      <c r="R1260" s="51"/>
      <c r="S1260" s="51"/>
      <c r="T1260" s="51"/>
      <c r="U1260" s="51"/>
      <c r="V1260" s="51"/>
      <c r="W1260" s="51"/>
      <c r="X1260" s="51"/>
      <c r="Y1260" s="51"/>
      <c r="Z1260" s="51"/>
      <c r="AA1260" s="51"/>
      <c r="AB1260" s="51"/>
      <c r="AC1260" s="51"/>
      <c r="AD1260" s="51"/>
      <c r="AE1260" s="51"/>
      <c r="AF1260" s="51"/>
      <c r="AG1260" s="51"/>
      <c r="AH1260" s="51"/>
      <c r="AI1260" s="51"/>
      <c r="AJ1260" s="51"/>
      <c r="AK1260" s="51"/>
      <c r="AL1260" s="51"/>
      <c r="AM1260" s="51"/>
      <c r="AN1260" s="51"/>
      <c r="AO1260" s="51"/>
      <c r="AP1260" s="51"/>
      <c r="AQ1260" s="51"/>
      <c r="AR1260" s="51"/>
      <c r="AS1260" s="51"/>
      <c r="AT1260" s="51"/>
      <c r="AU1260" s="51"/>
      <c r="AV1260" s="51"/>
      <c r="AW1260" s="51"/>
    </row>
    <row r="1261" spans="1:49" s="31" customFormat="1" ht="15.75" x14ac:dyDescent="0.2">
      <c r="A1261" s="51"/>
      <c r="B1261" s="51"/>
      <c r="C1261" s="51"/>
      <c r="D1261" s="51"/>
      <c r="E1261" s="51"/>
      <c r="F1261" s="51"/>
      <c r="G1261" s="51"/>
      <c r="H1261" s="51"/>
      <c r="I1261" s="51"/>
      <c r="J1261" s="51"/>
      <c r="K1261" s="51"/>
      <c r="L1261" s="51"/>
      <c r="M1261" s="51"/>
      <c r="N1261" s="51"/>
      <c r="O1261" s="51"/>
      <c r="P1261" s="51"/>
      <c r="Q1261" s="51"/>
      <c r="R1261" s="51"/>
      <c r="S1261" s="51"/>
      <c r="T1261" s="51"/>
      <c r="U1261" s="51"/>
      <c r="V1261" s="51"/>
      <c r="W1261" s="51"/>
      <c r="X1261" s="51"/>
      <c r="Y1261" s="51"/>
      <c r="Z1261" s="51"/>
      <c r="AA1261" s="51"/>
      <c r="AB1261" s="51"/>
      <c r="AC1261" s="51"/>
      <c r="AD1261" s="51"/>
      <c r="AE1261" s="51"/>
      <c r="AF1261" s="51"/>
      <c r="AG1261" s="51"/>
      <c r="AH1261" s="51"/>
      <c r="AI1261" s="51"/>
      <c r="AJ1261" s="51"/>
      <c r="AK1261" s="51"/>
      <c r="AL1261" s="51"/>
      <c r="AM1261" s="51"/>
      <c r="AN1261" s="51"/>
      <c r="AO1261" s="51"/>
      <c r="AP1261" s="51"/>
      <c r="AQ1261" s="51"/>
      <c r="AR1261" s="51"/>
      <c r="AS1261" s="51"/>
      <c r="AT1261" s="51"/>
      <c r="AU1261" s="51"/>
      <c r="AV1261" s="51"/>
      <c r="AW1261" s="51"/>
    </row>
    <row r="1262" spans="1:49" s="31" customFormat="1" ht="15.75" x14ac:dyDescent="0.2">
      <c r="A1262" s="51"/>
      <c r="B1262" s="51"/>
      <c r="C1262" s="51"/>
      <c r="D1262" s="51"/>
      <c r="E1262" s="51"/>
      <c r="F1262" s="51"/>
      <c r="G1262" s="51"/>
      <c r="H1262" s="51"/>
      <c r="I1262" s="51"/>
      <c r="J1262" s="51"/>
      <c r="K1262" s="51"/>
      <c r="L1262" s="51"/>
      <c r="M1262" s="51"/>
      <c r="N1262" s="51"/>
      <c r="O1262" s="51"/>
      <c r="P1262" s="51"/>
      <c r="Q1262" s="51"/>
      <c r="R1262" s="51"/>
      <c r="S1262" s="51"/>
      <c r="T1262" s="51"/>
      <c r="U1262" s="51"/>
      <c r="V1262" s="51"/>
      <c r="W1262" s="51"/>
      <c r="X1262" s="51"/>
      <c r="Y1262" s="51"/>
      <c r="Z1262" s="51"/>
      <c r="AA1262" s="51"/>
      <c r="AB1262" s="51"/>
      <c r="AC1262" s="51"/>
      <c r="AD1262" s="51"/>
      <c r="AE1262" s="51"/>
      <c r="AF1262" s="51"/>
      <c r="AG1262" s="51"/>
      <c r="AH1262" s="51"/>
      <c r="AI1262" s="51"/>
      <c r="AJ1262" s="51"/>
      <c r="AK1262" s="51"/>
      <c r="AL1262" s="51"/>
      <c r="AM1262" s="51"/>
      <c r="AN1262" s="51"/>
      <c r="AO1262" s="51"/>
      <c r="AP1262" s="51"/>
      <c r="AQ1262" s="51"/>
      <c r="AR1262" s="51"/>
      <c r="AS1262" s="51"/>
      <c r="AT1262" s="51"/>
      <c r="AU1262" s="51"/>
      <c r="AV1262" s="51"/>
      <c r="AW1262" s="51"/>
    </row>
    <row r="1263" spans="1:49" s="31" customFormat="1" ht="15.75" x14ac:dyDescent="0.2">
      <c r="A1263" s="51"/>
      <c r="B1263" s="51"/>
      <c r="C1263" s="51"/>
      <c r="D1263" s="51"/>
      <c r="E1263" s="51"/>
      <c r="F1263" s="51"/>
      <c r="G1263" s="51"/>
      <c r="H1263" s="51"/>
      <c r="I1263" s="51"/>
      <c r="J1263" s="51"/>
      <c r="K1263" s="51"/>
      <c r="L1263" s="51"/>
      <c r="M1263" s="51"/>
      <c r="N1263" s="51"/>
      <c r="O1263" s="51"/>
      <c r="P1263" s="51"/>
      <c r="Q1263" s="51"/>
      <c r="R1263" s="51"/>
      <c r="S1263" s="51"/>
      <c r="T1263" s="51"/>
      <c r="U1263" s="51"/>
      <c r="V1263" s="51"/>
      <c r="W1263" s="51"/>
      <c r="X1263" s="51"/>
      <c r="Y1263" s="51"/>
      <c r="Z1263" s="51"/>
      <c r="AA1263" s="51"/>
      <c r="AB1263" s="51"/>
      <c r="AC1263" s="51"/>
      <c r="AD1263" s="51"/>
      <c r="AE1263" s="51"/>
      <c r="AF1263" s="51"/>
      <c r="AG1263" s="51"/>
      <c r="AH1263" s="51"/>
      <c r="AI1263" s="51"/>
      <c r="AJ1263" s="51"/>
      <c r="AK1263" s="51"/>
      <c r="AL1263" s="51"/>
      <c r="AM1263" s="51"/>
      <c r="AN1263" s="51"/>
      <c r="AO1263" s="51"/>
      <c r="AP1263" s="51"/>
      <c r="AQ1263" s="51"/>
      <c r="AR1263" s="51"/>
      <c r="AS1263" s="51"/>
      <c r="AT1263" s="51"/>
      <c r="AU1263" s="51"/>
      <c r="AV1263" s="51"/>
      <c r="AW1263" s="51"/>
    </row>
    <row r="1264" spans="1:49" s="33" customFormat="1" ht="15.75" x14ac:dyDescent="0.2">
      <c r="A1264" s="51"/>
      <c r="B1264" s="51"/>
      <c r="C1264" s="51"/>
      <c r="D1264" s="51"/>
      <c r="E1264" s="51"/>
      <c r="F1264" s="51"/>
      <c r="G1264" s="51"/>
      <c r="H1264" s="51"/>
      <c r="I1264" s="51"/>
      <c r="J1264" s="51"/>
      <c r="K1264" s="51"/>
      <c r="L1264" s="51"/>
      <c r="M1264" s="51"/>
      <c r="N1264" s="51"/>
      <c r="O1264" s="51"/>
      <c r="P1264" s="51"/>
      <c r="Q1264" s="51"/>
      <c r="R1264" s="51"/>
      <c r="S1264" s="51"/>
      <c r="T1264" s="51"/>
      <c r="U1264" s="51"/>
      <c r="V1264" s="51"/>
      <c r="W1264" s="51"/>
      <c r="X1264" s="51"/>
      <c r="Y1264" s="51"/>
      <c r="Z1264" s="51"/>
      <c r="AA1264" s="51"/>
      <c r="AB1264" s="51"/>
      <c r="AC1264" s="51"/>
      <c r="AD1264" s="51"/>
      <c r="AE1264" s="51"/>
      <c r="AF1264" s="51"/>
      <c r="AG1264" s="51"/>
      <c r="AH1264" s="51"/>
      <c r="AI1264" s="51"/>
      <c r="AJ1264" s="51"/>
      <c r="AK1264" s="51"/>
      <c r="AL1264" s="51"/>
      <c r="AM1264" s="51"/>
      <c r="AN1264" s="51"/>
      <c r="AO1264" s="51"/>
      <c r="AP1264" s="51"/>
      <c r="AQ1264" s="51"/>
      <c r="AR1264" s="51"/>
      <c r="AS1264" s="51"/>
      <c r="AT1264" s="51"/>
      <c r="AU1264" s="51"/>
      <c r="AV1264" s="51"/>
      <c r="AW1264" s="51"/>
    </row>
    <row r="1265" spans="1:49" s="31" customFormat="1" ht="15.75" x14ac:dyDescent="0.2">
      <c r="A1265" s="51"/>
      <c r="B1265" s="51"/>
      <c r="C1265" s="51"/>
      <c r="D1265" s="51"/>
      <c r="E1265" s="51"/>
      <c r="F1265" s="51"/>
      <c r="G1265" s="51"/>
      <c r="H1265" s="51"/>
      <c r="I1265" s="51"/>
      <c r="J1265" s="51"/>
      <c r="K1265" s="51"/>
      <c r="L1265" s="51"/>
      <c r="M1265" s="51"/>
      <c r="N1265" s="51"/>
      <c r="O1265" s="51"/>
      <c r="P1265" s="51"/>
      <c r="Q1265" s="51"/>
      <c r="R1265" s="51"/>
      <c r="S1265" s="51"/>
      <c r="T1265" s="51"/>
      <c r="U1265" s="51"/>
      <c r="V1265" s="51"/>
      <c r="W1265" s="51"/>
      <c r="X1265" s="51"/>
      <c r="Y1265" s="51"/>
      <c r="Z1265" s="51"/>
      <c r="AA1265" s="51"/>
      <c r="AB1265" s="51"/>
      <c r="AC1265" s="51"/>
      <c r="AD1265" s="51"/>
      <c r="AE1265" s="51"/>
      <c r="AF1265" s="51"/>
      <c r="AG1265" s="51"/>
      <c r="AH1265" s="51"/>
      <c r="AI1265" s="51"/>
      <c r="AJ1265" s="51"/>
      <c r="AK1265" s="51"/>
      <c r="AL1265" s="51"/>
      <c r="AM1265" s="51"/>
      <c r="AN1265" s="51"/>
      <c r="AO1265" s="51"/>
      <c r="AP1265" s="51"/>
      <c r="AQ1265" s="51"/>
      <c r="AR1265" s="51"/>
      <c r="AS1265" s="51"/>
      <c r="AT1265" s="51"/>
      <c r="AU1265" s="51"/>
      <c r="AV1265" s="51"/>
      <c r="AW1265" s="51"/>
    </row>
    <row r="1266" spans="1:49" s="31" customFormat="1" ht="15.75" x14ac:dyDescent="0.2">
      <c r="A1266" s="51"/>
      <c r="B1266" s="51"/>
      <c r="C1266" s="51"/>
      <c r="D1266" s="51"/>
      <c r="E1266" s="51"/>
      <c r="F1266" s="51"/>
      <c r="G1266" s="51"/>
      <c r="H1266" s="51"/>
      <c r="I1266" s="51"/>
      <c r="J1266" s="51"/>
      <c r="K1266" s="51"/>
      <c r="L1266" s="51"/>
      <c r="M1266" s="51"/>
      <c r="N1266" s="51"/>
      <c r="O1266" s="51"/>
      <c r="P1266" s="51"/>
      <c r="Q1266" s="51"/>
      <c r="R1266" s="51"/>
      <c r="S1266" s="51"/>
      <c r="T1266" s="51"/>
      <c r="U1266" s="51"/>
      <c r="V1266" s="51"/>
      <c r="W1266" s="51"/>
      <c r="X1266" s="51"/>
      <c r="Y1266" s="51"/>
      <c r="Z1266" s="51"/>
      <c r="AA1266" s="51"/>
      <c r="AB1266" s="51"/>
      <c r="AC1266" s="51"/>
      <c r="AD1266" s="51"/>
      <c r="AE1266" s="51"/>
      <c r="AF1266" s="51"/>
      <c r="AG1266" s="51"/>
      <c r="AH1266" s="51"/>
      <c r="AI1266" s="51"/>
      <c r="AJ1266" s="51"/>
      <c r="AK1266" s="51"/>
      <c r="AL1266" s="51"/>
      <c r="AM1266" s="51"/>
      <c r="AN1266" s="51"/>
      <c r="AO1266" s="51"/>
      <c r="AP1266" s="51"/>
      <c r="AQ1266" s="51"/>
      <c r="AR1266" s="51"/>
      <c r="AS1266" s="51"/>
      <c r="AT1266" s="51"/>
      <c r="AU1266" s="51"/>
      <c r="AV1266" s="51"/>
      <c r="AW1266" s="51"/>
    </row>
    <row r="1267" spans="1:49" s="33" customFormat="1" ht="15.75" x14ac:dyDescent="0.2">
      <c r="A1267" s="51"/>
      <c r="B1267" s="51"/>
      <c r="C1267" s="51"/>
      <c r="D1267" s="51"/>
      <c r="E1267" s="51"/>
      <c r="F1267" s="51"/>
      <c r="G1267" s="51"/>
      <c r="H1267" s="51"/>
      <c r="I1267" s="51"/>
      <c r="J1267" s="51"/>
      <c r="K1267" s="51"/>
      <c r="L1267" s="51"/>
      <c r="M1267" s="51"/>
      <c r="N1267" s="51"/>
      <c r="O1267" s="51"/>
      <c r="P1267" s="51"/>
      <c r="Q1267" s="51"/>
      <c r="R1267" s="51"/>
      <c r="S1267" s="51"/>
      <c r="T1267" s="51"/>
      <c r="U1267" s="51"/>
      <c r="V1267" s="51"/>
      <c r="W1267" s="51"/>
      <c r="X1267" s="51"/>
      <c r="Y1267" s="51"/>
      <c r="Z1267" s="51"/>
      <c r="AA1267" s="51"/>
      <c r="AB1267" s="51"/>
      <c r="AC1267" s="51"/>
      <c r="AD1267" s="51"/>
      <c r="AE1267" s="51"/>
      <c r="AF1267" s="51"/>
      <c r="AG1267" s="51"/>
      <c r="AH1267" s="51"/>
      <c r="AI1267" s="51"/>
      <c r="AJ1267" s="51"/>
      <c r="AK1267" s="51"/>
      <c r="AL1267" s="51"/>
      <c r="AM1267" s="51"/>
      <c r="AN1267" s="51"/>
      <c r="AO1267" s="51"/>
      <c r="AP1267" s="51"/>
      <c r="AQ1267" s="51"/>
      <c r="AR1267" s="51"/>
      <c r="AS1267" s="51"/>
      <c r="AT1267" s="51"/>
      <c r="AU1267" s="51"/>
      <c r="AV1267" s="51"/>
      <c r="AW1267" s="51"/>
    </row>
    <row r="1268" spans="1:49" s="31" customFormat="1" ht="15.75" x14ac:dyDescent="0.2">
      <c r="A1268" s="51"/>
      <c r="B1268" s="51"/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  <c r="S1268" s="51"/>
      <c r="T1268" s="51"/>
      <c r="U1268" s="51"/>
      <c r="V1268" s="51"/>
      <c r="W1268" s="51"/>
      <c r="X1268" s="51"/>
      <c r="Y1268" s="51"/>
      <c r="Z1268" s="51"/>
      <c r="AA1268" s="51"/>
      <c r="AB1268" s="51"/>
      <c r="AC1268" s="51"/>
      <c r="AD1268" s="51"/>
      <c r="AE1268" s="51"/>
      <c r="AF1268" s="51"/>
      <c r="AG1268" s="51"/>
      <c r="AH1268" s="51"/>
      <c r="AI1268" s="51"/>
      <c r="AJ1268" s="51"/>
      <c r="AK1268" s="51"/>
      <c r="AL1268" s="51"/>
      <c r="AM1268" s="51"/>
      <c r="AN1268" s="51"/>
      <c r="AO1268" s="51"/>
      <c r="AP1268" s="51"/>
      <c r="AQ1268" s="51"/>
      <c r="AR1268" s="51"/>
      <c r="AS1268" s="51"/>
      <c r="AT1268" s="51"/>
      <c r="AU1268" s="51"/>
      <c r="AV1268" s="51"/>
      <c r="AW1268" s="51"/>
    </row>
    <row r="1269" spans="1:49" s="31" customFormat="1" ht="15.75" x14ac:dyDescent="0.2">
      <c r="A1269" s="51"/>
      <c r="B1269" s="51"/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  <c r="S1269" s="51"/>
      <c r="T1269" s="51"/>
      <c r="U1269" s="51"/>
      <c r="V1269" s="51"/>
      <c r="W1269" s="51"/>
      <c r="X1269" s="51"/>
      <c r="Y1269" s="51"/>
      <c r="Z1269" s="51"/>
      <c r="AA1269" s="51"/>
      <c r="AB1269" s="51"/>
      <c r="AC1269" s="51"/>
      <c r="AD1269" s="51"/>
      <c r="AE1269" s="51"/>
      <c r="AF1269" s="51"/>
      <c r="AG1269" s="51"/>
      <c r="AH1269" s="51"/>
      <c r="AI1269" s="51"/>
      <c r="AJ1269" s="51"/>
      <c r="AK1269" s="51"/>
      <c r="AL1269" s="51"/>
      <c r="AM1269" s="51"/>
      <c r="AN1269" s="51"/>
      <c r="AO1269" s="51"/>
      <c r="AP1269" s="51"/>
      <c r="AQ1269" s="51"/>
      <c r="AR1269" s="51"/>
      <c r="AS1269" s="51"/>
      <c r="AT1269" s="51"/>
      <c r="AU1269" s="51"/>
      <c r="AV1269" s="51"/>
      <c r="AW1269" s="51"/>
    </row>
    <row r="1270" spans="1:49" s="33" customFormat="1" ht="15.75" x14ac:dyDescent="0.2">
      <c r="A1270" s="51"/>
      <c r="B1270" s="51"/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  <c r="S1270" s="51"/>
      <c r="T1270" s="51"/>
      <c r="U1270" s="51"/>
      <c r="V1270" s="51"/>
      <c r="W1270" s="51"/>
      <c r="X1270" s="51"/>
      <c r="Y1270" s="51"/>
      <c r="Z1270" s="51"/>
      <c r="AA1270" s="51"/>
      <c r="AB1270" s="51"/>
      <c r="AC1270" s="51"/>
      <c r="AD1270" s="51"/>
      <c r="AE1270" s="51"/>
      <c r="AF1270" s="51"/>
      <c r="AG1270" s="51"/>
      <c r="AH1270" s="51"/>
      <c r="AI1270" s="51"/>
      <c r="AJ1270" s="51"/>
      <c r="AK1270" s="51"/>
      <c r="AL1270" s="51"/>
      <c r="AM1270" s="51"/>
      <c r="AN1270" s="51"/>
      <c r="AO1270" s="51"/>
      <c r="AP1270" s="51"/>
      <c r="AQ1270" s="51"/>
      <c r="AR1270" s="51"/>
      <c r="AS1270" s="51"/>
      <c r="AT1270" s="51"/>
      <c r="AU1270" s="51"/>
      <c r="AV1270" s="51"/>
      <c r="AW1270" s="51"/>
    </row>
    <row r="1271" spans="1:49" s="31" customFormat="1" ht="15.75" x14ac:dyDescent="0.2">
      <c r="A1271" s="51"/>
      <c r="B1271" s="51"/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  <c r="S1271" s="51"/>
      <c r="T1271" s="51"/>
      <c r="U1271" s="51"/>
      <c r="V1271" s="51"/>
      <c r="W1271" s="51"/>
      <c r="X1271" s="51"/>
      <c r="Y1271" s="51"/>
      <c r="Z1271" s="51"/>
      <c r="AA1271" s="51"/>
      <c r="AB1271" s="51"/>
      <c r="AC1271" s="51"/>
      <c r="AD1271" s="51"/>
      <c r="AE1271" s="51"/>
      <c r="AF1271" s="51"/>
      <c r="AG1271" s="51"/>
      <c r="AH1271" s="51"/>
      <c r="AI1271" s="51"/>
      <c r="AJ1271" s="51"/>
      <c r="AK1271" s="51"/>
      <c r="AL1271" s="51"/>
      <c r="AM1271" s="51"/>
      <c r="AN1271" s="51"/>
      <c r="AO1271" s="51"/>
      <c r="AP1271" s="51"/>
      <c r="AQ1271" s="51"/>
      <c r="AR1271" s="51"/>
      <c r="AS1271" s="51"/>
      <c r="AT1271" s="51"/>
      <c r="AU1271" s="51"/>
      <c r="AV1271" s="51"/>
      <c r="AW1271" s="51"/>
    </row>
    <row r="1272" spans="1:49" s="31" customFormat="1" ht="15.75" x14ac:dyDescent="0.2">
      <c r="A1272" s="51"/>
      <c r="B1272" s="51"/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  <c r="S1272" s="51"/>
      <c r="T1272" s="51"/>
      <c r="U1272" s="51"/>
      <c r="V1272" s="51"/>
      <c r="W1272" s="51"/>
      <c r="X1272" s="51"/>
      <c r="Y1272" s="51"/>
      <c r="Z1272" s="51"/>
      <c r="AA1272" s="51"/>
      <c r="AB1272" s="51"/>
      <c r="AC1272" s="51"/>
      <c r="AD1272" s="51"/>
      <c r="AE1272" s="51"/>
      <c r="AF1272" s="51"/>
      <c r="AG1272" s="51"/>
      <c r="AH1272" s="51"/>
      <c r="AI1272" s="51"/>
      <c r="AJ1272" s="51"/>
      <c r="AK1272" s="51"/>
      <c r="AL1272" s="51"/>
      <c r="AM1272" s="51"/>
      <c r="AN1272" s="51"/>
      <c r="AO1272" s="51"/>
      <c r="AP1272" s="51"/>
      <c r="AQ1272" s="51"/>
      <c r="AR1272" s="51"/>
      <c r="AS1272" s="51"/>
      <c r="AT1272" s="51"/>
      <c r="AU1272" s="51"/>
      <c r="AV1272" s="51"/>
      <c r="AW1272" s="51"/>
    </row>
    <row r="1273" spans="1:49" s="31" customFormat="1" ht="15.75" x14ac:dyDescent="0.2">
      <c r="A1273" s="51"/>
      <c r="B1273" s="51"/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  <c r="S1273" s="51"/>
      <c r="T1273" s="51"/>
      <c r="U1273" s="51"/>
      <c r="V1273" s="51"/>
      <c r="W1273" s="51"/>
      <c r="X1273" s="51"/>
      <c r="Y1273" s="51"/>
      <c r="Z1273" s="51"/>
      <c r="AA1273" s="51"/>
      <c r="AB1273" s="51"/>
      <c r="AC1273" s="51"/>
      <c r="AD1273" s="51"/>
      <c r="AE1273" s="51"/>
      <c r="AF1273" s="51"/>
      <c r="AG1273" s="51"/>
      <c r="AH1273" s="51"/>
      <c r="AI1273" s="51"/>
      <c r="AJ1273" s="51"/>
      <c r="AK1273" s="51"/>
      <c r="AL1273" s="51"/>
      <c r="AM1273" s="51"/>
      <c r="AN1273" s="51"/>
      <c r="AO1273" s="51"/>
      <c r="AP1273" s="51"/>
      <c r="AQ1273" s="51"/>
      <c r="AR1273" s="51"/>
      <c r="AS1273" s="51"/>
      <c r="AT1273" s="51"/>
      <c r="AU1273" s="51"/>
      <c r="AV1273" s="51"/>
      <c r="AW1273" s="51"/>
    </row>
    <row r="1274" spans="1:49" s="33" customFormat="1" ht="15.75" x14ac:dyDescent="0.2">
      <c r="A1274" s="51"/>
      <c r="B1274" s="51"/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  <c r="Y1274" s="51"/>
      <c r="Z1274" s="51"/>
      <c r="AA1274" s="51"/>
      <c r="AB1274" s="51"/>
      <c r="AC1274" s="51"/>
      <c r="AD1274" s="51"/>
      <c r="AE1274" s="51"/>
      <c r="AF1274" s="51"/>
      <c r="AG1274" s="51"/>
      <c r="AH1274" s="51"/>
      <c r="AI1274" s="51"/>
      <c r="AJ1274" s="51"/>
      <c r="AK1274" s="51"/>
      <c r="AL1274" s="51"/>
      <c r="AM1274" s="51"/>
      <c r="AN1274" s="51"/>
      <c r="AO1274" s="51"/>
      <c r="AP1274" s="51"/>
      <c r="AQ1274" s="51"/>
      <c r="AR1274" s="51"/>
      <c r="AS1274" s="51"/>
      <c r="AT1274" s="51"/>
      <c r="AU1274" s="51"/>
      <c r="AV1274" s="51"/>
      <c r="AW1274" s="51"/>
    </row>
    <row r="1275" spans="1:49" s="33" customFormat="1" ht="15.75" x14ac:dyDescent="0.2">
      <c r="A1275" s="51"/>
      <c r="B1275" s="51"/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  <c r="S1275" s="51"/>
      <c r="T1275" s="51"/>
      <c r="U1275" s="51"/>
      <c r="V1275" s="51"/>
      <c r="W1275" s="51"/>
      <c r="X1275" s="51"/>
      <c r="Y1275" s="51"/>
      <c r="Z1275" s="51"/>
      <c r="AA1275" s="51"/>
      <c r="AB1275" s="51"/>
      <c r="AC1275" s="51"/>
      <c r="AD1275" s="51"/>
      <c r="AE1275" s="51"/>
      <c r="AF1275" s="51"/>
      <c r="AG1275" s="51"/>
      <c r="AH1275" s="51"/>
      <c r="AI1275" s="51"/>
      <c r="AJ1275" s="51"/>
      <c r="AK1275" s="51"/>
      <c r="AL1275" s="51"/>
      <c r="AM1275" s="51"/>
      <c r="AN1275" s="51"/>
      <c r="AO1275" s="51"/>
      <c r="AP1275" s="51"/>
      <c r="AQ1275" s="51"/>
      <c r="AR1275" s="51"/>
      <c r="AS1275" s="51"/>
      <c r="AT1275" s="51"/>
      <c r="AU1275" s="51"/>
      <c r="AV1275" s="51"/>
      <c r="AW1275" s="51"/>
    </row>
    <row r="1276" spans="1:49" s="33" customFormat="1" ht="15.75" x14ac:dyDescent="0.2">
      <c r="A1276" s="51"/>
      <c r="B1276" s="51"/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  <c r="S1276" s="51"/>
      <c r="T1276" s="51"/>
      <c r="U1276" s="51"/>
      <c r="V1276" s="51"/>
      <c r="W1276" s="51"/>
      <c r="X1276" s="51"/>
      <c r="Y1276" s="51"/>
      <c r="Z1276" s="51"/>
      <c r="AA1276" s="51"/>
      <c r="AB1276" s="51"/>
      <c r="AC1276" s="51"/>
      <c r="AD1276" s="51"/>
      <c r="AE1276" s="51"/>
      <c r="AF1276" s="51"/>
      <c r="AG1276" s="51"/>
      <c r="AH1276" s="51"/>
      <c r="AI1276" s="51"/>
      <c r="AJ1276" s="51"/>
      <c r="AK1276" s="51"/>
      <c r="AL1276" s="51"/>
      <c r="AM1276" s="51"/>
      <c r="AN1276" s="51"/>
      <c r="AO1276" s="51"/>
      <c r="AP1276" s="51"/>
      <c r="AQ1276" s="51"/>
      <c r="AR1276" s="51"/>
      <c r="AS1276" s="51"/>
      <c r="AT1276" s="51"/>
      <c r="AU1276" s="51"/>
      <c r="AV1276" s="51"/>
      <c r="AW1276" s="51"/>
    </row>
    <row r="1277" spans="1:49" s="33" customFormat="1" ht="15.75" x14ac:dyDescent="0.2">
      <c r="A1277" s="51"/>
      <c r="B1277" s="51"/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  <c r="Y1277" s="51"/>
      <c r="Z1277" s="51"/>
      <c r="AA1277" s="51"/>
      <c r="AB1277" s="51"/>
      <c r="AC1277" s="51"/>
      <c r="AD1277" s="51"/>
      <c r="AE1277" s="51"/>
      <c r="AF1277" s="51"/>
      <c r="AG1277" s="51"/>
      <c r="AH1277" s="51"/>
      <c r="AI1277" s="51"/>
      <c r="AJ1277" s="51"/>
      <c r="AK1277" s="51"/>
      <c r="AL1277" s="51"/>
      <c r="AM1277" s="51"/>
      <c r="AN1277" s="51"/>
      <c r="AO1277" s="51"/>
      <c r="AP1277" s="51"/>
      <c r="AQ1277" s="51"/>
      <c r="AR1277" s="51"/>
      <c r="AS1277" s="51"/>
      <c r="AT1277" s="51"/>
      <c r="AU1277" s="51"/>
      <c r="AV1277" s="51"/>
      <c r="AW1277" s="51"/>
    </row>
    <row r="1278" spans="1:49" s="33" customFormat="1" ht="15.75" x14ac:dyDescent="0.2">
      <c r="A1278" s="51"/>
      <c r="B1278" s="51"/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  <c r="S1278" s="51"/>
      <c r="T1278" s="51"/>
      <c r="U1278" s="51"/>
      <c r="V1278" s="51"/>
      <c r="W1278" s="51"/>
      <c r="X1278" s="51"/>
      <c r="Y1278" s="51"/>
      <c r="Z1278" s="51"/>
      <c r="AA1278" s="51"/>
      <c r="AB1278" s="51"/>
      <c r="AC1278" s="51"/>
      <c r="AD1278" s="51"/>
      <c r="AE1278" s="51"/>
      <c r="AF1278" s="51"/>
      <c r="AG1278" s="51"/>
      <c r="AH1278" s="51"/>
      <c r="AI1278" s="51"/>
      <c r="AJ1278" s="51"/>
      <c r="AK1278" s="51"/>
      <c r="AL1278" s="51"/>
      <c r="AM1278" s="51"/>
      <c r="AN1278" s="51"/>
      <c r="AO1278" s="51"/>
      <c r="AP1278" s="51"/>
      <c r="AQ1278" s="51"/>
      <c r="AR1278" s="51"/>
      <c r="AS1278" s="51"/>
      <c r="AT1278" s="51"/>
      <c r="AU1278" s="51"/>
      <c r="AV1278" s="51"/>
      <c r="AW1278" s="51"/>
    </row>
    <row r="1279" spans="1:49" s="33" customFormat="1" ht="15.75" x14ac:dyDescent="0.2">
      <c r="A1279" s="51"/>
      <c r="B1279" s="51"/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  <c r="S1279" s="51"/>
      <c r="T1279" s="51"/>
      <c r="U1279" s="51"/>
      <c r="V1279" s="51"/>
      <c r="W1279" s="51"/>
      <c r="X1279" s="51"/>
      <c r="Y1279" s="51"/>
      <c r="Z1279" s="51"/>
      <c r="AA1279" s="51"/>
      <c r="AB1279" s="51"/>
      <c r="AC1279" s="51"/>
      <c r="AD1279" s="51"/>
      <c r="AE1279" s="51"/>
      <c r="AF1279" s="51"/>
      <c r="AG1279" s="51"/>
      <c r="AH1279" s="51"/>
      <c r="AI1279" s="51"/>
      <c r="AJ1279" s="51"/>
      <c r="AK1279" s="51"/>
      <c r="AL1279" s="51"/>
      <c r="AM1279" s="51"/>
      <c r="AN1279" s="51"/>
      <c r="AO1279" s="51"/>
      <c r="AP1279" s="51"/>
      <c r="AQ1279" s="51"/>
      <c r="AR1279" s="51"/>
      <c r="AS1279" s="51"/>
      <c r="AT1279" s="51"/>
      <c r="AU1279" s="51"/>
      <c r="AV1279" s="51"/>
      <c r="AW1279" s="51"/>
    </row>
    <row r="1599" spans="1:49" s="31" customFormat="1" ht="15.75" x14ac:dyDescent="0.2">
      <c r="A1599" s="51"/>
      <c r="B1599" s="51"/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  <c r="S1599" s="51"/>
      <c r="T1599" s="51"/>
      <c r="U1599" s="51"/>
      <c r="V1599" s="51"/>
      <c r="W1599" s="51"/>
      <c r="X1599" s="51"/>
      <c r="Y1599" s="51"/>
      <c r="Z1599" s="51"/>
      <c r="AA1599" s="51"/>
      <c r="AB1599" s="51"/>
      <c r="AC1599" s="51"/>
      <c r="AD1599" s="51"/>
      <c r="AE1599" s="51"/>
      <c r="AF1599" s="51"/>
      <c r="AG1599" s="51"/>
      <c r="AH1599" s="51"/>
      <c r="AI1599" s="51"/>
      <c r="AJ1599" s="51"/>
      <c r="AK1599" s="51"/>
      <c r="AL1599" s="51"/>
      <c r="AM1599" s="51"/>
      <c r="AN1599" s="51"/>
      <c r="AO1599" s="51"/>
      <c r="AP1599" s="51"/>
      <c r="AQ1599" s="51"/>
      <c r="AR1599" s="51"/>
      <c r="AS1599" s="51"/>
      <c r="AT1599" s="51"/>
      <c r="AU1599" s="51"/>
      <c r="AV1599" s="51"/>
      <c r="AW1599" s="51"/>
    </row>
    <row r="1600" spans="1:49" s="31" customFormat="1" ht="15.75" x14ac:dyDescent="0.2">
      <c r="A1600" s="51"/>
      <c r="B1600" s="51"/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  <c r="S1600" s="51"/>
      <c r="T1600" s="51"/>
      <c r="U1600" s="51"/>
      <c r="V1600" s="51"/>
      <c r="W1600" s="51"/>
      <c r="X1600" s="51"/>
      <c r="Y1600" s="51"/>
      <c r="Z1600" s="51"/>
      <c r="AA1600" s="51"/>
      <c r="AB1600" s="51"/>
      <c r="AC1600" s="51"/>
      <c r="AD1600" s="51"/>
      <c r="AE1600" s="51"/>
      <c r="AF1600" s="51"/>
      <c r="AG1600" s="51"/>
      <c r="AH1600" s="51"/>
      <c r="AI1600" s="51"/>
      <c r="AJ1600" s="51"/>
      <c r="AK1600" s="51"/>
      <c r="AL1600" s="51"/>
      <c r="AM1600" s="51"/>
      <c r="AN1600" s="51"/>
      <c r="AO1600" s="51"/>
      <c r="AP1600" s="51"/>
      <c r="AQ1600" s="51"/>
      <c r="AR1600" s="51"/>
      <c r="AS1600" s="51"/>
      <c r="AT1600" s="51"/>
      <c r="AU1600" s="51"/>
      <c r="AV1600" s="51"/>
      <c r="AW1600" s="51"/>
    </row>
    <row r="1601" spans="1:49" s="31" customFormat="1" ht="15.75" x14ac:dyDescent="0.2">
      <c r="A1601" s="51"/>
      <c r="B1601" s="51"/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  <c r="S1601" s="51"/>
      <c r="T1601" s="51"/>
      <c r="U1601" s="51"/>
      <c r="V1601" s="51"/>
      <c r="W1601" s="51"/>
      <c r="X1601" s="51"/>
      <c r="Y1601" s="51"/>
      <c r="Z1601" s="51"/>
      <c r="AA1601" s="51"/>
      <c r="AB1601" s="51"/>
      <c r="AC1601" s="51"/>
      <c r="AD1601" s="51"/>
      <c r="AE1601" s="51"/>
      <c r="AF1601" s="51"/>
      <c r="AG1601" s="51"/>
      <c r="AH1601" s="51"/>
      <c r="AI1601" s="51"/>
      <c r="AJ1601" s="51"/>
      <c r="AK1601" s="51"/>
      <c r="AL1601" s="51"/>
      <c r="AM1601" s="51"/>
      <c r="AN1601" s="51"/>
      <c r="AO1601" s="51"/>
      <c r="AP1601" s="51"/>
      <c r="AQ1601" s="51"/>
      <c r="AR1601" s="51"/>
      <c r="AS1601" s="51"/>
      <c r="AT1601" s="51"/>
      <c r="AU1601" s="51"/>
      <c r="AV1601" s="51"/>
      <c r="AW1601" s="51"/>
    </row>
    <row r="1602" spans="1:49" s="31" customFormat="1" ht="15.75" x14ac:dyDescent="0.2">
      <c r="A1602" s="51"/>
      <c r="B1602" s="51"/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  <c r="S1602" s="51"/>
      <c r="T1602" s="51"/>
      <c r="U1602" s="51"/>
      <c r="V1602" s="51"/>
      <c r="W1602" s="51"/>
      <c r="X1602" s="51"/>
      <c r="Y1602" s="51"/>
      <c r="Z1602" s="51"/>
      <c r="AA1602" s="51"/>
      <c r="AB1602" s="51"/>
      <c r="AC1602" s="51"/>
      <c r="AD1602" s="51"/>
      <c r="AE1602" s="51"/>
      <c r="AF1602" s="51"/>
      <c r="AG1602" s="51"/>
      <c r="AH1602" s="51"/>
      <c r="AI1602" s="51"/>
      <c r="AJ1602" s="51"/>
      <c r="AK1602" s="51"/>
      <c r="AL1602" s="51"/>
      <c r="AM1602" s="51"/>
      <c r="AN1602" s="51"/>
      <c r="AO1602" s="51"/>
      <c r="AP1602" s="51"/>
      <c r="AQ1602" s="51"/>
      <c r="AR1602" s="51"/>
      <c r="AS1602" s="51"/>
      <c r="AT1602" s="51"/>
      <c r="AU1602" s="51"/>
      <c r="AV1602" s="51"/>
      <c r="AW1602" s="51"/>
    </row>
    <row r="1603" spans="1:49" s="31" customFormat="1" ht="15.75" x14ac:dyDescent="0.2">
      <c r="A1603" s="51"/>
      <c r="B1603" s="51"/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  <c r="S1603" s="51"/>
      <c r="T1603" s="51"/>
      <c r="U1603" s="51"/>
      <c r="V1603" s="51"/>
      <c r="W1603" s="51"/>
      <c r="X1603" s="51"/>
      <c r="Y1603" s="51"/>
      <c r="Z1603" s="51"/>
      <c r="AA1603" s="51"/>
      <c r="AB1603" s="51"/>
      <c r="AC1603" s="51"/>
      <c r="AD1603" s="51"/>
      <c r="AE1603" s="51"/>
      <c r="AF1603" s="51"/>
      <c r="AG1603" s="51"/>
      <c r="AH1603" s="51"/>
      <c r="AI1603" s="51"/>
      <c r="AJ1603" s="51"/>
      <c r="AK1603" s="51"/>
      <c r="AL1603" s="51"/>
      <c r="AM1603" s="51"/>
      <c r="AN1603" s="51"/>
      <c r="AO1603" s="51"/>
      <c r="AP1603" s="51"/>
      <c r="AQ1603" s="51"/>
      <c r="AR1603" s="51"/>
      <c r="AS1603" s="51"/>
      <c r="AT1603" s="51"/>
      <c r="AU1603" s="51"/>
      <c r="AV1603" s="51"/>
      <c r="AW1603" s="51"/>
    </row>
    <row r="1604" spans="1:49" s="31" customFormat="1" ht="15.75" x14ac:dyDescent="0.2">
      <c r="A1604" s="51"/>
      <c r="B1604" s="51"/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  <c r="S1604" s="51"/>
      <c r="T1604" s="51"/>
      <c r="U1604" s="51"/>
      <c r="V1604" s="51"/>
      <c r="W1604" s="51"/>
      <c r="X1604" s="51"/>
      <c r="Y1604" s="51"/>
      <c r="Z1604" s="51"/>
      <c r="AA1604" s="51"/>
      <c r="AB1604" s="51"/>
      <c r="AC1604" s="51"/>
      <c r="AD1604" s="51"/>
      <c r="AE1604" s="51"/>
      <c r="AF1604" s="51"/>
      <c r="AG1604" s="51"/>
      <c r="AH1604" s="51"/>
      <c r="AI1604" s="51"/>
      <c r="AJ1604" s="51"/>
      <c r="AK1604" s="51"/>
      <c r="AL1604" s="51"/>
      <c r="AM1604" s="51"/>
      <c r="AN1604" s="51"/>
      <c r="AO1604" s="51"/>
      <c r="AP1604" s="51"/>
      <c r="AQ1604" s="51"/>
      <c r="AR1604" s="51"/>
      <c r="AS1604" s="51"/>
      <c r="AT1604" s="51"/>
      <c r="AU1604" s="51"/>
      <c r="AV1604" s="51"/>
      <c r="AW1604" s="51"/>
    </row>
    <row r="1605" spans="1:49" s="31" customFormat="1" ht="15.75" x14ac:dyDescent="0.2">
      <c r="A1605" s="51"/>
      <c r="B1605" s="51"/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  <c r="S1605" s="51"/>
      <c r="T1605" s="51"/>
      <c r="U1605" s="51"/>
      <c r="V1605" s="51"/>
      <c r="W1605" s="51"/>
      <c r="X1605" s="51"/>
      <c r="Y1605" s="51"/>
      <c r="Z1605" s="51"/>
      <c r="AA1605" s="51"/>
      <c r="AB1605" s="51"/>
      <c r="AC1605" s="51"/>
      <c r="AD1605" s="51"/>
      <c r="AE1605" s="51"/>
      <c r="AF1605" s="51"/>
      <c r="AG1605" s="51"/>
      <c r="AH1605" s="51"/>
      <c r="AI1605" s="51"/>
      <c r="AJ1605" s="51"/>
      <c r="AK1605" s="51"/>
      <c r="AL1605" s="51"/>
      <c r="AM1605" s="51"/>
      <c r="AN1605" s="51"/>
      <c r="AO1605" s="51"/>
      <c r="AP1605" s="51"/>
      <c r="AQ1605" s="51"/>
      <c r="AR1605" s="51"/>
      <c r="AS1605" s="51"/>
      <c r="AT1605" s="51"/>
      <c r="AU1605" s="51"/>
      <c r="AV1605" s="51"/>
      <c r="AW1605" s="51"/>
    </row>
    <row r="1606" spans="1:49" s="31" customFormat="1" ht="15.75" x14ac:dyDescent="0.2">
      <c r="A1606" s="51"/>
      <c r="B1606" s="51"/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  <c r="S1606" s="51"/>
      <c r="T1606" s="51"/>
      <c r="U1606" s="51"/>
      <c r="V1606" s="51"/>
      <c r="W1606" s="51"/>
      <c r="X1606" s="51"/>
      <c r="Y1606" s="51"/>
      <c r="Z1606" s="51"/>
      <c r="AA1606" s="51"/>
      <c r="AB1606" s="51"/>
      <c r="AC1606" s="51"/>
      <c r="AD1606" s="51"/>
      <c r="AE1606" s="51"/>
      <c r="AF1606" s="51"/>
      <c r="AG1606" s="51"/>
      <c r="AH1606" s="51"/>
      <c r="AI1606" s="51"/>
      <c r="AJ1606" s="51"/>
      <c r="AK1606" s="51"/>
      <c r="AL1606" s="51"/>
      <c r="AM1606" s="51"/>
      <c r="AN1606" s="51"/>
      <c r="AO1606" s="51"/>
      <c r="AP1606" s="51"/>
      <c r="AQ1606" s="51"/>
      <c r="AR1606" s="51"/>
      <c r="AS1606" s="51"/>
      <c r="AT1606" s="51"/>
      <c r="AU1606" s="51"/>
      <c r="AV1606" s="51"/>
      <c r="AW1606" s="51"/>
    </row>
    <row r="1607" spans="1:49" s="31" customFormat="1" ht="15.75" x14ac:dyDescent="0.2">
      <c r="A1607" s="51"/>
      <c r="B1607" s="51"/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  <c r="S1607" s="51"/>
      <c r="T1607" s="51"/>
      <c r="U1607" s="51"/>
      <c r="V1607" s="51"/>
      <c r="W1607" s="51"/>
      <c r="X1607" s="51"/>
      <c r="Y1607" s="51"/>
      <c r="Z1607" s="51"/>
      <c r="AA1607" s="51"/>
      <c r="AB1607" s="51"/>
      <c r="AC1607" s="51"/>
      <c r="AD1607" s="51"/>
      <c r="AE1607" s="51"/>
      <c r="AF1607" s="51"/>
      <c r="AG1607" s="51"/>
      <c r="AH1607" s="51"/>
      <c r="AI1607" s="51"/>
      <c r="AJ1607" s="51"/>
      <c r="AK1607" s="51"/>
      <c r="AL1607" s="51"/>
      <c r="AM1607" s="51"/>
      <c r="AN1607" s="51"/>
      <c r="AO1607" s="51"/>
      <c r="AP1607" s="51"/>
      <c r="AQ1607" s="51"/>
      <c r="AR1607" s="51"/>
      <c r="AS1607" s="51"/>
      <c r="AT1607" s="51"/>
      <c r="AU1607" s="51"/>
      <c r="AV1607" s="51"/>
      <c r="AW1607" s="51"/>
    </row>
    <row r="1608" spans="1:49" s="31" customFormat="1" ht="15.75" x14ac:dyDescent="0.2">
      <c r="A1608" s="51"/>
      <c r="B1608" s="51"/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  <c r="S1608" s="51"/>
      <c r="T1608" s="51"/>
      <c r="U1608" s="51"/>
      <c r="V1608" s="51"/>
      <c r="W1608" s="51"/>
      <c r="X1608" s="51"/>
      <c r="Y1608" s="51"/>
      <c r="Z1608" s="51"/>
      <c r="AA1608" s="51"/>
      <c r="AB1608" s="51"/>
      <c r="AC1608" s="51"/>
      <c r="AD1608" s="51"/>
      <c r="AE1608" s="51"/>
      <c r="AF1608" s="51"/>
      <c r="AG1608" s="51"/>
      <c r="AH1608" s="51"/>
      <c r="AI1608" s="51"/>
      <c r="AJ1608" s="51"/>
      <c r="AK1608" s="51"/>
      <c r="AL1608" s="51"/>
      <c r="AM1608" s="51"/>
      <c r="AN1608" s="51"/>
      <c r="AO1608" s="51"/>
      <c r="AP1608" s="51"/>
      <c r="AQ1608" s="51"/>
      <c r="AR1608" s="51"/>
      <c r="AS1608" s="51"/>
      <c r="AT1608" s="51"/>
      <c r="AU1608" s="51"/>
      <c r="AV1608" s="51"/>
      <c r="AW1608" s="51"/>
    </row>
    <row r="1609" spans="1:49" s="31" customFormat="1" ht="15.75" x14ac:dyDescent="0.2">
      <c r="A1609" s="51"/>
      <c r="B1609" s="51"/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  <c r="S1609" s="51"/>
      <c r="T1609" s="51"/>
      <c r="U1609" s="51"/>
      <c r="V1609" s="51"/>
      <c r="W1609" s="51"/>
      <c r="X1609" s="51"/>
      <c r="Y1609" s="51"/>
      <c r="Z1609" s="51"/>
      <c r="AA1609" s="51"/>
      <c r="AB1609" s="51"/>
      <c r="AC1609" s="51"/>
      <c r="AD1609" s="51"/>
      <c r="AE1609" s="51"/>
      <c r="AF1609" s="51"/>
      <c r="AG1609" s="51"/>
      <c r="AH1609" s="51"/>
      <c r="AI1609" s="51"/>
      <c r="AJ1609" s="51"/>
      <c r="AK1609" s="51"/>
      <c r="AL1609" s="51"/>
      <c r="AM1609" s="51"/>
      <c r="AN1609" s="51"/>
      <c r="AO1609" s="51"/>
      <c r="AP1609" s="51"/>
      <c r="AQ1609" s="51"/>
      <c r="AR1609" s="51"/>
      <c r="AS1609" s="51"/>
      <c r="AT1609" s="51"/>
      <c r="AU1609" s="51"/>
      <c r="AV1609" s="51"/>
      <c r="AW1609" s="51"/>
    </row>
    <row r="1610" spans="1:49" s="31" customFormat="1" ht="15.75" x14ac:dyDescent="0.2">
      <c r="A1610" s="51"/>
      <c r="B1610" s="51"/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  <c r="S1610" s="51"/>
      <c r="T1610" s="51"/>
      <c r="U1610" s="51"/>
      <c r="V1610" s="51"/>
      <c r="W1610" s="51"/>
      <c r="X1610" s="51"/>
      <c r="Y1610" s="51"/>
      <c r="Z1610" s="51"/>
      <c r="AA1610" s="51"/>
      <c r="AB1610" s="51"/>
      <c r="AC1610" s="51"/>
      <c r="AD1610" s="51"/>
      <c r="AE1610" s="51"/>
      <c r="AF1610" s="51"/>
      <c r="AG1610" s="51"/>
      <c r="AH1610" s="51"/>
      <c r="AI1610" s="51"/>
      <c r="AJ1610" s="51"/>
      <c r="AK1610" s="51"/>
      <c r="AL1610" s="51"/>
      <c r="AM1610" s="51"/>
      <c r="AN1610" s="51"/>
      <c r="AO1610" s="51"/>
      <c r="AP1610" s="51"/>
      <c r="AQ1610" s="51"/>
      <c r="AR1610" s="51"/>
      <c r="AS1610" s="51"/>
      <c r="AT1610" s="51"/>
      <c r="AU1610" s="51"/>
      <c r="AV1610" s="51"/>
      <c r="AW1610" s="51"/>
    </row>
    <row r="1611" spans="1:49" s="31" customFormat="1" ht="15.75" x14ac:dyDescent="0.2">
      <c r="A1611" s="51"/>
      <c r="B1611" s="51"/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  <c r="S1611" s="51"/>
      <c r="T1611" s="51"/>
      <c r="U1611" s="51"/>
      <c r="V1611" s="51"/>
      <c r="W1611" s="51"/>
      <c r="X1611" s="51"/>
      <c r="Y1611" s="51"/>
      <c r="Z1611" s="51"/>
      <c r="AA1611" s="51"/>
      <c r="AB1611" s="51"/>
      <c r="AC1611" s="51"/>
      <c r="AD1611" s="51"/>
      <c r="AE1611" s="51"/>
      <c r="AF1611" s="51"/>
      <c r="AG1611" s="51"/>
      <c r="AH1611" s="51"/>
      <c r="AI1611" s="51"/>
      <c r="AJ1611" s="51"/>
      <c r="AK1611" s="51"/>
      <c r="AL1611" s="51"/>
      <c r="AM1611" s="51"/>
      <c r="AN1611" s="51"/>
      <c r="AO1611" s="51"/>
      <c r="AP1611" s="51"/>
      <c r="AQ1611" s="51"/>
      <c r="AR1611" s="51"/>
      <c r="AS1611" s="51"/>
      <c r="AT1611" s="51"/>
      <c r="AU1611" s="51"/>
      <c r="AV1611" s="51"/>
      <c r="AW1611" s="51"/>
    </row>
    <row r="1612" spans="1:49" s="31" customFormat="1" ht="15.75" x14ac:dyDescent="0.2">
      <c r="A1612" s="51"/>
      <c r="B1612" s="51"/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  <c r="S1612" s="51"/>
      <c r="T1612" s="51"/>
      <c r="U1612" s="51"/>
      <c r="V1612" s="51"/>
      <c r="W1612" s="51"/>
      <c r="X1612" s="51"/>
      <c r="Y1612" s="51"/>
      <c r="Z1612" s="51"/>
      <c r="AA1612" s="51"/>
      <c r="AB1612" s="51"/>
      <c r="AC1612" s="51"/>
      <c r="AD1612" s="51"/>
      <c r="AE1612" s="51"/>
      <c r="AF1612" s="51"/>
      <c r="AG1612" s="51"/>
      <c r="AH1612" s="51"/>
      <c r="AI1612" s="51"/>
      <c r="AJ1612" s="51"/>
      <c r="AK1612" s="51"/>
      <c r="AL1612" s="51"/>
      <c r="AM1612" s="51"/>
      <c r="AN1612" s="51"/>
      <c r="AO1612" s="51"/>
      <c r="AP1612" s="51"/>
      <c r="AQ1612" s="51"/>
      <c r="AR1612" s="51"/>
      <c r="AS1612" s="51"/>
      <c r="AT1612" s="51"/>
      <c r="AU1612" s="51"/>
      <c r="AV1612" s="51"/>
      <c r="AW1612" s="51"/>
    </row>
    <row r="1613" spans="1:49" s="31" customFormat="1" ht="15.75" x14ac:dyDescent="0.2">
      <c r="A1613" s="51"/>
      <c r="B1613" s="51"/>
      <c r="C1613" s="51"/>
      <c r="D1613" s="51"/>
      <c r="E1613" s="51"/>
      <c r="F1613" s="51"/>
      <c r="G1613" s="51"/>
      <c r="H1613" s="51"/>
      <c r="I1613" s="51"/>
      <c r="J1613" s="51"/>
      <c r="K1613" s="51"/>
      <c r="L1613" s="51"/>
      <c r="M1613" s="51"/>
      <c r="N1613" s="51"/>
      <c r="O1613" s="51"/>
      <c r="P1613" s="51"/>
      <c r="Q1613" s="51"/>
      <c r="R1613" s="51"/>
      <c r="S1613" s="51"/>
      <c r="T1613" s="51"/>
      <c r="U1613" s="51"/>
      <c r="V1613" s="51"/>
      <c r="W1613" s="51"/>
      <c r="X1613" s="51"/>
      <c r="Y1613" s="51"/>
      <c r="Z1613" s="51"/>
      <c r="AA1613" s="51"/>
      <c r="AB1613" s="51"/>
      <c r="AC1613" s="51"/>
      <c r="AD1613" s="51"/>
      <c r="AE1613" s="51"/>
      <c r="AF1613" s="51"/>
      <c r="AG1613" s="51"/>
      <c r="AH1613" s="51"/>
      <c r="AI1613" s="51"/>
      <c r="AJ1613" s="51"/>
      <c r="AK1613" s="51"/>
      <c r="AL1613" s="51"/>
      <c r="AM1613" s="51"/>
      <c r="AN1613" s="51"/>
      <c r="AO1613" s="51"/>
      <c r="AP1613" s="51"/>
      <c r="AQ1613" s="51"/>
      <c r="AR1613" s="51"/>
      <c r="AS1613" s="51"/>
      <c r="AT1613" s="51"/>
      <c r="AU1613" s="51"/>
      <c r="AV1613" s="51"/>
      <c r="AW1613" s="51"/>
    </row>
    <row r="1614" spans="1:49" s="31" customFormat="1" ht="15.75" x14ac:dyDescent="0.2">
      <c r="A1614" s="51"/>
      <c r="B1614" s="51"/>
      <c r="C1614" s="51"/>
      <c r="D1614" s="51"/>
      <c r="E1614" s="51"/>
      <c r="F1614" s="51"/>
      <c r="G1614" s="51"/>
      <c r="H1614" s="51"/>
      <c r="I1614" s="51"/>
      <c r="J1614" s="51"/>
      <c r="K1614" s="51"/>
      <c r="L1614" s="51"/>
      <c r="M1614" s="51"/>
      <c r="N1614" s="51"/>
      <c r="O1614" s="51"/>
      <c r="P1614" s="51"/>
      <c r="Q1614" s="51"/>
      <c r="R1614" s="51"/>
      <c r="S1614" s="51"/>
      <c r="T1614" s="51"/>
      <c r="U1614" s="51"/>
      <c r="V1614" s="51"/>
      <c r="W1614" s="51"/>
      <c r="X1614" s="51"/>
      <c r="Y1614" s="51"/>
      <c r="Z1614" s="51"/>
      <c r="AA1614" s="51"/>
      <c r="AB1614" s="51"/>
      <c r="AC1614" s="51"/>
      <c r="AD1614" s="51"/>
      <c r="AE1614" s="51"/>
      <c r="AF1614" s="51"/>
      <c r="AG1614" s="51"/>
      <c r="AH1614" s="51"/>
      <c r="AI1614" s="51"/>
      <c r="AJ1614" s="51"/>
      <c r="AK1614" s="51"/>
      <c r="AL1614" s="51"/>
      <c r="AM1614" s="51"/>
      <c r="AN1614" s="51"/>
      <c r="AO1614" s="51"/>
      <c r="AP1614" s="51"/>
      <c r="AQ1614" s="51"/>
      <c r="AR1614" s="51"/>
      <c r="AS1614" s="51"/>
      <c r="AT1614" s="51"/>
      <c r="AU1614" s="51"/>
      <c r="AV1614" s="51"/>
      <c r="AW1614" s="51"/>
    </row>
    <row r="1615" spans="1:49" s="31" customFormat="1" ht="15.75" x14ac:dyDescent="0.2">
      <c r="A1615" s="51"/>
      <c r="B1615" s="51"/>
      <c r="C1615" s="51"/>
      <c r="D1615" s="51"/>
      <c r="E1615" s="51"/>
      <c r="F1615" s="51"/>
      <c r="G1615" s="51"/>
      <c r="H1615" s="51"/>
      <c r="I1615" s="51"/>
      <c r="J1615" s="51"/>
      <c r="K1615" s="51"/>
      <c r="L1615" s="51"/>
      <c r="M1615" s="51"/>
      <c r="N1615" s="51"/>
      <c r="O1615" s="51"/>
      <c r="P1615" s="51"/>
      <c r="Q1615" s="51"/>
      <c r="R1615" s="51"/>
      <c r="S1615" s="51"/>
      <c r="T1615" s="51"/>
      <c r="U1615" s="51"/>
      <c r="V1615" s="51"/>
      <c r="W1615" s="51"/>
      <c r="X1615" s="51"/>
      <c r="Y1615" s="51"/>
      <c r="Z1615" s="51"/>
      <c r="AA1615" s="51"/>
      <c r="AB1615" s="51"/>
      <c r="AC1615" s="51"/>
      <c r="AD1615" s="51"/>
      <c r="AE1615" s="51"/>
      <c r="AF1615" s="51"/>
      <c r="AG1615" s="51"/>
      <c r="AH1615" s="51"/>
      <c r="AI1615" s="51"/>
      <c r="AJ1615" s="51"/>
      <c r="AK1615" s="51"/>
      <c r="AL1615" s="51"/>
      <c r="AM1615" s="51"/>
      <c r="AN1615" s="51"/>
      <c r="AO1615" s="51"/>
      <c r="AP1615" s="51"/>
      <c r="AQ1615" s="51"/>
      <c r="AR1615" s="51"/>
      <c r="AS1615" s="51"/>
      <c r="AT1615" s="51"/>
      <c r="AU1615" s="51"/>
      <c r="AV1615" s="51"/>
      <c r="AW1615" s="51"/>
    </row>
    <row r="1616" spans="1:49" s="31" customFormat="1" ht="15.75" x14ac:dyDescent="0.2">
      <c r="A1616" s="51"/>
      <c r="B1616" s="51"/>
      <c r="C1616" s="51"/>
      <c r="D1616" s="51"/>
      <c r="E1616" s="51"/>
      <c r="F1616" s="51"/>
      <c r="G1616" s="51"/>
      <c r="H1616" s="51"/>
      <c r="I1616" s="51"/>
      <c r="J1616" s="51"/>
      <c r="K1616" s="51"/>
      <c r="L1616" s="51"/>
      <c r="M1616" s="51"/>
      <c r="N1616" s="51"/>
      <c r="O1616" s="51"/>
      <c r="P1616" s="51"/>
      <c r="Q1616" s="51"/>
      <c r="R1616" s="51"/>
      <c r="S1616" s="51"/>
      <c r="T1616" s="51"/>
      <c r="U1616" s="51"/>
      <c r="V1616" s="51"/>
      <c r="W1616" s="51"/>
      <c r="X1616" s="51"/>
      <c r="Y1616" s="51"/>
      <c r="Z1616" s="51"/>
      <c r="AA1616" s="51"/>
      <c r="AB1616" s="51"/>
      <c r="AC1616" s="51"/>
      <c r="AD1616" s="51"/>
      <c r="AE1616" s="51"/>
      <c r="AF1616" s="51"/>
      <c r="AG1616" s="51"/>
      <c r="AH1616" s="51"/>
      <c r="AI1616" s="51"/>
      <c r="AJ1616" s="51"/>
      <c r="AK1616" s="51"/>
      <c r="AL1616" s="51"/>
      <c r="AM1616" s="51"/>
      <c r="AN1616" s="51"/>
      <c r="AO1616" s="51"/>
      <c r="AP1616" s="51"/>
      <c r="AQ1616" s="51"/>
      <c r="AR1616" s="51"/>
      <c r="AS1616" s="51"/>
      <c r="AT1616" s="51"/>
      <c r="AU1616" s="51"/>
      <c r="AV1616" s="51"/>
      <c r="AW1616" s="51"/>
    </row>
    <row r="1617" spans="1:49" s="31" customFormat="1" ht="15.75" x14ac:dyDescent="0.2">
      <c r="A1617" s="51"/>
      <c r="B1617" s="51"/>
      <c r="C1617" s="51"/>
      <c r="D1617" s="51"/>
      <c r="E1617" s="51"/>
      <c r="F1617" s="51"/>
      <c r="G1617" s="51"/>
      <c r="H1617" s="51"/>
      <c r="I1617" s="51"/>
      <c r="J1617" s="51"/>
      <c r="K1617" s="51"/>
      <c r="L1617" s="51"/>
      <c r="M1617" s="51"/>
      <c r="N1617" s="51"/>
      <c r="O1617" s="51"/>
      <c r="P1617" s="51"/>
      <c r="Q1617" s="51"/>
      <c r="R1617" s="51"/>
      <c r="S1617" s="51"/>
      <c r="T1617" s="51"/>
      <c r="U1617" s="51"/>
      <c r="V1617" s="51"/>
      <c r="W1617" s="51"/>
      <c r="X1617" s="51"/>
      <c r="Y1617" s="51"/>
      <c r="Z1617" s="51"/>
      <c r="AA1617" s="51"/>
      <c r="AB1617" s="51"/>
      <c r="AC1617" s="51"/>
      <c r="AD1617" s="51"/>
      <c r="AE1617" s="51"/>
      <c r="AF1617" s="51"/>
      <c r="AG1617" s="51"/>
      <c r="AH1617" s="51"/>
      <c r="AI1617" s="51"/>
      <c r="AJ1617" s="51"/>
      <c r="AK1617" s="51"/>
      <c r="AL1617" s="51"/>
      <c r="AM1617" s="51"/>
      <c r="AN1617" s="51"/>
      <c r="AO1617" s="51"/>
      <c r="AP1617" s="51"/>
      <c r="AQ1617" s="51"/>
      <c r="AR1617" s="51"/>
      <c r="AS1617" s="51"/>
      <c r="AT1617" s="51"/>
      <c r="AU1617" s="51"/>
      <c r="AV1617" s="51"/>
      <c r="AW1617" s="51"/>
    </row>
    <row r="1618" spans="1:49" s="31" customFormat="1" ht="15.75" x14ac:dyDescent="0.2">
      <c r="A1618" s="51"/>
      <c r="B1618" s="51"/>
      <c r="C1618" s="51"/>
      <c r="D1618" s="51"/>
      <c r="E1618" s="51"/>
      <c r="F1618" s="51"/>
      <c r="G1618" s="51"/>
      <c r="H1618" s="51"/>
      <c r="I1618" s="51"/>
      <c r="J1618" s="51"/>
      <c r="K1618" s="51"/>
      <c r="L1618" s="51"/>
      <c r="M1618" s="51"/>
      <c r="N1618" s="51"/>
      <c r="O1618" s="51"/>
      <c r="P1618" s="51"/>
      <c r="Q1618" s="51"/>
      <c r="R1618" s="51"/>
      <c r="S1618" s="51"/>
      <c r="T1618" s="51"/>
      <c r="U1618" s="51"/>
      <c r="V1618" s="51"/>
      <c r="W1618" s="51"/>
      <c r="X1618" s="51"/>
      <c r="Y1618" s="51"/>
      <c r="Z1618" s="51"/>
      <c r="AA1618" s="51"/>
      <c r="AB1618" s="51"/>
      <c r="AC1618" s="51"/>
      <c r="AD1618" s="51"/>
      <c r="AE1618" s="51"/>
      <c r="AF1618" s="51"/>
      <c r="AG1618" s="51"/>
      <c r="AH1618" s="51"/>
      <c r="AI1618" s="51"/>
      <c r="AJ1618" s="51"/>
      <c r="AK1618" s="51"/>
      <c r="AL1618" s="51"/>
      <c r="AM1618" s="51"/>
      <c r="AN1618" s="51"/>
      <c r="AO1618" s="51"/>
      <c r="AP1618" s="51"/>
      <c r="AQ1618" s="51"/>
      <c r="AR1618" s="51"/>
      <c r="AS1618" s="51"/>
      <c r="AT1618" s="51"/>
      <c r="AU1618" s="51"/>
      <c r="AV1618" s="51"/>
      <c r="AW1618" s="51"/>
    </row>
    <row r="1619" spans="1:49" s="31" customFormat="1" ht="15.75" x14ac:dyDescent="0.2">
      <c r="A1619" s="51"/>
      <c r="B1619" s="51"/>
      <c r="C1619" s="51"/>
      <c r="D1619" s="51"/>
      <c r="E1619" s="51"/>
      <c r="F1619" s="51"/>
      <c r="G1619" s="51"/>
      <c r="H1619" s="51"/>
      <c r="I1619" s="51"/>
      <c r="J1619" s="51"/>
      <c r="K1619" s="51"/>
      <c r="L1619" s="51"/>
      <c r="M1619" s="51"/>
      <c r="N1619" s="51"/>
      <c r="O1619" s="51"/>
      <c r="P1619" s="51"/>
      <c r="Q1619" s="51"/>
      <c r="R1619" s="51"/>
      <c r="S1619" s="51"/>
      <c r="T1619" s="51"/>
      <c r="U1619" s="51"/>
      <c r="V1619" s="51"/>
      <c r="W1619" s="51"/>
      <c r="X1619" s="51"/>
      <c r="Y1619" s="51"/>
      <c r="Z1619" s="51"/>
      <c r="AA1619" s="51"/>
      <c r="AB1619" s="51"/>
      <c r="AC1619" s="51"/>
      <c r="AD1619" s="51"/>
      <c r="AE1619" s="51"/>
      <c r="AF1619" s="51"/>
      <c r="AG1619" s="51"/>
      <c r="AH1619" s="51"/>
      <c r="AI1619" s="51"/>
      <c r="AJ1619" s="51"/>
      <c r="AK1619" s="51"/>
      <c r="AL1619" s="51"/>
      <c r="AM1619" s="51"/>
      <c r="AN1619" s="51"/>
      <c r="AO1619" s="51"/>
      <c r="AP1619" s="51"/>
      <c r="AQ1619" s="51"/>
      <c r="AR1619" s="51"/>
      <c r="AS1619" s="51"/>
      <c r="AT1619" s="51"/>
      <c r="AU1619" s="51"/>
      <c r="AV1619" s="51"/>
      <c r="AW1619" s="51"/>
    </row>
    <row r="1620" spans="1:49" s="31" customFormat="1" ht="15.75" x14ac:dyDescent="0.2">
      <c r="A1620" s="51"/>
      <c r="B1620" s="51"/>
      <c r="C1620" s="51"/>
      <c r="D1620" s="51"/>
      <c r="E1620" s="51"/>
      <c r="F1620" s="51"/>
      <c r="G1620" s="51"/>
      <c r="H1620" s="51"/>
      <c r="I1620" s="51"/>
      <c r="J1620" s="51"/>
      <c r="K1620" s="51"/>
      <c r="L1620" s="51"/>
      <c r="M1620" s="51"/>
      <c r="N1620" s="51"/>
      <c r="O1620" s="51"/>
      <c r="P1620" s="51"/>
      <c r="Q1620" s="51"/>
      <c r="R1620" s="51"/>
      <c r="S1620" s="51"/>
      <c r="T1620" s="51"/>
      <c r="U1620" s="51"/>
      <c r="V1620" s="51"/>
      <c r="W1620" s="51"/>
      <c r="X1620" s="51"/>
      <c r="Y1620" s="51"/>
      <c r="Z1620" s="51"/>
      <c r="AA1620" s="51"/>
      <c r="AB1620" s="51"/>
      <c r="AC1620" s="51"/>
      <c r="AD1620" s="51"/>
      <c r="AE1620" s="51"/>
      <c r="AF1620" s="51"/>
      <c r="AG1620" s="51"/>
      <c r="AH1620" s="51"/>
      <c r="AI1620" s="51"/>
      <c r="AJ1620" s="51"/>
      <c r="AK1620" s="51"/>
      <c r="AL1620" s="51"/>
      <c r="AM1620" s="51"/>
      <c r="AN1620" s="51"/>
      <c r="AO1620" s="51"/>
      <c r="AP1620" s="51"/>
      <c r="AQ1620" s="51"/>
      <c r="AR1620" s="51"/>
      <c r="AS1620" s="51"/>
      <c r="AT1620" s="51"/>
      <c r="AU1620" s="51"/>
      <c r="AV1620" s="51"/>
      <c r="AW1620" s="51"/>
    </row>
    <row r="1621" spans="1:49" s="31" customFormat="1" ht="15.75" x14ac:dyDescent="0.2">
      <c r="A1621" s="51"/>
      <c r="B1621" s="51"/>
      <c r="C1621" s="51"/>
      <c r="D1621" s="51"/>
      <c r="E1621" s="51"/>
      <c r="F1621" s="51"/>
      <c r="G1621" s="51"/>
      <c r="H1621" s="51"/>
      <c r="I1621" s="51"/>
      <c r="J1621" s="51"/>
      <c r="K1621" s="51"/>
      <c r="L1621" s="51"/>
      <c r="M1621" s="51"/>
      <c r="N1621" s="51"/>
      <c r="O1621" s="51"/>
      <c r="P1621" s="51"/>
      <c r="Q1621" s="51"/>
      <c r="R1621" s="51"/>
      <c r="S1621" s="51"/>
      <c r="T1621" s="51"/>
      <c r="U1621" s="51"/>
      <c r="V1621" s="51"/>
      <c r="W1621" s="51"/>
      <c r="X1621" s="51"/>
      <c r="Y1621" s="51"/>
      <c r="Z1621" s="51"/>
      <c r="AA1621" s="51"/>
      <c r="AB1621" s="51"/>
      <c r="AC1621" s="51"/>
      <c r="AD1621" s="51"/>
      <c r="AE1621" s="51"/>
      <c r="AF1621" s="51"/>
      <c r="AG1621" s="51"/>
      <c r="AH1621" s="51"/>
      <c r="AI1621" s="51"/>
      <c r="AJ1621" s="51"/>
      <c r="AK1621" s="51"/>
      <c r="AL1621" s="51"/>
      <c r="AM1621" s="51"/>
      <c r="AN1621" s="51"/>
      <c r="AO1621" s="51"/>
      <c r="AP1621" s="51"/>
      <c r="AQ1621" s="51"/>
      <c r="AR1621" s="51"/>
      <c r="AS1621" s="51"/>
      <c r="AT1621" s="51"/>
      <c r="AU1621" s="51"/>
      <c r="AV1621" s="51"/>
      <c r="AW1621" s="51"/>
    </row>
    <row r="1622" spans="1:49" s="31" customFormat="1" ht="15.75" x14ac:dyDescent="0.2">
      <c r="A1622" s="51"/>
      <c r="B1622" s="51"/>
      <c r="C1622" s="51"/>
      <c r="D1622" s="51"/>
      <c r="E1622" s="51"/>
      <c r="F1622" s="51"/>
      <c r="G1622" s="51"/>
      <c r="H1622" s="51"/>
      <c r="I1622" s="51"/>
      <c r="J1622" s="51"/>
      <c r="K1622" s="51"/>
      <c r="L1622" s="51"/>
      <c r="M1622" s="51"/>
      <c r="N1622" s="51"/>
      <c r="O1622" s="51"/>
      <c r="P1622" s="51"/>
      <c r="Q1622" s="51"/>
      <c r="R1622" s="51"/>
      <c r="S1622" s="51"/>
      <c r="T1622" s="51"/>
      <c r="U1622" s="51"/>
      <c r="V1622" s="51"/>
      <c r="W1622" s="51"/>
      <c r="X1622" s="51"/>
      <c r="Y1622" s="51"/>
      <c r="Z1622" s="51"/>
      <c r="AA1622" s="51"/>
      <c r="AB1622" s="51"/>
      <c r="AC1622" s="51"/>
      <c r="AD1622" s="51"/>
      <c r="AE1622" s="51"/>
      <c r="AF1622" s="51"/>
      <c r="AG1622" s="51"/>
      <c r="AH1622" s="51"/>
      <c r="AI1622" s="51"/>
      <c r="AJ1622" s="51"/>
      <c r="AK1622" s="51"/>
      <c r="AL1622" s="51"/>
      <c r="AM1622" s="51"/>
      <c r="AN1622" s="51"/>
      <c r="AO1622" s="51"/>
      <c r="AP1622" s="51"/>
      <c r="AQ1622" s="51"/>
      <c r="AR1622" s="51"/>
      <c r="AS1622" s="51"/>
      <c r="AT1622" s="51"/>
      <c r="AU1622" s="51"/>
      <c r="AV1622" s="51"/>
      <c r="AW1622" s="51"/>
    </row>
    <row r="1623" spans="1:49" s="31" customFormat="1" ht="15.75" x14ac:dyDescent="0.2">
      <c r="A1623" s="51"/>
      <c r="B1623" s="51"/>
      <c r="C1623" s="51"/>
      <c r="D1623" s="51"/>
      <c r="E1623" s="51"/>
      <c r="F1623" s="51"/>
      <c r="G1623" s="51"/>
      <c r="H1623" s="51"/>
      <c r="I1623" s="51"/>
      <c r="J1623" s="51"/>
      <c r="K1623" s="51"/>
      <c r="L1623" s="51"/>
      <c r="M1623" s="51"/>
      <c r="N1623" s="51"/>
      <c r="O1623" s="51"/>
      <c r="P1623" s="51"/>
      <c r="Q1623" s="51"/>
      <c r="R1623" s="51"/>
      <c r="S1623" s="51"/>
      <c r="T1623" s="51"/>
      <c r="U1623" s="51"/>
      <c r="V1623" s="51"/>
      <c r="W1623" s="51"/>
      <c r="X1623" s="51"/>
      <c r="Y1623" s="51"/>
      <c r="Z1623" s="51"/>
      <c r="AA1623" s="51"/>
      <c r="AB1623" s="51"/>
      <c r="AC1623" s="51"/>
      <c r="AD1623" s="51"/>
      <c r="AE1623" s="51"/>
      <c r="AF1623" s="51"/>
      <c r="AG1623" s="51"/>
      <c r="AH1623" s="51"/>
      <c r="AI1623" s="51"/>
      <c r="AJ1623" s="51"/>
      <c r="AK1623" s="51"/>
      <c r="AL1623" s="51"/>
      <c r="AM1623" s="51"/>
      <c r="AN1623" s="51"/>
      <c r="AO1623" s="51"/>
      <c r="AP1623" s="51"/>
      <c r="AQ1623" s="51"/>
      <c r="AR1623" s="51"/>
      <c r="AS1623" s="51"/>
      <c r="AT1623" s="51"/>
      <c r="AU1623" s="51"/>
      <c r="AV1623" s="51"/>
      <c r="AW1623" s="51"/>
    </row>
    <row r="1624" spans="1:49" s="31" customFormat="1" ht="15.75" x14ac:dyDescent="0.2">
      <c r="A1624" s="51"/>
      <c r="B1624" s="51"/>
      <c r="C1624" s="51"/>
      <c r="D1624" s="51"/>
      <c r="E1624" s="51"/>
      <c r="F1624" s="51"/>
      <c r="G1624" s="51"/>
      <c r="H1624" s="51"/>
      <c r="I1624" s="51"/>
      <c r="J1624" s="51"/>
      <c r="K1624" s="51"/>
      <c r="L1624" s="51"/>
      <c r="M1624" s="51"/>
      <c r="N1624" s="51"/>
      <c r="O1624" s="51"/>
      <c r="P1624" s="51"/>
      <c r="Q1624" s="51"/>
      <c r="R1624" s="51"/>
      <c r="S1624" s="51"/>
      <c r="T1624" s="51"/>
      <c r="U1624" s="51"/>
      <c r="V1624" s="51"/>
      <c r="W1624" s="51"/>
      <c r="X1624" s="51"/>
      <c r="Y1624" s="51"/>
      <c r="Z1624" s="51"/>
      <c r="AA1624" s="51"/>
      <c r="AB1624" s="51"/>
      <c r="AC1624" s="51"/>
      <c r="AD1624" s="51"/>
      <c r="AE1624" s="51"/>
      <c r="AF1624" s="51"/>
      <c r="AG1624" s="51"/>
      <c r="AH1624" s="51"/>
      <c r="AI1624" s="51"/>
      <c r="AJ1624" s="51"/>
      <c r="AK1624" s="51"/>
      <c r="AL1624" s="51"/>
      <c r="AM1624" s="51"/>
      <c r="AN1624" s="51"/>
      <c r="AO1624" s="51"/>
      <c r="AP1624" s="51"/>
      <c r="AQ1624" s="51"/>
      <c r="AR1624" s="51"/>
      <c r="AS1624" s="51"/>
      <c r="AT1624" s="51"/>
      <c r="AU1624" s="51"/>
      <c r="AV1624" s="51"/>
      <c r="AW1624" s="51"/>
    </row>
    <row r="1625" spans="1:49" s="31" customFormat="1" ht="15.75" x14ac:dyDescent="0.2">
      <c r="A1625" s="51"/>
      <c r="B1625" s="51"/>
      <c r="C1625" s="51"/>
      <c r="D1625" s="51"/>
      <c r="E1625" s="51"/>
      <c r="F1625" s="51"/>
      <c r="G1625" s="51"/>
      <c r="H1625" s="51"/>
      <c r="I1625" s="51"/>
      <c r="J1625" s="51"/>
      <c r="K1625" s="51"/>
      <c r="L1625" s="51"/>
      <c r="M1625" s="51"/>
      <c r="N1625" s="51"/>
      <c r="O1625" s="51"/>
      <c r="P1625" s="51"/>
      <c r="Q1625" s="51"/>
      <c r="R1625" s="51"/>
      <c r="S1625" s="51"/>
      <c r="T1625" s="51"/>
      <c r="U1625" s="51"/>
      <c r="V1625" s="51"/>
      <c r="W1625" s="51"/>
      <c r="X1625" s="51"/>
      <c r="Y1625" s="51"/>
      <c r="Z1625" s="51"/>
      <c r="AA1625" s="51"/>
      <c r="AB1625" s="51"/>
      <c r="AC1625" s="51"/>
      <c r="AD1625" s="51"/>
      <c r="AE1625" s="51"/>
      <c r="AF1625" s="51"/>
      <c r="AG1625" s="51"/>
      <c r="AH1625" s="51"/>
      <c r="AI1625" s="51"/>
      <c r="AJ1625" s="51"/>
      <c r="AK1625" s="51"/>
      <c r="AL1625" s="51"/>
      <c r="AM1625" s="51"/>
      <c r="AN1625" s="51"/>
      <c r="AO1625" s="51"/>
      <c r="AP1625" s="51"/>
      <c r="AQ1625" s="51"/>
      <c r="AR1625" s="51"/>
      <c r="AS1625" s="51"/>
      <c r="AT1625" s="51"/>
      <c r="AU1625" s="51"/>
      <c r="AV1625" s="51"/>
      <c r="AW1625" s="51"/>
    </row>
    <row r="1626" spans="1:49" s="31" customFormat="1" ht="15.75" x14ac:dyDescent="0.2">
      <c r="A1626" s="51"/>
      <c r="B1626" s="51"/>
      <c r="C1626" s="51"/>
      <c r="D1626" s="51"/>
      <c r="E1626" s="51"/>
      <c r="F1626" s="51"/>
      <c r="G1626" s="51"/>
      <c r="H1626" s="51"/>
      <c r="I1626" s="51"/>
      <c r="J1626" s="51"/>
      <c r="K1626" s="51"/>
      <c r="L1626" s="51"/>
      <c r="M1626" s="51"/>
      <c r="N1626" s="51"/>
      <c r="O1626" s="51"/>
      <c r="P1626" s="51"/>
      <c r="Q1626" s="51"/>
      <c r="R1626" s="51"/>
      <c r="S1626" s="51"/>
      <c r="T1626" s="51"/>
      <c r="U1626" s="51"/>
      <c r="V1626" s="51"/>
      <c r="W1626" s="51"/>
      <c r="X1626" s="51"/>
      <c r="Y1626" s="51"/>
      <c r="Z1626" s="51"/>
      <c r="AA1626" s="51"/>
      <c r="AB1626" s="51"/>
      <c r="AC1626" s="51"/>
      <c r="AD1626" s="51"/>
      <c r="AE1626" s="51"/>
      <c r="AF1626" s="51"/>
      <c r="AG1626" s="51"/>
      <c r="AH1626" s="51"/>
      <c r="AI1626" s="51"/>
      <c r="AJ1626" s="51"/>
      <c r="AK1626" s="51"/>
      <c r="AL1626" s="51"/>
      <c r="AM1626" s="51"/>
      <c r="AN1626" s="51"/>
      <c r="AO1626" s="51"/>
      <c r="AP1626" s="51"/>
      <c r="AQ1626" s="51"/>
      <c r="AR1626" s="51"/>
      <c r="AS1626" s="51"/>
      <c r="AT1626" s="51"/>
      <c r="AU1626" s="51"/>
      <c r="AV1626" s="51"/>
      <c r="AW1626" s="51"/>
    </row>
    <row r="1627" spans="1:49" s="31" customFormat="1" ht="15.75" x14ac:dyDescent="0.2">
      <c r="A1627" s="51"/>
      <c r="B1627" s="51"/>
      <c r="C1627" s="51"/>
      <c r="D1627" s="51"/>
      <c r="E1627" s="51"/>
      <c r="F1627" s="51"/>
      <c r="G1627" s="51"/>
      <c r="H1627" s="51"/>
      <c r="I1627" s="51"/>
      <c r="J1627" s="51"/>
      <c r="K1627" s="51"/>
      <c r="L1627" s="51"/>
      <c r="M1627" s="51"/>
      <c r="N1627" s="51"/>
      <c r="O1627" s="51"/>
      <c r="P1627" s="51"/>
      <c r="Q1627" s="51"/>
      <c r="R1627" s="51"/>
      <c r="S1627" s="51"/>
      <c r="T1627" s="51"/>
      <c r="U1627" s="51"/>
      <c r="V1627" s="51"/>
      <c r="W1627" s="51"/>
      <c r="X1627" s="51"/>
      <c r="Y1627" s="51"/>
      <c r="Z1627" s="51"/>
      <c r="AA1627" s="51"/>
      <c r="AB1627" s="51"/>
      <c r="AC1627" s="51"/>
      <c r="AD1627" s="51"/>
      <c r="AE1627" s="51"/>
      <c r="AF1627" s="51"/>
      <c r="AG1627" s="51"/>
      <c r="AH1627" s="51"/>
      <c r="AI1627" s="51"/>
      <c r="AJ1627" s="51"/>
      <c r="AK1627" s="51"/>
      <c r="AL1627" s="51"/>
      <c r="AM1627" s="51"/>
      <c r="AN1627" s="51"/>
      <c r="AO1627" s="51"/>
      <c r="AP1627" s="51"/>
      <c r="AQ1627" s="51"/>
      <c r="AR1627" s="51"/>
      <c r="AS1627" s="51"/>
      <c r="AT1627" s="51"/>
      <c r="AU1627" s="51"/>
      <c r="AV1627" s="51"/>
      <c r="AW1627" s="51"/>
    </row>
    <row r="1628" spans="1:49" s="31" customFormat="1" ht="15.75" x14ac:dyDescent="0.2">
      <c r="A1628" s="51"/>
      <c r="B1628" s="51"/>
      <c r="C1628" s="51"/>
      <c r="D1628" s="51"/>
      <c r="E1628" s="51"/>
      <c r="F1628" s="51"/>
      <c r="G1628" s="51"/>
      <c r="H1628" s="51"/>
      <c r="I1628" s="51"/>
      <c r="J1628" s="51"/>
      <c r="K1628" s="51"/>
      <c r="L1628" s="51"/>
      <c r="M1628" s="51"/>
      <c r="N1628" s="51"/>
      <c r="O1628" s="51"/>
      <c r="P1628" s="51"/>
      <c r="Q1628" s="51"/>
      <c r="R1628" s="51"/>
      <c r="S1628" s="51"/>
      <c r="T1628" s="51"/>
      <c r="U1628" s="51"/>
      <c r="V1628" s="51"/>
      <c r="W1628" s="51"/>
      <c r="X1628" s="51"/>
      <c r="Y1628" s="51"/>
      <c r="Z1628" s="51"/>
      <c r="AA1628" s="51"/>
      <c r="AB1628" s="51"/>
      <c r="AC1628" s="51"/>
      <c r="AD1628" s="51"/>
      <c r="AE1628" s="51"/>
      <c r="AF1628" s="51"/>
      <c r="AG1628" s="51"/>
      <c r="AH1628" s="51"/>
      <c r="AI1628" s="51"/>
      <c r="AJ1628" s="51"/>
      <c r="AK1628" s="51"/>
      <c r="AL1628" s="51"/>
      <c r="AM1628" s="51"/>
      <c r="AN1628" s="51"/>
      <c r="AO1628" s="51"/>
      <c r="AP1628" s="51"/>
      <c r="AQ1628" s="51"/>
      <c r="AR1628" s="51"/>
      <c r="AS1628" s="51"/>
      <c r="AT1628" s="51"/>
      <c r="AU1628" s="51"/>
      <c r="AV1628" s="51"/>
      <c r="AW1628" s="51"/>
    </row>
    <row r="1629" spans="1:49" s="31" customFormat="1" ht="15.75" x14ac:dyDescent="0.2">
      <c r="A1629" s="51"/>
      <c r="B1629" s="51"/>
      <c r="C1629" s="51"/>
      <c r="D1629" s="51"/>
      <c r="E1629" s="51"/>
      <c r="F1629" s="51"/>
      <c r="G1629" s="51"/>
      <c r="H1629" s="51"/>
      <c r="I1629" s="51"/>
      <c r="J1629" s="51"/>
      <c r="K1629" s="51"/>
      <c r="L1629" s="51"/>
      <c r="M1629" s="51"/>
      <c r="N1629" s="51"/>
      <c r="O1629" s="51"/>
      <c r="P1629" s="51"/>
      <c r="Q1629" s="51"/>
      <c r="R1629" s="51"/>
      <c r="S1629" s="51"/>
      <c r="T1629" s="51"/>
      <c r="U1629" s="51"/>
      <c r="V1629" s="51"/>
      <c r="W1629" s="51"/>
      <c r="X1629" s="51"/>
      <c r="Y1629" s="51"/>
      <c r="Z1629" s="51"/>
      <c r="AA1629" s="51"/>
      <c r="AB1629" s="51"/>
      <c r="AC1629" s="51"/>
      <c r="AD1629" s="51"/>
      <c r="AE1629" s="51"/>
      <c r="AF1629" s="51"/>
      <c r="AG1629" s="51"/>
      <c r="AH1629" s="51"/>
      <c r="AI1629" s="51"/>
      <c r="AJ1629" s="51"/>
      <c r="AK1629" s="51"/>
      <c r="AL1629" s="51"/>
      <c r="AM1629" s="51"/>
      <c r="AN1629" s="51"/>
      <c r="AO1629" s="51"/>
      <c r="AP1629" s="51"/>
      <c r="AQ1629" s="51"/>
      <c r="AR1629" s="51"/>
      <c r="AS1629" s="51"/>
      <c r="AT1629" s="51"/>
      <c r="AU1629" s="51"/>
      <c r="AV1629" s="51"/>
      <c r="AW1629" s="51"/>
    </row>
    <row r="1630" spans="1:49" s="31" customFormat="1" ht="15.75" x14ac:dyDescent="0.2">
      <c r="A1630" s="51"/>
      <c r="B1630" s="51"/>
      <c r="C1630" s="51"/>
      <c r="D1630" s="51"/>
      <c r="E1630" s="51"/>
      <c r="F1630" s="51"/>
      <c r="G1630" s="51"/>
      <c r="H1630" s="51"/>
      <c r="I1630" s="51"/>
      <c r="J1630" s="51"/>
      <c r="K1630" s="51"/>
      <c r="L1630" s="51"/>
      <c r="M1630" s="51"/>
      <c r="N1630" s="51"/>
      <c r="O1630" s="51"/>
      <c r="P1630" s="51"/>
      <c r="Q1630" s="51"/>
      <c r="R1630" s="51"/>
      <c r="S1630" s="51"/>
      <c r="T1630" s="51"/>
      <c r="U1630" s="51"/>
      <c r="V1630" s="51"/>
      <c r="W1630" s="51"/>
      <c r="X1630" s="51"/>
      <c r="Y1630" s="51"/>
      <c r="Z1630" s="51"/>
      <c r="AA1630" s="51"/>
      <c r="AB1630" s="51"/>
      <c r="AC1630" s="51"/>
      <c r="AD1630" s="51"/>
      <c r="AE1630" s="51"/>
      <c r="AF1630" s="51"/>
      <c r="AG1630" s="51"/>
      <c r="AH1630" s="51"/>
      <c r="AI1630" s="51"/>
      <c r="AJ1630" s="51"/>
      <c r="AK1630" s="51"/>
      <c r="AL1630" s="51"/>
      <c r="AM1630" s="51"/>
      <c r="AN1630" s="51"/>
      <c r="AO1630" s="51"/>
      <c r="AP1630" s="51"/>
      <c r="AQ1630" s="51"/>
      <c r="AR1630" s="51"/>
      <c r="AS1630" s="51"/>
      <c r="AT1630" s="51"/>
      <c r="AU1630" s="51"/>
      <c r="AV1630" s="51"/>
      <c r="AW1630" s="51"/>
    </row>
    <row r="1631" spans="1:49" s="31" customFormat="1" ht="15.75" x14ac:dyDescent="0.2">
      <c r="A1631" s="51"/>
      <c r="B1631" s="51"/>
      <c r="C1631" s="51"/>
      <c r="D1631" s="51"/>
      <c r="E1631" s="51"/>
      <c r="F1631" s="51"/>
      <c r="G1631" s="51"/>
      <c r="H1631" s="51"/>
      <c r="I1631" s="51"/>
      <c r="J1631" s="51"/>
      <c r="K1631" s="51"/>
      <c r="L1631" s="51"/>
      <c r="M1631" s="51"/>
      <c r="N1631" s="51"/>
      <c r="O1631" s="51"/>
      <c r="P1631" s="51"/>
      <c r="Q1631" s="51"/>
      <c r="R1631" s="51"/>
      <c r="S1631" s="51"/>
      <c r="T1631" s="51"/>
      <c r="U1631" s="51"/>
      <c r="V1631" s="51"/>
      <c r="W1631" s="51"/>
      <c r="X1631" s="51"/>
      <c r="Y1631" s="51"/>
      <c r="Z1631" s="51"/>
      <c r="AA1631" s="51"/>
      <c r="AB1631" s="51"/>
      <c r="AC1631" s="51"/>
      <c r="AD1631" s="51"/>
      <c r="AE1631" s="51"/>
      <c r="AF1631" s="51"/>
      <c r="AG1631" s="51"/>
      <c r="AH1631" s="51"/>
      <c r="AI1631" s="51"/>
      <c r="AJ1631" s="51"/>
      <c r="AK1631" s="51"/>
      <c r="AL1631" s="51"/>
      <c r="AM1631" s="51"/>
      <c r="AN1631" s="51"/>
      <c r="AO1631" s="51"/>
      <c r="AP1631" s="51"/>
      <c r="AQ1631" s="51"/>
      <c r="AR1631" s="51"/>
      <c r="AS1631" s="51"/>
      <c r="AT1631" s="51"/>
      <c r="AU1631" s="51"/>
      <c r="AV1631" s="51"/>
      <c r="AW1631" s="51"/>
    </row>
    <row r="1632" spans="1:49" s="31" customFormat="1" ht="15.75" x14ac:dyDescent="0.2">
      <c r="A1632" s="51"/>
      <c r="B1632" s="51"/>
      <c r="C1632" s="51"/>
      <c r="D1632" s="51"/>
      <c r="E1632" s="51"/>
      <c r="F1632" s="51"/>
      <c r="G1632" s="51"/>
      <c r="H1632" s="51"/>
      <c r="I1632" s="51"/>
      <c r="J1632" s="51"/>
      <c r="K1632" s="51"/>
      <c r="L1632" s="51"/>
      <c r="M1632" s="51"/>
      <c r="N1632" s="51"/>
      <c r="O1632" s="51"/>
      <c r="P1632" s="51"/>
      <c r="Q1632" s="51"/>
      <c r="R1632" s="51"/>
      <c r="S1632" s="51"/>
      <c r="T1632" s="51"/>
      <c r="U1632" s="51"/>
      <c r="V1632" s="51"/>
      <c r="W1632" s="51"/>
      <c r="X1632" s="51"/>
      <c r="Y1632" s="51"/>
      <c r="Z1632" s="51"/>
      <c r="AA1632" s="51"/>
      <c r="AB1632" s="51"/>
      <c r="AC1632" s="51"/>
      <c r="AD1632" s="51"/>
      <c r="AE1632" s="51"/>
      <c r="AF1632" s="51"/>
      <c r="AG1632" s="51"/>
      <c r="AH1632" s="51"/>
      <c r="AI1632" s="51"/>
      <c r="AJ1632" s="51"/>
      <c r="AK1632" s="51"/>
      <c r="AL1632" s="51"/>
      <c r="AM1632" s="51"/>
      <c r="AN1632" s="51"/>
      <c r="AO1632" s="51"/>
      <c r="AP1632" s="51"/>
      <c r="AQ1632" s="51"/>
      <c r="AR1632" s="51"/>
      <c r="AS1632" s="51"/>
      <c r="AT1632" s="51"/>
      <c r="AU1632" s="51"/>
      <c r="AV1632" s="51"/>
      <c r="AW1632" s="51"/>
    </row>
    <row r="1633" spans="1:49" s="31" customFormat="1" ht="15.75" x14ac:dyDescent="0.2">
      <c r="A1633" s="51"/>
      <c r="B1633" s="51"/>
      <c r="C1633" s="51"/>
      <c r="D1633" s="51"/>
      <c r="E1633" s="51"/>
      <c r="F1633" s="51"/>
      <c r="G1633" s="51"/>
      <c r="H1633" s="51"/>
      <c r="I1633" s="51"/>
      <c r="J1633" s="51"/>
      <c r="K1633" s="51"/>
      <c r="L1633" s="51"/>
      <c r="M1633" s="51"/>
      <c r="N1633" s="51"/>
      <c r="O1633" s="51"/>
      <c r="P1633" s="51"/>
      <c r="Q1633" s="51"/>
      <c r="R1633" s="51"/>
      <c r="S1633" s="51"/>
      <c r="T1633" s="51"/>
      <c r="U1633" s="51"/>
      <c r="V1633" s="51"/>
      <c r="W1633" s="51"/>
      <c r="X1633" s="51"/>
      <c r="Y1633" s="51"/>
      <c r="Z1633" s="51"/>
      <c r="AA1633" s="51"/>
      <c r="AB1633" s="51"/>
      <c r="AC1633" s="51"/>
      <c r="AD1633" s="51"/>
      <c r="AE1633" s="51"/>
      <c r="AF1633" s="51"/>
      <c r="AG1633" s="51"/>
      <c r="AH1633" s="51"/>
      <c r="AI1633" s="51"/>
      <c r="AJ1633" s="51"/>
      <c r="AK1633" s="51"/>
      <c r="AL1633" s="51"/>
      <c r="AM1633" s="51"/>
      <c r="AN1633" s="51"/>
      <c r="AO1633" s="51"/>
      <c r="AP1633" s="51"/>
      <c r="AQ1633" s="51"/>
      <c r="AR1633" s="51"/>
      <c r="AS1633" s="51"/>
      <c r="AT1633" s="51"/>
      <c r="AU1633" s="51"/>
      <c r="AV1633" s="51"/>
      <c r="AW1633" s="51"/>
    </row>
    <row r="1634" spans="1:49" s="31" customFormat="1" ht="15.75" x14ac:dyDescent="0.2">
      <c r="A1634" s="51"/>
      <c r="B1634" s="51"/>
      <c r="C1634" s="51"/>
      <c r="D1634" s="51"/>
      <c r="E1634" s="51"/>
      <c r="F1634" s="51"/>
      <c r="G1634" s="51"/>
      <c r="H1634" s="51"/>
      <c r="I1634" s="51"/>
      <c r="J1634" s="51"/>
      <c r="K1634" s="51"/>
      <c r="L1634" s="51"/>
      <c r="M1634" s="51"/>
      <c r="N1634" s="51"/>
      <c r="O1634" s="51"/>
      <c r="P1634" s="51"/>
      <c r="Q1634" s="51"/>
      <c r="R1634" s="51"/>
      <c r="S1634" s="51"/>
      <c r="T1634" s="51"/>
      <c r="U1634" s="51"/>
      <c r="V1634" s="51"/>
      <c r="W1634" s="51"/>
      <c r="X1634" s="51"/>
      <c r="Y1634" s="51"/>
      <c r="Z1634" s="51"/>
      <c r="AA1634" s="51"/>
      <c r="AB1634" s="51"/>
      <c r="AC1634" s="51"/>
      <c r="AD1634" s="51"/>
      <c r="AE1634" s="51"/>
      <c r="AF1634" s="51"/>
      <c r="AG1634" s="51"/>
      <c r="AH1634" s="51"/>
      <c r="AI1634" s="51"/>
      <c r="AJ1634" s="51"/>
      <c r="AK1634" s="51"/>
      <c r="AL1634" s="51"/>
      <c r="AM1634" s="51"/>
      <c r="AN1634" s="51"/>
      <c r="AO1634" s="51"/>
      <c r="AP1634" s="51"/>
      <c r="AQ1634" s="51"/>
      <c r="AR1634" s="51"/>
      <c r="AS1634" s="51"/>
      <c r="AT1634" s="51"/>
      <c r="AU1634" s="51"/>
      <c r="AV1634" s="51"/>
      <c r="AW1634" s="51"/>
    </row>
    <row r="1635" spans="1:49" s="31" customFormat="1" ht="15.75" x14ac:dyDescent="0.2">
      <c r="A1635" s="51"/>
      <c r="B1635" s="51"/>
      <c r="C1635" s="51"/>
      <c r="D1635" s="51"/>
      <c r="E1635" s="51"/>
      <c r="F1635" s="51"/>
      <c r="G1635" s="51"/>
      <c r="H1635" s="51"/>
      <c r="I1635" s="51"/>
      <c r="J1635" s="51"/>
      <c r="K1635" s="51"/>
      <c r="L1635" s="51"/>
      <c r="M1635" s="51"/>
      <c r="N1635" s="51"/>
      <c r="O1635" s="51"/>
      <c r="P1635" s="51"/>
      <c r="Q1635" s="51"/>
      <c r="R1635" s="51"/>
      <c r="S1635" s="51"/>
      <c r="T1635" s="51"/>
      <c r="U1635" s="51"/>
      <c r="V1635" s="51"/>
      <c r="W1635" s="51"/>
      <c r="X1635" s="51"/>
      <c r="Y1635" s="51"/>
      <c r="Z1635" s="51"/>
      <c r="AA1635" s="51"/>
      <c r="AB1635" s="51"/>
      <c r="AC1635" s="51"/>
      <c r="AD1635" s="51"/>
      <c r="AE1635" s="51"/>
      <c r="AF1635" s="51"/>
      <c r="AG1635" s="51"/>
      <c r="AH1635" s="51"/>
      <c r="AI1635" s="51"/>
      <c r="AJ1635" s="51"/>
      <c r="AK1635" s="51"/>
      <c r="AL1635" s="51"/>
      <c r="AM1635" s="51"/>
      <c r="AN1635" s="51"/>
      <c r="AO1635" s="51"/>
      <c r="AP1635" s="51"/>
      <c r="AQ1635" s="51"/>
      <c r="AR1635" s="51"/>
      <c r="AS1635" s="51"/>
      <c r="AT1635" s="51"/>
      <c r="AU1635" s="51"/>
      <c r="AV1635" s="51"/>
      <c r="AW1635" s="51"/>
    </row>
    <row r="1636" spans="1:49" s="31" customFormat="1" ht="15.75" x14ac:dyDescent="0.2">
      <c r="A1636" s="51"/>
      <c r="B1636" s="51"/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  <c r="S1636" s="51"/>
      <c r="T1636" s="51"/>
      <c r="U1636" s="51"/>
      <c r="V1636" s="51"/>
      <c r="W1636" s="51"/>
      <c r="X1636" s="51"/>
      <c r="Y1636" s="51"/>
      <c r="Z1636" s="51"/>
      <c r="AA1636" s="51"/>
      <c r="AB1636" s="51"/>
      <c r="AC1636" s="51"/>
      <c r="AD1636" s="51"/>
      <c r="AE1636" s="51"/>
      <c r="AF1636" s="51"/>
      <c r="AG1636" s="51"/>
      <c r="AH1636" s="51"/>
      <c r="AI1636" s="51"/>
      <c r="AJ1636" s="51"/>
      <c r="AK1636" s="51"/>
      <c r="AL1636" s="51"/>
      <c r="AM1636" s="51"/>
      <c r="AN1636" s="51"/>
      <c r="AO1636" s="51"/>
      <c r="AP1636" s="51"/>
      <c r="AQ1636" s="51"/>
      <c r="AR1636" s="51"/>
      <c r="AS1636" s="51"/>
      <c r="AT1636" s="51"/>
      <c r="AU1636" s="51"/>
      <c r="AV1636" s="51"/>
      <c r="AW1636" s="51"/>
    </row>
    <row r="1637" spans="1:49" s="31" customFormat="1" ht="15.75" x14ac:dyDescent="0.2">
      <c r="A1637" s="51"/>
      <c r="B1637" s="51"/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  <c r="S1637" s="51"/>
      <c r="T1637" s="51"/>
      <c r="U1637" s="51"/>
      <c r="V1637" s="51"/>
      <c r="W1637" s="51"/>
      <c r="X1637" s="51"/>
      <c r="Y1637" s="51"/>
      <c r="Z1637" s="51"/>
      <c r="AA1637" s="51"/>
      <c r="AB1637" s="51"/>
      <c r="AC1637" s="51"/>
      <c r="AD1637" s="51"/>
      <c r="AE1637" s="51"/>
      <c r="AF1637" s="51"/>
      <c r="AG1637" s="51"/>
      <c r="AH1637" s="51"/>
      <c r="AI1637" s="51"/>
      <c r="AJ1637" s="51"/>
      <c r="AK1637" s="51"/>
      <c r="AL1637" s="51"/>
      <c r="AM1637" s="51"/>
      <c r="AN1637" s="51"/>
      <c r="AO1637" s="51"/>
      <c r="AP1637" s="51"/>
      <c r="AQ1637" s="51"/>
      <c r="AR1637" s="51"/>
      <c r="AS1637" s="51"/>
      <c r="AT1637" s="51"/>
      <c r="AU1637" s="51"/>
      <c r="AV1637" s="51"/>
      <c r="AW1637" s="51"/>
    </row>
    <row r="1638" spans="1:49" s="31" customFormat="1" ht="15.75" x14ac:dyDescent="0.2">
      <c r="A1638" s="51"/>
      <c r="B1638" s="51"/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  <c r="S1638" s="51"/>
      <c r="T1638" s="51"/>
      <c r="U1638" s="51"/>
      <c r="V1638" s="51"/>
      <c r="W1638" s="51"/>
      <c r="X1638" s="51"/>
      <c r="Y1638" s="51"/>
      <c r="Z1638" s="51"/>
      <c r="AA1638" s="51"/>
      <c r="AB1638" s="51"/>
      <c r="AC1638" s="51"/>
      <c r="AD1638" s="51"/>
      <c r="AE1638" s="51"/>
      <c r="AF1638" s="51"/>
      <c r="AG1638" s="51"/>
      <c r="AH1638" s="51"/>
      <c r="AI1638" s="51"/>
      <c r="AJ1638" s="51"/>
      <c r="AK1638" s="51"/>
      <c r="AL1638" s="51"/>
      <c r="AM1638" s="51"/>
      <c r="AN1638" s="51"/>
      <c r="AO1638" s="51"/>
      <c r="AP1638" s="51"/>
      <c r="AQ1638" s="51"/>
      <c r="AR1638" s="51"/>
      <c r="AS1638" s="51"/>
      <c r="AT1638" s="51"/>
      <c r="AU1638" s="51"/>
      <c r="AV1638" s="51"/>
      <c r="AW1638" s="51"/>
    </row>
    <row r="1639" spans="1:49" s="31" customFormat="1" ht="15.75" x14ac:dyDescent="0.2">
      <c r="A1639" s="51"/>
      <c r="B1639" s="51"/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  <c r="S1639" s="51"/>
      <c r="T1639" s="51"/>
      <c r="U1639" s="51"/>
      <c r="V1639" s="51"/>
      <c r="W1639" s="51"/>
      <c r="X1639" s="51"/>
      <c r="Y1639" s="51"/>
      <c r="Z1639" s="51"/>
      <c r="AA1639" s="51"/>
      <c r="AB1639" s="51"/>
      <c r="AC1639" s="51"/>
      <c r="AD1639" s="51"/>
      <c r="AE1639" s="51"/>
      <c r="AF1639" s="51"/>
      <c r="AG1639" s="51"/>
      <c r="AH1639" s="51"/>
      <c r="AI1639" s="51"/>
      <c r="AJ1639" s="51"/>
      <c r="AK1639" s="51"/>
      <c r="AL1639" s="51"/>
      <c r="AM1639" s="51"/>
      <c r="AN1639" s="51"/>
      <c r="AO1639" s="51"/>
      <c r="AP1639" s="51"/>
      <c r="AQ1639" s="51"/>
      <c r="AR1639" s="51"/>
      <c r="AS1639" s="51"/>
      <c r="AT1639" s="51"/>
      <c r="AU1639" s="51"/>
      <c r="AV1639" s="51"/>
      <c r="AW1639" s="51"/>
    </row>
    <row r="1640" spans="1:49" s="31" customFormat="1" ht="15.75" x14ac:dyDescent="0.2">
      <c r="A1640" s="51"/>
      <c r="B1640" s="51"/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  <c r="S1640" s="51"/>
      <c r="T1640" s="51"/>
      <c r="U1640" s="51"/>
      <c r="V1640" s="51"/>
      <c r="W1640" s="51"/>
      <c r="X1640" s="51"/>
      <c r="Y1640" s="51"/>
      <c r="Z1640" s="51"/>
      <c r="AA1640" s="51"/>
      <c r="AB1640" s="51"/>
      <c r="AC1640" s="51"/>
      <c r="AD1640" s="51"/>
      <c r="AE1640" s="51"/>
      <c r="AF1640" s="51"/>
      <c r="AG1640" s="51"/>
      <c r="AH1640" s="51"/>
      <c r="AI1640" s="51"/>
      <c r="AJ1640" s="51"/>
      <c r="AK1640" s="51"/>
      <c r="AL1640" s="51"/>
      <c r="AM1640" s="51"/>
      <c r="AN1640" s="51"/>
      <c r="AO1640" s="51"/>
      <c r="AP1640" s="51"/>
      <c r="AQ1640" s="51"/>
      <c r="AR1640" s="51"/>
      <c r="AS1640" s="51"/>
      <c r="AT1640" s="51"/>
      <c r="AU1640" s="51"/>
      <c r="AV1640" s="51"/>
      <c r="AW1640" s="51"/>
    </row>
    <row r="1641" spans="1:49" s="31" customFormat="1" ht="15.75" x14ac:dyDescent="0.2">
      <c r="A1641" s="51"/>
      <c r="B1641" s="51"/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  <c r="S1641" s="51"/>
      <c r="T1641" s="51"/>
      <c r="U1641" s="51"/>
      <c r="V1641" s="51"/>
      <c r="W1641" s="51"/>
      <c r="X1641" s="51"/>
      <c r="Y1641" s="51"/>
      <c r="Z1641" s="51"/>
      <c r="AA1641" s="51"/>
      <c r="AB1641" s="51"/>
      <c r="AC1641" s="51"/>
      <c r="AD1641" s="51"/>
      <c r="AE1641" s="51"/>
      <c r="AF1641" s="51"/>
      <c r="AG1641" s="51"/>
      <c r="AH1641" s="51"/>
      <c r="AI1641" s="51"/>
      <c r="AJ1641" s="51"/>
      <c r="AK1641" s="51"/>
      <c r="AL1641" s="51"/>
      <c r="AM1641" s="51"/>
      <c r="AN1641" s="51"/>
      <c r="AO1641" s="51"/>
      <c r="AP1641" s="51"/>
      <c r="AQ1641" s="51"/>
      <c r="AR1641" s="51"/>
      <c r="AS1641" s="51"/>
      <c r="AT1641" s="51"/>
      <c r="AU1641" s="51"/>
      <c r="AV1641" s="51"/>
      <c r="AW1641" s="51"/>
    </row>
    <row r="1642" spans="1:49" s="31" customFormat="1" ht="15.75" x14ac:dyDescent="0.2">
      <c r="A1642" s="51"/>
      <c r="B1642" s="51"/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  <c r="S1642" s="51"/>
      <c r="T1642" s="51"/>
      <c r="U1642" s="51"/>
      <c r="V1642" s="51"/>
      <c r="W1642" s="51"/>
      <c r="X1642" s="51"/>
      <c r="Y1642" s="51"/>
      <c r="Z1642" s="51"/>
      <c r="AA1642" s="51"/>
      <c r="AB1642" s="51"/>
      <c r="AC1642" s="51"/>
      <c r="AD1642" s="51"/>
      <c r="AE1642" s="51"/>
      <c r="AF1642" s="51"/>
      <c r="AG1642" s="51"/>
      <c r="AH1642" s="51"/>
      <c r="AI1642" s="51"/>
      <c r="AJ1642" s="51"/>
      <c r="AK1642" s="51"/>
      <c r="AL1642" s="51"/>
      <c r="AM1642" s="51"/>
      <c r="AN1642" s="51"/>
      <c r="AO1642" s="51"/>
      <c r="AP1642" s="51"/>
      <c r="AQ1642" s="51"/>
      <c r="AR1642" s="51"/>
      <c r="AS1642" s="51"/>
      <c r="AT1642" s="51"/>
      <c r="AU1642" s="51"/>
      <c r="AV1642" s="51"/>
      <c r="AW1642" s="51"/>
    </row>
    <row r="1643" spans="1:49" s="31" customFormat="1" ht="15.75" x14ac:dyDescent="0.2">
      <c r="A1643" s="51"/>
      <c r="B1643" s="51"/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  <c r="S1643" s="51"/>
      <c r="T1643" s="51"/>
      <c r="U1643" s="51"/>
      <c r="V1643" s="51"/>
      <c r="W1643" s="51"/>
      <c r="X1643" s="51"/>
      <c r="Y1643" s="51"/>
      <c r="Z1643" s="51"/>
      <c r="AA1643" s="51"/>
      <c r="AB1643" s="51"/>
      <c r="AC1643" s="51"/>
      <c r="AD1643" s="51"/>
      <c r="AE1643" s="51"/>
      <c r="AF1643" s="51"/>
      <c r="AG1643" s="51"/>
      <c r="AH1643" s="51"/>
      <c r="AI1643" s="51"/>
      <c r="AJ1643" s="51"/>
      <c r="AK1643" s="51"/>
      <c r="AL1643" s="51"/>
      <c r="AM1643" s="51"/>
      <c r="AN1643" s="51"/>
      <c r="AO1643" s="51"/>
      <c r="AP1643" s="51"/>
      <c r="AQ1643" s="51"/>
      <c r="AR1643" s="51"/>
      <c r="AS1643" s="51"/>
      <c r="AT1643" s="51"/>
      <c r="AU1643" s="51"/>
      <c r="AV1643" s="51"/>
      <c r="AW1643" s="51"/>
    </row>
    <row r="1644" spans="1:49" s="31" customFormat="1" ht="15.75" x14ac:dyDescent="0.2">
      <c r="A1644" s="51"/>
      <c r="B1644" s="51"/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  <c r="S1644" s="51"/>
      <c r="T1644" s="51"/>
      <c r="U1644" s="51"/>
      <c r="V1644" s="51"/>
      <c r="W1644" s="51"/>
      <c r="X1644" s="51"/>
      <c r="Y1644" s="51"/>
      <c r="Z1644" s="51"/>
      <c r="AA1644" s="51"/>
      <c r="AB1644" s="51"/>
      <c r="AC1644" s="51"/>
      <c r="AD1644" s="51"/>
      <c r="AE1644" s="51"/>
      <c r="AF1644" s="51"/>
      <c r="AG1644" s="51"/>
      <c r="AH1644" s="51"/>
      <c r="AI1644" s="51"/>
      <c r="AJ1644" s="51"/>
      <c r="AK1644" s="51"/>
      <c r="AL1644" s="51"/>
      <c r="AM1644" s="51"/>
      <c r="AN1644" s="51"/>
      <c r="AO1644" s="51"/>
      <c r="AP1644" s="51"/>
      <c r="AQ1644" s="51"/>
      <c r="AR1644" s="51"/>
      <c r="AS1644" s="51"/>
      <c r="AT1644" s="51"/>
      <c r="AU1644" s="51"/>
      <c r="AV1644" s="51"/>
      <c r="AW1644" s="51"/>
    </row>
    <row r="1645" spans="1:49" s="31" customFormat="1" ht="15.75" x14ac:dyDescent="0.2">
      <c r="A1645" s="51"/>
      <c r="B1645" s="51"/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  <c r="S1645" s="51"/>
      <c r="T1645" s="51"/>
      <c r="U1645" s="51"/>
      <c r="V1645" s="51"/>
      <c r="W1645" s="51"/>
      <c r="X1645" s="51"/>
      <c r="Y1645" s="51"/>
      <c r="Z1645" s="51"/>
      <c r="AA1645" s="51"/>
      <c r="AB1645" s="51"/>
      <c r="AC1645" s="51"/>
      <c r="AD1645" s="51"/>
      <c r="AE1645" s="51"/>
      <c r="AF1645" s="51"/>
      <c r="AG1645" s="51"/>
      <c r="AH1645" s="51"/>
      <c r="AI1645" s="51"/>
      <c r="AJ1645" s="51"/>
      <c r="AK1645" s="51"/>
      <c r="AL1645" s="51"/>
      <c r="AM1645" s="51"/>
      <c r="AN1645" s="51"/>
      <c r="AO1645" s="51"/>
      <c r="AP1645" s="51"/>
      <c r="AQ1645" s="51"/>
      <c r="AR1645" s="51"/>
      <c r="AS1645" s="51"/>
      <c r="AT1645" s="51"/>
      <c r="AU1645" s="51"/>
      <c r="AV1645" s="51"/>
      <c r="AW1645" s="51"/>
    </row>
    <row r="1646" spans="1:49" s="31" customFormat="1" ht="15.75" x14ac:dyDescent="0.2">
      <c r="A1646" s="51"/>
      <c r="B1646" s="51"/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  <c r="S1646" s="51"/>
      <c r="T1646" s="51"/>
      <c r="U1646" s="51"/>
      <c r="V1646" s="51"/>
      <c r="W1646" s="51"/>
      <c r="X1646" s="51"/>
      <c r="Y1646" s="51"/>
      <c r="Z1646" s="51"/>
      <c r="AA1646" s="51"/>
      <c r="AB1646" s="51"/>
      <c r="AC1646" s="51"/>
      <c r="AD1646" s="51"/>
      <c r="AE1646" s="51"/>
      <c r="AF1646" s="51"/>
      <c r="AG1646" s="51"/>
      <c r="AH1646" s="51"/>
      <c r="AI1646" s="51"/>
      <c r="AJ1646" s="51"/>
      <c r="AK1646" s="51"/>
      <c r="AL1646" s="51"/>
      <c r="AM1646" s="51"/>
      <c r="AN1646" s="51"/>
      <c r="AO1646" s="51"/>
      <c r="AP1646" s="51"/>
      <c r="AQ1646" s="51"/>
      <c r="AR1646" s="51"/>
      <c r="AS1646" s="51"/>
      <c r="AT1646" s="51"/>
      <c r="AU1646" s="51"/>
      <c r="AV1646" s="51"/>
      <c r="AW1646" s="51"/>
    </row>
    <row r="1647" spans="1:49" s="31" customFormat="1" ht="15.75" x14ac:dyDescent="0.2">
      <c r="A1647" s="51"/>
      <c r="B1647" s="51"/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  <c r="S1647" s="51"/>
      <c r="T1647" s="51"/>
      <c r="U1647" s="51"/>
      <c r="V1647" s="51"/>
      <c r="W1647" s="51"/>
      <c r="X1647" s="51"/>
      <c r="Y1647" s="51"/>
      <c r="Z1647" s="51"/>
      <c r="AA1647" s="51"/>
      <c r="AB1647" s="51"/>
      <c r="AC1647" s="51"/>
      <c r="AD1647" s="51"/>
      <c r="AE1647" s="51"/>
      <c r="AF1647" s="51"/>
      <c r="AG1647" s="51"/>
      <c r="AH1647" s="51"/>
      <c r="AI1647" s="51"/>
      <c r="AJ1647" s="51"/>
      <c r="AK1647" s="51"/>
      <c r="AL1647" s="51"/>
      <c r="AM1647" s="51"/>
      <c r="AN1647" s="51"/>
      <c r="AO1647" s="51"/>
      <c r="AP1647" s="51"/>
      <c r="AQ1647" s="51"/>
      <c r="AR1647" s="51"/>
      <c r="AS1647" s="51"/>
      <c r="AT1647" s="51"/>
      <c r="AU1647" s="51"/>
      <c r="AV1647" s="51"/>
      <c r="AW1647" s="51"/>
    </row>
    <row r="1648" spans="1:49" s="31" customFormat="1" ht="15.75" x14ac:dyDescent="0.2">
      <c r="A1648" s="51"/>
      <c r="B1648" s="51"/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  <c r="S1648" s="51"/>
      <c r="T1648" s="51"/>
      <c r="U1648" s="51"/>
      <c r="V1648" s="51"/>
      <c r="W1648" s="51"/>
      <c r="X1648" s="51"/>
      <c r="Y1648" s="51"/>
      <c r="Z1648" s="51"/>
      <c r="AA1648" s="51"/>
      <c r="AB1648" s="51"/>
      <c r="AC1648" s="51"/>
      <c r="AD1648" s="51"/>
      <c r="AE1648" s="51"/>
      <c r="AF1648" s="51"/>
      <c r="AG1648" s="51"/>
      <c r="AH1648" s="51"/>
      <c r="AI1648" s="51"/>
      <c r="AJ1648" s="51"/>
      <c r="AK1648" s="51"/>
      <c r="AL1648" s="51"/>
      <c r="AM1648" s="51"/>
      <c r="AN1648" s="51"/>
      <c r="AO1648" s="51"/>
      <c r="AP1648" s="51"/>
      <c r="AQ1648" s="51"/>
      <c r="AR1648" s="51"/>
      <c r="AS1648" s="51"/>
      <c r="AT1648" s="51"/>
      <c r="AU1648" s="51"/>
      <c r="AV1648" s="51"/>
      <c r="AW1648" s="51"/>
    </row>
    <row r="1649" spans="1:49" s="31" customFormat="1" ht="15.75" x14ac:dyDescent="0.2">
      <c r="A1649" s="51"/>
      <c r="B1649" s="51"/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  <c r="S1649" s="51"/>
      <c r="T1649" s="51"/>
      <c r="U1649" s="51"/>
      <c r="V1649" s="51"/>
      <c r="W1649" s="51"/>
      <c r="X1649" s="51"/>
      <c r="Y1649" s="51"/>
      <c r="Z1649" s="51"/>
      <c r="AA1649" s="51"/>
      <c r="AB1649" s="51"/>
      <c r="AC1649" s="51"/>
      <c r="AD1649" s="51"/>
      <c r="AE1649" s="51"/>
      <c r="AF1649" s="51"/>
      <c r="AG1649" s="51"/>
      <c r="AH1649" s="51"/>
      <c r="AI1649" s="51"/>
      <c r="AJ1649" s="51"/>
      <c r="AK1649" s="51"/>
      <c r="AL1649" s="51"/>
      <c r="AM1649" s="51"/>
      <c r="AN1649" s="51"/>
      <c r="AO1649" s="51"/>
      <c r="AP1649" s="51"/>
      <c r="AQ1649" s="51"/>
      <c r="AR1649" s="51"/>
      <c r="AS1649" s="51"/>
      <c r="AT1649" s="51"/>
      <c r="AU1649" s="51"/>
      <c r="AV1649" s="51"/>
      <c r="AW1649" s="51"/>
    </row>
    <row r="1650" spans="1:49" s="31" customFormat="1" ht="15.75" x14ac:dyDescent="0.2">
      <c r="A1650" s="51"/>
      <c r="B1650" s="51"/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  <c r="S1650" s="51"/>
      <c r="T1650" s="51"/>
      <c r="U1650" s="51"/>
      <c r="V1650" s="51"/>
      <c r="W1650" s="51"/>
      <c r="X1650" s="51"/>
      <c r="Y1650" s="51"/>
      <c r="Z1650" s="51"/>
      <c r="AA1650" s="51"/>
      <c r="AB1650" s="51"/>
      <c r="AC1650" s="51"/>
      <c r="AD1650" s="51"/>
      <c r="AE1650" s="51"/>
      <c r="AF1650" s="51"/>
      <c r="AG1650" s="51"/>
      <c r="AH1650" s="51"/>
      <c r="AI1650" s="51"/>
      <c r="AJ1650" s="51"/>
      <c r="AK1650" s="51"/>
      <c r="AL1650" s="51"/>
      <c r="AM1650" s="51"/>
      <c r="AN1650" s="51"/>
      <c r="AO1650" s="51"/>
      <c r="AP1650" s="51"/>
      <c r="AQ1650" s="51"/>
      <c r="AR1650" s="51"/>
      <c r="AS1650" s="51"/>
      <c r="AT1650" s="51"/>
      <c r="AU1650" s="51"/>
      <c r="AV1650" s="51"/>
      <c r="AW1650" s="51"/>
    </row>
    <row r="1651" spans="1:49" s="31" customFormat="1" ht="15.75" x14ac:dyDescent="0.2">
      <c r="A1651" s="51"/>
      <c r="B1651" s="51"/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  <c r="S1651" s="51"/>
      <c r="T1651" s="51"/>
      <c r="U1651" s="51"/>
      <c r="V1651" s="51"/>
      <c r="W1651" s="51"/>
      <c r="X1651" s="51"/>
      <c r="Y1651" s="51"/>
      <c r="Z1651" s="51"/>
      <c r="AA1651" s="51"/>
      <c r="AB1651" s="51"/>
      <c r="AC1651" s="51"/>
      <c r="AD1651" s="51"/>
      <c r="AE1651" s="51"/>
      <c r="AF1651" s="51"/>
      <c r="AG1651" s="51"/>
      <c r="AH1651" s="51"/>
      <c r="AI1651" s="51"/>
      <c r="AJ1651" s="51"/>
      <c r="AK1651" s="51"/>
      <c r="AL1651" s="51"/>
      <c r="AM1651" s="51"/>
      <c r="AN1651" s="51"/>
      <c r="AO1651" s="51"/>
      <c r="AP1651" s="51"/>
      <c r="AQ1651" s="51"/>
      <c r="AR1651" s="51"/>
      <c r="AS1651" s="51"/>
      <c r="AT1651" s="51"/>
      <c r="AU1651" s="51"/>
      <c r="AV1651" s="51"/>
      <c r="AW1651" s="51"/>
    </row>
    <row r="1652" spans="1:49" s="31" customFormat="1" ht="15.75" x14ac:dyDescent="0.2">
      <c r="A1652" s="51"/>
      <c r="B1652" s="51"/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  <c r="S1652" s="51"/>
      <c r="T1652" s="51"/>
      <c r="U1652" s="51"/>
      <c r="V1652" s="51"/>
      <c r="W1652" s="51"/>
      <c r="X1652" s="51"/>
      <c r="Y1652" s="51"/>
      <c r="Z1652" s="51"/>
      <c r="AA1652" s="51"/>
      <c r="AB1652" s="51"/>
      <c r="AC1652" s="51"/>
      <c r="AD1652" s="51"/>
      <c r="AE1652" s="51"/>
      <c r="AF1652" s="51"/>
      <c r="AG1652" s="51"/>
      <c r="AH1652" s="51"/>
      <c r="AI1652" s="51"/>
      <c r="AJ1652" s="51"/>
      <c r="AK1652" s="51"/>
      <c r="AL1652" s="51"/>
      <c r="AM1652" s="51"/>
      <c r="AN1652" s="51"/>
      <c r="AO1652" s="51"/>
      <c r="AP1652" s="51"/>
      <c r="AQ1652" s="51"/>
      <c r="AR1652" s="51"/>
      <c r="AS1652" s="51"/>
      <c r="AT1652" s="51"/>
      <c r="AU1652" s="51"/>
      <c r="AV1652" s="51"/>
      <c r="AW1652" s="51"/>
    </row>
    <row r="1653" spans="1:49" s="31" customFormat="1" ht="15.75" x14ac:dyDescent="0.2">
      <c r="A1653" s="51"/>
      <c r="B1653" s="51"/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  <c r="S1653" s="51"/>
      <c r="T1653" s="51"/>
      <c r="U1653" s="51"/>
      <c r="V1653" s="51"/>
      <c r="W1653" s="51"/>
      <c r="X1653" s="51"/>
      <c r="Y1653" s="51"/>
      <c r="Z1653" s="51"/>
      <c r="AA1653" s="51"/>
      <c r="AB1653" s="51"/>
      <c r="AC1653" s="51"/>
      <c r="AD1653" s="51"/>
      <c r="AE1653" s="51"/>
      <c r="AF1653" s="51"/>
      <c r="AG1653" s="51"/>
      <c r="AH1653" s="51"/>
      <c r="AI1653" s="51"/>
      <c r="AJ1653" s="51"/>
      <c r="AK1653" s="51"/>
      <c r="AL1653" s="51"/>
      <c r="AM1653" s="51"/>
      <c r="AN1653" s="51"/>
      <c r="AO1653" s="51"/>
      <c r="AP1653" s="51"/>
      <c r="AQ1653" s="51"/>
      <c r="AR1653" s="51"/>
      <c r="AS1653" s="51"/>
      <c r="AT1653" s="51"/>
      <c r="AU1653" s="51"/>
      <c r="AV1653" s="51"/>
      <c r="AW1653" s="51"/>
    </row>
    <row r="1654" spans="1:49" s="31" customFormat="1" ht="15.75" x14ac:dyDescent="0.2">
      <c r="A1654" s="51"/>
      <c r="B1654" s="51"/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  <c r="S1654" s="51"/>
      <c r="T1654" s="51"/>
      <c r="U1654" s="51"/>
      <c r="V1654" s="51"/>
      <c r="W1654" s="51"/>
      <c r="X1654" s="51"/>
      <c r="Y1654" s="51"/>
      <c r="Z1654" s="51"/>
      <c r="AA1654" s="51"/>
      <c r="AB1654" s="51"/>
      <c r="AC1654" s="51"/>
      <c r="AD1654" s="51"/>
      <c r="AE1654" s="51"/>
      <c r="AF1654" s="51"/>
      <c r="AG1654" s="51"/>
      <c r="AH1654" s="51"/>
      <c r="AI1654" s="51"/>
      <c r="AJ1654" s="51"/>
      <c r="AK1654" s="51"/>
      <c r="AL1654" s="51"/>
      <c r="AM1654" s="51"/>
      <c r="AN1654" s="51"/>
      <c r="AO1654" s="51"/>
      <c r="AP1654" s="51"/>
      <c r="AQ1654" s="51"/>
      <c r="AR1654" s="51"/>
      <c r="AS1654" s="51"/>
      <c r="AT1654" s="51"/>
      <c r="AU1654" s="51"/>
      <c r="AV1654" s="51"/>
      <c r="AW1654" s="51"/>
    </row>
    <row r="1655" spans="1:49" s="31" customFormat="1" ht="15.75" x14ac:dyDescent="0.2">
      <c r="A1655" s="51"/>
      <c r="B1655" s="51"/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  <c r="S1655" s="51"/>
      <c r="T1655" s="51"/>
      <c r="U1655" s="51"/>
      <c r="V1655" s="51"/>
      <c r="W1655" s="51"/>
      <c r="X1655" s="51"/>
      <c r="Y1655" s="51"/>
      <c r="Z1655" s="51"/>
      <c r="AA1655" s="51"/>
      <c r="AB1655" s="51"/>
      <c r="AC1655" s="51"/>
      <c r="AD1655" s="51"/>
      <c r="AE1655" s="51"/>
      <c r="AF1655" s="51"/>
      <c r="AG1655" s="51"/>
      <c r="AH1655" s="51"/>
      <c r="AI1655" s="51"/>
      <c r="AJ1655" s="51"/>
      <c r="AK1655" s="51"/>
      <c r="AL1655" s="51"/>
      <c r="AM1655" s="51"/>
      <c r="AN1655" s="51"/>
      <c r="AO1655" s="51"/>
      <c r="AP1655" s="51"/>
      <c r="AQ1655" s="51"/>
      <c r="AR1655" s="51"/>
      <c r="AS1655" s="51"/>
      <c r="AT1655" s="51"/>
      <c r="AU1655" s="51"/>
      <c r="AV1655" s="51"/>
      <c r="AW1655" s="51"/>
    </row>
    <row r="1656" spans="1:49" s="31" customFormat="1" ht="15.75" x14ac:dyDescent="0.2">
      <c r="A1656" s="51"/>
      <c r="B1656" s="51"/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  <c r="S1656" s="51"/>
      <c r="T1656" s="51"/>
      <c r="U1656" s="51"/>
      <c r="V1656" s="51"/>
      <c r="W1656" s="51"/>
      <c r="X1656" s="51"/>
      <c r="Y1656" s="51"/>
      <c r="Z1656" s="51"/>
      <c r="AA1656" s="51"/>
      <c r="AB1656" s="51"/>
      <c r="AC1656" s="51"/>
      <c r="AD1656" s="51"/>
      <c r="AE1656" s="51"/>
      <c r="AF1656" s="51"/>
      <c r="AG1656" s="51"/>
      <c r="AH1656" s="51"/>
      <c r="AI1656" s="51"/>
      <c r="AJ1656" s="51"/>
      <c r="AK1656" s="51"/>
      <c r="AL1656" s="51"/>
      <c r="AM1656" s="51"/>
      <c r="AN1656" s="51"/>
      <c r="AO1656" s="51"/>
      <c r="AP1656" s="51"/>
      <c r="AQ1656" s="51"/>
      <c r="AR1656" s="51"/>
      <c r="AS1656" s="51"/>
      <c r="AT1656" s="51"/>
      <c r="AU1656" s="51"/>
      <c r="AV1656" s="51"/>
      <c r="AW1656" s="51"/>
    </row>
    <row r="1657" spans="1:49" s="31" customFormat="1" ht="15.75" x14ac:dyDescent="0.2">
      <c r="A1657" s="51"/>
      <c r="B1657" s="51"/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  <c r="S1657" s="51"/>
      <c r="T1657" s="51"/>
      <c r="U1657" s="51"/>
      <c r="V1657" s="51"/>
      <c r="W1657" s="51"/>
      <c r="X1657" s="51"/>
      <c r="Y1657" s="51"/>
      <c r="Z1657" s="51"/>
      <c r="AA1657" s="51"/>
      <c r="AB1657" s="51"/>
      <c r="AC1657" s="51"/>
      <c r="AD1657" s="51"/>
      <c r="AE1657" s="51"/>
      <c r="AF1657" s="51"/>
      <c r="AG1657" s="51"/>
      <c r="AH1657" s="51"/>
      <c r="AI1657" s="51"/>
      <c r="AJ1657" s="51"/>
      <c r="AK1657" s="51"/>
      <c r="AL1657" s="51"/>
      <c r="AM1657" s="51"/>
      <c r="AN1657" s="51"/>
      <c r="AO1657" s="51"/>
      <c r="AP1657" s="51"/>
      <c r="AQ1657" s="51"/>
      <c r="AR1657" s="51"/>
      <c r="AS1657" s="51"/>
      <c r="AT1657" s="51"/>
      <c r="AU1657" s="51"/>
      <c r="AV1657" s="51"/>
      <c r="AW1657" s="51"/>
    </row>
    <row r="1658" spans="1:49" s="31" customFormat="1" ht="15.75" x14ac:dyDescent="0.2">
      <c r="A1658" s="51"/>
      <c r="B1658" s="51"/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  <c r="S1658" s="51"/>
      <c r="T1658" s="51"/>
      <c r="U1658" s="51"/>
      <c r="V1658" s="51"/>
      <c r="W1658" s="51"/>
      <c r="X1658" s="51"/>
      <c r="Y1658" s="51"/>
      <c r="Z1658" s="51"/>
      <c r="AA1658" s="51"/>
      <c r="AB1658" s="51"/>
      <c r="AC1658" s="51"/>
      <c r="AD1658" s="51"/>
      <c r="AE1658" s="51"/>
      <c r="AF1658" s="51"/>
      <c r="AG1658" s="51"/>
      <c r="AH1658" s="51"/>
      <c r="AI1658" s="51"/>
      <c r="AJ1658" s="51"/>
      <c r="AK1658" s="51"/>
      <c r="AL1658" s="51"/>
      <c r="AM1658" s="51"/>
      <c r="AN1658" s="51"/>
      <c r="AO1658" s="51"/>
      <c r="AP1658" s="51"/>
      <c r="AQ1658" s="51"/>
      <c r="AR1658" s="51"/>
      <c r="AS1658" s="51"/>
      <c r="AT1658" s="51"/>
      <c r="AU1658" s="51"/>
      <c r="AV1658" s="51"/>
      <c r="AW1658" s="51"/>
    </row>
    <row r="1659" spans="1:49" s="31" customFormat="1" ht="15.75" x14ac:dyDescent="0.2">
      <c r="A1659" s="51"/>
      <c r="B1659" s="51"/>
      <c r="C1659" s="51"/>
      <c r="D1659" s="51"/>
      <c r="E1659" s="51"/>
      <c r="F1659" s="51"/>
      <c r="G1659" s="51"/>
      <c r="H1659" s="51"/>
      <c r="I1659" s="51"/>
      <c r="J1659" s="51"/>
      <c r="K1659" s="51"/>
      <c r="L1659" s="51"/>
      <c r="M1659" s="51"/>
      <c r="N1659" s="51"/>
      <c r="O1659" s="51"/>
      <c r="P1659" s="51"/>
      <c r="Q1659" s="51"/>
      <c r="R1659" s="51"/>
      <c r="S1659" s="51"/>
      <c r="T1659" s="51"/>
      <c r="U1659" s="51"/>
      <c r="V1659" s="51"/>
      <c r="W1659" s="51"/>
      <c r="X1659" s="51"/>
      <c r="Y1659" s="51"/>
      <c r="Z1659" s="51"/>
      <c r="AA1659" s="51"/>
      <c r="AB1659" s="51"/>
      <c r="AC1659" s="51"/>
      <c r="AD1659" s="51"/>
      <c r="AE1659" s="51"/>
      <c r="AF1659" s="51"/>
      <c r="AG1659" s="51"/>
      <c r="AH1659" s="51"/>
      <c r="AI1659" s="51"/>
      <c r="AJ1659" s="51"/>
      <c r="AK1659" s="51"/>
      <c r="AL1659" s="51"/>
      <c r="AM1659" s="51"/>
      <c r="AN1659" s="51"/>
      <c r="AO1659" s="51"/>
      <c r="AP1659" s="51"/>
      <c r="AQ1659" s="51"/>
      <c r="AR1659" s="51"/>
      <c r="AS1659" s="51"/>
      <c r="AT1659" s="51"/>
      <c r="AU1659" s="51"/>
      <c r="AV1659" s="51"/>
      <c r="AW1659" s="51"/>
    </row>
    <row r="1670" spans="1:49" s="31" customFormat="1" ht="15.75" x14ac:dyDescent="0.2">
      <c r="A1670" s="51"/>
      <c r="B1670" s="51"/>
      <c r="C1670" s="51"/>
      <c r="D1670" s="51"/>
      <c r="E1670" s="51"/>
      <c r="F1670" s="51"/>
      <c r="G1670" s="51"/>
      <c r="H1670" s="51"/>
      <c r="I1670" s="51"/>
      <c r="J1670" s="51"/>
      <c r="K1670" s="51"/>
      <c r="L1670" s="51"/>
      <c r="M1670" s="51"/>
      <c r="N1670" s="51"/>
      <c r="O1670" s="51"/>
      <c r="P1670" s="51"/>
      <c r="Q1670" s="51"/>
      <c r="R1670" s="51"/>
      <c r="S1670" s="51"/>
      <c r="T1670" s="51"/>
      <c r="U1670" s="51"/>
      <c r="V1670" s="51"/>
      <c r="W1670" s="51"/>
      <c r="X1670" s="51"/>
      <c r="Y1670" s="51"/>
      <c r="Z1670" s="51"/>
      <c r="AA1670" s="51"/>
      <c r="AB1670" s="51"/>
      <c r="AC1670" s="51"/>
      <c r="AD1670" s="51"/>
      <c r="AE1670" s="51"/>
      <c r="AF1670" s="51"/>
      <c r="AG1670" s="51"/>
      <c r="AH1670" s="51"/>
      <c r="AI1670" s="51"/>
      <c r="AJ1670" s="51"/>
      <c r="AK1670" s="51"/>
      <c r="AL1670" s="51"/>
      <c r="AM1670" s="51"/>
      <c r="AN1670" s="51"/>
      <c r="AO1670" s="51"/>
      <c r="AP1670" s="51"/>
      <c r="AQ1670" s="51"/>
      <c r="AR1670" s="51"/>
      <c r="AS1670" s="51"/>
      <c r="AT1670" s="51"/>
      <c r="AU1670" s="51"/>
      <c r="AV1670" s="51"/>
      <c r="AW1670" s="51"/>
    </row>
    <row r="1671" spans="1:49" s="31" customFormat="1" ht="15.75" x14ac:dyDescent="0.2">
      <c r="A1671" s="51"/>
      <c r="B1671" s="51"/>
      <c r="C1671" s="51"/>
      <c r="D1671" s="51"/>
      <c r="E1671" s="51"/>
      <c r="F1671" s="51"/>
      <c r="G1671" s="51"/>
      <c r="H1671" s="51"/>
      <c r="I1671" s="51"/>
      <c r="J1671" s="51"/>
      <c r="K1671" s="51"/>
      <c r="L1671" s="51"/>
      <c r="M1671" s="51"/>
      <c r="N1671" s="51"/>
      <c r="O1671" s="51"/>
      <c r="P1671" s="51"/>
      <c r="Q1671" s="51"/>
      <c r="R1671" s="51"/>
      <c r="S1671" s="51"/>
      <c r="T1671" s="51"/>
      <c r="U1671" s="51"/>
      <c r="V1671" s="51"/>
      <c r="W1671" s="51"/>
      <c r="X1671" s="51"/>
      <c r="Y1671" s="51"/>
      <c r="Z1671" s="51"/>
      <c r="AA1671" s="51"/>
      <c r="AB1671" s="51"/>
      <c r="AC1671" s="51"/>
      <c r="AD1671" s="51"/>
      <c r="AE1671" s="51"/>
      <c r="AF1671" s="51"/>
      <c r="AG1671" s="51"/>
      <c r="AH1671" s="51"/>
      <c r="AI1671" s="51"/>
      <c r="AJ1671" s="51"/>
      <c r="AK1671" s="51"/>
      <c r="AL1671" s="51"/>
      <c r="AM1671" s="51"/>
      <c r="AN1671" s="51"/>
      <c r="AO1671" s="51"/>
      <c r="AP1671" s="51"/>
      <c r="AQ1671" s="51"/>
      <c r="AR1671" s="51"/>
      <c r="AS1671" s="51"/>
      <c r="AT1671" s="51"/>
      <c r="AU1671" s="51"/>
      <c r="AV1671" s="51"/>
      <c r="AW1671" s="51"/>
    </row>
    <row r="1998" spans="1:49" s="31" customFormat="1" ht="15.75" x14ac:dyDescent="0.2">
      <c r="A1998" s="51"/>
      <c r="B1998" s="51"/>
      <c r="C1998" s="51"/>
      <c r="D1998" s="51"/>
      <c r="E1998" s="51"/>
      <c r="F1998" s="51"/>
      <c r="G1998" s="51"/>
      <c r="H1998" s="51"/>
      <c r="I1998" s="51"/>
      <c r="J1998" s="51"/>
      <c r="K1998" s="51"/>
      <c r="L1998" s="51"/>
      <c r="M1998" s="51"/>
      <c r="N1998" s="51"/>
      <c r="O1998" s="51"/>
      <c r="P1998" s="51"/>
      <c r="Q1998" s="51"/>
      <c r="R1998" s="51"/>
      <c r="S1998" s="51"/>
      <c r="T1998" s="51"/>
      <c r="U1998" s="51"/>
      <c r="V1998" s="51"/>
      <c r="W1998" s="51"/>
      <c r="X1998" s="51"/>
      <c r="Y1998" s="51"/>
      <c r="Z1998" s="51"/>
      <c r="AA1998" s="51"/>
      <c r="AB1998" s="51"/>
      <c r="AC1998" s="51"/>
      <c r="AD1998" s="51"/>
      <c r="AE1998" s="51"/>
      <c r="AF1998" s="51"/>
      <c r="AG1998" s="51"/>
      <c r="AH1998" s="51"/>
      <c r="AI1998" s="51"/>
      <c r="AJ1998" s="51"/>
      <c r="AK1998" s="51"/>
      <c r="AL1998" s="51"/>
      <c r="AM1998" s="51"/>
      <c r="AN1998" s="51"/>
      <c r="AO1998" s="51"/>
      <c r="AP1998" s="51"/>
      <c r="AQ1998" s="51"/>
      <c r="AR1998" s="51"/>
      <c r="AS1998" s="51"/>
      <c r="AT1998" s="51"/>
      <c r="AU1998" s="51"/>
      <c r="AV1998" s="51"/>
      <c r="AW1998" s="51"/>
    </row>
    <row r="1999" spans="1:49" s="31" customFormat="1" ht="15.75" x14ac:dyDescent="0.2">
      <c r="A1999" s="51"/>
      <c r="B1999" s="51"/>
      <c r="C1999" s="51"/>
      <c r="D1999" s="51"/>
      <c r="E1999" s="51"/>
      <c r="F1999" s="51"/>
      <c r="G1999" s="51"/>
      <c r="H1999" s="51"/>
      <c r="I1999" s="51"/>
      <c r="J1999" s="51"/>
      <c r="K1999" s="51"/>
      <c r="L1999" s="51"/>
      <c r="M1999" s="51"/>
      <c r="N1999" s="51"/>
      <c r="O1999" s="51"/>
      <c r="P1999" s="51"/>
      <c r="Q1999" s="51"/>
      <c r="R1999" s="51"/>
      <c r="S1999" s="51"/>
      <c r="T1999" s="51"/>
      <c r="U1999" s="51"/>
      <c r="V1999" s="51"/>
      <c r="W1999" s="51"/>
      <c r="X1999" s="51"/>
      <c r="Y1999" s="51"/>
      <c r="Z1999" s="51"/>
      <c r="AA1999" s="51"/>
      <c r="AB1999" s="51"/>
      <c r="AC1999" s="51"/>
      <c r="AD1999" s="51"/>
      <c r="AE1999" s="51"/>
      <c r="AF1999" s="51"/>
      <c r="AG1999" s="51"/>
      <c r="AH1999" s="51"/>
      <c r="AI1999" s="51"/>
      <c r="AJ1999" s="51"/>
      <c r="AK1999" s="51"/>
      <c r="AL1999" s="51"/>
      <c r="AM1999" s="51"/>
      <c r="AN1999" s="51"/>
      <c r="AO1999" s="51"/>
      <c r="AP1999" s="51"/>
      <c r="AQ1999" s="51"/>
      <c r="AR1999" s="51"/>
      <c r="AS1999" s="51"/>
      <c r="AT1999" s="51"/>
      <c r="AU1999" s="51"/>
      <c r="AV1999" s="51"/>
      <c r="AW1999" s="51"/>
    </row>
    <row r="2000" spans="1:49" s="31" customFormat="1" ht="15.75" x14ac:dyDescent="0.2">
      <c r="A2000" s="51"/>
      <c r="B2000" s="51"/>
      <c r="C2000" s="51"/>
      <c r="D2000" s="51"/>
      <c r="E2000" s="51"/>
      <c r="F2000" s="51"/>
      <c r="G2000" s="51"/>
      <c r="H2000" s="51"/>
      <c r="I2000" s="51"/>
      <c r="J2000" s="51"/>
      <c r="K2000" s="51"/>
      <c r="L2000" s="51"/>
      <c r="M2000" s="51"/>
      <c r="N2000" s="51"/>
      <c r="O2000" s="51"/>
      <c r="P2000" s="51"/>
      <c r="Q2000" s="51"/>
      <c r="R2000" s="51"/>
      <c r="S2000" s="51"/>
      <c r="T2000" s="51"/>
      <c r="U2000" s="51"/>
      <c r="V2000" s="51"/>
      <c r="W2000" s="51"/>
      <c r="X2000" s="51"/>
      <c r="Y2000" s="51"/>
      <c r="Z2000" s="51"/>
      <c r="AA2000" s="51"/>
      <c r="AB2000" s="51"/>
      <c r="AC2000" s="51"/>
      <c r="AD2000" s="51"/>
      <c r="AE2000" s="51"/>
      <c r="AF2000" s="51"/>
      <c r="AG2000" s="51"/>
      <c r="AH2000" s="51"/>
      <c r="AI2000" s="51"/>
      <c r="AJ2000" s="51"/>
      <c r="AK2000" s="51"/>
      <c r="AL2000" s="51"/>
      <c r="AM2000" s="51"/>
      <c r="AN2000" s="51"/>
      <c r="AO2000" s="51"/>
      <c r="AP2000" s="51"/>
      <c r="AQ2000" s="51"/>
      <c r="AR2000" s="51"/>
      <c r="AS2000" s="51"/>
      <c r="AT2000" s="51"/>
      <c r="AU2000" s="51"/>
      <c r="AV2000" s="51"/>
      <c r="AW2000" s="51"/>
    </row>
    <row r="2001" spans="1:49" s="31" customFormat="1" ht="15.75" x14ac:dyDescent="0.2">
      <c r="A2001" s="51"/>
      <c r="B2001" s="51"/>
      <c r="C2001" s="51"/>
      <c r="D2001" s="51"/>
      <c r="E2001" s="51"/>
      <c r="F2001" s="51"/>
      <c r="G2001" s="51"/>
      <c r="H2001" s="51"/>
      <c r="I2001" s="51"/>
      <c r="J2001" s="51"/>
      <c r="K2001" s="51"/>
      <c r="L2001" s="51"/>
      <c r="M2001" s="51"/>
      <c r="N2001" s="51"/>
      <c r="O2001" s="51"/>
      <c r="P2001" s="51"/>
      <c r="Q2001" s="51"/>
      <c r="R2001" s="51"/>
      <c r="S2001" s="51"/>
      <c r="T2001" s="51"/>
      <c r="U2001" s="51"/>
      <c r="V2001" s="51"/>
      <c r="W2001" s="51"/>
      <c r="X2001" s="51"/>
      <c r="Y2001" s="51"/>
      <c r="Z2001" s="51"/>
      <c r="AA2001" s="51"/>
      <c r="AB2001" s="51"/>
      <c r="AC2001" s="51"/>
      <c r="AD2001" s="51"/>
      <c r="AE2001" s="51"/>
      <c r="AF2001" s="51"/>
      <c r="AG2001" s="51"/>
      <c r="AH2001" s="51"/>
      <c r="AI2001" s="51"/>
      <c r="AJ2001" s="51"/>
      <c r="AK2001" s="51"/>
      <c r="AL2001" s="51"/>
      <c r="AM2001" s="51"/>
      <c r="AN2001" s="51"/>
      <c r="AO2001" s="51"/>
      <c r="AP2001" s="51"/>
      <c r="AQ2001" s="51"/>
      <c r="AR2001" s="51"/>
      <c r="AS2001" s="51"/>
      <c r="AT2001" s="51"/>
      <c r="AU2001" s="51"/>
      <c r="AV2001" s="51"/>
      <c r="AW2001" s="51"/>
    </row>
    <row r="2002" spans="1:49" s="31" customFormat="1" ht="15.75" x14ac:dyDescent="0.2">
      <c r="A2002" s="51"/>
      <c r="B2002" s="51"/>
      <c r="C2002" s="51"/>
      <c r="D2002" s="51"/>
      <c r="E2002" s="51"/>
      <c r="F2002" s="51"/>
      <c r="G2002" s="51"/>
      <c r="H2002" s="51"/>
      <c r="I2002" s="51"/>
      <c r="J2002" s="51"/>
      <c r="K2002" s="51"/>
      <c r="L2002" s="51"/>
      <c r="M2002" s="51"/>
      <c r="N2002" s="51"/>
      <c r="O2002" s="51"/>
      <c r="P2002" s="51"/>
      <c r="Q2002" s="51"/>
      <c r="R2002" s="51"/>
      <c r="S2002" s="51"/>
      <c r="T2002" s="51"/>
      <c r="U2002" s="51"/>
      <c r="V2002" s="51"/>
      <c r="W2002" s="51"/>
      <c r="X2002" s="51"/>
      <c r="Y2002" s="51"/>
      <c r="Z2002" s="51"/>
      <c r="AA2002" s="51"/>
      <c r="AB2002" s="51"/>
      <c r="AC2002" s="51"/>
      <c r="AD2002" s="51"/>
      <c r="AE2002" s="51"/>
      <c r="AF2002" s="51"/>
      <c r="AG2002" s="51"/>
      <c r="AH2002" s="51"/>
      <c r="AI2002" s="51"/>
      <c r="AJ2002" s="51"/>
      <c r="AK2002" s="51"/>
      <c r="AL2002" s="51"/>
      <c r="AM2002" s="51"/>
      <c r="AN2002" s="51"/>
      <c r="AO2002" s="51"/>
      <c r="AP2002" s="51"/>
      <c r="AQ2002" s="51"/>
      <c r="AR2002" s="51"/>
      <c r="AS2002" s="51"/>
      <c r="AT2002" s="51"/>
      <c r="AU2002" s="51"/>
      <c r="AV2002" s="51"/>
      <c r="AW2002" s="51"/>
    </row>
    <row r="2003" spans="1:49" s="31" customFormat="1" ht="15.75" x14ac:dyDescent="0.2">
      <c r="A2003" s="51"/>
      <c r="B2003" s="51"/>
      <c r="C2003" s="51"/>
      <c r="D2003" s="51"/>
      <c r="E2003" s="51"/>
      <c r="F2003" s="51"/>
      <c r="G2003" s="51"/>
      <c r="H2003" s="51"/>
      <c r="I2003" s="51"/>
      <c r="J2003" s="51"/>
      <c r="K2003" s="51"/>
      <c r="L2003" s="51"/>
      <c r="M2003" s="51"/>
      <c r="N2003" s="51"/>
      <c r="O2003" s="51"/>
      <c r="P2003" s="51"/>
      <c r="Q2003" s="51"/>
      <c r="R2003" s="51"/>
      <c r="S2003" s="51"/>
      <c r="T2003" s="51"/>
      <c r="U2003" s="51"/>
      <c r="V2003" s="51"/>
      <c r="W2003" s="51"/>
      <c r="X2003" s="51"/>
      <c r="Y2003" s="51"/>
      <c r="Z2003" s="51"/>
      <c r="AA2003" s="51"/>
      <c r="AB2003" s="51"/>
      <c r="AC2003" s="51"/>
      <c r="AD2003" s="51"/>
      <c r="AE2003" s="51"/>
      <c r="AF2003" s="51"/>
      <c r="AG2003" s="51"/>
      <c r="AH2003" s="51"/>
      <c r="AI2003" s="51"/>
      <c r="AJ2003" s="51"/>
      <c r="AK2003" s="51"/>
      <c r="AL2003" s="51"/>
      <c r="AM2003" s="51"/>
      <c r="AN2003" s="51"/>
      <c r="AO2003" s="51"/>
      <c r="AP2003" s="51"/>
      <c r="AQ2003" s="51"/>
      <c r="AR2003" s="51"/>
      <c r="AS2003" s="51"/>
      <c r="AT2003" s="51"/>
      <c r="AU2003" s="51"/>
      <c r="AV2003" s="51"/>
      <c r="AW2003" s="51"/>
    </row>
    <row r="2004" spans="1:49" s="31" customFormat="1" ht="15.75" x14ac:dyDescent="0.2">
      <c r="A2004" s="51"/>
      <c r="B2004" s="51"/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  <c r="S2004" s="51"/>
      <c r="T2004" s="51"/>
      <c r="U2004" s="51"/>
      <c r="V2004" s="51"/>
      <c r="W2004" s="51"/>
      <c r="X2004" s="51"/>
      <c r="Y2004" s="51"/>
      <c r="Z2004" s="51"/>
      <c r="AA2004" s="51"/>
      <c r="AB2004" s="51"/>
      <c r="AC2004" s="51"/>
      <c r="AD2004" s="51"/>
      <c r="AE2004" s="51"/>
      <c r="AF2004" s="51"/>
      <c r="AG2004" s="51"/>
      <c r="AH2004" s="51"/>
      <c r="AI2004" s="51"/>
      <c r="AJ2004" s="51"/>
      <c r="AK2004" s="51"/>
      <c r="AL2004" s="51"/>
      <c r="AM2004" s="51"/>
      <c r="AN2004" s="51"/>
      <c r="AO2004" s="51"/>
      <c r="AP2004" s="51"/>
      <c r="AQ2004" s="51"/>
      <c r="AR2004" s="51"/>
      <c r="AS2004" s="51"/>
      <c r="AT2004" s="51"/>
      <c r="AU2004" s="51"/>
      <c r="AV2004" s="51"/>
      <c r="AW2004" s="51"/>
    </row>
    <row r="2005" spans="1:49" s="31" customFormat="1" ht="15.75" x14ac:dyDescent="0.2">
      <c r="A2005" s="51"/>
      <c r="B2005" s="51"/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  <c r="S2005" s="51"/>
      <c r="T2005" s="51"/>
      <c r="U2005" s="51"/>
      <c r="V2005" s="51"/>
      <c r="W2005" s="51"/>
      <c r="X2005" s="51"/>
      <c r="Y2005" s="51"/>
      <c r="Z2005" s="51"/>
      <c r="AA2005" s="51"/>
      <c r="AB2005" s="51"/>
      <c r="AC2005" s="51"/>
      <c r="AD2005" s="51"/>
      <c r="AE2005" s="51"/>
      <c r="AF2005" s="51"/>
      <c r="AG2005" s="51"/>
      <c r="AH2005" s="51"/>
      <c r="AI2005" s="51"/>
      <c r="AJ2005" s="51"/>
      <c r="AK2005" s="51"/>
      <c r="AL2005" s="51"/>
      <c r="AM2005" s="51"/>
      <c r="AN2005" s="51"/>
      <c r="AO2005" s="51"/>
      <c r="AP2005" s="51"/>
      <c r="AQ2005" s="51"/>
      <c r="AR2005" s="51"/>
      <c r="AS2005" s="51"/>
      <c r="AT2005" s="51"/>
      <c r="AU2005" s="51"/>
      <c r="AV2005" s="51"/>
      <c r="AW2005" s="51"/>
    </row>
    <row r="2006" spans="1:49" s="31" customFormat="1" ht="15.75" x14ac:dyDescent="0.2">
      <c r="A2006" s="51"/>
      <c r="B2006" s="51"/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  <c r="S2006" s="51"/>
      <c r="T2006" s="51"/>
      <c r="U2006" s="51"/>
      <c r="V2006" s="51"/>
      <c r="W2006" s="51"/>
      <c r="X2006" s="51"/>
      <c r="Y2006" s="51"/>
      <c r="Z2006" s="51"/>
      <c r="AA2006" s="51"/>
      <c r="AB2006" s="51"/>
      <c r="AC2006" s="51"/>
      <c r="AD2006" s="51"/>
      <c r="AE2006" s="51"/>
      <c r="AF2006" s="51"/>
      <c r="AG2006" s="51"/>
      <c r="AH2006" s="51"/>
      <c r="AI2006" s="51"/>
      <c r="AJ2006" s="51"/>
      <c r="AK2006" s="51"/>
      <c r="AL2006" s="51"/>
      <c r="AM2006" s="51"/>
      <c r="AN2006" s="51"/>
      <c r="AO2006" s="51"/>
      <c r="AP2006" s="51"/>
      <c r="AQ2006" s="51"/>
      <c r="AR2006" s="51"/>
      <c r="AS2006" s="51"/>
      <c r="AT2006" s="51"/>
      <c r="AU2006" s="51"/>
      <c r="AV2006" s="51"/>
      <c r="AW2006" s="51"/>
    </row>
    <row r="2007" spans="1:49" s="31" customFormat="1" ht="15.75" x14ac:dyDescent="0.2">
      <c r="A2007" s="51"/>
      <c r="B2007" s="51"/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  <c r="S2007" s="51"/>
      <c r="T2007" s="51"/>
      <c r="U2007" s="51"/>
      <c r="V2007" s="51"/>
      <c r="W2007" s="51"/>
      <c r="X2007" s="51"/>
      <c r="Y2007" s="51"/>
      <c r="Z2007" s="51"/>
      <c r="AA2007" s="51"/>
      <c r="AB2007" s="51"/>
      <c r="AC2007" s="51"/>
      <c r="AD2007" s="51"/>
      <c r="AE2007" s="51"/>
      <c r="AF2007" s="51"/>
      <c r="AG2007" s="51"/>
      <c r="AH2007" s="51"/>
      <c r="AI2007" s="51"/>
      <c r="AJ2007" s="51"/>
      <c r="AK2007" s="51"/>
      <c r="AL2007" s="51"/>
      <c r="AM2007" s="51"/>
      <c r="AN2007" s="51"/>
      <c r="AO2007" s="51"/>
      <c r="AP2007" s="51"/>
      <c r="AQ2007" s="51"/>
      <c r="AR2007" s="51"/>
      <c r="AS2007" s="51"/>
      <c r="AT2007" s="51"/>
      <c r="AU2007" s="51"/>
      <c r="AV2007" s="51"/>
      <c r="AW2007" s="51"/>
    </row>
    <row r="2008" spans="1:49" s="31" customFormat="1" ht="15.75" x14ac:dyDescent="0.2">
      <c r="A2008" s="51"/>
      <c r="B2008" s="51"/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  <c r="S2008" s="51"/>
      <c r="T2008" s="51"/>
      <c r="U2008" s="51"/>
      <c r="V2008" s="51"/>
      <c r="W2008" s="51"/>
      <c r="X2008" s="51"/>
      <c r="Y2008" s="51"/>
      <c r="Z2008" s="51"/>
      <c r="AA2008" s="51"/>
      <c r="AB2008" s="51"/>
      <c r="AC2008" s="51"/>
      <c r="AD2008" s="51"/>
      <c r="AE2008" s="51"/>
      <c r="AF2008" s="51"/>
      <c r="AG2008" s="51"/>
      <c r="AH2008" s="51"/>
      <c r="AI2008" s="51"/>
      <c r="AJ2008" s="51"/>
      <c r="AK2008" s="51"/>
      <c r="AL2008" s="51"/>
      <c r="AM2008" s="51"/>
      <c r="AN2008" s="51"/>
      <c r="AO2008" s="51"/>
      <c r="AP2008" s="51"/>
      <c r="AQ2008" s="51"/>
      <c r="AR2008" s="51"/>
      <c r="AS2008" s="51"/>
      <c r="AT2008" s="51"/>
      <c r="AU2008" s="51"/>
      <c r="AV2008" s="51"/>
      <c r="AW2008" s="51"/>
    </row>
    <row r="2009" spans="1:49" s="31" customFormat="1" ht="15.75" x14ac:dyDescent="0.2">
      <c r="A2009" s="51"/>
      <c r="B2009" s="51"/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  <c r="S2009" s="51"/>
      <c r="T2009" s="51"/>
      <c r="U2009" s="51"/>
      <c r="V2009" s="51"/>
      <c r="W2009" s="51"/>
      <c r="X2009" s="51"/>
      <c r="Y2009" s="51"/>
      <c r="Z2009" s="51"/>
      <c r="AA2009" s="51"/>
      <c r="AB2009" s="51"/>
      <c r="AC2009" s="51"/>
      <c r="AD2009" s="51"/>
      <c r="AE2009" s="51"/>
      <c r="AF2009" s="51"/>
      <c r="AG2009" s="51"/>
      <c r="AH2009" s="51"/>
      <c r="AI2009" s="51"/>
      <c r="AJ2009" s="51"/>
      <c r="AK2009" s="51"/>
      <c r="AL2009" s="51"/>
      <c r="AM2009" s="51"/>
      <c r="AN2009" s="51"/>
      <c r="AO2009" s="51"/>
      <c r="AP2009" s="51"/>
      <c r="AQ2009" s="51"/>
      <c r="AR2009" s="51"/>
      <c r="AS2009" s="51"/>
      <c r="AT2009" s="51"/>
      <c r="AU2009" s="51"/>
      <c r="AV2009" s="51"/>
      <c r="AW2009" s="51"/>
    </row>
    <row r="2010" spans="1:49" s="31" customFormat="1" ht="15.75" x14ac:dyDescent="0.2">
      <c r="A2010" s="51"/>
      <c r="B2010" s="51"/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  <c r="S2010" s="51"/>
      <c r="T2010" s="51"/>
      <c r="U2010" s="51"/>
      <c r="V2010" s="51"/>
      <c r="W2010" s="51"/>
      <c r="X2010" s="51"/>
      <c r="Y2010" s="51"/>
      <c r="Z2010" s="51"/>
      <c r="AA2010" s="51"/>
      <c r="AB2010" s="51"/>
      <c r="AC2010" s="51"/>
      <c r="AD2010" s="51"/>
      <c r="AE2010" s="51"/>
      <c r="AF2010" s="51"/>
      <c r="AG2010" s="51"/>
      <c r="AH2010" s="51"/>
      <c r="AI2010" s="51"/>
      <c r="AJ2010" s="51"/>
      <c r="AK2010" s="51"/>
      <c r="AL2010" s="51"/>
      <c r="AM2010" s="51"/>
      <c r="AN2010" s="51"/>
      <c r="AO2010" s="51"/>
      <c r="AP2010" s="51"/>
      <c r="AQ2010" s="51"/>
      <c r="AR2010" s="51"/>
      <c r="AS2010" s="51"/>
      <c r="AT2010" s="51"/>
      <c r="AU2010" s="51"/>
      <c r="AV2010" s="51"/>
      <c r="AW2010" s="51"/>
    </row>
    <row r="2011" spans="1:49" s="31" customFormat="1" ht="15.75" x14ac:dyDescent="0.2">
      <c r="A2011" s="51"/>
      <c r="B2011" s="51"/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  <c r="S2011" s="51"/>
      <c r="T2011" s="51"/>
      <c r="U2011" s="51"/>
      <c r="V2011" s="51"/>
      <c r="W2011" s="51"/>
      <c r="X2011" s="51"/>
      <c r="Y2011" s="51"/>
      <c r="Z2011" s="51"/>
      <c r="AA2011" s="51"/>
      <c r="AB2011" s="51"/>
      <c r="AC2011" s="51"/>
      <c r="AD2011" s="51"/>
      <c r="AE2011" s="51"/>
      <c r="AF2011" s="51"/>
      <c r="AG2011" s="51"/>
      <c r="AH2011" s="51"/>
      <c r="AI2011" s="51"/>
      <c r="AJ2011" s="51"/>
      <c r="AK2011" s="51"/>
      <c r="AL2011" s="51"/>
      <c r="AM2011" s="51"/>
      <c r="AN2011" s="51"/>
      <c r="AO2011" s="51"/>
      <c r="AP2011" s="51"/>
      <c r="AQ2011" s="51"/>
      <c r="AR2011" s="51"/>
      <c r="AS2011" s="51"/>
      <c r="AT2011" s="51"/>
      <c r="AU2011" s="51"/>
      <c r="AV2011" s="51"/>
      <c r="AW2011" s="51"/>
    </row>
    <row r="2012" spans="1:49" s="31" customFormat="1" ht="15.75" x14ac:dyDescent="0.2">
      <c r="A2012" s="51"/>
      <c r="B2012" s="51"/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  <c r="S2012" s="51"/>
      <c r="T2012" s="51"/>
      <c r="U2012" s="51"/>
      <c r="V2012" s="51"/>
      <c r="W2012" s="51"/>
      <c r="X2012" s="51"/>
      <c r="Y2012" s="51"/>
      <c r="Z2012" s="51"/>
      <c r="AA2012" s="51"/>
      <c r="AB2012" s="51"/>
      <c r="AC2012" s="51"/>
      <c r="AD2012" s="51"/>
      <c r="AE2012" s="51"/>
      <c r="AF2012" s="51"/>
      <c r="AG2012" s="51"/>
      <c r="AH2012" s="51"/>
      <c r="AI2012" s="51"/>
      <c r="AJ2012" s="51"/>
      <c r="AK2012" s="51"/>
      <c r="AL2012" s="51"/>
      <c r="AM2012" s="51"/>
      <c r="AN2012" s="51"/>
      <c r="AO2012" s="51"/>
      <c r="AP2012" s="51"/>
      <c r="AQ2012" s="51"/>
      <c r="AR2012" s="51"/>
      <c r="AS2012" s="51"/>
      <c r="AT2012" s="51"/>
      <c r="AU2012" s="51"/>
      <c r="AV2012" s="51"/>
      <c r="AW2012" s="51"/>
    </row>
    <row r="2013" spans="1:49" s="31" customFormat="1" ht="15.75" x14ac:dyDescent="0.2">
      <c r="A2013" s="51"/>
      <c r="B2013" s="51"/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  <c r="S2013" s="51"/>
      <c r="T2013" s="51"/>
      <c r="U2013" s="51"/>
      <c r="V2013" s="51"/>
      <c r="W2013" s="51"/>
      <c r="X2013" s="51"/>
      <c r="Y2013" s="51"/>
      <c r="Z2013" s="51"/>
      <c r="AA2013" s="51"/>
      <c r="AB2013" s="51"/>
      <c r="AC2013" s="51"/>
      <c r="AD2013" s="51"/>
      <c r="AE2013" s="51"/>
      <c r="AF2013" s="51"/>
      <c r="AG2013" s="51"/>
      <c r="AH2013" s="51"/>
      <c r="AI2013" s="51"/>
      <c r="AJ2013" s="51"/>
      <c r="AK2013" s="51"/>
      <c r="AL2013" s="51"/>
      <c r="AM2013" s="51"/>
      <c r="AN2013" s="51"/>
      <c r="AO2013" s="51"/>
      <c r="AP2013" s="51"/>
      <c r="AQ2013" s="51"/>
      <c r="AR2013" s="51"/>
      <c r="AS2013" s="51"/>
      <c r="AT2013" s="51"/>
      <c r="AU2013" s="51"/>
      <c r="AV2013" s="51"/>
      <c r="AW2013" s="51"/>
    </row>
    <row r="2014" spans="1:49" s="31" customFormat="1" ht="15.75" x14ac:dyDescent="0.2">
      <c r="A2014" s="51"/>
      <c r="B2014" s="51"/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  <c r="S2014" s="51"/>
      <c r="T2014" s="51"/>
      <c r="U2014" s="51"/>
      <c r="V2014" s="51"/>
      <c r="W2014" s="51"/>
      <c r="X2014" s="51"/>
      <c r="Y2014" s="51"/>
      <c r="Z2014" s="51"/>
      <c r="AA2014" s="51"/>
      <c r="AB2014" s="51"/>
      <c r="AC2014" s="51"/>
      <c r="AD2014" s="51"/>
      <c r="AE2014" s="51"/>
      <c r="AF2014" s="51"/>
      <c r="AG2014" s="51"/>
      <c r="AH2014" s="51"/>
      <c r="AI2014" s="51"/>
      <c r="AJ2014" s="51"/>
      <c r="AK2014" s="51"/>
      <c r="AL2014" s="51"/>
      <c r="AM2014" s="51"/>
      <c r="AN2014" s="51"/>
      <c r="AO2014" s="51"/>
      <c r="AP2014" s="51"/>
      <c r="AQ2014" s="51"/>
      <c r="AR2014" s="51"/>
      <c r="AS2014" s="51"/>
      <c r="AT2014" s="51"/>
      <c r="AU2014" s="51"/>
      <c r="AV2014" s="51"/>
      <c r="AW2014" s="51"/>
    </row>
    <row r="2015" spans="1:49" s="31" customFormat="1" ht="15.75" x14ac:dyDescent="0.2">
      <c r="A2015" s="51"/>
      <c r="B2015" s="51"/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  <c r="S2015" s="51"/>
      <c r="T2015" s="51"/>
      <c r="U2015" s="51"/>
      <c r="V2015" s="51"/>
      <c r="W2015" s="51"/>
      <c r="X2015" s="51"/>
      <c r="Y2015" s="51"/>
      <c r="Z2015" s="51"/>
      <c r="AA2015" s="51"/>
      <c r="AB2015" s="51"/>
      <c r="AC2015" s="51"/>
      <c r="AD2015" s="51"/>
      <c r="AE2015" s="51"/>
      <c r="AF2015" s="51"/>
      <c r="AG2015" s="51"/>
      <c r="AH2015" s="51"/>
      <c r="AI2015" s="51"/>
      <c r="AJ2015" s="51"/>
      <c r="AK2015" s="51"/>
      <c r="AL2015" s="51"/>
      <c r="AM2015" s="51"/>
      <c r="AN2015" s="51"/>
      <c r="AO2015" s="51"/>
      <c r="AP2015" s="51"/>
      <c r="AQ2015" s="51"/>
      <c r="AR2015" s="51"/>
      <c r="AS2015" s="51"/>
      <c r="AT2015" s="51"/>
      <c r="AU2015" s="51"/>
      <c r="AV2015" s="51"/>
      <c r="AW2015" s="51"/>
    </row>
    <row r="2016" spans="1:49" s="31" customFormat="1" ht="15.75" x14ac:dyDescent="0.2">
      <c r="A2016" s="51"/>
      <c r="B2016" s="51"/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  <c r="S2016" s="51"/>
      <c r="T2016" s="51"/>
      <c r="U2016" s="51"/>
      <c r="V2016" s="51"/>
      <c r="W2016" s="51"/>
      <c r="X2016" s="51"/>
      <c r="Y2016" s="51"/>
      <c r="Z2016" s="51"/>
      <c r="AA2016" s="51"/>
      <c r="AB2016" s="51"/>
      <c r="AC2016" s="51"/>
      <c r="AD2016" s="51"/>
      <c r="AE2016" s="51"/>
      <c r="AF2016" s="51"/>
      <c r="AG2016" s="51"/>
      <c r="AH2016" s="51"/>
      <c r="AI2016" s="51"/>
      <c r="AJ2016" s="51"/>
      <c r="AK2016" s="51"/>
      <c r="AL2016" s="51"/>
      <c r="AM2016" s="51"/>
      <c r="AN2016" s="51"/>
      <c r="AO2016" s="51"/>
      <c r="AP2016" s="51"/>
      <c r="AQ2016" s="51"/>
      <c r="AR2016" s="51"/>
      <c r="AS2016" s="51"/>
      <c r="AT2016" s="51"/>
      <c r="AU2016" s="51"/>
      <c r="AV2016" s="51"/>
      <c r="AW2016" s="51"/>
    </row>
    <row r="2017" spans="1:49" s="31" customFormat="1" ht="15.75" x14ac:dyDescent="0.2">
      <c r="A2017" s="51"/>
      <c r="B2017" s="51"/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  <c r="S2017" s="51"/>
      <c r="T2017" s="51"/>
      <c r="U2017" s="51"/>
      <c r="V2017" s="51"/>
      <c r="W2017" s="51"/>
      <c r="X2017" s="51"/>
      <c r="Y2017" s="51"/>
      <c r="Z2017" s="51"/>
      <c r="AA2017" s="51"/>
      <c r="AB2017" s="51"/>
      <c r="AC2017" s="51"/>
      <c r="AD2017" s="51"/>
      <c r="AE2017" s="51"/>
      <c r="AF2017" s="51"/>
      <c r="AG2017" s="51"/>
      <c r="AH2017" s="51"/>
      <c r="AI2017" s="51"/>
      <c r="AJ2017" s="51"/>
      <c r="AK2017" s="51"/>
      <c r="AL2017" s="51"/>
      <c r="AM2017" s="51"/>
      <c r="AN2017" s="51"/>
      <c r="AO2017" s="51"/>
      <c r="AP2017" s="51"/>
      <c r="AQ2017" s="51"/>
      <c r="AR2017" s="51"/>
      <c r="AS2017" s="51"/>
      <c r="AT2017" s="51"/>
      <c r="AU2017" s="51"/>
      <c r="AV2017" s="51"/>
      <c r="AW2017" s="51"/>
    </row>
    <row r="2018" spans="1:49" s="31" customFormat="1" ht="15.75" x14ac:dyDescent="0.2">
      <c r="A2018" s="51"/>
      <c r="B2018" s="51"/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  <c r="S2018" s="51"/>
      <c r="T2018" s="51"/>
      <c r="U2018" s="51"/>
      <c r="V2018" s="51"/>
      <c r="W2018" s="51"/>
      <c r="X2018" s="51"/>
      <c r="Y2018" s="51"/>
      <c r="Z2018" s="51"/>
      <c r="AA2018" s="51"/>
      <c r="AB2018" s="51"/>
      <c r="AC2018" s="51"/>
      <c r="AD2018" s="51"/>
      <c r="AE2018" s="51"/>
      <c r="AF2018" s="51"/>
      <c r="AG2018" s="51"/>
      <c r="AH2018" s="51"/>
      <c r="AI2018" s="51"/>
      <c r="AJ2018" s="51"/>
      <c r="AK2018" s="51"/>
      <c r="AL2018" s="51"/>
      <c r="AM2018" s="51"/>
      <c r="AN2018" s="51"/>
      <c r="AO2018" s="51"/>
      <c r="AP2018" s="51"/>
      <c r="AQ2018" s="51"/>
      <c r="AR2018" s="51"/>
      <c r="AS2018" s="51"/>
      <c r="AT2018" s="51"/>
      <c r="AU2018" s="51"/>
      <c r="AV2018" s="51"/>
      <c r="AW2018" s="51"/>
    </row>
    <row r="2019" spans="1:49" s="31" customFormat="1" ht="15.75" x14ac:dyDescent="0.2">
      <c r="A2019" s="51"/>
      <c r="B2019" s="51"/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  <c r="S2019" s="51"/>
      <c r="T2019" s="51"/>
      <c r="U2019" s="51"/>
      <c r="V2019" s="51"/>
      <c r="W2019" s="51"/>
      <c r="X2019" s="51"/>
      <c r="Y2019" s="51"/>
      <c r="Z2019" s="51"/>
      <c r="AA2019" s="51"/>
      <c r="AB2019" s="51"/>
      <c r="AC2019" s="51"/>
      <c r="AD2019" s="51"/>
      <c r="AE2019" s="51"/>
      <c r="AF2019" s="51"/>
      <c r="AG2019" s="51"/>
      <c r="AH2019" s="51"/>
      <c r="AI2019" s="51"/>
      <c r="AJ2019" s="51"/>
      <c r="AK2019" s="51"/>
      <c r="AL2019" s="51"/>
      <c r="AM2019" s="51"/>
      <c r="AN2019" s="51"/>
      <c r="AO2019" s="51"/>
      <c r="AP2019" s="51"/>
      <c r="AQ2019" s="51"/>
      <c r="AR2019" s="51"/>
      <c r="AS2019" s="51"/>
      <c r="AT2019" s="51"/>
      <c r="AU2019" s="51"/>
      <c r="AV2019" s="51"/>
      <c r="AW2019" s="51"/>
    </row>
    <row r="2020" spans="1:49" s="31" customFormat="1" ht="15.75" x14ac:dyDescent="0.2">
      <c r="A2020" s="51"/>
      <c r="B2020" s="51"/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  <c r="S2020" s="51"/>
      <c r="T2020" s="51"/>
      <c r="U2020" s="51"/>
      <c r="V2020" s="51"/>
      <c r="W2020" s="51"/>
      <c r="X2020" s="51"/>
      <c r="Y2020" s="51"/>
      <c r="Z2020" s="51"/>
      <c r="AA2020" s="51"/>
      <c r="AB2020" s="51"/>
      <c r="AC2020" s="51"/>
      <c r="AD2020" s="51"/>
      <c r="AE2020" s="51"/>
      <c r="AF2020" s="51"/>
      <c r="AG2020" s="51"/>
      <c r="AH2020" s="51"/>
      <c r="AI2020" s="51"/>
      <c r="AJ2020" s="51"/>
      <c r="AK2020" s="51"/>
      <c r="AL2020" s="51"/>
      <c r="AM2020" s="51"/>
      <c r="AN2020" s="51"/>
      <c r="AO2020" s="51"/>
      <c r="AP2020" s="51"/>
      <c r="AQ2020" s="51"/>
      <c r="AR2020" s="51"/>
      <c r="AS2020" s="51"/>
      <c r="AT2020" s="51"/>
      <c r="AU2020" s="51"/>
      <c r="AV2020" s="51"/>
      <c r="AW2020" s="51"/>
    </row>
    <row r="2021" spans="1:49" s="31" customFormat="1" ht="15.75" x14ac:dyDescent="0.2">
      <c r="A2021" s="51"/>
      <c r="B2021" s="51"/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  <c r="S2021" s="51"/>
      <c r="T2021" s="51"/>
      <c r="U2021" s="51"/>
      <c r="V2021" s="51"/>
      <c r="W2021" s="51"/>
      <c r="X2021" s="51"/>
      <c r="Y2021" s="51"/>
      <c r="Z2021" s="51"/>
      <c r="AA2021" s="51"/>
      <c r="AB2021" s="51"/>
      <c r="AC2021" s="51"/>
      <c r="AD2021" s="51"/>
      <c r="AE2021" s="51"/>
      <c r="AF2021" s="51"/>
      <c r="AG2021" s="51"/>
      <c r="AH2021" s="51"/>
      <c r="AI2021" s="51"/>
      <c r="AJ2021" s="51"/>
      <c r="AK2021" s="51"/>
      <c r="AL2021" s="51"/>
      <c r="AM2021" s="51"/>
      <c r="AN2021" s="51"/>
      <c r="AO2021" s="51"/>
      <c r="AP2021" s="51"/>
      <c r="AQ2021" s="51"/>
      <c r="AR2021" s="51"/>
      <c r="AS2021" s="51"/>
      <c r="AT2021" s="51"/>
      <c r="AU2021" s="51"/>
      <c r="AV2021" s="51"/>
      <c r="AW2021" s="51"/>
    </row>
    <row r="2022" spans="1:49" s="31" customFormat="1" ht="15.75" x14ac:dyDescent="0.2">
      <c r="A2022" s="51"/>
      <c r="B2022" s="51"/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  <c r="S2022" s="51"/>
      <c r="T2022" s="51"/>
      <c r="U2022" s="51"/>
      <c r="V2022" s="51"/>
      <c r="W2022" s="51"/>
      <c r="X2022" s="51"/>
      <c r="Y2022" s="51"/>
      <c r="Z2022" s="51"/>
      <c r="AA2022" s="51"/>
      <c r="AB2022" s="51"/>
      <c r="AC2022" s="51"/>
      <c r="AD2022" s="51"/>
      <c r="AE2022" s="51"/>
      <c r="AF2022" s="51"/>
      <c r="AG2022" s="51"/>
      <c r="AH2022" s="51"/>
      <c r="AI2022" s="51"/>
      <c r="AJ2022" s="51"/>
      <c r="AK2022" s="51"/>
      <c r="AL2022" s="51"/>
      <c r="AM2022" s="51"/>
      <c r="AN2022" s="51"/>
      <c r="AO2022" s="51"/>
      <c r="AP2022" s="51"/>
      <c r="AQ2022" s="51"/>
      <c r="AR2022" s="51"/>
      <c r="AS2022" s="51"/>
      <c r="AT2022" s="51"/>
      <c r="AU2022" s="51"/>
      <c r="AV2022" s="51"/>
      <c r="AW2022" s="51"/>
    </row>
    <row r="2023" spans="1:49" s="31" customFormat="1" ht="15.75" x14ac:dyDescent="0.2">
      <c r="A2023" s="51"/>
      <c r="B2023" s="51"/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  <c r="S2023" s="51"/>
      <c r="T2023" s="51"/>
      <c r="U2023" s="51"/>
      <c r="V2023" s="51"/>
      <c r="W2023" s="51"/>
      <c r="X2023" s="51"/>
      <c r="Y2023" s="51"/>
      <c r="Z2023" s="51"/>
      <c r="AA2023" s="51"/>
      <c r="AB2023" s="51"/>
      <c r="AC2023" s="51"/>
      <c r="AD2023" s="51"/>
      <c r="AE2023" s="51"/>
      <c r="AF2023" s="51"/>
      <c r="AG2023" s="51"/>
      <c r="AH2023" s="51"/>
      <c r="AI2023" s="51"/>
      <c r="AJ2023" s="51"/>
      <c r="AK2023" s="51"/>
      <c r="AL2023" s="51"/>
      <c r="AM2023" s="51"/>
      <c r="AN2023" s="51"/>
      <c r="AO2023" s="51"/>
      <c r="AP2023" s="51"/>
      <c r="AQ2023" s="51"/>
      <c r="AR2023" s="51"/>
      <c r="AS2023" s="51"/>
      <c r="AT2023" s="51"/>
      <c r="AU2023" s="51"/>
      <c r="AV2023" s="51"/>
      <c r="AW2023" s="51"/>
    </row>
    <row r="2024" spans="1:49" s="31" customFormat="1" ht="15.75" x14ac:dyDescent="0.2">
      <c r="A2024" s="51"/>
      <c r="B2024" s="51"/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  <c r="S2024" s="51"/>
      <c r="T2024" s="51"/>
      <c r="U2024" s="51"/>
      <c r="V2024" s="51"/>
      <c r="W2024" s="51"/>
      <c r="X2024" s="51"/>
      <c r="Y2024" s="51"/>
      <c r="Z2024" s="51"/>
      <c r="AA2024" s="51"/>
      <c r="AB2024" s="51"/>
      <c r="AC2024" s="51"/>
      <c r="AD2024" s="51"/>
      <c r="AE2024" s="51"/>
      <c r="AF2024" s="51"/>
      <c r="AG2024" s="51"/>
      <c r="AH2024" s="51"/>
      <c r="AI2024" s="51"/>
      <c r="AJ2024" s="51"/>
      <c r="AK2024" s="51"/>
      <c r="AL2024" s="51"/>
      <c r="AM2024" s="51"/>
      <c r="AN2024" s="51"/>
      <c r="AO2024" s="51"/>
      <c r="AP2024" s="51"/>
      <c r="AQ2024" s="51"/>
      <c r="AR2024" s="51"/>
      <c r="AS2024" s="51"/>
      <c r="AT2024" s="51"/>
      <c r="AU2024" s="51"/>
      <c r="AV2024" s="51"/>
      <c r="AW2024" s="51"/>
    </row>
    <row r="2025" spans="1:49" s="31" customFormat="1" ht="15.75" x14ac:dyDescent="0.2">
      <c r="A2025" s="51"/>
      <c r="B2025" s="51"/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  <c r="S2025" s="51"/>
      <c r="T2025" s="51"/>
      <c r="U2025" s="51"/>
      <c r="V2025" s="51"/>
      <c r="W2025" s="51"/>
      <c r="X2025" s="51"/>
      <c r="Y2025" s="51"/>
      <c r="Z2025" s="51"/>
      <c r="AA2025" s="51"/>
      <c r="AB2025" s="51"/>
      <c r="AC2025" s="51"/>
      <c r="AD2025" s="51"/>
      <c r="AE2025" s="51"/>
      <c r="AF2025" s="51"/>
      <c r="AG2025" s="51"/>
      <c r="AH2025" s="51"/>
      <c r="AI2025" s="51"/>
      <c r="AJ2025" s="51"/>
      <c r="AK2025" s="51"/>
      <c r="AL2025" s="51"/>
      <c r="AM2025" s="51"/>
      <c r="AN2025" s="51"/>
      <c r="AO2025" s="51"/>
      <c r="AP2025" s="51"/>
      <c r="AQ2025" s="51"/>
      <c r="AR2025" s="51"/>
      <c r="AS2025" s="51"/>
      <c r="AT2025" s="51"/>
      <c r="AU2025" s="51"/>
      <c r="AV2025" s="51"/>
      <c r="AW2025" s="51"/>
    </row>
    <row r="2026" spans="1:49" s="31" customFormat="1" ht="15.75" x14ac:dyDescent="0.2">
      <c r="A2026" s="51"/>
      <c r="B2026" s="51"/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  <c r="S2026" s="51"/>
      <c r="T2026" s="51"/>
      <c r="U2026" s="51"/>
      <c r="V2026" s="51"/>
      <c r="W2026" s="51"/>
      <c r="X2026" s="51"/>
      <c r="Y2026" s="51"/>
      <c r="Z2026" s="51"/>
      <c r="AA2026" s="51"/>
      <c r="AB2026" s="51"/>
      <c r="AC2026" s="51"/>
      <c r="AD2026" s="51"/>
      <c r="AE2026" s="51"/>
      <c r="AF2026" s="51"/>
      <c r="AG2026" s="51"/>
      <c r="AH2026" s="51"/>
      <c r="AI2026" s="51"/>
      <c r="AJ2026" s="51"/>
      <c r="AK2026" s="51"/>
      <c r="AL2026" s="51"/>
      <c r="AM2026" s="51"/>
      <c r="AN2026" s="51"/>
      <c r="AO2026" s="51"/>
      <c r="AP2026" s="51"/>
      <c r="AQ2026" s="51"/>
      <c r="AR2026" s="51"/>
      <c r="AS2026" s="51"/>
      <c r="AT2026" s="51"/>
      <c r="AU2026" s="51"/>
      <c r="AV2026" s="51"/>
      <c r="AW2026" s="51"/>
    </row>
    <row r="2027" spans="1:49" s="31" customFormat="1" ht="15.75" x14ac:dyDescent="0.2">
      <c r="A2027" s="51"/>
      <c r="B2027" s="51"/>
      <c r="C2027" s="51"/>
      <c r="D2027" s="51"/>
      <c r="E2027" s="51"/>
      <c r="F2027" s="51"/>
      <c r="G2027" s="51"/>
      <c r="H2027" s="51"/>
      <c r="I2027" s="51"/>
      <c r="J2027" s="51"/>
      <c r="K2027" s="51"/>
      <c r="L2027" s="51"/>
      <c r="M2027" s="51"/>
      <c r="N2027" s="51"/>
      <c r="O2027" s="51"/>
      <c r="P2027" s="51"/>
      <c r="Q2027" s="51"/>
      <c r="R2027" s="51"/>
      <c r="S2027" s="51"/>
      <c r="T2027" s="51"/>
      <c r="U2027" s="51"/>
      <c r="V2027" s="51"/>
      <c r="W2027" s="51"/>
      <c r="X2027" s="51"/>
      <c r="Y2027" s="51"/>
      <c r="Z2027" s="51"/>
      <c r="AA2027" s="51"/>
      <c r="AB2027" s="51"/>
      <c r="AC2027" s="51"/>
      <c r="AD2027" s="51"/>
      <c r="AE2027" s="51"/>
      <c r="AF2027" s="51"/>
      <c r="AG2027" s="51"/>
      <c r="AH2027" s="51"/>
      <c r="AI2027" s="51"/>
      <c r="AJ2027" s="51"/>
      <c r="AK2027" s="51"/>
      <c r="AL2027" s="51"/>
      <c r="AM2027" s="51"/>
      <c r="AN2027" s="51"/>
      <c r="AO2027" s="51"/>
      <c r="AP2027" s="51"/>
      <c r="AQ2027" s="51"/>
      <c r="AR2027" s="51"/>
      <c r="AS2027" s="51"/>
      <c r="AT2027" s="51"/>
      <c r="AU2027" s="51"/>
      <c r="AV2027" s="51"/>
      <c r="AW2027" s="51"/>
    </row>
    <row r="2028" spans="1:49" s="31" customFormat="1" ht="15.75" x14ac:dyDescent="0.2">
      <c r="A2028" s="51"/>
      <c r="B2028" s="51"/>
      <c r="C2028" s="51"/>
      <c r="D2028" s="51"/>
      <c r="E2028" s="51"/>
      <c r="F2028" s="51"/>
      <c r="G2028" s="51"/>
      <c r="H2028" s="51"/>
      <c r="I2028" s="51"/>
      <c r="J2028" s="51"/>
      <c r="K2028" s="51"/>
      <c r="L2028" s="51"/>
      <c r="M2028" s="51"/>
      <c r="N2028" s="51"/>
      <c r="O2028" s="51"/>
      <c r="P2028" s="51"/>
      <c r="Q2028" s="51"/>
      <c r="R2028" s="51"/>
      <c r="S2028" s="51"/>
      <c r="T2028" s="51"/>
      <c r="U2028" s="51"/>
      <c r="V2028" s="51"/>
      <c r="W2028" s="51"/>
      <c r="X2028" s="51"/>
      <c r="Y2028" s="51"/>
      <c r="Z2028" s="51"/>
      <c r="AA2028" s="51"/>
      <c r="AB2028" s="51"/>
      <c r="AC2028" s="51"/>
      <c r="AD2028" s="51"/>
      <c r="AE2028" s="51"/>
      <c r="AF2028" s="51"/>
      <c r="AG2028" s="51"/>
      <c r="AH2028" s="51"/>
      <c r="AI2028" s="51"/>
      <c r="AJ2028" s="51"/>
      <c r="AK2028" s="51"/>
      <c r="AL2028" s="51"/>
      <c r="AM2028" s="51"/>
      <c r="AN2028" s="51"/>
      <c r="AO2028" s="51"/>
      <c r="AP2028" s="51"/>
      <c r="AQ2028" s="51"/>
      <c r="AR2028" s="51"/>
      <c r="AS2028" s="51"/>
      <c r="AT2028" s="51"/>
      <c r="AU2028" s="51"/>
      <c r="AV2028" s="51"/>
      <c r="AW2028" s="51"/>
    </row>
    <row r="2029" spans="1:49" s="31" customFormat="1" ht="15.75" x14ac:dyDescent="0.2">
      <c r="A2029" s="51"/>
      <c r="B2029" s="51"/>
      <c r="C2029" s="51"/>
      <c r="D2029" s="51"/>
      <c r="E2029" s="51"/>
      <c r="F2029" s="51"/>
      <c r="G2029" s="51"/>
      <c r="H2029" s="51"/>
      <c r="I2029" s="51"/>
      <c r="J2029" s="51"/>
      <c r="K2029" s="51"/>
      <c r="L2029" s="51"/>
      <c r="M2029" s="51"/>
      <c r="N2029" s="51"/>
      <c r="O2029" s="51"/>
      <c r="P2029" s="51"/>
      <c r="Q2029" s="51"/>
      <c r="R2029" s="51"/>
      <c r="S2029" s="51"/>
      <c r="T2029" s="51"/>
      <c r="U2029" s="51"/>
      <c r="V2029" s="51"/>
      <c r="W2029" s="51"/>
      <c r="X2029" s="51"/>
      <c r="Y2029" s="51"/>
      <c r="Z2029" s="51"/>
      <c r="AA2029" s="51"/>
      <c r="AB2029" s="51"/>
      <c r="AC2029" s="51"/>
      <c r="AD2029" s="51"/>
      <c r="AE2029" s="51"/>
      <c r="AF2029" s="51"/>
      <c r="AG2029" s="51"/>
      <c r="AH2029" s="51"/>
      <c r="AI2029" s="51"/>
      <c r="AJ2029" s="51"/>
      <c r="AK2029" s="51"/>
      <c r="AL2029" s="51"/>
      <c r="AM2029" s="51"/>
      <c r="AN2029" s="51"/>
      <c r="AO2029" s="51"/>
      <c r="AP2029" s="51"/>
      <c r="AQ2029" s="51"/>
      <c r="AR2029" s="51"/>
      <c r="AS2029" s="51"/>
      <c r="AT2029" s="51"/>
      <c r="AU2029" s="51"/>
      <c r="AV2029" s="51"/>
      <c r="AW2029" s="51"/>
    </row>
    <row r="2030" spans="1:49" s="31" customFormat="1" ht="15.75" x14ac:dyDescent="0.2">
      <c r="A2030" s="51"/>
      <c r="B2030" s="51"/>
      <c r="C2030" s="51"/>
      <c r="D2030" s="51"/>
      <c r="E2030" s="51"/>
      <c r="F2030" s="51"/>
      <c r="G2030" s="51"/>
      <c r="H2030" s="51"/>
      <c r="I2030" s="51"/>
      <c r="J2030" s="51"/>
      <c r="K2030" s="51"/>
      <c r="L2030" s="51"/>
      <c r="M2030" s="51"/>
      <c r="N2030" s="51"/>
      <c r="O2030" s="51"/>
      <c r="P2030" s="51"/>
      <c r="Q2030" s="51"/>
      <c r="R2030" s="51"/>
      <c r="S2030" s="51"/>
      <c r="T2030" s="51"/>
      <c r="U2030" s="51"/>
      <c r="V2030" s="51"/>
      <c r="W2030" s="51"/>
      <c r="X2030" s="51"/>
      <c r="Y2030" s="51"/>
      <c r="Z2030" s="51"/>
      <c r="AA2030" s="51"/>
      <c r="AB2030" s="51"/>
      <c r="AC2030" s="51"/>
      <c r="AD2030" s="51"/>
      <c r="AE2030" s="51"/>
      <c r="AF2030" s="51"/>
      <c r="AG2030" s="51"/>
      <c r="AH2030" s="51"/>
      <c r="AI2030" s="51"/>
      <c r="AJ2030" s="51"/>
      <c r="AK2030" s="51"/>
      <c r="AL2030" s="51"/>
      <c r="AM2030" s="51"/>
      <c r="AN2030" s="51"/>
      <c r="AO2030" s="51"/>
      <c r="AP2030" s="51"/>
      <c r="AQ2030" s="51"/>
      <c r="AR2030" s="51"/>
      <c r="AS2030" s="51"/>
      <c r="AT2030" s="51"/>
      <c r="AU2030" s="51"/>
      <c r="AV2030" s="51"/>
      <c r="AW2030" s="51"/>
    </row>
    <row r="2031" spans="1:49" s="31" customFormat="1" ht="15.75" x14ac:dyDescent="0.2">
      <c r="A2031" s="51"/>
      <c r="B2031" s="51"/>
      <c r="C2031" s="51"/>
      <c r="D2031" s="51"/>
      <c r="E2031" s="51"/>
      <c r="F2031" s="51"/>
      <c r="G2031" s="51"/>
      <c r="H2031" s="51"/>
      <c r="I2031" s="51"/>
      <c r="J2031" s="51"/>
      <c r="K2031" s="51"/>
      <c r="L2031" s="51"/>
      <c r="M2031" s="51"/>
      <c r="N2031" s="51"/>
      <c r="O2031" s="51"/>
      <c r="P2031" s="51"/>
      <c r="Q2031" s="51"/>
      <c r="R2031" s="51"/>
      <c r="S2031" s="51"/>
      <c r="T2031" s="51"/>
      <c r="U2031" s="51"/>
      <c r="V2031" s="51"/>
      <c r="W2031" s="51"/>
      <c r="X2031" s="51"/>
      <c r="Y2031" s="51"/>
      <c r="Z2031" s="51"/>
      <c r="AA2031" s="51"/>
      <c r="AB2031" s="51"/>
      <c r="AC2031" s="51"/>
      <c r="AD2031" s="51"/>
      <c r="AE2031" s="51"/>
      <c r="AF2031" s="51"/>
      <c r="AG2031" s="51"/>
      <c r="AH2031" s="51"/>
      <c r="AI2031" s="51"/>
      <c r="AJ2031" s="51"/>
      <c r="AK2031" s="51"/>
      <c r="AL2031" s="51"/>
      <c r="AM2031" s="51"/>
      <c r="AN2031" s="51"/>
      <c r="AO2031" s="51"/>
      <c r="AP2031" s="51"/>
      <c r="AQ2031" s="51"/>
      <c r="AR2031" s="51"/>
      <c r="AS2031" s="51"/>
      <c r="AT2031" s="51"/>
      <c r="AU2031" s="51"/>
      <c r="AV2031" s="51"/>
      <c r="AW2031" s="51"/>
    </row>
    <row r="2032" spans="1:49" s="31" customFormat="1" ht="15.75" x14ac:dyDescent="0.2">
      <c r="A2032" s="51"/>
      <c r="B2032" s="51"/>
      <c r="C2032" s="51"/>
      <c r="D2032" s="51"/>
      <c r="E2032" s="51"/>
      <c r="F2032" s="51"/>
      <c r="G2032" s="51"/>
      <c r="H2032" s="51"/>
      <c r="I2032" s="51"/>
      <c r="J2032" s="51"/>
      <c r="K2032" s="51"/>
      <c r="L2032" s="51"/>
      <c r="M2032" s="51"/>
      <c r="N2032" s="51"/>
      <c r="O2032" s="51"/>
      <c r="P2032" s="51"/>
      <c r="Q2032" s="51"/>
      <c r="R2032" s="51"/>
      <c r="S2032" s="51"/>
      <c r="T2032" s="51"/>
      <c r="U2032" s="51"/>
      <c r="V2032" s="51"/>
      <c r="W2032" s="51"/>
      <c r="X2032" s="51"/>
      <c r="Y2032" s="51"/>
      <c r="Z2032" s="51"/>
      <c r="AA2032" s="51"/>
      <c r="AB2032" s="51"/>
      <c r="AC2032" s="51"/>
      <c r="AD2032" s="51"/>
      <c r="AE2032" s="51"/>
      <c r="AF2032" s="51"/>
      <c r="AG2032" s="51"/>
      <c r="AH2032" s="51"/>
      <c r="AI2032" s="51"/>
      <c r="AJ2032" s="51"/>
      <c r="AK2032" s="51"/>
      <c r="AL2032" s="51"/>
      <c r="AM2032" s="51"/>
      <c r="AN2032" s="51"/>
      <c r="AO2032" s="51"/>
      <c r="AP2032" s="51"/>
      <c r="AQ2032" s="51"/>
      <c r="AR2032" s="51"/>
      <c r="AS2032" s="51"/>
      <c r="AT2032" s="51"/>
      <c r="AU2032" s="51"/>
      <c r="AV2032" s="51"/>
      <c r="AW2032" s="51"/>
    </row>
    <row r="2033" spans="1:49" s="31" customFormat="1" ht="15.75" x14ac:dyDescent="0.2">
      <c r="A2033" s="51"/>
      <c r="B2033" s="51"/>
      <c r="C2033" s="51"/>
      <c r="D2033" s="51"/>
      <c r="E2033" s="51"/>
      <c r="F2033" s="51"/>
      <c r="G2033" s="51"/>
      <c r="H2033" s="51"/>
      <c r="I2033" s="51"/>
      <c r="J2033" s="51"/>
      <c r="K2033" s="51"/>
      <c r="L2033" s="51"/>
      <c r="M2033" s="51"/>
      <c r="N2033" s="51"/>
      <c r="O2033" s="51"/>
      <c r="P2033" s="51"/>
      <c r="Q2033" s="51"/>
      <c r="R2033" s="51"/>
      <c r="S2033" s="51"/>
      <c r="T2033" s="51"/>
      <c r="U2033" s="51"/>
      <c r="V2033" s="51"/>
      <c r="W2033" s="51"/>
      <c r="X2033" s="51"/>
      <c r="Y2033" s="51"/>
      <c r="Z2033" s="51"/>
      <c r="AA2033" s="51"/>
      <c r="AB2033" s="51"/>
      <c r="AC2033" s="51"/>
      <c r="AD2033" s="51"/>
      <c r="AE2033" s="51"/>
      <c r="AF2033" s="51"/>
      <c r="AG2033" s="51"/>
      <c r="AH2033" s="51"/>
      <c r="AI2033" s="51"/>
      <c r="AJ2033" s="51"/>
      <c r="AK2033" s="51"/>
      <c r="AL2033" s="51"/>
      <c r="AM2033" s="51"/>
      <c r="AN2033" s="51"/>
      <c r="AO2033" s="51"/>
      <c r="AP2033" s="51"/>
      <c r="AQ2033" s="51"/>
      <c r="AR2033" s="51"/>
      <c r="AS2033" s="51"/>
      <c r="AT2033" s="51"/>
      <c r="AU2033" s="51"/>
      <c r="AV2033" s="51"/>
      <c r="AW2033" s="51"/>
    </row>
    <row r="2034" spans="1:49" s="31" customFormat="1" ht="15.75" x14ac:dyDescent="0.2">
      <c r="A2034" s="51"/>
      <c r="B2034" s="51"/>
      <c r="C2034" s="51"/>
      <c r="D2034" s="51"/>
      <c r="E2034" s="51"/>
      <c r="F2034" s="51"/>
      <c r="G2034" s="51"/>
      <c r="H2034" s="51"/>
      <c r="I2034" s="51"/>
      <c r="J2034" s="51"/>
      <c r="K2034" s="51"/>
      <c r="L2034" s="51"/>
      <c r="M2034" s="51"/>
      <c r="N2034" s="51"/>
      <c r="O2034" s="51"/>
      <c r="P2034" s="51"/>
      <c r="Q2034" s="51"/>
      <c r="R2034" s="51"/>
      <c r="S2034" s="51"/>
      <c r="T2034" s="51"/>
      <c r="U2034" s="51"/>
      <c r="V2034" s="51"/>
      <c r="W2034" s="51"/>
      <c r="X2034" s="51"/>
      <c r="Y2034" s="51"/>
      <c r="Z2034" s="51"/>
      <c r="AA2034" s="51"/>
      <c r="AB2034" s="51"/>
      <c r="AC2034" s="51"/>
      <c r="AD2034" s="51"/>
      <c r="AE2034" s="51"/>
      <c r="AF2034" s="51"/>
      <c r="AG2034" s="51"/>
      <c r="AH2034" s="51"/>
      <c r="AI2034" s="51"/>
      <c r="AJ2034" s="51"/>
      <c r="AK2034" s="51"/>
      <c r="AL2034" s="51"/>
      <c r="AM2034" s="51"/>
      <c r="AN2034" s="51"/>
      <c r="AO2034" s="51"/>
      <c r="AP2034" s="51"/>
      <c r="AQ2034" s="51"/>
      <c r="AR2034" s="51"/>
      <c r="AS2034" s="51"/>
      <c r="AT2034" s="51"/>
      <c r="AU2034" s="51"/>
      <c r="AV2034" s="51"/>
      <c r="AW2034" s="51"/>
    </row>
    <row r="2035" spans="1:49" s="31" customFormat="1" ht="15.75" x14ac:dyDescent="0.2">
      <c r="A2035" s="51"/>
      <c r="B2035" s="51"/>
      <c r="C2035" s="51"/>
      <c r="D2035" s="51"/>
      <c r="E2035" s="51"/>
      <c r="F2035" s="51"/>
      <c r="G2035" s="51"/>
      <c r="H2035" s="51"/>
      <c r="I2035" s="51"/>
      <c r="J2035" s="51"/>
      <c r="K2035" s="51"/>
      <c r="L2035" s="51"/>
      <c r="M2035" s="51"/>
      <c r="N2035" s="51"/>
      <c r="O2035" s="51"/>
      <c r="P2035" s="51"/>
      <c r="Q2035" s="51"/>
      <c r="R2035" s="51"/>
      <c r="S2035" s="51"/>
      <c r="T2035" s="51"/>
      <c r="U2035" s="51"/>
      <c r="V2035" s="51"/>
      <c r="W2035" s="51"/>
      <c r="X2035" s="51"/>
      <c r="Y2035" s="51"/>
      <c r="Z2035" s="51"/>
      <c r="AA2035" s="51"/>
      <c r="AB2035" s="51"/>
      <c r="AC2035" s="51"/>
      <c r="AD2035" s="51"/>
      <c r="AE2035" s="51"/>
      <c r="AF2035" s="51"/>
      <c r="AG2035" s="51"/>
      <c r="AH2035" s="51"/>
      <c r="AI2035" s="51"/>
      <c r="AJ2035" s="51"/>
      <c r="AK2035" s="51"/>
      <c r="AL2035" s="51"/>
      <c r="AM2035" s="51"/>
      <c r="AN2035" s="51"/>
      <c r="AO2035" s="51"/>
      <c r="AP2035" s="51"/>
      <c r="AQ2035" s="51"/>
      <c r="AR2035" s="51"/>
      <c r="AS2035" s="51"/>
      <c r="AT2035" s="51"/>
      <c r="AU2035" s="51"/>
      <c r="AV2035" s="51"/>
      <c r="AW2035" s="51"/>
    </row>
    <row r="2036" spans="1:49" s="31" customFormat="1" ht="15.75" x14ac:dyDescent="0.2">
      <c r="A2036" s="51"/>
      <c r="B2036" s="51"/>
      <c r="C2036" s="51"/>
      <c r="D2036" s="51"/>
      <c r="E2036" s="51"/>
      <c r="F2036" s="51"/>
      <c r="G2036" s="51"/>
      <c r="H2036" s="51"/>
      <c r="I2036" s="51"/>
      <c r="J2036" s="51"/>
      <c r="K2036" s="51"/>
      <c r="L2036" s="51"/>
      <c r="M2036" s="51"/>
      <c r="N2036" s="51"/>
      <c r="O2036" s="51"/>
      <c r="P2036" s="51"/>
      <c r="Q2036" s="51"/>
      <c r="R2036" s="51"/>
      <c r="S2036" s="51"/>
      <c r="T2036" s="51"/>
      <c r="U2036" s="51"/>
      <c r="V2036" s="51"/>
      <c r="W2036" s="51"/>
      <c r="X2036" s="51"/>
      <c r="Y2036" s="51"/>
      <c r="Z2036" s="51"/>
      <c r="AA2036" s="51"/>
      <c r="AB2036" s="51"/>
      <c r="AC2036" s="51"/>
      <c r="AD2036" s="51"/>
      <c r="AE2036" s="51"/>
      <c r="AF2036" s="51"/>
      <c r="AG2036" s="51"/>
      <c r="AH2036" s="51"/>
      <c r="AI2036" s="51"/>
      <c r="AJ2036" s="51"/>
      <c r="AK2036" s="51"/>
      <c r="AL2036" s="51"/>
      <c r="AM2036" s="51"/>
      <c r="AN2036" s="51"/>
      <c r="AO2036" s="51"/>
      <c r="AP2036" s="51"/>
      <c r="AQ2036" s="51"/>
      <c r="AR2036" s="51"/>
      <c r="AS2036" s="51"/>
      <c r="AT2036" s="51"/>
      <c r="AU2036" s="51"/>
      <c r="AV2036" s="51"/>
      <c r="AW2036" s="51"/>
    </row>
    <row r="2037" spans="1:49" s="31" customFormat="1" ht="15.75" x14ac:dyDescent="0.2">
      <c r="A2037" s="51"/>
      <c r="B2037" s="51"/>
      <c r="C2037" s="51"/>
      <c r="D2037" s="51"/>
      <c r="E2037" s="51"/>
      <c r="F2037" s="51"/>
      <c r="G2037" s="51"/>
      <c r="H2037" s="51"/>
      <c r="I2037" s="51"/>
      <c r="J2037" s="51"/>
      <c r="K2037" s="51"/>
      <c r="L2037" s="51"/>
      <c r="M2037" s="51"/>
      <c r="N2037" s="51"/>
      <c r="O2037" s="51"/>
      <c r="P2037" s="51"/>
      <c r="Q2037" s="51"/>
      <c r="R2037" s="51"/>
      <c r="S2037" s="51"/>
      <c r="T2037" s="51"/>
      <c r="U2037" s="51"/>
      <c r="V2037" s="51"/>
      <c r="W2037" s="51"/>
      <c r="X2037" s="51"/>
      <c r="Y2037" s="51"/>
      <c r="Z2037" s="51"/>
      <c r="AA2037" s="51"/>
      <c r="AB2037" s="51"/>
      <c r="AC2037" s="51"/>
      <c r="AD2037" s="51"/>
      <c r="AE2037" s="51"/>
      <c r="AF2037" s="51"/>
      <c r="AG2037" s="51"/>
      <c r="AH2037" s="51"/>
      <c r="AI2037" s="51"/>
      <c r="AJ2037" s="51"/>
      <c r="AK2037" s="51"/>
      <c r="AL2037" s="51"/>
      <c r="AM2037" s="51"/>
      <c r="AN2037" s="51"/>
      <c r="AO2037" s="51"/>
      <c r="AP2037" s="51"/>
      <c r="AQ2037" s="51"/>
      <c r="AR2037" s="51"/>
      <c r="AS2037" s="51"/>
      <c r="AT2037" s="51"/>
      <c r="AU2037" s="51"/>
      <c r="AV2037" s="51"/>
      <c r="AW2037" s="51"/>
    </row>
    <row r="2038" spans="1:49" s="31" customFormat="1" ht="15.75" x14ac:dyDescent="0.2">
      <c r="A2038" s="51"/>
      <c r="B2038" s="51"/>
      <c r="C2038" s="51"/>
      <c r="D2038" s="51"/>
      <c r="E2038" s="51"/>
      <c r="F2038" s="51"/>
      <c r="G2038" s="51"/>
      <c r="H2038" s="51"/>
      <c r="I2038" s="51"/>
      <c r="J2038" s="51"/>
      <c r="K2038" s="51"/>
      <c r="L2038" s="51"/>
      <c r="M2038" s="51"/>
      <c r="N2038" s="51"/>
      <c r="O2038" s="51"/>
      <c r="P2038" s="51"/>
      <c r="Q2038" s="51"/>
      <c r="R2038" s="51"/>
      <c r="S2038" s="51"/>
      <c r="T2038" s="51"/>
      <c r="U2038" s="51"/>
      <c r="V2038" s="51"/>
      <c r="W2038" s="51"/>
      <c r="X2038" s="51"/>
      <c r="Y2038" s="51"/>
      <c r="Z2038" s="51"/>
      <c r="AA2038" s="51"/>
      <c r="AB2038" s="51"/>
      <c r="AC2038" s="51"/>
      <c r="AD2038" s="51"/>
      <c r="AE2038" s="51"/>
      <c r="AF2038" s="51"/>
      <c r="AG2038" s="51"/>
      <c r="AH2038" s="51"/>
      <c r="AI2038" s="51"/>
      <c r="AJ2038" s="51"/>
      <c r="AK2038" s="51"/>
      <c r="AL2038" s="51"/>
      <c r="AM2038" s="51"/>
      <c r="AN2038" s="51"/>
      <c r="AO2038" s="51"/>
      <c r="AP2038" s="51"/>
      <c r="AQ2038" s="51"/>
      <c r="AR2038" s="51"/>
      <c r="AS2038" s="51"/>
      <c r="AT2038" s="51"/>
      <c r="AU2038" s="51"/>
      <c r="AV2038" s="51"/>
      <c r="AW2038" s="51"/>
    </row>
    <row r="2039" spans="1:49" s="31" customFormat="1" ht="15.75" x14ac:dyDescent="0.2">
      <c r="A2039" s="51"/>
      <c r="B2039" s="51"/>
      <c r="C2039" s="51"/>
      <c r="D2039" s="51"/>
      <c r="E2039" s="51"/>
      <c r="F2039" s="51"/>
      <c r="G2039" s="51"/>
      <c r="H2039" s="51"/>
      <c r="I2039" s="51"/>
      <c r="J2039" s="51"/>
      <c r="K2039" s="51"/>
      <c r="L2039" s="51"/>
      <c r="M2039" s="51"/>
      <c r="N2039" s="51"/>
      <c r="O2039" s="51"/>
      <c r="P2039" s="51"/>
      <c r="Q2039" s="51"/>
      <c r="R2039" s="51"/>
      <c r="S2039" s="51"/>
      <c r="T2039" s="51"/>
      <c r="U2039" s="51"/>
      <c r="V2039" s="51"/>
      <c r="W2039" s="51"/>
      <c r="X2039" s="51"/>
      <c r="Y2039" s="51"/>
      <c r="Z2039" s="51"/>
      <c r="AA2039" s="51"/>
      <c r="AB2039" s="51"/>
      <c r="AC2039" s="51"/>
      <c r="AD2039" s="51"/>
      <c r="AE2039" s="51"/>
      <c r="AF2039" s="51"/>
      <c r="AG2039" s="51"/>
      <c r="AH2039" s="51"/>
      <c r="AI2039" s="51"/>
      <c r="AJ2039" s="51"/>
      <c r="AK2039" s="51"/>
      <c r="AL2039" s="51"/>
      <c r="AM2039" s="51"/>
      <c r="AN2039" s="51"/>
      <c r="AO2039" s="51"/>
      <c r="AP2039" s="51"/>
      <c r="AQ2039" s="51"/>
      <c r="AR2039" s="51"/>
      <c r="AS2039" s="51"/>
      <c r="AT2039" s="51"/>
      <c r="AU2039" s="51"/>
      <c r="AV2039" s="51"/>
      <c r="AW2039" s="51"/>
    </row>
    <row r="2040" spans="1:49" s="31" customFormat="1" ht="15.75" x14ac:dyDescent="0.2">
      <c r="A2040" s="51"/>
      <c r="B2040" s="51"/>
      <c r="C2040" s="51"/>
      <c r="D2040" s="51"/>
      <c r="E2040" s="51"/>
      <c r="F2040" s="51"/>
      <c r="G2040" s="51"/>
      <c r="H2040" s="51"/>
      <c r="I2040" s="51"/>
      <c r="J2040" s="51"/>
      <c r="K2040" s="51"/>
      <c r="L2040" s="51"/>
      <c r="M2040" s="51"/>
      <c r="N2040" s="51"/>
      <c r="O2040" s="51"/>
      <c r="P2040" s="51"/>
      <c r="Q2040" s="51"/>
      <c r="R2040" s="51"/>
      <c r="S2040" s="51"/>
      <c r="T2040" s="51"/>
      <c r="U2040" s="51"/>
      <c r="V2040" s="51"/>
      <c r="W2040" s="51"/>
      <c r="X2040" s="51"/>
      <c r="Y2040" s="51"/>
      <c r="Z2040" s="51"/>
      <c r="AA2040" s="51"/>
      <c r="AB2040" s="51"/>
      <c r="AC2040" s="51"/>
      <c r="AD2040" s="51"/>
      <c r="AE2040" s="51"/>
      <c r="AF2040" s="51"/>
      <c r="AG2040" s="51"/>
      <c r="AH2040" s="51"/>
      <c r="AI2040" s="51"/>
      <c r="AJ2040" s="51"/>
      <c r="AK2040" s="51"/>
      <c r="AL2040" s="51"/>
      <c r="AM2040" s="51"/>
      <c r="AN2040" s="51"/>
      <c r="AO2040" s="51"/>
      <c r="AP2040" s="51"/>
      <c r="AQ2040" s="51"/>
      <c r="AR2040" s="51"/>
      <c r="AS2040" s="51"/>
      <c r="AT2040" s="51"/>
      <c r="AU2040" s="51"/>
      <c r="AV2040" s="51"/>
      <c r="AW2040" s="51"/>
    </row>
    <row r="2041" spans="1:49" s="31" customFormat="1" ht="15.75" x14ac:dyDescent="0.2">
      <c r="A2041" s="51"/>
      <c r="B2041" s="51"/>
      <c r="C2041" s="51"/>
      <c r="D2041" s="51"/>
      <c r="E2041" s="51"/>
      <c r="F2041" s="51"/>
      <c r="G2041" s="51"/>
      <c r="H2041" s="51"/>
      <c r="I2041" s="51"/>
      <c r="J2041" s="51"/>
      <c r="K2041" s="51"/>
      <c r="L2041" s="51"/>
      <c r="M2041" s="51"/>
      <c r="N2041" s="51"/>
      <c r="O2041" s="51"/>
      <c r="P2041" s="51"/>
      <c r="Q2041" s="51"/>
      <c r="R2041" s="51"/>
      <c r="S2041" s="51"/>
      <c r="T2041" s="51"/>
      <c r="U2041" s="51"/>
      <c r="V2041" s="51"/>
      <c r="W2041" s="51"/>
      <c r="X2041" s="51"/>
      <c r="Y2041" s="51"/>
      <c r="Z2041" s="51"/>
      <c r="AA2041" s="51"/>
      <c r="AB2041" s="51"/>
      <c r="AC2041" s="51"/>
      <c r="AD2041" s="51"/>
      <c r="AE2041" s="51"/>
      <c r="AF2041" s="51"/>
      <c r="AG2041" s="51"/>
      <c r="AH2041" s="51"/>
      <c r="AI2041" s="51"/>
      <c r="AJ2041" s="51"/>
      <c r="AK2041" s="51"/>
      <c r="AL2041" s="51"/>
      <c r="AM2041" s="51"/>
      <c r="AN2041" s="51"/>
      <c r="AO2041" s="51"/>
      <c r="AP2041" s="51"/>
      <c r="AQ2041" s="51"/>
      <c r="AR2041" s="51"/>
      <c r="AS2041" s="51"/>
      <c r="AT2041" s="51"/>
      <c r="AU2041" s="51"/>
      <c r="AV2041" s="51"/>
      <c r="AW2041" s="51"/>
    </row>
    <row r="2042" spans="1:49" s="31" customFormat="1" ht="15.75" x14ac:dyDescent="0.2">
      <c r="A2042" s="51"/>
      <c r="B2042" s="51"/>
      <c r="C2042" s="51"/>
      <c r="D2042" s="51"/>
      <c r="E2042" s="51"/>
      <c r="F2042" s="51"/>
      <c r="G2042" s="51"/>
      <c r="H2042" s="51"/>
      <c r="I2042" s="51"/>
      <c r="J2042" s="51"/>
      <c r="K2042" s="51"/>
      <c r="L2042" s="51"/>
      <c r="M2042" s="51"/>
      <c r="N2042" s="51"/>
      <c r="O2042" s="51"/>
      <c r="P2042" s="51"/>
      <c r="Q2042" s="51"/>
      <c r="R2042" s="51"/>
      <c r="S2042" s="51"/>
      <c r="T2042" s="51"/>
      <c r="U2042" s="51"/>
      <c r="V2042" s="51"/>
      <c r="W2042" s="51"/>
      <c r="X2042" s="51"/>
      <c r="Y2042" s="51"/>
      <c r="Z2042" s="51"/>
      <c r="AA2042" s="51"/>
      <c r="AB2042" s="51"/>
      <c r="AC2042" s="51"/>
      <c r="AD2042" s="51"/>
      <c r="AE2042" s="51"/>
      <c r="AF2042" s="51"/>
      <c r="AG2042" s="51"/>
      <c r="AH2042" s="51"/>
      <c r="AI2042" s="51"/>
      <c r="AJ2042" s="51"/>
      <c r="AK2042" s="51"/>
      <c r="AL2042" s="51"/>
      <c r="AM2042" s="51"/>
      <c r="AN2042" s="51"/>
      <c r="AO2042" s="51"/>
      <c r="AP2042" s="51"/>
      <c r="AQ2042" s="51"/>
      <c r="AR2042" s="51"/>
      <c r="AS2042" s="51"/>
      <c r="AT2042" s="51"/>
      <c r="AU2042" s="51"/>
      <c r="AV2042" s="51"/>
      <c r="AW2042" s="51"/>
    </row>
    <row r="2043" spans="1:49" s="31" customFormat="1" ht="15.75" x14ac:dyDescent="0.2">
      <c r="A2043" s="51"/>
      <c r="B2043" s="51"/>
      <c r="C2043" s="51"/>
      <c r="D2043" s="51"/>
      <c r="E2043" s="51"/>
      <c r="F2043" s="51"/>
      <c r="G2043" s="51"/>
      <c r="H2043" s="51"/>
      <c r="I2043" s="51"/>
      <c r="J2043" s="51"/>
      <c r="K2043" s="51"/>
      <c r="L2043" s="51"/>
      <c r="M2043" s="51"/>
      <c r="N2043" s="51"/>
      <c r="O2043" s="51"/>
      <c r="P2043" s="51"/>
      <c r="Q2043" s="51"/>
      <c r="R2043" s="51"/>
      <c r="S2043" s="51"/>
      <c r="T2043" s="51"/>
      <c r="U2043" s="51"/>
      <c r="V2043" s="51"/>
      <c r="W2043" s="51"/>
      <c r="X2043" s="51"/>
      <c r="Y2043" s="51"/>
      <c r="Z2043" s="51"/>
      <c r="AA2043" s="51"/>
      <c r="AB2043" s="51"/>
      <c r="AC2043" s="51"/>
      <c r="AD2043" s="51"/>
      <c r="AE2043" s="51"/>
      <c r="AF2043" s="51"/>
      <c r="AG2043" s="51"/>
      <c r="AH2043" s="51"/>
      <c r="AI2043" s="51"/>
      <c r="AJ2043" s="51"/>
      <c r="AK2043" s="51"/>
      <c r="AL2043" s="51"/>
      <c r="AM2043" s="51"/>
      <c r="AN2043" s="51"/>
      <c r="AO2043" s="51"/>
      <c r="AP2043" s="51"/>
      <c r="AQ2043" s="51"/>
      <c r="AR2043" s="51"/>
      <c r="AS2043" s="51"/>
      <c r="AT2043" s="51"/>
      <c r="AU2043" s="51"/>
      <c r="AV2043" s="51"/>
      <c r="AW2043" s="51"/>
    </row>
    <row r="2044" spans="1:49" s="31" customFormat="1" ht="15.75" x14ac:dyDescent="0.2">
      <c r="A2044" s="51"/>
      <c r="B2044" s="51"/>
      <c r="C2044" s="51"/>
      <c r="D2044" s="51"/>
      <c r="E2044" s="51"/>
      <c r="F2044" s="51"/>
      <c r="G2044" s="51"/>
      <c r="H2044" s="51"/>
      <c r="I2044" s="51"/>
      <c r="J2044" s="51"/>
      <c r="K2044" s="51"/>
      <c r="L2044" s="51"/>
      <c r="M2044" s="51"/>
      <c r="N2044" s="51"/>
      <c r="O2044" s="51"/>
      <c r="P2044" s="51"/>
      <c r="Q2044" s="51"/>
      <c r="R2044" s="51"/>
      <c r="S2044" s="51"/>
      <c r="T2044" s="51"/>
      <c r="U2044" s="51"/>
      <c r="V2044" s="51"/>
      <c r="W2044" s="51"/>
      <c r="X2044" s="51"/>
      <c r="Y2044" s="51"/>
      <c r="Z2044" s="51"/>
      <c r="AA2044" s="51"/>
      <c r="AB2044" s="51"/>
      <c r="AC2044" s="51"/>
      <c r="AD2044" s="51"/>
      <c r="AE2044" s="51"/>
      <c r="AF2044" s="51"/>
      <c r="AG2044" s="51"/>
      <c r="AH2044" s="51"/>
      <c r="AI2044" s="51"/>
      <c r="AJ2044" s="51"/>
      <c r="AK2044" s="51"/>
      <c r="AL2044" s="51"/>
      <c r="AM2044" s="51"/>
      <c r="AN2044" s="51"/>
      <c r="AO2044" s="51"/>
      <c r="AP2044" s="51"/>
      <c r="AQ2044" s="51"/>
      <c r="AR2044" s="51"/>
      <c r="AS2044" s="51"/>
      <c r="AT2044" s="51"/>
      <c r="AU2044" s="51"/>
      <c r="AV2044" s="51"/>
      <c r="AW2044" s="51"/>
    </row>
    <row r="2045" spans="1:49" s="31" customFormat="1" ht="15.75" x14ac:dyDescent="0.2">
      <c r="A2045" s="51"/>
      <c r="B2045" s="51"/>
      <c r="C2045" s="51"/>
      <c r="D2045" s="51"/>
      <c r="E2045" s="51"/>
      <c r="F2045" s="51"/>
      <c r="G2045" s="51"/>
      <c r="H2045" s="51"/>
      <c r="I2045" s="51"/>
      <c r="J2045" s="51"/>
      <c r="K2045" s="51"/>
      <c r="L2045" s="51"/>
      <c r="M2045" s="51"/>
      <c r="N2045" s="51"/>
      <c r="O2045" s="51"/>
      <c r="P2045" s="51"/>
      <c r="Q2045" s="51"/>
      <c r="R2045" s="51"/>
      <c r="S2045" s="51"/>
      <c r="T2045" s="51"/>
      <c r="U2045" s="51"/>
      <c r="V2045" s="51"/>
      <c r="W2045" s="51"/>
      <c r="X2045" s="51"/>
      <c r="Y2045" s="51"/>
      <c r="Z2045" s="51"/>
      <c r="AA2045" s="51"/>
      <c r="AB2045" s="51"/>
      <c r="AC2045" s="51"/>
      <c r="AD2045" s="51"/>
      <c r="AE2045" s="51"/>
      <c r="AF2045" s="51"/>
      <c r="AG2045" s="51"/>
      <c r="AH2045" s="51"/>
      <c r="AI2045" s="51"/>
      <c r="AJ2045" s="51"/>
      <c r="AK2045" s="51"/>
      <c r="AL2045" s="51"/>
      <c r="AM2045" s="51"/>
      <c r="AN2045" s="51"/>
      <c r="AO2045" s="51"/>
      <c r="AP2045" s="51"/>
      <c r="AQ2045" s="51"/>
      <c r="AR2045" s="51"/>
      <c r="AS2045" s="51"/>
      <c r="AT2045" s="51"/>
      <c r="AU2045" s="51"/>
      <c r="AV2045" s="51"/>
      <c r="AW2045" s="51"/>
    </row>
    <row r="2046" spans="1:49" s="31" customFormat="1" ht="15.75" x14ac:dyDescent="0.2">
      <c r="A2046" s="51"/>
      <c r="B2046" s="51"/>
      <c r="C2046" s="51"/>
      <c r="D2046" s="51"/>
      <c r="E2046" s="51"/>
      <c r="F2046" s="51"/>
      <c r="G2046" s="51"/>
      <c r="H2046" s="51"/>
      <c r="I2046" s="51"/>
      <c r="J2046" s="51"/>
      <c r="K2046" s="51"/>
      <c r="L2046" s="51"/>
      <c r="M2046" s="51"/>
      <c r="N2046" s="51"/>
      <c r="O2046" s="51"/>
      <c r="P2046" s="51"/>
      <c r="Q2046" s="51"/>
      <c r="R2046" s="51"/>
      <c r="S2046" s="51"/>
      <c r="T2046" s="51"/>
      <c r="U2046" s="51"/>
      <c r="V2046" s="51"/>
      <c r="W2046" s="51"/>
      <c r="X2046" s="51"/>
      <c r="Y2046" s="51"/>
      <c r="Z2046" s="51"/>
      <c r="AA2046" s="51"/>
      <c r="AB2046" s="51"/>
      <c r="AC2046" s="51"/>
      <c r="AD2046" s="51"/>
      <c r="AE2046" s="51"/>
      <c r="AF2046" s="51"/>
      <c r="AG2046" s="51"/>
      <c r="AH2046" s="51"/>
      <c r="AI2046" s="51"/>
      <c r="AJ2046" s="51"/>
      <c r="AK2046" s="51"/>
      <c r="AL2046" s="51"/>
      <c r="AM2046" s="51"/>
      <c r="AN2046" s="51"/>
      <c r="AO2046" s="51"/>
      <c r="AP2046" s="51"/>
      <c r="AQ2046" s="51"/>
      <c r="AR2046" s="51"/>
      <c r="AS2046" s="51"/>
      <c r="AT2046" s="51"/>
      <c r="AU2046" s="51"/>
      <c r="AV2046" s="51"/>
      <c r="AW2046" s="51"/>
    </row>
    <row r="2047" spans="1:49" s="31" customFormat="1" ht="15.75" x14ac:dyDescent="0.2">
      <c r="A2047" s="51"/>
      <c r="B2047" s="51"/>
      <c r="C2047" s="51"/>
      <c r="D2047" s="51"/>
      <c r="E2047" s="51"/>
      <c r="F2047" s="51"/>
      <c r="G2047" s="51"/>
      <c r="H2047" s="51"/>
      <c r="I2047" s="51"/>
      <c r="J2047" s="51"/>
      <c r="K2047" s="51"/>
      <c r="L2047" s="51"/>
      <c r="M2047" s="51"/>
      <c r="N2047" s="51"/>
      <c r="O2047" s="51"/>
      <c r="P2047" s="51"/>
      <c r="Q2047" s="51"/>
      <c r="R2047" s="51"/>
      <c r="S2047" s="51"/>
      <c r="T2047" s="51"/>
      <c r="U2047" s="51"/>
      <c r="V2047" s="51"/>
      <c r="W2047" s="51"/>
      <c r="X2047" s="51"/>
      <c r="Y2047" s="51"/>
      <c r="Z2047" s="51"/>
      <c r="AA2047" s="51"/>
      <c r="AB2047" s="51"/>
      <c r="AC2047" s="51"/>
      <c r="AD2047" s="51"/>
      <c r="AE2047" s="51"/>
      <c r="AF2047" s="51"/>
      <c r="AG2047" s="51"/>
      <c r="AH2047" s="51"/>
      <c r="AI2047" s="51"/>
      <c r="AJ2047" s="51"/>
      <c r="AK2047" s="51"/>
      <c r="AL2047" s="51"/>
      <c r="AM2047" s="51"/>
      <c r="AN2047" s="51"/>
      <c r="AO2047" s="51"/>
      <c r="AP2047" s="51"/>
      <c r="AQ2047" s="51"/>
      <c r="AR2047" s="51"/>
      <c r="AS2047" s="51"/>
      <c r="AT2047" s="51"/>
      <c r="AU2047" s="51"/>
      <c r="AV2047" s="51"/>
      <c r="AW2047" s="51"/>
    </row>
    <row r="2048" spans="1:49" s="31" customFormat="1" ht="15.75" x14ac:dyDescent="0.2">
      <c r="A2048" s="51"/>
      <c r="B2048" s="51"/>
      <c r="C2048" s="51"/>
      <c r="D2048" s="51"/>
      <c r="E2048" s="51"/>
      <c r="F2048" s="51"/>
      <c r="G2048" s="51"/>
      <c r="H2048" s="51"/>
      <c r="I2048" s="51"/>
      <c r="J2048" s="51"/>
      <c r="K2048" s="51"/>
      <c r="L2048" s="51"/>
      <c r="M2048" s="51"/>
      <c r="N2048" s="51"/>
      <c r="O2048" s="51"/>
      <c r="P2048" s="51"/>
      <c r="Q2048" s="51"/>
      <c r="R2048" s="51"/>
      <c r="S2048" s="51"/>
      <c r="T2048" s="51"/>
      <c r="U2048" s="51"/>
      <c r="V2048" s="51"/>
      <c r="W2048" s="51"/>
      <c r="X2048" s="51"/>
      <c r="Y2048" s="51"/>
      <c r="Z2048" s="51"/>
      <c r="AA2048" s="51"/>
      <c r="AB2048" s="51"/>
      <c r="AC2048" s="51"/>
      <c r="AD2048" s="51"/>
      <c r="AE2048" s="51"/>
      <c r="AF2048" s="51"/>
      <c r="AG2048" s="51"/>
      <c r="AH2048" s="51"/>
      <c r="AI2048" s="51"/>
      <c r="AJ2048" s="51"/>
      <c r="AK2048" s="51"/>
      <c r="AL2048" s="51"/>
      <c r="AM2048" s="51"/>
      <c r="AN2048" s="51"/>
      <c r="AO2048" s="51"/>
      <c r="AP2048" s="51"/>
      <c r="AQ2048" s="51"/>
      <c r="AR2048" s="51"/>
      <c r="AS2048" s="51"/>
      <c r="AT2048" s="51"/>
      <c r="AU2048" s="51"/>
      <c r="AV2048" s="51"/>
      <c r="AW2048" s="51"/>
    </row>
    <row r="2049" spans="1:49" s="31" customFormat="1" ht="15.75" x14ac:dyDescent="0.2">
      <c r="A2049" s="51"/>
      <c r="B2049" s="51"/>
      <c r="C2049" s="51"/>
      <c r="D2049" s="51"/>
      <c r="E2049" s="51"/>
      <c r="F2049" s="51"/>
      <c r="G2049" s="51"/>
      <c r="H2049" s="51"/>
      <c r="I2049" s="51"/>
      <c r="J2049" s="51"/>
      <c r="K2049" s="51"/>
      <c r="L2049" s="51"/>
      <c r="M2049" s="51"/>
      <c r="N2049" s="51"/>
      <c r="O2049" s="51"/>
      <c r="P2049" s="51"/>
      <c r="Q2049" s="51"/>
      <c r="R2049" s="51"/>
      <c r="S2049" s="51"/>
      <c r="T2049" s="51"/>
      <c r="U2049" s="51"/>
      <c r="V2049" s="51"/>
      <c r="W2049" s="51"/>
      <c r="X2049" s="51"/>
      <c r="Y2049" s="51"/>
      <c r="Z2049" s="51"/>
      <c r="AA2049" s="51"/>
      <c r="AB2049" s="51"/>
      <c r="AC2049" s="51"/>
      <c r="AD2049" s="51"/>
      <c r="AE2049" s="51"/>
      <c r="AF2049" s="51"/>
      <c r="AG2049" s="51"/>
      <c r="AH2049" s="51"/>
      <c r="AI2049" s="51"/>
      <c r="AJ2049" s="51"/>
      <c r="AK2049" s="51"/>
      <c r="AL2049" s="51"/>
      <c r="AM2049" s="51"/>
      <c r="AN2049" s="51"/>
      <c r="AO2049" s="51"/>
      <c r="AP2049" s="51"/>
      <c r="AQ2049" s="51"/>
      <c r="AR2049" s="51"/>
      <c r="AS2049" s="51"/>
      <c r="AT2049" s="51"/>
      <c r="AU2049" s="51"/>
      <c r="AV2049" s="51"/>
      <c r="AW2049" s="51"/>
    </row>
    <row r="2050" spans="1:49" s="31" customFormat="1" ht="15.75" x14ac:dyDescent="0.2">
      <c r="A2050" s="51"/>
      <c r="B2050" s="51"/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  <c r="S2050" s="51"/>
      <c r="T2050" s="51"/>
      <c r="U2050" s="51"/>
      <c r="V2050" s="51"/>
      <c r="W2050" s="51"/>
      <c r="X2050" s="51"/>
      <c r="Y2050" s="51"/>
      <c r="Z2050" s="51"/>
      <c r="AA2050" s="51"/>
      <c r="AB2050" s="51"/>
      <c r="AC2050" s="51"/>
      <c r="AD2050" s="51"/>
      <c r="AE2050" s="51"/>
      <c r="AF2050" s="51"/>
      <c r="AG2050" s="51"/>
      <c r="AH2050" s="51"/>
      <c r="AI2050" s="51"/>
      <c r="AJ2050" s="51"/>
      <c r="AK2050" s="51"/>
      <c r="AL2050" s="51"/>
      <c r="AM2050" s="51"/>
      <c r="AN2050" s="51"/>
      <c r="AO2050" s="51"/>
      <c r="AP2050" s="51"/>
      <c r="AQ2050" s="51"/>
      <c r="AR2050" s="51"/>
      <c r="AS2050" s="51"/>
      <c r="AT2050" s="51"/>
      <c r="AU2050" s="51"/>
      <c r="AV2050" s="51"/>
      <c r="AW2050" s="51"/>
    </row>
    <row r="2051" spans="1:49" s="31" customFormat="1" ht="15.75" x14ac:dyDescent="0.2">
      <c r="A2051" s="51"/>
      <c r="B2051" s="51"/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  <c r="S2051" s="51"/>
      <c r="T2051" s="51"/>
      <c r="U2051" s="51"/>
      <c r="V2051" s="51"/>
      <c r="W2051" s="51"/>
      <c r="X2051" s="51"/>
      <c r="Y2051" s="51"/>
      <c r="Z2051" s="51"/>
      <c r="AA2051" s="51"/>
      <c r="AB2051" s="51"/>
      <c r="AC2051" s="51"/>
      <c r="AD2051" s="51"/>
      <c r="AE2051" s="51"/>
      <c r="AF2051" s="51"/>
      <c r="AG2051" s="51"/>
      <c r="AH2051" s="51"/>
      <c r="AI2051" s="51"/>
      <c r="AJ2051" s="51"/>
      <c r="AK2051" s="51"/>
      <c r="AL2051" s="51"/>
      <c r="AM2051" s="51"/>
      <c r="AN2051" s="51"/>
      <c r="AO2051" s="51"/>
      <c r="AP2051" s="51"/>
      <c r="AQ2051" s="51"/>
      <c r="AR2051" s="51"/>
      <c r="AS2051" s="51"/>
      <c r="AT2051" s="51"/>
      <c r="AU2051" s="51"/>
      <c r="AV2051" s="51"/>
      <c r="AW2051" s="51"/>
    </row>
    <row r="2052" spans="1:49" s="31" customFormat="1" ht="15.75" x14ac:dyDescent="0.2">
      <c r="A2052" s="51"/>
      <c r="B2052" s="51"/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  <c r="S2052" s="51"/>
      <c r="T2052" s="51"/>
      <c r="U2052" s="51"/>
      <c r="V2052" s="51"/>
      <c r="W2052" s="51"/>
      <c r="X2052" s="51"/>
      <c r="Y2052" s="51"/>
      <c r="Z2052" s="51"/>
      <c r="AA2052" s="51"/>
      <c r="AB2052" s="51"/>
      <c r="AC2052" s="51"/>
      <c r="AD2052" s="51"/>
      <c r="AE2052" s="51"/>
      <c r="AF2052" s="51"/>
      <c r="AG2052" s="51"/>
      <c r="AH2052" s="51"/>
      <c r="AI2052" s="51"/>
      <c r="AJ2052" s="51"/>
      <c r="AK2052" s="51"/>
      <c r="AL2052" s="51"/>
      <c r="AM2052" s="51"/>
      <c r="AN2052" s="51"/>
      <c r="AO2052" s="51"/>
      <c r="AP2052" s="51"/>
      <c r="AQ2052" s="51"/>
      <c r="AR2052" s="51"/>
      <c r="AS2052" s="51"/>
      <c r="AT2052" s="51"/>
      <c r="AU2052" s="51"/>
      <c r="AV2052" s="51"/>
      <c r="AW2052" s="51"/>
    </row>
    <row r="2053" spans="1:49" s="31" customFormat="1" ht="15.75" x14ac:dyDescent="0.2">
      <c r="A2053" s="51"/>
      <c r="B2053" s="51"/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  <c r="S2053" s="51"/>
      <c r="T2053" s="51"/>
      <c r="U2053" s="51"/>
      <c r="V2053" s="51"/>
      <c r="W2053" s="51"/>
      <c r="X2053" s="51"/>
      <c r="Y2053" s="51"/>
      <c r="Z2053" s="51"/>
      <c r="AA2053" s="51"/>
      <c r="AB2053" s="51"/>
      <c r="AC2053" s="51"/>
      <c r="AD2053" s="51"/>
      <c r="AE2053" s="51"/>
      <c r="AF2053" s="51"/>
      <c r="AG2053" s="51"/>
      <c r="AH2053" s="51"/>
      <c r="AI2053" s="51"/>
      <c r="AJ2053" s="51"/>
      <c r="AK2053" s="51"/>
      <c r="AL2053" s="51"/>
      <c r="AM2053" s="51"/>
      <c r="AN2053" s="51"/>
      <c r="AO2053" s="51"/>
      <c r="AP2053" s="51"/>
      <c r="AQ2053" s="51"/>
      <c r="AR2053" s="51"/>
      <c r="AS2053" s="51"/>
      <c r="AT2053" s="51"/>
      <c r="AU2053" s="51"/>
      <c r="AV2053" s="51"/>
      <c r="AW2053" s="51"/>
    </row>
    <row r="2054" spans="1:49" s="31" customFormat="1" ht="15.75" x14ac:dyDescent="0.2">
      <c r="A2054" s="51"/>
      <c r="B2054" s="51"/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  <c r="S2054" s="51"/>
      <c r="T2054" s="51"/>
      <c r="U2054" s="51"/>
      <c r="V2054" s="51"/>
      <c r="W2054" s="51"/>
      <c r="X2054" s="51"/>
      <c r="Y2054" s="51"/>
      <c r="Z2054" s="51"/>
      <c r="AA2054" s="51"/>
      <c r="AB2054" s="51"/>
      <c r="AC2054" s="51"/>
      <c r="AD2054" s="51"/>
      <c r="AE2054" s="51"/>
      <c r="AF2054" s="51"/>
      <c r="AG2054" s="51"/>
      <c r="AH2054" s="51"/>
      <c r="AI2054" s="51"/>
      <c r="AJ2054" s="51"/>
      <c r="AK2054" s="51"/>
      <c r="AL2054" s="51"/>
      <c r="AM2054" s="51"/>
      <c r="AN2054" s="51"/>
      <c r="AO2054" s="51"/>
      <c r="AP2054" s="51"/>
      <c r="AQ2054" s="51"/>
      <c r="AR2054" s="51"/>
      <c r="AS2054" s="51"/>
      <c r="AT2054" s="51"/>
      <c r="AU2054" s="51"/>
      <c r="AV2054" s="51"/>
      <c r="AW2054" s="51"/>
    </row>
    <row r="2055" spans="1:49" s="31" customFormat="1" ht="15.75" x14ac:dyDescent="0.2">
      <c r="A2055" s="51"/>
      <c r="B2055" s="51"/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  <c r="S2055" s="51"/>
      <c r="T2055" s="51"/>
      <c r="U2055" s="51"/>
      <c r="V2055" s="51"/>
      <c r="W2055" s="51"/>
      <c r="X2055" s="51"/>
      <c r="Y2055" s="51"/>
      <c r="Z2055" s="51"/>
      <c r="AA2055" s="51"/>
      <c r="AB2055" s="51"/>
      <c r="AC2055" s="51"/>
      <c r="AD2055" s="51"/>
      <c r="AE2055" s="51"/>
      <c r="AF2055" s="51"/>
      <c r="AG2055" s="51"/>
      <c r="AH2055" s="51"/>
      <c r="AI2055" s="51"/>
      <c r="AJ2055" s="51"/>
      <c r="AK2055" s="51"/>
      <c r="AL2055" s="51"/>
      <c r="AM2055" s="51"/>
      <c r="AN2055" s="51"/>
      <c r="AO2055" s="51"/>
      <c r="AP2055" s="51"/>
      <c r="AQ2055" s="51"/>
      <c r="AR2055" s="51"/>
      <c r="AS2055" s="51"/>
      <c r="AT2055" s="51"/>
      <c r="AU2055" s="51"/>
      <c r="AV2055" s="51"/>
      <c r="AW2055" s="51"/>
    </row>
    <row r="2056" spans="1:49" s="31" customFormat="1" ht="15.75" x14ac:dyDescent="0.2">
      <c r="A2056" s="51"/>
      <c r="B2056" s="51"/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  <c r="S2056" s="51"/>
      <c r="T2056" s="51"/>
      <c r="U2056" s="51"/>
      <c r="V2056" s="51"/>
      <c r="W2056" s="51"/>
      <c r="X2056" s="51"/>
      <c r="Y2056" s="51"/>
      <c r="Z2056" s="51"/>
      <c r="AA2056" s="51"/>
      <c r="AB2056" s="51"/>
      <c r="AC2056" s="51"/>
      <c r="AD2056" s="51"/>
      <c r="AE2056" s="51"/>
      <c r="AF2056" s="51"/>
      <c r="AG2056" s="51"/>
      <c r="AH2056" s="51"/>
      <c r="AI2056" s="51"/>
      <c r="AJ2056" s="51"/>
      <c r="AK2056" s="51"/>
      <c r="AL2056" s="51"/>
      <c r="AM2056" s="51"/>
      <c r="AN2056" s="51"/>
      <c r="AO2056" s="51"/>
      <c r="AP2056" s="51"/>
      <c r="AQ2056" s="51"/>
      <c r="AR2056" s="51"/>
      <c r="AS2056" s="51"/>
      <c r="AT2056" s="51"/>
      <c r="AU2056" s="51"/>
      <c r="AV2056" s="51"/>
      <c r="AW2056" s="51"/>
    </row>
    <row r="2057" spans="1:49" s="31" customFormat="1" ht="15.75" x14ac:dyDescent="0.2">
      <c r="A2057" s="51"/>
      <c r="B2057" s="51"/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  <c r="S2057" s="51"/>
      <c r="T2057" s="51"/>
      <c r="U2057" s="51"/>
      <c r="V2057" s="51"/>
      <c r="W2057" s="51"/>
      <c r="X2057" s="51"/>
      <c r="Y2057" s="51"/>
      <c r="Z2057" s="51"/>
      <c r="AA2057" s="51"/>
      <c r="AB2057" s="51"/>
      <c r="AC2057" s="51"/>
      <c r="AD2057" s="51"/>
      <c r="AE2057" s="51"/>
      <c r="AF2057" s="51"/>
      <c r="AG2057" s="51"/>
      <c r="AH2057" s="51"/>
      <c r="AI2057" s="51"/>
      <c r="AJ2057" s="51"/>
      <c r="AK2057" s="51"/>
      <c r="AL2057" s="51"/>
      <c r="AM2057" s="51"/>
      <c r="AN2057" s="51"/>
      <c r="AO2057" s="51"/>
      <c r="AP2057" s="51"/>
      <c r="AQ2057" s="51"/>
      <c r="AR2057" s="51"/>
      <c r="AS2057" s="51"/>
      <c r="AT2057" s="51"/>
      <c r="AU2057" s="51"/>
      <c r="AV2057" s="51"/>
      <c r="AW2057" s="51"/>
    </row>
    <row r="2058" spans="1:49" s="31" customFormat="1" ht="15.75" x14ac:dyDescent="0.2">
      <c r="A2058" s="51"/>
      <c r="B2058" s="51"/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  <c r="S2058" s="51"/>
      <c r="T2058" s="51"/>
      <c r="U2058" s="51"/>
      <c r="V2058" s="51"/>
      <c r="W2058" s="51"/>
      <c r="X2058" s="51"/>
      <c r="Y2058" s="51"/>
      <c r="Z2058" s="51"/>
      <c r="AA2058" s="51"/>
      <c r="AB2058" s="51"/>
      <c r="AC2058" s="51"/>
      <c r="AD2058" s="51"/>
      <c r="AE2058" s="51"/>
      <c r="AF2058" s="51"/>
      <c r="AG2058" s="51"/>
      <c r="AH2058" s="51"/>
      <c r="AI2058" s="51"/>
      <c r="AJ2058" s="51"/>
      <c r="AK2058" s="51"/>
      <c r="AL2058" s="51"/>
      <c r="AM2058" s="51"/>
      <c r="AN2058" s="51"/>
      <c r="AO2058" s="51"/>
      <c r="AP2058" s="51"/>
      <c r="AQ2058" s="51"/>
      <c r="AR2058" s="51"/>
      <c r="AS2058" s="51"/>
      <c r="AT2058" s="51"/>
      <c r="AU2058" s="51"/>
      <c r="AV2058" s="51"/>
      <c r="AW2058" s="51"/>
    </row>
    <row r="2059" spans="1:49" s="31" customFormat="1" ht="15.75" x14ac:dyDescent="0.2">
      <c r="A2059" s="51"/>
      <c r="B2059" s="51"/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  <c r="S2059" s="51"/>
      <c r="T2059" s="51"/>
      <c r="U2059" s="51"/>
      <c r="V2059" s="51"/>
      <c r="W2059" s="51"/>
      <c r="X2059" s="51"/>
      <c r="Y2059" s="51"/>
      <c r="Z2059" s="51"/>
      <c r="AA2059" s="51"/>
      <c r="AB2059" s="51"/>
      <c r="AC2059" s="51"/>
      <c r="AD2059" s="51"/>
      <c r="AE2059" s="51"/>
      <c r="AF2059" s="51"/>
      <c r="AG2059" s="51"/>
      <c r="AH2059" s="51"/>
      <c r="AI2059" s="51"/>
      <c r="AJ2059" s="51"/>
      <c r="AK2059" s="51"/>
      <c r="AL2059" s="51"/>
      <c r="AM2059" s="51"/>
      <c r="AN2059" s="51"/>
      <c r="AO2059" s="51"/>
      <c r="AP2059" s="51"/>
      <c r="AQ2059" s="51"/>
      <c r="AR2059" s="51"/>
      <c r="AS2059" s="51"/>
      <c r="AT2059" s="51"/>
      <c r="AU2059" s="51"/>
      <c r="AV2059" s="51"/>
      <c r="AW2059" s="51"/>
    </row>
    <row r="2060" spans="1:49" s="31" customFormat="1" ht="15.75" x14ac:dyDescent="0.2">
      <c r="A2060" s="51"/>
      <c r="B2060" s="51"/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  <c r="S2060" s="51"/>
      <c r="T2060" s="51"/>
      <c r="U2060" s="51"/>
      <c r="V2060" s="51"/>
      <c r="W2060" s="51"/>
      <c r="X2060" s="51"/>
      <c r="Y2060" s="51"/>
      <c r="Z2060" s="51"/>
      <c r="AA2060" s="51"/>
      <c r="AB2060" s="51"/>
      <c r="AC2060" s="51"/>
      <c r="AD2060" s="51"/>
      <c r="AE2060" s="51"/>
      <c r="AF2060" s="51"/>
      <c r="AG2060" s="51"/>
      <c r="AH2060" s="51"/>
      <c r="AI2060" s="51"/>
      <c r="AJ2060" s="51"/>
      <c r="AK2060" s="51"/>
      <c r="AL2060" s="51"/>
      <c r="AM2060" s="51"/>
      <c r="AN2060" s="51"/>
      <c r="AO2060" s="51"/>
      <c r="AP2060" s="51"/>
      <c r="AQ2060" s="51"/>
      <c r="AR2060" s="51"/>
      <c r="AS2060" s="51"/>
      <c r="AT2060" s="51"/>
      <c r="AU2060" s="51"/>
      <c r="AV2060" s="51"/>
      <c r="AW2060" s="51"/>
    </row>
    <row r="2061" spans="1:49" s="31" customFormat="1" ht="15.75" x14ac:dyDescent="0.2">
      <c r="A2061" s="51"/>
      <c r="B2061" s="51"/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  <c r="S2061" s="51"/>
      <c r="T2061" s="51"/>
      <c r="U2061" s="51"/>
      <c r="V2061" s="51"/>
      <c r="W2061" s="51"/>
      <c r="X2061" s="51"/>
      <c r="Y2061" s="51"/>
      <c r="Z2061" s="51"/>
      <c r="AA2061" s="51"/>
      <c r="AB2061" s="51"/>
      <c r="AC2061" s="51"/>
      <c r="AD2061" s="51"/>
      <c r="AE2061" s="51"/>
      <c r="AF2061" s="51"/>
      <c r="AG2061" s="51"/>
      <c r="AH2061" s="51"/>
      <c r="AI2061" s="51"/>
      <c r="AJ2061" s="51"/>
      <c r="AK2061" s="51"/>
      <c r="AL2061" s="51"/>
      <c r="AM2061" s="51"/>
      <c r="AN2061" s="51"/>
      <c r="AO2061" s="51"/>
      <c r="AP2061" s="51"/>
      <c r="AQ2061" s="51"/>
      <c r="AR2061" s="51"/>
      <c r="AS2061" s="51"/>
      <c r="AT2061" s="51"/>
      <c r="AU2061" s="51"/>
      <c r="AV2061" s="51"/>
      <c r="AW2061" s="51"/>
    </row>
    <row r="2062" spans="1:49" s="31" customFormat="1" ht="15.75" x14ac:dyDescent="0.2">
      <c r="A2062" s="51"/>
      <c r="B2062" s="51"/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  <c r="S2062" s="51"/>
      <c r="T2062" s="51"/>
      <c r="U2062" s="51"/>
      <c r="V2062" s="51"/>
      <c r="W2062" s="51"/>
      <c r="X2062" s="51"/>
      <c r="Y2062" s="51"/>
      <c r="Z2062" s="51"/>
      <c r="AA2062" s="51"/>
      <c r="AB2062" s="51"/>
      <c r="AC2062" s="51"/>
      <c r="AD2062" s="51"/>
      <c r="AE2062" s="51"/>
      <c r="AF2062" s="51"/>
      <c r="AG2062" s="51"/>
      <c r="AH2062" s="51"/>
      <c r="AI2062" s="51"/>
      <c r="AJ2062" s="51"/>
      <c r="AK2062" s="51"/>
      <c r="AL2062" s="51"/>
      <c r="AM2062" s="51"/>
      <c r="AN2062" s="51"/>
      <c r="AO2062" s="51"/>
      <c r="AP2062" s="51"/>
      <c r="AQ2062" s="51"/>
      <c r="AR2062" s="51"/>
      <c r="AS2062" s="51"/>
      <c r="AT2062" s="51"/>
      <c r="AU2062" s="51"/>
      <c r="AV2062" s="51"/>
      <c r="AW2062" s="51"/>
    </row>
    <row r="2063" spans="1:49" s="31" customFormat="1" ht="15.75" x14ac:dyDescent="0.2">
      <c r="A2063" s="51"/>
      <c r="B2063" s="51"/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  <c r="S2063" s="51"/>
      <c r="T2063" s="51"/>
      <c r="U2063" s="51"/>
      <c r="V2063" s="51"/>
      <c r="W2063" s="51"/>
      <c r="X2063" s="51"/>
      <c r="Y2063" s="51"/>
      <c r="Z2063" s="51"/>
      <c r="AA2063" s="51"/>
      <c r="AB2063" s="51"/>
      <c r="AC2063" s="51"/>
      <c r="AD2063" s="51"/>
      <c r="AE2063" s="51"/>
      <c r="AF2063" s="51"/>
      <c r="AG2063" s="51"/>
      <c r="AH2063" s="51"/>
      <c r="AI2063" s="51"/>
      <c r="AJ2063" s="51"/>
      <c r="AK2063" s="51"/>
      <c r="AL2063" s="51"/>
      <c r="AM2063" s="51"/>
      <c r="AN2063" s="51"/>
      <c r="AO2063" s="51"/>
      <c r="AP2063" s="51"/>
      <c r="AQ2063" s="51"/>
      <c r="AR2063" s="51"/>
      <c r="AS2063" s="51"/>
      <c r="AT2063" s="51"/>
      <c r="AU2063" s="51"/>
      <c r="AV2063" s="51"/>
      <c r="AW2063" s="51"/>
    </row>
    <row r="2064" spans="1:49" s="31" customFormat="1" ht="15.75" x14ac:dyDescent="0.2">
      <c r="A2064" s="51"/>
      <c r="B2064" s="51"/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  <c r="S2064" s="51"/>
      <c r="T2064" s="51"/>
      <c r="U2064" s="51"/>
      <c r="V2064" s="51"/>
      <c r="W2064" s="51"/>
      <c r="X2064" s="51"/>
      <c r="Y2064" s="51"/>
      <c r="Z2064" s="51"/>
      <c r="AA2064" s="51"/>
      <c r="AB2064" s="51"/>
      <c r="AC2064" s="51"/>
      <c r="AD2064" s="51"/>
      <c r="AE2064" s="51"/>
      <c r="AF2064" s="51"/>
      <c r="AG2064" s="51"/>
      <c r="AH2064" s="51"/>
      <c r="AI2064" s="51"/>
      <c r="AJ2064" s="51"/>
      <c r="AK2064" s="51"/>
      <c r="AL2064" s="51"/>
      <c r="AM2064" s="51"/>
      <c r="AN2064" s="51"/>
      <c r="AO2064" s="51"/>
      <c r="AP2064" s="51"/>
      <c r="AQ2064" s="51"/>
      <c r="AR2064" s="51"/>
      <c r="AS2064" s="51"/>
      <c r="AT2064" s="51"/>
      <c r="AU2064" s="51"/>
      <c r="AV2064" s="51"/>
      <c r="AW2064" s="51"/>
    </row>
    <row r="2065" spans="1:49" s="31" customFormat="1" ht="15.75" x14ac:dyDescent="0.2">
      <c r="A2065" s="51"/>
      <c r="B2065" s="51"/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  <c r="S2065" s="51"/>
      <c r="T2065" s="51"/>
      <c r="U2065" s="51"/>
      <c r="V2065" s="51"/>
      <c r="W2065" s="51"/>
      <c r="X2065" s="51"/>
      <c r="Y2065" s="51"/>
      <c r="Z2065" s="51"/>
      <c r="AA2065" s="51"/>
      <c r="AB2065" s="51"/>
      <c r="AC2065" s="51"/>
      <c r="AD2065" s="51"/>
      <c r="AE2065" s="51"/>
      <c r="AF2065" s="51"/>
      <c r="AG2065" s="51"/>
      <c r="AH2065" s="51"/>
      <c r="AI2065" s="51"/>
      <c r="AJ2065" s="51"/>
      <c r="AK2065" s="51"/>
      <c r="AL2065" s="51"/>
      <c r="AM2065" s="51"/>
      <c r="AN2065" s="51"/>
      <c r="AO2065" s="51"/>
      <c r="AP2065" s="51"/>
      <c r="AQ2065" s="51"/>
      <c r="AR2065" s="51"/>
      <c r="AS2065" s="51"/>
      <c r="AT2065" s="51"/>
      <c r="AU2065" s="51"/>
      <c r="AV2065" s="51"/>
      <c r="AW2065" s="51"/>
    </row>
    <row r="2066" spans="1:49" s="31" customFormat="1" ht="15.75" x14ac:dyDescent="0.2">
      <c r="A2066" s="51"/>
      <c r="B2066" s="51"/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  <c r="S2066" s="51"/>
      <c r="T2066" s="51"/>
      <c r="U2066" s="51"/>
      <c r="V2066" s="51"/>
      <c r="W2066" s="51"/>
      <c r="X2066" s="51"/>
      <c r="Y2066" s="51"/>
      <c r="Z2066" s="51"/>
      <c r="AA2066" s="51"/>
      <c r="AB2066" s="51"/>
      <c r="AC2066" s="51"/>
      <c r="AD2066" s="51"/>
      <c r="AE2066" s="51"/>
      <c r="AF2066" s="51"/>
      <c r="AG2066" s="51"/>
      <c r="AH2066" s="51"/>
      <c r="AI2066" s="51"/>
      <c r="AJ2066" s="51"/>
      <c r="AK2066" s="51"/>
      <c r="AL2066" s="51"/>
      <c r="AM2066" s="51"/>
      <c r="AN2066" s="51"/>
      <c r="AO2066" s="51"/>
      <c r="AP2066" s="51"/>
      <c r="AQ2066" s="51"/>
      <c r="AR2066" s="51"/>
      <c r="AS2066" s="51"/>
      <c r="AT2066" s="51"/>
      <c r="AU2066" s="51"/>
      <c r="AV2066" s="51"/>
      <c r="AW2066" s="51"/>
    </row>
    <row r="2397" spans="1:49" s="38" customFormat="1" ht="15" x14ac:dyDescent="0.25">
      <c r="A2397" s="51"/>
      <c r="B2397" s="51"/>
      <c r="C2397" s="51"/>
      <c r="D2397" s="51"/>
      <c r="E2397" s="51"/>
      <c r="F2397" s="51"/>
      <c r="G2397" s="51"/>
      <c r="H2397" s="51"/>
      <c r="I2397" s="51"/>
      <c r="J2397" s="51"/>
      <c r="K2397" s="51"/>
      <c r="L2397" s="51"/>
      <c r="M2397" s="51"/>
      <c r="N2397" s="51"/>
      <c r="O2397" s="51"/>
      <c r="P2397" s="51"/>
      <c r="Q2397" s="51"/>
      <c r="R2397" s="51"/>
      <c r="S2397" s="51"/>
      <c r="T2397" s="51"/>
      <c r="U2397" s="51"/>
      <c r="V2397" s="51"/>
      <c r="W2397" s="51"/>
      <c r="X2397" s="51"/>
      <c r="Y2397" s="51"/>
      <c r="Z2397" s="51"/>
      <c r="AA2397" s="51"/>
      <c r="AB2397" s="51"/>
      <c r="AC2397" s="51"/>
      <c r="AD2397" s="51"/>
      <c r="AE2397" s="51"/>
      <c r="AF2397" s="51"/>
      <c r="AG2397" s="51"/>
      <c r="AH2397" s="51"/>
      <c r="AI2397" s="51"/>
      <c r="AJ2397" s="51"/>
      <c r="AK2397" s="51"/>
      <c r="AL2397" s="51"/>
      <c r="AM2397" s="51"/>
      <c r="AN2397" s="51"/>
      <c r="AO2397" s="51"/>
      <c r="AP2397" s="51"/>
      <c r="AQ2397" s="51"/>
      <c r="AR2397" s="51"/>
      <c r="AS2397" s="51"/>
      <c r="AT2397" s="51"/>
      <c r="AU2397" s="51"/>
      <c r="AV2397" s="51"/>
      <c r="AW2397" s="51"/>
    </row>
    <row r="2398" spans="1:49" s="38" customFormat="1" ht="15" x14ac:dyDescent="0.25">
      <c r="A2398" s="51"/>
      <c r="B2398" s="51"/>
      <c r="C2398" s="51"/>
      <c r="D2398" s="51"/>
      <c r="E2398" s="51"/>
      <c r="F2398" s="51"/>
      <c r="G2398" s="51"/>
      <c r="H2398" s="51"/>
      <c r="I2398" s="51"/>
      <c r="J2398" s="51"/>
      <c r="K2398" s="51"/>
      <c r="L2398" s="51"/>
      <c r="M2398" s="51"/>
      <c r="N2398" s="51"/>
      <c r="O2398" s="51"/>
      <c r="P2398" s="51"/>
      <c r="Q2398" s="51"/>
      <c r="R2398" s="51"/>
      <c r="S2398" s="51"/>
      <c r="T2398" s="51"/>
      <c r="U2398" s="51"/>
      <c r="V2398" s="51"/>
      <c r="W2398" s="51"/>
      <c r="X2398" s="51"/>
      <c r="Y2398" s="51"/>
      <c r="Z2398" s="51"/>
      <c r="AA2398" s="51"/>
      <c r="AB2398" s="51"/>
      <c r="AC2398" s="51"/>
      <c r="AD2398" s="51"/>
      <c r="AE2398" s="51"/>
      <c r="AF2398" s="51"/>
      <c r="AG2398" s="51"/>
      <c r="AH2398" s="51"/>
      <c r="AI2398" s="51"/>
      <c r="AJ2398" s="51"/>
      <c r="AK2398" s="51"/>
      <c r="AL2398" s="51"/>
      <c r="AM2398" s="51"/>
      <c r="AN2398" s="51"/>
      <c r="AO2398" s="51"/>
      <c r="AP2398" s="51"/>
      <c r="AQ2398" s="51"/>
      <c r="AR2398" s="51"/>
      <c r="AS2398" s="51"/>
      <c r="AT2398" s="51"/>
      <c r="AU2398" s="51"/>
      <c r="AV2398" s="51"/>
      <c r="AW2398" s="51"/>
    </row>
    <row r="2399" spans="1:49" s="38" customFormat="1" ht="15" x14ac:dyDescent="0.25">
      <c r="A2399" s="51"/>
      <c r="B2399" s="51"/>
      <c r="C2399" s="51"/>
      <c r="D2399" s="51"/>
      <c r="E2399" s="51"/>
      <c r="F2399" s="51"/>
      <c r="G2399" s="51"/>
      <c r="H2399" s="51"/>
      <c r="I2399" s="51"/>
      <c r="J2399" s="51"/>
      <c r="K2399" s="51"/>
      <c r="L2399" s="51"/>
      <c r="M2399" s="51"/>
      <c r="N2399" s="51"/>
      <c r="O2399" s="51"/>
      <c r="P2399" s="51"/>
      <c r="Q2399" s="51"/>
      <c r="R2399" s="51"/>
      <c r="S2399" s="51"/>
      <c r="T2399" s="51"/>
      <c r="U2399" s="51"/>
      <c r="V2399" s="51"/>
      <c r="W2399" s="51"/>
      <c r="X2399" s="51"/>
      <c r="Y2399" s="51"/>
      <c r="Z2399" s="51"/>
      <c r="AA2399" s="51"/>
      <c r="AB2399" s="51"/>
      <c r="AC2399" s="51"/>
      <c r="AD2399" s="51"/>
      <c r="AE2399" s="51"/>
      <c r="AF2399" s="51"/>
      <c r="AG2399" s="51"/>
      <c r="AH2399" s="51"/>
      <c r="AI2399" s="51"/>
      <c r="AJ2399" s="51"/>
      <c r="AK2399" s="51"/>
      <c r="AL2399" s="51"/>
      <c r="AM2399" s="51"/>
      <c r="AN2399" s="51"/>
      <c r="AO2399" s="51"/>
      <c r="AP2399" s="51"/>
      <c r="AQ2399" s="51"/>
      <c r="AR2399" s="51"/>
      <c r="AS2399" s="51"/>
      <c r="AT2399" s="51"/>
      <c r="AU2399" s="51"/>
      <c r="AV2399" s="51"/>
      <c r="AW2399" s="51"/>
    </row>
    <row r="2400" spans="1:49" s="38" customFormat="1" ht="15" x14ac:dyDescent="0.25">
      <c r="A2400" s="51"/>
      <c r="B2400" s="51"/>
      <c r="C2400" s="51"/>
      <c r="D2400" s="51"/>
      <c r="E2400" s="51"/>
      <c r="F2400" s="51"/>
      <c r="G2400" s="51"/>
      <c r="H2400" s="51"/>
      <c r="I2400" s="51"/>
      <c r="J2400" s="51"/>
      <c r="K2400" s="51"/>
      <c r="L2400" s="51"/>
      <c r="M2400" s="51"/>
      <c r="N2400" s="51"/>
      <c r="O2400" s="51"/>
      <c r="P2400" s="51"/>
      <c r="Q2400" s="51"/>
      <c r="R2400" s="51"/>
      <c r="S2400" s="51"/>
      <c r="T2400" s="51"/>
      <c r="U2400" s="51"/>
      <c r="V2400" s="51"/>
      <c r="W2400" s="51"/>
      <c r="X2400" s="51"/>
      <c r="Y2400" s="51"/>
      <c r="Z2400" s="51"/>
      <c r="AA2400" s="51"/>
      <c r="AB2400" s="51"/>
      <c r="AC2400" s="51"/>
      <c r="AD2400" s="51"/>
      <c r="AE2400" s="51"/>
      <c r="AF2400" s="51"/>
      <c r="AG2400" s="51"/>
      <c r="AH2400" s="51"/>
      <c r="AI2400" s="51"/>
      <c r="AJ2400" s="51"/>
      <c r="AK2400" s="51"/>
      <c r="AL2400" s="51"/>
      <c r="AM2400" s="51"/>
      <c r="AN2400" s="51"/>
      <c r="AO2400" s="51"/>
      <c r="AP2400" s="51"/>
      <c r="AQ2400" s="51"/>
      <c r="AR2400" s="51"/>
      <c r="AS2400" s="51"/>
      <c r="AT2400" s="51"/>
      <c r="AU2400" s="51"/>
      <c r="AV2400" s="51"/>
      <c r="AW2400" s="51"/>
    </row>
    <row r="2401" spans="1:49" s="38" customFormat="1" ht="15" x14ac:dyDescent="0.25">
      <c r="A2401" s="51"/>
      <c r="B2401" s="51"/>
      <c r="C2401" s="51"/>
      <c r="D2401" s="51"/>
      <c r="E2401" s="51"/>
      <c r="F2401" s="51"/>
      <c r="G2401" s="51"/>
      <c r="H2401" s="51"/>
      <c r="I2401" s="51"/>
      <c r="J2401" s="51"/>
      <c r="K2401" s="51"/>
      <c r="L2401" s="51"/>
      <c r="M2401" s="51"/>
      <c r="N2401" s="51"/>
      <c r="O2401" s="51"/>
      <c r="P2401" s="51"/>
      <c r="Q2401" s="51"/>
      <c r="R2401" s="51"/>
      <c r="S2401" s="51"/>
      <c r="T2401" s="51"/>
      <c r="U2401" s="51"/>
      <c r="V2401" s="51"/>
      <c r="W2401" s="51"/>
      <c r="X2401" s="51"/>
      <c r="Y2401" s="51"/>
      <c r="Z2401" s="51"/>
      <c r="AA2401" s="51"/>
      <c r="AB2401" s="51"/>
      <c r="AC2401" s="51"/>
      <c r="AD2401" s="51"/>
      <c r="AE2401" s="51"/>
      <c r="AF2401" s="51"/>
      <c r="AG2401" s="51"/>
      <c r="AH2401" s="51"/>
      <c r="AI2401" s="51"/>
      <c r="AJ2401" s="51"/>
      <c r="AK2401" s="51"/>
      <c r="AL2401" s="51"/>
      <c r="AM2401" s="51"/>
      <c r="AN2401" s="51"/>
      <c r="AO2401" s="51"/>
      <c r="AP2401" s="51"/>
      <c r="AQ2401" s="51"/>
      <c r="AR2401" s="51"/>
      <c r="AS2401" s="51"/>
      <c r="AT2401" s="51"/>
      <c r="AU2401" s="51"/>
      <c r="AV2401" s="51"/>
      <c r="AW2401" s="51"/>
    </row>
    <row r="2402" spans="1:49" s="31" customFormat="1" ht="15.75" x14ac:dyDescent="0.2">
      <c r="A2402" s="51"/>
      <c r="B2402" s="51"/>
      <c r="C2402" s="51"/>
      <c r="D2402" s="51"/>
      <c r="E2402" s="51"/>
      <c r="F2402" s="51"/>
      <c r="G2402" s="51"/>
      <c r="H2402" s="51"/>
      <c r="I2402" s="51"/>
      <c r="J2402" s="51"/>
      <c r="K2402" s="51"/>
      <c r="L2402" s="51"/>
      <c r="M2402" s="51"/>
      <c r="N2402" s="51"/>
      <c r="O2402" s="51"/>
      <c r="P2402" s="51"/>
      <c r="Q2402" s="51"/>
      <c r="R2402" s="51"/>
      <c r="S2402" s="51"/>
      <c r="T2402" s="51"/>
      <c r="U2402" s="51"/>
      <c r="V2402" s="51"/>
      <c r="W2402" s="51"/>
      <c r="X2402" s="51"/>
      <c r="Y2402" s="51"/>
      <c r="Z2402" s="51"/>
      <c r="AA2402" s="51"/>
      <c r="AB2402" s="51"/>
      <c r="AC2402" s="51"/>
      <c r="AD2402" s="51"/>
      <c r="AE2402" s="51"/>
      <c r="AF2402" s="51"/>
      <c r="AG2402" s="51"/>
      <c r="AH2402" s="51"/>
      <c r="AI2402" s="51"/>
      <c r="AJ2402" s="51"/>
      <c r="AK2402" s="51"/>
      <c r="AL2402" s="51"/>
      <c r="AM2402" s="51"/>
      <c r="AN2402" s="51"/>
      <c r="AO2402" s="51"/>
      <c r="AP2402" s="51"/>
      <c r="AQ2402" s="51"/>
      <c r="AR2402" s="51"/>
      <c r="AS2402" s="51"/>
      <c r="AT2402" s="51"/>
      <c r="AU2402" s="51"/>
      <c r="AV2402" s="51"/>
      <c r="AW2402" s="51"/>
    </row>
    <row r="2403" spans="1:49" s="38" customFormat="1" ht="15" x14ac:dyDescent="0.25">
      <c r="A2403" s="51"/>
      <c r="B2403" s="51"/>
      <c r="C2403" s="51"/>
      <c r="D2403" s="51"/>
      <c r="E2403" s="51"/>
      <c r="F2403" s="51"/>
      <c r="G2403" s="51"/>
      <c r="H2403" s="51"/>
      <c r="I2403" s="51"/>
      <c r="J2403" s="51"/>
      <c r="K2403" s="51"/>
      <c r="L2403" s="51"/>
      <c r="M2403" s="51"/>
      <c r="N2403" s="51"/>
      <c r="O2403" s="51"/>
      <c r="P2403" s="51"/>
      <c r="Q2403" s="51"/>
      <c r="R2403" s="51"/>
      <c r="S2403" s="51"/>
      <c r="T2403" s="51"/>
      <c r="U2403" s="51"/>
      <c r="V2403" s="51"/>
      <c r="W2403" s="51"/>
      <c r="X2403" s="51"/>
      <c r="Y2403" s="51"/>
      <c r="Z2403" s="51"/>
      <c r="AA2403" s="51"/>
      <c r="AB2403" s="51"/>
      <c r="AC2403" s="51"/>
      <c r="AD2403" s="51"/>
      <c r="AE2403" s="51"/>
      <c r="AF2403" s="51"/>
      <c r="AG2403" s="51"/>
      <c r="AH2403" s="51"/>
      <c r="AI2403" s="51"/>
      <c r="AJ2403" s="51"/>
      <c r="AK2403" s="51"/>
      <c r="AL2403" s="51"/>
      <c r="AM2403" s="51"/>
      <c r="AN2403" s="51"/>
      <c r="AO2403" s="51"/>
      <c r="AP2403" s="51"/>
      <c r="AQ2403" s="51"/>
      <c r="AR2403" s="51"/>
      <c r="AS2403" s="51"/>
      <c r="AT2403" s="51"/>
      <c r="AU2403" s="51"/>
      <c r="AV2403" s="51"/>
      <c r="AW2403" s="51"/>
    </row>
    <row r="2404" spans="1:49" s="38" customFormat="1" ht="15" x14ac:dyDescent="0.25">
      <c r="A2404" s="51"/>
      <c r="B2404" s="51"/>
      <c r="C2404" s="51"/>
      <c r="D2404" s="51"/>
      <c r="E2404" s="51"/>
      <c r="F2404" s="51"/>
      <c r="G2404" s="51"/>
      <c r="H2404" s="51"/>
      <c r="I2404" s="51"/>
      <c r="J2404" s="51"/>
      <c r="K2404" s="51"/>
      <c r="L2404" s="51"/>
      <c r="M2404" s="51"/>
      <c r="N2404" s="51"/>
      <c r="O2404" s="51"/>
      <c r="P2404" s="51"/>
      <c r="Q2404" s="51"/>
      <c r="R2404" s="51"/>
      <c r="S2404" s="51"/>
      <c r="T2404" s="51"/>
      <c r="U2404" s="51"/>
      <c r="V2404" s="51"/>
      <c r="W2404" s="51"/>
      <c r="X2404" s="51"/>
      <c r="Y2404" s="51"/>
      <c r="Z2404" s="51"/>
      <c r="AA2404" s="51"/>
      <c r="AB2404" s="51"/>
      <c r="AC2404" s="51"/>
      <c r="AD2404" s="51"/>
      <c r="AE2404" s="51"/>
      <c r="AF2404" s="51"/>
      <c r="AG2404" s="51"/>
      <c r="AH2404" s="51"/>
      <c r="AI2404" s="51"/>
      <c r="AJ2404" s="51"/>
      <c r="AK2404" s="51"/>
      <c r="AL2404" s="51"/>
      <c r="AM2404" s="51"/>
      <c r="AN2404" s="51"/>
      <c r="AO2404" s="51"/>
      <c r="AP2404" s="51"/>
      <c r="AQ2404" s="51"/>
      <c r="AR2404" s="51"/>
      <c r="AS2404" s="51"/>
      <c r="AT2404" s="51"/>
      <c r="AU2404" s="51"/>
      <c r="AV2404" s="51"/>
      <c r="AW2404" s="51"/>
    </row>
    <row r="2405" spans="1:49" s="31" customFormat="1" ht="15.75" x14ac:dyDescent="0.2">
      <c r="A2405" s="51"/>
      <c r="B2405" s="51"/>
      <c r="C2405" s="51"/>
      <c r="D2405" s="51"/>
      <c r="E2405" s="51"/>
      <c r="F2405" s="51"/>
      <c r="G2405" s="51"/>
      <c r="H2405" s="51"/>
      <c r="I2405" s="51"/>
      <c r="J2405" s="51"/>
      <c r="K2405" s="51"/>
      <c r="L2405" s="51"/>
      <c r="M2405" s="51"/>
      <c r="N2405" s="51"/>
      <c r="O2405" s="51"/>
      <c r="P2405" s="51"/>
      <c r="Q2405" s="51"/>
      <c r="R2405" s="51"/>
      <c r="S2405" s="51"/>
      <c r="T2405" s="51"/>
      <c r="U2405" s="51"/>
      <c r="V2405" s="51"/>
      <c r="W2405" s="51"/>
      <c r="X2405" s="51"/>
      <c r="Y2405" s="51"/>
      <c r="Z2405" s="51"/>
      <c r="AA2405" s="51"/>
      <c r="AB2405" s="51"/>
      <c r="AC2405" s="51"/>
      <c r="AD2405" s="51"/>
      <c r="AE2405" s="51"/>
      <c r="AF2405" s="51"/>
      <c r="AG2405" s="51"/>
      <c r="AH2405" s="51"/>
      <c r="AI2405" s="51"/>
      <c r="AJ2405" s="51"/>
      <c r="AK2405" s="51"/>
      <c r="AL2405" s="51"/>
      <c r="AM2405" s="51"/>
      <c r="AN2405" s="51"/>
      <c r="AO2405" s="51"/>
      <c r="AP2405" s="51"/>
      <c r="AQ2405" s="51"/>
      <c r="AR2405" s="51"/>
      <c r="AS2405" s="51"/>
      <c r="AT2405" s="51"/>
      <c r="AU2405" s="51"/>
      <c r="AV2405" s="51"/>
      <c r="AW2405" s="51"/>
    </row>
    <row r="2406" spans="1:49" s="31" customFormat="1" ht="15.75" x14ac:dyDescent="0.2">
      <c r="A2406" s="51"/>
      <c r="B2406" s="51"/>
      <c r="C2406" s="51"/>
      <c r="D2406" s="51"/>
      <c r="E2406" s="51"/>
      <c r="F2406" s="51"/>
      <c r="G2406" s="51"/>
      <c r="H2406" s="51"/>
      <c r="I2406" s="51"/>
      <c r="J2406" s="51"/>
      <c r="K2406" s="51"/>
      <c r="L2406" s="51"/>
      <c r="M2406" s="51"/>
      <c r="N2406" s="51"/>
      <c r="O2406" s="51"/>
      <c r="P2406" s="51"/>
      <c r="Q2406" s="51"/>
      <c r="R2406" s="51"/>
      <c r="S2406" s="51"/>
      <c r="T2406" s="51"/>
      <c r="U2406" s="51"/>
      <c r="V2406" s="51"/>
      <c r="W2406" s="51"/>
      <c r="X2406" s="51"/>
      <c r="Y2406" s="51"/>
      <c r="Z2406" s="51"/>
      <c r="AA2406" s="51"/>
      <c r="AB2406" s="51"/>
      <c r="AC2406" s="51"/>
      <c r="AD2406" s="51"/>
      <c r="AE2406" s="51"/>
      <c r="AF2406" s="51"/>
      <c r="AG2406" s="51"/>
      <c r="AH2406" s="51"/>
      <c r="AI2406" s="51"/>
      <c r="AJ2406" s="51"/>
      <c r="AK2406" s="51"/>
      <c r="AL2406" s="51"/>
      <c r="AM2406" s="51"/>
      <c r="AN2406" s="51"/>
      <c r="AO2406" s="51"/>
      <c r="AP2406" s="51"/>
      <c r="AQ2406" s="51"/>
      <c r="AR2406" s="51"/>
      <c r="AS2406" s="51"/>
      <c r="AT2406" s="51"/>
      <c r="AU2406" s="51"/>
      <c r="AV2406" s="51"/>
      <c r="AW2406" s="51"/>
    </row>
    <row r="2407" spans="1:49" s="31" customFormat="1" ht="15.75" x14ac:dyDescent="0.2">
      <c r="A2407" s="51"/>
      <c r="B2407" s="51"/>
      <c r="C2407" s="51"/>
      <c r="D2407" s="51"/>
      <c r="E2407" s="51"/>
      <c r="F2407" s="51"/>
      <c r="G2407" s="51"/>
      <c r="H2407" s="51"/>
      <c r="I2407" s="51"/>
      <c r="J2407" s="51"/>
      <c r="K2407" s="51"/>
      <c r="L2407" s="51"/>
      <c r="M2407" s="51"/>
      <c r="N2407" s="51"/>
      <c r="O2407" s="51"/>
      <c r="P2407" s="51"/>
      <c r="Q2407" s="51"/>
      <c r="R2407" s="51"/>
      <c r="S2407" s="51"/>
      <c r="T2407" s="51"/>
      <c r="U2407" s="51"/>
      <c r="V2407" s="51"/>
      <c r="W2407" s="51"/>
      <c r="X2407" s="51"/>
      <c r="Y2407" s="51"/>
      <c r="Z2407" s="51"/>
      <c r="AA2407" s="51"/>
      <c r="AB2407" s="51"/>
      <c r="AC2407" s="51"/>
      <c r="AD2407" s="51"/>
      <c r="AE2407" s="51"/>
      <c r="AF2407" s="51"/>
      <c r="AG2407" s="51"/>
      <c r="AH2407" s="51"/>
      <c r="AI2407" s="51"/>
      <c r="AJ2407" s="51"/>
      <c r="AK2407" s="51"/>
      <c r="AL2407" s="51"/>
      <c r="AM2407" s="51"/>
      <c r="AN2407" s="51"/>
      <c r="AO2407" s="51"/>
      <c r="AP2407" s="51"/>
      <c r="AQ2407" s="51"/>
      <c r="AR2407" s="51"/>
      <c r="AS2407" s="51"/>
      <c r="AT2407" s="51"/>
      <c r="AU2407" s="51"/>
      <c r="AV2407" s="51"/>
      <c r="AW2407" s="51"/>
    </row>
    <row r="2408" spans="1:49" s="31" customFormat="1" ht="15.75" x14ac:dyDescent="0.2">
      <c r="A2408" s="51"/>
      <c r="B2408" s="51"/>
      <c r="C2408" s="51"/>
      <c r="D2408" s="51"/>
      <c r="E2408" s="51"/>
      <c r="F2408" s="51"/>
      <c r="G2408" s="51"/>
      <c r="H2408" s="51"/>
      <c r="I2408" s="51"/>
      <c r="J2408" s="51"/>
      <c r="K2408" s="51"/>
      <c r="L2408" s="51"/>
      <c r="M2408" s="51"/>
      <c r="N2408" s="51"/>
      <c r="O2408" s="51"/>
      <c r="P2408" s="51"/>
      <c r="Q2408" s="51"/>
      <c r="R2408" s="51"/>
      <c r="S2408" s="51"/>
      <c r="T2408" s="51"/>
      <c r="U2408" s="51"/>
      <c r="V2408" s="51"/>
      <c r="W2408" s="51"/>
      <c r="X2408" s="51"/>
      <c r="Y2408" s="51"/>
      <c r="Z2408" s="51"/>
      <c r="AA2408" s="51"/>
      <c r="AB2408" s="51"/>
      <c r="AC2408" s="51"/>
      <c r="AD2408" s="51"/>
      <c r="AE2408" s="51"/>
      <c r="AF2408" s="51"/>
      <c r="AG2408" s="51"/>
      <c r="AH2408" s="51"/>
      <c r="AI2408" s="51"/>
      <c r="AJ2408" s="51"/>
      <c r="AK2408" s="51"/>
      <c r="AL2408" s="51"/>
      <c r="AM2408" s="51"/>
      <c r="AN2408" s="51"/>
      <c r="AO2408" s="51"/>
      <c r="AP2408" s="51"/>
      <c r="AQ2408" s="51"/>
      <c r="AR2408" s="51"/>
      <c r="AS2408" s="51"/>
      <c r="AT2408" s="51"/>
      <c r="AU2408" s="51"/>
      <c r="AV2408" s="51"/>
      <c r="AW2408" s="51"/>
    </row>
    <row r="2409" spans="1:49" s="38" customFormat="1" ht="15" x14ac:dyDescent="0.25">
      <c r="A2409" s="51"/>
      <c r="B2409" s="51"/>
      <c r="C2409" s="51"/>
      <c r="D2409" s="51"/>
      <c r="E2409" s="51"/>
      <c r="F2409" s="51"/>
      <c r="G2409" s="51"/>
      <c r="H2409" s="51"/>
      <c r="I2409" s="51"/>
      <c r="J2409" s="51"/>
      <c r="K2409" s="51"/>
      <c r="L2409" s="51"/>
      <c r="M2409" s="51"/>
      <c r="N2409" s="51"/>
      <c r="O2409" s="51"/>
      <c r="P2409" s="51"/>
      <c r="Q2409" s="51"/>
      <c r="R2409" s="51"/>
      <c r="S2409" s="51"/>
      <c r="T2409" s="51"/>
      <c r="U2409" s="51"/>
      <c r="V2409" s="51"/>
      <c r="W2409" s="51"/>
      <c r="X2409" s="51"/>
      <c r="Y2409" s="51"/>
      <c r="Z2409" s="51"/>
      <c r="AA2409" s="51"/>
      <c r="AB2409" s="51"/>
      <c r="AC2409" s="51"/>
      <c r="AD2409" s="51"/>
      <c r="AE2409" s="51"/>
      <c r="AF2409" s="51"/>
      <c r="AG2409" s="51"/>
      <c r="AH2409" s="51"/>
      <c r="AI2409" s="51"/>
      <c r="AJ2409" s="51"/>
      <c r="AK2409" s="51"/>
      <c r="AL2409" s="51"/>
      <c r="AM2409" s="51"/>
      <c r="AN2409" s="51"/>
      <c r="AO2409" s="51"/>
      <c r="AP2409" s="51"/>
      <c r="AQ2409" s="51"/>
      <c r="AR2409" s="51"/>
      <c r="AS2409" s="51"/>
      <c r="AT2409" s="51"/>
      <c r="AU2409" s="51"/>
      <c r="AV2409" s="51"/>
      <c r="AW2409" s="51"/>
    </row>
    <row r="2410" spans="1:49" s="31" customFormat="1" ht="15.75" x14ac:dyDescent="0.2">
      <c r="A2410" s="51"/>
      <c r="B2410" s="51"/>
      <c r="C2410" s="51"/>
      <c r="D2410" s="51"/>
      <c r="E2410" s="51"/>
      <c r="F2410" s="51"/>
      <c r="G2410" s="51"/>
      <c r="H2410" s="51"/>
      <c r="I2410" s="51"/>
      <c r="J2410" s="51"/>
      <c r="K2410" s="51"/>
      <c r="L2410" s="51"/>
      <c r="M2410" s="51"/>
      <c r="N2410" s="51"/>
      <c r="O2410" s="51"/>
      <c r="P2410" s="51"/>
      <c r="Q2410" s="51"/>
      <c r="R2410" s="51"/>
      <c r="S2410" s="51"/>
      <c r="T2410" s="51"/>
      <c r="U2410" s="51"/>
      <c r="V2410" s="51"/>
      <c r="W2410" s="51"/>
      <c r="X2410" s="51"/>
      <c r="Y2410" s="51"/>
      <c r="Z2410" s="51"/>
      <c r="AA2410" s="51"/>
      <c r="AB2410" s="51"/>
      <c r="AC2410" s="51"/>
      <c r="AD2410" s="51"/>
      <c r="AE2410" s="51"/>
      <c r="AF2410" s="51"/>
      <c r="AG2410" s="51"/>
      <c r="AH2410" s="51"/>
      <c r="AI2410" s="51"/>
      <c r="AJ2410" s="51"/>
      <c r="AK2410" s="51"/>
      <c r="AL2410" s="51"/>
      <c r="AM2410" s="51"/>
      <c r="AN2410" s="51"/>
      <c r="AO2410" s="51"/>
      <c r="AP2410" s="51"/>
      <c r="AQ2410" s="51"/>
      <c r="AR2410" s="51"/>
      <c r="AS2410" s="51"/>
      <c r="AT2410" s="51"/>
      <c r="AU2410" s="51"/>
      <c r="AV2410" s="51"/>
      <c r="AW2410" s="51"/>
    </row>
    <row r="2411" spans="1:49" s="31" customFormat="1" ht="15.75" x14ac:dyDescent="0.2">
      <c r="A2411" s="51"/>
      <c r="B2411" s="51"/>
      <c r="C2411" s="51"/>
      <c r="D2411" s="51"/>
      <c r="E2411" s="51"/>
      <c r="F2411" s="51"/>
      <c r="G2411" s="51"/>
      <c r="H2411" s="51"/>
      <c r="I2411" s="51"/>
      <c r="J2411" s="51"/>
      <c r="K2411" s="51"/>
      <c r="L2411" s="51"/>
      <c r="M2411" s="51"/>
      <c r="N2411" s="51"/>
      <c r="O2411" s="51"/>
      <c r="P2411" s="51"/>
      <c r="Q2411" s="51"/>
      <c r="R2411" s="51"/>
      <c r="S2411" s="51"/>
      <c r="T2411" s="51"/>
      <c r="U2411" s="51"/>
      <c r="V2411" s="51"/>
      <c r="W2411" s="51"/>
      <c r="X2411" s="51"/>
      <c r="Y2411" s="51"/>
      <c r="Z2411" s="51"/>
      <c r="AA2411" s="51"/>
      <c r="AB2411" s="51"/>
      <c r="AC2411" s="51"/>
      <c r="AD2411" s="51"/>
      <c r="AE2411" s="51"/>
      <c r="AF2411" s="51"/>
      <c r="AG2411" s="51"/>
      <c r="AH2411" s="51"/>
      <c r="AI2411" s="51"/>
      <c r="AJ2411" s="51"/>
      <c r="AK2411" s="51"/>
      <c r="AL2411" s="51"/>
      <c r="AM2411" s="51"/>
      <c r="AN2411" s="51"/>
      <c r="AO2411" s="51"/>
      <c r="AP2411" s="51"/>
      <c r="AQ2411" s="51"/>
      <c r="AR2411" s="51"/>
      <c r="AS2411" s="51"/>
      <c r="AT2411" s="51"/>
      <c r="AU2411" s="51"/>
      <c r="AV2411" s="51"/>
      <c r="AW2411" s="51"/>
    </row>
    <row r="2412" spans="1:49" s="38" customFormat="1" ht="15" x14ac:dyDescent="0.25">
      <c r="A2412" s="51"/>
      <c r="B2412" s="51"/>
      <c r="C2412" s="51"/>
      <c r="D2412" s="51"/>
      <c r="E2412" s="51"/>
      <c r="F2412" s="51"/>
      <c r="G2412" s="51"/>
      <c r="H2412" s="51"/>
      <c r="I2412" s="51"/>
      <c r="J2412" s="51"/>
      <c r="K2412" s="51"/>
      <c r="L2412" s="51"/>
      <c r="M2412" s="51"/>
      <c r="N2412" s="51"/>
      <c r="O2412" s="51"/>
      <c r="P2412" s="51"/>
      <c r="Q2412" s="51"/>
      <c r="R2412" s="51"/>
      <c r="S2412" s="51"/>
      <c r="T2412" s="51"/>
      <c r="U2412" s="51"/>
      <c r="V2412" s="51"/>
      <c r="W2412" s="51"/>
      <c r="X2412" s="51"/>
      <c r="Y2412" s="51"/>
      <c r="Z2412" s="51"/>
      <c r="AA2412" s="51"/>
      <c r="AB2412" s="51"/>
      <c r="AC2412" s="51"/>
      <c r="AD2412" s="51"/>
      <c r="AE2412" s="51"/>
      <c r="AF2412" s="51"/>
      <c r="AG2412" s="51"/>
      <c r="AH2412" s="51"/>
      <c r="AI2412" s="51"/>
      <c r="AJ2412" s="51"/>
      <c r="AK2412" s="51"/>
      <c r="AL2412" s="51"/>
      <c r="AM2412" s="51"/>
      <c r="AN2412" s="51"/>
      <c r="AO2412" s="51"/>
      <c r="AP2412" s="51"/>
      <c r="AQ2412" s="51"/>
      <c r="AR2412" s="51"/>
      <c r="AS2412" s="51"/>
      <c r="AT2412" s="51"/>
      <c r="AU2412" s="51"/>
      <c r="AV2412" s="51"/>
      <c r="AW2412" s="51"/>
    </row>
    <row r="2413" spans="1:49" s="38" customFormat="1" ht="15" x14ac:dyDescent="0.25">
      <c r="A2413" s="51"/>
      <c r="B2413" s="51"/>
      <c r="C2413" s="51"/>
      <c r="D2413" s="51"/>
      <c r="E2413" s="51"/>
      <c r="F2413" s="51"/>
      <c r="G2413" s="51"/>
      <c r="H2413" s="51"/>
      <c r="I2413" s="51"/>
      <c r="J2413" s="51"/>
      <c r="K2413" s="51"/>
      <c r="L2413" s="51"/>
      <c r="M2413" s="51"/>
      <c r="N2413" s="51"/>
      <c r="O2413" s="51"/>
      <c r="P2413" s="51"/>
      <c r="Q2413" s="51"/>
      <c r="R2413" s="51"/>
      <c r="S2413" s="51"/>
      <c r="T2413" s="51"/>
      <c r="U2413" s="51"/>
      <c r="V2413" s="51"/>
      <c r="W2413" s="51"/>
      <c r="X2413" s="51"/>
      <c r="Y2413" s="51"/>
      <c r="Z2413" s="51"/>
      <c r="AA2413" s="51"/>
      <c r="AB2413" s="51"/>
      <c r="AC2413" s="51"/>
      <c r="AD2413" s="51"/>
      <c r="AE2413" s="51"/>
      <c r="AF2413" s="51"/>
      <c r="AG2413" s="51"/>
      <c r="AH2413" s="51"/>
      <c r="AI2413" s="51"/>
      <c r="AJ2413" s="51"/>
      <c r="AK2413" s="51"/>
      <c r="AL2413" s="51"/>
      <c r="AM2413" s="51"/>
      <c r="AN2413" s="51"/>
      <c r="AO2413" s="51"/>
      <c r="AP2413" s="51"/>
      <c r="AQ2413" s="51"/>
      <c r="AR2413" s="51"/>
      <c r="AS2413" s="51"/>
      <c r="AT2413" s="51"/>
      <c r="AU2413" s="51"/>
      <c r="AV2413" s="51"/>
      <c r="AW2413" s="51"/>
    </row>
    <row r="2414" spans="1:49" s="31" customFormat="1" ht="15.75" x14ac:dyDescent="0.2">
      <c r="A2414" s="51"/>
      <c r="B2414" s="51"/>
      <c r="C2414" s="51"/>
      <c r="D2414" s="51"/>
      <c r="E2414" s="51"/>
      <c r="F2414" s="51"/>
      <c r="G2414" s="51"/>
      <c r="H2414" s="51"/>
      <c r="I2414" s="51"/>
      <c r="J2414" s="51"/>
      <c r="K2414" s="51"/>
      <c r="L2414" s="51"/>
      <c r="M2414" s="51"/>
      <c r="N2414" s="51"/>
      <c r="O2414" s="51"/>
      <c r="P2414" s="51"/>
      <c r="Q2414" s="51"/>
      <c r="R2414" s="51"/>
      <c r="S2414" s="51"/>
      <c r="T2414" s="51"/>
      <c r="U2414" s="51"/>
      <c r="V2414" s="51"/>
      <c r="W2414" s="51"/>
      <c r="X2414" s="51"/>
      <c r="Y2414" s="51"/>
      <c r="Z2414" s="51"/>
      <c r="AA2414" s="51"/>
      <c r="AB2414" s="51"/>
      <c r="AC2414" s="51"/>
      <c r="AD2414" s="51"/>
      <c r="AE2414" s="51"/>
      <c r="AF2414" s="51"/>
      <c r="AG2414" s="51"/>
      <c r="AH2414" s="51"/>
      <c r="AI2414" s="51"/>
      <c r="AJ2414" s="51"/>
      <c r="AK2414" s="51"/>
      <c r="AL2414" s="51"/>
      <c r="AM2414" s="51"/>
      <c r="AN2414" s="51"/>
      <c r="AO2414" s="51"/>
      <c r="AP2414" s="51"/>
      <c r="AQ2414" s="51"/>
      <c r="AR2414" s="51"/>
      <c r="AS2414" s="51"/>
      <c r="AT2414" s="51"/>
      <c r="AU2414" s="51"/>
      <c r="AV2414" s="51"/>
      <c r="AW2414" s="51"/>
    </row>
    <row r="2415" spans="1:49" s="31" customFormat="1" ht="15.75" x14ac:dyDescent="0.2">
      <c r="A2415" s="51"/>
      <c r="B2415" s="51"/>
      <c r="C2415" s="51"/>
      <c r="D2415" s="51"/>
      <c r="E2415" s="51"/>
      <c r="F2415" s="51"/>
      <c r="G2415" s="51"/>
      <c r="H2415" s="51"/>
      <c r="I2415" s="51"/>
      <c r="J2415" s="51"/>
      <c r="K2415" s="51"/>
      <c r="L2415" s="51"/>
      <c r="M2415" s="51"/>
      <c r="N2415" s="51"/>
      <c r="O2415" s="51"/>
      <c r="P2415" s="51"/>
      <c r="Q2415" s="51"/>
      <c r="R2415" s="51"/>
      <c r="S2415" s="51"/>
      <c r="T2415" s="51"/>
      <c r="U2415" s="51"/>
      <c r="V2415" s="51"/>
      <c r="W2415" s="51"/>
      <c r="X2415" s="51"/>
      <c r="Y2415" s="51"/>
      <c r="Z2415" s="51"/>
      <c r="AA2415" s="51"/>
      <c r="AB2415" s="51"/>
      <c r="AC2415" s="51"/>
      <c r="AD2415" s="51"/>
      <c r="AE2415" s="51"/>
      <c r="AF2415" s="51"/>
      <c r="AG2415" s="51"/>
      <c r="AH2415" s="51"/>
      <c r="AI2415" s="51"/>
      <c r="AJ2415" s="51"/>
      <c r="AK2415" s="51"/>
      <c r="AL2415" s="51"/>
      <c r="AM2415" s="51"/>
      <c r="AN2415" s="51"/>
      <c r="AO2415" s="51"/>
      <c r="AP2415" s="51"/>
      <c r="AQ2415" s="51"/>
      <c r="AR2415" s="51"/>
      <c r="AS2415" s="51"/>
      <c r="AT2415" s="51"/>
      <c r="AU2415" s="51"/>
      <c r="AV2415" s="51"/>
      <c r="AW2415" s="51"/>
    </row>
    <row r="2416" spans="1:49" s="31" customFormat="1" ht="15.75" x14ac:dyDescent="0.2">
      <c r="A2416" s="51"/>
      <c r="B2416" s="51"/>
      <c r="C2416" s="51"/>
      <c r="D2416" s="51"/>
      <c r="E2416" s="51"/>
      <c r="F2416" s="51"/>
      <c r="G2416" s="51"/>
      <c r="H2416" s="51"/>
      <c r="I2416" s="51"/>
      <c r="J2416" s="51"/>
      <c r="K2416" s="51"/>
      <c r="L2416" s="51"/>
      <c r="M2416" s="51"/>
      <c r="N2416" s="51"/>
      <c r="O2416" s="51"/>
      <c r="P2416" s="51"/>
      <c r="Q2416" s="51"/>
      <c r="R2416" s="51"/>
      <c r="S2416" s="51"/>
      <c r="T2416" s="51"/>
      <c r="U2416" s="51"/>
      <c r="V2416" s="51"/>
      <c r="W2416" s="51"/>
      <c r="X2416" s="51"/>
      <c r="Y2416" s="51"/>
      <c r="Z2416" s="51"/>
      <c r="AA2416" s="51"/>
      <c r="AB2416" s="51"/>
      <c r="AC2416" s="51"/>
      <c r="AD2416" s="51"/>
      <c r="AE2416" s="51"/>
      <c r="AF2416" s="51"/>
      <c r="AG2416" s="51"/>
      <c r="AH2416" s="51"/>
      <c r="AI2416" s="51"/>
      <c r="AJ2416" s="51"/>
      <c r="AK2416" s="51"/>
      <c r="AL2416" s="51"/>
      <c r="AM2416" s="51"/>
      <c r="AN2416" s="51"/>
      <c r="AO2416" s="51"/>
      <c r="AP2416" s="51"/>
      <c r="AQ2416" s="51"/>
      <c r="AR2416" s="51"/>
      <c r="AS2416" s="51"/>
      <c r="AT2416" s="51"/>
      <c r="AU2416" s="51"/>
      <c r="AV2416" s="51"/>
      <c r="AW2416" s="51"/>
    </row>
    <row r="2417" spans="1:49" s="31" customFormat="1" ht="15.75" x14ac:dyDescent="0.2">
      <c r="A2417" s="51"/>
      <c r="B2417" s="51"/>
      <c r="C2417" s="51"/>
      <c r="D2417" s="51"/>
      <c r="E2417" s="51"/>
      <c r="F2417" s="51"/>
      <c r="G2417" s="51"/>
      <c r="H2417" s="51"/>
      <c r="I2417" s="51"/>
      <c r="J2417" s="51"/>
      <c r="K2417" s="51"/>
      <c r="L2417" s="51"/>
      <c r="M2417" s="51"/>
      <c r="N2417" s="51"/>
      <c r="O2417" s="51"/>
      <c r="P2417" s="51"/>
      <c r="Q2417" s="51"/>
      <c r="R2417" s="51"/>
      <c r="S2417" s="51"/>
      <c r="T2417" s="51"/>
      <c r="U2417" s="51"/>
      <c r="V2417" s="51"/>
      <c r="W2417" s="51"/>
      <c r="X2417" s="51"/>
      <c r="Y2417" s="51"/>
      <c r="Z2417" s="51"/>
      <c r="AA2417" s="51"/>
      <c r="AB2417" s="51"/>
      <c r="AC2417" s="51"/>
      <c r="AD2417" s="51"/>
      <c r="AE2417" s="51"/>
      <c r="AF2417" s="51"/>
      <c r="AG2417" s="51"/>
      <c r="AH2417" s="51"/>
      <c r="AI2417" s="51"/>
      <c r="AJ2417" s="51"/>
      <c r="AK2417" s="51"/>
      <c r="AL2417" s="51"/>
      <c r="AM2417" s="51"/>
      <c r="AN2417" s="51"/>
      <c r="AO2417" s="51"/>
      <c r="AP2417" s="51"/>
      <c r="AQ2417" s="51"/>
      <c r="AR2417" s="51"/>
      <c r="AS2417" s="51"/>
      <c r="AT2417" s="51"/>
      <c r="AU2417" s="51"/>
      <c r="AV2417" s="51"/>
      <c r="AW2417" s="51"/>
    </row>
    <row r="2418" spans="1:49" s="31" customFormat="1" ht="15.75" x14ac:dyDescent="0.2">
      <c r="A2418" s="51"/>
      <c r="B2418" s="51"/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  <c r="S2418" s="51"/>
      <c r="T2418" s="51"/>
      <c r="U2418" s="51"/>
      <c r="V2418" s="51"/>
      <c r="W2418" s="51"/>
      <c r="X2418" s="51"/>
      <c r="Y2418" s="51"/>
      <c r="Z2418" s="51"/>
      <c r="AA2418" s="51"/>
      <c r="AB2418" s="51"/>
      <c r="AC2418" s="51"/>
      <c r="AD2418" s="51"/>
      <c r="AE2418" s="51"/>
      <c r="AF2418" s="51"/>
      <c r="AG2418" s="51"/>
      <c r="AH2418" s="51"/>
      <c r="AI2418" s="51"/>
      <c r="AJ2418" s="51"/>
      <c r="AK2418" s="51"/>
      <c r="AL2418" s="51"/>
      <c r="AM2418" s="51"/>
      <c r="AN2418" s="51"/>
      <c r="AO2418" s="51"/>
      <c r="AP2418" s="51"/>
      <c r="AQ2418" s="51"/>
      <c r="AR2418" s="51"/>
      <c r="AS2418" s="51"/>
      <c r="AT2418" s="51"/>
      <c r="AU2418" s="51"/>
      <c r="AV2418" s="51"/>
      <c r="AW2418" s="51"/>
    </row>
    <row r="2419" spans="1:49" s="38" customFormat="1" ht="15" x14ac:dyDescent="0.25">
      <c r="A2419" s="51"/>
      <c r="B2419" s="51"/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  <c r="S2419" s="51"/>
      <c r="T2419" s="51"/>
      <c r="U2419" s="51"/>
      <c r="V2419" s="51"/>
      <c r="W2419" s="51"/>
      <c r="X2419" s="51"/>
      <c r="Y2419" s="51"/>
      <c r="Z2419" s="51"/>
      <c r="AA2419" s="51"/>
      <c r="AB2419" s="51"/>
      <c r="AC2419" s="51"/>
      <c r="AD2419" s="51"/>
      <c r="AE2419" s="51"/>
      <c r="AF2419" s="51"/>
      <c r="AG2419" s="51"/>
      <c r="AH2419" s="51"/>
      <c r="AI2419" s="51"/>
      <c r="AJ2419" s="51"/>
      <c r="AK2419" s="51"/>
      <c r="AL2419" s="51"/>
      <c r="AM2419" s="51"/>
      <c r="AN2419" s="51"/>
      <c r="AO2419" s="51"/>
      <c r="AP2419" s="51"/>
      <c r="AQ2419" s="51"/>
      <c r="AR2419" s="51"/>
      <c r="AS2419" s="51"/>
      <c r="AT2419" s="51"/>
      <c r="AU2419" s="51"/>
      <c r="AV2419" s="51"/>
      <c r="AW2419" s="51"/>
    </row>
    <row r="2420" spans="1:49" s="38" customFormat="1" ht="15" x14ac:dyDescent="0.25">
      <c r="A2420" s="51"/>
      <c r="B2420" s="51"/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  <c r="S2420" s="51"/>
      <c r="T2420" s="51"/>
      <c r="U2420" s="51"/>
      <c r="V2420" s="51"/>
      <c r="W2420" s="51"/>
      <c r="X2420" s="51"/>
      <c r="Y2420" s="51"/>
      <c r="Z2420" s="51"/>
      <c r="AA2420" s="51"/>
      <c r="AB2420" s="51"/>
      <c r="AC2420" s="51"/>
      <c r="AD2420" s="51"/>
      <c r="AE2420" s="51"/>
      <c r="AF2420" s="51"/>
      <c r="AG2420" s="51"/>
      <c r="AH2420" s="51"/>
      <c r="AI2420" s="51"/>
      <c r="AJ2420" s="51"/>
      <c r="AK2420" s="51"/>
      <c r="AL2420" s="51"/>
      <c r="AM2420" s="51"/>
      <c r="AN2420" s="51"/>
      <c r="AO2420" s="51"/>
      <c r="AP2420" s="51"/>
      <c r="AQ2420" s="51"/>
      <c r="AR2420" s="51"/>
      <c r="AS2420" s="51"/>
      <c r="AT2420" s="51"/>
      <c r="AU2420" s="51"/>
      <c r="AV2420" s="51"/>
      <c r="AW2420" s="51"/>
    </row>
    <row r="2421" spans="1:49" s="31" customFormat="1" ht="15.75" x14ac:dyDescent="0.2">
      <c r="A2421" s="51"/>
      <c r="B2421" s="51"/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  <c r="S2421" s="51"/>
      <c r="T2421" s="51"/>
      <c r="U2421" s="51"/>
      <c r="V2421" s="51"/>
      <c r="W2421" s="51"/>
      <c r="X2421" s="51"/>
      <c r="Y2421" s="51"/>
      <c r="Z2421" s="51"/>
      <c r="AA2421" s="51"/>
      <c r="AB2421" s="51"/>
      <c r="AC2421" s="51"/>
      <c r="AD2421" s="51"/>
      <c r="AE2421" s="51"/>
      <c r="AF2421" s="51"/>
      <c r="AG2421" s="51"/>
      <c r="AH2421" s="51"/>
      <c r="AI2421" s="51"/>
      <c r="AJ2421" s="51"/>
      <c r="AK2421" s="51"/>
      <c r="AL2421" s="51"/>
      <c r="AM2421" s="51"/>
      <c r="AN2421" s="51"/>
      <c r="AO2421" s="51"/>
      <c r="AP2421" s="51"/>
      <c r="AQ2421" s="51"/>
      <c r="AR2421" s="51"/>
      <c r="AS2421" s="51"/>
      <c r="AT2421" s="51"/>
      <c r="AU2421" s="51"/>
      <c r="AV2421" s="51"/>
      <c r="AW2421" s="51"/>
    </row>
    <row r="2422" spans="1:49" s="31" customFormat="1" ht="15.75" x14ac:dyDescent="0.2">
      <c r="A2422" s="51"/>
      <c r="B2422" s="51"/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  <c r="S2422" s="51"/>
      <c r="T2422" s="51"/>
      <c r="U2422" s="51"/>
      <c r="V2422" s="51"/>
      <c r="W2422" s="51"/>
      <c r="X2422" s="51"/>
      <c r="Y2422" s="51"/>
      <c r="Z2422" s="51"/>
      <c r="AA2422" s="51"/>
      <c r="AB2422" s="51"/>
      <c r="AC2422" s="51"/>
      <c r="AD2422" s="51"/>
      <c r="AE2422" s="51"/>
      <c r="AF2422" s="51"/>
      <c r="AG2422" s="51"/>
      <c r="AH2422" s="51"/>
      <c r="AI2422" s="51"/>
      <c r="AJ2422" s="51"/>
      <c r="AK2422" s="51"/>
      <c r="AL2422" s="51"/>
      <c r="AM2422" s="51"/>
      <c r="AN2422" s="51"/>
      <c r="AO2422" s="51"/>
      <c r="AP2422" s="51"/>
      <c r="AQ2422" s="51"/>
      <c r="AR2422" s="51"/>
      <c r="AS2422" s="51"/>
      <c r="AT2422" s="51"/>
      <c r="AU2422" s="51"/>
      <c r="AV2422" s="51"/>
      <c r="AW2422" s="51"/>
    </row>
    <row r="2423" spans="1:49" s="38" customFormat="1" ht="15" x14ac:dyDescent="0.25">
      <c r="A2423" s="51"/>
      <c r="B2423" s="51"/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  <c r="S2423" s="51"/>
      <c r="T2423" s="51"/>
      <c r="U2423" s="51"/>
      <c r="V2423" s="51"/>
      <c r="W2423" s="51"/>
      <c r="X2423" s="51"/>
      <c r="Y2423" s="51"/>
      <c r="Z2423" s="51"/>
      <c r="AA2423" s="51"/>
      <c r="AB2423" s="51"/>
      <c r="AC2423" s="51"/>
      <c r="AD2423" s="51"/>
      <c r="AE2423" s="51"/>
      <c r="AF2423" s="51"/>
      <c r="AG2423" s="51"/>
      <c r="AH2423" s="51"/>
      <c r="AI2423" s="51"/>
      <c r="AJ2423" s="51"/>
      <c r="AK2423" s="51"/>
      <c r="AL2423" s="51"/>
      <c r="AM2423" s="51"/>
      <c r="AN2423" s="51"/>
      <c r="AO2423" s="51"/>
      <c r="AP2423" s="51"/>
      <c r="AQ2423" s="51"/>
      <c r="AR2423" s="51"/>
      <c r="AS2423" s="51"/>
      <c r="AT2423" s="51"/>
      <c r="AU2423" s="51"/>
      <c r="AV2423" s="51"/>
      <c r="AW2423" s="51"/>
    </row>
    <row r="2424" spans="1:49" s="38" customFormat="1" ht="15" x14ac:dyDescent="0.25">
      <c r="A2424" s="51"/>
      <c r="B2424" s="51"/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  <c r="S2424" s="51"/>
      <c r="T2424" s="51"/>
      <c r="U2424" s="51"/>
      <c r="V2424" s="51"/>
      <c r="W2424" s="51"/>
      <c r="X2424" s="51"/>
      <c r="Y2424" s="51"/>
      <c r="Z2424" s="51"/>
      <c r="AA2424" s="51"/>
      <c r="AB2424" s="51"/>
      <c r="AC2424" s="51"/>
      <c r="AD2424" s="51"/>
      <c r="AE2424" s="51"/>
      <c r="AF2424" s="51"/>
      <c r="AG2424" s="51"/>
      <c r="AH2424" s="51"/>
      <c r="AI2424" s="51"/>
      <c r="AJ2424" s="51"/>
      <c r="AK2424" s="51"/>
      <c r="AL2424" s="51"/>
      <c r="AM2424" s="51"/>
      <c r="AN2424" s="51"/>
      <c r="AO2424" s="51"/>
      <c r="AP2424" s="51"/>
      <c r="AQ2424" s="51"/>
      <c r="AR2424" s="51"/>
      <c r="AS2424" s="51"/>
      <c r="AT2424" s="51"/>
      <c r="AU2424" s="51"/>
      <c r="AV2424" s="51"/>
      <c r="AW2424" s="51"/>
    </row>
    <row r="2425" spans="1:49" s="38" customFormat="1" ht="15" x14ac:dyDescent="0.25">
      <c r="A2425" s="51"/>
      <c r="B2425" s="51"/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  <c r="S2425" s="51"/>
      <c r="T2425" s="51"/>
      <c r="U2425" s="51"/>
      <c r="V2425" s="51"/>
      <c r="W2425" s="51"/>
      <c r="X2425" s="51"/>
      <c r="Y2425" s="51"/>
      <c r="Z2425" s="51"/>
      <c r="AA2425" s="51"/>
      <c r="AB2425" s="51"/>
      <c r="AC2425" s="51"/>
      <c r="AD2425" s="51"/>
      <c r="AE2425" s="51"/>
      <c r="AF2425" s="51"/>
      <c r="AG2425" s="51"/>
      <c r="AH2425" s="51"/>
      <c r="AI2425" s="51"/>
      <c r="AJ2425" s="51"/>
      <c r="AK2425" s="51"/>
      <c r="AL2425" s="51"/>
      <c r="AM2425" s="51"/>
      <c r="AN2425" s="51"/>
      <c r="AO2425" s="51"/>
      <c r="AP2425" s="51"/>
      <c r="AQ2425" s="51"/>
      <c r="AR2425" s="51"/>
      <c r="AS2425" s="51"/>
      <c r="AT2425" s="51"/>
      <c r="AU2425" s="51"/>
      <c r="AV2425" s="51"/>
      <c r="AW2425" s="51"/>
    </row>
    <row r="2426" spans="1:49" s="31" customFormat="1" ht="15.75" x14ac:dyDescent="0.2">
      <c r="A2426" s="51"/>
      <c r="B2426" s="51"/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  <c r="S2426" s="51"/>
      <c r="T2426" s="51"/>
      <c r="U2426" s="51"/>
      <c r="V2426" s="51"/>
      <c r="W2426" s="51"/>
      <c r="X2426" s="51"/>
      <c r="Y2426" s="51"/>
      <c r="Z2426" s="51"/>
      <c r="AA2426" s="51"/>
      <c r="AB2426" s="51"/>
      <c r="AC2426" s="51"/>
      <c r="AD2426" s="51"/>
      <c r="AE2426" s="51"/>
      <c r="AF2426" s="51"/>
      <c r="AG2426" s="51"/>
      <c r="AH2426" s="51"/>
      <c r="AI2426" s="51"/>
      <c r="AJ2426" s="51"/>
      <c r="AK2426" s="51"/>
      <c r="AL2426" s="51"/>
      <c r="AM2426" s="51"/>
      <c r="AN2426" s="51"/>
      <c r="AO2426" s="51"/>
      <c r="AP2426" s="51"/>
      <c r="AQ2426" s="51"/>
      <c r="AR2426" s="51"/>
      <c r="AS2426" s="51"/>
      <c r="AT2426" s="51"/>
      <c r="AU2426" s="51"/>
      <c r="AV2426" s="51"/>
      <c r="AW2426" s="51"/>
    </row>
    <row r="2427" spans="1:49" s="31" customFormat="1" ht="15.75" x14ac:dyDescent="0.2">
      <c r="A2427" s="51"/>
      <c r="B2427" s="51"/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  <c r="S2427" s="51"/>
      <c r="T2427" s="51"/>
      <c r="U2427" s="51"/>
      <c r="V2427" s="51"/>
      <c r="W2427" s="51"/>
      <c r="X2427" s="51"/>
      <c r="Y2427" s="51"/>
      <c r="Z2427" s="51"/>
      <c r="AA2427" s="51"/>
      <c r="AB2427" s="51"/>
      <c r="AC2427" s="51"/>
      <c r="AD2427" s="51"/>
      <c r="AE2427" s="51"/>
      <c r="AF2427" s="51"/>
      <c r="AG2427" s="51"/>
      <c r="AH2427" s="51"/>
      <c r="AI2427" s="51"/>
      <c r="AJ2427" s="51"/>
      <c r="AK2427" s="51"/>
      <c r="AL2427" s="51"/>
      <c r="AM2427" s="51"/>
      <c r="AN2427" s="51"/>
      <c r="AO2427" s="51"/>
      <c r="AP2427" s="51"/>
      <c r="AQ2427" s="51"/>
      <c r="AR2427" s="51"/>
      <c r="AS2427" s="51"/>
      <c r="AT2427" s="51"/>
      <c r="AU2427" s="51"/>
      <c r="AV2427" s="51"/>
      <c r="AW2427" s="51"/>
    </row>
    <row r="2428" spans="1:49" s="31" customFormat="1" ht="15.75" x14ac:dyDescent="0.2">
      <c r="A2428" s="51"/>
      <c r="B2428" s="51"/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  <c r="S2428" s="51"/>
      <c r="T2428" s="51"/>
      <c r="U2428" s="51"/>
      <c r="V2428" s="51"/>
      <c r="W2428" s="51"/>
      <c r="X2428" s="51"/>
      <c r="Y2428" s="51"/>
      <c r="Z2428" s="51"/>
      <c r="AA2428" s="51"/>
      <c r="AB2428" s="51"/>
      <c r="AC2428" s="51"/>
      <c r="AD2428" s="51"/>
      <c r="AE2428" s="51"/>
      <c r="AF2428" s="51"/>
      <c r="AG2428" s="51"/>
      <c r="AH2428" s="51"/>
      <c r="AI2428" s="51"/>
      <c r="AJ2428" s="51"/>
      <c r="AK2428" s="51"/>
      <c r="AL2428" s="51"/>
      <c r="AM2428" s="51"/>
      <c r="AN2428" s="51"/>
      <c r="AO2428" s="51"/>
      <c r="AP2428" s="51"/>
      <c r="AQ2428" s="51"/>
      <c r="AR2428" s="51"/>
      <c r="AS2428" s="51"/>
      <c r="AT2428" s="51"/>
      <c r="AU2428" s="51"/>
      <c r="AV2428" s="51"/>
      <c r="AW2428" s="51"/>
    </row>
    <row r="2429" spans="1:49" s="31" customFormat="1" ht="15.75" x14ac:dyDescent="0.2">
      <c r="A2429" s="51"/>
      <c r="B2429" s="51"/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  <c r="S2429" s="51"/>
      <c r="T2429" s="51"/>
      <c r="U2429" s="51"/>
      <c r="V2429" s="51"/>
      <c r="W2429" s="51"/>
      <c r="X2429" s="51"/>
      <c r="Y2429" s="51"/>
      <c r="Z2429" s="51"/>
      <c r="AA2429" s="51"/>
      <c r="AB2429" s="51"/>
      <c r="AC2429" s="51"/>
      <c r="AD2429" s="51"/>
      <c r="AE2429" s="51"/>
      <c r="AF2429" s="51"/>
      <c r="AG2429" s="51"/>
      <c r="AH2429" s="51"/>
      <c r="AI2429" s="51"/>
      <c r="AJ2429" s="51"/>
      <c r="AK2429" s="51"/>
      <c r="AL2429" s="51"/>
      <c r="AM2429" s="51"/>
      <c r="AN2429" s="51"/>
      <c r="AO2429" s="51"/>
      <c r="AP2429" s="51"/>
      <c r="AQ2429" s="51"/>
      <c r="AR2429" s="51"/>
      <c r="AS2429" s="51"/>
      <c r="AT2429" s="51"/>
      <c r="AU2429" s="51"/>
      <c r="AV2429" s="51"/>
      <c r="AW2429" s="51"/>
    </row>
    <row r="2430" spans="1:49" s="38" customFormat="1" ht="15" x14ac:dyDescent="0.25">
      <c r="A2430" s="51"/>
      <c r="B2430" s="51"/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  <c r="S2430" s="51"/>
      <c r="T2430" s="51"/>
      <c r="U2430" s="51"/>
      <c r="V2430" s="51"/>
      <c r="W2430" s="51"/>
      <c r="X2430" s="51"/>
      <c r="Y2430" s="51"/>
      <c r="Z2430" s="51"/>
      <c r="AA2430" s="51"/>
      <c r="AB2430" s="51"/>
      <c r="AC2430" s="51"/>
      <c r="AD2430" s="51"/>
      <c r="AE2430" s="51"/>
      <c r="AF2430" s="51"/>
      <c r="AG2430" s="51"/>
      <c r="AH2430" s="51"/>
      <c r="AI2430" s="51"/>
      <c r="AJ2430" s="51"/>
      <c r="AK2430" s="51"/>
      <c r="AL2430" s="51"/>
      <c r="AM2430" s="51"/>
      <c r="AN2430" s="51"/>
      <c r="AO2430" s="51"/>
      <c r="AP2430" s="51"/>
      <c r="AQ2430" s="51"/>
      <c r="AR2430" s="51"/>
      <c r="AS2430" s="51"/>
      <c r="AT2430" s="51"/>
      <c r="AU2430" s="51"/>
      <c r="AV2430" s="51"/>
      <c r="AW2430" s="51"/>
    </row>
    <row r="2431" spans="1:49" s="31" customFormat="1" ht="15.75" x14ac:dyDescent="0.2">
      <c r="A2431" s="51"/>
      <c r="B2431" s="51"/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  <c r="S2431" s="51"/>
      <c r="T2431" s="51"/>
      <c r="U2431" s="51"/>
      <c r="V2431" s="51"/>
      <c r="W2431" s="51"/>
      <c r="X2431" s="51"/>
      <c r="Y2431" s="51"/>
      <c r="Z2431" s="51"/>
      <c r="AA2431" s="51"/>
      <c r="AB2431" s="51"/>
      <c r="AC2431" s="51"/>
      <c r="AD2431" s="51"/>
      <c r="AE2431" s="51"/>
      <c r="AF2431" s="51"/>
      <c r="AG2431" s="51"/>
      <c r="AH2431" s="51"/>
      <c r="AI2431" s="51"/>
      <c r="AJ2431" s="51"/>
      <c r="AK2431" s="51"/>
      <c r="AL2431" s="51"/>
      <c r="AM2431" s="51"/>
      <c r="AN2431" s="51"/>
      <c r="AO2431" s="51"/>
      <c r="AP2431" s="51"/>
      <c r="AQ2431" s="51"/>
      <c r="AR2431" s="51"/>
      <c r="AS2431" s="51"/>
      <c r="AT2431" s="51"/>
      <c r="AU2431" s="51"/>
      <c r="AV2431" s="51"/>
      <c r="AW2431" s="51"/>
    </row>
    <row r="2432" spans="1:49" s="31" customFormat="1" ht="15.75" x14ac:dyDescent="0.2">
      <c r="A2432" s="51"/>
      <c r="B2432" s="51"/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  <c r="S2432" s="51"/>
      <c r="T2432" s="51"/>
      <c r="U2432" s="51"/>
      <c r="V2432" s="51"/>
      <c r="W2432" s="51"/>
      <c r="X2432" s="51"/>
      <c r="Y2432" s="51"/>
      <c r="Z2432" s="51"/>
      <c r="AA2432" s="51"/>
      <c r="AB2432" s="51"/>
      <c r="AC2432" s="51"/>
      <c r="AD2432" s="51"/>
      <c r="AE2432" s="51"/>
      <c r="AF2432" s="51"/>
      <c r="AG2432" s="51"/>
      <c r="AH2432" s="51"/>
      <c r="AI2432" s="51"/>
      <c r="AJ2432" s="51"/>
      <c r="AK2432" s="51"/>
      <c r="AL2432" s="51"/>
      <c r="AM2432" s="51"/>
      <c r="AN2432" s="51"/>
      <c r="AO2432" s="51"/>
      <c r="AP2432" s="51"/>
      <c r="AQ2432" s="51"/>
      <c r="AR2432" s="51"/>
      <c r="AS2432" s="51"/>
      <c r="AT2432" s="51"/>
      <c r="AU2432" s="51"/>
      <c r="AV2432" s="51"/>
      <c r="AW2432" s="51"/>
    </row>
    <row r="2433" spans="1:49" s="31" customFormat="1" ht="15.75" x14ac:dyDescent="0.2">
      <c r="A2433" s="51"/>
      <c r="B2433" s="51"/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  <c r="S2433" s="51"/>
      <c r="T2433" s="51"/>
      <c r="U2433" s="51"/>
      <c r="V2433" s="51"/>
      <c r="W2433" s="51"/>
      <c r="X2433" s="51"/>
      <c r="Y2433" s="51"/>
      <c r="Z2433" s="51"/>
      <c r="AA2433" s="51"/>
      <c r="AB2433" s="51"/>
      <c r="AC2433" s="51"/>
      <c r="AD2433" s="51"/>
      <c r="AE2433" s="51"/>
      <c r="AF2433" s="51"/>
      <c r="AG2433" s="51"/>
      <c r="AH2433" s="51"/>
      <c r="AI2433" s="51"/>
      <c r="AJ2433" s="51"/>
      <c r="AK2433" s="51"/>
      <c r="AL2433" s="51"/>
      <c r="AM2433" s="51"/>
      <c r="AN2433" s="51"/>
      <c r="AO2433" s="51"/>
      <c r="AP2433" s="51"/>
      <c r="AQ2433" s="51"/>
      <c r="AR2433" s="51"/>
      <c r="AS2433" s="51"/>
      <c r="AT2433" s="51"/>
      <c r="AU2433" s="51"/>
      <c r="AV2433" s="51"/>
      <c r="AW2433" s="51"/>
    </row>
    <row r="2434" spans="1:49" s="31" customFormat="1" ht="15.75" x14ac:dyDescent="0.2">
      <c r="A2434" s="51"/>
      <c r="B2434" s="51"/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  <c r="S2434" s="51"/>
      <c r="T2434" s="51"/>
      <c r="U2434" s="51"/>
      <c r="V2434" s="51"/>
      <c r="W2434" s="51"/>
      <c r="X2434" s="51"/>
      <c r="Y2434" s="51"/>
      <c r="Z2434" s="51"/>
      <c r="AA2434" s="51"/>
      <c r="AB2434" s="51"/>
      <c r="AC2434" s="51"/>
      <c r="AD2434" s="51"/>
      <c r="AE2434" s="51"/>
      <c r="AF2434" s="51"/>
      <c r="AG2434" s="51"/>
      <c r="AH2434" s="51"/>
      <c r="AI2434" s="51"/>
      <c r="AJ2434" s="51"/>
      <c r="AK2434" s="51"/>
      <c r="AL2434" s="51"/>
      <c r="AM2434" s="51"/>
      <c r="AN2434" s="51"/>
      <c r="AO2434" s="51"/>
      <c r="AP2434" s="51"/>
      <c r="AQ2434" s="51"/>
      <c r="AR2434" s="51"/>
      <c r="AS2434" s="51"/>
      <c r="AT2434" s="51"/>
      <c r="AU2434" s="51"/>
      <c r="AV2434" s="51"/>
      <c r="AW2434" s="51"/>
    </row>
    <row r="2435" spans="1:49" s="31" customFormat="1" ht="15.75" x14ac:dyDescent="0.2">
      <c r="A2435" s="51"/>
      <c r="B2435" s="51"/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  <c r="S2435" s="51"/>
      <c r="T2435" s="51"/>
      <c r="U2435" s="51"/>
      <c r="V2435" s="51"/>
      <c r="W2435" s="51"/>
      <c r="X2435" s="51"/>
      <c r="Y2435" s="51"/>
      <c r="Z2435" s="51"/>
      <c r="AA2435" s="51"/>
      <c r="AB2435" s="51"/>
      <c r="AC2435" s="51"/>
      <c r="AD2435" s="51"/>
      <c r="AE2435" s="51"/>
      <c r="AF2435" s="51"/>
      <c r="AG2435" s="51"/>
      <c r="AH2435" s="51"/>
      <c r="AI2435" s="51"/>
      <c r="AJ2435" s="51"/>
      <c r="AK2435" s="51"/>
      <c r="AL2435" s="51"/>
      <c r="AM2435" s="51"/>
      <c r="AN2435" s="51"/>
      <c r="AO2435" s="51"/>
      <c r="AP2435" s="51"/>
      <c r="AQ2435" s="51"/>
      <c r="AR2435" s="51"/>
      <c r="AS2435" s="51"/>
      <c r="AT2435" s="51"/>
      <c r="AU2435" s="51"/>
      <c r="AV2435" s="51"/>
      <c r="AW2435" s="51"/>
    </row>
    <row r="2436" spans="1:49" s="31" customFormat="1" ht="15.75" x14ac:dyDescent="0.2">
      <c r="A2436" s="51"/>
      <c r="B2436" s="51"/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  <c r="S2436" s="51"/>
      <c r="T2436" s="51"/>
      <c r="U2436" s="51"/>
      <c r="V2436" s="51"/>
      <c r="W2436" s="51"/>
      <c r="X2436" s="51"/>
      <c r="Y2436" s="51"/>
      <c r="Z2436" s="51"/>
      <c r="AA2436" s="51"/>
      <c r="AB2436" s="51"/>
      <c r="AC2436" s="51"/>
      <c r="AD2436" s="51"/>
      <c r="AE2436" s="51"/>
      <c r="AF2436" s="51"/>
      <c r="AG2436" s="51"/>
      <c r="AH2436" s="51"/>
      <c r="AI2436" s="51"/>
      <c r="AJ2436" s="51"/>
      <c r="AK2436" s="51"/>
      <c r="AL2436" s="51"/>
      <c r="AM2436" s="51"/>
      <c r="AN2436" s="51"/>
      <c r="AO2436" s="51"/>
      <c r="AP2436" s="51"/>
      <c r="AQ2436" s="51"/>
      <c r="AR2436" s="51"/>
      <c r="AS2436" s="51"/>
      <c r="AT2436" s="51"/>
      <c r="AU2436" s="51"/>
      <c r="AV2436" s="51"/>
      <c r="AW2436" s="51"/>
    </row>
    <row r="2437" spans="1:49" s="38" customFormat="1" ht="15" x14ac:dyDescent="0.25">
      <c r="A2437" s="51"/>
      <c r="B2437" s="51"/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  <c r="S2437" s="51"/>
      <c r="T2437" s="51"/>
      <c r="U2437" s="51"/>
      <c r="V2437" s="51"/>
      <c r="W2437" s="51"/>
      <c r="X2437" s="51"/>
      <c r="Y2437" s="51"/>
      <c r="Z2437" s="51"/>
      <c r="AA2437" s="51"/>
      <c r="AB2437" s="51"/>
      <c r="AC2437" s="51"/>
      <c r="AD2437" s="51"/>
      <c r="AE2437" s="51"/>
      <c r="AF2437" s="51"/>
      <c r="AG2437" s="51"/>
      <c r="AH2437" s="51"/>
      <c r="AI2437" s="51"/>
      <c r="AJ2437" s="51"/>
      <c r="AK2437" s="51"/>
      <c r="AL2437" s="51"/>
      <c r="AM2437" s="51"/>
      <c r="AN2437" s="51"/>
      <c r="AO2437" s="51"/>
      <c r="AP2437" s="51"/>
      <c r="AQ2437" s="51"/>
      <c r="AR2437" s="51"/>
      <c r="AS2437" s="51"/>
      <c r="AT2437" s="51"/>
      <c r="AU2437" s="51"/>
      <c r="AV2437" s="51"/>
      <c r="AW2437" s="51"/>
    </row>
    <row r="2438" spans="1:49" s="31" customFormat="1" ht="15.75" x14ac:dyDescent="0.2">
      <c r="A2438" s="51"/>
      <c r="B2438" s="51"/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  <c r="S2438" s="51"/>
      <c r="T2438" s="51"/>
      <c r="U2438" s="51"/>
      <c r="V2438" s="51"/>
      <c r="W2438" s="51"/>
      <c r="X2438" s="51"/>
      <c r="Y2438" s="51"/>
      <c r="Z2438" s="51"/>
      <c r="AA2438" s="51"/>
      <c r="AB2438" s="51"/>
      <c r="AC2438" s="51"/>
      <c r="AD2438" s="51"/>
      <c r="AE2438" s="51"/>
      <c r="AF2438" s="51"/>
      <c r="AG2438" s="51"/>
      <c r="AH2438" s="51"/>
      <c r="AI2438" s="51"/>
      <c r="AJ2438" s="51"/>
      <c r="AK2438" s="51"/>
      <c r="AL2438" s="51"/>
      <c r="AM2438" s="51"/>
      <c r="AN2438" s="51"/>
      <c r="AO2438" s="51"/>
      <c r="AP2438" s="51"/>
      <c r="AQ2438" s="51"/>
      <c r="AR2438" s="51"/>
      <c r="AS2438" s="51"/>
      <c r="AT2438" s="51"/>
      <c r="AU2438" s="51"/>
      <c r="AV2438" s="51"/>
      <c r="AW2438" s="51"/>
    </row>
    <row r="2439" spans="1:49" s="31" customFormat="1" ht="15.75" x14ac:dyDescent="0.2">
      <c r="A2439" s="51"/>
      <c r="B2439" s="51"/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  <c r="S2439" s="51"/>
      <c r="T2439" s="51"/>
      <c r="U2439" s="51"/>
      <c r="V2439" s="51"/>
      <c r="W2439" s="51"/>
      <c r="X2439" s="51"/>
      <c r="Y2439" s="51"/>
      <c r="Z2439" s="51"/>
      <c r="AA2439" s="51"/>
      <c r="AB2439" s="51"/>
      <c r="AC2439" s="51"/>
      <c r="AD2439" s="51"/>
      <c r="AE2439" s="51"/>
      <c r="AF2439" s="51"/>
      <c r="AG2439" s="51"/>
      <c r="AH2439" s="51"/>
      <c r="AI2439" s="51"/>
      <c r="AJ2439" s="51"/>
      <c r="AK2439" s="51"/>
      <c r="AL2439" s="51"/>
      <c r="AM2439" s="51"/>
      <c r="AN2439" s="51"/>
      <c r="AO2439" s="51"/>
      <c r="AP2439" s="51"/>
      <c r="AQ2439" s="51"/>
      <c r="AR2439" s="51"/>
      <c r="AS2439" s="51"/>
      <c r="AT2439" s="51"/>
      <c r="AU2439" s="51"/>
      <c r="AV2439" s="51"/>
      <c r="AW2439" s="51"/>
    </row>
    <row r="2440" spans="1:49" s="31" customFormat="1" ht="15.75" x14ac:dyDescent="0.2">
      <c r="A2440" s="51"/>
      <c r="B2440" s="51"/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  <c r="S2440" s="51"/>
      <c r="T2440" s="51"/>
      <c r="U2440" s="51"/>
      <c r="V2440" s="51"/>
      <c r="W2440" s="51"/>
      <c r="X2440" s="51"/>
      <c r="Y2440" s="51"/>
      <c r="Z2440" s="51"/>
      <c r="AA2440" s="51"/>
      <c r="AB2440" s="51"/>
      <c r="AC2440" s="51"/>
      <c r="AD2440" s="51"/>
      <c r="AE2440" s="51"/>
      <c r="AF2440" s="51"/>
      <c r="AG2440" s="51"/>
      <c r="AH2440" s="51"/>
      <c r="AI2440" s="51"/>
      <c r="AJ2440" s="51"/>
      <c r="AK2440" s="51"/>
      <c r="AL2440" s="51"/>
      <c r="AM2440" s="51"/>
      <c r="AN2440" s="51"/>
      <c r="AO2440" s="51"/>
      <c r="AP2440" s="51"/>
      <c r="AQ2440" s="51"/>
      <c r="AR2440" s="51"/>
      <c r="AS2440" s="51"/>
      <c r="AT2440" s="51"/>
      <c r="AU2440" s="51"/>
      <c r="AV2440" s="51"/>
      <c r="AW2440" s="51"/>
    </row>
    <row r="2441" spans="1:49" s="38" customFormat="1" ht="15" x14ac:dyDescent="0.25">
      <c r="A2441" s="51"/>
      <c r="B2441" s="51"/>
      <c r="C2441" s="51"/>
      <c r="D2441" s="51"/>
      <c r="E2441" s="51"/>
      <c r="F2441" s="51"/>
      <c r="G2441" s="51"/>
      <c r="H2441" s="51"/>
      <c r="I2441" s="51"/>
      <c r="J2441" s="51"/>
      <c r="K2441" s="51"/>
      <c r="L2441" s="51"/>
      <c r="M2441" s="51"/>
      <c r="N2441" s="51"/>
      <c r="O2441" s="51"/>
      <c r="P2441" s="51"/>
      <c r="Q2441" s="51"/>
      <c r="R2441" s="51"/>
      <c r="S2441" s="51"/>
      <c r="T2441" s="51"/>
      <c r="U2441" s="51"/>
      <c r="V2441" s="51"/>
      <c r="W2441" s="51"/>
      <c r="X2441" s="51"/>
      <c r="Y2441" s="51"/>
      <c r="Z2441" s="51"/>
      <c r="AA2441" s="51"/>
      <c r="AB2441" s="51"/>
      <c r="AC2441" s="51"/>
      <c r="AD2441" s="51"/>
      <c r="AE2441" s="51"/>
      <c r="AF2441" s="51"/>
      <c r="AG2441" s="51"/>
      <c r="AH2441" s="51"/>
      <c r="AI2441" s="51"/>
      <c r="AJ2441" s="51"/>
      <c r="AK2441" s="51"/>
      <c r="AL2441" s="51"/>
      <c r="AM2441" s="51"/>
      <c r="AN2441" s="51"/>
      <c r="AO2441" s="51"/>
      <c r="AP2441" s="51"/>
      <c r="AQ2441" s="51"/>
      <c r="AR2441" s="51"/>
      <c r="AS2441" s="51"/>
      <c r="AT2441" s="51"/>
      <c r="AU2441" s="51"/>
      <c r="AV2441" s="51"/>
      <c r="AW2441" s="51"/>
    </row>
    <row r="2442" spans="1:49" s="38" customFormat="1" ht="15" x14ac:dyDescent="0.25">
      <c r="A2442" s="51"/>
      <c r="B2442" s="51"/>
      <c r="C2442" s="51"/>
      <c r="D2442" s="51"/>
      <c r="E2442" s="51"/>
      <c r="F2442" s="51"/>
      <c r="G2442" s="51"/>
      <c r="H2442" s="51"/>
      <c r="I2442" s="51"/>
      <c r="J2442" s="51"/>
      <c r="K2442" s="51"/>
      <c r="L2442" s="51"/>
      <c r="M2442" s="51"/>
      <c r="N2442" s="51"/>
      <c r="O2442" s="51"/>
      <c r="P2442" s="51"/>
      <c r="Q2442" s="51"/>
      <c r="R2442" s="51"/>
      <c r="S2442" s="51"/>
      <c r="T2442" s="51"/>
      <c r="U2442" s="51"/>
      <c r="V2442" s="51"/>
      <c r="W2442" s="51"/>
      <c r="X2442" s="51"/>
      <c r="Y2442" s="51"/>
      <c r="Z2442" s="51"/>
      <c r="AA2442" s="51"/>
      <c r="AB2442" s="51"/>
      <c r="AC2442" s="51"/>
      <c r="AD2442" s="51"/>
      <c r="AE2442" s="51"/>
      <c r="AF2442" s="51"/>
      <c r="AG2442" s="51"/>
      <c r="AH2442" s="51"/>
      <c r="AI2442" s="51"/>
      <c r="AJ2442" s="51"/>
      <c r="AK2442" s="51"/>
      <c r="AL2442" s="51"/>
      <c r="AM2442" s="51"/>
      <c r="AN2442" s="51"/>
      <c r="AO2442" s="51"/>
      <c r="AP2442" s="51"/>
      <c r="AQ2442" s="51"/>
      <c r="AR2442" s="51"/>
      <c r="AS2442" s="51"/>
      <c r="AT2442" s="51"/>
      <c r="AU2442" s="51"/>
      <c r="AV2442" s="51"/>
      <c r="AW2442" s="51"/>
    </row>
    <row r="2443" spans="1:49" s="38" customFormat="1" ht="15" x14ac:dyDescent="0.25">
      <c r="A2443" s="51"/>
      <c r="B2443" s="51"/>
      <c r="C2443" s="51"/>
      <c r="D2443" s="51"/>
      <c r="E2443" s="51"/>
      <c r="F2443" s="51"/>
      <c r="G2443" s="51"/>
      <c r="H2443" s="51"/>
      <c r="I2443" s="51"/>
      <c r="J2443" s="51"/>
      <c r="K2443" s="51"/>
      <c r="L2443" s="51"/>
      <c r="M2443" s="51"/>
      <c r="N2443" s="51"/>
      <c r="O2443" s="51"/>
      <c r="P2443" s="51"/>
      <c r="Q2443" s="51"/>
      <c r="R2443" s="51"/>
      <c r="S2443" s="51"/>
      <c r="T2443" s="51"/>
      <c r="U2443" s="51"/>
      <c r="V2443" s="51"/>
      <c r="W2443" s="51"/>
      <c r="X2443" s="51"/>
      <c r="Y2443" s="51"/>
      <c r="Z2443" s="51"/>
      <c r="AA2443" s="51"/>
      <c r="AB2443" s="51"/>
      <c r="AC2443" s="51"/>
      <c r="AD2443" s="51"/>
      <c r="AE2443" s="51"/>
      <c r="AF2443" s="51"/>
      <c r="AG2443" s="51"/>
      <c r="AH2443" s="51"/>
      <c r="AI2443" s="51"/>
      <c r="AJ2443" s="51"/>
      <c r="AK2443" s="51"/>
      <c r="AL2443" s="51"/>
      <c r="AM2443" s="51"/>
      <c r="AN2443" s="51"/>
      <c r="AO2443" s="51"/>
      <c r="AP2443" s="51"/>
      <c r="AQ2443" s="51"/>
      <c r="AR2443" s="51"/>
      <c r="AS2443" s="51"/>
      <c r="AT2443" s="51"/>
      <c r="AU2443" s="51"/>
      <c r="AV2443" s="51"/>
      <c r="AW2443" s="51"/>
    </row>
    <row r="2444" spans="1:49" s="38" customFormat="1" ht="15" x14ac:dyDescent="0.25">
      <c r="A2444" s="51"/>
      <c r="B2444" s="51"/>
      <c r="C2444" s="51"/>
      <c r="D2444" s="51"/>
      <c r="E2444" s="51"/>
      <c r="F2444" s="51"/>
      <c r="G2444" s="51"/>
      <c r="H2444" s="51"/>
      <c r="I2444" s="51"/>
      <c r="J2444" s="51"/>
      <c r="K2444" s="51"/>
      <c r="L2444" s="51"/>
      <c r="M2444" s="51"/>
      <c r="N2444" s="51"/>
      <c r="O2444" s="51"/>
      <c r="P2444" s="51"/>
      <c r="Q2444" s="51"/>
      <c r="R2444" s="51"/>
      <c r="S2444" s="51"/>
      <c r="T2444" s="51"/>
      <c r="U2444" s="51"/>
      <c r="V2444" s="51"/>
      <c r="W2444" s="51"/>
      <c r="X2444" s="51"/>
      <c r="Y2444" s="51"/>
      <c r="Z2444" s="51"/>
      <c r="AA2444" s="51"/>
      <c r="AB2444" s="51"/>
      <c r="AC2444" s="51"/>
      <c r="AD2444" s="51"/>
      <c r="AE2444" s="51"/>
      <c r="AF2444" s="51"/>
      <c r="AG2444" s="51"/>
      <c r="AH2444" s="51"/>
      <c r="AI2444" s="51"/>
      <c r="AJ2444" s="51"/>
      <c r="AK2444" s="51"/>
      <c r="AL2444" s="51"/>
      <c r="AM2444" s="51"/>
      <c r="AN2444" s="51"/>
      <c r="AO2444" s="51"/>
      <c r="AP2444" s="51"/>
      <c r="AQ2444" s="51"/>
      <c r="AR2444" s="51"/>
      <c r="AS2444" s="51"/>
      <c r="AT2444" s="51"/>
      <c r="AU2444" s="51"/>
      <c r="AV2444" s="51"/>
      <c r="AW2444" s="51"/>
    </row>
    <row r="2445" spans="1:49" s="38" customFormat="1" ht="15" x14ac:dyDescent="0.25">
      <c r="A2445" s="51"/>
      <c r="B2445" s="51"/>
      <c r="C2445" s="51"/>
      <c r="D2445" s="51"/>
      <c r="E2445" s="51"/>
      <c r="F2445" s="51"/>
      <c r="G2445" s="51"/>
      <c r="H2445" s="51"/>
      <c r="I2445" s="51"/>
      <c r="J2445" s="51"/>
      <c r="K2445" s="51"/>
      <c r="L2445" s="51"/>
      <c r="M2445" s="51"/>
      <c r="N2445" s="51"/>
      <c r="O2445" s="51"/>
      <c r="P2445" s="51"/>
      <c r="Q2445" s="51"/>
      <c r="R2445" s="51"/>
      <c r="S2445" s="51"/>
      <c r="T2445" s="51"/>
      <c r="U2445" s="51"/>
      <c r="V2445" s="51"/>
      <c r="W2445" s="51"/>
      <c r="X2445" s="51"/>
      <c r="Y2445" s="51"/>
      <c r="Z2445" s="51"/>
      <c r="AA2445" s="51"/>
      <c r="AB2445" s="51"/>
      <c r="AC2445" s="51"/>
      <c r="AD2445" s="51"/>
      <c r="AE2445" s="51"/>
      <c r="AF2445" s="51"/>
      <c r="AG2445" s="51"/>
      <c r="AH2445" s="51"/>
      <c r="AI2445" s="51"/>
      <c r="AJ2445" s="51"/>
      <c r="AK2445" s="51"/>
      <c r="AL2445" s="51"/>
      <c r="AM2445" s="51"/>
      <c r="AN2445" s="51"/>
      <c r="AO2445" s="51"/>
      <c r="AP2445" s="51"/>
      <c r="AQ2445" s="51"/>
      <c r="AR2445" s="51"/>
      <c r="AS2445" s="51"/>
      <c r="AT2445" s="51"/>
      <c r="AU2445" s="51"/>
      <c r="AV2445" s="51"/>
      <c r="AW2445" s="51"/>
    </row>
    <row r="2446" spans="1:49" s="38" customFormat="1" ht="15" x14ac:dyDescent="0.25">
      <c r="A2446" s="51"/>
      <c r="B2446" s="51"/>
      <c r="C2446" s="51"/>
      <c r="D2446" s="51"/>
      <c r="E2446" s="51"/>
      <c r="F2446" s="51"/>
      <c r="G2446" s="51"/>
      <c r="H2446" s="51"/>
      <c r="I2446" s="51"/>
      <c r="J2446" s="51"/>
      <c r="K2446" s="51"/>
      <c r="L2446" s="51"/>
      <c r="M2446" s="51"/>
      <c r="N2446" s="51"/>
      <c r="O2446" s="51"/>
      <c r="P2446" s="51"/>
      <c r="Q2446" s="51"/>
      <c r="R2446" s="51"/>
      <c r="S2446" s="51"/>
      <c r="T2446" s="51"/>
      <c r="U2446" s="51"/>
      <c r="V2446" s="51"/>
      <c r="W2446" s="51"/>
      <c r="X2446" s="51"/>
      <c r="Y2446" s="51"/>
      <c r="Z2446" s="51"/>
      <c r="AA2446" s="51"/>
      <c r="AB2446" s="51"/>
      <c r="AC2446" s="51"/>
      <c r="AD2446" s="51"/>
      <c r="AE2446" s="51"/>
      <c r="AF2446" s="51"/>
      <c r="AG2446" s="51"/>
      <c r="AH2446" s="51"/>
      <c r="AI2446" s="51"/>
      <c r="AJ2446" s="51"/>
      <c r="AK2446" s="51"/>
      <c r="AL2446" s="51"/>
      <c r="AM2446" s="51"/>
      <c r="AN2446" s="51"/>
      <c r="AO2446" s="51"/>
      <c r="AP2446" s="51"/>
      <c r="AQ2446" s="51"/>
      <c r="AR2446" s="51"/>
      <c r="AS2446" s="51"/>
      <c r="AT2446" s="51"/>
      <c r="AU2446" s="51"/>
      <c r="AV2446" s="51"/>
      <c r="AW2446" s="51"/>
    </row>
    <row r="2447" spans="1:49" s="38" customFormat="1" ht="15" x14ac:dyDescent="0.25">
      <c r="A2447" s="51"/>
      <c r="B2447" s="51"/>
      <c r="C2447" s="51"/>
      <c r="D2447" s="51"/>
      <c r="E2447" s="51"/>
      <c r="F2447" s="51"/>
      <c r="G2447" s="51"/>
      <c r="H2447" s="51"/>
      <c r="I2447" s="51"/>
      <c r="J2447" s="51"/>
      <c r="K2447" s="51"/>
      <c r="L2447" s="51"/>
      <c r="M2447" s="51"/>
      <c r="N2447" s="51"/>
      <c r="O2447" s="51"/>
      <c r="P2447" s="51"/>
      <c r="Q2447" s="51"/>
      <c r="R2447" s="51"/>
      <c r="S2447" s="51"/>
      <c r="T2447" s="51"/>
      <c r="U2447" s="51"/>
      <c r="V2447" s="51"/>
      <c r="W2447" s="51"/>
      <c r="X2447" s="51"/>
      <c r="Y2447" s="51"/>
      <c r="Z2447" s="51"/>
      <c r="AA2447" s="51"/>
      <c r="AB2447" s="51"/>
      <c r="AC2447" s="51"/>
      <c r="AD2447" s="51"/>
      <c r="AE2447" s="51"/>
      <c r="AF2447" s="51"/>
      <c r="AG2447" s="51"/>
      <c r="AH2447" s="51"/>
      <c r="AI2447" s="51"/>
      <c r="AJ2447" s="51"/>
      <c r="AK2447" s="51"/>
      <c r="AL2447" s="51"/>
      <c r="AM2447" s="51"/>
      <c r="AN2447" s="51"/>
      <c r="AO2447" s="51"/>
      <c r="AP2447" s="51"/>
      <c r="AQ2447" s="51"/>
      <c r="AR2447" s="51"/>
      <c r="AS2447" s="51"/>
      <c r="AT2447" s="51"/>
      <c r="AU2447" s="51"/>
      <c r="AV2447" s="51"/>
      <c r="AW2447" s="51"/>
    </row>
    <row r="2448" spans="1:49" s="38" customFormat="1" ht="15" x14ac:dyDescent="0.25">
      <c r="A2448" s="51"/>
      <c r="B2448" s="51"/>
      <c r="C2448" s="51"/>
      <c r="D2448" s="51"/>
      <c r="E2448" s="51"/>
      <c r="F2448" s="51"/>
      <c r="G2448" s="51"/>
      <c r="H2448" s="51"/>
      <c r="I2448" s="51"/>
      <c r="J2448" s="51"/>
      <c r="K2448" s="51"/>
      <c r="L2448" s="51"/>
      <c r="M2448" s="51"/>
      <c r="N2448" s="51"/>
      <c r="O2448" s="51"/>
      <c r="P2448" s="51"/>
      <c r="Q2448" s="51"/>
      <c r="R2448" s="51"/>
      <c r="S2448" s="51"/>
      <c r="T2448" s="51"/>
      <c r="U2448" s="51"/>
      <c r="V2448" s="51"/>
      <c r="W2448" s="51"/>
      <c r="X2448" s="51"/>
      <c r="Y2448" s="51"/>
      <c r="Z2448" s="51"/>
      <c r="AA2448" s="51"/>
      <c r="AB2448" s="51"/>
      <c r="AC2448" s="51"/>
      <c r="AD2448" s="51"/>
      <c r="AE2448" s="51"/>
      <c r="AF2448" s="51"/>
      <c r="AG2448" s="51"/>
      <c r="AH2448" s="51"/>
      <c r="AI2448" s="51"/>
      <c r="AJ2448" s="51"/>
      <c r="AK2448" s="51"/>
      <c r="AL2448" s="51"/>
      <c r="AM2448" s="51"/>
      <c r="AN2448" s="51"/>
      <c r="AO2448" s="51"/>
      <c r="AP2448" s="51"/>
      <c r="AQ2448" s="51"/>
      <c r="AR2448" s="51"/>
      <c r="AS2448" s="51"/>
      <c r="AT2448" s="51"/>
      <c r="AU2448" s="51"/>
      <c r="AV2448" s="51"/>
      <c r="AW2448" s="51"/>
    </row>
    <row r="2449" spans="1:49" s="38" customFormat="1" ht="15" x14ac:dyDescent="0.25">
      <c r="A2449" s="51"/>
      <c r="B2449" s="51"/>
      <c r="C2449" s="51"/>
      <c r="D2449" s="51"/>
      <c r="E2449" s="51"/>
      <c r="F2449" s="51"/>
      <c r="G2449" s="51"/>
      <c r="H2449" s="51"/>
      <c r="I2449" s="51"/>
      <c r="J2449" s="51"/>
      <c r="K2449" s="51"/>
      <c r="L2449" s="51"/>
      <c r="M2449" s="51"/>
      <c r="N2449" s="51"/>
      <c r="O2449" s="51"/>
      <c r="P2449" s="51"/>
      <c r="Q2449" s="51"/>
      <c r="R2449" s="51"/>
      <c r="S2449" s="51"/>
      <c r="T2449" s="51"/>
      <c r="U2449" s="51"/>
      <c r="V2449" s="51"/>
      <c r="W2449" s="51"/>
      <c r="X2449" s="51"/>
      <c r="Y2449" s="51"/>
      <c r="Z2449" s="51"/>
      <c r="AA2449" s="51"/>
      <c r="AB2449" s="51"/>
      <c r="AC2449" s="51"/>
      <c r="AD2449" s="51"/>
      <c r="AE2449" s="51"/>
      <c r="AF2449" s="51"/>
      <c r="AG2449" s="51"/>
      <c r="AH2449" s="51"/>
      <c r="AI2449" s="51"/>
      <c r="AJ2449" s="51"/>
      <c r="AK2449" s="51"/>
      <c r="AL2449" s="51"/>
      <c r="AM2449" s="51"/>
      <c r="AN2449" s="51"/>
      <c r="AO2449" s="51"/>
      <c r="AP2449" s="51"/>
      <c r="AQ2449" s="51"/>
      <c r="AR2449" s="51"/>
      <c r="AS2449" s="51"/>
      <c r="AT2449" s="51"/>
      <c r="AU2449" s="51"/>
      <c r="AV2449" s="51"/>
      <c r="AW2449" s="51"/>
    </row>
    <row r="2450" spans="1:49" s="38" customFormat="1" ht="15" x14ac:dyDescent="0.25">
      <c r="A2450" s="51"/>
      <c r="B2450" s="51"/>
      <c r="C2450" s="51"/>
      <c r="D2450" s="51"/>
      <c r="E2450" s="51"/>
      <c r="F2450" s="51"/>
      <c r="G2450" s="51"/>
      <c r="H2450" s="51"/>
      <c r="I2450" s="51"/>
      <c r="J2450" s="51"/>
      <c r="K2450" s="51"/>
      <c r="L2450" s="51"/>
      <c r="M2450" s="51"/>
      <c r="N2450" s="51"/>
      <c r="O2450" s="51"/>
      <c r="P2450" s="51"/>
      <c r="Q2450" s="51"/>
      <c r="R2450" s="51"/>
      <c r="S2450" s="51"/>
      <c r="T2450" s="51"/>
      <c r="U2450" s="51"/>
      <c r="V2450" s="51"/>
      <c r="W2450" s="51"/>
      <c r="X2450" s="51"/>
      <c r="Y2450" s="51"/>
      <c r="Z2450" s="51"/>
      <c r="AA2450" s="51"/>
      <c r="AB2450" s="51"/>
      <c r="AC2450" s="51"/>
      <c r="AD2450" s="51"/>
      <c r="AE2450" s="51"/>
      <c r="AF2450" s="51"/>
      <c r="AG2450" s="51"/>
      <c r="AH2450" s="51"/>
      <c r="AI2450" s="51"/>
      <c r="AJ2450" s="51"/>
      <c r="AK2450" s="51"/>
      <c r="AL2450" s="51"/>
      <c r="AM2450" s="51"/>
      <c r="AN2450" s="51"/>
      <c r="AO2450" s="51"/>
      <c r="AP2450" s="51"/>
      <c r="AQ2450" s="51"/>
      <c r="AR2450" s="51"/>
      <c r="AS2450" s="51"/>
      <c r="AT2450" s="51"/>
      <c r="AU2450" s="51"/>
      <c r="AV2450" s="51"/>
      <c r="AW2450" s="51"/>
    </row>
    <row r="2451" spans="1:49" s="38" customFormat="1" ht="15" x14ac:dyDescent="0.25">
      <c r="A2451" s="51"/>
      <c r="B2451" s="51"/>
      <c r="C2451" s="51"/>
      <c r="D2451" s="51"/>
      <c r="E2451" s="51"/>
      <c r="F2451" s="51"/>
      <c r="G2451" s="51"/>
      <c r="H2451" s="51"/>
      <c r="I2451" s="51"/>
      <c r="J2451" s="51"/>
      <c r="K2451" s="51"/>
      <c r="L2451" s="51"/>
      <c r="M2451" s="51"/>
      <c r="N2451" s="51"/>
      <c r="O2451" s="51"/>
      <c r="P2451" s="51"/>
      <c r="Q2451" s="51"/>
      <c r="R2451" s="51"/>
      <c r="S2451" s="51"/>
      <c r="T2451" s="51"/>
      <c r="U2451" s="51"/>
      <c r="V2451" s="51"/>
      <c r="W2451" s="51"/>
      <c r="X2451" s="51"/>
      <c r="Y2451" s="51"/>
      <c r="Z2451" s="51"/>
      <c r="AA2451" s="51"/>
      <c r="AB2451" s="51"/>
      <c r="AC2451" s="51"/>
      <c r="AD2451" s="51"/>
      <c r="AE2451" s="51"/>
      <c r="AF2451" s="51"/>
      <c r="AG2451" s="51"/>
      <c r="AH2451" s="51"/>
      <c r="AI2451" s="51"/>
      <c r="AJ2451" s="51"/>
      <c r="AK2451" s="51"/>
      <c r="AL2451" s="51"/>
      <c r="AM2451" s="51"/>
      <c r="AN2451" s="51"/>
      <c r="AO2451" s="51"/>
      <c r="AP2451" s="51"/>
      <c r="AQ2451" s="51"/>
      <c r="AR2451" s="51"/>
      <c r="AS2451" s="51"/>
      <c r="AT2451" s="51"/>
      <c r="AU2451" s="51"/>
      <c r="AV2451" s="51"/>
      <c r="AW2451" s="51"/>
    </row>
    <row r="2452" spans="1:49" s="38" customFormat="1" ht="15" x14ac:dyDescent="0.25">
      <c r="A2452" s="51"/>
      <c r="B2452" s="51"/>
      <c r="C2452" s="51"/>
      <c r="D2452" s="51"/>
      <c r="E2452" s="51"/>
      <c r="F2452" s="51"/>
      <c r="G2452" s="51"/>
      <c r="H2452" s="51"/>
      <c r="I2452" s="51"/>
      <c r="J2452" s="51"/>
      <c r="K2452" s="51"/>
      <c r="L2452" s="51"/>
      <c r="M2452" s="51"/>
      <c r="N2452" s="51"/>
      <c r="O2452" s="51"/>
      <c r="P2452" s="51"/>
      <c r="Q2452" s="51"/>
      <c r="R2452" s="51"/>
      <c r="S2452" s="51"/>
      <c r="T2452" s="51"/>
      <c r="U2452" s="51"/>
      <c r="V2452" s="51"/>
      <c r="W2452" s="51"/>
      <c r="X2452" s="51"/>
      <c r="Y2452" s="51"/>
      <c r="Z2452" s="51"/>
      <c r="AA2452" s="51"/>
      <c r="AB2452" s="51"/>
      <c r="AC2452" s="51"/>
      <c r="AD2452" s="51"/>
      <c r="AE2452" s="51"/>
      <c r="AF2452" s="51"/>
      <c r="AG2452" s="51"/>
      <c r="AH2452" s="51"/>
      <c r="AI2452" s="51"/>
      <c r="AJ2452" s="51"/>
      <c r="AK2452" s="51"/>
      <c r="AL2452" s="51"/>
      <c r="AM2452" s="51"/>
      <c r="AN2452" s="51"/>
      <c r="AO2452" s="51"/>
      <c r="AP2452" s="51"/>
      <c r="AQ2452" s="51"/>
      <c r="AR2452" s="51"/>
      <c r="AS2452" s="51"/>
      <c r="AT2452" s="51"/>
      <c r="AU2452" s="51"/>
      <c r="AV2452" s="51"/>
      <c r="AW2452" s="51"/>
    </row>
    <row r="2453" spans="1:49" s="38" customFormat="1" ht="15" x14ac:dyDescent="0.25">
      <c r="A2453" s="51"/>
      <c r="B2453" s="51"/>
      <c r="C2453" s="51"/>
      <c r="D2453" s="51"/>
      <c r="E2453" s="51"/>
      <c r="F2453" s="51"/>
      <c r="G2453" s="51"/>
      <c r="H2453" s="51"/>
      <c r="I2453" s="51"/>
      <c r="J2453" s="51"/>
      <c r="K2453" s="51"/>
      <c r="L2453" s="51"/>
      <c r="M2453" s="51"/>
      <c r="N2453" s="51"/>
      <c r="O2453" s="51"/>
      <c r="P2453" s="51"/>
      <c r="Q2453" s="51"/>
      <c r="R2453" s="51"/>
      <c r="S2453" s="51"/>
      <c r="T2453" s="51"/>
      <c r="U2453" s="51"/>
      <c r="V2453" s="51"/>
      <c r="W2453" s="51"/>
      <c r="X2453" s="51"/>
      <c r="Y2453" s="51"/>
      <c r="Z2453" s="51"/>
      <c r="AA2453" s="51"/>
      <c r="AB2453" s="51"/>
      <c r="AC2453" s="51"/>
      <c r="AD2453" s="51"/>
      <c r="AE2453" s="51"/>
      <c r="AF2453" s="51"/>
      <c r="AG2453" s="51"/>
      <c r="AH2453" s="51"/>
      <c r="AI2453" s="51"/>
      <c r="AJ2453" s="51"/>
      <c r="AK2453" s="51"/>
      <c r="AL2453" s="51"/>
      <c r="AM2453" s="51"/>
      <c r="AN2453" s="51"/>
      <c r="AO2453" s="51"/>
      <c r="AP2453" s="51"/>
      <c r="AQ2453" s="51"/>
      <c r="AR2453" s="51"/>
      <c r="AS2453" s="51"/>
      <c r="AT2453" s="51"/>
      <c r="AU2453" s="51"/>
      <c r="AV2453" s="51"/>
      <c r="AW2453" s="51"/>
    </row>
    <row r="2454" spans="1:49" s="38" customFormat="1" ht="15" x14ac:dyDescent="0.25">
      <c r="A2454" s="51"/>
      <c r="B2454" s="51"/>
      <c r="C2454" s="51"/>
      <c r="D2454" s="51"/>
      <c r="E2454" s="51"/>
      <c r="F2454" s="51"/>
      <c r="G2454" s="51"/>
      <c r="H2454" s="51"/>
      <c r="I2454" s="51"/>
      <c r="J2454" s="51"/>
      <c r="K2454" s="51"/>
      <c r="L2454" s="51"/>
      <c r="M2454" s="51"/>
      <c r="N2454" s="51"/>
      <c r="O2454" s="51"/>
      <c r="P2454" s="51"/>
      <c r="Q2454" s="51"/>
      <c r="R2454" s="51"/>
      <c r="S2454" s="51"/>
      <c r="T2454" s="51"/>
      <c r="U2454" s="51"/>
      <c r="V2454" s="51"/>
      <c r="W2454" s="51"/>
      <c r="X2454" s="51"/>
      <c r="Y2454" s="51"/>
      <c r="Z2454" s="51"/>
      <c r="AA2454" s="51"/>
      <c r="AB2454" s="51"/>
      <c r="AC2454" s="51"/>
      <c r="AD2454" s="51"/>
      <c r="AE2454" s="51"/>
      <c r="AF2454" s="51"/>
      <c r="AG2454" s="51"/>
      <c r="AH2454" s="51"/>
      <c r="AI2454" s="51"/>
      <c r="AJ2454" s="51"/>
      <c r="AK2454" s="51"/>
      <c r="AL2454" s="51"/>
      <c r="AM2454" s="51"/>
      <c r="AN2454" s="51"/>
      <c r="AO2454" s="51"/>
      <c r="AP2454" s="51"/>
      <c r="AQ2454" s="51"/>
      <c r="AR2454" s="51"/>
      <c r="AS2454" s="51"/>
      <c r="AT2454" s="51"/>
      <c r="AU2454" s="51"/>
      <c r="AV2454" s="51"/>
      <c r="AW2454" s="51"/>
    </row>
    <row r="2455" spans="1:49" s="38" customFormat="1" ht="15" x14ac:dyDescent="0.25">
      <c r="A2455" s="51"/>
      <c r="B2455" s="51"/>
      <c r="C2455" s="51"/>
      <c r="D2455" s="51"/>
      <c r="E2455" s="51"/>
      <c r="F2455" s="51"/>
      <c r="G2455" s="51"/>
      <c r="H2455" s="51"/>
      <c r="I2455" s="51"/>
      <c r="J2455" s="51"/>
      <c r="K2455" s="51"/>
      <c r="L2455" s="51"/>
      <c r="M2455" s="51"/>
      <c r="N2455" s="51"/>
      <c r="O2455" s="51"/>
      <c r="P2455" s="51"/>
      <c r="Q2455" s="51"/>
      <c r="R2455" s="51"/>
      <c r="S2455" s="51"/>
      <c r="T2455" s="51"/>
      <c r="U2455" s="51"/>
      <c r="V2455" s="51"/>
      <c r="W2455" s="51"/>
      <c r="X2455" s="51"/>
      <c r="Y2455" s="51"/>
      <c r="Z2455" s="51"/>
      <c r="AA2455" s="51"/>
      <c r="AB2455" s="51"/>
      <c r="AC2455" s="51"/>
      <c r="AD2455" s="51"/>
      <c r="AE2455" s="51"/>
      <c r="AF2455" s="51"/>
      <c r="AG2455" s="51"/>
      <c r="AH2455" s="51"/>
      <c r="AI2455" s="51"/>
      <c r="AJ2455" s="51"/>
      <c r="AK2455" s="51"/>
      <c r="AL2455" s="51"/>
      <c r="AM2455" s="51"/>
      <c r="AN2455" s="51"/>
      <c r="AO2455" s="51"/>
      <c r="AP2455" s="51"/>
      <c r="AQ2455" s="51"/>
      <c r="AR2455" s="51"/>
      <c r="AS2455" s="51"/>
      <c r="AT2455" s="51"/>
      <c r="AU2455" s="51"/>
      <c r="AV2455" s="51"/>
      <c r="AW2455" s="51"/>
    </row>
    <row r="2456" spans="1:49" s="38" customFormat="1" ht="15" x14ac:dyDescent="0.25">
      <c r="A2456" s="51"/>
      <c r="B2456" s="51"/>
      <c r="C2456" s="51"/>
      <c r="D2456" s="51"/>
      <c r="E2456" s="51"/>
      <c r="F2456" s="51"/>
      <c r="G2456" s="51"/>
      <c r="H2456" s="51"/>
      <c r="I2456" s="51"/>
      <c r="J2456" s="51"/>
      <c r="K2456" s="51"/>
      <c r="L2456" s="51"/>
      <c r="M2456" s="51"/>
      <c r="N2456" s="51"/>
      <c r="O2456" s="51"/>
      <c r="P2456" s="51"/>
      <c r="Q2456" s="51"/>
      <c r="R2456" s="51"/>
      <c r="S2456" s="51"/>
      <c r="T2456" s="51"/>
      <c r="U2456" s="51"/>
      <c r="V2456" s="51"/>
      <c r="W2456" s="51"/>
      <c r="X2456" s="51"/>
      <c r="Y2456" s="51"/>
      <c r="Z2456" s="51"/>
      <c r="AA2456" s="51"/>
      <c r="AB2456" s="51"/>
      <c r="AC2456" s="51"/>
      <c r="AD2456" s="51"/>
      <c r="AE2456" s="51"/>
      <c r="AF2456" s="51"/>
      <c r="AG2456" s="51"/>
      <c r="AH2456" s="51"/>
      <c r="AI2456" s="51"/>
      <c r="AJ2456" s="51"/>
      <c r="AK2456" s="51"/>
      <c r="AL2456" s="51"/>
      <c r="AM2456" s="51"/>
      <c r="AN2456" s="51"/>
      <c r="AO2456" s="51"/>
      <c r="AP2456" s="51"/>
      <c r="AQ2456" s="51"/>
      <c r="AR2456" s="51"/>
      <c r="AS2456" s="51"/>
      <c r="AT2456" s="51"/>
      <c r="AU2456" s="51"/>
      <c r="AV2456" s="51"/>
      <c r="AW2456" s="51"/>
    </row>
    <row r="2457" spans="1:49" s="38" customFormat="1" ht="15" x14ac:dyDescent="0.25">
      <c r="A2457" s="51"/>
      <c r="B2457" s="51"/>
      <c r="C2457" s="51"/>
      <c r="D2457" s="51"/>
      <c r="E2457" s="51"/>
      <c r="F2457" s="51"/>
      <c r="G2457" s="51"/>
      <c r="H2457" s="51"/>
      <c r="I2457" s="51"/>
      <c r="J2457" s="51"/>
      <c r="K2457" s="51"/>
      <c r="L2457" s="51"/>
      <c r="M2457" s="51"/>
      <c r="N2457" s="51"/>
      <c r="O2457" s="51"/>
      <c r="P2457" s="51"/>
      <c r="Q2457" s="51"/>
      <c r="R2457" s="51"/>
      <c r="S2457" s="51"/>
      <c r="T2457" s="51"/>
      <c r="U2457" s="51"/>
      <c r="V2457" s="51"/>
      <c r="W2457" s="51"/>
      <c r="X2457" s="51"/>
      <c r="Y2457" s="51"/>
      <c r="Z2457" s="51"/>
      <c r="AA2457" s="51"/>
      <c r="AB2457" s="51"/>
      <c r="AC2457" s="51"/>
      <c r="AD2457" s="51"/>
      <c r="AE2457" s="51"/>
      <c r="AF2457" s="51"/>
      <c r="AG2457" s="51"/>
      <c r="AH2457" s="51"/>
      <c r="AI2457" s="51"/>
      <c r="AJ2457" s="51"/>
      <c r="AK2457" s="51"/>
      <c r="AL2457" s="51"/>
      <c r="AM2457" s="51"/>
      <c r="AN2457" s="51"/>
      <c r="AO2457" s="51"/>
      <c r="AP2457" s="51"/>
      <c r="AQ2457" s="51"/>
      <c r="AR2457" s="51"/>
      <c r="AS2457" s="51"/>
      <c r="AT2457" s="51"/>
      <c r="AU2457" s="51"/>
      <c r="AV2457" s="51"/>
      <c r="AW2457" s="51"/>
    </row>
    <row r="2458" spans="1:49" s="38" customFormat="1" ht="15" x14ac:dyDescent="0.25">
      <c r="A2458" s="51"/>
      <c r="B2458" s="51"/>
      <c r="C2458" s="51"/>
      <c r="D2458" s="51"/>
      <c r="E2458" s="51"/>
      <c r="F2458" s="51"/>
      <c r="G2458" s="51"/>
      <c r="H2458" s="51"/>
      <c r="I2458" s="51"/>
      <c r="J2458" s="51"/>
      <c r="K2458" s="51"/>
      <c r="L2458" s="51"/>
      <c r="M2458" s="51"/>
      <c r="N2458" s="51"/>
      <c r="O2458" s="51"/>
      <c r="P2458" s="51"/>
      <c r="Q2458" s="51"/>
      <c r="R2458" s="51"/>
      <c r="S2458" s="51"/>
      <c r="T2458" s="51"/>
      <c r="U2458" s="51"/>
      <c r="V2458" s="51"/>
      <c r="W2458" s="51"/>
      <c r="X2458" s="51"/>
      <c r="Y2458" s="51"/>
      <c r="Z2458" s="51"/>
      <c r="AA2458" s="51"/>
      <c r="AB2458" s="51"/>
      <c r="AC2458" s="51"/>
      <c r="AD2458" s="51"/>
      <c r="AE2458" s="51"/>
      <c r="AF2458" s="51"/>
      <c r="AG2458" s="51"/>
      <c r="AH2458" s="51"/>
      <c r="AI2458" s="51"/>
      <c r="AJ2458" s="51"/>
      <c r="AK2458" s="51"/>
      <c r="AL2458" s="51"/>
      <c r="AM2458" s="51"/>
      <c r="AN2458" s="51"/>
      <c r="AO2458" s="51"/>
      <c r="AP2458" s="51"/>
      <c r="AQ2458" s="51"/>
      <c r="AR2458" s="51"/>
      <c r="AS2458" s="51"/>
      <c r="AT2458" s="51"/>
      <c r="AU2458" s="51"/>
      <c r="AV2458" s="51"/>
      <c r="AW2458" s="51"/>
    </row>
    <row r="2459" spans="1:49" s="38" customFormat="1" ht="15" x14ac:dyDescent="0.25">
      <c r="A2459" s="51"/>
      <c r="B2459" s="51"/>
      <c r="C2459" s="51"/>
      <c r="D2459" s="51"/>
      <c r="E2459" s="51"/>
      <c r="F2459" s="51"/>
      <c r="G2459" s="51"/>
      <c r="H2459" s="51"/>
      <c r="I2459" s="51"/>
      <c r="J2459" s="51"/>
      <c r="K2459" s="51"/>
      <c r="L2459" s="51"/>
      <c r="M2459" s="51"/>
      <c r="N2459" s="51"/>
      <c r="O2459" s="51"/>
      <c r="P2459" s="51"/>
      <c r="Q2459" s="51"/>
      <c r="R2459" s="51"/>
      <c r="S2459" s="51"/>
      <c r="T2459" s="51"/>
      <c r="U2459" s="51"/>
      <c r="V2459" s="51"/>
      <c r="W2459" s="51"/>
      <c r="X2459" s="51"/>
      <c r="Y2459" s="51"/>
      <c r="Z2459" s="51"/>
      <c r="AA2459" s="51"/>
      <c r="AB2459" s="51"/>
      <c r="AC2459" s="51"/>
      <c r="AD2459" s="51"/>
      <c r="AE2459" s="51"/>
      <c r="AF2459" s="51"/>
      <c r="AG2459" s="51"/>
      <c r="AH2459" s="51"/>
      <c r="AI2459" s="51"/>
      <c r="AJ2459" s="51"/>
      <c r="AK2459" s="51"/>
      <c r="AL2459" s="51"/>
      <c r="AM2459" s="51"/>
      <c r="AN2459" s="51"/>
      <c r="AO2459" s="51"/>
      <c r="AP2459" s="51"/>
      <c r="AQ2459" s="51"/>
      <c r="AR2459" s="51"/>
      <c r="AS2459" s="51"/>
      <c r="AT2459" s="51"/>
      <c r="AU2459" s="51"/>
      <c r="AV2459" s="51"/>
      <c r="AW2459" s="51"/>
    </row>
    <row r="2460" spans="1:49" s="38" customFormat="1" ht="15" x14ac:dyDescent="0.25">
      <c r="A2460" s="51"/>
      <c r="B2460" s="51"/>
      <c r="C2460" s="51"/>
      <c r="D2460" s="51"/>
      <c r="E2460" s="51"/>
      <c r="F2460" s="51"/>
      <c r="G2460" s="51"/>
      <c r="H2460" s="51"/>
      <c r="I2460" s="51"/>
      <c r="J2460" s="51"/>
      <c r="K2460" s="51"/>
      <c r="L2460" s="51"/>
      <c r="M2460" s="51"/>
      <c r="N2460" s="51"/>
      <c r="O2460" s="51"/>
      <c r="P2460" s="51"/>
      <c r="Q2460" s="51"/>
      <c r="R2460" s="51"/>
      <c r="S2460" s="51"/>
      <c r="T2460" s="51"/>
      <c r="U2460" s="51"/>
      <c r="V2460" s="51"/>
      <c r="W2460" s="51"/>
      <c r="X2460" s="51"/>
      <c r="Y2460" s="51"/>
      <c r="Z2460" s="51"/>
      <c r="AA2460" s="51"/>
      <c r="AB2460" s="51"/>
      <c r="AC2460" s="51"/>
      <c r="AD2460" s="51"/>
      <c r="AE2460" s="51"/>
      <c r="AF2460" s="51"/>
      <c r="AG2460" s="51"/>
      <c r="AH2460" s="51"/>
      <c r="AI2460" s="51"/>
      <c r="AJ2460" s="51"/>
      <c r="AK2460" s="51"/>
      <c r="AL2460" s="51"/>
      <c r="AM2460" s="51"/>
      <c r="AN2460" s="51"/>
      <c r="AO2460" s="51"/>
      <c r="AP2460" s="51"/>
      <c r="AQ2460" s="51"/>
      <c r="AR2460" s="51"/>
      <c r="AS2460" s="51"/>
      <c r="AT2460" s="51"/>
      <c r="AU2460" s="51"/>
      <c r="AV2460" s="51"/>
      <c r="AW2460" s="51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5" priority="16" operator="equal">
      <formula>"NO"</formula>
    </cfRule>
  </conditionalFormatting>
  <conditionalFormatting sqref="AD2:AD62">
    <cfRule type="cellIs" dxfId="14" priority="15" operator="equal">
      <formula>"NO"</formula>
    </cfRule>
  </conditionalFormatting>
  <conditionalFormatting sqref="E2:F62">
    <cfRule type="timePeriod" dxfId="13" priority="14" timePeriod="lastWeek">
      <formula>AND(TODAY()-ROUNDDOWN(E2,0)&gt;=(WEEKDAY(TODAY())),TODAY()-ROUNDDOWN(E2,0)&lt;(WEEKDAY(TODAY())+7))</formula>
    </cfRule>
  </conditionalFormatting>
  <conditionalFormatting sqref="AD401:AD471">
    <cfRule type="cellIs" dxfId="12" priority="13" operator="equal">
      <formula>"NO"</formula>
    </cfRule>
  </conditionalFormatting>
  <conditionalFormatting sqref="E401:F471">
    <cfRule type="timePeriod" dxfId="11" priority="12" timePeriod="lastWeek">
      <formula>AND(TODAY()-ROUNDDOWN(E401,0)&gt;=(WEEKDAY(TODAY())),TODAY()-ROUNDDOWN(E401,0)&lt;(WEEKDAY(TODAY())+7))</formula>
    </cfRule>
  </conditionalFormatting>
  <conditionalFormatting sqref="AD801:AD882">
    <cfRule type="cellIs" dxfId="10" priority="11" operator="equal">
      <formula>"NO"</formula>
    </cfRule>
  </conditionalFormatting>
  <conditionalFormatting sqref="E867:F872 E801:F802 E876:F881 E806:F857">
    <cfRule type="timePeriod" dxfId="9" priority="10" timePeriod="lastWeek">
      <formula>AND(TODAY()-ROUNDDOWN(E801,0)&gt;=(WEEKDAY(TODAY())),TODAY()-ROUNDDOWN(E801,0)&lt;(WEEKDAY(TODAY())+7))</formula>
    </cfRule>
  </conditionalFormatting>
  <conditionalFormatting sqref="E803:F804">
    <cfRule type="timePeriod" dxfId="8" priority="9" timePeriod="lastWeek">
      <formula>AND(TODAY()-ROUNDDOWN(E803,0)&gt;=(WEEKDAY(TODAY())),TODAY()-ROUNDDOWN(E803,0)&lt;(WEEKDAY(TODAY())+7))</formula>
    </cfRule>
  </conditionalFormatting>
  <conditionalFormatting sqref="E860:F862">
    <cfRule type="timePeriod" dxfId="7" priority="8" timePeriod="lastWeek">
      <formula>AND(TODAY()-ROUNDDOWN(E860,0)&gt;=(WEEKDAY(TODAY())),TODAY()-ROUNDDOWN(E860,0)&lt;(WEEKDAY(TODAY())+7))</formula>
    </cfRule>
  </conditionalFormatting>
  <conditionalFormatting sqref="E865:F865">
    <cfRule type="timePeriod" dxfId="6" priority="7" timePeriod="lastWeek">
      <formula>AND(TODAY()-ROUNDDOWN(E865,0)&gt;=(WEEKDAY(TODAY())),TODAY()-ROUNDDOWN(E865,0)&lt;(WEEKDAY(TODAY())+7))</formula>
    </cfRule>
  </conditionalFormatting>
  <conditionalFormatting sqref="AD1200:AD1279">
    <cfRule type="cellIs" dxfId="5" priority="6" operator="equal">
      <formula>"NO"</formula>
    </cfRule>
  </conditionalFormatting>
  <conditionalFormatting sqref="E1202:F1236">
    <cfRule type="timePeriod" dxfId="4" priority="5" timePeriod="lastWeek">
      <formula>AND(TODAY()-ROUNDDOWN(E1202,0)&gt;=(WEEKDAY(TODAY())),TODAY()-ROUNDDOWN(E1202,0)&lt;(WEEKDAY(TODAY())+7))</formula>
    </cfRule>
  </conditionalFormatting>
  <conditionalFormatting sqref="AD1599:AD1659 AD1670:AD1671">
    <cfRule type="cellIs" dxfId="3" priority="4" operator="equal">
      <formula>"NO"</formula>
    </cfRule>
  </conditionalFormatting>
  <conditionalFormatting sqref="AD1998:AD2066">
    <cfRule type="cellIs" dxfId="2" priority="3" operator="equal">
      <formula>"NO"</formula>
    </cfRule>
  </conditionalFormatting>
  <conditionalFormatting sqref="AD2397:AD2460">
    <cfRule type="cellIs" dxfId="1" priority="2" operator="equal">
      <formula>"NO"</formula>
    </cfRule>
  </conditionalFormatting>
  <conditionalFormatting sqref="E2397:F2401 E2403:F2404 E2409:F2409 E2412:F2413 E2419:F2420 E2423:F2425 E2430:F2430 E2437:F2437 E2441:F2460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46069</v>
      </c>
      <c r="C2" s="10">
        <v>46069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2" si="0">IF(N2="PRG","",IF(I2&gt;=E2,IF(I2&lt;=F2,"","NO"),"NO"))</f>
        <v/>
      </c>
    </row>
    <row r="3" spans="1:49" s="28" customFormat="1" ht="35.1" customHeight="1" x14ac:dyDescent="0.25">
      <c r="A3" s="9" t="s">
        <v>39</v>
      </c>
      <c r="B3" s="10">
        <v>46069</v>
      </c>
      <c r="C3" s="10">
        <v>46069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49" s="17" customFormat="1" ht="34.5" customHeight="1" x14ac:dyDescent="0.25">
      <c r="A4" s="18" t="s">
        <v>44</v>
      </c>
      <c r="B4" s="19">
        <v>46069</v>
      </c>
      <c r="C4" s="19">
        <v>46069</v>
      </c>
      <c r="D4" s="18" t="s">
        <v>30</v>
      </c>
      <c r="E4" s="20">
        <v>0.25</v>
      </c>
      <c r="F4" s="20">
        <v>0.875</v>
      </c>
      <c r="G4" s="21">
        <v>1.7361111111111109E-4</v>
      </c>
      <c r="H4" s="22" t="s">
        <v>53</v>
      </c>
      <c r="I4" s="23">
        <v>0.25908564814814816</v>
      </c>
      <c r="J4" s="18" t="s">
        <v>41</v>
      </c>
      <c r="K4" s="18" t="s">
        <v>40</v>
      </c>
      <c r="L4" s="24">
        <v>1</v>
      </c>
      <c r="M4" s="24">
        <v>71013</v>
      </c>
      <c r="N4" s="18" t="s">
        <v>54</v>
      </c>
      <c r="O4" s="24" t="s">
        <v>47</v>
      </c>
      <c r="P4" s="25">
        <v>15</v>
      </c>
      <c r="Q4" s="24"/>
      <c r="R4" s="25">
        <v>15</v>
      </c>
      <c r="S4" s="26">
        <v>46054</v>
      </c>
      <c r="T4" s="25">
        <v>2.25</v>
      </c>
      <c r="U4" s="27">
        <v>4</v>
      </c>
      <c r="V4" s="25">
        <v>12.75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18" t="s">
        <v>44</v>
      </c>
      <c r="B5" s="19">
        <v>46069</v>
      </c>
      <c r="C5" s="19">
        <v>46069</v>
      </c>
      <c r="D5" s="18" t="s">
        <v>30</v>
      </c>
      <c r="E5" s="20">
        <v>0.25</v>
      </c>
      <c r="F5" s="20">
        <v>0.875</v>
      </c>
      <c r="G5" s="21">
        <v>1.7361111111111109E-4</v>
      </c>
      <c r="H5" s="22" t="s">
        <v>55</v>
      </c>
      <c r="I5" s="23">
        <v>0.26082175925925927</v>
      </c>
      <c r="J5" s="18" t="s">
        <v>41</v>
      </c>
      <c r="K5" s="18" t="s">
        <v>40</v>
      </c>
      <c r="L5" s="24">
        <v>1</v>
      </c>
      <c r="M5" s="24">
        <v>71013</v>
      </c>
      <c r="N5" s="18" t="s">
        <v>54</v>
      </c>
      <c r="O5" s="24" t="s">
        <v>47</v>
      </c>
      <c r="P5" s="25">
        <v>15</v>
      </c>
      <c r="Q5" s="24"/>
      <c r="R5" s="25">
        <v>15</v>
      </c>
      <c r="S5" s="26">
        <v>46054</v>
      </c>
      <c r="T5" s="25">
        <v>2.25</v>
      </c>
      <c r="U5" s="27">
        <v>4</v>
      </c>
      <c r="V5" s="25">
        <v>12.75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18" t="s">
        <v>44</v>
      </c>
      <c r="B6" s="19">
        <v>46069</v>
      </c>
      <c r="C6" s="19">
        <v>46069</v>
      </c>
      <c r="D6" s="18" t="s">
        <v>30</v>
      </c>
      <c r="E6" s="20">
        <v>0.25</v>
      </c>
      <c r="F6" s="20">
        <v>0.99930555555555556</v>
      </c>
      <c r="G6" s="21">
        <v>1.7361111111111109E-4</v>
      </c>
      <c r="H6" s="22" t="s">
        <v>45</v>
      </c>
      <c r="I6" s="23">
        <v>0.28212962962962962</v>
      </c>
      <c r="J6" s="18" t="s">
        <v>41</v>
      </c>
      <c r="K6" s="18" t="s">
        <v>40</v>
      </c>
      <c r="L6" s="24">
        <v>1</v>
      </c>
      <c r="M6" s="24">
        <v>71016</v>
      </c>
      <c r="N6" s="18" t="s">
        <v>46</v>
      </c>
      <c r="O6" s="24" t="s">
        <v>47</v>
      </c>
      <c r="P6" s="25">
        <v>0</v>
      </c>
      <c r="Q6" s="24"/>
      <c r="R6" s="25">
        <v>0</v>
      </c>
      <c r="S6" s="26">
        <v>46054</v>
      </c>
      <c r="T6" s="25">
        <v>0</v>
      </c>
      <c r="U6" s="27">
        <v>4</v>
      </c>
      <c r="V6" s="25">
        <v>0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51</v>
      </c>
      <c r="AC6" s="18" t="s">
        <v>38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7" customFormat="1" ht="35.1" customHeight="1" x14ac:dyDescent="0.25">
      <c r="A7" s="18" t="s">
        <v>44</v>
      </c>
      <c r="B7" s="19">
        <v>46069</v>
      </c>
      <c r="C7" s="19">
        <v>46069</v>
      </c>
      <c r="D7" s="18" t="s">
        <v>30</v>
      </c>
      <c r="E7" s="20">
        <v>0.25</v>
      </c>
      <c r="F7" s="20">
        <v>0.99930555555555556</v>
      </c>
      <c r="G7" s="21">
        <v>1.7361111111111109E-4</v>
      </c>
      <c r="H7" s="22" t="s">
        <v>52</v>
      </c>
      <c r="I7" s="23">
        <v>0.28403935185185186</v>
      </c>
      <c r="J7" s="18" t="s">
        <v>41</v>
      </c>
      <c r="K7" s="18" t="s">
        <v>40</v>
      </c>
      <c r="L7" s="24">
        <v>1</v>
      </c>
      <c r="M7" s="24">
        <v>71016</v>
      </c>
      <c r="N7" s="18" t="s">
        <v>46</v>
      </c>
      <c r="O7" s="24" t="s">
        <v>47</v>
      </c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51</v>
      </c>
      <c r="AC7" s="18" t="s">
        <v>38</v>
      </c>
      <c r="AD7" s="7" t="str">
        <f t="shared" si="0"/>
        <v/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28" customFormat="1" ht="35.1" customHeight="1" x14ac:dyDescent="0.25">
      <c r="A8" s="9" t="s">
        <v>64</v>
      </c>
      <c r="B8" s="10">
        <v>46069</v>
      </c>
      <c r="C8" s="10">
        <v>46069</v>
      </c>
      <c r="D8" s="11" t="s">
        <v>30</v>
      </c>
      <c r="E8" s="12">
        <v>0.29166666666666669</v>
      </c>
      <c r="F8" s="12">
        <v>0.3125</v>
      </c>
      <c r="G8" s="12">
        <v>2.0833333333333332E-2</v>
      </c>
      <c r="H8" s="9" t="s">
        <v>65</v>
      </c>
      <c r="I8" s="13" t="s">
        <v>66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</row>
    <row r="9" spans="1:49" s="28" customFormat="1" ht="35.1" customHeight="1" x14ac:dyDescent="0.25">
      <c r="A9" s="9" t="s">
        <v>64</v>
      </c>
      <c r="B9" s="10">
        <v>46069</v>
      </c>
      <c r="C9" s="10">
        <v>46069</v>
      </c>
      <c r="D9" s="11" t="s">
        <v>30</v>
      </c>
      <c r="E9" s="12">
        <v>0.3125</v>
      </c>
      <c r="F9" s="12">
        <v>0.33333333333333331</v>
      </c>
      <c r="G9" s="12">
        <v>2.0833333333333332E-2</v>
      </c>
      <c r="H9" s="9" t="s">
        <v>65</v>
      </c>
      <c r="I9" s="13" t="s">
        <v>66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</row>
    <row r="10" spans="1:49" s="28" customFormat="1" ht="35.1" customHeight="1" x14ac:dyDescent="0.25">
      <c r="A10" s="9" t="s">
        <v>67</v>
      </c>
      <c r="B10" s="10">
        <v>46069</v>
      </c>
      <c r="C10" s="10">
        <v>46069</v>
      </c>
      <c r="D10" s="11" t="s">
        <v>30</v>
      </c>
      <c r="E10" s="12">
        <v>0.33333333333333331</v>
      </c>
      <c r="F10" s="12">
        <v>0.375</v>
      </c>
      <c r="G10" s="12">
        <v>4.1666666666666664E-2</v>
      </c>
      <c r="H10" s="9" t="s">
        <v>68</v>
      </c>
      <c r="I10" s="13"/>
      <c r="J10" s="9" t="s">
        <v>69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70</v>
      </c>
      <c r="B11" s="19">
        <v>46069</v>
      </c>
      <c r="C11" s="19">
        <v>46069</v>
      </c>
      <c r="D11" s="18" t="s">
        <v>30</v>
      </c>
      <c r="E11" s="20">
        <v>0.33333333333333331</v>
      </c>
      <c r="F11" s="20">
        <v>0.41666666666666669</v>
      </c>
      <c r="G11" s="20">
        <v>3.4722222222222218E-4</v>
      </c>
      <c r="H11" s="18" t="s">
        <v>71</v>
      </c>
      <c r="I11" s="23">
        <v>0.34416666666666668</v>
      </c>
      <c r="J11" s="18" t="s">
        <v>69</v>
      </c>
      <c r="K11" s="18" t="s">
        <v>68</v>
      </c>
      <c r="L11" s="24">
        <v>1</v>
      </c>
      <c r="M11" s="24">
        <v>70996</v>
      </c>
      <c r="N11" s="18" t="s">
        <v>46</v>
      </c>
      <c r="O11" s="24" t="str">
        <f>AC11</f>
        <v>CVC</v>
      </c>
      <c r="P11" s="25">
        <v>0</v>
      </c>
      <c r="Q11" s="24"/>
      <c r="R11" s="25">
        <v>0</v>
      </c>
      <c r="S11" s="26">
        <v>46054</v>
      </c>
      <c r="T11" s="25">
        <v>0</v>
      </c>
      <c r="U11" s="27">
        <v>4</v>
      </c>
      <c r="V11" s="25">
        <v>0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72</v>
      </c>
      <c r="AC11" s="18" t="s">
        <v>38</v>
      </c>
      <c r="AD11" s="7" t="str">
        <f t="shared" si="0"/>
        <v/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</row>
    <row r="12" spans="1:49" s="17" customFormat="1" ht="35.1" customHeight="1" x14ac:dyDescent="0.25">
      <c r="A12" s="18" t="s">
        <v>44</v>
      </c>
      <c r="B12" s="19">
        <v>46069</v>
      </c>
      <c r="C12" s="19">
        <v>46069</v>
      </c>
      <c r="D12" s="18" t="s">
        <v>30</v>
      </c>
      <c r="E12" s="20">
        <v>0.33333333333333331</v>
      </c>
      <c r="F12" s="20">
        <v>0.375</v>
      </c>
      <c r="G12" s="21">
        <v>1.7361111111111109E-4</v>
      </c>
      <c r="H12" s="22" t="s">
        <v>74</v>
      </c>
      <c r="I12" s="23">
        <v>0.34399305555555554</v>
      </c>
      <c r="J12" s="18" t="s">
        <v>69</v>
      </c>
      <c r="K12" s="18" t="s">
        <v>68</v>
      </c>
      <c r="L12" s="24">
        <v>1</v>
      </c>
      <c r="M12" s="24">
        <v>71018</v>
      </c>
      <c r="N12" s="18" t="s">
        <v>54</v>
      </c>
      <c r="O12" s="24" t="s">
        <v>47</v>
      </c>
      <c r="P12" s="25">
        <v>15</v>
      </c>
      <c r="Q12" s="24"/>
      <c r="R12" s="25">
        <v>15</v>
      </c>
      <c r="S12" s="26">
        <v>46054</v>
      </c>
      <c r="T12" s="25">
        <v>2.25</v>
      </c>
      <c r="U12" s="27">
        <v>4</v>
      </c>
      <c r="V12" s="25">
        <v>12.75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51</v>
      </c>
      <c r="AC12" s="18" t="s">
        <v>38</v>
      </c>
      <c r="AD12" s="7" t="str">
        <f t="shared" si="0"/>
        <v/>
      </c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</row>
    <row r="13" spans="1:49" s="17" customFormat="1" ht="35.1" customHeight="1" x14ac:dyDescent="0.25">
      <c r="A13" s="18" t="s">
        <v>44</v>
      </c>
      <c r="B13" s="19">
        <v>46069</v>
      </c>
      <c r="C13" s="19">
        <v>46069</v>
      </c>
      <c r="D13" s="18" t="s">
        <v>30</v>
      </c>
      <c r="E13" s="20">
        <v>0.33333333333333331</v>
      </c>
      <c r="F13" s="20">
        <v>0.375</v>
      </c>
      <c r="G13" s="21">
        <v>1.7361111111111109E-4</v>
      </c>
      <c r="H13" s="22" t="s">
        <v>45</v>
      </c>
      <c r="I13" s="23">
        <v>0.34520833333333334</v>
      </c>
      <c r="J13" s="18" t="s">
        <v>69</v>
      </c>
      <c r="K13" s="18" t="s">
        <v>68</v>
      </c>
      <c r="L13" s="24">
        <v>1</v>
      </c>
      <c r="M13" s="24">
        <v>71018</v>
      </c>
      <c r="N13" s="18" t="s">
        <v>54</v>
      </c>
      <c r="O13" s="24" t="s">
        <v>47</v>
      </c>
      <c r="P13" s="25">
        <v>15</v>
      </c>
      <c r="Q13" s="24"/>
      <c r="R13" s="25">
        <v>15</v>
      </c>
      <c r="S13" s="26">
        <v>46054</v>
      </c>
      <c r="T13" s="25">
        <v>2.25</v>
      </c>
      <c r="U13" s="27">
        <v>4</v>
      </c>
      <c r="V13" s="25">
        <v>12.75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50</v>
      </c>
      <c r="AB13" s="18" t="s">
        <v>51</v>
      </c>
      <c r="AC13" s="18" t="s">
        <v>38</v>
      </c>
      <c r="AD13" s="7" t="str">
        <f t="shared" si="0"/>
        <v/>
      </c>
      <c r="AE13" s="29"/>
      <c r="AF13" s="29"/>
      <c r="AG13" s="29"/>
      <c r="AH13" s="29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</row>
    <row r="14" spans="1:49" s="28" customFormat="1" ht="35.1" customHeight="1" x14ac:dyDescent="0.25">
      <c r="A14" s="9" t="s">
        <v>67</v>
      </c>
      <c r="B14" s="10">
        <v>46069</v>
      </c>
      <c r="C14" s="10">
        <v>46069</v>
      </c>
      <c r="D14" s="11" t="s">
        <v>30</v>
      </c>
      <c r="E14" s="12">
        <v>0.375</v>
      </c>
      <c r="F14" s="12">
        <v>0.41666666666666669</v>
      </c>
      <c r="G14" s="12">
        <v>4.1666666666666664E-2</v>
      </c>
      <c r="H14" s="9" t="s">
        <v>75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70</v>
      </c>
      <c r="B15" s="19">
        <v>46069</v>
      </c>
      <c r="C15" s="19">
        <v>46069</v>
      </c>
      <c r="D15" s="18" t="s">
        <v>30</v>
      </c>
      <c r="E15" s="20">
        <v>0.33333333333333331</v>
      </c>
      <c r="F15" s="20">
        <v>0.41666666666666669</v>
      </c>
      <c r="G15" s="20">
        <v>3.4722222222222218E-4</v>
      </c>
      <c r="H15" s="18" t="s">
        <v>71</v>
      </c>
      <c r="I15" s="23">
        <v>0.38946759259259262</v>
      </c>
      <c r="J15" s="18" t="s">
        <v>69</v>
      </c>
      <c r="K15" s="18" t="s">
        <v>75</v>
      </c>
      <c r="L15" s="24">
        <v>1</v>
      </c>
      <c r="M15" s="24">
        <v>70994</v>
      </c>
      <c r="N15" s="18" t="s">
        <v>54</v>
      </c>
      <c r="O15" s="24" t="str">
        <f>AC15</f>
        <v>CVC</v>
      </c>
      <c r="P15" s="25">
        <v>58.82</v>
      </c>
      <c r="Q15" s="24"/>
      <c r="R15" s="25">
        <v>58.82</v>
      </c>
      <c r="S15" s="26">
        <v>46054</v>
      </c>
      <c r="T15" s="25">
        <v>4.4115000000000002</v>
      </c>
      <c r="U15" s="27">
        <v>4</v>
      </c>
      <c r="V15" s="25">
        <v>54.408500000000004</v>
      </c>
      <c r="W15" s="18" t="s">
        <v>48</v>
      </c>
      <c r="X15" s="18" t="s">
        <v>49</v>
      </c>
      <c r="Y15" s="18" t="s">
        <v>36</v>
      </c>
      <c r="Z15" s="18" t="s">
        <v>9</v>
      </c>
      <c r="AA15" s="18" t="s">
        <v>50</v>
      </c>
      <c r="AB15" s="18" t="s">
        <v>72</v>
      </c>
      <c r="AC15" s="18" t="s">
        <v>38</v>
      </c>
      <c r="AD15" s="7" t="str">
        <f t="shared" si="0"/>
        <v/>
      </c>
      <c r="AE15" s="29"/>
      <c r="AF15" s="29"/>
      <c r="AG15" s="29"/>
      <c r="AH15" s="29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</row>
    <row r="16" spans="1:49" s="17" customFormat="1" ht="35.1" customHeight="1" x14ac:dyDescent="0.25">
      <c r="A16" s="18" t="s">
        <v>44</v>
      </c>
      <c r="B16" s="19">
        <v>46069</v>
      </c>
      <c r="C16" s="19">
        <v>46069</v>
      </c>
      <c r="D16" s="18" t="s">
        <v>30</v>
      </c>
      <c r="E16" s="20">
        <v>0.33333333333333331</v>
      </c>
      <c r="F16" s="20">
        <v>0.41666666666666669</v>
      </c>
      <c r="G16" s="20">
        <v>1.157407407407407E-4</v>
      </c>
      <c r="H16" s="18" t="s">
        <v>73</v>
      </c>
      <c r="I16" s="23">
        <v>0.40873842592592591</v>
      </c>
      <c r="J16" s="18" t="s">
        <v>69</v>
      </c>
      <c r="K16" s="18" t="s">
        <v>75</v>
      </c>
      <c r="L16" s="24">
        <v>1</v>
      </c>
      <c r="M16" s="24">
        <v>71105</v>
      </c>
      <c r="N16" s="18" t="s">
        <v>46</v>
      </c>
      <c r="O16" s="24" t="s">
        <v>47</v>
      </c>
      <c r="P16" s="25">
        <v>0</v>
      </c>
      <c r="Q16" s="24"/>
      <c r="R16" s="25">
        <v>0</v>
      </c>
      <c r="S16" s="26">
        <v>46054</v>
      </c>
      <c r="T16" s="25">
        <v>0</v>
      </c>
      <c r="U16" s="27">
        <v>4</v>
      </c>
      <c r="V16" s="25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50</v>
      </c>
      <c r="AB16" s="18" t="s">
        <v>51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9" t="s">
        <v>76</v>
      </c>
      <c r="B17" s="10">
        <v>46069</v>
      </c>
      <c r="C17" s="10">
        <v>46069</v>
      </c>
      <c r="D17" s="11" t="s">
        <v>30</v>
      </c>
      <c r="E17" s="12">
        <v>0.41666666666666669</v>
      </c>
      <c r="F17" s="12">
        <v>0.45833333333333331</v>
      </c>
      <c r="G17" s="12">
        <v>4.1666666666666664E-2</v>
      </c>
      <c r="H17" s="9" t="s">
        <v>77</v>
      </c>
      <c r="I17" s="13"/>
      <c r="J17" s="9" t="s">
        <v>78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5">
      <c r="A18" s="9" t="s">
        <v>79</v>
      </c>
      <c r="B18" s="10">
        <v>46069</v>
      </c>
      <c r="C18" s="10">
        <v>46069</v>
      </c>
      <c r="D18" s="11" t="s">
        <v>30</v>
      </c>
      <c r="E18" s="12">
        <v>0.45833333333333331</v>
      </c>
      <c r="F18" s="12">
        <v>0.47916666666666669</v>
      </c>
      <c r="G18" s="12">
        <v>2.0833333333333332E-2</v>
      </c>
      <c r="H18" s="9" t="s">
        <v>80</v>
      </c>
      <c r="I18" s="13" t="s">
        <v>81</v>
      </c>
      <c r="J18" s="9" t="s">
        <v>78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18" t="s">
        <v>88</v>
      </c>
      <c r="B19" s="19">
        <v>46069</v>
      </c>
      <c r="C19" s="19">
        <v>46069</v>
      </c>
      <c r="D19" s="18" t="s">
        <v>30</v>
      </c>
      <c r="E19" s="20">
        <v>0.45833333333333331</v>
      </c>
      <c r="F19" s="20">
        <v>0.5</v>
      </c>
      <c r="G19" s="20">
        <v>3.4722222222222218E-4</v>
      </c>
      <c r="H19" s="18" t="s">
        <v>89</v>
      </c>
      <c r="I19" s="23">
        <v>0.46652777777777776</v>
      </c>
      <c r="J19" s="18" t="s">
        <v>84</v>
      </c>
      <c r="K19" s="18" t="s">
        <v>80</v>
      </c>
      <c r="L19" s="24">
        <v>1</v>
      </c>
      <c r="M19" s="24">
        <v>71436</v>
      </c>
      <c r="N19" s="18" t="s">
        <v>54</v>
      </c>
      <c r="O19" s="24" t="s">
        <v>90</v>
      </c>
      <c r="P19" s="25">
        <v>41.17647058823529</v>
      </c>
      <c r="Q19" s="24"/>
      <c r="R19" s="25">
        <v>41.17647058823529</v>
      </c>
      <c r="S19" s="26">
        <v>46069</v>
      </c>
      <c r="T19" s="25">
        <v>6.1764705882352935</v>
      </c>
      <c r="U19" s="27">
        <v>4</v>
      </c>
      <c r="V19" s="25">
        <v>35</v>
      </c>
      <c r="W19" s="18" t="s">
        <v>48</v>
      </c>
      <c r="X19" s="18" t="s">
        <v>49</v>
      </c>
      <c r="Y19" s="18" t="s">
        <v>86</v>
      </c>
      <c r="Z19" s="18" t="s">
        <v>9</v>
      </c>
      <c r="AA19" s="18" t="s">
        <v>50</v>
      </c>
      <c r="AB19" s="18" t="s">
        <v>91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9" t="s">
        <v>79</v>
      </c>
      <c r="B20" s="10">
        <v>46069</v>
      </c>
      <c r="C20" s="10">
        <v>46069</v>
      </c>
      <c r="D20" s="11" t="s">
        <v>30</v>
      </c>
      <c r="E20" s="12">
        <v>0.47916666666666669</v>
      </c>
      <c r="F20" s="12">
        <v>0.5</v>
      </c>
      <c r="G20" s="12">
        <v>2.0833333333333332E-2</v>
      </c>
      <c r="H20" s="9" t="s">
        <v>92</v>
      </c>
      <c r="I20" s="13"/>
      <c r="J20" s="9" t="s">
        <v>84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9" t="s">
        <v>93</v>
      </c>
      <c r="B21" s="10">
        <v>46069</v>
      </c>
      <c r="C21" s="10">
        <v>46069</v>
      </c>
      <c r="D21" s="11" t="s">
        <v>30</v>
      </c>
      <c r="E21" s="12">
        <v>0.5</v>
      </c>
      <c r="F21" s="12">
        <v>0.54166666666666663</v>
      </c>
      <c r="G21" s="12">
        <v>4.1666666666666664E-2</v>
      </c>
      <c r="H21" s="9" t="s">
        <v>94</v>
      </c>
      <c r="I21" s="13"/>
      <c r="J21" s="9" t="s">
        <v>84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49" s="17" customFormat="1" ht="35.1" customHeight="1" x14ac:dyDescent="0.25">
      <c r="A22" s="18" t="s">
        <v>82</v>
      </c>
      <c r="B22" s="19">
        <v>46069</v>
      </c>
      <c r="C22" s="19">
        <v>46069</v>
      </c>
      <c r="D22" s="18" t="s">
        <v>30</v>
      </c>
      <c r="E22" s="20">
        <v>0.45833333333333331</v>
      </c>
      <c r="F22" s="20">
        <v>0.54166666666666663</v>
      </c>
      <c r="G22" s="20">
        <v>3.4722222222222218E-4</v>
      </c>
      <c r="H22" s="18" t="s">
        <v>83</v>
      </c>
      <c r="I22" s="23">
        <v>0.51380787037037035</v>
      </c>
      <c r="J22" s="18" t="s">
        <v>84</v>
      </c>
      <c r="K22" s="18" t="s">
        <v>140</v>
      </c>
      <c r="L22" s="24">
        <v>1</v>
      </c>
      <c r="M22" s="24">
        <v>70171</v>
      </c>
      <c r="N22" s="18" t="s">
        <v>46</v>
      </c>
      <c r="O22" s="24" t="s">
        <v>85</v>
      </c>
      <c r="P22" s="25">
        <v>0</v>
      </c>
      <c r="Q22" s="24"/>
      <c r="R22" s="25">
        <v>0</v>
      </c>
      <c r="S22" s="26">
        <v>46069</v>
      </c>
      <c r="T22" s="25">
        <v>0</v>
      </c>
      <c r="U22" s="27">
        <v>4</v>
      </c>
      <c r="V22" s="25">
        <v>0</v>
      </c>
      <c r="W22" s="18" t="s">
        <v>48</v>
      </c>
      <c r="X22" s="18" t="s">
        <v>49</v>
      </c>
      <c r="Y22" s="18" t="s">
        <v>86</v>
      </c>
      <c r="Z22" s="18" t="s">
        <v>43</v>
      </c>
      <c r="AA22" s="18" t="s">
        <v>50</v>
      </c>
      <c r="AB22" s="18" t="s">
        <v>87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82</v>
      </c>
      <c r="B23" s="19">
        <v>46069</v>
      </c>
      <c r="C23" s="19">
        <v>46069</v>
      </c>
      <c r="D23" s="18" t="s">
        <v>30</v>
      </c>
      <c r="E23" s="20">
        <v>0.5</v>
      </c>
      <c r="F23" s="20">
        <v>0.54166666666666663</v>
      </c>
      <c r="G23" s="20">
        <v>3.4722222222222218E-4</v>
      </c>
      <c r="H23" s="18" t="s">
        <v>83</v>
      </c>
      <c r="I23" s="23">
        <v>0.52032407407407411</v>
      </c>
      <c r="J23" s="18" t="s">
        <v>84</v>
      </c>
      <c r="K23" s="18" t="s">
        <v>140</v>
      </c>
      <c r="L23" s="24">
        <v>1</v>
      </c>
      <c r="M23" s="24">
        <v>70170</v>
      </c>
      <c r="N23" s="18" t="s">
        <v>54</v>
      </c>
      <c r="O23" s="24" t="s">
        <v>85</v>
      </c>
      <c r="P23" s="25">
        <v>35</v>
      </c>
      <c r="Q23" s="24"/>
      <c r="R23" s="25">
        <v>35</v>
      </c>
      <c r="S23" s="26">
        <v>46069</v>
      </c>
      <c r="T23" s="25">
        <v>0</v>
      </c>
      <c r="U23" s="27">
        <v>4</v>
      </c>
      <c r="V23" s="25">
        <v>35</v>
      </c>
      <c r="W23" s="18" t="s">
        <v>48</v>
      </c>
      <c r="X23" s="18" t="s">
        <v>49</v>
      </c>
      <c r="Y23" s="18" t="s">
        <v>86</v>
      </c>
      <c r="Z23" s="18" t="s">
        <v>43</v>
      </c>
      <c r="AA23" s="18" t="s">
        <v>50</v>
      </c>
      <c r="AB23" s="18" t="s">
        <v>87</v>
      </c>
      <c r="AC23" s="18" t="s">
        <v>38</v>
      </c>
      <c r="AD23" s="7" t="str">
        <f t="shared" si="0"/>
        <v/>
      </c>
      <c r="AE23" s="28"/>
      <c r="AF23" s="28"/>
      <c r="AG23" s="28"/>
      <c r="AH23" s="28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</row>
    <row r="24" spans="1:49" s="17" customFormat="1" ht="35.1" customHeight="1" x14ac:dyDescent="0.25">
      <c r="A24" s="18" t="s">
        <v>82</v>
      </c>
      <c r="B24" s="19">
        <v>46069</v>
      </c>
      <c r="C24" s="19">
        <v>46069</v>
      </c>
      <c r="D24" s="18" t="s">
        <v>30</v>
      </c>
      <c r="E24" s="20">
        <v>0.5</v>
      </c>
      <c r="F24" s="20">
        <v>0.54166666666666663</v>
      </c>
      <c r="G24" s="20">
        <v>3.4722222222222218E-4</v>
      </c>
      <c r="H24" s="18" t="s">
        <v>83</v>
      </c>
      <c r="I24" s="23">
        <v>0.54069444444444448</v>
      </c>
      <c r="J24" s="18" t="s">
        <v>84</v>
      </c>
      <c r="K24" s="18" t="s">
        <v>140</v>
      </c>
      <c r="L24" s="24">
        <v>1</v>
      </c>
      <c r="M24" s="24">
        <v>70170</v>
      </c>
      <c r="N24" s="18" t="s">
        <v>54</v>
      </c>
      <c r="O24" s="24" t="s">
        <v>85</v>
      </c>
      <c r="P24" s="25">
        <v>35</v>
      </c>
      <c r="Q24" s="24"/>
      <c r="R24" s="25">
        <v>35</v>
      </c>
      <c r="S24" s="26">
        <v>46069</v>
      </c>
      <c r="T24" s="25">
        <v>0</v>
      </c>
      <c r="U24" s="27">
        <v>4</v>
      </c>
      <c r="V24" s="25">
        <v>35</v>
      </c>
      <c r="W24" s="18" t="s">
        <v>48</v>
      </c>
      <c r="X24" s="18" t="s">
        <v>49</v>
      </c>
      <c r="Y24" s="18" t="s">
        <v>86</v>
      </c>
      <c r="Z24" s="18" t="s">
        <v>43</v>
      </c>
      <c r="AA24" s="18" t="s">
        <v>50</v>
      </c>
      <c r="AB24" s="18" t="s">
        <v>87</v>
      </c>
      <c r="AC24" s="18" t="s">
        <v>38</v>
      </c>
      <c r="AD24" s="7" t="str">
        <f t="shared" si="0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28" customFormat="1" ht="35.1" customHeight="1" x14ac:dyDescent="0.25">
      <c r="A25" s="9" t="s">
        <v>95</v>
      </c>
      <c r="B25" s="10">
        <v>46069</v>
      </c>
      <c r="C25" s="10">
        <v>46069</v>
      </c>
      <c r="D25" s="11" t="s">
        <v>30</v>
      </c>
      <c r="E25" s="12">
        <v>0.54166666666666663</v>
      </c>
      <c r="F25" s="12">
        <v>0.5625</v>
      </c>
      <c r="G25" s="12">
        <v>2.0833333333333332E-2</v>
      </c>
      <c r="H25" s="9" t="s">
        <v>96</v>
      </c>
      <c r="I25" s="13"/>
      <c r="J25" s="9" t="s">
        <v>97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</row>
    <row r="26" spans="1:49" s="28" customFormat="1" ht="35.1" customHeight="1" x14ac:dyDescent="0.25">
      <c r="A26" s="9" t="s">
        <v>95</v>
      </c>
      <c r="B26" s="10">
        <v>46069</v>
      </c>
      <c r="C26" s="10">
        <v>46069</v>
      </c>
      <c r="D26" s="11" t="s">
        <v>30</v>
      </c>
      <c r="E26" s="12">
        <v>0.5625</v>
      </c>
      <c r="F26" s="12">
        <v>0.58333333333333337</v>
      </c>
      <c r="G26" s="12">
        <v>2.0833333333333332E-2</v>
      </c>
      <c r="H26" s="9" t="s">
        <v>98</v>
      </c>
      <c r="I26" s="13"/>
      <c r="J26" s="9" t="s">
        <v>97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</row>
    <row r="27" spans="1:49" s="28" customFormat="1" ht="35.1" customHeight="1" x14ac:dyDescent="0.25">
      <c r="A27" s="9" t="s">
        <v>99</v>
      </c>
      <c r="B27" s="10">
        <v>46069</v>
      </c>
      <c r="C27" s="10">
        <v>46069</v>
      </c>
      <c r="D27" s="11" t="s">
        <v>30</v>
      </c>
      <c r="E27" s="12">
        <v>0.58333333333333337</v>
      </c>
      <c r="F27" s="12">
        <v>0.625</v>
      </c>
      <c r="G27" s="12">
        <v>4.1666666666666664E-2</v>
      </c>
      <c r="H27" s="9" t="s">
        <v>100</v>
      </c>
      <c r="I27" s="13"/>
      <c r="J27" s="9" t="s">
        <v>101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</row>
    <row r="28" spans="1:49" s="17" customFormat="1" ht="35.1" customHeight="1" x14ac:dyDescent="0.25">
      <c r="A28" s="18" t="s">
        <v>44</v>
      </c>
      <c r="B28" s="19">
        <v>46069</v>
      </c>
      <c r="C28" s="19">
        <v>46069</v>
      </c>
      <c r="D28" s="18" t="s">
        <v>30</v>
      </c>
      <c r="E28" s="20">
        <v>0.58333333333333337</v>
      </c>
      <c r="F28" s="20">
        <v>0.66666666666666663</v>
      </c>
      <c r="G28" s="21">
        <v>1.7361111111111109E-4</v>
      </c>
      <c r="H28" s="22" t="s">
        <v>45</v>
      </c>
      <c r="I28" s="23">
        <v>0.59111111111111114</v>
      </c>
      <c r="J28" s="18" t="s">
        <v>97</v>
      </c>
      <c r="K28" s="18" t="s">
        <v>141</v>
      </c>
      <c r="L28" s="24">
        <v>1</v>
      </c>
      <c r="M28" s="24">
        <v>71009</v>
      </c>
      <c r="N28" s="18" t="s">
        <v>54</v>
      </c>
      <c r="O28" s="24" t="s">
        <v>47</v>
      </c>
      <c r="P28" s="25">
        <v>15</v>
      </c>
      <c r="Q28" s="24"/>
      <c r="R28" s="25">
        <v>15</v>
      </c>
      <c r="S28" s="26">
        <v>46054</v>
      </c>
      <c r="T28" s="25">
        <v>2.25</v>
      </c>
      <c r="U28" s="27">
        <v>4</v>
      </c>
      <c r="V28" s="25">
        <v>12.75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51</v>
      </c>
      <c r="AC28" s="18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17" customFormat="1" ht="35.1" customHeight="1" x14ac:dyDescent="0.25">
      <c r="A29" s="18" t="s">
        <v>44</v>
      </c>
      <c r="B29" s="19">
        <v>46069</v>
      </c>
      <c r="C29" s="19">
        <v>46069</v>
      </c>
      <c r="D29" s="18" t="s">
        <v>30</v>
      </c>
      <c r="E29" s="20">
        <v>0.58333333333333337</v>
      </c>
      <c r="F29" s="20">
        <v>0.66666666666666663</v>
      </c>
      <c r="G29" s="21">
        <v>1.7361111111111109E-4</v>
      </c>
      <c r="H29" s="22" t="s">
        <v>52</v>
      </c>
      <c r="I29" s="23">
        <v>0.59232638888888889</v>
      </c>
      <c r="J29" s="18" t="s">
        <v>97</v>
      </c>
      <c r="K29" s="18" t="s">
        <v>141</v>
      </c>
      <c r="L29" s="24">
        <v>1</v>
      </c>
      <c r="M29" s="24">
        <v>71009</v>
      </c>
      <c r="N29" s="18" t="s">
        <v>54</v>
      </c>
      <c r="O29" s="24" t="s">
        <v>47</v>
      </c>
      <c r="P29" s="25">
        <v>15</v>
      </c>
      <c r="Q29" s="24"/>
      <c r="R29" s="25">
        <v>15</v>
      </c>
      <c r="S29" s="26">
        <v>46054</v>
      </c>
      <c r="T29" s="25">
        <v>2.25</v>
      </c>
      <c r="U29" s="27">
        <v>4</v>
      </c>
      <c r="V29" s="25">
        <v>12.75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51</v>
      </c>
      <c r="AC29" s="18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17" customFormat="1" ht="35.1" customHeight="1" x14ac:dyDescent="0.25">
      <c r="A30" s="18" t="s">
        <v>60</v>
      </c>
      <c r="B30" s="19">
        <v>46069</v>
      </c>
      <c r="C30" s="19">
        <v>46069</v>
      </c>
      <c r="D30" s="18" t="s">
        <v>30</v>
      </c>
      <c r="E30" s="20">
        <v>0.58333333333333337</v>
      </c>
      <c r="F30" s="20">
        <v>0.66666666666666663</v>
      </c>
      <c r="G30" s="20">
        <v>3.4722222222222218E-4</v>
      </c>
      <c r="H30" s="18" t="s">
        <v>102</v>
      </c>
      <c r="I30" s="23">
        <v>0.6227314814814815</v>
      </c>
      <c r="J30" s="18" t="s">
        <v>97</v>
      </c>
      <c r="K30" s="18" t="s">
        <v>141</v>
      </c>
      <c r="L30" s="24">
        <v>1</v>
      </c>
      <c r="M30" s="24">
        <v>64419</v>
      </c>
      <c r="N30" s="18" t="s">
        <v>46</v>
      </c>
      <c r="O30" s="24" t="s">
        <v>62</v>
      </c>
      <c r="P30" s="25">
        <v>0</v>
      </c>
      <c r="Q30" s="24"/>
      <c r="R30" s="25">
        <v>0</v>
      </c>
      <c r="S30" s="26">
        <v>46054</v>
      </c>
      <c r="T30" s="25">
        <v>0</v>
      </c>
      <c r="U30" s="27">
        <v>4</v>
      </c>
      <c r="V30" s="25">
        <v>0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63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</row>
    <row r="31" spans="1:49" s="28" customFormat="1" ht="35.1" customHeight="1" x14ac:dyDescent="0.25">
      <c r="A31" s="9" t="s">
        <v>99</v>
      </c>
      <c r="B31" s="10">
        <v>46069</v>
      </c>
      <c r="C31" s="10">
        <v>46069</v>
      </c>
      <c r="D31" s="11" t="s">
        <v>30</v>
      </c>
      <c r="E31" s="12">
        <v>0.625</v>
      </c>
      <c r="F31" s="12">
        <v>0.64583333333333337</v>
      </c>
      <c r="G31" s="12">
        <v>2.0833333333333332E-2</v>
      </c>
      <c r="H31" s="9" t="s">
        <v>106</v>
      </c>
      <c r="I31" s="13"/>
      <c r="J31" s="9" t="s">
        <v>101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</row>
    <row r="32" spans="1:49" s="28" customFormat="1" ht="35.1" customHeight="1" x14ac:dyDescent="0.25">
      <c r="A32" s="9" t="s">
        <v>99</v>
      </c>
      <c r="B32" s="10">
        <v>46069</v>
      </c>
      <c r="C32" s="10">
        <v>46069</v>
      </c>
      <c r="D32" s="11" t="s">
        <v>30</v>
      </c>
      <c r="E32" s="12">
        <v>0.64583333333333337</v>
      </c>
      <c r="F32" s="12">
        <v>0.66666666666666663</v>
      </c>
      <c r="G32" s="12">
        <v>2.0833333333333332E-2</v>
      </c>
      <c r="H32" s="9" t="s">
        <v>107</v>
      </c>
      <c r="I32" s="13"/>
      <c r="J32" s="9" t="s">
        <v>101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</row>
    <row r="33" spans="1:49" s="17" customFormat="1" ht="35.1" customHeight="1" x14ac:dyDescent="0.25">
      <c r="A33" s="18" t="s">
        <v>103</v>
      </c>
      <c r="B33" s="19">
        <v>46069</v>
      </c>
      <c r="C33" s="19">
        <v>46069</v>
      </c>
      <c r="D33" s="18" t="s">
        <v>30</v>
      </c>
      <c r="E33" s="20">
        <v>0.58333333333333337</v>
      </c>
      <c r="F33" s="20">
        <v>0.66666666666666663</v>
      </c>
      <c r="G33" s="20">
        <v>3.4722222222222218E-4</v>
      </c>
      <c r="H33" s="18" t="s">
        <v>104</v>
      </c>
      <c r="I33" s="23">
        <v>0.66471064814814818</v>
      </c>
      <c r="J33" s="18" t="s">
        <v>101</v>
      </c>
      <c r="K33" s="18" t="s">
        <v>141</v>
      </c>
      <c r="L33" s="24">
        <v>1</v>
      </c>
      <c r="M33" s="24">
        <v>59763</v>
      </c>
      <c r="N33" s="18" t="s">
        <v>54</v>
      </c>
      <c r="O33" s="24"/>
      <c r="P33" s="25">
        <v>50</v>
      </c>
      <c r="Q33" s="24"/>
      <c r="R33" s="25">
        <v>50</v>
      </c>
      <c r="S33" s="26">
        <v>46054</v>
      </c>
      <c r="T33" s="25">
        <v>0</v>
      </c>
      <c r="U33" s="27">
        <v>4</v>
      </c>
      <c r="V33" s="25">
        <v>50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105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8" customFormat="1" ht="35.1" customHeight="1" x14ac:dyDescent="0.25">
      <c r="A34" s="9" t="s">
        <v>108</v>
      </c>
      <c r="B34" s="10">
        <v>46069</v>
      </c>
      <c r="C34" s="10">
        <v>46069</v>
      </c>
      <c r="D34" s="11" t="s">
        <v>30</v>
      </c>
      <c r="E34" s="12">
        <v>0.66666666666666663</v>
      </c>
      <c r="F34" s="12">
        <v>0.6875</v>
      </c>
      <c r="G34" s="12">
        <v>2.0833333333333332E-2</v>
      </c>
      <c r="H34" s="9" t="s">
        <v>109</v>
      </c>
      <c r="I34" s="13"/>
      <c r="J34" s="9" t="s">
        <v>110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</row>
    <row r="35" spans="1:49" s="17" customFormat="1" ht="35.1" customHeight="1" x14ac:dyDescent="0.25">
      <c r="A35" s="18" t="s">
        <v>44</v>
      </c>
      <c r="B35" s="19">
        <v>46069</v>
      </c>
      <c r="C35" s="19">
        <v>46069</v>
      </c>
      <c r="D35" s="18" t="s">
        <v>30</v>
      </c>
      <c r="E35" s="20">
        <v>0.66666666666666663</v>
      </c>
      <c r="F35" s="20">
        <v>0.79166666666666663</v>
      </c>
      <c r="G35" s="21">
        <v>1.7361111111111109E-4</v>
      </c>
      <c r="H35" s="22" t="s">
        <v>53</v>
      </c>
      <c r="I35" s="23">
        <v>0.67331018518518515</v>
      </c>
      <c r="J35" s="18" t="s">
        <v>110</v>
      </c>
      <c r="K35" s="18" t="s">
        <v>109</v>
      </c>
      <c r="L35" s="24">
        <v>1</v>
      </c>
      <c r="M35" s="24">
        <v>71003</v>
      </c>
      <c r="N35" s="18" t="s">
        <v>54</v>
      </c>
      <c r="O35" s="24" t="s">
        <v>47</v>
      </c>
      <c r="P35" s="25">
        <v>15</v>
      </c>
      <c r="Q35" s="24"/>
      <c r="R35" s="25">
        <v>15</v>
      </c>
      <c r="S35" s="26">
        <v>46054</v>
      </c>
      <c r="T35" s="25">
        <v>2.25</v>
      </c>
      <c r="U35" s="27">
        <v>4</v>
      </c>
      <c r="V35" s="25">
        <v>12.75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51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5.1" customHeight="1" x14ac:dyDescent="0.25">
      <c r="A36" s="18" t="s">
        <v>44</v>
      </c>
      <c r="B36" s="19">
        <v>46069</v>
      </c>
      <c r="C36" s="19">
        <v>46069</v>
      </c>
      <c r="D36" s="18" t="s">
        <v>30</v>
      </c>
      <c r="E36" s="20">
        <v>0.66666666666666663</v>
      </c>
      <c r="F36" s="20">
        <v>0.79166666666666663</v>
      </c>
      <c r="G36" s="21">
        <v>1.7361111111111109E-4</v>
      </c>
      <c r="H36" s="22" t="s">
        <v>55</v>
      </c>
      <c r="I36" s="23">
        <v>0.67435185185185187</v>
      </c>
      <c r="J36" s="18" t="s">
        <v>110</v>
      </c>
      <c r="K36" s="18" t="s">
        <v>109</v>
      </c>
      <c r="L36" s="24">
        <v>1</v>
      </c>
      <c r="M36" s="24">
        <v>71003</v>
      </c>
      <c r="N36" s="18" t="s">
        <v>54</v>
      </c>
      <c r="O36" s="24" t="s">
        <v>47</v>
      </c>
      <c r="P36" s="25">
        <v>15</v>
      </c>
      <c r="Q36" s="24"/>
      <c r="R36" s="25">
        <v>15</v>
      </c>
      <c r="S36" s="26">
        <v>46054</v>
      </c>
      <c r="T36" s="25">
        <v>2.25</v>
      </c>
      <c r="U36" s="27">
        <v>4</v>
      </c>
      <c r="V36" s="25">
        <v>12.75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51</v>
      </c>
      <c r="AC36" s="18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8" customFormat="1" ht="35.1" customHeight="1" x14ac:dyDescent="0.25">
      <c r="A37" s="9" t="s">
        <v>115</v>
      </c>
      <c r="B37" s="10">
        <v>46069</v>
      </c>
      <c r="C37" s="10">
        <v>46069</v>
      </c>
      <c r="D37" s="11" t="s">
        <v>30</v>
      </c>
      <c r="E37" s="12">
        <v>0.6875</v>
      </c>
      <c r="F37" s="12">
        <v>0.70833333333333337</v>
      </c>
      <c r="G37" s="12">
        <v>2.0833333333333332E-2</v>
      </c>
      <c r="H37" s="9" t="s">
        <v>116</v>
      </c>
      <c r="I37" s="13"/>
      <c r="J37" s="9" t="s">
        <v>110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</row>
    <row r="38" spans="1:49" s="28" customFormat="1" ht="35.1" customHeight="1" x14ac:dyDescent="0.25">
      <c r="A38" s="9" t="s">
        <v>108</v>
      </c>
      <c r="B38" s="10">
        <v>46069</v>
      </c>
      <c r="C38" s="10">
        <v>46069</v>
      </c>
      <c r="D38" s="11" t="s">
        <v>30</v>
      </c>
      <c r="E38" s="12">
        <v>0.70833333333333337</v>
      </c>
      <c r="F38" s="12">
        <v>0.75</v>
      </c>
      <c r="G38" s="12">
        <v>4.1666666666666664E-2</v>
      </c>
      <c r="H38" s="9" t="s">
        <v>117</v>
      </c>
      <c r="I38" s="13"/>
      <c r="J38" s="9" t="s">
        <v>110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</row>
    <row r="39" spans="1:49" s="17" customFormat="1" ht="35.1" customHeight="1" x14ac:dyDescent="0.25">
      <c r="A39" s="18" t="s">
        <v>56</v>
      </c>
      <c r="B39" s="19">
        <v>46069</v>
      </c>
      <c r="C39" s="19">
        <v>46069</v>
      </c>
      <c r="D39" s="18" t="s">
        <v>30</v>
      </c>
      <c r="E39" s="20">
        <v>0.25</v>
      </c>
      <c r="F39" s="20">
        <v>0.99930555555555556</v>
      </c>
      <c r="G39" s="20">
        <v>3.8194444444444446E-4</v>
      </c>
      <c r="H39" s="18" t="s">
        <v>57</v>
      </c>
      <c r="I39" s="23">
        <v>0.72121527777777783</v>
      </c>
      <c r="J39" s="18" t="s">
        <v>32</v>
      </c>
      <c r="K39" s="18" t="s">
        <v>117</v>
      </c>
      <c r="L39" s="24">
        <v>1</v>
      </c>
      <c r="M39" s="24">
        <v>61686</v>
      </c>
      <c r="N39" s="18" t="s">
        <v>54</v>
      </c>
      <c r="O39" s="24"/>
      <c r="P39" s="25">
        <v>92.592592592592595</v>
      </c>
      <c r="Q39" s="24"/>
      <c r="R39" s="25">
        <v>92.592592592592595</v>
      </c>
      <c r="S39" s="26">
        <v>46054</v>
      </c>
      <c r="T39" s="25">
        <v>0</v>
      </c>
      <c r="U39" s="27">
        <v>4</v>
      </c>
      <c r="V39" s="25">
        <v>92.592592592592595</v>
      </c>
      <c r="W39" s="18" t="s">
        <v>34</v>
      </c>
      <c r="X39" s="18" t="s">
        <v>58</v>
      </c>
      <c r="Y39" s="18" t="s">
        <v>36</v>
      </c>
      <c r="Z39" s="18" t="s">
        <v>58</v>
      </c>
      <c r="AA39" s="18" t="s">
        <v>50</v>
      </c>
      <c r="AB39" s="18" t="s">
        <v>59</v>
      </c>
      <c r="AC39" s="18" t="s">
        <v>38</v>
      </c>
      <c r="AD39" s="7" t="str">
        <f t="shared" si="0"/>
        <v/>
      </c>
      <c r="AE39" s="28"/>
      <c r="AF39" s="28"/>
      <c r="AG39" s="28"/>
      <c r="AH39" s="28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</row>
    <row r="40" spans="1:49" s="17" customFormat="1" ht="35.1" customHeight="1" x14ac:dyDescent="0.25">
      <c r="A40" s="18" t="s">
        <v>111</v>
      </c>
      <c r="B40" s="19">
        <v>46069</v>
      </c>
      <c r="C40" s="19">
        <v>46069</v>
      </c>
      <c r="D40" s="18" t="s">
        <v>30</v>
      </c>
      <c r="E40" s="20">
        <v>0.66666666666666663</v>
      </c>
      <c r="F40" s="20">
        <v>0.79166666666666663</v>
      </c>
      <c r="G40" s="21">
        <v>1.7361111111111112E-4</v>
      </c>
      <c r="H40" s="22" t="s">
        <v>112</v>
      </c>
      <c r="I40" s="23">
        <v>0.73439814814814819</v>
      </c>
      <c r="J40" s="18" t="s">
        <v>110</v>
      </c>
      <c r="K40" s="18" t="s">
        <v>117</v>
      </c>
      <c r="L40" s="24">
        <v>1</v>
      </c>
      <c r="M40" s="24">
        <v>69833</v>
      </c>
      <c r="N40" s="18" t="s">
        <v>54</v>
      </c>
      <c r="O40" s="24"/>
      <c r="P40" s="25">
        <v>28</v>
      </c>
      <c r="Q40" s="24"/>
      <c r="R40" s="25">
        <v>28</v>
      </c>
      <c r="S40" s="26">
        <v>46069</v>
      </c>
      <c r="T40" s="25">
        <v>0</v>
      </c>
      <c r="U40" s="27">
        <v>4</v>
      </c>
      <c r="V40" s="25">
        <v>28</v>
      </c>
      <c r="W40" s="18" t="s">
        <v>34</v>
      </c>
      <c r="X40" s="18" t="s">
        <v>49</v>
      </c>
      <c r="Y40" s="18" t="s">
        <v>86</v>
      </c>
      <c r="Z40" s="18" t="s">
        <v>43</v>
      </c>
      <c r="AA40" s="18" t="s">
        <v>50</v>
      </c>
      <c r="AB40" s="18" t="s">
        <v>113</v>
      </c>
      <c r="AC40" s="18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17" customFormat="1" ht="35.1" customHeight="1" x14ac:dyDescent="0.25">
      <c r="A41" s="18" t="s">
        <v>111</v>
      </c>
      <c r="B41" s="19">
        <v>46069</v>
      </c>
      <c r="C41" s="19">
        <v>46069</v>
      </c>
      <c r="D41" s="18" t="s">
        <v>30</v>
      </c>
      <c r="E41" s="20">
        <v>0.66666666666666663</v>
      </c>
      <c r="F41" s="20">
        <v>0.79166666666666663</v>
      </c>
      <c r="G41" s="21">
        <v>1.7361111111111112E-4</v>
      </c>
      <c r="H41" s="22" t="s">
        <v>114</v>
      </c>
      <c r="I41" s="23">
        <v>0.73630787037037038</v>
      </c>
      <c r="J41" s="18" t="s">
        <v>110</v>
      </c>
      <c r="K41" s="18" t="s">
        <v>117</v>
      </c>
      <c r="L41" s="24">
        <v>1</v>
      </c>
      <c r="M41" s="24">
        <v>69833</v>
      </c>
      <c r="N41" s="18" t="s">
        <v>54</v>
      </c>
      <c r="O41" s="24"/>
      <c r="P41" s="25">
        <v>0</v>
      </c>
      <c r="Q41" s="24"/>
      <c r="R41" s="25">
        <v>0</v>
      </c>
      <c r="S41" s="26">
        <v>46069</v>
      </c>
      <c r="T41" s="25">
        <v>0</v>
      </c>
      <c r="U41" s="27">
        <v>4</v>
      </c>
      <c r="V41" s="25">
        <v>0</v>
      </c>
      <c r="W41" s="18" t="s">
        <v>34</v>
      </c>
      <c r="X41" s="18" t="s">
        <v>49</v>
      </c>
      <c r="Y41" s="18" t="s">
        <v>86</v>
      </c>
      <c r="Z41" s="18" t="s">
        <v>43</v>
      </c>
      <c r="AA41" s="18" t="s">
        <v>50</v>
      </c>
      <c r="AB41" s="18" t="s">
        <v>113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8" customFormat="1" ht="35.1" customHeight="1" x14ac:dyDescent="0.25">
      <c r="A42" s="9" t="s">
        <v>115</v>
      </c>
      <c r="B42" s="10">
        <v>46069</v>
      </c>
      <c r="C42" s="10">
        <v>46069</v>
      </c>
      <c r="D42" s="11" t="s">
        <v>30</v>
      </c>
      <c r="E42" s="12">
        <v>0.75</v>
      </c>
      <c r="F42" s="12">
        <v>0.77083333333333337</v>
      </c>
      <c r="G42" s="12">
        <v>2.0833333333333332E-2</v>
      </c>
      <c r="H42" s="9" t="s">
        <v>118</v>
      </c>
      <c r="I42" s="13"/>
      <c r="J42" s="9" t="s">
        <v>110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</row>
    <row r="43" spans="1:49" s="28" customFormat="1" ht="35.1" customHeight="1" x14ac:dyDescent="0.25">
      <c r="A43" s="9" t="s">
        <v>115</v>
      </c>
      <c r="B43" s="10">
        <v>46069</v>
      </c>
      <c r="C43" s="10">
        <v>46069</v>
      </c>
      <c r="D43" s="11" t="s">
        <v>30</v>
      </c>
      <c r="E43" s="12">
        <v>0.77083333333333337</v>
      </c>
      <c r="F43" s="12">
        <v>0.79166666666666663</v>
      </c>
      <c r="G43" s="12">
        <v>2.0833333333333332E-2</v>
      </c>
      <c r="H43" s="9" t="s">
        <v>116</v>
      </c>
      <c r="I43" s="13"/>
      <c r="J43" s="9" t="s">
        <v>110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</row>
    <row r="44" spans="1:49" s="28" customFormat="1" ht="35.1" customHeight="1" x14ac:dyDescent="0.25">
      <c r="A44" s="9" t="s">
        <v>39</v>
      </c>
      <c r="B44" s="10">
        <v>46069</v>
      </c>
      <c r="C44" s="10">
        <v>46069</v>
      </c>
      <c r="D44" s="11" t="s">
        <v>30</v>
      </c>
      <c r="E44" s="12">
        <v>0.79166666666666663</v>
      </c>
      <c r="F44" s="12">
        <v>0.8125</v>
      </c>
      <c r="G44" s="12">
        <v>2.0833333333333332E-2</v>
      </c>
      <c r="H44" s="9" t="s">
        <v>119</v>
      </c>
      <c r="I44" s="13"/>
      <c r="J44" s="9" t="s">
        <v>120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</row>
    <row r="45" spans="1:49" s="28" customFormat="1" ht="35.1" customHeight="1" x14ac:dyDescent="0.25">
      <c r="A45" s="18" t="s">
        <v>121</v>
      </c>
      <c r="B45" s="19">
        <v>46069</v>
      </c>
      <c r="C45" s="19">
        <v>46069</v>
      </c>
      <c r="D45" s="18" t="s">
        <v>30</v>
      </c>
      <c r="E45" s="20">
        <v>0.79166666666666663</v>
      </c>
      <c r="F45" s="20">
        <v>0.99930555555555556</v>
      </c>
      <c r="G45" s="21">
        <v>1.7361111111111109E-4</v>
      </c>
      <c r="H45" s="22" t="s">
        <v>127</v>
      </c>
      <c r="I45" s="23">
        <v>0.79804398148148148</v>
      </c>
      <c r="J45" s="18" t="s">
        <v>123</v>
      </c>
      <c r="K45" s="18" t="s">
        <v>119</v>
      </c>
      <c r="L45" s="24">
        <v>1</v>
      </c>
      <c r="M45" s="24">
        <v>69566</v>
      </c>
      <c r="N45" s="18" t="s">
        <v>54</v>
      </c>
      <c r="O45" s="24" t="s">
        <v>124</v>
      </c>
      <c r="P45" s="25">
        <v>0</v>
      </c>
      <c r="Q45" s="24"/>
      <c r="R45" s="25">
        <v>16.531831119544499</v>
      </c>
      <c r="S45" s="26">
        <v>46054</v>
      </c>
      <c r="T45" s="25">
        <v>0</v>
      </c>
      <c r="U45" s="27">
        <v>4</v>
      </c>
      <c r="V45" s="25">
        <v>0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125</v>
      </c>
      <c r="AC45" s="18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8" customFormat="1" ht="35.1" customHeight="1" x14ac:dyDescent="0.25">
      <c r="A46" s="18" t="s">
        <v>121</v>
      </c>
      <c r="B46" s="19">
        <v>46069</v>
      </c>
      <c r="C46" s="19">
        <v>46069</v>
      </c>
      <c r="D46" s="18" t="s">
        <v>30</v>
      </c>
      <c r="E46" s="20">
        <v>0.79166666666666663</v>
      </c>
      <c r="F46" s="20">
        <v>0.99930555555555556</v>
      </c>
      <c r="G46" s="21">
        <v>1.7361111111111109E-4</v>
      </c>
      <c r="H46" s="22" t="s">
        <v>128</v>
      </c>
      <c r="I46" s="23">
        <v>0.80012731481481481</v>
      </c>
      <c r="J46" s="18" t="s">
        <v>123</v>
      </c>
      <c r="K46" s="18" t="s">
        <v>119</v>
      </c>
      <c r="L46" s="24">
        <v>1</v>
      </c>
      <c r="M46" s="24">
        <v>69566</v>
      </c>
      <c r="N46" s="18" t="s">
        <v>54</v>
      </c>
      <c r="O46" s="24" t="s">
        <v>124</v>
      </c>
      <c r="P46" s="25">
        <v>0</v>
      </c>
      <c r="Q46" s="24"/>
      <c r="R46" s="25">
        <v>16.531831119544499</v>
      </c>
      <c r="S46" s="26">
        <v>46054</v>
      </c>
      <c r="T46" s="25">
        <v>0</v>
      </c>
      <c r="U46" s="27">
        <v>4</v>
      </c>
      <c r="V46" s="25">
        <v>0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125</v>
      </c>
      <c r="AC46" s="18" t="s">
        <v>38</v>
      </c>
      <c r="AD46" s="7" t="str">
        <f t="shared" si="0"/>
        <v/>
      </c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</row>
    <row r="47" spans="1:49" s="28" customFormat="1" ht="35.1" customHeight="1" x14ac:dyDescent="0.25">
      <c r="A47" s="9" t="s">
        <v>39</v>
      </c>
      <c r="B47" s="10">
        <v>46069</v>
      </c>
      <c r="C47" s="10">
        <v>46069</v>
      </c>
      <c r="D47" s="11" t="s">
        <v>30</v>
      </c>
      <c r="E47" s="12">
        <v>0.8125</v>
      </c>
      <c r="F47" s="12">
        <v>0.83333333333333337</v>
      </c>
      <c r="G47" s="12">
        <v>2.0833333333333332E-2</v>
      </c>
      <c r="H47" s="9" t="s">
        <v>133</v>
      </c>
      <c r="I47" s="13"/>
      <c r="J47" s="9" t="s">
        <v>120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28" customFormat="1" ht="35.1" customHeight="1" x14ac:dyDescent="0.25">
      <c r="A48" s="18" t="s">
        <v>129</v>
      </c>
      <c r="B48" s="19">
        <v>46069</v>
      </c>
      <c r="C48" s="19">
        <v>46069</v>
      </c>
      <c r="D48" s="18" t="s">
        <v>30</v>
      </c>
      <c r="E48" s="20">
        <v>0.79166666666666663</v>
      </c>
      <c r="F48" s="20">
        <v>0.83333333333333337</v>
      </c>
      <c r="G48" s="20">
        <v>1.7361111111111109E-4</v>
      </c>
      <c r="H48" s="18" t="s">
        <v>130</v>
      </c>
      <c r="I48" s="23">
        <v>0.81613425925925931</v>
      </c>
      <c r="J48" s="18" t="s">
        <v>120</v>
      </c>
      <c r="K48" s="18" t="s">
        <v>142</v>
      </c>
      <c r="L48" s="24">
        <v>1</v>
      </c>
      <c r="M48" s="24">
        <v>71275</v>
      </c>
      <c r="N48" s="18" t="s">
        <v>54</v>
      </c>
      <c r="O48" s="24" t="s">
        <v>38</v>
      </c>
      <c r="P48" s="25">
        <v>30</v>
      </c>
      <c r="Q48" s="24"/>
      <c r="R48" s="25">
        <v>30</v>
      </c>
      <c r="S48" s="26">
        <v>46069</v>
      </c>
      <c r="T48" s="25">
        <v>4.5</v>
      </c>
      <c r="U48" s="27">
        <v>4</v>
      </c>
      <c r="V48" s="25">
        <v>25.5</v>
      </c>
      <c r="W48" s="18" t="s">
        <v>48</v>
      </c>
      <c r="X48" s="18" t="s">
        <v>49</v>
      </c>
      <c r="Y48" s="18" t="s">
        <v>86</v>
      </c>
      <c r="Z48" s="18" t="s">
        <v>9</v>
      </c>
      <c r="AA48" s="18" t="s">
        <v>50</v>
      </c>
      <c r="AB48" s="18" t="s">
        <v>131</v>
      </c>
      <c r="AC48" s="18" t="s">
        <v>38</v>
      </c>
      <c r="AD48" s="7" t="str">
        <f t="shared" si="0"/>
        <v/>
      </c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</row>
    <row r="49" spans="1:49" s="28" customFormat="1" ht="35.1" customHeight="1" x14ac:dyDescent="0.25">
      <c r="A49" s="18" t="s">
        <v>70</v>
      </c>
      <c r="B49" s="19">
        <v>46069</v>
      </c>
      <c r="C49" s="19">
        <v>46069</v>
      </c>
      <c r="D49" s="18" t="s">
        <v>30</v>
      </c>
      <c r="E49" s="20">
        <v>0.79166666666666663</v>
      </c>
      <c r="F49" s="20">
        <v>0.83333333333333337</v>
      </c>
      <c r="G49" s="20">
        <v>3.4722222222222218E-4</v>
      </c>
      <c r="H49" s="18" t="s">
        <v>132</v>
      </c>
      <c r="I49" s="23">
        <v>0.82224537037037038</v>
      </c>
      <c r="J49" s="18" t="s">
        <v>120</v>
      </c>
      <c r="K49" s="18" t="s">
        <v>142</v>
      </c>
      <c r="L49" s="24">
        <v>1</v>
      </c>
      <c r="M49" s="24">
        <v>70979</v>
      </c>
      <c r="N49" s="18" t="s">
        <v>54</v>
      </c>
      <c r="O49" s="24" t="str">
        <f>AC49</f>
        <v>CVC</v>
      </c>
      <c r="P49" s="25">
        <v>58.82</v>
      </c>
      <c r="Q49" s="24"/>
      <c r="R49" s="25">
        <v>58.82</v>
      </c>
      <c r="S49" s="26">
        <v>46054</v>
      </c>
      <c r="T49" s="25">
        <v>4.4115000000000002</v>
      </c>
      <c r="U49" s="27">
        <v>4</v>
      </c>
      <c r="V49" s="25">
        <v>54.408500000000004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72</v>
      </c>
      <c r="AC49" s="18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28" customFormat="1" ht="35.1" customHeight="1" x14ac:dyDescent="0.25">
      <c r="A50" s="9" t="s">
        <v>134</v>
      </c>
      <c r="B50" s="10">
        <v>46069</v>
      </c>
      <c r="C50" s="10">
        <v>46069</v>
      </c>
      <c r="D50" s="11" t="s">
        <v>30</v>
      </c>
      <c r="E50" s="12">
        <v>0.83333333333333337</v>
      </c>
      <c r="F50" s="12">
        <v>0.875</v>
      </c>
      <c r="G50" s="12">
        <v>4.1666666666666664E-2</v>
      </c>
      <c r="H50" s="9" t="s">
        <v>135</v>
      </c>
      <c r="I50" s="13"/>
      <c r="J50" s="9" t="s">
        <v>41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28" customFormat="1" ht="35.1" customHeight="1" x14ac:dyDescent="0.25">
      <c r="A51" s="18" t="s">
        <v>60</v>
      </c>
      <c r="B51" s="19">
        <v>46069</v>
      </c>
      <c r="C51" s="19">
        <v>46069</v>
      </c>
      <c r="D51" s="18" t="s">
        <v>30</v>
      </c>
      <c r="E51" s="20">
        <v>0.25</v>
      </c>
      <c r="F51" s="20">
        <v>0.99930555555555556</v>
      </c>
      <c r="G51" s="20">
        <v>3.4722222222222218E-4</v>
      </c>
      <c r="H51" s="18" t="s">
        <v>61</v>
      </c>
      <c r="I51" s="23">
        <v>0.86703703703703705</v>
      </c>
      <c r="J51" s="18" t="s">
        <v>41</v>
      </c>
      <c r="K51" s="18" t="s">
        <v>143</v>
      </c>
      <c r="L51" s="24">
        <v>1</v>
      </c>
      <c r="M51" s="24">
        <v>64407</v>
      </c>
      <c r="N51" s="18" t="s">
        <v>54</v>
      </c>
      <c r="O51" s="24" t="s">
        <v>62</v>
      </c>
      <c r="P51" s="25">
        <v>30</v>
      </c>
      <c r="Q51" s="24"/>
      <c r="R51" s="25">
        <v>30</v>
      </c>
      <c r="S51" s="26">
        <v>46054</v>
      </c>
      <c r="T51" s="25">
        <v>4.5</v>
      </c>
      <c r="U51" s="27">
        <v>4</v>
      </c>
      <c r="V51" s="25">
        <v>25.5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63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28" customFormat="1" ht="35.1" customHeight="1" x14ac:dyDescent="0.25">
      <c r="A52" s="18" t="s">
        <v>121</v>
      </c>
      <c r="B52" s="19">
        <v>46069</v>
      </c>
      <c r="C52" s="19">
        <v>46069</v>
      </c>
      <c r="D52" s="18" t="s">
        <v>30</v>
      </c>
      <c r="E52" s="20">
        <v>0.79166666666666663</v>
      </c>
      <c r="F52" s="20">
        <v>0.99930555555555556</v>
      </c>
      <c r="G52" s="21">
        <v>1.7361111111111109E-4</v>
      </c>
      <c r="H52" s="22" t="s">
        <v>122</v>
      </c>
      <c r="I52" s="23">
        <v>0.86686342592592591</v>
      </c>
      <c r="J52" s="18" t="s">
        <v>123</v>
      </c>
      <c r="K52" s="18" t="s">
        <v>143</v>
      </c>
      <c r="L52" s="24">
        <v>1</v>
      </c>
      <c r="M52" s="24">
        <v>69566</v>
      </c>
      <c r="N52" s="18" t="s">
        <v>54</v>
      </c>
      <c r="O52" s="24" t="s">
        <v>124</v>
      </c>
      <c r="P52" s="25">
        <v>0</v>
      </c>
      <c r="Q52" s="24"/>
      <c r="R52" s="25">
        <v>16.531831119544499</v>
      </c>
      <c r="S52" s="26">
        <v>46054</v>
      </c>
      <c r="T52" s="25">
        <v>0</v>
      </c>
      <c r="U52" s="27">
        <v>4</v>
      </c>
      <c r="V52" s="25">
        <v>0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125</v>
      </c>
      <c r="AC52" s="18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28" customFormat="1" ht="35.1" customHeight="1" x14ac:dyDescent="0.25">
      <c r="A53" s="18" t="s">
        <v>121</v>
      </c>
      <c r="B53" s="19">
        <v>46069</v>
      </c>
      <c r="C53" s="19">
        <v>46069</v>
      </c>
      <c r="D53" s="18" t="s">
        <v>30</v>
      </c>
      <c r="E53" s="20">
        <v>0.79166666666666663</v>
      </c>
      <c r="F53" s="20">
        <v>0.99930555555555556</v>
      </c>
      <c r="G53" s="21">
        <v>1.7361111111111109E-4</v>
      </c>
      <c r="H53" s="22" t="s">
        <v>126</v>
      </c>
      <c r="I53" s="23">
        <v>0.86790509259259263</v>
      </c>
      <c r="J53" s="18" t="s">
        <v>123</v>
      </c>
      <c r="K53" s="18" t="s">
        <v>143</v>
      </c>
      <c r="L53" s="24">
        <v>1</v>
      </c>
      <c r="M53" s="24">
        <v>69566</v>
      </c>
      <c r="N53" s="18" t="s">
        <v>54</v>
      </c>
      <c r="O53" s="24" t="s">
        <v>124</v>
      </c>
      <c r="P53" s="25">
        <v>0</v>
      </c>
      <c r="Q53" s="24"/>
      <c r="R53" s="25">
        <v>16.531831119544499</v>
      </c>
      <c r="S53" s="26">
        <v>46054</v>
      </c>
      <c r="T53" s="25">
        <v>0</v>
      </c>
      <c r="U53" s="27">
        <v>4</v>
      </c>
      <c r="V53" s="25">
        <v>0</v>
      </c>
      <c r="W53" s="18" t="s">
        <v>48</v>
      </c>
      <c r="X53" s="18" t="s">
        <v>49</v>
      </c>
      <c r="Y53" s="18" t="s">
        <v>36</v>
      </c>
      <c r="Z53" s="18" t="s">
        <v>9</v>
      </c>
      <c r="AA53" s="18" t="s">
        <v>50</v>
      </c>
      <c r="AB53" s="18" t="s">
        <v>125</v>
      </c>
      <c r="AC53" s="18" t="s">
        <v>38</v>
      </c>
      <c r="AD53" s="7" t="str">
        <f t="shared" si="0"/>
        <v/>
      </c>
      <c r="AE53" s="29"/>
      <c r="AF53" s="29"/>
      <c r="AG53" s="29"/>
      <c r="AH53" s="29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</row>
    <row r="54" spans="1:49" s="28" customFormat="1" ht="35.1" customHeight="1" x14ac:dyDescent="0.25">
      <c r="A54" s="9" t="s">
        <v>136</v>
      </c>
      <c r="B54" s="10">
        <v>46069</v>
      </c>
      <c r="C54" s="10">
        <v>46069</v>
      </c>
      <c r="D54" s="11" t="s">
        <v>30</v>
      </c>
      <c r="E54" s="12">
        <v>0.875</v>
      </c>
      <c r="F54" s="12">
        <v>0.91666666666666663</v>
      </c>
      <c r="G54" s="12">
        <v>4.1666666666666664E-2</v>
      </c>
      <c r="H54" s="9" t="s">
        <v>137</v>
      </c>
      <c r="I54" s="13"/>
      <c r="J54" s="9" t="s">
        <v>41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46054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28" customFormat="1" ht="35.1" customHeight="1" x14ac:dyDescent="0.25">
      <c r="A55" s="18" t="s">
        <v>121</v>
      </c>
      <c r="B55" s="19">
        <v>46069</v>
      </c>
      <c r="C55" s="19">
        <v>46069</v>
      </c>
      <c r="D55" s="18" t="s">
        <v>30</v>
      </c>
      <c r="E55" s="20">
        <v>0.79166666666666663</v>
      </c>
      <c r="F55" s="20">
        <v>0.99930555555555556</v>
      </c>
      <c r="G55" s="21">
        <v>1.7361111111111109E-4</v>
      </c>
      <c r="H55" s="22" t="s">
        <v>122</v>
      </c>
      <c r="I55" s="23">
        <v>0.90082175925925922</v>
      </c>
      <c r="J55" s="18" t="s">
        <v>123</v>
      </c>
      <c r="K55" s="18" t="s">
        <v>137</v>
      </c>
      <c r="L55" s="24">
        <v>1</v>
      </c>
      <c r="M55" s="24">
        <v>69567</v>
      </c>
      <c r="N55" s="18" t="s">
        <v>46</v>
      </c>
      <c r="O55" s="24" t="s">
        <v>124</v>
      </c>
      <c r="P55" s="25">
        <v>0</v>
      </c>
      <c r="Q55" s="24"/>
      <c r="R55" s="25">
        <v>0</v>
      </c>
      <c r="S55" s="26">
        <v>46054</v>
      </c>
      <c r="T55" s="25">
        <v>0</v>
      </c>
      <c r="U55" s="27">
        <v>4</v>
      </c>
      <c r="V55" s="25">
        <v>0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125</v>
      </c>
      <c r="AC55" s="18" t="s">
        <v>38</v>
      </c>
      <c r="AD55" s="7" t="str">
        <f t="shared" si="0"/>
        <v/>
      </c>
    </row>
    <row r="56" spans="1:49" s="28" customFormat="1" ht="35.1" customHeight="1" x14ac:dyDescent="0.25">
      <c r="A56" s="18" t="s">
        <v>121</v>
      </c>
      <c r="B56" s="19">
        <v>46069</v>
      </c>
      <c r="C56" s="19">
        <v>46069</v>
      </c>
      <c r="D56" s="18" t="s">
        <v>30</v>
      </c>
      <c r="E56" s="20">
        <v>0.79166666666666663</v>
      </c>
      <c r="F56" s="20">
        <v>0.99930555555555556</v>
      </c>
      <c r="G56" s="21">
        <v>1.7361111111111109E-4</v>
      </c>
      <c r="H56" s="22" t="s">
        <v>126</v>
      </c>
      <c r="I56" s="23">
        <v>0.90186342592592594</v>
      </c>
      <c r="J56" s="18" t="s">
        <v>123</v>
      </c>
      <c r="K56" s="18" t="s">
        <v>137</v>
      </c>
      <c r="L56" s="24">
        <v>1</v>
      </c>
      <c r="M56" s="24">
        <v>69567</v>
      </c>
      <c r="N56" s="18" t="s">
        <v>46</v>
      </c>
      <c r="O56" s="24" t="s">
        <v>124</v>
      </c>
      <c r="P56" s="25">
        <v>0</v>
      </c>
      <c r="Q56" s="24"/>
      <c r="R56" s="25">
        <v>0</v>
      </c>
      <c r="S56" s="26">
        <v>46054</v>
      </c>
      <c r="T56" s="25">
        <v>0</v>
      </c>
      <c r="U56" s="27">
        <v>4</v>
      </c>
      <c r="V56" s="25">
        <v>0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50</v>
      </c>
      <c r="AB56" s="18" t="s">
        <v>125</v>
      </c>
      <c r="AC56" s="18" t="s">
        <v>38</v>
      </c>
      <c r="AD56" s="7" t="str">
        <f t="shared" si="0"/>
        <v/>
      </c>
    </row>
    <row r="57" spans="1:49" s="28" customFormat="1" ht="35.1" customHeight="1" x14ac:dyDescent="0.25">
      <c r="A57" s="9" t="s">
        <v>136</v>
      </c>
      <c r="B57" s="10">
        <v>46069</v>
      </c>
      <c r="C57" s="10">
        <v>46069</v>
      </c>
      <c r="D57" s="11" t="s">
        <v>30</v>
      </c>
      <c r="E57" s="12">
        <v>0.91666666666666663</v>
      </c>
      <c r="F57" s="12">
        <v>0.97916666666666663</v>
      </c>
      <c r="G57" s="12">
        <v>6.25E-2</v>
      </c>
      <c r="H57" s="9" t="s">
        <v>138</v>
      </c>
      <c r="I57" s="13"/>
      <c r="J57" s="9" t="s">
        <v>41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28" customFormat="1" ht="35.1" customHeight="1" x14ac:dyDescent="0.25">
      <c r="A58" s="18" t="s">
        <v>121</v>
      </c>
      <c r="B58" s="19">
        <v>46069</v>
      </c>
      <c r="C58" s="19">
        <v>46069</v>
      </c>
      <c r="D58" s="18" t="s">
        <v>30</v>
      </c>
      <c r="E58" s="20">
        <v>0.79166666666666663</v>
      </c>
      <c r="F58" s="20">
        <v>0.99930555555555556</v>
      </c>
      <c r="G58" s="21">
        <v>1.7361111111111109E-4</v>
      </c>
      <c r="H58" s="22" t="s">
        <v>122</v>
      </c>
      <c r="I58" s="23">
        <v>0.95351851851851854</v>
      </c>
      <c r="J58" s="18" t="s">
        <v>123</v>
      </c>
      <c r="K58" s="18" t="s">
        <v>144</v>
      </c>
      <c r="L58" s="24">
        <v>1</v>
      </c>
      <c r="M58" s="24">
        <v>69567</v>
      </c>
      <c r="N58" s="18" t="s">
        <v>46</v>
      </c>
      <c r="O58" s="24" t="s">
        <v>124</v>
      </c>
      <c r="P58" s="25">
        <v>0</v>
      </c>
      <c r="Q58" s="24"/>
      <c r="R58" s="25">
        <v>0</v>
      </c>
      <c r="S58" s="26">
        <v>46054</v>
      </c>
      <c r="T58" s="25">
        <v>0</v>
      </c>
      <c r="U58" s="27">
        <v>4</v>
      </c>
      <c r="V58" s="25">
        <v>0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125</v>
      </c>
      <c r="AC58" s="18" t="s">
        <v>38</v>
      </c>
      <c r="AD58" s="7" t="str">
        <f t="shared" si="0"/>
        <v/>
      </c>
      <c r="AE58" s="32"/>
      <c r="AF58" s="32"/>
      <c r="AG58" s="32"/>
      <c r="AH58" s="32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</row>
    <row r="59" spans="1:49" s="28" customFormat="1" ht="35.1" customHeight="1" x14ac:dyDescent="0.25">
      <c r="A59" s="18" t="s">
        <v>121</v>
      </c>
      <c r="B59" s="19">
        <v>46069</v>
      </c>
      <c r="C59" s="19">
        <v>46069</v>
      </c>
      <c r="D59" s="18" t="s">
        <v>30</v>
      </c>
      <c r="E59" s="20">
        <v>0.79166666666666663</v>
      </c>
      <c r="F59" s="20">
        <v>0.99930555555555556</v>
      </c>
      <c r="G59" s="21">
        <v>1.7361111111111109E-4</v>
      </c>
      <c r="H59" s="22" t="s">
        <v>126</v>
      </c>
      <c r="I59" s="23">
        <v>0.95456018518518515</v>
      </c>
      <c r="J59" s="18" t="s">
        <v>123</v>
      </c>
      <c r="K59" s="18" t="s">
        <v>144</v>
      </c>
      <c r="L59" s="24">
        <v>1</v>
      </c>
      <c r="M59" s="24">
        <v>69567</v>
      </c>
      <c r="N59" s="18" t="s">
        <v>46</v>
      </c>
      <c r="O59" s="24" t="s">
        <v>124</v>
      </c>
      <c r="P59" s="25">
        <v>0</v>
      </c>
      <c r="Q59" s="24"/>
      <c r="R59" s="25">
        <v>0</v>
      </c>
      <c r="S59" s="26">
        <v>46054</v>
      </c>
      <c r="T59" s="25">
        <v>0</v>
      </c>
      <c r="U59" s="27">
        <v>4</v>
      </c>
      <c r="V59" s="25">
        <v>0</v>
      </c>
      <c r="W59" s="18" t="s">
        <v>48</v>
      </c>
      <c r="X59" s="18" t="s">
        <v>49</v>
      </c>
      <c r="Y59" s="18" t="s">
        <v>36</v>
      </c>
      <c r="Z59" s="18" t="s">
        <v>9</v>
      </c>
      <c r="AA59" s="18" t="s">
        <v>50</v>
      </c>
      <c r="AB59" s="18" t="s">
        <v>125</v>
      </c>
      <c r="AC59" s="18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28" customFormat="1" ht="35.1" customHeight="1" x14ac:dyDescent="0.25">
      <c r="A60" s="9" t="s">
        <v>39</v>
      </c>
      <c r="B60" s="10">
        <v>46069</v>
      </c>
      <c r="C60" s="10">
        <v>46069</v>
      </c>
      <c r="D60" s="11" t="s">
        <v>30</v>
      </c>
      <c r="E60" s="12">
        <v>0.97916666666666663</v>
      </c>
      <c r="F60" s="12">
        <v>1</v>
      </c>
      <c r="G60" s="12">
        <v>2.0833333333333332E-2</v>
      </c>
      <c r="H60" s="9" t="s">
        <v>139</v>
      </c>
      <c r="I60" s="13"/>
      <c r="J60" s="9" t="s">
        <v>120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28" customFormat="1" ht="35.1" customHeight="1" x14ac:dyDescent="0.25">
      <c r="A61" s="18" t="s">
        <v>121</v>
      </c>
      <c r="B61" s="19">
        <v>46069</v>
      </c>
      <c r="C61" s="19">
        <v>46069</v>
      </c>
      <c r="D61" s="18" t="s">
        <v>30</v>
      </c>
      <c r="E61" s="20">
        <v>0.79166666666666663</v>
      </c>
      <c r="F61" s="20">
        <v>0.99930555555555556</v>
      </c>
      <c r="G61" s="21">
        <v>1.7361111111111109E-4</v>
      </c>
      <c r="H61" s="22" t="s">
        <v>127</v>
      </c>
      <c r="I61" s="23">
        <v>0.98384259259259255</v>
      </c>
      <c r="J61" s="18" t="s">
        <v>123</v>
      </c>
      <c r="K61" s="18" t="s">
        <v>139</v>
      </c>
      <c r="L61" s="24">
        <v>1</v>
      </c>
      <c r="M61" s="24">
        <v>69566</v>
      </c>
      <c r="N61" s="18" t="s">
        <v>54</v>
      </c>
      <c r="O61" s="24" t="s">
        <v>124</v>
      </c>
      <c r="P61" s="25">
        <v>0</v>
      </c>
      <c r="Q61" s="24"/>
      <c r="R61" s="25">
        <v>16.531831119544499</v>
      </c>
      <c r="S61" s="26">
        <v>46054</v>
      </c>
      <c r="T61" s="25">
        <v>0</v>
      </c>
      <c r="U61" s="27">
        <v>4</v>
      </c>
      <c r="V61" s="25">
        <v>0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125</v>
      </c>
      <c r="AC61" s="18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28" customFormat="1" ht="35.1" customHeight="1" x14ac:dyDescent="0.25">
      <c r="A62" s="18" t="s">
        <v>121</v>
      </c>
      <c r="B62" s="19">
        <v>46069</v>
      </c>
      <c r="C62" s="19">
        <v>46069</v>
      </c>
      <c r="D62" s="18" t="s">
        <v>30</v>
      </c>
      <c r="E62" s="20">
        <v>0.79166666666666663</v>
      </c>
      <c r="F62" s="20">
        <v>0.99930555555555556</v>
      </c>
      <c r="G62" s="21">
        <v>1.7361111111111109E-4</v>
      </c>
      <c r="H62" s="22" t="s">
        <v>128</v>
      </c>
      <c r="I62" s="23">
        <v>0.98557870370370371</v>
      </c>
      <c r="J62" s="18" t="s">
        <v>123</v>
      </c>
      <c r="K62" s="18" t="s">
        <v>139</v>
      </c>
      <c r="L62" s="24">
        <v>1</v>
      </c>
      <c r="M62" s="24">
        <v>69566</v>
      </c>
      <c r="N62" s="18" t="s">
        <v>54</v>
      </c>
      <c r="O62" s="24" t="s">
        <v>124</v>
      </c>
      <c r="P62" s="25">
        <v>0</v>
      </c>
      <c r="Q62" s="24"/>
      <c r="R62" s="25">
        <v>16.531831119544499</v>
      </c>
      <c r="S62" s="26">
        <v>46054</v>
      </c>
      <c r="T62" s="25">
        <v>0</v>
      </c>
      <c r="U62" s="27">
        <v>4</v>
      </c>
      <c r="V62" s="25">
        <v>0</v>
      </c>
      <c r="W62" s="18" t="s">
        <v>48</v>
      </c>
      <c r="X62" s="18" t="s">
        <v>49</v>
      </c>
      <c r="Y62" s="18" t="s">
        <v>36</v>
      </c>
      <c r="Z62" s="18" t="s">
        <v>9</v>
      </c>
      <c r="AA62" s="18" t="s">
        <v>50</v>
      </c>
      <c r="AB62" s="18" t="s">
        <v>125</v>
      </c>
      <c r="AC62" s="18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62" xr:uid="{39D1C33C-79D7-4DD9-8E6E-C7296F206FC1}"/>
  <sortState xmlns:xlrd2="http://schemas.microsoft.com/office/spreadsheetml/2017/richdata2" ref="A2:AD326">
    <sortCondition sortBy="cellColor" ref="E1:E500" dxfId="38"/>
  </sortState>
  <conditionalFormatting sqref="AD1:AD62">
    <cfRule type="cellIs" dxfId="37" priority="3" operator="equal">
      <formula>"NO"</formula>
    </cfRule>
  </conditionalFormatting>
  <conditionalFormatting sqref="E2:F62">
    <cfRule type="timePeriod" dxfId="36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46070</v>
      </c>
      <c r="C2" s="10">
        <v>46070</v>
      </c>
      <c r="D2" s="11" t="s">
        <v>145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5">
      <c r="A3" s="9" t="s">
        <v>39</v>
      </c>
      <c r="B3" s="10">
        <v>46070</v>
      </c>
      <c r="C3" s="10">
        <v>46070</v>
      </c>
      <c r="D3" s="11" t="s">
        <v>145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5">
      <c r="A4" s="18" t="s">
        <v>44</v>
      </c>
      <c r="B4" s="19">
        <v>46070</v>
      </c>
      <c r="C4" s="19">
        <v>46070</v>
      </c>
      <c r="D4" s="18" t="s">
        <v>145</v>
      </c>
      <c r="E4" s="20">
        <v>0.25</v>
      </c>
      <c r="F4" s="20">
        <v>0.875</v>
      </c>
      <c r="G4" s="21">
        <v>1.7361111111111109E-4</v>
      </c>
      <c r="H4" s="22" t="s">
        <v>52</v>
      </c>
      <c r="I4" s="23">
        <v>0.25989583333333333</v>
      </c>
      <c r="J4" s="18" t="s">
        <v>41</v>
      </c>
      <c r="K4" s="18" t="s">
        <v>40</v>
      </c>
      <c r="L4" s="24">
        <v>1</v>
      </c>
      <c r="M4" s="24">
        <v>71013</v>
      </c>
      <c r="N4" s="18" t="s">
        <v>54</v>
      </c>
      <c r="O4" s="24" t="s">
        <v>47</v>
      </c>
      <c r="P4" s="25">
        <v>15</v>
      </c>
      <c r="Q4" s="24"/>
      <c r="R4" s="25">
        <v>15</v>
      </c>
      <c r="S4" s="26">
        <v>46054</v>
      </c>
      <c r="T4" s="25">
        <v>2.25</v>
      </c>
      <c r="U4" s="27">
        <v>4</v>
      </c>
      <c r="V4" s="25">
        <v>12.75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18" t="s">
        <v>44</v>
      </c>
      <c r="B5" s="19">
        <v>46070</v>
      </c>
      <c r="C5" s="19">
        <v>46070</v>
      </c>
      <c r="D5" s="18" t="s">
        <v>145</v>
      </c>
      <c r="E5" s="20">
        <v>0.25</v>
      </c>
      <c r="F5" s="20">
        <v>0.875</v>
      </c>
      <c r="G5" s="21">
        <v>1.7361111111111109E-4</v>
      </c>
      <c r="H5" s="22" t="s">
        <v>146</v>
      </c>
      <c r="I5" s="23">
        <v>0.26128472222222221</v>
      </c>
      <c r="J5" s="18" t="s">
        <v>41</v>
      </c>
      <c r="K5" s="18" t="s">
        <v>40</v>
      </c>
      <c r="L5" s="24">
        <v>1</v>
      </c>
      <c r="M5" s="24">
        <v>71013</v>
      </c>
      <c r="N5" s="18" t="s">
        <v>54</v>
      </c>
      <c r="O5" s="24" t="s">
        <v>47</v>
      </c>
      <c r="P5" s="25">
        <v>15</v>
      </c>
      <c r="Q5" s="24"/>
      <c r="R5" s="25">
        <v>15</v>
      </c>
      <c r="S5" s="26">
        <v>46054</v>
      </c>
      <c r="T5" s="25">
        <v>2.25</v>
      </c>
      <c r="U5" s="27">
        <v>4</v>
      </c>
      <c r="V5" s="25">
        <v>12.75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5">
      <c r="A6" s="18" t="s">
        <v>44</v>
      </c>
      <c r="B6" s="19">
        <v>46070</v>
      </c>
      <c r="C6" s="19">
        <v>46070</v>
      </c>
      <c r="D6" s="18" t="s">
        <v>145</v>
      </c>
      <c r="E6" s="20">
        <v>0.25</v>
      </c>
      <c r="F6" s="20">
        <v>0.99930555555555556</v>
      </c>
      <c r="G6" s="21">
        <v>1.7361111111111109E-4</v>
      </c>
      <c r="H6" s="22" t="s">
        <v>52</v>
      </c>
      <c r="I6" s="23">
        <v>0.28086805555555555</v>
      </c>
      <c r="J6" s="18" t="s">
        <v>41</v>
      </c>
      <c r="K6" s="18" t="s">
        <v>40</v>
      </c>
      <c r="L6" s="24">
        <v>1</v>
      </c>
      <c r="M6" s="24">
        <v>71016</v>
      </c>
      <c r="N6" s="18" t="s">
        <v>46</v>
      </c>
      <c r="O6" s="24" t="s">
        <v>47</v>
      </c>
      <c r="P6" s="25">
        <v>0</v>
      </c>
      <c r="Q6" s="24"/>
      <c r="R6" s="25">
        <v>0</v>
      </c>
      <c r="S6" s="26">
        <v>46054</v>
      </c>
      <c r="T6" s="25">
        <v>0</v>
      </c>
      <c r="U6" s="27">
        <v>4</v>
      </c>
      <c r="V6" s="25">
        <v>0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51</v>
      </c>
      <c r="AC6" s="18" t="s">
        <v>38</v>
      </c>
      <c r="AD6" s="7" t="str">
        <f t="shared" si="0"/>
        <v/>
      </c>
    </row>
    <row r="7" spans="1:49" s="28" customFormat="1" ht="35.1" customHeight="1" x14ac:dyDescent="0.25">
      <c r="A7" s="18" t="s">
        <v>44</v>
      </c>
      <c r="B7" s="19">
        <v>46070</v>
      </c>
      <c r="C7" s="19">
        <v>46070</v>
      </c>
      <c r="D7" s="18" t="s">
        <v>145</v>
      </c>
      <c r="E7" s="20">
        <v>0.25</v>
      </c>
      <c r="F7" s="20">
        <v>0.99930555555555556</v>
      </c>
      <c r="G7" s="21">
        <v>1.7361111111111109E-4</v>
      </c>
      <c r="H7" s="22" t="s">
        <v>146</v>
      </c>
      <c r="I7" s="23">
        <v>0.28208333333333335</v>
      </c>
      <c r="J7" s="18" t="s">
        <v>41</v>
      </c>
      <c r="K7" s="18" t="s">
        <v>40</v>
      </c>
      <c r="L7" s="24">
        <v>1</v>
      </c>
      <c r="M7" s="24">
        <v>71016</v>
      </c>
      <c r="N7" s="18" t="s">
        <v>46</v>
      </c>
      <c r="O7" s="24" t="s">
        <v>47</v>
      </c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51</v>
      </c>
      <c r="AC7" s="18" t="s">
        <v>38</v>
      </c>
      <c r="AD7" s="7" t="str">
        <f t="shared" si="0"/>
        <v/>
      </c>
    </row>
    <row r="8" spans="1:49" s="28" customFormat="1" ht="35.1" customHeight="1" x14ac:dyDescent="0.25">
      <c r="A8" s="9" t="s">
        <v>64</v>
      </c>
      <c r="B8" s="10">
        <v>46070</v>
      </c>
      <c r="C8" s="10">
        <v>46070</v>
      </c>
      <c r="D8" s="11" t="s">
        <v>145</v>
      </c>
      <c r="E8" s="12">
        <v>0.29166666666666669</v>
      </c>
      <c r="F8" s="12">
        <v>0.3125</v>
      </c>
      <c r="G8" s="12">
        <v>2.0833333333333332E-2</v>
      </c>
      <c r="H8" s="9" t="s">
        <v>147</v>
      </c>
      <c r="I8" s="13" t="s">
        <v>66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</row>
    <row r="9" spans="1:49" s="28" customFormat="1" ht="35.1" customHeight="1" x14ac:dyDescent="0.25">
      <c r="A9" s="9" t="s">
        <v>64</v>
      </c>
      <c r="B9" s="10">
        <v>46070</v>
      </c>
      <c r="C9" s="10">
        <v>46070</v>
      </c>
      <c r="D9" s="11" t="s">
        <v>145</v>
      </c>
      <c r="E9" s="12">
        <v>0.3125</v>
      </c>
      <c r="F9" s="12">
        <v>0.33333333333333331</v>
      </c>
      <c r="G9" s="12">
        <v>2.0833333333333332E-2</v>
      </c>
      <c r="H9" s="9" t="s">
        <v>147</v>
      </c>
      <c r="I9" s="13" t="s">
        <v>66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</row>
    <row r="10" spans="1:49" s="28" customFormat="1" ht="35.1" customHeight="1" x14ac:dyDescent="0.25">
      <c r="A10" s="9" t="s">
        <v>67</v>
      </c>
      <c r="B10" s="10">
        <v>46070</v>
      </c>
      <c r="C10" s="10">
        <v>46070</v>
      </c>
      <c r="D10" s="11" t="s">
        <v>145</v>
      </c>
      <c r="E10" s="12">
        <v>0.33333333333333331</v>
      </c>
      <c r="F10" s="12">
        <v>0.375</v>
      </c>
      <c r="G10" s="12">
        <v>4.1666666666666664E-2</v>
      </c>
      <c r="H10" s="9" t="s">
        <v>68</v>
      </c>
      <c r="I10" s="13"/>
      <c r="J10" s="9" t="s">
        <v>69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49" s="28" customFormat="1" ht="35.1" customHeight="1" x14ac:dyDescent="0.25">
      <c r="A11" s="18" t="s">
        <v>44</v>
      </c>
      <c r="B11" s="19">
        <v>46070</v>
      </c>
      <c r="C11" s="19">
        <v>46070</v>
      </c>
      <c r="D11" s="18" t="s">
        <v>145</v>
      </c>
      <c r="E11" s="20">
        <v>0.33333333333333331</v>
      </c>
      <c r="F11" s="20">
        <v>0.41666666666666669</v>
      </c>
      <c r="G11" s="20">
        <v>1.157407407407407E-4</v>
      </c>
      <c r="H11" s="18" t="s">
        <v>73</v>
      </c>
      <c r="I11" s="23">
        <v>0.33846064814814819</v>
      </c>
      <c r="J11" s="18" t="s">
        <v>69</v>
      </c>
      <c r="K11" s="18" t="s">
        <v>68</v>
      </c>
      <c r="L11" s="24">
        <v>1</v>
      </c>
      <c r="M11" s="24">
        <v>71105</v>
      </c>
      <c r="N11" s="18" t="s">
        <v>46</v>
      </c>
      <c r="O11" s="24" t="s">
        <v>47</v>
      </c>
      <c r="P11" s="25">
        <v>0</v>
      </c>
      <c r="Q11" s="24"/>
      <c r="R11" s="25">
        <v>0</v>
      </c>
      <c r="S11" s="26">
        <v>46054</v>
      </c>
      <c r="T11" s="25">
        <v>0</v>
      </c>
      <c r="U11" s="27">
        <v>4</v>
      </c>
      <c r="V11" s="25">
        <v>0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51</v>
      </c>
      <c r="AC11" s="18" t="s">
        <v>38</v>
      </c>
      <c r="AD11" s="7" t="str">
        <f t="shared" si="0"/>
        <v/>
      </c>
      <c r="AE11" s="29"/>
      <c r="AF11" s="29"/>
      <c r="AG11" s="29"/>
      <c r="AH11" s="29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</row>
    <row r="12" spans="1:49" s="28" customFormat="1" ht="35.1" customHeight="1" x14ac:dyDescent="0.25">
      <c r="A12" s="18" t="s">
        <v>70</v>
      </c>
      <c r="B12" s="19">
        <v>46070</v>
      </c>
      <c r="C12" s="19">
        <v>46070</v>
      </c>
      <c r="D12" s="18" t="s">
        <v>145</v>
      </c>
      <c r="E12" s="20">
        <v>0.33333333333333331</v>
      </c>
      <c r="F12" s="20">
        <v>0.41666666666666669</v>
      </c>
      <c r="G12" s="20">
        <v>3.4722222222222218E-4</v>
      </c>
      <c r="H12" s="18" t="s">
        <v>71</v>
      </c>
      <c r="I12" s="23">
        <v>0.3385185185185185</v>
      </c>
      <c r="J12" s="18" t="s">
        <v>69</v>
      </c>
      <c r="K12" s="18" t="s">
        <v>68</v>
      </c>
      <c r="L12" s="24">
        <v>1</v>
      </c>
      <c r="M12" s="24">
        <v>70994</v>
      </c>
      <c r="N12" s="18" t="s">
        <v>54</v>
      </c>
      <c r="O12" s="24" t="str">
        <f>AC12</f>
        <v>CVC</v>
      </c>
      <c r="P12" s="25">
        <v>58.82</v>
      </c>
      <c r="Q12" s="24"/>
      <c r="R12" s="25">
        <v>58.82</v>
      </c>
      <c r="S12" s="26">
        <v>46054</v>
      </c>
      <c r="T12" s="25">
        <v>4.4115000000000002</v>
      </c>
      <c r="U12" s="27">
        <v>4</v>
      </c>
      <c r="V12" s="25">
        <v>54.408500000000004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72</v>
      </c>
      <c r="AC12" s="18" t="s">
        <v>38</v>
      </c>
      <c r="AD12" s="7" t="str">
        <f t="shared" si="0"/>
        <v/>
      </c>
    </row>
    <row r="13" spans="1:49" s="28" customFormat="1" ht="35.1" customHeight="1" x14ac:dyDescent="0.25">
      <c r="A13" s="18" t="s">
        <v>70</v>
      </c>
      <c r="B13" s="19">
        <v>46070</v>
      </c>
      <c r="C13" s="19">
        <v>46070</v>
      </c>
      <c r="D13" s="18" t="s">
        <v>145</v>
      </c>
      <c r="E13" s="20">
        <v>0.33333333333333331</v>
      </c>
      <c r="F13" s="20">
        <v>0.41666666666666669</v>
      </c>
      <c r="G13" s="20">
        <v>3.4722222222222218E-4</v>
      </c>
      <c r="H13" s="18" t="s">
        <v>71</v>
      </c>
      <c r="I13" s="23">
        <v>0.36504629629629631</v>
      </c>
      <c r="J13" s="18" t="s">
        <v>69</v>
      </c>
      <c r="K13" s="18" t="s">
        <v>68</v>
      </c>
      <c r="L13" s="24">
        <v>1</v>
      </c>
      <c r="M13" s="24">
        <v>70996</v>
      </c>
      <c r="N13" s="18" t="s">
        <v>46</v>
      </c>
      <c r="O13" s="24" t="str">
        <f>AC13</f>
        <v>CVC</v>
      </c>
      <c r="P13" s="25">
        <v>0</v>
      </c>
      <c r="Q13" s="24"/>
      <c r="R13" s="25">
        <v>0</v>
      </c>
      <c r="S13" s="26">
        <v>46054</v>
      </c>
      <c r="T13" s="25">
        <v>0</v>
      </c>
      <c r="U13" s="27">
        <v>4</v>
      </c>
      <c r="V13" s="25">
        <v>0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50</v>
      </c>
      <c r="AB13" s="18" t="s">
        <v>72</v>
      </c>
      <c r="AC13" s="18" t="s">
        <v>38</v>
      </c>
      <c r="AD13" s="7" t="str">
        <f t="shared" si="0"/>
        <v/>
      </c>
    </row>
    <row r="14" spans="1:49" s="28" customFormat="1" ht="35.1" customHeight="1" x14ac:dyDescent="0.25">
      <c r="A14" s="9" t="s">
        <v>67</v>
      </c>
      <c r="B14" s="10">
        <v>46070</v>
      </c>
      <c r="C14" s="10">
        <v>46070</v>
      </c>
      <c r="D14" s="11" t="s">
        <v>145</v>
      </c>
      <c r="E14" s="12">
        <v>0.375</v>
      </c>
      <c r="F14" s="12">
        <v>0.41666666666666669</v>
      </c>
      <c r="G14" s="12">
        <v>4.1666666666666664E-2</v>
      </c>
      <c r="H14" s="9" t="s">
        <v>75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</row>
    <row r="15" spans="1:49" s="28" customFormat="1" ht="35.1" customHeight="1" x14ac:dyDescent="0.25">
      <c r="A15" s="9" t="s">
        <v>76</v>
      </c>
      <c r="B15" s="10">
        <v>46070</v>
      </c>
      <c r="C15" s="10">
        <v>46070</v>
      </c>
      <c r="D15" s="11" t="s">
        <v>145</v>
      </c>
      <c r="E15" s="12">
        <v>0.41666666666666669</v>
      </c>
      <c r="F15" s="12">
        <v>0.45833333333333331</v>
      </c>
      <c r="G15" s="12">
        <v>4.1666666666666664E-2</v>
      </c>
      <c r="H15" s="9" t="s">
        <v>77</v>
      </c>
      <c r="I15" s="13"/>
      <c r="J15" s="9" t="s">
        <v>78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</row>
    <row r="16" spans="1:49" s="28" customFormat="1" ht="35.1" customHeight="1" x14ac:dyDescent="0.25">
      <c r="A16" s="18" t="s">
        <v>76</v>
      </c>
      <c r="B16" s="19">
        <v>46070</v>
      </c>
      <c r="C16" s="19">
        <v>46070</v>
      </c>
      <c r="D16" s="18" t="s">
        <v>145</v>
      </c>
      <c r="E16" s="20">
        <v>0.41666666666666669</v>
      </c>
      <c r="F16" s="20">
        <v>0.45833333333333331</v>
      </c>
      <c r="G16" s="20">
        <v>3.4722222222222224E-4</v>
      </c>
      <c r="H16" s="18" t="s">
        <v>148</v>
      </c>
      <c r="I16" s="23">
        <v>0.42370370370370369</v>
      </c>
      <c r="J16" s="18" t="s">
        <v>78</v>
      </c>
      <c r="K16" s="18" t="s">
        <v>176</v>
      </c>
      <c r="L16" s="24">
        <v>1</v>
      </c>
      <c r="M16" s="24">
        <v>4</v>
      </c>
      <c r="N16" s="18" t="s">
        <v>54</v>
      </c>
      <c r="O16" s="24"/>
      <c r="P16" s="25">
        <v>0</v>
      </c>
      <c r="Q16" s="24"/>
      <c r="R16" s="25">
        <v>0</v>
      </c>
      <c r="S16" s="26">
        <v>46054</v>
      </c>
      <c r="T16" s="25">
        <v>0</v>
      </c>
      <c r="U16" s="27">
        <v>4</v>
      </c>
      <c r="V16" s="25">
        <v>0</v>
      </c>
      <c r="W16" s="18" t="s">
        <v>34</v>
      </c>
      <c r="X16" s="18" t="s">
        <v>35</v>
      </c>
      <c r="Y16" s="18" t="s">
        <v>36</v>
      </c>
      <c r="Z16" s="18" t="s">
        <v>149</v>
      </c>
      <c r="AA16" s="18" t="s">
        <v>50</v>
      </c>
      <c r="AB16" s="18">
        <v>1109</v>
      </c>
      <c r="AC16" s="18" t="s">
        <v>38</v>
      </c>
      <c r="AD16" s="7" t="str">
        <f>IF(N16="PRG","",IF(I16&gt;=E16,IF(I16&lt;=F16,"","NO"),"NO"))</f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9" t="s">
        <v>79</v>
      </c>
      <c r="B17" s="10">
        <v>46070</v>
      </c>
      <c r="C17" s="10">
        <v>46070</v>
      </c>
      <c r="D17" s="11" t="s">
        <v>145</v>
      </c>
      <c r="E17" s="12">
        <v>0.45833333333333331</v>
      </c>
      <c r="F17" s="12">
        <v>0.47916666666666669</v>
      </c>
      <c r="G17" s="12">
        <v>2.0833333333333332E-2</v>
      </c>
      <c r="H17" s="9" t="s">
        <v>150</v>
      </c>
      <c r="I17" s="13"/>
      <c r="J17" s="9" t="s">
        <v>84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</row>
    <row r="18" spans="1:49" s="28" customFormat="1" ht="35.1" customHeight="1" x14ac:dyDescent="0.25">
      <c r="A18" s="18" t="s">
        <v>111</v>
      </c>
      <c r="B18" s="19">
        <v>46070</v>
      </c>
      <c r="C18" s="19">
        <v>46070</v>
      </c>
      <c r="D18" s="18" t="s">
        <v>145</v>
      </c>
      <c r="E18" s="20">
        <v>0.45833333333333331</v>
      </c>
      <c r="F18" s="20">
        <v>0.54166666666666663</v>
      </c>
      <c r="G18" s="21">
        <v>1.7361111111111112E-4</v>
      </c>
      <c r="H18" s="22" t="s">
        <v>152</v>
      </c>
      <c r="I18" s="23">
        <v>0.46815972222222224</v>
      </c>
      <c r="J18" s="18" t="s">
        <v>84</v>
      </c>
      <c r="K18" s="18" t="s">
        <v>150</v>
      </c>
      <c r="L18" s="24">
        <v>1</v>
      </c>
      <c r="M18" s="24">
        <v>69836</v>
      </c>
      <c r="N18" s="18" t="s">
        <v>54</v>
      </c>
      <c r="O18" s="24"/>
      <c r="P18" s="25">
        <v>21.75</v>
      </c>
      <c r="Q18" s="24"/>
      <c r="R18" s="25">
        <v>21.75</v>
      </c>
      <c r="S18" s="26">
        <v>46070</v>
      </c>
      <c r="T18" s="25">
        <v>0</v>
      </c>
      <c r="U18" s="27">
        <v>4</v>
      </c>
      <c r="V18" s="25">
        <v>21.75</v>
      </c>
      <c r="W18" s="18" t="s">
        <v>34</v>
      </c>
      <c r="X18" s="18" t="s">
        <v>49</v>
      </c>
      <c r="Y18" s="18" t="s">
        <v>86</v>
      </c>
      <c r="Z18" s="18" t="s">
        <v>43</v>
      </c>
      <c r="AA18" s="18" t="s">
        <v>50</v>
      </c>
      <c r="AB18" s="18" t="s">
        <v>113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5">
      <c r="A19" s="18" t="s">
        <v>111</v>
      </c>
      <c r="B19" s="19">
        <v>46070</v>
      </c>
      <c r="C19" s="19">
        <v>46070</v>
      </c>
      <c r="D19" s="18" t="s">
        <v>145</v>
      </c>
      <c r="E19" s="20">
        <v>0.45833333333333331</v>
      </c>
      <c r="F19" s="20">
        <v>0.54166666666666663</v>
      </c>
      <c r="G19" s="21">
        <v>1.7361111111111112E-4</v>
      </c>
      <c r="H19" s="22" t="s">
        <v>153</v>
      </c>
      <c r="I19" s="23">
        <v>0.46937499999999999</v>
      </c>
      <c r="J19" s="18" t="s">
        <v>84</v>
      </c>
      <c r="K19" s="18" t="s">
        <v>150</v>
      </c>
      <c r="L19" s="24">
        <v>1</v>
      </c>
      <c r="M19" s="24">
        <v>69836</v>
      </c>
      <c r="N19" s="18" t="s">
        <v>54</v>
      </c>
      <c r="O19" s="24"/>
      <c r="P19" s="25">
        <v>0</v>
      </c>
      <c r="Q19" s="24"/>
      <c r="R19" s="25">
        <v>0</v>
      </c>
      <c r="S19" s="26">
        <v>46070</v>
      </c>
      <c r="T19" s="25">
        <v>0</v>
      </c>
      <c r="U19" s="27">
        <v>4</v>
      </c>
      <c r="V19" s="25">
        <v>0</v>
      </c>
      <c r="W19" s="18" t="s">
        <v>34</v>
      </c>
      <c r="X19" s="18" t="s">
        <v>49</v>
      </c>
      <c r="Y19" s="18" t="s">
        <v>86</v>
      </c>
      <c r="Z19" s="18" t="s">
        <v>43</v>
      </c>
      <c r="AA19" s="18" t="s">
        <v>50</v>
      </c>
      <c r="AB19" s="18" t="s">
        <v>113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18" t="s">
        <v>154</v>
      </c>
      <c r="B20" s="19">
        <v>46070</v>
      </c>
      <c r="C20" s="19">
        <v>46070</v>
      </c>
      <c r="D20" s="18" t="s">
        <v>145</v>
      </c>
      <c r="E20" s="20">
        <v>0.45833333333333331</v>
      </c>
      <c r="F20" s="20">
        <v>0.54166666666666663</v>
      </c>
      <c r="G20" s="20">
        <v>3.4722222222222218E-4</v>
      </c>
      <c r="H20" s="18" t="s">
        <v>155</v>
      </c>
      <c r="I20" s="23">
        <v>0.46833333333333332</v>
      </c>
      <c r="J20" s="18" t="s">
        <v>84</v>
      </c>
      <c r="K20" s="18" t="s">
        <v>150</v>
      </c>
      <c r="L20" s="24">
        <v>1</v>
      </c>
      <c r="M20" s="24">
        <v>71251</v>
      </c>
      <c r="N20" s="18" t="s">
        <v>54</v>
      </c>
      <c r="O20" s="24" t="s">
        <v>156</v>
      </c>
      <c r="P20" s="25">
        <v>40</v>
      </c>
      <c r="Q20" s="24"/>
      <c r="R20" s="25">
        <v>40</v>
      </c>
      <c r="S20" s="26">
        <v>46070</v>
      </c>
      <c r="T20" s="25">
        <v>0</v>
      </c>
      <c r="U20" s="27">
        <v>4</v>
      </c>
      <c r="V20" s="25">
        <v>40</v>
      </c>
      <c r="W20" s="18" t="s">
        <v>48</v>
      </c>
      <c r="X20" s="18" t="s">
        <v>49</v>
      </c>
      <c r="Y20" s="18" t="s">
        <v>86</v>
      </c>
      <c r="Z20" s="18" t="s">
        <v>9</v>
      </c>
      <c r="AA20" s="18" t="s">
        <v>50</v>
      </c>
      <c r="AB20" s="18" t="s">
        <v>157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18" t="s">
        <v>88</v>
      </c>
      <c r="B21" s="19">
        <v>46070</v>
      </c>
      <c r="C21" s="19">
        <v>46070</v>
      </c>
      <c r="D21" s="18" t="s">
        <v>145</v>
      </c>
      <c r="E21" s="20">
        <v>0.45833333333333331</v>
      </c>
      <c r="F21" s="20">
        <v>0.5</v>
      </c>
      <c r="G21" s="20">
        <v>3.4722222222222218E-4</v>
      </c>
      <c r="H21" s="18" t="s">
        <v>89</v>
      </c>
      <c r="I21" s="23">
        <v>0.47749999999999998</v>
      </c>
      <c r="J21" s="18" t="s">
        <v>84</v>
      </c>
      <c r="K21" s="18" t="s">
        <v>150</v>
      </c>
      <c r="L21" s="24">
        <v>1</v>
      </c>
      <c r="M21" s="24">
        <v>71436</v>
      </c>
      <c r="N21" s="18" t="s">
        <v>54</v>
      </c>
      <c r="O21" s="24" t="s">
        <v>90</v>
      </c>
      <c r="P21" s="25">
        <v>41.17647058823529</v>
      </c>
      <c r="Q21" s="24"/>
      <c r="R21" s="25">
        <v>41.17647058823529</v>
      </c>
      <c r="S21" s="26">
        <v>46070</v>
      </c>
      <c r="T21" s="25">
        <v>6.1764705882352935</v>
      </c>
      <c r="U21" s="27">
        <v>4</v>
      </c>
      <c r="V21" s="25">
        <v>35</v>
      </c>
      <c r="W21" s="18" t="s">
        <v>48</v>
      </c>
      <c r="X21" s="18" t="s">
        <v>49</v>
      </c>
      <c r="Y21" s="18" t="s">
        <v>86</v>
      </c>
      <c r="Z21" s="18" t="s">
        <v>9</v>
      </c>
      <c r="AA21" s="18" t="s">
        <v>50</v>
      </c>
      <c r="AB21" s="18" t="s">
        <v>91</v>
      </c>
      <c r="AC21" s="18" t="s">
        <v>38</v>
      </c>
      <c r="AD21" s="7" t="str">
        <f t="shared" si="0"/>
        <v/>
      </c>
    </row>
    <row r="22" spans="1:49" s="28" customFormat="1" ht="35.1" customHeight="1" x14ac:dyDescent="0.25">
      <c r="A22" s="9" t="s">
        <v>79</v>
      </c>
      <c r="B22" s="10">
        <v>46070</v>
      </c>
      <c r="C22" s="10">
        <v>46070</v>
      </c>
      <c r="D22" s="11" t="s">
        <v>145</v>
      </c>
      <c r="E22" s="12">
        <v>0.47916666666666669</v>
      </c>
      <c r="F22" s="12">
        <v>0.5</v>
      </c>
      <c r="G22" s="12">
        <v>2.0833333333333332E-2</v>
      </c>
      <c r="H22" s="9" t="s">
        <v>164</v>
      </c>
      <c r="I22" s="13"/>
      <c r="J22" s="9" t="s">
        <v>84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</row>
    <row r="23" spans="1:49" s="28" customFormat="1" ht="35.1" customHeight="1" x14ac:dyDescent="0.25">
      <c r="A23" s="18" t="s">
        <v>121</v>
      </c>
      <c r="B23" s="19">
        <v>46070</v>
      </c>
      <c r="C23" s="19">
        <v>46070</v>
      </c>
      <c r="D23" s="18" t="s">
        <v>145</v>
      </c>
      <c r="E23" s="20">
        <v>0.45833333333333331</v>
      </c>
      <c r="F23" s="20">
        <v>0.54166666666666663</v>
      </c>
      <c r="G23" s="21">
        <v>1.7361111111111109E-4</v>
      </c>
      <c r="H23" s="22" t="s">
        <v>158</v>
      </c>
      <c r="I23" s="23">
        <v>0.48724537037037036</v>
      </c>
      <c r="J23" s="18" t="s">
        <v>84</v>
      </c>
      <c r="K23" s="18" t="s">
        <v>171</v>
      </c>
      <c r="L23" s="24">
        <v>1</v>
      </c>
      <c r="M23" s="24">
        <v>69570</v>
      </c>
      <c r="N23" s="18" t="s">
        <v>54</v>
      </c>
      <c r="O23" s="24" t="s">
        <v>159</v>
      </c>
      <c r="P23" s="25">
        <v>0</v>
      </c>
      <c r="Q23" s="24"/>
      <c r="R23" s="25">
        <v>19.042139037433099</v>
      </c>
      <c r="S23" s="26">
        <v>46054</v>
      </c>
      <c r="T23" s="25">
        <v>0</v>
      </c>
      <c r="U23" s="27">
        <v>4</v>
      </c>
      <c r="V23" s="25">
        <v>0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160</v>
      </c>
      <c r="AC23" s="18" t="s">
        <v>38</v>
      </c>
      <c r="AD23" s="7" t="str">
        <f t="shared" si="0"/>
        <v/>
      </c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</row>
    <row r="24" spans="1:49" s="28" customFormat="1" ht="35.1" customHeight="1" x14ac:dyDescent="0.25">
      <c r="A24" s="18" t="s">
        <v>121</v>
      </c>
      <c r="B24" s="19">
        <v>46070</v>
      </c>
      <c r="C24" s="19">
        <v>46070</v>
      </c>
      <c r="D24" s="18" t="s">
        <v>145</v>
      </c>
      <c r="E24" s="20">
        <v>0.45833333333333331</v>
      </c>
      <c r="F24" s="20">
        <v>0.54166666666666663</v>
      </c>
      <c r="G24" s="21">
        <v>1.7361111111111109E-4</v>
      </c>
      <c r="H24" s="22" t="s">
        <v>161</v>
      </c>
      <c r="I24" s="23">
        <v>0.4891550925925926</v>
      </c>
      <c r="J24" s="18" t="s">
        <v>84</v>
      </c>
      <c r="K24" s="18" t="s">
        <v>171</v>
      </c>
      <c r="L24" s="24">
        <v>1</v>
      </c>
      <c r="M24" s="24">
        <v>69570</v>
      </c>
      <c r="N24" s="18" t="s">
        <v>54</v>
      </c>
      <c r="O24" s="24" t="s">
        <v>159</v>
      </c>
      <c r="P24" s="25">
        <v>0</v>
      </c>
      <c r="Q24" s="24"/>
      <c r="R24" s="25">
        <v>19.042139037433099</v>
      </c>
      <c r="S24" s="26">
        <v>46054</v>
      </c>
      <c r="T24" s="25">
        <v>0</v>
      </c>
      <c r="U24" s="27">
        <v>4</v>
      </c>
      <c r="V24" s="25">
        <v>0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160</v>
      </c>
      <c r="AC24" s="18" t="s">
        <v>38</v>
      </c>
      <c r="AD24" s="7" t="str">
        <f t="shared" si="0"/>
        <v/>
      </c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</row>
    <row r="25" spans="1:49" s="28" customFormat="1" ht="35.1" customHeight="1" x14ac:dyDescent="0.25">
      <c r="A25" s="18" t="s">
        <v>121</v>
      </c>
      <c r="B25" s="19">
        <v>46070</v>
      </c>
      <c r="C25" s="19">
        <v>46070</v>
      </c>
      <c r="D25" s="18" t="s">
        <v>145</v>
      </c>
      <c r="E25" s="20">
        <v>0.45833333333333331</v>
      </c>
      <c r="F25" s="20">
        <v>0.54166666666666663</v>
      </c>
      <c r="G25" s="21">
        <v>1.7361111111111109E-4</v>
      </c>
      <c r="H25" s="22" t="s">
        <v>162</v>
      </c>
      <c r="I25" s="23">
        <v>0.49762731481481481</v>
      </c>
      <c r="J25" s="18" t="s">
        <v>84</v>
      </c>
      <c r="K25" s="18" t="s">
        <v>171</v>
      </c>
      <c r="L25" s="24">
        <v>1</v>
      </c>
      <c r="M25" s="24">
        <v>69570</v>
      </c>
      <c r="N25" s="18" t="s">
        <v>54</v>
      </c>
      <c r="O25" s="24" t="s">
        <v>159</v>
      </c>
      <c r="P25" s="25">
        <v>0</v>
      </c>
      <c r="Q25" s="24"/>
      <c r="R25" s="25">
        <v>19.042139037433099</v>
      </c>
      <c r="S25" s="26">
        <v>46054</v>
      </c>
      <c r="T25" s="25">
        <v>0</v>
      </c>
      <c r="U25" s="27">
        <v>4</v>
      </c>
      <c r="V25" s="25">
        <v>0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160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5">
      <c r="A26" s="18" t="s">
        <v>121</v>
      </c>
      <c r="B26" s="19">
        <v>46070</v>
      </c>
      <c r="C26" s="19">
        <v>46070</v>
      </c>
      <c r="D26" s="18" t="s">
        <v>145</v>
      </c>
      <c r="E26" s="20">
        <v>0.45833333333333331</v>
      </c>
      <c r="F26" s="20">
        <v>0.54166666666666663</v>
      </c>
      <c r="G26" s="21">
        <v>1.7361111111111109E-4</v>
      </c>
      <c r="H26" s="22" t="s">
        <v>161</v>
      </c>
      <c r="I26" s="23">
        <v>0.49953703703703706</v>
      </c>
      <c r="J26" s="18" t="s">
        <v>84</v>
      </c>
      <c r="K26" s="18" t="s">
        <v>171</v>
      </c>
      <c r="L26" s="24">
        <v>1</v>
      </c>
      <c r="M26" s="24">
        <v>69570</v>
      </c>
      <c r="N26" s="18" t="s">
        <v>54</v>
      </c>
      <c r="O26" s="24" t="s">
        <v>159</v>
      </c>
      <c r="P26" s="25">
        <v>0</v>
      </c>
      <c r="Q26" s="24"/>
      <c r="R26" s="25">
        <v>19.042139037433099</v>
      </c>
      <c r="S26" s="26">
        <v>46054</v>
      </c>
      <c r="T26" s="25">
        <v>0</v>
      </c>
      <c r="U26" s="27">
        <v>4</v>
      </c>
      <c r="V26" s="25">
        <v>0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160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5">
      <c r="A27" s="18" t="s">
        <v>70</v>
      </c>
      <c r="B27" s="19">
        <v>46070</v>
      </c>
      <c r="C27" s="19">
        <v>46070</v>
      </c>
      <c r="D27" s="18" t="s">
        <v>145</v>
      </c>
      <c r="E27" s="20">
        <v>0.45833333333333331</v>
      </c>
      <c r="F27" s="20">
        <v>0.5</v>
      </c>
      <c r="G27" s="20">
        <v>3.4722222222222218E-4</v>
      </c>
      <c r="H27" s="18" t="s">
        <v>163</v>
      </c>
      <c r="I27" s="23">
        <v>0.49780092592592595</v>
      </c>
      <c r="J27" s="18" t="s">
        <v>84</v>
      </c>
      <c r="K27" s="18" t="s">
        <v>171</v>
      </c>
      <c r="L27" s="24">
        <v>1</v>
      </c>
      <c r="M27" s="24">
        <v>70998</v>
      </c>
      <c r="N27" s="18" t="s">
        <v>54</v>
      </c>
      <c r="O27" s="24" t="str">
        <f>AC27</f>
        <v>CVC</v>
      </c>
      <c r="P27" s="25">
        <v>58.82</v>
      </c>
      <c r="Q27" s="24"/>
      <c r="R27" s="25">
        <v>58.82</v>
      </c>
      <c r="S27" s="26">
        <v>46054</v>
      </c>
      <c r="T27" s="25">
        <v>4.4115000000000002</v>
      </c>
      <c r="U27" s="27">
        <v>4</v>
      </c>
      <c r="V27" s="25">
        <v>54.408500000000004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72</v>
      </c>
      <c r="AC27" s="18" t="s">
        <v>38</v>
      </c>
      <c r="AD27" s="7" t="str">
        <f t="shared" si="0"/>
        <v/>
      </c>
    </row>
    <row r="28" spans="1:49" s="28" customFormat="1" ht="35.1" customHeight="1" x14ac:dyDescent="0.25">
      <c r="A28" s="9" t="s">
        <v>93</v>
      </c>
      <c r="B28" s="10">
        <v>46070</v>
      </c>
      <c r="C28" s="10">
        <v>46070</v>
      </c>
      <c r="D28" s="11" t="s">
        <v>145</v>
      </c>
      <c r="E28" s="12">
        <v>0.5</v>
      </c>
      <c r="F28" s="12">
        <v>0.54166666666666663</v>
      </c>
      <c r="G28" s="12">
        <v>4.1666666666666664E-2</v>
      </c>
      <c r="H28" s="9" t="s">
        <v>94</v>
      </c>
      <c r="I28" s="13"/>
      <c r="J28" s="9" t="s">
        <v>84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8" customFormat="1" ht="35.1" customHeight="1" x14ac:dyDescent="0.25">
      <c r="A29" s="18" t="s">
        <v>154</v>
      </c>
      <c r="B29" s="19">
        <v>46070</v>
      </c>
      <c r="C29" s="19">
        <v>46070</v>
      </c>
      <c r="D29" s="18" t="s">
        <v>145</v>
      </c>
      <c r="E29" s="20">
        <v>0.45833333333333331</v>
      </c>
      <c r="F29" s="20">
        <v>0.54166666666666663</v>
      </c>
      <c r="G29" s="20">
        <v>3.4722222222222218E-4</v>
      </c>
      <c r="H29" s="18" t="s">
        <v>155</v>
      </c>
      <c r="I29" s="23">
        <v>0.50814814814814813</v>
      </c>
      <c r="J29" s="18" t="s">
        <v>84</v>
      </c>
      <c r="K29" s="18" t="s">
        <v>140</v>
      </c>
      <c r="L29" s="24">
        <v>1</v>
      </c>
      <c r="M29" s="24">
        <v>71251</v>
      </c>
      <c r="N29" s="18" t="s">
        <v>54</v>
      </c>
      <c r="O29" s="24" t="s">
        <v>156</v>
      </c>
      <c r="P29" s="25">
        <v>40</v>
      </c>
      <c r="Q29" s="24"/>
      <c r="R29" s="25">
        <v>40</v>
      </c>
      <c r="S29" s="26">
        <v>46070</v>
      </c>
      <c r="T29" s="25">
        <v>0</v>
      </c>
      <c r="U29" s="27">
        <v>4</v>
      </c>
      <c r="V29" s="25">
        <v>40</v>
      </c>
      <c r="W29" s="18" t="s">
        <v>48</v>
      </c>
      <c r="X29" s="18" t="s">
        <v>49</v>
      </c>
      <c r="Y29" s="18" t="s">
        <v>86</v>
      </c>
      <c r="Z29" s="18" t="s">
        <v>9</v>
      </c>
      <c r="AA29" s="18" t="s">
        <v>50</v>
      </c>
      <c r="AB29" s="18" t="s">
        <v>157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5.1" customHeight="1" x14ac:dyDescent="0.25">
      <c r="A30" s="18" t="s">
        <v>88</v>
      </c>
      <c r="B30" s="19">
        <v>46070</v>
      </c>
      <c r="C30" s="19">
        <v>46070</v>
      </c>
      <c r="D30" s="18" t="s">
        <v>145</v>
      </c>
      <c r="E30" s="20">
        <v>0.45833333333333331</v>
      </c>
      <c r="F30" s="20">
        <v>0.54166666666666663</v>
      </c>
      <c r="G30" s="20">
        <v>3.4722222222222218E-4</v>
      </c>
      <c r="H30" s="18" t="s">
        <v>151</v>
      </c>
      <c r="I30" s="23">
        <v>0.52965277777777775</v>
      </c>
      <c r="J30" s="18" t="s">
        <v>84</v>
      </c>
      <c r="K30" s="18" t="s">
        <v>140</v>
      </c>
      <c r="L30" s="24">
        <v>1</v>
      </c>
      <c r="M30" s="24">
        <v>71438</v>
      </c>
      <c r="N30" s="18" t="s">
        <v>46</v>
      </c>
      <c r="O30" s="24" t="s">
        <v>90</v>
      </c>
      <c r="P30" s="25">
        <v>0</v>
      </c>
      <c r="Q30" s="24"/>
      <c r="R30" s="25">
        <v>0</v>
      </c>
      <c r="S30" s="26">
        <v>46070</v>
      </c>
      <c r="T30" s="25">
        <v>0</v>
      </c>
      <c r="U30" s="27">
        <v>4</v>
      </c>
      <c r="V30" s="25">
        <v>0</v>
      </c>
      <c r="W30" s="18" t="s">
        <v>48</v>
      </c>
      <c r="X30" s="18" t="s">
        <v>49</v>
      </c>
      <c r="Y30" s="18" t="s">
        <v>86</v>
      </c>
      <c r="Z30" s="18" t="s">
        <v>9</v>
      </c>
      <c r="AA30" s="18" t="s">
        <v>50</v>
      </c>
      <c r="AB30" s="18" t="s">
        <v>91</v>
      </c>
      <c r="AC30" s="18" t="s">
        <v>38</v>
      </c>
      <c r="AD30" s="7" t="str">
        <f t="shared" si="0"/>
        <v/>
      </c>
    </row>
    <row r="31" spans="1:49" s="28" customFormat="1" ht="35.1" customHeight="1" x14ac:dyDescent="0.25">
      <c r="A31" s="18" t="s">
        <v>121</v>
      </c>
      <c r="B31" s="19">
        <v>46070</v>
      </c>
      <c r="C31" s="19">
        <v>46070</v>
      </c>
      <c r="D31" s="18" t="s">
        <v>145</v>
      </c>
      <c r="E31" s="20">
        <v>0.45833333333333331</v>
      </c>
      <c r="F31" s="20">
        <v>0.54166666666666663</v>
      </c>
      <c r="G31" s="21">
        <v>1.7361111111111109E-4</v>
      </c>
      <c r="H31" s="22" t="s">
        <v>158</v>
      </c>
      <c r="I31" s="23">
        <v>0.53532407407407412</v>
      </c>
      <c r="J31" s="18" t="s">
        <v>84</v>
      </c>
      <c r="K31" s="18" t="s">
        <v>140</v>
      </c>
      <c r="L31" s="24">
        <v>1</v>
      </c>
      <c r="M31" s="24">
        <v>69570</v>
      </c>
      <c r="N31" s="18" t="s">
        <v>54</v>
      </c>
      <c r="O31" s="24" t="s">
        <v>159</v>
      </c>
      <c r="P31" s="25">
        <v>0</v>
      </c>
      <c r="Q31" s="24"/>
      <c r="R31" s="25">
        <v>19.042139037433099</v>
      </c>
      <c r="S31" s="26">
        <v>46054</v>
      </c>
      <c r="T31" s="25">
        <v>0</v>
      </c>
      <c r="U31" s="27">
        <v>4</v>
      </c>
      <c r="V31" s="25">
        <v>0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50</v>
      </c>
      <c r="AB31" s="18" t="s">
        <v>160</v>
      </c>
      <c r="AC31" s="18" t="s">
        <v>38</v>
      </c>
      <c r="AD31" s="7" t="str">
        <f t="shared" si="0"/>
        <v/>
      </c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</row>
    <row r="32" spans="1:49" s="28" customFormat="1" ht="35.1" customHeight="1" x14ac:dyDescent="0.25">
      <c r="A32" s="18" t="s">
        <v>121</v>
      </c>
      <c r="B32" s="19">
        <v>46070</v>
      </c>
      <c r="C32" s="19">
        <v>46070</v>
      </c>
      <c r="D32" s="18" t="s">
        <v>145</v>
      </c>
      <c r="E32" s="20">
        <v>0.45833333333333331</v>
      </c>
      <c r="F32" s="20">
        <v>0.54166666666666663</v>
      </c>
      <c r="G32" s="21">
        <v>1.7361111111111109E-4</v>
      </c>
      <c r="H32" s="22" t="s">
        <v>161</v>
      </c>
      <c r="I32" s="23">
        <v>0.53723379629629631</v>
      </c>
      <c r="J32" s="18" t="s">
        <v>84</v>
      </c>
      <c r="K32" s="18" t="s">
        <v>140</v>
      </c>
      <c r="L32" s="24">
        <v>1</v>
      </c>
      <c r="M32" s="24">
        <v>69570</v>
      </c>
      <c r="N32" s="18" t="s">
        <v>54</v>
      </c>
      <c r="O32" s="24" t="s">
        <v>159</v>
      </c>
      <c r="P32" s="25">
        <v>0</v>
      </c>
      <c r="Q32" s="24"/>
      <c r="R32" s="25">
        <v>19.042139037433099</v>
      </c>
      <c r="S32" s="26">
        <v>46054</v>
      </c>
      <c r="T32" s="25">
        <v>0</v>
      </c>
      <c r="U32" s="27">
        <v>4</v>
      </c>
      <c r="V32" s="25">
        <v>0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160</v>
      </c>
      <c r="AC32" s="18" t="s">
        <v>38</v>
      </c>
      <c r="AD32" s="7" t="str">
        <f t="shared" si="0"/>
        <v/>
      </c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</row>
    <row r="33" spans="1:49" s="28" customFormat="1" ht="35.1" customHeight="1" x14ac:dyDescent="0.25">
      <c r="A33" s="18" t="s">
        <v>82</v>
      </c>
      <c r="B33" s="19">
        <v>46070</v>
      </c>
      <c r="C33" s="19">
        <v>46070</v>
      </c>
      <c r="D33" s="18" t="s">
        <v>145</v>
      </c>
      <c r="E33" s="20">
        <v>0.45833333333333331</v>
      </c>
      <c r="F33" s="20">
        <v>0.54166666666666663</v>
      </c>
      <c r="G33" s="20">
        <v>3.4722222222222218E-4</v>
      </c>
      <c r="H33" s="18" t="s">
        <v>83</v>
      </c>
      <c r="I33" s="23">
        <v>0.54079861111111116</v>
      </c>
      <c r="J33" s="18" t="s">
        <v>84</v>
      </c>
      <c r="K33" s="18" t="s">
        <v>140</v>
      </c>
      <c r="L33" s="24">
        <v>1</v>
      </c>
      <c r="M33" s="24">
        <v>70171</v>
      </c>
      <c r="N33" s="18" t="s">
        <v>46</v>
      </c>
      <c r="O33" s="24" t="s">
        <v>85</v>
      </c>
      <c r="P33" s="25">
        <v>0</v>
      </c>
      <c r="Q33" s="24"/>
      <c r="R33" s="25">
        <v>0</v>
      </c>
      <c r="S33" s="26">
        <v>46070</v>
      </c>
      <c r="T33" s="25">
        <v>0</v>
      </c>
      <c r="U33" s="27">
        <v>4</v>
      </c>
      <c r="V33" s="25">
        <v>0</v>
      </c>
      <c r="W33" s="18" t="s">
        <v>48</v>
      </c>
      <c r="X33" s="18" t="s">
        <v>49</v>
      </c>
      <c r="Y33" s="18" t="s">
        <v>86</v>
      </c>
      <c r="Z33" s="18" t="s">
        <v>43</v>
      </c>
      <c r="AA33" s="18" t="s">
        <v>50</v>
      </c>
      <c r="AB33" s="18" t="s">
        <v>87</v>
      </c>
      <c r="AC33" s="18" t="s">
        <v>38</v>
      </c>
      <c r="AD33" s="7" t="str">
        <f t="shared" si="0"/>
        <v/>
      </c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</row>
    <row r="34" spans="1:49" s="28" customFormat="1" ht="35.1" customHeight="1" x14ac:dyDescent="0.25">
      <c r="A34" s="9" t="s">
        <v>95</v>
      </c>
      <c r="B34" s="10">
        <v>46070</v>
      </c>
      <c r="C34" s="10">
        <v>46070</v>
      </c>
      <c r="D34" s="11" t="s">
        <v>145</v>
      </c>
      <c r="E34" s="12">
        <v>0.54166666666666663</v>
      </c>
      <c r="F34" s="12">
        <v>0.5625</v>
      </c>
      <c r="G34" s="12">
        <v>2.0833333333333332E-2</v>
      </c>
      <c r="H34" s="9" t="s">
        <v>96</v>
      </c>
      <c r="I34" s="13"/>
      <c r="J34" s="9" t="s">
        <v>97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8" customFormat="1" ht="35.1" customHeight="1" x14ac:dyDescent="0.25">
      <c r="A35" s="18" t="s">
        <v>44</v>
      </c>
      <c r="B35" s="19">
        <v>46070</v>
      </c>
      <c r="C35" s="19">
        <v>46070</v>
      </c>
      <c r="D35" s="18" t="s">
        <v>145</v>
      </c>
      <c r="E35" s="20">
        <v>0.54166666666666663</v>
      </c>
      <c r="F35" s="20">
        <v>0.66666666666666663</v>
      </c>
      <c r="G35" s="21">
        <v>1.7361111111111109E-4</v>
      </c>
      <c r="H35" s="22" t="s">
        <v>52</v>
      </c>
      <c r="I35" s="23">
        <v>0.55474537037037042</v>
      </c>
      <c r="J35" s="18" t="s">
        <v>97</v>
      </c>
      <c r="K35" s="18" t="s">
        <v>172</v>
      </c>
      <c r="L35" s="24">
        <v>1</v>
      </c>
      <c r="M35" s="24">
        <v>71006</v>
      </c>
      <c r="N35" s="18" t="s">
        <v>54</v>
      </c>
      <c r="O35" s="24" t="s">
        <v>47</v>
      </c>
      <c r="P35" s="25">
        <v>15</v>
      </c>
      <c r="Q35" s="24"/>
      <c r="R35" s="25">
        <v>15</v>
      </c>
      <c r="S35" s="26">
        <v>46054</v>
      </c>
      <c r="T35" s="25">
        <v>2.25</v>
      </c>
      <c r="U35" s="27">
        <v>4</v>
      </c>
      <c r="V35" s="25">
        <v>12.75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51</v>
      </c>
      <c r="AC35" s="18" t="s">
        <v>38</v>
      </c>
      <c r="AD35" s="7" t="str">
        <f t="shared" si="0"/>
        <v/>
      </c>
    </row>
    <row r="36" spans="1:49" s="28" customFormat="1" ht="35.1" customHeight="1" x14ac:dyDescent="0.25">
      <c r="A36" s="18" t="s">
        <v>44</v>
      </c>
      <c r="B36" s="19">
        <v>46070</v>
      </c>
      <c r="C36" s="19">
        <v>46070</v>
      </c>
      <c r="D36" s="18" t="s">
        <v>145</v>
      </c>
      <c r="E36" s="20">
        <v>0.54166666666666663</v>
      </c>
      <c r="F36" s="20">
        <v>0.66666666666666663</v>
      </c>
      <c r="G36" s="21">
        <v>1.7361111111111109E-4</v>
      </c>
      <c r="H36" s="22" t="s">
        <v>146</v>
      </c>
      <c r="I36" s="23">
        <v>0.55543981481481486</v>
      </c>
      <c r="J36" s="18" t="s">
        <v>97</v>
      </c>
      <c r="K36" s="18" t="s">
        <v>172</v>
      </c>
      <c r="L36" s="24">
        <v>1</v>
      </c>
      <c r="M36" s="24">
        <v>71006</v>
      </c>
      <c r="N36" s="18" t="s">
        <v>54</v>
      </c>
      <c r="O36" s="24" t="s">
        <v>47</v>
      </c>
      <c r="P36" s="25">
        <v>15</v>
      </c>
      <c r="Q36" s="24"/>
      <c r="R36" s="25">
        <v>15</v>
      </c>
      <c r="S36" s="26">
        <v>46054</v>
      </c>
      <c r="T36" s="25">
        <v>2.25</v>
      </c>
      <c r="U36" s="27">
        <v>4</v>
      </c>
      <c r="V36" s="25">
        <v>12.75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51</v>
      </c>
      <c r="AC36" s="18" t="s">
        <v>38</v>
      </c>
      <c r="AD36" s="7" t="str">
        <f t="shared" si="0"/>
        <v/>
      </c>
    </row>
    <row r="37" spans="1:49" s="28" customFormat="1" ht="35.1" customHeight="1" x14ac:dyDescent="0.25">
      <c r="A37" s="9" t="s">
        <v>95</v>
      </c>
      <c r="B37" s="10">
        <v>46070</v>
      </c>
      <c r="C37" s="10">
        <v>46070</v>
      </c>
      <c r="D37" s="11" t="s">
        <v>145</v>
      </c>
      <c r="E37" s="12">
        <v>0.5625</v>
      </c>
      <c r="F37" s="12">
        <v>0.58333333333333337</v>
      </c>
      <c r="G37" s="12">
        <v>2.0833333333333332E-2</v>
      </c>
      <c r="H37" s="9" t="s">
        <v>98</v>
      </c>
      <c r="I37" s="13"/>
      <c r="J37" s="9" t="s">
        <v>97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8" customFormat="1" ht="35.1" customHeight="1" x14ac:dyDescent="0.25">
      <c r="A38" s="18" t="s">
        <v>44</v>
      </c>
      <c r="B38" s="19">
        <v>46070</v>
      </c>
      <c r="C38" s="19">
        <v>46070</v>
      </c>
      <c r="D38" s="18" t="s">
        <v>145</v>
      </c>
      <c r="E38" s="20">
        <v>0.54166666666666663</v>
      </c>
      <c r="F38" s="20">
        <v>0.66666666666666663</v>
      </c>
      <c r="G38" s="21">
        <v>1.7361111111111109E-4</v>
      </c>
      <c r="H38" s="22" t="s">
        <v>55</v>
      </c>
      <c r="I38" s="23">
        <v>0.57613425925925921</v>
      </c>
      <c r="J38" s="18" t="s">
        <v>97</v>
      </c>
      <c r="K38" s="18" t="s">
        <v>173</v>
      </c>
      <c r="L38" s="24">
        <v>1</v>
      </c>
      <c r="M38" s="24">
        <v>71011</v>
      </c>
      <c r="N38" s="18" t="s">
        <v>46</v>
      </c>
      <c r="O38" s="24" t="s">
        <v>47</v>
      </c>
      <c r="P38" s="25">
        <v>0</v>
      </c>
      <c r="Q38" s="24"/>
      <c r="R38" s="25">
        <v>0</v>
      </c>
      <c r="S38" s="26">
        <v>46054</v>
      </c>
      <c r="T38" s="25">
        <v>0</v>
      </c>
      <c r="U38" s="27">
        <v>4</v>
      </c>
      <c r="V38" s="25">
        <v>0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51</v>
      </c>
      <c r="AC38" s="18" t="s">
        <v>38</v>
      </c>
      <c r="AD38" s="7" t="str">
        <f t="shared" si="0"/>
        <v/>
      </c>
    </row>
    <row r="39" spans="1:49" s="28" customFormat="1" ht="35.1" customHeight="1" x14ac:dyDescent="0.25">
      <c r="A39" s="18" t="s">
        <v>44</v>
      </c>
      <c r="B39" s="19">
        <v>46070</v>
      </c>
      <c r="C39" s="19">
        <v>46070</v>
      </c>
      <c r="D39" s="18" t="s">
        <v>145</v>
      </c>
      <c r="E39" s="20">
        <v>0.54166666666666663</v>
      </c>
      <c r="F39" s="20">
        <v>0.66666666666666663</v>
      </c>
      <c r="G39" s="21">
        <v>1.7361111111111109E-4</v>
      </c>
      <c r="H39" s="22" t="s">
        <v>165</v>
      </c>
      <c r="I39" s="23">
        <v>0.57734953703703706</v>
      </c>
      <c r="J39" s="18" t="s">
        <v>97</v>
      </c>
      <c r="K39" s="18" t="s">
        <v>173</v>
      </c>
      <c r="L39" s="24">
        <v>1</v>
      </c>
      <c r="M39" s="24">
        <v>71011</v>
      </c>
      <c r="N39" s="18" t="s">
        <v>46</v>
      </c>
      <c r="O39" s="24" t="s">
        <v>47</v>
      </c>
      <c r="P39" s="25">
        <v>0</v>
      </c>
      <c r="Q39" s="24"/>
      <c r="R39" s="25">
        <v>0</v>
      </c>
      <c r="S39" s="26">
        <v>46054</v>
      </c>
      <c r="T39" s="25">
        <v>0</v>
      </c>
      <c r="U39" s="27">
        <v>4</v>
      </c>
      <c r="V39" s="25">
        <v>0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51</v>
      </c>
      <c r="AC39" s="18" t="s">
        <v>38</v>
      </c>
      <c r="AD39" s="7" t="str">
        <f t="shared" si="0"/>
        <v/>
      </c>
    </row>
    <row r="40" spans="1:49" s="28" customFormat="1" ht="35.1" customHeight="1" x14ac:dyDescent="0.25">
      <c r="A40" s="9" t="s">
        <v>99</v>
      </c>
      <c r="B40" s="10">
        <v>46070</v>
      </c>
      <c r="C40" s="10">
        <v>46070</v>
      </c>
      <c r="D40" s="11" t="s">
        <v>145</v>
      </c>
      <c r="E40" s="12">
        <v>0.58333333333333337</v>
      </c>
      <c r="F40" s="12">
        <v>0.625</v>
      </c>
      <c r="G40" s="12">
        <v>4.1666666666666664E-2</v>
      </c>
      <c r="H40" s="9" t="s">
        <v>100</v>
      </c>
      <c r="I40" s="13"/>
      <c r="J40" s="9" t="s">
        <v>101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8" customFormat="1" ht="35.1" customHeight="1" x14ac:dyDescent="0.25">
      <c r="A41" s="18" t="s">
        <v>44</v>
      </c>
      <c r="B41" s="19">
        <v>46070</v>
      </c>
      <c r="C41" s="19">
        <v>46070</v>
      </c>
      <c r="D41" s="18" t="s">
        <v>145</v>
      </c>
      <c r="E41" s="20">
        <v>0.58333333333333337</v>
      </c>
      <c r="F41" s="20">
        <v>0.66666666666666663</v>
      </c>
      <c r="G41" s="21">
        <v>1.7361111111111109E-4</v>
      </c>
      <c r="H41" s="22" t="s">
        <v>52</v>
      </c>
      <c r="I41" s="23">
        <v>0.60048611111111116</v>
      </c>
      <c r="J41" s="18" t="s">
        <v>97</v>
      </c>
      <c r="K41" s="18" t="s">
        <v>141</v>
      </c>
      <c r="L41" s="24">
        <v>1</v>
      </c>
      <c r="M41" s="24">
        <v>71009</v>
      </c>
      <c r="N41" s="18" t="s">
        <v>54</v>
      </c>
      <c r="O41" s="24" t="s">
        <v>47</v>
      </c>
      <c r="P41" s="25">
        <v>15</v>
      </c>
      <c r="Q41" s="24"/>
      <c r="R41" s="25">
        <v>15</v>
      </c>
      <c r="S41" s="26">
        <v>46054</v>
      </c>
      <c r="T41" s="25">
        <v>2.25</v>
      </c>
      <c r="U41" s="27">
        <v>4</v>
      </c>
      <c r="V41" s="25">
        <v>12.75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</row>
    <row r="42" spans="1:49" s="28" customFormat="1" ht="35.1" customHeight="1" x14ac:dyDescent="0.25">
      <c r="A42" s="18" t="s">
        <v>44</v>
      </c>
      <c r="B42" s="19">
        <v>46070</v>
      </c>
      <c r="C42" s="19">
        <v>46070</v>
      </c>
      <c r="D42" s="18" t="s">
        <v>145</v>
      </c>
      <c r="E42" s="20">
        <v>0.58333333333333337</v>
      </c>
      <c r="F42" s="20">
        <v>0.66666666666666663</v>
      </c>
      <c r="G42" s="21">
        <v>1.7361111111111109E-4</v>
      </c>
      <c r="H42" s="22" t="s">
        <v>146</v>
      </c>
      <c r="I42" s="23">
        <v>0.60222222222222221</v>
      </c>
      <c r="J42" s="18" t="s">
        <v>97</v>
      </c>
      <c r="K42" s="18" t="s">
        <v>141</v>
      </c>
      <c r="L42" s="24">
        <v>1</v>
      </c>
      <c r="M42" s="24">
        <v>71009</v>
      </c>
      <c r="N42" s="18" t="s">
        <v>54</v>
      </c>
      <c r="O42" s="24" t="s">
        <v>47</v>
      </c>
      <c r="P42" s="25">
        <v>15</v>
      </c>
      <c r="Q42" s="24"/>
      <c r="R42" s="25">
        <v>15</v>
      </c>
      <c r="S42" s="26">
        <v>46054</v>
      </c>
      <c r="T42" s="25">
        <v>2.25</v>
      </c>
      <c r="U42" s="27">
        <v>4</v>
      </c>
      <c r="V42" s="25">
        <v>12.75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51</v>
      </c>
      <c r="AC42" s="18" t="s">
        <v>38</v>
      </c>
      <c r="AD42" s="7" t="str">
        <f t="shared" si="0"/>
        <v/>
      </c>
    </row>
    <row r="43" spans="1:49" s="28" customFormat="1" ht="35.1" customHeight="1" x14ac:dyDescent="0.25">
      <c r="A43" s="18" t="s">
        <v>44</v>
      </c>
      <c r="B43" s="19">
        <v>46070</v>
      </c>
      <c r="C43" s="19">
        <v>46070</v>
      </c>
      <c r="D43" s="18" t="s">
        <v>145</v>
      </c>
      <c r="E43" s="20">
        <v>0.54166666666666663</v>
      </c>
      <c r="F43" s="20">
        <v>0.66666666666666663</v>
      </c>
      <c r="G43" s="21">
        <v>1.7361111111111109E-4</v>
      </c>
      <c r="H43" s="22" t="s">
        <v>52</v>
      </c>
      <c r="I43" s="23">
        <v>0.6106597222222222</v>
      </c>
      <c r="J43" s="18" t="s">
        <v>97</v>
      </c>
      <c r="K43" s="18" t="s">
        <v>141</v>
      </c>
      <c r="L43" s="24">
        <v>1</v>
      </c>
      <c r="M43" s="24">
        <v>71011</v>
      </c>
      <c r="N43" s="18" t="s">
        <v>46</v>
      </c>
      <c r="O43" s="24" t="s">
        <v>47</v>
      </c>
      <c r="P43" s="25">
        <v>0</v>
      </c>
      <c r="Q43" s="24"/>
      <c r="R43" s="25">
        <v>0</v>
      </c>
      <c r="S43" s="26">
        <v>46054</v>
      </c>
      <c r="T43" s="25">
        <v>0</v>
      </c>
      <c r="U43" s="27">
        <v>4</v>
      </c>
      <c r="V43" s="25">
        <v>0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51</v>
      </c>
      <c r="AC43" s="18" t="s">
        <v>38</v>
      </c>
      <c r="AD43" s="7" t="str">
        <f t="shared" si="0"/>
        <v/>
      </c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</row>
    <row r="44" spans="1:49" s="28" customFormat="1" ht="35.1" customHeight="1" x14ac:dyDescent="0.25">
      <c r="A44" s="18" t="s">
        <v>44</v>
      </c>
      <c r="B44" s="19">
        <v>46070</v>
      </c>
      <c r="C44" s="19">
        <v>46070</v>
      </c>
      <c r="D44" s="18" t="s">
        <v>145</v>
      </c>
      <c r="E44" s="20">
        <v>0.54166666666666663</v>
      </c>
      <c r="F44" s="20">
        <v>0.66666666666666663</v>
      </c>
      <c r="G44" s="21">
        <v>1.7361111111111109E-4</v>
      </c>
      <c r="H44" s="22" t="s">
        <v>146</v>
      </c>
      <c r="I44" s="23">
        <v>0.6125694444444445</v>
      </c>
      <c r="J44" s="18" t="s">
        <v>97</v>
      </c>
      <c r="K44" s="18" t="s">
        <v>141</v>
      </c>
      <c r="L44" s="24">
        <v>1</v>
      </c>
      <c r="M44" s="24">
        <v>71011</v>
      </c>
      <c r="N44" s="18" t="s">
        <v>46</v>
      </c>
      <c r="O44" s="24" t="s">
        <v>47</v>
      </c>
      <c r="P44" s="25">
        <v>0</v>
      </c>
      <c r="Q44" s="24"/>
      <c r="R44" s="25">
        <v>0</v>
      </c>
      <c r="S44" s="26">
        <v>46054</v>
      </c>
      <c r="T44" s="25">
        <v>0</v>
      </c>
      <c r="U44" s="27">
        <v>4</v>
      </c>
      <c r="V44" s="25">
        <v>0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51</v>
      </c>
      <c r="AC44" s="18" t="s">
        <v>38</v>
      </c>
      <c r="AD44" s="7" t="str">
        <f t="shared" si="0"/>
        <v/>
      </c>
    </row>
    <row r="45" spans="1:49" s="28" customFormat="1" ht="35.1" customHeight="1" x14ac:dyDescent="0.25">
      <c r="A45" s="9" t="s">
        <v>99</v>
      </c>
      <c r="B45" s="10">
        <v>46070</v>
      </c>
      <c r="C45" s="10">
        <v>46070</v>
      </c>
      <c r="D45" s="11" t="s">
        <v>145</v>
      </c>
      <c r="E45" s="12">
        <v>0.625</v>
      </c>
      <c r="F45" s="12">
        <v>0.64583333333333337</v>
      </c>
      <c r="G45" s="12">
        <v>2.0833333333333332E-2</v>
      </c>
      <c r="H45" s="9" t="s">
        <v>106</v>
      </c>
      <c r="I45" s="13"/>
      <c r="J45" s="9" t="s">
        <v>101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8" customFormat="1" ht="35.1" customHeight="1" x14ac:dyDescent="0.25">
      <c r="A46" s="9" t="s">
        <v>99</v>
      </c>
      <c r="B46" s="10">
        <v>46070</v>
      </c>
      <c r="C46" s="10">
        <v>46070</v>
      </c>
      <c r="D46" s="11" t="s">
        <v>145</v>
      </c>
      <c r="E46" s="12">
        <v>0.64583333333333337</v>
      </c>
      <c r="F46" s="12">
        <v>0.66666666666666663</v>
      </c>
      <c r="G46" s="12">
        <v>2.0833333333333332E-2</v>
      </c>
      <c r="H46" s="9" t="s">
        <v>107</v>
      </c>
      <c r="I46" s="13"/>
      <c r="J46" s="9" t="s">
        <v>101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</row>
    <row r="47" spans="1:49" s="28" customFormat="1" ht="35.1" customHeight="1" x14ac:dyDescent="0.25">
      <c r="A47" s="9" t="s">
        <v>108</v>
      </c>
      <c r="B47" s="10">
        <v>46070</v>
      </c>
      <c r="C47" s="10">
        <v>46070</v>
      </c>
      <c r="D47" s="11" t="s">
        <v>145</v>
      </c>
      <c r="E47" s="12">
        <v>0.66666666666666663</v>
      </c>
      <c r="F47" s="12">
        <v>0.6875</v>
      </c>
      <c r="G47" s="12">
        <v>2.0833333333333332E-2</v>
      </c>
      <c r="H47" s="9" t="s">
        <v>109</v>
      </c>
      <c r="I47" s="13"/>
      <c r="J47" s="9" t="s">
        <v>110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</row>
    <row r="48" spans="1:49" s="28" customFormat="1" ht="35.1" customHeight="1" x14ac:dyDescent="0.25">
      <c r="A48" s="18" t="s">
        <v>44</v>
      </c>
      <c r="B48" s="19">
        <v>46070</v>
      </c>
      <c r="C48" s="19">
        <v>46070</v>
      </c>
      <c r="D48" s="18" t="s">
        <v>145</v>
      </c>
      <c r="E48" s="20">
        <v>0.66666666666666663</v>
      </c>
      <c r="F48" s="20">
        <v>0.79166666666666663</v>
      </c>
      <c r="G48" s="21">
        <v>1.7361111111111109E-4</v>
      </c>
      <c r="H48" s="22" t="s">
        <v>52</v>
      </c>
      <c r="I48" s="23">
        <v>0.67304398148148148</v>
      </c>
      <c r="J48" s="18" t="s">
        <v>110</v>
      </c>
      <c r="K48" s="18" t="s">
        <v>109</v>
      </c>
      <c r="L48" s="24">
        <v>1</v>
      </c>
      <c r="M48" s="24">
        <v>71003</v>
      </c>
      <c r="N48" s="18" t="s">
        <v>54</v>
      </c>
      <c r="O48" s="24" t="s">
        <v>47</v>
      </c>
      <c r="P48" s="25">
        <v>15</v>
      </c>
      <c r="Q48" s="24"/>
      <c r="R48" s="25">
        <v>15</v>
      </c>
      <c r="S48" s="26">
        <v>46054</v>
      </c>
      <c r="T48" s="25">
        <v>2.25</v>
      </c>
      <c r="U48" s="27">
        <v>4</v>
      </c>
      <c r="V48" s="25">
        <v>12.75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51</v>
      </c>
      <c r="AC48" s="18" t="s">
        <v>38</v>
      </c>
      <c r="AD48" s="7" t="str">
        <f t="shared" si="0"/>
        <v/>
      </c>
    </row>
    <row r="49" spans="1:49" s="28" customFormat="1" ht="35.1" customHeight="1" x14ac:dyDescent="0.25">
      <c r="A49" s="18" t="s">
        <v>44</v>
      </c>
      <c r="B49" s="19">
        <v>46070</v>
      </c>
      <c r="C49" s="19">
        <v>46070</v>
      </c>
      <c r="D49" s="18" t="s">
        <v>145</v>
      </c>
      <c r="E49" s="20">
        <v>0.66666666666666663</v>
      </c>
      <c r="F49" s="20">
        <v>0.79166666666666663</v>
      </c>
      <c r="G49" s="21">
        <v>1.7361111111111109E-4</v>
      </c>
      <c r="H49" s="22" t="s">
        <v>146</v>
      </c>
      <c r="I49" s="23">
        <v>0.67425925925925922</v>
      </c>
      <c r="J49" s="18" t="s">
        <v>110</v>
      </c>
      <c r="K49" s="18" t="s">
        <v>109</v>
      </c>
      <c r="L49" s="24">
        <v>1</v>
      </c>
      <c r="M49" s="24">
        <v>71003</v>
      </c>
      <c r="N49" s="18" t="s">
        <v>54</v>
      </c>
      <c r="O49" s="24" t="s">
        <v>47</v>
      </c>
      <c r="P49" s="25">
        <v>15</v>
      </c>
      <c r="Q49" s="24"/>
      <c r="R49" s="25">
        <v>15</v>
      </c>
      <c r="S49" s="26">
        <v>46054</v>
      </c>
      <c r="T49" s="25">
        <v>2.25</v>
      </c>
      <c r="U49" s="27">
        <v>4</v>
      </c>
      <c r="V49" s="25">
        <v>12.75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51</v>
      </c>
      <c r="AC49" s="18" t="s">
        <v>38</v>
      </c>
      <c r="AD49" s="7" t="str">
        <f t="shared" si="0"/>
        <v/>
      </c>
    </row>
    <row r="50" spans="1:49" s="28" customFormat="1" ht="35.1" customHeight="1" x14ac:dyDescent="0.25">
      <c r="A50" s="9" t="s">
        <v>115</v>
      </c>
      <c r="B50" s="10">
        <v>46070</v>
      </c>
      <c r="C50" s="10">
        <v>46070</v>
      </c>
      <c r="D50" s="11" t="s">
        <v>145</v>
      </c>
      <c r="E50" s="12">
        <v>0.6875</v>
      </c>
      <c r="F50" s="12">
        <v>0.70833333333333337</v>
      </c>
      <c r="G50" s="12">
        <v>2.0833333333333332E-2</v>
      </c>
      <c r="H50" s="9" t="s">
        <v>116</v>
      </c>
      <c r="I50" s="13"/>
      <c r="J50" s="9" t="s">
        <v>110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</row>
    <row r="51" spans="1:49" s="28" customFormat="1" ht="35.1" customHeight="1" x14ac:dyDescent="0.25">
      <c r="A51" s="9" t="s">
        <v>108</v>
      </c>
      <c r="B51" s="10">
        <v>46070</v>
      </c>
      <c r="C51" s="10">
        <v>46070</v>
      </c>
      <c r="D51" s="11" t="s">
        <v>145</v>
      </c>
      <c r="E51" s="12">
        <v>0.70833333333333337</v>
      </c>
      <c r="F51" s="12">
        <v>0.75</v>
      </c>
      <c r="G51" s="12">
        <v>4.1666666666666664E-2</v>
      </c>
      <c r="H51" s="9" t="s">
        <v>167</v>
      </c>
      <c r="I51" s="13"/>
      <c r="J51" s="9" t="s">
        <v>110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</row>
    <row r="52" spans="1:49" s="28" customFormat="1" ht="35.1" customHeight="1" x14ac:dyDescent="0.25">
      <c r="A52" s="18" t="s">
        <v>70</v>
      </c>
      <c r="B52" s="19">
        <v>46070</v>
      </c>
      <c r="C52" s="19">
        <v>46070</v>
      </c>
      <c r="D52" s="18" t="s">
        <v>145</v>
      </c>
      <c r="E52" s="20">
        <v>0.66666666666666663</v>
      </c>
      <c r="F52" s="20">
        <v>0.79166666666666663</v>
      </c>
      <c r="G52" s="20">
        <v>3.4722222222222218E-4</v>
      </c>
      <c r="H52" s="18" t="s">
        <v>166</v>
      </c>
      <c r="I52" s="23">
        <v>0.71818287037037032</v>
      </c>
      <c r="J52" s="18" t="s">
        <v>110</v>
      </c>
      <c r="K52" s="18" t="s">
        <v>167</v>
      </c>
      <c r="L52" s="24">
        <v>1</v>
      </c>
      <c r="M52" s="24">
        <v>70992</v>
      </c>
      <c r="N52" s="18" t="s">
        <v>46</v>
      </c>
      <c r="O52" s="24" t="str">
        <f>AC52</f>
        <v>CVC</v>
      </c>
      <c r="P52" s="25">
        <v>0</v>
      </c>
      <c r="Q52" s="24"/>
      <c r="R52" s="25">
        <v>0</v>
      </c>
      <c r="S52" s="26">
        <v>46054</v>
      </c>
      <c r="T52" s="25">
        <v>0</v>
      </c>
      <c r="U52" s="27">
        <v>4</v>
      </c>
      <c r="V52" s="25">
        <v>0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72</v>
      </c>
      <c r="AC52" s="18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28" customFormat="1" ht="35.1" customHeight="1" x14ac:dyDescent="0.25">
      <c r="A53" s="9" t="s">
        <v>115</v>
      </c>
      <c r="B53" s="10">
        <v>46070</v>
      </c>
      <c r="C53" s="10">
        <v>46070</v>
      </c>
      <c r="D53" s="11" t="s">
        <v>145</v>
      </c>
      <c r="E53" s="12">
        <v>0.75</v>
      </c>
      <c r="F53" s="12">
        <v>0.77083333333333337</v>
      </c>
      <c r="G53" s="12">
        <v>2.0833333333333332E-2</v>
      </c>
      <c r="H53" s="9" t="s">
        <v>118</v>
      </c>
      <c r="I53" s="13"/>
      <c r="J53" s="9" t="s">
        <v>110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</row>
    <row r="54" spans="1:49" s="28" customFormat="1" ht="35.1" customHeight="1" x14ac:dyDescent="0.25">
      <c r="A54" s="18" t="s">
        <v>111</v>
      </c>
      <c r="B54" s="19">
        <v>46070</v>
      </c>
      <c r="C54" s="19">
        <v>46070</v>
      </c>
      <c r="D54" s="18" t="s">
        <v>145</v>
      </c>
      <c r="E54" s="20">
        <v>0.66666666666666663</v>
      </c>
      <c r="F54" s="20">
        <v>0.79166666666666663</v>
      </c>
      <c r="G54" s="21">
        <v>1.7361111111111112E-4</v>
      </c>
      <c r="H54" s="22" t="s">
        <v>112</v>
      </c>
      <c r="I54" s="23">
        <v>0.75660879629629629</v>
      </c>
      <c r="J54" s="18" t="s">
        <v>110</v>
      </c>
      <c r="K54" s="18" t="s">
        <v>174</v>
      </c>
      <c r="L54" s="24">
        <v>1</v>
      </c>
      <c r="M54" s="24">
        <v>69833</v>
      </c>
      <c r="N54" s="18" t="s">
        <v>54</v>
      </c>
      <c r="O54" s="24"/>
      <c r="P54" s="25">
        <v>28</v>
      </c>
      <c r="Q54" s="24"/>
      <c r="R54" s="25">
        <v>28</v>
      </c>
      <c r="S54" s="26">
        <v>46070</v>
      </c>
      <c r="T54" s="25">
        <v>0</v>
      </c>
      <c r="U54" s="27">
        <v>4</v>
      </c>
      <c r="V54" s="25">
        <v>28</v>
      </c>
      <c r="W54" s="18" t="s">
        <v>34</v>
      </c>
      <c r="X54" s="18" t="s">
        <v>49</v>
      </c>
      <c r="Y54" s="18" t="s">
        <v>86</v>
      </c>
      <c r="Z54" s="18" t="s">
        <v>43</v>
      </c>
      <c r="AA54" s="18" t="s">
        <v>50</v>
      </c>
      <c r="AB54" s="18" t="s">
        <v>113</v>
      </c>
      <c r="AC54" s="18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28" customFormat="1" ht="35.1" customHeight="1" x14ac:dyDescent="0.25">
      <c r="A55" s="18" t="s">
        <v>111</v>
      </c>
      <c r="B55" s="19">
        <v>46070</v>
      </c>
      <c r="C55" s="19">
        <v>46070</v>
      </c>
      <c r="D55" s="18" t="s">
        <v>145</v>
      </c>
      <c r="E55" s="20">
        <v>0.66666666666666663</v>
      </c>
      <c r="F55" s="20">
        <v>0.79166666666666663</v>
      </c>
      <c r="G55" s="21">
        <v>1.7361111111111112E-4</v>
      </c>
      <c r="H55" s="22" t="s">
        <v>114</v>
      </c>
      <c r="I55" s="23">
        <v>0.75921296296296292</v>
      </c>
      <c r="J55" s="18" t="s">
        <v>110</v>
      </c>
      <c r="K55" s="18" t="s">
        <v>174</v>
      </c>
      <c r="L55" s="24">
        <v>1</v>
      </c>
      <c r="M55" s="24">
        <v>69833</v>
      </c>
      <c r="N55" s="18" t="s">
        <v>54</v>
      </c>
      <c r="O55" s="24"/>
      <c r="P55" s="25">
        <v>0</v>
      </c>
      <c r="Q55" s="24"/>
      <c r="R55" s="25">
        <v>0</v>
      </c>
      <c r="S55" s="26">
        <v>46070</v>
      </c>
      <c r="T55" s="25">
        <v>0</v>
      </c>
      <c r="U55" s="27">
        <v>4</v>
      </c>
      <c r="V55" s="25">
        <v>0</v>
      </c>
      <c r="W55" s="18" t="s">
        <v>34</v>
      </c>
      <c r="X55" s="18" t="s">
        <v>49</v>
      </c>
      <c r="Y55" s="18" t="s">
        <v>86</v>
      </c>
      <c r="Z55" s="18" t="s">
        <v>43</v>
      </c>
      <c r="AA55" s="18" t="s">
        <v>50</v>
      </c>
      <c r="AB55" s="18" t="s">
        <v>113</v>
      </c>
      <c r="AC55" s="18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28" customFormat="1" ht="35.1" customHeight="1" x14ac:dyDescent="0.25">
      <c r="A56" s="9" t="s">
        <v>115</v>
      </c>
      <c r="B56" s="10">
        <v>46070</v>
      </c>
      <c r="C56" s="10">
        <v>46070</v>
      </c>
      <c r="D56" s="11" t="s">
        <v>145</v>
      </c>
      <c r="E56" s="12">
        <v>0.77083333333333337</v>
      </c>
      <c r="F56" s="12">
        <v>0.79166666666666663</v>
      </c>
      <c r="G56" s="12">
        <v>2.0833333333333332E-2</v>
      </c>
      <c r="H56" s="9" t="s">
        <v>116</v>
      </c>
      <c r="I56" s="13"/>
      <c r="J56" s="9" t="s">
        <v>110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28" customFormat="1" ht="35.1" customHeight="1" x14ac:dyDescent="0.25">
      <c r="A57" s="18" t="s">
        <v>44</v>
      </c>
      <c r="B57" s="19">
        <v>46070</v>
      </c>
      <c r="C57" s="19">
        <v>46070</v>
      </c>
      <c r="D57" s="18" t="s">
        <v>145</v>
      </c>
      <c r="E57" s="20">
        <v>0.66666666666666663</v>
      </c>
      <c r="F57" s="20">
        <v>0.79166666666666663</v>
      </c>
      <c r="G57" s="21">
        <v>1.7361111111111109E-4</v>
      </c>
      <c r="H57" s="22" t="s">
        <v>55</v>
      </c>
      <c r="I57" s="23">
        <v>0.78114583333333332</v>
      </c>
      <c r="J57" s="18" t="s">
        <v>110</v>
      </c>
      <c r="K57" s="18" t="s">
        <v>175</v>
      </c>
      <c r="L57" s="24">
        <v>1</v>
      </c>
      <c r="M57" s="24">
        <v>71004</v>
      </c>
      <c r="N57" s="18" t="s">
        <v>46</v>
      </c>
      <c r="O57" s="24" t="s">
        <v>47</v>
      </c>
      <c r="P57" s="25">
        <v>0</v>
      </c>
      <c r="Q57" s="24"/>
      <c r="R57" s="25">
        <v>0</v>
      </c>
      <c r="S57" s="26">
        <v>46054</v>
      </c>
      <c r="T57" s="25">
        <v>0</v>
      </c>
      <c r="U57" s="27">
        <v>4</v>
      </c>
      <c r="V57" s="25">
        <v>0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51</v>
      </c>
      <c r="AC57" s="18" t="s">
        <v>38</v>
      </c>
      <c r="AD57" s="7" t="str">
        <f t="shared" si="0"/>
        <v/>
      </c>
    </row>
    <row r="58" spans="1:49" s="28" customFormat="1" ht="35.1" customHeight="1" x14ac:dyDescent="0.25">
      <c r="A58" s="18" t="s">
        <v>44</v>
      </c>
      <c r="B58" s="19">
        <v>46070</v>
      </c>
      <c r="C58" s="19">
        <v>46070</v>
      </c>
      <c r="D58" s="18" t="s">
        <v>145</v>
      </c>
      <c r="E58" s="20">
        <v>0.66666666666666663</v>
      </c>
      <c r="F58" s="20">
        <v>0.79166666666666663</v>
      </c>
      <c r="G58" s="21">
        <v>1.7361111111111109E-4</v>
      </c>
      <c r="H58" s="22" t="s">
        <v>165</v>
      </c>
      <c r="I58" s="23">
        <v>0.78270833333333334</v>
      </c>
      <c r="J58" s="18" t="s">
        <v>110</v>
      </c>
      <c r="K58" s="18" t="s">
        <v>175</v>
      </c>
      <c r="L58" s="24">
        <v>1</v>
      </c>
      <c r="M58" s="24">
        <v>71004</v>
      </c>
      <c r="N58" s="18" t="s">
        <v>46</v>
      </c>
      <c r="O58" s="24" t="s">
        <v>47</v>
      </c>
      <c r="P58" s="25">
        <v>0</v>
      </c>
      <c r="Q58" s="24"/>
      <c r="R58" s="25">
        <v>0</v>
      </c>
      <c r="S58" s="26">
        <v>46054</v>
      </c>
      <c r="T58" s="25">
        <v>0</v>
      </c>
      <c r="U58" s="27">
        <v>4</v>
      </c>
      <c r="V58" s="25">
        <v>0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51</v>
      </c>
      <c r="AC58" s="18" t="s">
        <v>38</v>
      </c>
      <c r="AD58" s="7" t="str">
        <f t="shared" si="0"/>
        <v/>
      </c>
    </row>
    <row r="59" spans="1:49" s="28" customFormat="1" ht="35.1" customHeight="1" x14ac:dyDescent="0.25">
      <c r="A59" s="9" t="s">
        <v>39</v>
      </c>
      <c r="B59" s="10">
        <v>46070</v>
      </c>
      <c r="C59" s="10">
        <v>46070</v>
      </c>
      <c r="D59" s="11" t="s">
        <v>145</v>
      </c>
      <c r="E59" s="12">
        <v>0.79166666666666663</v>
      </c>
      <c r="F59" s="12">
        <v>0.8125</v>
      </c>
      <c r="G59" s="12">
        <v>2.0833333333333332E-2</v>
      </c>
      <c r="H59" s="9" t="s">
        <v>119</v>
      </c>
      <c r="I59" s="13"/>
      <c r="J59" s="9" t="s">
        <v>120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28" customFormat="1" ht="35.1" customHeight="1" x14ac:dyDescent="0.25">
      <c r="A60" s="9" t="s">
        <v>39</v>
      </c>
      <c r="B60" s="10">
        <v>46070</v>
      </c>
      <c r="C60" s="10">
        <v>46070</v>
      </c>
      <c r="D60" s="11" t="s">
        <v>145</v>
      </c>
      <c r="E60" s="12">
        <v>0.8125</v>
      </c>
      <c r="F60" s="12">
        <v>0.83333333333333337</v>
      </c>
      <c r="G60" s="12">
        <v>2.0833333333333332E-2</v>
      </c>
      <c r="H60" s="9" t="s">
        <v>133</v>
      </c>
      <c r="I60" s="13"/>
      <c r="J60" s="9" t="s">
        <v>120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</row>
    <row r="61" spans="1:49" s="28" customFormat="1" ht="35.1" customHeight="1" x14ac:dyDescent="0.25">
      <c r="A61" s="18" t="s">
        <v>129</v>
      </c>
      <c r="B61" s="19">
        <v>46070</v>
      </c>
      <c r="C61" s="19">
        <v>46070</v>
      </c>
      <c r="D61" s="18" t="s">
        <v>145</v>
      </c>
      <c r="E61" s="20">
        <v>0.79166666666666663</v>
      </c>
      <c r="F61" s="20">
        <v>0.83333333333333337</v>
      </c>
      <c r="G61" s="20">
        <v>1.7361111111111109E-4</v>
      </c>
      <c r="H61" s="18" t="s">
        <v>130</v>
      </c>
      <c r="I61" s="23">
        <v>0.82190972222222225</v>
      </c>
      <c r="J61" s="18" t="s">
        <v>120</v>
      </c>
      <c r="K61" s="18" t="s">
        <v>142</v>
      </c>
      <c r="L61" s="24">
        <v>1</v>
      </c>
      <c r="M61" s="24">
        <v>71275</v>
      </c>
      <c r="N61" s="18" t="s">
        <v>54</v>
      </c>
      <c r="O61" s="24" t="s">
        <v>38</v>
      </c>
      <c r="P61" s="25">
        <v>30</v>
      </c>
      <c r="Q61" s="24"/>
      <c r="R61" s="25">
        <v>30</v>
      </c>
      <c r="S61" s="26">
        <v>46070</v>
      </c>
      <c r="T61" s="25">
        <v>4.5</v>
      </c>
      <c r="U61" s="27">
        <v>4</v>
      </c>
      <c r="V61" s="25">
        <v>25.5</v>
      </c>
      <c r="W61" s="18" t="s">
        <v>48</v>
      </c>
      <c r="X61" s="18" t="s">
        <v>49</v>
      </c>
      <c r="Y61" s="18" t="s">
        <v>86</v>
      </c>
      <c r="Z61" s="18" t="s">
        <v>9</v>
      </c>
      <c r="AA61" s="18" t="s">
        <v>50</v>
      </c>
      <c r="AB61" s="18" t="s">
        <v>131</v>
      </c>
      <c r="AC61" s="18" t="s">
        <v>38</v>
      </c>
      <c r="AD61" s="7" t="str">
        <f t="shared" si="0"/>
        <v/>
      </c>
    </row>
    <row r="62" spans="1:49" s="28" customFormat="1" ht="35.1" customHeight="1" x14ac:dyDescent="0.25">
      <c r="A62" s="9" t="s">
        <v>134</v>
      </c>
      <c r="B62" s="10">
        <v>46070</v>
      </c>
      <c r="C62" s="10">
        <v>46070</v>
      </c>
      <c r="D62" s="11" t="s">
        <v>145</v>
      </c>
      <c r="E62" s="12">
        <v>0.83333333333333337</v>
      </c>
      <c r="F62" s="12">
        <v>0.875</v>
      </c>
      <c r="G62" s="12">
        <v>4.1666666666666664E-2</v>
      </c>
      <c r="H62" s="9" t="s">
        <v>135</v>
      </c>
      <c r="I62" s="13"/>
      <c r="J62" s="9" t="s">
        <v>41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</row>
    <row r="63" spans="1:49" s="28" customFormat="1" ht="35.1" customHeight="1" x14ac:dyDescent="0.25">
      <c r="A63" s="18" t="s">
        <v>70</v>
      </c>
      <c r="B63" s="19">
        <v>46070</v>
      </c>
      <c r="C63" s="19">
        <v>46070</v>
      </c>
      <c r="D63" s="18" t="s">
        <v>145</v>
      </c>
      <c r="E63" s="20">
        <v>0.83333333333333337</v>
      </c>
      <c r="F63" s="20">
        <v>0.875</v>
      </c>
      <c r="G63" s="20">
        <v>3.4722222222222218E-4</v>
      </c>
      <c r="H63" s="18" t="s">
        <v>168</v>
      </c>
      <c r="I63" s="23">
        <v>0.85530092592592588</v>
      </c>
      <c r="J63" s="18" t="s">
        <v>41</v>
      </c>
      <c r="K63" s="18" t="s">
        <v>143</v>
      </c>
      <c r="L63" s="24">
        <v>1</v>
      </c>
      <c r="M63" s="24">
        <v>70981</v>
      </c>
      <c r="N63" s="18" t="s">
        <v>54</v>
      </c>
      <c r="O63" s="24" t="str">
        <f>AC63</f>
        <v>CVC</v>
      </c>
      <c r="P63" s="25">
        <v>58.82</v>
      </c>
      <c r="Q63" s="24"/>
      <c r="R63" s="25">
        <v>58.82</v>
      </c>
      <c r="S63" s="26">
        <v>46054</v>
      </c>
      <c r="T63" s="25">
        <v>4.4115000000000002</v>
      </c>
      <c r="U63" s="27">
        <v>4</v>
      </c>
      <c r="V63" s="25">
        <v>54.408500000000004</v>
      </c>
      <c r="W63" s="18" t="s">
        <v>48</v>
      </c>
      <c r="X63" s="18" t="s">
        <v>49</v>
      </c>
      <c r="Y63" s="18" t="s">
        <v>36</v>
      </c>
      <c r="Z63" s="18" t="s">
        <v>9</v>
      </c>
      <c r="AA63" s="18" t="s">
        <v>50</v>
      </c>
      <c r="AB63" s="18" t="s">
        <v>72</v>
      </c>
      <c r="AC63" s="18" t="s">
        <v>38</v>
      </c>
      <c r="AD63" s="7" t="str">
        <f t="shared" si="0"/>
        <v/>
      </c>
    </row>
    <row r="64" spans="1:49" s="28" customFormat="1" ht="35.1" customHeight="1" x14ac:dyDescent="0.25">
      <c r="A64" s="18" t="s">
        <v>121</v>
      </c>
      <c r="B64" s="19">
        <v>46070</v>
      </c>
      <c r="C64" s="19">
        <v>46070</v>
      </c>
      <c r="D64" s="18" t="s">
        <v>145</v>
      </c>
      <c r="E64" s="20">
        <v>0.79166666666666663</v>
      </c>
      <c r="F64" s="20">
        <v>0.99930555555555556</v>
      </c>
      <c r="G64" s="21">
        <v>1.7361111111111109E-4</v>
      </c>
      <c r="H64" s="22" t="s">
        <v>122</v>
      </c>
      <c r="I64" s="23">
        <v>0.87420138888888888</v>
      </c>
      <c r="J64" s="18" t="s">
        <v>123</v>
      </c>
      <c r="K64" s="18" t="s">
        <v>143</v>
      </c>
      <c r="L64" s="24">
        <v>1</v>
      </c>
      <c r="M64" s="24">
        <v>69567</v>
      </c>
      <c r="N64" s="18" t="s">
        <v>46</v>
      </c>
      <c r="O64" s="24" t="s">
        <v>124</v>
      </c>
      <c r="P64" s="25">
        <v>0</v>
      </c>
      <c r="Q64" s="24"/>
      <c r="R64" s="25">
        <v>0</v>
      </c>
      <c r="S64" s="26">
        <v>46054</v>
      </c>
      <c r="T64" s="25">
        <v>0</v>
      </c>
      <c r="U64" s="27">
        <v>4</v>
      </c>
      <c r="V64" s="25">
        <v>0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50</v>
      </c>
      <c r="AB64" s="18" t="s">
        <v>125</v>
      </c>
      <c r="AC64" s="18" t="s">
        <v>38</v>
      </c>
      <c r="AD64" s="7" t="str">
        <f t="shared" si="0"/>
        <v/>
      </c>
    </row>
    <row r="65" spans="1:49" s="28" customFormat="1" ht="35.1" customHeight="1" x14ac:dyDescent="0.25">
      <c r="A65" s="18" t="s">
        <v>121</v>
      </c>
      <c r="B65" s="19">
        <v>46070</v>
      </c>
      <c r="C65" s="19">
        <v>46070</v>
      </c>
      <c r="D65" s="18" t="s">
        <v>145</v>
      </c>
      <c r="E65" s="20">
        <v>0.79166666666666663</v>
      </c>
      <c r="F65" s="20">
        <v>0.99930555555555556</v>
      </c>
      <c r="G65" s="21">
        <v>1.7361111111111109E-4</v>
      </c>
      <c r="H65" s="22" t="s">
        <v>126</v>
      </c>
      <c r="I65" s="23">
        <v>0.87472222222222218</v>
      </c>
      <c r="J65" s="18" t="s">
        <v>123</v>
      </c>
      <c r="K65" s="18" t="s">
        <v>143</v>
      </c>
      <c r="L65" s="24">
        <v>1</v>
      </c>
      <c r="M65" s="24">
        <v>69567</v>
      </c>
      <c r="N65" s="18" t="s">
        <v>46</v>
      </c>
      <c r="O65" s="24" t="s">
        <v>124</v>
      </c>
      <c r="P65" s="25">
        <v>0</v>
      </c>
      <c r="Q65" s="24"/>
      <c r="R65" s="25">
        <v>0</v>
      </c>
      <c r="S65" s="26">
        <v>46054</v>
      </c>
      <c r="T65" s="25">
        <v>0</v>
      </c>
      <c r="U65" s="27">
        <v>4</v>
      </c>
      <c r="V65" s="25">
        <v>0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50</v>
      </c>
      <c r="AB65" s="18" t="s">
        <v>125</v>
      </c>
      <c r="AC65" s="18" t="s">
        <v>38</v>
      </c>
      <c r="AD65" s="7" t="str">
        <f t="shared" si="0"/>
        <v/>
      </c>
    </row>
    <row r="66" spans="1:49" s="28" customFormat="1" ht="35.1" customHeight="1" x14ac:dyDescent="0.25">
      <c r="A66" s="9" t="s">
        <v>136</v>
      </c>
      <c r="B66" s="10">
        <v>46070</v>
      </c>
      <c r="C66" s="10">
        <v>46070</v>
      </c>
      <c r="D66" s="11" t="s">
        <v>145</v>
      </c>
      <c r="E66" s="12">
        <v>0.875</v>
      </c>
      <c r="F66" s="12">
        <v>0.91666666666666663</v>
      </c>
      <c r="G66" s="12">
        <v>4.1666666666666664E-2</v>
      </c>
      <c r="H66" s="9" t="s">
        <v>137</v>
      </c>
      <c r="I66" s="13"/>
      <c r="J66" s="9" t="s">
        <v>41</v>
      </c>
      <c r="K66" s="9"/>
      <c r="L66" s="14">
        <v>1</v>
      </c>
      <c r="M66" s="14">
        <v>1</v>
      </c>
      <c r="N66" s="9" t="s">
        <v>33</v>
      </c>
      <c r="O66" s="9"/>
      <c r="P66" s="16">
        <v>0</v>
      </c>
      <c r="Q66" s="14"/>
      <c r="R66" s="16">
        <v>0</v>
      </c>
      <c r="S66" s="9">
        <v>46054</v>
      </c>
      <c r="T66" s="16">
        <v>0</v>
      </c>
      <c r="U66" s="14">
        <v>2</v>
      </c>
      <c r="V66" s="16">
        <v>0</v>
      </c>
      <c r="W66" s="9" t="s">
        <v>34</v>
      </c>
      <c r="X66" s="9" t="s">
        <v>42</v>
      </c>
      <c r="Y66" s="9" t="s">
        <v>36</v>
      </c>
      <c r="Z66" s="9" t="s">
        <v>43</v>
      </c>
      <c r="AA66" s="9" t="s">
        <v>37</v>
      </c>
      <c r="AB66" s="9" t="s">
        <v>37</v>
      </c>
      <c r="AC66" s="9" t="s">
        <v>38</v>
      </c>
      <c r="AD66" s="7" t="str">
        <f t="shared" si="0"/>
        <v/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28" customFormat="1" ht="35.1" customHeight="1" x14ac:dyDescent="0.25">
      <c r="A67" s="18" t="s">
        <v>129</v>
      </c>
      <c r="B67" s="19">
        <v>46070</v>
      </c>
      <c r="C67" s="19">
        <v>46070</v>
      </c>
      <c r="D67" s="18" t="s">
        <v>145</v>
      </c>
      <c r="E67" s="20">
        <v>0.83333333333333337</v>
      </c>
      <c r="F67" s="20">
        <v>0.91666666666666663</v>
      </c>
      <c r="G67" s="20">
        <v>1.7361111111111109E-4</v>
      </c>
      <c r="H67" s="18" t="s">
        <v>169</v>
      </c>
      <c r="I67" s="23">
        <v>0.8925925925925926</v>
      </c>
      <c r="J67" s="18" t="s">
        <v>41</v>
      </c>
      <c r="K67" s="18" t="s">
        <v>137</v>
      </c>
      <c r="L67" s="24">
        <v>1</v>
      </c>
      <c r="M67" s="24">
        <v>71277</v>
      </c>
      <c r="N67" s="18" t="s">
        <v>54</v>
      </c>
      <c r="O67" s="24" t="s">
        <v>38</v>
      </c>
      <c r="P67" s="25">
        <v>30</v>
      </c>
      <c r="Q67" s="24"/>
      <c r="R67" s="25">
        <v>30</v>
      </c>
      <c r="S67" s="26">
        <v>46070</v>
      </c>
      <c r="T67" s="25">
        <v>4.5</v>
      </c>
      <c r="U67" s="27">
        <v>4</v>
      </c>
      <c r="V67" s="25">
        <v>25.5</v>
      </c>
      <c r="W67" s="18" t="s">
        <v>48</v>
      </c>
      <c r="X67" s="18" t="s">
        <v>49</v>
      </c>
      <c r="Y67" s="18" t="s">
        <v>86</v>
      </c>
      <c r="Z67" s="18" t="s">
        <v>9</v>
      </c>
      <c r="AA67" s="18" t="s">
        <v>50</v>
      </c>
      <c r="AB67" s="18" t="s">
        <v>131</v>
      </c>
      <c r="AC67" s="18" t="s">
        <v>38</v>
      </c>
      <c r="AD67" s="7" t="str">
        <f t="shared" ref="AD67:AD72" si="1">IF(N67="PRG","",IF(I67&gt;=E67,IF(I67&lt;=F67,"","NO"),"NO"))</f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28" customFormat="1" ht="35.1" customHeight="1" x14ac:dyDescent="0.25">
      <c r="A68" s="18" t="s">
        <v>60</v>
      </c>
      <c r="B68" s="19">
        <v>46070</v>
      </c>
      <c r="C68" s="19">
        <v>46070</v>
      </c>
      <c r="D68" s="18" t="s">
        <v>145</v>
      </c>
      <c r="E68" s="20">
        <v>0.25</v>
      </c>
      <c r="F68" s="20">
        <v>0.99930555555555556</v>
      </c>
      <c r="G68" s="20">
        <v>3.4722222222222218E-4</v>
      </c>
      <c r="H68" s="18" t="s">
        <v>61</v>
      </c>
      <c r="I68" s="23">
        <v>0.90061342592592597</v>
      </c>
      <c r="J68" s="18" t="s">
        <v>41</v>
      </c>
      <c r="K68" s="18" t="s">
        <v>137</v>
      </c>
      <c r="L68" s="24">
        <v>1</v>
      </c>
      <c r="M68" s="24">
        <v>64415</v>
      </c>
      <c r="N68" s="18" t="s">
        <v>46</v>
      </c>
      <c r="O68" s="24" t="s">
        <v>62</v>
      </c>
      <c r="P68" s="25">
        <v>0</v>
      </c>
      <c r="Q68" s="24"/>
      <c r="R68" s="25">
        <v>0</v>
      </c>
      <c r="S68" s="26">
        <v>46054</v>
      </c>
      <c r="T68" s="25">
        <v>0</v>
      </c>
      <c r="U68" s="27">
        <v>4</v>
      </c>
      <c r="V68" s="25">
        <v>0</v>
      </c>
      <c r="W68" s="18" t="s">
        <v>48</v>
      </c>
      <c r="X68" s="18" t="s">
        <v>49</v>
      </c>
      <c r="Y68" s="18" t="s">
        <v>36</v>
      </c>
      <c r="Z68" s="18" t="s">
        <v>9</v>
      </c>
      <c r="AA68" s="18" t="s">
        <v>50</v>
      </c>
      <c r="AB68" s="18" t="s">
        <v>63</v>
      </c>
      <c r="AC68" s="18" t="s">
        <v>38</v>
      </c>
      <c r="AD68" s="7" t="str">
        <f t="shared" si="1"/>
        <v/>
      </c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</row>
    <row r="69" spans="1:49" s="28" customFormat="1" ht="35.1" customHeight="1" x14ac:dyDescent="0.25">
      <c r="A69" s="9" t="s">
        <v>136</v>
      </c>
      <c r="B69" s="10">
        <v>46070</v>
      </c>
      <c r="C69" s="10">
        <v>46070</v>
      </c>
      <c r="D69" s="11" t="s">
        <v>145</v>
      </c>
      <c r="E69" s="12">
        <v>0.91666666666666663</v>
      </c>
      <c r="F69" s="12">
        <v>0.97916666666666663</v>
      </c>
      <c r="G69" s="12">
        <v>6.25E-2</v>
      </c>
      <c r="H69" s="9" t="s">
        <v>170</v>
      </c>
      <c r="I69" s="13"/>
      <c r="J69" s="9" t="s">
        <v>41</v>
      </c>
      <c r="K69" s="9"/>
      <c r="L69" s="14">
        <v>1</v>
      </c>
      <c r="M69" s="14">
        <v>1</v>
      </c>
      <c r="N69" s="9" t="s">
        <v>33</v>
      </c>
      <c r="O69" s="9"/>
      <c r="P69" s="16">
        <v>0</v>
      </c>
      <c r="Q69" s="14"/>
      <c r="R69" s="16">
        <v>0</v>
      </c>
      <c r="S69" s="9">
        <v>46054</v>
      </c>
      <c r="T69" s="16">
        <v>0</v>
      </c>
      <c r="U69" s="14">
        <v>2</v>
      </c>
      <c r="V69" s="16">
        <v>0</v>
      </c>
      <c r="W69" s="9" t="s">
        <v>34</v>
      </c>
      <c r="X69" s="9" t="s">
        <v>42</v>
      </c>
      <c r="Y69" s="9" t="s">
        <v>36</v>
      </c>
      <c r="Z69" s="9" t="s">
        <v>43</v>
      </c>
      <c r="AA69" s="9" t="s">
        <v>37</v>
      </c>
      <c r="AB69" s="9" t="s">
        <v>37</v>
      </c>
      <c r="AC69" s="9" t="s">
        <v>38</v>
      </c>
      <c r="AD69" s="7" t="str">
        <f t="shared" si="1"/>
        <v/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28" customFormat="1" ht="35.1" customHeight="1" x14ac:dyDescent="0.25">
      <c r="A70" s="18" t="s">
        <v>121</v>
      </c>
      <c r="B70" s="19">
        <v>46070</v>
      </c>
      <c r="C70" s="19">
        <v>46070</v>
      </c>
      <c r="D70" s="18" t="s">
        <v>145</v>
      </c>
      <c r="E70" s="20">
        <v>0.79166666666666663</v>
      </c>
      <c r="F70" s="20">
        <v>0.99930555555555556</v>
      </c>
      <c r="G70" s="21">
        <v>1.7361111111111109E-4</v>
      </c>
      <c r="H70" s="22" t="s">
        <v>122</v>
      </c>
      <c r="I70" s="23">
        <v>0.93768518518518518</v>
      </c>
      <c r="J70" s="18" t="s">
        <v>123</v>
      </c>
      <c r="K70" s="18" t="s">
        <v>170</v>
      </c>
      <c r="L70" s="24">
        <v>1</v>
      </c>
      <c r="M70" s="24">
        <v>69567</v>
      </c>
      <c r="N70" s="18" t="s">
        <v>46</v>
      </c>
      <c r="O70" s="24" t="s">
        <v>124</v>
      </c>
      <c r="P70" s="25">
        <v>0</v>
      </c>
      <c r="Q70" s="24"/>
      <c r="R70" s="25">
        <v>0</v>
      </c>
      <c r="S70" s="26">
        <v>46054</v>
      </c>
      <c r="T70" s="25">
        <v>0</v>
      </c>
      <c r="U70" s="27">
        <v>4</v>
      </c>
      <c r="V70" s="25">
        <v>0</v>
      </c>
      <c r="W70" s="18" t="s">
        <v>48</v>
      </c>
      <c r="X70" s="18" t="s">
        <v>49</v>
      </c>
      <c r="Y70" s="18" t="s">
        <v>36</v>
      </c>
      <c r="Z70" s="18" t="s">
        <v>9</v>
      </c>
      <c r="AA70" s="18" t="s">
        <v>50</v>
      </c>
      <c r="AB70" s="18" t="s">
        <v>125</v>
      </c>
      <c r="AC70" s="18" t="s">
        <v>38</v>
      </c>
      <c r="AD70" s="7" t="str">
        <f t="shared" si="1"/>
        <v/>
      </c>
    </row>
    <row r="71" spans="1:49" s="28" customFormat="1" ht="35.1" customHeight="1" x14ac:dyDescent="0.25">
      <c r="A71" s="18" t="s">
        <v>121</v>
      </c>
      <c r="B71" s="19">
        <v>46070</v>
      </c>
      <c r="C71" s="19">
        <v>46070</v>
      </c>
      <c r="D71" s="18" t="s">
        <v>145</v>
      </c>
      <c r="E71" s="20">
        <v>0.79166666666666663</v>
      </c>
      <c r="F71" s="20">
        <v>0.99930555555555556</v>
      </c>
      <c r="G71" s="21">
        <v>1.7361111111111109E-4</v>
      </c>
      <c r="H71" s="22" t="s">
        <v>126</v>
      </c>
      <c r="I71" s="23">
        <v>0.9397685185185185</v>
      </c>
      <c r="J71" s="18" t="s">
        <v>123</v>
      </c>
      <c r="K71" s="18" t="s">
        <v>170</v>
      </c>
      <c r="L71" s="24">
        <v>1</v>
      </c>
      <c r="M71" s="24">
        <v>69567</v>
      </c>
      <c r="N71" s="18" t="s">
        <v>46</v>
      </c>
      <c r="O71" s="24" t="s">
        <v>124</v>
      </c>
      <c r="P71" s="25">
        <v>0</v>
      </c>
      <c r="Q71" s="24"/>
      <c r="R71" s="25">
        <v>0</v>
      </c>
      <c r="S71" s="26">
        <v>46054</v>
      </c>
      <c r="T71" s="25">
        <v>0</v>
      </c>
      <c r="U71" s="27">
        <v>4</v>
      </c>
      <c r="V71" s="25">
        <v>0</v>
      </c>
      <c r="W71" s="18" t="s">
        <v>48</v>
      </c>
      <c r="X71" s="18" t="s">
        <v>49</v>
      </c>
      <c r="Y71" s="18" t="s">
        <v>36</v>
      </c>
      <c r="Z71" s="18" t="s">
        <v>9</v>
      </c>
      <c r="AA71" s="18" t="s">
        <v>50</v>
      </c>
      <c r="AB71" s="18" t="s">
        <v>125</v>
      </c>
      <c r="AC71" s="18" t="s">
        <v>38</v>
      </c>
      <c r="AD71" s="7" t="str">
        <f t="shared" si="1"/>
        <v/>
      </c>
    </row>
    <row r="72" spans="1:49" s="28" customFormat="1" ht="35.1" customHeight="1" x14ac:dyDescent="0.25">
      <c r="A72" s="9" t="s">
        <v>39</v>
      </c>
      <c r="B72" s="10">
        <v>46070</v>
      </c>
      <c r="C72" s="10">
        <v>46070</v>
      </c>
      <c r="D72" s="11" t="s">
        <v>145</v>
      </c>
      <c r="E72" s="12">
        <v>0.97916666666666663</v>
      </c>
      <c r="F72" s="12">
        <v>1</v>
      </c>
      <c r="G72" s="12">
        <v>2.0833333333333332E-2</v>
      </c>
      <c r="H72" s="9" t="s">
        <v>139</v>
      </c>
      <c r="I72" s="13"/>
      <c r="J72" s="9" t="s">
        <v>120</v>
      </c>
      <c r="K72" s="9"/>
      <c r="L72" s="14">
        <v>1</v>
      </c>
      <c r="M72" s="14">
        <v>1</v>
      </c>
      <c r="N72" s="9" t="s">
        <v>33</v>
      </c>
      <c r="O72" s="9"/>
      <c r="P72" s="16">
        <v>0</v>
      </c>
      <c r="Q72" s="14"/>
      <c r="R72" s="16">
        <v>0</v>
      </c>
      <c r="S72" s="9">
        <v>46054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72" xr:uid="{A2366463-82ED-4C0B-BCA1-21B77611FCD9}"/>
  <sortState xmlns:xlrd2="http://schemas.microsoft.com/office/spreadsheetml/2017/richdata2" ref="A2:AD326">
    <sortCondition sortBy="cellColor" ref="E1:E500" dxfId="35"/>
  </sortState>
  <conditionalFormatting sqref="AD1:AD72">
    <cfRule type="cellIs" dxfId="34" priority="3" operator="equal">
      <formula>"NO"</formula>
    </cfRule>
  </conditionalFormatting>
  <conditionalFormatting sqref="E2:F72">
    <cfRule type="timePeriod" dxfId="33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46071</v>
      </c>
      <c r="C2" s="10">
        <v>46071</v>
      </c>
      <c r="D2" s="11" t="s">
        <v>177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</row>
    <row r="3" spans="1:49" s="28" customFormat="1" ht="35.1" customHeight="1" x14ac:dyDescent="0.25">
      <c r="A3" s="9" t="s">
        <v>39</v>
      </c>
      <c r="B3" s="10">
        <v>46071</v>
      </c>
      <c r="C3" s="10">
        <v>46071</v>
      </c>
      <c r="D3" s="11" t="s">
        <v>177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5">
      <c r="A4" s="18" t="s">
        <v>44</v>
      </c>
      <c r="B4" s="19">
        <v>46071</v>
      </c>
      <c r="C4" s="19">
        <v>46071</v>
      </c>
      <c r="D4" s="18" t="s">
        <v>177</v>
      </c>
      <c r="E4" s="20">
        <v>0.25</v>
      </c>
      <c r="F4" s="20">
        <v>0.875</v>
      </c>
      <c r="G4" s="21">
        <v>1.7361111111111109E-4</v>
      </c>
      <c r="H4" s="22" t="s">
        <v>52</v>
      </c>
      <c r="I4" s="23">
        <v>0.26472222222222225</v>
      </c>
      <c r="J4" s="18" t="s">
        <v>41</v>
      </c>
      <c r="K4" s="18" t="s">
        <v>40</v>
      </c>
      <c r="L4" s="24">
        <v>1</v>
      </c>
      <c r="M4" s="24">
        <v>71013</v>
      </c>
      <c r="N4" s="18" t="s">
        <v>54</v>
      </c>
      <c r="O4" s="24" t="s">
        <v>47</v>
      </c>
      <c r="P4" s="25">
        <v>15</v>
      </c>
      <c r="Q4" s="24"/>
      <c r="R4" s="25">
        <v>15</v>
      </c>
      <c r="S4" s="26">
        <v>46054</v>
      </c>
      <c r="T4" s="25">
        <v>2.25</v>
      </c>
      <c r="U4" s="27">
        <v>4</v>
      </c>
      <c r="V4" s="25">
        <v>12.75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5">
      <c r="A5" s="18" t="s">
        <v>44</v>
      </c>
      <c r="B5" s="19">
        <v>46071</v>
      </c>
      <c r="C5" s="19">
        <v>46071</v>
      </c>
      <c r="D5" s="18" t="s">
        <v>177</v>
      </c>
      <c r="E5" s="20">
        <v>0.25</v>
      </c>
      <c r="F5" s="20">
        <v>0.875</v>
      </c>
      <c r="G5" s="21">
        <v>1.7361111111111109E-4</v>
      </c>
      <c r="H5" s="22" t="s">
        <v>146</v>
      </c>
      <c r="I5" s="23">
        <v>0.26645833333333335</v>
      </c>
      <c r="J5" s="18" t="s">
        <v>41</v>
      </c>
      <c r="K5" s="18" t="s">
        <v>40</v>
      </c>
      <c r="L5" s="24">
        <v>1</v>
      </c>
      <c r="M5" s="24">
        <v>71013</v>
      </c>
      <c r="N5" s="18" t="s">
        <v>54</v>
      </c>
      <c r="O5" s="24" t="s">
        <v>47</v>
      </c>
      <c r="P5" s="25">
        <v>15</v>
      </c>
      <c r="Q5" s="24"/>
      <c r="R5" s="25">
        <v>15</v>
      </c>
      <c r="S5" s="26">
        <v>46054</v>
      </c>
      <c r="T5" s="25">
        <v>2.25</v>
      </c>
      <c r="U5" s="27">
        <v>4</v>
      </c>
      <c r="V5" s="25">
        <v>12.75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3" customFormat="1" ht="35.1" customHeight="1" x14ac:dyDescent="0.25">
      <c r="A6" s="18" t="s">
        <v>44</v>
      </c>
      <c r="B6" s="19">
        <v>46071</v>
      </c>
      <c r="C6" s="19">
        <v>46071</v>
      </c>
      <c r="D6" s="18" t="s">
        <v>177</v>
      </c>
      <c r="E6" s="20">
        <v>0.25</v>
      </c>
      <c r="F6" s="20">
        <v>0.99930555555555556</v>
      </c>
      <c r="G6" s="21">
        <v>1.7361111111111109E-4</v>
      </c>
      <c r="H6" s="22" t="s">
        <v>52</v>
      </c>
      <c r="I6" s="23">
        <v>0.28396990740740741</v>
      </c>
      <c r="J6" s="18" t="s">
        <v>41</v>
      </c>
      <c r="K6" s="18" t="s">
        <v>40</v>
      </c>
      <c r="L6" s="24">
        <v>1</v>
      </c>
      <c r="M6" s="24">
        <v>71016</v>
      </c>
      <c r="N6" s="18" t="s">
        <v>46</v>
      </c>
      <c r="O6" s="24" t="s">
        <v>47</v>
      </c>
      <c r="P6" s="25">
        <v>0</v>
      </c>
      <c r="Q6" s="24"/>
      <c r="R6" s="25">
        <v>0</v>
      </c>
      <c r="S6" s="26">
        <v>46054</v>
      </c>
      <c r="T6" s="25">
        <v>0</v>
      </c>
      <c r="U6" s="27">
        <v>4</v>
      </c>
      <c r="V6" s="25">
        <v>0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51</v>
      </c>
      <c r="AC6" s="18" t="s">
        <v>38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28" customFormat="1" ht="35.1" customHeight="1" x14ac:dyDescent="0.25">
      <c r="A7" s="18" t="s">
        <v>44</v>
      </c>
      <c r="B7" s="19">
        <v>46071</v>
      </c>
      <c r="C7" s="19">
        <v>46071</v>
      </c>
      <c r="D7" s="18" t="s">
        <v>177</v>
      </c>
      <c r="E7" s="20">
        <v>0.25</v>
      </c>
      <c r="F7" s="20">
        <v>0.99930555555555556</v>
      </c>
      <c r="G7" s="21">
        <v>1.7361111111111109E-4</v>
      </c>
      <c r="H7" s="22" t="s">
        <v>146</v>
      </c>
      <c r="I7" s="23">
        <v>0.28587962962962965</v>
      </c>
      <c r="J7" s="18" t="s">
        <v>41</v>
      </c>
      <c r="K7" s="18" t="s">
        <v>40</v>
      </c>
      <c r="L7" s="24">
        <v>1</v>
      </c>
      <c r="M7" s="24">
        <v>71016</v>
      </c>
      <c r="N7" s="18" t="s">
        <v>46</v>
      </c>
      <c r="O7" s="24" t="s">
        <v>47</v>
      </c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51</v>
      </c>
      <c r="AC7" s="18" t="s">
        <v>38</v>
      </c>
      <c r="AD7" s="7" t="str">
        <f t="shared" si="0"/>
        <v/>
      </c>
    </row>
    <row r="8" spans="1:49" s="28" customFormat="1" ht="35.1" customHeight="1" x14ac:dyDescent="0.25">
      <c r="A8" s="9" t="s">
        <v>64</v>
      </c>
      <c r="B8" s="10">
        <v>46071</v>
      </c>
      <c r="C8" s="10">
        <v>46071</v>
      </c>
      <c r="D8" s="11" t="s">
        <v>177</v>
      </c>
      <c r="E8" s="12">
        <v>0.29166666666666669</v>
      </c>
      <c r="F8" s="12">
        <v>0.3125</v>
      </c>
      <c r="G8" s="12">
        <v>2.0833333333333332E-2</v>
      </c>
      <c r="H8" s="9" t="s">
        <v>178</v>
      </c>
      <c r="I8" s="13" t="s">
        <v>66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3" customFormat="1" ht="35.1" customHeight="1" x14ac:dyDescent="0.2">
      <c r="A9" s="9" t="s">
        <v>64</v>
      </c>
      <c r="B9" s="10">
        <v>46071</v>
      </c>
      <c r="C9" s="10">
        <v>46071</v>
      </c>
      <c r="D9" s="11" t="s">
        <v>177</v>
      </c>
      <c r="E9" s="12">
        <v>0.3125</v>
      </c>
      <c r="F9" s="12">
        <v>0.33333333333333331</v>
      </c>
      <c r="G9" s="12">
        <v>2.0833333333333332E-2</v>
      </c>
      <c r="H9" s="9" t="s">
        <v>178</v>
      </c>
      <c r="I9" s="13" t="s">
        <v>66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18" t="s">
        <v>70</v>
      </c>
      <c r="B10" s="19">
        <v>46071</v>
      </c>
      <c r="C10" s="19">
        <v>46071</v>
      </c>
      <c r="D10" s="18" t="s">
        <v>177</v>
      </c>
      <c r="E10" s="20">
        <v>0.25</v>
      </c>
      <c r="F10" s="20">
        <v>0.99930555555555556</v>
      </c>
      <c r="G10" s="20">
        <v>3.4722222222222218E-4</v>
      </c>
      <c r="H10" s="18" t="s">
        <v>168</v>
      </c>
      <c r="I10" s="23">
        <v>0.33211805555555557</v>
      </c>
      <c r="J10" s="18" t="s">
        <v>41</v>
      </c>
      <c r="K10" s="18" t="s">
        <v>178</v>
      </c>
      <c r="L10" s="24">
        <v>1</v>
      </c>
      <c r="M10" s="24">
        <v>70983</v>
      </c>
      <c r="N10" s="18" t="s">
        <v>46</v>
      </c>
      <c r="O10" s="24" t="str">
        <f>AC10</f>
        <v>CVC</v>
      </c>
      <c r="P10" s="25">
        <v>0</v>
      </c>
      <c r="Q10" s="24"/>
      <c r="R10" s="25">
        <v>0</v>
      </c>
      <c r="S10" s="26">
        <v>46054</v>
      </c>
      <c r="T10" s="25">
        <v>0</v>
      </c>
      <c r="U10" s="27">
        <v>4</v>
      </c>
      <c r="V10" s="25">
        <v>0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50</v>
      </c>
      <c r="AB10" s="18" t="s">
        <v>72</v>
      </c>
      <c r="AC10" s="18" t="s">
        <v>38</v>
      </c>
      <c r="AD10" s="7" t="str">
        <f t="shared" si="0"/>
        <v/>
      </c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</row>
    <row r="11" spans="1:49" s="33" customFormat="1" ht="35.1" customHeight="1" x14ac:dyDescent="0.2">
      <c r="A11" s="9" t="s">
        <v>67</v>
      </c>
      <c r="B11" s="10">
        <v>46071</v>
      </c>
      <c r="C11" s="10">
        <v>46071</v>
      </c>
      <c r="D11" s="11" t="s">
        <v>177</v>
      </c>
      <c r="E11" s="12">
        <v>0.33333333333333331</v>
      </c>
      <c r="F11" s="12">
        <v>0.375</v>
      </c>
      <c r="G11" s="12">
        <v>4.1666666666666664E-2</v>
      </c>
      <c r="H11" s="9" t="s">
        <v>68</v>
      </c>
      <c r="I11" s="13"/>
      <c r="J11" s="9" t="s">
        <v>69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5">
      <c r="A12" s="18" t="s">
        <v>44</v>
      </c>
      <c r="B12" s="19">
        <v>46071</v>
      </c>
      <c r="C12" s="19">
        <v>46071</v>
      </c>
      <c r="D12" s="18" t="s">
        <v>177</v>
      </c>
      <c r="E12" s="20">
        <v>0.33333333333333331</v>
      </c>
      <c r="F12" s="20">
        <v>0.41666666666666669</v>
      </c>
      <c r="G12" s="20">
        <v>1.157407407407407E-4</v>
      </c>
      <c r="H12" s="18" t="s">
        <v>73</v>
      </c>
      <c r="I12" s="23">
        <v>0.33894675925925927</v>
      </c>
      <c r="J12" s="18" t="s">
        <v>69</v>
      </c>
      <c r="K12" s="18" t="s">
        <v>68</v>
      </c>
      <c r="L12" s="24">
        <v>1</v>
      </c>
      <c r="M12" s="24">
        <v>71105</v>
      </c>
      <c r="N12" s="18" t="s">
        <v>46</v>
      </c>
      <c r="O12" s="24" t="s">
        <v>47</v>
      </c>
      <c r="P12" s="25">
        <v>0</v>
      </c>
      <c r="Q12" s="24"/>
      <c r="R12" s="25">
        <v>0</v>
      </c>
      <c r="S12" s="26">
        <v>46054</v>
      </c>
      <c r="T12" s="25">
        <v>0</v>
      </c>
      <c r="U12" s="27">
        <v>4</v>
      </c>
      <c r="V12" s="25">
        <v>0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51</v>
      </c>
      <c r="AC12" s="18" t="s">
        <v>38</v>
      </c>
      <c r="AD12" s="7" t="str">
        <f t="shared" si="0"/>
        <v/>
      </c>
    </row>
    <row r="13" spans="1:49" s="28" customFormat="1" ht="35.1" customHeight="1" x14ac:dyDescent="0.25">
      <c r="A13" s="18" t="s">
        <v>70</v>
      </c>
      <c r="B13" s="19">
        <v>46071</v>
      </c>
      <c r="C13" s="19">
        <v>46071</v>
      </c>
      <c r="D13" s="18" t="s">
        <v>177</v>
      </c>
      <c r="E13" s="20">
        <v>0.33333333333333331</v>
      </c>
      <c r="F13" s="20">
        <v>0.41666666666666669</v>
      </c>
      <c r="G13" s="20">
        <v>3.4722222222222218E-4</v>
      </c>
      <c r="H13" s="18" t="s">
        <v>71</v>
      </c>
      <c r="I13" s="23">
        <v>0.3538425925925926</v>
      </c>
      <c r="J13" s="18" t="s">
        <v>69</v>
      </c>
      <c r="K13" s="18" t="s">
        <v>68</v>
      </c>
      <c r="L13" s="24">
        <v>1</v>
      </c>
      <c r="M13" s="24">
        <v>70994</v>
      </c>
      <c r="N13" s="18" t="s">
        <v>54</v>
      </c>
      <c r="O13" s="24" t="str">
        <f>AC13</f>
        <v>CVC</v>
      </c>
      <c r="P13" s="25">
        <v>58.82</v>
      </c>
      <c r="Q13" s="24"/>
      <c r="R13" s="25">
        <v>58.82</v>
      </c>
      <c r="S13" s="26">
        <v>46054</v>
      </c>
      <c r="T13" s="25">
        <v>4.4115000000000002</v>
      </c>
      <c r="U13" s="27">
        <v>4</v>
      </c>
      <c r="V13" s="25">
        <v>54.408500000000004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50</v>
      </c>
      <c r="AB13" s="18" t="s">
        <v>72</v>
      </c>
      <c r="AC13" s="18" t="s">
        <v>38</v>
      </c>
      <c r="AD13" s="7" t="str">
        <f t="shared" si="0"/>
        <v/>
      </c>
    </row>
    <row r="14" spans="1:49" s="33" customFormat="1" ht="35.1" customHeight="1" x14ac:dyDescent="0.2">
      <c r="A14" s="9" t="s">
        <v>67</v>
      </c>
      <c r="B14" s="10">
        <v>46071</v>
      </c>
      <c r="C14" s="10">
        <v>46071</v>
      </c>
      <c r="D14" s="11" t="s">
        <v>177</v>
      </c>
      <c r="E14" s="12">
        <v>0.375</v>
      </c>
      <c r="F14" s="12">
        <v>0.41666666666666669</v>
      </c>
      <c r="G14" s="12">
        <v>4.1666666666666664E-2</v>
      </c>
      <c r="H14" s="9" t="s">
        <v>75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5">
      <c r="A15" s="18" t="s">
        <v>44</v>
      </c>
      <c r="B15" s="19">
        <v>46071</v>
      </c>
      <c r="C15" s="19">
        <v>46071</v>
      </c>
      <c r="D15" s="18" t="s">
        <v>177</v>
      </c>
      <c r="E15" s="20">
        <v>0.33333333333333331</v>
      </c>
      <c r="F15" s="20">
        <v>0.41666666666666669</v>
      </c>
      <c r="G15" s="21">
        <v>1.7361111111111109E-4</v>
      </c>
      <c r="H15" s="22" t="s">
        <v>52</v>
      </c>
      <c r="I15" s="23">
        <v>0.38218750000000001</v>
      </c>
      <c r="J15" s="18" t="s">
        <v>69</v>
      </c>
      <c r="K15" s="18" t="s">
        <v>75</v>
      </c>
      <c r="L15" s="24">
        <v>1</v>
      </c>
      <c r="M15" s="24">
        <v>71020</v>
      </c>
      <c r="N15" s="18" t="s">
        <v>46</v>
      </c>
      <c r="O15" s="24" t="s">
        <v>47</v>
      </c>
      <c r="P15" s="25">
        <v>0</v>
      </c>
      <c r="Q15" s="24"/>
      <c r="R15" s="25">
        <v>0</v>
      </c>
      <c r="S15" s="26">
        <v>46054</v>
      </c>
      <c r="T15" s="25">
        <v>0</v>
      </c>
      <c r="U15" s="27">
        <v>4</v>
      </c>
      <c r="V15" s="25">
        <v>0</v>
      </c>
      <c r="W15" s="18" t="s">
        <v>48</v>
      </c>
      <c r="X15" s="18" t="s">
        <v>49</v>
      </c>
      <c r="Y15" s="18" t="s">
        <v>36</v>
      </c>
      <c r="Z15" s="18" t="s">
        <v>9</v>
      </c>
      <c r="AA15" s="18" t="s">
        <v>50</v>
      </c>
      <c r="AB15" s="18" t="s">
        <v>51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5">
      <c r="A16" s="18" t="s">
        <v>44</v>
      </c>
      <c r="B16" s="19">
        <v>46071</v>
      </c>
      <c r="C16" s="19">
        <v>46071</v>
      </c>
      <c r="D16" s="18" t="s">
        <v>177</v>
      </c>
      <c r="E16" s="20">
        <v>0.33333333333333331</v>
      </c>
      <c r="F16" s="20">
        <v>0.41666666666666669</v>
      </c>
      <c r="G16" s="21">
        <v>1.7361111111111109E-4</v>
      </c>
      <c r="H16" s="22" t="s">
        <v>146</v>
      </c>
      <c r="I16" s="23">
        <v>0.38374999999999998</v>
      </c>
      <c r="J16" s="18" t="s">
        <v>69</v>
      </c>
      <c r="K16" s="18" t="s">
        <v>75</v>
      </c>
      <c r="L16" s="24">
        <v>1</v>
      </c>
      <c r="M16" s="24">
        <v>71020</v>
      </c>
      <c r="N16" s="18" t="s">
        <v>46</v>
      </c>
      <c r="O16" s="24" t="s">
        <v>47</v>
      </c>
      <c r="P16" s="25">
        <v>0</v>
      </c>
      <c r="Q16" s="24"/>
      <c r="R16" s="25">
        <v>0</v>
      </c>
      <c r="S16" s="26">
        <v>46054</v>
      </c>
      <c r="T16" s="25">
        <v>0</v>
      </c>
      <c r="U16" s="27">
        <v>4</v>
      </c>
      <c r="V16" s="25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50</v>
      </c>
      <c r="AB16" s="18" t="s">
        <v>51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5.1" customHeight="1" x14ac:dyDescent="0.25">
      <c r="A17" s="9" t="s">
        <v>76</v>
      </c>
      <c r="B17" s="10">
        <v>46071</v>
      </c>
      <c r="C17" s="10">
        <v>46071</v>
      </c>
      <c r="D17" s="11" t="s">
        <v>177</v>
      </c>
      <c r="E17" s="12">
        <v>0.41666666666666669</v>
      </c>
      <c r="F17" s="12">
        <v>0.45833333333333331</v>
      </c>
      <c r="G17" s="12">
        <v>4.1666666666666664E-2</v>
      </c>
      <c r="H17" s="9" t="s">
        <v>77</v>
      </c>
      <c r="I17" s="13"/>
      <c r="J17" s="9" t="s">
        <v>78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</row>
    <row r="18" spans="1:49" s="33" customFormat="1" ht="35.1" customHeight="1" x14ac:dyDescent="0.25">
      <c r="A18" s="9" t="s">
        <v>79</v>
      </c>
      <c r="B18" s="10">
        <v>46071</v>
      </c>
      <c r="C18" s="10">
        <v>46071</v>
      </c>
      <c r="D18" s="11" t="s">
        <v>177</v>
      </c>
      <c r="E18" s="12">
        <v>0.45833333333333331</v>
      </c>
      <c r="F18" s="12">
        <v>0.47916666666666669</v>
      </c>
      <c r="G18" s="12">
        <v>2.0833333333333332E-2</v>
      </c>
      <c r="H18" s="9" t="s">
        <v>150</v>
      </c>
      <c r="I18" s="13"/>
      <c r="J18" s="9" t="s">
        <v>84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</row>
    <row r="19" spans="1:49" s="29" customFormat="1" ht="35.1" customHeight="1" x14ac:dyDescent="0.25">
      <c r="A19" s="18" t="s">
        <v>121</v>
      </c>
      <c r="B19" s="19">
        <v>46071</v>
      </c>
      <c r="C19" s="19">
        <v>46071</v>
      </c>
      <c r="D19" s="18" t="s">
        <v>177</v>
      </c>
      <c r="E19" s="20">
        <v>0.45833333333333331</v>
      </c>
      <c r="F19" s="20">
        <v>0.54166666666666663</v>
      </c>
      <c r="G19" s="21">
        <v>1.7361111111111109E-4</v>
      </c>
      <c r="H19" s="22" t="s">
        <v>162</v>
      </c>
      <c r="I19" s="23">
        <v>0.47224537037037034</v>
      </c>
      <c r="J19" s="18" t="s">
        <v>84</v>
      </c>
      <c r="K19" s="18" t="s">
        <v>150</v>
      </c>
      <c r="L19" s="24">
        <v>1</v>
      </c>
      <c r="M19" s="24">
        <v>69570</v>
      </c>
      <c r="N19" s="18" t="s">
        <v>54</v>
      </c>
      <c r="O19" s="24" t="s">
        <v>159</v>
      </c>
      <c r="P19" s="25">
        <v>0</v>
      </c>
      <c r="Q19" s="24"/>
      <c r="R19" s="25">
        <v>19.042139037433099</v>
      </c>
      <c r="S19" s="26">
        <v>46054</v>
      </c>
      <c r="T19" s="25">
        <v>0</v>
      </c>
      <c r="U19" s="27">
        <v>4</v>
      </c>
      <c r="V19" s="25">
        <v>0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50</v>
      </c>
      <c r="AB19" s="18" t="s">
        <v>160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5.1" customHeight="1" x14ac:dyDescent="0.25">
      <c r="A20" s="18" t="s">
        <v>121</v>
      </c>
      <c r="B20" s="19">
        <v>46071</v>
      </c>
      <c r="C20" s="19">
        <v>46071</v>
      </c>
      <c r="D20" s="18" t="s">
        <v>177</v>
      </c>
      <c r="E20" s="20">
        <v>0.45833333333333331</v>
      </c>
      <c r="F20" s="20">
        <v>0.54166666666666663</v>
      </c>
      <c r="G20" s="21">
        <v>1.7361111111111109E-4</v>
      </c>
      <c r="H20" s="22" t="s">
        <v>161</v>
      </c>
      <c r="I20" s="23">
        <v>0.47346064814814814</v>
      </c>
      <c r="J20" s="18" t="s">
        <v>84</v>
      </c>
      <c r="K20" s="18" t="s">
        <v>150</v>
      </c>
      <c r="L20" s="24">
        <v>1</v>
      </c>
      <c r="M20" s="24">
        <v>69570</v>
      </c>
      <c r="N20" s="18" t="s">
        <v>54</v>
      </c>
      <c r="O20" s="24" t="s">
        <v>159</v>
      </c>
      <c r="P20" s="25">
        <v>0</v>
      </c>
      <c r="Q20" s="24"/>
      <c r="R20" s="25">
        <v>19.042139037433099</v>
      </c>
      <c r="S20" s="26">
        <v>46054</v>
      </c>
      <c r="T20" s="25">
        <v>0</v>
      </c>
      <c r="U20" s="27">
        <v>4</v>
      </c>
      <c r="V20" s="25">
        <v>0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160</v>
      </c>
      <c r="AC20" s="18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30" customFormat="1" ht="35.1" customHeight="1" x14ac:dyDescent="0.25">
      <c r="A21" s="18" t="s">
        <v>154</v>
      </c>
      <c r="B21" s="19">
        <v>46071</v>
      </c>
      <c r="C21" s="19">
        <v>46071</v>
      </c>
      <c r="D21" s="18" t="s">
        <v>177</v>
      </c>
      <c r="E21" s="20">
        <v>0.45833333333333331</v>
      </c>
      <c r="F21" s="20">
        <v>0.54166666666666663</v>
      </c>
      <c r="G21" s="20">
        <v>3.4722222222222218E-4</v>
      </c>
      <c r="H21" s="18" t="s">
        <v>155</v>
      </c>
      <c r="I21" s="23">
        <v>0.47751157407407407</v>
      </c>
      <c r="J21" s="18" t="s">
        <v>84</v>
      </c>
      <c r="K21" s="18" t="s">
        <v>150</v>
      </c>
      <c r="L21" s="24">
        <v>1</v>
      </c>
      <c r="M21" s="24">
        <v>71251</v>
      </c>
      <c r="N21" s="18" t="s">
        <v>54</v>
      </c>
      <c r="O21" s="24" t="s">
        <v>156</v>
      </c>
      <c r="P21" s="25">
        <v>40</v>
      </c>
      <c r="Q21" s="24"/>
      <c r="R21" s="25">
        <v>40</v>
      </c>
      <c r="S21" s="26">
        <v>46071</v>
      </c>
      <c r="T21" s="25">
        <v>0</v>
      </c>
      <c r="U21" s="27">
        <v>4</v>
      </c>
      <c r="V21" s="25">
        <v>40</v>
      </c>
      <c r="W21" s="18" t="s">
        <v>48</v>
      </c>
      <c r="X21" s="18" t="s">
        <v>49</v>
      </c>
      <c r="Y21" s="18" t="s">
        <v>86</v>
      </c>
      <c r="Z21" s="18" t="s">
        <v>9</v>
      </c>
      <c r="AA21" s="18" t="s">
        <v>50</v>
      </c>
      <c r="AB21" s="18" t="s">
        <v>157</v>
      </c>
      <c r="AC21" s="18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33" customFormat="1" ht="35.1" customHeight="1" x14ac:dyDescent="0.25">
      <c r="A22" s="9" t="s">
        <v>79</v>
      </c>
      <c r="B22" s="10">
        <v>46071</v>
      </c>
      <c r="C22" s="10">
        <v>46071</v>
      </c>
      <c r="D22" s="11" t="s">
        <v>177</v>
      </c>
      <c r="E22" s="12">
        <v>0.47916666666666669</v>
      </c>
      <c r="F22" s="12">
        <v>0.5</v>
      </c>
      <c r="G22" s="12">
        <v>2.0833333333333332E-2</v>
      </c>
      <c r="H22" s="9" t="s">
        <v>179</v>
      </c>
      <c r="I22" s="13"/>
      <c r="J22" s="9" t="s">
        <v>84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30" customFormat="1" ht="35.1" customHeight="1" x14ac:dyDescent="0.25">
      <c r="A23" s="18" t="s">
        <v>82</v>
      </c>
      <c r="B23" s="19">
        <v>46071</v>
      </c>
      <c r="C23" s="19">
        <v>46071</v>
      </c>
      <c r="D23" s="18" t="s">
        <v>177</v>
      </c>
      <c r="E23" s="20">
        <v>0.45833333333333331</v>
      </c>
      <c r="F23" s="20">
        <v>0.5</v>
      </c>
      <c r="G23" s="20">
        <v>3.4722222222222218E-4</v>
      </c>
      <c r="H23" s="18" t="s">
        <v>83</v>
      </c>
      <c r="I23" s="23">
        <v>0.48349537037037038</v>
      </c>
      <c r="J23" s="18" t="s">
        <v>84</v>
      </c>
      <c r="K23" s="18" t="s">
        <v>171</v>
      </c>
      <c r="L23" s="24">
        <v>1</v>
      </c>
      <c r="M23" s="24">
        <v>70169</v>
      </c>
      <c r="N23" s="18" t="s">
        <v>54</v>
      </c>
      <c r="O23" s="24" t="s">
        <v>85</v>
      </c>
      <c r="P23" s="25">
        <v>35</v>
      </c>
      <c r="Q23" s="24"/>
      <c r="R23" s="25">
        <v>35</v>
      </c>
      <c r="S23" s="26">
        <v>46071</v>
      </c>
      <c r="T23" s="25">
        <v>0</v>
      </c>
      <c r="U23" s="27">
        <v>4</v>
      </c>
      <c r="V23" s="25">
        <v>35</v>
      </c>
      <c r="W23" s="18" t="s">
        <v>48</v>
      </c>
      <c r="X23" s="18" t="s">
        <v>49</v>
      </c>
      <c r="Y23" s="18" t="s">
        <v>86</v>
      </c>
      <c r="Z23" s="18" t="s">
        <v>43</v>
      </c>
      <c r="AA23" s="18" t="s">
        <v>50</v>
      </c>
      <c r="AB23" s="18" t="s">
        <v>87</v>
      </c>
      <c r="AC23" s="18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29" customFormat="1" ht="35.1" customHeight="1" x14ac:dyDescent="0.25">
      <c r="A24" s="18" t="s">
        <v>82</v>
      </c>
      <c r="B24" s="19">
        <v>46071</v>
      </c>
      <c r="C24" s="19">
        <v>46071</v>
      </c>
      <c r="D24" s="18" t="s">
        <v>177</v>
      </c>
      <c r="E24" s="20">
        <v>0.45833333333333331</v>
      </c>
      <c r="F24" s="20">
        <v>0.5</v>
      </c>
      <c r="G24" s="20">
        <v>3.4722222222222218E-4</v>
      </c>
      <c r="H24" s="18" t="s">
        <v>83</v>
      </c>
      <c r="I24" s="23">
        <v>0.49844907407407407</v>
      </c>
      <c r="J24" s="18" t="s">
        <v>84</v>
      </c>
      <c r="K24" s="18" t="s">
        <v>171</v>
      </c>
      <c r="L24" s="24">
        <v>1</v>
      </c>
      <c r="M24" s="24">
        <v>70169</v>
      </c>
      <c r="N24" s="18" t="s">
        <v>54</v>
      </c>
      <c r="O24" s="24" t="s">
        <v>85</v>
      </c>
      <c r="P24" s="25">
        <v>35</v>
      </c>
      <c r="Q24" s="24"/>
      <c r="R24" s="25">
        <v>35</v>
      </c>
      <c r="S24" s="26">
        <v>46071</v>
      </c>
      <c r="T24" s="25">
        <v>0</v>
      </c>
      <c r="U24" s="27">
        <v>4</v>
      </c>
      <c r="V24" s="25">
        <v>35</v>
      </c>
      <c r="W24" s="18" t="s">
        <v>48</v>
      </c>
      <c r="X24" s="18" t="s">
        <v>49</v>
      </c>
      <c r="Y24" s="18" t="s">
        <v>86</v>
      </c>
      <c r="Z24" s="18" t="s">
        <v>43</v>
      </c>
      <c r="AA24" s="18" t="s">
        <v>50</v>
      </c>
      <c r="AB24" s="18" t="s">
        <v>87</v>
      </c>
      <c r="AC24" s="18" t="s">
        <v>38</v>
      </c>
      <c r="AD24" s="7" t="str">
        <f t="shared" si="0"/>
        <v/>
      </c>
      <c r="AE24" s="28"/>
      <c r="AF24" s="28"/>
      <c r="AG24" s="28"/>
      <c r="AH24" s="28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</row>
    <row r="25" spans="1:49" s="29" customFormat="1" ht="35.1" customHeight="1" x14ac:dyDescent="0.25">
      <c r="A25" s="18" t="s">
        <v>121</v>
      </c>
      <c r="B25" s="19">
        <v>46071</v>
      </c>
      <c r="C25" s="19">
        <v>46071</v>
      </c>
      <c r="D25" s="18" t="s">
        <v>177</v>
      </c>
      <c r="E25" s="20">
        <v>0.45833333333333331</v>
      </c>
      <c r="F25" s="20">
        <v>0.54166666666666663</v>
      </c>
      <c r="G25" s="21">
        <v>1.7361111111111109E-4</v>
      </c>
      <c r="H25" s="22" t="s">
        <v>158</v>
      </c>
      <c r="I25" s="23">
        <v>0.49827546296296299</v>
      </c>
      <c r="J25" s="18" t="s">
        <v>84</v>
      </c>
      <c r="K25" s="18" t="s">
        <v>171</v>
      </c>
      <c r="L25" s="24">
        <v>1</v>
      </c>
      <c r="M25" s="24">
        <v>69570</v>
      </c>
      <c r="N25" s="18" t="s">
        <v>54</v>
      </c>
      <c r="O25" s="24" t="s">
        <v>159</v>
      </c>
      <c r="P25" s="25">
        <v>0</v>
      </c>
      <c r="Q25" s="24"/>
      <c r="R25" s="25">
        <v>19.042139037433099</v>
      </c>
      <c r="S25" s="26">
        <v>46054</v>
      </c>
      <c r="T25" s="25">
        <v>0</v>
      </c>
      <c r="U25" s="27">
        <v>4</v>
      </c>
      <c r="V25" s="25">
        <v>0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160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0" customFormat="1" ht="35.1" customHeight="1" x14ac:dyDescent="0.25">
      <c r="A26" s="18" t="s">
        <v>121</v>
      </c>
      <c r="B26" s="19">
        <v>46071</v>
      </c>
      <c r="C26" s="19">
        <v>46071</v>
      </c>
      <c r="D26" s="18" t="s">
        <v>177</v>
      </c>
      <c r="E26" s="20">
        <v>0.45833333333333331</v>
      </c>
      <c r="F26" s="20">
        <v>0.54166666666666663</v>
      </c>
      <c r="G26" s="21">
        <v>1.7361111111111109E-4</v>
      </c>
      <c r="H26" s="22" t="s">
        <v>161</v>
      </c>
      <c r="I26" s="23">
        <v>0.49966435185185187</v>
      </c>
      <c r="J26" s="18" t="s">
        <v>84</v>
      </c>
      <c r="K26" s="18" t="s">
        <v>171</v>
      </c>
      <c r="L26" s="24">
        <v>1</v>
      </c>
      <c r="M26" s="24">
        <v>69570</v>
      </c>
      <c r="N26" s="18" t="s">
        <v>54</v>
      </c>
      <c r="O26" s="24" t="s">
        <v>159</v>
      </c>
      <c r="P26" s="25">
        <v>0</v>
      </c>
      <c r="Q26" s="24"/>
      <c r="R26" s="25">
        <v>19.042139037433099</v>
      </c>
      <c r="S26" s="26">
        <v>46054</v>
      </c>
      <c r="T26" s="25">
        <v>0</v>
      </c>
      <c r="U26" s="27">
        <v>4</v>
      </c>
      <c r="V26" s="25">
        <v>0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160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5">
      <c r="A27" s="18" t="s">
        <v>88</v>
      </c>
      <c r="B27" s="19">
        <v>46071</v>
      </c>
      <c r="C27" s="19">
        <v>46071</v>
      </c>
      <c r="D27" s="18" t="s">
        <v>177</v>
      </c>
      <c r="E27" s="20">
        <v>0.45833333333333331</v>
      </c>
      <c r="F27" s="20">
        <v>0.5</v>
      </c>
      <c r="G27" s="20">
        <v>3.4722222222222218E-4</v>
      </c>
      <c r="H27" s="18" t="s">
        <v>151</v>
      </c>
      <c r="I27" s="23">
        <v>0.49879629629629629</v>
      </c>
      <c r="J27" s="18" t="s">
        <v>84</v>
      </c>
      <c r="K27" s="18" t="s">
        <v>171</v>
      </c>
      <c r="L27" s="24">
        <v>1</v>
      </c>
      <c r="M27" s="24">
        <v>71437</v>
      </c>
      <c r="N27" s="18" t="s">
        <v>54</v>
      </c>
      <c r="O27" s="24" t="s">
        <v>90</v>
      </c>
      <c r="P27" s="25">
        <v>41.17647058823529</v>
      </c>
      <c r="Q27" s="24"/>
      <c r="R27" s="25">
        <v>41.17647058823529</v>
      </c>
      <c r="S27" s="26">
        <v>46071</v>
      </c>
      <c r="T27" s="25">
        <v>6.1764705882352935</v>
      </c>
      <c r="U27" s="27">
        <v>4</v>
      </c>
      <c r="V27" s="25">
        <v>35</v>
      </c>
      <c r="W27" s="18" t="s">
        <v>48</v>
      </c>
      <c r="X27" s="18" t="s">
        <v>49</v>
      </c>
      <c r="Y27" s="18" t="s">
        <v>86</v>
      </c>
      <c r="Z27" s="18" t="s">
        <v>9</v>
      </c>
      <c r="AA27" s="18" t="s">
        <v>50</v>
      </c>
      <c r="AB27" s="18" t="s">
        <v>91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9" customFormat="1" ht="35.1" customHeight="1" x14ac:dyDescent="0.25">
      <c r="A28" s="18" t="s">
        <v>70</v>
      </c>
      <c r="B28" s="19">
        <v>46071</v>
      </c>
      <c r="C28" s="19">
        <v>46071</v>
      </c>
      <c r="D28" s="18" t="s">
        <v>177</v>
      </c>
      <c r="E28" s="20">
        <v>0.45833333333333331</v>
      </c>
      <c r="F28" s="20">
        <v>0.5</v>
      </c>
      <c r="G28" s="20">
        <v>3.4722222222222218E-4</v>
      </c>
      <c r="H28" s="18" t="s">
        <v>163</v>
      </c>
      <c r="I28" s="23">
        <v>0.49914351851851851</v>
      </c>
      <c r="J28" s="18" t="s">
        <v>84</v>
      </c>
      <c r="K28" s="18" t="s">
        <v>171</v>
      </c>
      <c r="L28" s="24">
        <v>1</v>
      </c>
      <c r="M28" s="24">
        <v>70998</v>
      </c>
      <c r="N28" s="18" t="s">
        <v>54</v>
      </c>
      <c r="O28" s="24" t="str">
        <f>AC28</f>
        <v>CVC</v>
      </c>
      <c r="P28" s="25">
        <v>58.82</v>
      </c>
      <c r="Q28" s="24"/>
      <c r="R28" s="25">
        <v>58.82</v>
      </c>
      <c r="S28" s="26">
        <v>46054</v>
      </c>
      <c r="T28" s="25">
        <v>4.4115000000000002</v>
      </c>
      <c r="U28" s="27">
        <v>4</v>
      </c>
      <c r="V28" s="25">
        <v>54.408500000000004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72</v>
      </c>
      <c r="AC28" s="18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33" customFormat="1" ht="35.1" customHeight="1" x14ac:dyDescent="0.25">
      <c r="A29" s="9" t="s">
        <v>93</v>
      </c>
      <c r="B29" s="10">
        <v>46071</v>
      </c>
      <c r="C29" s="10">
        <v>46071</v>
      </c>
      <c r="D29" s="11" t="s">
        <v>177</v>
      </c>
      <c r="E29" s="12">
        <v>0.5</v>
      </c>
      <c r="F29" s="12">
        <v>0.54166666666666663</v>
      </c>
      <c r="G29" s="12">
        <v>4.1666666666666664E-2</v>
      </c>
      <c r="H29" s="9" t="s">
        <v>94</v>
      </c>
      <c r="I29" s="13"/>
      <c r="J29" s="9" t="s">
        <v>84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29" customFormat="1" ht="35.1" customHeight="1" x14ac:dyDescent="0.25">
      <c r="A30" s="18" t="s">
        <v>82</v>
      </c>
      <c r="B30" s="19">
        <v>46071</v>
      </c>
      <c r="C30" s="19">
        <v>46071</v>
      </c>
      <c r="D30" s="18" t="s">
        <v>177</v>
      </c>
      <c r="E30" s="20">
        <v>0.5</v>
      </c>
      <c r="F30" s="20">
        <v>0.54166666666666663</v>
      </c>
      <c r="G30" s="20">
        <v>3.4722222222222218E-4</v>
      </c>
      <c r="H30" s="18" t="s">
        <v>83</v>
      </c>
      <c r="I30" s="23">
        <v>0.50491898148148151</v>
      </c>
      <c r="J30" s="18" t="s">
        <v>84</v>
      </c>
      <c r="K30" s="18" t="s">
        <v>140</v>
      </c>
      <c r="L30" s="24">
        <v>1</v>
      </c>
      <c r="M30" s="24">
        <v>70170</v>
      </c>
      <c r="N30" s="18" t="s">
        <v>54</v>
      </c>
      <c r="O30" s="24" t="s">
        <v>85</v>
      </c>
      <c r="P30" s="25">
        <v>35</v>
      </c>
      <c r="Q30" s="24"/>
      <c r="R30" s="25">
        <v>35</v>
      </c>
      <c r="S30" s="26">
        <v>46071</v>
      </c>
      <c r="T30" s="25">
        <v>0</v>
      </c>
      <c r="U30" s="27">
        <v>4</v>
      </c>
      <c r="V30" s="25">
        <v>35</v>
      </c>
      <c r="W30" s="18" t="s">
        <v>48</v>
      </c>
      <c r="X30" s="18" t="s">
        <v>49</v>
      </c>
      <c r="Y30" s="18" t="s">
        <v>86</v>
      </c>
      <c r="Z30" s="18" t="s">
        <v>43</v>
      </c>
      <c r="AA30" s="18" t="s">
        <v>50</v>
      </c>
      <c r="AB30" s="18" t="s">
        <v>87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</row>
    <row r="31" spans="1:49" s="29" customFormat="1" ht="35.1" customHeight="1" x14ac:dyDescent="0.25">
      <c r="A31" s="18" t="s">
        <v>88</v>
      </c>
      <c r="B31" s="19">
        <v>46071</v>
      </c>
      <c r="C31" s="19">
        <v>46071</v>
      </c>
      <c r="D31" s="18" t="s">
        <v>177</v>
      </c>
      <c r="E31" s="20">
        <v>0.45833333333333331</v>
      </c>
      <c r="F31" s="20">
        <v>0.54166666666666663</v>
      </c>
      <c r="G31" s="20">
        <v>3.4722222222222218E-4</v>
      </c>
      <c r="H31" s="18" t="s">
        <v>151</v>
      </c>
      <c r="I31" s="23">
        <v>0.51247685185185188</v>
      </c>
      <c r="J31" s="18" t="s">
        <v>84</v>
      </c>
      <c r="K31" s="18" t="s">
        <v>140</v>
      </c>
      <c r="L31" s="24">
        <v>1</v>
      </c>
      <c r="M31" s="24">
        <v>71438</v>
      </c>
      <c r="N31" s="18" t="s">
        <v>46</v>
      </c>
      <c r="O31" s="24" t="s">
        <v>90</v>
      </c>
      <c r="P31" s="25">
        <v>0</v>
      </c>
      <c r="Q31" s="24"/>
      <c r="R31" s="25">
        <v>0</v>
      </c>
      <c r="S31" s="26">
        <v>46071</v>
      </c>
      <c r="T31" s="25">
        <v>0</v>
      </c>
      <c r="U31" s="27">
        <v>4</v>
      </c>
      <c r="V31" s="25">
        <v>0</v>
      </c>
      <c r="W31" s="18" t="s">
        <v>48</v>
      </c>
      <c r="X31" s="18" t="s">
        <v>49</v>
      </c>
      <c r="Y31" s="18" t="s">
        <v>86</v>
      </c>
      <c r="Z31" s="18" t="s">
        <v>9</v>
      </c>
      <c r="AA31" s="18" t="s">
        <v>50</v>
      </c>
      <c r="AB31" s="18" t="s">
        <v>91</v>
      </c>
      <c r="AC31" s="18" t="s">
        <v>38</v>
      </c>
      <c r="AD31" s="7" t="str">
        <f t="shared" si="0"/>
        <v/>
      </c>
      <c r="AE31" s="28"/>
      <c r="AF31" s="28"/>
      <c r="AG31" s="28"/>
      <c r="AH31" s="28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</row>
    <row r="32" spans="1:49" s="29" customFormat="1" ht="35.1" customHeight="1" x14ac:dyDescent="0.25">
      <c r="A32" s="18" t="s">
        <v>121</v>
      </c>
      <c r="B32" s="19">
        <v>46071</v>
      </c>
      <c r="C32" s="19">
        <v>46071</v>
      </c>
      <c r="D32" s="18" t="s">
        <v>177</v>
      </c>
      <c r="E32" s="20">
        <v>0.45833333333333331</v>
      </c>
      <c r="F32" s="20">
        <v>0.54166666666666663</v>
      </c>
      <c r="G32" s="21">
        <v>1.7361111111111109E-4</v>
      </c>
      <c r="H32" s="22" t="s">
        <v>162</v>
      </c>
      <c r="I32" s="23">
        <v>0.51108796296296299</v>
      </c>
      <c r="J32" s="18" t="s">
        <v>84</v>
      </c>
      <c r="K32" s="18" t="s">
        <v>140</v>
      </c>
      <c r="L32" s="24">
        <v>1</v>
      </c>
      <c r="M32" s="24">
        <v>69570</v>
      </c>
      <c r="N32" s="18" t="s">
        <v>54</v>
      </c>
      <c r="O32" s="24" t="s">
        <v>159</v>
      </c>
      <c r="P32" s="25">
        <v>0</v>
      </c>
      <c r="Q32" s="24"/>
      <c r="R32" s="25">
        <v>19.042139037433099</v>
      </c>
      <c r="S32" s="26">
        <v>46054</v>
      </c>
      <c r="T32" s="25">
        <v>0</v>
      </c>
      <c r="U32" s="27">
        <v>4</v>
      </c>
      <c r="V32" s="25">
        <v>0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160</v>
      </c>
      <c r="AC32" s="18" t="s">
        <v>38</v>
      </c>
      <c r="AD32" s="7" t="str">
        <f t="shared" si="0"/>
        <v/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29" customFormat="1" ht="35.1" customHeight="1" x14ac:dyDescent="0.25">
      <c r="A33" s="18" t="s">
        <v>121</v>
      </c>
      <c r="B33" s="19">
        <v>46071</v>
      </c>
      <c r="C33" s="19">
        <v>46071</v>
      </c>
      <c r="D33" s="18" t="s">
        <v>177</v>
      </c>
      <c r="E33" s="20">
        <v>0.45833333333333331</v>
      </c>
      <c r="F33" s="20">
        <v>0.54166666666666663</v>
      </c>
      <c r="G33" s="21">
        <v>1.7361111111111109E-4</v>
      </c>
      <c r="H33" s="22" t="s">
        <v>161</v>
      </c>
      <c r="I33" s="23">
        <v>0.51282407407407404</v>
      </c>
      <c r="J33" s="18" t="s">
        <v>84</v>
      </c>
      <c r="K33" s="18" t="s">
        <v>140</v>
      </c>
      <c r="L33" s="24">
        <v>1</v>
      </c>
      <c r="M33" s="24">
        <v>69570</v>
      </c>
      <c r="N33" s="18" t="s">
        <v>54</v>
      </c>
      <c r="O33" s="24" t="s">
        <v>159</v>
      </c>
      <c r="P33" s="25">
        <v>0</v>
      </c>
      <c r="Q33" s="24"/>
      <c r="R33" s="25">
        <v>19.042139037433099</v>
      </c>
      <c r="S33" s="26">
        <v>46054</v>
      </c>
      <c r="T33" s="25">
        <v>0</v>
      </c>
      <c r="U33" s="27">
        <v>4</v>
      </c>
      <c r="V33" s="25">
        <v>0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160</v>
      </c>
      <c r="AC33" s="18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30" customFormat="1" ht="35.1" customHeight="1" x14ac:dyDescent="0.25">
      <c r="A34" s="18" t="s">
        <v>154</v>
      </c>
      <c r="B34" s="19">
        <v>46071</v>
      </c>
      <c r="C34" s="19">
        <v>46071</v>
      </c>
      <c r="D34" s="18" t="s">
        <v>177</v>
      </c>
      <c r="E34" s="20">
        <v>0.45833333333333331</v>
      </c>
      <c r="F34" s="20">
        <v>0.54166666666666663</v>
      </c>
      <c r="G34" s="20">
        <v>3.4722222222222218E-4</v>
      </c>
      <c r="H34" s="18" t="s">
        <v>155</v>
      </c>
      <c r="I34" s="23">
        <v>0.52902777777777776</v>
      </c>
      <c r="J34" s="18" t="s">
        <v>84</v>
      </c>
      <c r="K34" s="18" t="s">
        <v>140</v>
      </c>
      <c r="L34" s="24">
        <v>1</v>
      </c>
      <c r="M34" s="24">
        <v>71251</v>
      </c>
      <c r="N34" s="18" t="s">
        <v>54</v>
      </c>
      <c r="O34" s="24" t="s">
        <v>156</v>
      </c>
      <c r="P34" s="25">
        <v>40</v>
      </c>
      <c r="Q34" s="24"/>
      <c r="R34" s="25">
        <v>40</v>
      </c>
      <c r="S34" s="26">
        <v>46071</v>
      </c>
      <c r="T34" s="25">
        <v>0</v>
      </c>
      <c r="U34" s="27">
        <v>4</v>
      </c>
      <c r="V34" s="25">
        <v>40</v>
      </c>
      <c r="W34" s="18" t="s">
        <v>48</v>
      </c>
      <c r="X34" s="18" t="s">
        <v>49</v>
      </c>
      <c r="Y34" s="18" t="s">
        <v>86</v>
      </c>
      <c r="Z34" s="18" t="s">
        <v>9</v>
      </c>
      <c r="AA34" s="18" t="s">
        <v>50</v>
      </c>
      <c r="AB34" s="18" t="s">
        <v>157</v>
      </c>
      <c r="AC34" s="18" t="s">
        <v>38</v>
      </c>
      <c r="AD34" s="7" t="str">
        <f t="shared" si="0"/>
        <v/>
      </c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</row>
    <row r="35" spans="1:49" s="30" customFormat="1" ht="35.1" customHeight="1" x14ac:dyDescent="0.25">
      <c r="A35" s="18" t="s">
        <v>82</v>
      </c>
      <c r="B35" s="19">
        <v>46071</v>
      </c>
      <c r="C35" s="19">
        <v>46071</v>
      </c>
      <c r="D35" s="18" t="s">
        <v>177</v>
      </c>
      <c r="E35" s="20">
        <v>0.45833333333333331</v>
      </c>
      <c r="F35" s="20">
        <v>0.54166666666666663</v>
      </c>
      <c r="G35" s="20">
        <v>3.4722222222222218E-4</v>
      </c>
      <c r="H35" s="18" t="s">
        <v>83</v>
      </c>
      <c r="I35" s="23">
        <v>0.52972222222222221</v>
      </c>
      <c r="J35" s="18" t="s">
        <v>84</v>
      </c>
      <c r="K35" s="18" t="s">
        <v>140</v>
      </c>
      <c r="L35" s="24">
        <v>1</v>
      </c>
      <c r="M35" s="24">
        <v>70171</v>
      </c>
      <c r="N35" s="18" t="s">
        <v>46</v>
      </c>
      <c r="O35" s="24" t="s">
        <v>85</v>
      </c>
      <c r="P35" s="25">
        <v>0</v>
      </c>
      <c r="Q35" s="24"/>
      <c r="R35" s="25">
        <v>0</v>
      </c>
      <c r="S35" s="26">
        <v>46071</v>
      </c>
      <c r="T35" s="25">
        <v>0</v>
      </c>
      <c r="U35" s="27">
        <v>4</v>
      </c>
      <c r="V35" s="25">
        <v>0</v>
      </c>
      <c r="W35" s="18" t="s">
        <v>48</v>
      </c>
      <c r="X35" s="18" t="s">
        <v>49</v>
      </c>
      <c r="Y35" s="18" t="s">
        <v>86</v>
      </c>
      <c r="Z35" s="18" t="s">
        <v>43</v>
      </c>
      <c r="AA35" s="18" t="s">
        <v>50</v>
      </c>
      <c r="AB35" s="18" t="s">
        <v>87</v>
      </c>
      <c r="AC35" s="18" t="s">
        <v>38</v>
      </c>
      <c r="AD35" s="7" t="str">
        <f t="shared" si="0"/>
        <v/>
      </c>
      <c r="AE35" s="28"/>
      <c r="AF35" s="28"/>
      <c r="AG35" s="28"/>
      <c r="AH35" s="28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</row>
    <row r="36" spans="1:49" s="30" customFormat="1" ht="35.1" customHeight="1" x14ac:dyDescent="0.25">
      <c r="A36" s="18" t="s">
        <v>82</v>
      </c>
      <c r="B36" s="19">
        <v>46071</v>
      </c>
      <c r="C36" s="19">
        <v>46071</v>
      </c>
      <c r="D36" s="18" t="s">
        <v>177</v>
      </c>
      <c r="E36" s="20">
        <v>0.5</v>
      </c>
      <c r="F36" s="20">
        <v>0.54166666666666663</v>
      </c>
      <c r="G36" s="20">
        <v>3.4722222222222218E-4</v>
      </c>
      <c r="H36" s="18" t="s">
        <v>83</v>
      </c>
      <c r="I36" s="23">
        <v>0.53488425925925931</v>
      </c>
      <c r="J36" s="18" t="s">
        <v>84</v>
      </c>
      <c r="K36" s="18" t="s">
        <v>140</v>
      </c>
      <c r="L36" s="24">
        <v>1</v>
      </c>
      <c r="M36" s="24">
        <v>70170</v>
      </c>
      <c r="N36" s="18" t="s">
        <v>54</v>
      </c>
      <c r="O36" s="24" t="s">
        <v>85</v>
      </c>
      <c r="P36" s="25">
        <v>35</v>
      </c>
      <c r="Q36" s="24"/>
      <c r="R36" s="25">
        <v>35</v>
      </c>
      <c r="S36" s="26">
        <v>46071</v>
      </c>
      <c r="T36" s="25">
        <v>0</v>
      </c>
      <c r="U36" s="27">
        <v>4</v>
      </c>
      <c r="V36" s="25">
        <v>35</v>
      </c>
      <c r="W36" s="18" t="s">
        <v>48</v>
      </c>
      <c r="X36" s="18" t="s">
        <v>49</v>
      </c>
      <c r="Y36" s="18" t="s">
        <v>86</v>
      </c>
      <c r="Z36" s="18" t="s">
        <v>43</v>
      </c>
      <c r="AA36" s="18" t="s">
        <v>50</v>
      </c>
      <c r="AB36" s="18" t="s">
        <v>87</v>
      </c>
      <c r="AC36" s="18" t="s">
        <v>38</v>
      </c>
      <c r="AD36" s="7" t="str">
        <f t="shared" si="0"/>
        <v/>
      </c>
      <c r="AE36" s="28"/>
      <c r="AF36" s="28"/>
      <c r="AG36" s="28"/>
      <c r="AH36" s="28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</row>
    <row r="37" spans="1:49" s="30" customFormat="1" ht="35.1" customHeight="1" x14ac:dyDescent="0.25">
      <c r="A37" s="18" t="s">
        <v>70</v>
      </c>
      <c r="B37" s="19">
        <v>46071</v>
      </c>
      <c r="C37" s="19">
        <v>46071</v>
      </c>
      <c r="D37" s="18" t="s">
        <v>177</v>
      </c>
      <c r="E37" s="20">
        <v>0.45833333333333331</v>
      </c>
      <c r="F37" s="20">
        <v>0.54166666666666663</v>
      </c>
      <c r="G37" s="20">
        <v>3.4722222222222218E-4</v>
      </c>
      <c r="H37" s="18" t="s">
        <v>163</v>
      </c>
      <c r="I37" s="23">
        <v>0.53627314814814819</v>
      </c>
      <c r="J37" s="18" t="s">
        <v>84</v>
      </c>
      <c r="K37" s="18" t="s">
        <v>140</v>
      </c>
      <c r="L37" s="24">
        <v>1</v>
      </c>
      <c r="M37" s="24">
        <v>71000</v>
      </c>
      <c r="N37" s="18" t="s">
        <v>46</v>
      </c>
      <c r="O37" s="24" t="str">
        <f>AC37</f>
        <v>CVC</v>
      </c>
      <c r="P37" s="25">
        <v>0</v>
      </c>
      <c r="Q37" s="24"/>
      <c r="R37" s="25">
        <v>0</v>
      </c>
      <c r="S37" s="26">
        <v>46054</v>
      </c>
      <c r="T37" s="25">
        <v>0</v>
      </c>
      <c r="U37" s="27">
        <v>4</v>
      </c>
      <c r="V37" s="25">
        <v>0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72</v>
      </c>
      <c r="AC37" s="18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30" customFormat="1" ht="35.1" customHeight="1" x14ac:dyDescent="0.25">
      <c r="A38" s="18" t="s">
        <v>111</v>
      </c>
      <c r="B38" s="19">
        <v>46071</v>
      </c>
      <c r="C38" s="19">
        <v>46071</v>
      </c>
      <c r="D38" s="18" t="s">
        <v>177</v>
      </c>
      <c r="E38" s="20">
        <v>0.45833333333333331</v>
      </c>
      <c r="F38" s="20">
        <v>0.54166666666666663</v>
      </c>
      <c r="G38" s="21">
        <v>1.7361111111111112E-4</v>
      </c>
      <c r="H38" s="22" t="s">
        <v>152</v>
      </c>
      <c r="I38" s="23">
        <v>0.54079861111111116</v>
      </c>
      <c r="J38" s="18" t="s">
        <v>84</v>
      </c>
      <c r="K38" s="18" t="s">
        <v>140</v>
      </c>
      <c r="L38" s="24">
        <v>1</v>
      </c>
      <c r="M38" s="24">
        <v>69836</v>
      </c>
      <c r="N38" s="18" t="s">
        <v>54</v>
      </c>
      <c r="O38" s="24"/>
      <c r="P38" s="25">
        <v>21.75</v>
      </c>
      <c r="Q38" s="24"/>
      <c r="R38" s="25">
        <v>21.75</v>
      </c>
      <c r="S38" s="26">
        <v>46071</v>
      </c>
      <c r="T38" s="25">
        <v>0</v>
      </c>
      <c r="U38" s="27">
        <v>4</v>
      </c>
      <c r="V38" s="25">
        <v>21.75</v>
      </c>
      <c r="W38" s="18" t="s">
        <v>34</v>
      </c>
      <c r="X38" s="18" t="s">
        <v>49</v>
      </c>
      <c r="Y38" s="18" t="s">
        <v>86</v>
      </c>
      <c r="Z38" s="18" t="s">
        <v>43</v>
      </c>
      <c r="AA38" s="18" t="s">
        <v>50</v>
      </c>
      <c r="AB38" s="18" t="s">
        <v>113</v>
      </c>
      <c r="AC38" s="18" t="s">
        <v>38</v>
      </c>
      <c r="AD38" s="7" t="str">
        <f t="shared" si="0"/>
        <v/>
      </c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</row>
    <row r="39" spans="1:49" s="32" customFormat="1" ht="35.1" customHeight="1" x14ac:dyDescent="0.25">
      <c r="A39" s="18" t="s">
        <v>111</v>
      </c>
      <c r="B39" s="19">
        <v>46071</v>
      </c>
      <c r="C39" s="19">
        <v>46071</v>
      </c>
      <c r="D39" s="18" t="s">
        <v>177</v>
      </c>
      <c r="E39" s="20">
        <v>0.45833333333333331</v>
      </c>
      <c r="F39" s="20">
        <v>0.54166666666666663</v>
      </c>
      <c r="G39" s="21">
        <v>1.7361111111111112E-4</v>
      </c>
      <c r="H39" s="22" t="s">
        <v>153</v>
      </c>
      <c r="I39" s="23">
        <v>0.54131944444444446</v>
      </c>
      <c r="J39" s="18" t="s">
        <v>84</v>
      </c>
      <c r="K39" s="18" t="s">
        <v>140</v>
      </c>
      <c r="L39" s="24">
        <v>1</v>
      </c>
      <c r="M39" s="24">
        <v>69836</v>
      </c>
      <c r="N39" s="18" t="s">
        <v>54</v>
      </c>
      <c r="O39" s="24"/>
      <c r="P39" s="25">
        <v>0</v>
      </c>
      <c r="Q39" s="24"/>
      <c r="R39" s="25">
        <v>0</v>
      </c>
      <c r="S39" s="26">
        <v>46071</v>
      </c>
      <c r="T39" s="25">
        <v>0</v>
      </c>
      <c r="U39" s="27">
        <v>4</v>
      </c>
      <c r="V39" s="25">
        <v>0</v>
      </c>
      <c r="W39" s="18" t="s">
        <v>34</v>
      </c>
      <c r="X39" s="18" t="s">
        <v>49</v>
      </c>
      <c r="Y39" s="18" t="s">
        <v>86</v>
      </c>
      <c r="Z39" s="18" t="s">
        <v>43</v>
      </c>
      <c r="AA39" s="18" t="s">
        <v>50</v>
      </c>
      <c r="AB39" s="18" t="s">
        <v>113</v>
      </c>
      <c r="AC39" s="18" t="s">
        <v>38</v>
      </c>
      <c r="AD39" s="7" t="str">
        <f t="shared" si="0"/>
        <v/>
      </c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</row>
    <row r="40" spans="1:49" s="33" customFormat="1" ht="35.1" customHeight="1" x14ac:dyDescent="0.25">
      <c r="A40" s="9" t="s">
        <v>95</v>
      </c>
      <c r="B40" s="10">
        <v>46071</v>
      </c>
      <c r="C40" s="10">
        <v>46071</v>
      </c>
      <c r="D40" s="11" t="s">
        <v>177</v>
      </c>
      <c r="E40" s="12">
        <v>0.54166666666666663</v>
      </c>
      <c r="F40" s="12">
        <v>0.5625</v>
      </c>
      <c r="G40" s="12">
        <v>2.0833333333333332E-2</v>
      </c>
      <c r="H40" s="9" t="s">
        <v>96</v>
      </c>
      <c r="I40" s="13"/>
      <c r="J40" s="9" t="s">
        <v>97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32" customFormat="1" ht="35.1" customHeight="1" x14ac:dyDescent="0.25">
      <c r="A41" s="18" t="s">
        <v>44</v>
      </c>
      <c r="B41" s="19">
        <v>46071</v>
      </c>
      <c r="C41" s="19">
        <v>46071</v>
      </c>
      <c r="D41" s="18" t="s">
        <v>177</v>
      </c>
      <c r="E41" s="20">
        <v>0.54166666666666663</v>
      </c>
      <c r="F41" s="20">
        <v>0.66666666666666663</v>
      </c>
      <c r="G41" s="21">
        <v>1.7361111111111109E-4</v>
      </c>
      <c r="H41" s="22" t="s">
        <v>55</v>
      </c>
      <c r="I41" s="23">
        <v>0.54748842592592595</v>
      </c>
      <c r="J41" s="18" t="s">
        <v>97</v>
      </c>
      <c r="K41" s="18" t="s">
        <v>172</v>
      </c>
      <c r="L41" s="24">
        <v>1</v>
      </c>
      <c r="M41" s="24">
        <v>71006</v>
      </c>
      <c r="N41" s="18" t="s">
        <v>54</v>
      </c>
      <c r="O41" s="24" t="s">
        <v>47</v>
      </c>
      <c r="P41" s="25">
        <v>15</v>
      </c>
      <c r="Q41" s="24"/>
      <c r="R41" s="25">
        <v>15</v>
      </c>
      <c r="S41" s="26">
        <v>46054</v>
      </c>
      <c r="T41" s="25">
        <v>2.25</v>
      </c>
      <c r="U41" s="27">
        <v>4</v>
      </c>
      <c r="V41" s="25">
        <v>12.75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  <c r="AE41" s="28"/>
      <c r="AF41" s="28"/>
      <c r="AG41" s="28"/>
      <c r="AH41" s="28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</row>
    <row r="42" spans="1:49" s="32" customFormat="1" ht="35.1" customHeight="1" x14ac:dyDescent="0.25">
      <c r="A42" s="18" t="s">
        <v>44</v>
      </c>
      <c r="B42" s="19">
        <v>46071</v>
      </c>
      <c r="C42" s="19">
        <v>46071</v>
      </c>
      <c r="D42" s="18" t="s">
        <v>177</v>
      </c>
      <c r="E42" s="20">
        <v>0.54166666666666663</v>
      </c>
      <c r="F42" s="20">
        <v>0.66666666666666663</v>
      </c>
      <c r="G42" s="21">
        <v>1.7361111111111109E-4</v>
      </c>
      <c r="H42" s="22" t="s">
        <v>165</v>
      </c>
      <c r="I42" s="23">
        <v>0.54870370370370369</v>
      </c>
      <c r="J42" s="18" t="s">
        <v>97</v>
      </c>
      <c r="K42" s="18" t="s">
        <v>172</v>
      </c>
      <c r="L42" s="24">
        <v>1</v>
      </c>
      <c r="M42" s="24">
        <v>71006</v>
      </c>
      <c r="N42" s="18" t="s">
        <v>54</v>
      </c>
      <c r="O42" s="24" t="s">
        <v>47</v>
      </c>
      <c r="P42" s="25">
        <v>15</v>
      </c>
      <c r="Q42" s="24"/>
      <c r="R42" s="25">
        <v>15</v>
      </c>
      <c r="S42" s="26">
        <v>46054</v>
      </c>
      <c r="T42" s="25">
        <v>2.25</v>
      </c>
      <c r="U42" s="27">
        <v>4</v>
      </c>
      <c r="V42" s="25">
        <v>12.75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51</v>
      </c>
      <c r="AC42" s="18" t="s">
        <v>38</v>
      </c>
      <c r="AD42" s="7" t="str">
        <f t="shared" si="0"/>
        <v/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33" customFormat="1" ht="35.1" customHeight="1" x14ac:dyDescent="0.25">
      <c r="A43" s="9" t="s">
        <v>95</v>
      </c>
      <c r="B43" s="10">
        <v>46071</v>
      </c>
      <c r="C43" s="10">
        <v>46071</v>
      </c>
      <c r="D43" s="11" t="s">
        <v>177</v>
      </c>
      <c r="E43" s="12">
        <v>0.5625</v>
      </c>
      <c r="F43" s="12">
        <v>0.58333333333333337</v>
      </c>
      <c r="G43" s="12">
        <v>2.0833333333333332E-2</v>
      </c>
      <c r="H43" s="9" t="s">
        <v>98</v>
      </c>
      <c r="I43" s="13"/>
      <c r="J43" s="9" t="s">
        <v>97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</row>
    <row r="44" spans="1:49" s="32" customFormat="1" ht="35.1" customHeight="1" x14ac:dyDescent="0.25">
      <c r="A44" s="18" t="s">
        <v>44</v>
      </c>
      <c r="B44" s="19">
        <v>46071</v>
      </c>
      <c r="C44" s="19">
        <v>46071</v>
      </c>
      <c r="D44" s="18" t="s">
        <v>177</v>
      </c>
      <c r="E44" s="20">
        <v>0.54166666666666663</v>
      </c>
      <c r="F44" s="20">
        <v>0.66666666666666663</v>
      </c>
      <c r="G44" s="21">
        <v>1.7361111111111109E-4</v>
      </c>
      <c r="H44" s="22" t="s">
        <v>52</v>
      </c>
      <c r="I44" s="23">
        <v>0.58234953703703707</v>
      </c>
      <c r="J44" s="18" t="s">
        <v>97</v>
      </c>
      <c r="K44" s="18" t="s">
        <v>173</v>
      </c>
      <c r="L44" s="24">
        <v>1</v>
      </c>
      <c r="M44" s="24">
        <v>71011</v>
      </c>
      <c r="N44" s="18" t="s">
        <v>46</v>
      </c>
      <c r="O44" s="24" t="s">
        <v>47</v>
      </c>
      <c r="P44" s="25">
        <v>0</v>
      </c>
      <c r="Q44" s="24"/>
      <c r="R44" s="25">
        <v>0</v>
      </c>
      <c r="S44" s="26">
        <v>46054</v>
      </c>
      <c r="T44" s="25">
        <v>0</v>
      </c>
      <c r="U44" s="27">
        <v>4</v>
      </c>
      <c r="V44" s="25">
        <v>0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51</v>
      </c>
      <c r="AC44" s="18" t="s">
        <v>38</v>
      </c>
      <c r="AD44" s="7" t="str">
        <f t="shared" si="0"/>
        <v/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32" customFormat="1" ht="35.1" customHeight="1" x14ac:dyDescent="0.25">
      <c r="A45" s="18" t="s">
        <v>44</v>
      </c>
      <c r="B45" s="19">
        <v>46071</v>
      </c>
      <c r="C45" s="19">
        <v>46071</v>
      </c>
      <c r="D45" s="18" t="s">
        <v>177</v>
      </c>
      <c r="E45" s="20">
        <v>0.54166666666666663</v>
      </c>
      <c r="F45" s="20">
        <v>0.66666666666666663</v>
      </c>
      <c r="G45" s="21">
        <v>1.7361111111111109E-4</v>
      </c>
      <c r="H45" s="22" t="s">
        <v>146</v>
      </c>
      <c r="I45" s="23">
        <v>0.58304398148148151</v>
      </c>
      <c r="J45" s="18" t="s">
        <v>97</v>
      </c>
      <c r="K45" s="18" t="s">
        <v>173</v>
      </c>
      <c r="L45" s="24">
        <v>1</v>
      </c>
      <c r="M45" s="24">
        <v>71011</v>
      </c>
      <c r="N45" s="18" t="s">
        <v>46</v>
      </c>
      <c r="O45" s="24" t="s">
        <v>47</v>
      </c>
      <c r="P45" s="25">
        <v>0</v>
      </c>
      <c r="Q45" s="24"/>
      <c r="R45" s="25">
        <v>0</v>
      </c>
      <c r="S45" s="26">
        <v>46054</v>
      </c>
      <c r="T45" s="25">
        <v>0</v>
      </c>
      <c r="U45" s="27">
        <v>4</v>
      </c>
      <c r="V45" s="25">
        <v>0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51</v>
      </c>
      <c r="AC45" s="18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33" customFormat="1" ht="35.1" customHeight="1" x14ac:dyDescent="0.25">
      <c r="A46" s="9" t="s">
        <v>99</v>
      </c>
      <c r="B46" s="10">
        <v>46071</v>
      </c>
      <c r="C46" s="10">
        <v>46071</v>
      </c>
      <c r="D46" s="11" t="s">
        <v>177</v>
      </c>
      <c r="E46" s="12">
        <v>0.58333333333333337</v>
      </c>
      <c r="F46" s="12">
        <v>0.625</v>
      </c>
      <c r="G46" s="12">
        <v>4.1666666666666664E-2</v>
      </c>
      <c r="H46" s="9" t="s">
        <v>100</v>
      </c>
      <c r="I46" s="13"/>
      <c r="J46" s="9" t="s">
        <v>101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8"/>
      <c r="AF46" s="28"/>
      <c r="AG46" s="28"/>
      <c r="AH46" s="28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</row>
    <row r="47" spans="1:49" s="32" customFormat="1" ht="35.1" customHeight="1" x14ac:dyDescent="0.25">
      <c r="A47" s="18" t="s">
        <v>44</v>
      </c>
      <c r="B47" s="19">
        <v>46071</v>
      </c>
      <c r="C47" s="19">
        <v>46071</v>
      </c>
      <c r="D47" s="18" t="s">
        <v>177</v>
      </c>
      <c r="E47" s="20">
        <v>0.58333333333333337</v>
      </c>
      <c r="F47" s="20">
        <v>0.66666666666666663</v>
      </c>
      <c r="G47" s="21">
        <v>1.7361111111111109E-4</v>
      </c>
      <c r="H47" s="22" t="s">
        <v>52</v>
      </c>
      <c r="I47" s="23">
        <v>0.59982638888888884</v>
      </c>
      <c r="J47" s="18" t="s">
        <v>97</v>
      </c>
      <c r="K47" s="18" t="s">
        <v>141</v>
      </c>
      <c r="L47" s="24">
        <v>1</v>
      </c>
      <c r="M47" s="24">
        <v>71009</v>
      </c>
      <c r="N47" s="18" t="s">
        <v>54</v>
      </c>
      <c r="O47" s="24" t="s">
        <v>47</v>
      </c>
      <c r="P47" s="25">
        <v>15</v>
      </c>
      <c r="Q47" s="24"/>
      <c r="R47" s="25">
        <v>15</v>
      </c>
      <c r="S47" s="26">
        <v>46054</v>
      </c>
      <c r="T47" s="25">
        <v>2.25</v>
      </c>
      <c r="U47" s="27">
        <v>4</v>
      </c>
      <c r="V47" s="25">
        <v>12.75</v>
      </c>
      <c r="W47" s="18" t="s">
        <v>48</v>
      </c>
      <c r="X47" s="18" t="s">
        <v>49</v>
      </c>
      <c r="Y47" s="18" t="s">
        <v>36</v>
      </c>
      <c r="Z47" s="18" t="s">
        <v>9</v>
      </c>
      <c r="AA47" s="18" t="s">
        <v>50</v>
      </c>
      <c r="AB47" s="18" t="s">
        <v>51</v>
      </c>
      <c r="AC47" s="18" t="s">
        <v>38</v>
      </c>
      <c r="AD47" s="7" t="str">
        <f t="shared" si="0"/>
        <v/>
      </c>
      <c r="AE47" s="28"/>
      <c r="AF47" s="28"/>
      <c r="AG47" s="28"/>
      <c r="AH47" s="28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</row>
    <row r="48" spans="1:49" s="32" customFormat="1" ht="35.1" customHeight="1" x14ac:dyDescent="0.25">
      <c r="A48" s="18" t="s">
        <v>44</v>
      </c>
      <c r="B48" s="19">
        <v>46071</v>
      </c>
      <c r="C48" s="19">
        <v>46071</v>
      </c>
      <c r="D48" s="18" t="s">
        <v>177</v>
      </c>
      <c r="E48" s="20">
        <v>0.58333333333333337</v>
      </c>
      <c r="F48" s="20">
        <v>0.66666666666666663</v>
      </c>
      <c r="G48" s="21">
        <v>1.7361111111111109E-4</v>
      </c>
      <c r="H48" s="22" t="s">
        <v>146</v>
      </c>
      <c r="I48" s="23">
        <v>0.60173611111111114</v>
      </c>
      <c r="J48" s="18" t="s">
        <v>97</v>
      </c>
      <c r="K48" s="18" t="s">
        <v>141</v>
      </c>
      <c r="L48" s="24">
        <v>1</v>
      </c>
      <c r="M48" s="24">
        <v>71009</v>
      </c>
      <c r="N48" s="18" t="s">
        <v>54</v>
      </c>
      <c r="O48" s="24" t="s">
        <v>47</v>
      </c>
      <c r="P48" s="25">
        <v>15</v>
      </c>
      <c r="Q48" s="24"/>
      <c r="R48" s="25">
        <v>15</v>
      </c>
      <c r="S48" s="26">
        <v>46054</v>
      </c>
      <c r="T48" s="25">
        <v>2.25</v>
      </c>
      <c r="U48" s="27">
        <v>4</v>
      </c>
      <c r="V48" s="25">
        <v>12.75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51</v>
      </c>
      <c r="AC48" s="18" t="s">
        <v>38</v>
      </c>
      <c r="AD48" s="7" t="str">
        <f t="shared" si="0"/>
        <v/>
      </c>
      <c r="AE48" s="28"/>
      <c r="AF48" s="28"/>
      <c r="AG48" s="28"/>
      <c r="AH48" s="28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</row>
    <row r="49" spans="1:49" s="33" customFormat="1" ht="35.1" customHeight="1" x14ac:dyDescent="0.25">
      <c r="A49" s="9" t="s">
        <v>99</v>
      </c>
      <c r="B49" s="10">
        <v>46071</v>
      </c>
      <c r="C49" s="10">
        <v>46071</v>
      </c>
      <c r="D49" s="11" t="s">
        <v>177</v>
      </c>
      <c r="E49" s="12">
        <v>0.625</v>
      </c>
      <c r="F49" s="12">
        <v>0.64583333333333337</v>
      </c>
      <c r="G49" s="12">
        <v>2.0833333333333332E-2</v>
      </c>
      <c r="H49" s="9" t="s">
        <v>106</v>
      </c>
      <c r="I49" s="13"/>
      <c r="J49" s="9" t="s">
        <v>101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</row>
    <row r="50" spans="1:49" s="32" customFormat="1" ht="35.1" customHeight="1" x14ac:dyDescent="0.25">
      <c r="A50" s="18" t="s">
        <v>44</v>
      </c>
      <c r="B50" s="19">
        <v>46071</v>
      </c>
      <c r="C50" s="19">
        <v>46071</v>
      </c>
      <c r="D50" s="18" t="s">
        <v>177</v>
      </c>
      <c r="E50" s="20">
        <v>0.54166666666666663</v>
      </c>
      <c r="F50" s="20">
        <v>0.66666666666666663</v>
      </c>
      <c r="G50" s="21">
        <v>1.7361111111111109E-4</v>
      </c>
      <c r="H50" s="22" t="s">
        <v>52</v>
      </c>
      <c r="I50" s="23">
        <v>0.64425925925925931</v>
      </c>
      <c r="J50" s="18" t="s">
        <v>97</v>
      </c>
      <c r="K50" s="18" t="s">
        <v>141</v>
      </c>
      <c r="L50" s="24">
        <v>1</v>
      </c>
      <c r="M50" s="24">
        <v>71011</v>
      </c>
      <c r="N50" s="18" t="s">
        <v>46</v>
      </c>
      <c r="O50" s="24" t="s">
        <v>47</v>
      </c>
      <c r="P50" s="25">
        <v>0</v>
      </c>
      <c r="Q50" s="24"/>
      <c r="R50" s="25">
        <v>0</v>
      </c>
      <c r="S50" s="26">
        <v>46054</v>
      </c>
      <c r="T50" s="25">
        <v>0</v>
      </c>
      <c r="U50" s="27">
        <v>4</v>
      </c>
      <c r="V50" s="25">
        <v>0</v>
      </c>
      <c r="W50" s="18" t="s">
        <v>48</v>
      </c>
      <c r="X50" s="18" t="s">
        <v>49</v>
      </c>
      <c r="Y50" s="18" t="s">
        <v>36</v>
      </c>
      <c r="Z50" s="18" t="s">
        <v>9</v>
      </c>
      <c r="AA50" s="18" t="s">
        <v>50</v>
      </c>
      <c r="AB50" s="18" t="s">
        <v>51</v>
      </c>
      <c r="AC50" s="18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17" customFormat="1" ht="35.1" customHeight="1" x14ac:dyDescent="0.25">
      <c r="A51" s="18" t="s">
        <v>44</v>
      </c>
      <c r="B51" s="19">
        <v>46071</v>
      </c>
      <c r="C51" s="19">
        <v>46071</v>
      </c>
      <c r="D51" s="18" t="s">
        <v>177</v>
      </c>
      <c r="E51" s="20">
        <v>0.54166666666666663</v>
      </c>
      <c r="F51" s="20">
        <v>0.66666666666666663</v>
      </c>
      <c r="G51" s="21">
        <v>1.7361111111111109E-4</v>
      </c>
      <c r="H51" s="22" t="s">
        <v>146</v>
      </c>
      <c r="I51" s="23">
        <v>0.64547453703703705</v>
      </c>
      <c r="J51" s="18" t="s">
        <v>97</v>
      </c>
      <c r="K51" s="18" t="s">
        <v>141</v>
      </c>
      <c r="L51" s="24">
        <v>1</v>
      </c>
      <c r="M51" s="24">
        <v>71011</v>
      </c>
      <c r="N51" s="18" t="s">
        <v>46</v>
      </c>
      <c r="O51" s="24" t="s">
        <v>47</v>
      </c>
      <c r="P51" s="25">
        <v>0</v>
      </c>
      <c r="Q51" s="24"/>
      <c r="R51" s="25">
        <v>0</v>
      </c>
      <c r="S51" s="26">
        <v>46054</v>
      </c>
      <c r="T51" s="25">
        <v>0</v>
      </c>
      <c r="U51" s="27">
        <v>4</v>
      </c>
      <c r="V51" s="25">
        <v>0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51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33" customFormat="1" ht="35.1" customHeight="1" x14ac:dyDescent="0.25">
      <c r="A52" s="9" t="s">
        <v>99</v>
      </c>
      <c r="B52" s="10">
        <v>46071</v>
      </c>
      <c r="C52" s="10">
        <v>46071</v>
      </c>
      <c r="D52" s="11" t="s">
        <v>177</v>
      </c>
      <c r="E52" s="12">
        <v>0.64583333333333337</v>
      </c>
      <c r="F52" s="12">
        <v>0.66666666666666663</v>
      </c>
      <c r="G52" s="12">
        <v>2.0833333333333332E-2</v>
      </c>
      <c r="H52" s="9" t="s">
        <v>107</v>
      </c>
      <c r="I52" s="13"/>
      <c r="J52" s="9" t="s">
        <v>101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</row>
    <row r="53" spans="1:49" s="33" customFormat="1" ht="35.1" customHeight="1" x14ac:dyDescent="0.25">
      <c r="A53" s="9" t="s">
        <v>108</v>
      </c>
      <c r="B53" s="10">
        <v>46071</v>
      </c>
      <c r="C53" s="10">
        <v>46071</v>
      </c>
      <c r="D53" s="11" t="s">
        <v>177</v>
      </c>
      <c r="E53" s="12">
        <v>0.66666666666666663</v>
      </c>
      <c r="F53" s="12">
        <v>0.6875</v>
      </c>
      <c r="G53" s="12">
        <v>2.0833333333333332E-2</v>
      </c>
      <c r="H53" s="9" t="s">
        <v>109</v>
      </c>
      <c r="I53" s="13"/>
      <c r="J53" s="9" t="s">
        <v>110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</row>
    <row r="54" spans="1:49" s="17" customFormat="1" ht="34.5" customHeight="1" x14ac:dyDescent="0.25">
      <c r="A54" s="18" t="s">
        <v>44</v>
      </c>
      <c r="B54" s="19">
        <v>46071</v>
      </c>
      <c r="C54" s="19">
        <v>46071</v>
      </c>
      <c r="D54" s="18" t="s">
        <v>177</v>
      </c>
      <c r="E54" s="20">
        <v>0.66666666666666663</v>
      </c>
      <c r="F54" s="20">
        <v>0.79166666666666663</v>
      </c>
      <c r="G54" s="21">
        <v>1.7361111111111109E-4</v>
      </c>
      <c r="H54" s="22" t="s">
        <v>55</v>
      </c>
      <c r="I54" s="23">
        <v>0.67513888888888884</v>
      </c>
      <c r="J54" s="18" t="s">
        <v>110</v>
      </c>
      <c r="K54" s="18" t="s">
        <v>109</v>
      </c>
      <c r="L54" s="24">
        <v>1</v>
      </c>
      <c r="M54" s="24">
        <v>71003</v>
      </c>
      <c r="N54" s="18" t="s">
        <v>54</v>
      </c>
      <c r="O54" s="24" t="s">
        <v>47</v>
      </c>
      <c r="P54" s="25">
        <v>15</v>
      </c>
      <c r="Q54" s="24"/>
      <c r="R54" s="25">
        <v>15</v>
      </c>
      <c r="S54" s="26">
        <v>46054</v>
      </c>
      <c r="T54" s="25">
        <v>2.25</v>
      </c>
      <c r="U54" s="27">
        <v>4</v>
      </c>
      <c r="V54" s="25">
        <v>12.75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51</v>
      </c>
      <c r="AC54" s="18" t="s">
        <v>38</v>
      </c>
      <c r="AD54" s="7" t="str">
        <f t="shared" si="0"/>
        <v/>
      </c>
      <c r="AE54" s="28"/>
      <c r="AF54" s="28"/>
      <c r="AG54" s="28"/>
      <c r="AH54" s="28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</row>
    <row r="55" spans="1:49" s="30" customFormat="1" ht="35.1" customHeight="1" x14ac:dyDescent="0.25">
      <c r="A55" s="18" t="s">
        <v>44</v>
      </c>
      <c r="B55" s="19">
        <v>46071</v>
      </c>
      <c r="C55" s="19">
        <v>46071</v>
      </c>
      <c r="D55" s="18" t="s">
        <v>177</v>
      </c>
      <c r="E55" s="20">
        <v>0.66666666666666663</v>
      </c>
      <c r="F55" s="20">
        <v>0.79166666666666663</v>
      </c>
      <c r="G55" s="21">
        <v>1.7361111111111109E-4</v>
      </c>
      <c r="H55" s="22" t="s">
        <v>165</v>
      </c>
      <c r="I55" s="23">
        <v>0.6763541666666667</v>
      </c>
      <c r="J55" s="18" t="s">
        <v>110</v>
      </c>
      <c r="K55" s="18" t="s">
        <v>109</v>
      </c>
      <c r="L55" s="24">
        <v>1</v>
      </c>
      <c r="M55" s="24">
        <v>71003</v>
      </c>
      <c r="N55" s="18" t="s">
        <v>54</v>
      </c>
      <c r="O55" s="24" t="s">
        <v>47</v>
      </c>
      <c r="P55" s="25">
        <v>15</v>
      </c>
      <c r="Q55" s="24"/>
      <c r="R55" s="25">
        <v>15</v>
      </c>
      <c r="S55" s="26">
        <v>46054</v>
      </c>
      <c r="T55" s="25">
        <v>2.25</v>
      </c>
      <c r="U55" s="27">
        <v>4</v>
      </c>
      <c r="V55" s="25">
        <v>12.75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51</v>
      </c>
      <c r="AC55" s="18" t="s">
        <v>38</v>
      </c>
      <c r="AD55" s="7" t="str">
        <f t="shared" si="0"/>
        <v/>
      </c>
      <c r="AE55" s="28"/>
      <c r="AF55" s="28"/>
      <c r="AG55" s="28"/>
      <c r="AH55" s="28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</row>
    <row r="56" spans="1:49" s="33" customFormat="1" ht="35.1" customHeight="1" x14ac:dyDescent="0.25">
      <c r="A56" s="9" t="s">
        <v>115</v>
      </c>
      <c r="B56" s="10">
        <v>46071</v>
      </c>
      <c r="C56" s="10">
        <v>46071</v>
      </c>
      <c r="D56" s="11" t="s">
        <v>177</v>
      </c>
      <c r="E56" s="12">
        <v>0.6875</v>
      </c>
      <c r="F56" s="12">
        <v>0.70833333333333337</v>
      </c>
      <c r="G56" s="12">
        <v>2.0833333333333332E-2</v>
      </c>
      <c r="H56" s="9" t="s">
        <v>116</v>
      </c>
      <c r="I56" s="13"/>
      <c r="J56" s="9" t="s">
        <v>110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</row>
    <row r="57" spans="1:49" s="33" customFormat="1" ht="35.1" customHeight="1" x14ac:dyDescent="0.25">
      <c r="A57" s="9" t="s">
        <v>108</v>
      </c>
      <c r="B57" s="10">
        <v>46071</v>
      </c>
      <c r="C57" s="10">
        <v>46071</v>
      </c>
      <c r="D57" s="11" t="s">
        <v>177</v>
      </c>
      <c r="E57" s="12">
        <v>0.70833333333333337</v>
      </c>
      <c r="F57" s="12">
        <v>0.75</v>
      </c>
      <c r="G57" s="12">
        <v>4.1666666666666664E-2</v>
      </c>
      <c r="H57" s="9" t="s">
        <v>180</v>
      </c>
      <c r="I57" s="13"/>
      <c r="J57" s="9" t="s">
        <v>110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</row>
    <row r="58" spans="1:49" s="33" customFormat="1" ht="35.1" customHeight="1" x14ac:dyDescent="0.25">
      <c r="A58" s="9" t="s">
        <v>115</v>
      </c>
      <c r="B58" s="10">
        <v>46071</v>
      </c>
      <c r="C58" s="10">
        <v>46071</v>
      </c>
      <c r="D58" s="11" t="s">
        <v>177</v>
      </c>
      <c r="E58" s="12">
        <v>0.75</v>
      </c>
      <c r="F58" s="12">
        <v>0.77083333333333337</v>
      </c>
      <c r="G58" s="12">
        <v>2.0833333333333332E-2</v>
      </c>
      <c r="H58" s="9" t="s">
        <v>118</v>
      </c>
      <c r="I58" s="13"/>
      <c r="J58" s="9" t="s">
        <v>110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</row>
    <row r="59" spans="1:49" s="35" customFormat="1" ht="35.1" customHeight="1" x14ac:dyDescent="0.2">
      <c r="A59" s="18" t="s">
        <v>70</v>
      </c>
      <c r="B59" s="19">
        <v>46071</v>
      </c>
      <c r="C59" s="19">
        <v>46071</v>
      </c>
      <c r="D59" s="18" t="s">
        <v>177</v>
      </c>
      <c r="E59" s="20">
        <v>0.66666666666666663</v>
      </c>
      <c r="F59" s="20">
        <v>0.79166666666666663</v>
      </c>
      <c r="G59" s="20">
        <v>3.4722222222222218E-4</v>
      </c>
      <c r="H59" s="18" t="s">
        <v>166</v>
      </c>
      <c r="I59" s="23">
        <v>0.765625</v>
      </c>
      <c r="J59" s="18" t="s">
        <v>110</v>
      </c>
      <c r="K59" s="18" t="s">
        <v>174</v>
      </c>
      <c r="L59" s="24">
        <v>1</v>
      </c>
      <c r="M59" s="24">
        <v>70990</v>
      </c>
      <c r="N59" s="18" t="s">
        <v>54</v>
      </c>
      <c r="O59" s="24" t="str">
        <f>AC59</f>
        <v>CVC</v>
      </c>
      <c r="P59" s="25">
        <v>58.82</v>
      </c>
      <c r="Q59" s="24"/>
      <c r="R59" s="25">
        <v>58.82</v>
      </c>
      <c r="S59" s="26">
        <v>46054</v>
      </c>
      <c r="T59" s="25">
        <v>4.4115000000000002</v>
      </c>
      <c r="U59" s="27">
        <v>4</v>
      </c>
      <c r="V59" s="25">
        <v>54.408500000000004</v>
      </c>
      <c r="W59" s="18" t="s">
        <v>48</v>
      </c>
      <c r="X59" s="18" t="s">
        <v>49</v>
      </c>
      <c r="Y59" s="18" t="s">
        <v>36</v>
      </c>
      <c r="Z59" s="18" t="s">
        <v>9</v>
      </c>
      <c r="AA59" s="18" t="s">
        <v>50</v>
      </c>
      <c r="AB59" s="18" t="s">
        <v>72</v>
      </c>
      <c r="AC59" s="18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36" customFormat="1" ht="35.1" customHeight="1" x14ac:dyDescent="0.25">
      <c r="A60" s="18" t="s">
        <v>44</v>
      </c>
      <c r="B60" s="19">
        <v>46071</v>
      </c>
      <c r="C60" s="19">
        <v>46071</v>
      </c>
      <c r="D60" s="18" t="s">
        <v>177</v>
      </c>
      <c r="E60" s="20">
        <v>0.66666666666666663</v>
      </c>
      <c r="F60" s="20">
        <v>0.79166666666666663</v>
      </c>
      <c r="G60" s="21">
        <v>1.7361111111111109E-4</v>
      </c>
      <c r="H60" s="22" t="s">
        <v>52</v>
      </c>
      <c r="I60" s="23">
        <v>0.76875000000000004</v>
      </c>
      <c r="J60" s="18" t="s">
        <v>110</v>
      </c>
      <c r="K60" s="18" t="s">
        <v>174</v>
      </c>
      <c r="L60" s="24">
        <v>1</v>
      </c>
      <c r="M60" s="24">
        <v>71004</v>
      </c>
      <c r="N60" s="18" t="s">
        <v>46</v>
      </c>
      <c r="O60" s="24" t="s">
        <v>47</v>
      </c>
      <c r="P60" s="25">
        <v>0</v>
      </c>
      <c r="Q60" s="24"/>
      <c r="R60" s="25">
        <v>0</v>
      </c>
      <c r="S60" s="26">
        <v>46054</v>
      </c>
      <c r="T60" s="25">
        <v>0</v>
      </c>
      <c r="U60" s="27">
        <v>4</v>
      </c>
      <c r="V60" s="25">
        <v>0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50</v>
      </c>
      <c r="AB60" s="18" t="s">
        <v>51</v>
      </c>
      <c r="AC60" s="18" t="s">
        <v>38</v>
      </c>
      <c r="AD60" s="7" t="str">
        <f t="shared" si="0"/>
        <v/>
      </c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</row>
    <row r="61" spans="1:49" s="29" customFormat="1" ht="35.1" customHeight="1" x14ac:dyDescent="0.25">
      <c r="A61" s="18" t="s">
        <v>44</v>
      </c>
      <c r="B61" s="19">
        <v>46071</v>
      </c>
      <c r="C61" s="19">
        <v>46071</v>
      </c>
      <c r="D61" s="18" t="s">
        <v>177</v>
      </c>
      <c r="E61" s="20">
        <v>0.66666666666666663</v>
      </c>
      <c r="F61" s="20">
        <v>0.79166666666666663</v>
      </c>
      <c r="G61" s="21">
        <v>1.7361111111111109E-4</v>
      </c>
      <c r="H61" s="22" t="s">
        <v>146</v>
      </c>
      <c r="I61" s="23">
        <v>0.77048611111111109</v>
      </c>
      <c r="J61" s="18" t="s">
        <v>110</v>
      </c>
      <c r="K61" s="18" t="s">
        <v>174</v>
      </c>
      <c r="L61" s="24">
        <v>1</v>
      </c>
      <c r="M61" s="24">
        <v>71004</v>
      </c>
      <c r="N61" s="18" t="s">
        <v>46</v>
      </c>
      <c r="O61" s="24" t="s">
        <v>47</v>
      </c>
      <c r="P61" s="25">
        <v>0</v>
      </c>
      <c r="Q61" s="24"/>
      <c r="R61" s="25">
        <v>0</v>
      </c>
      <c r="S61" s="26">
        <v>46054</v>
      </c>
      <c r="T61" s="25">
        <v>0</v>
      </c>
      <c r="U61" s="27">
        <v>4</v>
      </c>
      <c r="V61" s="25">
        <v>0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51</v>
      </c>
      <c r="AC61" s="18" t="s">
        <v>38</v>
      </c>
      <c r="AD61" s="7" t="str">
        <f t="shared" si="0"/>
        <v/>
      </c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</row>
    <row r="62" spans="1:49" s="33" customFormat="1" ht="35.1" customHeight="1" x14ac:dyDescent="0.2">
      <c r="A62" s="9" t="s">
        <v>115</v>
      </c>
      <c r="B62" s="10">
        <v>46071</v>
      </c>
      <c r="C62" s="10">
        <v>46071</v>
      </c>
      <c r="D62" s="11" t="s">
        <v>177</v>
      </c>
      <c r="E62" s="12">
        <v>0.77083333333333337</v>
      </c>
      <c r="F62" s="12">
        <v>0.79166666666666663</v>
      </c>
      <c r="G62" s="12">
        <v>2.0833333333333332E-2</v>
      </c>
      <c r="H62" s="9" t="s">
        <v>116</v>
      </c>
      <c r="I62" s="13"/>
      <c r="J62" s="9" t="s">
        <v>110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33" customFormat="1" ht="35.1" customHeight="1" x14ac:dyDescent="0.2">
      <c r="A63" s="9" t="s">
        <v>39</v>
      </c>
      <c r="B63" s="10">
        <v>46071</v>
      </c>
      <c r="C63" s="10">
        <v>46071</v>
      </c>
      <c r="D63" s="11" t="s">
        <v>177</v>
      </c>
      <c r="E63" s="12">
        <v>0.79166666666666663</v>
      </c>
      <c r="F63" s="12">
        <v>0.8125</v>
      </c>
      <c r="G63" s="12">
        <v>2.0833333333333332E-2</v>
      </c>
      <c r="H63" s="9" t="s">
        <v>119</v>
      </c>
      <c r="I63" s="13"/>
      <c r="J63" s="9" t="s">
        <v>120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37" customFormat="1" ht="35.1" customHeight="1" x14ac:dyDescent="0.25">
      <c r="A64" s="18" t="s">
        <v>129</v>
      </c>
      <c r="B64" s="19">
        <v>46071</v>
      </c>
      <c r="C64" s="19">
        <v>46071</v>
      </c>
      <c r="D64" s="18" t="s">
        <v>177</v>
      </c>
      <c r="E64" s="20">
        <v>0.79166666666666663</v>
      </c>
      <c r="F64" s="20">
        <v>0.83333333333333337</v>
      </c>
      <c r="G64" s="20">
        <v>1.7361111111111109E-4</v>
      </c>
      <c r="H64" s="18" t="s">
        <v>130</v>
      </c>
      <c r="I64" s="23">
        <v>0.80483796296296295</v>
      </c>
      <c r="J64" s="18" t="s">
        <v>120</v>
      </c>
      <c r="K64" s="18" t="s">
        <v>119</v>
      </c>
      <c r="L64" s="24">
        <v>1</v>
      </c>
      <c r="M64" s="24">
        <v>71275</v>
      </c>
      <c r="N64" s="18" t="s">
        <v>54</v>
      </c>
      <c r="O64" s="24" t="s">
        <v>38</v>
      </c>
      <c r="P64" s="25">
        <v>30</v>
      </c>
      <c r="Q64" s="24"/>
      <c r="R64" s="25">
        <v>30</v>
      </c>
      <c r="S64" s="26">
        <v>46071</v>
      </c>
      <c r="T64" s="25">
        <v>4.5</v>
      </c>
      <c r="U64" s="27">
        <v>4</v>
      </c>
      <c r="V64" s="25">
        <v>25.5</v>
      </c>
      <c r="W64" s="18" t="s">
        <v>48</v>
      </c>
      <c r="X64" s="18" t="s">
        <v>49</v>
      </c>
      <c r="Y64" s="18" t="s">
        <v>86</v>
      </c>
      <c r="Z64" s="18" t="s">
        <v>9</v>
      </c>
      <c r="AA64" s="18" t="s">
        <v>50</v>
      </c>
      <c r="AB64" s="18" t="s">
        <v>131</v>
      </c>
      <c r="AC64" s="18" t="s">
        <v>38</v>
      </c>
      <c r="AD64" s="7" t="str">
        <f t="shared" si="0"/>
        <v/>
      </c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</row>
    <row r="65" spans="1:49" s="33" customFormat="1" ht="35.1" customHeight="1" x14ac:dyDescent="0.25">
      <c r="A65" s="9" t="s">
        <v>39</v>
      </c>
      <c r="B65" s="10">
        <v>46071</v>
      </c>
      <c r="C65" s="10">
        <v>46071</v>
      </c>
      <c r="D65" s="11" t="s">
        <v>177</v>
      </c>
      <c r="E65" s="12">
        <v>0.8125</v>
      </c>
      <c r="F65" s="12">
        <v>0.83333333333333337</v>
      </c>
      <c r="G65" s="12">
        <v>2.0833333333333332E-2</v>
      </c>
      <c r="H65" s="9" t="s">
        <v>133</v>
      </c>
      <c r="I65" s="13"/>
      <c r="J65" s="9" t="s">
        <v>120</v>
      </c>
      <c r="K65" s="9"/>
      <c r="L65" s="14">
        <v>1</v>
      </c>
      <c r="M65" s="14">
        <v>1</v>
      </c>
      <c r="N65" s="9" t="s">
        <v>33</v>
      </c>
      <c r="O65" s="9"/>
      <c r="P65" s="16">
        <v>0</v>
      </c>
      <c r="Q65" s="14"/>
      <c r="R65" s="16">
        <v>0</v>
      </c>
      <c r="S65" s="9">
        <v>46054</v>
      </c>
      <c r="T65" s="16">
        <v>0</v>
      </c>
      <c r="U65" s="14">
        <v>2</v>
      </c>
      <c r="V65" s="16">
        <v>0</v>
      </c>
      <c r="W65" s="9" t="s">
        <v>34</v>
      </c>
      <c r="X65" s="9" t="s">
        <v>42</v>
      </c>
      <c r="Y65" s="9" t="s">
        <v>36</v>
      </c>
      <c r="Z65" s="9" t="s">
        <v>43</v>
      </c>
      <c r="AA65" s="9" t="s">
        <v>37</v>
      </c>
      <c r="AB65" s="9" t="s">
        <v>37</v>
      </c>
      <c r="AC65" s="9" t="s">
        <v>38</v>
      </c>
      <c r="AD65" s="7" t="str">
        <f t="shared" si="0"/>
        <v/>
      </c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</row>
    <row r="66" spans="1:49" s="32" customFormat="1" ht="35.1" customHeight="1" x14ac:dyDescent="0.25">
      <c r="A66" s="18" t="s">
        <v>70</v>
      </c>
      <c r="B66" s="19">
        <v>46071</v>
      </c>
      <c r="C66" s="19">
        <v>46071</v>
      </c>
      <c r="D66" s="18" t="s">
        <v>177</v>
      </c>
      <c r="E66" s="20">
        <v>0.79166666666666663</v>
      </c>
      <c r="F66" s="20">
        <v>0.83333333333333337</v>
      </c>
      <c r="G66" s="20">
        <v>3.4722222222222218E-4</v>
      </c>
      <c r="H66" s="18" t="s">
        <v>132</v>
      </c>
      <c r="I66" s="23">
        <v>0.81636574074074075</v>
      </c>
      <c r="J66" s="18" t="s">
        <v>120</v>
      </c>
      <c r="K66" s="18" t="s">
        <v>142</v>
      </c>
      <c r="L66" s="24">
        <v>1</v>
      </c>
      <c r="M66" s="24">
        <v>70979</v>
      </c>
      <c r="N66" s="18" t="s">
        <v>54</v>
      </c>
      <c r="O66" s="24" t="str">
        <f>AC66</f>
        <v>CVC</v>
      </c>
      <c r="P66" s="25">
        <v>58.82</v>
      </c>
      <c r="Q66" s="24"/>
      <c r="R66" s="25">
        <v>58.82</v>
      </c>
      <c r="S66" s="26">
        <v>46054</v>
      </c>
      <c r="T66" s="25">
        <v>4.4115000000000002</v>
      </c>
      <c r="U66" s="27">
        <v>4</v>
      </c>
      <c r="V66" s="25">
        <v>54.408500000000004</v>
      </c>
      <c r="W66" s="18" t="s">
        <v>48</v>
      </c>
      <c r="X66" s="18" t="s">
        <v>49</v>
      </c>
      <c r="Y66" s="18" t="s">
        <v>36</v>
      </c>
      <c r="Z66" s="18" t="s">
        <v>9</v>
      </c>
      <c r="AA66" s="18" t="s">
        <v>50</v>
      </c>
      <c r="AB66" s="18" t="s">
        <v>72</v>
      </c>
      <c r="AC66" s="18" t="s">
        <v>38</v>
      </c>
      <c r="AD66" s="7" t="str">
        <f t="shared" ref="AD66:AD83" si="1">IF(N66="PRG","",IF(I66&gt;=E66,IF(I66&lt;=F66,"","NO"),"NO"))</f>
        <v/>
      </c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</row>
    <row r="67" spans="1:49" s="37" customFormat="1" ht="35.1" customHeight="1" x14ac:dyDescent="0.25">
      <c r="A67" s="18" t="s">
        <v>121</v>
      </c>
      <c r="B67" s="19">
        <v>46071</v>
      </c>
      <c r="C67" s="19">
        <v>46071</v>
      </c>
      <c r="D67" s="18" t="s">
        <v>177</v>
      </c>
      <c r="E67" s="20">
        <v>0.79166666666666663</v>
      </c>
      <c r="F67" s="20">
        <v>0.99930555555555556</v>
      </c>
      <c r="G67" s="21">
        <v>1.7361111111111109E-4</v>
      </c>
      <c r="H67" s="22" t="s">
        <v>127</v>
      </c>
      <c r="I67" s="23">
        <v>0.83253472222222225</v>
      </c>
      <c r="J67" s="18" t="s">
        <v>123</v>
      </c>
      <c r="K67" s="18" t="s">
        <v>142</v>
      </c>
      <c r="L67" s="24">
        <v>1</v>
      </c>
      <c r="M67" s="24">
        <v>69567</v>
      </c>
      <c r="N67" s="18" t="s">
        <v>46</v>
      </c>
      <c r="O67" s="24" t="s">
        <v>124</v>
      </c>
      <c r="P67" s="25">
        <v>0</v>
      </c>
      <c r="Q67" s="24"/>
      <c r="R67" s="25">
        <v>0</v>
      </c>
      <c r="S67" s="26">
        <v>46054</v>
      </c>
      <c r="T67" s="25">
        <v>0</v>
      </c>
      <c r="U67" s="27">
        <v>4</v>
      </c>
      <c r="V67" s="25">
        <v>0</v>
      </c>
      <c r="W67" s="18" t="s">
        <v>48</v>
      </c>
      <c r="X67" s="18" t="s">
        <v>49</v>
      </c>
      <c r="Y67" s="18" t="s">
        <v>36</v>
      </c>
      <c r="Z67" s="18" t="s">
        <v>9</v>
      </c>
      <c r="AA67" s="18" t="s">
        <v>50</v>
      </c>
      <c r="AB67" s="18" t="s">
        <v>125</v>
      </c>
      <c r="AC67" s="18" t="s">
        <v>38</v>
      </c>
      <c r="AD67" s="7" t="str">
        <f t="shared" si="1"/>
        <v/>
      </c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</row>
    <row r="68" spans="1:49" s="32" customFormat="1" ht="35.1" customHeight="1" x14ac:dyDescent="0.25">
      <c r="A68" s="18" t="s">
        <v>121</v>
      </c>
      <c r="B68" s="19">
        <v>46071</v>
      </c>
      <c r="C68" s="19">
        <v>46071</v>
      </c>
      <c r="D68" s="18" t="s">
        <v>177</v>
      </c>
      <c r="E68" s="20">
        <v>0.79166666666666663</v>
      </c>
      <c r="F68" s="20">
        <v>0.99930555555555556</v>
      </c>
      <c r="G68" s="21">
        <v>1.7361111111111109E-4</v>
      </c>
      <c r="H68" s="22" t="s">
        <v>128</v>
      </c>
      <c r="I68" s="23">
        <v>0.83305555555555555</v>
      </c>
      <c r="J68" s="18" t="s">
        <v>123</v>
      </c>
      <c r="K68" s="18" t="s">
        <v>142</v>
      </c>
      <c r="L68" s="24">
        <v>1</v>
      </c>
      <c r="M68" s="24">
        <v>69567</v>
      </c>
      <c r="N68" s="18" t="s">
        <v>46</v>
      </c>
      <c r="O68" s="24" t="s">
        <v>124</v>
      </c>
      <c r="P68" s="25">
        <v>0</v>
      </c>
      <c r="Q68" s="24"/>
      <c r="R68" s="25">
        <v>0</v>
      </c>
      <c r="S68" s="26">
        <v>46054</v>
      </c>
      <c r="T68" s="25">
        <v>0</v>
      </c>
      <c r="U68" s="27">
        <v>4</v>
      </c>
      <c r="V68" s="25">
        <v>0</v>
      </c>
      <c r="W68" s="18" t="s">
        <v>48</v>
      </c>
      <c r="X68" s="18" t="s">
        <v>49</v>
      </c>
      <c r="Y68" s="18" t="s">
        <v>36</v>
      </c>
      <c r="Z68" s="18" t="s">
        <v>9</v>
      </c>
      <c r="AA68" s="18" t="s">
        <v>50</v>
      </c>
      <c r="AB68" s="18" t="s">
        <v>125</v>
      </c>
      <c r="AC68" s="18" t="s">
        <v>38</v>
      </c>
      <c r="AD68" s="7" t="str">
        <f t="shared" si="1"/>
        <v/>
      </c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</row>
    <row r="69" spans="1:49" s="33" customFormat="1" ht="35.1" customHeight="1" x14ac:dyDescent="0.25">
      <c r="A69" s="9" t="s">
        <v>134</v>
      </c>
      <c r="B69" s="10">
        <v>46071</v>
      </c>
      <c r="C69" s="10">
        <v>46071</v>
      </c>
      <c r="D69" s="11" t="s">
        <v>177</v>
      </c>
      <c r="E69" s="12">
        <v>0.83333333333333337</v>
      </c>
      <c r="F69" s="12">
        <v>0.875</v>
      </c>
      <c r="G69" s="12">
        <v>4.1666666666666664E-2</v>
      </c>
      <c r="H69" s="9" t="s">
        <v>135</v>
      </c>
      <c r="I69" s="13"/>
      <c r="J69" s="9" t="s">
        <v>41</v>
      </c>
      <c r="K69" s="9"/>
      <c r="L69" s="14">
        <v>1</v>
      </c>
      <c r="M69" s="14">
        <v>1</v>
      </c>
      <c r="N69" s="9" t="s">
        <v>33</v>
      </c>
      <c r="O69" s="9"/>
      <c r="P69" s="16">
        <v>0</v>
      </c>
      <c r="Q69" s="14"/>
      <c r="R69" s="16">
        <v>0</v>
      </c>
      <c r="S69" s="9">
        <v>46054</v>
      </c>
      <c r="T69" s="16">
        <v>0</v>
      </c>
      <c r="U69" s="14">
        <v>2</v>
      </c>
      <c r="V69" s="16">
        <v>0</v>
      </c>
      <c r="W69" s="9" t="s">
        <v>34</v>
      </c>
      <c r="X69" s="9" t="s">
        <v>42</v>
      </c>
      <c r="Y69" s="9" t="s">
        <v>36</v>
      </c>
      <c r="Z69" s="9" t="s">
        <v>43</v>
      </c>
      <c r="AA69" s="9" t="s">
        <v>37</v>
      </c>
      <c r="AB69" s="9" t="s">
        <v>37</v>
      </c>
      <c r="AC69" s="9" t="s">
        <v>38</v>
      </c>
      <c r="AD69" s="7" t="str">
        <f t="shared" si="1"/>
        <v/>
      </c>
      <c r="AE69" s="28"/>
      <c r="AF69" s="28"/>
      <c r="AG69" s="28"/>
      <c r="AH69" s="28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</row>
    <row r="70" spans="1:49" s="28" customFormat="1" ht="35.1" customHeight="1" x14ac:dyDescent="0.25">
      <c r="A70" s="18" t="s">
        <v>121</v>
      </c>
      <c r="B70" s="19">
        <v>46071</v>
      </c>
      <c r="C70" s="19">
        <v>46071</v>
      </c>
      <c r="D70" s="18" t="s">
        <v>177</v>
      </c>
      <c r="E70" s="20">
        <v>0.79166666666666663</v>
      </c>
      <c r="F70" s="20">
        <v>0.99930555555555556</v>
      </c>
      <c r="G70" s="21">
        <v>1.7361111111111109E-4</v>
      </c>
      <c r="H70" s="22" t="s">
        <v>122</v>
      </c>
      <c r="I70" s="23">
        <v>0.84439814814814818</v>
      </c>
      <c r="J70" s="18" t="s">
        <v>123</v>
      </c>
      <c r="K70" s="18" t="s">
        <v>143</v>
      </c>
      <c r="L70" s="24">
        <v>1</v>
      </c>
      <c r="M70" s="24">
        <v>69567</v>
      </c>
      <c r="N70" s="18" t="s">
        <v>46</v>
      </c>
      <c r="O70" s="24" t="s">
        <v>124</v>
      </c>
      <c r="P70" s="25">
        <v>0</v>
      </c>
      <c r="Q70" s="24"/>
      <c r="R70" s="25">
        <v>0</v>
      </c>
      <c r="S70" s="26">
        <v>46054</v>
      </c>
      <c r="T70" s="25">
        <v>0</v>
      </c>
      <c r="U70" s="27">
        <v>4</v>
      </c>
      <c r="V70" s="25">
        <v>0</v>
      </c>
      <c r="W70" s="18" t="s">
        <v>48</v>
      </c>
      <c r="X70" s="18" t="s">
        <v>49</v>
      </c>
      <c r="Y70" s="18" t="s">
        <v>36</v>
      </c>
      <c r="Z70" s="18" t="s">
        <v>9</v>
      </c>
      <c r="AA70" s="18" t="s">
        <v>50</v>
      </c>
      <c r="AB70" s="18" t="s">
        <v>125</v>
      </c>
      <c r="AC70" s="18" t="s">
        <v>38</v>
      </c>
      <c r="AD70" s="7" t="str">
        <f t="shared" si="1"/>
        <v/>
      </c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s="17" customFormat="1" ht="35.1" customHeight="1" x14ac:dyDescent="0.25">
      <c r="A71" s="18" t="s">
        <v>121</v>
      </c>
      <c r="B71" s="19">
        <v>46071</v>
      </c>
      <c r="C71" s="19">
        <v>46071</v>
      </c>
      <c r="D71" s="18" t="s">
        <v>177</v>
      </c>
      <c r="E71" s="20">
        <v>0.79166666666666663</v>
      </c>
      <c r="F71" s="20">
        <v>0.99930555555555556</v>
      </c>
      <c r="G71" s="21">
        <v>1.7361111111111109E-4</v>
      </c>
      <c r="H71" s="22" t="s">
        <v>126</v>
      </c>
      <c r="I71" s="23">
        <v>0.84526620370370376</v>
      </c>
      <c r="J71" s="18" t="s">
        <v>123</v>
      </c>
      <c r="K71" s="18" t="s">
        <v>143</v>
      </c>
      <c r="L71" s="24">
        <v>1</v>
      </c>
      <c r="M71" s="24">
        <v>69567</v>
      </c>
      <c r="N71" s="18" t="s">
        <v>46</v>
      </c>
      <c r="O71" s="24" t="s">
        <v>124</v>
      </c>
      <c r="P71" s="25">
        <v>0</v>
      </c>
      <c r="Q71" s="24"/>
      <c r="R71" s="25">
        <v>0</v>
      </c>
      <c r="S71" s="26">
        <v>46054</v>
      </c>
      <c r="T71" s="25">
        <v>0</v>
      </c>
      <c r="U71" s="27">
        <v>4</v>
      </c>
      <c r="V71" s="25">
        <v>0</v>
      </c>
      <c r="W71" s="18" t="s">
        <v>48</v>
      </c>
      <c r="X71" s="18" t="s">
        <v>49</v>
      </c>
      <c r="Y71" s="18" t="s">
        <v>36</v>
      </c>
      <c r="Z71" s="18" t="s">
        <v>9</v>
      </c>
      <c r="AA71" s="18" t="s">
        <v>50</v>
      </c>
      <c r="AB71" s="18" t="s">
        <v>125</v>
      </c>
      <c r="AC71" s="18" t="s">
        <v>38</v>
      </c>
      <c r="AD71" s="7" t="str">
        <f t="shared" si="1"/>
        <v/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38" customFormat="1" ht="35.1" customHeight="1" x14ac:dyDescent="0.25">
      <c r="A72" s="18" t="s">
        <v>129</v>
      </c>
      <c r="B72" s="19">
        <v>46071</v>
      </c>
      <c r="C72" s="19">
        <v>46071</v>
      </c>
      <c r="D72" s="18" t="s">
        <v>177</v>
      </c>
      <c r="E72" s="20">
        <v>0.83333333333333337</v>
      </c>
      <c r="F72" s="20">
        <v>0.91666666666666663</v>
      </c>
      <c r="G72" s="20">
        <v>1.7361111111111109E-4</v>
      </c>
      <c r="H72" s="18" t="s">
        <v>169</v>
      </c>
      <c r="I72" s="23">
        <v>0.84457175925925931</v>
      </c>
      <c r="J72" s="18" t="s">
        <v>41</v>
      </c>
      <c r="K72" s="18" t="s">
        <v>143</v>
      </c>
      <c r="L72" s="24">
        <v>1</v>
      </c>
      <c r="M72" s="24">
        <v>71277</v>
      </c>
      <c r="N72" s="18" t="s">
        <v>54</v>
      </c>
      <c r="O72" s="24" t="s">
        <v>38</v>
      </c>
      <c r="P72" s="25">
        <v>30</v>
      </c>
      <c r="Q72" s="24"/>
      <c r="R72" s="25">
        <v>30</v>
      </c>
      <c r="S72" s="26">
        <v>46071</v>
      </c>
      <c r="T72" s="25">
        <v>4.5</v>
      </c>
      <c r="U72" s="27">
        <v>4</v>
      </c>
      <c r="V72" s="25">
        <v>25.5</v>
      </c>
      <c r="W72" s="18" t="s">
        <v>48</v>
      </c>
      <c r="X72" s="18" t="s">
        <v>49</v>
      </c>
      <c r="Y72" s="18" t="s">
        <v>86</v>
      </c>
      <c r="Z72" s="18" t="s">
        <v>9</v>
      </c>
      <c r="AA72" s="18" t="s">
        <v>50</v>
      </c>
      <c r="AB72" s="18" t="s">
        <v>131</v>
      </c>
      <c r="AC72" s="18" t="s">
        <v>38</v>
      </c>
      <c r="AD72" s="7" t="str">
        <f t="shared" si="1"/>
        <v/>
      </c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</row>
    <row r="73" spans="1:49" s="38" customFormat="1" ht="35.1" customHeight="1" x14ac:dyDescent="0.25">
      <c r="A73" s="18" t="s">
        <v>70</v>
      </c>
      <c r="B73" s="19">
        <v>46071</v>
      </c>
      <c r="C73" s="19">
        <v>46071</v>
      </c>
      <c r="D73" s="18" t="s">
        <v>177</v>
      </c>
      <c r="E73" s="20">
        <v>0.83333333333333337</v>
      </c>
      <c r="F73" s="20">
        <v>0.875</v>
      </c>
      <c r="G73" s="20">
        <v>3.4722222222222218E-4</v>
      </c>
      <c r="H73" s="18" t="s">
        <v>168</v>
      </c>
      <c r="I73" s="23">
        <v>0.84491898148148148</v>
      </c>
      <c r="J73" s="18" t="s">
        <v>41</v>
      </c>
      <c r="K73" s="18" t="s">
        <v>143</v>
      </c>
      <c r="L73" s="24">
        <v>1</v>
      </c>
      <c r="M73" s="24">
        <v>70981</v>
      </c>
      <c r="N73" s="18" t="s">
        <v>54</v>
      </c>
      <c r="O73" s="24" t="str">
        <f>AC73</f>
        <v>CVC</v>
      </c>
      <c r="P73" s="25">
        <v>58.82</v>
      </c>
      <c r="Q73" s="24"/>
      <c r="R73" s="25">
        <v>58.82</v>
      </c>
      <c r="S73" s="26">
        <v>46054</v>
      </c>
      <c r="T73" s="25">
        <v>4.4115000000000002</v>
      </c>
      <c r="U73" s="27">
        <v>4</v>
      </c>
      <c r="V73" s="25">
        <v>54.408500000000004</v>
      </c>
      <c r="W73" s="18" t="s">
        <v>48</v>
      </c>
      <c r="X73" s="18" t="s">
        <v>49</v>
      </c>
      <c r="Y73" s="18" t="s">
        <v>36</v>
      </c>
      <c r="Z73" s="18" t="s">
        <v>9</v>
      </c>
      <c r="AA73" s="18" t="s">
        <v>50</v>
      </c>
      <c r="AB73" s="18" t="s">
        <v>72</v>
      </c>
      <c r="AC73" s="18" t="s">
        <v>38</v>
      </c>
      <c r="AD73" s="7" t="str">
        <f t="shared" si="1"/>
        <v/>
      </c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</row>
    <row r="74" spans="1:49" s="33" customFormat="1" ht="35.1" customHeight="1" x14ac:dyDescent="0.2">
      <c r="A74" s="18" t="s">
        <v>44</v>
      </c>
      <c r="B74" s="19">
        <v>46071</v>
      </c>
      <c r="C74" s="19">
        <v>46071</v>
      </c>
      <c r="D74" s="18" t="s">
        <v>177</v>
      </c>
      <c r="E74" s="20">
        <v>0.79166666666666663</v>
      </c>
      <c r="F74" s="20">
        <v>0.99930555555555556</v>
      </c>
      <c r="G74" s="20">
        <v>1.157407407407407E-4</v>
      </c>
      <c r="H74" s="18" t="s">
        <v>181</v>
      </c>
      <c r="I74" s="23">
        <v>0.85291666666666666</v>
      </c>
      <c r="J74" s="18" t="s">
        <v>41</v>
      </c>
      <c r="K74" s="18" t="s">
        <v>143</v>
      </c>
      <c r="L74" s="24">
        <v>1</v>
      </c>
      <c r="M74" s="24">
        <v>71104</v>
      </c>
      <c r="N74" s="18" t="s">
        <v>46</v>
      </c>
      <c r="O74" s="24" t="s">
        <v>47</v>
      </c>
      <c r="P74" s="25">
        <v>0</v>
      </c>
      <c r="Q74" s="24"/>
      <c r="R74" s="25">
        <v>0</v>
      </c>
      <c r="S74" s="26">
        <v>46054</v>
      </c>
      <c r="T74" s="25">
        <v>0</v>
      </c>
      <c r="U74" s="27">
        <v>4</v>
      </c>
      <c r="V74" s="25">
        <v>0</v>
      </c>
      <c r="W74" s="18" t="s">
        <v>48</v>
      </c>
      <c r="X74" s="18" t="s">
        <v>49</v>
      </c>
      <c r="Y74" s="18" t="s">
        <v>36</v>
      </c>
      <c r="Z74" s="18" t="s">
        <v>9</v>
      </c>
      <c r="AA74" s="18" t="s">
        <v>50</v>
      </c>
      <c r="AB74" s="18" t="s">
        <v>51</v>
      </c>
      <c r="AC74" s="18" t="s">
        <v>38</v>
      </c>
      <c r="AD74" s="7" t="str">
        <f t="shared" si="1"/>
        <v/>
      </c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s="33" customFormat="1" ht="35.1" customHeight="1" x14ac:dyDescent="0.2">
      <c r="A75" s="9" t="s">
        <v>136</v>
      </c>
      <c r="B75" s="10">
        <v>46071</v>
      </c>
      <c r="C75" s="10">
        <v>46071</v>
      </c>
      <c r="D75" s="11" t="s">
        <v>177</v>
      </c>
      <c r="E75" s="12">
        <v>0.875</v>
      </c>
      <c r="F75" s="12">
        <v>0.91666666666666663</v>
      </c>
      <c r="G75" s="12">
        <v>4.1666666666666664E-2</v>
      </c>
      <c r="H75" s="9" t="s">
        <v>137</v>
      </c>
      <c r="I75" s="13"/>
      <c r="J75" s="9" t="s">
        <v>41</v>
      </c>
      <c r="K75" s="9"/>
      <c r="L75" s="14">
        <v>1</v>
      </c>
      <c r="M75" s="14">
        <v>1</v>
      </c>
      <c r="N75" s="9" t="s">
        <v>33</v>
      </c>
      <c r="O75" s="9"/>
      <c r="P75" s="16">
        <v>0</v>
      </c>
      <c r="Q75" s="14"/>
      <c r="R75" s="16">
        <v>0</v>
      </c>
      <c r="S75" s="9">
        <v>46054</v>
      </c>
      <c r="T75" s="16">
        <v>0</v>
      </c>
      <c r="U75" s="14">
        <v>2</v>
      </c>
      <c r="V75" s="16">
        <v>0</v>
      </c>
      <c r="W75" s="9" t="s">
        <v>34</v>
      </c>
      <c r="X75" s="9" t="s">
        <v>42</v>
      </c>
      <c r="Y75" s="9" t="s">
        <v>36</v>
      </c>
      <c r="Z75" s="9" t="s">
        <v>43</v>
      </c>
      <c r="AA75" s="9" t="s">
        <v>37</v>
      </c>
      <c r="AB75" s="9" t="s">
        <v>37</v>
      </c>
      <c r="AC75" s="9" t="s">
        <v>38</v>
      </c>
      <c r="AD75" s="7" t="str">
        <f t="shared" si="1"/>
        <v/>
      </c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s="33" customFormat="1" ht="35.1" customHeight="1" x14ac:dyDescent="0.2">
      <c r="A76" s="18" t="s">
        <v>121</v>
      </c>
      <c r="B76" s="19">
        <v>46071</v>
      </c>
      <c r="C76" s="19">
        <v>46071</v>
      </c>
      <c r="D76" s="18" t="s">
        <v>177</v>
      </c>
      <c r="E76" s="20">
        <v>0.79166666666666663</v>
      </c>
      <c r="F76" s="20">
        <v>0.99930555555555556</v>
      </c>
      <c r="G76" s="21">
        <v>1.7361111111111109E-4</v>
      </c>
      <c r="H76" s="22" t="s">
        <v>122</v>
      </c>
      <c r="I76" s="23">
        <v>0.87936342592592598</v>
      </c>
      <c r="J76" s="18" t="s">
        <v>123</v>
      </c>
      <c r="K76" s="18" t="s">
        <v>137</v>
      </c>
      <c r="L76" s="24">
        <v>1</v>
      </c>
      <c r="M76" s="24">
        <v>69566</v>
      </c>
      <c r="N76" s="18" t="s">
        <v>54</v>
      </c>
      <c r="O76" s="24" t="s">
        <v>124</v>
      </c>
      <c r="P76" s="25">
        <v>0</v>
      </c>
      <c r="Q76" s="24"/>
      <c r="R76" s="25">
        <v>16.531831119544499</v>
      </c>
      <c r="S76" s="26">
        <v>46054</v>
      </c>
      <c r="T76" s="25">
        <v>0</v>
      </c>
      <c r="U76" s="27">
        <v>4</v>
      </c>
      <c r="V76" s="25">
        <v>0</v>
      </c>
      <c r="W76" s="18" t="s">
        <v>48</v>
      </c>
      <c r="X76" s="18" t="s">
        <v>49</v>
      </c>
      <c r="Y76" s="18" t="s">
        <v>36</v>
      </c>
      <c r="Z76" s="18" t="s">
        <v>9</v>
      </c>
      <c r="AA76" s="18" t="s">
        <v>50</v>
      </c>
      <c r="AB76" s="18" t="s">
        <v>125</v>
      </c>
      <c r="AC76" s="18" t="s">
        <v>38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28" customFormat="1" ht="35.1" customHeight="1" x14ac:dyDescent="0.25">
      <c r="A77" s="18" t="s">
        <v>121</v>
      </c>
      <c r="B77" s="19">
        <v>46071</v>
      </c>
      <c r="C77" s="19">
        <v>46071</v>
      </c>
      <c r="D77" s="18" t="s">
        <v>177</v>
      </c>
      <c r="E77" s="20">
        <v>0.79166666666666663</v>
      </c>
      <c r="F77" s="20">
        <v>0.99930555555555556</v>
      </c>
      <c r="G77" s="21">
        <v>1.7361111111111109E-4</v>
      </c>
      <c r="H77" s="22" t="s">
        <v>126</v>
      </c>
      <c r="I77" s="23">
        <v>0.88057870370370372</v>
      </c>
      <c r="J77" s="18" t="s">
        <v>123</v>
      </c>
      <c r="K77" s="18" t="s">
        <v>137</v>
      </c>
      <c r="L77" s="24">
        <v>1</v>
      </c>
      <c r="M77" s="24">
        <v>69566</v>
      </c>
      <c r="N77" s="18" t="s">
        <v>54</v>
      </c>
      <c r="O77" s="24" t="s">
        <v>124</v>
      </c>
      <c r="P77" s="25">
        <v>0</v>
      </c>
      <c r="Q77" s="24"/>
      <c r="R77" s="25">
        <v>16.531831119544499</v>
      </c>
      <c r="S77" s="26">
        <v>46054</v>
      </c>
      <c r="T77" s="25">
        <v>0</v>
      </c>
      <c r="U77" s="27">
        <v>4</v>
      </c>
      <c r="V77" s="25">
        <v>0</v>
      </c>
      <c r="W77" s="18" t="s">
        <v>48</v>
      </c>
      <c r="X77" s="18" t="s">
        <v>49</v>
      </c>
      <c r="Y77" s="18" t="s">
        <v>36</v>
      </c>
      <c r="Z77" s="18" t="s">
        <v>9</v>
      </c>
      <c r="AA77" s="18" t="s">
        <v>50</v>
      </c>
      <c r="AB77" s="18" t="s">
        <v>125</v>
      </c>
      <c r="AC77" s="18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33" customFormat="1" ht="35.1" customHeight="1" x14ac:dyDescent="0.2">
      <c r="A78" s="9" t="s">
        <v>136</v>
      </c>
      <c r="B78" s="10">
        <v>46071</v>
      </c>
      <c r="C78" s="10">
        <v>46071</v>
      </c>
      <c r="D78" s="11" t="s">
        <v>177</v>
      </c>
      <c r="E78" s="12">
        <v>0.91666666666666663</v>
      </c>
      <c r="F78" s="12">
        <v>0.97916666666666663</v>
      </c>
      <c r="G78" s="12">
        <v>6.25E-2</v>
      </c>
      <c r="H78" s="9" t="s">
        <v>182</v>
      </c>
      <c r="I78" s="13"/>
      <c r="J78" s="9" t="s">
        <v>41</v>
      </c>
      <c r="K78" s="9"/>
      <c r="L78" s="14">
        <v>1</v>
      </c>
      <c r="M78" s="14">
        <v>1</v>
      </c>
      <c r="N78" s="9" t="s">
        <v>33</v>
      </c>
      <c r="O78" s="9"/>
      <c r="P78" s="16">
        <v>0</v>
      </c>
      <c r="Q78" s="14"/>
      <c r="R78" s="16">
        <v>0</v>
      </c>
      <c r="S78" s="9">
        <v>46054</v>
      </c>
      <c r="T78" s="16">
        <v>0</v>
      </c>
      <c r="U78" s="14">
        <v>2</v>
      </c>
      <c r="V78" s="16">
        <v>0</v>
      </c>
      <c r="W78" s="9" t="s">
        <v>34</v>
      </c>
      <c r="X78" s="9" t="s">
        <v>42</v>
      </c>
      <c r="Y78" s="9" t="s">
        <v>36</v>
      </c>
      <c r="Z78" s="9" t="s">
        <v>43</v>
      </c>
      <c r="AA78" s="9" t="s">
        <v>37</v>
      </c>
      <c r="AB78" s="9" t="s">
        <v>37</v>
      </c>
      <c r="AC78" s="9" t="s">
        <v>38</v>
      </c>
      <c r="AD78" s="7" t="str">
        <f t="shared" si="1"/>
        <v/>
      </c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</row>
    <row r="79" spans="1:49" s="28" customFormat="1" ht="35.1" customHeight="1" x14ac:dyDescent="0.25">
      <c r="A79" s="18" t="s">
        <v>121</v>
      </c>
      <c r="B79" s="19">
        <v>46071</v>
      </c>
      <c r="C79" s="19">
        <v>46071</v>
      </c>
      <c r="D79" s="18" t="s">
        <v>177</v>
      </c>
      <c r="E79" s="20">
        <v>0.79166666666666663</v>
      </c>
      <c r="F79" s="20">
        <v>0.99930555555555556</v>
      </c>
      <c r="G79" s="21">
        <v>1.7361111111111109E-4</v>
      </c>
      <c r="H79" s="22" t="s">
        <v>122</v>
      </c>
      <c r="I79" s="23">
        <v>0.95143518518518522</v>
      </c>
      <c r="J79" s="18" t="s">
        <v>123</v>
      </c>
      <c r="K79" s="18" t="s">
        <v>182</v>
      </c>
      <c r="L79" s="24">
        <v>1</v>
      </c>
      <c r="M79" s="24">
        <v>69566</v>
      </c>
      <c r="N79" s="18" t="s">
        <v>54</v>
      </c>
      <c r="O79" s="24" t="s">
        <v>124</v>
      </c>
      <c r="P79" s="25">
        <v>0</v>
      </c>
      <c r="Q79" s="24"/>
      <c r="R79" s="25">
        <v>16.531831119544499</v>
      </c>
      <c r="S79" s="26">
        <v>46054</v>
      </c>
      <c r="T79" s="25">
        <v>0</v>
      </c>
      <c r="U79" s="27">
        <v>4</v>
      </c>
      <c r="V79" s="25">
        <v>0</v>
      </c>
      <c r="W79" s="18" t="s">
        <v>48</v>
      </c>
      <c r="X79" s="18" t="s">
        <v>49</v>
      </c>
      <c r="Y79" s="18" t="s">
        <v>36</v>
      </c>
      <c r="Z79" s="18" t="s">
        <v>9</v>
      </c>
      <c r="AA79" s="18" t="s">
        <v>50</v>
      </c>
      <c r="AB79" s="18" t="s">
        <v>125</v>
      </c>
      <c r="AC79" s="18" t="s">
        <v>38</v>
      </c>
      <c r="AD79" s="7" t="str">
        <f t="shared" si="1"/>
        <v/>
      </c>
    </row>
    <row r="80" spans="1:49" s="28" customFormat="1" ht="35.1" customHeight="1" x14ac:dyDescent="0.25">
      <c r="A80" s="18" t="s">
        <v>121</v>
      </c>
      <c r="B80" s="19">
        <v>46071</v>
      </c>
      <c r="C80" s="19">
        <v>46071</v>
      </c>
      <c r="D80" s="18" t="s">
        <v>177</v>
      </c>
      <c r="E80" s="20">
        <v>0.79166666666666663</v>
      </c>
      <c r="F80" s="20">
        <v>0.99930555555555556</v>
      </c>
      <c r="G80" s="21">
        <v>1.7361111111111109E-4</v>
      </c>
      <c r="H80" s="22" t="s">
        <v>126</v>
      </c>
      <c r="I80" s="23">
        <v>0.95386574074074071</v>
      </c>
      <c r="J80" s="18" t="s">
        <v>123</v>
      </c>
      <c r="K80" s="18" t="s">
        <v>182</v>
      </c>
      <c r="L80" s="24">
        <v>1</v>
      </c>
      <c r="M80" s="24">
        <v>69566</v>
      </c>
      <c r="N80" s="18" t="s">
        <v>54</v>
      </c>
      <c r="O80" s="24" t="s">
        <v>124</v>
      </c>
      <c r="P80" s="25">
        <v>0</v>
      </c>
      <c r="Q80" s="24"/>
      <c r="R80" s="25">
        <v>16.531831119544499</v>
      </c>
      <c r="S80" s="26">
        <v>46054</v>
      </c>
      <c r="T80" s="25">
        <v>0</v>
      </c>
      <c r="U80" s="27">
        <v>4</v>
      </c>
      <c r="V80" s="25">
        <v>0</v>
      </c>
      <c r="W80" s="18" t="s">
        <v>48</v>
      </c>
      <c r="X80" s="18" t="s">
        <v>49</v>
      </c>
      <c r="Y80" s="18" t="s">
        <v>36</v>
      </c>
      <c r="Z80" s="18" t="s">
        <v>9</v>
      </c>
      <c r="AA80" s="18" t="s">
        <v>50</v>
      </c>
      <c r="AB80" s="18" t="s">
        <v>125</v>
      </c>
      <c r="AC80" s="18" t="s">
        <v>38</v>
      </c>
      <c r="AD80" s="7" t="str">
        <f t="shared" si="1"/>
        <v/>
      </c>
    </row>
    <row r="81" spans="1:49" s="28" customFormat="1" ht="35.1" customHeight="1" x14ac:dyDescent="0.25">
      <c r="A81" s="18" t="s">
        <v>121</v>
      </c>
      <c r="B81" s="19">
        <v>46071</v>
      </c>
      <c r="C81" s="19">
        <v>46071</v>
      </c>
      <c r="D81" s="18" t="s">
        <v>177</v>
      </c>
      <c r="E81" s="20">
        <v>0.79166666666666663</v>
      </c>
      <c r="F81" s="20">
        <v>0.99930555555555556</v>
      </c>
      <c r="G81" s="21">
        <v>1.7361111111111109E-4</v>
      </c>
      <c r="H81" s="22" t="s">
        <v>122</v>
      </c>
      <c r="I81" s="23">
        <v>0.96881944444444446</v>
      </c>
      <c r="J81" s="18" t="s">
        <v>123</v>
      </c>
      <c r="K81" s="18" t="s">
        <v>182</v>
      </c>
      <c r="L81" s="24">
        <v>1</v>
      </c>
      <c r="M81" s="24">
        <v>69566</v>
      </c>
      <c r="N81" s="18" t="s">
        <v>54</v>
      </c>
      <c r="O81" s="24" t="s">
        <v>124</v>
      </c>
      <c r="P81" s="25">
        <v>0</v>
      </c>
      <c r="Q81" s="24"/>
      <c r="R81" s="25">
        <v>16.531831119544499</v>
      </c>
      <c r="S81" s="26">
        <v>46054</v>
      </c>
      <c r="T81" s="25">
        <v>0</v>
      </c>
      <c r="U81" s="27">
        <v>4</v>
      </c>
      <c r="V81" s="25">
        <v>0</v>
      </c>
      <c r="W81" s="18" t="s">
        <v>48</v>
      </c>
      <c r="X81" s="18" t="s">
        <v>49</v>
      </c>
      <c r="Y81" s="18" t="s">
        <v>36</v>
      </c>
      <c r="Z81" s="18" t="s">
        <v>9</v>
      </c>
      <c r="AA81" s="18" t="s">
        <v>50</v>
      </c>
      <c r="AB81" s="18" t="s">
        <v>125</v>
      </c>
      <c r="AC81" s="18" t="s">
        <v>38</v>
      </c>
      <c r="AD81" s="7" t="str">
        <f t="shared" si="1"/>
        <v/>
      </c>
    </row>
    <row r="82" spans="1:49" s="28" customFormat="1" ht="35.1" customHeight="1" x14ac:dyDescent="0.25">
      <c r="A82" s="18" t="s">
        <v>121</v>
      </c>
      <c r="B82" s="19">
        <v>46071</v>
      </c>
      <c r="C82" s="19">
        <v>46071</v>
      </c>
      <c r="D82" s="18" t="s">
        <v>177</v>
      </c>
      <c r="E82" s="20">
        <v>0.79166666666666663</v>
      </c>
      <c r="F82" s="20">
        <v>0.99930555555555556</v>
      </c>
      <c r="G82" s="21">
        <v>1.7361111111111109E-4</v>
      </c>
      <c r="H82" s="22" t="s">
        <v>126</v>
      </c>
      <c r="I82" s="23">
        <v>0.97211805555555553</v>
      </c>
      <c r="J82" s="18" t="s">
        <v>123</v>
      </c>
      <c r="K82" s="18" t="s">
        <v>182</v>
      </c>
      <c r="L82" s="24">
        <v>1</v>
      </c>
      <c r="M82" s="24">
        <v>69566</v>
      </c>
      <c r="N82" s="18" t="s">
        <v>54</v>
      </c>
      <c r="O82" s="24" t="s">
        <v>124</v>
      </c>
      <c r="P82" s="25">
        <v>0</v>
      </c>
      <c r="Q82" s="24"/>
      <c r="R82" s="25">
        <v>16.531831119544499</v>
      </c>
      <c r="S82" s="26">
        <v>46054</v>
      </c>
      <c r="T82" s="25">
        <v>0</v>
      </c>
      <c r="U82" s="27">
        <v>4</v>
      </c>
      <c r="V82" s="25">
        <v>0</v>
      </c>
      <c r="W82" s="18" t="s">
        <v>48</v>
      </c>
      <c r="X82" s="18" t="s">
        <v>49</v>
      </c>
      <c r="Y82" s="18" t="s">
        <v>36</v>
      </c>
      <c r="Z82" s="18" t="s">
        <v>9</v>
      </c>
      <c r="AA82" s="18" t="s">
        <v>50</v>
      </c>
      <c r="AB82" s="18" t="s">
        <v>125</v>
      </c>
      <c r="AC82" s="18" t="s">
        <v>38</v>
      </c>
      <c r="AD82" s="7" t="str">
        <f t="shared" si="1"/>
        <v/>
      </c>
    </row>
    <row r="83" spans="1:49" s="33" customFormat="1" ht="35.1" customHeight="1" x14ac:dyDescent="0.2">
      <c r="A83" s="9" t="s">
        <v>39</v>
      </c>
      <c r="B83" s="10">
        <v>46071</v>
      </c>
      <c r="C83" s="10">
        <v>46071</v>
      </c>
      <c r="D83" s="11" t="s">
        <v>177</v>
      </c>
      <c r="E83" s="12">
        <v>0.97916666666666663</v>
      </c>
      <c r="F83" s="12">
        <v>1</v>
      </c>
      <c r="G83" s="12">
        <v>2.0833333333333332E-2</v>
      </c>
      <c r="H83" s="9" t="s">
        <v>139</v>
      </c>
      <c r="I83" s="13"/>
      <c r="J83" s="9" t="s">
        <v>120</v>
      </c>
      <c r="K83" s="9"/>
      <c r="L83" s="14">
        <v>1</v>
      </c>
      <c r="M83" s="14">
        <v>1</v>
      </c>
      <c r="N83" s="9" t="s">
        <v>33</v>
      </c>
      <c r="O83" s="9"/>
      <c r="P83" s="16">
        <v>0</v>
      </c>
      <c r="Q83" s="14"/>
      <c r="R83" s="16">
        <v>0</v>
      </c>
      <c r="S83" s="9">
        <v>46054</v>
      </c>
      <c r="T83" s="16">
        <v>0</v>
      </c>
      <c r="U83" s="14">
        <v>2</v>
      </c>
      <c r="V83" s="16">
        <v>0</v>
      </c>
      <c r="W83" s="9" t="s">
        <v>34</v>
      </c>
      <c r="X83" s="9" t="s">
        <v>42</v>
      </c>
      <c r="Y83" s="9" t="s">
        <v>36</v>
      </c>
      <c r="Z83" s="9" t="s">
        <v>43</v>
      </c>
      <c r="AA83" s="9" t="s">
        <v>37</v>
      </c>
      <c r="AB83" s="9" t="s">
        <v>37</v>
      </c>
      <c r="AC83" s="9" t="s">
        <v>38</v>
      </c>
      <c r="AD83" s="7" t="str">
        <f t="shared" si="1"/>
        <v/>
      </c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ht="44.25" customHeight="1" x14ac:dyDescent="0.2"/>
    <row r="85" spans="1:49" ht="44.25" customHeight="1" x14ac:dyDescent="0.2"/>
    <row r="86" spans="1:49" ht="44.25" customHeight="1" x14ac:dyDescent="0.2"/>
    <row r="87" spans="1:49" ht="44.25" customHeight="1" x14ac:dyDescent="0.2"/>
    <row r="88" spans="1:49" ht="44.25" customHeight="1" x14ac:dyDescent="0.2"/>
    <row r="89" spans="1:49" ht="44.25" customHeight="1" x14ac:dyDescent="0.2"/>
    <row r="90" spans="1:49" ht="44.25" customHeight="1" x14ac:dyDescent="0.2"/>
    <row r="91" spans="1:49" ht="44.25" customHeight="1" x14ac:dyDescent="0.2"/>
    <row r="92" spans="1:49" ht="44.25" customHeight="1" x14ac:dyDescent="0.2"/>
    <row r="93" spans="1:49" ht="44.25" customHeight="1" x14ac:dyDescent="0.2"/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83" xr:uid="{F99A2123-D123-4759-87BC-035A54FA15AD}"/>
  <sortState xmlns:xlrd2="http://schemas.microsoft.com/office/spreadsheetml/2017/richdata2" ref="A2:AD326">
    <sortCondition sortBy="cellColor" ref="E1:E500" dxfId="32"/>
  </sortState>
  <conditionalFormatting sqref="AD1:AD83">
    <cfRule type="cellIs" dxfId="31" priority="10" operator="equal">
      <formula>"NO"</formula>
    </cfRule>
  </conditionalFormatting>
  <conditionalFormatting sqref="E68:F73 E2:F3 E77:F82 E7:F58">
    <cfRule type="timePeriod" dxfId="30" priority="9" timePeriod="lastWeek">
      <formula>AND(TODAY()-ROUNDDOWN(E2,0)&gt;=(WEEKDAY(TODAY())),TODAY()-ROUNDDOWN(E2,0)&lt;(WEEKDAY(TODAY())+7))</formula>
    </cfRule>
  </conditionalFormatting>
  <conditionalFormatting sqref="E4:F5">
    <cfRule type="timePeriod" dxfId="29" priority="7" timePeriod="lastWeek">
      <formula>AND(TODAY()-ROUNDDOWN(E4,0)&gt;=(WEEKDAY(TODAY())),TODAY()-ROUNDDOWN(E4,0)&lt;(WEEKDAY(TODAY())+7))</formula>
    </cfRule>
  </conditionalFormatting>
  <conditionalFormatting sqref="E61:F63">
    <cfRule type="timePeriod" dxfId="28" priority="5" timePeriod="lastWeek">
      <formula>AND(TODAY()-ROUNDDOWN(E61,0)&gt;=(WEEKDAY(TODAY())),TODAY()-ROUNDDOWN(E61,0)&lt;(WEEKDAY(TODAY())+7))</formula>
    </cfRule>
  </conditionalFormatting>
  <conditionalFormatting sqref="E66:F66">
    <cfRule type="timePeriod" dxfId="27" priority="4" timePeriod="lastWeek">
      <formula>AND(TODAY()-ROUNDDOWN(E66,0)&gt;=(WEEKDAY(TODAY())),TODAY()-ROUNDDOWN(E66,0)&lt;(WEEKDAY(TODAY())+7))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46072</v>
      </c>
      <c r="C2" s="10">
        <v>46072</v>
      </c>
      <c r="D2" s="11" t="s">
        <v>183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3" customFormat="1" ht="35.1" customHeight="1" x14ac:dyDescent="0.25">
      <c r="A3" s="9" t="s">
        <v>39</v>
      </c>
      <c r="B3" s="10">
        <v>46072</v>
      </c>
      <c r="C3" s="10">
        <v>46072</v>
      </c>
      <c r="D3" s="11" t="s">
        <v>183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8"/>
      <c r="AF3" s="28"/>
      <c r="AG3" s="28"/>
      <c r="AH3" s="28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</row>
    <row r="4" spans="1:49" s="28" customFormat="1" ht="35.1" customHeight="1" x14ac:dyDescent="0.25">
      <c r="A4" s="18" t="s">
        <v>44</v>
      </c>
      <c r="B4" s="19">
        <v>46072</v>
      </c>
      <c r="C4" s="19">
        <v>46072</v>
      </c>
      <c r="D4" s="18" t="s">
        <v>183</v>
      </c>
      <c r="E4" s="20">
        <v>0.25</v>
      </c>
      <c r="F4" s="20">
        <v>0.875</v>
      </c>
      <c r="G4" s="21">
        <v>1.7361111111111109E-4</v>
      </c>
      <c r="H4" s="22" t="s">
        <v>52</v>
      </c>
      <c r="I4" s="23">
        <v>0.26472222222222225</v>
      </c>
      <c r="J4" s="18" t="s">
        <v>41</v>
      </c>
      <c r="K4" s="18" t="s">
        <v>40</v>
      </c>
      <c r="L4" s="24">
        <v>1</v>
      </c>
      <c r="M4" s="24">
        <v>71013</v>
      </c>
      <c r="N4" s="18" t="s">
        <v>54</v>
      </c>
      <c r="O4" s="24" t="s">
        <v>47</v>
      </c>
      <c r="P4" s="25">
        <v>15</v>
      </c>
      <c r="Q4" s="24"/>
      <c r="R4" s="25">
        <v>15</v>
      </c>
      <c r="S4" s="26">
        <v>46054</v>
      </c>
      <c r="T4" s="25">
        <v>2.25</v>
      </c>
      <c r="U4" s="27">
        <v>4</v>
      </c>
      <c r="V4" s="25">
        <v>12.75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18" t="s">
        <v>44</v>
      </c>
      <c r="B5" s="19">
        <v>46072</v>
      </c>
      <c r="C5" s="19">
        <v>46072</v>
      </c>
      <c r="D5" s="18" t="s">
        <v>183</v>
      </c>
      <c r="E5" s="20">
        <v>0.25</v>
      </c>
      <c r="F5" s="20">
        <v>0.875</v>
      </c>
      <c r="G5" s="21">
        <v>1.7361111111111109E-4</v>
      </c>
      <c r="H5" s="22" t="s">
        <v>146</v>
      </c>
      <c r="I5" s="23">
        <v>0.26645833333333335</v>
      </c>
      <c r="J5" s="18" t="s">
        <v>41</v>
      </c>
      <c r="K5" s="18" t="s">
        <v>40</v>
      </c>
      <c r="L5" s="24">
        <v>1</v>
      </c>
      <c r="M5" s="24">
        <v>71013</v>
      </c>
      <c r="N5" s="18" t="s">
        <v>54</v>
      </c>
      <c r="O5" s="24" t="s">
        <v>47</v>
      </c>
      <c r="P5" s="25">
        <v>15</v>
      </c>
      <c r="Q5" s="24"/>
      <c r="R5" s="25">
        <v>15</v>
      </c>
      <c r="S5" s="26">
        <v>46054</v>
      </c>
      <c r="T5" s="25">
        <v>2.25</v>
      </c>
      <c r="U5" s="27">
        <v>4</v>
      </c>
      <c r="V5" s="25">
        <v>12.75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5">
      <c r="A6" s="18" t="s">
        <v>70</v>
      </c>
      <c r="B6" s="19">
        <v>46072</v>
      </c>
      <c r="C6" s="19">
        <v>46072</v>
      </c>
      <c r="D6" s="18" t="s">
        <v>183</v>
      </c>
      <c r="E6" s="20">
        <v>0.25</v>
      </c>
      <c r="F6" s="20">
        <v>0.99930555555555556</v>
      </c>
      <c r="G6" s="20">
        <v>3.4722222222222218E-4</v>
      </c>
      <c r="H6" s="18" t="s">
        <v>168</v>
      </c>
      <c r="I6" s="23">
        <v>0.27979166666666666</v>
      </c>
      <c r="J6" s="18" t="s">
        <v>41</v>
      </c>
      <c r="K6" s="18" t="s">
        <v>40</v>
      </c>
      <c r="L6" s="24">
        <v>1</v>
      </c>
      <c r="M6" s="24">
        <v>70983</v>
      </c>
      <c r="N6" s="18" t="s">
        <v>46</v>
      </c>
      <c r="O6" s="24" t="str">
        <f>AC6</f>
        <v>CVC</v>
      </c>
      <c r="P6" s="25">
        <v>0</v>
      </c>
      <c r="Q6" s="24"/>
      <c r="R6" s="25">
        <v>0</v>
      </c>
      <c r="S6" s="26">
        <v>46054</v>
      </c>
      <c r="T6" s="25">
        <v>0</v>
      </c>
      <c r="U6" s="27">
        <v>4</v>
      </c>
      <c r="V6" s="25">
        <v>0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72</v>
      </c>
      <c r="AC6" s="18" t="s">
        <v>38</v>
      </c>
      <c r="AD6" s="7" t="str">
        <f t="shared" si="0"/>
        <v/>
      </c>
      <c r="AE6" s="28"/>
      <c r="AF6" s="28"/>
      <c r="AG6" s="28"/>
      <c r="AH6" s="28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</row>
    <row r="7" spans="1:49" s="32" customFormat="1" ht="35.1" customHeight="1" x14ac:dyDescent="0.25">
      <c r="A7" s="18" t="s">
        <v>44</v>
      </c>
      <c r="B7" s="19">
        <v>46072</v>
      </c>
      <c r="C7" s="19">
        <v>46072</v>
      </c>
      <c r="D7" s="18" t="s">
        <v>183</v>
      </c>
      <c r="E7" s="20">
        <v>0.25</v>
      </c>
      <c r="F7" s="20">
        <v>0.99930555555555556</v>
      </c>
      <c r="G7" s="21">
        <v>1.7361111111111109E-4</v>
      </c>
      <c r="H7" s="22" t="s">
        <v>52</v>
      </c>
      <c r="I7" s="23">
        <v>0.28402777777777777</v>
      </c>
      <c r="J7" s="18" t="s">
        <v>41</v>
      </c>
      <c r="K7" s="18" t="s">
        <v>40</v>
      </c>
      <c r="L7" s="24">
        <v>1</v>
      </c>
      <c r="M7" s="24">
        <v>71016</v>
      </c>
      <c r="N7" s="18" t="s">
        <v>46</v>
      </c>
      <c r="O7" s="24" t="s">
        <v>47</v>
      </c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51</v>
      </c>
      <c r="AC7" s="18" t="s">
        <v>38</v>
      </c>
      <c r="AD7" s="7" t="str">
        <f t="shared" si="0"/>
        <v/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17" customFormat="1" ht="35.1" customHeight="1" x14ac:dyDescent="0.25">
      <c r="A8" s="18" t="s">
        <v>44</v>
      </c>
      <c r="B8" s="19">
        <v>46072</v>
      </c>
      <c r="C8" s="19">
        <v>46072</v>
      </c>
      <c r="D8" s="18" t="s">
        <v>183</v>
      </c>
      <c r="E8" s="20">
        <v>0.25</v>
      </c>
      <c r="F8" s="20">
        <v>0.99930555555555556</v>
      </c>
      <c r="G8" s="21">
        <v>1.7361111111111109E-4</v>
      </c>
      <c r="H8" s="22" t="s">
        <v>146</v>
      </c>
      <c r="I8" s="23">
        <v>0.28593750000000001</v>
      </c>
      <c r="J8" s="18" t="s">
        <v>41</v>
      </c>
      <c r="K8" s="18" t="s">
        <v>40</v>
      </c>
      <c r="L8" s="24">
        <v>1</v>
      </c>
      <c r="M8" s="24">
        <v>71016</v>
      </c>
      <c r="N8" s="18" t="s">
        <v>46</v>
      </c>
      <c r="O8" s="24" t="s">
        <v>47</v>
      </c>
      <c r="P8" s="25">
        <v>0</v>
      </c>
      <c r="Q8" s="24"/>
      <c r="R8" s="25">
        <v>0</v>
      </c>
      <c r="S8" s="26">
        <v>46054</v>
      </c>
      <c r="T8" s="25">
        <v>0</v>
      </c>
      <c r="U8" s="27">
        <v>4</v>
      </c>
      <c r="V8" s="25">
        <v>0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51</v>
      </c>
      <c r="AC8" s="18" t="s">
        <v>38</v>
      </c>
      <c r="AD8" s="7" t="str">
        <f t="shared" si="0"/>
        <v/>
      </c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</row>
    <row r="9" spans="1:49" s="33" customFormat="1" ht="35.1" customHeight="1" x14ac:dyDescent="0.2">
      <c r="A9" s="9" t="s">
        <v>64</v>
      </c>
      <c r="B9" s="10">
        <v>46072</v>
      </c>
      <c r="C9" s="10">
        <v>46072</v>
      </c>
      <c r="D9" s="11" t="s">
        <v>183</v>
      </c>
      <c r="E9" s="12">
        <v>0.29166666666666669</v>
      </c>
      <c r="F9" s="12">
        <v>0.3125</v>
      </c>
      <c r="G9" s="12">
        <v>2.0833333333333332E-2</v>
      </c>
      <c r="H9" s="9" t="s">
        <v>184</v>
      </c>
      <c r="I9" s="13" t="s">
        <v>185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3" customFormat="1" ht="35.1" customHeight="1" x14ac:dyDescent="0.2">
      <c r="A10" s="9" t="s">
        <v>64</v>
      </c>
      <c r="B10" s="10">
        <v>46072</v>
      </c>
      <c r="C10" s="10">
        <v>46072</v>
      </c>
      <c r="D10" s="11" t="s">
        <v>183</v>
      </c>
      <c r="E10" s="12">
        <v>0.3125</v>
      </c>
      <c r="F10" s="12">
        <v>0.33333333333333331</v>
      </c>
      <c r="G10" s="12">
        <v>2.0833333333333332E-2</v>
      </c>
      <c r="H10" s="9" t="s">
        <v>184</v>
      </c>
      <c r="I10" s="13" t="s">
        <v>185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3" customFormat="1" ht="35.1" customHeight="1" x14ac:dyDescent="0.2">
      <c r="A11" s="9" t="s">
        <v>67</v>
      </c>
      <c r="B11" s="10">
        <v>46072</v>
      </c>
      <c r="C11" s="10">
        <v>46072</v>
      </c>
      <c r="D11" s="11" t="s">
        <v>183</v>
      </c>
      <c r="E11" s="12">
        <v>0.33333333333333331</v>
      </c>
      <c r="F11" s="12">
        <v>0.375</v>
      </c>
      <c r="G11" s="12">
        <v>4.1666666666666664E-2</v>
      </c>
      <c r="H11" s="9" t="s">
        <v>68</v>
      </c>
      <c r="I11" s="13"/>
      <c r="J11" s="9" t="s">
        <v>69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5">
      <c r="A12" s="18" t="s">
        <v>44</v>
      </c>
      <c r="B12" s="19">
        <v>46072</v>
      </c>
      <c r="C12" s="19">
        <v>46072</v>
      </c>
      <c r="D12" s="18" t="s">
        <v>183</v>
      </c>
      <c r="E12" s="20">
        <v>0.33333333333333331</v>
      </c>
      <c r="F12" s="20">
        <v>0.375</v>
      </c>
      <c r="G12" s="21">
        <v>1.7361111111111109E-4</v>
      </c>
      <c r="H12" s="22" t="s">
        <v>55</v>
      </c>
      <c r="I12" s="23">
        <v>0.35656249999999995</v>
      </c>
      <c r="J12" s="18" t="s">
        <v>69</v>
      </c>
      <c r="K12" s="18" t="s">
        <v>68</v>
      </c>
      <c r="L12" s="24">
        <v>1</v>
      </c>
      <c r="M12" s="24">
        <v>71018</v>
      </c>
      <c r="N12" s="18" t="s">
        <v>54</v>
      </c>
      <c r="O12" s="24" t="s">
        <v>47</v>
      </c>
      <c r="P12" s="25">
        <v>15</v>
      </c>
      <c r="Q12" s="24"/>
      <c r="R12" s="25">
        <v>15</v>
      </c>
      <c r="S12" s="26">
        <v>46054</v>
      </c>
      <c r="T12" s="25">
        <v>2.25</v>
      </c>
      <c r="U12" s="27">
        <v>4</v>
      </c>
      <c r="V12" s="25">
        <v>12.75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51</v>
      </c>
      <c r="AC12" s="18" t="s">
        <v>38</v>
      </c>
      <c r="AD12" s="7" t="str">
        <f t="shared" si="0"/>
        <v/>
      </c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</row>
    <row r="13" spans="1:49" s="17" customFormat="1" ht="35.1" customHeight="1" x14ac:dyDescent="0.25">
      <c r="A13" s="18" t="s">
        <v>44</v>
      </c>
      <c r="B13" s="19">
        <v>46072</v>
      </c>
      <c r="C13" s="19">
        <v>46072</v>
      </c>
      <c r="D13" s="18" t="s">
        <v>183</v>
      </c>
      <c r="E13" s="20">
        <v>0.33333333333333331</v>
      </c>
      <c r="F13" s="20">
        <v>0.375</v>
      </c>
      <c r="G13" s="21">
        <v>1.7361111111111109E-4</v>
      </c>
      <c r="H13" s="22" t="s">
        <v>165</v>
      </c>
      <c r="I13" s="23">
        <v>0.35777777777777775</v>
      </c>
      <c r="J13" s="18" t="s">
        <v>69</v>
      </c>
      <c r="K13" s="18" t="s">
        <v>68</v>
      </c>
      <c r="L13" s="24">
        <v>1</v>
      </c>
      <c r="M13" s="24">
        <v>71018</v>
      </c>
      <c r="N13" s="18" t="s">
        <v>54</v>
      </c>
      <c r="O13" s="24" t="s">
        <v>47</v>
      </c>
      <c r="P13" s="25">
        <v>15</v>
      </c>
      <c r="Q13" s="24"/>
      <c r="R13" s="25">
        <v>15</v>
      </c>
      <c r="S13" s="26">
        <v>46054</v>
      </c>
      <c r="T13" s="25">
        <v>2.25</v>
      </c>
      <c r="U13" s="27">
        <v>4</v>
      </c>
      <c r="V13" s="25">
        <v>12.75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50</v>
      </c>
      <c r="AB13" s="18" t="s">
        <v>51</v>
      </c>
      <c r="AC13" s="18" t="s">
        <v>38</v>
      </c>
      <c r="AD13" s="7" t="str">
        <f t="shared" si="0"/>
        <v/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1:49" s="33" customFormat="1" ht="35.1" customHeight="1" x14ac:dyDescent="0.2">
      <c r="A14" s="9" t="s">
        <v>67</v>
      </c>
      <c r="B14" s="10">
        <v>46072</v>
      </c>
      <c r="C14" s="10">
        <v>46072</v>
      </c>
      <c r="D14" s="11" t="s">
        <v>183</v>
      </c>
      <c r="E14" s="12">
        <v>0.375</v>
      </c>
      <c r="F14" s="12">
        <v>0.41666666666666669</v>
      </c>
      <c r="G14" s="12">
        <v>4.1666666666666664E-2</v>
      </c>
      <c r="H14" s="9" t="s">
        <v>75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18" t="s">
        <v>44</v>
      </c>
      <c r="B15" s="19">
        <v>46072</v>
      </c>
      <c r="C15" s="19">
        <v>46072</v>
      </c>
      <c r="D15" s="18" t="s">
        <v>183</v>
      </c>
      <c r="E15" s="20">
        <v>0.33333333333333331</v>
      </c>
      <c r="F15" s="20">
        <v>0.41666666666666669</v>
      </c>
      <c r="G15" s="20">
        <v>1.157407407407407E-4</v>
      </c>
      <c r="H15" s="18" t="s">
        <v>73</v>
      </c>
      <c r="I15" s="23">
        <v>0.41591435185185183</v>
      </c>
      <c r="J15" s="18" t="s">
        <v>69</v>
      </c>
      <c r="K15" s="18" t="s">
        <v>75</v>
      </c>
      <c r="L15" s="24">
        <v>1</v>
      </c>
      <c r="M15" s="24">
        <v>71105</v>
      </c>
      <c r="N15" s="18" t="s">
        <v>46</v>
      </c>
      <c r="O15" s="24" t="s">
        <v>47</v>
      </c>
      <c r="P15" s="25">
        <v>0</v>
      </c>
      <c r="Q15" s="24"/>
      <c r="R15" s="25">
        <v>0</v>
      </c>
      <c r="S15" s="26">
        <v>46054</v>
      </c>
      <c r="T15" s="25">
        <v>0</v>
      </c>
      <c r="U15" s="27">
        <v>4</v>
      </c>
      <c r="V15" s="25">
        <v>0</v>
      </c>
      <c r="W15" s="18" t="s">
        <v>48</v>
      </c>
      <c r="X15" s="18" t="s">
        <v>49</v>
      </c>
      <c r="Y15" s="18" t="s">
        <v>36</v>
      </c>
      <c r="Z15" s="18" t="s">
        <v>9</v>
      </c>
      <c r="AA15" s="18" t="s">
        <v>50</v>
      </c>
      <c r="AB15" s="18" t="s">
        <v>51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3" customFormat="1" ht="35.1" customHeight="1" x14ac:dyDescent="0.2">
      <c r="A16" s="9" t="s">
        <v>76</v>
      </c>
      <c r="B16" s="10">
        <v>46072</v>
      </c>
      <c r="C16" s="10">
        <v>46072</v>
      </c>
      <c r="D16" s="11" t="s">
        <v>183</v>
      </c>
      <c r="E16" s="12">
        <v>0.41666666666666669</v>
      </c>
      <c r="F16" s="12">
        <v>0.45833333333333331</v>
      </c>
      <c r="G16" s="12">
        <v>4.1666666666666664E-2</v>
      </c>
      <c r="H16" s="9" t="s">
        <v>77</v>
      </c>
      <c r="I16" s="13"/>
      <c r="J16" s="9" t="s">
        <v>78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5.1" customHeight="1" x14ac:dyDescent="0.25">
      <c r="A17" s="18" t="s">
        <v>76</v>
      </c>
      <c r="B17" s="19">
        <v>46072</v>
      </c>
      <c r="C17" s="19">
        <v>46072</v>
      </c>
      <c r="D17" s="18" t="s">
        <v>183</v>
      </c>
      <c r="E17" s="20">
        <v>0.41666666666666669</v>
      </c>
      <c r="F17" s="20">
        <v>0.45833333333333331</v>
      </c>
      <c r="G17" s="20">
        <v>3.4722222222222224E-4</v>
      </c>
      <c r="H17" s="18" t="s">
        <v>186</v>
      </c>
      <c r="I17" s="23">
        <v>0.42243055555555553</v>
      </c>
      <c r="J17" s="18" t="s">
        <v>78</v>
      </c>
      <c r="K17" s="18" t="s">
        <v>76</v>
      </c>
      <c r="L17" s="24">
        <v>1</v>
      </c>
      <c r="M17" s="24">
        <v>4</v>
      </c>
      <c r="N17" s="18" t="s">
        <v>54</v>
      </c>
      <c r="O17" s="24"/>
      <c r="P17" s="25">
        <v>0</v>
      </c>
      <c r="Q17" s="24"/>
      <c r="R17" s="25">
        <v>0</v>
      </c>
      <c r="S17" s="26">
        <v>46054</v>
      </c>
      <c r="T17" s="25">
        <v>0</v>
      </c>
      <c r="U17" s="27">
        <v>4</v>
      </c>
      <c r="V17" s="25">
        <v>0</v>
      </c>
      <c r="W17" s="18" t="s">
        <v>34</v>
      </c>
      <c r="X17" s="18" t="s">
        <v>35</v>
      </c>
      <c r="Y17" s="18" t="s">
        <v>36</v>
      </c>
      <c r="Z17" s="18" t="s">
        <v>149</v>
      </c>
      <c r="AA17" s="18" t="s">
        <v>50</v>
      </c>
      <c r="AB17" s="18">
        <v>1109</v>
      </c>
      <c r="AC17" s="18" t="s">
        <v>38</v>
      </c>
      <c r="AD17" s="7" t="str">
        <f>IF(N17="PRG","",IF(I17&gt;=E17,IF(I17&lt;=F17,"","NO"),"NO"))</f>
        <v/>
      </c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</row>
    <row r="18" spans="1:49" s="33" customFormat="1" ht="35.1" customHeight="1" x14ac:dyDescent="0.25">
      <c r="A18" s="9" t="s">
        <v>79</v>
      </c>
      <c r="B18" s="10">
        <v>46072</v>
      </c>
      <c r="C18" s="10">
        <v>46072</v>
      </c>
      <c r="D18" s="11" t="s">
        <v>183</v>
      </c>
      <c r="E18" s="12">
        <v>0.45833333333333331</v>
      </c>
      <c r="F18" s="12">
        <v>0.47916666666666669</v>
      </c>
      <c r="G18" s="12">
        <v>2.0833333333333332E-2</v>
      </c>
      <c r="H18" s="9" t="s">
        <v>150</v>
      </c>
      <c r="I18" s="13"/>
      <c r="J18" s="9" t="s">
        <v>84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</row>
    <row r="19" spans="1:49" s="28" customFormat="1" ht="35.1" customHeight="1" x14ac:dyDescent="0.25">
      <c r="A19" s="18" t="s">
        <v>187</v>
      </c>
      <c r="B19" s="19">
        <v>46072</v>
      </c>
      <c r="C19" s="19">
        <v>46072</v>
      </c>
      <c r="D19" s="18" t="s">
        <v>183</v>
      </c>
      <c r="E19" s="20">
        <v>0.45833333333333331</v>
      </c>
      <c r="F19" s="20">
        <v>0.54166666666666663</v>
      </c>
      <c r="G19" s="20">
        <v>3.4722222222222218E-4</v>
      </c>
      <c r="H19" s="18" t="s">
        <v>188</v>
      </c>
      <c r="I19" s="23">
        <v>0.46674768518518517</v>
      </c>
      <c r="J19" s="18" t="s">
        <v>84</v>
      </c>
      <c r="K19" s="18" t="s">
        <v>150</v>
      </c>
      <c r="L19" s="24">
        <v>1</v>
      </c>
      <c r="M19" s="24">
        <v>70379</v>
      </c>
      <c r="N19" s="18" t="s">
        <v>46</v>
      </c>
      <c r="O19" s="24" t="s">
        <v>189</v>
      </c>
      <c r="P19" s="25">
        <v>0</v>
      </c>
      <c r="Q19" s="24"/>
      <c r="R19" s="25">
        <v>0</v>
      </c>
      <c r="S19" s="26">
        <v>46054</v>
      </c>
      <c r="T19" s="25">
        <v>0</v>
      </c>
      <c r="U19" s="27">
        <v>4</v>
      </c>
      <c r="V19" s="25">
        <v>0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50</v>
      </c>
      <c r="AB19" s="18" t="s">
        <v>190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4.5" customHeight="1" x14ac:dyDescent="0.25">
      <c r="A20" s="18" t="s">
        <v>154</v>
      </c>
      <c r="B20" s="19">
        <v>46072</v>
      </c>
      <c r="C20" s="19">
        <v>46072</v>
      </c>
      <c r="D20" s="18" t="s">
        <v>183</v>
      </c>
      <c r="E20" s="20">
        <v>0.45833333333333331</v>
      </c>
      <c r="F20" s="20">
        <v>0.54166666666666663</v>
      </c>
      <c r="G20" s="20">
        <v>3.4722222222222218E-4</v>
      </c>
      <c r="H20" s="18" t="s">
        <v>155</v>
      </c>
      <c r="I20" s="23">
        <v>0.46587962962962964</v>
      </c>
      <c r="J20" s="18" t="s">
        <v>84</v>
      </c>
      <c r="K20" s="18" t="s">
        <v>150</v>
      </c>
      <c r="L20" s="24">
        <v>1</v>
      </c>
      <c r="M20" s="24">
        <v>71251</v>
      </c>
      <c r="N20" s="18" t="s">
        <v>54</v>
      </c>
      <c r="O20" s="24" t="s">
        <v>156</v>
      </c>
      <c r="P20" s="25">
        <v>40</v>
      </c>
      <c r="Q20" s="24"/>
      <c r="R20" s="25">
        <v>40</v>
      </c>
      <c r="S20" s="26">
        <v>46072</v>
      </c>
      <c r="T20" s="25">
        <v>0</v>
      </c>
      <c r="U20" s="27">
        <v>4</v>
      </c>
      <c r="V20" s="25">
        <v>40</v>
      </c>
      <c r="W20" s="18" t="s">
        <v>48</v>
      </c>
      <c r="X20" s="18" t="s">
        <v>49</v>
      </c>
      <c r="Y20" s="18" t="s">
        <v>86</v>
      </c>
      <c r="Z20" s="18" t="s">
        <v>9</v>
      </c>
      <c r="AA20" s="18" t="s">
        <v>50</v>
      </c>
      <c r="AB20" s="18" t="s">
        <v>157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4.5" customHeight="1" x14ac:dyDescent="0.25">
      <c r="A21" s="18" t="s">
        <v>82</v>
      </c>
      <c r="B21" s="19">
        <v>46072</v>
      </c>
      <c r="C21" s="19">
        <v>46072</v>
      </c>
      <c r="D21" s="18" t="s">
        <v>183</v>
      </c>
      <c r="E21" s="20">
        <v>0.45833333333333331</v>
      </c>
      <c r="F21" s="20">
        <v>0.54166666666666663</v>
      </c>
      <c r="G21" s="20">
        <v>3.4722222222222218E-4</v>
      </c>
      <c r="H21" s="18" t="s">
        <v>83</v>
      </c>
      <c r="I21" s="23">
        <v>0.47297453703703701</v>
      </c>
      <c r="J21" s="18" t="s">
        <v>84</v>
      </c>
      <c r="K21" s="18" t="s">
        <v>150</v>
      </c>
      <c r="L21" s="24">
        <v>1</v>
      </c>
      <c r="M21" s="24">
        <v>70171</v>
      </c>
      <c r="N21" s="18" t="s">
        <v>46</v>
      </c>
      <c r="O21" s="24" t="s">
        <v>85</v>
      </c>
      <c r="P21" s="25">
        <v>0</v>
      </c>
      <c r="Q21" s="24"/>
      <c r="R21" s="25">
        <v>0</v>
      </c>
      <c r="S21" s="26">
        <v>46072</v>
      </c>
      <c r="T21" s="25">
        <v>0</v>
      </c>
      <c r="U21" s="27">
        <v>4</v>
      </c>
      <c r="V21" s="25">
        <v>0</v>
      </c>
      <c r="W21" s="18" t="s">
        <v>48</v>
      </c>
      <c r="X21" s="18" t="s">
        <v>49</v>
      </c>
      <c r="Y21" s="18" t="s">
        <v>86</v>
      </c>
      <c r="Z21" s="18" t="s">
        <v>43</v>
      </c>
      <c r="AA21" s="18" t="s">
        <v>50</v>
      </c>
      <c r="AB21" s="18" t="s">
        <v>87</v>
      </c>
      <c r="AC21" s="18" t="s">
        <v>38</v>
      </c>
      <c r="AD21" s="7" t="str">
        <f t="shared" si="0"/>
        <v/>
      </c>
    </row>
    <row r="22" spans="1:49" s="17" customFormat="1" ht="34.5" customHeight="1" x14ac:dyDescent="0.25">
      <c r="A22" s="18" t="s">
        <v>82</v>
      </c>
      <c r="B22" s="19">
        <v>46072</v>
      </c>
      <c r="C22" s="19">
        <v>46072</v>
      </c>
      <c r="D22" s="18" t="s">
        <v>183</v>
      </c>
      <c r="E22" s="20">
        <v>0.45833333333333331</v>
      </c>
      <c r="F22" s="20">
        <v>0.5</v>
      </c>
      <c r="G22" s="20">
        <v>3.4722222222222218E-4</v>
      </c>
      <c r="H22" s="18" t="s">
        <v>83</v>
      </c>
      <c r="I22" s="23">
        <v>0.47759259259259257</v>
      </c>
      <c r="J22" s="18" t="s">
        <v>84</v>
      </c>
      <c r="K22" s="18" t="s">
        <v>150</v>
      </c>
      <c r="L22" s="24">
        <v>1</v>
      </c>
      <c r="M22" s="24">
        <v>70169</v>
      </c>
      <c r="N22" s="18" t="s">
        <v>54</v>
      </c>
      <c r="O22" s="24" t="s">
        <v>85</v>
      </c>
      <c r="P22" s="25">
        <v>35</v>
      </c>
      <c r="Q22" s="24"/>
      <c r="R22" s="25">
        <v>35</v>
      </c>
      <c r="S22" s="26">
        <v>46072</v>
      </c>
      <c r="T22" s="25">
        <v>0</v>
      </c>
      <c r="U22" s="27">
        <v>4</v>
      </c>
      <c r="V22" s="25">
        <v>35</v>
      </c>
      <c r="W22" s="18" t="s">
        <v>48</v>
      </c>
      <c r="X22" s="18" t="s">
        <v>49</v>
      </c>
      <c r="Y22" s="18" t="s">
        <v>86</v>
      </c>
      <c r="Z22" s="18" t="s">
        <v>43</v>
      </c>
      <c r="AA22" s="18" t="s">
        <v>50</v>
      </c>
      <c r="AB22" s="18" t="s">
        <v>87</v>
      </c>
      <c r="AC22" s="18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28" customFormat="1" ht="35.1" customHeight="1" x14ac:dyDescent="0.25">
      <c r="A23" s="18" t="s">
        <v>121</v>
      </c>
      <c r="B23" s="19">
        <v>46072</v>
      </c>
      <c r="C23" s="19">
        <v>46072</v>
      </c>
      <c r="D23" s="18" t="s">
        <v>183</v>
      </c>
      <c r="E23" s="20">
        <v>0.45833333333333331</v>
      </c>
      <c r="F23" s="20">
        <v>0.54166666666666663</v>
      </c>
      <c r="G23" s="21">
        <v>1.7361111111111109E-4</v>
      </c>
      <c r="H23" s="22" t="s">
        <v>158</v>
      </c>
      <c r="I23" s="23">
        <v>0.47245370370370371</v>
      </c>
      <c r="J23" s="18" t="s">
        <v>84</v>
      </c>
      <c r="K23" s="18" t="s">
        <v>150</v>
      </c>
      <c r="L23" s="24">
        <v>1</v>
      </c>
      <c r="M23" s="24">
        <v>69570</v>
      </c>
      <c r="N23" s="18" t="s">
        <v>54</v>
      </c>
      <c r="O23" s="24" t="s">
        <v>159</v>
      </c>
      <c r="P23" s="25">
        <v>0</v>
      </c>
      <c r="Q23" s="24"/>
      <c r="R23" s="25">
        <v>19.042139037433099</v>
      </c>
      <c r="S23" s="26">
        <v>46054</v>
      </c>
      <c r="T23" s="25">
        <v>0</v>
      </c>
      <c r="U23" s="27">
        <v>4</v>
      </c>
      <c r="V23" s="25">
        <v>0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160</v>
      </c>
      <c r="AC23" s="18" t="s">
        <v>38</v>
      </c>
      <c r="AD23" s="7" t="str">
        <f t="shared" si="0"/>
        <v/>
      </c>
    </row>
    <row r="24" spans="1:49" s="30" customFormat="1" ht="35.1" customHeight="1" x14ac:dyDescent="0.25">
      <c r="A24" s="18" t="s">
        <v>121</v>
      </c>
      <c r="B24" s="19">
        <v>46072</v>
      </c>
      <c r="C24" s="19">
        <v>46072</v>
      </c>
      <c r="D24" s="18" t="s">
        <v>183</v>
      </c>
      <c r="E24" s="20">
        <v>0.45833333333333331</v>
      </c>
      <c r="F24" s="20">
        <v>0.54166666666666663</v>
      </c>
      <c r="G24" s="21">
        <v>1.7361111111111109E-4</v>
      </c>
      <c r="H24" s="22" t="s">
        <v>161</v>
      </c>
      <c r="I24" s="23">
        <v>0.47332175925925923</v>
      </c>
      <c r="J24" s="18" t="s">
        <v>84</v>
      </c>
      <c r="K24" s="18" t="s">
        <v>150</v>
      </c>
      <c r="L24" s="24">
        <v>1</v>
      </c>
      <c r="M24" s="24">
        <v>69570</v>
      </c>
      <c r="N24" s="18" t="s">
        <v>54</v>
      </c>
      <c r="O24" s="24" t="s">
        <v>159</v>
      </c>
      <c r="P24" s="25">
        <v>0</v>
      </c>
      <c r="Q24" s="24"/>
      <c r="R24" s="25">
        <v>19.042139037433099</v>
      </c>
      <c r="S24" s="26">
        <v>46054</v>
      </c>
      <c r="T24" s="25">
        <v>0</v>
      </c>
      <c r="U24" s="27">
        <v>4</v>
      </c>
      <c r="V24" s="25">
        <v>0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160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9" customFormat="1" ht="35.1" customHeight="1" x14ac:dyDescent="0.25">
      <c r="A25" s="18" t="s">
        <v>88</v>
      </c>
      <c r="B25" s="19">
        <v>46072</v>
      </c>
      <c r="C25" s="19">
        <v>46072</v>
      </c>
      <c r="D25" s="18" t="s">
        <v>183</v>
      </c>
      <c r="E25" s="20">
        <v>0.45833333333333331</v>
      </c>
      <c r="F25" s="20">
        <v>0.5</v>
      </c>
      <c r="G25" s="20">
        <v>3.4722222222222218E-4</v>
      </c>
      <c r="H25" s="18" t="s">
        <v>151</v>
      </c>
      <c r="I25" s="23">
        <v>0.47262731481481479</v>
      </c>
      <c r="J25" s="18" t="s">
        <v>84</v>
      </c>
      <c r="K25" s="18" t="s">
        <v>150</v>
      </c>
      <c r="L25" s="24">
        <v>1</v>
      </c>
      <c r="M25" s="24">
        <v>71437</v>
      </c>
      <c r="N25" s="18" t="s">
        <v>54</v>
      </c>
      <c r="O25" s="24" t="s">
        <v>90</v>
      </c>
      <c r="P25" s="25">
        <v>41.17647058823529</v>
      </c>
      <c r="Q25" s="24"/>
      <c r="R25" s="25">
        <v>41.17647058823529</v>
      </c>
      <c r="S25" s="26">
        <v>46072</v>
      </c>
      <c r="T25" s="25">
        <v>6.1764705882352935</v>
      </c>
      <c r="U25" s="27">
        <v>4</v>
      </c>
      <c r="V25" s="25">
        <v>35</v>
      </c>
      <c r="W25" s="18" t="s">
        <v>48</v>
      </c>
      <c r="X25" s="18" t="s">
        <v>49</v>
      </c>
      <c r="Y25" s="18" t="s">
        <v>86</v>
      </c>
      <c r="Z25" s="18" t="s">
        <v>9</v>
      </c>
      <c r="AA25" s="18" t="s">
        <v>50</v>
      </c>
      <c r="AB25" s="18" t="s">
        <v>91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3" customFormat="1" ht="35.1" customHeight="1" x14ac:dyDescent="0.25">
      <c r="A26" s="9" t="s">
        <v>79</v>
      </c>
      <c r="B26" s="10">
        <v>46072</v>
      </c>
      <c r="C26" s="10">
        <v>46072</v>
      </c>
      <c r="D26" s="11" t="s">
        <v>183</v>
      </c>
      <c r="E26" s="12">
        <v>0.47916666666666669</v>
      </c>
      <c r="F26" s="12">
        <v>0.5</v>
      </c>
      <c r="G26" s="12">
        <v>2.0833333333333332E-2</v>
      </c>
      <c r="H26" s="9" t="s">
        <v>192</v>
      </c>
      <c r="I26" s="13"/>
      <c r="J26" s="9" t="s">
        <v>84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29" customFormat="1" ht="35.1" customHeight="1" x14ac:dyDescent="0.25">
      <c r="A27" s="18" t="s">
        <v>82</v>
      </c>
      <c r="B27" s="19">
        <v>46072</v>
      </c>
      <c r="C27" s="19">
        <v>46072</v>
      </c>
      <c r="D27" s="18" t="s">
        <v>183</v>
      </c>
      <c r="E27" s="20">
        <v>0.45833333333333331</v>
      </c>
      <c r="F27" s="20">
        <v>0.5</v>
      </c>
      <c r="G27" s="20">
        <v>3.4722222222222218E-4</v>
      </c>
      <c r="H27" s="18" t="s">
        <v>83</v>
      </c>
      <c r="I27" s="23">
        <v>0.48739583333333331</v>
      </c>
      <c r="J27" s="18" t="s">
        <v>84</v>
      </c>
      <c r="K27" s="18" t="s">
        <v>171</v>
      </c>
      <c r="L27" s="24">
        <v>1</v>
      </c>
      <c r="M27" s="24">
        <v>70169</v>
      </c>
      <c r="N27" s="18" t="s">
        <v>54</v>
      </c>
      <c r="O27" s="24" t="s">
        <v>85</v>
      </c>
      <c r="P27" s="25">
        <v>35</v>
      </c>
      <c r="Q27" s="24"/>
      <c r="R27" s="25">
        <v>35</v>
      </c>
      <c r="S27" s="26">
        <v>46072</v>
      </c>
      <c r="T27" s="25">
        <v>0</v>
      </c>
      <c r="U27" s="27">
        <v>4</v>
      </c>
      <c r="V27" s="25">
        <v>35</v>
      </c>
      <c r="W27" s="18" t="s">
        <v>48</v>
      </c>
      <c r="X27" s="18" t="s">
        <v>49</v>
      </c>
      <c r="Y27" s="18" t="s">
        <v>86</v>
      </c>
      <c r="Z27" s="18" t="s">
        <v>43</v>
      </c>
      <c r="AA27" s="18" t="s">
        <v>50</v>
      </c>
      <c r="AB27" s="18" t="s">
        <v>87</v>
      </c>
      <c r="AC27" s="18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0" customFormat="1" ht="35.1" customHeight="1" x14ac:dyDescent="0.25">
      <c r="A28" s="18" t="s">
        <v>70</v>
      </c>
      <c r="B28" s="19">
        <v>46072</v>
      </c>
      <c r="C28" s="19">
        <v>46072</v>
      </c>
      <c r="D28" s="18" t="s">
        <v>183</v>
      </c>
      <c r="E28" s="20">
        <v>0.45833333333333331</v>
      </c>
      <c r="F28" s="20">
        <v>0.54166666666666663</v>
      </c>
      <c r="G28" s="20">
        <v>3.4722222222222218E-4</v>
      </c>
      <c r="H28" s="18" t="s">
        <v>163</v>
      </c>
      <c r="I28" s="23">
        <v>0.48704861111111108</v>
      </c>
      <c r="J28" s="18" t="s">
        <v>84</v>
      </c>
      <c r="K28" s="18" t="s">
        <v>171</v>
      </c>
      <c r="L28" s="24">
        <v>1</v>
      </c>
      <c r="M28" s="24">
        <v>71000</v>
      </c>
      <c r="N28" s="18" t="s">
        <v>46</v>
      </c>
      <c r="O28" s="24" t="str">
        <f>AC28</f>
        <v>CVC</v>
      </c>
      <c r="P28" s="25">
        <v>0</v>
      </c>
      <c r="Q28" s="24"/>
      <c r="R28" s="25">
        <v>0</v>
      </c>
      <c r="S28" s="26">
        <v>46054</v>
      </c>
      <c r="T28" s="25">
        <v>0</v>
      </c>
      <c r="U28" s="27">
        <v>4</v>
      </c>
      <c r="V28" s="25">
        <v>0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72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0" customFormat="1" ht="35.1" customHeight="1" x14ac:dyDescent="0.25">
      <c r="A29" s="18" t="s">
        <v>88</v>
      </c>
      <c r="B29" s="19">
        <v>46072</v>
      </c>
      <c r="C29" s="19">
        <v>46072</v>
      </c>
      <c r="D29" s="18" t="s">
        <v>183</v>
      </c>
      <c r="E29" s="20">
        <v>0.45833333333333331</v>
      </c>
      <c r="F29" s="20">
        <v>0.5</v>
      </c>
      <c r="G29" s="20">
        <v>3.4722222222222218E-4</v>
      </c>
      <c r="H29" s="18" t="s">
        <v>89</v>
      </c>
      <c r="I29" s="23">
        <v>0.49872685185185184</v>
      </c>
      <c r="J29" s="18" t="s">
        <v>84</v>
      </c>
      <c r="K29" s="18" t="s">
        <v>171</v>
      </c>
      <c r="L29" s="24">
        <v>1</v>
      </c>
      <c r="M29" s="24">
        <v>71436</v>
      </c>
      <c r="N29" s="18" t="s">
        <v>54</v>
      </c>
      <c r="O29" s="24" t="s">
        <v>90</v>
      </c>
      <c r="P29" s="25">
        <v>41.17647058823529</v>
      </c>
      <c r="Q29" s="24"/>
      <c r="R29" s="25">
        <v>41.17647058823529</v>
      </c>
      <c r="S29" s="26">
        <v>46072</v>
      </c>
      <c r="T29" s="25">
        <v>6.1764705882352935</v>
      </c>
      <c r="U29" s="27">
        <v>4</v>
      </c>
      <c r="V29" s="25">
        <v>35</v>
      </c>
      <c r="W29" s="18" t="s">
        <v>48</v>
      </c>
      <c r="X29" s="18" t="s">
        <v>49</v>
      </c>
      <c r="Y29" s="18" t="s">
        <v>86</v>
      </c>
      <c r="Z29" s="18" t="s">
        <v>9</v>
      </c>
      <c r="AA29" s="18" t="s">
        <v>50</v>
      </c>
      <c r="AB29" s="18" t="s">
        <v>91</v>
      </c>
      <c r="AC29" s="18" t="s">
        <v>38</v>
      </c>
      <c r="AD29" s="7" t="str">
        <f t="shared" si="0"/>
        <v/>
      </c>
      <c r="AE29" s="28"/>
      <c r="AF29" s="28"/>
      <c r="AG29" s="28"/>
      <c r="AH29" s="28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</row>
    <row r="30" spans="1:49" s="33" customFormat="1" ht="35.1" customHeight="1" x14ac:dyDescent="0.25">
      <c r="A30" s="9" t="s">
        <v>93</v>
      </c>
      <c r="B30" s="10">
        <v>46072</v>
      </c>
      <c r="C30" s="10">
        <v>46072</v>
      </c>
      <c r="D30" s="11" t="s">
        <v>183</v>
      </c>
      <c r="E30" s="12">
        <v>0.5</v>
      </c>
      <c r="F30" s="12">
        <v>0.54166666666666663</v>
      </c>
      <c r="G30" s="12">
        <v>4.1666666666666664E-2</v>
      </c>
      <c r="H30" s="9" t="s">
        <v>94</v>
      </c>
      <c r="I30" s="13"/>
      <c r="J30" s="9" t="s">
        <v>84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17" customFormat="1" ht="35.1" customHeight="1" x14ac:dyDescent="0.25">
      <c r="A31" s="18" t="s">
        <v>60</v>
      </c>
      <c r="B31" s="19">
        <v>46072</v>
      </c>
      <c r="C31" s="19">
        <v>46072</v>
      </c>
      <c r="D31" s="18" t="s">
        <v>183</v>
      </c>
      <c r="E31" s="20">
        <v>0.45833333333333331</v>
      </c>
      <c r="F31" s="20">
        <v>0.54166666666666663</v>
      </c>
      <c r="G31" s="20">
        <v>3.4722222222222218E-4</v>
      </c>
      <c r="H31" s="18" t="s">
        <v>191</v>
      </c>
      <c r="I31" s="23">
        <v>0.52563657407407405</v>
      </c>
      <c r="J31" s="18" t="s">
        <v>84</v>
      </c>
      <c r="K31" s="18" t="s">
        <v>140</v>
      </c>
      <c r="L31" s="24">
        <v>1</v>
      </c>
      <c r="M31" s="24">
        <v>64409</v>
      </c>
      <c r="N31" s="18" t="s">
        <v>54</v>
      </c>
      <c r="O31" s="24" t="s">
        <v>62</v>
      </c>
      <c r="P31" s="25">
        <v>30</v>
      </c>
      <c r="Q31" s="24"/>
      <c r="R31" s="25">
        <v>30</v>
      </c>
      <c r="S31" s="26">
        <v>46054</v>
      </c>
      <c r="T31" s="25">
        <v>4.5</v>
      </c>
      <c r="U31" s="27">
        <v>4</v>
      </c>
      <c r="V31" s="25">
        <v>25.5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50</v>
      </c>
      <c r="AB31" s="18" t="s">
        <v>63</v>
      </c>
      <c r="AC31" s="18" t="s">
        <v>38</v>
      </c>
      <c r="AD31" s="7" t="str">
        <f t="shared" si="0"/>
        <v/>
      </c>
      <c r="AE31" s="28"/>
      <c r="AF31" s="28"/>
      <c r="AG31" s="28"/>
      <c r="AH31" s="28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</row>
    <row r="32" spans="1:49" s="17" customFormat="1" ht="35.1" customHeight="1" x14ac:dyDescent="0.25">
      <c r="A32" s="18" t="s">
        <v>121</v>
      </c>
      <c r="B32" s="19">
        <v>46072</v>
      </c>
      <c r="C32" s="19">
        <v>46072</v>
      </c>
      <c r="D32" s="18" t="s">
        <v>183</v>
      </c>
      <c r="E32" s="20">
        <v>0.45833333333333331</v>
      </c>
      <c r="F32" s="20">
        <v>0.54166666666666663</v>
      </c>
      <c r="G32" s="21">
        <v>1.7361111111111109E-4</v>
      </c>
      <c r="H32" s="22" t="s">
        <v>162</v>
      </c>
      <c r="I32" s="23">
        <v>0.52546296296296291</v>
      </c>
      <c r="J32" s="18" t="s">
        <v>84</v>
      </c>
      <c r="K32" s="18" t="s">
        <v>140</v>
      </c>
      <c r="L32" s="24">
        <v>1</v>
      </c>
      <c r="M32" s="24">
        <v>69570</v>
      </c>
      <c r="N32" s="18" t="s">
        <v>54</v>
      </c>
      <c r="O32" s="24" t="s">
        <v>159</v>
      </c>
      <c r="P32" s="25">
        <v>0</v>
      </c>
      <c r="Q32" s="24"/>
      <c r="R32" s="25">
        <v>19.042139037433099</v>
      </c>
      <c r="S32" s="26">
        <v>46054</v>
      </c>
      <c r="T32" s="25">
        <v>0</v>
      </c>
      <c r="U32" s="27">
        <v>4</v>
      </c>
      <c r="V32" s="25">
        <v>0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160</v>
      </c>
      <c r="AC32" s="18" t="s">
        <v>38</v>
      </c>
      <c r="AD32" s="7" t="str">
        <f t="shared" si="0"/>
        <v/>
      </c>
      <c r="AE32" s="28"/>
      <c r="AF32" s="28"/>
      <c r="AG32" s="28"/>
      <c r="AH32" s="28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</row>
    <row r="33" spans="1:49" s="17" customFormat="1" ht="35.1" customHeight="1" x14ac:dyDescent="0.25">
      <c r="A33" s="18" t="s">
        <v>121</v>
      </c>
      <c r="B33" s="19">
        <v>46072</v>
      </c>
      <c r="C33" s="19">
        <v>46072</v>
      </c>
      <c r="D33" s="18" t="s">
        <v>183</v>
      </c>
      <c r="E33" s="20">
        <v>0.45833333333333331</v>
      </c>
      <c r="F33" s="20">
        <v>0.54166666666666663</v>
      </c>
      <c r="G33" s="21">
        <v>1.7361111111111109E-4</v>
      </c>
      <c r="H33" s="22" t="s">
        <v>161</v>
      </c>
      <c r="I33" s="23">
        <v>0.52719907407407407</v>
      </c>
      <c r="J33" s="18" t="s">
        <v>84</v>
      </c>
      <c r="K33" s="18" t="s">
        <v>140</v>
      </c>
      <c r="L33" s="24">
        <v>1</v>
      </c>
      <c r="M33" s="24">
        <v>69570</v>
      </c>
      <c r="N33" s="18" t="s">
        <v>54</v>
      </c>
      <c r="O33" s="24" t="s">
        <v>159</v>
      </c>
      <c r="P33" s="25">
        <v>0</v>
      </c>
      <c r="Q33" s="24"/>
      <c r="R33" s="25">
        <v>19.042139037433099</v>
      </c>
      <c r="S33" s="26">
        <v>46054</v>
      </c>
      <c r="T33" s="25">
        <v>0</v>
      </c>
      <c r="U33" s="27">
        <v>4</v>
      </c>
      <c r="V33" s="25">
        <v>0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160</v>
      </c>
      <c r="AC33" s="18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17" customFormat="1" ht="35.1" customHeight="1" x14ac:dyDescent="0.25">
      <c r="A34" s="18" t="s">
        <v>82</v>
      </c>
      <c r="B34" s="19">
        <v>46072</v>
      </c>
      <c r="C34" s="19">
        <v>46072</v>
      </c>
      <c r="D34" s="18" t="s">
        <v>183</v>
      </c>
      <c r="E34" s="20">
        <v>0.5</v>
      </c>
      <c r="F34" s="20">
        <v>0.54166666666666663</v>
      </c>
      <c r="G34" s="20">
        <v>3.4722222222222218E-4</v>
      </c>
      <c r="H34" s="18" t="s">
        <v>83</v>
      </c>
      <c r="I34" s="23">
        <v>0.5268518518518519</v>
      </c>
      <c r="J34" s="18" t="s">
        <v>84</v>
      </c>
      <c r="K34" s="18" t="s">
        <v>140</v>
      </c>
      <c r="L34" s="24">
        <v>1</v>
      </c>
      <c r="M34" s="24">
        <v>70170</v>
      </c>
      <c r="N34" s="18" t="s">
        <v>54</v>
      </c>
      <c r="O34" s="24" t="s">
        <v>85</v>
      </c>
      <c r="P34" s="25">
        <v>35</v>
      </c>
      <c r="Q34" s="24"/>
      <c r="R34" s="25">
        <v>35</v>
      </c>
      <c r="S34" s="26">
        <v>46072</v>
      </c>
      <c r="T34" s="25">
        <v>0</v>
      </c>
      <c r="U34" s="27">
        <v>4</v>
      </c>
      <c r="V34" s="25">
        <v>35</v>
      </c>
      <c r="W34" s="18" t="s">
        <v>48</v>
      </c>
      <c r="X34" s="18" t="s">
        <v>49</v>
      </c>
      <c r="Y34" s="18" t="s">
        <v>86</v>
      </c>
      <c r="Z34" s="18" t="s">
        <v>43</v>
      </c>
      <c r="AA34" s="18" t="s">
        <v>50</v>
      </c>
      <c r="AB34" s="18" t="s">
        <v>87</v>
      </c>
      <c r="AC34" s="18" t="s">
        <v>38</v>
      </c>
      <c r="AD34" s="7" t="str">
        <f t="shared" si="0"/>
        <v/>
      </c>
      <c r="AE34" s="28"/>
      <c r="AF34" s="28"/>
      <c r="AG34" s="28"/>
      <c r="AH34" s="28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</row>
    <row r="35" spans="1:49" s="17" customFormat="1" ht="35.1" customHeight="1" x14ac:dyDescent="0.25">
      <c r="A35" s="18" t="s">
        <v>154</v>
      </c>
      <c r="B35" s="19">
        <v>46072</v>
      </c>
      <c r="C35" s="19">
        <v>46072</v>
      </c>
      <c r="D35" s="18" t="s">
        <v>183</v>
      </c>
      <c r="E35" s="20">
        <v>0.45833333333333331</v>
      </c>
      <c r="F35" s="20">
        <v>0.54166666666666663</v>
      </c>
      <c r="G35" s="20">
        <v>3.4722222222222218E-4</v>
      </c>
      <c r="H35" s="18" t="s">
        <v>155</v>
      </c>
      <c r="I35" s="23">
        <v>0.53395833333333331</v>
      </c>
      <c r="J35" s="18" t="s">
        <v>84</v>
      </c>
      <c r="K35" s="18" t="s">
        <v>140</v>
      </c>
      <c r="L35" s="24">
        <v>1</v>
      </c>
      <c r="M35" s="24">
        <v>71251</v>
      </c>
      <c r="N35" s="18" t="s">
        <v>54</v>
      </c>
      <c r="O35" s="24" t="s">
        <v>156</v>
      </c>
      <c r="P35" s="25">
        <v>40</v>
      </c>
      <c r="Q35" s="24"/>
      <c r="R35" s="25">
        <v>40</v>
      </c>
      <c r="S35" s="26">
        <v>46072</v>
      </c>
      <c r="T35" s="25">
        <v>0</v>
      </c>
      <c r="U35" s="27">
        <v>4</v>
      </c>
      <c r="V35" s="25">
        <v>40</v>
      </c>
      <c r="W35" s="18" t="s">
        <v>48</v>
      </c>
      <c r="X35" s="18" t="s">
        <v>49</v>
      </c>
      <c r="Y35" s="18" t="s">
        <v>86</v>
      </c>
      <c r="Z35" s="18" t="s">
        <v>9</v>
      </c>
      <c r="AA35" s="18" t="s">
        <v>50</v>
      </c>
      <c r="AB35" s="18" t="s">
        <v>157</v>
      </c>
      <c r="AC35" s="18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17" customFormat="1" ht="35.1" customHeight="1" x14ac:dyDescent="0.25">
      <c r="A36" s="18" t="s">
        <v>82</v>
      </c>
      <c r="B36" s="19">
        <v>46072</v>
      </c>
      <c r="C36" s="19">
        <v>46072</v>
      </c>
      <c r="D36" s="18" t="s">
        <v>183</v>
      </c>
      <c r="E36" s="20">
        <v>0.5</v>
      </c>
      <c r="F36" s="20">
        <v>0.54166666666666663</v>
      </c>
      <c r="G36" s="20">
        <v>3.4722222222222218E-4</v>
      </c>
      <c r="H36" s="18" t="s">
        <v>83</v>
      </c>
      <c r="I36" s="23">
        <v>0.53361111111111115</v>
      </c>
      <c r="J36" s="18" t="s">
        <v>84</v>
      </c>
      <c r="K36" s="18" t="s">
        <v>140</v>
      </c>
      <c r="L36" s="24">
        <v>1</v>
      </c>
      <c r="M36" s="24">
        <v>70170</v>
      </c>
      <c r="N36" s="18" t="s">
        <v>54</v>
      </c>
      <c r="O36" s="24" t="s">
        <v>85</v>
      </c>
      <c r="P36" s="25">
        <v>35</v>
      </c>
      <c r="Q36" s="24"/>
      <c r="R36" s="25">
        <v>35</v>
      </c>
      <c r="S36" s="26">
        <v>46072</v>
      </c>
      <c r="T36" s="25">
        <v>0</v>
      </c>
      <c r="U36" s="27">
        <v>4</v>
      </c>
      <c r="V36" s="25">
        <v>35</v>
      </c>
      <c r="W36" s="18" t="s">
        <v>48</v>
      </c>
      <c r="X36" s="18" t="s">
        <v>49</v>
      </c>
      <c r="Y36" s="18" t="s">
        <v>86</v>
      </c>
      <c r="Z36" s="18" t="s">
        <v>43</v>
      </c>
      <c r="AA36" s="18" t="s">
        <v>50</v>
      </c>
      <c r="AB36" s="18" t="s">
        <v>87</v>
      </c>
      <c r="AC36" s="18" t="s">
        <v>38</v>
      </c>
      <c r="AD36" s="7" t="str">
        <f t="shared" si="0"/>
        <v/>
      </c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</row>
    <row r="37" spans="1:49" s="17" customFormat="1" ht="35.1" customHeight="1" x14ac:dyDescent="0.25">
      <c r="A37" s="18" t="s">
        <v>60</v>
      </c>
      <c r="B37" s="19">
        <v>46072</v>
      </c>
      <c r="C37" s="19">
        <v>46072</v>
      </c>
      <c r="D37" s="18" t="s">
        <v>183</v>
      </c>
      <c r="E37" s="20">
        <v>0.45833333333333331</v>
      </c>
      <c r="F37" s="20">
        <v>0.54166666666666663</v>
      </c>
      <c r="G37" s="20">
        <v>3.4722222222222218E-4</v>
      </c>
      <c r="H37" s="18" t="s">
        <v>191</v>
      </c>
      <c r="I37" s="23">
        <v>0.54069444444444448</v>
      </c>
      <c r="J37" s="18" t="s">
        <v>84</v>
      </c>
      <c r="K37" s="18" t="s">
        <v>140</v>
      </c>
      <c r="L37" s="24">
        <v>1</v>
      </c>
      <c r="M37" s="24">
        <v>64409</v>
      </c>
      <c r="N37" s="18" t="s">
        <v>54</v>
      </c>
      <c r="O37" s="24" t="s">
        <v>62</v>
      </c>
      <c r="P37" s="25">
        <v>30</v>
      </c>
      <c r="Q37" s="24"/>
      <c r="R37" s="25">
        <v>30</v>
      </c>
      <c r="S37" s="26">
        <v>46054</v>
      </c>
      <c r="T37" s="25">
        <v>4.5</v>
      </c>
      <c r="U37" s="27">
        <v>4</v>
      </c>
      <c r="V37" s="25">
        <v>25.5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63</v>
      </c>
      <c r="AC37" s="18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17" customFormat="1" ht="35.1" customHeight="1" x14ac:dyDescent="0.25">
      <c r="A38" s="18" t="s">
        <v>121</v>
      </c>
      <c r="B38" s="19">
        <v>46072</v>
      </c>
      <c r="C38" s="19">
        <v>46072</v>
      </c>
      <c r="D38" s="18" t="s">
        <v>183</v>
      </c>
      <c r="E38" s="20">
        <v>0.45833333333333331</v>
      </c>
      <c r="F38" s="20">
        <v>0.54166666666666663</v>
      </c>
      <c r="G38" s="21">
        <v>1.7361111111111109E-4</v>
      </c>
      <c r="H38" s="22" t="s">
        <v>158</v>
      </c>
      <c r="I38" s="23">
        <v>0.54052083333333334</v>
      </c>
      <c r="J38" s="18" t="s">
        <v>84</v>
      </c>
      <c r="K38" s="18" t="s">
        <v>140</v>
      </c>
      <c r="L38" s="24">
        <v>1</v>
      </c>
      <c r="M38" s="24">
        <v>69570</v>
      </c>
      <c r="N38" s="18" t="s">
        <v>54</v>
      </c>
      <c r="O38" s="24" t="s">
        <v>159</v>
      </c>
      <c r="P38" s="25">
        <v>0</v>
      </c>
      <c r="Q38" s="24"/>
      <c r="R38" s="25">
        <v>19.042139037433099</v>
      </c>
      <c r="S38" s="26">
        <v>46054</v>
      </c>
      <c r="T38" s="25">
        <v>0</v>
      </c>
      <c r="U38" s="27">
        <v>4</v>
      </c>
      <c r="V38" s="25">
        <v>0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160</v>
      </c>
      <c r="AC38" s="18" t="s">
        <v>38</v>
      </c>
      <c r="AD38" s="7" t="str">
        <f t="shared" si="0"/>
        <v/>
      </c>
      <c r="AE38" s="28"/>
      <c r="AF38" s="28"/>
      <c r="AG38" s="28"/>
      <c r="AH38" s="28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s="31" customFormat="1" ht="35.1" customHeight="1" x14ac:dyDescent="0.25">
      <c r="A39" s="18" t="s">
        <v>121</v>
      </c>
      <c r="B39" s="19">
        <v>46072</v>
      </c>
      <c r="C39" s="19">
        <v>46072</v>
      </c>
      <c r="D39" s="18" t="s">
        <v>183</v>
      </c>
      <c r="E39" s="20">
        <v>0.45833333333333331</v>
      </c>
      <c r="F39" s="20">
        <v>0.54166666666666663</v>
      </c>
      <c r="G39" s="21">
        <v>1.7361111111111109E-4</v>
      </c>
      <c r="H39" s="22" t="s">
        <v>161</v>
      </c>
      <c r="I39" s="23">
        <v>0.54138888888888892</v>
      </c>
      <c r="J39" s="18" t="s">
        <v>84</v>
      </c>
      <c r="K39" s="18" t="s">
        <v>140</v>
      </c>
      <c r="L39" s="24">
        <v>1</v>
      </c>
      <c r="M39" s="24">
        <v>69570</v>
      </c>
      <c r="N39" s="18" t="s">
        <v>54</v>
      </c>
      <c r="O39" s="24" t="s">
        <v>159</v>
      </c>
      <c r="P39" s="25">
        <v>0</v>
      </c>
      <c r="Q39" s="24"/>
      <c r="R39" s="25">
        <v>19.042139037433099</v>
      </c>
      <c r="S39" s="26">
        <v>46054</v>
      </c>
      <c r="T39" s="25">
        <v>0</v>
      </c>
      <c r="U39" s="27">
        <v>4</v>
      </c>
      <c r="V39" s="25">
        <v>0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160</v>
      </c>
      <c r="AC39" s="18" t="s">
        <v>38</v>
      </c>
      <c r="AD39" s="7" t="str">
        <f t="shared" si="0"/>
        <v/>
      </c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</row>
    <row r="40" spans="1:49" s="33" customFormat="1" ht="35.1" customHeight="1" x14ac:dyDescent="0.25">
      <c r="A40" s="9" t="s">
        <v>95</v>
      </c>
      <c r="B40" s="10">
        <v>46072</v>
      </c>
      <c r="C40" s="10">
        <v>46072</v>
      </c>
      <c r="D40" s="11" t="s">
        <v>183</v>
      </c>
      <c r="E40" s="12">
        <v>0.54166666666666663</v>
      </c>
      <c r="F40" s="12">
        <v>0.5625</v>
      </c>
      <c r="G40" s="12">
        <v>2.0833333333333332E-2</v>
      </c>
      <c r="H40" s="9" t="s">
        <v>96</v>
      </c>
      <c r="I40" s="13"/>
      <c r="J40" s="9" t="s">
        <v>97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31" customFormat="1" ht="35.1" customHeight="1" x14ac:dyDescent="0.25">
      <c r="A41" s="18" t="s">
        <v>44</v>
      </c>
      <c r="B41" s="19">
        <v>46072</v>
      </c>
      <c r="C41" s="19">
        <v>46072</v>
      </c>
      <c r="D41" s="18" t="s">
        <v>183</v>
      </c>
      <c r="E41" s="20">
        <v>0.54166666666666663</v>
      </c>
      <c r="F41" s="20">
        <v>0.66666666666666663</v>
      </c>
      <c r="G41" s="21">
        <v>1.7361111111111109E-4</v>
      </c>
      <c r="H41" s="22" t="s">
        <v>52</v>
      </c>
      <c r="I41" s="23">
        <v>0.55571759259259257</v>
      </c>
      <c r="J41" s="18" t="s">
        <v>97</v>
      </c>
      <c r="K41" s="18" t="s">
        <v>172</v>
      </c>
      <c r="L41" s="24">
        <v>1</v>
      </c>
      <c r="M41" s="24">
        <v>71011</v>
      </c>
      <c r="N41" s="18" t="s">
        <v>46</v>
      </c>
      <c r="O41" s="24" t="s">
        <v>47</v>
      </c>
      <c r="P41" s="25">
        <v>0</v>
      </c>
      <c r="Q41" s="24"/>
      <c r="R41" s="25">
        <v>0</v>
      </c>
      <c r="S41" s="26">
        <v>46054</v>
      </c>
      <c r="T41" s="25">
        <v>0</v>
      </c>
      <c r="U41" s="27">
        <v>4</v>
      </c>
      <c r="V41" s="25">
        <v>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  <c r="AE41" s="29"/>
      <c r="AF41" s="29"/>
      <c r="AG41" s="29"/>
      <c r="AH41" s="29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</row>
    <row r="42" spans="1:49" s="31" customFormat="1" ht="35.1" customHeight="1" x14ac:dyDescent="0.25">
      <c r="A42" s="18" t="s">
        <v>44</v>
      </c>
      <c r="B42" s="19">
        <v>46072</v>
      </c>
      <c r="C42" s="19">
        <v>46072</v>
      </c>
      <c r="D42" s="18" t="s">
        <v>183</v>
      </c>
      <c r="E42" s="20">
        <v>0.54166666666666663</v>
      </c>
      <c r="F42" s="20">
        <v>0.66666666666666663</v>
      </c>
      <c r="G42" s="21">
        <v>1.7361111111111109E-4</v>
      </c>
      <c r="H42" s="22" t="s">
        <v>146</v>
      </c>
      <c r="I42" s="23">
        <v>0.55658564814814815</v>
      </c>
      <c r="J42" s="18" t="s">
        <v>97</v>
      </c>
      <c r="K42" s="18" t="s">
        <v>172</v>
      </c>
      <c r="L42" s="24">
        <v>1</v>
      </c>
      <c r="M42" s="24">
        <v>71011</v>
      </c>
      <c r="N42" s="18" t="s">
        <v>46</v>
      </c>
      <c r="O42" s="24" t="s">
        <v>47</v>
      </c>
      <c r="P42" s="25">
        <v>0</v>
      </c>
      <c r="Q42" s="24"/>
      <c r="R42" s="25">
        <v>0</v>
      </c>
      <c r="S42" s="26">
        <v>46054</v>
      </c>
      <c r="T42" s="25">
        <v>0</v>
      </c>
      <c r="U42" s="27">
        <v>4</v>
      </c>
      <c r="V42" s="25">
        <v>0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51</v>
      </c>
      <c r="AC42" s="18" t="s">
        <v>38</v>
      </c>
      <c r="AD42" s="7" t="str">
        <f t="shared" si="0"/>
        <v/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33" customFormat="1" ht="35.1" customHeight="1" x14ac:dyDescent="0.25">
      <c r="A43" s="9" t="s">
        <v>95</v>
      </c>
      <c r="B43" s="10">
        <v>46072</v>
      </c>
      <c r="C43" s="10">
        <v>46072</v>
      </c>
      <c r="D43" s="11" t="s">
        <v>183</v>
      </c>
      <c r="E43" s="12">
        <v>0.5625</v>
      </c>
      <c r="F43" s="12">
        <v>0.58333333333333337</v>
      </c>
      <c r="G43" s="12">
        <v>2.0833333333333332E-2</v>
      </c>
      <c r="H43" s="9" t="s">
        <v>98</v>
      </c>
      <c r="I43" s="13"/>
      <c r="J43" s="9" t="s">
        <v>97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</row>
    <row r="44" spans="1:49" s="31" customFormat="1" ht="35.1" customHeight="1" x14ac:dyDescent="0.25">
      <c r="A44" s="18" t="s">
        <v>44</v>
      </c>
      <c r="B44" s="19">
        <v>46072</v>
      </c>
      <c r="C44" s="19">
        <v>46072</v>
      </c>
      <c r="D44" s="18" t="s">
        <v>183</v>
      </c>
      <c r="E44" s="20">
        <v>0.54166666666666663</v>
      </c>
      <c r="F44" s="20">
        <v>0.66666666666666663</v>
      </c>
      <c r="G44" s="21">
        <v>1.7361111111111109E-4</v>
      </c>
      <c r="H44" s="22" t="s">
        <v>52</v>
      </c>
      <c r="I44" s="23">
        <v>0.56818287037037041</v>
      </c>
      <c r="J44" s="18" t="s">
        <v>97</v>
      </c>
      <c r="K44" s="18" t="s">
        <v>173</v>
      </c>
      <c r="L44" s="24">
        <v>1</v>
      </c>
      <c r="M44" s="24">
        <v>71006</v>
      </c>
      <c r="N44" s="18" t="s">
        <v>54</v>
      </c>
      <c r="O44" s="24" t="s">
        <v>47</v>
      </c>
      <c r="P44" s="25">
        <v>15</v>
      </c>
      <c r="Q44" s="24"/>
      <c r="R44" s="25">
        <v>15</v>
      </c>
      <c r="S44" s="26">
        <v>46054</v>
      </c>
      <c r="T44" s="25">
        <v>2.25</v>
      </c>
      <c r="U44" s="27">
        <v>4</v>
      </c>
      <c r="V44" s="25">
        <v>12.75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51</v>
      </c>
      <c r="AC44" s="18" t="s">
        <v>38</v>
      </c>
      <c r="AD44" s="7" t="str">
        <f t="shared" si="0"/>
        <v/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31" customFormat="1" ht="35.1" customHeight="1" x14ac:dyDescent="0.25">
      <c r="A45" s="18" t="s">
        <v>44</v>
      </c>
      <c r="B45" s="19">
        <v>46072</v>
      </c>
      <c r="C45" s="19">
        <v>46072</v>
      </c>
      <c r="D45" s="18" t="s">
        <v>183</v>
      </c>
      <c r="E45" s="20">
        <v>0.54166666666666663</v>
      </c>
      <c r="F45" s="20">
        <v>0.66666666666666663</v>
      </c>
      <c r="G45" s="21">
        <v>1.7361111111111109E-4</v>
      </c>
      <c r="H45" s="22" t="s">
        <v>146</v>
      </c>
      <c r="I45" s="23">
        <v>0.56887731481481485</v>
      </c>
      <c r="J45" s="18" t="s">
        <v>97</v>
      </c>
      <c r="K45" s="18" t="s">
        <v>173</v>
      </c>
      <c r="L45" s="24">
        <v>1</v>
      </c>
      <c r="M45" s="24">
        <v>71006</v>
      </c>
      <c r="N45" s="18" t="s">
        <v>54</v>
      </c>
      <c r="O45" s="24" t="s">
        <v>47</v>
      </c>
      <c r="P45" s="25">
        <v>15</v>
      </c>
      <c r="Q45" s="24"/>
      <c r="R45" s="25">
        <v>15</v>
      </c>
      <c r="S45" s="26">
        <v>46054</v>
      </c>
      <c r="T45" s="25">
        <v>2.25</v>
      </c>
      <c r="U45" s="27">
        <v>4</v>
      </c>
      <c r="V45" s="25">
        <v>12.75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51</v>
      </c>
      <c r="AC45" s="18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33" customFormat="1" ht="35.1" customHeight="1" x14ac:dyDescent="0.25">
      <c r="A46" s="9" t="s">
        <v>99</v>
      </c>
      <c r="B46" s="10">
        <v>46072</v>
      </c>
      <c r="C46" s="10">
        <v>46072</v>
      </c>
      <c r="D46" s="11" t="s">
        <v>183</v>
      </c>
      <c r="E46" s="12">
        <v>0.58333333333333337</v>
      </c>
      <c r="F46" s="12">
        <v>0.625</v>
      </c>
      <c r="G46" s="12">
        <v>4.1666666666666664E-2</v>
      </c>
      <c r="H46" s="9" t="s">
        <v>100</v>
      </c>
      <c r="I46" s="13"/>
      <c r="J46" s="9" t="s">
        <v>101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</row>
    <row r="47" spans="1:49" s="31" customFormat="1" ht="35.1" customHeight="1" x14ac:dyDescent="0.25">
      <c r="A47" s="18" t="s">
        <v>44</v>
      </c>
      <c r="B47" s="19">
        <v>46072</v>
      </c>
      <c r="C47" s="19">
        <v>46072</v>
      </c>
      <c r="D47" s="18" t="s">
        <v>183</v>
      </c>
      <c r="E47" s="20">
        <v>0.58333333333333337</v>
      </c>
      <c r="F47" s="20">
        <v>0.66666666666666663</v>
      </c>
      <c r="G47" s="21">
        <v>1.7361111111111109E-4</v>
      </c>
      <c r="H47" s="22" t="s">
        <v>52</v>
      </c>
      <c r="I47" s="23">
        <v>0.59136574074074078</v>
      </c>
      <c r="J47" s="18" t="s">
        <v>97</v>
      </c>
      <c r="K47" s="18" t="s">
        <v>141</v>
      </c>
      <c r="L47" s="24">
        <v>1</v>
      </c>
      <c r="M47" s="24">
        <v>71009</v>
      </c>
      <c r="N47" s="18" t="s">
        <v>54</v>
      </c>
      <c r="O47" s="24" t="s">
        <v>47</v>
      </c>
      <c r="P47" s="25">
        <v>15</v>
      </c>
      <c r="Q47" s="24"/>
      <c r="R47" s="25">
        <v>15</v>
      </c>
      <c r="S47" s="26">
        <v>46054</v>
      </c>
      <c r="T47" s="25">
        <v>2.25</v>
      </c>
      <c r="U47" s="27">
        <v>4</v>
      </c>
      <c r="V47" s="25">
        <v>12.75</v>
      </c>
      <c r="W47" s="18" t="s">
        <v>48</v>
      </c>
      <c r="X47" s="18" t="s">
        <v>49</v>
      </c>
      <c r="Y47" s="18" t="s">
        <v>36</v>
      </c>
      <c r="Z47" s="18" t="s">
        <v>9</v>
      </c>
      <c r="AA47" s="18" t="s">
        <v>50</v>
      </c>
      <c r="AB47" s="18" t="s">
        <v>51</v>
      </c>
      <c r="AC47" s="18" t="s">
        <v>38</v>
      </c>
      <c r="AD47" s="7" t="str">
        <f t="shared" si="0"/>
        <v/>
      </c>
      <c r="AE47" s="29"/>
      <c r="AF47" s="29"/>
      <c r="AG47" s="29"/>
      <c r="AH47" s="29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</row>
    <row r="48" spans="1:49" s="31" customFormat="1" ht="35.1" customHeight="1" x14ac:dyDescent="0.25">
      <c r="A48" s="18" t="s">
        <v>44</v>
      </c>
      <c r="B48" s="19">
        <v>46072</v>
      </c>
      <c r="C48" s="19">
        <v>46072</v>
      </c>
      <c r="D48" s="18" t="s">
        <v>183</v>
      </c>
      <c r="E48" s="20">
        <v>0.58333333333333337</v>
      </c>
      <c r="F48" s="20">
        <v>0.66666666666666663</v>
      </c>
      <c r="G48" s="21">
        <v>1.7361111111111109E-4</v>
      </c>
      <c r="H48" s="22" t="s">
        <v>146</v>
      </c>
      <c r="I48" s="23">
        <v>0.59310185185185182</v>
      </c>
      <c r="J48" s="18" t="s">
        <v>97</v>
      </c>
      <c r="K48" s="18" t="s">
        <v>141</v>
      </c>
      <c r="L48" s="24">
        <v>1</v>
      </c>
      <c r="M48" s="24">
        <v>71009</v>
      </c>
      <c r="N48" s="18" t="s">
        <v>54</v>
      </c>
      <c r="O48" s="24" t="s">
        <v>47</v>
      </c>
      <c r="P48" s="25">
        <v>15</v>
      </c>
      <c r="Q48" s="24"/>
      <c r="R48" s="25">
        <v>15</v>
      </c>
      <c r="S48" s="26">
        <v>46054</v>
      </c>
      <c r="T48" s="25">
        <v>2.25</v>
      </c>
      <c r="U48" s="27">
        <v>4</v>
      </c>
      <c r="V48" s="25">
        <v>12.75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51</v>
      </c>
      <c r="AC48" s="18" t="s">
        <v>38</v>
      </c>
      <c r="AD48" s="7" t="str">
        <f t="shared" si="0"/>
        <v/>
      </c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1:49" s="33" customFormat="1" ht="35.1" customHeight="1" x14ac:dyDescent="0.25">
      <c r="A49" s="9" t="s">
        <v>99</v>
      </c>
      <c r="B49" s="10">
        <v>46072</v>
      </c>
      <c r="C49" s="10">
        <v>46072</v>
      </c>
      <c r="D49" s="11" t="s">
        <v>183</v>
      </c>
      <c r="E49" s="12">
        <v>0.625</v>
      </c>
      <c r="F49" s="12">
        <v>0.64583333333333337</v>
      </c>
      <c r="G49" s="12">
        <v>2.0833333333333332E-2</v>
      </c>
      <c r="H49" s="9" t="s">
        <v>106</v>
      </c>
      <c r="I49" s="13"/>
      <c r="J49" s="9" t="s">
        <v>101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8"/>
      <c r="AF49" s="28"/>
      <c r="AG49" s="28"/>
      <c r="AH49" s="28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</row>
    <row r="50" spans="1:49" s="33" customFormat="1" ht="35.1" customHeight="1" x14ac:dyDescent="0.25">
      <c r="A50" s="9" t="s">
        <v>99</v>
      </c>
      <c r="B50" s="10">
        <v>46072</v>
      </c>
      <c r="C50" s="10">
        <v>46072</v>
      </c>
      <c r="D50" s="11" t="s">
        <v>183</v>
      </c>
      <c r="E50" s="12">
        <v>0.64583333333333337</v>
      </c>
      <c r="F50" s="12">
        <v>0.66666666666666663</v>
      </c>
      <c r="G50" s="12">
        <v>2.0833333333333332E-2</v>
      </c>
      <c r="H50" s="9" t="s">
        <v>107</v>
      </c>
      <c r="I50" s="13"/>
      <c r="J50" s="9" t="s">
        <v>101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</row>
    <row r="51" spans="1:49" s="31" customFormat="1" ht="35.1" customHeight="1" x14ac:dyDescent="0.25">
      <c r="A51" s="18" t="s">
        <v>44</v>
      </c>
      <c r="B51" s="19">
        <v>46072</v>
      </c>
      <c r="C51" s="19">
        <v>46072</v>
      </c>
      <c r="D51" s="18" t="s">
        <v>183</v>
      </c>
      <c r="E51" s="20">
        <v>0.54166666666666663</v>
      </c>
      <c r="F51" s="20">
        <v>0.66666666666666663</v>
      </c>
      <c r="G51" s="21">
        <v>1.7361111111111109E-4</v>
      </c>
      <c r="H51" s="22" t="s">
        <v>55</v>
      </c>
      <c r="I51" s="23">
        <v>0.65593749999999995</v>
      </c>
      <c r="J51" s="18" t="s">
        <v>97</v>
      </c>
      <c r="K51" s="18" t="s">
        <v>141</v>
      </c>
      <c r="L51" s="24">
        <v>1</v>
      </c>
      <c r="M51" s="24">
        <v>71011</v>
      </c>
      <c r="N51" s="18" t="s">
        <v>46</v>
      </c>
      <c r="O51" s="24" t="s">
        <v>47</v>
      </c>
      <c r="P51" s="25">
        <v>0</v>
      </c>
      <c r="Q51" s="24"/>
      <c r="R51" s="25">
        <v>0</v>
      </c>
      <c r="S51" s="26">
        <v>46054</v>
      </c>
      <c r="T51" s="25">
        <v>0</v>
      </c>
      <c r="U51" s="27">
        <v>4</v>
      </c>
      <c r="V51" s="25">
        <v>0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51</v>
      </c>
      <c r="AC51" s="18" t="s">
        <v>38</v>
      </c>
      <c r="AD51" s="7" t="str">
        <f t="shared" si="0"/>
        <v/>
      </c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</row>
    <row r="52" spans="1:49" s="31" customFormat="1" ht="35.1" customHeight="1" x14ac:dyDescent="0.2">
      <c r="A52" s="18" t="s">
        <v>44</v>
      </c>
      <c r="B52" s="19">
        <v>46072</v>
      </c>
      <c r="C52" s="19">
        <v>46072</v>
      </c>
      <c r="D52" s="18" t="s">
        <v>183</v>
      </c>
      <c r="E52" s="20">
        <v>0.54166666666666663</v>
      </c>
      <c r="F52" s="20">
        <v>0.66666666666666663</v>
      </c>
      <c r="G52" s="21">
        <v>1.7361111111111109E-4</v>
      </c>
      <c r="H52" s="22" t="s">
        <v>165</v>
      </c>
      <c r="I52" s="23">
        <v>0.65784722222222225</v>
      </c>
      <c r="J52" s="18" t="s">
        <v>97</v>
      </c>
      <c r="K52" s="18" t="s">
        <v>141</v>
      </c>
      <c r="L52" s="24">
        <v>1</v>
      </c>
      <c r="M52" s="24">
        <v>71011</v>
      </c>
      <c r="N52" s="18" t="s">
        <v>46</v>
      </c>
      <c r="O52" s="24" t="s">
        <v>47</v>
      </c>
      <c r="P52" s="25">
        <v>0</v>
      </c>
      <c r="Q52" s="24"/>
      <c r="R52" s="25">
        <v>0</v>
      </c>
      <c r="S52" s="26">
        <v>46054</v>
      </c>
      <c r="T52" s="25">
        <v>0</v>
      </c>
      <c r="U52" s="27">
        <v>4</v>
      </c>
      <c r="V52" s="25">
        <v>0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51</v>
      </c>
      <c r="AC52" s="18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33" customFormat="1" ht="35.1" customHeight="1" x14ac:dyDescent="0.25">
      <c r="A53" s="9" t="s">
        <v>108</v>
      </c>
      <c r="B53" s="10">
        <v>46072</v>
      </c>
      <c r="C53" s="10">
        <v>46072</v>
      </c>
      <c r="D53" s="11" t="s">
        <v>183</v>
      </c>
      <c r="E53" s="12">
        <v>0.66666666666666663</v>
      </c>
      <c r="F53" s="12">
        <v>0.6875</v>
      </c>
      <c r="G53" s="12">
        <v>2.0833333333333332E-2</v>
      </c>
      <c r="H53" s="9" t="s">
        <v>109</v>
      </c>
      <c r="I53" s="13"/>
      <c r="J53" s="9" t="s">
        <v>110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</row>
    <row r="54" spans="1:49" s="31" customFormat="1" ht="35.1" customHeight="1" x14ac:dyDescent="0.2">
      <c r="A54" s="18" t="s">
        <v>44</v>
      </c>
      <c r="B54" s="19">
        <v>46072</v>
      </c>
      <c r="C54" s="19">
        <v>46072</v>
      </c>
      <c r="D54" s="18" t="s">
        <v>183</v>
      </c>
      <c r="E54" s="20">
        <v>0.66666666666666663</v>
      </c>
      <c r="F54" s="20">
        <v>0.79166666666666663</v>
      </c>
      <c r="G54" s="21">
        <v>1.7361111111111109E-4</v>
      </c>
      <c r="H54" s="22" t="s">
        <v>52</v>
      </c>
      <c r="I54" s="23">
        <v>0.67393518518518514</v>
      </c>
      <c r="J54" s="18" t="s">
        <v>110</v>
      </c>
      <c r="K54" s="18" t="s">
        <v>109</v>
      </c>
      <c r="L54" s="24">
        <v>1</v>
      </c>
      <c r="M54" s="24">
        <v>71003</v>
      </c>
      <c r="N54" s="18" t="s">
        <v>54</v>
      </c>
      <c r="O54" s="24" t="s">
        <v>47</v>
      </c>
      <c r="P54" s="25">
        <v>15</v>
      </c>
      <c r="Q54" s="24"/>
      <c r="R54" s="25">
        <v>15</v>
      </c>
      <c r="S54" s="26">
        <v>46054</v>
      </c>
      <c r="T54" s="25">
        <v>2.25</v>
      </c>
      <c r="U54" s="27">
        <v>4</v>
      </c>
      <c r="V54" s="25">
        <v>12.75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51</v>
      </c>
      <c r="AC54" s="18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31" customFormat="1" ht="35.1" customHeight="1" x14ac:dyDescent="0.25">
      <c r="A55" s="18" t="s">
        <v>44</v>
      </c>
      <c r="B55" s="19">
        <v>46072</v>
      </c>
      <c r="C55" s="19">
        <v>46072</v>
      </c>
      <c r="D55" s="18" t="s">
        <v>183</v>
      </c>
      <c r="E55" s="20">
        <v>0.66666666666666663</v>
      </c>
      <c r="F55" s="20">
        <v>0.79166666666666663</v>
      </c>
      <c r="G55" s="21">
        <v>1.7361111111111109E-4</v>
      </c>
      <c r="H55" s="22" t="s">
        <v>146</v>
      </c>
      <c r="I55" s="23">
        <v>0.67515046296296299</v>
      </c>
      <c r="J55" s="18" t="s">
        <v>110</v>
      </c>
      <c r="K55" s="18" t="s">
        <v>109</v>
      </c>
      <c r="L55" s="24">
        <v>1</v>
      </c>
      <c r="M55" s="24">
        <v>71003</v>
      </c>
      <c r="N55" s="18" t="s">
        <v>54</v>
      </c>
      <c r="O55" s="24" t="s">
        <v>47</v>
      </c>
      <c r="P55" s="25">
        <v>15</v>
      </c>
      <c r="Q55" s="24"/>
      <c r="R55" s="25">
        <v>15</v>
      </c>
      <c r="S55" s="26">
        <v>46054</v>
      </c>
      <c r="T55" s="25">
        <v>2.25</v>
      </c>
      <c r="U55" s="27">
        <v>4</v>
      </c>
      <c r="V55" s="25">
        <v>12.75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51</v>
      </c>
      <c r="AC55" s="18" t="s">
        <v>38</v>
      </c>
      <c r="AD55" s="7" t="str">
        <f t="shared" si="0"/>
        <v/>
      </c>
      <c r="AE55" s="28"/>
      <c r="AF55" s="28"/>
      <c r="AG55" s="28"/>
      <c r="AH55" s="28"/>
    </row>
    <row r="56" spans="1:49" s="33" customFormat="1" ht="35.1" customHeight="1" x14ac:dyDescent="0.25">
      <c r="A56" s="9" t="s">
        <v>115</v>
      </c>
      <c r="B56" s="10">
        <v>46072</v>
      </c>
      <c r="C56" s="10">
        <v>46072</v>
      </c>
      <c r="D56" s="11" t="s">
        <v>183</v>
      </c>
      <c r="E56" s="12">
        <v>0.6875</v>
      </c>
      <c r="F56" s="12">
        <v>0.70833333333333337</v>
      </c>
      <c r="G56" s="12">
        <v>2.0833333333333332E-2</v>
      </c>
      <c r="H56" s="9" t="s">
        <v>116</v>
      </c>
      <c r="I56" s="13"/>
      <c r="J56" s="9" t="s">
        <v>110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</row>
    <row r="57" spans="1:49" s="31" customFormat="1" ht="35.1" customHeight="1" x14ac:dyDescent="0.25">
      <c r="A57" s="18" t="s">
        <v>70</v>
      </c>
      <c r="B57" s="19">
        <v>46072</v>
      </c>
      <c r="C57" s="19">
        <v>46072</v>
      </c>
      <c r="D57" s="18" t="s">
        <v>183</v>
      </c>
      <c r="E57" s="20">
        <v>0.66666666666666663</v>
      </c>
      <c r="F57" s="20">
        <v>0.79166666666666663</v>
      </c>
      <c r="G57" s="20">
        <v>3.4722222222222218E-4</v>
      </c>
      <c r="H57" s="18" t="s">
        <v>166</v>
      </c>
      <c r="I57" s="23">
        <v>0.70320601851851849</v>
      </c>
      <c r="J57" s="18" t="s">
        <v>110</v>
      </c>
      <c r="K57" s="18" t="s">
        <v>175</v>
      </c>
      <c r="L57" s="24">
        <v>1</v>
      </c>
      <c r="M57" s="24">
        <v>70992</v>
      </c>
      <c r="N57" s="18" t="s">
        <v>46</v>
      </c>
      <c r="O57" s="24" t="str">
        <f>AC57</f>
        <v>CVC</v>
      </c>
      <c r="P57" s="25">
        <v>0</v>
      </c>
      <c r="Q57" s="24"/>
      <c r="R57" s="25">
        <v>0</v>
      </c>
      <c r="S57" s="26">
        <v>46054</v>
      </c>
      <c r="T57" s="25">
        <v>0</v>
      </c>
      <c r="U57" s="27">
        <v>4</v>
      </c>
      <c r="V57" s="25">
        <v>0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72</v>
      </c>
      <c r="AC57" s="18" t="s">
        <v>38</v>
      </c>
      <c r="AD57" s="7" t="str">
        <f t="shared" si="0"/>
        <v/>
      </c>
      <c r="AE57" s="28"/>
      <c r="AF57" s="28"/>
      <c r="AG57" s="28"/>
      <c r="AH57" s="28"/>
    </row>
    <row r="58" spans="1:49" s="33" customFormat="1" ht="35.1" customHeight="1" x14ac:dyDescent="0.25">
      <c r="A58" s="9" t="s">
        <v>108</v>
      </c>
      <c r="B58" s="10">
        <v>46072</v>
      </c>
      <c r="C58" s="10">
        <v>46072</v>
      </c>
      <c r="D58" s="11" t="s">
        <v>183</v>
      </c>
      <c r="E58" s="12">
        <v>0.70833333333333337</v>
      </c>
      <c r="F58" s="12">
        <v>0.75</v>
      </c>
      <c r="G58" s="12">
        <v>4.1666666666666664E-2</v>
      </c>
      <c r="H58" s="9" t="s">
        <v>193</v>
      </c>
      <c r="I58" s="13"/>
      <c r="J58" s="9" t="s">
        <v>110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</row>
    <row r="59" spans="1:49" s="33" customFormat="1" ht="35.1" customHeight="1" x14ac:dyDescent="0.25">
      <c r="A59" s="9" t="s">
        <v>115</v>
      </c>
      <c r="B59" s="10">
        <v>46072</v>
      </c>
      <c r="C59" s="10">
        <v>46072</v>
      </c>
      <c r="D59" s="11" t="s">
        <v>183</v>
      </c>
      <c r="E59" s="12">
        <v>0.75</v>
      </c>
      <c r="F59" s="12">
        <v>0.77083333333333337</v>
      </c>
      <c r="G59" s="12">
        <v>2.0833333333333332E-2</v>
      </c>
      <c r="H59" s="9" t="s">
        <v>118</v>
      </c>
      <c r="I59" s="13"/>
      <c r="J59" s="9" t="s">
        <v>110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</row>
    <row r="60" spans="1:49" s="33" customFormat="1" ht="35.1" customHeight="1" x14ac:dyDescent="0.25">
      <c r="A60" s="9" t="s">
        <v>115</v>
      </c>
      <c r="B60" s="10">
        <v>46072</v>
      </c>
      <c r="C60" s="10">
        <v>46072</v>
      </c>
      <c r="D60" s="11" t="s">
        <v>183</v>
      </c>
      <c r="E60" s="12">
        <v>0.77083333333333337</v>
      </c>
      <c r="F60" s="12">
        <v>0.79166666666666663</v>
      </c>
      <c r="G60" s="12">
        <v>2.0833333333333332E-2</v>
      </c>
      <c r="H60" s="9" t="s">
        <v>116</v>
      </c>
      <c r="I60" s="13"/>
      <c r="J60" s="9" t="s">
        <v>110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</row>
    <row r="61" spans="1:49" s="31" customFormat="1" ht="35.1" customHeight="1" x14ac:dyDescent="0.2">
      <c r="A61" s="18" t="s">
        <v>70</v>
      </c>
      <c r="B61" s="19">
        <v>46072</v>
      </c>
      <c r="C61" s="19">
        <v>46072</v>
      </c>
      <c r="D61" s="18" t="s">
        <v>183</v>
      </c>
      <c r="E61" s="20">
        <v>0.66666666666666663</v>
      </c>
      <c r="F61" s="20">
        <v>0.79166666666666663</v>
      </c>
      <c r="G61" s="20">
        <v>3.4722222222222218E-4</v>
      </c>
      <c r="H61" s="18" t="s">
        <v>166</v>
      </c>
      <c r="I61" s="23">
        <v>0.70320601851851849</v>
      </c>
      <c r="J61" s="18" t="s">
        <v>110</v>
      </c>
      <c r="K61" s="18" t="s">
        <v>175</v>
      </c>
      <c r="L61" s="24">
        <v>1</v>
      </c>
      <c r="M61" s="24">
        <v>70990</v>
      </c>
      <c r="N61" s="18" t="s">
        <v>54</v>
      </c>
      <c r="O61" s="24" t="str">
        <f>AC61</f>
        <v>CVC</v>
      </c>
      <c r="P61" s="25">
        <v>58.82</v>
      </c>
      <c r="Q61" s="24"/>
      <c r="R61" s="25">
        <v>58.82</v>
      </c>
      <c r="S61" s="26">
        <v>46054</v>
      </c>
      <c r="T61" s="25">
        <v>4.4115000000000002</v>
      </c>
      <c r="U61" s="27">
        <v>4</v>
      </c>
      <c r="V61" s="25">
        <v>54.408500000000004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72</v>
      </c>
      <c r="AC61" s="18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33" customFormat="1" ht="35.1" customHeight="1" x14ac:dyDescent="0.2">
      <c r="A62" s="9" t="s">
        <v>39</v>
      </c>
      <c r="B62" s="10">
        <v>46072</v>
      </c>
      <c r="C62" s="10">
        <v>46072</v>
      </c>
      <c r="D62" s="11" t="s">
        <v>183</v>
      </c>
      <c r="E62" s="12">
        <v>0.79166666666666663</v>
      </c>
      <c r="F62" s="12">
        <v>0.8125</v>
      </c>
      <c r="G62" s="12">
        <v>2.0833333333333332E-2</v>
      </c>
      <c r="H62" s="9" t="s">
        <v>119</v>
      </c>
      <c r="I62" s="13"/>
      <c r="J62" s="9" t="s">
        <v>120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31" customFormat="1" ht="35.1" customHeight="1" x14ac:dyDescent="0.25">
      <c r="A63" s="18" t="s">
        <v>70</v>
      </c>
      <c r="B63" s="19">
        <v>46072</v>
      </c>
      <c r="C63" s="19">
        <v>46072</v>
      </c>
      <c r="D63" s="18" t="s">
        <v>183</v>
      </c>
      <c r="E63" s="20">
        <v>0.79166666666666663</v>
      </c>
      <c r="F63" s="20">
        <v>0.83333333333333337</v>
      </c>
      <c r="G63" s="20">
        <v>3.4722222222222218E-4</v>
      </c>
      <c r="H63" s="18" t="s">
        <v>132</v>
      </c>
      <c r="I63" s="23">
        <v>0.7971759259259259</v>
      </c>
      <c r="J63" s="18" t="s">
        <v>120</v>
      </c>
      <c r="K63" s="18" t="s">
        <v>119</v>
      </c>
      <c r="L63" s="24">
        <v>1</v>
      </c>
      <c r="M63" s="24">
        <v>70979</v>
      </c>
      <c r="N63" s="18" t="s">
        <v>54</v>
      </c>
      <c r="O63" s="24" t="str">
        <f>AC63</f>
        <v>CVC</v>
      </c>
      <c r="P63" s="25">
        <v>58.82</v>
      </c>
      <c r="Q63" s="24"/>
      <c r="R63" s="25">
        <v>58.82</v>
      </c>
      <c r="S63" s="26">
        <v>46054</v>
      </c>
      <c r="T63" s="25">
        <v>4.4115000000000002</v>
      </c>
      <c r="U63" s="27">
        <v>4</v>
      </c>
      <c r="V63" s="25">
        <v>54.408500000000004</v>
      </c>
      <c r="W63" s="18" t="s">
        <v>48</v>
      </c>
      <c r="X63" s="18" t="s">
        <v>49</v>
      </c>
      <c r="Y63" s="18" t="s">
        <v>36</v>
      </c>
      <c r="Z63" s="18" t="s">
        <v>9</v>
      </c>
      <c r="AA63" s="18" t="s">
        <v>50</v>
      </c>
      <c r="AB63" s="18" t="s">
        <v>72</v>
      </c>
      <c r="AC63" s="18" t="s">
        <v>38</v>
      </c>
      <c r="AD63" s="7" t="str">
        <f t="shared" si="0"/>
        <v/>
      </c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</row>
    <row r="64" spans="1:49" s="31" customFormat="1" ht="35.1" customHeight="1" x14ac:dyDescent="0.25">
      <c r="A64" s="18" t="s">
        <v>121</v>
      </c>
      <c r="B64" s="19">
        <v>46072</v>
      </c>
      <c r="C64" s="19">
        <v>46072</v>
      </c>
      <c r="D64" s="18" t="s">
        <v>183</v>
      </c>
      <c r="E64" s="20">
        <v>0.79166666666666663</v>
      </c>
      <c r="F64" s="20">
        <v>0.99930555555555556</v>
      </c>
      <c r="G64" s="21">
        <v>1.7361111111111109E-4</v>
      </c>
      <c r="H64" s="22" t="s">
        <v>127</v>
      </c>
      <c r="I64" s="23">
        <v>0.81130787037037033</v>
      </c>
      <c r="J64" s="18" t="s">
        <v>123</v>
      </c>
      <c r="K64" s="18" t="s">
        <v>119</v>
      </c>
      <c r="L64" s="24">
        <v>1</v>
      </c>
      <c r="M64" s="24">
        <v>69566</v>
      </c>
      <c r="N64" s="18" t="s">
        <v>54</v>
      </c>
      <c r="O64" s="24" t="s">
        <v>124</v>
      </c>
      <c r="P64" s="25">
        <v>0</v>
      </c>
      <c r="Q64" s="24"/>
      <c r="R64" s="25">
        <v>16.531831119544499</v>
      </c>
      <c r="S64" s="26">
        <v>46054</v>
      </c>
      <c r="T64" s="25">
        <v>0</v>
      </c>
      <c r="U64" s="27">
        <v>4</v>
      </c>
      <c r="V64" s="25">
        <v>0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50</v>
      </c>
      <c r="AB64" s="18" t="s">
        <v>125</v>
      </c>
      <c r="AC64" s="18" t="s">
        <v>38</v>
      </c>
      <c r="AD64" s="7" t="str">
        <f t="shared" si="0"/>
        <v/>
      </c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</row>
    <row r="65" spans="1:49" s="31" customFormat="1" ht="35.1" customHeight="1" x14ac:dyDescent="0.25">
      <c r="A65" s="18" t="s">
        <v>121</v>
      </c>
      <c r="B65" s="19">
        <v>46072</v>
      </c>
      <c r="C65" s="19">
        <v>46072</v>
      </c>
      <c r="D65" s="18" t="s">
        <v>183</v>
      </c>
      <c r="E65" s="20">
        <v>0.79166666666666663</v>
      </c>
      <c r="F65" s="20">
        <v>0.99930555555555556</v>
      </c>
      <c r="G65" s="21">
        <v>1.7361111111111109E-4</v>
      </c>
      <c r="H65" s="22" t="s">
        <v>128</v>
      </c>
      <c r="I65" s="23">
        <v>0.81217592592592591</v>
      </c>
      <c r="J65" s="18" t="s">
        <v>123</v>
      </c>
      <c r="K65" s="18" t="s">
        <v>119</v>
      </c>
      <c r="L65" s="24">
        <v>1</v>
      </c>
      <c r="M65" s="24">
        <v>69566</v>
      </c>
      <c r="N65" s="18" t="s">
        <v>54</v>
      </c>
      <c r="O65" s="24" t="s">
        <v>124</v>
      </c>
      <c r="P65" s="25">
        <v>0</v>
      </c>
      <c r="Q65" s="24"/>
      <c r="R65" s="25">
        <v>16.531831119544499</v>
      </c>
      <c r="S65" s="26">
        <v>46054</v>
      </c>
      <c r="T65" s="25">
        <v>0</v>
      </c>
      <c r="U65" s="27">
        <v>4</v>
      </c>
      <c r="V65" s="25">
        <v>0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50</v>
      </c>
      <c r="AB65" s="18" t="s">
        <v>125</v>
      </c>
      <c r="AC65" s="18" t="s">
        <v>38</v>
      </c>
      <c r="AD65" s="7" t="str">
        <f t="shared" si="0"/>
        <v/>
      </c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</row>
    <row r="66" spans="1:49" s="33" customFormat="1" ht="35.1" customHeight="1" x14ac:dyDescent="0.2">
      <c r="A66" s="9" t="s">
        <v>39</v>
      </c>
      <c r="B66" s="10">
        <v>46072</v>
      </c>
      <c r="C66" s="10">
        <v>46072</v>
      </c>
      <c r="D66" s="11" t="s">
        <v>183</v>
      </c>
      <c r="E66" s="12">
        <v>0.8125</v>
      </c>
      <c r="F66" s="12">
        <v>0.83333333333333337</v>
      </c>
      <c r="G66" s="12">
        <v>2.0833333333333332E-2</v>
      </c>
      <c r="H66" s="9" t="s">
        <v>194</v>
      </c>
      <c r="I66" s="13"/>
      <c r="J66" s="9" t="s">
        <v>120</v>
      </c>
      <c r="K66" s="9"/>
      <c r="L66" s="14">
        <v>1</v>
      </c>
      <c r="M66" s="14">
        <v>1</v>
      </c>
      <c r="N66" s="9" t="s">
        <v>33</v>
      </c>
      <c r="O66" s="9"/>
      <c r="P66" s="16">
        <v>0</v>
      </c>
      <c r="Q66" s="14"/>
      <c r="R66" s="16">
        <v>0</v>
      </c>
      <c r="S66" s="9">
        <v>46054</v>
      </c>
      <c r="T66" s="16">
        <v>0</v>
      </c>
      <c r="U66" s="14">
        <v>2</v>
      </c>
      <c r="V66" s="16">
        <v>0</v>
      </c>
      <c r="W66" s="9" t="s">
        <v>34</v>
      </c>
      <c r="X66" s="9" t="s">
        <v>42</v>
      </c>
      <c r="Y66" s="9" t="s">
        <v>36</v>
      </c>
      <c r="Z66" s="9" t="s">
        <v>43</v>
      </c>
      <c r="AA66" s="9" t="s">
        <v>37</v>
      </c>
      <c r="AB66" s="9" t="s">
        <v>37</v>
      </c>
      <c r="AC66" s="9" t="s">
        <v>38</v>
      </c>
      <c r="AD66" s="7" t="str">
        <f t="shared" si="0"/>
        <v/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31" customFormat="1" ht="35.1" customHeight="1" x14ac:dyDescent="0.25">
      <c r="A67" s="18" t="s">
        <v>44</v>
      </c>
      <c r="B67" s="19">
        <v>46072</v>
      </c>
      <c r="C67" s="19">
        <v>46072</v>
      </c>
      <c r="D67" s="18" t="s">
        <v>183</v>
      </c>
      <c r="E67" s="20">
        <v>0.79166666666666663</v>
      </c>
      <c r="F67" s="20">
        <v>0.99930555555555556</v>
      </c>
      <c r="G67" s="20">
        <v>1.157407407407407E-4</v>
      </c>
      <c r="H67" s="18" t="s">
        <v>181</v>
      </c>
      <c r="I67" s="23">
        <v>0.81648148148148147</v>
      </c>
      <c r="J67" s="18" t="s">
        <v>41</v>
      </c>
      <c r="K67" s="18" t="s">
        <v>194</v>
      </c>
      <c r="L67" s="24">
        <v>1</v>
      </c>
      <c r="M67" s="24">
        <v>71104</v>
      </c>
      <c r="N67" s="18" t="s">
        <v>46</v>
      </c>
      <c r="O67" s="24" t="s">
        <v>47</v>
      </c>
      <c r="P67" s="25">
        <v>0</v>
      </c>
      <c r="Q67" s="24"/>
      <c r="R67" s="25">
        <v>0</v>
      </c>
      <c r="S67" s="26">
        <v>46054</v>
      </c>
      <c r="T67" s="25">
        <v>0</v>
      </c>
      <c r="U67" s="27">
        <v>4</v>
      </c>
      <c r="V67" s="25">
        <v>0</v>
      </c>
      <c r="W67" s="18" t="s">
        <v>48</v>
      </c>
      <c r="X67" s="18" t="s">
        <v>49</v>
      </c>
      <c r="Y67" s="18" t="s">
        <v>36</v>
      </c>
      <c r="Z67" s="18" t="s">
        <v>9</v>
      </c>
      <c r="AA67" s="18" t="s">
        <v>50</v>
      </c>
      <c r="AB67" s="18" t="s">
        <v>51</v>
      </c>
      <c r="AC67" s="18" t="s">
        <v>38</v>
      </c>
      <c r="AD67" s="7" t="str">
        <f t="shared" ref="AD67:AD81" si="1">IF(N67="PRG","",IF(I67&gt;=E67,IF(I67&lt;=F67,"","NO"),"NO"))</f>
        <v/>
      </c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</row>
    <row r="68" spans="1:49" s="31" customFormat="1" ht="35.1" customHeight="1" x14ac:dyDescent="0.25">
      <c r="A68" s="18" t="s">
        <v>129</v>
      </c>
      <c r="B68" s="19">
        <v>46072</v>
      </c>
      <c r="C68" s="19">
        <v>46072</v>
      </c>
      <c r="D68" s="18" t="s">
        <v>183</v>
      </c>
      <c r="E68" s="20">
        <v>0.79166666666666663</v>
      </c>
      <c r="F68" s="20">
        <v>0.99930555555555556</v>
      </c>
      <c r="G68" s="20">
        <v>1.7361111111111109E-4</v>
      </c>
      <c r="H68" s="18" t="s">
        <v>130</v>
      </c>
      <c r="I68" s="23">
        <v>0.83215277777777774</v>
      </c>
      <c r="J68" s="18" t="s">
        <v>123</v>
      </c>
      <c r="K68" s="18" t="s">
        <v>194</v>
      </c>
      <c r="L68" s="24">
        <v>1</v>
      </c>
      <c r="M68" s="24">
        <v>71278</v>
      </c>
      <c r="N68" s="18" t="s">
        <v>46</v>
      </c>
      <c r="O68" s="24" t="s">
        <v>38</v>
      </c>
      <c r="P68" s="25">
        <v>0</v>
      </c>
      <c r="Q68" s="24"/>
      <c r="R68" s="25">
        <v>0</v>
      </c>
      <c r="S68" s="26">
        <v>46072</v>
      </c>
      <c r="T68" s="25">
        <v>0</v>
      </c>
      <c r="U68" s="27">
        <v>4</v>
      </c>
      <c r="V68" s="25">
        <v>0</v>
      </c>
      <c r="W68" s="18" t="s">
        <v>48</v>
      </c>
      <c r="X68" s="18" t="s">
        <v>49</v>
      </c>
      <c r="Y68" s="18" t="s">
        <v>86</v>
      </c>
      <c r="Z68" s="18" t="s">
        <v>9</v>
      </c>
      <c r="AA68" s="18" t="s">
        <v>50</v>
      </c>
      <c r="AB68" s="18" t="s">
        <v>131</v>
      </c>
      <c r="AC68" s="18" t="s">
        <v>38</v>
      </c>
      <c r="AD68" s="7" t="str">
        <f t="shared" si="1"/>
        <v/>
      </c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</row>
    <row r="69" spans="1:49" s="33" customFormat="1" ht="35.1" customHeight="1" x14ac:dyDescent="0.25">
      <c r="A69" s="9" t="s">
        <v>134</v>
      </c>
      <c r="B69" s="10">
        <v>46072</v>
      </c>
      <c r="C69" s="10">
        <v>46072</v>
      </c>
      <c r="D69" s="11" t="s">
        <v>183</v>
      </c>
      <c r="E69" s="12">
        <v>0.83333333333333337</v>
      </c>
      <c r="F69" s="12">
        <v>0.875</v>
      </c>
      <c r="G69" s="12">
        <v>4.1666666666666664E-2</v>
      </c>
      <c r="H69" s="9" t="s">
        <v>135</v>
      </c>
      <c r="I69" s="13"/>
      <c r="J69" s="9" t="s">
        <v>41</v>
      </c>
      <c r="K69" s="9"/>
      <c r="L69" s="14">
        <v>1</v>
      </c>
      <c r="M69" s="14">
        <v>1</v>
      </c>
      <c r="N69" s="9" t="s">
        <v>33</v>
      </c>
      <c r="O69" s="9"/>
      <c r="P69" s="16">
        <v>0</v>
      </c>
      <c r="Q69" s="14"/>
      <c r="R69" s="16">
        <v>0</v>
      </c>
      <c r="S69" s="9">
        <v>46054</v>
      </c>
      <c r="T69" s="16">
        <v>0</v>
      </c>
      <c r="U69" s="14">
        <v>2</v>
      </c>
      <c r="V69" s="16">
        <v>0</v>
      </c>
      <c r="W69" s="9" t="s">
        <v>34</v>
      </c>
      <c r="X69" s="9" t="s">
        <v>42</v>
      </c>
      <c r="Y69" s="9" t="s">
        <v>36</v>
      </c>
      <c r="Z69" s="9" t="s">
        <v>43</v>
      </c>
      <c r="AA69" s="9" t="s">
        <v>37</v>
      </c>
      <c r="AB69" s="9" t="s">
        <v>37</v>
      </c>
      <c r="AC69" s="9" t="s">
        <v>38</v>
      </c>
      <c r="AD69" s="7" t="str">
        <f t="shared" si="1"/>
        <v/>
      </c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</row>
    <row r="70" spans="1:49" s="31" customFormat="1" ht="35.1" customHeight="1" x14ac:dyDescent="0.25">
      <c r="A70" s="18" t="s">
        <v>121</v>
      </c>
      <c r="B70" s="19">
        <v>46072</v>
      </c>
      <c r="C70" s="19">
        <v>46072</v>
      </c>
      <c r="D70" s="18" t="s">
        <v>183</v>
      </c>
      <c r="E70" s="20">
        <v>0.79166666666666663</v>
      </c>
      <c r="F70" s="20">
        <v>0.99930555555555556</v>
      </c>
      <c r="G70" s="21">
        <v>1.7361111111111109E-4</v>
      </c>
      <c r="H70" s="22" t="s">
        <v>122</v>
      </c>
      <c r="I70" s="23">
        <v>0.8659027777777778</v>
      </c>
      <c r="J70" s="18" t="s">
        <v>123</v>
      </c>
      <c r="K70" s="18" t="s">
        <v>143</v>
      </c>
      <c r="L70" s="24">
        <v>1</v>
      </c>
      <c r="M70" s="24">
        <v>69567</v>
      </c>
      <c r="N70" s="18" t="s">
        <v>46</v>
      </c>
      <c r="O70" s="24" t="s">
        <v>124</v>
      </c>
      <c r="P70" s="25">
        <v>0</v>
      </c>
      <c r="Q70" s="24"/>
      <c r="R70" s="25">
        <v>0</v>
      </c>
      <c r="S70" s="26">
        <v>46054</v>
      </c>
      <c r="T70" s="25">
        <v>0</v>
      </c>
      <c r="U70" s="27">
        <v>4</v>
      </c>
      <c r="V70" s="25">
        <v>0</v>
      </c>
      <c r="W70" s="18" t="s">
        <v>48</v>
      </c>
      <c r="X70" s="18" t="s">
        <v>49</v>
      </c>
      <c r="Y70" s="18" t="s">
        <v>36</v>
      </c>
      <c r="Z70" s="18" t="s">
        <v>9</v>
      </c>
      <c r="AA70" s="18" t="s">
        <v>50</v>
      </c>
      <c r="AB70" s="18" t="s">
        <v>125</v>
      </c>
      <c r="AC70" s="18" t="s">
        <v>38</v>
      </c>
      <c r="AD70" s="7" t="str">
        <f t="shared" si="1"/>
        <v/>
      </c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</row>
    <row r="71" spans="1:49" s="31" customFormat="1" ht="35.1" customHeight="1" x14ac:dyDescent="0.2">
      <c r="A71" s="18" t="s">
        <v>121</v>
      </c>
      <c r="B71" s="19">
        <v>46072</v>
      </c>
      <c r="C71" s="19">
        <v>46072</v>
      </c>
      <c r="D71" s="18" t="s">
        <v>183</v>
      </c>
      <c r="E71" s="20">
        <v>0.79166666666666663</v>
      </c>
      <c r="F71" s="20">
        <v>0.99930555555555556</v>
      </c>
      <c r="G71" s="21">
        <v>1.7361111111111109E-4</v>
      </c>
      <c r="H71" s="22" t="s">
        <v>126</v>
      </c>
      <c r="I71" s="23">
        <v>0.86694444444444441</v>
      </c>
      <c r="J71" s="18" t="s">
        <v>123</v>
      </c>
      <c r="K71" s="18" t="s">
        <v>143</v>
      </c>
      <c r="L71" s="24">
        <v>1</v>
      </c>
      <c r="M71" s="24">
        <v>69567</v>
      </c>
      <c r="N71" s="18" t="s">
        <v>46</v>
      </c>
      <c r="O71" s="24" t="s">
        <v>124</v>
      </c>
      <c r="P71" s="25">
        <v>0</v>
      </c>
      <c r="Q71" s="24"/>
      <c r="R71" s="25">
        <v>0</v>
      </c>
      <c r="S71" s="26">
        <v>46054</v>
      </c>
      <c r="T71" s="25">
        <v>0</v>
      </c>
      <c r="U71" s="27">
        <v>4</v>
      </c>
      <c r="V71" s="25">
        <v>0</v>
      </c>
      <c r="W71" s="18" t="s">
        <v>48</v>
      </c>
      <c r="X71" s="18" t="s">
        <v>49</v>
      </c>
      <c r="Y71" s="18" t="s">
        <v>36</v>
      </c>
      <c r="Z71" s="18" t="s">
        <v>9</v>
      </c>
      <c r="AA71" s="18" t="s">
        <v>50</v>
      </c>
      <c r="AB71" s="18" t="s">
        <v>125</v>
      </c>
      <c r="AC71" s="18" t="s">
        <v>38</v>
      </c>
      <c r="AD71" s="7" t="str">
        <f t="shared" si="1"/>
        <v/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33" customFormat="1" ht="35.1" customHeight="1" x14ac:dyDescent="0.2">
      <c r="A72" s="9" t="s">
        <v>136</v>
      </c>
      <c r="B72" s="10">
        <v>46072</v>
      </c>
      <c r="C72" s="10">
        <v>46072</v>
      </c>
      <c r="D72" s="11" t="s">
        <v>183</v>
      </c>
      <c r="E72" s="12">
        <v>0.875</v>
      </c>
      <c r="F72" s="12">
        <v>0.91666666666666663</v>
      </c>
      <c r="G72" s="12">
        <v>4.1666666666666664E-2</v>
      </c>
      <c r="H72" s="9" t="s">
        <v>137</v>
      </c>
      <c r="I72" s="13"/>
      <c r="J72" s="9" t="s">
        <v>41</v>
      </c>
      <c r="K72" s="9"/>
      <c r="L72" s="14">
        <v>1</v>
      </c>
      <c r="M72" s="14">
        <v>1</v>
      </c>
      <c r="N72" s="9" t="s">
        <v>33</v>
      </c>
      <c r="O72" s="9"/>
      <c r="P72" s="16">
        <v>0</v>
      </c>
      <c r="Q72" s="14"/>
      <c r="R72" s="16">
        <v>0</v>
      </c>
      <c r="S72" s="9">
        <v>46054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31" customFormat="1" ht="35.1" customHeight="1" x14ac:dyDescent="0.2">
      <c r="A73" s="18" t="s">
        <v>129</v>
      </c>
      <c r="B73" s="19">
        <v>46072</v>
      </c>
      <c r="C73" s="19">
        <v>46072</v>
      </c>
      <c r="D73" s="18" t="s">
        <v>183</v>
      </c>
      <c r="E73" s="20">
        <v>0.83333333333333337</v>
      </c>
      <c r="F73" s="20">
        <v>0.91666666666666663</v>
      </c>
      <c r="G73" s="20">
        <v>1.7361111111111109E-4</v>
      </c>
      <c r="H73" s="18" t="s">
        <v>169</v>
      </c>
      <c r="I73" s="23">
        <v>0.90038194444444442</v>
      </c>
      <c r="J73" s="18" t="s">
        <v>41</v>
      </c>
      <c r="K73" s="18" t="s">
        <v>137</v>
      </c>
      <c r="L73" s="24">
        <v>1</v>
      </c>
      <c r="M73" s="24">
        <v>71277</v>
      </c>
      <c r="N73" s="18" t="s">
        <v>54</v>
      </c>
      <c r="O73" s="24" t="s">
        <v>38</v>
      </c>
      <c r="P73" s="25">
        <v>30</v>
      </c>
      <c r="Q73" s="24"/>
      <c r="R73" s="25">
        <v>30</v>
      </c>
      <c r="S73" s="26">
        <v>46072</v>
      </c>
      <c r="T73" s="25">
        <v>4.5</v>
      </c>
      <c r="U73" s="27">
        <v>4</v>
      </c>
      <c r="V73" s="25">
        <v>25.5</v>
      </c>
      <c r="W73" s="18" t="s">
        <v>48</v>
      </c>
      <c r="X73" s="18" t="s">
        <v>49</v>
      </c>
      <c r="Y73" s="18" t="s">
        <v>86</v>
      </c>
      <c r="Z73" s="18" t="s">
        <v>9</v>
      </c>
      <c r="AA73" s="18" t="s">
        <v>50</v>
      </c>
      <c r="AB73" s="18" t="s">
        <v>131</v>
      </c>
      <c r="AC73" s="18" t="s">
        <v>38</v>
      </c>
      <c r="AD73" s="7" t="str">
        <f t="shared" si="1"/>
        <v/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31" customFormat="1" ht="35.1" customHeight="1" x14ac:dyDescent="0.25">
      <c r="A74" s="18" t="s">
        <v>121</v>
      </c>
      <c r="B74" s="19">
        <v>46072</v>
      </c>
      <c r="C74" s="19">
        <v>46072</v>
      </c>
      <c r="D74" s="18" t="s">
        <v>183</v>
      </c>
      <c r="E74" s="20">
        <v>0.79166666666666663</v>
      </c>
      <c r="F74" s="20">
        <v>0.99930555555555556</v>
      </c>
      <c r="G74" s="21">
        <v>1.7361111111111109E-4</v>
      </c>
      <c r="H74" s="22" t="s">
        <v>122</v>
      </c>
      <c r="I74" s="23">
        <v>0.90832175925925929</v>
      </c>
      <c r="J74" s="18" t="s">
        <v>123</v>
      </c>
      <c r="K74" s="18" t="s">
        <v>137</v>
      </c>
      <c r="L74" s="24">
        <v>1</v>
      </c>
      <c r="M74" s="24">
        <v>69566</v>
      </c>
      <c r="N74" s="18" t="s">
        <v>54</v>
      </c>
      <c r="O74" s="24" t="s">
        <v>124</v>
      </c>
      <c r="P74" s="25">
        <v>0</v>
      </c>
      <c r="Q74" s="24"/>
      <c r="R74" s="25">
        <v>16.531831119544499</v>
      </c>
      <c r="S74" s="26">
        <v>46054</v>
      </c>
      <c r="T74" s="25">
        <v>0</v>
      </c>
      <c r="U74" s="27">
        <v>4</v>
      </c>
      <c r="V74" s="25">
        <v>0</v>
      </c>
      <c r="W74" s="18" t="s">
        <v>48</v>
      </c>
      <c r="X74" s="18" t="s">
        <v>49</v>
      </c>
      <c r="Y74" s="18" t="s">
        <v>36</v>
      </c>
      <c r="Z74" s="18" t="s">
        <v>9</v>
      </c>
      <c r="AA74" s="18" t="s">
        <v>50</v>
      </c>
      <c r="AB74" s="18" t="s">
        <v>125</v>
      </c>
      <c r="AC74" s="18" t="s">
        <v>38</v>
      </c>
      <c r="AD74" s="7" t="str">
        <f t="shared" si="1"/>
        <v/>
      </c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</row>
    <row r="75" spans="1:49" s="31" customFormat="1" ht="35.1" customHeight="1" x14ac:dyDescent="0.25">
      <c r="A75" s="18" t="s">
        <v>121</v>
      </c>
      <c r="B75" s="19">
        <v>46072</v>
      </c>
      <c r="C75" s="19">
        <v>46072</v>
      </c>
      <c r="D75" s="18" t="s">
        <v>183</v>
      </c>
      <c r="E75" s="20">
        <v>0.79166666666666663</v>
      </c>
      <c r="F75" s="20">
        <v>0.99930555555555556</v>
      </c>
      <c r="G75" s="21">
        <v>1.7361111111111109E-4</v>
      </c>
      <c r="H75" s="22" t="s">
        <v>126</v>
      </c>
      <c r="I75" s="23">
        <v>0.90937500000000004</v>
      </c>
      <c r="J75" s="18" t="s">
        <v>123</v>
      </c>
      <c r="K75" s="18" t="s">
        <v>137</v>
      </c>
      <c r="L75" s="24">
        <v>1</v>
      </c>
      <c r="M75" s="24">
        <v>69566</v>
      </c>
      <c r="N75" s="18" t="s">
        <v>54</v>
      </c>
      <c r="O75" s="24" t="s">
        <v>124</v>
      </c>
      <c r="P75" s="25">
        <v>0</v>
      </c>
      <c r="Q75" s="24"/>
      <c r="R75" s="25">
        <v>16.531831119544499</v>
      </c>
      <c r="S75" s="26">
        <v>46054</v>
      </c>
      <c r="T75" s="25">
        <v>0</v>
      </c>
      <c r="U75" s="27">
        <v>4</v>
      </c>
      <c r="V75" s="25">
        <v>0</v>
      </c>
      <c r="W75" s="18" t="s">
        <v>48</v>
      </c>
      <c r="X75" s="18" t="s">
        <v>49</v>
      </c>
      <c r="Y75" s="18" t="s">
        <v>36</v>
      </c>
      <c r="Z75" s="18" t="s">
        <v>9</v>
      </c>
      <c r="AA75" s="18" t="s">
        <v>50</v>
      </c>
      <c r="AB75" s="18" t="s">
        <v>125</v>
      </c>
      <c r="AC75" s="18" t="s">
        <v>38</v>
      </c>
      <c r="AD75" s="7" t="str">
        <f t="shared" si="1"/>
        <v/>
      </c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</row>
    <row r="76" spans="1:49" s="33" customFormat="1" ht="35.1" customHeight="1" x14ac:dyDescent="0.2">
      <c r="A76" s="9" t="s">
        <v>136</v>
      </c>
      <c r="B76" s="10">
        <v>46072</v>
      </c>
      <c r="C76" s="10">
        <v>46072</v>
      </c>
      <c r="D76" s="11" t="s">
        <v>183</v>
      </c>
      <c r="E76" s="12">
        <v>0.91666666666666663</v>
      </c>
      <c r="F76" s="12">
        <v>0.97916666666666663</v>
      </c>
      <c r="G76" s="12">
        <v>6.25E-2</v>
      </c>
      <c r="H76" s="9" t="s">
        <v>195</v>
      </c>
      <c r="I76" s="13"/>
      <c r="J76" s="9" t="s">
        <v>41</v>
      </c>
      <c r="K76" s="9"/>
      <c r="L76" s="14">
        <v>1</v>
      </c>
      <c r="M76" s="14">
        <v>1</v>
      </c>
      <c r="N76" s="9" t="s">
        <v>33</v>
      </c>
      <c r="O76" s="9"/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33" customFormat="1" ht="35.1" customHeight="1" x14ac:dyDescent="0.2">
      <c r="A77" s="18" t="s">
        <v>121</v>
      </c>
      <c r="B77" s="19">
        <v>46072</v>
      </c>
      <c r="C77" s="19">
        <v>46072</v>
      </c>
      <c r="D77" s="18" t="s">
        <v>183</v>
      </c>
      <c r="E77" s="20">
        <v>0.79166666666666663</v>
      </c>
      <c r="F77" s="20">
        <v>0.99930555555555556</v>
      </c>
      <c r="G77" s="21">
        <v>1.7361111111111109E-4</v>
      </c>
      <c r="H77" s="22" t="s">
        <v>122</v>
      </c>
      <c r="I77" s="23">
        <v>0.9583680555555556</v>
      </c>
      <c r="J77" s="18" t="s">
        <v>123</v>
      </c>
      <c r="K77" s="18" t="s">
        <v>195</v>
      </c>
      <c r="L77" s="24">
        <v>1</v>
      </c>
      <c r="M77" s="24">
        <v>69567</v>
      </c>
      <c r="N77" s="18" t="s">
        <v>46</v>
      </c>
      <c r="O77" s="24" t="s">
        <v>124</v>
      </c>
      <c r="P77" s="25">
        <v>0</v>
      </c>
      <c r="Q77" s="24"/>
      <c r="R77" s="25">
        <v>0</v>
      </c>
      <c r="S77" s="26">
        <v>46054</v>
      </c>
      <c r="T77" s="25">
        <v>0</v>
      </c>
      <c r="U77" s="27">
        <v>4</v>
      </c>
      <c r="V77" s="25">
        <v>0</v>
      </c>
      <c r="W77" s="18" t="s">
        <v>48</v>
      </c>
      <c r="X77" s="18" t="s">
        <v>49</v>
      </c>
      <c r="Y77" s="18" t="s">
        <v>36</v>
      </c>
      <c r="Z77" s="18" t="s">
        <v>9</v>
      </c>
      <c r="AA77" s="18" t="s">
        <v>50</v>
      </c>
      <c r="AB77" s="18" t="s">
        <v>125</v>
      </c>
      <c r="AC77" s="18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33" customFormat="1" ht="35.1" customHeight="1" x14ac:dyDescent="0.2">
      <c r="A78" s="18" t="s">
        <v>121</v>
      </c>
      <c r="B78" s="19">
        <v>46072</v>
      </c>
      <c r="C78" s="19">
        <v>46072</v>
      </c>
      <c r="D78" s="18" t="s">
        <v>183</v>
      </c>
      <c r="E78" s="20">
        <v>0.79166666666666663</v>
      </c>
      <c r="F78" s="20">
        <v>0.99930555555555556</v>
      </c>
      <c r="G78" s="21">
        <v>1.7361111111111109E-4</v>
      </c>
      <c r="H78" s="22" t="s">
        <v>126</v>
      </c>
      <c r="I78" s="23">
        <v>0.96010416666666665</v>
      </c>
      <c r="J78" s="18" t="s">
        <v>123</v>
      </c>
      <c r="K78" s="18" t="s">
        <v>195</v>
      </c>
      <c r="L78" s="24">
        <v>1</v>
      </c>
      <c r="M78" s="24">
        <v>69567</v>
      </c>
      <c r="N78" s="18" t="s">
        <v>46</v>
      </c>
      <c r="O78" s="24" t="s">
        <v>124</v>
      </c>
      <c r="P78" s="25">
        <v>0</v>
      </c>
      <c r="Q78" s="24"/>
      <c r="R78" s="25">
        <v>0</v>
      </c>
      <c r="S78" s="26">
        <v>46054</v>
      </c>
      <c r="T78" s="25">
        <v>0</v>
      </c>
      <c r="U78" s="27">
        <v>4</v>
      </c>
      <c r="V78" s="25">
        <v>0</v>
      </c>
      <c r="W78" s="18" t="s">
        <v>48</v>
      </c>
      <c r="X78" s="18" t="s">
        <v>49</v>
      </c>
      <c r="Y78" s="18" t="s">
        <v>36</v>
      </c>
      <c r="Z78" s="18" t="s">
        <v>9</v>
      </c>
      <c r="AA78" s="18" t="s">
        <v>50</v>
      </c>
      <c r="AB78" s="18" t="s">
        <v>125</v>
      </c>
      <c r="AC78" s="18" t="s">
        <v>38</v>
      </c>
      <c r="AD78" s="7" t="str">
        <f t="shared" si="1"/>
        <v/>
      </c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</row>
    <row r="79" spans="1:49" s="33" customFormat="1" ht="35.1" customHeight="1" x14ac:dyDescent="0.2">
      <c r="A79" s="9" t="s">
        <v>39</v>
      </c>
      <c r="B79" s="10">
        <v>46072</v>
      </c>
      <c r="C79" s="10">
        <v>46072</v>
      </c>
      <c r="D79" s="11" t="s">
        <v>183</v>
      </c>
      <c r="E79" s="12">
        <v>0.97916666666666663</v>
      </c>
      <c r="F79" s="12">
        <v>1</v>
      </c>
      <c r="G79" s="12">
        <v>2.0833333333333332E-2</v>
      </c>
      <c r="H79" s="9" t="s">
        <v>139</v>
      </c>
      <c r="I79" s="13"/>
      <c r="J79" s="9" t="s">
        <v>120</v>
      </c>
      <c r="K79" s="9"/>
      <c r="L79" s="14">
        <v>1</v>
      </c>
      <c r="M79" s="14">
        <v>1</v>
      </c>
      <c r="N79" s="9" t="s">
        <v>33</v>
      </c>
      <c r="O79" s="9"/>
      <c r="P79" s="16">
        <v>0</v>
      </c>
      <c r="Q79" s="14"/>
      <c r="R79" s="16">
        <v>0</v>
      </c>
      <c r="S79" s="9">
        <v>46054</v>
      </c>
      <c r="T79" s="16">
        <v>0</v>
      </c>
      <c r="U79" s="14">
        <v>2</v>
      </c>
      <c r="V79" s="16">
        <v>0</v>
      </c>
      <c r="W79" s="9" t="s">
        <v>34</v>
      </c>
      <c r="X79" s="9" t="s">
        <v>42</v>
      </c>
      <c r="Y79" s="9" t="s">
        <v>36</v>
      </c>
      <c r="Z79" s="9" t="s">
        <v>43</v>
      </c>
      <c r="AA79" s="9" t="s">
        <v>37</v>
      </c>
      <c r="AB79" s="9" t="s">
        <v>37</v>
      </c>
      <c r="AC79" s="9" t="s">
        <v>38</v>
      </c>
      <c r="AD79" s="7" t="str">
        <f t="shared" si="1"/>
        <v/>
      </c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s="33" customFormat="1" ht="35.1" customHeight="1" x14ac:dyDescent="0.2">
      <c r="A80" s="18" t="s">
        <v>121</v>
      </c>
      <c r="B80" s="19">
        <v>46072</v>
      </c>
      <c r="C80" s="19">
        <v>46072</v>
      </c>
      <c r="D80" s="18" t="s">
        <v>183</v>
      </c>
      <c r="E80" s="20">
        <v>0.79166666666666663</v>
      </c>
      <c r="F80" s="20">
        <v>0.99930555555555556</v>
      </c>
      <c r="G80" s="21">
        <v>1.7361111111111109E-4</v>
      </c>
      <c r="H80" s="22" t="s">
        <v>127</v>
      </c>
      <c r="I80" s="23">
        <v>0.9924884259259259</v>
      </c>
      <c r="J80" s="18" t="s">
        <v>123</v>
      </c>
      <c r="K80" s="18" t="s">
        <v>139</v>
      </c>
      <c r="L80" s="24">
        <v>1</v>
      </c>
      <c r="M80" s="24">
        <v>69566</v>
      </c>
      <c r="N80" s="18" t="s">
        <v>54</v>
      </c>
      <c r="O80" s="24" t="s">
        <v>124</v>
      </c>
      <c r="P80" s="25">
        <v>0</v>
      </c>
      <c r="Q80" s="24"/>
      <c r="R80" s="25">
        <v>16.531831119544499</v>
      </c>
      <c r="S80" s="26">
        <v>46054</v>
      </c>
      <c r="T80" s="25">
        <v>0</v>
      </c>
      <c r="U80" s="27">
        <v>4</v>
      </c>
      <c r="V80" s="25">
        <v>0</v>
      </c>
      <c r="W80" s="18" t="s">
        <v>48</v>
      </c>
      <c r="X80" s="18" t="s">
        <v>49</v>
      </c>
      <c r="Y80" s="18" t="s">
        <v>36</v>
      </c>
      <c r="Z80" s="18" t="s">
        <v>9</v>
      </c>
      <c r="AA80" s="18" t="s">
        <v>50</v>
      </c>
      <c r="AB80" s="18" t="s">
        <v>125</v>
      </c>
      <c r="AC80" s="18" t="s">
        <v>38</v>
      </c>
      <c r="AD80" s="7" t="str">
        <f t="shared" si="1"/>
        <v/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33" customFormat="1" ht="35.1" customHeight="1" x14ac:dyDescent="0.25">
      <c r="A81" s="18" t="s">
        <v>121</v>
      </c>
      <c r="B81" s="19">
        <v>46072</v>
      </c>
      <c r="C81" s="19">
        <v>46072</v>
      </c>
      <c r="D81" s="18" t="s">
        <v>183</v>
      </c>
      <c r="E81" s="20">
        <v>0.79166666666666663</v>
      </c>
      <c r="F81" s="20">
        <v>0.99930555555555556</v>
      </c>
      <c r="G81" s="21">
        <v>1.7361111111111109E-4</v>
      </c>
      <c r="H81" s="22" t="s">
        <v>128</v>
      </c>
      <c r="I81" s="23">
        <v>0.99353009259259262</v>
      </c>
      <c r="J81" s="18" t="s">
        <v>123</v>
      </c>
      <c r="K81" s="18" t="s">
        <v>139</v>
      </c>
      <c r="L81" s="24">
        <v>1</v>
      </c>
      <c r="M81" s="24">
        <v>69566</v>
      </c>
      <c r="N81" s="18" t="s">
        <v>54</v>
      </c>
      <c r="O81" s="24" t="s">
        <v>124</v>
      </c>
      <c r="P81" s="25">
        <v>0</v>
      </c>
      <c r="Q81" s="24"/>
      <c r="R81" s="25">
        <v>16.531831119544499</v>
      </c>
      <c r="S81" s="26">
        <v>46054</v>
      </c>
      <c r="T81" s="25">
        <v>0</v>
      </c>
      <c r="U81" s="27">
        <v>4</v>
      </c>
      <c r="V81" s="25">
        <v>0</v>
      </c>
      <c r="W81" s="18" t="s">
        <v>48</v>
      </c>
      <c r="X81" s="18" t="s">
        <v>49</v>
      </c>
      <c r="Y81" s="18" t="s">
        <v>36</v>
      </c>
      <c r="Z81" s="18" t="s">
        <v>9</v>
      </c>
      <c r="AA81" s="18" t="s">
        <v>50</v>
      </c>
      <c r="AB81" s="18" t="s">
        <v>125</v>
      </c>
      <c r="AC81" s="18" t="s">
        <v>38</v>
      </c>
      <c r="AD81" s="7" t="str">
        <f t="shared" si="1"/>
        <v/>
      </c>
      <c r="AE81" s="28"/>
      <c r="AF81" s="28"/>
      <c r="AG81" s="28"/>
      <c r="AH81" s="28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</row>
    <row r="82" spans="1:49" ht="44.25" customHeight="1" x14ac:dyDescent="0.2"/>
    <row r="83" spans="1:49" ht="44.25" customHeight="1" x14ac:dyDescent="0.2"/>
    <row r="84" spans="1:49" ht="44.25" customHeight="1" x14ac:dyDescent="0.2"/>
    <row r="85" spans="1:49" ht="44.25" customHeight="1" x14ac:dyDescent="0.2"/>
    <row r="86" spans="1:49" ht="44.25" customHeight="1" x14ac:dyDescent="0.2"/>
    <row r="87" spans="1:49" ht="44.25" customHeight="1" x14ac:dyDescent="0.2"/>
    <row r="88" spans="1:49" ht="44.25" customHeight="1" x14ac:dyDescent="0.2"/>
    <row r="89" spans="1:49" ht="44.25" customHeight="1" x14ac:dyDescent="0.2"/>
    <row r="90" spans="1:49" ht="44.25" customHeight="1" x14ac:dyDescent="0.2"/>
    <row r="91" spans="1:49" ht="44.25" customHeight="1" x14ac:dyDescent="0.2"/>
    <row r="92" spans="1:49" ht="44.25" customHeight="1" x14ac:dyDescent="0.2"/>
    <row r="93" spans="1:49" ht="44.25" customHeight="1" x14ac:dyDescent="0.2"/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81" xr:uid="{D8002233-7EB2-4D60-8A20-F032840B89A4}"/>
  <sortState xmlns:xlrd2="http://schemas.microsoft.com/office/spreadsheetml/2017/richdata2" ref="A2:AD326">
    <sortCondition sortBy="cellColor" ref="E1:E500" dxfId="26"/>
  </sortState>
  <conditionalFormatting sqref="AD1:AD81">
    <cfRule type="cellIs" dxfId="25" priority="4" operator="equal">
      <formula>"NO"</formula>
    </cfRule>
  </conditionalFormatting>
  <conditionalFormatting sqref="E4:F38">
    <cfRule type="timePeriod" dxfId="24" priority="3" timePeriod="lastWeek">
      <formula>AND(TODAY()-ROUNDDOWN(E4,0)&gt;=(WEEKDAY(TODAY())),TODAY()-ROUNDDOWN(E4,0)&lt;(WEEKDAY(TODAY())+7))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">
      <c r="A2" s="9" t="s">
        <v>29</v>
      </c>
      <c r="B2" s="10">
        <v>46073</v>
      </c>
      <c r="C2" s="10">
        <v>46073</v>
      </c>
      <c r="D2" s="11" t="s">
        <v>196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1" customFormat="1" ht="35.1" customHeight="1" x14ac:dyDescent="0.25">
      <c r="A3" s="9" t="s">
        <v>39</v>
      </c>
      <c r="B3" s="10">
        <v>46073</v>
      </c>
      <c r="C3" s="10">
        <v>46073</v>
      </c>
      <c r="D3" s="11" t="s">
        <v>196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9"/>
      <c r="AF3" s="29"/>
      <c r="AG3" s="29"/>
      <c r="AH3" s="29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</row>
    <row r="4" spans="1:49" s="31" customFormat="1" ht="35.1" customHeight="1" x14ac:dyDescent="0.2">
      <c r="A4" s="9" t="s">
        <v>64</v>
      </c>
      <c r="B4" s="10">
        <v>46073</v>
      </c>
      <c r="C4" s="10">
        <v>46073</v>
      </c>
      <c r="D4" s="11" t="s">
        <v>196</v>
      </c>
      <c r="E4" s="12">
        <v>0.29166666666666669</v>
      </c>
      <c r="F4" s="12">
        <v>0.3125</v>
      </c>
      <c r="G4" s="12">
        <v>2.0833333333333332E-2</v>
      </c>
      <c r="H4" s="9" t="s">
        <v>206</v>
      </c>
      <c r="I4" s="13" t="s">
        <v>185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">
      <c r="A5" s="9" t="s">
        <v>64</v>
      </c>
      <c r="B5" s="10">
        <v>46073</v>
      </c>
      <c r="C5" s="10">
        <v>46073</v>
      </c>
      <c r="D5" s="11" t="s">
        <v>196</v>
      </c>
      <c r="E5" s="12">
        <v>0.3125</v>
      </c>
      <c r="F5" s="12">
        <v>0.33333333333333331</v>
      </c>
      <c r="G5" s="12">
        <v>2.0833333333333332E-2</v>
      </c>
      <c r="H5" s="9" t="s">
        <v>206</v>
      </c>
      <c r="I5" s="13" t="s">
        <v>185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">
      <c r="A6" s="9" t="s">
        <v>67</v>
      </c>
      <c r="B6" s="10">
        <v>46073</v>
      </c>
      <c r="C6" s="10">
        <v>46073</v>
      </c>
      <c r="D6" s="11" t="s">
        <v>196</v>
      </c>
      <c r="E6" s="12">
        <v>0.33333333333333331</v>
      </c>
      <c r="F6" s="12">
        <v>0.375</v>
      </c>
      <c r="G6" s="12">
        <v>4.1666666666666664E-2</v>
      </c>
      <c r="H6" s="9" t="s">
        <v>68</v>
      </c>
      <c r="I6" s="13"/>
      <c r="J6" s="9" t="s">
        <v>69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">
      <c r="A7" s="18" t="s">
        <v>44</v>
      </c>
      <c r="B7" s="19">
        <v>46073</v>
      </c>
      <c r="C7" s="19">
        <v>46073</v>
      </c>
      <c r="D7" s="18" t="s">
        <v>196</v>
      </c>
      <c r="E7" s="20">
        <v>0.33333333333333331</v>
      </c>
      <c r="F7" s="20">
        <v>0.375</v>
      </c>
      <c r="G7" s="21">
        <v>1.7361111111111109E-4</v>
      </c>
      <c r="H7" s="22" t="s">
        <v>52</v>
      </c>
      <c r="I7" s="23">
        <v>0.35730324074074077</v>
      </c>
      <c r="J7" s="18" t="s">
        <v>69</v>
      </c>
      <c r="K7" s="18" t="s">
        <v>68</v>
      </c>
      <c r="L7" s="24">
        <v>1</v>
      </c>
      <c r="M7" s="24">
        <v>71018</v>
      </c>
      <c r="N7" s="18" t="s">
        <v>54</v>
      </c>
      <c r="O7" s="24" t="s">
        <v>47</v>
      </c>
      <c r="P7" s="25">
        <v>15</v>
      </c>
      <c r="Q7" s="24"/>
      <c r="R7" s="25">
        <v>15</v>
      </c>
      <c r="S7" s="26">
        <v>46054</v>
      </c>
      <c r="T7" s="25">
        <v>2.25</v>
      </c>
      <c r="U7" s="27">
        <v>4</v>
      </c>
      <c r="V7" s="25">
        <v>12.75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51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5">
      <c r="A8" s="18" t="s">
        <v>44</v>
      </c>
      <c r="B8" s="19">
        <v>46073</v>
      </c>
      <c r="C8" s="19">
        <v>46073</v>
      </c>
      <c r="D8" s="18" t="s">
        <v>196</v>
      </c>
      <c r="E8" s="20">
        <v>0.33333333333333331</v>
      </c>
      <c r="F8" s="20">
        <v>0.375</v>
      </c>
      <c r="G8" s="21">
        <v>1.7361111111111109E-4</v>
      </c>
      <c r="H8" s="22" t="s">
        <v>146</v>
      </c>
      <c r="I8" s="23">
        <v>0.35853009259259255</v>
      </c>
      <c r="J8" s="18" t="s">
        <v>69</v>
      </c>
      <c r="K8" s="18" t="s">
        <v>68</v>
      </c>
      <c r="L8" s="24">
        <v>1</v>
      </c>
      <c r="M8" s="24">
        <v>71018</v>
      </c>
      <c r="N8" s="18" t="s">
        <v>54</v>
      </c>
      <c r="O8" s="24" t="s">
        <v>47</v>
      </c>
      <c r="P8" s="25">
        <v>15</v>
      </c>
      <c r="Q8" s="24"/>
      <c r="R8" s="25">
        <v>15</v>
      </c>
      <c r="S8" s="26">
        <v>46054</v>
      </c>
      <c r="T8" s="25">
        <v>2.25</v>
      </c>
      <c r="U8" s="27">
        <v>4</v>
      </c>
      <c r="V8" s="25">
        <v>12.75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51</v>
      </c>
      <c r="AC8" s="18" t="s">
        <v>38</v>
      </c>
      <c r="AD8" s="7" t="str">
        <f t="shared" si="0"/>
        <v/>
      </c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</row>
    <row r="9" spans="1:49" s="31" customFormat="1" ht="35.1" customHeight="1" x14ac:dyDescent="0.25">
      <c r="A9" s="18" t="s">
        <v>44</v>
      </c>
      <c r="B9" s="19">
        <v>46073</v>
      </c>
      <c r="C9" s="19">
        <v>46073</v>
      </c>
      <c r="D9" s="18" t="s">
        <v>196</v>
      </c>
      <c r="E9" s="20">
        <v>0.33333333333333331</v>
      </c>
      <c r="F9" s="20">
        <v>0.41666666666666669</v>
      </c>
      <c r="G9" s="20">
        <v>1.157407407407407E-4</v>
      </c>
      <c r="H9" s="18" t="s">
        <v>73</v>
      </c>
      <c r="I9" s="23">
        <v>0.35724537037037035</v>
      </c>
      <c r="J9" s="18" t="s">
        <v>69</v>
      </c>
      <c r="K9" s="18" t="s">
        <v>68</v>
      </c>
      <c r="L9" s="24">
        <v>1</v>
      </c>
      <c r="M9" s="24">
        <v>71105</v>
      </c>
      <c r="N9" s="18" t="s">
        <v>46</v>
      </c>
      <c r="O9" s="24" t="s">
        <v>47</v>
      </c>
      <c r="P9" s="25">
        <v>0</v>
      </c>
      <c r="Q9" s="24"/>
      <c r="R9" s="25">
        <v>0</v>
      </c>
      <c r="S9" s="26">
        <v>46054</v>
      </c>
      <c r="T9" s="25">
        <v>0</v>
      </c>
      <c r="U9" s="27">
        <v>4</v>
      </c>
      <c r="V9" s="25">
        <v>0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50</v>
      </c>
      <c r="AB9" s="18" t="s">
        <v>51</v>
      </c>
      <c r="AC9" s="18" t="s">
        <v>38</v>
      </c>
      <c r="AD9" s="7" t="str">
        <f t="shared" si="0"/>
        <v/>
      </c>
      <c r="AE9" s="17"/>
      <c r="AF9" s="17"/>
      <c r="AG9" s="17"/>
      <c r="AH9" s="17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</row>
    <row r="10" spans="1:49" s="31" customFormat="1" ht="35.1" customHeight="1" x14ac:dyDescent="0.25">
      <c r="A10" s="9" t="s">
        <v>67</v>
      </c>
      <c r="B10" s="10">
        <v>46073</v>
      </c>
      <c r="C10" s="10">
        <v>46073</v>
      </c>
      <c r="D10" s="11" t="s">
        <v>196</v>
      </c>
      <c r="E10" s="12">
        <v>0.375</v>
      </c>
      <c r="F10" s="12">
        <v>0.41666666666666669</v>
      </c>
      <c r="G10" s="12">
        <v>4.1666666666666664E-2</v>
      </c>
      <c r="H10" s="9" t="s">
        <v>75</v>
      </c>
      <c r="I10" s="13"/>
      <c r="J10" s="9" t="s">
        <v>69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</row>
    <row r="11" spans="1:49" s="31" customFormat="1" ht="35.1" customHeight="1" x14ac:dyDescent="0.2">
      <c r="A11" s="18" t="s">
        <v>44</v>
      </c>
      <c r="B11" s="19">
        <v>46073</v>
      </c>
      <c r="C11" s="19">
        <v>46073</v>
      </c>
      <c r="D11" s="18" t="s">
        <v>196</v>
      </c>
      <c r="E11" s="20">
        <v>0.33333333333333331</v>
      </c>
      <c r="F11" s="20">
        <v>0.41666666666666669</v>
      </c>
      <c r="G11" s="21">
        <v>1.7361111111111109E-4</v>
      </c>
      <c r="H11" s="22" t="s">
        <v>52</v>
      </c>
      <c r="I11" s="23">
        <v>0.4064814814814815</v>
      </c>
      <c r="J11" s="18" t="s">
        <v>69</v>
      </c>
      <c r="K11" s="18" t="s">
        <v>75</v>
      </c>
      <c r="L11" s="24">
        <v>1</v>
      </c>
      <c r="M11" s="24">
        <v>71020</v>
      </c>
      <c r="N11" s="18" t="s">
        <v>46</v>
      </c>
      <c r="O11" s="24" t="s">
        <v>47</v>
      </c>
      <c r="P11" s="25">
        <v>0</v>
      </c>
      <c r="Q11" s="24"/>
      <c r="R11" s="25">
        <v>0</v>
      </c>
      <c r="S11" s="26">
        <v>46054</v>
      </c>
      <c r="T11" s="25">
        <v>0</v>
      </c>
      <c r="U11" s="27">
        <v>4</v>
      </c>
      <c r="V11" s="25">
        <v>0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51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5">
      <c r="A12" s="18" t="s">
        <v>44</v>
      </c>
      <c r="B12" s="19">
        <v>46073</v>
      </c>
      <c r="C12" s="19">
        <v>46073</v>
      </c>
      <c r="D12" s="18" t="s">
        <v>196</v>
      </c>
      <c r="E12" s="20">
        <v>0.33333333333333331</v>
      </c>
      <c r="F12" s="20">
        <v>0.41666666666666669</v>
      </c>
      <c r="G12" s="21">
        <v>1.7361111111111109E-4</v>
      </c>
      <c r="H12" s="22" t="s">
        <v>146</v>
      </c>
      <c r="I12" s="23">
        <v>0.40717592592592594</v>
      </c>
      <c r="J12" s="18" t="s">
        <v>69</v>
      </c>
      <c r="K12" s="18" t="s">
        <v>75</v>
      </c>
      <c r="L12" s="24">
        <v>1</v>
      </c>
      <c r="M12" s="24">
        <v>71020</v>
      </c>
      <c r="N12" s="18" t="s">
        <v>46</v>
      </c>
      <c r="O12" s="24" t="s">
        <v>47</v>
      </c>
      <c r="P12" s="25">
        <v>0</v>
      </c>
      <c r="Q12" s="24"/>
      <c r="R12" s="25">
        <v>0</v>
      </c>
      <c r="S12" s="26">
        <v>46054</v>
      </c>
      <c r="T12" s="25">
        <v>0</v>
      </c>
      <c r="U12" s="27">
        <v>4</v>
      </c>
      <c r="V12" s="25">
        <v>0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51</v>
      </c>
      <c r="AC12" s="18" t="s">
        <v>38</v>
      </c>
      <c r="AD12" s="7" t="str">
        <f t="shared" si="0"/>
        <v/>
      </c>
      <c r="AE12" s="28"/>
      <c r="AF12" s="28"/>
      <c r="AG12" s="28"/>
      <c r="AH12" s="28"/>
    </row>
    <row r="13" spans="1:49" s="31" customFormat="1" ht="35.1" customHeight="1" x14ac:dyDescent="0.25">
      <c r="A13" s="9" t="s">
        <v>76</v>
      </c>
      <c r="B13" s="10">
        <v>46073</v>
      </c>
      <c r="C13" s="10">
        <v>46073</v>
      </c>
      <c r="D13" s="11" t="s">
        <v>196</v>
      </c>
      <c r="E13" s="12">
        <v>0.41666666666666669</v>
      </c>
      <c r="F13" s="12">
        <v>0.45833333333333331</v>
      </c>
      <c r="G13" s="12">
        <v>4.1666666666666664E-2</v>
      </c>
      <c r="H13" s="9" t="s">
        <v>77</v>
      </c>
      <c r="I13" s="13"/>
      <c r="J13" s="9" t="s">
        <v>78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1:49" s="31" customFormat="1" ht="35.1" customHeight="1" x14ac:dyDescent="0.25">
      <c r="A14" s="9" t="s">
        <v>79</v>
      </c>
      <c r="B14" s="10">
        <v>46073</v>
      </c>
      <c r="C14" s="10">
        <v>46073</v>
      </c>
      <c r="D14" s="11" t="s">
        <v>196</v>
      </c>
      <c r="E14" s="12">
        <v>0.45833333333333331</v>
      </c>
      <c r="F14" s="12">
        <v>0.47916666666666669</v>
      </c>
      <c r="G14" s="12">
        <v>2.0833333333333332E-2</v>
      </c>
      <c r="H14" s="9" t="s">
        <v>150</v>
      </c>
      <c r="I14" s="13"/>
      <c r="J14" s="9" t="s">
        <v>84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8"/>
      <c r="AF14" s="28"/>
      <c r="AG14" s="28"/>
      <c r="AH14" s="28"/>
    </row>
    <row r="15" spans="1:49" s="31" customFormat="1" ht="35.1" customHeight="1" x14ac:dyDescent="0.2">
      <c r="A15" s="18" t="s">
        <v>154</v>
      </c>
      <c r="B15" s="19">
        <v>46073</v>
      </c>
      <c r="C15" s="19">
        <v>46073</v>
      </c>
      <c r="D15" s="18" t="s">
        <v>196</v>
      </c>
      <c r="E15" s="20">
        <v>0.45833333333333331</v>
      </c>
      <c r="F15" s="20">
        <v>0.54166666666666663</v>
      </c>
      <c r="G15" s="20">
        <v>3.4722222222222218E-4</v>
      </c>
      <c r="H15" s="18" t="s">
        <v>155</v>
      </c>
      <c r="I15" s="23">
        <v>0.46533564814814815</v>
      </c>
      <c r="J15" s="18" t="s">
        <v>84</v>
      </c>
      <c r="K15" s="18" t="s">
        <v>150</v>
      </c>
      <c r="L15" s="24">
        <v>1</v>
      </c>
      <c r="M15" s="24">
        <v>71251</v>
      </c>
      <c r="N15" s="18" t="s">
        <v>54</v>
      </c>
      <c r="O15" s="24" t="s">
        <v>156</v>
      </c>
      <c r="P15" s="25">
        <v>40</v>
      </c>
      <c r="Q15" s="24"/>
      <c r="R15" s="25">
        <v>40</v>
      </c>
      <c r="S15" s="26">
        <v>46073</v>
      </c>
      <c r="T15" s="25">
        <v>0</v>
      </c>
      <c r="U15" s="27">
        <v>4</v>
      </c>
      <c r="V15" s="25">
        <v>40</v>
      </c>
      <c r="W15" s="18" t="s">
        <v>48</v>
      </c>
      <c r="X15" s="18" t="s">
        <v>49</v>
      </c>
      <c r="Y15" s="18" t="s">
        <v>86</v>
      </c>
      <c r="Z15" s="18" t="s">
        <v>9</v>
      </c>
      <c r="AA15" s="18" t="s">
        <v>50</v>
      </c>
      <c r="AB15" s="18" t="s">
        <v>157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">
      <c r="A16" s="18" t="s">
        <v>88</v>
      </c>
      <c r="B16" s="19">
        <v>46073</v>
      </c>
      <c r="C16" s="19">
        <v>46073</v>
      </c>
      <c r="D16" s="18" t="s">
        <v>196</v>
      </c>
      <c r="E16" s="20">
        <v>0.45833333333333331</v>
      </c>
      <c r="F16" s="20">
        <v>0.5</v>
      </c>
      <c r="G16" s="20">
        <v>3.4722222222222218E-4</v>
      </c>
      <c r="H16" s="18" t="s">
        <v>89</v>
      </c>
      <c r="I16" s="23">
        <v>0.46568287037037037</v>
      </c>
      <c r="J16" s="18" t="s">
        <v>84</v>
      </c>
      <c r="K16" s="18" t="s">
        <v>150</v>
      </c>
      <c r="L16" s="24">
        <v>1</v>
      </c>
      <c r="M16" s="24">
        <v>71436</v>
      </c>
      <c r="N16" s="18" t="s">
        <v>54</v>
      </c>
      <c r="O16" s="24" t="s">
        <v>90</v>
      </c>
      <c r="P16" s="25">
        <v>41.17647058823529</v>
      </c>
      <c r="Q16" s="24"/>
      <c r="R16" s="25">
        <v>41.17647058823529</v>
      </c>
      <c r="S16" s="26">
        <v>46073</v>
      </c>
      <c r="T16" s="25">
        <v>6.1764705882352935</v>
      </c>
      <c r="U16" s="27">
        <v>4</v>
      </c>
      <c r="V16" s="25">
        <v>35</v>
      </c>
      <c r="W16" s="18" t="s">
        <v>48</v>
      </c>
      <c r="X16" s="18" t="s">
        <v>49</v>
      </c>
      <c r="Y16" s="18" t="s">
        <v>86</v>
      </c>
      <c r="Z16" s="18" t="s">
        <v>9</v>
      </c>
      <c r="AA16" s="18" t="s">
        <v>50</v>
      </c>
      <c r="AB16" s="18" t="s">
        <v>91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">
      <c r="A17" s="18" t="s">
        <v>60</v>
      </c>
      <c r="B17" s="19">
        <v>46073</v>
      </c>
      <c r="C17" s="19">
        <v>46073</v>
      </c>
      <c r="D17" s="18" t="s">
        <v>196</v>
      </c>
      <c r="E17" s="20">
        <v>0.45833333333333331</v>
      </c>
      <c r="F17" s="20">
        <v>0.54166666666666663</v>
      </c>
      <c r="G17" s="20">
        <v>3.4722222222222218E-4</v>
      </c>
      <c r="H17" s="18" t="s">
        <v>191</v>
      </c>
      <c r="I17" s="23">
        <v>0.4775578703703704</v>
      </c>
      <c r="J17" s="18" t="s">
        <v>84</v>
      </c>
      <c r="K17" s="18" t="s">
        <v>150</v>
      </c>
      <c r="L17" s="24">
        <v>1</v>
      </c>
      <c r="M17" s="24">
        <v>64417</v>
      </c>
      <c r="N17" s="18" t="s">
        <v>46</v>
      </c>
      <c r="O17" s="24" t="s">
        <v>62</v>
      </c>
      <c r="P17" s="25">
        <v>0</v>
      </c>
      <c r="Q17" s="24"/>
      <c r="R17" s="25">
        <v>0</v>
      </c>
      <c r="S17" s="26">
        <v>46054</v>
      </c>
      <c r="T17" s="25">
        <v>0</v>
      </c>
      <c r="U17" s="27">
        <v>4</v>
      </c>
      <c r="V17" s="25">
        <v>0</v>
      </c>
      <c r="W17" s="18" t="s">
        <v>48</v>
      </c>
      <c r="X17" s="18" t="s">
        <v>49</v>
      </c>
      <c r="Y17" s="18" t="s">
        <v>36</v>
      </c>
      <c r="Z17" s="18" t="s">
        <v>9</v>
      </c>
      <c r="AA17" s="18" t="s">
        <v>50</v>
      </c>
      <c r="AB17" s="18" t="s">
        <v>63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5">
      <c r="A18" s="9" t="s">
        <v>79</v>
      </c>
      <c r="B18" s="10">
        <v>46073</v>
      </c>
      <c r="C18" s="10">
        <v>46073</v>
      </c>
      <c r="D18" s="11" t="s">
        <v>196</v>
      </c>
      <c r="E18" s="12">
        <v>0.47916666666666669</v>
      </c>
      <c r="F18" s="12">
        <v>0.5</v>
      </c>
      <c r="G18" s="12">
        <v>2.0833333333333332E-2</v>
      </c>
      <c r="H18" s="9" t="s">
        <v>207</v>
      </c>
      <c r="I18" s="13"/>
      <c r="J18" s="9" t="s">
        <v>84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32"/>
      <c r="AF18" s="32"/>
      <c r="AG18" s="32"/>
      <c r="AH18" s="32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</row>
    <row r="19" spans="1:49" s="31" customFormat="1" ht="35.1" customHeight="1" x14ac:dyDescent="0.25">
      <c r="A19" s="18" t="s">
        <v>121</v>
      </c>
      <c r="B19" s="19">
        <v>46073</v>
      </c>
      <c r="C19" s="19">
        <v>46073</v>
      </c>
      <c r="D19" s="18" t="s">
        <v>196</v>
      </c>
      <c r="E19" s="20">
        <v>0.45833333333333331</v>
      </c>
      <c r="F19" s="20">
        <v>0.54166666666666663</v>
      </c>
      <c r="G19" s="21">
        <v>1.7361111111111109E-4</v>
      </c>
      <c r="H19" s="22" t="s">
        <v>162</v>
      </c>
      <c r="I19" s="23">
        <v>0.48736111111111113</v>
      </c>
      <c r="J19" s="18" t="s">
        <v>84</v>
      </c>
      <c r="K19" s="18" t="s">
        <v>171</v>
      </c>
      <c r="L19" s="24">
        <v>1</v>
      </c>
      <c r="M19" s="24">
        <v>69570</v>
      </c>
      <c r="N19" s="18" t="s">
        <v>54</v>
      </c>
      <c r="O19" s="24" t="s">
        <v>159</v>
      </c>
      <c r="P19" s="25">
        <v>0</v>
      </c>
      <c r="Q19" s="24"/>
      <c r="R19" s="25">
        <v>19.042139037433099</v>
      </c>
      <c r="S19" s="26">
        <v>46054</v>
      </c>
      <c r="T19" s="25">
        <v>0</v>
      </c>
      <c r="U19" s="27">
        <v>4</v>
      </c>
      <c r="V19" s="25">
        <v>0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50</v>
      </c>
      <c r="AB19" s="18" t="s">
        <v>160</v>
      </c>
      <c r="AC19" s="18" t="s">
        <v>38</v>
      </c>
      <c r="AD19" s="7" t="str">
        <f t="shared" si="0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31" customFormat="1" ht="35.1" customHeight="1" x14ac:dyDescent="0.25">
      <c r="A20" s="18" t="s">
        <v>121</v>
      </c>
      <c r="B20" s="19">
        <v>46073</v>
      </c>
      <c r="C20" s="19">
        <v>46073</v>
      </c>
      <c r="D20" s="18" t="s">
        <v>196</v>
      </c>
      <c r="E20" s="20">
        <v>0.45833333333333331</v>
      </c>
      <c r="F20" s="20">
        <v>0.54166666666666663</v>
      </c>
      <c r="G20" s="21">
        <v>1.7361111111111109E-4</v>
      </c>
      <c r="H20" s="22" t="s">
        <v>161</v>
      </c>
      <c r="I20" s="23">
        <v>0.48927083333333332</v>
      </c>
      <c r="J20" s="18" t="s">
        <v>84</v>
      </c>
      <c r="K20" s="18" t="s">
        <v>171</v>
      </c>
      <c r="L20" s="24">
        <v>1</v>
      </c>
      <c r="M20" s="24">
        <v>69570</v>
      </c>
      <c r="N20" s="18" t="s">
        <v>54</v>
      </c>
      <c r="O20" s="24" t="s">
        <v>159</v>
      </c>
      <c r="P20" s="25">
        <v>0</v>
      </c>
      <c r="Q20" s="24"/>
      <c r="R20" s="25">
        <v>19.042139037433099</v>
      </c>
      <c r="S20" s="26">
        <v>46054</v>
      </c>
      <c r="T20" s="25">
        <v>0</v>
      </c>
      <c r="U20" s="27">
        <v>4</v>
      </c>
      <c r="V20" s="25">
        <v>0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160</v>
      </c>
      <c r="AC20" s="18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31" customFormat="1" ht="35.1" customHeight="1" x14ac:dyDescent="0.2">
      <c r="A21" s="9" t="s">
        <v>93</v>
      </c>
      <c r="B21" s="10">
        <v>46073</v>
      </c>
      <c r="C21" s="10">
        <v>46073</v>
      </c>
      <c r="D21" s="11" t="s">
        <v>196</v>
      </c>
      <c r="E21" s="12">
        <v>0.5</v>
      </c>
      <c r="F21" s="12">
        <v>0.54166666666666663</v>
      </c>
      <c r="G21" s="12">
        <v>4.1666666666666664E-2</v>
      </c>
      <c r="H21" s="9" t="s">
        <v>94</v>
      </c>
      <c r="I21" s="13"/>
      <c r="J21" s="9" t="s">
        <v>84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5">
      <c r="A22" s="18" t="s">
        <v>121</v>
      </c>
      <c r="B22" s="19">
        <v>46073</v>
      </c>
      <c r="C22" s="19">
        <v>46073</v>
      </c>
      <c r="D22" s="18" t="s">
        <v>196</v>
      </c>
      <c r="E22" s="20">
        <v>0.45833333333333331</v>
      </c>
      <c r="F22" s="20">
        <v>0.54166666666666663</v>
      </c>
      <c r="G22" s="21">
        <v>1.7361111111111109E-4</v>
      </c>
      <c r="H22" s="22" t="s">
        <v>158</v>
      </c>
      <c r="I22" s="23">
        <v>0.50665509259259256</v>
      </c>
      <c r="J22" s="18" t="s">
        <v>84</v>
      </c>
      <c r="K22" s="18" t="s">
        <v>140</v>
      </c>
      <c r="L22" s="24">
        <v>1</v>
      </c>
      <c r="M22" s="24">
        <v>69570</v>
      </c>
      <c r="N22" s="18" t="s">
        <v>54</v>
      </c>
      <c r="O22" s="24" t="s">
        <v>159</v>
      </c>
      <c r="P22" s="25">
        <v>0</v>
      </c>
      <c r="Q22" s="24"/>
      <c r="R22" s="25">
        <v>19.042139037433099</v>
      </c>
      <c r="S22" s="26">
        <v>46054</v>
      </c>
      <c r="T22" s="25">
        <v>0</v>
      </c>
      <c r="U22" s="27">
        <v>4</v>
      </c>
      <c r="V22" s="25">
        <v>0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160</v>
      </c>
      <c r="AC22" s="18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31" customFormat="1" ht="35.1" customHeight="1" x14ac:dyDescent="0.25">
      <c r="A23" s="18" t="s">
        <v>121</v>
      </c>
      <c r="B23" s="19">
        <v>46073</v>
      </c>
      <c r="C23" s="19">
        <v>46073</v>
      </c>
      <c r="D23" s="18" t="s">
        <v>196</v>
      </c>
      <c r="E23" s="20">
        <v>0.45833333333333331</v>
      </c>
      <c r="F23" s="20">
        <v>0.54166666666666663</v>
      </c>
      <c r="G23" s="21">
        <v>1.7361111111111109E-4</v>
      </c>
      <c r="H23" s="22" t="s">
        <v>161</v>
      </c>
      <c r="I23" s="23">
        <v>0.50839120370370372</v>
      </c>
      <c r="J23" s="18" t="s">
        <v>84</v>
      </c>
      <c r="K23" s="18" t="s">
        <v>140</v>
      </c>
      <c r="L23" s="24">
        <v>1</v>
      </c>
      <c r="M23" s="24">
        <v>69570</v>
      </c>
      <c r="N23" s="18" t="s">
        <v>54</v>
      </c>
      <c r="O23" s="24" t="s">
        <v>159</v>
      </c>
      <c r="P23" s="25">
        <v>0</v>
      </c>
      <c r="Q23" s="24"/>
      <c r="R23" s="25">
        <v>19.042139037433099</v>
      </c>
      <c r="S23" s="26">
        <v>46054</v>
      </c>
      <c r="T23" s="25">
        <v>0</v>
      </c>
      <c r="U23" s="27">
        <v>4</v>
      </c>
      <c r="V23" s="25">
        <v>0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160</v>
      </c>
      <c r="AC23" s="18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31" customFormat="1" ht="35.1" customHeight="1" x14ac:dyDescent="0.25">
      <c r="A24" s="18" t="s">
        <v>82</v>
      </c>
      <c r="B24" s="19">
        <v>46073</v>
      </c>
      <c r="C24" s="19">
        <v>46073</v>
      </c>
      <c r="D24" s="18" t="s">
        <v>196</v>
      </c>
      <c r="E24" s="20">
        <v>0.5</v>
      </c>
      <c r="F24" s="20">
        <v>0.54166666666666663</v>
      </c>
      <c r="G24" s="20">
        <v>3.4722222222222218E-4</v>
      </c>
      <c r="H24" s="18" t="s">
        <v>83</v>
      </c>
      <c r="I24" s="23">
        <v>0.5068287037037037</v>
      </c>
      <c r="J24" s="18" t="s">
        <v>84</v>
      </c>
      <c r="K24" s="18" t="s">
        <v>140</v>
      </c>
      <c r="L24" s="24">
        <v>1</v>
      </c>
      <c r="M24" s="24">
        <v>70170</v>
      </c>
      <c r="N24" s="18" t="s">
        <v>54</v>
      </c>
      <c r="O24" s="24" t="s">
        <v>85</v>
      </c>
      <c r="P24" s="25">
        <v>35</v>
      </c>
      <c r="Q24" s="24"/>
      <c r="R24" s="25">
        <v>35</v>
      </c>
      <c r="S24" s="26">
        <v>46073</v>
      </c>
      <c r="T24" s="25">
        <v>0</v>
      </c>
      <c r="U24" s="27">
        <v>4</v>
      </c>
      <c r="V24" s="25">
        <v>35</v>
      </c>
      <c r="W24" s="18" t="s">
        <v>48</v>
      </c>
      <c r="X24" s="18" t="s">
        <v>49</v>
      </c>
      <c r="Y24" s="18" t="s">
        <v>86</v>
      </c>
      <c r="Z24" s="18" t="s">
        <v>43</v>
      </c>
      <c r="AA24" s="18" t="s">
        <v>50</v>
      </c>
      <c r="AB24" s="18" t="s">
        <v>87</v>
      </c>
      <c r="AC24" s="18" t="s">
        <v>38</v>
      </c>
      <c r="AD24" s="7" t="str">
        <f t="shared" si="0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31" customFormat="1" ht="35.1" customHeight="1" x14ac:dyDescent="0.2">
      <c r="A25" s="18" t="s">
        <v>82</v>
      </c>
      <c r="B25" s="19">
        <v>46073</v>
      </c>
      <c r="C25" s="19">
        <v>46073</v>
      </c>
      <c r="D25" s="18" t="s">
        <v>196</v>
      </c>
      <c r="E25" s="20">
        <v>0.45833333333333331</v>
      </c>
      <c r="F25" s="20">
        <v>0.54166666666666663</v>
      </c>
      <c r="G25" s="20">
        <v>3.4722222222222218E-4</v>
      </c>
      <c r="H25" s="18" t="s">
        <v>83</v>
      </c>
      <c r="I25" s="23">
        <v>0.51497685185185182</v>
      </c>
      <c r="J25" s="18" t="s">
        <v>84</v>
      </c>
      <c r="K25" s="18" t="s">
        <v>140</v>
      </c>
      <c r="L25" s="24">
        <v>1</v>
      </c>
      <c r="M25" s="24">
        <v>70171</v>
      </c>
      <c r="N25" s="18" t="s">
        <v>46</v>
      </c>
      <c r="O25" s="24" t="s">
        <v>85</v>
      </c>
      <c r="P25" s="25">
        <v>0</v>
      </c>
      <c r="Q25" s="24"/>
      <c r="R25" s="25">
        <v>0</v>
      </c>
      <c r="S25" s="26">
        <v>46073</v>
      </c>
      <c r="T25" s="25">
        <v>0</v>
      </c>
      <c r="U25" s="27">
        <v>4</v>
      </c>
      <c r="V25" s="25">
        <v>0</v>
      </c>
      <c r="W25" s="18" t="s">
        <v>48</v>
      </c>
      <c r="X25" s="18" t="s">
        <v>49</v>
      </c>
      <c r="Y25" s="18" t="s">
        <v>86</v>
      </c>
      <c r="Z25" s="18" t="s">
        <v>43</v>
      </c>
      <c r="AA25" s="18" t="s">
        <v>50</v>
      </c>
      <c r="AB25" s="18" t="s">
        <v>87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">
      <c r="A26" s="18" t="s">
        <v>121</v>
      </c>
      <c r="B26" s="19">
        <v>46073</v>
      </c>
      <c r="C26" s="19">
        <v>46073</v>
      </c>
      <c r="D26" s="18" t="s">
        <v>196</v>
      </c>
      <c r="E26" s="20">
        <v>0.45833333333333331</v>
      </c>
      <c r="F26" s="20">
        <v>0.54166666666666663</v>
      </c>
      <c r="G26" s="21">
        <v>1.7361111111111109E-4</v>
      </c>
      <c r="H26" s="22" t="s">
        <v>162</v>
      </c>
      <c r="I26" s="23">
        <v>0.53489583333333335</v>
      </c>
      <c r="J26" s="18" t="s">
        <v>84</v>
      </c>
      <c r="K26" s="18" t="s">
        <v>140</v>
      </c>
      <c r="L26" s="24">
        <v>1</v>
      </c>
      <c r="M26" s="24">
        <v>69570</v>
      </c>
      <c r="N26" s="18" t="s">
        <v>54</v>
      </c>
      <c r="O26" s="24" t="s">
        <v>159</v>
      </c>
      <c r="P26" s="25">
        <v>0</v>
      </c>
      <c r="Q26" s="24"/>
      <c r="R26" s="25">
        <v>19.042139037433099</v>
      </c>
      <c r="S26" s="26">
        <v>46054</v>
      </c>
      <c r="T26" s="25">
        <v>0</v>
      </c>
      <c r="U26" s="27">
        <v>4</v>
      </c>
      <c r="V26" s="25">
        <v>0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160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5.1" customHeight="1" x14ac:dyDescent="0.2">
      <c r="A27" s="18" t="s">
        <v>121</v>
      </c>
      <c r="B27" s="19">
        <v>46073</v>
      </c>
      <c r="C27" s="19">
        <v>46073</v>
      </c>
      <c r="D27" s="18" t="s">
        <v>196</v>
      </c>
      <c r="E27" s="20">
        <v>0.45833333333333331</v>
      </c>
      <c r="F27" s="20">
        <v>0.54166666666666663</v>
      </c>
      <c r="G27" s="21">
        <v>1.7361111111111109E-4</v>
      </c>
      <c r="H27" s="22" t="s">
        <v>161</v>
      </c>
      <c r="I27" s="23">
        <v>0.53680555555555554</v>
      </c>
      <c r="J27" s="18" t="s">
        <v>84</v>
      </c>
      <c r="K27" s="18" t="s">
        <v>140</v>
      </c>
      <c r="L27" s="24">
        <v>1</v>
      </c>
      <c r="M27" s="24">
        <v>69570</v>
      </c>
      <c r="N27" s="18" t="s">
        <v>54</v>
      </c>
      <c r="O27" s="24" t="s">
        <v>159</v>
      </c>
      <c r="P27" s="25">
        <v>0</v>
      </c>
      <c r="Q27" s="24"/>
      <c r="R27" s="25">
        <v>19.042139037433099</v>
      </c>
      <c r="S27" s="26">
        <v>46054</v>
      </c>
      <c r="T27" s="25">
        <v>0</v>
      </c>
      <c r="U27" s="27">
        <v>4</v>
      </c>
      <c r="V27" s="25">
        <v>0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160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5">
      <c r="A28" s="18" t="s">
        <v>154</v>
      </c>
      <c r="B28" s="19">
        <v>46073</v>
      </c>
      <c r="C28" s="19">
        <v>46073</v>
      </c>
      <c r="D28" s="18" t="s">
        <v>196</v>
      </c>
      <c r="E28" s="20">
        <v>0.45833333333333331</v>
      </c>
      <c r="F28" s="20">
        <v>0.54166666666666663</v>
      </c>
      <c r="G28" s="20">
        <v>3.4722222222222218E-4</v>
      </c>
      <c r="H28" s="18" t="s">
        <v>155</v>
      </c>
      <c r="I28" s="23">
        <v>0.54033564814814816</v>
      </c>
      <c r="J28" s="18" t="s">
        <v>84</v>
      </c>
      <c r="K28" s="18" t="s">
        <v>140</v>
      </c>
      <c r="L28" s="24">
        <v>1</v>
      </c>
      <c r="M28" s="24">
        <v>71251</v>
      </c>
      <c r="N28" s="18" t="s">
        <v>54</v>
      </c>
      <c r="O28" s="24" t="s">
        <v>156</v>
      </c>
      <c r="P28" s="25">
        <v>40</v>
      </c>
      <c r="Q28" s="24"/>
      <c r="R28" s="25">
        <v>40</v>
      </c>
      <c r="S28" s="26">
        <v>46073</v>
      </c>
      <c r="T28" s="25">
        <v>0</v>
      </c>
      <c r="U28" s="27">
        <v>4</v>
      </c>
      <c r="V28" s="25">
        <v>40</v>
      </c>
      <c r="W28" s="18" t="s">
        <v>48</v>
      </c>
      <c r="X28" s="18" t="s">
        <v>49</v>
      </c>
      <c r="Y28" s="18" t="s">
        <v>86</v>
      </c>
      <c r="Z28" s="18" t="s">
        <v>9</v>
      </c>
      <c r="AA28" s="18" t="s">
        <v>50</v>
      </c>
      <c r="AB28" s="18" t="s">
        <v>157</v>
      </c>
      <c r="AC28" s="18" t="s">
        <v>38</v>
      </c>
      <c r="AD28" s="7" t="str">
        <f t="shared" si="0"/>
        <v/>
      </c>
      <c r="AE28" s="29"/>
      <c r="AF28" s="29"/>
      <c r="AG28" s="29"/>
      <c r="AH28" s="29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</row>
    <row r="29" spans="1:49" s="31" customFormat="1" ht="35.1" customHeight="1" x14ac:dyDescent="0.25">
      <c r="A29" s="18" t="s">
        <v>82</v>
      </c>
      <c r="B29" s="19">
        <v>46073</v>
      </c>
      <c r="C29" s="19">
        <v>46073</v>
      </c>
      <c r="D29" s="18" t="s">
        <v>196</v>
      </c>
      <c r="E29" s="20">
        <v>0.5</v>
      </c>
      <c r="F29" s="20">
        <v>0.54166666666666663</v>
      </c>
      <c r="G29" s="20">
        <v>3.4722222222222218E-4</v>
      </c>
      <c r="H29" s="18" t="s">
        <v>83</v>
      </c>
      <c r="I29" s="23">
        <v>0.54068287037037033</v>
      </c>
      <c r="J29" s="18" t="s">
        <v>84</v>
      </c>
      <c r="K29" s="18" t="s">
        <v>140</v>
      </c>
      <c r="L29" s="24">
        <v>1</v>
      </c>
      <c r="M29" s="24">
        <v>70170</v>
      </c>
      <c r="N29" s="18" t="s">
        <v>54</v>
      </c>
      <c r="O29" s="24" t="s">
        <v>85</v>
      </c>
      <c r="P29" s="25">
        <v>35</v>
      </c>
      <c r="Q29" s="24"/>
      <c r="R29" s="25">
        <v>35</v>
      </c>
      <c r="S29" s="26">
        <v>46073</v>
      </c>
      <c r="T29" s="25">
        <v>0</v>
      </c>
      <c r="U29" s="27">
        <v>4</v>
      </c>
      <c r="V29" s="25">
        <v>35</v>
      </c>
      <c r="W29" s="18" t="s">
        <v>48</v>
      </c>
      <c r="X29" s="18" t="s">
        <v>49</v>
      </c>
      <c r="Y29" s="18" t="s">
        <v>86</v>
      </c>
      <c r="Z29" s="18" t="s">
        <v>43</v>
      </c>
      <c r="AA29" s="18" t="s">
        <v>50</v>
      </c>
      <c r="AB29" s="18" t="s">
        <v>87</v>
      </c>
      <c r="AC29" s="18" t="s">
        <v>38</v>
      </c>
      <c r="AD29" s="7" t="str">
        <f t="shared" si="0"/>
        <v/>
      </c>
      <c r="AE29" s="28"/>
      <c r="AF29" s="28"/>
      <c r="AG29" s="28"/>
      <c r="AH29" s="28"/>
    </row>
    <row r="30" spans="1:49" s="31" customFormat="1" ht="35.1" customHeight="1" x14ac:dyDescent="0.2">
      <c r="A30" s="9" t="s">
        <v>95</v>
      </c>
      <c r="B30" s="10">
        <v>46073</v>
      </c>
      <c r="C30" s="10">
        <v>46073</v>
      </c>
      <c r="D30" s="11" t="s">
        <v>196</v>
      </c>
      <c r="E30" s="12">
        <v>0.54166666666666663</v>
      </c>
      <c r="F30" s="12">
        <v>0.5625</v>
      </c>
      <c r="G30" s="12">
        <v>2.0833333333333332E-2</v>
      </c>
      <c r="H30" s="9" t="s">
        <v>96</v>
      </c>
      <c r="I30" s="13"/>
      <c r="J30" s="9" t="s">
        <v>97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1" customFormat="1" ht="35.1" customHeight="1" x14ac:dyDescent="0.25">
      <c r="A31" s="18" t="s">
        <v>111</v>
      </c>
      <c r="B31" s="19">
        <v>46073</v>
      </c>
      <c r="C31" s="19">
        <v>46073</v>
      </c>
      <c r="D31" s="18" t="s">
        <v>196</v>
      </c>
      <c r="E31" s="20">
        <v>0.54166666666666663</v>
      </c>
      <c r="F31" s="20">
        <v>0.66666666666666663</v>
      </c>
      <c r="G31" s="21">
        <v>1.7361111111111112E-4</v>
      </c>
      <c r="H31" s="22" t="s">
        <v>208</v>
      </c>
      <c r="I31" s="23">
        <v>0.55510416666666662</v>
      </c>
      <c r="J31" s="18" t="s">
        <v>97</v>
      </c>
      <c r="K31" s="18" t="s">
        <v>172</v>
      </c>
      <c r="L31" s="24">
        <v>1</v>
      </c>
      <c r="M31" s="24">
        <v>69835</v>
      </c>
      <c r="N31" s="18" t="s">
        <v>54</v>
      </c>
      <c r="O31" s="24"/>
      <c r="P31" s="25">
        <v>22</v>
      </c>
      <c r="Q31" s="24"/>
      <c r="R31" s="25">
        <v>22</v>
      </c>
      <c r="S31" s="26">
        <v>46073</v>
      </c>
      <c r="T31" s="25">
        <v>0</v>
      </c>
      <c r="U31" s="27">
        <v>4</v>
      </c>
      <c r="V31" s="25">
        <v>22</v>
      </c>
      <c r="W31" s="18" t="s">
        <v>34</v>
      </c>
      <c r="X31" s="18" t="s">
        <v>49</v>
      </c>
      <c r="Y31" s="18" t="s">
        <v>86</v>
      </c>
      <c r="Z31" s="18" t="s">
        <v>43</v>
      </c>
      <c r="AA31" s="18" t="s">
        <v>50</v>
      </c>
      <c r="AB31" s="18" t="s">
        <v>113</v>
      </c>
      <c r="AC31" s="18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31" customFormat="1" ht="35.1" customHeight="1" x14ac:dyDescent="0.25">
      <c r="A32" s="18" t="s">
        <v>111</v>
      </c>
      <c r="B32" s="19">
        <v>46073</v>
      </c>
      <c r="C32" s="19">
        <v>46073</v>
      </c>
      <c r="D32" s="18" t="s">
        <v>196</v>
      </c>
      <c r="E32" s="20">
        <v>0.54166666666666663</v>
      </c>
      <c r="F32" s="20">
        <v>0.66666666666666663</v>
      </c>
      <c r="G32" s="21">
        <v>1.7361111111111112E-4</v>
      </c>
      <c r="H32" s="22" t="s">
        <v>209</v>
      </c>
      <c r="I32" s="23">
        <v>0.5564930555555555</v>
      </c>
      <c r="J32" s="18" t="s">
        <v>97</v>
      </c>
      <c r="K32" s="18" t="s">
        <v>172</v>
      </c>
      <c r="L32" s="24">
        <v>1</v>
      </c>
      <c r="M32" s="24">
        <v>69835</v>
      </c>
      <c r="N32" s="18" t="s">
        <v>54</v>
      </c>
      <c r="O32" s="24"/>
      <c r="P32" s="25">
        <v>0</v>
      </c>
      <c r="Q32" s="24"/>
      <c r="R32" s="25">
        <v>0</v>
      </c>
      <c r="S32" s="26">
        <v>46073</v>
      </c>
      <c r="T32" s="25">
        <v>0</v>
      </c>
      <c r="U32" s="27">
        <v>4</v>
      </c>
      <c r="V32" s="25">
        <v>0</v>
      </c>
      <c r="W32" s="18" t="s">
        <v>34</v>
      </c>
      <c r="X32" s="18" t="s">
        <v>49</v>
      </c>
      <c r="Y32" s="18" t="s">
        <v>86</v>
      </c>
      <c r="Z32" s="18" t="s">
        <v>43</v>
      </c>
      <c r="AA32" s="18" t="s">
        <v>50</v>
      </c>
      <c r="AB32" s="18" t="s">
        <v>113</v>
      </c>
      <c r="AC32" s="18" t="s">
        <v>38</v>
      </c>
      <c r="AD32" s="7" t="str">
        <f t="shared" si="0"/>
        <v/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31" customFormat="1" ht="35.1" customHeight="1" x14ac:dyDescent="0.2">
      <c r="A33" s="9" t="s">
        <v>95</v>
      </c>
      <c r="B33" s="10">
        <v>46073</v>
      </c>
      <c r="C33" s="10">
        <v>46073</v>
      </c>
      <c r="D33" s="11" t="s">
        <v>196</v>
      </c>
      <c r="E33" s="12">
        <v>0.5625</v>
      </c>
      <c r="F33" s="12">
        <v>0.58333333333333337</v>
      </c>
      <c r="G33" s="12">
        <v>2.0833333333333332E-2</v>
      </c>
      <c r="H33" s="9" t="s">
        <v>98</v>
      </c>
      <c r="I33" s="13"/>
      <c r="J33" s="9" t="s">
        <v>97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1" customFormat="1" ht="35.1" customHeight="1" x14ac:dyDescent="0.2">
      <c r="A34" s="9" t="s">
        <v>99</v>
      </c>
      <c r="B34" s="10">
        <v>46073</v>
      </c>
      <c r="C34" s="10">
        <v>46073</v>
      </c>
      <c r="D34" s="11" t="s">
        <v>196</v>
      </c>
      <c r="E34" s="12">
        <v>0.58333333333333337</v>
      </c>
      <c r="F34" s="12">
        <v>0.625</v>
      </c>
      <c r="G34" s="12">
        <v>4.1666666666666664E-2</v>
      </c>
      <c r="H34" s="9" t="s">
        <v>100</v>
      </c>
      <c r="I34" s="13"/>
      <c r="J34" s="9" t="s">
        <v>101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1" customFormat="1" ht="35.1" customHeight="1" x14ac:dyDescent="0.25">
      <c r="A35" s="18" t="s">
        <v>60</v>
      </c>
      <c r="B35" s="19">
        <v>46073</v>
      </c>
      <c r="C35" s="19">
        <v>46073</v>
      </c>
      <c r="D35" s="18" t="s">
        <v>196</v>
      </c>
      <c r="E35" s="20">
        <v>0.58333333333333337</v>
      </c>
      <c r="F35" s="20">
        <v>0.66666666666666663</v>
      </c>
      <c r="G35" s="20">
        <v>3.4722222222222218E-4</v>
      </c>
      <c r="H35" s="18" t="s">
        <v>102</v>
      </c>
      <c r="I35" s="23">
        <v>0.60784722222222221</v>
      </c>
      <c r="J35" s="18" t="s">
        <v>97</v>
      </c>
      <c r="K35" s="18" t="s">
        <v>141</v>
      </c>
      <c r="L35" s="24">
        <v>1</v>
      </c>
      <c r="M35" s="24">
        <v>64419</v>
      </c>
      <c r="N35" s="18" t="s">
        <v>46</v>
      </c>
      <c r="O35" s="24" t="s">
        <v>62</v>
      </c>
      <c r="P35" s="25">
        <v>0</v>
      </c>
      <c r="Q35" s="24"/>
      <c r="R35" s="25">
        <v>0</v>
      </c>
      <c r="S35" s="26">
        <v>46054</v>
      </c>
      <c r="T35" s="25">
        <v>0</v>
      </c>
      <c r="U35" s="27">
        <v>4</v>
      </c>
      <c r="V35" s="25">
        <v>0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63</v>
      </c>
      <c r="AC35" s="18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31" customFormat="1" ht="35.1" customHeight="1" x14ac:dyDescent="0.2">
      <c r="A36" s="9" t="s">
        <v>99</v>
      </c>
      <c r="B36" s="10">
        <v>46073</v>
      </c>
      <c r="C36" s="10">
        <v>46073</v>
      </c>
      <c r="D36" s="11" t="s">
        <v>196</v>
      </c>
      <c r="E36" s="12">
        <v>0.625</v>
      </c>
      <c r="F36" s="12">
        <v>0.64583333333333337</v>
      </c>
      <c r="G36" s="12">
        <v>2.0833333333333332E-2</v>
      </c>
      <c r="H36" s="9" t="s">
        <v>106</v>
      </c>
      <c r="I36" s="13"/>
      <c r="J36" s="9" t="s">
        <v>101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1" customFormat="1" ht="35.1" customHeight="1" x14ac:dyDescent="0.25">
      <c r="A37" s="18" t="s">
        <v>60</v>
      </c>
      <c r="B37" s="19">
        <v>46073</v>
      </c>
      <c r="C37" s="19">
        <v>46073</v>
      </c>
      <c r="D37" s="18" t="s">
        <v>196</v>
      </c>
      <c r="E37" s="20">
        <v>0.58333333333333337</v>
      </c>
      <c r="F37" s="20">
        <v>0.66666666666666663</v>
      </c>
      <c r="G37" s="20">
        <v>3.4722222222222218E-4</v>
      </c>
      <c r="H37" s="18" t="s">
        <v>102</v>
      </c>
      <c r="I37" s="23">
        <v>0.62984953703703705</v>
      </c>
      <c r="J37" s="18" t="s">
        <v>97</v>
      </c>
      <c r="K37" s="18" t="s">
        <v>141</v>
      </c>
      <c r="L37" s="24">
        <v>1</v>
      </c>
      <c r="M37" s="24">
        <v>64413</v>
      </c>
      <c r="N37" s="18" t="s">
        <v>54</v>
      </c>
      <c r="O37" s="24" t="s">
        <v>62</v>
      </c>
      <c r="P37" s="25">
        <v>30</v>
      </c>
      <c r="Q37" s="24"/>
      <c r="R37" s="25">
        <v>30</v>
      </c>
      <c r="S37" s="26">
        <v>46054</v>
      </c>
      <c r="T37" s="25">
        <v>4.5</v>
      </c>
      <c r="U37" s="27">
        <v>4</v>
      </c>
      <c r="V37" s="25">
        <v>25.5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63</v>
      </c>
      <c r="AC37" s="18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31" customFormat="1" ht="35.1" customHeight="1" x14ac:dyDescent="0.25">
      <c r="A38" s="18" t="s">
        <v>60</v>
      </c>
      <c r="B38" s="19">
        <v>46073</v>
      </c>
      <c r="C38" s="19">
        <v>46073</v>
      </c>
      <c r="D38" s="18" t="s">
        <v>196</v>
      </c>
      <c r="E38" s="20">
        <v>0.58333333333333337</v>
      </c>
      <c r="F38" s="20">
        <v>0.66666666666666663</v>
      </c>
      <c r="G38" s="20">
        <v>3.4722222222222218E-4</v>
      </c>
      <c r="H38" s="18" t="s">
        <v>102</v>
      </c>
      <c r="I38" s="23">
        <v>0.64450231481481479</v>
      </c>
      <c r="J38" s="18" t="s">
        <v>97</v>
      </c>
      <c r="K38" s="18" t="s">
        <v>141</v>
      </c>
      <c r="L38" s="24">
        <v>1</v>
      </c>
      <c r="M38" s="24">
        <v>64413</v>
      </c>
      <c r="N38" s="18" t="s">
        <v>54</v>
      </c>
      <c r="O38" s="24" t="s">
        <v>62</v>
      </c>
      <c r="P38" s="25">
        <v>30</v>
      </c>
      <c r="Q38" s="24"/>
      <c r="R38" s="25">
        <v>30</v>
      </c>
      <c r="S38" s="26">
        <v>46054</v>
      </c>
      <c r="T38" s="25">
        <v>4.5</v>
      </c>
      <c r="U38" s="27">
        <v>4</v>
      </c>
      <c r="V38" s="25">
        <v>25.5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63</v>
      </c>
      <c r="AC38" s="18" t="s">
        <v>38</v>
      </c>
      <c r="AD38" s="7" t="str">
        <f t="shared" si="0"/>
        <v/>
      </c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</row>
    <row r="39" spans="1:49" s="31" customFormat="1" ht="35.1" customHeight="1" x14ac:dyDescent="0.25">
      <c r="A39" s="9" t="s">
        <v>99</v>
      </c>
      <c r="B39" s="10">
        <v>46073</v>
      </c>
      <c r="C39" s="10">
        <v>46073</v>
      </c>
      <c r="D39" s="11" t="s">
        <v>196</v>
      </c>
      <c r="E39" s="12">
        <v>0.64583333333333337</v>
      </c>
      <c r="F39" s="12">
        <v>0.66666666666666663</v>
      </c>
      <c r="G39" s="12">
        <v>2.0833333333333332E-2</v>
      </c>
      <c r="H39" s="9" t="s">
        <v>107</v>
      </c>
      <c r="I39" s="13"/>
      <c r="J39" s="9" t="s">
        <v>101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</row>
    <row r="40" spans="1:49" s="31" customFormat="1" ht="35.1" customHeight="1" x14ac:dyDescent="0.25">
      <c r="A40" s="9" t="s">
        <v>108</v>
      </c>
      <c r="B40" s="10">
        <v>46073</v>
      </c>
      <c r="C40" s="10">
        <v>46073</v>
      </c>
      <c r="D40" s="11" t="s">
        <v>196</v>
      </c>
      <c r="E40" s="12">
        <v>0.66666666666666663</v>
      </c>
      <c r="F40" s="12">
        <v>0.6875</v>
      </c>
      <c r="G40" s="12">
        <v>2.0833333333333332E-2</v>
      </c>
      <c r="H40" s="9" t="s">
        <v>109</v>
      </c>
      <c r="I40" s="13"/>
      <c r="J40" s="9" t="s">
        <v>110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31" customFormat="1" ht="35.1" customHeight="1" x14ac:dyDescent="0.25">
      <c r="A41" s="18" t="s">
        <v>44</v>
      </c>
      <c r="B41" s="19">
        <v>46073</v>
      </c>
      <c r="C41" s="19">
        <v>46073</v>
      </c>
      <c r="D41" s="18" t="s">
        <v>196</v>
      </c>
      <c r="E41" s="20">
        <v>0.66666666666666663</v>
      </c>
      <c r="F41" s="20">
        <v>0.79166666666666663</v>
      </c>
      <c r="G41" s="21">
        <v>1.7361111111111109E-4</v>
      </c>
      <c r="H41" s="22" t="s">
        <v>55</v>
      </c>
      <c r="I41" s="23">
        <v>0.67269675925925931</v>
      </c>
      <c r="J41" s="18" t="s">
        <v>110</v>
      </c>
      <c r="K41" s="18" t="s">
        <v>109</v>
      </c>
      <c r="L41" s="24">
        <v>1</v>
      </c>
      <c r="M41" s="24">
        <v>71003</v>
      </c>
      <c r="N41" s="18" t="s">
        <v>54</v>
      </c>
      <c r="O41" s="24" t="s">
        <v>47</v>
      </c>
      <c r="P41" s="25">
        <v>15</v>
      </c>
      <c r="Q41" s="24"/>
      <c r="R41" s="25">
        <v>15</v>
      </c>
      <c r="S41" s="26">
        <v>46054</v>
      </c>
      <c r="T41" s="25">
        <v>2.25</v>
      </c>
      <c r="U41" s="27">
        <v>4</v>
      </c>
      <c r="V41" s="25">
        <v>12.75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</row>
    <row r="42" spans="1:49" s="31" customFormat="1" ht="35.1" customHeight="1" x14ac:dyDescent="0.25">
      <c r="A42" s="18" t="s">
        <v>44</v>
      </c>
      <c r="B42" s="19">
        <v>46073</v>
      </c>
      <c r="C42" s="19">
        <v>46073</v>
      </c>
      <c r="D42" s="18" t="s">
        <v>196</v>
      </c>
      <c r="E42" s="20">
        <v>0.66666666666666663</v>
      </c>
      <c r="F42" s="20">
        <v>0.79166666666666663</v>
      </c>
      <c r="G42" s="21">
        <v>1.7361111111111109E-4</v>
      </c>
      <c r="H42" s="22" t="s">
        <v>165</v>
      </c>
      <c r="I42" s="23">
        <v>0.67356481481481478</v>
      </c>
      <c r="J42" s="18" t="s">
        <v>110</v>
      </c>
      <c r="K42" s="18" t="s">
        <v>109</v>
      </c>
      <c r="L42" s="24">
        <v>1</v>
      </c>
      <c r="M42" s="24">
        <v>71003</v>
      </c>
      <c r="N42" s="18" t="s">
        <v>54</v>
      </c>
      <c r="O42" s="24" t="s">
        <v>47</v>
      </c>
      <c r="P42" s="25">
        <v>15</v>
      </c>
      <c r="Q42" s="24"/>
      <c r="R42" s="25">
        <v>15</v>
      </c>
      <c r="S42" s="26">
        <v>46054</v>
      </c>
      <c r="T42" s="25">
        <v>2.25</v>
      </c>
      <c r="U42" s="27">
        <v>4</v>
      </c>
      <c r="V42" s="25">
        <v>12.75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51</v>
      </c>
      <c r="AC42" s="18" t="s">
        <v>38</v>
      </c>
      <c r="AD42" s="7" t="str">
        <f t="shared" si="0"/>
        <v/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31" customFormat="1" ht="35.1" customHeight="1" x14ac:dyDescent="0.25">
      <c r="A43" s="9" t="s">
        <v>115</v>
      </c>
      <c r="B43" s="10">
        <v>46073</v>
      </c>
      <c r="C43" s="10">
        <v>46073</v>
      </c>
      <c r="D43" s="11" t="s">
        <v>196</v>
      </c>
      <c r="E43" s="12">
        <v>0.6875</v>
      </c>
      <c r="F43" s="12">
        <v>0.70833333333333337</v>
      </c>
      <c r="G43" s="12">
        <v>2.0833333333333332E-2</v>
      </c>
      <c r="H43" s="9" t="s">
        <v>116</v>
      </c>
      <c r="I43" s="13"/>
      <c r="J43" s="9" t="s">
        <v>110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</row>
    <row r="44" spans="1:49" s="31" customFormat="1" ht="35.1" customHeight="1" x14ac:dyDescent="0.25">
      <c r="A44" s="18" t="s">
        <v>70</v>
      </c>
      <c r="B44" s="19">
        <v>46073</v>
      </c>
      <c r="C44" s="19">
        <v>46073</v>
      </c>
      <c r="D44" s="18" t="s">
        <v>196</v>
      </c>
      <c r="E44" s="20">
        <v>0.66666666666666663</v>
      </c>
      <c r="F44" s="20">
        <v>0.79166666666666663</v>
      </c>
      <c r="G44" s="20">
        <v>3.4722222222222218E-4</v>
      </c>
      <c r="H44" s="18" t="s">
        <v>166</v>
      </c>
      <c r="I44" s="23">
        <v>0.70401620370370366</v>
      </c>
      <c r="J44" s="18" t="s">
        <v>110</v>
      </c>
      <c r="K44" s="18" t="s">
        <v>175</v>
      </c>
      <c r="L44" s="24">
        <v>1</v>
      </c>
      <c r="M44" s="24">
        <v>70990</v>
      </c>
      <c r="N44" s="18" t="s">
        <v>54</v>
      </c>
      <c r="O44" s="24" t="str">
        <f>AC44</f>
        <v>CVC</v>
      </c>
      <c r="P44" s="25">
        <v>58.82</v>
      </c>
      <c r="Q44" s="24"/>
      <c r="R44" s="25">
        <v>58.82</v>
      </c>
      <c r="S44" s="26">
        <v>46054</v>
      </c>
      <c r="T44" s="25">
        <v>4.4115000000000002</v>
      </c>
      <c r="U44" s="27">
        <v>4</v>
      </c>
      <c r="V44" s="25">
        <v>54.408500000000004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72</v>
      </c>
      <c r="AC44" s="18" t="s">
        <v>38</v>
      </c>
      <c r="AD44" s="7" t="str">
        <f t="shared" si="0"/>
        <v/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31" customFormat="1" ht="35.1" customHeight="1" x14ac:dyDescent="0.25">
      <c r="A45" s="9" t="s">
        <v>108</v>
      </c>
      <c r="B45" s="10">
        <v>46073</v>
      </c>
      <c r="C45" s="10">
        <v>46073</v>
      </c>
      <c r="D45" s="11" t="s">
        <v>196</v>
      </c>
      <c r="E45" s="12">
        <v>0.70833333333333337</v>
      </c>
      <c r="F45" s="12">
        <v>0.75</v>
      </c>
      <c r="G45" s="12">
        <v>4.1666666666666664E-2</v>
      </c>
      <c r="H45" s="9" t="s">
        <v>211</v>
      </c>
      <c r="I45" s="13"/>
      <c r="J45" s="9" t="s">
        <v>110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31" customFormat="1" ht="35.1" customHeight="1" x14ac:dyDescent="0.25">
      <c r="A46" s="9" t="s">
        <v>115</v>
      </c>
      <c r="B46" s="10">
        <v>46073</v>
      </c>
      <c r="C46" s="10">
        <v>46073</v>
      </c>
      <c r="D46" s="11" t="s">
        <v>196</v>
      </c>
      <c r="E46" s="12">
        <v>0.75</v>
      </c>
      <c r="F46" s="12">
        <v>0.77083333333333337</v>
      </c>
      <c r="G46" s="12">
        <v>2.0833333333333332E-2</v>
      </c>
      <c r="H46" s="9" t="s">
        <v>118</v>
      </c>
      <c r="I46" s="13"/>
      <c r="J46" s="9" t="s">
        <v>110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</row>
    <row r="47" spans="1:49" s="31" customFormat="1" ht="35.1" customHeight="1" x14ac:dyDescent="0.25">
      <c r="A47" s="18" t="s">
        <v>103</v>
      </c>
      <c r="B47" s="19">
        <v>46073</v>
      </c>
      <c r="C47" s="19">
        <v>46073</v>
      </c>
      <c r="D47" s="18" t="s">
        <v>196</v>
      </c>
      <c r="E47" s="20">
        <v>0.66666666666666663</v>
      </c>
      <c r="F47" s="20">
        <v>0.79166666666666663</v>
      </c>
      <c r="G47" s="20">
        <v>3.4722222222222218E-4</v>
      </c>
      <c r="H47" s="18" t="s">
        <v>210</v>
      </c>
      <c r="I47" s="23">
        <v>0.76503472222222224</v>
      </c>
      <c r="J47" s="18" t="s">
        <v>110</v>
      </c>
      <c r="K47" s="18" t="s">
        <v>174</v>
      </c>
      <c r="L47" s="24">
        <v>1</v>
      </c>
      <c r="M47" s="24">
        <v>59760</v>
      </c>
      <c r="N47" s="18" t="s">
        <v>54</v>
      </c>
      <c r="O47" s="24"/>
      <c r="P47" s="25">
        <v>50</v>
      </c>
      <c r="Q47" s="24"/>
      <c r="R47" s="25">
        <v>50</v>
      </c>
      <c r="S47" s="26">
        <v>46054</v>
      </c>
      <c r="T47" s="25">
        <v>0</v>
      </c>
      <c r="U47" s="27">
        <v>4</v>
      </c>
      <c r="V47" s="25">
        <v>50</v>
      </c>
      <c r="W47" s="18" t="s">
        <v>48</v>
      </c>
      <c r="X47" s="18" t="s">
        <v>49</v>
      </c>
      <c r="Y47" s="18" t="s">
        <v>36</v>
      </c>
      <c r="Z47" s="18" t="s">
        <v>9</v>
      </c>
      <c r="AA47" s="18" t="s">
        <v>50</v>
      </c>
      <c r="AB47" s="18" t="s">
        <v>105</v>
      </c>
      <c r="AC47" s="18" t="s">
        <v>38</v>
      </c>
      <c r="AD47" s="7" t="str">
        <f t="shared" si="0"/>
        <v/>
      </c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</row>
    <row r="48" spans="1:49" s="31" customFormat="1" ht="35.1" customHeight="1" x14ac:dyDescent="0.25">
      <c r="A48" s="9" t="s">
        <v>115</v>
      </c>
      <c r="B48" s="10">
        <v>46073</v>
      </c>
      <c r="C48" s="10">
        <v>46073</v>
      </c>
      <c r="D48" s="11" t="s">
        <v>196</v>
      </c>
      <c r="E48" s="12">
        <v>0.77083333333333337</v>
      </c>
      <c r="F48" s="12">
        <v>0.79166666666666663</v>
      </c>
      <c r="G48" s="12">
        <v>2.0833333333333332E-2</v>
      </c>
      <c r="H48" s="9" t="s">
        <v>116</v>
      </c>
      <c r="I48" s="13"/>
      <c r="J48" s="9" t="s">
        <v>110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1:49" s="31" customFormat="1" ht="35.1" customHeight="1" x14ac:dyDescent="0.25">
      <c r="A49" s="9" t="s">
        <v>39</v>
      </c>
      <c r="B49" s="10">
        <v>46073</v>
      </c>
      <c r="C49" s="10">
        <v>46073</v>
      </c>
      <c r="D49" s="11" t="s">
        <v>196</v>
      </c>
      <c r="E49" s="12">
        <v>0.79166666666666663</v>
      </c>
      <c r="F49" s="12">
        <v>0.8125</v>
      </c>
      <c r="G49" s="12">
        <v>2.0833333333333332E-2</v>
      </c>
      <c r="H49" s="9" t="s">
        <v>119</v>
      </c>
      <c r="I49" s="13"/>
      <c r="J49" s="9" t="s">
        <v>120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</row>
    <row r="50" spans="1:49" s="31" customFormat="1" ht="35.1" customHeight="1" x14ac:dyDescent="0.2">
      <c r="A50" s="18" t="s">
        <v>129</v>
      </c>
      <c r="B50" s="19">
        <v>46073</v>
      </c>
      <c r="C50" s="19">
        <v>46073</v>
      </c>
      <c r="D50" s="18" t="s">
        <v>196</v>
      </c>
      <c r="E50" s="20">
        <v>0.79166666666666663</v>
      </c>
      <c r="F50" s="20">
        <v>0.83333333333333337</v>
      </c>
      <c r="G50" s="20">
        <v>1.7361111111111109E-4</v>
      </c>
      <c r="H50" s="18" t="s">
        <v>130</v>
      </c>
      <c r="I50" s="23">
        <v>0.80008101851851854</v>
      </c>
      <c r="J50" s="18" t="s">
        <v>120</v>
      </c>
      <c r="K50" s="18" t="s">
        <v>119</v>
      </c>
      <c r="L50" s="24">
        <v>1</v>
      </c>
      <c r="M50" s="24">
        <v>71275</v>
      </c>
      <c r="N50" s="18" t="s">
        <v>54</v>
      </c>
      <c r="O50" s="24" t="s">
        <v>38</v>
      </c>
      <c r="P50" s="25">
        <v>30</v>
      </c>
      <c r="Q50" s="24"/>
      <c r="R50" s="25">
        <v>30</v>
      </c>
      <c r="S50" s="26">
        <v>46073</v>
      </c>
      <c r="T50" s="25">
        <v>4.5</v>
      </c>
      <c r="U50" s="27">
        <v>4</v>
      </c>
      <c r="V50" s="25">
        <v>25.5</v>
      </c>
      <c r="W50" s="18" t="s">
        <v>48</v>
      </c>
      <c r="X50" s="18" t="s">
        <v>49</v>
      </c>
      <c r="Y50" s="18" t="s">
        <v>86</v>
      </c>
      <c r="Z50" s="18" t="s">
        <v>9</v>
      </c>
      <c r="AA50" s="18" t="s">
        <v>50</v>
      </c>
      <c r="AB50" s="18" t="s">
        <v>131</v>
      </c>
      <c r="AC50" s="18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31" customFormat="1" ht="35.1" customHeight="1" x14ac:dyDescent="0.2">
      <c r="A51" s="9" t="s">
        <v>39</v>
      </c>
      <c r="B51" s="10">
        <v>46073</v>
      </c>
      <c r="C51" s="10">
        <v>46073</v>
      </c>
      <c r="D51" s="11" t="s">
        <v>196</v>
      </c>
      <c r="E51" s="12">
        <v>0.8125</v>
      </c>
      <c r="F51" s="12">
        <v>0.83333333333333337</v>
      </c>
      <c r="G51" s="12">
        <v>2.0833333333333332E-2</v>
      </c>
      <c r="H51" s="9" t="s">
        <v>212</v>
      </c>
      <c r="I51" s="13"/>
      <c r="J51" s="9" t="s">
        <v>120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31" customFormat="1" ht="35.1" customHeight="1" x14ac:dyDescent="0.2">
      <c r="A52" s="9" t="s">
        <v>134</v>
      </c>
      <c r="B52" s="10">
        <v>46073</v>
      </c>
      <c r="C52" s="10">
        <v>46073</v>
      </c>
      <c r="D52" s="11" t="s">
        <v>196</v>
      </c>
      <c r="E52" s="12">
        <v>0.83333333333333337</v>
      </c>
      <c r="F52" s="12">
        <v>0.875</v>
      </c>
      <c r="G52" s="12">
        <v>4.1666666666666664E-2</v>
      </c>
      <c r="H52" s="9" t="s">
        <v>135</v>
      </c>
      <c r="I52" s="13"/>
      <c r="J52" s="9" t="s">
        <v>41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31" customFormat="1" ht="35.1" customHeight="1" x14ac:dyDescent="0.2">
      <c r="A53" s="18" t="s">
        <v>121</v>
      </c>
      <c r="B53" s="19">
        <v>46073</v>
      </c>
      <c r="C53" s="19">
        <v>46073</v>
      </c>
      <c r="D53" s="18" t="s">
        <v>196</v>
      </c>
      <c r="E53" s="20">
        <v>0.79166666666666663</v>
      </c>
      <c r="F53" s="20">
        <v>0.99930555555555556</v>
      </c>
      <c r="G53" s="21">
        <v>1.7361111111111109E-4</v>
      </c>
      <c r="H53" s="22" t="s">
        <v>122</v>
      </c>
      <c r="I53" s="23">
        <v>0.85311342592592587</v>
      </c>
      <c r="J53" s="18" t="s">
        <v>123</v>
      </c>
      <c r="K53" s="18" t="s">
        <v>143</v>
      </c>
      <c r="L53" s="24">
        <v>1</v>
      </c>
      <c r="M53" s="24">
        <v>69567</v>
      </c>
      <c r="N53" s="18" t="s">
        <v>46</v>
      </c>
      <c r="O53" s="24" t="s">
        <v>124</v>
      </c>
      <c r="P53" s="25">
        <v>0</v>
      </c>
      <c r="Q53" s="24"/>
      <c r="R53" s="25">
        <v>0</v>
      </c>
      <c r="S53" s="26">
        <v>46054</v>
      </c>
      <c r="T53" s="25">
        <v>0</v>
      </c>
      <c r="U53" s="27">
        <v>4</v>
      </c>
      <c r="V53" s="25">
        <v>0</v>
      </c>
      <c r="W53" s="18" t="s">
        <v>48</v>
      </c>
      <c r="X53" s="18" t="s">
        <v>49</v>
      </c>
      <c r="Y53" s="18" t="s">
        <v>36</v>
      </c>
      <c r="Z53" s="18" t="s">
        <v>9</v>
      </c>
      <c r="AA53" s="18" t="s">
        <v>50</v>
      </c>
      <c r="AB53" s="18" t="s">
        <v>125</v>
      </c>
      <c r="AC53" s="18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31" customFormat="1" ht="35.1" customHeight="1" x14ac:dyDescent="0.25">
      <c r="A54" s="18" t="s">
        <v>121</v>
      </c>
      <c r="B54" s="19">
        <v>46073</v>
      </c>
      <c r="C54" s="19">
        <v>46073</v>
      </c>
      <c r="D54" s="18" t="s">
        <v>196</v>
      </c>
      <c r="E54" s="20">
        <v>0.79166666666666663</v>
      </c>
      <c r="F54" s="20">
        <v>0.99930555555555556</v>
      </c>
      <c r="G54" s="21">
        <v>1.7361111111111109E-4</v>
      </c>
      <c r="H54" s="22" t="s">
        <v>126</v>
      </c>
      <c r="I54" s="23">
        <v>0.85484953703703703</v>
      </c>
      <c r="J54" s="18" t="s">
        <v>123</v>
      </c>
      <c r="K54" s="18" t="s">
        <v>143</v>
      </c>
      <c r="L54" s="24">
        <v>1</v>
      </c>
      <c r="M54" s="24">
        <v>69567</v>
      </c>
      <c r="N54" s="18" t="s">
        <v>46</v>
      </c>
      <c r="O54" s="24" t="s">
        <v>124</v>
      </c>
      <c r="P54" s="25">
        <v>0</v>
      </c>
      <c r="Q54" s="24"/>
      <c r="R54" s="25">
        <v>0</v>
      </c>
      <c r="S54" s="26">
        <v>46054</v>
      </c>
      <c r="T54" s="25">
        <v>0</v>
      </c>
      <c r="U54" s="27">
        <v>4</v>
      </c>
      <c r="V54" s="25">
        <v>0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125</v>
      </c>
      <c r="AC54" s="18" t="s">
        <v>38</v>
      </c>
      <c r="AD54" s="7" t="str">
        <f t="shared" si="0"/>
        <v/>
      </c>
      <c r="AE54" s="28"/>
      <c r="AF54" s="28"/>
      <c r="AG54" s="28"/>
      <c r="AH54" s="28"/>
    </row>
    <row r="55" spans="1:49" s="31" customFormat="1" ht="35.1" customHeight="1" x14ac:dyDescent="0.2">
      <c r="A55" s="9" t="s">
        <v>136</v>
      </c>
      <c r="B55" s="10">
        <v>46073</v>
      </c>
      <c r="C55" s="10">
        <v>46073</v>
      </c>
      <c r="D55" s="11" t="s">
        <v>196</v>
      </c>
      <c r="E55" s="12">
        <v>0.875</v>
      </c>
      <c r="F55" s="12">
        <v>0.91666666666666663</v>
      </c>
      <c r="G55" s="12">
        <v>4.1666666666666664E-2</v>
      </c>
      <c r="H55" s="9" t="s">
        <v>137</v>
      </c>
      <c r="I55" s="13"/>
      <c r="J55" s="9" t="s">
        <v>41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31" customFormat="1" ht="35.1" customHeight="1" x14ac:dyDescent="0.25">
      <c r="A56" s="18" t="s">
        <v>44</v>
      </c>
      <c r="B56" s="19">
        <v>46073</v>
      </c>
      <c r="C56" s="19">
        <v>46073</v>
      </c>
      <c r="D56" s="18" t="s">
        <v>196</v>
      </c>
      <c r="E56" s="20">
        <v>0.79166666666666663</v>
      </c>
      <c r="F56" s="20">
        <v>0.99930555555555556</v>
      </c>
      <c r="G56" s="20">
        <v>1.157407407407407E-4</v>
      </c>
      <c r="H56" s="18" t="s">
        <v>181</v>
      </c>
      <c r="I56" s="23">
        <v>0.89476851851851846</v>
      </c>
      <c r="J56" s="18" t="s">
        <v>41</v>
      </c>
      <c r="K56" s="18" t="s">
        <v>137</v>
      </c>
      <c r="L56" s="24">
        <v>1</v>
      </c>
      <c r="M56" s="24">
        <v>71104</v>
      </c>
      <c r="N56" s="18" t="s">
        <v>46</v>
      </c>
      <c r="O56" s="24" t="s">
        <v>47</v>
      </c>
      <c r="P56" s="25">
        <v>0</v>
      </c>
      <c r="Q56" s="24"/>
      <c r="R56" s="25">
        <v>0</v>
      </c>
      <c r="S56" s="26">
        <v>46054</v>
      </c>
      <c r="T56" s="25">
        <v>0</v>
      </c>
      <c r="U56" s="27">
        <v>4</v>
      </c>
      <c r="V56" s="25">
        <v>0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50</v>
      </c>
      <c r="AB56" s="18" t="s">
        <v>51</v>
      </c>
      <c r="AC56" s="18" t="s">
        <v>38</v>
      </c>
      <c r="AD56" s="7" t="str">
        <f t="shared" si="0"/>
        <v/>
      </c>
      <c r="AE56" s="28"/>
      <c r="AF56" s="28"/>
      <c r="AG56" s="28"/>
      <c r="AH56" s="28"/>
    </row>
    <row r="57" spans="1:49" s="31" customFormat="1" ht="35.1" customHeight="1" x14ac:dyDescent="0.2">
      <c r="A57" s="18" t="s">
        <v>129</v>
      </c>
      <c r="B57" s="19">
        <v>46073</v>
      </c>
      <c r="C57" s="19">
        <v>46073</v>
      </c>
      <c r="D57" s="18" t="s">
        <v>196</v>
      </c>
      <c r="E57" s="20">
        <v>0.79166666666666663</v>
      </c>
      <c r="F57" s="20">
        <v>0.99930555555555556</v>
      </c>
      <c r="G57" s="20">
        <v>1.7361111111111109E-4</v>
      </c>
      <c r="H57" s="18" t="s">
        <v>169</v>
      </c>
      <c r="I57" s="23">
        <v>0.90152777777777782</v>
      </c>
      <c r="J57" s="18" t="s">
        <v>123</v>
      </c>
      <c r="K57" s="18" t="s">
        <v>137</v>
      </c>
      <c r="L57" s="24">
        <v>1</v>
      </c>
      <c r="M57" s="24">
        <v>71278</v>
      </c>
      <c r="N57" s="18" t="s">
        <v>46</v>
      </c>
      <c r="O57" s="24" t="s">
        <v>38</v>
      </c>
      <c r="P57" s="25">
        <v>0</v>
      </c>
      <c r="Q57" s="24"/>
      <c r="R57" s="25">
        <v>0</v>
      </c>
      <c r="S57" s="26">
        <v>46073</v>
      </c>
      <c r="T57" s="25">
        <v>0</v>
      </c>
      <c r="U57" s="27">
        <v>4</v>
      </c>
      <c r="V57" s="25">
        <v>0</v>
      </c>
      <c r="W57" s="18" t="s">
        <v>48</v>
      </c>
      <c r="X57" s="18" t="s">
        <v>49</v>
      </c>
      <c r="Y57" s="18" t="s">
        <v>86</v>
      </c>
      <c r="Z57" s="18" t="s">
        <v>9</v>
      </c>
      <c r="AA57" s="18" t="s">
        <v>50</v>
      </c>
      <c r="AB57" s="18" t="s">
        <v>131</v>
      </c>
      <c r="AC57" s="18" t="s">
        <v>38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31" customFormat="1" ht="35.1" customHeight="1" x14ac:dyDescent="0.2">
      <c r="A58" s="9" t="s">
        <v>136</v>
      </c>
      <c r="B58" s="10">
        <v>46073</v>
      </c>
      <c r="C58" s="10">
        <v>46073</v>
      </c>
      <c r="D58" s="11" t="s">
        <v>196</v>
      </c>
      <c r="E58" s="12">
        <v>0.91666666666666663</v>
      </c>
      <c r="F58" s="12">
        <v>0.97916666666666663</v>
      </c>
      <c r="G58" s="12">
        <v>6.25E-2</v>
      </c>
      <c r="H58" s="9" t="s">
        <v>213</v>
      </c>
      <c r="I58" s="13"/>
      <c r="J58" s="9" t="s">
        <v>41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31" customFormat="1" ht="35.1" customHeight="1" x14ac:dyDescent="0.25">
      <c r="A59" s="18" t="s">
        <v>121</v>
      </c>
      <c r="B59" s="19">
        <v>46073</v>
      </c>
      <c r="C59" s="19">
        <v>46073</v>
      </c>
      <c r="D59" s="18" t="s">
        <v>196</v>
      </c>
      <c r="E59" s="20">
        <v>0.79166666666666663</v>
      </c>
      <c r="F59" s="20">
        <v>0.99930555555555556</v>
      </c>
      <c r="G59" s="21">
        <v>1.7361111111111109E-4</v>
      </c>
      <c r="H59" s="22" t="s">
        <v>122</v>
      </c>
      <c r="I59" s="23">
        <v>0.93141203703703701</v>
      </c>
      <c r="J59" s="18" t="s">
        <v>123</v>
      </c>
      <c r="K59" s="18" t="s">
        <v>213</v>
      </c>
      <c r="L59" s="24">
        <v>1</v>
      </c>
      <c r="M59" s="24">
        <v>69567</v>
      </c>
      <c r="N59" s="18" t="s">
        <v>46</v>
      </c>
      <c r="O59" s="24" t="s">
        <v>124</v>
      </c>
      <c r="P59" s="25">
        <v>0</v>
      </c>
      <c r="Q59" s="24"/>
      <c r="R59" s="25">
        <v>0</v>
      </c>
      <c r="S59" s="26">
        <v>46054</v>
      </c>
      <c r="T59" s="25">
        <v>0</v>
      </c>
      <c r="U59" s="27">
        <v>4</v>
      </c>
      <c r="V59" s="25">
        <v>0</v>
      </c>
      <c r="W59" s="18" t="s">
        <v>48</v>
      </c>
      <c r="X59" s="18" t="s">
        <v>49</v>
      </c>
      <c r="Y59" s="18" t="s">
        <v>36</v>
      </c>
      <c r="Z59" s="18" t="s">
        <v>9</v>
      </c>
      <c r="AA59" s="18" t="s">
        <v>50</v>
      </c>
      <c r="AB59" s="18" t="s">
        <v>125</v>
      </c>
      <c r="AC59" s="18" t="s">
        <v>38</v>
      </c>
      <c r="AD59" s="7" t="str">
        <f t="shared" si="0"/>
        <v/>
      </c>
      <c r="AE59" s="28"/>
      <c r="AF59" s="28"/>
      <c r="AG59" s="28"/>
      <c r="AH59" s="28"/>
    </row>
    <row r="60" spans="1:49" s="31" customFormat="1" ht="35.1" customHeight="1" x14ac:dyDescent="0.25">
      <c r="A60" s="18" t="s">
        <v>121</v>
      </c>
      <c r="B60" s="19">
        <v>46073</v>
      </c>
      <c r="C60" s="19">
        <v>46073</v>
      </c>
      <c r="D60" s="18" t="s">
        <v>196</v>
      </c>
      <c r="E60" s="20">
        <v>0.79166666666666663</v>
      </c>
      <c r="F60" s="20">
        <v>0.99930555555555556</v>
      </c>
      <c r="G60" s="21">
        <v>1.7361111111111109E-4</v>
      </c>
      <c r="H60" s="22" t="s">
        <v>126</v>
      </c>
      <c r="I60" s="23">
        <v>0.93384259259259261</v>
      </c>
      <c r="J60" s="18" t="s">
        <v>123</v>
      </c>
      <c r="K60" s="18" t="s">
        <v>213</v>
      </c>
      <c r="L60" s="24">
        <v>1</v>
      </c>
      <c r="M60" s="24">
        <v>69567</v>
      </c>
      <c r="N60" s="18" t="s">
        <v>46</v>
      </c>
      <c r="O60" s="24" t="s">
        <v>124</v>
      </c>
      <c r="P60" s="25">
        <v>0</v>
      </c>
      <c r="Q60" s="24"/>
      <c r="R60" s="25">
        <v>0</v>
      </c>
      <c r="S60" s="26">
        <v>46054</v>
      </c>
      <c r="T60" s="25">
        <v>0</v>
      </c>
      <c r="U60" s="27">
        <v>4</v>
      </c>
      <c r="V60" s="25">
        <v>0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50</v>
      </c>
      <c r="AB60" s="18" t="s">
        <v>125</v>
      </c>
      <c r="AC60" s="18" t="s">
        <v>38</v>
      </c>
      <c r="AD60" s="7" t="str">
        <f t="shared" si="0"/>
        <v/>
      </c>
      <c r="AE60" s="28"/>
      <c r="AF60" s="28"/>
      <c r="AG60" s="28"/>
      <c r="AH60" s="28"/>
    </row>
    <row r="61" spans="1:49" s="31" customFormat="1" ht="35.1" customHeight="1" x14ac:dyDescent="0.2">
      <c r="A61" s="18" t="s">
        <v>70</v>
      </c>
      <c r="B61" s="19">
        <v>46073</v>
      </c>
      <c r="C61" s="19">
        <v>46073</v>
      </c>
      <c r="D61" s="18" t="s">
        <v>196</v>
      </c>
      <c r="E61" s="20">
        <v>0.25</v>
      </c>
      <c r="F61" s="20">
        <v>0.99930555555555556</v>
      </c>
      <c r="G61" s="20">
        <v>3.4722222222222218E-4</v>
      </c>
      <c r="H61" s="18" t="s">
        <v>168</v>
      </c>
      <c r="I61" s="23">
        <v>0.94663194444444443</v>
      </c>
      <c r="J61" s="18" t="s">
        <v>41</v>
      </c>
      <c r="K61" s="18" t="s">
        <v>213</v>
      </c>
      <c r="L61" s="24">
        <v>1</v>
      </c>
      <c r="M61" s="24">
        <v>70983</v>
      </c>
      <c r="N61" s="18" t="s">
        <v>46</v>
      </c>
      <c r="O61" s="24" t="str">
        <f>AC61</f>
        <v>CVC</v>
      </c>
      <c r="P61" s="25">
        <v>0</v>
      </c>
      <c r="Q61" s="24"/>
      <c r="R61" s="25">
        <v>0</v>
      </c>
      <c r="S61" s="26">
        <v>46054</v>
      </c>
      <c r="T61" s="25">
        <v>0</v>
      </c>
      <c r="U61" s="27">
        <v>4</v>
      </c>
      <c r="V61" s="25">
        <v>0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72</v>
      </c>
      <c r="AC61" s="18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31" customFormat="1" ht="35.1" customHeight="1" x14ac:dyDescent="0.2">
      <c r="A62" s="9" t="s">
        <v>39</v>
      </c>
      <c r="B62" s="10">
        <v>46073</v>
      </c>
      <c r="C62" s="10">
        <v>46073</v>
      </c>
      <c r="D62" s="11" t="s">
        <v>196</v>
      </c>
      <c r="E62" s="12">
        <v>0.97916666666666663</v>
      </c>
      <c r="F62" s="12">
        <v>1</v>
      </c>
      <c r="G62" s="12">
        <v>2.0833333333333332E-2</v>
      </c>
      <c r="H62" s="9" t="s">
        <v>139</v>
      </c>
      <c r="I62" s="13"/>
      <c r="J62" s="9" t="s">
        <v>120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ht="44.25" customHeight="1" x14ac:dyDescent="0.2"/>
    <row r="64" spans="1:49" ht="44.25" customHeight="1" x14ac:dyDescent="0.2"/>
    <row r="65" spans="1:49" ht="44.25" customHeight="1" x14ac:dyDescent="0.2"/>
    <row r="66" spans="1:49" ht="44.25" customHeight="1" x14ac:dyDescent="0.2"/>
    <row r="67" spans="1:49" ht="44.25" customHeight="1" x14ac:dyDescent="0.2"/>
    <row r="68" spans="1:49" ht="44.25" customHeight="1" x14ac:dyDescent="0.2"/>
    <row r="69" spans="1:49" ht="44.25" customHeight="1" x14ac:dyDescent="0.2"/>
    <row r="70" spans="1:49" ht="44.25" customHeight="1" x14ac:dyDescent="0.2"/>
    <row r="71" spans="1:49" ht="44.25" customHeight="1" x14ac:dyDescent="0.2"/>
    <row r="72" spans="1:49" ht="44.25" customHeight="1" x14ac:dyDescent="0.2"/>
    <row r="73" spans="1:49" s="31" customFormat="1" ht="35.1" customHeight="1" x14ac:dyDescent="0.25">
      <c r="A73" s="39" t="s">
        <v>197</v>
      </c>
      <c r="B73" s="40">
        <v>46073</v>
      </c>
      <c r="C73" s="40">
        <v>46073</v>
      </c>
      <c r="D73" s="39" t="s">
        <v>196</v>
      </c>
      <c r="E73" s="41">
        <v>0</v>
      </c>
      <c r="F73" s="41">
        <v>0</v>
      </c>
      <c r="G73" s="41">
        <v>3.4722222222222224E-4</v>
      </c>
      <c r="H73" s="39" t="s">
        <v>198</v>
      </c>
      <c r="I73" s="42" t="s">
        <v>199</v>
      </c>
      <c r="J73" s="39" t="s">
        <v>110</v>
      </c>
      <c r="K73" s="39" t="s">
        <v>139</v>
      </c>
      <c r="L73" s="43">
        <v>1</v>
      </c>
      <c r="M73" s="43">
        <v>1</v>
      </c>
      <c r="N73" s="39" t="s">
        <v>200</v>
      </c>
      <c r="O73" s="43" t="s">
        <v>201</v>
      </c>
      <c r="P73" s="44">
        <v>1800</v>
      </c>
      <c r="Q73" s="43"/>
      <c r="R73" s="44">
        <v>0</v>
      </c>
      <c r="S73" s="45">
        <v>46054</v>
      </c>
      <c r="T73" s="44">
        <v>0</v>
      </c>
      <c r="U73" s="46">
        <v>4</v>
      </c>
      <c r="V73" s="44">
        <v>1800</v>
      </c>
      <c r="W73" s="39" t="s">
        <v>48</v>
      </c>
      <c r="X73" s="39" t="s">
        <v>202</v>
      </c>
      <c r="Y73" s="39" t="s">
        <v>36</v>
      </c>
      <c r="Z73" s="39" t="s">
        <v>9</v>
      </c>
      <c r="AA73" s="39" t="s">
        <v>50</v>
      </c>
      <c r="AB73" s="39">
        <v>0</v>
      </c>
      <c r="AC73" s="39" t="s">
        <v>38</v>
      </c>
      <c r="AD73" s="7" t="str">
        <f>IF(N73="PRG","",IF(I73&gt;=E73,IF(I73&lt;=F73,"","NO"),"NO"))</f>
        <v>NO</v>
      </c>
      <c r="AE73" s="29"/>
      <c r="AF73" s="29"/>
      <c r="AG73" s="29"/>
      <c r="AH73" s="29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s="31" customFormat="1" ht="35.1" customHeight="1" x14ac:dyDescent="0.25">
      <c r="A74" s="39" t="s">
        <v>203</v>
      </c>
      <c r="B74" s="40">
        <v>46073</v>
      </c>
      <c r="C74" s="40">
        <v>46073</v>
      </c>
      <c r="D74" s="39" t="s">
        <v>196</v>
      </c>
      <c r="E74" s="41">
        <v>0</v>
      </c>
      <c r="F74" s="41">
        <v>0</v>
      </c>
      <c r="G74" s="41">
        <v>3.4722222222222224E-4</v>
      </c>
      <c r="H74" s="39" t="s">
        <v>204</v>
      </c>
      <c r="I74" s="42" t="s">
        <v>199</v>
      </c>
      <c r="J74" s="39" t="s">
        <v>110</v>
      </c>
      <c r="K74" s="39" t="s">
        <v>139</v>
      </c>
      <c r="L74" s="43">
        <v>1</v>
      </c>
      <c r="M74" s="43">
        <v>1</v>
      </c>
      <c r="N74" s="39" t="s">
        <v>205</v>
      </c>
      <c r="O74" s="43" t="s">
        <v>205</v>
      </c>
      <c r="P74" s="44">
        <v>900</v>
      </c>
      <c r="Q74" s="43"/>
      <c r="R74" s="44">
        <v>900</v>
      </c>
      <c r="S74" s="45">
        <v>46054</v>
      </c>
      <c r="T74" s="44">
        <v>0</v>
      </c>
      <c r="U74" s="46">
        <v>4</v>
      </c>
      <c r="V74" s="44">
        <v>900</v>
      </c>
      <c r="W74" s="39" t="s">
        <v>48</v>
      </c>
      <c r="X74" s="39" t="s">
        <v>202</v>
      </c>
      <c r="Y74" s="39" t="s">
        <v>36</v>
      </c>
      <c r="Z74" s="39" t="s">
        <v>9</v>
      </c>
      <c r="AA74" s="39" t="s">
        <v>50</v>
      </c>
      <c r="AB74" s="39">
        <v>0</v>
      </c>
      <c r="AC74" s="39" t="s">
        <v>38</v>
      </c>
      <c r="AD74" s="7" t="str">
        <f>IF(N74="PRG","",IF(I74&gt;=E74,IF(I74&lt;=F74,"","NO"),"NO"))</f>
        <v>NO</v>
      </c>
      <c r="AE74" s="29"/>
      <c r="AF74" s="29"/>
      <c r="AG74" s="29"/>
      <c r="AH74" s="29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2" xr:uid="{424754EB-77D4-44AC-A729-202F74AF0C24}"/>
  <sortState xmlns:xlrd2="http://schemas.microsoft.com/office/spreadsheetml/2017/richdata2" ref="A2:AD326">
    <sortCondition sortBy="cellColor" ref="E1:E500" dxfId="23"/>
  </sortState>
  <conditionalFormatting sqref="AD1:AD62 AD73:AD74">
    <cfRule type="cellIs" dxfId="22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5">
      <c r="A2" s="9" t="s">
        <v>29</v>
      </c>
      <c r="B2" s="10">
        <v>46074</v>
      </c>
      <c r="C2" s="10">
        <v>46074</v>
      </c>
      <c r="D2" s="11" t="s">
        <v>214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30"/>
      <c r="AF2" s="30"/>
      <c r="AG2" s="30"/>
      <c r="AH2" s="30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</row>
    <row r="3" spans="1:49" s="31" customFormat="1" ht="35.1" customHeight="1" x14ac:dyDescent="0.25">
      <c r="A3" s="9" t="s">
        <v>39</v>
      </c>
      <c r="B3" s="10">
        <v>46074</v>
      </c>
      <c r="C3" s="10">
        <v>46074</v>
      </c>
      <c r="D3" s="11" t="s">
        <v>214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8"/>
      <c r="AF3" s="28"/>
      <c r="AG3" s="28"/>
      <c r="AH3" s="28"/>
    </row>
    <row r="4" spans="1:49" s="31" customFormat="1" ht="35.1" customHeight="1" x14ac:dyDescent="0.25">
      <c r="A4" s="9" t="s">
        <v>64</v>
      </c>
      <c r="B4" s="10">
        <v>46074</v>
      </c>
      <c r="C4" s="10">
        <v>46074</v>
      </c>
      <c r="D4" s="11" t="s">
        <v>214</v>
      </c>
      <c r="E4" s="12">
        <v>0.29166666666666669</v>
      </c>
      <c r="F4" s="12">
        <v>0.3125</v>
      </c>
      <c r="G4" s="12">
        <v>2.0833333333333332E-2</v>
      </c>
      <c r="H4" s="9" t="s">
        <v>65</v>
      </c>
      <c r="I4" s="13" t="s">
        <v>215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</row>
    <row r="5" spans="1:49" s="31" customFormat="1" ht="35.1" customHeight="1" x14ac:dyDescent="0.25">
      <c r="A5" s="9" t="s">
        <v>64</v>
      </c>
      <c r="B5" s="10">
        <v>46074</v>
      </c>
      <c r="C5" s="10">
        <v>46074</v>
      </c>
      <c r="D5" s="11" t="s">
        <v>214</v>
      </c>
      <c r="E5" s="12">
        <v>0.3125</v>
      </c>
      <c r="F5" s="12">
        <v>0.33333333333333331</v>
      </c>
      <c r="G5" s="12">
        <v>2.0833333333333332E-2</v>
      </c>
      <c r="H5" s="9" t="s">
        <v>65</v>
      </c>
      <c r="I5" s="13" t="s">
        <v>215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8"/>
      <c r="AF5" s="28"/>
      <c r="AG5" s="28"/>
      <c r="AH5" s="28"/>
    </row>
    <row r="6" spans="1:49" s="31" customFormat="1" ht="35.1" customHeight="1" x14ac:dyDescent="0.25">
      <c r="A6" s="9" t="s">
        <v>67</v>
      </c>
      <c r="B6" s="10">
        <v>46074</v>
      </c>
      <c r="C6" s="10">
        <v>46074</v>
      </c>
      <c r="D6" s="11" t="s">
        <v>214</v>
      </c>
      <c r="E6" s="12">
        <v>0.33333333333333331</v>
      </c>
      <c r="F6" s="12">
        <v>0.41666666666666669</v>
      </c>
      <c r="G6" s="12">
        <v>8.3333333333333329E-2</v>
      </c>
      <c r="H6" s="9" t="s">
        <v>75</v>
      </c>
      <c r="I6" s="13" t="s">
        <v>216</v>
      </c>
      <c r="J6" s="9" t="s">
        <v>69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8"/>
      <c r="AF6" s="28"/>
      <c r="AG6" s="28"/>
      <c r="AH6" s="28"/>
    </row>
    <row r="7" spans="1:49" s="31" customFormat="1" ht="35.1" customHeight="1" x14ac:dyDescent="0.2">
      <c r="A7" s="18" t="s">
        <v>70</v>
      </c>
      <c r="B7" s="19">
        <v>46074</v>
      </c>
      <c r="C7" s="19">
        <v>46074</v>
      </c>
      <c r="D7" s="18" t="s">
        <v>214</v>
      </c>
      <c r="E7" s="20">
        <v>0.33333333333333331</v>
      </c>
      <c r="F7" s="20">
        <v>0.41666666666666669</v>
      </c>
      <c r="G7" s="20">
        <v>3.4722222222222218E-4</v>
      </c>
      <c r="H7" s="18" t="s">
        <v>71</v>
      </c>
      <c r="I7" s="23">
        <v>0.39574074074074073</v>
      </c>
      <c r="J7" s="18" t="s">
        <v>69</v>
      </c>
      <c r="K7" s="18" t="s">
        <v>75</v>
      </c>
      <c r="L7" s="24">
        <v>1</v>
      </c>
      <c r="M7" s="24">
        <v>70996</v>
      </c>
      <c r="N7" s="18" t="s">
        <v>46</v>
      </c>
      <c r="O7" s="24" t="str">
        <f>AC7</f>
        <v>CVC</v>
      </c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72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">
      <c r="A8" s="18" t="s">
        <v>44</v>
      </c>
      <c r="B8" s="19">
        <v>46074</v>
      </c>
      <c r="C8" s="19">
        <v>46074</v>
      </c>
      <c r="D8" s="18" t="s">
        <v>214</v>
      </c>
      <c r="E8" s="20">
        <v>0.33333333333333331</v>
      </c>
      <c r="F8" s="20">
        <v>0.41666666666666669</v>
      </c>
      <c r="G8" s="20">
        <v>1.157407407407407E-4</v>
      </c>
      <c r="H8" s="18" t="s">
        <v>73</v>
      </c>
      <c r="I8" s="23">
        <v>0.40478009259259257</v>
      </c>
      <c r="J8" s="18" t="s">
        <v>69</v>
      </c>
      <c r="K8" s="18" t="s">
        <v>75</v>
      </c>
      <c r="L8" s="24">
        <v>1</v>
      </c>
      <c r="M8" s="24">
        <v>71105</v>
      </c>
      <c r="N8" s="18" t="s">
        <v>46</v>
      </c>
      <c r="O8" s="24" t="s">
        <v>47</v>
      </c>
      <c r="P8" s="25">
        <v>0</v>
      </c>
      <c r="Q8" s="24"/>
      <c r="R8" s="25">
        <v>0</v>
      </c>
      <c r="S8" s="26">
        <v>46054</v>
      </c>
      <c r="T8" s="25">
        <v>0</v>
      </c>
      <c r="U8" s="27">
        <v>4</v>
      </c>
      <c r="V8" s="25">
        <v>0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51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5">
      <c r="A9" s="9" t="s">
        <v>93</v>
      </c>
      <c r="B9" s="10">
        <v>46074</v>
      </c>
      <c r="C9" s="10">
        <v>46074</v>
      </c>
      <c r="D9" s="11" t="s">
        <v>214</v>
      </c>
      <c r="E9" s="12">
        <v>0.41666666666666669</v>
      </c>
      <c r="F9" s="12">
        <v>0.45833333333333331</v>
      </c>
      <c r="G9" s="12">
        <v>4.1666666666666664E-2</v>
      </c>
      <c r="H9" s="9" t="s">
        <v>217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</row>
    <row r="10" spans="1:49" s="31" customFormat="1" ht="35.1" customHeight="1" x14ac:dyDescent="0.2">
      <c r="A10" s="9" t="s">
        <v>79</v>
      </c>
      <c r="B10" s="10">
        <v>46074</v>
      </c>
      <c r="C10" s="10">
        <v>46074</v>
      </c>
      <c r="D10" s="11" t="s">
        <v>214</v>
      </c>
      <c r="E10" s="12">
        <v>0.45833333333333331</v>
      </c>
      <c r="F10" s="12">
        <v>0.47916666666666669</v>
      </c>
      <c r="G10" s="12">
        <v>2.0833333333333332E-2</v>
      </c>
      <c r="H10" s="9" t="s">
        <v>150</v>
      </c>
      <c r="I10" s="13"/>
      <c r="J10" s="9" t="s">
        <v>84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5">
      <c r="A11" s="18" t="s">
        <v>111</v>
      </c>
      <c r="B11" s="19">
        <v>46074</v>
      </c>
      <c r="C11" s="19">
        <v>46074</v>
      </c>
      <c r="D11" s="18" t="s">
        <v>214</v>
      </c>
      <c r="E11" s="20">
        <v>0.45833333333333331</v>
      </c>
      <c r="F11" s="20">
        <v>0.54166666666666663</v>
      </c>
      <c r="G11" s="21">
        <v>1.7361111111111112E-4</v>
      </c>
      <c r="H11" s="22" t="s">
        <v>152</v>
      </c>
      <c r="I11" s="23">
        <v>0.46439814814814817</v>
      </c>
      <c r="J11" s="18" t="s">
        <v>84</v>
      </c>
      <c r="K11" s="18" t="s">
        <v>150</v>
      </c>
      <c r="L11" s="24">
        <v>1</v>
      </c>
      <c r="M11" s="24">
        <v>69836</v>
      </c>
      <c r="N11" s="18" t="s">
        <v>54</v>
      </c>
      <c r="O11" s="24"/>
      <c r="P11" s="25">
        <v>21.75</v>
      </c>
      <c r="Q11" s="24"/>
      <c r="R11" s="25">
        <v>21.75</v>
      </c>
      <c r="S11" s="26">
        <v>46074</v>
      </c>
      <c r="T11" s="25">
        <v>0</v>
      </c>
      <c r="U11" s="27">
        <v>4</v>
      </c>
      <c r="V11" s="25">
        <v>21.75</v>
      </c>
      <c r="W11" s="18" t="s">
        <v>34</v>
      </c>
      <c r="X11" s="18" t="s">
        <v>49</v>
      </c>
      <c r="Y11" s="18" t="s">
        <v>86</v>
      </c>
      <c r="Z11" s="18" t="s">
        <v>43</v>
      </c>
      <c r="AA11" s="18" t="s">
        <v>50</v>
      </c>
      <c r="AB11" s="18" t="s">
        <v>113</v>
      </c>
      <c r="AC11" s="18" t="s">
        <v>38</v>
      </c>
      <c r="AD11" s="7" t="str">
        <f t="shared" si="0"/>
        <v/>
      </c>
      <c r="AE11" s="30"/>
      <c r="AF11" s="30"/>
      <c r="AG11" s="30"/>
      <c r="AH11" s="30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</row>
    <row r="12" spans="1:49" s="31" customFormat="1" ht="35.1" customHeight="1" x14ac:dyDescent="0.2">
      <c r="A12" s="18" t="s">
        <v>111</v>
      </c>
      <c r="B12" s="19">
        <v>46074</v>
      </c>
      <c r="C12" s="19">
        <v>46074</v>
      </c>
      <c r="D12" s="18" t="s">
        <v>214</v>
      </c>
      <c r="E12" s="20">
        <v>0.45833333333333331</v>
      </c>
      <c r="F12" s="20">
        <v>0.54166666666666663</v>
      </c>
      <c r="G12" s="21">
        <v>1.7361111111111112E-4</v>
      </c>
      <c r="H12" s="22" t="s">
        <v>153</v>
      </c>
      <c r="I12" s="23">
        <v>0.46561342592592592</v>
      </c>
      <c r="J12" s="18" t="s">
        <v>84</v>
      </c>
      <c r="K12" s="18" t="s">
        <v>150</v>
      </c>
      <c r="L12" s="24">
        <v>1</v>
      </c>
      <c r="M12" s="24">
        <v>69836</v>
      </c>
      <c r="N12" s="18" t="s">
        <v>54</v>
      </c>
      <c r="O12" s="24"/>
      <c r="P12" s="25">
        <v>0</v>
      </c>
      <c r="Q12" s="24"/>
      <c r="R12" s="25">
        <v>0</v>
      </c>
      <c r="S12" s="26">
        <v>46074</v>
      </c>
      <c r="T12" s="25">
        <v>0</v>
      </c>
      <c r="U12" s="27">
        <v>4</v>
      </c>
      <c r="V12" s="25">
        <v>0</v>
      </c>
      <c r="W12" s="18" t="s">
        <v>34</v>
      </c>
      <c r="X12" s="18" t="s">
        <v>49</v>
      </c>
      <c r="Y12" s="18" t="s">
        <v>86</v>
      </c>
      <c r="Z12" s="18" t="s">
        <v>43</v>
      </c>
      <c r="AA12" s="18" t="s">
        <v>50</v>
      </c>
      <c r="AB12" s="18" t="s">
        <v>113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">
      <c r="A13" s="18" t="s">
        <v>82</v>
      </c>
      <c r="B13" s="19">
        <v>46074</v>
      </c>
      <c r="C13" s="19">
        <v>46074</v>
      </c>
      <c r="D13" s="18" t="s">
        <v>214</v>
      </c>
      <c r="E13" s="20">
        <v>0.45833333333333331</v>
      </c>
      <c r="F13" s="20">
        <v>0.5</v>
      </c>
      <c r="G13" s="20">
        <v>3.4722222222222218E-4</v>
      </c>
      <c r="H13" s="18" t="s">
        <v>83</v>
      </c>
      <c r="I13" s="23">
        <v>0.46986111111111112</v>
      </c>
      <c r="J13" s="18" t="s">
        <v>84</v>
      </c>
      <c r="K13" s="18" t="s">
        <v>150</v>
      </c>
      <c r="L13" s="24">
        <v>1</v>
      </c>
      <c r="M13" s="24">
        <v>70169</v>
      </c>
      <c r="N13" s="18" t="s">
        <v>54</v>
      </c>
      <c r="O13" s="24" t="s">
        <v>85</v>
      </c>
      <c r="P13" s="25">
        <v>35</v>
      </c>
      <c r="Q13" s="24"/>
      <c r="R13" s="25">
        <v>35</v>
      </c>
      <c r="S13" s="26">
        <v>46074</v>
      </c>
      <c r="T13" s="25">
        <v>0</v>
      </c>
      <c r="U13" s="27">
        <v>4</v>
      </c>
      <c r="V13" s="25">
        <v>35</v>
      </c>
      <c r="W13" s="18" t="s">
        <v>48</v>
      </c>
      <c r="X13" s="18" t="s">
        <v>49</v>
      </c>
      <c r="Y13" s="18" t="s">
        <v>86</v>
      </c>
      <c r="Z13" s="18" t="s">
        <v>43</v>
      </c>
      <c r="AA13" s="18" t="s">
        <v>50</v>
      </c>
      <c r="AB13" s="18" t="s">
        <v>87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5">
      <c r="A14" s="9" t="s">
        <v>79</v>
      </c>
      <c r="B14" s="10">
        <v>46074</v>
      </c>
      <c r="C14" s="10">
        <v>46074</v>
      </c>
      <c r="D14" s="11" t="s">
        <v>214</v>
      </c>
      <c r="E14" s="12">
        <v>0.47916666666666669</v>
      </c>
      <c r="F14" s="12">
        <v>0.48958333333333331</v>
      </c>
      <c r="G14" s="12">
        <v>1.0416666666666666E-2</v>
      </c>
      <c r="H14" s="9" t="s">
        <v>218</v>
      </c>
      <c r="I14" s="13"/>
      <c r="J14" s="9" t="s">
        <v>84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31" customFormat="1" ht="35.1" customHeight="1" x14ac:dyDescent="0.2">
      <c r="A15" s="18" t="s">
        <v>82</v>
      </c>
      <c r="B15" s="19">
        <v>46074</v>
      </c>
      <c r="C15" s="19">
        <v>46074</v>
      </c>
      <c r="D15" s="18" t="s">
        <v>214</v>
      </c>
      <c r="E15" s="20">
        <v>0.45833333333333331</v>
      </c>
      <c r="F15" s="20">
        <v>0.5</v>
      </c>
      <c r="G15" s="20">
        <v>3.4722222222222218E-4</v>
      </c>
      <c r="H15" s="18" t="s">
        <v>83</v>
      </c>
      <c r="I15" s="23">
        <v>0.48895833333333333</v>
      </c>
      <c r="J15" s="18" t="s">
        <v>84</v>
      </c>
      <c r="K15" s="18" t="s">
        <v>218</v>
      </c>
      <c r="L15" s="24">
        <v>1</v>
      </c>
      <c r="M15" s="24">
        <v>70169</v>
      </c>
      <c r="N15" s="18" t="s">
        <v>54</v>
      </c>
      <c r="O15" s="24" t="s">
        <v>85</v>
      </c>
      <c r="P15" s="25">
        <v>35</v>
      </c>
      <c r="Q15" s="24"/>
      <c r="R15" s="25">
        <v>35</v>
      </c>
      <c r="S15" s="26">
        <v>46074</v>
      </c>
      <c r="T15" s="25">
        <v>0</v>
      </c>
      <c r="U15" s="27">
        <v>4</v>
      </c>
      <c r="V15" s="25">
        <v>35</v>
      </c>
      <c r="W15" s="18" t="s">
        <v>48</v>
      </c>
      <c r="X15" s="18" t="s">
        <v>49</v>
      </c>
      <c r="Y15" s="18" t="s">
        <v>86</v>
      </c>
      <c r="Z15" s="18" t="s">
        <v>43</v>
      </c>
      <c r="AA15" s="18" t="s">
        <v>50</v>
      </c>
      <c r="AB15" s="18" t="s">
        <v>87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5">
      <c r="A16" s="9" t="s">
        <v>79</v>
      </c>
      <c r="B16" s="10">
        <v>46074</v>
      </c>
      <c r="C16" s="10">
        <v>46074</v>
      </c>
      <c r="D16" s="11" t="s">
        <v>214</v>
      </c>
      <c r="E16" s="12">
        <v>0.48958333333333331</v>
      </c>
      <c r="F16" s="12">
        <v>0.5</v>
      </c>
      <c r="G16" s="12">
        <v>1.0416666666666666E-2</v>
      </c>
      <c r="H16" s="9" t="s">
        <v>219</v>
      </c>
      <c r="I16" s="13"/>
      <c r="J16" s="9" t="s">
        <v>84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</row>
    <row r="17" spans="1:49" s="31" customFormat="1" ht="35.1" customHeight="1" x14ac:dyDescent="0.25">
      <c r="A17" s="18" t="s">
        <v>82</v>
      </c>
      <c r="B17" s="19">
        <v>46074</v>
      </c>
      <c r="C17" s="19">
        <v>46074</v>
      </c>
      <c r="D17" s="18" t="s">
        <v>214</v>
      </c>
      <c r="E17" s="20">
        <v>0.45833333333333331</v>
      </c>
      <c r="F17" s="20">
        <v>0.54166666666666663</v>
      </c>
      <c r="G17" s="20">
        <v>3.4722222222222218E-4</v>
      </c>
      <c r="H17" s="18" t="s">
        <v>83</v>
      </c>
      <c r="I17" s="23">
        <v>0.49306712962962962</v>
      </c>
      <c r="J17" s="18" t="s">
        <v>84</v>
      </c>
      <c r="K17" s="18" t="s">
        <v>171</v>
      </c>
      <c r="L17" s="24">
        <v>1</v>
      </c>
      <c r="M17" s="24">
        <v>70171</v>
      </c>
      <c r="N17" s="18" t="s">
        <v>46</v>
      </c>
      <c r="O17" s="24" t="s">
        <v>85</v>
      </c>
      <c r="P17" s="25">
        <v>0</v>
      </c>
      <c r="Q17" s="24"/>
      <c r="R17" s="25">
        <v>0</v>
      </c>
      <c r="S17" s="26">
        <v>46074</v>
      </c>
      <c r="T17" s="25">
        <v>0</v>
      </c>
      <c r="U17" s="27">
        <v>4</v>
      </c>
      <c r="V17" s="25">
        <v>0</v>
      </c>
      <c r="W17" s="18" t="s">
        <v>48</v>
      </c>
      <c r="X17" s="18" t="s">
        <v>49</v>
      </c>
      <c r="Y17" s="18" t="s">
        <v>86</v>
      </c>
      <c r="Z17" s="18" t="s">
        <v>43</v>
      </c>
      <c r="AA17" s="18" t="s">
        <v>50</v>
      </c>
      <c r="AB17" s="18" t="s">
        <v>87</v>
      </c>
      <c r="AC17" s="18" t="s">
        <v>38</v>
      </c>
      <c r="AD17" s="7" t="str">
        <f t="shared" si="0"/>
        <v/>
      </c>
      <c r="AE17" s="28"/>
      <c r="AF17" s="28"/>
      <c r="AG17" s="28"/>
      <c r="AH17" s="28"/>
    </row>
    <row r="18" spans="1:49" s="31" customFormat="1" ht="35.1" customHeight="1" x14ac:dyDescent="0.25">
      <c r="A18" s="9" t="s">
        <v>79</v>
      </c>
      <c r="B18" s="10">
        <v>46074</v>
      </c>
      <c r="C18" s="10">
        <v>46074</v>
      </c>
      <c r="D18" s="11" t="s">
        <v>214</v>
      </c>
      <c r="E18" s="12">
        <v>0.5</v>
      </c>
      <c r="F18" s="12">
        <v>0.54166666666666663</v>
      </c>
      <c r="G18" s="12">
        <v>4.1666666666666664E-2</v>
      </c>
      <c r="H18" s="9" t="s">
        <v>220</v>
      </c>
      <c r="I18" s="13"/>
      <c r="J18" s="9" t="s">
        <v>84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</row>
    <row r="19" spans="1:49" s="31" customFormat="1" ht="35.1" customHeight="1" x14ac:dyDescent="0.25">
      <c r="A19" s="18" t="s">
        <v>121</v>
      </c>
      <c r="B19" s="19">
        <v>46074</v>
      </c>
      <c r="C19" s="19">
        <v>46074</v>
      </c>
      <c r="D19" s="18" t="s">
        <v>214</v>
      </c>
      <c r="E19" s="20">
        <v>0.45833333333333331</v>
      </c>
      <c r="F19" s="20">
        <v>0.54166666666666663</v>
      </c>
      <c r="G19" s="21">
        <v>1.7361111111111109E-4</v>
      </c>
      <c r="H19" s="22" t="s">
        <v>158</v>
      </c>
      <c r="I19" s="23">
        <v>0.50445601851851851</v>
      </c>
      <c r="J19" s="18" t="s">
        <v>84</v>
      </c>
      <c r="K19" s="18" t="s">
        <v>140</v>
      </c>
      <c r="L19" s="24">
        <v>1</v>
      </c>
      <c r="M19" s="24">
        <v>69571</v>
      </c>
      <c r="N19" s="18" t="s">
        <v>46</v>
      </c>
      <c r="O19" s="24" t="s">
        <v>159</v>
      </c>
      <c r="P19" s="25">
        <v>0</v>
      </c>
      <c r="Q19" s="24"/>
      <c r="R19" s="25">
        <v>0</v>
      </c>
      <c r="S19" s="26">
        <v>46054</v>
      </c>
      <c r="T19" s="25">
        <v>0</v>
      </c>
      <c r="U19" s="27">
        <v>4</v>
      </c>
      <c r="V19" s="25">
        <v>0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50</v>
      </c>
      <c r="AB19" s="18" t="s">
        <v>160</v>
      </c>
      <c r="AC19" s="18" t="s">
        <v>38</v>
      </c>
      <c r="AD19" s="7" t="str">
        <f t="shared" si="0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31" customFormat="1" ht="35.1" customHeight="1" x14ac:dyDescent="0.2">
      <c r="A20" s="18" t="s">
        <v>121</v>
      </c>
      <c r="B20" s="19">
        <v>46074</v>
      </c>
      <c r="C20" s="19">
        <v>46074</v>
      </c>
      <c r="D20" s="18" t="s">
        <v>214</v>
      </c>
      <c r="E20" s="20">
        <v>0.45833333333333331</v>
      </c>
      <c r="F20" s="20">
        <v>0.54166666666666663</v>
      </c>
      <c r="G20" s="21">
        <v>1.7361111111111109E-4</v>
      </c>
      <c r="H20" s="22" t="s">
        <v>161</v>
      </c>
      <c r="I20" s="23">
        <v>0.50619212962962967</v>
      </c>
      <c r="J20" s="18" t="s">
        <v>84</v>
      </c>
      <c r="K20" s="18" t="s">
        <v>140</v>
      </c>
      <c r="L20" s="24">
        <v>1</v>
      </c>
      <c r="M20" s="24">
        <v>69571</v>
      </c>
      <c r="N20" s="18" t="s">
        <v>46</v>
      </c>
      <c r="O20" s="24" t="s">
        <v>159</v>
      </c>
      <c r="P20" s="25">
        <v>0</v>
      </c>
      <c r="Q20" s="24"/>
      <c r="R20" s="25">
        <v>0</v>
      </c>
      <c r="S20" s="26">
        <v>46054</v>
      </c>
      <c r="T20" s="25">
        <v>0</v>
      </c>
      <c r="U20" s="27">
        <v>4</v>
      </c>
      <c r="V20" s="25">
        <v>0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160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">
      <c r="A21" s="18" t="s">
        <v>121</v>
      </c>
      <c r="B21" s="19">
        <v>46074</v>
      </c>
      <c r="C21" s="19">
        <v>46074</v>
      </c>
      <c r="D21" s="18" t="s">
        <v>214</v>
      </c>
      <c r="E21" s="20">
        <v>0.45833333333333331</v>
      </c>
      <c r="F21" s="20">
        <v>0.54166666666666663</v>
      </c>
      <c r="G21" s="21">
        <v>1.7361111111111109E-4</v>
      </c>
      <c r="H21" s="22" t="s">
        <v>162</v>
      </c>
      <c r="I21" s="23">
        <v>0.5190393518518519</v>
      </c>
      <c r="J21" s="18" t="s">
        <v>84</v>
      </c>
      <c r="K21" s="18" t="s">
        <v>140</v>
      </c>
      <c r="L21" s="24">
        <v>1</v>
      </c>
      <c r="M21" s="24">
        <v>69571</v>
      </c>
      <c r="N21" s="18" t="s">
        <v>46</v>
      </c>
      <c r="O21" s="24" t="s">
        <v>159</v>
      </c>
      <c r="P21" s="25">
        <v>0</v>
      </c>
      <c r="Q21" s="24"/>
      <c r="R21" s="25">
        <v>0</v>
      </c>
      <c r="S21" s="26">
        <v>46054</v>
      </c>
      <c r="T21" s="25">
        <v>0</v>
      </c>
      <c r="U21" s="27">
        <v>4</v>
      </c>
      <c r="V21" s="25">
        <v>0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160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5">
      <c r="A22" s="18" t="s">
        <v>121</v>
      </c>
      <c r="B22" s="19">
        <v>46074</v>
      </c>
      <c r="C22" s="19">
        <v>46074</v>
      </c>
      <c r="D22" s="18" t="s">
        <v>214</v>
      </c>
      <c r="E22" s="20">
        <v>0.45833333333333331</v>
      </c>
      <c r="F22" s="20">
        <v>0.54166666666666663</v>
      </c>
      <c r="G22" s="21">
        <v>1.7361111111111109E-4</v>
      </c>
      <c r="H22" s="22" t="s">
        <v>161</v>
      </c>
      <c r="I22" s="23">
        <v>0.52094907407407409</v>
      </c>
      <c r="J22" s="18" t="s">
        <v>84</v>
      </c>
      <c r="K22" s="18" t="s">
        <v>140</v>
      </c>
      <c r="L22" s="24">
        <v>1</v>
      </c>
      <c r="M22" s="24">
        <v>69571</v>
      </c>
      <c r="N22" s="18" t="s">
        <v>46</v>
      </c>
      <c r="O22" s="24" t="s">
        <v>159</v>
      </c>
      <c r="P22" s="25">
        <v>0</v>
      </c>
      <c r="Q22" s="24"/>
      <c r="R22" s="25">
        <v>0</v>
      </c>
      <c r="S22" s="26">
        <v>46054</v>
      </c>
      <c r="T22" s="25">
        <v>0</v>
      </c>
      <c r="U22" s="27">
        <v>4</v>
      </c>
      <c r="V22" s="25">
        <v>0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160</v>
      </c>
      <c r="AC22" s="18" t="s">
        <v>38</v>
      </c>
      <c r="AD22" s="7" t="str">
        <f t="shared" si="0"/>
        <v/>
      </c>
      <c r="AE22" s="28"/>
      <c r="AF22" s="28"/>
      <c r="AG22" s="28"/>
      <c r="AH22" s="28"/>
    </row>
    <row r="23" spans="1:49" s="31" customFormat="1" ht="35.1" customHeight="1" x14ac:dyDescent="0.25">
      <c r="A23" s="18" t="s">
        <v>88</v>
      </c>
      <c r="B23" s="19">
        <v>46074</v>
      </c>
      <c r="C23" s="19">
        <v>46074</v>
      </c>
      <c r="D23" s="18" t="s">
        <v>214</v>
      </c>
      <c r="E23" s="20">
        <v>0.45833333333333331</v>
      </c>
      <c r="F23" s="20">
        <v>0.54166666666666663</v>
      </c>
      <c r="G23" s="20">
        <v>3.4722222222222218E-4</v>
      </c>
      <c r="H23" s="18" t="s">
        <v>151</v>
      </c>
      <c r="I23" s="23">
        <v>0.5258680555555556</v>
      </c>
      <c r="J23" s="18" t="s">
        <v>84</v>
      </c>
      <c r="K23" s="18" t="s">
        <v>140</v>
      </c>
      <c r="L23" s="24">
        <v>1</v>
      </c>
      <c r="M23" s="24">
        <v>71438</v>
      </c>
      <c r="N23" s="18" t="s">
        <v>46</v>
      </c>
      <c r="O23" s="24" t="s">
        <v>90</v>
      </c>
      <c r="P23" s="25">
        <v>0</v>
      </c>
      <c r="Q23" s="24"/>
      <c r="R23" s="25">
        <v>0</v>
      </c>
      <c r="S23" s="26">
        <v>46074</v>
      </c>
      <c r="T23" s="25">
        <v>0</v>
      </c>
      <c r="U23" s="27">
        <v>4</v>
      </c>
      <c r="V23" s="25">
        <v>0</v>
      </c>
      <c r="W23" s="18" t="s">
        <v>48</v>
      </c>
      <c r="X23" s="18" t="s">
        <v>49</v>
      </c>
      <c r="Y23" s="18" t="s">
        <v>86</v>
      </c>
      <c r="Z23" s="18" t="s">
        <v>9</v>
      </c>
      <c r="AA23" s="18" t="s">
        <v>50</v>
      </c>
      <c r="AB23" s="18" t="s">
        <v>91</v>
      </c>
      <c r="AC23" s="18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31" customFormat="1" ht="35.1" customHeight="1" x14ac:dyDescent="0.25">
      <c r="A24" s="18" t="s">
        <v>154</v>
      </c>
      <c r="B24" s="19">
        <v>46074</v>
      </c>
      <c r="C24" s="19">
        <v>46074</v>
      </c>
      <c r="D24" s="18" t="s">
        <v>214</v>
      </c>
      <c r="E24" s="20">
        <v>0.45833333333333331</v>
      </c>
      <c r="F24" s="20">
        <v>0.54166666666666663</v>
      </c>
      <c r="G24" s="20">
        <v>3.4722222222222218E-4</v>
      </c>
      <c r="H24" s="18" t="s">
        <v>155</v>
      </c>
      <c r="I24" s="23">
        <v>0.53353009259259254</v>
      </c>
      <c r="J24" s="18" t="s">
        <v>84</v>
      </c>
      <c r="K24" s="18" t="s">
        <v>140</v>
      </c>
      <c r="L24" s="24">
        <v>1</v>
      </c>
      <c r="M24" s="24">
        <v>71253</v>
      </c>
      <c r="N24" s="18" t="s">
        <v>46</v>
      </c>
      <c r="O24" s="24" t="s">
        <v>156</v>
      </c>
      <c r="P24" s="25">
        <v>0</v>
      </c>
      <c r="Q24" s="24"/>
      <c r="R24" s="25">
        <v>0</v>
      </c>
      <c r="S24" s="26">
        <v>46074</v>
      </c>
      <c r="T24" s="25">
        <v>0</v>
      </c>
      <c r="U24" s="27">
        <v>4</v>
      </c>
      <c r="V24" s="25">
        <v>0</v>
      </c>
      <c r="W24" s="18" t="s">
        <v>48</v>
      </c>
      <c r="X24" s="18" t="s">
        <v>49</v>
      </c>
      <c r="Y24" s="18" t="s">
        <v>86</v>
      </c>
      <c r="Z24" s="18" t="s">
        <v>9</v>
      </c>
      <c r="AA24" s="18" t="s">
        <v>50</v>
      </c>
      <c r="AB24" s="18" t="s">
        <v>157</v>
      </c>
      <c r="AC24" s="18" t="s">
        <v>38</v>
      </c>
      <c r="AD24" s="7" t="str">
        <f t="shared" si="0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31" customFormat="1" ht="35.1" customHeight="1" x14ac:dyDescent="0.25">
      <c r="A25" s="9" t="s">
        <v>221</v>
      </c>
      <c r="B25" s="10">
        <v>46074</v>
      </c>
      <c r="C25" s="10">
        <v>46074</v>
      </c>
      <c r="D25" s="11" t="s">
        <v>214</v>
      </c>
      <c r="E25" s="12">
        <v>0.54166666666666663</v>
      </c>
      <c r="F25" s="12">
        <v>0.58333333333333337</v>
      </c>
      <c r="G25" s="12">
        <v>4.1666666666666664E-2</v>
      </c>
      <c r="H25" s="48" t="s">
        <v>221</v>
      </c>
      <c r="I25" s="13"/>
      <c r="J25" s="9" t="s">
        <v>97</v>
      </c>
      <c r="K25" s="9" t="s">
        <v>222</v>
      </c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1</v>
      </c>
      <c r="V25" s="16">
        <v>0</v>
      </c>
      <c r="W25" s="9" t="s">
        <v>34</v>
      </c>
      <c r="X25" s="9" t="s">
        <v>35</v>
      </c>
      <c r="Y25" s="9" t="s">
        <v>36</v>
      </c>
      <c r="Z25" s="9" t="s">
        <v>149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31" customFormat="1" ht="35.1" customHeight="1" x14ac:dyDescent="0.25">
      <c r="A26" s="18" t="s">
        <v>44</v>
      </c>
      <c r="B26" s="19">
        <v>46074</v>
      </c>
      <c r="C26" s="19">
        <v>46074</v>
      </c>
      <c r="D26" s="18" t="s">
        <v>214</v>
      </c>
      <c r="E26" s="20">
        <v>0.54166666666666663</v>
      </c>
      <c r="F26" s="20">
        <v>0.66666666666666663</v>
      </c>
      <c r="G26" s="21">
        <v>1.7361111111111109E-4</v>
      </c>
      <c r="H26" s="22" t="s">
        <v>223</v>
      </c>
      <c r="I26" s="23">
        <v>0.56571759259259258</v>
      </c>
      <c r="J26" s="18" t="s">
        <v>97</v>
      </c>
      <c r="K26" s="18" t="s">
        <v>242</v>
      </c>
      <c r="L26" s="24">
        <v>1</v>
      </c>
      <c r="M26" s="24">
        <v>71006</v>
      </c>
      <c r="N26" s="18" t="s">
        <v>54</v>
      </c>
      <c r="O26" s="24" t="s">
        <v>47</v>
      </c>
      <c r="P26" s="25">
        <v>15</v>
      </c>
      <c r="Q26" s="24"/>
      <c r="R26" s="25">
        <v>15</v>
      </c>
      <c r="S26" s="26">
        <v>46054</v>
      </c>
      <c r="T26" s="25">
        <v>2.25</v>
      </c>
      <c r="U26" s="27">
        <v>4</v>
      </c>
      <c r="V26" s="25">
        <v>12.75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51</v>
      </c>
      <c r="AC26" s="18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1" customFormat="1" ht="35.1" customHeight="1" x14ac:dyDescent="0.25">
      <c r="A27" s="18" t="s">
        <v>44</v>
      </c>
      <c r="B27" s="19">
        <v>46074</v>
      </c>
      <c r="C27" s="19">
        <v>46074</v>
      </c>
      <c r="D27" s="18" t="s">
        <v>214</v>
      </c>
      <c r="E27" s="20">
        <v>0.54166666666666663</v>
      </c>
      <c r="F27" s="20">
        <v>0.66666666666666663</v>
      </c>
      <c r="G27" s="21">
        <v>1.7361111111111109E-4</v>
      </c>
      <c r="H27" s="22" t="s">
        <v>52</v>
      </c>
      <c r="I27" s="23">
        <v>0.56589120370370372</v>
      </c>
      <c r="J27" s="18" t="s">
        <v>97</v>
      </c>
      <c r="K27" s="18" t="s">
        <v>242</v>
      </c>
      <c r="L27" s="24">
        <v>1</v>
      </c>
      <c r="M27" s="24">
        <v>71006</v>
      </c>
      <c r="N27" s="18" t="s">
        <v>54</v>
      </c>
      <c r="O27" s="24" t="s">
        <v>47</v>
      </c>
      <c r="P27" s="25">
        <v>15</v>
      </c>
      <c r="Q27" s="24"/>
      <c r="R27" s="25">
        <v>15</v>
      </c>
      <c r="S27" s="26">
        <v>46054</v>
      </c>
      <c r="T27" s="25">
        <v>2.25</v>
      </c>
      <c r="U27" s="27">
        <v>4</v>
      </c>
      <c r="V27" s="25">
        <v>12.75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51</v>
      </c>
      <c r="AC27" s="18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1" customFormat="1" ht="35.1" customHeight="1" x14ac:dyDescent="0.25">
      <c r="A28" s="9" t="s">
        <v>224</v>
      </c>
      <c r="B28" s="10">
        <v>46074</v>
      </c>
      <c r="C28" s="10">
        <v>46074</v>
      </c>
      <c r="D28" s="11" t="s">
        <v>214</v>
      </c>
      <c r="E28" s="12">
        <v>0.58333333333333337</v>
      </c>
      <c r="F28" s="12">
        <v>0.625</v>
      </c>
      <c r="G28" s="12">
        <v>4.1666666666666664E-2</v>
      </c>
      <c r="H28" s="9" t="s">
        <v>225</v>
      </c>
      <c r="I28" s="13"/>
      <c r="J28" s="9" t="s">
        <v>97</v>
      </c>
      <c r="K28" s="9" t="s">
        <v>226</v>
      </c>
      <c r="L28" s="14">
        <v>1</v>
      </c>
      <c r="M28" s="14">
        <v>1</v>
      </c>
      <c r="N28" s="9" t="s">
        <v>33</v>
      </c>
      <c r="O28" s="9"/>
      <c r="P28" s="15">
        <v>0</v>
      </c>
      <c r="Q28" s="14"/>
      <c r="R28" s="16">
        <v>0</v>
      </c>
      <c r="S28" s="9">
        <v>46054</v>
      </c>
      <c r="T28" s="16">
        <v>0</v>
      </c>
      <c r="U28" s="14">
        <v>1</v>
      </c>
      <c r="V28" s="16">
        <v>0</v>
      </c>
      <c r="W28" s="9" t="s">
        <v>34</v>
      </c>
      <c r="X28" s="9" t="s">
        <v>35</v>
      </c>
      <c r="Y28" s="9" t="s">
        <v>36</v>
      </c>
      <c r="Z28" s="9" t="s">
        <v>149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31" customFormat="1" ht="35.1" customHeight="1" x14ac:dyDescent="0.25">
      <c r="A29" s="18" t="s">
        <v>44</v>
      </c>
      <c r="B29" s="19">
        <v>46074</v>
      </c>
      <c r="C29" s="19">
        <v>46074</v>
      </c>
      <c r="D29" s="18" t="s">
        <v>214</v>
      </c>
      <c r="E29" s="20">
        <v>0.54166666666666663</v>
      </c>
      <c r="F29" s="20">
        <v>0.66666666666666663</v>
      </c>
      <c r="G29" s="21">
        <v>1.7361111111111109E-4</v>
      </c>
      <c r="H29" s="22" t="s">
        <v>223</v>
      </c>
      <c r="I29" s="23">
        <v>0.61059027777777775</v>
      </c>
      <c r="J29" s="18" t="s">
        <v>97</v>
      </c>
      <c r="K29" s="18" t="s">
        <v>242</v>
      </c>
      <c r="L29" s="24">
        <v>1</v>
      </c>
      <c r="M29" s="24">
        <v>71011</v>
      </c>
      <c r="N29" s="18" t="s">
        <v>46</v>
      </c>
      <c r="O29" s="24" t="s">
        <v>47</v>
      </c>
      <c r="P29" s="25">
        <v>0</v>
      </c>
      <c r="Q29" s="24"/>
      <c r="R29" s="25">
        <v>0</v>
      </c>
      <c r="S29" s="26">
        <v>46054</v>
      </c>
      <c r="T29" s="25">
        <v>0</v>
      </c>
      <c r="U29" s="27">
        <v>4</v>
      </c>
      <c r="V29" s="25">
        <v>0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51</v>
      </c>
      <c r="AC29" s="18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31" customFormat="1" ht="35.1" customHeight="1" x14ac:dyDescent="0.25">
      <c r="A30" s="18" t="s">
        <v>44</v>
      </c>
      <c r="B30" s="19">
        <v>46074</v>
      </c>
      <c r="C30" s="19">
        <v>46074</v>
      </c>
      <c r="D30" s="18" t="s">
        <v>214</v>
      </c>
      <c r="E30" s="20">
        <v>0.54166666666666663</v>
      </c>
      <c r="F30" s="20">
        <v>0.66666666666666663</v>
      </c>
      <c r="G30" s="21">
        <v>1.7361111111111109E-4</v>
      </c>
      <c r="H30" s="22" t="s">
        <v>52</v>
      </c>
      <c r="I30" s="23">
        <v>0.6118055555555556</v>
      </c>
      <c r="J30" s="18" t="s">
        <v>97</v>
      </c>
      <c r="K30" s="18" t="s">
        <v>242</v>
      </c>
      <c r="L30" s="24">
        <v>1</v>
      </c>
      <c r="M30" s="24">
        <v>71011</v>
      </c>
      <c r="N30" s="18" t="s">
        <v>46</v>
      </c>
      <c r="O30" s="24" t="s">
        <v>47</v>
      </c>
      <c r="P30" s="25">
        <v>0</v>
      </c>
      <c r="Q30" s="24"/>
      <c r="R30" s="25">
        <v>0</v>
      </c>
      <c r="S30" s="26">
        <v>46054</v>
      </c>
      <c r="T30" s="25">
        <v>0</v>
      </c>
      <c r="U30" s="27">
        <v>4</v>
      </c>
      <c r="V30" s="25">
        <v>0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31" customFormat="1" ht="35.1" customHeight="1" x14ac:dyDescent="0.25">
      <c r="A31" s="9" t="s">
        <v>227</v>
      </c>
      <c r="B31" s="10">
        <v>46074</v>
      </c>
      <c r="C31" s="10">
        <v>46074</v>
      </c>
      <c r="D31" s="11" t="s">
        <v>214</v>
      </c>
      <c r="E31" s="12">
        <v>0.625</v>
      </c>
      <c r="F31" s="12">
        <v>0.66666666666666663</v>
      </c>
      <c r="G31" s="12">
        <v>4.1666666666666664E-2</v>
      </c>
      <c r="H31" s="9" t="s">
        <v>227</v>
      </c>
      <c r="I31" s="13"/>
      <c r="J31" s="9" t="s">
        <v>97</v>
      </c>
      <c r="K31" s="9" t="s">
        <v>227</v>
      </c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46074</v>
      </c>
      <c r="T31" s="16">
        <v>0</v>
      </c>
      <c r="U31" s="14">
        <v>1</v>
      </c>
      <c r="V31" s="16">
        <v>0</v>
      </c>
      <c r="W31" s="9" t="s">
        <v>34</v>
      </c>
      <c r="X31" s="9" t="s">
        <v>42</v>
      </c>
      <c r="Y31" s="9" t="s">
        <v>86</v>
      </c>
      <c r="Z31" s="9" t="s">
        <v>149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31" customFormat="1" ht="35.1" customHeight="1" x14ac:dyDescent="0.25">
      <c r="A32" s="18" t="s">
        <v>44</v>
      </c>
      <c r="B32" s="19">
        <v>46074</v>
      </c>
      <c r="C32" s="19">
        <v>46074</v>
      </c>
      <c r="D32" s="18" t="s">
        <v>214</v>
      </c>
      <c r="E32" s="20">
        <v>0.54166666666666663</v>
      </c>
      <c r="F32" s="20">
        <v>0.66666666666666663</v>
      </c>
      <c r="G32" s="21">
        <v>1.7361111111111109E-4</v>
      </c>
      <c r="H32" s="22" t="s">
        <v>223</v>
      </c>
      <c r="I32" s="23">
        <v>0.6340393518518519</v>
      </c>
      <c r="J32" s="18" t="s">
        <v>97</v>
      </c>
      <c r="K32" s="18" t="s">
        <v>242</v>
      </c>
      <c r="L32" s="24">
        <v>1</v>
      </c>
      <c r="M32" s="24">
        <v>71011</v>
      </c>
      <c r="N32" s="18" t="s">
        <v>46</v>
      </c>
      <c r="O32" s="24" t="s">
        <v>47</v>
      </c>
      <c r="P32" s="25">
        <v>0</v>
      </c>
      <c r="Q32" s="24"/>
      <c r="R32" s="25">
        <v>0</v>
      </c>
      <c r="S32" s="26">
        <v>46054</v>
      </c>
      <c r="T32" s="25">
        <v>0</v>
      </c>
      <c r="U32" s="27">
        <v>4</v>
      </c>
      <c r="V32" s="25">
        <v>0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51</v>
      </c>
      <c r="AC32" s="18" t="s">
        <v>38</v>
      </c>
      <c r="AD32" s="7" t="str">
        <f t="shared" si="0"/>
        <v/>
      </c>
      <c r="AE32" s="28"/>
      <c r="AF32" s="28"/>
      <c r="AG32" s="28"/>
      <c r="AH32" s="28"/>
    </row>
    <row r="33" spans="1:49" s="31" customFormat="1" ht="35.1" customHeight="1" x14ac:dyDescent="0.25">
      <c r="A33" s="18" t="s">
        <v>44</v>
      </c>
      <c r="B33" s="19">
        <v>46074</v>
      </c>
      <c r="C33" s="19">
        <v>46074</v>
      </c>
      <c r="D33" s="18" t="s">
        <v>214</v>
      </c>
      <c r="E33" s="20">
        <v>0.54166666666666663</v>
      </c>
      <c r="F33" s="20">
        <v>0.66666666666666663</v>
      </c>
      <c r="G33" s="21">
        <v>1.7361111111111109E-4</v>
      </c>
      <c r="H33" s="22" t="s">
        <v>52</v>
      </c>
      <c r="I33" s="23">
        <v>0.6350810185185185</v>
      </c>
      <c r="J33" s="18" t="s">
        <v>97</v>
      </c>
      <c r="K33" s="18" t="s">
        <v>242</v>
      </c>
      <c r="L33" s="24">
        <v>1</v>
      </c>
      <c r="M33" s="24">
        <v>71011</v>
      </c>
      <c r="N33" s="18" t="s">
        <v>46</v>
      </c>
      <c r="O33" s="24" t="s">
        <v>47</v>
      </c>
      <c r="P33" s="25">
        <v>0</v>
      </c>
      <c r="Q33" s="24"/>
      <c r="R33" s="25">
        <v>0</v>
      </c>
      <c r="S33" s="26">
        <v>46054</v>
      </c>
      <c r="T33" s="25">
        <v>0</v>
      </c>
      <c r="U33" s="27">
        <v>4</v>
      </c>
      <c r="V33" s="25">
        <v>0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51</v>
      </c>
      <c r="AC33" s="18" t="s">
        <v>38</v>
      </c>
      <c r="AD33" s="7" t="str">
        <f t="shared" si="0"/>
        <v/>
      </c>
      <c r="AE33" s="28"/>
      <c r="AF33" s="28"/>
      <c r="AG33" s="28"/>
      <c r="AH33" s="28"/>
    </row>
    <row r="34" spans="1:49" s="31" customFormat="1" ht="35.1" customHeight="1" x14ac:dyDescent="0.25">
      <c r="A34" s="9" t="s">
        <v>108</v>
      </c>
      <c r="B34" s="10">
        <v>46074</v>
      </c>
      <c r="C34" s="10">
        <v>46074</v>
      </c>
      <c r="D34" s="11" t="s">
        <v>214</v>
      </c>
      <c r="E34" s="12">
        <v>0.66666666666666663</v>
      </c>
      <c r="F34" s="12">
        <v>0.70833333333333337</v>
      </c>
      <c r="G34" s="12">
        <v>4.1666666666666664E-2</v>
      </c>
      <c r="H34" s="9" t="s">
        <v>117</v>
      </c>
      <c r="I34" s="13" t="s">
        <v>216</v>
      </c>
      <c r="J34" s="9" t="s">
        <v>110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</row>
    <row r="35" spans="1:49" s="31" customFormat="1" ht="35.1" customHeight="1" x14ac:dyDescent="0.25">
      <c r="A35" s="9" t="s">
        <v>115</v>
      </c>
      <c r="B35" s="10">
        <v>46074</v>
      </c>
      <c r="C35" s="10">
        <v>46074</v>
      </c>
      <c r="D35" s="11" t="s">
        <v>214</v>
      </c>
      <c r="E35" s="12">
        <v>0.70833333333333337</v>
      </c>
      <c r="F35" s="12">
        <v>0.75</v>
      </c>
      <c r="G35" s="12">
        <v>4.1666666666666664E-2</v>
      </c>
      <c r="H35" s="9" t="s">
        <v>167</v>
      </c>
      <c r="I35" s="13" t="s">
        <v>216</v>
      </c>
      <c r="J35" s="9" t="s">
        <v>110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31" customFormat="1" ht="35.1" customHeight="1" x14ac:dyDescent="0.25">
      <c r="A36" s="18" t="s">
        <v>70</v>
      </c>
      <c r="B36" s="19">
        <v>46074</v>
      </c>
      <c r="C36" s="19">
        <v>46074</v>
      </c>
      <c r="D36" s="18" t="s">
        <v>214</v>
      </c>
      <c r="E36" s="20">
        <v>0.66666666666666663</v>
      </c>
      <c r="F36" s="20">
        <v>0.79166666666666663</v>
      </c>
      <c r="G36" s="20">
        <v>3.4722222222222218E-4</v>
      </c>
      <c r="H36" s="18" t="s">
        <v>166</v>
      </c>
      <c r="I36" s="23">
        <v>0.7126851851851852</v>
      </c>
      <c r="J36" s="18" t="s">
        <v>110</v>
      </c>
      <c r="K36" s="18" t="s">
        <v>167</v>
      </c>
      <c r="L36" s="24">
        <v>1</v>
      </c>
      <c r="M36" s="24">
        <v>70992</v>
      </c>
      <c r="N36" s="18" t="s">
        <v>46</v>
      </c>
      <c r="O36" s="24" t="str">
        <f>AC36</f>
        <v>CVC</v>
      </c>
      <c r="P36" s="25">
        <v>0</v>
      </c>
      <c r="Q36" s="24"/>
      <c r="R36" s="25">
        <v>0</v>
      </c>
      <c r="S36" s="26">
        <v>46054</v>
      </c>
      <c r="T36" s="25">
        <v>0</v>
      </c>
      <c r="U36" s="27">
        <v>4</v>
      </c>
      <c r="V36" s="25">
        <v>0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72</v>
      </c>
      <c r="AC36" s="18" t="s">
        <v>38</v>
      </c>
      <c r="AD36" s="7" t="str">
        <f t="shared" si="0"/>
        <v/>
      </c>
      <c r="AE36" s="28"/>
      <c r="AF36" s="28"/>
      <c r="AG36" s="28"/>
      <c r="AH36" s="28"/>
    </row>
    <row r="37" spans="1:49" s="31" customFormat="1" ht="35.1" customHeight="1" x14ac:dyDescent="0.25">
      <c r="A37" s="18" t="s">
        <v>103</v>
      </c>
      <c r="B37" s="19">
        <v>46074</v>
      </c>
      <c r="C37" s="19">
        <v>46074</v>
      </c>
      <c r="D37" s="18" t="s">
        <v>214</v>
      </c>
      <c r="E37" s="20">
        <v>0.66666666666666663</v>
      </c>
      <c r="F37" s="20">
        <v>0.75</v>
      </c>
      <c r="G37" s="20">
        <v>3.4722222222222218E-4</v>
      </c>
      <c r="H37" s="18" t="s">
        <v>210</v>
      </c>
      <c r="I37" s="23">
        <v>0.7281481481481481</v>
      </c>
      <c r="J37" s="18" t="s">
        <v>110</v>
      </c>
      <c r="K37" s="18" t="s">
        <v>167</v>
      </c>
      <c r="L37" s="24">
        <v>1</v>
      </c>
      <c r="M37" s="24">
        <v>59761</v>
      </c>
      <c r="N37" s="18" t="s">
        <v>54</v>
      </c>
      <c r="O37" s="24"/>
      <c r="P37" s="25">
        <v>40</v>
      </c>
      <c r="Q37" s="24"/>
      <c r="R37" s="25">
        <v>40</v>
      </c>
      <c r="S37" s="26">
        <v>46054</v>
      </c>
      <c r="T37" s="25">
        <v>0</v>
      </c>
      <c r="U37" s="27">
        <v>4</v>
      </c>
      <c r="V37" s="25">
        <v>40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105</v>
      </c>
      <c r="AC37" s="18" t="s">
        <v>38</v>
      </c>
      <c r="AD37" s="7" t="str">
        <f t="shared" si="0"/>
        <v/>
      </c>
      <c r="AE37" s="28"/>
      <c r="AF37" s="28"/>
      <c r="AG37" s="28"/>
      <c r="AH37" s="28"/>
    </row>
    <row r="38" spans="1:49" s="31" customFormat="1" ht="35.1" customHeight="1" x14ac:dyDescent="0.2">
      <c r="A38" s="18" t="s">
        <v>44</v>
      </c>
      <c r="B38" s="19">
        <v>46074</v>
      </c>
      <c r="C38" s="19">
        <v>46074</v>
      </c>
      <c r="D38" s="18" t="s">
        <v>214</v>
      </c>
      <c r="E38" s="20">
        <v>0.66666666666666663</v>
      </c>
      <c r="F38" s="20">
        <v>0.79166666666666663</v>
      </c>
      <c r="G38" s="21">
        <v>1.7361111111111109E-4</v>
      </c>
      <c r="H38" s="22" t="s">
        <v>223</v>
      </c>
      <c r="I38" s="23">
        <v>0.74858796296296293</v>
      </c>
      <c r="J38" s="18" t="s">
        <v>110</v>
      </c>
      <c r="K38" s="18" t="s">
        <v>167</v>
      </c>
      <c r="L38" s="24">
        <v>1</v>
      </c>
      <c r="M38" s="24">
        <v>71004</v>
      </c>
      <c r="N38" s="18" t="s">
        <v>46</v>
      </c>
      <c r="O38" s="24" t="s">
        <v>47</v>
      </c>
      <c r="P38" s="25">
        <v>0</v>
      </c>
      <c r="Q38" s="24"/>
      <c r="R38" s="25">
        <v>0</v>
      </c>
      <c r="S38" s="26">
        <v>46054</v>
      </c>
      <c r="T38" s="25">
        <v>0</v>
      </c>
      <c r="U38" s="27">
        <v>4</v>
      </c>
      <c r="V38" s="25">
        <v>0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51</v>
      </c>
      <c r="AC38" s="18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1" customFormat="1" ht="35.1" customHeight="1" x14ac:dyDescent="0.2">
      <c r="A39" s="18" t="s">
        <v>44</v>
      </c>
      <c r="B39" s="19">
        <v>46074</v>
      </c>
      <c r="C39" s="19">
        <v>46074</v>
      </c>
      <c r="D39" s="18" t="s">
        <v>214</v>
      </c>
      <c r="E39" s="20">
        <v>0.66666666666666663</v>
      </c>
      <c r="F39" s="20">
        <v>0.79166666666666663</v>
      </c>
      <c r="G39" s="21">
        <v>1.7361111111111109E-4</v>
      </c>
      <c r="H39" s="22" t="s">
        <v>52</v>
      </c>
      <c r="I39" s="23">
        <v>0.74962962962962965</v>
      </c>
      <c r="J39" s="18" t="s">
        <v>110</v>
      </c>
      <c r="K39" s="18" t="s">
        <v>167</v>
      </c>
      <c r="L39" s="24">
        <v>1</v>
      </c>
      <c r="M39" s="24">
        <v>71004</v>
      </c>
      <c r="N39" s="18" t="s">
        <v>46</v>
      </c>
      <c r="O39" s="24" t="s">
        <v>47</v>
      </c>
      <c r="P39" s="25">
        <v>0</v>
      </c>
      <c r="Q39" s="24"/>
      <c r="R39" s="25">
        <v>0</v>
      </c>
      <c r="S39" s="26">
        <v>46054</v>
      </c>
      <c r="T39" s="25">
        <v>0</v>
      </c>
      <c r="U39" s="27">
        <v>4</v>
      </c>
      <c r="V39" s="25">
        <v>0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51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1" customFormat="1" ht="35.1" customHeight="1" x14ac:dyDescent="0.25">
      <c r="A40" s="9" t="s">
        <v>228</v>
      </c>
      <c r="B40" s="10">
        <v>46074</v>
      </c>
      <c r="C40" s="10">
        <v>46074</v>
      </c>
      <c r="D40" s="11" t="s">
        <v>214</v>
      </c>
      <c r="E40" s="12">
        <v>0.75</v>
      </c>
      <c r="F40" s="12">
        <v>0.79166666666666663</v>
      </c>
      <c r="G40" s="12">
        <v>4.1666666666666664E-2</v>
      </c>
      <c r="H40" s="9" t="s">
        <v>229</v>
      </c>
      <c r="I40" s="13"/>
      <c r="J40" s="9" t="s">
        <v>230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31" customFormat="1" ht="35.1" customHeight="1" x14ac:dyDescent="0.2">
      <c r="A41" s="18" t="s">
        <v>70</v>
      </c>
      <c r="B41" s="19">
        <v>46074</v>
      </c>
      <c r="C41" s="19">
        <v>46074</v>
      </c>
      <c r="D41" s="18" t="s">
        <v>214</v>
      </c>
      <c r="E41" s="20">
        <v>0.75</v>
      </c>
      <c r="F41" s="20">
        <v>0.83333333333333337</v>
      </c>
      <c r="G41" s="20">
        <v>3.4722222222222218E-4</v>
      </c>
      <c r="H41" s="18" t="s">
        <v>231</v>
      </c>
      <c r="I41" s="23">
        <v>0.76128472222222221</v>
      </c>
      <c r="J41" s="18" t="s">
        <v>232</v>
      </c>
      <c r="K41" s="18" t="s">
        <v>228</v>
      </c>
      <c r="L41" s="24">
        <v>1</v>
      </c>
      <c r="M41" s="24">
        <v>70987</v>
      </c>
      <c r="N41" s="18" t="s">
        <v>46</v>
      </c>
      <c r="O41" s="24" t="str">
        <f>AC41</f>
        <v>CVC</v>
      </c>
      <c r="P41" s="25">
        <v>0</v>
      </c>
      <c r="Q41" s="24"/>
      <c r="R41" s="25">
        <v>0</v>
      </c>
      <c r="S41" s="26">
        <v>46054</v>
      </c>
      <c r="T41" s="25">
        <v>0</v>
      </c>
      <c r="U41" s="27">
        <v>4</v>
      </c>
      <c r="V41" s="25">
        <v>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72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1" customFormat="1" ht="35.1" customHeight="1" x14ac:dyDescent="0.2">
      <c r="A42" s="18" t="s">
        <v>44</v>
      </c>
      <c r="B42" s="19">
        <v>46074</v>
      </c>
      <c r="C42" s="19">
        <v>46074</v>
      </c>
      <c r="D42" s="18" t="s">
        <v>214</v>
      </c>
      <c r="E42" s="20">
        <v>0.75</v>
      </c>
      <c r="F42" s="20">
        <v>0.83333333333333337</v>
      </c>
      <c r="G42" s="21">
        <v>1.7361111111111109E-4</v>
      </c>
      <c r="H42" s="22" t="s">
        <v>234</v>
      </c>
      <c r="I42" s="23">
        <v>0.76111111111111107</v>
      </c>
      <c r="J42" s="18" t="s">
        <v>232</v>
      </c>
      <c r="K42" s="18" t="s">
        <v>228</v>
      </c>
      <c r="L42" s="24">
        <v>1</v>
      </c>
      <c r="M42" s="24">
        <v>71021</v>
      </c>
      <c r="N42" s="18" t="s">
        <v>54</v>
      </c>
      <c r="O42" s="24" t="s">
        <v>47</v>
      </c>
      <c r="P42" s="25">
        <v>15</v>
      </c>
      <c r="Q42" s="24"/>
      <c r="R42" s="25">
        <v>15</v>
      </c>
      <c r="S42" s="26">
        <v>46054</v>
      </c>
      <c r="T42" s="25">
        <v>2.25</v>
      </c>
      <c r="U42" s="27">
        <v>4</v>
      </c>
      <c r="V42" s="25">
        <v>12.75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51</v>
      </c>
      <c r="AC42" s="18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1" customFormat="1" ht="35.1" customHeight="1" x14ac:dyDescent="0.25">
      <c r="A43" s="18" t="s">
        <v>44</v>
      </c>
      <c r="B43" s="19">
        <v>46074</v>
      </c>
      <c r="C43" s="19">
        <v>46074</v>
      </c>
      <c r="D43" s="18" t="s">
        <v>214</v>
      </c>
      <c r="E43" s="20">
        <v>0.75</v>
      </c>
      <c r="F43" s="20">
        <v>0.83333333333333337</v>
      </c>
      <c r="G43" s="21">
        <v>1.7361111111111109E-4</v>
      </c>
      <c r="H43" s="22" t="s">
        <v>55</v>
      </c>
      <c r="I43" s="23">
        <v>0.76232638888888893</v>
      </c>
      <c r="J43" s="18" t="s">
        <v>232</v>
      </c>
      <c r="K43" s="18" t="s">
        <v>228</v>
      </c>
      <c r="L43" s="24">
        <v>1</v>
      </c>
      <c r="M43" s="24">
        <v>71021</v>
      </c>
      <c r="N43" s="18" t="s">
        <v>54</v>
      </c>
      <c r="O43" s="24" t="s">
        <v>47</v>
      </c>
      <c r="P43" s="25">
        <v>15</v>
      </c>
      <c r="Q43" s="24"/>
      <c r="R43" s="25">
        <v>15</v>
      </c>
      <c r="S43" s="26">
        <v>46054</v>
      </c>
      <c r="T43" s="25">
        <v>2.25</v>
      </c>
      <c r="U43" s="27">
        <v>4</v>
      </c>
      <c r="V43" s="25">
        <v>12.75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51</v>
      </c>
      <c r="AC43" s="18" t="s">
        <v>38</v>
      </c>
      <c r="AD43" s="7" t="str">
        <f t="shared" si="0"/>
        <v/>
      </c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</row>
    <row r="44" spans="1:49" s="31" customFormat="1" ht="35.1" customHeight="1" x14ac:dyDescent="0.25">
      <c r="A44" s="18" t="s">
        <v>60</v>
      </c>
      <c r="B44" s="19">
        <v>46074</v>
      </c>
      <c r="C44" s="19">
        <v>46074</v>
      </c>
      <c r="D44" s="18" t="s">
        <v>214</v>
      </c>
      <c r="E44" s="20">
        <v>0.75</v>
      </c>
      <c r="F44" s="20">
        <v>0.83333333333333337</v>
      </c>
      <c r="G44" s="20">
        <v>3.4722222222222218E-4</v>
      </c>
      <c r="H44" s="18" t="s">
        <v>233</v>
      </c>
      <c r="I44" s="23">
        <v>0.77368055555555559</v>
      </c>
      <c r="J44" s="18" t="s">
        <v>232</v>
      </c>
      <c r="K44" s="18" t="s">
        <v>228</v>
      </c>
      <c r="L44" s="24">
        <v>1</v>
      </c>
      <c r="M44" s="24">
        <v>64418</v>
      </c>
      <c r="N44" s="18" t="s">
        <v>46</v>
      </c>
      <c r="O44" s="24" t="s">
        <v>62</v>
      </c>
      <c r="P44" s="25">
        <v>0</v>
      </c>
      <c r="Q44" s="24"/>
      <c r="R44" s="25">
        <v>0</v>
      </c>
      <c r="S44" s="26">
        <v>46054</v>
      </c>
      <c r="T44" s="25">
        <v>0</v>
      </c>
      <c r="U44" s="27">
        <v>4</v>
      </c>
      <c r="V44" s="25">
        <v>0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63</v>
      </c>
      <c r="AC44" s="18" t="s">
        <v>38</v>
      </c>
      <c r="AD44" s="7" t="str">
        <f t="shared" si="0"/>
        <v/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31" customFormat="1" ht="35.1" customHeight="1" x14ac:dyDescent="0.25">
      <c r="A45" s="18" t="s">
        <v>70</v>
      </c>
      <c r="B45" s="19">
        <v>46074</v>
      </c>
      <c r="C45" s="19">
        <v>46074</v>
      </c>
      <c r="D45" s="18" t="s">
        <v>214</v>
      </c>
      <c r="E45" s="20">
        <v>0.75</v>
      </c>
      <c r="F45" s="20">
        <v>0.83333333333333337</v>
      </c>
      <c r="G45" s="20">
        <v>3.4722222222222218E-4</v>
      </c>
      <c r="H45" s="18" t="s">
        <v>231</v>
      </c>
      <c r="I45" s="23">
        <v>0.77918981481481486</v>
      </c>
      <c r="J45" s="18" t="s">
        <v>232</v>
      </c>
      <c r="K45" s="18" t="s">
        <v>228</v>
      </c>
      <c r="L45" s="24">
        <v>1</v>
      </c>
      <c r="M45" s="24">
        <v>70987</v>
      </c>
      <c r="N45" s="18" t="s">
        <v>46</v>
      </c>
      <c r="O45" s="24" t="str">
        <f>AC45</f>
        <v>CVC</v>
      </c>
      <c r="P45" s="25">
        <v>0</v>
      </c>
      <c r="Q45" s="24"/>
      <c r="R45" s="25">
        <v>0</v>
      </c>
      <c r="S45" s="26">
        <v>46054</v>
      </c>
      <c r="T45" s="25">
        <v>0</v>
      </c>
      <c r="U45" s="27">
        <v>4</v>
      </c>
      <c r="V45" s="25">
        <v>0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72</v>
      </c>
      <c r="AC45" s="18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31" customFormat="1" ht="35.1" customHeight="1" x14ac:dyDescent="0.25">
      <c r="A46" s="18" t="s">
        <v>44</v>
      </c>
      <c r="B46" s="19">
        <v>46074</v>
      </c>
      <c r="C46" s="19">
        <v>46074</v>
      </c>
      <c r="D46" s="18" t="s">
        <v>214</v>
      </c>
      <c r="E46" s="20">
        <v>0.75</v>
      </c>
      <c r="F46" s="20">
        <v>0.83333333333333337</v>
      </c>
      <c r="G46" s="21">
        <v>1.7361111111111109E-4</v>
      </c>
      <c r="H46" s="22" t="s">
        <v>234</v>
      </c>
      <c r="I46" s="23">
        <v>0.77866898148148145</v>
      </c>
      <c r="J46" s="18" t="s">
        <v>232</v>
      </c>
      <c r="K46" s="18" t="s">
        <v>228</v>
      </c>
      <c r="L46" s="24">
        <v>1</v>
      </c>
      <c r="M46" s="24">
        <v>71023</v>
      </c>
      <c r="N46" s="18" t="s">
        <v>46</v>
      </c>
      <c r="O46" s="24" t="s">
        <v>47</v>
      </c>
      <c r="P46" s="25">
        <v>0</v>
      </c>
      <c r="Q46" s="24"/>
      <c r="R46" s="25">
        <v>0</v>
      </c>
      <c r="S46" s="26">
        <v>46054</v>
      </c>
      <c r="T46" s="25">
        <v>0</v>
      </c>
      <c r="U46" s="27">
        <v>4</v>
      </c>
      <c r="V46" s="25">
        <v>0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51</v>
      </c>
      <c r="AC46" s="18" t="s">
        <v>38</v>
      </c>
      <c r="AD46" s="7" t="str">
        <f t="shared" si="0"/>
        <v/>
      </c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</row>
    <row r="47" spans="1:49" s="31" customFormat="1" ht="35.1" customHeight="1" x14ac:dyDescent="0.25">
      <c r="A47" s="18" t="s">
        <v>88</v>
      </c>
      <c r="B47" s="19">
        <v>46074</v>
      </c>
      <c r="C47" s="19">
        <v>46074</v>
      </c>
      <c r="D47" s="18" t="s">
        <v>214</v>
      </c>
      <c r="E47" s="20">
        <v>0.75</v>
      </c>
      <c r="F47" s="20">
        <v>0.83333333333333337</v>
      </c>
      <c r="G47" s="20">
        <v>3.4722222222222218E-4</v>
      </c>
      <c r="H47" s="18" t="s">
        <v>238</v>
      </c>
      <c r="I47" s="23">
        <v>0.77884259259259259</v>
      </c>
      <c r="J47" s="18" t="s">
        <v>232</v>
      </c>
      <c r="K47" s="18" t="s">
        <v>228</v>
      </c>
      <c r="L47" s="24">
        <v>1</v>
      </c>
      <c r="M47" s="24">
        <v>71442</v>
      </c>
      <c r="N47" s="18" t="s">
        <v>54</v>
      </c>
      <c r="O47" s="24" t="s">
        <v>236</v>
      </c>
      <c r="P47" s="25">
        <v>52.941176470588239</v>
      </c>
      <c r="Q47" s="24"/>
      <c r="R47" s="25">
        <v>52.941176470588239</v>
      </c>
      <c r="S47" s="26">
        <v>46074</v>
      </c>
      <c r="T47" s="25">
        <v>7.9411764705882355</v>
      </c>
      <c r="U47" s="27">
        <v>4</v>
      </c>
      <c r="V47" s="25">
        <v>45</v>
      </c>
      <c r="W47" s="18" t="s">
        <v>48</v>
      </c>
      <c r="X47" s="18" t="s">
        <v>49</v>
      </c>
      <c r="Y47" s="18" t="s">
        <v>86</v>
      </c>
      <c r="Z47" s="18" t="s">
        <v>9</v>
      </c>
      <c r="AA47" s="18" t="s">
        <v>50</v>
      </c>
      <c r="AB47" s="18" t="s">
        <v>237</v>
      </c>
      <c r="AC47" s="18" t="s">
        <v>38</v>
      </c>
      <c r="AD47" s="7" t="str">
        <f t="shared" si="0"/>
        <v/>
      </c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</row>
    <row r="48" spans="1:49" s="31" customFormat="1" ht="35.1" customHeight="1" x14ac:dyDescent="0.25">
      <c r="A48" s="18" t="s">
        <v>44</v>
      </c>
      <c r="B48" s="19">
        <v>46074</v>
      </c>
      <c r="C48" s="19">
        <v>46074</v>
      </c>
      <c r="D48" s="18" t="s">
        <v>214</v>
      </c>
      <c r="E48" s="20">
        <v>0.75</v>
      </c>
      <c r="F48" s="20">
        <v>0.83333333333333337</v>
      </c>
      <c r="G48" s="21">
        <v>1.7361111111111109E-4</v>
      </c>
      <c r="H48" s="22" t="s">
        <v>55</v>
      </c>
      <c r="I48" s="23">
        <v>0.77953703703703703</v>
      </c>
      <c r="J48" s="18" t="s">
        <v>232</v>
      </c>
      <c r="K48" s="18" t="s">
        <v>228</v>
      </c>
      <c r="L48" s="24">
        <v>1</v>
      </c>
      <c r="M48" s="24">
        <v>71023</v>
      </c>
      <c r="N48" s="18" t="s">
        <v>46</v>
      </c>
      <c r="O48" s="24" t="s">
        <v>47</v>
      </c>
      <c r="P48" s="25">
        <v>0</v>
      </c>
      <c r="Q48" s="24"/>
      <c r="R48" s="25">
        <v>0</v>
      </c>
      <c r="S48" s="26">
        <v>46054</v>
      </c>
      <c r="T48" s="25">
        <v>0</v>
      </c>
      <c r="U48" s="27">
        <v>4</v>
      </c>
      <c r="V48" s="25">
        <v>0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51</v>
      </c>
      <c r="AC48" s="18" t="s">
        <v>38</v>
      </c>
      <c r="AD48" s="7" t="str">
        <f t="shared" si="0"/>
        <v/>
      </c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1:49" s="31" customFormat="1" ht="35.1" customHeight="1" x14ac:dyDescent="0.2">
      <c r="A49" s="18" t="s">
        <v>60</v>
      </c>
      <c r="B49" s="19">
        <v>46074</v>
      </c>
      <c r="C49" s="19">
        <v>46074</v>
      </c>
      <c r="D49" s="18" t="s">
        <v>214</v>
      </c>
      <c r="E49" s="20">
        <v>0.75</v>
      </c>
      <c r="F49" s="20">
        <v>0.83333333333333337</v>
      </c>
      <c r="G49" s="20">
        <v>3.4722222222222218E-4</v>
      </c>
      <c r="H49" s="18" t="s">
        <v>233</v>
      </c>
      <c r="I49" s="23">
        <v>0.78322916666666664</v>
      </c>
      <c r="J49" s="18" t="s">
        <v>232</v>
      </c>
      <c r="K49" s="18" t="s">
        <v>228</v>
      </c>
      <c r="L49" s="24">
        <v>1</v>
      </c>
      <c r="M49" s="24">
        <v>64410</v>
      </c>
      <c r="N49" s="18" t="s">
        <v>54</v>
      </c>
      <c r="O49" s="24" t="s">
        <v>62</v>
      </c>
      <c r="P49" s="25">
        <v>30</v>
      </c>
      <c r="Q49" s="24"/>
      <c r="R49" s="25">
        <v>30</v>
      </c>
      <c r="S49" s="26">
        <v>46054</v>
      </c>
      <c r="T49" s="25">
        <v>4.5</v>
      </c>
      <c r="U49" s="27">
        <v>4</v>
      </c>
      <c r="V49" s="25">
        <v>25.5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63</v>
      </c>
      <c r="AC49" s="18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1" customFormat="1" ht="35.1" customHeight="1" x14ac:dyDescent="0.2">
      <c r="A50" s="18" t="s">
        <v>70</v>
      </c>
      <c r="B50" s="19">
        <v>46074</v>
      </c>
      <c r="C50" s="19">
        <v>46074</v>
      </c>
      <c r="D50" s="18" t="s">
        <v>214</v>
      </c>
      <c r="E50" s="20">
        <v>0.75</v>
      </c>
      <c r="F50" s="20">
        <v>0.83333333333333337</v>
      </c>
      <c r="G50" s="20">
        <v>3.4722222222222218E-4</v>
      </c>
      <c r="H50" s="18" t="s">
        <v>231</v>
      </c>
      <c r="I50" s="23">
        <v>0.79010416666666672</v>
      </c>
      <c r="J50" s="18" t="s">
        <v>232</v>
      </c>
      <c r="K50" s="18" t="s">
        <v>228</v>
      </c>
      <c r="L50" s="24">
        <v>1</v>
      </c>
      <c r="M50" s="24">
        <v>70985</v>
      </c>
      <c r="N50" s="18" t="s">
        <v>54</v>
      </c>
      <c r="O50" s="24" t="str">
        <f>AC50</f>
        <v>CVC</v>
      </c>
      <c r="P50" s="25">
        <v>58.82</v>
      </c>
      <c r="Q50" s="24"/>
      <c r="R50" s="25">
        <v>58.82</v>
      </c>
      <c r="S50" s="26">
        <v>46054</v>
      </c>
      <c r="T50" s="25">
        <v>4.4115000000000002</v>
      </c>
      <c r="U50" s="27">
        <v>4</v>
      </c>
      <c r="V50" s="25">
        <v>54.408500000000004</v>
      </c>
      <c r="W50" s="18" t="s">
        <v>48</v>
      </c>
      <c r="X50" s="18" t="s">
        <v>49</v>
      </c>
      <c r="Y50" s="18" t="s">
        <v>36</v>
      </c>
      <c r="Z50" s="18" t="s">
        <v>9</v>
      </c>
      <c r="AA50" s="18" t="s">
        <v>50</v>
      </c>
      <c r="AB50" s="18" t="s">
        <v>72</v>
      </c>
      <c r="AC50" s="18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31" customFormat="1" ht="35.1" customHeight="1" x14ac:dyDescent="0.25">
      <c r="A51" s="9" t="s">
        <v>228</v>
      </c>
      <c r="B51" s="10">
        <v>46074</v>
      </c>
      <c r="C51" s="10">
        <v>46074</v>
      </c>
      <c r="D51" s="11" t="s">
        <v>214</v>
      </c>
      <c r="E51" s="12">
        <v>0.79166666666666663</v>
      </c>
      <c r="F51" s="12">
        <v>0.83333333333333337</v>
      </c>
      <c r="G51" s="12">
        <v>4.1666666666666664E-2</v>
      </c>
      <c r="H51" s="9" t="s">
        <v>241</v>
      </c>
      <c r="I51" s="13"/>
      <c r="J51" s="9" t="s">
        <v>230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</row>
    <row r="52" spans="1:49" s="31" customFormat="1" ht="35.1" customHeight="1" x14ac:dyDescent="0.2">
      <c r="A52" s="18" t="s">
        <v>88</v>
      </c>
      <c r="B52" s="19">
        <v>46074</v>
      </c>
      <c r="C52" s="19">
        <v>46074</v>
      </c>
      <c r="D52" s="18" t="s">
        <v>214</v>
      </c>
      <c r="E52" s="20">
        <v>0.75</v>
      </c>
      <c r="F52" s="20">
        <v>0.83333333333333337</v>
      </c>
      <c r="G52" s="20">
        <v>3.4722222222222218E-4</v>
      </c>
      <c r="H52" s="18" t="s">
        <v>238</v>
      </c>
      <c r="I52" s="23">
        <v>0.79827546296296292</v>
      </c>
      <c r="J52" s="18" t="s">
        <v>232</v>
      </c>
      <c r="K52" s="18" t="s">
        <v>241</v>
      </c>
      <c r="L52" s="24">
        <v>1</v>
      </c>
      <c r="M52" s="24">
        <v>71442</v>
      </c>
      <c r="N52" s="18" t="s">
        <v>54</v>
      </c>
      <c r="O52" s="24" t="s">
        <v>236</v>
      </c>
      <c r="P52" s="25">
        <v>52.941176470588239</v>
      </c>
      <c r="Q52" s="24"/>
      <c r="R52" s="25">
        <v>52.941176470588239</v>
      </c>
      <c r="S52" s="26">
        <v>46074</v>
      </c>
      <c r="T52" s="25">
        <v>7.9411764705882355</v>
      </c>
      <c r="U52" s="27">
        <v>4</v>
      </c>
      <c r="V52" s="25">
        <v>45</v>
      </c>
      <c r="W52" s="18" t="s">
        <v>48</v>
      </c>
      <c r="X52" s="18" t="s">
        <v>49</v>
      </c>
      <c r="Y52" s="18" t="s">
        <v>86</v>
      </c>
      <c r="Z52" s="18" t="s">
        <v>9</v>
      </c>
      <c r="AA52" s="18" t="s">
        <v>50</v>
      </c>
      <c r="AB52" s="18" t="s">
        <v>237</v>
      </c>
      <c r="AC52" s="18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31" customFormat="1" ht="35.1" customHeight="1" x14ac:dyDescent="0.25">
      <c r="A53" s="18" t="s">
        <v>111</v>
      </c>
      <c r="B53" s="19">
        <v>46074</v>
      </c>
      <c r="C53" s="19">
        <v>46074</v>
      </c>
      <c r="D53" s="18" t="s">
        <v>214</v>
      </c>
      <c r="E53" s="20">
        <v>0.75</v>
      </c>
      <c r="F53" s="20">
        <v>0.83333333333333337</v>
      </c>
      <c r="G53" s="21">
        <v>1.7361111111111112E-4</v>
      </c>
      <c r="H53" s="22" t="s">
        <v>239</v>
      </c>
      <c r="I53" s="23">
        <v>0.80901620370370375</v>
      </c>
      <c r="J53" s="18" t="s">
        <v>232</v>
      </c>
      <c r="K53" s="18" t="s">
        <v>241</v>
      </c>
      <c r="L53" s="24">
        <v>1</v>
      </c>
      <c r="M53" s="24">
        <v>69834</v>
      </c>
      <c r="N53" s="18" t="s">
        <v>54</v>
      </c>
      <c r="O53" s="24"/>
      <c r="P53" s="25">
        <v>34</v>
      </c>
      <c r="Q53" s="24"/>
      <c r="R53" s="25">
        <v>34</v>
      </c>
      <c r="S53" s="26">
        <v>46074</v>
      </c>
      <c r="T53" s="25">
        <v>0</v>
      </c>
      <c r="U53" s="27">
        <v>4</v>
      </c>
      <c r="V53" s="25">
        <v>34</v>
      </c>
      <c r="W53" s="18" t="s">
        <v>34</v>
      </c>
      <c r="X53" s="18" t="s">
        <v>49</v>
      </c>
      <c r="Y53" s="18" t="s">
        <v>86</v>
      </c>
      <c r="Z53" s="18" t="s">
        <v>43</v>
      </c>
      <c r="AA53" s="18" t="s">
        <v>50</v>
      </c>
      <c r="AB53" s="18" t="s">
        <v>113</v>
      </c>
      <c r="AC53" s="18" t="s">
        <v>38</v>
      </c>
      <c r="AD53" s="7" t="str">
        <f t="shared" si="0"/>
        <v/>
      </c>
      <c r="AE53" s="28"/>
      <c r="AF53" s="28"/>
      <c r="AG53" s="28"/>
      <c r="AH53" s="28"/>
    </row>
    <row r="54" spans="1:49" s="31" customFormat="1" ht="35.1" customHeight="1" x14ac:dyDescent="0.25">
      <c r="A54" s="18" t="s">
        <v>111</v>
      </c>
      <c r="B54" s="19">
        <v>46074</v>
      </c>
      <c r="C54" s="19">
        <v>46074</v>
      </c>
      <c r="D54" s="18" t="s">
        <v>214</v>
      </c>
      <c r="E54" s="20">
        <v>0.75</v>
      </c>
      <c r="F54" s="20">
        <v>0.83333333333333337</v>
      </c>
      <c r="G54" s="21">
        <v>1.7361111111111112E-4</v>
      </c>
      <c r="H54" s="22" t="s">
        <v>240</v>
      </c>
      <c r="I54" s="23">
        <v>0.8102314814814815</v>
      </c>
      <c r="J54" s="18" t="s">
        <v>232</v>
      </c>
      <c r="K54" s="18" t="s">
        <v>241</v>
      </c>
      <c r="L54" s="24">
        <v>1</v>
      </c>
      <c r="M54" s="24">
        <v>69834</v>
      </c>
      <c r="N54" s="18" t="s">
        <v>54</v>
      </c>
      <c r="O54" s="24"/>
      <c r="P54" s="25">
        <v>0</v>
      </c>
      <c r="Q54" s="24"/>
      <c r="R54" s="25">
        <v>0</v>
      </c>
      <c r="S54" s="26">
        <v>46074</v>
      </c>
      <c r="T54" s="25">
        <v>0</v>
      </c>
      <c r="U54" s="27">
        <v>4</v>
      </c>
      <c r="V54" s="25">
        <v>0</v>
      </c>
      <c r="W54" s="18" t="s">
        <v>34</v>
      </c>
      <c r="X54" s="18" t="s">
        <v>49</v>
      </c>
      <c r="Y54" s="18" t="s">
        <v>86</v>
      </c>
      <c r="Z54" s="18" t="s">
        <v>43</v>
      </c>
      <c r="AA54" s="18" t="s">
        <v>50</v>
      </c>
      <c r="AB54" s="18" t="s">
        <v>113</v>
      </c>
      <c r="AC54" s="18" t="s">
        <v>38</v>
      </c>
      <c r="AD54" s="7" t="str">
        <f t="shared" si="0"/>
        <v/>
      </c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</row>
    <row r="55" spans="1:49" s="31" customFormat="1" ht="35.1" customHeight="1" x14ac:dyDescent="0.25">
      <c r="A55" s="18" t="s">
        <v>70</v>
      </c>
      <c r="B55" s="19">
        <v>46074</v>
      </c>
      <c r="C55" s="19">
        <v>46074</v>
      </c>
      <c r="D55" s="18" t="s">
        <v>214</v>
      </c>
      <c r="E55" s="20">
        <v>0.75</v>
      </c>
      <c r="F55" s="20">
        <v>0.83333333333333337</v>
      </c>
      <c r="G55" s="20">
        <v>3.4722222222222218E-4</v>
      </c>
      <c r="H55" s="18" t="s">
        <v>231</v>
      </c>
      <c r="I55" s="23">
        <v>0.81439814814814815</v>
      </c>
      <c r="J55" s="18" t="s">
        <v>232</v>
      </c>
      <c r="K55" s="18" t="s">
        <v>241</v>
      </c>
      <c r="L55" s="24">
        <v>1</v>
      </c>
      <c r="M55" s="24">
        <v>70985</v>
      </c>
      <c r="N55" s="18" t="s">
        <v>54</v>
      </c>
      <c r="O55" s="24" t="str">
        <f>AC55</f>
        <v>CVC</v>
      </c>
      <c r="P55" s="25">
        <v>58.82</v>
      </c>
      <c r="Q55" s="24"/>
      <c r="R55" s="25">
        <v>58.82</v>
      </c>
      <c r="S55" s="26">
        <v>46054</v>
      </c>
      <c r="T55" s="25">
        <v>4.4115000000000002</v>
      </c>
      <c r="U55" s="27">
        <v>4</v>
      </c>
      <c r="V55" s="25">
        <v>54.408500000000004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72</v>
      </c>
      <c r="AC55" s="18" t="s">
        <v>38</v>
      </c>
      <c r="AD55" s="7" t="str">
        <f t="shared" si="0"/>
        <v/>
      </c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</row>
    <row r="56" spans="1:49" s="31" customFormat="1" ht="35.1" customHeight="1" x14ac:dyDescent="0.25">
      <c r="A56" s="18" t="s">
        <v>88</v>
      </c>
      <c r="B56" s="19">
        <v>46074</v>
      </c>
      <c r="C56" s="19">
        <v>46074</v>
      </c>
      <c r="D56" s="18" t="s">
        <v>214</v>
      </c>
      <c r="E56" s="20">
        <v>0.75</v>
      </c>
      <c r="F56" s="20">
        <v>0.83333333333333337</v>
      </c>
      <c r="G56" s="20">
        <v>3.4722222222222218E-4</v>
      </c>
      <c r="H56" s="18" t="s">
        <v>235</v>
      </c>
      <c r="I56" s="23">
        <v>0.81935185185185189</v>
      </c>
      <c r="J56" s="18" t="s">
        <v>232</v>
      </c>
      <c r="K56" s="18" t="s">
        <v>241</v>
      </c>
      <c r="L56" s="24">
        <v>1</v>
      </c>
      <c r="M56" s="24">
        <v>71444</v>
      </c>
      <c r="N56" s="18" t="s">
        <v>46</v>
      </c>
      <c r="O56" s="24" t="s">
        <v>236</v>
      </c>
      <c r="P56" s="25">
        <v>0</v>
      </c>
      <c r="Q56" s="24"/>
      <c r="R56" s="25">
        <v>0</v>
      </c>
      <c r="S56" s="26">
        <v>46074</v>
      </c>
      <c r="T56" s="25">
        <v>0</v>
      </c>
      <c r="U56" s="27">
        <v>4</v>
      </c>
      <c r="V56" s="25">
        <v>0</v>
      </c>
      <c r="W56" s="18" t="s">
        <v>48</v>
      </c>
      <c r="X56" s="18" t="s">
        <v>49</v>
      </c>
      <c r="Y56" s="18" t="s">
        <v>86</v>
      </c>
      <c r="Z56" s="18" t="s">
        <v>9</v>
      </c>
      <c r="AA56" s="18" t="s">
        <v>50</v>
      </c>
      <c r="AB56" s="18" t="s">
        <v>237</v>
      </c>
      <c r="AC56" s="18" t="s">
        <v>38</v>
      </c>
      <c r="AD56" s="7" t="str">
        <f t="shared" si="0"/>
        <v/>
      </c>
      <c r="AE56" s="32"/>
      <c r="AF56" s="32"/>
      <c r="AG56" s="32"/>
      <c r="AH56" s="32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</row>
    <row r="57" spans="1:49" s="31" customFormat="1" ht="35.1" customHeight="1" x14ac:dyDescent="0.2">
      <c r="A57" s="9" t="s">
        <v>134</v>
      </c>
      <c r="B57" s="10">
        <v>46074</v>
      </c>
      <c r="C57" s="10">
        <v>46074</v>
      </c>
      <c r="D57" s="11" t="s">
        <v>214</v>
      </c>
      <c r="E57" s="12">
        <v>0.83333333333333337</v>
      </c>
      <c r="F57" s="12">
        <v>0.875</v>
      </c>
      <c r="G57" s="12">
        <v>4.1666666666666664E-2</v>
      </c>
      <c r="H57" s="9" t="s">
        <v>135</v>
      </c>
      <c r="I57" s="13"/>
      <c r="J57" s="9" t="s">
        <v>41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31" customFormat="1" ht="35.1" customHeight="1" x14ac:dyDescent="0.2">
      <c r="A58" s="18" t="s">
        <v>121</v>
      </c>
      <c r="B58" s="19">
        <v>46074</v>
      </c>
      <c r="C58" s="19">
        <v>46074</v>
      </c>
      <c r="D58" s="18" t="s">
        <v>214</v>
      </c>
      <c r="E58" s="20">
        <v>0.79166666666666663</v>
      </c>
      <c r="F58" s="20">
        <v>0.99930555555555556</v>
      </c>
      <c r="G58" s="21">
        <v>1.7361111111111109E-4</v>
      </c>
      <c r="H58" s="22" t="s">
        <v>122</v>
      </c>
      <c r="I58" s="23">
        <v>0.84453703703703709</v>
      </c>
      <c r="J58" s="18" t="s">
        <v>123</v>
      </c>
      <c r="K58" s="18" t="s">
        <v>143</v>
      </c>
      <c r="L58" s="24">
        <v>1</v>
      </c>
      <c r="M58" s="24">
        <v>69567</v>
      </c>
      <c r="N58" s="18" t="s">
        <v>46</v>
      </c>
      <c r="O58" s="24" t="s">
        <v>124</v>
      </c>
      <c r="P58" s="25">
        <v>0</v>
      </c>
      <c r="Q58" s="24"/>
      <c r="R58" s="25">
        <v>0</v>
      </c>
      <c r="S58" s="26">
        <v>46054</v>
      </c>
      <c r="T58" s="25">
        <v>0</v>
      </c>
      <c r="U58" s="27">
        <v>4</v>
      </c>
      <c r="V58" s="25">
        <v>0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125</v>
      </c>
      <c r="AC58" s="18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31" customFormat="1" ht="35.1" customHeight="1" x14ac:dyDescent="0.2">
      <c r="A59" s="18" t="s">
        <v>121</v>
      </c>
      <c r="B59" s="19">
        <v>46074</v>
      </c>
      <c r="C59" s="19">
        <v>46074</v>
      </c>
      <c r="D59" s="18" t="s">
        <v>214</v>
      </c>
      <c r="E59" s="20">
        <v>0.79166666666666663</v>
      </c>
      <c r="F59" s="20">
        <v>0.99930555555555556</v>
      </c>
      <c r="G59" s="21">
        <v>1.7361111111111109E-4</v>
      </c>
      <c r="H59" s="22" t="s">
        <v>126</v>
      </c>
      <c r="I59" s="23">
        <v>0.84575231481481483</v>
      </c>
      <c r="J59" s="18" t="s">
        <v>123</v>
      </c>
      <c r="K59" s="18" t="s">
        <v>143</v>
      </c>
      <c r="L59" s="24">
        <v>1</v>
      </c>
      <c r="M59" s="24">
        <v>69567</v>
      </c>
      <c r="N59" s="18" t="s">
        <v>46</v>
      </c>
      <c r="O59" s="24" t="s">
        <v>124</v>
      </c>
      <c r="P59" s="25">
        <v>0</v>
      </c>
      <c r="Q59" s="24"/>
      <c r="R59" s="25">
        <v>0</v>
      </c>
      <c r="S59" s="26">
        <v>46054</v>
      </c>
      <c r="T59" s="25">
        <v>0</v>
      </c>
      <c r="U59" s="27">
        <v>4</v>
      </c>
      <c r="V59" s="25">
        <v>0</v>
      </c>
      <c r="W59" s="18" t="s">
        <v>48</v>
      </c>
      <c r="X59" s="18" t="s">
        <v>49</v>
      </c>
      <c r="Y59" s="18" t="s">
        <v>36</v>
      </c>
      <c r="Z59" s="18" t="s">
        <v>9</v>
      </c>
      <c r="AA59" s="18" t="s">
        <v>50</v>
      </c>
      <c r="AB59" s="18" t="s">
        <v>125</v>
      </c>
      <c r="AC59" s="18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31" customFormat="1" ht="35.1" customHeight="1" x14ac:dyDescent="0.2">
      <c r="A60" s="9" t="s">
        <v>136</v>
      </c>
      <c r="B60" s="10">
        <v>46074</v>
      </c>
      <c r="C60" s="10">
        <v>46074</v>
      </c>
      <c r="D60" s="11" t="s">
        <v>214</v>
      </c>
      <c r="E60" s="12">
        <v>0.875</v>
      </c>
      <c r="F60" s="12">
        <v>0.9375</v>
      </c>
      <c r="G60" s="12">
        <v>6.25E-2</v>
      </c>
      <c r="H60" s="9" t="s">
        <v>138</v>
      </c>
      <c r="I60" s="13" t="s">
        <v>216</v>
      </c>
      <c r="J60" s="9" t="s">
        <v>41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31" customFormat="1" ht="35.1" customHeight="1" x14ac:dyDescent="0.25">
      <c r="A61" s="18" t="s">
        <v>60</v>
      </c>
      <c r="B61" s="19">
        <v>46074</v>
      </c>
      <c r="C61" s="19">
        <v>46074</v>
      </c>
      <c r="D61" s="18" t="s">
        <v>214</v>
      </c>
      <c r="E61" s="20">
        <v>0.25</v>
      </c>
      <c r="F61" s="20">
        <v>0.99930555555555556</v>
      </c>
      <c r="G61" s="20">
        <v>3.4722222222222218E-4</v>
      </c>
      <c r="H61" s="18" t="s">
        <v>61</v>
      </c>
      <c r="I61" s="23">
        <v>0.8948842592592593</v>
      </c>
      <c r="J61" s="18" t="s">
        <v>41</v>
      </c>
      <c r="K61" s="18" t="s">
        <v>144</v>
      </c>
      <c r="L61" s="24">
        <v>1</v>
      </c>
      <c r="M61" s="24">
        <v>64407</v>
      </c>
      <c r="N61" s="18" t="s">
        <v>54</v>
      </c>
      <c r="O61" s="24" t="s">
        <v>62</v>
      </c>
      <c r="P61" s="25">
        <v>30</v>
      </c>
      <c r="Q61" s="24"/>
      <c r="R61" s="25">
        <v>30</v>
      </c>
      <c r="S61" s="26">
        <v>46054</v>
      </c>
      <c r="T61" s="25">
        <v>4.5</v>
      </c>
      <c r="U61" s="27">
        <v>4</v>
      </c>
      <c r="V61" s="25">
        <v>25.5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63</v>
      </c>
      <c r="AC61" s="18" t="s">
        <v>38</v>
      </c>
      <c r="AD61" s="7" t="str">
        <f t="shared" si="0"/>
        <v/>
      </c>
      <c r="AE61" s="28"/>
      <c r="AF61" s="28"/>
      <c r="AG61" s="28"/>
      <c r="AH61" s="28"/>
    </row>
    <row r="62" spans="1:49" s="31" customFormat="1" ht="35.1" customHeight="1" x14ac:dyDescent="0.25">
      <c r="A62" s="18" t="s">
        <v>121</v>
      </c>
      <c r="B62" s="19">
        <v>46074</v>
      </c>
      <c r="C62" s="19">
        <v>46074</v>
      </c>
      <c r="D62" s="18" t="s">
        <v>214</v>
      </c>
      <c r="E62" s="20">
        <v>0.79166666666666663</v>
      </c>
      <c r="F62" s="20">
        <v>0.99930555555555556</v>
      </c>
      <c r="G62" s="21">
        <v>1.7361111111111109E-4</v>
      </c>
      <c r="H62" s="22" t="s">
        <v>122</v>
      </c>
      <c r="I62" s="23">
        <v>0.91167824074074078</v>
      </c>
      <c r="J62" s="18" t="s">
        <v>123</v>
      </c>
      <c r="K62" s="18" t="s">
        <v>144</v>
      </c>
      <c r="L62" s="24">
        <v>1</v>
      </c>
      <c r="M62" s="24">
        <v>69566</v>
      </c>
      <c r="N62" s="18" t="s">
        <v>54</v>
      </c>
      <c r="O62" s="24" t="s">
        <v>124</v>
      </c>
      <c r="P62" s="25">
        <v>0</v>
      </c>
      <c r="Q62" s="24"/>
      <c r="R62" s="25">
        <v>16.531831119544499</v>
      </c>
      <c r="S62" s="26">
        <v>46054</v>
      </c>
      <c r="T62" s="25">
        <v>0</v>
      </c>
      <c r="U62" s="27">
        <v>4</v>
      </c>
      <c r="V62" s="25">
        <v>0</v>
      </c>
      <c r="W62" s="18" t="s">
        <v>48</v>
      </c>
      <c r="X62" s="18" t="s">
        <v>49</v>
      </c>
      <c r="Y62" s="18" t="s">
        <v>36</v>
      </c>
      <c r="Z62" s="18" t="s">
        <v>9</v>
      </c>
      <c r="AA62" s="18" t="s">
        <v>50</v>
      </c>
      <c r="AB62" s="18" t="s">
        <v>125</v>
      </c>
      <c r="AC62" s="18" t="s">
        <v>38</v>
      </c>
      <c r="AD62" s="7" t="str">
        <f t="shared" si="0"/>
        <v/>
      </c>
      <c r="AE62" s="30"/>
      <c r="AF62" s="30"/>
      <c r="AG62" s="30"/>
      <c r="AH62" s="30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</row>
    <row r="63" spans="1:49" s="31" customFormat="1" ht="35.1" customHeight="1" x14ac:dyDescent="0.25">
      <c r="A63" s="18" t="s">
        <v>121</v>
      </c>
      <c r="B63" s="19">
        <v>46074</v>
      </c>
      <c r="C63" s="19">
        <v>46074</v>
      </c>
      <c r="D63" s="18" t="s">
        <v>214</v>
      </c>
      <c r="E63" s="20">
        <v>0.79166666666666663</v>
      </c>
      <c r="F63" s="20">
        <v>0.99930555555555556</v>
      </c>
      <c r="G63" s="21">
        <v>1.7361111111111109E-4</v>
      </c>
      <c r="H63" s="22" t="s">
        <v>126</v>
      </c>
      <c r="I63" s="23">
        <v>0.91202546296296294</v>
      </c>
      <c r="J63" s="18" t="s">
        <v>123</v>
      </c>
      <c r="K63" s="18" t="s">
        <v>144</v>
      </c>
      <c r="L63" s="24">
        <v>1</v>
      </c>
      <c r="M63" s="24">
        <v>69566</v>
      </c>
      <c r="N63" s="18" t="s">
        <v>54</v>
      </c>
      <c r="O63" s="24" t="s">
        <v>124</v>
      </c>
      <c r="P63" s="25">
        <v>0</v>
      </c>
      <c r="Q63" s="24"/>
      <c r="R63" s="25">
        <v>16.531831119544499</v>
      </c>
      <c r="S63" s="26">
        <v>46054</v>
      </c>
      <c r="T63" s="25">
        <v>0</v>
      </c>
      <c r="U63" s="27">
        <v>4</v>
      </c>
      <c r="V63" s="25">
        <v>0</v>
      </c>
      <c r="W63" s="18" t="s">
        <v>48</v>
      </c>
      <c r="X63" s="18" t="s">
        <v>49</v>
      </c>
      <c r="Y63" s="18" t="s">
        <v>36</v>
      </c>
      <c r="Z63" s="18" t="s">
        <v>9</v>
      </c>
      <c r="AA63" s="18" t="s">
        <v>50</v>
      </c>
      <c r="AB63" s="18" t="s">
        <v>125</v>
      </c>
      <c r="AC63" s="18" t="s">
        <v>38</v>
      </c>
      <c r="AD63" s="7" t="str">
        <f t="shared" si="0"/>
        <v/>
      </c>
      <c r="AE63" s="28"/>
      <c r="AF63" s="28"/>
      <c r="AG63" s="28"/>
      <c r="AH63" s="28"/>
    </row>
    <row r="64" spans="1:49" s="31" customFormat="1" ht="35.1" customHeight="1" x14ac:dyDescent="0.25">
      <c r="A64" s="18" t="s">
        <v>121</v>
      </c>
      <c r="B64" s="19">
        <v>46074</v>
      </c>
      <c r="C64" s="19">
        <v>46074</v>
      </c>
      <c r="D64" s="18" t="s">
        <v>214</v>
      </c>
      <c r="E64" s="20">
        <v>0.79166666666666663</v>
      </c>
      <c r="F64" s="20">
        <v>0.99930555555555556</v>
      </c>
      <c r="G64" s="21">
        <v>1.7361111111111109E-4</v>
      </c>
      <c r="H64" s="22" t="s">
        <v>122</v>
      </c>
      <c r="I64" s="23">
        <v>0.93392361111111111</v>
      </c>
      <c r="J64" s="18" t="s">
        <v>123</v>
      </c>
      <c r="K64" s="18" t="s">
        <v>144</v>
      </c>
      <c r="L64" s="24">
        <v>1</v>
      </c>
      <c r="M64" s="24">
        <v>69566</v>
      </c>
      <c r="N64" s="18" t="s">
        <v>54</v>
      </c>
      <c r="O64" s="24" t="s">
        <v>124</v>
      </c>
      <c r="P64" s="25">
        <v>0</v>
      </c>
      <c r="Q64" s="24"/>
      <c r="R64" s="25">
        <v>16.531831119544499</v>
      </c>
      <c r="S64" s="26">
        <v>46054</v>
      </c>
      <c r="T64" s="25">
        <v>0</v>
      </c>
      <c r="U64" s="27">
        <v>4</v>
      </c>
      <c r="V64" s="25">
        <v>0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50</v>
      </c>
      <c r="AB64" s="18" t="s">
        <v>125</v>
      </c>
      <c r="AC64" s="18" t="s">
        <v>38</v>
      </c>
      <c r="AD64" s="7" t="str">
        <f t="shared" si="0"/>
        <v/>
      </c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</row>
    <row r="65" spans="1:49" s="31" customFormat="1" ht="35.1" customHeight="1" x14ac:dyDescent="0.25">
      <c r="A65" s="18" t="s">
        <v>121</v>
      </c>
      <c r="B65" s="19">
        <v>46074</v>
      </c>
      <c r="C65" s="19">
        <v>46074</v>
      </c>
      <c r="D65" s="18" t="s">
        <v>214</v>
      </c>
      <c r="E65" s="20">
        <v>0.79166666666666663</v>
      </c>
      <c r="F65" s="20">
        <v>0.99930555555555556</v>
      </c>
      <c r="G65" s="21">
        <v>1.7361111111111109E-4</v>
      </c>
      <c r="H65" s="22" t="s">
        <v>126</v>
      </c>
      <c r="I65" s="23">
        <v>0.93513888888888885</v>
      </c>
      <c r="J65" s="18" t="s">
        <v>123</v>
      </c>
      <c r="K65" s="18" t="s">
        <v>144</v>
      </c>
      <c r="L65" s="24">
        <v>1</v>
      </c>
      <c r="M65" s="24">
        <v>69566</v>
      </c>
      <c r="N65" s="18" t="s">
        <v>54</v>
      </c>
      <c r="O65" s="24" t="s">
        <v>124</v>
      </c>
      <c r="P65" s="25">
        <v>0</v>
      </c>
      <c r="Q65" s="24"/>
      <c r="R65" s="25">
        <v>16.531831119544499</v>
      </c>
      <c r="S65" s="26">
        <v>46054</v>
      </c>
      <c r="T65" s="25">
        <v>0</v>
      </c>
      <c r="U65" s="27">
        <v>4</v>
      </c>
      <c r="V65" s="25">
        <v>0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50</v>
      </c>
      <c r="AB65" s="18" t="s">
        <v>125</v>
      </c>
      <c r="AC65" s="18" t="s">
        <v>38</v>
      </c>
      <c r="AD65" s="7" t="str">
        <f t="shared" si="0"/>
        <v/>
      </c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</row>
    <row r="66" spans="1:49" s="31" customFormat="1" ht="35.1" customHeight="1" x14ac:dyDescent="0.2">
      <c r="A66" s="9" t="s">
        <v>136</v>
      </c>
      <c r="B66" s="10">
        <v>46074</v>
      </c>
      <c r="C66" s="10">
        <v>46074</v>
      </c>
      <c r="D66" s="11" t="s">
        <v>214</v>
      </c>
      <c r="E66" s="12">
        <v>0.9375</v>
      </c>
      <c r="F66" s="12">
        <v>1</v>
      </c>
      <c r="G66" s="12">
        <v>6.25E-2</v>
      </c>
      <c r="H66" s="9" t="s">
        <v>182</v>
      </c>
      <c r="I66" s="13" t="s">
        <v>216</v>
      </c>
      <c r="J66" s="9" t="s">
        <v>41</v>
      </c>
      <c r="K66" s="9"/>
      <c r="L66" s="14">
        <v>1</v>
      </c>
      <c r="M66" s="14">
        <v>1</v>
      </c>
      <c r="N66" s="9" t="s">
        <v>33</v>
      </c>
      <c r="O66" s="9"/>
      <c r="P66" s="16">
        <v>0</v>
      </c>
      <c r="Q66" s="14"/>
      <c r="R66" s="16">
        <v>0</v>
      </c>
      <c r="S66" s="9">
        <v>46054</v>
      </c>
      <c r="T66" s="16">
        <v>0</v>
      </c>
      <c r="U66" s="14">
        <v>2</v>
      </c>
      <c r="V66" s="16">
        <v>0</v>
      </c>
      <c r="W66" s="9" t="s">
        <v>34</v>
      </c>
      <c r="X66" s="9" t="s">
        <v>42</v>
      </c>
      <c r="Y66" s="9" t="s">
        <v>36</v>
      </c>
      <c r="Z66" s="9" t="s">
        <v>43</v>
      </c>
      <c r="AA66" s="9" t="s">
        <v>37</v>
      </c>
      <c r="AB66" s="9" t="s">
        <v>37</v>
      </c>
      <c r="AC66" s="9" t="s">
        <v>38</v>
      </c>
      <c r="AD66" s="7" t="str">
        <f t="shared" ref="AD66:AD70" si="1">IF(N66="PRG","",IF(I66&gt;=E66,IF(I66&lt;=F66,"","NO"),"NO"))</f>
        <v/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31" customFormat="1" ht="35.1" customHeight="1" x14ac:dyDescent="0.25">
      <c r="A67" s="18" t="s">
        <v>121</v>
      </c>
      <c r="B67" s="19">
        <v>46074</v>
      </c>
      <c r="C67" s="19">
        <v>46074</v>
      </c>
      <c r="D67" s="18" t="s">
        <v>214</v>
      </c>
      <c r="E67" s="20">
        <v>0.79166666666666663</v>
      </c>
      <c r="F67" s="20">
        <v>0.99930555555555556</v>
      </c>
      <c r="G67" s="21">
        <v>1.7361111111111109E-4</v>
      </c>
      <c r="H67" s="22" t="s">
        <v>122</v>
      </c>
      <c r="I67" s="23">
        <v>0.94714120370370369</v>
      </c>
      <c r="J67" s="18" t="s">
        <v>123</v>
      </c>
      <c r="K67" s="18" t="s">
        <v>182</v>
      </c>
      <c r="L67" s="24">
        <v>1</v>
      </c>
      <c r="M67" s="24">
        <v>69566</v>
      </c>
      <c r="N67" s="18" t="s">
        <v>54</v>
      </c>
      <c r="O67" s="24" t="s">
        <v>124</v>
      </c>
      <c r="P67" s="25">
        <v>0</v>
      </c>
      <c r="Q67" s="24"/>
      <c r="R67" s="25">
        <v>16.531831119544499</v>
      </c>
      <c r="S67" s="26">
        <v>46054</v>
      </c>
      <c r="T67" s="25">
        <v>0</v>
      </c>
      <c r="U67" s="27">
        <v>4</v>
      </c>
      <c r="V67" s="25">
        <v>0</v>
      </c>
      <c r="W67" s="18" t="s">
        <v>48</v>
      </c>
      <c r="X67" s="18" t="s">
        <v>49</v>
      </c>
      <c r="Y67" s="18" t="s">
        <v>36</v>
      </c>
      <c r="Z67" s="18" t="s">
        <v>9</v>
      </c>
      <c r="AA67" s="18" t="s">
        <v>50</v>
      </c>
      <c r="AB67" s="18" t="s">
        <v>125</v>
      </c>
      <c r="AC67" s="18" t="s">
        <v>38</v>
      </c>
      <c r="AD67" s="7" t="str">
        <f t="shared" si="1"/>
        <v/>
      </c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</row>
    <row r="68" spans="1:49" s="31" customFormat="1" ht="35.1" customHeight="1" x14ac:dyDescent="0.25">
      <c r="A68" s="18" t="s">
        <v>121</v>
      </c>
      <c r="B68" s="19">
        <v>46074</v>
      </c>
      <c r="C68" s="19">
        <v>46074</v>
      </c>
      <c r="D68" s="18" t="s">
        <v>214</v>
      </c>
      <c r="E68" s="20">
        <v>0.79166666666666663</v>
      </c>
      <c r="F68" s="20">
        <v>0.99930555555555556</v>
      </c>
      <c r="G68" s="21">
        <v>1.7361111111111109E-4</v>
      </c>
      <c r="H68" s="22" t="s">
        <v>126</v>
      </c>
      <c r="I68" s="23">
        <v>0.94974537037037032</v>
      </c>
      <c r="J68" s="18" t="s">
        <v>123</v>
      </c>
      <c r="K68" s="18" t="s">
        <v>182</v>
      </c>
      <c r="L68" s="24">
        <v>1</v>
      </c>
      <c r="M68" s="24">
        <v>69566</v>
      </c>
      <c r="N68" s="18" t="s">
        <v>54</v>
      </c>
      <c r="O68" s="24" t="s">
        <v>124</v>
      </c>
      <c r="P68" s="25">
        <v>0</v>
      </c>
      <c r="Q68" s="24"/>
      <c r="R68" s="25">
        <v>16.531831119544499</v>
      </c>
      <c r="S68" s="26">
        <v>46054</v>
      </c>
      <c r="T68" s="25">
        <v>0</v>
      </c>
      <c r="U68" s="27">
        <v>4</v>
      </c>
      <c r="V68" s="25">
        <v>0</v>
      </c>
      <c r="W68" s="18" t="s">
        <v>48</v>
      </c>
      <c r="X68" s="18" t="s">
        <v>49</v>
      </c>
      <c r="Y68" s="18" t="s">
        <v>36</v>
      </c>
      <c r="Z68" s="18" t="s">
        <v>9</v>
      </c>
      <c r="AA68" s="18" t="s">
        <v>50</v>
      </c>
      <c r="AB68" s="18" t="s">
        <v>125</v>
      </c>
      <c r="AC68" s="18" t="s">
        <v>38</v>
      </c>
      <c r="AD68" s="7" t="str">
        <f t="shared" si="1"/>
        <v/>
      </c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</row>
    <row r="69" spans="1:49" s="31" customFormat="1" ht="35.1" customHeight="1" x14ac:dyDescent="0.25">
      <c r="A69" s="18" t="s">
        <v>121</v>
      </c>
      <c r="B69" s="19">
        <v>46074</v>
      </c>
      <c r="C69" s="19">
        <v>46074</v>
      </c>
      <c r="D69" s="18" t="s">
        <v>214</v>
      </c>
      <c r="E69" s="20">
        <v>0.79166666666666663</v>
      </c>
      <c r="F69" s="20">
        <v>0.99930555555555556</v>
      </c>
      <c r="G69" s="21">
        <v>1.7361111111111109E-4</v>
      </c>
      <c r="H69" s="22" t="s">
        <v>122</v>
      </c>
      <c r="I69" s="23">
        <v>0.98982638888888885</v>
      </c>
      <c r="J69" s="18" t="s">
        <v>123</v>
      </c>
      <c r="K69" s="18" t="s">
        <v>182</v>
      </c>
      <c r="L69" s="24">
        <v>1</v>
      </c>
      <c r="M69" s="24">
        <v>69567</v>
      </c>
      <c r="N69" s="18" t="s">
        <v>46</v>
      </c>
      <c r="O69" s="24" t="s">
        <v>124</v>
      </c>
      <c r="P69" s="25">
        <v>0</v>
      </c>
      <c r="Q69" s="24"/>
      <c r="R69" s="25">
        <v>0</v>
      </c>
      <c r="S69" s="26">
        <v>46054</v>
      </c>
      <c r="T69" s="25">
        <v>0</v>
      </c>
      <c r="U69" s="27">
        <v>4</v>
      </c>
      <c r="V69" s="25">
        <v>0</v>
      </c>
      <c r="W69" s="18" t="s">
        <v>48</v>
      </c>
      <c r="X69" s="18" t="s">
        <v>49</v>
      </c>
      <c r="Y69" s="18" t="s">
        <v>36</v>
      </c>
      <c r="Z69" s="18" t="s">
        <v>9</v>
      </c>
      <c r="AA69" s="18" t="s">
        <v>50</v>
      </c>
      <c r="AB69" s="18" t="s">
        <v>125</v>
      </c>
      <c r="AC69" s="18" t="s">
        <v>38</v>
      </c>
      <c r="AD69" s="7" t="str">
        <f t="shared" si="1"/>
        <v/>
      </c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</row>
    <row r="70" spans="1:49" s="31" customFormat="1" ht="35.1" customHeight="1" x14ac:dyDescent="0.25">
      <c r="A70" s="18" t="s">
        <v>121</v>
      </c>
      <c r="B70" s="19">
        <v>46074</v>
      </c>
      <c r="C70" s="19">
        <v>46074</v>
      </c>
      <c r="D70" s="18" t="s">
        <v>214</v>
      </c>
      <c r="E70" s="20">
        <v>0.79166666666666663</v>
      </c>
      <c r="F70" s="20">
        <v>0.99930555555555556</v>
      </c>
      <c r="G70" s="21">
        <v>1.7361111111111109E-4</v>
      </c>
      <c r="H70" s="22" t="s">
        <v>126</v>
      </c>
      <c r="I70" s="23">
        <v>0.9929513888888889</v>
      </c>
      <c r="J70" s="18" t="s">
        <v>123</v>
      </c>
      <c r="K70" s="18" t="s">
        <v>182</v>
      </c>
      <c r="L70" s="24">
        <v>1</v>
      </c>
      <c r="M70" s="24">
        <v>69567</v>
      </c>
      <c r="N70" s="18" t="s">
        <v>46</v>
      </c>
      <c r="O70" s="24" t="s">
        <v>124</v>
      </c>
      <c r="P70" s="25">
        <v>0</v>
      </c>
      <c r="Q70" s="24"/>
      <c r="R70" s="25">
        <v>0</v>
      </c>
      <c r="S70" s="26">
        <v>46054</v>
      </c>
      <c r="T70" s="25">
        <v>0</v>
      </c>
      <c r="U70" s="27">
        <v>4</v>
      </c>
      <c r="V70" s="25">
        <v>0</v>
      </c>
      <c r="W70" s="18" t="s">
        <v>48</v>
      </c>
      <c r="X70" s="18" t="s">
        <v>49</v>
      </c>
      <c r="Y70" s="18" t="s">
        <v>36</v>
      </c>
      <c r="Z70" s="18" t="s">
        <v>9</v>
      </c>
      <c r="AA70" s="18" t="s">
        <v>50</v>
      </c>
      <c r="AB70" s="18" t="s">
        <v>125</v>
      </c>
      <c r="AC70" s="18" t="s">
        <v>38</v>
      </c>
      <c r="AD70" s="7" t="str">
        <f t="shared" si="1"/>
        <v/>
      </c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</row>
    <row r="71" spans="1:49" ht="44.25" customHeight="1" x14ac:dyDescent="0.2"/>
    <row r="72" spans="1:49" ht="44.25" customHeight="1" x14ac:dyDescent="0.2"/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70" xr:uid="{4087B828-5BCE-491D-B547-64578E04FAFC}"/>
  <sortState xmlns:xlrd2="http://schemas.microsoft.com/office/spreadsheetml/2017/richdata2" ref="A2:AD326">
    <sortCondition sortBy="cellColor" ref="E1:E500" dxfId="21"/>
  </sortState>
  <conditionalFormatting sqref="AD1:AD70">
    <cfRule type="cellIs" dxfId="20" priority="2" operator="equal">
      <formula>"NO"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8" customFormat="1" ht="35.1" customHeight="1" x14ac:dyDescent="0.25">
      <c r="A2" s="9" t="s">
        <v>29</v>
      </c>
      <c r="B2" s="10">
        <v>46075</v>
      </c>
      <c r="C2" s="10">
        <v>46075</v>
      </c>
      <c r="D2" s="11" t="s">
        <v>243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32"/>
      <c r="AF2" s="32"/>
      <c r="AG2" s="32"/>
      <c r="AH2" s="32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</row>
    <row r="3" spans="1:49" s="38" customFormat="1" ht="35.1" customHeight="1" x14ac:dyDescent="0.25">
      <c r="A3" s="9" t="s">
        <v>244</v>
      </c>
      <c r="B3" s="10">
        <v>46075</v>
      </c>
      <c r="C3" s="10">
        <v>46075</v>
      </c>
      <c r="D3" s="11" t="s">
        <v>243</v>
      </c>
      <c r="E3" s="12">
        <v>0.25</v>
      </c>
      <c r="F3" s="12">
        <v>0.29166666666666669</v>
      </c>
      <c r="G3" s="12">
        <v>4.1666666666666664E-2</v>
      </c>
      <c r="H3" s="9" t="s">
        <v>245</v>
      </c>
      <c r="I3" s="13"/>
      <c r="J3" s="9" t="s">
        <v>32</v>
      </c>
      <c r="K3" s="9" t="s">
        <v>245</v>
      </c>
      <c r="L3" s="14">
        <v>1</v>
      </c>
      <c r="M3" s="14">
        <v>1</v>
      </c>
      <c r="N3" s="9" t="s">
        <v>33</v>
      </c>
      <c r="O3" s="9"/>
      <c r="P3" s="49">
        <v>183.33333333333334</v>
      </c>
      <c r="Q3" s="14"/>
      <c r="R3" s="16">
        <v>183.33333333333334</v>
      </c>
      <c r="S3" s="9">
        <v>46054</v>
      </c>
      <c r="T3" s="16">
        <v>27.5</v>
      </c>
      <c r="U3" s="14">
        <v>1</v>
      </c>
      <c r="V3" s="16">
        <v>155.83333333333334</v>
      </c>
      <c r="W3" s="9" t="s">
        <v>246</v>
      </c>
      <c r="X3" s="9" t="s">
        <v>35</v>
      </c>
      <c r="Y3" s="9" t="s">
        <v>36</v>
      </c>
      <c r="Z3" s="9" t="s">
        <v>9</v>
      </c>
      <c r="AA3" s="9" t="s">
        <v>50</v>
      </c>
      <c r="AB3" s="9" t="s">
        <v>37</v>
      </c>
      <c r="AC3" s="9" t="s">
        <v>38</v>
      </c>
      <c r="AD3" s="7" t="str">
        <f t="shared" si="0"/>
        <v/>
      </c>
      <c r="AE3" s="30"/>
      <c r="AF3" s="30"/>
      <c r="AG3" s="30"/>
      <c r="AH3" s="30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</row>
    <row r="4" spans="1:49" s="38" customFormat="1" ht="35.1" customHeight="1" x14ac:dyDescent="0.25">
      <c r="A4" s="9" t="s">
        <v>64</v>
      </c>
      <c r="B4" s="10">
        <v>46075</v>
      </c>
      <c r="C4" s="10">
        <v>46075</v>
      </c>
      <c r="D4" s="11" t="s">
        <v>243</v>
      </c>
      <c r="E4" s="12">
        <v>0.29166666666666669</v>
      </c>
      <c r="F4" s="12">
        <v>0.3125</v>
      </c>
      <c r="G4" s="12">
        <v>2.0833333333333332E-2</v>
      </c>
      <c r="H4" s="9" t="s">
        <v>178</v>
      </c>
      <c r="I4" s="13" t="s">
        <v>215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50"/>
      <c r="AF4" s="50"/>
      <c r="AG4" s="50"/>
      <c r="AH4" s="50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</row>
    <row r="5" spans="1:49" s="38" customFormat="1" ht="35.1" customHeight="1" x14ac:dyDescent="0.25">
      <c r="A5" s="9" t="s">
        <v>64</v>
      </c>
      <c r="B5" s="10">
        <v>46075</v>
      </c>
      <c r="C5" s="10">
        <v>46075</v>
      </c>
      <c r="D5" s="11" t="s">
        <v>243</v>
      </c>
      <c r="E5" s="12">
        <v>0.3125</v>
      </c>
      <c r="F5" s="12">
        <v>0.33333333333333331</v>
      </c>
      <c r="G5" s="12">
        <v>2.0833333333333332E-2</v>
      </c>
      <c r="H5" s="9" t="s">
        <v>178</v>
      </c>
      <c r="I5" s="13" t="s">
        <v>215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</row>
    <row r="6" spans="1:49" s="38" customFormat="1" ht="35.1" customHeight="1" x14ac:dyDescent="0.25">
      <c r="A6" s="9" t="s">
        <v>67</v>
      </c>
      <c r="B6" s="10">
        <v>46075</v>
      </c>
      <c r="C6" s="10">
        <v>46075</v>
      </c>
      <c r="D6" s="11" t="s">
        <v>243</v>
      </c>
      <c r="E6" s="12">
        <v>0.33333333333333331</v>
      </c>
      <c r="F6" s="12">
        <v>0.41666666666666669</v>
      </c>
      <c r="G6" s="12">
        <v>8.3333333333333329E-2</v>
      </c>
      <c r="H6" s="9" t="s">
        <v>75</v>
      </c>
      <c r="I6" s="13" t="s">
        <v>216</v>
      </c>
      <c r="J6" s="9" t="s">
        <v>69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">
      <c r="A7" s="18" t="s">
        <v>44</v>
      </c>
      <c r="B7" s="19">
        <v>46075</v>
      </c>
      <c r="C7" s="19">
        <v>46075</v>
      </c>
      <c r="D7" s="18" t="s">
        <v>243</v>
      </c>
      <c r="E7" s="20">
        <v>0.33333333333333331</v>
      </c>
      <c r="F7" s="20">
        <v>0.41666666666666669</v>
      </c>
      <c r="G7" s="20">
        <v>1.157407407407407E-4</v>
      </c>
      <c r="H7" s="18" t="s">
        <v>73</v>
      </c>
      <c r="I7" s="23">
        <v>0.35828703703703701</v>
      </c>
      <c r="J7" s="18" t="s">
        <v>69</v>
      </c>
      <c r="K7" s="18" t="s">
        <v>75</v>
      </c>
      <c r="L7" s="24">
        <v>1</v>
      </c>
      <c r="M7" s="24">
        <v>71105</v>
      </c>
      <c r="N7" s="18" t="s">
        <v>46</v>
      </c>
      <c r="O7" s="24" t="s">
        <v>47</v>
      </c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51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8" customFormat="1" ht="35.1" customHeight="1" x14ac:dyDescent="0.25">
      <c r="A8" s="9" t="s">
        <v>93</v>
      </c>
      <c r="B8" s="10">
        <v>46075</v>
      </c>
      <c r="C8" s="10">
        <v>46075</v>
      </c>
      <c r="D8" s="11" t="s">
        <v>243</v>
      </c>
      <c r="E8" s="12">
        <v>0.41666666666666669</v>
      </c>
      <c r="F8" s="12">
        <v>0.45833333333333331</v>
      </c>
      <c r="G8" s="12">
        <v>4.1666666666666664E-2</v>
      </c>
      <c r="H8" s="9" t="s">
        <v>217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</row>
    <row r="9" spans="1:49" s="38" customFormat="1" ht="35.1" customHeight="1" x14ac:dyDescent="0.25">
      <c r="A9" s="9" t="s">
        <v>79</v>
      </c>
      <c r="B9" s="10">
        <v>46075</v>
      </c>
      <c r="C9" s="10">
        <v>46075</v>
      </c>
      <c r="D9" s="11" t="s">
        <v>243</v>
      </c>
      <c r="E9" s="12">
        <v>0.45833333333333331</v>
      </c>
      <c r="F9" s="12">
        <v>0.47916666666666669</v>
      </c>
      <c r="G9" s="12">
        <v>2.0833333333333332E-2</v>
      </c>
      <c r="H9" s="9" t="s">
        <v>80</v>
      </c>
      <c r="I9" s="13"/>
      <c r="J9" s="9" t="s">
        <v>84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31" customFormat="1" ht="35.1" customHeight="1" x14ac:dyDescent="0.2">
      <c r="A10" s="18" t="s">
        <v>82</v>
      </c>
      <c r="B10" s="19">
        <v>46075</v>
      </c>
      <c r="C10" s="19">
        <v>46075</v>
      </c>
      <c r="D10" s="18" t="s">
        <v>243</v>
      </c>
      <c r="E10" s="20">
        <v>0.45833333333333331</v>
      </c>
      <c r="F10" s="20">
        <v>0.5</v>
      </c>
      <c r="G10" s="20">
        <v>3.4722222222222218E-4</v>
      </c>
      <c r="H10" s="18" t="s">
        <v>83</v>
      </c>
      <c r="I10" s="23">
        <v>0.47038194444444442</v>
      </c>
      <c r="J10" s="18" t="s">
        <v>84</v>
      </c>
      <c r="K10" s="18" t="s">
        <v>80</v>
      </c>
      <c r="L10" s="24">
        <v>1</v>
      </c>
      <c r="M10" s="24">
        <v>70169</v>
      </c>
      <c r="N10" s="18" t="s">
        <v>54</v>
      </c>
      <c r="O10" s="24" t="s">
        <v>85</v>
      </c>
      <c r="P10" s="25">
        <v>35</v>
      </c>
      <c r="Q10" s="24"/>
      <c r="R10" s="25">
        <v>35</v>
      </c>
      <c r="S10" s="26">
        <v>46075</v>
      </c>
      <c r="T10" s="25">
        <v>0</v>
      </c>
      <c r="U10" s="27">
        <v>4</v>
      </c>
      <c r="V10" s="25">
        <v>35</v>
      </c>
      <c r="W10" s="18" t="s">
        <v>48</v>
      </c>
      <c r="X10" s="18" t="s">
        <v>49</v>
      </c>
      <c r="Y10" s="18" t="s">
        <v>86</v>
      </c>
      <c r="Z10" s="18" t="s">
        <v>43</v>
      </c>
      <c r="AA10" s="18" t="s">
        <v>50</v>
      </c>
      <c r="AB10" s="18" t="s">
        <v>87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5">
      <c r="A11" s="18" t="s">
        <v>154</v>
      </c>
      <c r="B11" s="19">
        <v>46075</v>
      </c>
      <c r="C11" s="19">
        <v>46075</v>
      </c>
      <c r="D11" s="18" t="s">
        <v>243</v>
      </c>
      <c r="E11" s="20">
        <v>0.45833333333333331</v>
      </c>
      <c r="F11" s="20">
        <v>0.54166666666666663</v>
      </c>
      <c r="G11" s="20">
        <v>3.4722222222222218E-4</v>
      </c>
      <c r="H11" s="18" t="s">
        <v>155</v>
      </c>
      <c r="I11" s="23">
        <v>0.4700347222222222</v>
      </c>
      <c r="J11" s="18" t="s">
        <v>84</v>
      </c>
      <c r="K11" s="18" t="s">
        <v>80</v>
      </c>
      <c r="L11" s="24">
        <v>1</v>
      </c>
      <c r="M11" s="24">
        <v>71252</v>
      </c>
      <c r="N11" s="18" t="s">
        <v>54</v>
      </c>
      <c r="O11" s="24" t="s">
        <v>156</v>
      </c>
      <c r="P11" s="25">
        <v>40</v>
      </c>
      <c r="Q11" s="24"/>
      <c r="R11" s="25">
        <v>40</v>
      </c>
      <c r="S11" s="26">
        <v>46075</v>
      </c>
      <c r="T11" s="25">
        <v>0</v>
      </c>
      <c r="U11" s="27">
        <v>4</v>
      </c>
      <c r="V11" s="25">
        <v>40</v>
      </c>
      <c r="W11" s="18" t="s">
        <v>48</v>
      </c>
      <c r="X11" s="18" t="s">
        <v>49</v>
      </c>
      <c r="Y11" s="18" t="s">
        <v>86</v>
      </c>
      <c r="Z11" s="18" t="s">
        <v>9</v>
      </c>
      <c r="AA11" s="18" t="s">
        <v>50</v>
      </c>
      <c r="AB11" s="18" t="s">
        <v>157</v>
      </c>
      <c r="AC11" s="18" t="s">
        <v>38</v>
      </c>
      <c r="AD11" s="7" t="str">
        <f t="shared" si="0"/>
        <v/>
      </c>
      <c r="AE11" s="28"/>
      <c r="AF11" s="28"/>
      <c r="AG11" s="28"/>
      <c r="AH11" s="28"/>
    </row>
    <row r="12" spans="1:49" s="31" customFormat="1" ht="35.1" customHeight="1" x14ac:dyDescent="0.2">
      <c r="A12" s="18" t="s">
        <v>121</v>
      </c>
      <c r="B12" s="19">
        <v>46075</v>
      </c>
      <c r="C12" s="19">
        <v>46075</v>
      </c>
      <c r="D12" s="18" t="s">
        <v>243</v>
      </c>
      <c r="E12" s="20">
        <v>0.45833333333333331</v>
      </c>
      <c r="F12" s="20">
        <v>0.54166666666666663</v>
      </c>
      <c r="G12" s="21">
        <v>1.7361111111111109E-4</v>
      </c>
      <c r="H12" s="22" t="s">
        <v>158</v>
      </c>
      <c r="I12" s="23">
        <v>0.47780092592592593</v>
      </c>
      <c r="J12" s="18" t="s">
        <v>84</v>
      </c>
      <c r="K12" s="18" t="s">
        <v>80</v>
      </c>
      <c r="L12" s="24">
        <v>1</v>
      </c>
      <c r="M12" s="24">
        <v>69571</v>
      </c>
      <c r="N12" s="18" t="s">
        <v>46</v>
      </c>
      <c r="O12" s="24" t="s">
        <v>159</v>
      </c>
      <c r="P12" s="25">
        <v>0</v>
      </c>
      <c r="Q12" s="24"/>
      <c r="R12" s="25">
        <v>0</v>
      </c>
      <c r="S12" s="26">
        <v>46054</v>
      </c>
      <c r="T12" s="25">
        <v>0</v>
      </c>
      <c r="U12" s="27">
        <v>4</v>
      </c>
      <c r="V12" s="25">
        <v>0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160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">
      <c r="A13" s="18" t="s">
        <v>121</v>
      </c>
      <c r="B13" s="19">
        <v>46075</v>
      </c>
      <c r="C13" s="19">
        <v>46075</v>
      </c>
      <c r="D13" s="18" t="s">
        <v>243</v>
      </c>
      <c r="E13" s="20">
        <v>0.45833333333333331</v>
      </c>
      <c r="F13" s="20">
        <v>0.54166666666666663</v>
      </c>
      <c r="G13" s="21">
        <v>1.7361111111111109E-4</v>
      </c>
      <c r="H13" s="22" t="s">
        <v>161</v>
      </c>
      <c r="I13" s="23">
        <v>0.4788425925925926</v>
      </c>
      <c r="J13" s="18" t="s">
        <v>84</v>
      </c>
      <c r="K13" s="18" t="s">
        <v>80</v>
      </c>
      <c r="L13" s="24">
        <v>1</v>
      </c>
      <c r="M13" s="24">
        <v>69571</v>
      </c>
      <c r="N13" s="18" t="s">
        <v>46</v>
      </c>
      <c r="O13" s="24" t="s">
        <v>159</v>
      </c>
      <c r="P13" s="25">
        <v>0</v>
      </c>
      <c r="Q13" s="24"/>
      <c r="R13" s="25">
        <v>0</v>
      </c>
      <c r="S13" s="26">
        <v>46054</v>
      </c>
      <c r="T13" s="25">
        <v>0</v>
      </c>
      <c r="U13" s="27">
        <v>4</v>
      </c>
      <c r="V13" s="25">
        <v>0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50</v>
      </c>
      <c r="AB13" s="18" t="s">
        <v>160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8" customFormat="1" ht="35.1" customHeight="1" x14ac:dyDescent="0.25">
      <c r="A14" s="9" t="s">
        <v>79</v>
      </c>
      <c r="B14" s="10">
        <v>46075</v>
      </c>
      <c r="C14" s="10">
        <v>46075</v>
      </c>
      <c r="D14" s="11" t="s">
        <v>243</v>
      </c>
      <c r="E14" s="12">
        <v>0.47916666666666669</v>
      </c>
      <c r="F14" s="12">
        <v>0.48958333333333331</v>
      </c>
      <c r="G14" s="12">
        <v>1.0416666666666666E-2</v>
      </c>
      <c r="H14" s="9" t="s">
        <v>247</v>
      </c>
      <c r="I14" s="13"/>
      <c r="J14" s="9" t="s">
        <v>84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31" customFormat="1" ht="35.1" customHeight="1" x14ac:dyDescent="0.2">
      <c r="A15" s="18" t="s">
        <v>70</v>
      </c>
      <c r="B15" s="19">
        <v>46075</v>
      </c>
      <c r="C15" s="19">
        <v>46075</v>
      </c>
      <c r="D15" s="18" t="s">
        <v>243</v>
      </c>
      <c r="E15" s="20">
        <v>0.45833333333333331</v>
      </c>
      <c r="F15" s="20">
        <v>0.5</v>
      </c>
      <c r="G15" s="20">
        <v>3.4722222222222218E-4</v>
      </c>
      <c r="H15" s="18" t="s">
        <v>163</v>
      </c>
      <c r="I15" s="23">
        <v>0.48311342592592593</v>
      </c>
      <c r="J15" s="18" t="s">
        <v>84</v>
      </c>
      <c r="K15" s="18" t="s">
        <v>171</v>
      </c>
      <c r="L15" s="24">
        <v>1</v>
      </c>
      <c r="M15" s="24">
        <v>70998</v>
      </c>
      <c r="N15" s="18" t="s">
        <v>54</v>
      </c>
      <c r="O15" s="24" t="str">
        <f>AC15</f>
        <v>CVC</v>
      </c>
      <c r="P15" s="25">
        <v>58.82</v>
      </c>
      <c r="Q15" s="24"/>
      <c r="R15" s="25">
        <v>58.82</v>
      </c>
      <c r="S15" s="26">
        <v>46054</v>
      </c>
      <c r="T15" s="25">
        <v>4.4115000000000002</v>
      </c>
      <c r="U15" s="27">
        <v>4</v>
      </c>
      <c r="V15" s="25">
        <v>54.408500000000004</v>
      </c>
      <c r="W15" s="18" t="s">
        <v>48</v>
      </c>
      <c r="X15" s="18" t="s">
        <v>49</v>
      </c>
      <c r="Y15" s="18" t="s">
        <v>36</v>
      </c>
      <c r="Z15" s="18" t="s">
        <v>9</v>
      </c>
      <c r="AA15" s="18" t="s">
        <v>50</v>
      </c>
      <c r="AB15" s="18" t="s">
        <v>72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5">
      <c r="A16" s="18" t="s">
        <v>82</v>
      </c>
      <c r="B16" s="19">
        <v>46075</v>
      </c>
      <c r="C16" s="19">
        <v>46075</v>
      </c>
      <c r="D16" s="18" t="s">
        <v>243</v>
      </c>
      <c r="E16" s="20">
        <v>0.45833333333333331</v>
      </c>
      <c r="F16" s="20">
        <v>0.5</v>
      </c>
      <c r="G16" s="20">
        <v>3.4722222222222218E-4</v>
      </c>
      <c r="H16" s="18" t="s">
        <v>83</v>
      </c>
      <c r="I16" s="23">
        <v>0.48837962962962961</v>
      </c>
      <c r="J16" s="18" t="s">
        <v>84</v>
      </c>
      <c r="K16" s="18" t="s">
        <v>171</v>
      </c>
      <c r="L16" s="24">
        <v>1</v>
      </c>
      <c r="M16" s="24">
        <v>70169</v>
      </c>
      <c r="N16" s="18" t="s">
        <v>54</v>
      </c>
      <c r="O16" s="24" t="s">
        <v>85</v>
      </c>
      <c r="P16" s="25">
        <v>35</v>
      </c>
      <c r="Q16" s="24"/>
      <c r="R16" s="25">
        <v>35</v>
      </c>
      <c r="S16" s="26">
        <v>46075</v>
      </c>
      <c r="T16" s="25">
        <v>0</v>
      </c>
      <c r="U16" s="27">
        <v>4</v>
      </c>
      <c r="V16" s="25">
        <v>35</v>
      </c>
      <c r="W16" s="18" t="s">
        <v>48</v>
      </c>
      <c r="X16" s="18" t="s">
        <v>49</v>
      </c>
      <c r="Y16" s="18" t="s">
        <v>86</v>
      </c>
      <c r="Z16" s="18" t="s">
        <v>43</v>
      </c>
      <c r="AA16" s="18" t="s">
        <v>50</v>
      </c>
      <c r="AB16" s="18" t="s">
        <v>87</v>
      </c>
      <c r="AC16" s="18" t="s">
        <v>38</v>
      </c>
      <c r="AD16" s="7" t="str">
        <f t="shared" si="0"/>
        <v/>
      </c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</row>
    <row r="17" spans="1:49" s="38" customFormat="1" ht="35.1" customHeight="1" x14ac:dyDescent="0.25">
      <c r="A17" s="9" t="s">
        <v>79</v>
      </c>
      <c r="B17" s="10">
        <v>46075</v>
      </c>
      <c r="C17" s="10">
        <v>46075</v>
      </c>
      <c r="D17" s="11" t="s">
        <v>243</v>
      </c>
      <c r="E17" s="12">
        <v>0.48958333333333331</v>
      </c>
      <c r="F17" s="12">
        <v>0.5</v>
      </c>
      <c r="G17" s="12">
        <v>1.0416666666666666E-2</v>
      </c>
      <c r="H17" s="9" t="s">
        <v>248</v>
      </c>
      <c r="I17" s="13"/>
      <c r="J17" s="9" t="s">
        <v>84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</row>
    <row r="18" spans="1:49" s="38" customFormat="1" ht="35.1" customHeight="1" x14ac:dyDescent="0.25">
      <c r="A18" s="9" t="s">
        <v>79</v>
      </c>
      <c r="B18" s="10">
        <v>46075</v>
      </c>
      <c r="C18" s="10">
        <v>46075</v>
      </c>
      <c r="D18" s="11" t="s">
        <v>243</v>
      </c>
      <c r="E18" s="12">
        <v>0.5</v>
      </c>
      <c r="F18" s="12">
        <v>0.54166666666666663</v>
      </c>
      <c r="G18" s="12">
        <v>4.1666666666666664E-2</v>
      </c>
      <c r="H18" s="9" t="s">
        <v>220</v>
      </c>
      <c r="I18" s="13"/>
      <c r="J18" s="9" t="s">
        <v>84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</row>
    <row r="19" spans="1:49" s="31" customFormat="1" ht="35.1" customHeight="1" x14ac:dyDescent="0.2">
      <c r="A19" s="18" t="s">
        <v>82</v>
      </c>
      <c r="B19" s="19">
        <v>46075</v>
      </c>
      <c r="C19" s="19">
        <v>46075</v>
      </c>
      <c r="D19" s="18" t="s">
        <v>243</v>
      </c>
      <c r="E19" s="20">
        <v>0.45833333333333331</v>
      </c>
      <c r="F19" s="20">
        <v>0.54166666666666663</v>
      </c>
      <c r="G19" s="20">
        <v>3.4722222222222218E-4</v>
      </c>
      <c r="H19" s="18" t="s">
        <v>83</v>
      </c>
      <c r="I19" s="23">
        <v>0.51978009259259261</v>
      </c>
      <c r="J19" s="18" t="s">
        <v>84</v>
      </c>
      <c r="K19" s="18" t="s">
        <v>140</v>
      </c>
      <c r="L19" s="24">
        <v>1</v>
      </c>
      <c r="M19" s="24">
        <v>70171</v>
      </c>
      <c r="N19" s="18" t="s">
        <v>46</v>
      </c>
      <c r="O19" s="24" t="s">
        <v>85</v>
      </c>
      <c r="P19" s="25">
        <v>0</v>
      </c>
      <c r="Q19" s="24"/>
      <c r="R19" s="25">
        <v>0</v>
      </c>
      <c r="S19" s="26">
        <v>46075</v>
      </c>
      <c r="T19" s="25">
        <v>0</v>
      </c>
      <c r="U19" s="27">
        <v>4</v>
      </c>
      <c r="V19" s="25">
        <v>0</v>
      </c>
      <c r="W19" s="18" t="s">
        <v>48</v>
      </c>
      <c r="X19" s="18" t="s">
        <v>49</v>
      </c>
      <c r="Y19" s="18" t="s">
        <v>86</v>
      </c>
      <c r="Z19" s="18" t="s">
        <v>43</v>
      </c>
      <c r="AA19" s="18" t="s">
        <v>50</v>
      </c>
      <c r="AB19" s="18" t="s">
        <v>87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5.1" customHeight="1" x14ac:dyDescent="0.2">
      <c r="A20" s="18" t="s">
        <v>70</v>
      </c>
      <c r="B20" s="19">
        <v>46075</v>
      </c>
      <c r="C20" s="19">
        <v>46075</v>
      </c>
      <c r="D20" s="18" t="s">
        <v>243</v>
      </c>
      <c r="E20" s="20">
        <v>0.45833333333333331</v>
      </c>
      <c r="F20" s="20">
        <v>0.54166666666666663</v>
      </c>
      <c r="G20" s="20">
        <v>3.4722222222222218E-4</v>
      </c>
      <c r="H20" s="18" t="s">
        <v>163</v>
      </c>
      <c r="I20" s="23">
        <v>0.52151620370370366</v>
      </c>
      <c r="J20" s="18" t="s">
        <v>84</v>
      </c>
      <c r="K20" s="18" t="s">
        <v>140</v>
      </c>
      <c r="L20" s="24">
        <v>1</v>
      </c>
      <c r="M20" s="24">
        <v>71000</v>
      </c>
      <c r="N20" s="18" t="s">
        <v>46</v>
      </c>
      <c r="O20" s="24" t="str">
        <f>AC20</f>
        <v>CVC</v>
      </c>
      <c r="P20" s="25">
        <v>0</v>
      </c>
      <c r="Q20" s="24"/>
      <c r="R20" s="25">
        <v>0</v>
      </c>
      <c r="S20" s="26">
        <v>46054</v>
      </c>
      <c r="T20" s="25">
        <v>0</v>
      </c>
      <c r="U20" s="27">
        <v>4</v>
      </c>
      <c r="V20" s="25">
        <v>0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72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5">
      <c r="A21" s="18" t="s">
        <v>154</v>
      </c>
      <c r="B21" s="19">
        <v>46075</v>
      </c>
      <c r="C21" s="19">
        <v>46075</v>
      </c>
      <c r="D21" s="18" t="s">
        <v>243</v>
      </c>
      <c r="E21" s="20">
        <v>0.45833333333333331</v>
      </c>
      <c r="F21" s="20">
        <v>0.54166666666666663</v>
      </c>
      <c r="G21" s="20">
        <v>3.4722222222222218E-4</v>
      </c>
      <c r="H21" s="18" t="s">
        <v>155</v>
      </c>
      <c r="I21" s="23">
        <v>0.52703703703703708</v>
      </c>
      <c r="J21" s="18" t="s">
        <v>84</v>
      </c>
      <c r="K21" s="18" t="s">
        <v>140</v>
      </c>
      <c r="L21" s="24">
        <v>1</v>
      </c>
      <c r="M21" s="24">
        <v>71252</v>
      </c>
      <c r="N21" s="18" t="s">
        <v>54</v>
      </c>
      <c r="O21" s="24" t="s">
        <v>156</v>
      </c>
      <c r="P21" s="25">
        <v>40</v>
      </c>
      <c r="Q21" s="24"/>
      <c r="R21" s="25">
        <v>40</v>
      </c>
      <c r="S21" s="26">
        <v>46075</v>
      </c>
      <c r="T21" s="25">
        <v>0</v>
      </c>
      <c r="U21" s="27">
        <v>4</v>
      </c>
      <c r="V21" s="25">
        <v>40</v>
      </c>
      <c r="W21" s="18" t="s">
        <v>48</v>
      </c>
      <c r="X21" s="18" t="s">
        <v>49</v>
      </c>
      <c r="Y21" s="18" t="s">
        <v>86</v>
      </c>
      <c r="Z21" s="18" t="s">
        <v>9</v>
      </c>
      <c r="AA21" s="18" t="s">
        <v>50</v>
      </c>
      <c r="AB21" s="18" t="s">
        <v>157</v>
      </c>
      <c r="AC21" s="18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31" customFormat="1" ht="35.1" customHeight="1" x14ac:dyDescent="0.25">
      <c r="A22" s="18" t="s">
        <v>121</v>
      </c>
      <c r="B22" s="19">
        <v>46075</v>
      </c>
      <c r="C22" s="19">
        <v>46075</v>
      </c>
      <c r="D22" s="18" t="s">
        <v>243</v>
      </c>
      <c r="E22" s="20">
        <v>0.45833333333333331</v>
      </c>
      <c r="F22" s="20">
        <v>0.54166666666666663</v>
      </c>
      <c r="G22" s="21">
        <v>1.7361111111111109E-4</v>
      </c>
      <c r="H22" s="22" t="s">
        <v>162</v>
      </c>
      <c r="I22" s="23">
        <v>0.53493055555555558</v>
      </c>
      <c r="J22" s="18" t="s">
        <v>84</v>
      </c>
      <c r="K22" s="18" t="s">
        <v>140</v>
      </c>
      <c r="L22" s="24">
        <v>1</v>
      </c>
      <c r="M22" s="24">
        <v>69571</v>
      </c>
      <c r="N22" s="18" t="s">
        <v>46</v>
      </c>
      <c r="O22" s="24" t="s">
        <v>159</v>
      </c>
      <c r="P22" s="25">
        <v>0</v>
      </c>
      <c r="Q22" s="24"/>
      <c r="R22" s="25">
        <v>0</v>
      </c>
      <c r="S22" s="26">
        <v>46054</v>
      </c>
      <c r="T22" s="25">
        <v>0</v>
      </c>
      <c r="U22" s="27">
        <v>4</v>
      </c>
      <c r="V22" s="25">
        <v>0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160</v>
      </c>
      <c r="AC22" s="18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31" customFormat="1" ht="35.1" customHeight="1" x14ac:dyDescent="0.25">
      <c r="A23" s="18" t="s">
        <v>121</v>
      </c>
      <c r="B23" s="19">
        <v>46075</v>
      </c>
      <c r="C23" s="19">
        <v>46075</v>
      </c>
      <c r="D23" s="18" t="s">
        <v>243</v>
      </c>
      <c r="E23" s="20">
        <v>0.45833333333333331</v>
      </c>
      <c r="F23" s="20">
        <v>0.54166666666666663</v>
      </c>
      <c r="G23" s="21">
        <v>1.7361111111111109E-4</v>
      </c>
      <c r="H23" s="22" t="s">
        <v>161</v>
      </c>
      <c r="I23" s="23">
        <v>0.53684027777777776</v>
      </c>
      <c r="J23" s="18" t="s">
        <v>84</v>
      </c>
      <c r="K23" s="18" t="s">
        <v>140</v>
      </c>
      <c r="L23" s="24">
        <v>1</v>
      </c>
      <c r="M23" s="24">
        <v>69571</v>
      </c>
      <c r="N23" s="18" t="s">
        <v>46</v>
      </c>
      <c r="O23" s="24" t="s">
        <v>159</v>
      </c>
      <c r="P23" s="25">
        <v>0</v>
      </c>
      <c r="Q23" s="24"/>
      <c r="R23" s="25">
        <v>0</v>
      </c>
      <c r="S23" s="26">
        <v>46054</v>
      </c>
      <c r="T23" s="25">
        <v>0</v>
      </c>
      <c r="U23" s="27">
        <v>4</v>
      </c>
      <c r="V23" s="25">
        <v>0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160</v>
      </c>
      <c r="AC23" s="18" t="s">
        <v>38</v>
      </c>
      <c r="AD23" s="7" t="str">
        <f t="shared" si="0"/>
        <v/>
      </c>
      <c r="AE23" s="28"/>
      <c r="AF23" s="28"/>
      <c r="AG23" s="28"/>
      <c r="AH23" s="28"/>
    </row>
    <row r="24" spans="1:49" s="38" customFormat="1" ht="35.1" customHeight="1" x14ac:dyDescent="0.25">
      <c r="A24" s="9" t="s">
        <v>249</v>
      </c>
      <c r="B24" s="10">
        <v>46075</v>
      </c>
      <c r="C24" s="10">
        <v>46075</v>
      </c>
      <c r="D24" s="11" t="s">
        <v>243</v>
      </c>
      <c r="E24" s="12">
        <v>0.54166666666666663</v>
      </c>
      <c r="F24" s="12">
        <v>0.58333333333333337</v>
      </c>
      <c r="G24" s="12">
        <v>4.1666666666666664E-2</v>
      </c>
      <c r="H24" s="9" t="s">
        <v>249</v>
      </c>
      <c r="I24" s="13"/>
      <c r="J24" s="9" t="s">
        <v>97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38" customFormat="1" ht="35.1" customHeight="1" x14ac:dyDescent="0.25">
      <c r="A25" s="9" t="s">
        <v>250</v>
      </c>
      <c r="B25" s="10">
        <v>46075</v>
      </c>
      <c r="C25" s="10">
        <v>46075</v>
      </c>
      <c r="D25" s="11" t="s">
        <v>243</v>
      </c>
      <c r="E25" s="12">
        <v>0.58333333333333337</v>
      </c>
      <c r="F25" s="12">
        <v>0.625</v>
      </c>
      <c r="G25" s="12">
        <v>4.1666666666666664E-2</v>
      </c>
      <c r="H25" s="9" t="s">
        <v>250</v>
      </c>
      <c r="I25" s="13"/>
      <c r="J25" s="9" t="s">
        <v>97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46075</v>
      </c>
      <c r="T25" s="16">
        <v>0</v>
      </c>
      <c r="U25" s="14">
        <v>1</v>
      </c>
      <c r="V25" s="16">
        <v>0</v>
      </c>
      <c r="W25" s="9" t="s">
        <v>34</v>
      </c>
      <c r="X25" s="9" t="s">
        <v>35</v>
      </c>
      <c r="Y25" s="9" t="s">
        <v>86</v>
      </c>
      <c r="Z25" s="9" t="s">
        <v>149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31" customFormat="1" ht="35.1" customHeight="1" x14ac:dyDescent="0.25">
      <c r="A26" s="18" t="s">
        <v>44</v>
      </c>
      <c r="B26" s="19">
        <v>46075</v>
      </c>
      <c r="C26" s="19">
        <v>46075</v>
      </c>
      <c r="D26" s="18" t="s">
        <v>243</v>
      </c>
      <c r="E26" s="20">
        <v>0.54166666666666663</v>
      </c>
      <c r="F26" s="20">
        <v>0.66666666666666663</v>
      </c>
      <c r="G26" s="21">
        <v>1.7361111111111109E-4</v>
      </c>
      <c r="H26" s="22" t="s">
        <v>234</v>
      </c>
      <c r="I26" s="23">
        <v>0.61649305555555556</v>
      </c>
      <c r="J26" s="18" t="s">
        <v>97</v>
      </c>
      <c r="K26" s="18" t="s">
        <v>242</v>
      </c>
      <c r="L26" s="24">
        <v>1</v>
      </c>
      <c r="M26" s="24">
        <v>71006</v>
      </c>
      <c r="N26" s="18" t="s">
        <v>54</v>
      </c>
      <c r="O26" s="24" t="s">
        <v>47</v>
      </c>
      <c r="P26" s="25">
        <v>15</v>
      </c>
      <c r="Q26" s="24"/>
      <c r="R26" s="25">
        <v>15</v>
      </c>
      <c r="S26" s="26">
        <v>46054</v>
      </c>
      <c r="T26" s="25">
        <v>2.25</v>
      </c>
      <c r="U26" s="27">
        <v>4</v>
      </c>
      <c r="V26" s="25">
        <v>12.75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51</v>
      </c>
      <c r="AC26" s="18" t="s">
        <v>38</v>
      </c>
      <c r="AD26" s="7" t="str">
        <f t="shared" si="0"/>
        <v/>
      </c>
      <c r="AE26" s="28"/>
      <c r="AF26" s="28"/>
      <c r="AG26" s="28"/>
      <c r="AH26" s="28"/>
    </row>
    <row r="27" spans="1:49" s="31" customFormat="1" ht="35.1" customHeight="1" x14ac:dyDescent="0.25">
      <c r="A27" s="18" t="s">
        <v>44</v>
      </c>
      <c r="B27" s="19">
        <v>46075</v>
      </c>
      <c r="C27" s="19">
        <v>46075</v>
      </c>
      <c r="D27" s="18" t="s">
        <v>243</v>
      </c>
      <c r="E27" s="20">
        <v>0.54166666666666663</v>
      </c>
      <c r="F27" s="20">
        <v>0.66666666666666663</v>
      </c>
      <c r="G27" s="21">
        <v>1.7361111111111109E-4</v>
      </c>
      <c r="H27" s="22" t="s">
        <v>55</v>
      </c>
      <c r="I27" s="23">
        <v>0.61701388888888886</v>
      </c>
      <c r="J27" s="18" t="s">
        <v>97</v>
      </c>
      <c r="K27" s="18" t="s">
        <v>242</v>
      </c>
      <c r="L27" s="24">
        <v>1</v>
      </c>
      <c r="M27" s="24">
        <v>71006</v>
      </c>
      <c r="N27" s="18" t="s">
        <v>54</v>
      </c>
      <c r="O27" s="24" t="s">
        <v>47</v>
      </c>
      <c r="P27" s="25">
        <v>15</v>
      </c>
      <c r="Q27" s="24"/>
      <c r="R27" s="25">
        <v>15</v>
      </c>
      <c r="S27" s="26">
        <v>46054</v>
      </c>
      <c r="T27" s="25">
        <v>2.25</v>
      </c>
      <c r="U27" s="27">
        <v>4</v>
      </c>
      <c r="V27" s="25">
        <v>12.75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51</v>
      </c>
      <c r="AC27" s="18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8" customFormat="1" ht="35.1" customHeight="1" x14ac:dyDescent="0.25">
      <c r="A28" s="9" t="s">
        <v>251</v>
      </c>
      <c r="B28" s="10">
        <v>46075</v>
      </c>
      <c r="C28" s="10">
        <v>46075</v>
      </c>
      <c r="D28" s="11" t="s">
        <v>243</v>
      </c>
      <c r="E28" s="12">
        <v>0.625</v>
      </c>
      <c r="F28" s="12">
        <v>0.66666666666666663</v>
      </c>
      <c r="G28" s="12">
        <v>4.1666666666666664E-2</v>
      </c>
      <c r="H28" s="9" t="s">
        <v>252</v>
      </c>
      <c r="I28" s="13"/>
      <c r="J28" s="9" t="s">
        <v>97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46075</v>
      </c>
      <c r="T28" s="16">
        <v>0</v>
      </c>
      <c r="U28" s="14">
        <v>1</v>
      </c>
      <c r="V28" s="16">
        <v>0</v>
      </c>
      <c r="W28" s="9" t="s">
        <v>34</v>
      </c>
      <c r="X28" s="9" t="s">
        <v>42</v>
      </c>
      <c r="Y28" s="9" t="s">
        <v>86</v>
      </c>
      <c r="Z28" s="9" t="s">
        <v>149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38" customFormat="1" ht="35.1" customHeight="1" x14ac:dyDescent="0.25">
      <c r="A29" s="9" t="s">
        <v>108</v>
      </c>
      <c r="B29" s="10">
        <v>46075</v>
      </c>
      <c r="C29" s="10">
        <v>46075</v>
      </c>
      <c r="D29" s="11" t="s">
        <v>243</v>
      </c>
      <c r="E29" s="12">
        <v>0.66666666666666663</v>
      </c>
      <c r="F29" s="12">
        <v>0.70833333333333337</v>
      </c>
      <c r="G29" s="12">
        <v>4.1666666666666664E-2</v>
      </c>
      <c r="H29" s="9" t="s">
        <v>180</v>
      </c>
      <c r="I29" s="13" t="s">
        <v>216</v>
      </c>
      <c r="J29" s="9" t="s">
        <v>110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38" customFormat="1" ht="35.1" customHeight="1" x14ac:dyDescent="0.25">
      <c r="A30" s="9" t="s">
        <v>108</v>
      </c>
      <c r="B30" s="10">
        <v>46075</v>
      </c>
      <c r="C30" s="10">
        <v>46075</v>
      </c>
      <c r="D30" s="11" t="s">
        <v>243</v>
      </c>
      <c r="E30" s="12">
        <v>0.70833333333333337</v>
      </c>
      <c r="F30" s="12">
        <v>0.75</v>
      </c>
      <c r="G30" s="12">
        <v>4.1666666666666664E-2</v>
      </c>
      <c r="H30" s="9" t="s">
        <v>193</v>
      </c>
      <c r="I30" s="13" t="s">
        <v>216</v>
      </c>
      <c r="J30" s="9" t="s">
        <v>110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31" customFormat="1" ht="35.1" customHeight="1" x14ac:dyDescent="0.25">
      <c r="A31" s="18" t="s">
        <v>111</v>
      </c>
      <c r="B31" s="19">
        <v>46075</v>
      </c>
      <c r="C31" s="19">
        <v>46075</v>
      </c>
      <c r="D31" s="18" t="s">
        <v>243</v>
      </c>
      <c r="E31" s="20">
        <v>0.66666666666666663</v>
      </c>
      <c r="F31" s="20">
        <v>0.79166666666666663</v>
      </c>
      <c r="G31" s="21">
        <v>1.7361111111111112E-4</v>
      </c>
      <c r="H31" s="22" t="s">
        <v>112</v>
      </c>
      <c r="I31" s="23">
        <v>0.72159722222222222</v>
      </c>
      <c r="J31" s="18" t="s">
        <v>110</v>
      </c>
      <c r="K31" s="18" t="s">
        <v>255</v>
      </c>
      <c r="L31" s="24">
        <v>1</v>
      </c>
      <c r="M31" s="24">
        <v>69833</v>
      </c>
      <c r="N31" s="18" t="s">
        <v>54</v>
      </c>
      <c r="O31" s="24"/>
      <c r="P31" s="25">
        <v>28</v>
      </c>
      <c r="Q31" s="24"/>
      <c r="R31" s="25">
        <v>28</v>
      </c>
      <c r="S31" s="26">
        <v>46075</v>
      </c>
      <c r="T31" s="25">
        <v>0</v>
      </c>
      <c r="U31" s="27">
        <v>4</v>
      </c>
      <c r="V31" s="25">
        <v>28</v>
      </c>
      <c r="W31" s="18" t="s">
        <v>34</v>
      </c>
      <c r="X31" s="18" t="s">
        <v>49</v>
      </c>
      <c r="Y31" s="18" t="s">
        <v>86</v>
      </c>
      <c r="Z31" s="18" t="s">
        <v>43</v>
      </c>
      <c r="AA31" s="18" t="s">
        <v>50</v>
      </c>
      <c r="AB31" s="18" t="s">
        <v>113</v>
      </c>
      <c r="AC31" s="18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31" customFormat="1" ht="35.1" customHeight="1" x14ac:dyDescent="0.25">
      <c r="A32" s="18" t="s">
        <v>111</v>
      </c>
      <c r="B32" s="19">
        <v>46075</v>
      </c>
      <c r="C32" s="19">
        <v>46075</v>
      </c>
      <c r="D32" s="18" t="s">
        <v>243</v>
      </c>
      <c r="E32" s="20">
        <v>0.66666666666666663</v>
      </c>
      <c r="F32" s="20">
        <v>0.79166666666666663</v>
      </c>
      <c r="G32" s="21">
        <v>1.7361111111111112E-4</v>
      </c>
      <c r="H32" s="22" t="s">
        <v>114</v>
      </c>
      <c r="I32" s="23">
        <v>0.72350694444444441</v>
      </c>
      <c r="J32" s="18" t="s">
        <v>110</v>
      </c>
      <c r="K32" s="18" t="s">
        <v>255</v>
      </c>
      <c r="L32" s="24">
        <v>1</v>
      </c>
      <c r="M32" s="24">
        <v>69833</v>
      </c>
      <c r="N32" s="18" t="s">
        <v>54</v>
      </c>
      <c r="O32" s="24"/>
      <c r="P32" s="25">
        <v>0</v>
      </c>
      <c r="Q32" s="24"/>
      <c r="R32" s="25">
        <v>0</v>
      </c>
      <c r="S32" s="26">
        <v>46075</v>
      </c>
      <c r="T32" s="25">
        <v>0</v>
      </c>
      <c r="U32" s="27">
        <v>4</v>
      </c>
      <c r="V32" s="25">
        <v>0</v>
      </c>
      <c r="W32" s="18" t="s">
        <v>34</v>
      </c>
      <c r="X32" s="18" t="s">
        <v>49</v>
      </c>
      <c r="Y32" s="18" t="s">
        <v>86</v>
      </c>
      <c r="Z32" s="18" t="s">
        <v>43</v>
      </c>
      <c r="AA32" s="18" t="s">
        <v>50</v>
      </c>
      <c r="AB32" s="18" t="s">
        <v>113</v>
      </c>
      <c r="AC32" s="18" t="s">
        <v>38</v>
      </c>
      <c r="AD32" s="7" t="str">
        <f t="shared" si="0"/>
        <v/>
      </c>
      <c r="AE32" s="28"/>
      <c r="AF32" s="28"/>
      <c r="AG32" s="28"/>
      <c r="AH32" s="28"/>
    </row>
    <row r="33" spans="1:49" s="31" customFormat="1" ht="35.1" customHeight="1" x14ac:dyDescent="0.25">
      <c r="A33" s="18" t="s">
        <v>44</v>
      </c>
      <c r="B33" s="19">
        <v>46075</v>
      </c>
      <c r="C33" s="19">
        <v>46075</v>
      </c>
      <c r="D33" s="18" t="s">
        <v>243</v>
      </c>
      <c r="E33" s="20">
        <v>0.66666666666666663</v>
      </c>
      <c r="F33" s="20">
        <v>0.79166666666666663</v>
      </c>
      <c r="G33" s="21">
        <v>1.7361111111111109E-4</v>
      </c>
      <c r="H33" s="22" t="s">
        <v>253</v>
      </c>
      <c r="I33" s="23">
        <v>0.74862268518518515</v>
      </c>
      <c r="J33" s="18" t="s">
        <v>110</v>
      </c>
      <c r="K33" s="18" t="s">
        <v>255</v>
      </c>
      <c r="L33" s="24">
        <v>1</v>
      </c>
      <c r="M33" s="24">
        <v>71004</v>
      </c>
      <c r="N33" s="18" t="s">
        <v>46</v>
      </c>
      <c r="O33" s="24" t="s">
        <v>47</v>
      </c>
      <c r="P33" s="25">
        <v>0</v>
      </c>
      <c r="Q33" s="24"/>
      <c r="R33" s="25">
        <v>0</v>
      </c>
      <c r="S33" s="26">
        <v>46054</v>
      </c>
      <c r="T33" s="25">
        <v>0</v>
      </c>
      <c r="U33" s="27">
        <v>4</v>
      </c>
      <c r="V33" s="25">
        <v>0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51</v>
      </c>
      <c r="AC33" s="18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31" customFormat="1" ht="35.1" customHeight="1" x14ac:dyDescent="0.25">
      <c r="A34" s="18" t="s">
        <v>44</v>
      </c>
      <c r="B34" s="19">
        <v>46075</v>
      </c>
      <c r="C34" s="19">
        <v>46075</v>
      </c>
      <c r="D34" s="18" t="s">
        <v>243</v>
      </c>
      <c r="E34" s="20">
        <v>0.66666666666666663</v>
      </c>
      <c r="F34" s="20">
        <v>0.79166666666666663</v>
      </c>
      <c r="G34" s="21">
        <v>1.7361111111111109E-4</v>
      </c>
      <c r="H34" s="22" t="s">
        <v>146</v>
      </c>
      <c r="I34" s="23">
        <v>0.74966435185185187</v>
      </c>
      <c r="J34" s="18" t="s">
        <v>110</v>
      </c>
      <c r="K34" s="18" t="s">
        <v>255</v>
      </c>
      <c r="L34" s="24">
        <v>1</v>
      </c>
      <c r="M34" s="24">
        <v>71004</v>
      </c>
      <c r="N34" s="18" t="s">
        <v>46</v>
      </c>
      <c r="O34" s="24" t="s">
        <v>47</v>
      </c>
      <c r="P34" s="25">
        <v>0</v>
      </c>
      <c r="Q34" s="24"/>
      <c r="R34" s="25">
        <v>0</v>
      </c>
      <c r="S34" s="26">
        <v>46054</v>
      </c>
      <c r="T34" s="25">
        <v>0</v>
      </c>
      <c r="U34" s="27">
        <v>4</v>
      </c>
      <c r="V34" s="25">
        <v>0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51</v>
      </c>
      <c r="AC34" s="18" t="s">
        <v>38</v>
      </c>
      <c r="AD34" s="7" t="str">
        <f t="shared" si="0"/>
        <v/>
      </c>
      <c r="AE34" s="28"/>
      <c r="AF34" s="28"/>
      <c r="AG34" s="28"/>
      <c r="AH34" s="28"/>
    </row>
    <row r="35" spans="1:49" s="38" customFormat="1" ht="35.1" customHeight="1" x14ac:dyDescent="0.25">
      <c r="A35" s="9" t="s">
        <v>228</v>
      </c>
      <c r="B35" s="10">
        <v>46075</v>
      </c>
      <c r="C35" s="10">
        <v>46075</v>
      </c>
      <c r="D35" s="11" t="s">
        <v>243</v>
      </c>
      <c r="E35" s="12">
        <v>0.75</v>
      </c>
      <c r="F35" s="12">
        <v>0.79166666666666663</v>
      </c>
      <c r="G35" s="12">
        <v>4.1666666666666664E-2</v>
      </c>
      <c r="H35" s="9" t="s">
        <v>229</v>
      </c>
      <c r="I35" s="13"/>
      <c r="J35" s="9" t="s">
        <v>230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31" customFormat="1" ht="35.1" customHeight="1" x14ac:dyDescent="0.25">
      <c r="A36" s="18" t="s">
        <v>70</v>
      </c>
      <c r="B36" s="19">
        <v>46075</v>
      </c>
      <c r="C36" s="19">
        <v>46075</v>
      </c>
      <c r="D36" s="18" t="s">
        <v>243</v>
      </c>
      <c r="E36" s="20">
        <v>0.75</v>
      </c>
      <c r="F36" s="20">
        <v>0.83333333333333337</v>
      </c>
      <c r="G36" s="20">
        <v>3.4722222222222218E-4</v>
      </c>
      <c r="H36" s="18" t="s">
        <v>231</v>
      </c>
      <c r="I36" s="23">
        <v>0.75354166666666667</v>
      </c>
      <c r="J36" s="18" t="s">
        <v>232</v>
      </c>
      <c r="K36" s="18" t="s">
        <v>228</v>
      </c>
      <c r="L36" s="24">
        <v>1</v>
      </c>
      <c r="M36" s="24">
        <v>70985</v>
      </c>
      <c r="N36" s="18" t="s">
        <v>54</v>
      </c>
      <c r="O36" s="24" t="str">
        <f>AC36</f>
        <v>CVC</v>
      </c>
      <c r="P36" s="25">
        <v>58.82</v>
      </c>
      <c r="Q36" s="24"/>
      <c r="R36" s="25">
        <v>58.82</v>
      </c>
      <c r="S36" s="26">
        <v>46054</v>
      </c>
      <c r="T36" s="25">
        <v>4.4115000000000002</v>
      </c>
      <c r="U36" s="27">
        <v>4</v>
      </c>
      <c r="V36" s="25">
        <v>54.408500000000004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72</v>
      </c>
      <c r="AC36" s="18" t="s">
        <v>38</v>
      </c>
      <c r="AD36" s="7" t="str">
        <f t="shared" si="0"/>
        <v/>
      </c>
      <c r="AE36" s="28"/>
      <c r="AF36" s="28"/>
      <c r="AG36" s="28"/>
      <c r="AH36" s="28"/>
    </row>
    <row r="37" spans="1:49" s="31" customFormat="1" ht="35.1" customHeight="1" x14ac:dyDescent="0.25">
      <c r="A37" s="18" t="s">
        <v>60</v>
      </c>
      <c r="B37" s="19">
        <v>46075</v>
      </c>
      <c r="C37" s="19">
        <v>46075</v>
      </c>
      <c r="D37" s="18" t="s">
        <v>243</v>
      </c>
      <c r="E37" s="20">
        <v>0.75</v>
      </c>
      <c r="F37" s="20">
        <v>0.83333333333333337</v>
      </c>
      <c r="G37" s="20">
        <v>3.4722222222222218E-4</v>
      </c>
      <c r="H37" s="18" t="s">
        <v>233</v>
      </c>
      <c r="I37" s="23">
        <v>0.76528935185185187</v>
      </c>
      <c r="J37" s="18" t="s">
        <v>232</v>
      </c>
      <c r="K37" s="18" t="s">
        <v>228</v>
      </c>
      <c r="L37" s="24">
        <v>1</v>
      </c>
      <c r="M37" s="24">
        <v>64418</v>
      </c>
      <c r="N37" s="18" t="s">
        <v>46</v>
      </c>
      <c r="O37" s="24" t="s">
        <v>62</v>
      </c>
      <c r="P37" s="25">
        <v>0</v>
      </c>
      <c r="Q37" s="24"/>
      <c r="R37" s="25">
        <v>0</v>
      </c>
      <c r="S37" s="26">
        <v>46054</v>
      </c>
      <c r="T37" s="25">
        <v>0</v>
      </c>
      <c r="U37" s="27">
        <v>4</v>
      </c>
      <c r="V37" s="25">
        <v>0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63</v>
      </c>
      <c r="AC37" s="18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31" customFormat="1" ht="35.1" customHeight="1" x14ac:dyDescent="0.2">
      <c r="A38" s="18" t="s">
        <v>70</v>
      </c>
      <c r="B38" s="19">
        <v>46075</v>
      </c>
      <c r="C38" s="19">
        <v>46075</v>
      </c>
      <c r="D38" s="18" t="s">
        <v>243</v>
      </c>
      <c r="E38" s="20">
        <v>0.75</v>
      </c>
      <c r="F38" s="20">
        <v>0.83333333333333337</v>
      </c>
      <c r="G38" s="20">
        <v>3.4722222222222218E-4</v>
      </c>
      <c r="H38" s="18" t="s">
        <v>231</v>
      </c>
      <c r="I38" s="23">
        <v>0.77357638888888891</v>
      </c>
      <c r="J38" s="18" t="s">
        <v>232</v>
      </c>
      <c r="K38" s="18" t="s">
        <v>228</v>
      </c>
      <c r="L38" s="24">
        <v>1</v>
      </c>
      <c r="M38" s="24">
        <v>70985</v>
      </c>
      <c r="N38" s="18" t="s">
        <v>54</v>
      </c>
      <c r="O38" s="24" t="str">
        <f>AC38</f>
        <v>CVC</v>
      </c>
      <c r="P38" s="25">
        <v>58.82</v>
      </c>
      <c r="Q38" s="24"/>
      <c r="R38" s="25">
        <v>58.82</v>
      </c>
      <c r="S38" s="26">
        <v>46054</v>
      </c>
      <c r="T38" s="25">
        <v>4.4115000000000002</v>
      </c>
      <c r="U38" s="27">
        <v>4</v>
      </c>
      <c r="V38" s="25">
        <v>54.408500000000004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72</v>
      </c>
      <c r="AC38" s="18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1" customFormat="1" ht="35.1" customHeight="1" x14ac:dyDescent="0.2">
      <c r="A39" s="18" t="s">
        <v>44</v>
      </c>
      <c r="B39" s="19">
        <v>46075</v>
      </c>
      <c r="C39" s="19">
        <v>46075</v>
      </c>
      <c r="D39" s="18" t="s">
        <v>243</v>
      </c>
      <c r="E39" s="20">
        <v>0.75</v>
      </c>
      <c r="F39" s="20">
        <v>0.83333333333333337</v>
      </c>
      <c r="G39" s="21">
        <v>1.7361111111111109E-4</v>
      </c>
      <c r="H39" s="22" t="s">
        <v>253</v>
      </c>
      <c r="I39" s="23">
        <v>0.77305555555555561</v>
      </c>
      <c r="J39" s="18" t="s">
        <v>232</v>
      </c>
      <c r="K39" s="18" t="s">
        <v>228</v>
      </c>
      <c r="L39" s="24">
        <v>1</v>
      </c>
      <c r="M39" s="24">
        <v>71021</v>
      </c>
      <c r="N39" s="18" t="s">
        <v>54</v>
      </c>
      <c r="O39" s="24" t="s">
        <v>47</v>
      </c>
      <c r="P39" s="25">
        <v>15</v>
      </c>
      <c r="Q39" s="24"/>
      <c r="R39" s="25">
        <v>15</v>
      </c>
      <c r="S39" s="26">
        <v>46054</v>
      </c>
      <c r="T39" s="25">
        <v>2.25</v>
      </c>
      <c r="U39" s="27">
        <v>4</v>
      </c>
      <c r="V39" s="25">
        <v>12.75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51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1" customFormat="1" ht="35.1" customHeight="1" x14ac:dyDescent="0.2">
      <c r="A40" s="18" t="s">
        <v>44</v>
      </c>
      <c r="B40" s="19">
        <v>46075</v>
      </c>
      <c r="C40" s="19">
        <v>46075</v>
      </c>
      <c r="D40" s="18" t="s">
        <v>243</v>
      </c>
      <c r="E40" s="20">
        <v>0.75</v>
      </c>
      <c r="F40" s="20">
        <v>0.83333333333333337</v>
      </c>
      <c r="G40" s="21">
        <v>1.7361111111111109E-4</v>
      </c>
      <c r="H40" s="22" t="s">
        <v>146</v>
      </c>
      <c r="I40" s="23">
        <v>0.77392361111111108</v>
      </c>
      <c r="J40" s="18" t="s">
        <v>232</v>
      </c>
      <c r="K40" s="18" t="s">
        <v>228</v>
      </c>
      <c r="L40" s="24">
        <v>1</v>
      </c>
      <c r="M40" s="24">
        <v>71021</v>
      </c>
      <c r="N40" s="18" t="s">
        <v>54</v>
      </c>
      <c r="O40" s="24" t="s">
        <v>47</v>
      </c>
      <c r="P40" s="25">
        <v>15</v>
      </c>
      <c r="Q40" s="24"/>
      <c r="R40" s="25">
        <v>15</v>
      </c>
      <c r="S40" s="26">
        <v>46054</v>
      </c>
      <c r="T40" s="25">
        <v>2.25</v>
      </c>
      <c r="U40" s="27">
        <v>4</v>
      </c>
      <c r="V40" s="25">
        <v>12.75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51</v>
      </c>
      <c r="AC40" s="18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1" customFormat="1" ht="35.1" customHeight="1" x14ac:dyDescent="0.2">
      <c r="A41" s="18" t="s">
        <v>88</v>
      </c>
      <c r="B41" s="19">
        <v>46075</v>
      </c>
      <c r="C41" s="19">
        <v>46075</v>
      </c>
      <c r="D41" s="18" t="s">
        <v>243</v>
      </c>
      <c r="E41" s="20">
        <v>0.75</v>
      </c>
      <c r="F41" s="20">
        <v>0.83333333333333337</v>
      </c>
      <c r="G41" s="20">
        <v>3.4722222222222218E-4</v>
      </c>
      <c r="H41" s="18" t="s">
        <v>238</v>
      </c>
      <c r="I41" s="23">
        <v>0.7820138888888889</v>
      </c>
      <c r="J41" s="18" t="s">
        <v>232</v>
      </c>
      <c r="K41" s="18" t="s">
        <v>228</v>
      </c>
      <c r="L41" s="24">
        <v>1</v>
      </c>
      <c r="M41" s="24">
        <v>71442</v>
      </c>
      <c r="N41" s="18" t="s">
        <v>54</v>
      </c>
      <c r="O41" s="24" t="s">
        <v>236</v>
      </c>
      <c r="P41" s="25">
        <v>52.941176470588239</v>
      </c>
      <c r="Q41" s="24"/>
      <c r="R41" s="25">
        <v>52.941176470588239</v>
      </c>
      <c r="S41" s="26">
        <v>46075</v>
      </c>
      <c r="T41" s="25">
        <v>7.9411764705882355</v>
      </c>
      <c r="U41" s="27">
        <v>4</v>
      </c>
      <c r="V41" s="25">
        <v>45</v>
      </c>
      <c r="W41" s="18" t="s">
        <v>48</v>
      </c>
      <c r="X41" s="18" t="s">
        <v>49</v>
      </c>
      <c r="Y41" s="18" t="s">
        <v>86</v>
      </c>
      <c r="Z41" s="18" t="s">
        <v>9</v>
      </c>
      <c r="AA41" s="18" t="s">
        <v>50</v>
      </c>
      <c r="AB41" s="18" t="s">
        <v>237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8" customFormat="1" ht="35.1" customHeight="1" x14ac:dyDescent="0.25">
      <c r="A42" s="9" t="s">
        <v>228</v>
      </c>
      <c r="B42" s="10">
        <v>46075</v>
      </c>
      <c r="C42" s="10">
        <v>46075</v>
      </c>
      <c r="D42" s="11" t="s">
        <v>243</v>
      </c>
      <c r="E42" s="12">
        <v>0.79166666666666663</v>
      </c>
      <c r="F42" s="12">
        <v>0.83333333333333337</v>
      </c>
      <c r="G42" s="12">
        <v>4.1666666666666664E-2</v>
      </c>
      <c r="H42" s="9" t="s">
        <v>241</v>
      </c>
      <c r="I42" s="13"/>
      <c r="J42" s="9" t="s">
        <v>230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1" customFormat="1" ht="35.1" customHeight="1" x14ac:dyDescent="0.25">
      <c r="A43" s="18" t="s">
        <v>103</v>
      </c>
      <c r="B43" s="19">
        <v>46075</v>
      </c>
      <c r="C43" s="19">
        <v>46075</v>
      </c>
      <c r="D43" s="18" t="s">
        <v>243</v>
      </c>
      <c r="E43" s="20">
        <v>0.75</v>
      </c>
      <c r="F43" s="20">
        <v>0.83333333333333337</v>
      </c>
      <c r="G43" s="20">
        <v>3.4722222222222218E-4</v>
      </c>
      <c r="H43" s="18" t="s">
        <v>254</v>
      </c>
      <c r="I43" s="23">
        <v>0.79380787037037037</v>
      </c>
      <c r="J43" s="18" t="s">
        <v>232</v>
      </c>
      <c r="K43" s="18" t="s">
        <v>241</v>
      </c>
      <c r="L43" s="24">
        <v>1</v>
      </c>
      <c r="M43" s="24">
        <v>59762</v>
      </c>
      <c r="N43" s="18" t="s">
        <v>54</v>
      </c>
      <c r="O43" s="24"/>
      <c r="P43" s="25">
        <v>50</v>
      </c>
      <c r="Q43" s="24"/>
      <c r="R43" s="25">
        <v>50</v>
      </c>
      <c r="S43" s="26">
        <v>46054</v>
      </c>
      <c r="T43" s="25">
        <v>0</v>
      </c>
      <c r="U43" s="27">
        <v>4</v>
      </c>
      <c r="V43" s="25">
        <v>50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105</v>
      </c>
      <c r="AC43" s="18" t="s">
        <v>38</v>
      </c>
      <c r="AD43" s="7" t="str">
        <f t="shared" si="0"/>
        <v/>
      </c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</row>
    <row r="44" spans="1:49" s="31" customFormat="1" ht="35.1" customHeight="1" x14ac:dyDescent="0.25">
      <c r="A44" s="18" t="s">
        <v>88</v>
      </c>
      <c r="B44" s="19">
        <v>46075</v>
      </c>
      <c r="C44" s="19">
        <v>46075</v>
      </c>
      <c r="D44" s="18" t="s">
        <v>243</v>
      </c>
      <c r="E44" s="20">
        <v>0.75</v>
      </c>
      <c r="F44" s="20">
        <v>0.83333333333333337</v>
      </c>
      <c r="G44" s="20">
        <v>3.4722222222222218E-4</v>
      </c>
      <c r="H44" s="18" t="s">
        <v>235</v>
      </c>
      <c r="I44" s="23">
        <v>0.80248842592592595</v>
      </c>
      <c r="J44" s="18" t="s">
        <v>232</v>
      </c>
      <c r="K44" s="18" t="s">
        <v>241</v>
      </c>
      <c r="L44" s="24">
        <v>1</v>
      </c>
      <c r="M44" s="24">
        <v>71444</v>
      </c>
      <c r="N44" s="18" t="s">
        <v>46</v>
      </c>
      <c r="O44" s="24" t="s">
        <v>236</v>
      </c>
      <c r="P44" s="25">
        <v>0</v>
      </c>
      <c r="Q44" s="24"/>
      <c r="R44" s="25">
        <v>0</v>
      </c>
      <c r="S44" s="26">
        <v>46075</v>
      </c>
      <c r="T44" s="25">
        <v>0</v>
      </c>
      <c r="U44" s="27">
        <v>4</v>
      </c>
      <c r="V44" s="25">
        <v>0</v>
      </c>
      <c r="W44" s="18" t="s">
        <v>48</v>
      </c>
      <c r="X44" s="18" t="s">
        <v>49</v>
      </c>
      <c r="Y44" s="18" t="s">
        <v>86</v>
      </c>
      <c r="Z44" s="18" t="s">
        <v>9</v>
      </c>
      <c r="AA44" s="18" t="s">
        <v>50</v>
      </c>
      <c r="AB44" s="18" t="s">
        <v>237</v>
      </c>
      <c r="AC44" s="18" t="s">
        <v>38</v>
      </c>
      <c r="AD44" s="7" t="str">
        <f t="shared" si="0"/>
        <v/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31" customFormat="1" ht="35.1" customHeight="1" x14ac:dyDescent="0.2">
      <c r="A45" s="18" t="s">
        <v>60</v>
      </c>
      <c r="B45" s="19">
        <v>46075</v>
      </c>
      <c r="C45" s="19">
        <v>46075</v>
      </c>
      <c r="D45" s="18" t="s">
        <v>243</v>
      </c>
      <c r="E45" s="20">
        <v>0.75</v>
      </c>
      <c r="F45" s="20">
        <v>0.83333333333333337</v>
      </c>
      <c r="G45" s="20">
        <v>3.4722222222222218E-4</v>
      </c>
      <c r="H45" s="18" t="s">
        <v>233</v>
      </c>
      <c r="I45" s="23">
        <v>0.80283564814814812</v>
      </c>
      <c r="J45" s="18" t="s">
        <v>232</v>
      </c>
      <c r="K45" s="18" t="s">
        <v>241</v>
      </c>
      <c r="L45" s="24">
        <v>1</v>
      </c>
      <c r="M45" s="24">
        <v>64410</v>
      </c>
      <c r="N45" s="18" t="s">
        <v>54</v>
      </c>
      <c r="O45" s="24" t="s">
        <v>62</v>
      </c>
      <c r="P45" s="25">
        <v>30</v>
      </c>
      <c r="Q45" s="24"/>
      <c r="R45" s="25">
        <v>30</v>
      </c>
      <c r="S45" s="26">
        <v>46054</v>
      </c>
      <c r="T45" s="25">
        <v>4.5</v>
      </c>
      <c r="U45" s="27">
        <v>4</v>
      </c>
      <c r="V45" s="25">
        <v>25.5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63</v>
      </c>
      <c r="AC45" s="18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38" customFormat="1" ht="35.1" customHeight="1" x14ac:dyDescent="0.25">
      <c r="A46" s="18" t="s">
        <v>70</v>
      </c>
      <c r="B46" s="19">
        <v>46075</v>
      </c>
      <c r="C46" s="19">
        <v>46075</v>
      </c>
      <c r="D46" s="18" t="s">
        <v>243</v>
      </c>
      <c r="E46" s="20">
        <v>0.75</v>
      </c>
      <c r="F46" s="20">
        <v>0.83333333333333337</v>
      </c>
      <c r="G46" s="20">
        <v>3.4722222222222218E-4</v>
      </c>
      <c r="H46" s="18" t="s">
        <v>231</v>
      </c>
      <c r="I46" s="23">
        <v>0.80962962962962959</v>
      </c>
      <c r="J46" s="18" t="s">
        <v>232</v>
      </c>
      <c r="K46" s="18" t="s">
        <v>241</v>
      </c>
      <c r="L46" s="24">
        <v>1</v>
      </c>
      <c r="M46" s="24">
        <v>70987</v>
      </c>
      <c r="N46" s="18" t="s">
        <v>46</v>
      </c>
      <c r="O46" s="24" t="str">
        <f>AC46</f>
        <v>CVC</v>
      </c>
      <c r="P46" s="25">
        <v>0</v>
      </c>
      <c r="Q46" s="24"/>
      <c r="R46" s="25">
        <v>0</v>
      </c>
      <c r="S46" s="26">
        <v>46054</v>
      </c>
      <c r="T46" s="25">
        <v>0</v>
      </c>
      <c r="U46" s="27">
        <v>4</v>
      </c>
      <c r="V46" s="25">
        <v>0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72</v>
      </c>
      <c r="AC46" s="18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38" customFormat="1" ht="35.1" customHeight="1" x14ac:dyDescent="0.25">
      <c r="A47" s="18" t="s">
        <v>60</v>
      </c>
      <c r="B47" s="19">
        <v>46075</v>
      </c>
      <c r="C47" s="19">
        <v>46075</v>
      </c>
      <c r="D47" s="18" t="s">
        <v>243</v>
      </c>
      <c r="E47" s="20">
        <v>0.75</v>
      </c>
      <c r="F47" s="20">
        <v>0.83333333333333337</v>
      </c>
      <c r="G47" s="20">
        <v>3.4722222222222218E-4</v>
      </c>
      <c r="H47" s="18" t="s">
        <v>233</v>
      </c>
      <c r="I47" s="23">
        <v>0.81155092592592593</v>
      </c>
      <c r="J47" s="18" t="s">
        <v>232</v>
      </c>
      <c r="K47" s="18" t="s">
        <v>241</v>
      </c>
      <c r="L47" s="24">
        <v>1</v>
      </c>
      <c r="M47" s="24">
        <v>64410</v>
      </c>
      <c r="N47" s="18" t="s">
        <v>54</v>
      </c>
      <c r="O47" s="24" t="s">
        <v>62</v>
      </c>
      <c r="P47" s="25">
        <v>30</v>
      </c>
      <c r="Q47" s="24"/>
      <c r="R47" s="25">
        <v>30</v>
      </c>
      <c r="S47" s="26">
        <v>46054</v>
      </c>
      <c r="T47" s="25">
        <v>4.5</v>
      </c>
      <c r="U47" s="27">
        <v>4</v>
      </c>
      <c r="V47" s="25">
        <v>25.5</v>
      </c>
      <c r="W47" s="18" t="s">
        <v>48</v>
      </c>
      <c r="X47" s="18" t="s">
        <v>49</v>
      </c>
      <c r="Y47" s="18" t="s">
        <v>36</v>
      </c>
      <c r="Z47" s="18" t="s">
        <v>9</v>
      </c>
      <c r="AA47" s="18" t="s">
        <v>50</v>
      </c>
      <c r="AB47" s="18" t="s">
        <v>63</v>
      </c>
      <c r="AC47" s="18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38" customFormat="1" ht="35.1" customHeight="1" x14ac:dyDescent="0.25">
      <c r="A48" s="18" t="s">
        <v>88</v>
      </c>
      <c r="B48" s="19">
        <v>46075</v>
      </c>
      <c r="C48" s="19">
        <v>46075</v>
      </c>
      <c r="D48" s="18" t="s">
        <v>243</v>
      </c>
      <c r="E48" s="20">
        <v>0.75</v>
      </c>
      <c r="F48" s="20">
        <v>0.83333333333333337</v>
      </c>
      <c r="G48" s="20">
        <v>3.4722222222222218E-4</v>
      </c>
      <c r="H48" s="18" t="s">
        <v>238</v>
      </c>
      <c r="I48" s="23">
        <v>0.81259259259259264</v>
      </c>
      <c r="J48" s="18" t="s">
        <v>232</v>
      </c>
      <c r="K48" s="18" t="s">
        <v>241</v>
      </c>
      <c r="L48" s="24">
        <v>1</v>
      </c>
      <c r="M48" s="24">
        <v>71442</v>
      </c>
      <c r="N48" s="18" t="s">
        <v>54</v>
      </c>
      <c r="O48" s="24" t="s">
        <v>236</v>
      </c>
      <c r="P48" s="25">
        <v>52.941176470588239</v>
      </c>
      <c r="Q48" s="24"/>
      <c r="R48" s="25">
        <v>52.941176470588239</v>
      </c>
      <c r="S48" s="26">
        <v>46075</v>
      </c>
      <c r="T48" s="25">
        <v>7.9411764705882355</v>
      </c>
      <c r="U48" s="27">
        <v>4</v>
      </c>
      <c r="V48" s="25">
        <v>45</v>
      </c>
      <c r="W48" s="18" t="s">
        <v>48</v>
      </c>
      <c r="X48" s="18" t="s">
        <v>49</v>
      </c>
      <c r="Y48" s="18" t="s">
        <v>86</v>
      </c>
      <c r="Z48" s="18" t="s">
        <v>9</v>
      </c>
      <c r="AA48" s="18" t="s">
        <v>50</v>
      </c>
      <c r="AB48" s="18" t="s">
        <v>237</v>
      </c>
      <c r="AC48" s="18" t="s">
        <v>38</v>
      </c>
      <c r="AD48" s="7" t="str">
        <f t="shared" si="0"/>
        <v/>
      </c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1:49" s="38" customFormat="1" ht="35.1" customHeight="1" x14ac:dyDescent="0.25">
      <c r="A49" s="18" t="s">
        <v>70</v>
      </c>
      <c r="B49" s="19">
        <v>46075</v>
      </c>
      <c r="C49" s="19">
        <v>46075</v>
      </c>
      <c r="D49" s="18" t="s">
        <v>243</v>
      </c>
      <c r="E49" s="20">
        <v>0.75</v>
      </c>
      <c r="F49" s="20">
        <v>0.83333333333333337</v>
      </c>
      <c r="G49" s="20">
        <v>3.4722222222222218E-4</v>
      </c>
      <c r="H49" s="18" t="s">
        <v>231</v>
      </c>
      <c r="I49" s="23">
        <v>0.82614583333333336</v>
      </c>
      <c r="J49" s="18" t="s">
        <v>232</v>
      </c>
      <c r="K49" s="18" t="s">
        <v>241</v>
      </c>
      <c r="L49" s="24">
        <v>1</v>
      </c>
      <c r="M49" s="24">
        <v>70987</v>
      </c>
      <c r="N49" s="18" t="s">
        <v>46</v>
      </c>
      <c r="O49" s="24" t="str">
        <f>AC49</f>
        <v>CVC</v>
      </c>
      <c r="P49" s="25">
        <v>0</v>
      </c>
      <c r="Q49" s="24"/>
      <c r="R49" s="25">
        <v>0</v>
      </c>
      <c r="S49" s="26">
        <v>46054</v>
      </c>
      <c r="T49" s="25">
        <v>0</v>
      </c>
      <c r="U49" s="27">
        <v>4</v>
      </c>
      <c r="V49" s="25">
        <v>0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72</v>
      </c>
      <c r="AC49" s="18" t="s">
        <v>38</v>
      </c>
      <c r="AD49" s="7" t="str">
        <f t="shared" si="0"/>
        <v/>
      </c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</row>
    <row r="50" spans="1:49" s="38" customFormat="1" ht="35.1" customHeight="1" x14ac:dyDescent="0.25">
      <c r="A50" s="9" t="s">
        <v>134</v>
      </c>
      <c r="B50" s="10">
        <v>46075</v>
      </c>
      <c r="C50" s="10">
        <v>46075</v>
      </c>
      <c r="D50" s="11" t="s">
        <v>243</v>
      </c>
      <c r="E50" s="12">
        <v>0.83333333333333337</v>
      </c>
      <c r="F50" s="12">
        <v>0.875</v>
      </c>
      <c r="G50" s="12">
        <v>4.1666666666666664E-2</v>
      </c>
      <c r="H50" s="9" t="s">
        <v>135</v>
      </c>
      <c r="I50" s="13"/>
      <c r="J50" s="9" t="s">
        <v>41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28"/>
      <c r="AF50" s="28"/>
      <c r="AG50" s="28"/>
      <c r="AH50" s="28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</row>
    <row r="51" spans="1:49" s="38" customFormat="1" ht="35.1" customHeight="1" x14ac:dyDescent="0.25">
      <c r="A51" s="18" t="s">
        <v>121</v>
      </c>
      <c r="B51" s="19">
        <v>46075</v>
      </c>
      <c r="C51" s="19">
        <v>46075</v>
      </c>
      <c r="D51" s="18" t="s">
        <v>243</v>
      </c>
      <c r="E51" s="20">
        <v>0.79166666666666663</v>
      </c>
      <c r="F51" s="20">
        <v>0.99930555555555556</v>
      </c>
      <c r="G51" s="21">
        <v>1.7361111111111109E-4</v>
      </c>
      <c r="H51" s="22" t="s">
        <v>122</v>
      </c>
      <c r="I51" s="23">
        <v>0.84275462962962966</v>
      </c>
      <c r="J51" s="18" t="s">
        <v>123</v>
      </c>
      <c r="K51" s="18" t="s">
        <v>143</v>
      </c>
      <c r="L51" s="24">
        <v>1</v>
      </c>
      <c r="M51" s="24">
        <v>69567</v>
      </c>
      <c r="N51" s="18" t="s">
        <v>46</v>
      </c>
      <c r="O51" s="24" t="s">
        <v>124</v>
      </c>
      <c r="P51" s="25">
        <v>0</v>
      </c>
      <c r="Q51" s="24"/>
      <c r="R51" s="25">
        <v>0</v>
      </c>
      <c r="S51" s="26">
        <v>46054</v>
      </c>
      <c r="T51" s="25">
        <v>0</v>
      </c>
      <c r="U51" s="27">
        <v>4</v>
      </c>
      <c r="V51" s="25">
        <v>0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125</v>
      </c>
      <c r="AC51" s="18" t="s">
        <v>38</v>
      </c>
      <c r="AD51" s="7" t="str">
        <f t="shared" si="0"/>
        <v/>
      </c>
      <c r="AE51" s="28"/>
      <c r="AF51" s="28"/>
      <c r="AG51" s="28"/>
      <c r="AH51" s="28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</row>
    <row r="52" spans="1:49" s="38" customFormat="1" ht="35.1" customHeight="1" x14ac:dyDescent="0.25">
      <c r="A52" s="18" t="s">
        <v>121</v>
      </c>
      <c r="B52" s="19">
        <v>46075</v>
      </c>
      <c r="C52" s="19">
        <v>46075</v>
      </c>
      <c r="D52" s="18" t="s">
        <v>243</v>
      </c>
      <c r="E52" s="20">
        <v>0.79166666666666663</v>
      </c>
      <c r="F52" s="20">
        <v>0.99930555555555556</v>
      </c>
      <c r="G52" s="21">
        <v>1.7361111111111109E-4</v>
      </c>
      <c r="H52" s="22" t="s">
        <v>126</v>
      </c>
      <c r="I52" s="23">
        <v>0.8439699074074074</v>
      </c>
      <c r="J52" s="18" t="s">
        <v>123</v>
      </c>
      <c r="K52" s="18" t="s">
        <v>143</v>
      </c>
      <c r="L52" s="24">
        <v>1</v>
      </c>
      <c r="M52" s="24">
        <v>69567</v>
      </c>
      <c r="N52" s="18" t="s">
        <v>46</v>
      </c>
      <c r="O52" s="24" t="s">
        <v>124</v>
      </c>
      <c r="P52" s="25">
        <v>0</v>
      </c>
      <c r="Q52" s="24"/>
      <c r="R52" s="25">
        <v>0</v>
      </c>
      <c r="S52" s="26">
        <v>46054</v>
      </c>
      <c r="T52" s="25">
        <v>0</v>
      </c>
      <c r="U52" s="27">
        <v>4</v>
      </c>
      <c r="V52" s="25">
        <v>0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125</v>
      </c>
      <c r="AC52" s="18" t="s">
        <v>38</v>
      </c>
      <c r="AD52" s="7" t="str">
        <f t="shared" si="0"/>
        <v/>
      </c>
      <c r="AE52" s="28"/>
      <c r="AF52" s="28"/>
      <c r="AG52" s="28"/>
      <c r="AH52" s="28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</row>
    <row r="53" spans="1:49" s="38" customFormat="1" ht="35.1" customHeight="1" x14ac:dyDescent="0.25">
      <c r="A53" s="18" t="s">
        <v>44</v>
      </c>
      <c r="B53" s="19">
        <v>46075</v>
      </c>
      <c r="C53" s="19">
        <v>46075</v>
      </c>
      <c r="D53" s="18" t="s">
        <v>243</v>
      </c>
      <c r="E53" s="20">
        <v>0.79166666666666663</v>
      </c>
      <c r="F53" s="20">
        <v>0.99930555555555556</v>
      </c>
      <c r="G53" s="20">
        <v>1.157407407407407E-4</v>
      </c>
      <c r="H53" s="18" t="s">
        <v>181</v>
      </c>
      <c r="I53" s="23">
        <v>0.86601851851851852</v>
      </c>
      <c r="J53" s="18" t="s">
        <v>41</v>
      </c>
      <c r="K53" s="18" t="s">
        <v>143</v>
      </c>
      <c r="L53" s="24">
        <v>1</v>
      </c>
      <c r="M53" s="24">
        <v>71104</v>
      </c>
      <c r="N53" s="18" t="s">
        <v>46</v>
      </c>
      <c r="O53" s="24" t="s">
        <v>47</v>
      </c>
      <c r="P53" s="25">
        <v>0</v>
      </c>
      <c r="Q53" s="24"/>
      <c r="R53" s="25">
        <v>0</v>
      </c>
      <c r="S53" s="26">
        <v>46054</v>
      </c>
      <c r="T53" s="25">
        <v>0</v>
      </c>
      <c r="U53" s="27">
        <v>4</v>
      </c>
      <c r="V53" s="25">
        <v>0</v>
      </c>
      <c r="W53" s="18" t="s">
        <v>48</v>
      </c>
      <c r="X53" s="18" t="s">
        <v>49</v>
      </c>
      <c r="Y53" s="18" t="s">
        <v>36</v>
      </c>
      <c r="Z53" s="18" t="s">
        <v>9</v>
      </c>
      <c r="AA53" s="18" t="s">
        <v>50</v>
      </c>
      <c r="AB53" s="18" t="s">
        <v>51</v>
      </c>
      <c r="AC53" s="18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38" customFormat="1" ht="35.1" customHeight="1" x14ac:dyDescent="0.25">
      <c r="A54" s="18" t="s">
        <v>70</v>
      </c>
      <c r="B54" s="19">
        <v>46075</v>
      </c>
      <c r="C54" s="19">
        <v>46075</v>
      </c>
      <c r="D54" s="18" t="s">
        <v>243</v>
      </c>
      <c r="E54" s="20">
        <v>0.83333333333333337</v>
      </c>
      <c r="F54" s="20">
        <v>0.875</v>
      </c>
      <c r="G54" s="20">
        <v>3.4722222222222218E-4</v>
      </c>
      <c r="H54" s="18" t="s">
        <v>168</v>
      </c>
      <c r="I54" s="23">
        <v>0.87416666666666665</v>
      </c>
      <c r="J54" s="18" t="s">
        <v>41</v>
      </c>
      <c r="K54" s="18" t="s">
        <v>143</v>
      </c>
      <c r="L54" s="24">
        <v>1</v>
      </c>
      <c r="M54" s="24">
        <v>70981</v>
      </c>
      <c r="N54" s="18" t="s">
        <v>54</v>
      </c>
      <c r="O54" s="24" t="str">
        <f>AC54</f>
        <v>CVC</v>
      </c>
      <c r="P54" s="25">
        <v>58.82</v>
      </c>
      <c r="Q54" s="24"/>
      <c r="R54" s="25">
        <v>58.82</v>
      </c>
      <c r="S54" s="26">
        <v>46054</v>
      </c>
      <c r="T54" s="25">
        <v>4.4115000000000002</v>
      </c>
      <c r="U54" s="27">
        <v>4</v>
      </c>
      <c r="V54" s="25">
        <v>54.408500000000004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72</v>
      </c>
      <c r="AC54" s="18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38" customFormat="1" ht="35.1" customHeight="1" x14ac:dyDescent="0.25">
      <c r="A55" s="9" t="s">
        <v>136</v>
      </c>
      <c r="B55" s="10">
        <v>46075</v>
      </c>
      <c r="C55" s="10">
        <v>46075</v>
      </c>
      <c r="D55" s="11" t="s">
        <v>243</v>
      </c>
      <c r="E55" s="12">
        <v>0.875</v>
      </c>
      <c r="F55" s="12">
        <v>0.9375</v>
      </c>
      <c r="G55" s="12">
        <v>6.25E-2</v>
      </c>
      <c r="H55" s="9" t="s">
        <v>170</v>
      </c>
      <c r="I55" s="13" t="s">
        <v>216</v>
      </c>
      <c r="J55" s="9" t="s">
        <v>41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38" customFormat="1" ht="35.1" customHeight="1" x14ac:dyDescent="0.25">
      <c r="A56" s="18" t="s">
        <v>70</v>
      </c>
      <c r="B56" s="19">
        <v>46075</v>
      </c>
      <c r="C56" s="19">
        <v>46075</v>
      </c>
      <c r="D56" s="18" t="s">
        <v>243</v>
      </c>
      <c r="E56" s="20">
        <v>0.25</v>
      </c>
      <c r="F56" s="20">
        <v>0.99930555555555556</v>
      </c>
      <c r="G56" s="20">
        <v>3.4722222222222218E-4</v>
      </c>
      <c r="H56" s="18" t="s">
        <v>168</v>
      </c>
      <c r="I56" s="23">
        <v>0.90576388888888892</v>
      </c>
      <c r="J56" s="18" t="s">
        <v>41</v>
      </c>
      <c r="K56" s="18" t="s">
        <v>170</v>
      </c>
      <c r="L56" s="24">
        <v>1</v>
      </c>
      <c r="M56" s="24">
        <v>70983</v>
      </c>
      <c r="N56" s="18" t="s">
        <v>46</v>
      </c>
      <c r="O56" s="24" t="str">
        <f>AC56</f>
        <v>CVC</v>
      </c>
      <c r="P56" s="25">
        <v>0</v>
      </c>
      <c r="Q56" s="24"/>
      <c r="R56" s="25">
        <v>0</v>
      </c>
      <c r="S56" s="26">
        <v>46054</v>
      </c>
      <c r="T56" s="25">
        <v>0</v>
      </c>
      <c r="U56" s="27">
        <v>4</v>
      </c>
      <c r="V56" s="25">
        <v>0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50</v>
      </c>
      <c r="AB56" s="18" t="s">
        <v>72</v>
      </c>
      <c r="AC56" s="18" t="s">
        <v>38</v>
      </c>
      <c r="AD56" s="7" t="str">
        <f t="shared" si="0"/>
        <v/>
      </c>
      <c r="AE56" s="30"/>
      <c r="AF56" s="30"/>
      <c r="AG56" s="30"/>
      <c r="AH56" s="30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s="38" customFormat="1" ht="35.1" customHeight="1" x14ac:dyDescent="0.25">
      <c r="A57" s="18" t="s">
        <v>121</v>
      </c>
      <c r="B57" s="19">
        <v>46075</v>
      </c>
      <c r="C57" s="19">
        <v>46075</v>
      </c>
      <c r="D57" s="18" t="s">
        <v>243</v>
      </c>
      <c r="E57" s="20">
        <v>0.79166666666666663</v>
      </c>
      <c r="F57" s="20">
        <v>0.99930555555555556</v>
      </c>
      <c r="G57" s="21">
        <v>1.7361111111111109E-4</v>
      </c>
      <c r="H57" s="22" t="s">
        <v>122</v>
      </c>
      <c r="I57" s="23">
        <v>0.91288194444444448</v>
      </c>
      <c r="J57" s="18" t="s">
        <v>123</v>
      </c>
      <c r="K57" s="18" t="s">
        <v>170</v>
      </c>
      <c r="L57" s="24">
        <v>1</v>
      </c>
      <c r="M57" s="24">
        <v>69567</v>
      </c>
      <c r="N57" s="18" t="s">
        <v>46</v>
      </c>
      <c r="O57" s="24" t="s">
        <v>124</v>
      </c>
      <c r="P57" s="25">
        <v>0</v>
      </c>
      <c r="Q57" s="24"/>
      <c r="R57" s="25">
        <v>0</v>
      </c>
      <c r="S57" s="26">
        <v>46054</v>
      </c>
      <c r="T57" s="25">
        <v>0</v>
      </c>
      <c r="U57" s="27">
        <v>4</v>
      </c>
      <c r="V57" s="25">
        <v>0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125</v>
      </c>
      <c r="AC57" s="18" t="s">
        <v>38</v>
      </c>
      <c r="AD57" s="7" t="str">
        <f t="shared" si="0"/>
        <v/>
      </c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</row>
    <row r="58" spans="1:49" s="38" customFormat="1" ht="35.1" customHeight="1" x14ac:dyDescent="0.25">
      <c r="A58" s="18" t="s">
        <v>121</v>
      </c>
      <c r="B58" s="19">
        <v>46075</v>
      </c>
      <c r="C58" s="19">
        <v>46075</v>
      </c>
      <c r="D58" s="18" t="s">
        <v>243</v>
      </c>
      <c r="E58" s="20">
        <v>0.79166666666666663</v>
      </c>
      <c r="F58" s="20">
        <v>0.99930555555555556</v>
      </c>
      <c r="G58" s="21">
        <v>1.7361111111111109E-4</v>
      </c>
      <c r="H58" s="22" t="s">
        <v>126</v>
      </c>
      <c r="I58" s="23">
        <v>0.91496527777777781</v>
      </c>
      <c r="J58" s="18" t="s">
        <v>123</v>
      </c>
      <c r="K58" s="18" t="s">
        <v>170</v>
      </c>
      <c r="L58" s="24">
        <v>1</v>
      </c>
      <c r="M58" s="24">
        <v>69567</v>
      </c>
      <c r="N58" s="18" t="s">
        <v>46</v>
      </c>
      <c r="O58" s="24" t="s">
        <v>124</v>
      </c>
      <c r="P58" s="25">
        <v>0</v>
      </c>
      <c r="Q58" s="24"/>
      <c r="R58" s="25">
        <v>0</v>
      </c>
      <c r="S58" s="26">
        <v>46054</v>
      </c>
      <c r="T58" s="25">
        <v>0</v>
      </c>
      <c r="U58" s="27">
        <v>4</v>
      </c>
      <c r="V58" s="25">
        <v>0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125</v>
      </c>
      <c r="AC58" s="18" t="s">
        <v>38</v>
      </c>
      <c r="AD58" s="7" t="str">
        <f t="shared" si="0"/>
        <v/>
      </c>
      <c r="AE58" s="28"/>
      <c r="AF58" s="28"/>
      <c r="AG58" s="28"/>
      <c r="AH58" s="28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</row>
    <row r="59" spans="1:49" s="38" customFormat="1" ht="35.1" customHeight="1" x14ac:dyDescent="0.25">
      <c r="A59" s="9" t="s">
        <v>136</v>
      </c>
      <c r="B59" s="10">
        <v>46075</v>
      </c>
      <c r="C59" s="10">
        <v>46075</v>
      </c>
      <c r="D59" s="11" t="s">
        <v>243</v>
      </c>
      <c r="E59" s="12">
        <v>0.9375</v>
      </c>
      <c r="F59" s="12">
        <v>1</v>
      </c>
      <c r="G59" s="12">
        <v>6.25E-2</v>
      </c>
      <c r="H59" s="9" t="s">
        <v>195</v>
      </c>
      <c r="I59" s="13" t="s">
        <v>216</v>
      </c>
      <c r="J59" s="9" t="s">
        <v>41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38" customFormat="1" ht="35.1" customHeight="1" x14ac:dyDescent="0.25">
      <c r="A60" s="18" t="s">
        <v>121</v>
      </c>
      <c r="B60" s="19">
        <v>46075</v>
      </c>
      <c r="C60" s="19">
        <v>46075</v>
      </c>
      <c r="D60" s="18" t="s">
        <v>243</v>
      </c>
      <c r="E60" s="20">
        <v>0.79166666666666663</v>
      </c>
      <c r="F60" s="20">
        <v>0.99930555555555556</v>
      </c>
      <c r="G60" s="21">
        <v>1.7361111111111109E-4</v>
      </c>
      <c r="H60" s="22" t="s">
        <v>122</v>
      </c>
      <c r="I60" s="23">
        <v>0.95149305555555552</v>
      </c>
      <c r="J60" s="18" t="s">
        <v>123</v>
      </c>
      <c r="K60" s="18" t="s">
        <v>195</v>
      </c>
      <c r="L60" s="24">
        <v>1</v>
      </c>
      <c r="M60" s="24">
        <v>69566</v>
      </c>
      <c r="N60" s="18" t="s">
        <v>54</v>
      </c>
      <c r="O60" s="24" t="s">
        <v>124</v>
      </c>
      <c r="P60" s="25">
        <v>0</v>
      </c>
      <c r="Q60" s="24"/>
      <c r="R60" s="25">
        <v>16.531831119544499</v>
      </c>
      <c r="S60" s="26">
        <v>46054</v>
      </c>
      <c r="T60" s="25">
        <v>0</v>
      </c>
      <c r="U60" s="27">
        <v>4</v>
      </c>
      <c r="V60" s="25">
        <v>0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50</v>
      </c>
      <c r="AB60" s="18" t="s">
        <v>125</v>
      </c>
      <c r="AC60" s="18" t="s">
        <v>38</v>
      </c>
      <c r="AD60" s="7" t="str">
        <f t="shared" si="0"/>
        <v/>
      </c>
      <c r="AE60" s="28"/>
      <c r="AF60" s="28"/>
      <c r="AG60" s="28"/>
      <c r="AH60" s="28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</row>
    <row r="61" spans="1:49" s="38" customFormat="1" ht="35.1" customHeight="1" x14ac:dyDescent="0.25">
      <c r="A61" s="18" t="s">
        <v>121</v>
      </c>
      <c r="B61" s="19">
        <v>46075</v>
      </c>
      <c r="C61" s="19">
        <v>46075</v>
      </c>
      <c r="D61" s="18" t="s">
        <v>243</v>
      </c>
      <c r="E61" s="20">
        <v>0.79166666666666663</v>
      </c>
      <c r="F61" s="20">
        <v>0.99930555555555556</v>
      </c>
      <c r="G61" s="21">
        <v>1.7361111111111109E-4</v>
      </c>
      <c r="H61" s="22" t="s">
        <v>126</v>
      </c>
      <c r="I61" s="23">
        <v>0.95392361111111112</v>
      </c>
      <c r="J61" s="18" t="s">
        <v>123</v>
      </c>
      <c r="K61" s="18" t="s">
        <v>195</v>
      </c>
      <c r="L61" s="24">
        <v>1</v>
      </c>
      <c r="M61" s="24">
        <v>69566</v>
      </c>
      <c r="N61" s="18" t="s">
        <v>54</v>
      </c>
      <c r="O61" s="24" t="s">
        <v>124</v>
      </c>
      <c r="P61" s="25">
        <v>0</v>
      </c>
      <c r="Q61" s="24"/>
      <c r="R61" s="25">
        <v>16.531831119544499</v>
      </c>
      <c r="S61" s="26">
        <v>46054</v>
      </c>
      <c r="T61" s="25">
        <v>0</v>
      </c>
      <c r="U61" s="27">
        <v>4</v>
      </c>
      <c r="V61" s="25">
        <v>0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125</v>
      </c>
      <c r="AC61" s="18" t="s">
        <v>38</v>
      </c>
      <c r="AD61" s="7" t="str">
        <f t="shared" si="0"/>
        <v/>
      </c>
      <c r="AE61" s="28"/>
      <c r="AF61" s="28"/>
      <c r="AG61" s="28"/>
      <c r="AH61" s="28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</row>
    <row r="62" spans="1:49" s="38" customFormat="1" ht="35.1" customHeight="1" x14ac:dyDescent="0.25">
      <c r="A62" s="18" t="s">
        <v>121</v>
      </c>
      <c r="B62" s="19">
        <v>46075</v>
      </c>
      <c r="C62" s="19">
        <v>46075</v>
      </c>
      <c r="D62" s="18" t="s">
        <v>243</v>
      </c>
      <c r="E62" s="20">
        <v>0.79166666666666663</v>
      </c>
      <c r="F62" s="20">
        <v>0.99930555555555556</v>
      </c>
      <c r="G62" s="21">
        <v>1.7361111111111109E-4</v>
      </c>
      <c r="H62" s="22" t="s">
        <v>122</v>
      </c>
      <c r="I62" s="23">
        <v>0.96098379629629627</v>
      </c>
      <c r="J62" s="18" t="s">
        <v>123</v>
      </c>
      <c r="K62" s="18" t="s">
        <v>195</v>
      </c>
      <c r="L62" s="24">
        <v>1</v>
      </c>
      <c r="M62" s="24">
        <v>69566</v>
      </c>
      <c r="N62" s="18" t="s">
        <v>54</v>
      </c>
      <c r="O62" s="24" t="s">
        <v>124</v>
      </c>
      <c r="P62" s="25">
        <v>0</v>
      </c>
      <c r="Q62" s="24"/>
      <c r="R62" s="25">
        <v>16.531831119544499</v>
      </c>
      <c r="S62" s="26">
        <v>46054</v>
      </c>
      <c r="T62" s="25">
        <v>0</v>
      </c>
      <c r="U62" s="27">
        <v>4</v>
      </c>
      <c r="V62" s="25">
        <v>0</v>
      </c>
      <c r="W62" s="18" t="s">
        <v>48</v>
      </c>
      <c r="X62" s="18" t="s">
        <v>49</v>
      </c>
      <c r="Y62" s="18" t="s">
        <v>36</v>
      </c>
      <c r="Z62" s="18" t="s">
        <v>9</v>
      </c>
      <c r="AA62" s="18" t="s">
        <v>50</v>
      </c>
      <c r="AB62" s="18" t="s">
        <v>125</v>
      </c>
      <c r="AC62" s="18" t="s">
        <v>38</v>
      </c>
      <c r="AD62" s="7" t="str">
        <f t="shared" si="0"/>
        <v/>
      </c>
      <c r="AE62" s="28"/>
      <c r="AF62" s="28"/>
      <c r="AG62" s="28"/>
      <c r="AH62" s="28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</row>
    <row r="63" spans="1:49" s="38" customFormat="1" ht="35.1" customHeight="1" x14ac:dyDescent="0.25">
      <c r="A63" s="18" t="s">
        <v>121</v>
      </c>
      <c r="B63" s="19">
        <v>46075</v>
      </c>
      <c r="C63" s="19">
        <v>46075</v>
      </c>
      <c r="D63" s="18" t="s">
        <v>243</v>
      </c>
      <c r="E63" s="20">
        <v>0.79166666666666663</v>
      </c>
      <c r="F63" s="20">
        <v>0.99930555555555556</v>
      </c>
      <c r="G63" s="21">
        <v>1.7361111111111109E-4</v>
      </c>
      <c r="H63" s="22" t="s">
        <v>126</v>
      </c>
      <c r="I63" s="23">
        <v>0.96306712962962959</v>
      </c>
      <c r="J63" s="18" t="s">
        <v>123</v>
      </c>
      <c r="K63" s="18" t="s">
        <v>195</v>
      </c>
      <c r="L63" s="24">
        <v>1</v>
      </c>
      <c r="M63" s="24">
        <v>69566</v>
      </c>
      <c r="N63" s="18" t="s">
        <v>54</v>
      </c>
      <c r="O63" s="24" t="s">
        <v>124</v>
      </c>
      <c r="P63" s="25">
        <v>0</v>
      </c>
      <c r="Q63" s="24"/>
      <c r="R63" s="25">
        <v>16.531831119544499</v>
      </c>
      <c r="S63" s="26">
        <v>46054</v>
      </c>
      <c r="T63" s="25">
        <v>0</v>
      </c>
      <c r="U63" s="27">
        <v>4</v>
      </c>
      <c r="V63" s="25">
        <v>0</v>
      </c>
      <c r="W63" s="18" t="s">
        <v>48</v>
      </c>
      <c r="X63" s="18" t="s">
        <v>49</v>
      </c>
      <c r="Y63" s="18" t="s">
        <v>36</v>
      </c>
      <c r="Z63" s="18" t="s">
        <v>9</v>
      </c>
      <c r="AA63" s="18" t="s">
        <v>50</v>
      </c>
      <c r="AB63" s="18" t="s">
        <v>125</v>
      </c>
      <c r="AC63" s="18" t="s">
        <v>38</v>
      </c>
      <c r="AD63" s="7" t="str">
        <f t="shared" si="0"/>
        <v/>
      </c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</row>
    <row r="64" spans="1:49" s="38" customFormat="1" ht="35.1" customHeight="1" x14ac:dyDescent="0.25">
      <c r="A64" s="18" t="s">
        <v>121</v>
      </c>
      <c r="B64" s="19">
        <v>46075</v>
      </c>
      <c r="C64" s="19">
        <v>46075</v>
      </c>
      <c r="D64" s="18" t="s">
        <v>243</v>
      </c>
      <c r="E64" s="20">
        <v>0.79166666666666663</v>
      </c>
      <c r="F64" s="20">
        <v>0.99930555555555556</v>
      </c>
      <c r="G64" s="21">
        <v>1.7361111111111109E-4</v>
      </c>
      <c r="H64" s="22" t="s">
        <v>122</v>
      </c>
      <c r="I64" s="23">
        <v>0.98006944444444444</v>
      </c>
      <c r="J64" s="18" t="s">
        <v>123</v>
      </c>
      <c r="K64" s="18" t="s">
        <v>195</v>
      </c>
      <c r="L64" s="24">
        <v>1</v>
      </c>
      <c r="M64" s="24">
        <v>69566</v>
      </c>
      <c r="N64" s="18" t="s">
        <v>54</v>
      </c>
      <c r="O64" s="24" t="s">
        <v>124</v>
      </c>
      <c r="P64" s="25">
        <v>0</v>
      </c>
      <c r="Q64" s="24"/>
      <c r="R64" s="25">
        <v>16.531831119544499</v>
      </c>
      <c r="S64" s="26">
        <v>46054</v>
      </c>
      <c r="T64" s="25">
        <v>0</v>
      </c>
      <c r="U64" s="27">
        <v>4</v>
      </c>
      <c r="V64" s="25">
        <v>0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50</v>
      </c>
      <c r="AB64" s="18" t="s">
        <v>125</v>
      </c>
      <c r="AC64" s="18" t="s">
        <v>38</v>
      </c>
      <c r="AD64" s="7" t="str">
        <f t="shared" si="0"/>
        <v/>
      </c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</row>
    <row r="65" spans="1:49" s="38" customFormat="1" ht="35.1" customHeight="1" x14ac:dyDescent="0.25">
      <c r="A65" s="18" t="s">
        <v>121</v>
      </c>
      <c r="B65" s="19">
        <v>46075</v>
      </c>
      <c r="C65" s="19">
        <v>46075</v>
      </c>
      <c r="D65" s="18" t="s">
        <v>243</v>
      </c>
      <c r="E65" s="20">
        <v>0.79166666666666663</v>
      </c>
      <c r="F65" s="20">
        <v>0.99930555555555556</v>
      </c>
      <c r="G65" s="21">
        <v>1.7361111111111109E-4</v>
      </c>
      <c r="H65" s="22" t="s">
        <v>126</v>
      </c>
      <c r="I65" s="23">
        <v>0.9823263888888889</v>
      </c>
      <c r="J65" s="18" t="s">
        <v>123</v>
      </c>
      <c r="K65" s="18" t="s">
        <v>195</v>
      </c>
      <c r="L65" s="24">
        <v>1</v>
      </c>
      <c r="M65" s="24">
        <v>69566</v>
      </c>
      <c r="N65" s="18" t="s">
        <v>54</v>
      </c>
      <c r="O65" s="24" t="s">
        <v>124</v>
      </c>
      <c r="P65" s="25">
        <v>0</v>
      </c>
      <c r="Q65" s="24"/>
      <c r="R65" s="25">
        <v>16.531831119544499</v>
      </c>
      <c r="S65" s="26">
        <v>46054</v>
      </c>
      <c r="T65" s="25">
        <v>0</v>
      </c>
      <c r="U65" s="27">
        <v>4</v>
      </c>
      <c r="V65" s="25">
        <v>0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50</v>
      </c>
      <c r="AB65" s="18" t="s">
        <v>125</v>
      </c>
      <c r="AC65" s="18" t="s">
        <v>38</v>
      </c>
      <c r="AD65" s="7" t="str">
        <f t="shared" si="0"/>
        <v/>
      </c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</row>
    <row r="66" spans="1:49" ht="44.25" customHeight="1" x14ac:dyDescent="0.2"/>
    <row r="67" spans="1:49" ht="44.25" customHeight="1" x14ac:dyDescent="0.2"/>
    <row r="68" spans="1:49" ht="44.25" customHeight="1" x14ac:dyDescent="0.2"/>
    <row r="69" spans="1:49" ht="44.25" customHeight="1" x14ac:dyDescent="0.2"/>
    <row r="70" spans="1:49" ht="44.25" customHeight="1" x14ac:dyDescent="0.2"/>
    <row r="71" spans="1:49" ht="44.25" customHeight="1" x14ac:dyDescent="0.2"/>
    <row r="72" spans="1:49" ht="44.25" customHeight="1" x14ac:dyDescent="0.2"/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5" xr:uid="{BEFFF80A-39D5-4F34-BB07-38FF121BCB6A}"/>
  <sortState xmlns:xlrd2="http://schemas.microsoft.com/office/spreadsheetml/2017/richdata2" ref="A2:AD326">
    <sortCondition sortBy="cellColor" ref="E1:E500" dxfId="19"/>
  </sortState>
  <conditionalFormatting sqref="AD1:AD65">
    <cfRule type="cellIs" dxfId="18" priority="3" operator="equal">
      <formula>"NO"</formula>
    </cfRule>
  </conditionalFormatting>
  <conditionalFormatting sqref="E2:F6 E8:F9 E14:F14 E17:F18 E24:F25 E28:F30 E35:F35 E42:F42 E46:F65">
    <cfRule type="timePeriod" dxfId="17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2026-02-23T02:23:54Z</dcterms:modified>
</cp:coreProperties>
</file>