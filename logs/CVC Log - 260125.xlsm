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K:\Traffic\logs\2026\02 February 2026\!DONE\"/>
    </mc:Choice>
  </mc:AlternateContent>
  <xr:revisionPtr revIDLastSave="0" documentId="13_ncr:1_{2D4B0385-E476-467D-B378-0C5F9569EDC2}" xr6:coauthVersionLast="47" xr6:coauthVersionMax="47" xr10:uidLastSave="{00000000-0000-0000-0000-000000000000}"/>
  <bookViews>
    <workbookView xWindow="28680" yWindow="-120" windowWidth="29040" windowHeight="15840" tabRatio="766" xr2:uid="{00000000-000D-0000-FFFF-FFFF00000000}"/>
  </bookViews>
  <sheets>
    <sheet name="MASTER FOR BILLING" sheetId="64" r:id="rId1"/>
    <sheet name="Monday" sheetId="57" r:id="rId2"/>
    <sheet name="Tuesday" sheetId="58" r:id="rId3"/>
    <sheet name="Wednesday" sheetId="59" r:id="rId4"/>
    <sheet name="Thursday" sheetId="60" r:id="rId5"/>
    <sheet name="Friday" sheetId="61" r:id="rId6"/>
    <sheet name="Saturday" sheetId="62" r:id="rId7"/>
    <sheet name="Sunday" sheetId="63" r:id="rId8"/>
  </sheets>
  <definedNames>
    <definedName name="_xlnm._FilterDatabase" localSheetId="5" hidden="1">Friday!$A$1:$AD$93</definedName>
    <definedName name="_xlnm._FilterDatabase" localSheetId="1" hidden="1">Monday!$A$1:$AD$106</definedName>
    <definedName name="_xlnm._FilterDatabase" localSheetId="6" hidden="1">Saturday!$A$1:$AD$88</definedName>
    <definedName name="_xlnm._FilterDatabase" localSheetId="7" hidden="1">Sunday!$A$1:$AD$81</definedName>
    <definedName name="_xlnm._FilterDatabase" localSheetId="4" hidden="1">Thursday!$A$1:$AD$122</definedName>
    <definedName name="_xlnm._FilterDatabase" localSheetId="2" hidden="1">Tuesday!$A$1:$AD$109</definedName>
    <definedName name="_xlnm._FilterDatabase" localSheetId="3" hidden="1">Wednesday!$A$1:$AD$115</definedName>
    <definedName name="_xlnm._FilterDatabase" hidden="1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D2" i="63" l="1"/>
  <c r="AD3" i="63"/>
  <c r="AD4" i="63"/>
  <c r="AD5" i="63"/>
  <c r="AD6" i="63"/>
  <c r="AD7" i="63"/>
  <c r="AD8" i="63"/>
  <c r="AD9" i="63"/>
  <c r="AD10" i="63"/>
  <c r="AD11" i="63"/>
  <c r="AD12" i="63"/>
  <c r="AD13" i="63"/>
  <c r="AD14" i="63"/>
  <c r="AD15" i="63"/>
  <c r="AD16" i="63"/>
  <c r="AD17" i="63"/>
  <c r="AD18" i="63"/>
  <c r="AD19" i="63"/>
  <c r="AD20" i="63"/>
  <c r="AD21" i="63"/>
  <c r="AD22" i="63"/>
  <c r="AD23" i="63"/>
  <c r="AD24" i="63"/>
  <c r="AD25" i="63"/>
  <c r="AD26" i="63"/>
  <c r="AD27" i="63"/>
  <c r="AD28" i="63"/>
  <c r="AD29" i="63"/>
  <c r="AD30" i="63"/>
  <c r="AD31" i="63"/>
  <c r="AD32" i="63"/>
  <c r="AD33" i="63"/>
  <c r="AD34" i="63"/>
  <c r="AD35" i="63"/>
  <c r="AD36" i="63"/>
  <c r="AD37" i="63"/>
  <c r="AD38" i="63"/>
  <c r="AD39" i="63"/>
  <c r="AD40" i="63"/>
  <c r="AD41" i="63"/>
  <c r="AD42" i="63"/>
  <c r="AD43" i="63"/>
  <c r="AD44" i="63"/>
  <c r="AD45" i="63"/>
  <c r="AD46" i="63"/>
  <c r="AD47" i="63"/>
  <c r="AD48" i="63"/>
  <c r="AD49" i="63"/>
  <c r="AD50" i="63"/>
  <c r="AD51" i="63"/>
  <c r="AD52" i="63"/>
  <c r="AD53" i="63"/>
  <c r="AD54" i="63"/>
  <c r="AD55" i="63"/>
  <c r="AD56" i="63"/>
  <c r="AD57" i="63"/>
  <c r="AD58" i="63"/>
  <c r="AD59" i="63"/>
  <c r="AD60" i="63"/>
  <c r="AD61" i="63"/>
  <c r="AD62" i="63"/>
  <c r="AD63" i="63"/>
  <c r="AD64" i="63"/>
  <c r="AD65" i="63"/>
  <c r="AD66" i="63"/>
  <c r="AD67" i="63"/>
  <c r="AD68" i="63"/>
  <c r="AD69" i="63"/>
  <c r="AD70" i="63"/>
  <c r="AD71" i="63"/>
  <c r="AD72" i="63"/>
  <c r="AD73" i="63"/>
  <c r="AD74" i="63"/>
  <c r="AD75" i="63"/>
  <c r="AD76" i="63"/>
  <c r="AD77" i="63"/>
  <c r="AD78" i="63"/>
  <c r="AD79" i="63"/>
  <c r="AD80" i="63"/>
  <c r="AD81" i="63"/>
  <c r="O57" i="63"/>
  <c r="O49" i="63"/>
  <c r="O58" i="63"/>
  <c r="O56" i="63"/>
  <c r="O15" i="63"/>
  <c r="O18" i="63"/>
  <c r="O9" i="63"/>
  <c r="O8" i="63"/>
  <c r="O76" i="63"/>
  <c r="AD2" i="62"/>
  <c r="AD3" i="62"/>
  <c r="AD4" i="62"/>
  <c r="AD5" i="62"/>
  <c r="AD6" i="62"/>
  <c r="AD7" i="62"/>
  <c r="AD8" i="62"/>
  <c r="AD9" i="62"/>
  <c r="AD10" i="62"/>
  <c r="AD11" i="62"/>
  <c r="AD12" i="62"/>
  <c r="AD13" i="62"/>
  <c r="AD14" i="62"/>
  <c r="AD15" i="62"/>
  <c r="AD16" i="62"/>
  <c r="AD17" i="62"/>
  <c r="AD18" i="62"/>
  <c r="AD19" i="62"/>
  <c r="AD20" i="62"/>
  <c r="AD21" i="62"/>
  <c r="AD22" i="62"/>
  <c r="AD23" i="62"/>
  <c r="AD24" i="62"/>
  <c r="AD25" i="62"/>
  <c r="AD26" i="62"/>
  <c r="AD27" i="62"/>
  <c r="AD28" i="62"/>
  <c r="AD29" i="62"/>
  <c r="AD30" i="62"/>
  <c r="AD31" i="62"/>
  <c r="AD32" i="62"/>
  <c r="AD33" i="62"/>
  <c r="AD34" i="62"/>
  <c r="AD35" i="62"/>
  <c r="AD36" i="62"/>
  <c r="AD37" i="62"/>
  <c r="AD38" i="62"/>
  <c r="AD39" i="62"/>
  <c r="AD40" i="62"/>
  <c r="AD41" i="62"/>
  <c r="AD42" i="62"/>
  <c r="AD43" i="62"/>
  <c r="AD44" i="62"/>
  <c r="AD45" i="62"/>
  <c r="AD46" i="62"/>
  <c r="AD47" i="62"/>
  <c r="AD48" i="62"/>
  <c r="AD49" i="62"/>
  <c r="AD50" i="62"/>
  <c r="AD51" i="62"/>
  <c r="AD52" i="62"/>
  <c r="AD53" i="62"/>
  <c r="AD54" i="62"/>
  <c r="AD55" i="62"/>
  <c r="AD56" i="62"/>
  <c r="AD57" i="62"/>
  <c r="AD58" i="62"/>
  <c r="AD59" i="62"/>
  <c r="AD60" i="62"/>
  <c r="AD61" i="62"/>
  <c r="AD62" i="62"/>
  <c r="AD63" i="62"/>
  <c r="AD64" i="62"/>
  <c r="AD65" i="62"/>
  <c r="AD66" i="62"/>
  <c r="AD67" i="62"/>
  <c r="AD68" i="62"/>
  <c r="AD69" i="62"/>
  <c r="AD70" i="62"/>
  <c r="AD71" i="62"/>
  <c r="AD72" i="62"/>
  <c r="AD73" i="62"/>
  <c r="AD74" i="62"/>
  <c r="AD75" i="62"/>
  <c r="AD76" i="62"/>
  <c r="AD77" i="62"/>
  <c r="AD78" i="62"/>
  <c r="AD79" i="62"/>
  <c r="AD80" i="62"/>
  <c r="AD81" i="62"/>
  <c r="AD82" i="62"/>
  <c r="AD83" i="62"/>
  <c r="AD84" i="62"/>
  <c r="AD85" i="62"/>
  <c r="AD86" i="62"/>
  <c r="AD87" i="62"/>
  <c r="AD88" i="62"/>
  <c r="O70" i="62"/>
  <c r="O65" i="62"/>
  <c r="O56" i="62"/>
  <c r="O67" i="62"/>
  <c r="O62" i="62"/>
  <c r="O13" i="62"/>
  <c r="O73" i="62"/>
  <c r="AD2" i="61"/>
  <c r="AD3" i="61"/>
  <c r="AD4" i="61"/>
  <c r="AD5" i="61"/>
  <c r="AD6" i="61"/>
  <c r="AD7" i="61"/>
  <c r="AD8" i="61"/>
  <c r="AD9" i="61"/>
  <c r="AD10" i="61"/>
  <c r="AD11" i="61"/>
  <c r="AD12" i="61"/>
  <c r="AD13" i="61"/>
  <c r="AD14" i="61"/>
  <c r="AD15" i="61"/>
  <c r="AD16" i="61"/>
  <c r="AD17" i="61"/>
  <c r="AD18" i="61"/>
  <c r="AD19" i="61"/>
  <c r="AD20" i="61"/>
  <c r="AD21" i="61"/>
  <c r="AD22" i="61"/>
  <c r="AD23" i="61"/>
  <c r="AD24" i="61"/>
  <c r="AD25" i="61"/>
  <c r="AD26" i="61"/>
  <c r="AD27" i="61"/>
  <c r="AD28" i="61"/>
  <c r="AD29" i="61"/>
  <c r="AD30" i="61"/>
  <c r="AD31" i="61"/>
  <c r="AD32" i="61"/>
  <c r="AD33" i="61"/>
  <c r="AD34" i="61"/>
  <c r="AD35" i="61"/>
  <c r="AD36" i="61"/>
  <c r="AD37" i="61"/>
  <c r="AD38" i="61"/>
  <c r="AD39" i="61"/>
  <c r="AD40" i="61"/>
  <c r="AD41" i="61"/>
  <c r="AD42" i="61"/>
  <c r="AD43" i="61"/>
  <c r="AD44" i="61"/>
  <c r="AD45" i="61"/>
  <c r="AD46" i="61"/>
  <c r="AD47" i="61"/>
  <c r="AD48" i="61"/>
  <c r="AD49" i="61"/>
  <c r="AD50" i="61"/>
  <c r="AD51" i="61"/>
  <c r="AD52" i="61"/>
  <c r="AD53" i="61"/>
  <c r="AD54" i="61"/>
  <c r="AD55" i="61"/>
  <c r="AD56" i="61"/>
  <c r="AD57" i="61"/>
  <c r="AD58" i="61"/>
  <c r="AD59" i="61"/>
  <c r="AD60" i="61"/>
  <c r="AD61" i="61"/>
  <c r="AD62" i="61"/>
  <c r="AD63" i="61"/>
  <c r="AD64" i="61"/>
  <c r="AD65" i="61"/>
  <c r="AD66" i="61"/>
  <c r="AD67" i="61"/>
  <c r="AD68" i="61"/>
  <c r="AD69" i="61"/>
  <c r="AD70" i="61"/>
  <c r="AD71" i="61"/>
  <c r="AD72" i="61"/>
  <c r="AD73" i="61"/>
  <c r="AD74" i="61"/>
  <c r="AD75" i="61"/>
  <c r="AD76" i="61"/>
  <c r="AD77" i="61"/>
  <c r="AD78" i="61"/>
  <c r="AD79" i="61"/>
  <c r="AD80" i="61"/>
  <c r="AD81" i="61"/>
  <c r="AD82" i="61"/>
  <c r="AD83" i="61"/>
  <c r="AD84" i="61"/>
  <c r="AD85" i="61"/>
  <c r="AD86" i="61"/>
  <c r="AD87" i="61"/>
  <c r="AD88" i="61"/>
  <c r="AD89" i="61"/>
  <c r="AD90" i="61"/>
  <c r="AD91" i="61"/>
  <c r="AD92" i="61"/>
  <c r="AD93" i="61"/>
  <c r="O62" i="61"/>
  <c r="O67" i="61"/>
  <c r="O8" i="61"/>
  <c r="AD2" i="60"/>
  <c r="AD3" i="60"/>
  <c r="AD4" i="60"/>
  <c r="AD5" i="60"/>
  <c r="AD6" i="60"/>
  <c r="AD7" i="60"/>
  <c r="AD8" i="60"/>
  <c r="AD9" i="60"/>
  <c r="AD10" i="60"/>
  <c r="AD11" i="60"/>
  <c r="AD12" i="60"/>
  <c r="AD13" i="60"/>
  <c r="AD14" i="60"/>
  <c r="AD15" i="60"/>
  <c r="AD16" i="60"/>
  <c r="AD17" i="60"/>
  <c r="AD18" i="60"/>
  <c r="AD19" i="60"/>
  <c r="AD20" i="60"/>
  <c r="AD22" i="60"/>
  <c r="AD23" i="60"/>
  <c r="AD24" i="60"/>
  <c r="AD25" i="60"/>
  <c r="AD26" i="60"/>
  <c r="AD27" i="60"/>
  <c r="AD28" i="60"/>
  <c r="AD29" i="60"/>
  <c r="AD30" i="60"/>
  <c r="AD31" i="60"/>
  <c r="AD32" i="60"/>
  <c r="AD33" i="60"/>
  <c r="AD34" i="60"/>
  <c r="AD35" i="60"/>
  <c r="AD36" i="60"/>
  <c r="AD37" i="60"/>
  <c r="AD38" i="60"/>
  <c r="AD39" i="60"/>
  <c r="AD40" i="60"/>
  <c r="AD41" i="60"/>
  <c r="AD42" i="60"/>
  <c r="AD43" i="60"/>
  <c r="AD44" i="60"/>
  <c r="AD45" i="60"/>
  <c r="AD46" i="60"/>
  <c r="AD47" i="60"/>
  <c r="AD48" i="60"/>
  <c r="AD49" i="60"/>
  <c r="AD50" i="60"/>
  <c r="AD51" i="60"/>
  <c r="AD52" i="60"/>
  <c r="AD53" i="60"/>
  <c r="AD54" i="60"/>
  <c r="AD55" i="60"/>
  <c r="AD56" i="60"/>
  <c r="AD57" i="60"/>
  <c r="AD58" i="60"/>
  <c r="AD59" i="60"/>
  <c r="AD60" i="60"/>
  <c r="AD61" i="60"/>
  <c r="AD62" i="60"/>
  <c r="AD63" i="60"/>
  <c r="AD64" i="60"/>
  <c r="AD65" i="60"/>
  <c r="AD66" i="60"/>
  <c r="AD67" i="60"/>
  <c r="AD68" i="60"/>
  <c r="AD69" i="60"/>
  <c r="AD70" i="60"/>
  <c r="AD71" i="60"/>
  <c r="AD72" i="60"/>
  <c r="AD73" i="60"/>
  <c r="AD74" i="60"/>
  <c r="AD75" i="60"/>
  <c r="AD76" i="60"/>
  <c r="AD77" i="60"/>
  <c r="AD78" i="60"/>
  <c r="AD79" i="60"/>
  <c r="AD80" i="60"/>
  <c r="AD81" i="60"/>
  <c r="AD82" i="60"/>
  <c r="AD83" i="60"/>
  <c r="AD84" i="60"/>
  <c r="AD85" i="60"/>
  <c r="AD86" i="60"/>
  <c r="AD87" i="60"/>
  <c r="AD88" i="60"/>
  <c r="AD89" i="60"/>
  <c r="AD90" i="60"/>
  <c r="AD91" i="60"/>
  <c r="AD92" i="60"/>
  <c r="AD93" i="60"/>
  <c r="AD94" i="60"/>
  <c r="AD95" i="60"/>
  <c r="AD96" i="60"/>
  <c r="AD97" i="60"/>
  <c r="AD98" i="60"/>
  <c r="AD99" i="60"/>
  <c r="AD100" i="60"/>
  <c r="AD101" i="60"/>
  <c r="AD102" i="60"/>
  <c r="AD103" i="60"/>
  <c r="AD104" i="60"/>
  <c r="AD105" i="60"/>
  <c r="AD106" i="60"/>
  <c r="AD107" i="60"/>
  <c r="AD108" i="60"/>
  <c r="AD109" i="60"/>
  <c r="AD110" i="60"/>
  <c r="AD111" i="60"/>
  <c r="AD112" i="60"/>
  <c r="AD113" i="60"/>
  <c r="AD114" i="60"/>
  <c r="AD115" i="60"/>
  <c r="AD116" i="60"/>
  <c r="AD117" i="60"/>
  <c r="AD118" i="60"/>
  <c r="AD119" i="60"/>
  <c r="AD120" i="60"/>
  <c r="AD121" i="60"/>
  <c r="AD122" i="60"/>
  <c r="AD21" i="60"/>
  <c r="O111" i="60"/>
  <c r="O92" i="60"/>
  <c r="O88" i="60"/>
  <c r="O82" i="60"/>
  <c r="O17" i="60"/>
  <c r="O98" i="60"/>
  <c r="AD2" i="59"/>
  <c r="AD3" i="59"/>
  <c r="AD4" i="59"/>
  <c r="AD5" i="59"/>
  <c r="AD6" i="59"/>
  <c r="AD7" i="59"/>
  <c r="AD8" i="59"/>
  <c r="AD9" i="59"/>
  <c r="AD10" i="59"/>
  <c r="AD11" i="59"/>
  <c r="AD12" i="59"/>
  <c r="AD13" i="59"/>
  <c r="AD14" i="59"/>
  <c r="AD15" i="59"/>
  <c r="AD16" i="59"/>
  <c r="AD17" i="59"/>
  <c r="AD18" i="59"/>
  <c r="AD19" i="59"/>
  <c r="AD20" i="59"/>
  <c r="AD21" i="59"/>
  <c r="AD22" i="59"/>
  <c r="AD23" i="59"/>
  <c r="AD24" i="59"/>
  <c r="AD25" i="59"/>
  <c r="AD26" i="59"/>
  <c r="AD27" i="59"/>
  <c r="AD28" i="59"/>
  <c r="AD29" i="59"/>
  <c r="AD30" i="59"/>
  <c r="AD31" i="59"/>
  <c r="AD32" i="59"/>
  <c r="AD33" i="59"/>
  <c r="AD34" i="59"/>
  <c r="AD35" i="59"/>
  <c r="AD36" i="59"/>
  <c r="AD37" i="59"/>
  <c r="AD38" i="59"/>
  <c r="AD39" i="59"/>
  <c r="AD40" i="59"/>
  <c r="AD41" i="59"/>
  <c r="AD42" i="59"/>
  <c r="AD43" i="59"/>
  <c r="AD44" i="59"/>
  <c r="AD45" i="59"/>
  <c r="AD46" i="59"/>
  <c r="AD47" i="59"/>
  <c r="AD48" i="59"/>
  <c r="AD49" i="59"/>
  <c r="AD50" i="59"/>
  <c r="AD51" i="59"/>
  <c r="AD52" i="59"/>
  <c r="AD53" i="59"/>
  <c r="AD54" i="59"/>
  <c r="AD55" i="59"/>
  <c r="AD56" i="59"/>
  <c r="AD57" i="59"/>
  <c r="AD58" i="59"/>
  <c r="AD59" i="59"/>
  <c r="AD60" i="59"/>
  <c r="AD61" i="59"/>
  <c r="AD62" i="59"/>
  <c r="AD63" i="59"/>
  <c r="AD64" i="59"/>
  <c r="AD65" i="59"/>
  <c r="AD66" i="59"/>
  <c r="AD67" i="59"/>
  <c r="AD68" i="59"/>
  <c r="AD69" i="59"/>
  <c r="AD70" i="59"/>
  <c r="AD71" i="59"/>
  <c r="AD72" i="59"/>
  <c r="AD73" i="59"/>
  <c r="AD74" i="59"/>
  <c r="AD75" i="59"/>
  <c r="AD76" i="59"/>
  <c r="AD77" i="59"/>
  <c r="AD78" i="59"/>
  <c r="AD79" i="59"/>
  <c r="AD80" i="59"/>
  <c r="AD81" i="59"/>
  <c r="AD82" i="59"/>
  <c r="AD83" i="59"/>
  <c r="AD84" i="59"/>
  <c r="AD85" i="59"/>
  <c r="AD86" i="59"/>
  <c r="AD87" i="59"/>
  <c r="AD88" i="59"/>
  <c r="AD89" i="59"/>
  <c r="AD90" i="59"/>
  <c r="AD91" i="59"/>
  <c r="AD92" i="59"/>
  <c r="AD93" i="59"/>
  <c r="AD94" i="59"/>
  <c r="AD95" i="59"/>
  <c r="AD96" i="59"/>
  <c r="AD97" i="59"/>
  <c r="AD98" i="59"/>
  <c r="AD99" i="59"/>
  <c r="AD100" i="59"/>
  <c r="AD101" i="59"/>
  <c r="AD102" i="59"/>
  <c r="AD103" i="59"/>
  <c r="AD104" i="59"/>
  <c r="AD105" i="59"/>
  <c r="AD106" i="59"/>
  <c r="AD107" i="59"/>
  <c r="AD108" i="59"/>
  <c r="AD109" i="59"/>
  <c r="AD110" i="59"/>
  <c r="AD111" i="59"/>
  <c r="AD112" i="59"/>
  <c r="AD113" i="59"/>
  <c r="AD114" i="59"/>
  <c r="AD115" i="59"/>
  <c r="O98" i="59"/>
  <c r="O28" i="59"/>
  <c r="O19" i="59"/>
  <c r="AD2" i="58"/>
  <c r="AD3" i="58"/>
  <c r="AD4" i="58"/>
  <c r="AD5" i="58"/>
  <c r="AD6" i="58"/>
  <c r="AD7" i="58"/>
  <c r="AD8" i="58"/>
  <c r="AD9" i="58"/>
  <c r="AD10" i="58"/>
  <c r="AD11" i="58"/>
  <c r="AD12" i="58"/>
  <c r="AD13" i="58"/>
  <c r="AD14" i="58"/>
  <c r="AD15" i="58"/>
  <c r="AD16" i="58"/>
  <c r="AD18" i="58"/>
  <c r="AD19" i="58"/>
  <c r="AD20" i="58"/>
  <c r="AD22" i="58"/>
  <c r="AD23" i="58"/>
  <c r="AD21" i="58"/>
  <c r="AD24" i="58"/>
  <c r="AD25" i="58"/>
  <c r="AD26" i="58"/>
  <c r="AD28" i="58"/>
  <c r="AD27" i="58"/>
  <c r="AD29" i="58"/>
  <c r="AD30" i="58"/>
  <c r="AD31" i="58"/>
  <c r="AD32" i="58"/>
  <c r="AD33" i="58"/>
  <c r="AD35" i="58"/>
  <c r="AD34" i="58"/>
  <c r="AD36" i="58"/>
  <c r="AD37" i="58"/>
  <c r="AD38" i="58"/>
  <c r="AD39" i="58"/>
  <c r="AD40" i="58"/>
  <c r="AD41" i="58"/>
  <c r="AD42" i="58"/>
  <c r="AD43" i="58"/>
  <c r="AD44" i="58"/>
  <c r="AD45" i="58"/>
  <c r="AD46" i="58"/>
  <c r="AD47" i="58"/>
  <c r="AD48" i="58"/>
  <c r="AD49" i="58"/>
  <c r="AD50" i="58"/>
  <c r="AD51" i="58"/>
  <c r="AD52" i="58"/>
  <c r="AD53" i="58"/>
  <c r="AD54" i="58"/>
  <c r="AD55" i="58"/>
  <c r="AD56" i="58"/>
  <c r="AD57" i="58"/>
  <c r="AD58" i="58"/>
  <c r="AD59" i="58"/>
  <c r="AD60" i="58"/>
  <c r="AD61" i="58"/>
  <c r="AD62" i="58"/>
  <c r="AD63" i="58"/>
  <c r="AD64" i="58"/>
  <c r="AD65" i="58"/>
  <c r="AD67" i="58"/>
  <c r="AD66" i="58"/>
  <c r="AD68" i="58"/>
  <c r="AD69" i="58"/>
  <c r="AD70" i="58"/>
  <c r="AD71" i="58"/>
  <c r="AD72" i="58"/>
  <c r="AD74" i="58"/>
  <c r="AD73" i="58"/>
  <c r="AD75" i="58"/>
  <c r="AD76" i="58"/>
  <c r="AD77" i="58"/>
  <c r="AD78" i="58"/>
  <c r="AD80" i="58"/>
  <c r="AD79" i="58"/>
  <c r="AD81" i="58"/>
  <c r="AD82" i="58"/>
  <c r="AD83" i="58"/>
  <c r="AD84" i="58"/>
  <c r="AD85" i="58"/>
  <c r="AD86" i="58"/>
  <c r="AD87" i="58"/>
  <c r="AD88" i="58"/>
  <c r="AD89" i="58"/>
  <c r="AD90" i="58"/>
  <c r="AD91" i="58"/>
  <c r="AD92" i="58"/>
  <c r="AD93" i="58"/>
  <c r="AD94" i="58"/>
  <c r="AD95" i="58"/>
  <c r="AD96" i="58"/>
  <c r="AD97" i="58"/>
  <c r="AD98" i="58"/>
  <c r="AD99" i="58"/>
  <c r="AD100" i="58"/>
  <c r="AD101" i="58"/>
  <c r="AD102" i="58"/>
  <c r="AD103" i="58"/>
  <c r="AD104" i="58"/>
  <c r="AD105" i="58"/>
  <c r="AD106" i="58"/>
  <c r="AD107" i="58"/>
  <c r="AD108" i="58"/>
  <c r="AD109" i="58"/>
  <c r="AD17" i="58"/>
  <c r="O89" i="58"/>
  <c r="O74" i="58"/>
  <c r="O75" i="58"/>
  <c r="O23" i="58"/>
  <c r="O14" i="58"/>
  <c r="AD2" i="57" l="1"/>
  <c r="AD3" i="57"/>
  <c r="AD4" i="57"/>
  <c r="AD5" i="57"/>
  <c r="AD6" i="57"/>
  <c r="AD7" i="57"/>
  <c r="AD8" i="57"/>
  <c r="AD9" i="57"/>
  <c r="AD10" i="57"/>
  <c r="AD11" i="57"/>
  <c r="AD12" i="57"/>
  <c r="AD13" i="57"/>
  <c r="AD14" i="57"/>
  <c r="AD15" i="57"/>
  <c r="AD16" i="57"/>
  <c r="AD17" i="57"/>
  <c r="AD18" i="57"/>
  <c r="AD19" i="57"/>
  <c r="AD20" i="57"/>
  <c r="AD21" i="57"/>
  <c r="AD22" i="57"/>
  <c r="AD23" i="57"/>
  <c r="AD24" i="57"/>
  <c r="AD25" i="57"/>
  <c r="AD26" i="57"/>
  <c r="AD27" i="57"/>
  <c r="AD28" i="57"/>
  <c r="AD29" i="57"/>
  <c r="AD30" i="57"/>
  <c r="AD31" i="57"/>
  <c r="AD32" i="57"/>
  <c r="AD33" i="57"/>
  <c r="AD34" i="57"/>
  <c r="AD35" i="57"/>
  <c r="AD36" i="57"/>
  <c r="AD37" i="57"/>
  <c r="AD38" i="57"/>
  <c r="AD39" i="57"/>
  <c r="AD40" i="57"/>
  <c r="AD41" i="57"/>
  <c r="AD42" i="57"/>
  <c r="AD43" i="57"/>
  <c r="AD44" i="57"/>
  <c r="AD45" i="57"/>
  <c r="AD46" i="57"/>
  <c r="AD47" i="57"/>
  <c r="AD48" i="57"/>
  <c r="AD49" i="57"/>
  <c r="AD50" i="57"/>
  <c r="AD51" i="57"/>
  <c r="AD52" i="57"/>
  <c r="AD53" i="57"/>
  <c r="AD54" i="57"/>
  <c r="AD55" i="57"/>
  <c r="AD56" i="57"/>
  <c r="AD57" i="57"/>
  <c r="AD58" i="57"/>
  <c r="AD59" i="57"/>
  <c r="AD60" i="57"/>
  <c r="AD61" i="57"/>
  <c r="AD62" i="57"/>
  <c r="AD63" i="57"/>
  <c r="AD64" i="57"/>
  <c r="AD65" i="57"/>
  <c r="AD66" i="57"/>
  <c r="AD67" i="57"/>
  <c r="AD68" i="57"/>
  <c r="AD69" i="57"/>
  <c r="AD70" i="57"/>
  <c r="AD71" i="57"/>
  <c r="AD72" i="57"/>
  <c r="AD73" i="57"/>
  <c r="AD74" i="57"/>
  <c r="AD75" i="57"/>
  <c r="AD76" i="57"/>
  <c r="AD77" i="57"/>
  <c r="AD78" i="57"/>
  <c r="AD79" i="57"/>
  <c r="AD80" i="57"/>
  <c r="AD81" i="57"/>
  <c r="AD82" i="57"/>
  <c r="AD83" i="57"/>
  <c r="AD84" i="57"/>
  <c r="AD85" i="57"/>
  <c r="AD86" i="57"/>
  <c r="AD87" i="57"/>
  <c r="AD88" i="57"/>
  <c r="AD89" i="57"/>
  <c r="AD90" i="57"/>
  <c r="AD91" i="57"/>
  <c r="AD92" i="57"/>
  <c r="AD93" i="57"/>
  <c r="AD94" i="57"/>
  <c r="AD95" i="57"/>
  <c r="AD96" i="57"/>
  <c r="AD97" i="57"/>
  <c r="AD98" i="57"/>
  <c r="AD99" i="57"/>
  <c r="AD100" i="57"/>
  <c r="AD101" i="57"/>
  <c r="AD102" i="57"/>
  <c r="AD103" i="57"/>
  <c r="AD104" i="57"/>
  <c r="AD105" i="57"/>
  <c r="AD106" i="57"/>
  <c r="O83" i="57"/>
  <c r="O16" i="57"/>
  <c r="O86" i="57"/>
  <c r="AD1" i="57" l="1"/>
  <c r="AD1" i="63"/>
  <c r="AD1" i="62"/>
  <c r="AD1" i="61"/>
  <c r="AD1" i="60"/>
  <c r="AD1" i="59"/>
  <c r="AD1" i="58"/>
</calcChain>
</file>

<file path=xl/sharedStrings.xml><?xml version="1.0" encoding="utf-8"?>
<sst xmlns="http://schemas.openxmlformats.org/spreadsheetml/2006/main" count="19894" uniqueCount="268">
  <si>
    <t>Start Date</t>
  </si>
  <si>
    <t>End Date</t>
  </si>
  <si>
    <t>Day</t>
  </si>
  <si>
    <t>Time In</t>
  </si>
  <si>
    <t>Time out</t>
  </si>
  <si>
    <t>Length</t>
  </si>
  <si>
    <t>Language</t>
  </si>
  <si>
    <t>Type</t>
  </si>
  <si>
    <t>Spot Value</t>
  </si>
  <si>
    <t>Agency</t>
  </si>
  <si>
    <t>Bill Code</t>
  </si>
  <si>
    <t>Comments</t>
  </si>
  <si>
    <t>Spots</t>
  </si>
  <si>
    <t>Line</t>
  </si>
  <si>
    <t>Estimate</t>
  </si>
  <si>
    <t>Gross</t>
  </si>
  <si>
    <t>Make Good</t>
  </si>
  <si>
    <t>Month</t>
  </si>
  <si>
    <t>Broker Fees</t>
  </si>
  <si>
    <t>Net</t>
  </si>
  <si>
    <t>AE</t>
  </si>
  <si>
    <t>Revenue Type</t>
  </si>
  <si>
    <t>Billing Type</t>
  </si>
  <si>
    <t>Affidavit</t>
  </si>
  <si>
    <t>Notarize</t>
  </si>
  <si>
    <t>Market</t>
  </si>
  <si>
    <t>Show</t>
  </si>
  <si>
    <t>Show Name</t>
  </si>
  <si>
    <t>Priority</t>
  </si>
  <si>
    <t>NKB:Shop LC</t>
  </si>
  <si>
    <t>Monday</t>
  </si>
  <si>
    <t>Shop LC</t>
  </si>
  <si>
    <t>E</t>
  </si>
  <si>
    <t>PRG</t>
  </si>
  <si>
    <t>House</t>
  </si>
  <si>
    <t>Paid Programming</t>
  </si>
  <si>
    <t>Broadcast</t>
  </si>
  <si>
    <t>N</t>
  </si>
  <si>
    <t>CVC</t>
  </si>
  <si>
    <t>Phoenix TV</t>
  </si>
  <si>
    <t>Phoenix Evening Express</t>
  </si>
  <si>
    <t>M</t>
  </si>
  <si>
    <t>Programming</t>
  </si>
  <si>
    <t>Non-Agency</t>
  </si>
  <si>
    <t>Misfit:CA Community Colleges</t>
  </si>
  <si>
    <t>CALCC30C01: ICanGo AAPI CAN (CALCC30C01)</t>
  </si>
  <si>
    <t>BNS</t>
  </si>
  <si>
    <t>Charmaine Lane</t>
  </si>
  <si>
    <t>Internal Ad Sales</t>
  </si>
  <si>
    <t>Y</t>
  </si>
  <si>
    <t>2408</t>
  </si>
  <si>
    <t>Rodi Platcow Malin:Thunder Valley Casino</t>
  </si>
  <si>
    <t>TVC30M28: TVCR Thrill of the Moment SAC MAN (RPM-12688-25-4)</t>
  </si>
  <si>
    <t>COM</t>
  </si>
  <si>
    <t>10882-CV</t>
  </si>
  <si>
    <t>2380</t>
  </si>
  <si>
    <t>Sacramento County Water Agency</t>
  </si>
  <si>
    <t>SCWA15M05: Storm Ready (SCWA15M05)</t>
  </si>
  <si>
    <t>Calendar</t>
  </si>
  <si>
    <t>2367</t>
  </si>
  <si>
    <t>SCWA15M06: Storm Ready 311 Nov23 (SCWA15M06)</t>
  </si>
  <si>
    <t>Solsken Communications:My Sister's House (Solsken)</t>
  </si>
  <si>
    <t>MSH30M27: MSH STH 2025 MAN</t>
  </si>
  <si>
    <t>STH 25</t>
  </si>
  <si>
    <t>2111</t>
  </si>
  <si>
    <t>Da Ai TV</t>
  </si>
  <si>
    <t>Calling Dr. Marvelous</t>
  </si>
  <si>
    <t xml:space="preserve">ID15KIDS BEFORE SHOW </t>
  </si>
  <si>
    <t>MBC</t>
  </si>
  <si>
    <t>MBC Newsdesk</t>
  </si>
  <si>
    <t>K</t>
  </si>
  <si>
    <t>MBC Korean Drama</t>
  </si>
  <si>
    <t>Fujisankei</t>
  </si>
  <si>
    <t>FCI News Catch</t>
  </si>
  <si>
    <t>J</t>
  </si>
  <si>
    <t>VieTV</t>
  </si>
  <si>
    <t>Life Entertainment Weekly</t>
  </si>
  <si>
    <t>repeat</t>
  </si>
  <si>
    <t>IW Group, Inc.:Covered CA</t>
  </si>
  <si>
    <t>COVER30V46: Open Invitation rev2 VIE (XCFC5128000H)</t>
  </si>
  <si>
    <t>V</t>
  </si>
  <si>
    <t>2168</t>
  </si>
  <si>
    <t>Health Plan of San Joaquin</t>
  </si>
  <si>
    <t>HPSJ30V01: Vietnamese Flu Video-3 VIE (HPSJ30V01)</t>
  </si>
  <si>
    <t>2601-2603</t>
  </si>
  <si>
    <t>2376</t>
  </si>
  <si>
    <t>COVER15V43: Double Shifter VIE (XCFC5148000H)</t>
  </si>
  <si>
    <t>Prince of Peace Enterprises, Inc.</t>
  </si>
  <si>
    <t>KLO30V10: Kwan Loong Oil Happiness REV (KLO30V10)</t>
  </si>
  <si>
    <t>2601</t>
  </si>
  <si>
    <t>2342</t>
  </si>
  <si>
    <t>COVER15V42: Combined VIE (XCFC5147000H)</t>
  </si>
  <si>
    <t>CALCC30V01: ICanGo AAPI VIE (CALCC30V01)</t>
  </si>
  <si>
    <t>Saeshe:Cache Creek Casino</t>
  </si>
  <si>
    <t>CCC15V109: CK1008 26LNY Promo Lion Dance VIE (CCC15V109)</t>
  </si>
  <si>
    <t>1005-V</t>
  </si>
  <si>
    <t>2339</t>
  </si>
  <si>
    <t>CCC15V111: CK1008 26 Concert VIE</t>
  </si>
  <si>
    <t>CCC15V110: CK1008 Branding 26 VIE (CCC15V110)</t>
  </si>
  <si>
    <t>Oriental Medicine</t>
  </si>
  <si>
    <t>VSTV</t>
  </si>
  <si>
    <t>Vietnamese Daily Drama</t>
  </si>
  <si>
    <t>TVC30V28: TVCR Thrill of the Moment SAC VIE (RPM-12690-25-4)</t>
  </si>
  <si>
    <t>TV9</t>
  </si>
  <si>
    <t>Sakkath Spice</t>
  </si>
  <si>
    <t>SA</t>
  </si>
  <si>
    <t>Sagent Marketing:California Air Resources Board</t>
  </si>
  <si>
    <t>CARB30P04: CTC 15 PNJ 3rd Cut</t>
  </si>
  <si>
    <t>153</t>
  </si>
  <si>
    <t>1972</t>
  </si>
  <si>
    <t>SCWA15P05: Storm Ready (SCWA15P05)</t>
  </si>
  <si>
    <t>SCWA15P06: Storm Ready 311 Nov23 (SCWA15P06)</t>
  </si>
  <si>
    <t>Big News</t>
  </si>
  <si>
    <t>Jus Punjabi</t>
  </si>
  <si>
    <t>To the Point</t>
  </si>
  <si>
    <t>P</t>
  </si>
  <si>
    <t>Punjab Update</t>
  </si>
  <si>
    <t>World News</t>
  </si>
  <si>
    <t>TV5</t>
  </si>
  <si>
    <t>Frontline Pilipinas</t>
  </si>
  <si>
    <t>T</t>
  </si>
  <si>
    <t>SCWA15T05: Storm Ready (SCWA15T05)</t>
  </si>
  <si>
    <t>SCWA15T06: Storm Ready 311 Nov23 (SCWA15T06)</t>
  </si>
  <si>
    <t>TFC</t>
  </si>
  <si>
    <t>TV Patrol World</t>
  </si>
  <si>
    <t>Ikaw Lang Ang Iibigin</t>
  </si>
  <si>
    <t>Magandang Buhay</t>
  </si>
  <si>
    <t>H&amp;L Partners:Northern California Toyota Dealer's Assocation</t>
  </si>
  <si>
    <t>TOY30T1189: 2026 January GTK Sales Event - Truck :30 ACM TV TAG (TYRN36341H)</t>
  </si>
  <si>
    <t>13928-CV</t>
  </si>
  <si>
    <t>2365</t>
  </si>
  <si>
    <t>Phoenix News Express P1</t>
  </si>
  <si>
    <t>C</t>
  </si>
  <si>
    <t>COVER30M46: Open Invitation rev2 CHI (XCFC5122000H)</t>
  </si>
  <si>
    <t>2167</t>
  </si>
  <si>
    <t>CCC15M109: CK1008 26LNY Promo Lion Dance MAN (CCC15M109)</t>
  </si>
  <si>
    <t>M/C</t>
  </si>
  <si>
    <t>1005-C</t>
  </si>
  <si>
    <t>2338</t>
  </si>
  <si>
    <t>CCC15M110: CK1008 Branding 26 MAN (CCC15M110)</t>
  </si>
  <si>
    <t>COVER15C42: Combined CAN (XCFC5141000H)</t>
  </si>
  <si>
    <t>TOY30C1189: 2026 January GTK Sales Event - Truck :30 ACM TV CAN (TYRN36321H)</t>
  </si>
  <si>
    <t>COVER15C43: Double Shifter CAN (XCFC5142000H)</t>
  </si>
  <si>
    <t>News Decoder</t>
  </si>
  <si>
    <t>Shanghai TV</t>
  </si>
  <si>
    <t>Primetime News - Shanghai TV</t>
  </si>
  <si>
    <t>Jiangsu</t>
  </si>
  <si>
    <t>Chinese Drama</t>
  </si>
  <si>
    <t>If You Are the One</t>
  </si>
  <si>
    <t>Phoenix News Express P2</t>
  </si>
  <si>
    <t>Viet Variety</t>
  </si>
  <si>
    <t>Viet Drama</t>
  </si>
  <si>
    <t>Spice</t>
  </si>
  <si>
    <t>Big</t>
  </si>
  <si>
    <t>Punjabi News</t>
  </si>
  <si>
    <t>Filipino News</t>
  </si>
  <si>
    <t>Cantonese Variety</t>
  </si>
  <si>
    <t>Chinese News</t>
  </si>
  <si>
    <t>Jiangsu Variety</t>
  </si>
  <si>
    <t>Impact Marketing:Big Valley Ford Lincoln</t>
  </si>
  <si>
    <t>BVFL15E195: BVF_EvergreenTruck_Jan2026_15 (BVFL15E195)</t>
  </si>
  <si>
    <t>26Q1</t>
  </si>
  <si>
    <t>2410</t>
  </si>
  <si>
    <t>BVFL15E196: BVF_ExpolorerEvergreen_Jan2026_15 (BVFL15E196)</t>
  </si>
  <si>
    <t>BVFL15E197: BVF_WorkTrucksEvergeen_Jan2026_15 (BVFL15E197)</t>
  </si>
  <si>
    <t>BVFL15E198: BVF_BroncoEvergreen_Jan2026_15 (BVFL15E198)</t>
  </si>
  <si>
    <t>Tuesday</t>
  </si>
  <si>
    <t>OCA National Convention (T)</t>
  </si>
  <si>
    <t>OCANAT33E07: 2025_OCA_National_Crossings_TV</t>
  </si>
  <si>
    <t>Trade</t>
  </si>
  <si>
    <t>2090</t>
  </si>
  <si>
    <t>Science Around Us</t>
  </si>
  <si>
    <t>CALCC30K01: ICanGo AAPI KOR (CALCC30K01)</t>
  </si>
  <si>
    <t>FUJICM30J707:  TOYOTA  A Life Less Ordinary TYTQ1692000H (AH9058)</t>
  </si>
  <si>
    <t>Non-agency</t>
  </si>
  <si>
    <t>Top News</t>
  </si>
  <si>
    <t>SCWA15V05: Storm Ready (SCWA15V05)</t>
  </si>
  <si>
    <t>SCWA15V06: Storm Ready 311 Nov23 (SCWA15V06)</t>
  </si>
  <si>
    <t>Talk With Celebrities</t>
  </si>
  <si>
    <t>TOY30SA1189: 2026 January GTK Sales Event - Truck :30 ACM TV HIN (TYRN36351H)</t>
  </si>
  <si>
    <t>MSH30P27: MSH STH 2025 PUN</t>
  </si>
  <si>
    <t>CALCC30T01: ICanGo AAPI TAG (CALCC30T01)</t>
  </si>
  <si>
    <t>iGraphix:Sky River Casino</t>
  </si>
  <si>
    <t>SRC30E48: January Promotion ENG (JP0126-E)</t>
  </si>
  <si>
    <t>30006</t>
  </si>
  <si>
    <t>2347</t>
  </si>
  <si>
    <t>iHeartMedia:California Department of Pesticide Regulations</t>
  </si>
  <si>
    <t>CDPR30T01: Spray Days Animated TAG (DRP250109-T)</t>
  </si>
  <si>
    <t>2004</t>
  </si>
  <si>
    <t>Till I Met You</t>
  </si>
  <si>
    <t>CCC15C109: CK1008 26LNY Promo Lion Dance CAN (CCC15C109)</t>
  </si>
  <si>
    <t>CCC15C110: CK1008 Branding 26 CAN (CCC15C110)</t>
  </si>
  <si>
    <t>TOY30M1189: 2026 January GTK Sales Event - Truck :30 ACM TV MAN (TYRN36331H)</t>
  </si>
  <si>
    <t>Places We Must Go S3</t>
  </si>
  <si>
    <t>Filipino Variety</t>
  </si>
  <si>
    <t>FCI</t>
  </si>
  <si>
    <t>Wednesday</t>
  </si>
  <si>
    <t>Children's Time</t>
  </si>
  <si>
    <t>MSH30V27: MSH STH 2025 VIE</t>
  </si>
  <si>
    <t>Healthy Life</t>
  </si>
  <si>
    <t>The Poor Heiress</t>
  </si>
  <si>
    <t>Time Advertising, Inc.:Graton Casino</t>
  </si>
  <si>
    <t>GRATON30C22: GRC Countdown to Kickoff REV CAN</t>
  </si>
  <si>
    <t>2601-CV</t>
  </si>
  <si>
    <t>2348</t>
  </si>
  <si>
    <t>CALCC30M01: ICanGo AAPI MAN (CALCC30M01)</t>
  </si>
  <si>
    <t>Who's Still Standing - Youth</t>
  </si>
  <si>
    <t>Thursday</t>
  </si>
  <si>
    <t>Save Our Earth Together</t>
  </si>
  <si>
    <t>ID15KIDS BEFORE SHOW</t>
  </si>
  <si>
    <t>FUJICM30J706:  TOYOTA We are The Detourists TYTQ1699000H (AH9057)</t>
  </si>
  <si>
    <t>Vietnamese Past &amp; Present Culture</t>
  </si>
  <si>
    <t>CDPR30P01: Spray Days Animated PUN (DRP250109-P)</t>
  </si>
  <si>
    <t>Never Say Goodbye</t>
  </si>
  <si>
    <t>My Hong Kong Perspectives</t>
  </si>
  <si>
    <t>Love Never Comes Late</t>
  </si>
  <si>
    <t>Filipino Drama</t>
  </si>
  <si>
    <t>Friday</t>
  </si>
  <si>
    <t>Chinese Medicine</t>
  </si>
  <si>
    <t>Technology in Our Life</t>
  </si>
  <si>
    <t>Hanggang Saan</t>
  </si>
  <si>
    <t>GRATON30M22: GRC Countdown to Kickoff REV MAN</t>
  </si>
  <si>
    <t>My Hong Kong Story</t>
  </si>
  <si>
    <t>The Hits</t>
  </si>
  <si>
    <t>Saturday</t>
  </si>
  <si>
    <t>ID15KIDS BEFORE SHOW (REPLAY)</t>
  </si>
  <si>
    <t>REPLAY</t>
  </si>
  <si>
    <t>Vietnamese Weekend AM Drama</t>
  </si>
  <si>
    <t>Headline News</t>
  </si>
  <si>
    <t>Culture &amp; Travel</t>
  </si>
  <si>
    <t>Vietnamese Weekend Drama</t>
  </si>
  <si>
    <t>AVS Television Network</t>
  </si>
  <si>
    <t>AVS</t>
  </si>
  <si>
    <t>JSM Media</t>
  </si>
  <si>
    <t>Namaste America</t>
  </si>
  <si>
    <t>Namaste</t>
  </si>
  <si>
    <t>India Waves</t>
  </si>
  <si>
    <t>Hmong</t>
  </si>
  <si>
    <t>Hmong Entertainment</t>
  </si>
  <si>
    <t>H</t>
  </si>
  <si>
    <t>MSH30H27: MSH STH 2025 HMO</t>
  </si>
  <si>
    <t>Hm</t>
  </si>
  <si>
    <t>30009</t>
  </si>
  <si>
    <t>2346</t>
  </si>
  <si>
    <t>CALCC30H01: ICanGo AAPI HMO (CALCC30H01)</t>
  </si>
  <si>
    <t>SCWA15H05: Storm Ready (SCWA15H05)</t>
  </si>
  <si>
    <t>SCWA15H06: Storm Ready 311 Nov23 (SCWA15H06)</t>
  </si>
  <si>
    <t xml:space="preserve">Hmong Report </t>
  </si>
  <si>
    <t>South Asian Variety</t>
  </si>
  <si>
    <t>Sunday</t>
  </si>
  <si>
    <t>McHale Media:Kingdom of God</t>
  </si>
  <si>
    <t>Kingdom of God</t>
  </si>
  <si>
    <t>White Horse International</t>
  </si>
  <si>
    <t>2602</t>
  </si>
  <si>
    <t>2444</t>
  </si>
  <si>
    <t>Travel with Vietv</t>
  </si>
  <si>
    <t>What's Cooking Today</t>
  </si>
  <si>
    <t>Sitaarre TV</t>
  </si>
  <si>
    <t>Showbiz India</t>
  </si>
  <si>
    <t>Crossings TV</t>
  </si>
  <si>
    <t>Dil Ki Open Stage</t>
  </si>
  <si>
    <t>SRC30E44: High Limit Refresh 2025 V3 ENG (SRC0925-E)</t>
  </si>
  <si>
    <t>30220</t>
  </si>
  <si>
    <t>2458</t>
  </si>
  <si>
    <t>CDPR30H01: Spray Days Animated HMO (DRP250109-H)</t>
  </si>
  <si>
    <t>SRC30E49: February Promotion ENG (FP0226-E)</t>
  </si>
  <si>
    <t>NO</t>
  </si>
  <si>
    <t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</si>
</sst>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4" formatCode="_(&quot;$&quot;* #,##0.00_);_(&quot;$&quot;* \(#,##0.00\);_(&quot;$&quot;* &quot;-&quot;??_);_(@_)"/>
    <numFmt numFmtId="164" formatCode="m/d/yy"/>
    <numFmt numFmtId="165" formatCode="[h]:mm:ss;@"/>
    <numFmt numFmtId="166" formatCode="[$-409]mmm\-yy;@"/>
    <numFmt numFmtId="167" formatCode="m/d/yy;@"/>
  </numFmts>
  <fonts count="39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name val="Arial"/>
      <family val="2"/>
    </font>
    <font>
      <b/>
      <sz val="12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sz val="10"/>
      <name val="Arial"/>
      <family val="2"/>
    </font>
    <font>
      <sz val="11"/>
      <color theme="0"/>
      <name val="Calibri"/>
      <family val="2"/>
      <scheme val="minor"/>
    </font>
    <font>
      <u/>
      <sz val="11"/>
      <color theme="10"/>
      <name val="Calibri"/>
      <family val="2"/>
    </font>
    <font>
      <b/>
      <sz val="18"/>
      <color theme="1"/>
      <name val="Calibri"/>
      <family val="2"/>
      <scheme val="minor"/>
    </font>
    <font>
      <b/>
      <sz val="12"/>
      <color rgb="FFFF0000"/>
      <name val="Arial"/>
      <family val="2"/>
    </font>
    <font>
      <sz val="11"/>
      <name val="Calibri"/>
      <family val="2"/>
      <scheme val="minor"/>
    </font>
  </fonts>
  <fills count="37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8"/>
      </patternFill>
    </fill>
    <fill>
      <patternFill patternType="solid">
        <fgColor indexed="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66FF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B2A1C7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C4D331"/>
        <bgColor indexed="64"/>
      </patternFill>
    </fill>
    <fill>
      <patternFill patternType="solid">
        <fgColor rgb="FFFF66CC"/>
        <bgColor indexed="64"/>
      </patternFill>
    </fill>
  </fills>
  <borders count="11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75">
    <xf numFmtId="0" fontId="0" fillId="0" borderId="0"/>
    <xf numFmtId="0" fontId="16" fillId="2" borderId="0" applyNumberFormat="0" applyBorder="0" applyAlignment="0" applyProtection="0"/>
    <xf numFmtId="0" fontId="13" fillId="2" borderId="0" applyNumberFormat="0" applyBorder="0" applyAlignment="0" applyProtection="0"/>
    <xf numFmtId="0" fontId="16" fillId="3" borderId="0" applyNumberFormat="0" applyBorder="0" applyAlignment="0" applyProtection="0"/>
    <xf numFmtId="0" fontId="13" fillId="3" borderId="0" applyNumberFormat="0" applyBorder="0" applyAlignment="0" applyProtection="0"/>
    <xf numFmtId="0" fontId="16" fillId="4" borderId="0" applyNumberFormat="0" applyBorder="0" applyAlignment="0" applyProtection="0"/>
    <xf numFmtId="0" fontId="13" fillId="4" borderId="0" applyNumberFormat="0" applyBorder="0" applyAlignment="0" applyProtection="0"/>
    <xf numFmtId="0" fontId="16" fillId="5" borderId="0" applyNumberFormat="0" applyBorder="0" applyAlignment="0" applyProtection="0"/>
    <xf numFmtId="0" fontId="13" fillId="5" borderId="0" applyNumberFormat="0" applyBorder="0" applyAlignment="0" applyProtection="0"/>
    <xf numFmtId="0" fontId="16" fillId="6" borderId="0" applyNumberFormat="0" applyBorder="0" applyAlignment="0" applyProtection="0"/>
    <xf numFmtId="0" fontId="13" fillId="6" borderId="0" applyNumberFormat="0" applyBorder="0" applyAlignment="0" applyProtection="0"/>
    <xf numFmtId="0" fontId="16" fillId="7" borderId="0" applyNumberFormat="0" applyBorder="0" applyAlignment="0" applyProtection="0"/>
    <xf numFmtId="0" fontId="13" fillId="7" borderId="0" applyNumberFormat="0" applyBorder="0" applyAlignment="0" applyProtection="0"/>
    <xf numFmtId="0" fontId="16" fillId="8" borderId="0" applyNumberFormat="0" applyBorder="0" applyAlignment="0" applyProtection="0"/>
    <xf numFmtId="0" fontId="13" fillId="8" borderId="0" applyNumberFormat="0" applyBorder="0" applyAlignment="0" applyProtection="0"/>
    <xf numFmtId="0" fontId="16" fillId="9" borderId="0" applyNumberFormat="0" applyBorder="0" applyAlignment="0" applyProtection="0"/>
    <xf numFmtId="0" fontId="13" fillId="9" borderId="0" applyNumberFormat="0" applyBorder="0" applyAlignment="0" applyProtection="0"/>
    <xf numFmtId="0" fontId="16" fillId="10" borderId="0" applyNumberFormat="0" applyBorder="0" applyAlignment="0" applyProtection="0"/>
    <xf numFmtId="0" fontId="13" fillId="10" borderId="0" applyNumberFormat="0" applyBorder="0" applyAlignment="0" applyProtection="0"/>
    <xf numFmtId="0" fontId="16" fillId="5" borderId="0" applyNumberFormat="0" applyBorder="0" applyAlignment="0" applyProtection="0"/>
    <xf numFmtId="0" fontId="13" fillId="5" borderId="0" applyNumberFormat="0" applyBorder="0" applyAlignment="0" applyProtection="0"/>
    <xf numFmtId="0" fontId="16" fillId="8" borderId="0" applyNumberFormat="0" applyBorder="0" applyAlignment="0" applyProtection="0"/>
    <xf numFmtId="0" fontId="13" fillId="8" borderId="0" applyNumberFormat="0" applyBorder="0" applyAlignment="0" applyProtection="0"/>
    <xf numFmtId="0" fontId="16" fillId="11" borderId="0" applyNumberFormat="0" applyBorder="0" applyAlignment="0" applyProtection="0"/>
    <xf numFmtId="0" fontId="13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9" borderId="0" applyNumberFormat="0" applyBorder="0" applyAlignment="0" applyProtection="0"/>
    <xf numFmtId="0" fontId="17" fillId="10" borderId="0" applyNumberFormat="0" applyBorder="0" applyAlignment="0" applyProtection="0"/>
    <xf numFmtId="0" fontId="17" fillId="13" borderId="0" applyNumberFormat="0" applyBorder="0" applyAlignment="0" applyProtection="0"/>
    <xf numFmtId="0" fontId="17" fillId="14" borderId="0" applyNumberFormat="0" applyBorder="0" applyAlignment="0" applyProtection="0"/>
    <xf numFmtId="0" fontId="17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7" fillId="18" borderId="0" applyNumberFormat="0" applyBorder="0" applyAlignment="0" applyProtection="0"/>
    <xf numFmtId="0" fontId="17" fillId="13" borderId="0" applyNumberFormat="0" applyBorder="0" applyAlignment="0" applyProtection="0"/>
    <xf numFmtId="0" fontId="17" fillId="14" borderId="0" applyNumberFormat="0" applyBorder="0" applyAlignment="0" applyProtection="0"/>
    <xf numFmtId="0" fontId="17" fillId="19" borderId="0" applyNumberFormat="0" applyBorder="0" applyAlignment="0" applyProtection="0"/>
    <xf numFmtId="0" fontId="18" fillId="3" borderId="0" applyNumberFormat="0" applyBorder="0" applyAlignment="0" applyProtection="0"/>
    <xf numFmtId="0" fontId="19" fillId="20" borderId="1" applyNumberFormat="0" applyAlignment="0" applyProtection="0"/>
    <xf numFmtId="0" fontId="20" fillId="21" borderId="2" applyNumberFormat="0" applyAlignment="0" applyProtection="0"/>
    <xf numFmtId="44" fontId="14" fillId="0" borderId="0" applyFont="0" applyFill="0" applyBorder="0" applyAlignment="0" applyProtection="0"/>
    <xf numFmtId="44" fontId="33" fillId="0" borderId="0" applyFont="0" applyFill="0" applyBorder="0" applyAlignment="0" applyProtection="0"/>
    <xf numFmtId="44" fontId="14" fillId="0" borderId="0" applyFont="0" applyFill="0" applyBorder="0" applyAlignment="0" applyProtection="0"/>
    <xf numFmtId="0" fontId="21" fillId="0" borderId="0" applyNumberFormat="0" applyFill="0" applyBorder="0" applyAlignment="0" applyProtection="0"/>
    <xf numFmtId="0" fontId="22" fillId="4" borderId="0" applyNumberFormat="0" applyBorder="0" applyAlignment="0" applyProtection="0"/>
    <xf numFmtId="0" fontId="23" fillId="0" borderId="3" applyNumberFormat="0" applyFill="0" applyAlignment="0" applyProtection="0"/>
    <xf numFmtId="0" fontId="24" fillId="0" borderId="4" applyNumberFormat="0" applyFill="0" applyAlignment="0" applyProtection="0"/>
    <xf numFmtId="0" fontId="25" fillId="0" borderId="5" applyNumberFormat="0" applyFill="0" applyAlignment="0" applyProtection="0"/>
    <xf numFmtId="0" fontId="25" fillId="0" borderId="0" applyNumberFormat="0" applyFill="0" applyBorder="0" applyAlignment="0" applyProtection="0"/>
    <xf numFmtId="0" fontId="26" fillId="7" borderId="1" applyNumberFormat="0" applyAlignment="0" applyProtection="0"/>
    <xf numFmtId="0" fontId="27" fillId="0" borderId="6" applyNumberFormat="0" applyFill="0" applyAlignment="0" applyProtection="0"/>
    <xf numFmtId="0" fontId="28" fillId="22" borderId="0" applyNumberFormat="0" applyBorder="0" applyAlignment="0" applyProtection="0"/>
    <xf numFmtId="0" fontId="14" fillId="0" borderId="0"/>
    <xf numFmtId="0" fontId="14" fillId="23" borderId="7" applyNumberFormat="0" applyFont="0" applyAlignment="0" applyProtection="0"/>
    <xf numFmtId="0" fontId="29" fillId="20" borderId="8" applyNumberFormat="0" applyAlignment="0" applyProtection="0"/>
    <xf numFmtId="0" fontId="30" fillId="0" borderId="0" applyNumberFormat="0" applyFill="0" applyBorder="0" applyAlignment="0" applyProtection="0"/>
    <xf numFmtId="0" fontId="31" fillId="0" borderId="9" applyNumberFormat="0" applyFill="0" applyAlignment="0" applyProtection="0"/>
    <xf numFmtId="0" fontId="32" fillId="0" borderId="0" applyNumberFormat="0" applyFill="0" applyBorder="0" applyAlignment="0" applyProtection="0"/>
    <xf numFmtId="0" fontId="12" fillId="0" borderId="0"/>
    <xf numFmtId="44" fontId="12" fillId="0" borderId="0" applyFont="0" applyFill="0" applyBorder="0" applyAlignment="0" applyProtection="0"/>
    <xf numFmtId="0" fontId="34" fillId="25" borderId="0" applyNumberFormat="0" applyBorder="0" applyAlignment="0" applyProtection="0"/>
    <xf numFmtId="0" fontId="13" fillId="2" borderId="0" applyNumberFormat="0" applyBorder="0" applyAlignment="0" applyProtection="0"/>
    <xf numFmtId="0" fontId="13" fillId="3" borderId="0" applyNumberFormat="0" applyBorder="0" applyAlignment="0" applyProtection="0"/>
    <xf numFmtId="0" fontId="13" fillId="4" borderId="0" applyNumberFormat="0" applyBorder="0" applyAlignment="0" applyProtection="0"/>
    <xf numFmtId="0" fontId="13" fillId="5" borderId="0" applyNumberFormat="0" applyBorder="0" applyAlignment="0" applyProtection="0"/>
    <xf numFmtId="0" fontId="13" fillId="6" borderId="0" applyNumberFormat="0" applyBorder="0" applyAlignment="0" applyProtection="0"/>
    <xf numFmtId="0" fontId="13" fillId="7" borderId="0" applyNumberFormat="0" applyBorder="0" applyAlignment="0" applyProtection="0"/>
    <xf numFmtId="0" fontId="13" fillId="8" borderId="0" applyNumberFormat="0" applyBorder="0" applyAlignment="0" applyProtection="0"/>
    <xf numFmtId="0" fontId="13" fillId="9" borderId="0" applyNumberFormat="0" applyBorder="0" applyAlignment="0" applyProtection="0"/>
    <xf numFmtId="0" fontId="13" fillId="10" borderId="0" applyNumberFormat="0" applyBorder="0" applyAlignment="0" applyProtection="0"/>
    <xf numFmtId="0" fontId="13" fillId="5" borderId="0" applyNumberFormat="0" applyBorder="0" applyAlignment="0" applyProtection="0"/>
    <xf numFmtId="0" fontId="13" fillId="8" borderId="0" applyNumberFormat="0" applyBorder="0" applyAlignment="0" applyProtection="0"/>
    <xf numFmtId="0" fontId="13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2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10" borderId="0" applyNumberFormat="0" applyBorder="0" applyAlignment="0" applyProtection="0"/>
    <xf numFmtId="0" fontId="17" fillId="10" borderId="0" applyNumberFormat="0" applyBorder="0" applyAlignment="0" applyProtection="0"/>
    <xf numFmtId="0" fontId="17" fillId="13" borderId="0" applyNumberFormat="0" applyBorder="0" applyAlignment="0" applyProtection="0"/>
    <xf numFmtId="0" fontId="17" fillId="13" borderId="0" applyNumberFormat="0" applyBorder="0" applyAlignment="0" applyProtection="0"/>
    <xf numFmtId="0" fontId="17" fillId="14" borderId="0" applyNumberFormat="0" applyBorder="0" applyAlignment="0" applyProtection="0"/>
    <xf numFmtId="0" fontId="17" fillId="14" borderId="0" applyNumberFormat="0" applyBorder="0" applyAlignment="0" applyProtection="0"/>
    <xf numFmtId="0" fontId="17" fillId="15" borderId="0" applyNumberFormat="0" applyBorder="0" applyAlignment="0" applyProtection="0"/>
    <xf numFmtId="0" fontId="17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7" fillId="17" borderId="0" applyNumberFormat="0" applyBorder="0" applyAlignment="0" applyProtection="0"/>
    <xf numFmtId="0" fontId="17" fillId="18" borderId="0" applyNumberFormat="0" applyBorder="0" applyAlignment="0" applyProtection="0"/>
    <xf numFmtId="0" fontId="17" fillId="18" borderId="0" applyNumberFormat="0" applyBorder="0" applyAlignment="0" applyProtection="0"/>
    <xf numFmtId="0" fontId="17" fillId="13" borderId="0" applyNumberFormat="0" applyBorder="0" applyAlignment="0" applyProtection="0"/>
    <xf numFmtId="0" fontId="17" fillId="13" borderId="0" applyNumberFormat="0" applyBorder="0" applyAlignment="0" applyProtection="0"/>
    <xf numFmtId="0" fontId="17" fillId="14" borderId="0" applyNumberFormat="0" applyBorder="0" applyAlignment="0" applyProtection="0"/>
    <xf numFmtId="0" fontId="17" fillId="14" borderId="0" applyNumberFormat="0" applyBorder="0" applyAlignment="0" applyProtection="0"/>
    <xf numFmtId="0" fontId="17" fillId="19" borderId="0" applyNumberFormat="0" applyBorder="0" applyAlignment="0" applyProtection="0"/>
    <xf numFmtId="0" fontId="17" fillId="19" borderId="0" applyNumberFormat="0" applyBorder="0" applyAlignment="0" applyProtection="0"/>
    <xf numFmtId="0" fontId="18" fillId="3" borderId="0" applyNumberFormat="0" applyBorder="0" applyAlignment="0" applyProtection="0"/>
    <xf numFmtId="0" fontId="18" fillId="3" borderId="0" applyNumberFormat="0" applyBorder="0" applyAlignment="0" applyProtection="0"/>
    <xf numFmtId="0" fontId="19" fillId="20" borderId="1" applyNumberFormat="0" applyAlignment="0" applyProtection="0"/>
    <xf numFmtId="0" fontId="19" fillId="20" borderId="1" applyNumberFormat="0" applyAlignment="0" applyProtection="0"/>
    <xf numFmtId="0" fontId="20" fillId="21" borderId="2" applyNumberFormat="0" applyAlignment="0" applyProtection="0"/>
    <xf numFmtId="0" fontId="20" fillId="21" borderId="2" applyNumberFormat="0" applyAlignment="0" applyProtection="0"/>
    <xf numFmtId="44" fontId="14" fillId="0" borderId="0" applyFont="0" applyFill="0" applyBorder="0" applyAlignment="0" applyProtection="0"/>
    <xf numFmtId="44" fontId="13" fillId="0" borderId="0" applyFon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4" borderId="0" applyNumberFormat="0" applyBorder="0" applyAlignment="0" applyProtection="0"/>
    <xf numFmtId="0" fontId="22" fillId="4" borderId="0" applyNumberFormat="0" applyBorder="0" applyAlignment="0" applyProtection="0"/>
    <xf numFmtId="0" fontId="23" fillId="0" borderId="3" applyNumberFormat="0" applyFill="0" applyAlignment="0" applyProtection="0"/>
    <xf numFmtId="0" fontId="23" fillId="0" borderId="3" applyNumberFormat="0" applyFill="0" applyAlignment="0" applyProtection="0"/>
    <xf numFmtId="0" fontId="24" fillId="0" borderId="4" applyNumberFormat="0" applyFill="0" applyAlignment="0" applyProtection="0"/>
    <xf numFmtId="0" fontId="24" fillId="0" borderId="4" applyNumberFormat="0" applyFill="0" applyAlignment="0" applyProtection="0"/>
    <xf numFmtId="0" fontId="25" fillId="0" borderId="5" applyNumberFormat="0" applyFill="0" applyAlignment="0" applyProtection="0"/>
    <xf numFmtId="0" fontId="25" fillId="0" borderId="5" applyNumberFormat="0" applyFill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6" fillId="7" borderId="1" applyNumberFormat="0" applyAlignment="0" applyProtection="0"/>
    <xf numFmtId="0" fontId="26" fillId="7" borderId="1" applyNumberFormat="0" applyAlignment="0" applyProtection="0"/>
    <xf numFmtId="0" fontId="27" fillId="0" borderId="6" applyNumberFormat="0" applyFill="0" applyAlignment="0" applyProtection="0"/>
    <xf numFmtId="0" fontId="27" fillId="0" borderId="6" applyNumberFormat="0" applyFill="0" applyAlignment="0" applyProtection="0"/>
    <xf numFmtId="0" fontId="28" fillId="22" borderId="0" applyNumberFormat="0" applyBorder="0" applyAlignment="0" applyProtection="0"/>
    <xf numFmtId="0" fontId="28" fillId="22" borderId="0" applyNumberFormat="0" applyBorder="0" applyAlignment="0" applyProtection="0"/>
    <xf numFmtId="0" fontId="11" fillId="0" borderId="0"/>
    <xf numFmtId="0" fontId="14" fillId="23" borderId="7" applyNumberFormat="0" applyFont="0" applyAlignment="0" applyProtection="0"/>
    <xf numFmtId="0" fontId="14" fillId="23" borderId="7" applyNumberFormat="0" applyFont="0" applyAlignment="0" applyProtection="0"/>
    <xf numFmtId="0" fontId="29" fillId="20" borderId="8" applyNumberFormat="0" applyAlignment="0" applyProtection="0"/>
    <xf numFmtId="0" fontId="29" fillId="20" borderId="8" applyNumberFormat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9" applyNumberFormat="0" applyFill="0" applyAlignment="0" applyProtection="0"/>
    <xf numFmtId="0" fontId="31" fillId="0" borderId="9" applyNumberFormat="0" applyFill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10" fillId="0" borderId="0"/>
    <xf numFmtId="44" fontId="10" fillId="0" borderId="0" applyFont="0" applyFill="0" applyBorder="0" applyAlignment="0" applyProtection="0"/>
    <xf numFmtId="0" fontId="10" fillId="0" borderId="0"/>
    <xf numFmtId="0" fontId="9" fillId="0" borderId="0"/>
    <xf numFmtId="44" fontId="9" fillId="0" borderId="0" applyFont="0" applyFill="0" applyBorder="0" applyAlignment="0" applyProtection="0"/>
    <xf numFmtId="0" fontId="8" fillId="0" borderId="0"/>
    <xf numFmtId="44" fontId="8" fillId="0" borderId="0" applyFont="0" applyFill="0" applyBorder="0" applyAlignment="0" applyProtection="0"/>
    <xf numFmtId="0" fontId="7" fillId="0" borderId="0"/>
    <xf numFmtId="44" fontId="7" fillId="0" borderId="0" applyFont="0" applyFill="0" applyBorder="0" applyAlignment="0" applyProtection="0"/>
    <xf numFmtId="0" fontId="6" fillId="0" borderId="0"/>
    <xf numFmtId="44" fontId="6" fillId="0" borderId="0" applyFont="0" applyFill="0" applyBorder="0" applyAlignment="0" applyProtection="0"/>
    <xf numFmtId="0" fontId="5" fillId="0" borderId="0"/>
    <xf numFmtId="44" fontId="5" fillId="0" borderId="0" applyFont="0" applyFill="0" applyBorder="0" applyAlignment="0" applyProtection="0"/>
    <xf numFmtId="0" fontId="4" fillId="0" borderId="0"/>
    <xf numFmtId="44" fontId="4" fillId="0" borderId="0" applyFont="0" applyFill="0" applyBorder="0" applyAlignment="0" applyProtection="0"/>
    <xf numFmtId="0" fontId="3" fillId="0" borderId="0"/>
    <xf numFmtId="44" fontId="3" fillId="0" borderId="0" applyFont="0" applyFill="0" applyBorder="0" applyAlignment="0" applyProtection="0"/>
    <xf numFmtId="0" fontId="2" fillId="0" borderId="0"/>
    <xf numFmtId="44" fontId="2" fillId="0" borderId="0" applyFont="0" applyFill="0" applyBorder="0" applyAlignment="0" applyProtection="0"/>
    <xf numFmtId="0" fontId="2" fillId="0" borderId="0"/>
    <xf numFmtId="0" fontId="2" fillId="0" borderId="0"/>
    <xf numFmtId="44" fontId="2" fillId="0" borderId="0" applyFont="0" applyFill="0" applyBorder="0" applyAlignment="0" applyProtection="0"/>
    <xf numFmtId="0" fontId="2" fillId="0" borderId="0"/>
    <xf numFmtId="0" fontId="2" fillId="0" borderId="0"/>
    <xf numFmtId="44" fontId="2" fillId="0" borderId="0" applyFont="0" applyFill="0" applyBorder="0" applyAlignment="0" applyProtection="0"/>
    <xf numFmtId="0" fontId="2" fillId="0" borderId="0"/>
    <xf numFmtId="44" fontId="2" fillId="0" borderId="0" applyFont="0" applyFill="0" applyBorder="0" applyAlignment="0" applyProtection="0"/>
    <xf numFmtId="0" fontId="2" fillId="0" borderId="0"/>
    <xf numFmtId="44" fontId="2" fillId="0" borderId="0" applyFont="0" applyFill="0" applyBorder="0" applyAlignment="0" applyProtection="0"/>
    <xf numFmtId="0" fontId="2" fillId="0" borderId="0"/>
    <xf numFmtId="44" fontId="2" fillId="0" borderId="0" applyFont="0" applyFill="0" applyBorder="0" applyAlignment="0" applyProtection="0"/>
    <xf numFmtId="0" fontId="2" fillId="0" borderId="0"/>
    <xf numFmtId="44" fontId="2" fillId="0" borderId="0" applyFont="0" applyFill="0" applyBorder="0" applyAlignment="0" applyProtection="0"/>
    <xf numFmtId="0" fontId="2" fillId="0" borderId="0"/>
    <xf numFmtId="44" fontId="2" fillId="0" borderId="0" applyFont="0" applyFill="0" applyBorder="0" applyAlignment="0" applyProtection="0"/>
    <xf numFmtId="0" fontId="2" fillId="0" borderId="0"/>
    <xf numFmtId="44" fontId="2" fillId="0" borderId="0" applyFont="0" applyFill="0" applyBorder="0" applyAlignment="0" applyProtection="0"/>
    <xf numFmtId="166" fontId="14" fillId="0" borderId="0"/>
    <xf numFmtId="44" fontId="14" fillId="0" borderId="0" applyFont="0" applyFill="0" applyBorder="0" applyAlignment="0" applyProtection="0"/>
    <xf numFmtId="0" fontId="14" fillId="0" borderId="0"/>
  </cellStyleXfs>
  <cellXfs count="87">
    <xf numFmtId="0" fontId="0" fillId="0" borderId="0" xfId="0"/>
    <xf numFmtId="166" fontId="15" fillId="24" borderId="10" xfId="172" applyFont="1" applyFill="1" applyBorder="1" applyAlignment="1">
      <alignment horizontal="center" vertical="center" wrapText="1"/>
    </xf>
    <xf numFmtId="164" fontId="15" fillId="24" borderId="10" xfId="172" applyNumberFormat="1" applyFont="1" applyFill="1" applyBorder="1" applyAlignment="1" applyProtection="1">
      <alignment horizontal="center" vertical="center" wrapText="1"/>
      <protection locked="0"/>
    </xf>
    <xf numFmtId="165" fontId="15" fillId="24" borderId="10" xfId="172" applyNumberFormat="1" applyFont="1" applyFill="1" applyBorder="1" applyAlignment="1">
      <alignment horizontal="center" vertical="center" wrapText="1"/>
    </xf>
    <xf numFmtId="1" fontId="15" fillId="24" borderId="10" xfId="172" applyNumberFormat="1" applyFont="1" applyFill="1" applyBorder="1" applyAlignment="1">
      <alignment horizontal="center" vertical="center" wrapText="1"/>
    </xf>
    <xf numFmtId="1" fontId="15" fillId="24" borderId="10" xfId="173" applyNumberFormat="1" applyFont="1" applyFill="1" applyBorder="1" applyAlignment="1">
      <alignment horizontal="center" vertical="center" wrapText="1"/>
    </xf>
    <xf numFmtId="44" fontId="15" fillId="24" borderId="10" xfId="40" applyFont="1" applyFill="1" applyBorder="1" applyAlignment="1">
      <alignment horizontal="center" vertical="center" wrapText="1"/>
    </xf>
    <xf numFmtId="0" fontId="36" fillId="0" borderId="10" xfId="0" applyFont="1" applyBorder="1" applyAlignment="1">
      <alignment horizontal="center" vertical="center"/>
    </xf>
    <xf numFmtId="0" fontId="1" fillId="0" borderId="10" xfId="0" applyFont="1" applyBorder="1"/>
    <xf numFmtId="0" fontId="15" fillId="0" borderId="10" xfId="0" applyFont="1" applyBorder="1" applyAlignment="1">
      <alignment horizontal="center" vertical="center" wrapText="1"/>
    </xf>
    <xf numFmtId="167" fontId="15" fillId="0" borderId="10" xfId="0" applyNumberFormat="1" applyFont="1" applyBorder="1" applyAlignment="1">
      <alignment horizontal="center" vertical="center" wrapText="1"/>
    </xf>
    <xf numFmtId="164" fontId="15" fillId="0" borderId="10" xfId="0" applyNumberFormat="1" applyFont="1" applyBorder="1" applyAlignment="1">
      <alignment horizontal="center" vertical="center" wrapText="1"/>
    </xf>
    <xf numFmtId="165" fontId="15" fillId="0" borderId="10" xfId="0" applyNumberFormat="1" applyFont="1" applyBorder="1" applyAlignment="1">
      <alignment horizontal="center" vertical="center" wrapText="1"/>
    </xf>
    <xf numFmtId="165" fontId="37" fillId="26" borderId="10" xfId="0" applyNumberFormat="1" applyFont="1" applyFill="1" applyBorder="1" applyAlignment="1">
      <alignment horizontal="center" vertical="center" wrapText="1"/>
    </xf>
    <xf numFmtId="1" fontId="15" fillId="0" borderId="10" xfId="0" applyNumberFormat="1" applyFont="1" applyBorder="1" applyAlignment="1">
      <alignment horizontal="center" vertical="center" wrapText="1"/>
    </xf>
    <xf numFmtId="44" fontId="15" fillId="0" borderId="10" xfId="40" applyFont="1" applyFill="1" applyBorder="1" applyAlignment="1">
      <alignment horizontal="center" vertical="center" wrapText="1"/>
    </xf>
    <xf numFmtId="44" fontId="15" fillId="0" borderId="10" xfId="40" applyFont="1" applyBorder="1" applyAlignment="1">
      <alignment horizontal="center" vertical="center" wrapText="1"/>
    </xf>
    <xf numFmtId="0" fontId="38" fillId="27" borderId="10" xfId="0" applyFont="1" applyFill="1" applyBorder="1"/>
    <xf numFmtId="49" fontId="15" fillId="28" borderId="10" xfId="172" applyNumberFormat="1" applyFont="1" applyFill="1" applyBorder="1" applyAlignment="1">
      <alignment horizontal="center" vertical="top" wrapText="1"/>
    </xf>
    <xf numFmtId="167" fontId="15" fillId="28" borderId="10" xfId="172" applyNumberFormat="1" applyFont="1" applyFill="1" applyBorder="1" applyAlignment="1">
      <alignment horizontal="center" vertical="top" wrapText="1"/>
    </xf>
    <xf numFmtId="165" fontId="15" fillId="28" borderId="10" xfId="172" applyNumberFormat="1" applyFont="1" applyFill="1" applyBorder="1" applyAlignment="1">
      <alignment horizontal="center" vertical="top" wrapText="1"/>
    </xf>
    <xf numFmtId="165" fontId="15" fillId="0" borderId="10" xfId="172" applyNumberFormat="1" applyFont="1" applyBorder="1" applyAlignment="1">
      <alignment horizontal="center" vertical="top" wrapText="1"/>
    </xf>
    <xf numFmtId="1" fontId="15" fillId="28" borderId="10" xfId="172" applyNumberFormat="1" applyFont="1" applyFill="1" applyBorder="1" applyAlignment="1">
      <alignment horizontal="center" vertical="top" wrapText="1"/>
    </xf>
    <xf numFmtId="44" fontId="15" fillId="28" borderId="10" xfId="40" applyFont="1" applyFill="1" applyBorder="1" applyAlignment="1">
      <alignment horizontal="center" vertical="top" wrapText="1"/>
    </xf>
    <xf numFmtId="166" fontId="15" fillId="28" borderId="10" xfId="172" applyFont="1" applyFill="1" applyBorder="1" applyAlignment="1">
      <alignment horizontal="center" vertical="top" wrapText="1"/>
    </xf>
    <xf numFmtId="1" fontId="15" fillId="28" borderId="10" xfId="173" applyNumberFormat="1" applyFont="1" applyFill="1" applyBorder="1" applyAlignment="1">
      <alignment horizontal="center" vertical="top" wrapText="1"/>
    </xf>
    <xf numFmtId="0" fontId="38" fillId="28" borderId="10" xfId="0" applyFont="1" applyFill="1" applyBorder="1"/>
    <xf numFmtId="0" fontId="15" fillId="28" borderId="10" xfId="0" applyFont="1" applyFill="1" applyBorder="1" applyAlignment="1">
      <alignment horizontal="center" vertical="center" wrapText="1"/>
    </xf>
    <xf numFmtId="165" fontId="15" fillId="29" borderId="10" xfId="172" applyNumberFormat="1" applyFont="1" applyFill="1" applyBorder="1" applyAlignment="1">
      <alignment horizontal="center" vertical="top" wrapText="1"/>
    </xf>
    <xf numFmtId="49" fontId="15" fillId="29" borderId="10" xfId="172" applyNumberFormat="1" applyFont="1" applyFill="1" applyBorder="1" applyAlignment="1">
      <alignment horizontal="center" vertical="top" wrapText="1"/>
    </xf>
    <xf numFmtId="0" fontId="38" fillId="30" borderId="10" xfId="0" applyFont="1" applyFill="1" applyBorder="1"/>
    <xf numFmtId="0" fontId="38" fillId="31" borderId="10" xfId="0" applyFont="1" applyFill="1" applyBorder="1"/>
    <xf numFmtId="0" fontId="0" fillId="28" borderId="10" xfId="0" applyFill="1" applyBorder="1"/>
    <xf numFmtId="0" fontId="38" fillId="32" borderId="10" xfId="0" applyFont="1" applyFill="1" applyBorder="1"/>
    <xf numFmtId="0" fontId="38" fillId="33" borderId="10" xfId="0" applyFont="1" applyFill="1" applyBorder="1"/>
    <xf numFmtId="0" fontId="0" fillId="0" borderId="10" xfId="0" applyBorder="1"/>
    <xf numFmtId="0" fontId="15" fillId="0" borderId="0" xfId="0" applyFont="1" applyAlignment="1">
      <alignment horizontal="center" vertical="center" wrapText="1"/>
    </xf>
    <xf numFmtId="167" fontId="15" fillId="0" borderId="0" xfId="0" applyNumberFormat="1" applyFont="1" applyAlignment="1">
      <alignment horizontal="center" vertical="center" wrapText="1"/>
    </xf>
    <xf numFmtId="164" fontId="15" fillId="0" borderId="0" xfId="0" applyNumberFormat="1" applyFont="1" applyAlignment="1">
      <alignment horizontal="center" vertical="center" wrapText="1"/>
    </xf>
    <xf numFmtId="165" fontId="15" fillId="0" borderId="0" xfId="0" applyNumberFormat="1" applyFont="1" applyAlignment="1">
      <alignment horizontal="center" vertical="center" wrapText="1"/>
    </xf>
    <xf numFmtId="165" fontId="37" fillId="26" borderId="0" xfId="0" applyNumberFormat="1" applyFont="1" applyFill="1" applyAlignment="1">
      <alignment horizontal="center" vertical="center" wrapText="1"/>
    </xf>
    <xf numFmtId="1" fontId="15" fillId="0" borderId="0" xfId="0" applyNumberFormat="1" applyFont="1" applyAlignment="1">
      <alignment horizontal="center" vertical="center" wrapText="1"/>
    </xf>
    <xf numFmtId="44" fontId="15" fillId="0" borderId="0" xfId="40" applyFont="1" applyBorder="1" applyAlignment="1">
      <alignment horizontal="center" vertical="center" wrapText="1"/>
    </xf>
    <xf numFmtId="0" fontId="0" fillId="27" borderId="10" xfId="0" applyFill="1" applyBorder="1"/>
    <xf numFmtId="0" fontId="0" fillId="34" borderId="10" xfId="0" applyFill="1" applyBorder="1"/>
    <xf numFmtId="0" fontId="0" fillId="33" borderId="10" xfId="0" applyFill="1" applyBorder="1"/>
    <xf numFmtId="0" fontId="38" fillId="34" borderId="10" xfId="0" applyFont="1" applyFill="1" applyBorder="1"/>
    <xf numFmtId="0" fontId="15" fillId="27" borderId="10" xfId="0" applyFont="1" applyFill="1" applyBorder="1" applyAlignment="1">
      <alignment horizontal="center" vertical="center" wrapText="1"/>
    </xf>
    <xf numFmtId="0" fontId="15" fillId="31" borderId="10" xfId="0" applyFont="1" applyFill="1" applyBorder="1" applyAlignment="1">
      <alignment horizontal="center" vertical="center" wrapText="1"/>
    </xf>
    <xf numFmtId="0" fontId="0" fillId="30" borderId="10" xfId="0" applyFill="1" applyBorder="1"/>
    <xf numFmtId="0" fontId="15" fillId="30" borderId="10" xfId="0" applyFont="1" applyFill="1" applyBorder="1" applyAlignment="1">
      <alignment horizontal="center" vertical="center" wrapText="1"/>
    </xf>
    <xf numFmtId="0" fontId="38" fillId="35" borderId="10" xfId="0" applyFont="1" applyFill="1" applyBorder="1"/>
    <xf numFmtId="0" fontId="15" fillId="34" borderId="10" xfId="0" applyFont="1" applyFill="1" applyBorder="1" applyAlignment="1">
      <alignment horizontal="center" vertical="center" wrapText="1"/>
    </xf>
    <xf numFmtId="0" fontId="15" fillId="0" borderId="10" xfId="174" applyFont="1" applyBorder="1" applyAlignment="1">
      <alignment horizontal="center" vertical="center" wrapText="1"/>
    </xf>
    <xf numFmtId="0" fontId="15" fillId="32" borderId="10" xfId="0" applyFont="1" applyFill="1" applyBorder="1" applyAlignment="1">
      <alignment horizontal="center" vertical="center" wrapText="1"/>
    </xf>
    <xf numFmtId="44" fontId="15" fillId="36" borderId="10" xfId="40" applyFont="1" applyFill="1" applyBorder="1" applyAlignment="1">
      <alignment horizontal="center" vertical="center" wrapText="1"/>
    </xf>
    <xf numFmtId="49" fontId="15" fillId="28" borderId="0" xfId="172" applyNumberFormat="1" applyFont="1" applyFill="1" applyBorder="1" applyAlignment="1">
      <alignment horizontal="center" vertical="top" wrapText="1"/>
    </xf>
    <xf numFmtId="0" fontId="15" fillId="0" borderId="0" xfId="0" applyFont="1" applyBorder="1" applyAlignment="1">
      <alignment horizontal="center" vertical="center" wrapText="1"/>
    </xf>
    <xf numFmtId="0" fontId="0" fillId="0" borderId="0" xfId="0" applyBorder="1"/>
    <xf numFmtId="167" fontId="15" fillId="28" borderId="0" xfId="172" applyNumberFormat="1" applyFont="1" applyFill="1" applyBorder="1" applyAlignment="1">
      <alignment horizontal="center" vertical="top" wrapText="1"/>
    </xf>
    <xf numFmtId="167" fontId="15" fillId="0" borderId="0" xfId="0" applyNumberFormat="1" applyFont="1" applyBorder="1" applyAlignment="1">
      <alignment horizontal="center" vertical="center" wrapText="1"/>
    </xf>
    <xf numFmtId="164" fontId="15" fillId="0" borderId="0" xfId="0" applyNumberFormat="1" applyFont="1" applyBorder="1" applyAlignment="1">
      <alignment horizontal="center" vertical="center" wrapText="1"/>
    </xf>
    <xf numFmtId="165" fontId="15" fillId="28" borderId="0" xfId="172" applyNumberFormat="1" applyFont="1" applyFill="1" applyBorder="1" applyAlignment="1">
      <alignment horizontal="center" vertical="top" wrapText="1"/>
    </xf>
    <xf numFmtId="165" fontId="15" fillId="0" borderId="0" xfId="0" applyNumberFormat="1" applyFont="1" applyBorder="1" applyAlignment="1">
      <alignment horizontal="center" vertical="center" wrapText="1"/>
    </xf>
    <xf numFmtId="165" fontId="15" fillId="29" borderId="0" xfId="172" applyNumberFormat="1" applyFont="1" applyFill="1" applyBorder="1" applyAlignment="1">
      <alignment horizontal="center" vertical="top" wrapText="1"/>
    </xf>
    <xf numFmtId="49" fontId="15" fillId="29" borderId="0" xfId="172" applyNumberFormat="1" applyFont="1" applyFill="1" applyBorder="1" applyAlignment="1">
      <alignment horizontal="center" vertical="top" wrapText="1"/>
    </xf>
    <xf numFmtId="165" fontId="15" fillId="0" borderId="0" xfId="172" applyNumberFormat="1" applyFont="1" applyBorder="1" applyAlignment="1">
      <alignment horizontal="center" vertical="top" wrapText="1"/>
    </xf>
    <xf numFmtId="165" fontId="37" fillId="26" borderId="0" xfId="0" applyNumberFormat="1" applyFont="1" applyFill="1" applyBorder="1" applyAlignment="1">
      <alignment horizontal="center" vertical="center" wrapText="1"/>
    </xf>
    <xf numFmtId="1" fontId="15" fillId="28" borderId="0" xfId="172" applyNumberFormat="1" applyFont="1" applyFill="1" applyBorder="1" applyAlignment="1">
      <alignment horizontal="center" vertical="top" wrapText="1"/>
    </xf>
    <xf numFmtId="1" fontId="15" fillId="0" borderId="0" xfId="0" applyNumberFormat="1" applyFont="1" applyBorder="1" applyAlignment="1">
      <alignment horizontal="center" vertical="center" wrapText="1"/>
    </xf>
    <xf numFmtId="44" fontId="15" fillId="28" borderId="0" xfId="40" applyFont="1" applyFill="1" applyBorder="1" applyAlignment="1">
      <alignment horizontal="center" vertical="top" wrapText="1"/>
    </xf>
    <xf numFmtId="44" fontId="15" fillId="0" borderId="0" xfId="40" applyFont="1" applyFill="1" applyBorder="1" applyAlignment="1">
      <alignment horizontal="center" vertical="center" wrapText="1"/>
    </xf>
    <xf numFmtId="44" fontId="15" fillId="36" borderId="0" xfId="40" applyFont="1" applyFill="1" applyBorder="1" applyAlignment="1">
      <alignment horizontal="center" vertical="center" wrapText="1"/>
    </xf>
    <xf numFmtId="166" fontId="15" fillId="28" borderId="0" xfId="172" applyFont="1" applyFill="1" applyBorder="1" applyAlignment="1">
      <alignment horizontal="center" vertical="top" wrapText="1"/>
    </xf>
    <xf numFmtId="1" fontId="15" fillId="28" borderId="0" xfId="173" applyNumberFormat="1" applyFont="1" applyFill="1" applyBorder="1" applyAlignment="1">
      <alignment horizontal="center" vertical="top" wrapText="1"/>
    </xf>
    <xf numFmtId="0" fontId="36" fillId="0" borderId="0" xfId="0" applyFont="1" applyBorder="1" applyAlignment="1">
      <alignment horizontal="center" vertical="center"/>
    </xf>
    <xf numFmtId="0" fontId="38" fillId="28" borderId="0" xfId="0" applyFont="1" applyFill="1" applyBorder="1"/>
    <xf numFmtId="0" fontId="38" fillId="27" borderId="0" xfId="0" applyFont="1" applyFill="1" applyBorder="1"/>
    <xf numFmtId="0" fontId="0" fillId="34" borderId="0" xfId="0" applyFill="1" applyBorder="1"/>
    <xf numFmtId="0" fontId="38" fillId="32" borderId="0" xfId="0" applyFont="1" applyFill="1" applyBorder="1"/>
    <xf numFmtId="0" fontId="38" fillId="31" borderId="0" xfId="0" applyFont="1" applyFill="1" applyBorder="1"/>
    <xf numFmtId="0" fontId="38" fillId="33" borderId="0" xfId="0" applyFont="1" applyFill="1" applyBorder="1"/>
    <xf numFmtId="0" fontId="38" fillId="35" borderId="0" xfId="0" applyFont="1" applyFill="1" applyBorder="1"/>
    <xf numFmtId="0" fontId="0" fillId="27" borderId="0" xfId="0" applyFill="1" applyBorder="1"/>
    <xf numFmtId="0" fontId="0" fillId="28" borderId="0" xfId="0" applyFill="1" applyBorder="1"/>
    <xf numFmtId="0" fontId="15" fillId="28" borderId="0" xfId="0" applyFont="1" applyFill="1" applyBorder="1" applyAlignment="1">
      <alignment horizontal="center" vertical="center" wrapText="1"/>
    </xf>
    <xf numFmtId="0" fontId="38" fillId="30" borderId="0" xfId="0" applyFont="1" applyFill="1" applyBorder="1"/>
  </cellXfs>
  <cellStyles count="175">
    <cellStyle name="20% - Accent1" xfId="1" builtinId="30" customBuiltin="1"/>
    <cellStyle name="20% - Accent1 2" xfId="2" xr:uid="{00000000-0005-0000-0000-000001000000}"/>
    <cellStyle name="20% - Accent1 3" xfId="61" xr:uid="{00000000-0005-0000-0000-000002000000}"/>
    <cellStyle name="20% - Accent2" xfId="3" builtinId="34" customBuiltin="1"/>
    <cellStyle name="20% - Accent2 2" xfId="4" xr:uid="{00000000-0005-0000-0000-000004000000}"/>
    <cellStyle name="20% - Accent2 3" xfId="62" xr:uid="{00000000-0005-0000-0000-000005000000}"/>
    <cellStyle name="20% - Accent3" xfId="5" builtinId="38" customBuiltin="1"/>
    <cellStyle name="20% - Accent3 2" xfId="6" xr:uid="{00000000-0005-0000-0000-000007000000}"/>
    <cellStyle name="20% - Accent3 3" xfId="63" xr:uid="{00000000-0005-0000-0000-000008000000}"/>
    <cellStyle name="20% - Accent4" xfId="7" builtinId="42" customBuiltin="1"/>
    <cellStyle name="20% - Accent4 2" xfId="8" xr:uid="{00000000-0005-0000-0000-00000A000000}"/>
    <cellStyle name="20% - Accent4 3" xfId="64" xr:uid="{00000000-0005-0000-0000-00000B000000}"/>
    <cellStyle name="20% - Accent5" xfId="9" builtinId="46" customBuiltin="1"/>
    <cellStyle name="20% - Accent5 2" xfId="10" xr:uid="{00000000-0005-0000-0000-00000D000000}"/>
    <cellStyle name="20% - Accent5 3" xfId="65" xr:uid="{00000000-0005-0000-0000-00000E000000}"/>
    <cellStyle name="20% - Accent6" xfId="11" builtinId="50" customBuiltin="1"/>
    <cellStyle name="20% - Accent6 2" xfId="12" xr:uid="{00000000-0005-0000-0000-000010000000}"/>
    <cellStyle name="20% - Accent6 3" xfId="66" xr:uid="{00000000-0005-0000-0000-000011000000}"/>
    <cellStyle name="40% - Accent1" xfId="13" builtinId="31" customBuiltin="1"/>
    <cellStyle name="40% - Accent1 2" xfId="14" xr:uid="{00000000-0005-0000-0000-000013000000}"/>
    <cellStyle name="40% - Accent1 3" xfId="67" xr:uid="{00000000-0005-0000-0000-000014000000}"/>
    <cellStyle name="40% - Accent2" xfId="15" builtinId="35" customBuiltin="1"/>
    <cellStyle name="40% - Accent2 2" xfId="16" xr:uid="{00000000-0005-0000-0000-000016000000}"/>
    <cellStyle name="40% - Accent2 3" xfId="68" xr:uid="{00000000-0005-0000-0000-000017000000}"/>
    <cellStyle name="40% - Accent3" xfId="17" builtinId="39" customBuiltin="1"/>
    <cellStyle name="40% - Accent3 2" xfId="18" xr:uid="{00000000-0005-0000-0000-000019000000}"/>
    <cellStyle name="40% - Accent3 3" xfId="69" xr:uid="{00000000-0005-0000-0000-00001A000000}"/>
    <cellStyle name="40% - Accent4" xfId="19" builtinId="43" customBuiltin="1"/>
    <cellStyle name="40% - Accent4 2" xfId="20" xr:uid="{00000000-0005-0000-0000-00001C000000}"/>
    <cellStyle name="40% - Accent4 3" xfId="70" xr:uid="{00000000-0005-0000-0000-00001D000000}"/>
    <cellStyle name="40% - Accent5" xfId="21" builtinId="47" customBuiltin="1"/>
    <cellStyle name="40% - Accent5 2" xfId="22" xr:uid="{00000000-0005-0000-0000-00001F000000}"/>
    <cellStyle name="40% - Accent5 3" xfId="71" xr:uid="{00000000-0005-0000-0000-000020000000}"/>
    <cellStyle name="40% - Accent6" xfId="23" builtinId="51" customBuiltin="1"/>
    <cellStyle name="40% - Accent6 2" xfId="24" xr:uid="{00000000-0005-0000-0000-000022000000}"/>
    <cellStyle name="40% - Accent6 3" xfId="72" xr:uid="{00000000-0005-0000-0000-000023000000}"/>
    <cellStyle name="60% - Accent1" xfId="25" builtinId="32" customBuiltin="1"/>
    <cellStyle name="60% - Accent1 2" xfId="73" xr:uid="{00000000-0005-0000-0000-000025000000}"/>
    <cellStyle name="60% - Accent1 3" xfId="74" xr:uid="{00000000-0005-0000-0000-000026000000}"/>
    <cellStyle name="60% - Accent2" xfId="26" builtinId="36" customBuiltin="1"/>
    <cellStyle name="60% - Accent2 2" xfId="75" xr:uid="{00000000-0005-0000-0000-000028000000}"/>
    <cellStyle name="60% - Accent2 3" xfId="76" xr:uid="{00000000-0005-0000-0000-000029000000}"/>
    <cellStyle name="60% - Accent3" xfId="27" builtinId="40" customBuiltin="1"/>
    <cellStyle name="60% - Accent3 2" xfId="77" xr:uid="{00000000-0005-0000-0000-00002B000000}"/>
    <cellStyle name="60% - Accent3 3" xfId="78" xr:uid="{00000000-0005-0000-0000-00002C000000}"/>
    <cellStyle name="60% - Accent4" xfId="28" builtinId="44" customBuiltin="1"/>
    <cellStyle name="60% - Accent4 2" xfId="79" xr:uid="{00000000-0005-0000-0000-00002E000000}"/>
    <cellStyle name="60% - Accent4 3" xfId="80" xr:uid="{00000000-0005-0000-0000-00002F000000}"/>
    <cellStyle name="60% - Accent5" xfId="29" builtinId="48" customBuiltin="1"/>
    <cellStyle name="60% - Accent5 2" xfId="81" xr:uid="{00000000-0005-0000-0000-000031000000}"/>
    <cellStyle name="60% - Accent5 3" xfId="82" xr:uid="{00000000-0005-0000-0000-000032000000}"/>
    <cellStyle name="60% - Accent6" xfId="30" builtinId="52" customBuiltin="1"/>
    <cellStyle name="60% - Accent6 2" xfId="83" xr:uid="{00000000-0005-0000-0000-000034000000}"/>
    <cellStyle name="60% - Accent6 3" xfId="84" xr:uid="{00000000-0005-0000-0000-000035000000}"/>
    <cellStyle name="Accent1" xfId="31" builtinId="29" customBuiltin="1"/>
    <cellStyle name="Accent1 2" xfId="85" xr:uid="{00000000-0005-0000-0000-000037000000}"/>
    <cellStyle name="Accent1 3" xfId="86" xr:uid="{00000000-0005-0000-0000-000038000000}"/>
    <cellStyle name="Accent2" xfId="32" builtinId="33" customBuiltin="1"/>
    <cellStyle name="Accent2 2" xfId="87" xr:uid="{00000000-0005-0000-0000-00003A000000}"/>
    <cellStyle name="Accent2 3" xfId="88" xr:uid="{00000000-0005-0000-0000-00003B000000}"/>
    <cellStyle name="Accent3" xfId="33" builtinId="37" customBuiltin="1"/>
    <cellStyle name="Accent3 2" xfId="89" xr:uid="{00000000-0005-0000-0000-00003D000000}"/>
    <cellStyle name="Accent3 3" xfId="90" xr:uid="{00000000-0005-0000-0000-00003E000000}"/>
    <cellStyle name="Accent4" xfId="34" builtinId="41" customBuiltin="1"/>
    <cellStyle name="Accent4 2" xfId="91" xr:uid="{00000000-0005-0000-0000-000040000000}"/>
    <cellStyle name="Accent4 3" xfId="92" xr:uid="{00000000-0005-0000-0000-000041000000}"/>
    <cellStyle name="Accent5" xfId="35" builtinId="45" customBuiltin="1"/>
    <cellStyle name="Accent5 2" xfId="60" xr:uid="{00000000-0005-0000-0000-000043000000}"/>
    <cellStyle name="Accent5 2 2" xfId="93" xr:uid="{00000000-0005-0000-0000-000044000000}"/>
    <cellStyle name="Accent5 3" xfId="94" xr:uid="{00000000-0005-0000-0000-000045000000}"/>
    <cellStyle name="Accent6" xfId="36" builtinId="49" customBuiltin="1"/>
    <cellStyle name="Accent6 2" xfId="95" xr:uid="{00000000-0005-0000-0000-000047000000}"/>
    <cellStyle name="Accent6 3" xfId="96" xr:uid="{00000000-0005-0000-0000-000048000000}"/>
    <cellStyle name="Bad" xfId="37" builtinId="27" customBuiltin="1"/>
    <cellStyle name="Bad 2" xfId="97" xr:uid="{00000000-0005-0000-0000-00004A000000}"/>
    <cellStyle name="Bad 3" xfId="98" xr:uid="{00000000-0005-0000-0000-00004B000000}"/>
    <cellStyle name="Calculation" xfId="38" builtinId="22" customBuiltin="1"/>
    <cellStyle name="Calculation 2" xfId="99" xr:uid="{00000000-0005-0000-0000-00004D000000}"/>
    <cellStyle name="Calculation 3" xfId="100" xr:uid="{00000000-0005-0000-0000-00004E000000}"/>
    <cellStyle name="Check Cell" xfId="39" builtinId="23" customBuiltin="1"/>
    <cellStyle name="Check Cell 2" xfId="101" xr:uid="{00000000-0005-0000-0000-000050000000}"/>
    <cellStyle name="Check Cell 3" xfId="102" xr:uid="{00000000-0005-0000-0000-000051000000}"/>
    <cellStyle name="Currency" xfId="40" builtinId="4"/>
    <cellStyle name="Currency 10" xfId="149" xr:uid="{00000000-0005-0000-0000-000053000000}"/>
    <cellStyle name="Currency 10 2" xfId="169" xr:uid="{00000000-0005-0000-0000-000054000000}"/>
    <cellStyle name="Currency 11" xfId="151" xr:uid="{00000000-0005-0000-0000-000055000000}"/>
    <cellStyle name="Currency 11 2" xfId="171" xr:uid="{00000000-0005-0000-0000-000056000000}"/>
    <cellStyle name="Currency 12" xfId="173" xr:uid="{00000000-0005-0000-0000-000057000000}"/>
    <cellStyle name="Currency 2" xfId="41" xr:uid="{00000000-0005-0000-0000-000058000000}"/>
    <cellStyle name="Currency 2 2" xfId="42" xr:uid="{00000000-0005-0000-0000-000059000000}"/>
    <cellStyle name="Currency 3" xfId="59" xr:uid="{00000000-0005-0000-0000-00005A000000}"/>
    <cellStyle name="Currency 3 2" xfId="103" xr:uid="{00000000-0005-0000-0000-00005B000000}"/>
    <cellStyle name="Currency 3 3" xfId="136" xr:uid="{00000000-0005-0000-0000-00005C000000}"/>
    <cellStyle name="Currency 3 3 2" xfId="156" xr:uid="{00000000-0005-0000-0000-00005D000000}"/>
    <cellStyle name="Currency 3 4" xfId="153" xr:uid="{00000000-0005-0000-0000-00005E000000}"/>
    <cellStyle name="Currency 4" xfId="104" xr:uid="{00000000-0005-0000-0000-00005F000000}"/>
    <cellStyle name="Currency 5" xfId="139" xr:uid="{00000000-0005-0000-0000-000060000000}"/>
    <cellStyle name="Currency 5 2" xfId="159" xr:uid="{00000000-0005-0000-0000-000061000000}"/>
    <cellStyle name="Currency 6" xfId="141" xr:uid="{00000000-0005-0000-0000-000062000000}"/>
    <cellStyle name="Currency 6 2" xfId="161" xr:uid="{00000000-0005-0000-0000-000063000000}"/>
    <cellStyle name="Currency 7" xfId="143" xr:uid="{00000000-0005-0000-0000-000064000000}"/>
    <cellStyle name="Currency 7 2" xfId="163" xr:uid="{00000000-0005-0000-0000-000065000000}"/>
    <cellStyle name="Currency 8" xfId="145" xr:uid="{00000000-0005-0000-0000-000066000000}"/>
    <cellStyle name="Currency 8 2" xfId="165" xr:uid="{00000000-0005-0000-0000-000067000000}"/>
    <cellStyle name="Currency 9" xfId="147" xr:uid="{00000000-0005-0000-0000-000068000000}"/>
    <cellStyle name="Currency 9 2" xfId="167" xr:uid="{00000000-0005-0000-0000-000069000000}"/>
    <cellStyle name="Explanatory Text" xfId="43" builtinId="53" customBuiltin="1"/>
    <cellStyle name="Explanatory Text 2" xfId="105" xr:uid="{00000000-0005-0000-0000-00006B000000}"/>
    <cellStyle name="Explanatory Text 3" xfId="106" xr:uid="{00000000-0005-0000-0000-00006C000000}"/>
    <cellStyle name="Good" xfId="44" builtinId="26" customBuiltin="1"/>
    <cellStyle name="Good 2" xfId="107" xr:uid="{00000000-0005-0000-0000-00006E000000}"/>
    <cellStyle name="Good 3" xfId="108" xr:uid="{00000000-0005-0000-0000-00006F000000}"/>
    <cellStyle name="Heading 1" xfId="45" builtinId="16" customBuiltin="1"/>
    <cellStyle name="Heading 1 2" xfId="109" xr:uid="{00000000-0005-0000-0000-000071000000}"/>
    <cellStyle name="Heading 1 3" xfId="110" xr:uid="{00000000-0005-0000-0000-000072000000}"/>
    <cellStyle name="Heading 2" xfId="46" builtinId="17" customBuiltin="1"/>
    <cellStyle name="Heading 2 2" xfId="111" xr:uid="{00000000-0005-0000-0000-000074000000}"/>
    <cellStyle name="Heading 2 3" xfId="112" xr:uid="{00000000-0005-0000-0000-000075000000}"/>
    <cellStyle name="Heading 3" xfId="47" builtinId="18" customBuiltin="1"/>
    <cellStyle name="Heading 3 2" xfId="113" xr:uid="{00000000-0005-0000-0000-000077000000}"/>
    <cellStyle name="Heading 3 3" xfId="114" xr:uid="{00000000-0005-0000-0000-000078000000}"/>
    <cellStyle name="Heading 4" xfId="48" builtinId="19" customBuiltin="1"/>
    <cellStyle name="Heading 4 2" xfId="115" xr:uid="{00000000-0005-0000-0000-00007A000000}"/>
    <cellStyle name="Heading 4 3" xfId="116" xr:uid="{00000000-0005-0000-0000-00007B000000}"/>
    <cellStyle name="Hyperlink 2" xfId="117" xr:uid="{00000000-0005-0000-0000-00007C000000}"/>
    <cellStyle name="Input" xfId="49" builtinId="20" customBuiltin="1"/>
    <cellStyle name="Input 2" xfId="118" xr:uid="{00000000-0005-0000-0000-00007E000000}"/>
    <cellStyle name="Input 3" xfId="119" xr:uid="{00000000-0005-0000-0000-00007F000000}"/>
    <cellStyle name="Linked Cell" xfId="50" builtinId="24" customBuiltin="1"/>
    <cellStyle name="Linked Cell 2" xfId="120" xr:uid="{00000000-0005-0000-0000-000081000000}"/>
    <cellStyle name="Linked Cell 3" xfId="121" xr:uid="{00000000-0005-0000-0000-000082000000}"/>
    <cellStyle name="Neutral" xfId="51" builtinId="28" customBuiltin="1"/>
    <cellStyle name="Neutral 2" xfId="122" xr:uid="{00000000-0005-0000-0000-000084000000}"/>
    <cellStyle name="Neutral 3" xfId="123" xr:uid="{00000000-0005-0000-0000-000085000000}"/>
    <cellStyle name="Normal" xfId="0" builtinId="0"/>
    <cellStyle name="Normal 10" xfId="150" xr:uid="{00000000-0005-0000-0000-000087000000}"/>
    <cellStyle name="Normal 10 2" xfId="170" xr:uid="{00000000-0005-0000-0000-000088000000}"/>
    <cellStyle name="Normal 19" xfId="172" xr:uid="{00000000-0005-0000-0000-000089000000}"/>
    <cellStyle name="Normal 2" xfId="52" xr:uid="{00000000-0005-0000-0000-00008A000000}"/>
    <cellStyle name="Normal 2 3" xfId="174" xr:uid="{2FC825B0-8F82-4F70-96D6-7012264F000A}"/>
    <cellStyle name="Normal 3" xfId="58" xr:uid="{00000000-0005-0000-0000-00008B000000}"/>
    <cellStyle name="Normal 3 2" xfId="124" xr:uid="{00000000-0005-0000-0000-00008C000000}"/>
    <cellStyle name="Normal 3 2 2" xfId="137" xr:uid="{00000000-0005-0000-0000-00008D000000}"/>
    <cellStyle name="Normal 3 2 2 2" xfId="157" xr:uid="{00000000-0005-0000-0000-00008E000000}"/>
    <cellStyle name="Normal 3 2 3" xfId="154" xr:uid="{00000000-0005-0000-0000-00008F000000}"/>
    <cellStyle name="Normal 3 3" xfId="135" xr:uid="{00000000-0005-0000-0000-000090000000}"/>
    <cellStyle name="Normal 3 3 2" xfId="155" xr:uid="{00000000-0005-0000-0000-000091000000}"/>
    <cellStyle name="Normal 3 4" xfId="152" xr:uid="{00000000-0005-0000-0000-000092000000}"/>
    <cellStyle name="Normal 4" xfId="138" xr:uid="{00000000-0005-0000-0000-000093000000}"/>
    <cellStyle name="Normal 4 2" xfId="158" xr:uid="{00000000-0005-0000-0000-000094000000}"/>
    <cellStyle name="Normal 5" xfId="140" xr:uid="{00000000-0005-0000-0000-000095000000}"/>
    <cellStyle name="Normal 5 2" xfId="160" xr:uid="{00000000-0005-0000-0000-000096000000}"/>
    <cellStyle name="Normal 6" xfId="142" xr:uid="{00000000-0005-0000-0000-000097000000}"/>
    <cellStyle name="Normal 6 2" xfId="162" xr:uid="{00000000-0005-0000-0000-000098000000}"/>
    <cellStyle name="Normal 7" xfId="144" xr:uid="{00000000-0005-0000-0000-000099000000}"/>
    <cellStyle name="Normal 7 2" xfId="164" xr:uid="{00000000-0005-0000-0000-00009A000000}"/>
    <cellStyle name="Normal 8" xfId="146" xr:uid="{00000000-0005-0000-0000-00009B000000}"/>
    <cellStyle name="Normal 8 2" xfId="166" xr:uid="{00000000-0005-0000-0000-00009C000000}"/>
    <cellStyle name="Normal 9" xfId="148" xr:uid="{00000000-0005-0000-0000-00009D000000}"/>
    <cellStyle name="Normal 9 2" xfId="168" xr:uid="{00000000-0005-0000-0000-00009E000000}"/>
    <cellStyle name="Note" xfId="53" builtinId="10" customBuiltin="1"/>
    <cellStyle name="Note 2" xfId="125" xr:uid="{00000000-0005-0000-0000-0000A1000000}"/>
    <cellStyle name="Note 3" xfId="126" xr:uid="{00000000-0005-0000-0000-0000A2000000}"/>
    <cellStyle name="Output" xfId="54" builtinId="21" customBuiltin="1"/>
    <cellStyle name="Output 2" xfId="127" xr:uid="{00000000-0005-0000-0000-0000A4000000}"/>
    <cellStyle name="Output 3" xfId="128" xr:uid="{00000000-0005-0000-0000-0000A5000000}"/>
    <cellStyle name="Title" xfId="55" builtinId="15" customBuiltin="1"/>
    <cellStyle name="Title 2" xfId="129" xr:uid="{00000000-0005-0000-0000-0000A7000000}"/>
    <cellStyle name="Title 3" xfId="130" xr:uid="{00000000-0005-0000-0000-0000A8000000}"/>
    <cellStyle name="Total" xfId="56" builtinId="25" customBuiltin="1"/>
    <cellStyle name="Total 2" xfId="131" xr:uid="{00000000-0005-0000-0000-0000AA000000}"/>
    <cellStyle name="Total 3" xfId="132" xr:uid="{00000000-0005-0000-0000-0000AB000000}"/>
    <cellStyle name="Warning Text" xfId="57" builtinId="11" customBuiltin="1"/>
    <cellStyle name="Warning Text 2" xfId="133" xr:uid="{00000000-0005-0000-0000-0000AD000000}"/>
    <cellStyle name="Warning Text 3" xfId="134" xr:uid="{00000000-0005-0000-0000-0000AE000000}"/>
  </cellStyles>
  <dxfs count="39"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ill>
        <patternFill patternType="solid">
          <fgColor rgb="FFFFFF00"/>
          <bgColor indexed="6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ill>
        <patternFill patternType="solid">
          <fgColor rgb="FFFFFF00"/>
          <bgColor indexed="65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ill>
        <patternFill patternType="solid">
          <fgColor rgb="FFFFFF00"/>
          <bgColor indexed="65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ill>
        <patternFill patternType="solid">
          <fgColor rgb="FFFFFF00"/>
          <bgColor indexed="6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ill>
        <patternFill patternType="solid">
          <fgColor rgb="FFFFFF00"/>
          <bgColor indexed="6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ill>
        <patternFill patternType="solid">
          <fgColor rgb="FFFFFF00"/>
          <bgColor indexed="6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ill>
        <patternFill patternType="solid">
          <fgColor rgb="FFFFFF00"/>
          <bgColor indexed="65"/>
        </patternFill>
      </fill>
    </dxf>
  </dxfs>
  <tableStyles count="0" defaultTableStyle="TableStyleMedium9" defaultPivotStyle="PivotStyleLight16"/>
  <colors>
    <mruColors>
      <color rgb="FFFF66FF"/>
      <color rgb="FFFF99FF"/>
      <color rgb="FFFFCCFF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D31FB7-EB57-401E-A975-DE5F2FCCCE65}">
  <dimension ref="A1:AW2476"/>
  <sheetViews>
    <sheetView tabSelected="1" zoomScale="55" zoomScaleNormal="55" workbookViewId="0">
      <selection activeCell="H13" sqref="H13"/>
    </sheetView>
  </sheetViews>
  <sheetFormatPr defaultColWidth="0" defaultRowHeight="12.75" x14ac:dyDescent="0.2"/>
  <cols>
    <col min="1" max="1" width="50.5703125" bestFit="1" customWidth="1"/>
    <col min="2" max="2" width="12" bestFit="1" customWidth="1"/>
    <col min="3" max="3" width="11.5703125" bestFit="1" customWidth="1"/>
    <col min="4" max="4" width="17" bestFit="1" customWidth="1"/>
    <col min="5" max="5" width="13.140625" bestFit="1" customWidth="1"/>
    <col min="6" max="6" width="13.85546875" bestFit="1" customWidth="1"/>
    <col min="7" max="7" width="11.5703125" bestFit="1" customWidth="1"/>
    <col min="8" max="8" width="75.140625" bestFit="1" customWidth="1"/>
    <col min="9" max="9" width="42" bestFit="1" customWidth="1"/>
    <col min="10" max="10" width="13.140625" bestFit="1" customWidth="1"/>
    <col min="11" max="11" width="27.140625" bestFit="1" customWidth="1"/>
    <col min="12" max="12" width="6.5703125" bestFit="1" customWidth="1"/>
    <col min="13" max="13" width="10" bestFit="1" customWidth="1"/>
    <col min="14" max="14" width="9" bestFit="1" customWidth="1"/>
    <col min="15" max="15" width="8.7109375" bestFit="1" customWidth="1"/>
    <col min="16" max="16" width="13.7109375" bestFit="1" customWidth="1"/>
    <col min="17" max="17" width="17.85546875" bestFit="1" customWidth="1"/>
    <col min="18" max="18" width="17.5703125" bestFit="1" customWidth="1"/>
    <col min="19" max="19" width="11.28515625" bestFit="1" customWidth="1"/>
    <col min="20" max="20" width="12.5703125" bestFit="1" customWidth="1"/>
    <col min="21" max="21" width="8" bestFit="1" customWidth="1"/>
    <col min="22" max="22" width="13.7109375" bestFit="1" customWidth="1"/>
    <col min="23" max="23" width="13.140625" bestFit="1" customWidth="1"/>
    <col min="24" max="24" width="20.42578125" bestFit="1" customWidth="1"/>
    <col min="25" max="25" width="10.5703125" bestFit="1" customWidth="1"/>
    <col min="26" max="26" width="11.85546875" bestFit="1" customWidth="1"/>
    <col min="27" max="27" width="8.7109375" bestFit="1" customWidth="1"/>
    <col min="28" max="28" width="8.42578125" bestFit="1" customWidth="1"/>
    <col min="29" max="29" width="7.42578125" bestFit="1" customWidth="1"/>
    <col min="30" max="30" width="6.42578125" bestFit="1" customWidth="1"/>
  </cols>
  <sheetData>
    <row r="1" spans="1:49" s="8" customFormat="1" ht="31.5" x14ac:dyDescent="0.25">
      <c r="A1" s="1" t="s">
        <v>10</v>
      </c>
      <c r="B1" s="2" t="s">
        <v>0</v>
      </c>
      <c r="C1" s="2" t="s">
        <v>1</v>
      </c>
      <c r="D1" s="1" t="s">
        <v>2</v>
      </c>
      <c r="E1" s="3" t="s">
        <v>3</v>
      </c>
      <c r="F1" s="3" t="s">
        <v>4</v>
      </c>
      <c r="G1" s="3" t="s">
        <v>5</v>
      </c>
      <c r="H1" s="1" t="s">
        <v>27</v>
      </c>
      <c r="I1" s="3" t="s">
        <v>11</v>
      </c>
      <c r="J1" s="1" t="s">
        <v>6</v>
      </c>
      <c r="K1" s="1" t="s">
        <v>26</v>
      </c>
      <c r="L1" s="4" t="s">
        <v>12</v>
      </c>
      <c r="M1" s="4" t="s">
        <v>13</v>
      </c>
      <c r="N1" s="1" t="s">
        <v>7</v>
      </c>
      <c r="O1" s="4" t="s">
        <v>14</v>
      </c>
      <c r="P1" s="6" t="s">
        <v>15</v>
      </c>
      <c r="Q1" s="1" t="s">
        <v>16</v>
      </c>
      <c r="R1" s="6" t="s">
        <v>8</v>
      </c>
      <c r="S1" s="1" t="s">
        <v>17</v>
      </c>
      <c r="T1" s="6" t="s">
        <v>18</v>
      </c>
      <c r="U1" s="5" t="s">
        <v>28</v>
      </c>
      <c r="V1" s="6" t="s">
        <v>19</v>
      </c>
      <c r="W1" s="1" t="s">
        <v>20</v>
      </c>
      <c r="X1" s="1" t="s">
        <v>21</v>
      </c>
      <c r="Y1" s="1" t="s">
        <v>22</v>
      </c>
      <c r="Z1" s="1" t="s">
        <v>9</v>
      </c>
      <c r="AA1" s="1" t="s">
        <v>23</v>
      </c>
      <c r="AB1" s="1" t="s">
        <v>24</v>
      </c>
      <c r="AC1" s="1" t="s">
        <v>25</v>
      </c>
      <c r="AD1" s="7" t="s">
        <v>266</v>
      </c>
    </row>
    <row r="2" spans="1:49" s="17" customFormat="1" ht="31.5" x14ac:dyDescent="0.25">
      <c r="A2" s="9" t="s">
        <v>231</v>
      </c>
      <c r="B2" s="10">
        <v>46053</v>
      </c>
      <c r="C2" s="10">
        <v>46053</v>
      </c>
      <c r="D2" s="11" t="s">
        <v>224</v>
      </c>
      <c r="E2" s="12">
        <v>0.54166666666666663</v>
      </c>
      <c r="F2" s="12">
        <v>0.58333333333333337</v>
      </c>
      <c r="G2" s="12">
        <v>4.1666666666666664E-2</v>
      </c>
      <c r="H2" s="53" t="s">
        <v>231</v>
      </c>
      <c r="I2" s="13"/>
      <c r="J2" s="9" t="s">
        <v>105</v>
      </c>
      <c r="K2" s="9" t="s">
        <v>232</v>
      </c>
      <c r="L2" s="14">
        <v>1</v>
      </c>
      <c r="M2" s="14">
        <v>1</v>
      </c>
      <c r="N2" s="9" t="s">
        <v>33</v>
      </c>
      <c r="O2" s="9"/>
      <c r="P2" s="16">
        <v>0</v>
      </c>
      <c r="Q2" s="14"/>
      <c r="R2" s="16">
        <v>0</v>
      </c>
      <c r="S2" s="9">
        <v>46054</v>
      </c>
      <c r="T2" s="16">
        <v>0</v>
      </c>
      <c r="U2" s="14">
        <v>1</v>
      </c>
      <c r="V2" s="16">
        <v>0</v>
      </c>
      <c r="W2" s="9" t="s">
        <v>34</v>
      </c>
      <c r="X2" s="9" t="s">
        <v>35</v>
      </c>
      <c r="Y2" s="9" t="s">
        <v>36</v>
      </c>
      <c r="Z2" s="9" t="s">
        <v>174</v>
      </c>
      <c r="AA2" s="9" t="s">
        <v>37</v>
      </c>
      <c r="AB2" s="9" t="s">
        <v>37</v>
      </c>
      <c r="AC2" s="9" t="s">
        <v>38</v>
      </c>
      <c r="AD2" s="7" t="s">
        <v>267</v>
      </c>
      <c r="AE2" s="26"/>
      <c r="AF2" s="26"/>
      <c r="AG2" s="26"/>
      <c r="AH2" s="26"/>
      <c r="AI2" s="26"/>
      <c r="AJ2" s="26"/>
      <c r="AK2" s="26"/>
      <c r="AL2" s="26"/>
      <c r="AM2" s="26"/>
      <c r="AN2" s="26"/>
      <c r="AO2" s="26"/>
      <c r="AP2" s="26"/>
      <c r="AQ2" s="26"/>
      <c r="AR2" s="26"/>
      <c r="AS2" s="26"/>
      <c r="AT2" s="26"/>
      <c r="AU2" s="26"/>
      <c r="AV2" s="26"/>
      <c r="AW2" s="26"/>
    </row>
    <row r="3" spans="1:49" s="17" customFormat="1" ht="31.5" x14ac:dyDescent="0.25">
      <c r="A3" s="9" t="s">
        <v>259</v>
      </c>
      <c r="B3" s="10">
        <v>46054</v>
      </c>
      <c r="C3" s="10">
        <v>46054</v>
      </c>
      <c r="D3" s="11" t="s">
        <v>249</v>
      </c>
      <c r="E3" s="12">
        <v>0.625</v>
      </c>
      <c r="F3" s="12">
        <v>0.66666666666666663</v>
      </c>
      <c r="G3" s="12">
        <v>4.1666666666666664E-2</v>
      </c>
      <c r="H3" s="9" t="s">
        <v>260</v>
      </c>
      <c r="I3" s="13"/>
      <c r="J3" s="9" t="s">
        <v>105</v>
      </c>
      <c r="K3" s="9"/>
      <c r="L3" s="14">
        <v>1</v>
      </c>
      <c r="M3" s="14">
        <v>1</v>
      </c>
      <c r="N3" s="9" t="s">
        <v>33</v>
      </c>
      <c r="O3" s="9"/>
      <c r="P3" s="16">
        <v>0</v>
      </c>
      <c r="Q3" s="14"/>
      <c r="R3" s="16">
        <v>0</v>
      </c>
      <c r="S3" s="9">
        <v>46054</v>
      </c>
      <c r="T3" s="16">
        <v>0</v>
      </c>
      <c r="U3" s="14">
        <v>1</v>
      </c>
      <c r="V3" s="16">
        <v>0</v>
      </c>
      <c r="W3" s="9" t="s">
        <v>34</v>
      </c>
      <c r="X3" s="9" t="s">
        <v>42</v>
      </c>
      <c r="Y3" s="9" t="s">
        <v>58</v>
      </c>
      <c r="Z3" s="9" t="s">
        <v>174</v>
      </c>
      <c r="AA3" s="9" t="s">
        <v>37</v>
      </c>
      <c r="AB3" s="9" t="s">
        <v>37</v>
      </c>
      <c r="AC3" s="9" t="s">
        <v>38</v>
      </c>
      <c r="AD3" s="7" t="s">
        <v>267</v>
      </c>
      <c r="AE3" s="26"/>
      <c r="AF3" s="26"/>
      <c r="AG3" s="26"/>
      <c r="AH3" s="26"/>
      <c r="AI3" s="26"/>
      <c r="AJ3" s="26"/>
      <c r="AK3" s="26"/>
      <c r="AL3" s="26"/>
      <c r="AM3" s="26"/>
      <c r="AN3" s="26"/>
      <c r="AO3" s="26"/>
      <c r="AP3" s="26"/>
      <c r="AQ3" s="26"/>
      <c r="AR3" s="26"/>
      <c r="AS3" s="26"/>
      <c r="AT3" s="26"/>
      <c r="AU3" s="26"/>
      <c r="AV3" s="26"/>
      <c r="AW3" s="26"/>
    </row>
    <row r="4" spans="1:49" s="17" customFormat="1" ht="31.5" x14ac:dyDescent="0.25">
      <c r="A4" s="9" t="s">
        <v>65</v>
      </c>
      <c r="B4" s="10">
        <v>46048</v>
      </c>
      <c r="C4" s="10">
        <v>46048</v>
      </c>
      <c r="D4" s="11" t="s">
        <v>30</v>
      </c>
      <c r="E4" s="12">
        <v>0.29166666666666669</v>
      </c>
      <c r="F4" s="12">
        <v>0.3125</v>
      </c>
      <c r="G4" s="12">
        <v>2.0833333333333332E-2</v>
      </c>
      <c r="H4" s="9" t="s">
        <v>66</v>
      </c>
      <c r="I4" s="13" t="s">
        <v>67</v>
      </c>
      <c r="J4" s="9" t="s">
        <v>41</v>
      </c>
      <c r="K4" s="9"/>
      <c r="L4" s="14">
        <v>1</v>
      </c>
      <c r="M4" s="14">
        <v>1</v>
      </c>
      <c r="N4" s="9" t="s">
        <v>33</v>
      </c>
      <c r="O4" s="9"/>
      <c r="P4" s="16">
        <v>0</v>
      </c>
      <c r="Q4" s="14"/>
      <c r="R4" s="16">
        <v>0</v>
      </c>
      <c r="S4" s="9">
        <v>46054</v>
      </c>
      <c r="T4" s="16">
        <v>0</v>
      </c>
      <c r="U4" s="14">
        <v>2</v>
      </c>
      <c r="V4" s="16">
        <v>0</v>
      </c>
      <c r="W4" s="9" t="s">
        <v>34</v>
      </c>
      <c r="X4" s="9" t="s">
        <v>42</v>
      </c>
      <c r="Y4" s="9" t="s">
        <v>36</v>
      </c>
      <c r="Z4" s="9" t="s">
        <v>43</v>
      </c>
      <c r="AA4" s="9" t="s">
        <v>37</v>
      </c>
      <c r="AB4" s="9" t="s">
        <v>37</v>
      </c>
      <c r="AC4" s="9" t="s">
        <v>38</v>
      </c>
      <c r="AD4" s="7" t="s">
        <v>267</v>
      </c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</row>
    <row r="5" spans="1:49" s="17" customFormat="1" ht="31.5" x14ac:dyDescent="0.25">
      <c r="A5" s="9" t="s">
        <v>65</v>
      </c>
      <c r="B5" s="10">
        <v>46048</v>
      </c>
      <c r="C5" s="10">
        <v>46048</v>
      </c>
      <c r="D5" s="11" t="s">
        <v>30</v>
      </c>
      <c r="E5" s="12">
        <v>0.3125</v>
      </c>
      <c r="F5" s="12">
        <v>0.33333333333333331</v>
      </c>
      <c r="G5" s="12">
        <v>2.0833333333333332E-2</v>
      </c>
      <c r="H5" s="9" t="s">
        <v>66</v>
      </c>
      <c r="I5" s="13" t="s">
        <v>67</v>
      </c>
      <c r="J5" s="9" t="s">
        <v>41</v>
      </c>
      <c r="K5" s="9"/>
      <c r="L5" s="14">
        <v>1</v>
      </c>
      <c r="M5" s="14">
        <v>1</v>
      </c>
      <c r="N5" s="9" t="s">
        <v>33</v>
      </c>
      <c r="O5" s="9"/>
      <c r="P5" s="16">
        <v>0</v>
      </c>
      <c r="Q5" s="14"/>
      <c r="R5" s="16">
        <v>0</v>
      </c>
      <c r="S5" s="9">
        <v>46054</v>
      </c>
      <c r="T5" s="16">
        <v>0</v>
      </c>
      <c r="U5" s="14">
        <v>2</v>
      </c>
      <c r="V5" s="16">
        <v>0</v>
      </c>
      <c r="W5" s="9" t="s">
        <v>34</v>
      </c>
      <c r="X5" s="9" t="s">
        <v>42</v>
      </c>
      <c r="Y5" s="9" t="s">
        <v>36</v>
      </c>
      <c r="Z5" s="9" t="s">
        <v>43</v>
      </c>
      <c r="AA5" s="9" t="s">
        <v>37</v>
      </c>
      <c r="AB5" s="9" t="s">
        <v>37</v>
      </c>
      <c r="AC5" s="9" t="s">
        <v>38</v>
      </c>
      <c r="AD5" s="7" t="s">
        <v>267</v>
      </c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</row>
    <row r="6" spans="1:49" s="17" customFormat="1" ht="31.5" x14ac:dyDescent="0.25">
      <c r="A6" s="9" t="s">
        <v>65</v>
      </c>
      <c r="B6" s="10">
        <v>46049</v>
      </c>
      <c r="C6" s="10">
        <v>46049</v>
      </c>
      <c r="D6" s="11" t="s">
        <v>166</v>
      </c>
      <c r="E6" s="12">
        <v>0.29166666666666669</v>
      </c>
      <c r="F6" s="12">
        <v>0.3125</v>
      </c>
      <c r="G6" s="12">
        <v>2.0833333333333332E-2</v>
      </c>
      <c r="H6" s="9" t="s">
        <v>171</v>
      </c>
      <c r="I6" s="13" t="s">
        <v>67</v>
      </c>
      <c r="J6" s="9" t="s">
        <v>41</v>
      </c>
      <c r="K6" s="9"/>
      <c r="L6" s="14">
        <v>1</v>
      </c>
      <c r="M6" s="14">
        <v>1</v>
      </c>
      <c r="N6" s="9" t="s">
        <v>33</v>
      </c>
      <c r="O6" s="9"/>
      <c r="P6" s="16">
        <v>0</v>
      </c>
      <c r="Q6" s="14"/>
      <c r="R6" s="16">
        <v>0</v>
      </c>
      <c r="S6" s="9">
        <v>46054</v>
      </c>
      <c r="T6" s="16">
        <v>0</v>
      </c>
      <c r="U6" s="14">
        <v>2</v>
      </c>
      <c r="V6" s="16">
        <v>0</v>
      </c>
      <c r="W6" s="9" t="s">
        <v>34</v>
      </c>
      <c r="X6" s="9" t="s">
        <v>42</v>
      </c>
      <c r="Y6" s="9" t="s">
        <v>36</v>
      </c>
      <c r="Z6" s="9" t="s">
        <v>43</v>
      </c>
      <c r="AA6" s="9" t="s">
        <v>37</v>
      </c>
      <c r="AB6" s="9" t="s">
        <v>37</v>
      </c>
      <c r="AC6" s="9" t="s">
        <v>38</v>
      </c>
      <c r="AD6" s="7" t="s">
        <v>267</v>
      </c>
      <c r="AE6" s="35"/>
      <c r="AF6" s="35"/>
      <c r="AG6" s="35"/>
      <c r="AH6" s="35"/>
      <c r="AI6" s="35"/>
      <c r="AJ6" s="35"/>
      <c r="AK6" s="35"/>
      <c r="AL6" s="35"/>
      <c r="AM6" s="35"/>
      <c r="AN6" s="35"/>
      <c r="AO6" s="35"/>
      <c r="AP6" s="35"/>
      <c r="AQ6" s="35"/>
      <c r="AR6" s="35"/>
      <c r="AS6" s="35"/>
      <c r="AT6" s="35"/>
      <c r="AU6" s="35"/>
      <c r="AV6" s="35"/>
      <c r="AW6" s="35"/>
    </row>
    <row r="7" spans="1:49" s="17" customFormat="1" ht="31.5" x14ac:dyDescent="0.25">
      <c r="A7" s="9" t="s">
        <v>65</v>
      </c>
      <c r="B7" s="10">
        <v>46049</v>
      </c>
      <c r="C7" s="10">
        <v>46049</v>
      </c>
      <c r="D7" s="11" t="s">
        <v>166</v>
      </c>
      <c r="E7" s="12">
        <v>0.3125</v>
      </c>
      <c r="F7" s="12">
        <v>0.33333333333333331</v>
      </c>
      <c r="G7" s="12">
        <v>2.0833333333333332E-2</v>
      </c>
      <c r="H7" s="9" t="s">
        <v>171</v>
      </c>
      <c r="I7" s="13" t="s">
        <v>67</v>
      </c>
      <c r="J7" s="9" t="s">
        <v>41</v>
      </c>
      <c r="K7" s="9"/>
      <c r="L7" s="14">
        <v>1</v>
      </c>
      <c r="M7" s="14">
        <v>1</v>
      </c>
      <c r="N7" s="9" t="s">
        <v>33</v>
      </c>
      <c r="O7" s="9"/>
      <c r="P7" s="16">
        <v>0</v>
      </c>
      <c r="Q7" s="14"/>
      <c r="R7" s="16">
        <v>0</v>
      </c>
      <c r="S7" s="9">
        <v>46054</v>
      </c>
      <c r="T7" s="16">
        <v>0</v>
      </c>
      <c r="U7" s="14">
        <v>2</v>
      </c>
      <c r="V7" s="16">
        <v>0</v>
      </c>
      <c r="W7" s="9" t="s">
        <v>34</v>
      </c>
      <c r="X7" s="9" t="s">
        <v>42</v>
      </c>
      <c r="Y7" s="9" t="s">
        <v>36</v>
      </c>
      <c r="Z7" s="9" t="s">
        <v>43</v>
      </c>
      <c r="AA7" s="9" t="s">
        <v>37</v>
      </c>
      <c r="AB7" s="9" t="s">
        <v>37</v>
      </c>
      <c r="AC7" s="9" t="s">
        <v>38</v>
      </c>
      <c r="AD7" s="7" t="s">
        <v>267</v>
      </c>
      <c r="AE7" s="26"/>
      <c r="AF7" s="26"/>
      <c r="AG7" s="26"/>
      <c r="AH7" s="26"/>
      <c r="AI7" s="26"/>
      <c r="AJ7" s="26"/>
      <c r="AK7" s="26"/>
      <c r="AL7" s="26"/>
      <c r="AM7" s="26"/>
      <c r="AN7" s="26"/>
      <c r="AO7" s="26"/>
      <c r="AP7" s="26"/>
      <c r="AQ7" s="26"/>
      <c r="AR7" s="26"/>
      <c r="AS7" s="26"/>
      <c r="AT7" s="26"/>
      <c r="AU7" s="26"/>
      <c r="AV7" s="26"/>
      <c r="AW7" s="26"/>
    </row>
    <row r="8" spans="1:49" s="17" customFormat="1" ht="31.5" x14ac:dyDescent="0.25">
      <c r="A8" s="9" t="s">
        <v>65</v>
      </c>
      <c r="B8" s="10">
        <v>46050</v>
      </c>
      <c r="C8" s="10">
        <v>46050</v>
      </c>
      <c r="D8" s="11" t="s">
        <v>196</v>
      </c>
      <c r="E8" s="12">
        <v>0.29166666666666669</v>
      </c>
      <c r="F8" s="12">
        <v>0.3125</v>
      </c>
      <c r="G8" s="12">
        <v>2.0833333333333332E-2</v>
      </c>
      <c r="H8" s="9" t="s">
        <v>197</v>
      </c>
      <c r="I8" s="13" t="s">
        <v>67</v>
      </c>
      <c r="J8" s="9" t="s">
        <v>41</v>
      </c>
      <c r="K8" s="9"/>
      <c r="L8" s="14">
        <v>1</v>
      </c>
      <c r="M8" s="14">
        <v>1</v>
      </c>
      <c r="N8" s="9" t="s">
        <v>33</v>
      </c>
      <c r="O8" s="9"/>
      <c r="P8" s="16">
        <v>0</v>
      </c>
      <c r="Q8" s="14"/>
      <c r="R8" s="16">
        <v>0</v>
      </c>
      <c r="S8" s="9">
        <v>46054</v>
      </c>
      <c r="T8" s="16">
        <v>0</v>
      </c>
      <c r="U8" s="14">
        <v>2</v>
      </c>
      <c r="V8" s="16">
        <v>0</v>
      </c>
      <c r="W8" s="9" t="s">
        <v>34</v>
      </c>
      <c r="X8" s="9" t="s">
        <v>42</v>
      </c>
      <c r="Y8" s="9" t="s">
        <v>36</v>
      </c>
      <c r="Z8" s="9" t="s">
        <v>43</v>
      </c>
      <c r="AA8" s="9" t="s">
        <v>37</v>
      </c>
      <c r="AB8" s="9" t="s">
        <v>37</v>
      </c>
      <c r="AC8" s="9" t="s">
        <v>38</v>
      </c>
      <c r="AD8" s="7" t="s">
        <v>267</v>
      </c>
      <c r="AE8" s="26"/>
      <c r="AF8" s="26"/>
      <c r="AG8" s="26"/>
      <c r="AH8" s="26"/>
      <c r="AI8" s="26"/>
      <c r="AJ8" s="26"/>
      <c r="AK8" s="26"/>
      <c r="AL8" s="26"/>
      <c r="AM8" s="26"/>
      <c r="AN8" s="26"/>
      <c r="AO8" s="26"/>
      <c r="AP8" s="26"/>
      <c r="AQ8" s="26"/>
      <c r="AR8" s="26"/>
      <c r="AS8" s="26"/>
      <c r="AT8" s="26"/>
      <c r="AU8" s="26"/>
      <c r="AV8" s="26"/>
      <c r="AW8" s="26"/>
    </row>
    <row r="9" spans="1:49" s="17" customFormat="1" ht="31.5" x14ac:dyDescent="0.25">
      <c r="A9" s="9" t="s">
        <v>65</v>
      </c>
      <c r="B9" s="10">
        <v>46050</v>
      </c>
      <c r="C9" s="10">
        <v>46050</v>
      </c>
      <c r="D9" s="11" t="s">
        <v>196</v>
      </c>
      <c r="E9" s="12">
        <v>0.3125</v>
      </c>
      <c r="F9" s="12">
        <v>0.33333333333333331</v>
      </c>
      <c r="G9" s="12">
        <v>2.0833333333333332E-2</v>
      </c>
      <c r="H9" s="9" t="s">
        <v>197</v>
      </c>
      <c r="I9" s="13" t="s">
        <v>67</v>
      </c>
      <c r="J9" s="9" t="s">
        <v>41</v>
      </c>
      <c r="K9" s="9"/>
      <c r="L9" s="14">
        <v>1</v>
      </c>
      <c r="M9" s="14">
        <v>1</v>
      </c>
      <c r="N9" s="9" t="s">
        <v>33</v>
      </c>
      <c r="O9" s="9"/>
      <c r="P9" s="16">
        <v>0</v>
      </c>
      <c r="Q9" s="14"/>
      <c r="R9" s="16">
        <v>0</v>
      </c>
      <c r="S9" s="9">
        <v>46054</v>
      </c>
      <c r="T9" s="16">
        <v>0</v>
      </c>
      <c r="U9" s="14">
        <v>2</v>
      </c>
      <c r="V9" s="16">
        <v>0</v>
      </c>
      <c r="W9" s="9" t="s">
        <v>34</v>
      </c>
      <c r="X9" s="9" t="s">
        <v>42</v>
      </c>
      <c r="Y9" s="9" t="s">
        <v>36</v>
      </c>
      <c r="Z9" s="9" t="s">
        <v>43</v>
      </c>
      <c r="AA9" s="9" t="s">
        <v>37</v>
      </c>
      <c r="AB9" s="9" t="s">
        <v>37</v>
      </c>
      <c r="AC9" s="9" t="s">
        <v>38</v>
      </c>
      <c r="AD9" s="7" t="s">
        <v>267</v>
      </c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</row>
    <row r="10" spans="1:49" s="17" customFormat="1" ht="31.5" x14ac:dyDescent="0.25">
      <c r="A10" s="9" t="s">
        <v>65</v>
      </c>
      <c r="B10" s="10">
        <v>46051</v>
      </c>
      <c r="C10" s="10">
        <v>46051</v>
      </c>
      <c r="D10" s="11" t="s">
        <v>207</v>
      </c>
      <c r="E10" s="12">
        <v>0.29166666666666669</v>
      </c>
      <c r="F10" s="12">
        <v>0.3125</v>
      </c>
      <c r="G10" s="12">
        <v>2.0833333333333332E-2</v>
      </c>
      <c r="H10" s="9" t="s">
        <v>208</v>
      </c>
      <c r="I10" s="13" t="s">
        <v>209</v>
      </c>
      <c r="J10" s="9" t="s">
        <v>41</v>
      </c>
      <c r="K10" s="9"/>
      <c r="L10" s="14">
        <v>1</v>
      </c>
      <c r="M10" s="14">
        <v>1</v>
      </c>
      <c r="N10" s="9" t="s">
        <v>33</v>
      </c>
      <c r="O10" s="9"/>
      <c r="P10" s="16">
        <v>0</v>
      </c>
      <c r="Q10" s="14"/>
      <c r="R10" s="16">
        <v>0</v>
      </c>
      <c r="S10" s="9">
        <v>46054</v>
      </c>
      <c r="T10" s="16">
        <v>0</v>
      </c>
      <c r="U10" s="14">
        <v>2</v>
      </c>
      <c r="V10" s="16">
        <v>0</v>
      </c>
      <c r="W10" s="9" t="s">
        <v>34</v>
      </c>
      <c r="X10" s="9" t="s">
        <v>42</v>
      </c>
      <c r="Y10" s="9" t="s">
        <v>36</v>
      </c>
      <c r="Z10" s="9" t="s">
        <v>43</v>
      </c>
      <c r="AA10" s="9" t="s">
        <v>37</v>
      </c>
      <c r="AB10" s="9" t="s">
        <v>37</v>
      </c>
      <c r="AC10" s="9" t="s">
        <v>38</v>
      </c>
      <c r="AD10" s="7" t="s">
        <v>267</v>
      </c>
      <c r="AE10" s="26"/>
      <c r="AF10" s="26"/>
      <c r="AG10" s="26"/>
      <c r="AH10" s="26"/>
      <c r="AI10" s="26"/>
      <c r="AJ10" s="26"/>
      <c r="AK10" s="26"/>
      <c r="AL10" s="26"/>
      <c r="AM10" s="26"/>
      <c r="AN10" s="26"/>
      <c r="AO10" s="26"/>
      <c r="AP10" s="26"/>
      <c r="AQ10" s="26"/>
      <c r="AR10" s="26"/>
      <c r="AS10" s="26"/>
      <c r="AT10" s="26"/>
      <c r="AU10" s="26"/>
      <c r="AV10" s="26"/>
      <c r="AW10" s="26"/>
    </row>
    <row r="11" spans="1:49" s="17" customFormat="1" ht="31.5" x14ac:dyDescent="0.25">
      <c r="A11" s="9" t="s">
        <v>65</v>
      </c>
      <c r="B11" s="10">
        <v>46051</v>
      </c>
      <c r="C11" s="10">
        <v>46051</v>
      </c>
      <c r="D11" s="11" t="s">
        <v>207</v>
      </c>
      <c r="E11" s="12">
        <v>0.3125</v>
      </c>
      <c r="F11" s="12">
        <v>0.33333333333333331</v>
      </c>
      <c r="G11" s="12">
        <v>2.0833333333333332E-2</v>
      </c>
      <c r="H11" s="9" t="s">
        <v>208</v>
      </c>
      <c r="I11" s="13" t="s">
        <v>209</v>
      </c>
      <c r="J11" s="9" t="s">
        <v>41</v>
      </c>
      <c r="K11" s="9"/>
      <c r="L11" s="14">
        <v>1</v>
      </c>
      <c r="M11" s="14">
        <v>1</v>
      </c>
      <c r="N11" s="9" t="s">
        <v>33</v>
      </c>
      <c r="O11" s="9"/>
      <c r="P11" s="16">
        <v>0</v>
      </c>
      <c r="Q11" s="14"/>
      <c r="R11" s="16">
        <v>0</v>
      </c>
      <c r="S11" s="9">
        <v>46054</v>
      </c>
      <c r="T11" s="16">
        <v>0</v>
      </c>
      <c r="U11" s="14">
        <v>2</v>
      </c>
      <c r="V11" s="16">
        <v>0</v>
      </c>
      <c r="W11" s="9" t="s">
        <v>34</v>
      </c>
      <c r="X11" s="9" t="s">
        <v>42</v>
      </c>
      <c r="Y11" s="9" t="s">
        <v>36</v>
      </c>
      <c r="Z11" s="9" t="s">
        <v>43</v>
      </c>
      <c r="AA11" s="9" t="s">
        <v>37</v>
      </c>
      <c r="AB11" s="9" t="s">
        <v>37</v>
      </c>
      <c r="AC11" s="9" t="s">
        <v>38</v>
      </c>
      <c r="AD11" s="7" t="s">
        <v>267</v>
      </c>
      <c r="AE11" s="26"/>
      <c r="AF11" s="26"/>
      <c r="AG11" s="26"/>
      <c r="AH11" s="26"/>
      <c r="AI11" s="26"/>
      <c r="AJ11" s="26"/>
      <c r="AK11" s="26"/>
      <c r="AL11" s="26"/>
      <c r="AM11" s="26"/>
      <c r="AN11" s="26"/>
      <c r="AO11" s="26"/>
      <c r="AP11" s="26"/>
      <c r="AQ11" s="26"/>
      <c r="AR11" s="26"/>
      <c r="AS11" s="26"/>
      <c r="AT11" s="26"/>
      <c r="AU11" s="26"/>
      <c r="AV11" s="26"/>
      <c r="AW11" s="26"/>
    </row>
    <row r="12" spans="1:49" s="17" customFormat="1" ht="31.5" x14ac:dyDescent="0.25">
      <c r="A12" s="9" t="s">
        <v>65</v>
      </c>
      <c r="B12" s="10">
        <v>46052</v>
      </c>
      <c r="C12" s="10">
        <v>46052</v>
      </c>
      <c r="D12" s="11" t="s">
        <v>217</v>
      </c>
      <c r="E12" s="12">
        <v>0.29166666666666669</v>
      </c>
      <c r="F12" s="12">
        <v>0.3125</v>
      </c>
      <c r="G12" s="12">
        <v>2.0833333333333332E-2</v>
      </c>
      <c r="H12" s="9" t="s">
        <v>218</v>
      </c>
      <c r="I12" s="13" t="s">
        <v>209</v>
      </c>
      <c r="J12" s="9" t="s">
        <v>41</v>
      </c>
      <c r="K12" s="9"/>
      <c r="L12" s="14">
        <v>1</v>
      </c>
      <c r="M12" s="14">
        <v>1</v>
      </c>
      <c r="N12" s="9" t="s">
        <v>33</v>
      </c>
      <c r="O12" s="9"/>
      <c r="P12" s="16">
        <v>0</v>
      </c>
      <c r="Q12" s="14"/>
      <c r="R12" s="16">
        <v>0</v>
      </c>
      <c r="S12" s="9">
        <v>46054</v>
      </c>
      <c r="T12" s="16">
        <v>0</v>
      </c>
      <c r="U12" s="14">
        <v>2</v>
      </c>
      <c r="V12" s="16">
        <v>0</v>
      </c>
      <c r="W12" s="9" t="s">
        <v>34</v>
      </c>
      <c r="X12" s="9" t="s">
        <v>42</v>
      </c>
      <c r="Y12" s="9" t="s">
        <v>36</v>
      </c>
      <c r="Z12" s="9" t="s">
        <v>43</v>
      </c>
      <c r="AA12" s="9" t="s">
        <v>37</v>
      </c>
      <c r="AB12" s="9" t="s">
        <v>37</v>
      </c>
      <c r="AC12" s="9" t="s">
        <v>38</v>
      </c>
      <c r="AD12" s="7" t="s">
        <v>267</v>
      </c>
      <c r="AE12" s="26"/>
      <c r="AF12" s="26"/>
      <c r="AG12" s="26"/>
      <c r="AH12" s="26"/>
      <c r="AI12" s="27"/>
      <c r="AJ12" s="27"/>
      <c r="AK12" s="27"/>
      <c r="AL12" s="27"/>
      <c r="AM12" s="27"/>
      <c r="AN12" s="27"/>
      <c r="AO12" s="27"/>
      <c r="AP12" s="27"/>
      <c r="AQ12" s="27"/>
      <c r="AR12" s="27"/>
      <c r="AS12" s="27"/>
      <c r="AT12" s="27"/>
      <c r="AU12" s="27"/>
      <c r="AV12" s="27"/>
      <c r="AW12" s="27"/>
    </row>
    <row r="13" spans="1:49" s="17" customFormat="1" ht="31.5" x14ac:dyDescent="0.25">
      <c r="A13" s="9" t="s">
        <v>65</v>
      </c>
      <c r="B13" s="10">
        <v>46052</v>
      </c>
      <c r="C13" s="10">
        <v>46052</v>
      </c>
      <c r="D13" s="11" t="s">
        <v>217</v>
      </c>
      <c r="E13" s="12">
        <v>0.3125</v>
      </c>
      <c r="F13" s="12">
        <v>0.33333333333333331</v>
      </c>
      <c r="G13" s="12">
        <v>2.0833333333333332E-2</v>
      </c>
      <c r="H13" s="9" t="s">
        <v>218</v>
      </c>
      <c r="I13" s="13" t="s">
        <v>209</v>
      </c>
      <c r="J13" s="9" t="s">
        <v>41</v>
      </c>
      <c r="K13" s="9"/>
      <c r="L13" s="14">
        <v>1</v>
      </c>
      <c r="M13" s="14">
        <v>1</v>
      </c>
      <c r="N13" s="9" t="s">
        <v>33</v>
      </c>
      <c r="O13" s="9"/>
      <c r="P13" s="16">
        <v>0</v>
      </c>
      <c r="Q13" s="14"/>
      <c r="R13" s="16">
        <v>0</v>
      </c>
      <c r="S13" s="9">
        <v>46054</v>
      </c>
      <c r="T13" s="16">
        <v>0</v>
      </c>
      <c r="U13" s="14">
        <v>2</v>
      </c>
      <c r="V13" s="16">
        <v>0</v>
      </c>
      <c r="W13" s="9" t="s">
        <v>34</v>
      </c>
      <c r="X13" s="9" t="s">
        <v>42</v>
      </c>
      <c r="Y13" s="9" t="s">
        <v>36</v>
      </c>
      <c r="Z13" s="9" t="s">
        <v>43</v>
      </c>
      <c r="AA13" s="9" t="s">
        <v>37</v>
      </c>
      <c r="AB13" s="9" t="s">
        <v>37</v>
      </c>
      <c r="AC13" s="9" t="s">
        <v>38</v>
      </c>
      <c r="AD13" s="7" t="s">
        <v>267</v>
      </c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</row>
    <row r="14" spans="1:49" s="17" customFormat="1" ht="31.5" x14ac:dyDescent="0.25">
      <c r="A14" s="9" t="s">
        <v>65</v>
      </c>
      <c r="B14" s="10">
        <v>46053</v>
      </c>
      <c r="C14" s="10">
        <v>46053</v>
      </c>
      <c r="D14" s="11" t="s">
        <v>224</v>
      </c>
      <c r="E14" s="12">
        <v>0.29166666666666669</v>
      </c>
      <c r="F14" s="12">
        <v>0.3125</v>
      </c>
      <c r="G14" s="12">
        <v>2.0833333333333332E-2</v>
      </c>
      <c r="H14" s="9" t="s">
        <v>66</v>
      </c>
      <c r="I14" s="13" t="s">
        <v>225</v>
      </c>
      <c r="J14" s="9" t="s">
        <v>41</v>
      </c>
      <c r="K14" s="9"/>
      <c r="L14" s="14">
        <v>1</v>
      </c>
      <c r="M14" s="14">
        <v>1</v>
      </c>
      <c r="N14" s="9" t="s">
        <v>33</v>
      </c>
      <c r="O14" s="9"/>
      <c r="P14" s="16">
        <v>0</v>
      </c>
      <c r="Q14" s="14"/>
      <c r="R14" s="16">
        <v>0</v>
      </c>
      <c r="S14" s="9">
        <v>46054</v>
      </c>
      <c r="T14" s="16">
        <v>0</v>
      </c>
      <c r="U14" s="14">
        <v>2</v>
      </c>
      <c r="V14" s="16">
        <v>0</v>
      </c>
      <c r="W14" s="9" t="s">
        <v>34</v>
      </c>
      <c r="X14" s="9" t="s">
        <v>42</v>
      </c>
      <c r="Y14" s="9" t="s">
        <v>36</v>
      </c>
      <c r="Z14" s="9" t="s">
        <v>43</v>
      </c>
      <c r="AA14" s="9" t="s">
        <v>37</v>
      </c>
      <c r="AB14" s="9" t="s">
        <v>37</v>
      </c>
      <c r="AC14" s="9" t="s">
        <v>38</v>
      </c>
      <c r="AD14" s="7" t="s">
        <v>267</v>
      </c>
      <c r="AE14" s="26"/>
      <c r="AF14" s="26"/>
      <c r="AG14" s="26"/>
      <c r="AH14" s="26"/>
      <c r="AI14" s="26"/>
      <c r="AJ14" s="26"/>
      <c r="AK14" s="26"/>
      <c r="AL14" s="26"/>
      <c r="AM14" s="26"/>
      <c r="AN14" s="26"/>
      <c r="AO14" s="26"/>
      <c r="AP14" s="26"/>
      <c r="AQ14" s="26"/>
      <c r="AR14" s="26"/>
      <c r="AS14" s="26"/>
      <c r="AT14" s="26"/>
      <c r="AU14" s="26"/>
      <c r="AV14" s="26"/>
      <c r="AW14" s="26"/>
    </row>
    <row r="15" spans="1:49" s="17" customFormat="1" ht="31.5" x14ac:dyDescent="0.25">
      <c r="A15" s="9" t="s">
        <v>65</v>
      </c>
      <c r="B15" s="10">
        <v>46053</v>
      </c>
      <c r="C15" s="10">
        <v>46053</v>
      </c>
      <c r="D15" s="11" t="s">
        <v>224</v>
      </c>
      <c r="E15" s="12">
        <v>0.3125</v>
      </c>
      <c r="F15" s="12">
        <v>0.33333333333333331</v>
      </c>
      <c r="G15" s="12">
        <v>2.0833333333333332E-2</v>
      </c>
      <c r="H15" s="9" t="s">
        <v>66</v>
      </c>
      <c r="I15" s="13" t="s">
        <v>225</v>
      </c>
      <c r="J15" s="9" t="s">
        <v>41</v>
      </c>
      <c r="K15" s="9"/>
      <c r="L15" s="14">
        <v>1</v>
      </c>
      <c r="M15" s="14">
        <v>1</v>
      </c>
      <c r="N15" s="9" t="s">
        <v>33</v>
      </c>
      <c r="O15" s="9"/>
      <c r="P15" s="16">
        <v>0</v>
      </c>
      <c r="Q15" s="14"/>
      <c r="R15" s="16">
        <v>0</v>
      </c>
      <c r="S15" s="9">
        <v>46054</v>
      </c>
      <c r="T15" s="16">
        <v>0</v>
      </c>
      <c r="U15" s="14">
        <v>2</v>
      </c>
      <c r="V15" s="16">
        <v>0</v>
      </c>
      <c r="W15" s="9" t="s">
        <v>34</v>
      </c>
      <c r="X15" s="9" t="s">
        <v>42</v>
      </c>
      <c r="Y15" s="9" t="s">
        <v>36</v>
      </c>
      <c r="Z15" s="9" t="s">
        <v>43</v>
      </c>
      <c r="AA15" s="9" t="s">
        <v>37</v>
      </c>
      <c r="AB15" s="9" t="s">
        <v>37</v>
      </c>
      <c r="AC15" s="9" t="s">
        <v>38</v>
      </c>
      <c r="AD15" s="7" t="s">
        <v>267</v>
      </c>
      <c r="AE15" s="26"/>
      <c r="AF15" s="26"/>
      <c r="AG15" s="26"/>
      <c r="AH15" s="26"/>
      <c r="AI15" s="26"/>
      <c r="AJ15" s="26"/>
      <c r="AK15" s="26"/>
      <c r="AL15" s="26"/>
      <c r="AM15" s="26"/>
      <c r="AN15" s="26"/>
      <c r="AO15" s="26"/>
      <c r="AP15" s="26"/>
      <c r="AQ15" s="26"/>
      <c r="AR15" s="26"/>
      <c r="AS15" s="26"/>
      <c r="AT15" s="26"/>
      <c r="AU15" s="26"/>
      <c r="AV15" s="26"/>
      <c r="AW15" s="26"/>
    </row>
    <row r="16" spans="1:49" s="17" customFormat="1" ht="31.5" x14ac:dyDescent="0.25">
      <c r="A16" s="9" t="s">
        <v>65</v>
      </c>
      <c r="B16" s="10">
        <v>46054</v>
      </c>
      <c r="C16" s="10">
        <v>46054</v>
      </c>
      <c r="D16" s="11" t="s">
        <v>249</v>
      </c>
      <c r="E16" s="12">
        <v>0.29166666666666669</v>
      </c>
      <c r="F16" s="12">
        <v>0.3125</v>
      </c>
      <c r="G16" s="12">
        <v>2.0833333333333332E-2</v>
      </c>
      <c r="H16" s="9" t="s">
        <v>197</v>
      </c>
      <c r="I16" s="13" t="s">
        <v>225</v>
      </c>
      <c r="J16" s="9" t="s">
        <v>41</v>
      </c>
      <c r="K16" s="9"/>
      <c r="L16" s="14">
        <v>1</v>
      </c>
      <c r="M16" s="14">
        <v>1</v>
      </c>
      <c r="N16" s="9" t="s">
        <v>33</v>
      </c>
      <c r="O16" s="9"/>
      <c r="P16" s="16">
        <v>0</v>
      </c>
      <c r="Q16" s="14"/>
      <c r="R16" s="16">
        <v>0</v>
      </c>
      <c r="S16" s="9">
        <v>46054</v>
      </c>
      <c r="T16" s="16">
        <v>0</v>
      </c>
      <c r="U16" s="14">
        <v>2</v>
      </c>
      <c r="V16" s="16">
        <v>0</v>
      </c>
      <c r="W16" s="9" t="s">
        <v>34</v>
      </c>
      <c r="X16" s="9" t="s">
        <v>42</v>
      </c>
      <c r="Y16" s="9" t="s">
        <v>36</v>
      </c>
      <c r="Z16" s="9" t="s">
        <v>43</v>
      </c>
      <c r="AA16" s="9" t="s">
        <v>37</v>
      </c>
      <c r="AB16" s="9" t="s">
        <v>37</v>
      </c>
      <c r="AC16" s="9" t="s">
        <v>38</v>
      </c>
      <c r="AD16" s="7" t="s">
        <v>267</v>
      </c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</row>
    <row r="17" spans="1:49" s="17" customFormat="1" ht="31.5" x14ac:dyDescent="0.25">
      <c r="A17" s="9" t="s">
        <v>65</v>
      </c>
      <c r="B17" s="10">
        <v>46054</v>
      </c>
      <c r="C17" s="10">
        <v>46054</v>
      </c>
      <c r="D17" s="11" t="s">
        <v>249</v>
      </c>
      <c r="E17" s="12">
        <v>0.3125</v>
      </c>
      <c r="F17" s="12">
        <v>0.33333333333333331</v>
      </c>
      <c r="G17" s="12">
        <v>2.0833333333333332E-2</v>
      </c>
      <c r="H17" s="9" t="s">
        <v>197</v>
      </c>
      <c r="I17" s="13" t="s">
        <v>225</v>
      </c>
      <c r="J17" s="9" t="s">
        <v>41</v>
      </c>
      <c r="K17" s="9"/>
      <c r="L17" s="14">
        <v>1</v>
      </c>
      <c r="M17" s="14">
        <v>1</v>
      </c>
      <c r="N17" s="9" t="s">
        <v>33</v>
      </c>
      <c r="O17" s="9"/>
      <c r="P17" s="16">
        <v>0</v>
      </c>
      <c r="Q17" s="14"/>
      <c r="R17" s="16">
        <v>0</v>
      </c>
      <c r="S17" s="9">
        <v>46054</v>
      </c>
      <c r="T17" s="16">
        <v>0</v>
      </c>
      <c r="U17" s="14">
        <v>2</v>
      </c>
      <c r="V17" s="16">
        <v>0</v>
      </c>
      <c r="W17" s="9" t="s">
        <v>34</v>
      </c>
      <c r="X17" s="9" t="s">
        <v>42</v>
      </c>
      <c r="Y17" s="9" t="s">
        <v>36</v>
      </c>
      <c r="Z17" s="9" t="s">
        <v>43</v>
      </c>
      <c r="AA17" s="9" t="s">
        <v>37</v>
      </c>
      <c r="AB17" s="9" t="s">
        <v>37</v>
      </c>
      <c r="AC17" s="9" t="s">
        <v>38</v>
      </c>
      <c r="AD17" s="7" t="s">
        <v>267</v>
      </c>
      <c r="AE17" s="26"/>
      <c r="AF17" s="26"/>
      <c r="AG17" s="26"/>
      <c r="AH17" s="26"/>
      <c r="AI17" s="27"/>
      <c r="AJ17" s="27"/>
      <c r="AK17" s="27"/>
      <c r="AL17" s="27"/>
      <c r="AM17" s="27"/>
      <c r="AN17" s="27"/>
      <c r="AO17" s="27"/>
      <c r="AP17" s="27"/>
      <c r="AQ17" s="27"/>
      <c r="AR17" s="27"/>
      <c r="AS17" s="27"/>
      <c r="AT17" s="27"/>
      <c r="AU17" s="27"/>
      <c r="AV17" s="27"/>
      <c r="AW17" s="27"/>
    </row>
    <row r="18" spans="1:49" s="17" customFormat="1" ht="31.5" x14ac:dyDescent="0.25">
      <c r="A18" s="9" t="s">
        <v>72</v>
      </c>
      <c r="B18" s="10">
        <v>46048</v>
      </c>
      <c r="C18" s="10">
        <v>46048</v>
      </c>
      <c r="D18" s="11" t="s">
        <v>30</v>
      </c>
      <c r="E18" s="12">
        <v>0.41666666666666669</v>
      </c>
      <c r="F18" s="12">
        <v>0.45833333333333331</v>
      </c>
      <c r="G18" s="12">
        <v>4.1666666666666664E-2</v>
      </c>
      <c r="H18" s="9" t="s">
        <v>73</v>
      </c>
      <c r="I18" s="13"/>
      <c r="J18" s="9" t="s">
        <v>74</v>
      </c>
      <c r="K18" s="9"/>
      <c r="L18" s="14">
        <v>1</v>
      </c>
      <c r="M18" s="14">
        <v>1</v>
      </c>
      <c r="N18" s="9" t="s">
        <v>33</v>
      </c>
      <c r="O18" s="9"/>
      <c r="P18" s="16">
        <v>0</v>
      </c>
      <c r="Q18" s="14"/>
      <c r="R18" s="16">
        <v>0</v>
      </c>
      <c r="S18" s="9">
        <v>46054</v>
      </c>
      <c r="T18" s="16">
        <v>0</v>
      </c>
      <c r="U18" s="14">
        <v>2</v>
      </c>
      <c r="V18" s="16">
        <v>0</v>
      </c>
      <c r="W18" s="9" t="s">
        <v>34</v>
      </c>
      <c r="X18" s="9" t="s">
        <v>42</v>
      </c>
      <c r="Y18" s="9" t="s">
        <v>36</v>
      </c>
      <c r="Z18" s="9" t="s">
        <v>43</v>
      </c>
      <c r="AA18" s="9" t="s">
        <v>37</v>
      </c>
      <c r="AB18" s="9" t="s">
        <v>37</v>
      </c>
      <c r="AC18" s="9" t="s">
        <v>38</v>
      </c>
      <c r="AD18" s="7" t="s">
        <v>267</v>
      </c>
      <c r="AE18" s="26"/>
      <c r="AF18" s="26"/>
      <c r="AG18" s="26"/>
      <c r="AH18" s="26"/>
      <c r="AI18" s="27"/>
      <c r="AJ18" s="27"/>
      <c r="AK18" s="27"/>
      <c r="AL18" s="27"/>
      <c r="AM18" s="27"/>
      <c r="AN18" s="27"/>
      <c r="AO18" s="27"/>
      <c r="AP18" s="27"/>
      <c r="AQ18" s="27"/>
      <c r="AR18" s="27"/>
      <c r="AS18" s="27"/>
      <c r="AT18" s="27"/>
      <c r="AU18" s="27"/>
      <c r="AV18" s="27"/>
      <c r="AW18" s="27"/>
    </row>
    <row r="19" spans="1:49" s="17" customFormat="1" ht="31.5" x14ac:dyDescent="0.25">
      <c r="A19" s="9" t="s">
        <v>72</v>
      </c>
      <c r="B19" s="10">
        <v>46049</v>
      </c>
      <c r="C19" s="10">
        <v>46049</v>
      </c>
      <c r="D19" s="11" t="s">
        <v>166</v>
      </c>
      <c r="E19" s="12">
        <v>0.41666666666666669</v>
      </c>
      <c r="F19" s="12">
        <v>0.45833333333333331</v>
      </c>
      <c r="G19" s="12">
        <v>4.1666666666666664E-2</v>
      </c>
      <c r="H19" s="9" t="s">
        <v>73</v>
      </c>
      <c r="I19" s="13"/>
      <c r="J19" s="9" t="s">
        <v>74</v>
      </c>
      <c r="K19" s="9"/>
      <c r="L19" s="14">
        <v>1</v>
      </c>
      <c r="M19" s="14">
        <v>1</v>
      </c>
      <c r="N19" s="9" t="s">
        <v>33</v>
      </c>
      <c r="O19" s="9"/>
      <c r="P19" s="16">
        <v>0</v>
      </c>
      <c r="Q19" s="14"/>
      <c r="R19" s="16">
        <v>0</v>
      </c>
      <c r="S19" s="9">
        <v>46054</v>
      </c>
      <c r="T19" s="16">
        <v>0</v>
      </c>
      <c r="U19" s="14">
        <v>2</v>
      </c>
      <c r="V19" s="16">
        <v>0</v>
      </c>
      <c r="W19" s="9" t="s">
        <v>34</v>
      </c>
      <c r="X19" s="9" t="s">
        <v>42</v>
      </c>
      <c r="Y19" s="9" t="s">
        <v>36</v>
      </c>
      <c r="Z19" s="9" t="s">
        <v>43</v>
      </c>
      <c r="AA19" s="9" t="s">
        <v>37</v>
      </c>
      <c r="AB19" s="9" t="s">
        <v>37</v>
      </c>
      <c r="AC19" s="9" t="s">
        <v>38</v>
      </c>
      <c r="AD19" s="7" t="s">
        <v>267</v>
      </c>
      <c r="AE19" s="26"/>
      <c r="AF19" s="26"/>
      <c r="AG19" s="26"/>
      <c r="AH19" s="26"/>
      <c r="AI19" s="26"/>
      <c r="AJ19" s="26"/>
      <c r="AK19" s="26"/>
      <c r="AL19" s="26"/>
      <c r="AM19" s="26"/>
      <c r="AN19" s="26"/>
      <c r="AO19" s="26"/>
      <c r="AP19" s="26"/>
      <c r="AQ19" s="26"/>
      <c r="AR19" s="26"/>
      <c r="AS19" s="26"/>
      <c r="AT19" s="26"/>
      <c r="AU19" s="26"/>
      <c r="AV19" s="26"/>
      <c r="AW19" s="26"/>
    </row>
    <row r="20" spans="1:49" s="17" customFormat="1" ht="31.5" x14ac:dyDescent="0.25">
      <c r="A20" s="18" t="s">
        <v>72</v>
      </c>
      <c r="B20" s="19">
        <v>46049</v>
      </c>
      <c r="C20" s="19">
        <v>46049</v>
      </c>
      <c r="D20" s="18" t="s">
        <v>166</v>
      </c>
      <c r="E20" s="20">
        <v>0.41666666666666669</v>
      </c>
      <c r="F20" s="20">
        <v>0.45833333333333331</v>
      </c>
      <c r="G20" s="20">
        <v>3.4722222222222224E-4</v>
      </c>
      <c r="H20" s="18" t="s">
        <v>173</v>
      </c>
      <c r="I20" s="21">
        <v>0.42197916666666668</v>
      </c>
      <c r="J20" s="18" t="s">
        <v>74</v>
      </c>
      <c r="K20" s="18" t="s">
        <v>195</v>
      </c>
      <c r="L20" s="22">
        <v>1</v>
      </c>
      <c r="M20" s="22">
        <v>4</v>
      </c>
      <c r="N20" s="18" t="s">
        <v>53</v>
      </c>
      <c r="O20" s="22"/>
      <c r="P20" s="23">
        <v>0</v>
      </c>
      <c r="Q20" s="22"/>
      <c r="R20" s="23">
        <v>0</v>
      </c>
      <c r="S20" s="24">
        <v>46054</v>
      </c>
      <c r="T20" s="23">
        <v>0</v>
      </c>
      <c r="U20" s="25">
        <v>4</v>
      </c>
      <c r="V20" s="23">
        <v>0</v>
      </c>
      <c r="W20" s="18" t="s">
        <v>34</v>
      </c>
      <c r="X20" s="18" t="s">
        <v>35</v>
      </c>
      <c r="Y20" s="18" t="s">
        <v>36</v>
      </c>
      <c r="Z20" s="18" t="s">
        <v>174</v>
      </c>
      <c r="AA20" s="18" t="s">
        <v>49</v>
      </c>
      <c r="AB20" s="18">
        <v>1109</v>
      </c>
      <c r="AC20" s="18" t="s">
        <v>38</v>
      </c>
      <c r="AD20" s="7" t="s">
        <v>267</v>
      </c>
      <c r="AE20" s="26"/>
      <c r="AF20" s="26"/>
      <c r="AG20" s="26"/>
      <c r="AH20" s="26"/>
      <c r="AI20" s="27"/>
      <c r="AJ20" s="27"/>
      <c r="AK20" s="27"/>
      <c r="AL20" s="27"/>
      <c r="AM20" s="27"/>
      <c r="AN20" s="27"/>
      <c r="AO20" s="27"/>
      <c r="AP20" s="27"/>
      <c r="AQ20" s="27"/>
      <c r="AR20" s="27"/>
      <c r="AS20" s="27"/>
      <c r="AT20" s="27"/>
      <c r="AU20" s="27"/>
      <c r="AV20" s="27"/>
      <c r="AW20" s="27"/>
    </row>
    <row r="21" spans="1:49" s="17" customFormat="1" ht="31.5" x14ac:dyDescent="0.25">
      <c r="A21" s="9" t="s">
        <v>72</v>
      </c>
      <c r="B21" s="10">
        <v>46050</v>
      </c>
      <c r="C21" s="10">
        <v>46050</v>
      </c>
      <c r="D21" s="11" t="s">
        <v>196</v>
      </c>
      <c r="E21" s="12">
        <v>0.41666666666666669</v>
      </c>
      <c r="F21" s="12">
        <v>0.45833333333333331</v>
      </c>
      <c r="G21" s="12">
        <v>4.1666666666666664E-2</v>
      </c>
      <c r="H21" s="9" t="s">
        <v>73</v>
      </c>
      <c r="I21" s="13"/>
      <c r="J21" s="9" t="s">
        <v>74</v>
      </c>
      <c r="K21" s="9"/>
      <c r="L21" s="14">
        <v>1</v>
      </c>
      <c r="M21" s="14">
        <v>1</v>
      </c>
      <c r="N21" s="9" t="s">
        <v>33</v>
      </c>
      <c r="O21" s="9"/>
      <c r="P21" s="16">
        <v>0</v>
      </c>
      <c r="Q21" s="14"/>
      <c r="R21" s="16">
        <v>0</v>
      </c>
      <c r="S21" s="9">
        <v>46054</v>
      </c>
      <c r="T21" s="16">
        <v>0</v>
      </c>
      <c r="U21" s="14">
        <v>2</v>
      </c>
      <c r="V21" s="16">
        <v>0</v>
      </c>
      <c r="W21" s="9" t="s">
        <v>34</v>
      </c>
      <c r="X21" s="9" t="s">
        <v>42</v>
      </c>
      <c r="Y21" s="9" t="s">
        <v>36</v>
      </c>
      <c r="Z21" s="9" t="s">
        <v>43</v>
      </c>
      <c r="AA21" s="9" t="s">
        <v>37</v>
      </c>
      <c r="AB21" s="9" t="s">
        <v>37</v>
      </c>
      <c r="AC21" s="9" t="s">
        <v>38</v>
      </c>
      <c r="AD21" s="7" t="s">
        <v>267</v>
      </c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</row>
    <row r="22" spans="1:49" s="17" customFormat="1" ht="31.5" x14ac:dyDescent="0.25">
      <c r="A22" s="9" t="s">
        <v>72</v>
      </c>
      <c r="B22" s="10">
        <v>46051</v>
      </c>
      <c r="C22" s="10">
        <v>46051</v>
      </c>
      <c r="D22" s="11" t="s">
        <v>207</v>
      </c>
      <c r="E22" s="12">
        <v>0.41666666666666669</v>
      </c>
      <c r="F22" s="12">
        <v>0.45833333333333331</v>
      </c>
      <c r="G22" s="12">
        <v>4.1666666666666664E-2</v>
      </c>
      <c r="H22" s="9" t="s">
        <v>73</v>
      </c>
      <c r="I22" s="13"/>
      <c r="J22" s="9" t="s">
        <v>74</v>
      </c>
      <c r="K22" s="9"/>
      <c r="L22" s="14">
        <v>1</v>
      </c>
      <c r="M22" s="14">
        <v>1</v>
      </c>
      <c r="N22" s="9" t="s">
        <v>33</v>
      </c>
      <c r="O22" s="9"/>
      <c r="P22" s="16">
        <v>0</v>
      </c>
      <c r="Q22" s="14"/>
      <c r="R22" s="16">
        <v>0</v>
      </c>
      <c r="S22" s="9">
        <v>46054</v>
      </c>
      <c r="T22" s="16">
        <v>0</v>
      </c>
      <c r="U22" s="14">
        <v>2</v>
      </c>
      <c r="V22" s="16">
        <v>0</v>
      </c>
      <c r="W22" s="9" t="s">
        <v>34</v>
      </c>
      <c r="X22" s="9" t="s">
        <v>42</v>
      </c>
      <c r="Y22" s="9" t="s">
        <v>36</v>
      </c>
      <c r="Z22" s="9" t="s">
        <v>43</v>
      </c>
      <c r="AA22" s="9" t="s">
        <v>37</v>
      </c>
      <c r="AB22" s="9" t="s">
        <v>37</v>
      </c>
      <c r="AC22" s="9" t="s">
        <v>38</v>
      </c>
      <c r="AD22" s="7" t="s">
        <v>267</v>
      </c>
      <c r="AE22" s="26"/>
      <c r="AF22" s="26"/>
      <c r="AG22" s="26"/>
      <c r="AH22" s="26"/>
      <c r="AI22" s="27"/>
      <c r="AJ22" s="27"/>
      <c r="AK22" s="27"/>
      <c r="AL22" s="27"/>
      <c r="AM22" s="27"/>
      <c r="AN22" s="27"/>
      <c r="AO22" s="27"/>
      <c r="AP22" s="27"/>
      <c r="AQ22" s="27"/>
      <c r="AR22" s="27"/>
      <c r="AS22" s="27"/>
      <c r="AT22" s="27"/>
      <c r="AU22" s="27"/>
      <c r="AV22" s="27"/>
      <c r="AW22" s="27"/>
    </row>
    <row r="23" spans="1:49" s="17" customFormat="1" ht="31.5" x14ac:dyDescent="0.25">
      <c r="A23" s="18" t="s">
        <v>72</v>
      </c>
      <c r="B23" s="19">
        <v>46051</v>
      </c>
      <c r="C23" s="19">
        <v>46051</v>
      </c>
      <c r="D23" s="18" t="s">
        <v>207</v>
      </c>
      <c r="E23" s="20">
        <v>0.41666666666666669</v>
      </c>
      <c r="F23" s="20">
        <v>0.45833333333333331</v>
      </c>
      <c r="G23" s="20">
        <v>3.4722222222222224E-4</v>
      </c>
      <c r="H23" s="18" t="s">
        <v>210</v>
      </c>
      <c r="I23" s="21">
        <v>0.42354166666666665</v>
      </c>
      <c r="J23" s="18" t="s">
        <v>74</v>
      </c>
      <c r="K23" s="18" t="s">
        <v>72</v>
      </c>
      <c r="L23" s="22">
        <v>1</v>
      </c>
      <c r="M23" s="22">
        <v>4</v>
      </c>
      <c r="N23" s="18" t="s">
        <v>53</v>
      </c>
      <c r="O23" s="22"/>
      <c r="P23" s="23">
        <v>0</v>
      </c>
      <c r="Q23" s="22"/>
      <c r="R23" s="23">
        <v>0</v>
      </c>
      <c r="S23" s="24">
        <v>46054</v>
      </c>
      <c r="T23" s="23">
        <v>0</v>
      </c>
      <c r="U23" s="25">
        <v>4</v>
      </c>
      <c r="V23" s="23">
        <v>0</v>
      </c>
      <c r="W23" s="18" t="s">
        <v>34</v>
      </c>
      <c r="X23" s="18" t="s">
        <v>35</v>
      </c>
      <c r="Y23" s="18" t="s">
        <v>36</v>
      </c>
      <c r="Z23" s="18" t="s">
        <v>174</v>
      </c>
      <c r="AA23" s="18" t="s">
        <v>49</v>
      </c>
      <c r="AB23" s="18">
        <v>1109</v>
      </c>
      <c r="AC23" s="18" t="s">
        <v>38</v>
      </c>
      <c r="AD23" s="7" t="s">
        <v>267</v>
      </c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</row>
    <row r="24" spans="1:49" s="17" customFormat="1" ht="31.5" x14ac:dyDescent="0.25">
      <c r="A24" s="9" t="s">
        <v>72</v>
      </c>
      <c r="B24" s="10">
        <v>46052</v>
      </c>
      <c r="C24" s="10">
        <v>46052</v>
      </c>
      <c r="D24" s="11" t="s">
        <v>217</v>
      </c>
      <c r="E24" s="12">
        <v>0.41666666666666669</v>
      </c>
      <c r="F24" s="12">
        <v>0.45833333333333331</v>
      </c>
      <c r="G24" s="12">
        <v>4.1666666666666664E-2</v>
      </c>
      <c r="H24" s="9" t="s">
        <v>73</v>
      </c>
      <c r="I24" s="13"/>
      <c r="J24" s="9" t="s">
        <v>74</v>
      </c>
      <c r="K24" s="9"/>
      <c r="L24" s="14">
        <v>1</v>
      </c>
      <c r="M24" s="14">
        <v>1</v>
      </c>
      <c r="N24" s="9" t="s">
        <v>33</v>
      </c>
      <c r="O24" s="9"/>
      <c r="P24" s="16">
        <v>0</v>
      </c>
      <c r="Q24" s="14"/>
      <c r="R24" s="16">
        <v>0</v>
      </c>
      <c r="S24" s="9">
        <v>46054</v>
      </c>
      <c r="T24" s="16">
        <v>0</v>
      </c>
      <c r="U24" s="14">
        <v>2</v>
      </c>
      <c r="V24" s="16">
        <v>0</v>
      </c>
      <c r="W24" s="9" t="s">
        <v>34</v>
      </c>
      <c r="X24" s="9" t="s">
        <v>42</v>
      </c>
      <c r="Y24" s="9" t="s">
        <v>36</v>
      </c>
      <c r="Z24" s="9" t="s">
        <v>43</v>
      </c>
      <c r="AA24" s="9" t="s">
        <v>37</v>
      </c>
      <c r="AB24" s="9" t="s">
        <v>37</v>
      </c>
      <c r="AC24" s="9" t="s">
        <v>38</v>
      </c>
      <c r="AD24" s="7" t="s">
        <v>267</v>
      </c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</row>
    <row r="25" spans="1:49" s="17" customFormat="1" ht="31.5" x14ac:dyDescent="0.25">
      <c r="A25" s="18" t="s">
        <v>127</v>
      </c>
      <c r="B25" s="19">
        <v>46048</v>
      </c>
      <c r="C25" s="19">
        <v>46048</v>
      </c>
      <c r="D25" s="18" t="s">
        <v>30</v>
      </c>
      <c r="E25" s="20">
        <v>0.77083333333333337</v>
      </c>
      <c r="F25" s="20">
        <v>0.79166666666666663</v>
      </c>
      <c r="G25" s="20">
        <v>3.4722222222222218E-4</v>
      </c>
      <c r="H25" s="18" t="s">
        <v>128</v>
      </c>
      <c r="I25" s="21">
        <v>0.78142361111111114</v>
      </c>
      <c r="J25" s="18" t="s">
        <v>120</v>
      </c>
      <c r="K25" s="18" t="s">
        <v>155</v>
      </c>
      <c r="L25" s="22">
        <v>1</v>
      </c>
      <c r="M25" s="22">
        <v>69749</v>
      </c>
      <c r="N25" s="18" t="s">
        <v>53</v>
      </c>
      <c r="O25" s="22" t="s">
        <v>129</v>
      </c>
      <c r="P25" s="23">
        <v>65</v>
      </c>
      <c r="Q25" s="22"/>
      <c r="R25" s="23">
        <v>65</v>
      </c>
      <c r="S25" s="24">
        <v>46054</v>
      </c>
      <c r="T25" s="23">
        <v>9.75</v>
      </c>
      <c r="U25" s="25">
        <v>4</v>
      </c>
      <c r="V25" s="23">
        <v>55.25</v>
      </c>
      <c r="W25" s="18" t="s">
        <v>47</v>
      </c>
      <c r="X25" s="18" t="s">
        <v>48</v>
      </c>
      <c r="Y25" s="18" t="s">
        <v>36</v>
      </c>
      <c r="Z25" s="18" t="s">
        <v>9</v>
      </c>
      <c r="AA25" s="18" t="s">
        <v>49</v>
      </c>
      <c r="AB25" s="18" t="s">
        <v>130</v>
      </c>
      <c r="AC25" s="18" t="s">
        <v>38</v>
      </c>
      <c r="AD25" s="7" t="s">
        <v>267</v>
      </c>
      <c r="AE25" s="26"/>
      <c r="AF25" s="26"/>
      <c r="AG25" s="26"/>
      <c r="AH25" s="26"/>
      <c r="AI25" s="26"/>
      <c r="AJ25" s="26"/>
      <c r="AK25" s="26"/>
      <c r="AL25" s="26"/>
      <c r="AM25" s="26"/>
      <c r="AN25" s="26"/>
      <c r="AO25" s="26"/>
      <c r="AP25" s="26"/>
      <c r="AQ25" s="26"/>
      <c r="AR25" s="26"/>
      <c r="AS25" s="26"/>
      <c r="AT25" s="26"/>
      <c r="AU25" s="26"/>
      <c r="AV25" s="26"/>
      <c r="AW25" s="26"/>
    </row>
    <row r="26" spans="1:49" s="17" customFormat="1" ht="31.5" x14ac:dyDescent="0.25">
      <c r="A26" s="18" t="s">
        <v>127</v>
      </c>
      <c r="B26" s="19">
        <v>46048</v>
      </c>
      <c r="C26" s="19">
        <v>46048</v>
      </c>
      <c r="D26" s="18" t="s">
        <v>30</v>
      </c>
      <c r="E26" s="20">
        <v>0.79166666666666663</v>
      </c>
      <c r="F26" s="20">
        <v>0.83333333333333337</v>
      </c>
      <c r="G26" s="20">
        <v>3.4722222222222218E-4</v>
      </c>
      <c r="H26" s="18" t="s">
        <v>141</v>
      </c>
      <c r="I26" s="21">
        <v>0.81104166666666666</v>
      </c>
      <c r="J26" s="18" t="s">
        <v>132</v>
      </c>
      <c r="K26" s="18" t="s">
        <v>131</v>
      </c>
      <c r="L26" s="22">
        <v>1</v>
      </c>
      <c r="M26" s="22">
        <v>69750</v>
      </c>
      <c r="N26" s="18" t="s">
        <v>53</v>
      </c>
      <c r="O26" s="22" t="s">
        <v>129</v>
      </c>
      <c r="P26" s="23">
        <v>65</v>
      </c>
      <c r="Q26" s="22"/>
      <c r="R26" s="23">
        <v>65</v>
      </c>
      <c r="S26" s="24">
        <v>46054</v>
      </c>
      <c r="T26" s="23">
        <v>9.75</v>
      </c>
      <c r="U26" s="25">
        <v>4</v>
      </c>
      <c r="V26" s="23">
        <v>55.25</v>
      </c>
      <c r="W26" s="18" t="s">
        <v>47</v>
      </c>
      <c r="X26" s="18" t="s">
        <v>48</v>
      </c>
      <c r="Y26" s="18" t="s">
        <v>36</v>
      </c>
      <c r="Z26" s="18" t="s">
        <v>9</v>
      </c>
      <c r="AA26" s="18" t="s">
        <v>49</v>
      </c>
      <c r="AB26" s="18" t="s">
        <v>130</v>
      </c>
      <c r="AC26" s="18" t="s">
        <v>38</v>
      </c>
      <c r="AD26" s="7" t="s">
        <v>267</v>
      </c>
      <c r="AE26" s="26"/>
      <c r="AF26" s="26"/>
      <c r="AG26" s="26"/>
      <c r="AH26" s="26"/>
      <c r="AI26" s="27"/>
      <c r="AJ26" s="27"/>
      <c r="AK26" s="27"/>
      <c r="AL26" s="27"/>
      <c r="AM26" s="27"/>
      <c r="AN26" s="27"/>
      <c r="AO26" s="27"/>
      <c r="AP26" s="27"/>
      <c r="AQ26" s="27"/>
      <c r="AR26" s="27"/>
      <c r="AS26" s="27"/>
      <c r="AT26" s="27"/>
      <c r="AU26" s="27"/>
      <c r="AV26" s="27"/>
      <c r="AW26" s="27"/>
    </row>
    <row r="27" spans="1:49" s="17" customFormat="1" ht="31.5" x14ac:dyDescent="0.25">
      <c r="A27" s="18" t="s">
        <v>127</v>
      </c>
      <c r="B27" s="19">
        <v>46049</v>
      </c>
      <c r="C27" s="19">
        <v>46049</v>
      </c>
      <c r="D27" s="18" t="s">
        <v>166</v>
      </c>
      <c r="E27" s="20">
        <v>0.54166666666666663</v>
      </c>
      <c r="F27" s="20">
        <v>0.58333333333333337</v>
      </c>
      <c r="G27" s="20">
        <v>3.4722222222222218E-4</v>
      </c>
      <c r="H27" s="18" t="s">
        <v>179</v>
      </c>
      <c r="I27" s="21">
        <v>0.58266469907407414</v>
      </c>
      <c r="J27" s="18" t="s">
        <v>105</v>
      </c>
      <c r="K27" s="18" t="s">
        <v>153</v>
      </c>
      <c r="L27" s="22">
        <v>1</v>
      </c>
      <c r="M27" s="22">
        <v>69748</v>
      </c>
      <c r="N27" s="18" t="s">
        <v>53</v>
      </c>
      <c r="O27" s="22" t="s">
        <v>129</v>
      </c>
      <c r="P27" s="23">
        <v>50</v>
      </c>
      <c r="Q27" s="22"/>
      <c r="R27" s="23">
        <v>50</v>
      </c>
      <c r="S27" s="24">
        <v>46054</v>
      </c>
      <c r="T27" s="23">
        <v>7.5</v>
      </c>
      <c r="U27" s="25">
        <v>4</v>
      </c>
      <c r="V27" s="23">
        <v>42.5</v>
      </c>
      <c r="W27" s="18" t="s">
        <v>47</v>
      </c>
      <c r="X27" s="18" t="s">
        <v>48</v>
      </c>
      <c r="Y27" s="18" t="s">
        <v>36</v>
      </c>
      <c r="Z27" s="18" t="s">
        <v>9</v>
      </c>
      <c r="AA27" s="18" t="s">
        <v>49</v>
      </c>
      <c r="AB27" s="18" t="s">
        <v>130</v>
      </c>
      <c r="AC27" s="18" t="s">
        <v>38</v>
      </c>
      <c r="AD27" s="7" t="s">
        <v>267</v>
      </c>
      <c r="AE27" s="31"/>
      <c r="AF27" s="31"/>
      <c r="AG27" s="31"/>
      <c r="AH27" s="31"/>
      <c r="AI27" s="30"/>
      <c r="AJ27" s="30"/>
      <c r="AK27" s="30"/>
      <c r="AL27" s="30"/>
      <c r="AM27" s="30"/>
      <c r="AN27" s="30"/>
      <c r="AO27" s="30"/>
      <c r="AP27" s="30"/>
      <c r="AQ27" s="30"/>
      <c r="AR27" s="30"/>
      <c r="AS27" s="30"/>
      <c r="AT27" s="30"/>
      <c r="AU27" s="30"/>
      <c r="AV27" s="30"/>
      <c r="AW27" s="30"/>
    </row>
    <row r="28" spans="1:49" s="17" customFormat="1" ht="31.5" x14ac:dyDescent="0.25">
      <c r="A28" s="18" t="s">
        <v>127</v>
      </c>
      <c r="B28" s="19">
        <v>46049</v>
      </c>
      <c r="C28" s="19">
        <v>46049</v>
      </c>
      <c r="D28" s="18" t="s">
        <v>166</v>
      </c>
      <c r="E28" s="20">
        <v>0.875</v>
      </c>
      <c r="F28" s="20">
        <v>0.97916666666666663</v>
      </c>
      <c r="G28" s="20">
        <v>3.4722222222222218E-4</v>
      </c>
      <c r="H28" s="18" t="s">
        <v>192</v>
      </c>
      <c r="I28" s="21">
        <v>0.88053240740740746</v>
      </c>
      <c r="J28" s="18" t="s">
        <v>41</v>
      </c>
      <c r="K28" s="18" t="s">
        <v>147</v>
      </c>
      <c r="L28" s="22">
        <v>1</v>
      </c>
      <c r="M28" s="22">
        <v>69753</v>
      </c>
      <c r="N28" s="18" t="s">
        <v>53</v>
      </c>
      <c r="O28" s="22" t="s">
        <v>129</v>
      </c>
      <c r="P28" s="23">
        <v>65</v>
      </c>
      <c r="Q28" s="22"/>
      <c r="R28" s="23">
        <v>65</v>
      </c>
      <c r="S28" s="24">
        <v>46054</v>
      </c>
      <c r="T28" s="23">
        <v>9.75</v>
      </c>
      <c r="U28" s="25">
        <v>4</v>
      </c>
      <c r="V28" s="23">
        <v>55.25</v>
      </c>
      <c r="W28" s="18" t="s">
        <v>47</v>
      </c>
      <c r="X28" s="18" t="s">
        <v>48</v>
      </c>
      <c r="Y28" s="18" t="s">
        <v>36</v>
      </c>
      <c r="Z28" s="18" t="s">
        <v>9</v>
      </c>
      <c r="AA28" s="18" t="s">
        <v>49</v>
      </c>
      <c r="AB28" s="18" t="s">
        <v>130</v>
      </c>
      <c r="AC28" s="18" t="s">
        <v>38</v>
      </c>
      <c r="AD28" s="7" t="s">
        <v>267</v>
      </c>
      <c r="AE28" s="26"/>
      <c r="AF28" s="26"/>
      <c r="AG28" s="26"/>
      <c r="AH28" s="26"/>
      <c r="AI28" s="27"/>
      <c r="AJ28" s="27"/>
      <c r="AK28" s="27"/>
      <c r="AL28" s="27"/>
      <c r="AM28" s="27"/>
      <c r="AN28" s="27"/>
      <c r="AO28" s="27"/>
      <c r="AP28" s="27"/>
      <c r="AQ28" s="27"/>
      <c r="AR28" s="27"/>
      <c r="AS28" s="27"/>
      <c r="AT28" s="27"/>
      <c r="AU28" s="27"/>
      <c r="AV28" s="27"/>
      <c r="AW28" s="27"/>
    </row>
    <row r="29" spans="1:49" s="17" customFormat="1" ht="31.5" x14ac:dyDescent="0.25">
      <c r="A29" s="18" t="s">
        <v>127</v>
      </c>
      <c r="B29" s="19">
        <v>46050</v>
      </c>
      <c r="C29" s="19">
        <v>46050</v>
      </c>
      <c r="D29" s="18" t="s">
        <v>196</v>
      </c>
      <c r="E29" s="20">
        <v>0.54166666666666663</v>
      </c>
      <c r="F29" s="20">
        <v>0.58333333333333337</v>
      </c>
      <c r="G29" s="20">
        <v>3.4722222222222218E-4</v>
      </c>
      <c r="H29" s="18" t="s">
        <v>179</v>
      </c>
      <c r="I29" s="21">
        <v>0.57616053240740739</v>
      </c>
      <c r="J29" s="18" t="s">
        <v>105</v>
      </c>
      <c r="K29" s="18" t="s">
        <v>153</v>
      </c>
      <c r="L29" s="22">
        <v>1</v>
      </c>
      <c r="M29" s="22">
        <v>69748</v>
      </c>
      <c r="N29" s="18" t="s">
        <v>53</v>
      </c>
      <c r="O29" s="22" t="s">
        <v>129</v>
      </c>
      <c r="P29" s="23">
        <v>50</v>
      </c>
      <c r="Q29" s="22"/>
      <c r="R29" s="23">
        <v>50</v>
      </c>
      <c r="S29" s="24">
        <v>46054</v>
      </c>
      <c r="T29" s="23">
        <v>7.5</v>
      </c>
      <c r="U29" s="25">
        <v>4</v>
      </c>
      <c r="V29" s="23">
        <v>42.5</v>
      </c>
      <c r="W29" s="18" t="s">
        <v>47</v>
      </c>
      <c r="X29" s="18" t="s">
        <v>48</v>
      </c>
      <c r="Y29" s="18" t="s">
        <v>36</v>
      </c>
      <c r="Z29" s="18" t="s">
        <v>9</v>
      </c>
      <c r="AA29" s="18" t="s">
        <v>49</v>
      </c>
      <c r="AB29" s="18" t="s">
        <v>130</v>
      </c>
      <c r="AC29" s="18" t="s">
        <v>38</v>
      </c>
      <c r="AD29" s="7" t="s">
        <v>267</v>
      </c>
      <c r="AE29" s="26"/>
      <c r="AF29" s="26"/>
      <c r="AG29" s="26"/>
      <c r="AH29" s="26"/>
      <c r="AI29" s="26"/>
      <c r="AJ29" s="26"/>
      <c r="AK29" s="26"/>
      <c r="AL29" s="26"/>
      <c r="AM29" s="26"/>
      <c r="AN29" s="26"/>
      <c r="AO29" s="26"/>
      <c r="AP29" s="26"/>
      <c r="AQ29" s="26"/>
      <c r="AR29" s="26"/>
      <c r="AS29" s="26"/>
      <c r="AT29" s="26"/>
      <c r="AU29" s="26"/>
      <c r="AV29" s="26"/>
      <c r="AW29" s="26"/>
    </row>
    <row r="30" spans="1:49" s="17" customFormat="1" ht="31.5" x14ac:dyDescent="0.25">
      <c r="A30" s="18" t="s">
        <v>127</v>
      </c>
      <c r="B30" s="19">
        <v>46050</v>
      </c>
      <c r="C30" s="19">
        <v>46050</v>
      </c>
      <c r="D30" s="18" t="s">
        <v>196</v>
      </c>
      <c r="E30" s="20">
        <v>0.77083333333333337</v>
      </c>
      <c r="F30" s="20">
        <v>0.79166666666666663</v>
      </c>
      <c r="G30" s="20">
        <v>3.4722222222222218E-4</v>
      </c>
      <c r="H30" s="18" t="s">
        <v>128</v>
      </c>
      <c r="I30" s="21">
        <v>0.79123981481481476</v>
      </c>
      <c r="J30" s="18" t="s">
        <v>120</v>
      </c>
      <c r="K30" s="18" t="s">
        <v>155</v>
      </c>
      <c r="L30" s="22">
        <v>1</v>
      </c>
      <c r="M30" s="22">
        <v>69749</v>
      </c>
      <c r="N30" s="18" t="s">
        <v>53</v>
      </c>
      <c r="O30" s="22" t="s">
        <v>129</v>
      </c>
      <c r="P30" s="23">
        <v>65</v>
      </c>
      <c r="Q30" s="22"/>
      <c r="R30" s="23">
        <v>65</v>
      </c>
      <c r="S30" s="24">
        <v>46054</v>
      </c>
      <c r="T30" s="23">
        <v>9.75</v>
      </c>
      <c r="U30" s="25">
        <v>4</v>
      </c>
      <c r="V30" s="23">
        <v>55.25</v>
      </c>
      <c r="W30" s="18" t="s">
        <v>47</v>
      </c>
      <c r="X30" s="18" t="s">
        <v>48</v>
      </c>
      <c r="Y30" s="18" t="s">
        <v>36</v>
      </c>
      <c r="Z30" s="18" t="s">
        <v>9</v>
      </c>
      <c r="AA30" s="18" t="s">
        <v>49</v>
      </c>
      <c r="AB30" s="18" t="s">
        <v>130</v>
      </c>
      <c r="AC30" s="18" t="s">
        <v>38</v>
      </c>
      <c r="AD30" s="7" t="s">
        <v>267</v>
      </c>
      <c r="AE30" s="33"/>
      <c r="AF30" s="33"/>
      <c r="AG30" s="33"/>
      <c r="AH30" s="33"/>
      <c r="AI30" s="30"/>
      <c r="AJ30" s="30"/>
      <c r="AK30" s="30"/>
      <c r="AL30" s="30"/>
      <c r="AM30" s="30"/>
      <c r="AN30" s="30"/>
      <c r="AO30" s="30"/>
      <c r="AP30" s="30"/>
      <c r="AQ30" s="30"/>
      <c r="AR30" s="30"/>
      <c r="AS30" s="30"/>
      <c r="AT30" s="30"/>
      <c r="AU30" s="30"/>
      <c r="AV30" s="30"/>
      <c r="AW30" s="30"/>
    </row>
    <row r="31" spans="1:49" s="17" customFormat="1" ht="31.5" x14ac:dyDescent="0.25">
      <c r="A31" s="18" t="s">
        <v>127</v>
      </c>
      <c r="B31" s="19">
        <v>46050</v>
      </c>
      <c r="C31" s="19">
        <v>46050</v>
      </c>
      <c r="D31" s="18" t="s">
        <v>196</v>
      </c>
      <c r="E31" s="20">
        <v>0.79166666666666663</v>
      </c>
      <c r="F31" s="20">
        <v>0.83333333333333337</v>
      </c>
      <c r="G31" s="20">
        <v>3.4722222222222218E-4</v>
      </c>
      <c r="H31" s="18" t="s">
        <v>141</v>
      </c>
      <c r="I31" s="21">
        <v>0.83175069444444438</v>
      </c>
      <c r="J31" s="18" t="s">
        <v>132</v>
      </c>
      <c r="K31" s="18" t="s">
        <v>156</v>
      </c>
      <c r="L31" s="22">
        <v>1</v>
      </c>
      <c r="M31" s="22">
        <v>69750</v>
      </c>
      <c r="N31" s="18" t="s">
        <v>53</v>
      </c>
      <c r="O31" s="22" t="s">
        <v>129</v>
      </c>
      <c r="P31" s="23">
        <v>65</v>
      </c>
      <c r="Q31" s="22"/>
      <c r="R31" s="23">
        <v>65</v>
      </c>
      <c r="S31" s="24">
        <v>46054</v>
      </c>
      <c r="T31" s="23">
        <v>9.75</v>
      </c>
      <c r="U31" s="25">
        <v>4</v>
      </c>
      <c r="V31" s="23">
        <v>55.25</v>
      </c>
      <c r="W31" s="18" t="s">
        <v>47</v>
      </c>
      <c r="X31" s="18" t="s">
        <v>48</v>
      </c>
      <c r="Y31" s="18" t="s">
        <v>36</v>
      </c>
      <c r="Z31" s="18" t="s">
        <v>9</v>
      </c>
      <c r="AA31" s="18" t="s">
        <v>49</v>
      </c>
      <c r="AB31" s="18" t="s">
        <v>130</v>
      </c>
      <c r="AC31" s="18" t="s">
        <v>38</v>
      </c>
      <c r="AD31" s="7" t="s">
        <v>267</v>
      </c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</row>
    <row r="32" spans="1:49" s="17" customFormat="1" ht="31.5" x14ac:dyDescent="0.25">
      <c r="A32" s="18" t="s">
        <v>127</v>
      </c>
      <c r="B32" s="19">
        <v>46050</v>
      </c>
      <c r="C32" s="19">
        <v>46050</v>
      </c>
      <c r="D32" s="18" t="s">
        <v>196</v>
      </c>
      <c r="E32" s="20">
        <v>0.83333333333333337</v>
      </c>
      <c r="F32" s="20">
        <v>0.875</v>
      </c>
      <c r="G32" s="20">
        <v>3.4722222222222218E-4</v>
      </c>
      <c r="H32" s="18" t="s">
        <v>192</v>
      </c>
      <c r="I32" s="21">
        <v>0.85407615740740728</v>
      </c>
      <c r="J32" s="18" t="s">
        <v>41</v>
      </c>
      <c r="K32" s="18" t="s">
        <v>157</v>
      </c>
      <c r="L32" s="22">
        <v>1</v>
      </c>
      <c r="M32" s="22">
        <v>69752</v>
      </c>
      <c r="N32" s="18" t="s">
        <v>53</v>
      </c>
      <c r="O32" s="22" t="s">
        <v>129</v>
      </c>
      <c r="P32" s="23">
        <v>65</v>
      </c>
      <c r="Q32" s="22"/>
      <c r="R32" s="23">
        <v>65</v>
      </c>
      <c r="S32" s="24">
        <v>46054</v>
      </c>
      <c r="T32" s="23">
        <v>9.75</v>
      </c>
      <c r="U32" s="25">
        <v>4</v>
      </c>
      <c r="V32" s="23">
        <v>55.25</v>
      </c>
      <c r="W32" s="18" t="s">
        <v>47</v>
      </c>
      <c r="X32" s="18" t="s">
        <v>48</v>
      </c>
      <c r="Y32" s="18" t="s">
        <v>36</v>
      </c>
      <c r="Z32" s="18" t="s">
        <v>9</v>
      </c>
      <c r="AA32" s="18" t="s">
        <v>49</v>
      </c>
      <c r="AB32" s="18" t="s">
        <v>130</v>
      </c>
      <c r="AC32" s="18" t="s">
        <v>38</v>
      </c>
      <c r="AD32" s="7" t="s">
        <v>267</v>
      </c>
      <c r="AE32" s="26"/>
      <c r="AF32" s="26"/>
      <c r="AG32" s="26"/>
      <c r="AH32" s="26"/>
      <c r="AI32" s="26"/>
      <c r="AJ32" s="26"/>
      <c r="AK32" s="26"/>
      <c r="AL32" s="26"/>
      <c r="AM32" s="26"/>
      <c r="AN32" s="26"/>
      <c r="AO32" s="26"/>
      <c r="AP32" s="26"/>
      <c r="AQ32" s="26"/>
      <c r="AR32" s="26"/>
      <c r="AS32" s="26"/>
      <c r="AT32" s="26"/>
      <c r="AU32" s="26"/>
      <c r="AV32" s="26"/>
      <c r="AW32" s="26"/>
    </row>
    <row r="33" spans="1:49" s="17" customFormat="1" ht="31.5" x14ac:dyDescent="0.25">
      <c r="A33" s="18" t="s">
        <v>127</v>
      </c>
      <c r="B33" s="19">
        <v>46050</v>
      </c>
      <c r="C33" s="19">
        <v>46050</v>
      </c>
      <c r="D33" s="18" t="s">
        <v>196</v>
      </c>
      <c r="E33" s="20">
        <v>0.875</v>
      </c>
      <c r="F33" s="20">
        <v>0.97916666666666663</v>
      </c>
      <c r="G33" s="20">
        <v>3.4722222222222218E-4</v>
      </c>
      <c r="H33" s="18" t="s">
        <v>192</v>
      </c>
      <c r="I33" s="21">
        <v>0.94667835648148146</v>
      </c>
      <c r="J33" s="18" t="s">
        <v>41</v>
      </c>
      <c r="K33" s="18" t="s">
        <v>206</v>
      </c>
      <c r="L33" s="22">
        <v>1</v>
      </c>
      <c r="M33" s="22">
        <v>69753</v>
      </c>
      <c r="N33" s="18" t="s">
        <v>53</v>
      </c>
      <c r="O33" s="22" t="s">
        <v>129</v>
      </c>
      <c r="P33" s="23">
        <v>65</v>
      </c>
      <c r="Q33" s="22"/>
      <c r="R33" s="23">
        <v>65</v>
      </c>
      <c r="S33" s="24">
        <v>46054</v>
      </c>
      <c r="T33" s="23">
        <v>9.75</v>
      </c>
      <c r="U33" s="25">
        <v>4</v>
      </c>
      <c r="V33" s="23">
        <v>55.25</v>
      </c>
      <c r="W33" s="18" t="s">
        <v>47</v>
      </c>
      <c r="X33" s="18" t="s">
        <v>48</v>
      </c>
      <c r="Y33" s="18" t="s">
        <v>36</v>
      </c>
      <c r="Z33" s="18" t="s">
        <v>9</v>
      </c>
      <c r="AA33" s="18" t="s">
        <v>49</v>
      </c>
      <c r="AB33" s="18" t="s">
        <v>130</v>
      </c>
      <c r="AC33" s="18" t="s">
        <v>38</v>
      </c>
      <c r="AD33" s="7" t="s">
        <v>267</v>
      </c>
      <c r="AE33" s="26"/>
      <c r="AF33" s="26"/>
      <c r="AG33" s="26"/>
      <c r="AH33" s="26"/>
      <c r="AI33" s="26"/>
      <c r="AJ33" s="26"/>
      <c r="AK33" s="26"/>
      <c r="AL33" s="26"/>
      <c r="AM33" s="26"/>
      <c r="AN33" s="26"/>
      <c r="AO33" s="26"/>
      <c r="AP33" s="26"/>
      <c r="AQ33" s="26"/>
      <c r="AR33" s="26"/>
      <c r="AS33" s="26"/>
      <c r="AT33" s="26"/>
      <c r="AU33" s="26"/>
      <c r="AV33" s="26"/>
      <c r="AW33" s="26"/>
    </row>
    <row r="34" spans="1:49" s="17" customFormat="1" ht="31.5" x14ac:dyDescent="0.25">
      <c r="A34" s="18" t="s">
        <v>127</v>
      </c>
      <c r="B34" s="19">
        <v>46051</v>
      </c>
      <c r="C34" s="19">
        <v>46051</v>
      </c>
      <c r="D34" s="18" t="s">
        <v>207</v>
      </c>
      <c r="E34" s="20">
        <v>0.54166666666666663</v>
      </c>
      <c r="F34" s="20">
        <v>0.58333333333333337</v>
      </c>
      <c r="G34" s="20">
        <v>3.4722222222222218E-4</v>
      </c>
      <c r="H34" s="18" t="s">
        <v>179</v>
      </c>
      <c r="I34" s="21">
        <v>0.55471076388888896</v>
      </c>
      <c r="J34" s="18" t="s">
        <v>105</v>
      </c>
      <c r="K34" s="18" t="s">
        <v>152</v>
      </c>
      <c r="L34" s="22">
        <v>1</v>
      </c>
      <c r="M34" s="22">
        <v>69748</v>
      </c>
      <c r="N34" s="18" t="s">
        <v>53</v>
      </c>
      <c r="O34" s="22" t="s">
        <v>129</v>
      </c>
      <c r="P34" s="23">
        <v>50</v>
      </c>
      <c r="Q34" s="22"/>
      <c r="R34" s="23">
        <v>50</v>
      </c>
      <c r="S34" s="24">
        <v>46054</v>
      </c>
      <c r="T34" s="23">
        <v>7.5</v>
      </c>
      <c r="U34" s="25">
        <v>4</v>
      </c>
      <c r="V34" s="23">
        <v>42.5</v>
      </c>
      <c r="W34" s="18" t="s">
        <v>47</v>
      </c>
      <c r="X34" s="18" t="s">
        <v>48</v>
      </c>
      <c r="Y34" s="18" t="s">
        <v>36</v>
      </c>
      <c r="Z34" s="18" t="s">
        <v>9</v>
      </c>
      <c r="AA34" s="18" t="s">
        <v>49</v>
      </c>
      <c r="AB34" s="18" t="s">
        <v>130</v>
      </c>
      <c r="AC34" s="18" t="s">
        <v>38</v>
      </c>
      <c r="AD34" s="7" t="s">
        <v>267</v>
      </c>
      <c r="AE34" s="26"/>
      <c r="AF34" s="26"/>
      <c r="AG34" s="26"/>
      <c r="AH34" s="26"/>
      <c r="AI34" s="27"/>
      <c r="AJ34" s="27"/>
      <c r="AK34" s="27"/>
      <c r="AL34" s="27"/>
      <c r="AM34" s="27"/>
      <c r="AN34" s="27"/>
      <c r="AO34" s="27"/>
      <c r="AP34" s="27"/>
      <c r="AQ34" s="27"/>
      <c r="AR34" s="27"/>
      <c r="AS34" s="27"/>
      <c r="AT34" s="27"/>
      <c r="AU34" s="27"/>
      <c r="AV34" s="27"/>
      <c r="AW34" s="27"/>
    </row>
    <row r="35" spans="1:49" s="17" customFormat="1" ht="31.5" x14ac:dyDescent="0.25">
      <c r="A35" s="18" t="s">
        <v>127</v>
      </c>
      <c r="B35" s="19">
        <v>46051</v>
      </c>
      <c r="C35" s="19">
        <v>46051</v>
      </c>
      <c r="D35" s="18" t="s">
        <v>207</v>
      </c>
      <c r="E35" s="20">
        <v>0.77083333333333337</v>
      </c>
      <c r="F35" s="20">
        <v>0.79166666666666663</v>
      </c>
      <c r="G35" s="20">
        <v>3.4722222222222218E-4</v>
      </c>
      <c r="H35" s="18" t="s">
        <v>128</v>
      </c>
      <c r="I35" s="21">
        <v>0.78092812499999997</v>
      </c>
      <c r="J35" s="18" t="s">
        <v>120</v>
      </c>
      <c r="K35" s="18" t="s">
        <v>155</v>
      </c>
      <c r="L35" s="22">
        <v>1</v>
      </c>
      <c r="M35" s="22">
        <v>69749</v>
      </c>
      <c r="N35" s="18" t="s">
        <v>53</v>
      </c>
      <c r="O35" s="22" t="s">
        <v>129</v>
      </c>
      <c r="P35" s="23">
        <v>65</v>
      </c>
      <c r="Q35" s="22"/>
      <c r="R35" s="23">
        <v>65</v>
      </c>
      <c r="S35" s="24">
        <v>46054</v>
      </c>
      <c r="T35" s="23">
        <v>9.75</v>
      </c>
      <c r="U35" s="25">
        <v>4</v>
      </c>
      <c r="V35" s="23">
        <v>55.25</v>
      </c>
      <c r="W35" s="18" t="s">
        <v>47</v>
      </c>
      <c r="X35" s="18" t="s">
        <v>48</v>
      </c>
      <c r="Y35" s="18" t="s">
        <v>36</v>
      </c>
      <c r="Z35" s="18" t="s">
        <v>9</v>
      </c>
      <c r="AA35" s="18" t="s">
        <v>49</v>
      </c>
      <c r="AB35" s="18" t="s">
        <v>130</v>
      </c>
      <c r="AC35" s="18" t="s">
        <v>38</v>
      </c>
      <c r="AD35" s="7" t="s">
        <v>267</v>
      </c>
      <c r="AE35" s="26"/>
      <c r="AF35" s="26"/>
      <c r="AG35" s="26"/>
      <c r="AH35" s="26"/>
      <c r="AI35" s="30"/>
      <c r="AJ35" s="30"/>
      <c r="AK35" s="30"/>
      <c r="AL35" s="30"/>
      <c r="AM35" s="30"/>
      <c r="AN35" s="30"/>
      <c r="AO35" s="30"/>
      <c r="AP35" s="30"/>
      <c r="AQ35" s="30"/>
      <c r="AR35" s="30"/>
      <c r="AS35" s="30"/>
      <c r="AT35" s="30"/>
      <c r="AU35" s="30"/>
      <c r="AV35" s="30"/>
      <c r="AW35" s="30"/>
    </row>
    <row r="36" spans="1:49" s="17" customFormat="1" ht="31.5" x14ac:dyDescent="0.25">
      <c r="A36" s="18" t="s">
        <v>127</v>
      </c>
      <c r="B36" s="19">
        <v>46051</v>
      </c>
      <c r="C36" s="19">
        <v>46051</v>
      </c>
      <c r="D36" s="18" t="s">
        <v>207</v>
      </c>
      <c r="E36" s="20">
        <v>0.79166666666666663</v>
      </c>
      <c r="F36" s="20">
        <v>0.83333333333333337</v>
      </c>
      <c r="G36" s="20">
        <v>3.4722222222222218E-4</v>
      </c>
      <c r="H36" s="18" t="s">
        <v>141</v>
      </c>
      <c r="I36" s="21">
        <v>0.79970057870370381</v>
      </c>
      <c r="J36" s="18" t="s">
        <v>132</v>
      </c>
      <c r="K36" s="18" t="s">
        <v>131</v>
      </c>
      <c r="L36" s="22">
        <v>1</v>
      </c>
      <c r="M36" s="22">
        <v>69750</v>
      </c>
      <c r="N36" s="18" t="s">
        <v>53</v>
      </c>
      <c r="O36" s="22" t="s">
        <v>129</v>
      </c>
      <c r="P36" s="23">
        <v>65</v>
      </c>
      <c r="Q36" s="22"/>
      <c r="R36" s="23">
        <v>65</v>
      </c>
      <c r="S36" s="24">
        <v>46054</v>
      </c>
      <c r="T36" s="23">
        <v>9.75</v>
      </c>
      <c r="U36" s="25">
        <v>4</v>
      </c>
      <c r="V36" s="23">
        <v>55.25</v>
      </c>
      <c r="W36" s="18" t="s">
        <v>47</v>
      </c>
      <c r="X36" s="18" t="s">
        <v>48</v>
      </c>
      <c r="Y36" s="18" t="s">
        <v>36</v>
      </c>
      <c r="Z36" s="18" t="s">
        <v>9</v>
      </c>
      <c r="AA36" s="18" t="s">
        <v>49</v>
      </c>
      <c r="AB36" s="18" t="s">
        <v>130</v>
      </c>
      <c r="AC36" s="18" t="s">
        <v>38</v>
      </c>
      <c r="AD36" s="7" t="s">
        <v>267</v>
      </c>
      <c r="AE36" s="33"/>
      <c r="AF36" s="33"/>
      <c r="AG36" s="33"/>
      <c r="AH36" s="33"/>
      <c r="AI36" s="30"/>
      <c r="AJ36" s="30"/>
      <c r="AK36" s="30"/>
      <c r="AL36" s="30"/>
      <c r="AM36" s="30"/>
      <c r="AN36" s="30"/>
      <c r="AO36" s="30"/>
      <c r="AP36" s="30"/>
      <c r="AQ36" s="30"/>
      <c r="AR36" s="30"/>
      <c r="AS36" s="30"/>
      <c r="AT36" s="30"/>
      <c r="AU36" s="30"/>
      <c r="AV36" s="30"/>
      <c r="AW36" s="30"/>
    </row>
    <row r="37" spans="1:49" s="17" customFormat="1" ht="31.5" x14ac:dyDescent="0.25">
      <c r="A37" s="18" t="s">
        <v>127</v>
      </c>
      <c r="B37" s="19">
        <v>46051</v>
      </c>
      <c r="C37" s="19">
        <v>46051</v>
      </c>
      <c r="D37" s="18" t="s">
        <v>207</v>
      </c>
      <c r="E37" s="20">
        <v>0.83333333333333337</v>
      </c>
      <c r="F37" s="20">
        <v>0.875</v>
      </c>
      <c r="G37" s="20">
        <v>3.4722222222222218E-4</v>
      </c>
      <c r="H37" s="18" t="s">
        <v>192</v>
      </c>
      <c r="I37" s="21">
        <v>0.87118159722222221</v>
      </c>
      <c r="J37" s="18" t="s">
        <v>41</v>
      </c>
      <c r="K37" s="18" t="s">
        <v>157</v>
      </c>
      <c r="L37" s="22">
        <v>1</v>
      </c>
      <c r="M37" s="22">
        <v>69752</v>
      </c>
      <c r="N37" s="18" t="s">
        <v>53</v>
      </c>
      <c r="O37" s="22" t="s">
        <v>129</v>
      </c>
      <c r="P37" s="23">
        <v>65</v>
      </c>
      <c r="Q37" s="22"/>
      <c r="R37" s="23">
        <v>65</v>
      </c>
      <c r="S37" s="24">
        <v>46054</v>
      </c>
      <c r="T37" s="23">
        <v>9.75</v>
      </c>
      <c r="U37" s="25">
        <v>4</v>
      </c>
      <c r="V37" s="23">
        <v>55.25</v>
      </c>
      <c r="W37" s="18" t="s">
        <v>47</v>
      </c>
      <c r="X37" s="18" t="s">
        <v>48</v>
      </c>
      <c r="Y37" s="18" t="s">
        <v>36</v>
      </c>
      <c r="Z37" s="18" t="s">
        <v>9</v>
      </c>
      <c r="AA37" s="18" t="s">
        <v>49</v>
      </c>
      <c r="AB37" s="18" t="s">
        <v>130</v>
      </c>
      <c r="AC37" s="18" t="s">
        <v>38</v>
      </c>
      <c r="AD37" s="7" t="s">
        <v>267</v>
      </c>
      <c r="AE37" s="26"/>
      <c r="AF37" s="26"/>
      <c r="AG37" s="26"/>
      <c r="AH37" s="26"/>
      <c r="AI37" s="27"/>
      <c r="AJ37" s="27"/>
      <c r="AK37" s="27"/>
      <c r="AL37" s="27"/>
      <c r="AM37" s="27"/>
      <c r="AN37" s="27"/>
      <c r="AO37" s="27"/>
      <c r="AP37" s="27"/>
      <c r="AQ37" s="27"/>
      <c r="AR37" s="27"/>
      <c r="AS37" s="27"/>
      <c r="AT37" s="27"/>
      <c r="AU37" s="27"/>
      <c r="AV37" s="27"/>
      <c r="AW37" s="27"/>
    </row>
    <row r="38" spans="1:49" s="17" customFormat="1" ht="31.5" x14ac:dyDescent="0.25">
      <c r="A38" s="18" t="s">
        <v>127</v>
      </c>
      <c r="B38" s="19">
        <v>46051</v>
      </c>
      <c r="C38" s="19">
        <v>46051</v>
      </c>
      <c r="D38" s="18" t="s">
        <v>207</v>
      </c>
      <c r="E38" s="20">
        <v>0.875</v>
      </c>
      <c r="F38" s="20">
        <v>0.97916666666666663</v>
      </c>
      <c r="G38" s="20">
        <v>3.4722222222222218E-4</v>
      </c>
      <c r="H38" s="18" t="s">
        <v>192</v>
      </c>
      <c r="I38" s="21">
        <v>0.89945856481481479</v>
      </c>
      <c r="J38" s="18" t="s">
        <v>41</v>
      </c>
      <c r="K38" s="18" t="s">
        <v>147</v>
      </c>
      <c r="L38" s="22">
        <v>1</v>
      </c>
      <c r="M38" s="22">
        <v>69753</v>
      </c>
      <c r="N38" s="18" t="s">
        <v>53</v>
      </c>
      <c r="O38" s="22" t="s">
        <v>129</v>
      </c>
      <c r="P38" s="23">
        <v>65</v>
      </c>
      <c r="Q38" s="22"/>
      <c r="R38" s="23">
        <v>65</v>
      </c>
      <c r="S38" s="24">
        <v>46054</v>
      </c>
      <c r="T38" s="23">
        <v>9.75</v>
      </c>
      <c r="U38" s="25">
        <v>4</v>
      </c>
      <c r="V38" s="23">
        <v>55.25</v>
      </c>
      <c r="W38" s="18" t="s">
        <v>47</v>
      </c>
      <c r="X38" s="18" t="s">
        <v>48</v>
      </c>
      <c r="Y38" s="18" t="s">
        <v>36</v>
      </c>
      <c r="Z38" s="18" t="s">
        <v>9</v>
      </c>
      <c r="AA38" s="18" t="s">
        <v>49</v>
      </c>
      <c r="AB38" s="18" t="s">
        <v>130</v>
      </c>
      <c r="AC38" s="18" t="s">
        <v>38</v>
      </c>
      <c r="AD38" s="7" t="s">
        <v>267</v>
      </c>
      <c r="AE38" s="26"/>
      <c r="AF38" s="26"/>
      <c r="AG38" s="26"/>
      <c r="AH38" s="26"/>
      <c r="AI38" s="27"/>
      <c r="AJ38" s="27"/>
      <c r="AK38" s="27"/>
      <c r="AL38" s="27"/>
      <c r="AM38" s="27"/>
      <c r="AN38" s="27"/>
      <c r="AO38" s="27"/>
      <c r="AP38" s="27"/>
      <c r="AQ38" s="27"/>
      <c r="AR38" s="27"/>
      <c r="AS38" s="27"/>
      <c r="AT38" s="27"/>
      <c r="AU38" s="27"/>
      <c r="AV38" s="27"/>
      <c r="AW38" s="27"/>
    </row>
    <row r="39" spans="1:49" s="17" customFormat="1" ht="31.5" x14ac:dyDescent="0.25">
      <c r="A39" s="18" t="s">
        <v>127</v>
      </c>
      <c r="B39" s="19">
        <v>46052</v>
      </c>
      <c r="C39" s="19">
        <v>46052</v>
      </c>
      <c r="D39" s="18" t="s">
        <v>217</v>
      </c>
      <c r="E39" s="20">
        <v>0.79166666666666663</v>
      </c>
      <c r="F39" s="20">
        <v>0.99930555555555556</v>
      </c>
      <c r="G39" s="20">
        <v>3.4722222222222218E-4</v>
      </c>
      <c r="H39" s="18" t="s">
        <v>192</v>
      </c>
      <c r="I39" s="21">
        <v>0.93839236111111113</v>
      </c>
      <c r="J39" s="18" t="s">
        <v>41</v>
      </c>
      <c r="K39" s="18" t="s">
        <v>223</v>
      </c>
      <c r="L39" s="22">
        <v>1</v>
      </c>
      <c r="M39" s="22">
        <v>69751</v>
      </c>
      <c r="N39" s="18" t="s">
        <v>46</v>
      </c>
      <c r="O39" s="22" t="s">
        <v>129</v>
      </c>
      <c r="P39" s="23">
        <v>0</v>
      </c>
      <c r="Q39" s="22"/>
      <c r="R39" s="23">
        <v>0</v>
      </c>
      <c r="S39" s="24">
        <v>46054</v>
      </c>
      <c r="T39" s="23">
        <v>0</v>
      </c>
      <c r="U39" s="25">
        <v>4</v>
      </c>
      <c r="V39" s="23">
        <v>0</v>
      </c>
      <c r="W39" s="18" t="s">
        <v>47</v>
      </c>
      <c r="X39" s="18" t="s">
        <v>48</v>
      </c>
      <c r="Y39" s="18" t="s">
        <v>36</v>
      </c>
      <c r="Z39" s="18" t="s">
        <v>9</v>
      </c>
      <c r="AA39" s="18" t="s">
        <v>49</v>
      </c>
      <c r="AB39" s="18" t="s">
        <v>130</v>
      </c>
      <c r="AC39" s="18" t="s">
        <v>38</v>
      </c>
      <c r="AD39" s="7" t="s">
        <v>267</v>
      </c>
      <c r="AE39" s="26"/>
      <c r="AF39" s="26"/>
      <c r="AG39" s="26"/>
      <c r="AH39" s="26"/>
      <c r="AI39" s="26"/>
      <c r="AJ39" s="26"/>
      <c r="AK39" s="26"/>
      <c r="AL39" s="26"/>
      <c r="AM39" s="26"/>
      <c r="AN39" s="26"/>
      <c r="AO39" s="26"/>
      <c r="AP39" s="26"/>
      <c r="AQ39" s="26"/>
      <c r="AR39" s="26"/>
      <c r="AS39" s="26"/>
      <c r="AT39" s="26"/>
      <c r="AU39" s="26"/>
      <c r="AV39" s="26"/>
      <c r="AW39" s="26"/>
    </row>
    <row r="40" spans="1:49" s="17" customFormat="1" ht="31.5" x14ac:dyDescent="0.25">
      <c r="A40" s="18" t="s">
        <v>127</v>
      </c>
      <c r="B40" s="19">
        <v>46053</v>
      </c>
      <c r="C40" s="19">
        <v>46053</v>
      </c>
      <c r="D40" s="18" t="s">
        <v>224</v>
      </c>
      <c r="E40" s="20">
        <v>0.79166666666666663</v>
      </c>
      <c r="F40" s="20">
        <v>0.99930555555555556</v>
      </c>
      <c r="G40" s="20">
        <v>3.4722222222222218E-4</v>
      </c>
      <c r="H40" s="18" t="s">
        <v>192</v>
      </c>
      <c r="I40" s="21">
        <v>0.87435289351851853</v>
      </c>
      <c r="J40" s="18" t="s">
        <v>41</v>
      </c>
      <c r="K40" s="18" t="s">
        <v>157</v>
      </c>
      <c r="L40" s="22">
        <v>1</v>
      </c>
      <c r="M40" s="22">
        <v>69751</v>
      </c>
      <c r="N40" s="18" t="s">
        <v>46</v>
      </c>
      <c r="O40" s="22" t="s">
        <v>129</v>
      </c>
      <c r="P40" s="23">
        <v>0</v>
      </c>
      <c r="Q40" s="22"/>
      <c r="R40" s="23">
        <v>0</v>
      </c>
      <c r="S40" s="24">
        <v>46054</v>
      </c>
      <c r="T40" s="23">
        <v>0</v>
      </c>
      <c r="U40" s="25">
        <v>4</v>
      </c>
      <c r="V40" s="23">
        <v>0</v>
      </c>
      <c r="W40" s="18" t="s">
        <v>47</v>
      </c>
      <c r="X40" s="18" t="s">
        <v>48</v>
      </c>
      <c r="Y40" s="18" t="s">
        <v>36</v>
      </c>
      <c r="Z40" s="18" t="s">
        <v>9</v>
      </c>
      <c r="AA40" s="18" t="s">
        <v>49</v>
      </c>
      <c r="AB40" s="18" t="s">
        <v>130</v>
      </c>
      <c r="AC40" s="18" t="s">
        <v>38</v>
      </c>
      <c r="AD40" s="7" t="s">
        <v>267</v>
      </c>
      <c r="AE40" s="26"/>
      <c r="AF40" s="26"/>
      <c r="AG40" s="26"/>
      <c r="AH40" s="26"/>
      <c r="AI40" s="27"/>
      <c r="AJ40" s="27"/>
      <c r="AK40" s="27"/>
      <c r="AL40" s="27"/>
      <c r="AM40" s="27"/>
      <c r="AN40" s="27"/>
      <c r="AO40" s="27"/>
      <c r="AP40" s="27"/>
      <c r="AQ40" s="27"/>
      <c r="AR40" s="27"/>
      <c r="AS40" s="27"/>
      <c r="AT40" s="27"/>
      <c r="AU40" s="27"/>
      <c r="AV40" s="27"/>
      <c r="AW40" s="27"/>
    </row>
    <row r="41" spans="1:49" s="17" customFormat="1" ht="31.5" x14ac:dyDescent="0.25">
      <c r="A41" s="18" t="s">
        <v>127</v>
      </c>
      <c r="B41" s="19">
        <v>46053</v>
      </c>
      <c r="C41" s="19">
        <v>46053</v>
      </c>
      <c r="D41" s="18" t="s">
        <v>224</v>
      </c>
      <c r="E41" s="20">
        <v>0.83333333333333337</v>
      </c>
      <c r="F41" s="20">
        <v>0.875</v>
      </c>
      <c r="G41" s="20">
        <v>3.4722222222222218E-4</v>
      </c>
      <c r="H41" s="18" t="s">
        <v>192</v>
      </c>
      <c r="I41" s="21">
        <v>0.84332245370370362</v>
      </c>
      <c r="J41" s="18" t="s">
        <v>41</v>
      </c>
      <c r="K41" s="18" t="s">
        <v>157</v>
      </c>
      <c r="L41" s="22">
        <v>1</v>
      </c>
      <c r="M41" s="22">
        <v>69752</v>
      </c>
      <c r="N41" s="18" t="s">
        <v>53</v>
      </c>
      <c r="O41" s="22" t="s">
        <v>129</v>
      </c>
      <c r="P41" s="23">
        <v>65</v>
      </c>
      <c r="Q41" s="22"/>
      <c r="R41" s="23">
        <v>65</v>
      </c>
      <c r="S41" s="24">
        <v>46054</v>
      </c>
      <c r="T41" s="23">
        <v>9.75</v>
      </c>
      <c r="U41" s="25">
        <v>4</v>
      </c>
      <c r="V41" s="23">
        <v>55.25</v>
      </c>
      <c r="W41" s="18" t="s">
        <v>47</v>
      </c>
      <c r="X41" s="18" t="s">
        <v>48</v>
      </c>
      <c r="Y41" s="18" t="s">
        <v>36</v>
      </c>
      <c r="Z41" s="18" t="s">
        <v>9</v>
      </c>
      <c r="AA41" s="18" t="s">
        <v>49</v>
      </c>
      <c r="AB41" s="18" t="s">
        <v>130</v>
      </c>
      <c r="AC41" s="18" t="s">
        <v>38</v>
      </c>
      <c r="AD41" s="7" t="s">
        <v>267</v>
      </c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</row>
    <row r="42" spans="1:49" s="17" customFormat="1" ht="31.5" x14ac:dyDescent="0.25">
      <c r="A42" s="18" t="s">
        <v>127</v>
      </c>
      <c r="B42" s="19">
        <v>46054</v>
      </c>
      <c r="C42" s="19">
        <v>46054</v>
      </c>
      <c r="D42" s="18" t="s">
        <v>249</v>
      </c>
      <c r="E42" s="20">
        <v>0.79166666666666663</v>
      </c>
      <c r="F42" s="20">
        <v>0.99930555555555556</v>
      </c>
      <c r="G42" s="20">
        <v>3.4722222222222218E-4</v>
      </c>
      <c r="H42" s="18" t="s">
        <v>192</v>
      </c>
      <c r="I42" s="21">
        <v>0.85591435185185183</v>
      </c>
      <c r="J42" s="18" t="s">
        <v>41</v>
      </c>
      <c r="K42" s="18" t="s">
        <v>157</v>
      </c>
      <c r="L42" s="22">
        <v>1</v>
      </c>
      <c r="M42" s="22">
        <v>69751</v>
      </c>
      <c r="N42" s="18" t="s">
        <v>46</v>
      </c>
      <c r="O42" s="22" t="s">
        <v>129</v>
      </c>
      <c r="P42" s="23">
        <v>0</v>
      </c>
      <c r="Q42" s="22"/>
      <c r="R42" s="23">
        <v>0</v>
      </c>
      <c r="S42" s="24">
        <v>46054</v>
      </c>
      <c r="T42" s="23">
        <v>0</v>
      </c>
      <c r="U42" s="25">
        <v>4</v>
      </c>
      <c r="V42" s="23">
        <v>0</v>
      </c>
      <c r="W42" s="18" t="s">
        <v>47</v>
      </c>
      <c r="X42" s="18" t="s">
        <v>48</v>
      </c>
      <c r="Y42" s="18" t="s">
        <v>36</v>
      </c>
      <c r="Z42" s="18" t="s">
        <v>9</v>
      </c>
      <c r="AA42" s="18" t="s">
        <v>49</v>
      </c>
      <c r="AB42" s="18" t="s">
        <v>130</v>
      </c>
      <c r="AC42" s="18" t="s">
        <v>38</v>
      </c>
      <c r="AD42" s="7" t="s">
        <v>267</v>
      </c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</row>
    <row r="43" spans="1:49" s="17" customFormat="1" ht="31.5" x14ac:dyDescent="0.25">
      <c r="A43" s="18" t="s">
        <v>127</v>
      </c>
      <c r="B43" s="19">
        <v>46054</v>
      </c>
      <c r="C43" s="19">
        <v>46054</v>
      </c>
      <c r="D43" s="18" t="s">
        <v>249</v>
      </c>
      <c r="E43" s="20">
        <v>0.875</v>
      </c>
      <c r="F43" s="20">
        <v>0.99930555555555556</v>
      </c>
      <c r="G43" s="20">
        <v>3.4722222222222218E-4</v>
      </c>
      <c r="H43" s="18" t="s">
        <v>192</v>
      </c>
      <c r="I43" s="21">
        <v>0.93007048611111109</v>
      </c>
      <c r="J43" s="18" t="s">
        <v>41</v>
      </c>
      <c r="K43" s="18" t="s">
        <v>193</v>
      </c>
      <c r="L43" s="22">
        <v>1</v>
      </c>
      <c r="M43" s="22">
        <v>69754</v>
      </c>
      <c r="N43" s="18" t="s">
        <v>53</v>
      </c>
      <c r="O43" s="22" t="s">
        <v>129</v>
      </c>
      <c r="P43" s="23">
        <v>65</v>
      </c>
      <c r="Q43" s="22"/>
      <c r="R43" s="23">
        <v>65</v>
      </c>
      <c r="S43" s="24">
        <v>46054</v>
      </c>
      <c r="T43" s="23">
        <v>9.75</v>
      </c>
      <c r="U43" s="25">
        <v>4</v>
      </c>
      <c r="V43" s="23">
        <v>55.25</v>
      </c>
      <c r="W43" s="18" t="s">
        <v>47</v>
      </c>
      <c r="X43" s="18" t="s">
        <v>48</v>
      </c>
      <c r="Y43" s="18" t="s">
        <v>36</v>
      </c>
      <c r="Z43" s="18" t="s">
        <v>9</v>
      </c>
      <c r="AA43" s="18" t="s">
        <v>49</v>
      </c>
      <c r="AB43" s="18" t="s">
        <v>130</v>
      </c>
      <c r="AC43" s="18" t="s">
        <v>38</v>
      </c>
      <c r="AD43" s="7" t="s">
        <v>267</v>
      </c>
      <c r="AE43" s="34"/>
      <c r="AF43" s="34"/>
      <c r="AG43" s="34"/>
      <c r="AH43" s="34"/>
      <c r="AI43" s="30"/>
      <c r="AJ43" s="30"/>
      <c r="AK43" s="30"/>
      <c r="AL43" s="30"/>
      <c r="AM43" s="30"/>
      <c r="AN43" s="30"/>
      <c r="AO43" s="30"/>
      <c r="AP43" s="30"/>
      <c r="AQ43" s="30"/>
      <c r="AR43" s="30"/>
      <c r="AS43" s="30"/>
      <c r="AT43" s="30"/>
      <c r="AU43" s="30"/>
      <c r="AV43" s="30"/>
      <c r="AW43" s="30"/>
    </row>
    <row r="44" spans="1:49" s="17" customFormat="1" ht="31.5" x14ac:dyDescent="0.25">
      <c r="A44" s="18" t="s">
        <v>82</v>
      </c>
      <c r="B44" s="19">
        <v>46048</v>
      </c>
      <c r="C44" s="19">
        <v>46048</v>
      </c>
      <c r="D44" s="18" t="s">
        <v>30</v>
      </c>
      <c r="E44" s="20">
        <v>0.45833333333333331</v>
      </c>
      <c r="F44" s="20">
        <v>0.5</v>
      </c>
      <c r="G44" s="20">
        <v>3.4722222222222218E-4</v>
      </c>
      <c r="H44" s="18" t="s">
        <v>83</v>
      </c>
      <c r="I44" s="21">
        <v>0.46377314814814813</v>
      </c>
      <c r="J44" s="18" t="s">
        <v>80</v>
      </c>
      <c r="K44" s="18" t="s">
        <v>76</v>
      </c>
      <c r="L44" s="22">
        <v>1</v>
      </c>
      <c r="M44" s="22">
        <v>70166</v>
      </c>
      <c r="N44" s="18" t="s">
        <v>53</v>
      </c>
      <c r="O44" s="22" t="s">
        <v>84</v>
      </c>
      <c r="P44" s="23">
        <v>35</v>
      </c>
      <c r="Q44" s="22"/>
      <c r="R44" s="23">
        <v>35</v>
      </c>
      <c r="S44" s="24">
        <v>46048</v>
      </c>
      <c r="T44" s="23">
        <v>0</v>
      </c>
      <c r="U44" s="25">
        <v>4</v>
      </c>
      <c r="V44" s="23">
        <v>35</v>
      </c>
      <c r="W44" s="18" t="s">
        <v>47</v>
      </c>
      <c r="X44" s="18" t="s">
        <v>48</v>
      </c>
      <c r="Y44" s="18" t="s">
        <v>58</v>
      </c>
      <c r="Z44" s="18" t="s">
        <v>43</v>
      </c>
      <c r="AA44" s="18" t="s">
        <v>49</v>
      </c>
      <c r="AB44" s="18" t="s">
        <v>85</v>
      </c>
      <c r="AC44" s="18" t="s">
        <v>38</v>
      </c>
      <c r="AD44" s="7" t="s">
        <v>267</v>
      </c>
      <c r="AE44" s="26"/>
      <c r="AF44" s="26"/>
      <c r="AG44" s="26"/>
      <c r="AH44" s="26"/>
      <c r="AI44" s="26"/>
      <c r="AJ44" s="26"/>
      <c r="AK44" s="26"/>
      <c r="AL44" s="26"/>
      <c r="AM44" s="26"/>
      <c r="AN44" s="26"/>
      <c r="AO44" s="26"/>
      <c r="AP44" s="26"/>
      <c r="AQ44" s="26"/>
      <c r="AR44" s="26"/>
      <c r="AS44" s="26"/>
      <c r="AT44" s="26"/>
      <c r="AU44" s="26"/>
      <c r="AV44" s="26"/>
      <c r="AW44" s="26"/>
    </row>
    <row r="45" spans="1:49" s="17" customFormat="1" ht="31.5" x14ac:dyDescent="0.25">
      <c r="A45" s="18" t="s">
        <v>82</v>
      </c>
      <c r="B45" s="19">
        <v>46048</v>
      </c>
      <c r="C45" s="19">
        <v>46048</v>
      </c>
      <c r="D45" s="18" t="s">
        <v>30</v>
      </c>
      <c r="E45" s="20">
        <v>0.45833333333333331</v>
      </c>
      <c r="F45" s="20">
        <v>0.54166666666666663</v>
      </c>
      <c r="G45" s="20">
        <v>3.4722222222222218E-4</v>
      </c>
      <c r="H45" s="18" t="s">
        <v>83</v>
      </c>
      <c r="I45" s="21">
        <v>0.46796296296296297</v>
      </c>
      <c r="J45" s="18" t="s">
        <v>80</v>
      </c>
      <c r="K45" s="18" t="s">
        <v>76</v>
      </c>
      <c r="L45" s="22">
        <v>1</v>
      </c>
      <c r="M45" s="22">
        <v>70168</v>
      </c>
      <c r="N45" s="18" t="s">
        <v>46</v>
      </c>
      <c r="O45" s="22" t="s">
        <v>84</v>
      </c>
      <c r="P45" s="23">
        <v>0</v>
      </c>
      <c r="Q45" s="22"/>
      <c r="R45" s="23">
        <v>0</v>
      </c>
      <c r="S45" s="24">
        <v>46048</v>
      </c>
      <c r="T45" s="23">
        <v>0</v>
      </c>
      <c r="U45" s="25">
        <v>4</v>
      </c>
      <c r="V45" s="23">
        <v>0</v>
      </c>
      <c r="W45" s="18" t="s">
        <v>47</v>
      </c>
      <c r="X45" s="18" t="s">
        <v>48</v>
      </c>
      <c r="Y45" s="18" t="s">
        <v>58</v>
      </c>
      <c r="Z45" s="18" t="s">
        <v>43</v>
      </c>
      <c r="AA45" s="18" t="s">
        <v>49</v>
      </c>
      <c r="AB45" s="18" t="s">
        <v>85</v>
      </c>
      <c r="AC45" s="18" t="s">
        <v>38</v>
      </c>
      <c r="AD45" s="7" t="s">
        <v>267</v>
      </c>
      <c r="AE45" s="26"/>
      <c r="AF45" s="26"/>
      <c r="AG45" s="26"/>
      <c r="AH45" s="26"/>
      <c r="AI45" s="27"/>
      <c r="AJ45" s="27"/>
      <c r="AK45" s="27"/>
      <c r="AL45" s="27"/>
      <c r="AM45" s="27"/>
      <c r="AN45" s="27"/>
      <c r="AO45" s="27"/>
      <c r="AP45" s="27"/>
      <c r="AQ45" s="27"/>
      <c r="AR45" s="27"/>
      <c r="AS45" s="27"/>
      <c r="AT45" s="27"/>
      <c r="AU45" s="27"/>
      <c r="AV45" s="27"/>
      <c r="AW45" s="27"/>
    </row>
    <row r="46" spans="1:49" s="17" customFormat="1" ht="31.5" x14ac:dyDescent="0.25">
      <c r="A46" s="18" t="s">
        <v>82</v>
      </c>
      <c r="B46" s="19">
        <v>46048</v>
      </c>
      <c r="C46" s="19">
        <v>46048</v>
      </c>
      <c r="D46" s="18" t="s">
        <v>30</v>
      </c>
      <c r="E46" s="20">
        <v>0.45833333333333331</v>
      </c>
      <c r="F46" s="20">
        <v>0.5</v>
      </c>
      <c r="G46" s="20">
        <v>3.4722222222222218E-4</v>
      </c>
      <c r="H46" s="18" t="s">
        <v>83</v>
      </c>
      <c r="I46" s="21">
        <v>0.46900462962962963</v>
      </c>
      <c r="J46" s="18" t="s">
        <v>80</v>
      </c>
      <c r="K46" s="18" t="s">
        <v>76</v>
      </c>
      <c r="L46" s="22">
        <v>1</v>
      </c>
      <c r="M46" s="22">
        <v>70166</v>
      </c>
      <c r="N46" s="18" t="s">
        <v>53</v>
      </c>
      <c r="O46" s="22" t="s">
        <v>84</v>
      </c>
      <c r="P46" s="23">
        <v>35</v>
      </c>
      <c r="Q46" s="22"/>
      <c r="R46" s="23">
        <v>35</v>
      </c>
      <c r="S46" s="24">
        <v>46048</v>
      </c>
      <c r="T46" s="23">
        <v>0</v>
      </c>
      <c r="U46" s="25">
        <v>4</v>
      </c>
      <c r="V46" s="23">
        <v>35</v>
      </c>
      <c r="W46" s="18" t="s">
        <v>47</v>
      </c>
      <c r="X46" s="18" t="s">
        <v>48</v>
      </c>
      <c r="Y46" s="18" t="s">
        <v>58</v>
      </c>
      <c r="Z46" s="18" t="s">
        <v>43</v>
      </c>
      <c r="AA46" s="18" t="s">
        <v>49</v>
      </c>
      <c r="AB46" s="18" t="s">
        <v>85</v>
      </c>
      <c r="AC46" s="18" t="s">
        <v>38</v>
      </c>
      <c r="AD46" s="7" t="s">
        <v>267</v>
      </c>
      <c r="AE46" s="26"/>
      <c r="AF46" s="26"/>
      <c r="AG46" s="26"/>
      <c r="AH46" s="26"/>
      <c r="AI46" s="27"/>
      <c r="AJ46" s="27"/>
      <c r="AK46" s="27"/>
      <c r="AL46" s="27"/>
      <c r="AM46" s="27"/>
      <c r="AN46" s="27"/>
      <c r="AO46" s="27"/>
      <c r="AP46" s="27"/>
      <c r="AQ46" s="27"/>
      <c r="AR46" s="27"/>
      <c r="AS46" s="27"/>
      <c r="AT46" s="27"/>
      <c r="AU46" s="27"/>
      <c r="AV46" s="27"/>
      <c r="AW46" s="27"/>
    </row>
    <row r="47" spans="1:49" s="17" customFormat="1" ht="31.5" x14ac:dyDescent="0.25">
      <c r="A47" s="18" t="s">
        <v>82</v>
      </c>
      <c r="B47" s="19">
        <v>46048</v>
      </c>
      <c r="C47" s="19">
        <v>46048</v>
      </c>
      <c r="D47" s="18" t="s">
        <v>30</v>
      </c>
      <c r="E47" s="20">
        <v>0.45833333333333331</v>
      </c>
      <c r="F47" s="20">
        <v>0.5</v>
      </c>
      <c r="G47" s="20">
        <v>3.4722222222222218E-4</v>
      </c>
      <c r="H47" s="18" t="s">
        <v>83</v>
      </c>
      <c r="I47" s="21">
        <v>0.47819444444444442</v>
      </c>
      <c r="J47" s="18" t="s">
        <v>80</v>
      </c>
      <c r="K47" s="18" t="s">
        <v>76</v>
      </c>
      <c r="L47" s="22">
        <v>1</v>
      </c>
      <c r="M47" s="22">
        <v>70166</v>
      </c>
      <c r="N47" s="18" t="s">
        <v>53</v>
      </c>
      <c r="O47" s="22" t="s">
        <v>84</v>
      </c>
      <c r="P47" s="23">
        <v>35</v>
      </c>
      <c r="Q47" s="22"/>
      <c r="R47" s="23">
        <v>35</v>
      </c>
      <c r="S47" s="24">
        <v>46048</v>
      </c>
      <c r="T47" s="23">
        <v>0</v>
      </c>
      <c r="U47" s="25">
        <v>4</v>
      </c>
      <c r="V47" s="23">
        <v>35</v>
      </c>
      <c r="W47" s="18" t="s">
        <v>47</v>
      </c>
      <c r="X47" s="18" t="s">
        <v>48</v>
      </c>
      <c r="Y47" s="18" t="s">
        <v>58</v>
      </c>
      <c r="Z47" s="18" t="s">
        <v>43</v>
      </c>
      <c r="AA47" s="18" t="s">
        <v>49</v>
      </c>
      <c r="AB47" s="18" t="s">
        <v>85</v>
      </c>
      <c r="AC47" s="18" t="s">
        <v>38</v>
      </c>
      <c r="AD47" s="7" t="s">
        <v>267</v>
      </c>
      <c r="AI47" s="30"/>
      <c r="AJ47" s="30"/>
      <c r="AK47" s="30"/>
      <c r="AL47" s="30"/>
      <c r="AM47" s="30"/>
      <c r="AN47" s="30"/>
      <c r="AO47" s="30"/>
      <c r="AP47" s="30"/>
      <c r="AQ47" s="30"/>
      <c r="AR47" s="30"/>
      <c r="AS47" s="30"/>
      <c r="AT47" s="30"/>
      <c r="AU47" s="30"/>
      <c r="AV47" s="30"/>
      <c r="AW47" s="30"/>
    </row>
    <row r="48" spans="1:49" s="17" customFormat="1" ht="31.5" x14ac:dyDescent="0.25">
      <c r="A48" s="18" t="s">
        <v>82</v>
      </c>
      <c r="B48" s="19">
        <v>46048</v>
      </c>
      <c r="C48" s="19">
        <v>46048</v>
      </c>
      <c r="D48" s="18" t="s">
        <v>30</v>
      </c>
      <c r="E48" s="20">
        <v>0.45833333333333331</v>
      </c>
      <c r="F48" s="20">
        <v>0.5</v>
      </c>
      <c r="G48" s="20">
        <v>3.4722222222222218E-4</v>
      </c>
      <c r="H48" s="18" t="s">
        <v>83</v>
      </c>
      <c r="I48" s="21">
        <v>0.48223379629629631</v>
      </c>
      <c r="J48" s="18" t="s">
        <v>80</v>
      </c>
      <c r="K48" s="18" t="s">
        <v>150</v>
      </c>
      <c r="L48" s="22">
        <v>1</v>
      </c>
      <c r="M48" s="22">
        <v>70166</v>
      </c>
      <c r="N48" s="18" t="s">
        <v>53</v>
      </c>
      <c r="O48" s="22" t="s">
        <v>84</v>
      </c>
      <c r="P48" s="23">
        <v>35</v>
      </c>
      <c r="Q48" s="22"/>
      <c r="R48" s="23">
        <v>35</v>
      </c>
      <c r="S48" s="24">
        <v>46048</v>
      </c>
      <c r="T48" s="23">
        <v>0</v>
      </c>
      <c r="U48" s="25">
        <v>4</v>
      </c>
      <c r="V48" s="23">
        <v>35</v>
      </c>
      <c r="W48" s="18" t="s">
        <v>47</v>
      </c>
      <c r="X48" s="18" t="s">
        <v>48</v>
      </c>
      <c r="Y48" s="18" t="s">
        <v>58</v>
      </c>
      <c r="Z48" s="18" t="s">
        <v>43</v>
      </c>
      <c r="AA48" s="18" t="s">
        <v>49</v>
      </c>
      <c r="AB48" s="18" t="s">
        <v>85</v>
      </c>
      <c r="AC48" s="18" t="s">
        <v>38</v>
      </c>
      <c r="AD48" s="7" t="s">
        <v>267</v>
      </c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</row>
    <row r="49" spans="1:49" s="17" customFormat="1" ht="31.5" x14ac:dyDescent="0.25">
      <c r="A49" s="18" t="s">
        <v>82</v>
      </c>
      <c r="B49" s="19">
        <v>46048</v>
      </c>
      <c r="C49" s="19">
        <v>46048</v>
      </c>
      <c r="D49" s="18" t="s">
        <v>30</v>
      </c>
      <c r="E49" s="20">
        <v>0.45833333333333331</v>
      </c>
      <c r="F49" s="20">
        <v>0.54166666666666663</v>
      </c>
      <c r="G49" s="20">
        <v>3.4722222222222218E-4</v>
      </c>
      <c r="H49" s="18" t="s">
        <v>83</v>
      </c>
      <c r="I49" s="21">
        <v>0.53460648148148149</v>
      </c>
      <c r="J49" s="18" t="s">
        <v>80</v>
      </c>
      <c r="K49" s="18" t="s">
        <v>151</v>
      </c>
      <c r="L49" s="22">
        <v>1</v>
      </c>
      <c r="M49" s="22">
        <v>70168</v>
      </c>
      <c r="N49" s="18" t="s">
        <v>46</v>
      </c>
      <c r="O49" s="22" t="s">
        <v>84</v>
      </c>
      <c r="P49" s="23">
        <v>0</v>
      </c>
      <c r="Q49" s="22"/>
      <c r="R49" s="23">
        <v>0</v>
      </c>
      <c r="S49" s="24">
        <v>46048</v>
      </c>
      <c r="T49" s="23">
        <v>0</v>
      </c>
      <c r="U49" s="25">
        <v>4</v>
      </c>
      <c r="V49" s="23">
        <v>0</v>
      </c>
      <c r="W49" s="18" t="s">
        <v>47</v>
      </c>
      <c r="X49" s="18" t="s">
        <v>48</v>
      </c>
      <c r="Y49" s="18" t="s">
        <v>58</v>
      </c>
      <c r="Z49" s="18" t="s">
        <v>43</v>
      </c>
      <c r="AA49" s="18" t="s">
        <v>49</v>
      </c>
      <c r="AB49" s="18" t="s">
        <v>85</v>
      </c>
      <c r="AC49" s="18" t="s">
        <v>38</v>
      </c>
      <c r="AD49" s="7" t="s">
        <v>267</v>
      </c>
      <c r="AE49" s="26"/>
      <c r="AF49" s="26"/>
      <c r="AG49" s="26"/>
      <c r="AH49" s="26"/>
      <c r="AI49" s="27"/>
      <c r="AJ49" s="27"/>
      <c r="AK49" s="27"/>
      <c r="AL49" s="27"/>
      <c r="AM49" s="27"/>
      <c r="AN49" s="27"/>
      <c r="AO49" s="27"/>
      <c r="AP49" s="27"/>
      <c r="AQ49" s="27"/>
      <c r="AR49" s="27"/>
      <c r="AS49" s="27"/>
      <c r="AT49" s="27"/>
      <c r="AU49" s="27"/>
      <c r="AV49" s="27"/>
      <c r="AW49" s="27"/>
    </row>
    <row r="50" spans="1:49" s="17" customFormat="1" ht="31.5" x14ac:dyDescent="0.25">
      <c r="A50" s="18" t="s">
        <v>82</v>
      </c>
      <c r="B50" s="19">
        <v>46048</v>
      </c>
      <c r="C50" s="19">
        <v>46048</v>
      </c>
      <c r="D50" s="18" t="s">
        <v>30</v>
      </c>
      <c r="E50" s="20">
        <v>0.5</v>
      </c>
      <c r="F50" s="20">
        <v>0.54166666666666663</v>
      </c>
      <c r="G50" s="20">
        <v>3.4722222222222218E-4</v>
      </c>
      <c r="H50" s="18" t="s">
        <v>83</v>
      </c>
      <c r="I50" s="21">
        <v>0.505462962962963</v>
      </c>
      <c r="J50" s="18" t="s">
        <v>80</v>
      </c>
      <c r="K50" s="18" t="s">
        <v>151</v>
      </c>
      <c r="L50" s="22">
        <v>1</v>
      </c>
      <c r="M50" s="22">
        <v>70167</v>
      </c>
      <c r="N50" s="18" t="s">
        <v>53</v>
      </c>
      <c r="O50" s="22" t="s">
        <v>84</v>
      </c>
      <c r="P50" s="23">
        <v>35</v>
      </c>
      <c r="Q50" s="22"/>
      <c r="R50" s="23">
        <v>35</v>
      </c>
      <c r="S50" s="24">
        <v>46048</v>
      </c>
      <c r="T50" s="23">
        <v>0</v>
      </c>
      <c r="U50" s="25">
        <v>4</v>
      </c>
      <c r="V50" s="23">
        <v>35</v>
      </c>
      <c r="W50" s="18" t="s">
        <v>47</v>
      </c>
      <c r="X50" s="18" t="s">
        <v>48</v>
      </c>
      <c r="Y50" s="18" t="s">
        <v>58</v>
      </c>
      <c r="Z50" s="18" t="s">
        <v>43</v>
      </c>
      <c r="AA50" s="18" t="s">
        <v>49</v>
      </c>
      <c r="AB50" s="18" t="s">
        <v>85</v>
      </c>
      <c r="AC50" s="18" t="s">
        <v>38</v>
      </c>
      <c r="AD50" s="7" t="s">
        <v>267</v>
      </c>
      <c r="AE50" s="26"/>
      <c r="AF50" s="26"/>
      <c r="AG50" s="26"/>
      <c r="AH50" s="26"/>
      <c r="AI50" s="27"/>
      <c r="AJ50" s="27"/>
      <c r="AK50" s="27"/>
      <c r="AL50" s="27"/>
      <c r="AM50" s="27"/>
      <c r="AN50" s="27"/>
      <c r="AO50" s="27"/>
      <c r="AP50" s="27"/>
      <c r="AQ50" s="27"/>
      <c r="AR50" s="27"/>
      <c r="AS50" s="27"/>
      <c r="AT50" s="27"/>
      <c r="AU50" s="27"/>
      <c r="AV50" s="27"/>
      <c r="AW50" s="27"/>
    </row>
    <row r="51" spans="1:49" s="17" customFormat="1" ht="31.5" x14ac:dyDescent="0.25">
      <c r="A51" s="18" t="s">
        <v>82</v>
      </c>
      <c r="B51" s="19">
        <v>46048</v>
      </c>
      <c r="C51" s="19">
        <v>46048</v>
      </c>
      <c r="D51" s="18" t="s">
        <v>30</v>
      </c>
      <c r="E51" s="20">
        <v>0.5</v>
      </c>
      <c r="F51" s="20">
        <v>0.54166666666666663</v>
      </c>
      <c r="G51" s="20">
        <v>3.4722222222222218E-4</v>
      </c>
      <c r="H51" s="18" t="s">
        <v>83</v>
      </c>
      <c r="I51" s="21">
        <v>0.51295138888888892</v>
      </c>
      <c r="J51" s="18" t="s">
        <v>80</v>
      </c>
      <c r="K51" s="18" t="s">
        <v>151</v>
      </c>
      <c r="L51" s="22">
        <v>1</v>
      </c>
      <c r="M51" s="22">
        <v>70167</v>
      </c>
      <c r="N51" s="18" t="s">
        <v>53</v>
      </c>
      <c r="O51" s="22" t="s">
        <v>84</v>
      </c>
      <c r="P51" s="23">
        <v>35</v>
      </c>
      <c r="Q51" s="22"/>
      <c r="R51" s="23">
        <v>35</v>
      </c>
      <c r="S51" s="24">
        <v>46048</v>
      </c>
      <c r="T51" s="23">
        <v>0</v>
      </c>
      <c r="U51" s="25">
        <v>4</v>
      </c>
      <c r="V51" s="23">
        <v>35</v>
      </c>
      <c r="W51" s="18" t="s">
        <v>47</v>
      </c>
      <c r="X51" s="18" t="s">
        <v>48</v>
      </c>
      <c r="Y51" s="18" t="s">
        <v>58</v>
      </c>
      <c r="Z51" s="18" t="s">
        <v>43</v>
      </c>
      <c r="AA51" s="18" t="s">
        <v>49</v>
      </c>
      <c r="AB51" s="18" t="s">
        <v>85</v>
      </c>
      <c r="AC51" s="18" t="s">
        <v>38</v>
      </c>
      <c r="AD51" s="7" t="s">
        <v>267</v>
      </c>
      <c r="AE51" s="26"/>
      <c r="AF51" s="26"/>
      <c r="AG51" s="26"/>
      <c r="AH51" s="26"/>
      <c r="AI51" s="27"/>
      <c r="AJ51" s="27"/>
      <c r="AK51" s="27"/>
      <c r="AL51" s="27"/>
      <c r="AM51" s="27"/>
      <c r="AN51" s="27"/>
      <c r="AO51" s="27"/>
      <c r="AP51" s="27"/>
      <c r="AQ51" s="27"/>
      <c r="AR51" s="27"/>
      <c r="AS51" s="27"/>
      <c r="AT51" s="27"/>
      <c r="AU51" s="27"/>
      <c r="AV51" s="27"/>
      <c r="AW51" s="27"/>
    </row>
    <row r="52" spans="1:49" ht="31.5" x14ac:dyDescent="0.25">
      <c r="A52" s="56" t="s">
        <v>82</v>
      </c>
      <c r="B52" s="59">
        <v>46048</v>
      </c>
      <c r="C52" s="59">
        <v>46048</v>
      </c>
      <c r="D52" s="56" t="s">
        <v>30</v>
      </c>
      <c r="E52" s="62">
        <v>0.5</v>
      </c>
      <c r="F52" s="62">
        <v>0.54166666666666663</v>
      </c>
      <c r="G52" s="62">
        <v>3.4722222222222218E-4</v>
      </c>
      <c r="H52" s="56" t="s">
        <v>83</v>
      </c>
      <c r="I52" s="66">
        <v>0.51876157407407408</v>
      </c>
      <c r="J52" s="56" t="s">
        <v>80</v>
      </c>
      <c r="K52" s="56" t="s">
        <v>151</v>
      </c>
      <c r="L52" s="68">
        <v>1</v>
      </c>
      <c r="M52" s="68">
        <v>70167</v>
      </c>
      <c r="N52" s="56" t="s">
        <v>53</v>
      </c>
      <c r="O52" s="68" t="s">
        <v>84</v>
      </c>
      <c r="P52" s="70">
        <v>35</v>
      </c>
      <c r="Q52" s="68"/>
      <c r="R52" s="70">
        <v>35</v>
      </c>
      <c r="S52" s="73">
        <v>46048</v>
      </c>
      <c r="T52" s="70">
        <v>0</v>
      </c>
      <c r="U52" s="74">
        <v>4</v>
      </c>
      <c r="V52" s="70">
        <v>35</v>
      </c>
      <c r="W52" s="56" t="s">
        <v>47</v>
      </c>
      <c r="X52" s="56" t="s">
        <v>48</v>
      </c>
      <c r="Y52" s="56" t="s">
        <v>58</v>
      </c>
      <c r="Z52" s="56" t="s">
        <v>43</v>
      </c>
      <c r="AA52" s="56" t="s">
        <v>49</v>
      </c>
      <c r="AB52" s="56" t="s">
        <v>85</v>
      </c>
      <c r="AC52" s="56" t="s">
        <v>38</v>
      </c>
      <c r="AD52" s="7" t="s">
        <v>267</v>
      </c>
      <c r="AE52" s="76"/>
      <c r="AF52" s="76"/>
      <c r="AG52" s="76"/>
      <c r="AH52" s="76"/>
      <c r="AI52" s="85"/>
      <c r="AJ52" s="85"/>
      <c r="AK52" s="85"/>
      <c r="AL52" s="85"/>
      <c r="AM52" s="85"/>
      <c r="AN52" s="85"/>
      <c r="AO52" s="85"/>
      <c r="AP52" s="85"/>
      <c r="AQ52" s="85"/>
      <c r="AR52" s="85"/>
      <c r="AS52" s="85"/>
      <c r="AT52" s="85"/>
      <c r="AU52" s="85"/>
      <c r="AV52" s="85"/>
      <c r="AW52" s="85"/>
    </row>
    <row r="53" spans="1:49" s="17" customFormat="1" ht="31.5" x14ac:dyDescent="0.25">
      <c r="A53" s="18" t="s">
        <v>82</v>
      </c>
      <c r="B53" s="19">
        <v>46048</v>
      </c>
      <c r="C53" s="19">
        <v>46048</v>
      </c>
      <c r="D53" s="18" t="s">
        <v>30</v>
      </c>
      <c r="E53" s="20">
        <v>0.5</v>
      </c>
      <c r="F53" s="20">
        <v>0.54166666666666663</v>
      </c>
      <c r="G53" s="20">
        <v>3.4722222222222218E-4</v>
      </c>
      <c r="H53" s="18" t="s">
        <v>83</v>
      </c>
      <c r="I53" s="21">
        <v>0.5282175925925926</v>
      </c>
      <c r="J53" s="18" t="s">
        <v>80</v>
      </c>
      <c r="K53" s="18" t="s">
        <v>151</v>
      </c>
      <c r="L53" s="22">
        <v>1</v>
      </c>
      <c r="M53" s="22">
        <v>70167</v>
      </c>
      <c r="N53" s="18" t="s">
        <v>53</v>
      </c>
      <c r="O53" s="22" t="s">
        <v>84</v>
      </c>
      <c r="P53" s="23">
        <v>35</v>
      </c>
      <c r="Q53" s="22"/>
      <c r="R53" s="23">
        <v>35</v>
      </c>
      <c r="S53" s="24">
        <v>46048</v>
      </c>
      <c r="T53" s="23">
        <v>0</v>
      </c>
      <c r="U53" s="25">
        <v>4</v>
      </c>
      <c r="V53" s="23">
        <v>35</v>
      </c>
      <c r="W53" s="18" t="s">
        <v>47</v>
      </c>
      <c r="X53" s="18" t="s">
        <v>48</v>
      </c>
      <c r="Y53" s="18" t="s">
        <v>58</v>
      </c>
      <c r="Z53" s="18" t="s">
        <v>43</v>
      </c>
      <c r="AA53" s="18" t="s">
        <v>49</v>
      </c>
      <c r="AB53" s="18" t="s">
        <v>85</v>
      </c>
      <c r="AC53" s="18" t="s">
        <v>38</v>
      </c>
      <c r="AD53" s="7" t="s">
        <v>267</v>
      </c>
      <c r="AI53" s="30"/>
      <c r="AJ53" s="30"/>
      <c r="AK53" s="30"/>
      <c r="AL53" s="30"/>
      <c r="AM53" s="30"/>
      <c r="AN53" s="30"/>
      <c r="AO53" s="30"/>
      <c r="AP53" s="30"/>
      <c r="AQ53" s="30"/>
      <c r="AR53" s="30"/>
      <c r="AS53" s="30"/>
      <c r="AT53" s="30"/>
      <c r="AU53" s="30"/>
      <c r="AV53" s="30"/>
      <c r="AW53" s="30"/>
    </row>
    <row r="54" spans="1:49" s="17" customFormat="1" ht="31.5" x14ac:dyDescent="0.25">
      <c r="A54" s="18" t="s">
        <v>82</v>
      </c>
      <c r="B54" s="19">
        <v>46049</v>
      </c>
      <c r="C54" s="19">
        <v>46049</v>
      </c>
      <c r="D54" s="18" t="s">
        <v>166</v>
      </c>
      <c r="E54" s="20">
        <v>0.45833333333333331</v>
      </c>
      <c r="F54" s="20">
        <v>0.5</v>
      </c>
      <c r="G54" s="20">
        <v>3.4722222222222218E-4</v>
      </c>
      <c r="H54" s="18" t="s">
        <v>83</v>
      </c>
      <c r="I54" s="21">
        <v>0.47363425925925928</v>
      </c>
      <c r="J54" s="18" t="s">
        <v>80</v>
      </c>
      <c r="K54" s="18" t="s">
        <v>175</v>
      </c>
      <c r="L54" s="22">
        <v>1</v>
      </c>
      <c r="M54" s="22">
        <v>70166</v>
      </c>
      <c r="N54" s="18" t="s">
        <v>53</v>
      </c>
      <c r="O54" s="22" t="s">
        <v>84</v>
      </c>
      <c r="P54" s="23">
        <v>35</v>
      </c>
      <c r="Q54" s="22"/>
      <c r="R54" s="23">
        <v>35</v>
      </c>
      <c r="S54" s="24">
        <v>46049</v>
      </c>
      <c r="T54" s="23">
        <v>0</v>
      </c>
      <c r="U54" s="25">
        <v>4</v>
      </c>
      <c r="V54" s="23">
        <v>35</v>
      </c>
      <c r="W54" s="18" t="s">
        <v>47</v>
      </c>
      <c r="X54" s="18" t="s">
        <v>48</v>
      </c>
      <c r="Y54" s="18" t="s">
        <v>58</v>
      </c>
      <c r="Z54" s="18" t="s">
        <v>43</v>
      </c>
      <c r="AA54" s="18" t="s">
        <v>49</v>
      </c>
      <c r="AB54" s="18" t="s">
        <v>85</v>
      </c>
      <c r="AC54" s="18" t="s">
        <v>38</v>
      </c>
      <c r="AD54" s="7" t="s">
        <v>267</v>
      </c>
      <c r="AE54" s="31"/>
      <c r="AF54" s="31"/>
      <c r="AG54" s="31"/>
      <c r="AH54" s="31"/>
      <c r="AI54" s="30"/>
      <c r="AJ54" s="30"/>
      <c r="AK54" s="30"/>
      <c r="AL54" s="30"/>
      <c r="AM54" s="30"/>
      <c r="AN54" s="30"/>
      <c r="AO54" s="30"/>
      <c r="AP54" s="30"/>
      <c r="AQ54" s="30"/>
      <c r="AR54" s="30"/>
      <c r="AS54" s="30"/>
      <c r="AT54" s="30"/>
      <c r="AU54" s="30"/>
      <c r="AV54" s="30"/>
      <c r="AW54" s="30"/>
    </row>
    <row r="55" spans="1:49" s="17" customFormat="1" ht="31.5" x14ac:dyDescent="0.25">
      <c r="A55" s="18" t="s">
        <v>82</v>
      </c>
      <c r="B55" s="19">
        <v>46049</v>
      </c>
      <c r="C55" s="19">
        <v>46049</v>
      </c>
      <c r="D55" s="18" t="s">
        <v>166</v>
      </c>
      <c r="E55" s="20">
        <v>0.45833333333333331</v>
      </c>
      <c r="F55" s="20">
        <v>0.5</v>
      </c>
      <c r="G55" s="20">
        <v>3.4722222222222218E-4</v>
      </c>
      <c r="H55" s="18" t="s">
        <v>83</v>
      </c>
      <c r="I55" s="21">
        <v>0.48818287037037039</v>
      </c>
      <c r="J55" s="18" t="s">
        <v>80</v>
      </c>
      <c r="K55" s="18" t="s">
        <v>150</v>
      </c>
      <c r="L55" s="22">
        <v>1</v>
      </c>
      <c r="M55" s="22">
        <v>70166</v>
      </c>
      <c r="N55" s="18" t="s">
        <v>53</v>
      </c>
      <c r="O55" s="22" t="s">
        <v>84</v>
      </c>
      <c r="P55" s="23">
        <v>35</v>
      </c>
      <c r="Q55" s="22"/>
      <c r="R55" s="23">
        <v>35</v>
      </c>
      <c r="S55" s="24">
        <v>46049</v>
      </c>
      <c r="T55" s="23">
        <v>0</v>
      </c>
      <c r="U55" s="25">
        <v>4</v>
      </c>
      <c r="V55" s="23">
        <v>35</v>
      </c>
      <c r="W55" s="18" t="s">
        <v>47</v>
      </c>
      <c r="X55" s="18" t="s">
        <v>48</v>
      </c>
      <c r="Y55" s="18" t="s">
        <v>58</v>
      </c>
      <c r="Z55" s="18" t="s">
        <v>43</v>
      </c>
      <c r="AA55" s="18" t="s">
        <v>49</v>
      </c>
      <c r="AB55" s="18" t="s">
        <v>85</v>
      </c>
      <c r="AC55" s="18" t="s">
        <v>38</v>
      </c>
      <c r="AD55" s="7" t="s">
        <v>267</v>
      </c>
      <c r="AE55" s="26"/>
      <c r="AF55" s="26"/>
      <c r="AG55" s="26"/>
      <c r="AH55" s="26"/>
      <c r="AI55" s="27"/>
      <c r="AJ55" s="27"/>
      <c r="AK55" s="27"/>
      <c r="AL55" s="27"/>
      <c r="AM55" s="27"/>
      <c r="AN55" s="27"/>
      <c r="AO55" s="27"/>
      <c r="AP55" s="27"/>
      <c r="AQ55" s="27"/>
      <c r="AR55" s="27"/>
      <c r="AS55" s="27"/>
      <c r="AT55" s="27"/>
      <c r="AU55" s="27"/>
      <c r="AV55" s="27"/>
      <c r="AW55" s="27"/>
    </row>
    <row r="56" spans="1:49" s="17" customFormat="1" ht="31.5" x14ac:dyDescent="0.25">
      <c r="A56" s="18" t="s">
        <v>82</v>
      </c>
      <c r="B56" s="19">
        <v>46049</v>
      </c>
      <c r="C56" s="19">
        <v>46049</v>
      </c>
      <c r="D56" s="18" t="s">
        <v>166</v>
      </c>
      <c r="E56" s="20">
        <v>0.45833333333333331</v>
      </c>
      <c r="F56" s="20">
        <v>0.5</v>
      </c>
      <c r="G56" s="20">
        <v>3.4722222222222218E-4</v>
      </c>
      <c r="H56" s="18" t="s">
        <v>83</v>
      </c>
      <c r="I56" s="21">
        <v>0.4987847222222222</v>
      </c>
      <c r="J56" s="18" t="s">
        <v>80</v>
      </c>
      <c r="K56" s="18" t="s">
        <v>150</v>
      </c>
      <c r="L56" s="22">
        <v>1</v>
      </c>
      <c r="M56" s="22">
        <v>70166</v>
      </c>
      <c r="N56" s="18" t="s">
        <v>53</v>
      </c>
      <c r="O56" s="22" t="s">
        <v>84</v>
      </c>
      <c r="P56" s="23">
        <v>35</v>
      </c>
      <c r="Q56" s="22"/>
      <c r="R56" s="23">
        <v>35</v>
      </c>
      <c r="S56" s="24">
        <v>46049</v>
      </c>
      <c r="T56" s="23">
        <v>0</v>
      </c>
      <c r="U56" s="25">
        <v>4</v>
      </c>
      <c r="V56" s="23">
        <v>35</v>
      </c>
      <c r="W56" s="18" t="s">
        <v>47</v>
      </c>
      <c r="X56" s="18" t="s">
        <v>48</v>
      </c>
      <c r="Y56" s="18" t="s">
        <v>58</v>
      </c>
      <c r="Z56" s="18" t="s">
        <v>43</v>
      </c>
      <c r="AA56" s="18" t="s">
        <v>49</v>
      </c>
      <c r="AB56" s="18" t="s">
        <v>85</v>
      </c>
      <c r="AC56" s="18" t="s">
        <v>38</v>
      </c>
      <c r="AD56" s="7" t="s">
        <v>267</v>
      </c>
      <c r="AE56" s="26"/>
      <c r="AF56" s="26"/>
      <c r="AG56" s="26"/>
      <c r="AH56" s="26"/>
      <c r="AI56" s="26"/>
      <c r="AJ56" s="26"/>
      <c r="AK56" s="26"/>
      <c r="AL56" s="26"/>
      <c r="AM56" s="26"/>
      <c r="AN56" s="26"/>
      <c r="AO56" s="26"/>
      <c r="AP56" s="26"/>
      <c r="AQ56" s="26"/>
      <c r="AR56" s="26"/>
      <c r="AS56" s="26"/>
      <c r="AT56" s="26"/>
      <c r="AU56" s="26"/>
      <c r="AV56" s="26"/>
      <c r="AW56" s="26"/>
    </row>
    <row r="57" spans="1:49" s="34" customFormat="1" ht="31.5" x14ac:dyDescent="0.25">
      <c r="A57" s="18" t="s">
        <v>82</v>
      </c>
      <c r="B57" s="19">
        <v>46049</v>
      </c>
      <c r="C57" s="19">
        <v>46049</v>
      </c>
      <c r="D57" s="18" t="s">
        <v>166</v>
      </c>
      <c r="E57" s="20">
        <v>0.5</v>
      </c>
      <c r="F57" s="20">
        <v>0.54166666666666663</v>
      </c>
      <c r="G57" s="20">
        <v>3.4722222222222218E-4</v>
      </c>
      <c r="H57" s="18" t="s">
        <v>83</v>
      </c>
      <c r="I57" s="21">
        <v>0.50471064814814814</v>
      </c>
      <c r="J57" s="18" t="s">
        <v>80</v>
      </c>
      <c r="K57" s="18" t="s">
        <v>151</v>
      </c>
      <c r="L57" s="22">
        <v>1</v>
      </c>
      <c r="M57" s="22">
        <v>70167</v>
      </c>
      <c r="N57" s="18" t="s">
        <v>53</v>
      </c>
      <c r="O57" s="22" t="s">
        <v>84</v>
      </c>
      <c r="P57" s="23">
        <v>35</v>
      </c>
      <c r="Q57" s="22"/>
      <c r="R57" s="23">
        <v>35</v>
      </c>
      <c r="S57" s="24">
        <v>46049</v>
      </c>
      <c r="T57" s="23">
        <v>0</v>
      </c>
      <c r="U57" s="25">
        <v>4</v>
      </c>
      <c r="V57" s="23">
        <v>35</v>
      </c>
      <c r="W57" s="18" t="s">
        <v>47</v>
      </c>
      <c r="X57" s="18" t="s">
        <v>48</v>
      </c>
      <c r="Y57" s="18" t="s">
        <v>58</v>
      </c>
      <c r="Z57" s="18" t="s">
        <v>43</v>
      </c>
      <c r="AA57" s="18" t="s">
        <v>49</v>
      </c>
      <c r="AB57" s="18" t="s">
        <v>85</v>
      </c>
      <c r="AC57" s="18" t="s">
        <v>38</v>
      </c>
      <c r="AD57" s="7" t="s">
        <v>267</v>
      </c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</row>
    <row r="58" spans="1:49" s="17" customFormat="1" ht="31.5" x14ac:dyDescent="0.25">
      <c r="A58" s="18" t="s">
        <v>82</v>
      </c>
      <c r="B58" s="19">
        <v>46049</v>
      </c>
      <c r="C58" s="19">
        <v>46049</v>
      </c>
      <c r="D58" s="18" t="s">
        <v>166</v>
      </c>
      <c r="E58" s="20">
        <v>0.5</v>
      </c>
      <c r="F58" s="20">
        <v>0.54166666666666663</v>
      </c>
      <c r="G58" s="20">
        <v>3.4722222222222218E-4</v>
      </c>
      <c r="H58" s="18" t="s">
        <v>83</v>
      </c>
      <c r="I58" s="21">
        <v>0.52292824074074074</v>
      </c>
      <c r="J58" s="18" t="s">
        <v>80</v>
      </c>
      <c r="K58" s="18" t="s">
        <v>151</v>
      </c>
      <c r="L58" s="22">
        <v>1</v>
      </c>
      <c r="M58" s="22">
        <v>70167</v>
      </c>
      <c r="N58" s="18" t="s">
        <v>53</v>
      </c>
      <c r="O58" s="22" t="s">
        <v>84</v>
      </c>
      <c r="P58" s="23">
        <v>35</v>
      </c>
      <c r="Q58" s="22"/>
      <c r="R58" s="23">
        <v>35</v>
      </c>
      <c r="S58" s="24">
        <v>46049</v>
      </c>
      <c r="T58" s="23">
        <v>0</v>
      </c>
      <c r="U58" s="25">
        <v>4</v>
      </c>
      <c r="V58" s="23">
        <v>35</v>
      </c>
      <c r="W58" s="18" t="s">
        <v>47</v>
      </c>
      <c r="X58" s="18" t="s">
        <v>48</v>
      </c>
      <c r="Y58" s="18" t="s">
        <v>58</v>
      </c>
      <c r="Z58" s="18" t="s">
        <v>43</v>
      </c>
      <c r="AA58" s="18" t="s">
        <v>49</v>
      </c>
      <c r="AB58" s="18" t="s">
        <v>85</v>
      </c>
      <c r="AC58" s="18" t="s">
        <v>38</v>
      </c>
      <c r="AD58" s="7" t="s">
        <v>267</v>
      </c>
      <c r="AE58" s="26"/>
      <c r="AF58" s="26"/>
      <c r="AG58" s="26"/>
      <c r="AH58" s="26"/>
      <c r="AI58" s="26"/>
      <c r="AJ58" s="26"/>
      <c r="AK58" s="26"/>
      <c r="AL58" s="26"/>
      <c r="AM58" s="26"/>
      <c r="AN58" s="26"/>
      <c r="AO58" s="26"/>
      <c r="AP58" s="26"/>
      <c r="AQ58" s="26"/>
      <c r="AR58" s="26"/>
      <c r="AS58" s="26"/>
      <c r="AT58" s="26"/>
      <c r="AU58" s="26"/>
      <c r="AV58" s="26"/>
      <c r="AW58" s="26"/>
    </row>
    <row r="59" spans="1:49" s="17" customFormat="1" ht="31.5" x14ac:dyDescent="0.25">
      <c r="A59" s="18" t="s">
        <v>82</v>
      </c>
      <c r="B59" s="19">
        <v>46049</v>
      </c>
      <c r="C59" s="19">
        <v>46049</v>
      </c>
      <c r="D59" s="18" t="s">
        <v>166</v>
      </c>
      <c r="E59" s="20">
        <v>0.5</v>
      </c>
      <c r="F59" s="20">
        <v>0.54166666666666663</v>
      </c>
      <c r="G59" s="20">
        <v>3.4722222222222218E-4</v>
      </c>
      <c r="H59" s="18" t="s">
        <v>83</v>
      </c>
      <c r="I59" s="21">
        <v>0.53979166666666667</v>
      </c>
      <c r="J59" s="18" t="s">
        <v>80</v>
      </c>
      <c r="K59" s="18" t="s">
        <v>151</v>
      </c>
      <c r="L59" s="22">
        <v>1</v>
      </c>
      <c r="M59" s="22">
        <v>70167</v>
      </c>
      <c r="N59" s="18" t="s">
        <v>53</v>
      </c>
      <c r="O59" s="22" t="s">
        <v>84</v>
      </c>
      <c r="P59" s="23">
        <v>35</v>
      </c>
      <c r="Q59" s="22"/>
      <c r="R59" s="23">
        <v>35</v>
      </c>
      <c r="S59" s="24">
        <v>46049</v>
      </c>
      <c r="T59" s="23">
        <v>0</v>
      </c>
      <c r="U59" s="25">
        <v>4</v>
      </c>
      <c r="V59" s="23">
        <v>35</v>
      </c>
      <c r="W59" s="18" t="s">
        <v>47</v>
      </c>
      <c r="X59" s="18" t="s">
        <v>48</v>
      </c>
      <c r="Y59" s="18" t="s">
        <v>58</v>
      </c>
      <c r="Z59" s="18" t="s">
        <v>43</v>
      </c>
      <c r="AA59" s="18" t="s">
        <v>49</v>
      </c>
      <c r="AB59" s="18" t="s">
        <v>85</v>
      </c>
      <c r="AC59" s="18" t="s">
        <v>38</v>
      </c>
      <c r="AD59" s="7" t="s">
        <v>267</v>
      </c>
      <c r="AE59" s="31"/>
      <c r="AF59" s="31"/>
      <c r="AG59" s="31"/>
      <c r="AH59" s="31"/>
      <c r="AI59" s="30"/>
      <c r="AJ59" s="30"/>
      <c r="AK59" s="30"/>
      <c r="AL59" s="30"/>
      <c r="AM59" s="30"/>
      <c r="AN59" s="30"/>
      <c r="AO59" s="30"/>
      <c r="AP59" s="30"/>
      <c r="AQ59" s="30"/>
      <c r="AR59" s="30"/>
      <c r="AS59" s="30"/>
      <c r="AT59" s="30"/>
      <c r="AU59" s="30"/>
      <c r="AV59" s="30"/>
      <c r="AW59" s="30"/>
    </row>
    <row r="60" spans="1:49" s="17" customFormat="1" ht="31.5" x14ac:dyDescent="0.25">
      <c r="A60" s="18" t="s">
        <v>82</v>
      </c>
      <c r="B60" s="19">
        <v>46050</v>
      </c>
      <c r="C60" s="19">
        <v>46050</v>
      </c>
      <c r="D60" s="18" t="s">
        <v>196</v>
      </c>
      <c r="E60" s="20">
        <v>0.45833333333333331</v>
      </c>
      <c r="F60" s="20">
        <v>0.5</v>
      </c>
      <c r="G60" s="20">
        <v>3.4722222222222218E-4</v>
      </c>
      <c r="H60" s="18" t="s">
        <v>83</v>
      </c>
      <c r="I60" s="21">
        <v>0.4650347222222222</v>
      </c>
      <c r="J60" s="18" t="s">
        <v>80</v>
      </c>
      <c r="K60" s="18" t="s">
        <v>175</v>
      </c>
      <c r="L60" s="22">
        <v>1</v>
      </c>
      <c r="M60" s="22">
        <v>70166</v>
      </c>
      <c r="N60" s="18" t="s">
        <v>53</v>
      </c>
      <c r="O60" s="22" t="s">
        <v>84</v>
      </c>
      <c r="P60" s="23">
        <v>35</v>
      </c>
      <c r="Q60" s="22"/>
      <c r="R60" s="23">
        <v>35</v>
      </c>
      <c r="S60" s="24">
        <v>46050</v>
      </c>
      <c r="T60" s="23">
        <v>0</v>
      </c>
      <c r="U60" s="25">
        <v>4</v>
      </c>
      <c r="V60" s="23">
        <v>35</v>
      </c>
      <c r="W60" s="18" t="s">
        <v>47</v>
      </c>
      <c r="X60" s="18" t="s">
        <v>48</v>
      </c>
      <c r="Y60" s="18" t="s">
        <v>58</v>
      </c>
      <c r="Z60" s="18" t="s">
        <v>43</v>
      </c>
      <c r="AA60" s="18" t="s">
        <v>49</v>
      </c>
      <c r="AB60" s="18" t="s">
        <v>85</v>
      </c>
      <c r="AC60" s="18" t="s">
        <v>38</v>
      </c>
      <c r="AD60" s="7" t="s">
        <v>267</v>
      </c>
      <c r="AE60" s="26"/>
      <c r="AF60" s="26"/>
      <c r="AG60" s="26"/>
      <c r="AH60" s="26"/>
      <c r="AI60" s="27"/>
      <c r="AJ60" s="27"/>
      <c r="AK60" s="27"/>
      <c r="AL60" s="27"/>
      <c r="AM60" s="27"/>
      <c r="AN60" s="27"/>
      <c r="AO60" s="27"/>
      <c r="AP60" s="27"/>
      <c r="AQ60" s="27"/>
      <c r="AR60" s="27"/>
      <c r="AS60" s="27"/>
      <c r="AT60" s="27"/>
      <c r="AU60" s="27"/>
      <c r="AV60" s="27"/>
      <c r="AW60" s="27"/>
    </row>
    <row r="61" spans="1:49" s="34" customFormat="1" ht="31.5" x14ac:dyDescent="0.25">
      <c r="A61" s="18" t="s">
        <v>82</v>
      </c>
      <c r="B61" s="19">
        <v>46050</v>
      </c>
      <c r="C61" s="19">
        <v>46050</v>
      </c>
      <c r="D61" s="18" t="s">
        <v>196</v>
      </c>
      <c r="E61" s="20">
        <v>0.45833333333333331</v>
      </c>
      <c r="F61" s="20">
        <v>0.5</v>
      </c>
      <c r="G61" s="20">
        <v>3.4722222222222218E-4</v>
      </c>
      <c r="H61" s="18" t="s">
        <v>83</v>
      </c>
      <c r="I61" s="21">
        <v>0.47097222222222224</v>
      </c>
      <c r="J61" s="18" t="s">
        <v>80</v>
      </c>
      <c r="K61" s="18" t="s">
        <v>175</v>
      </c>
      <c r="L61" s="22">
        <v>1</v>
      </c>
      <c r="M61" s="22">
        <v>70166</v>
      </c>
      <c r="N61" s="18" t="s">
        <v>53</v>
      </c>
      <c r="O61" s="22" t="s">
        <v>84</v>
      </c>
      <c r="P61" s="23">
        <v>35</v>
      </c>
      <c r="Q61" s="22"/>
      <c r="R61" s="23">
        <v>35</v>
      </c>
      <c r="S61" s="24">
        <v>46050</v>
      </c>
      <c r="T61" s="23">
        <v>0</v>
      </c>
      <c r="U61" s="25">
        <v>4</v>
      </c>
      <c r="V61" s="23">
        <v>35</v>
      </c>
      <c r="W61" s="18" t="s">
        <v>47</v>
      </c>
      <c r="X61" s="18" t="s">
        <v>48</v>
      </c>
      <c r="Y61" s="18" t="s">
        <v>58</v>
      </c>
      <c r="Z61" s="18" t="s">
        <v>43</v>
      </c>
      <c r="AA61" s="18" t="s">
        <v>49</v>
      </c>
      <c r="AB61" s="18" t="s">
        <v>85</v>
      </c>
      <c r="AC61" s="18" t="s">
        <v>38</v>
      </c>
      <c r="AD61" s="7" t="s">
        <v>267</v>
      </c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</row>
    <row r="62" spans="1:49" s="17" customFormat="1" ht="31.5" x14ac:dyDescent="0.25">
      <c r="A62" s="18" t="s">
        <v>82</v>
      </c>
      <c r="B62" s="19">
        <v>46050</v>
      </c>
      <c r="C62" s="19">
        <v>46050</v>
      </c>
      <c r="D62" s="18" t="s">
        <v>196</v>
      </c>
      <c r="E62" s="20">
        <v>0.45833333333333331</v>
      </c>
      <c r="F62" s="20">
        <v>0.5</v>
      </c>
      <c r="G62" s="20">
        <v>3.4722222222222218E-4</v>
      </c>
      <c r="H62" s="18" t="s">
        <v>83</v>
      </c>
      <c r="I62" s="21">
        <v>0.48828923611111114</v>
      </c>
      <c r="J62" s="18" t="s">
        <v>80</v>
      </c>
      <c r="K62" s="18" t="s">
        <v>150</v>
      </c>
      <c r="L62" s="22">
        <v>1</v>
      </c>
      <c r="M62" s="22">
        <v>70166</v>
      </c>
      <c r="N62" s="18" t="s">
        <v>53</v>
      </c>
      <c r="O62" s="22" t="s">
        <v>84</v>
      </c>
      <c r="P62" s="23">
        <v>35</v>
      </c>
      <c r="Q62" s="22"/>
      <c r="R62" s="23">
        <v>35</v>
      </c>
      <c r="S62" s="24">
        <v>46050</v>
      </c>
      <c r="T62" s="23">
        <v>0</v>
      </c>
      <c r="U62" s="25">
        <v>4</v>
      </c>
      <c r="V62" s="23">
        <v>35</v>
      </c>
      <c r="W62" s="18" t="s">
        <v>47</v>
      </c>
      <c r="X62" s="18" t="s">
        <v>48</v>
      </c>
      <c r="Y62" s="18" t="s">
        <v>58</v>
      </c>
      <c r="Z62" s="18" t="s">
        <v>43</v>
      </c>
      <c r="AA62" s="18" t="s">
        <v>49</v>
      </c>
      <c r="AB62" s="18" t="s">
        <v>85</v>
      </c>
      <c r="AC62" s="18" t="s">
        <v>38</v>
      </c>
      <c r="AD62" s="7" t="s">
        <v>267</v>
      </c>
      <c r="AE62" s="26"/>
      <c r="AF62" s="26"/>
      <c r="AG62" s="26"/>
      <c r="AH62" s="26"/>
      <c r="AI62" s="26"/>
      <c r="AJ62" s="26"/>
      <c r="AK62" s="26"/>
      <c r="AL62" s="26"/>
      <c r="AM62" s="26"/>
      <c r="AN62" s="26"/>
      <c r="AO62" s="26"/>
      <c r="AP62" s="26"/>
      <c r="AQ62" s="26"/>
      <c r="AR62" s="26"/>
      <c r="AS62" s="26"/>
      <c r="AT62" s="26"/>
      <c r="AU62" s="26"/>
      <c r="AV62" s="26"/>
      <c r="AW62" s="26"/>
    </row>
    <row r="63" spans="1:49" s="17" customFormat="1" ht="31.5" x14ac:dyDescent="0.25">
      <c r="A63" s="18" t="s">
        <v>82</v>
      </c>
      <c r="B63" s="19">
        <v>46050</v>
      </c>
      <c r="C63" s="19">
        <v>46050</v>
      </c>
      <c r="D63" s="18" t="s">
        <v>196</v>
      </c>
      <c r="E63" s="20">
        <v>0.45833333333333331</v>
      </c>
      <c r="F63" s="20">
        <v>0.5</v>
      </c>
      <c r="G63" s="20">
        <v>3.4722222222222218E-4</v>
      </c>
      <c r="H63" s="18" t="s">
        <v>83</v>
      </c>
      <c r="I63" s="21">
        <v>0.49949398148148144</v>
      </c>
      <c r="J63" s="18" t="s">
        <v>80</v>
      </c>
      <c r="K63" s="18" t="s">
        <v>150</v>
      </c>
      <c r="L63" s="22">
        <v>1</v>
      </c>
      <c r="M63" s="22">
        <v>70166</v>
      </c>
      <c r="N63" s="18" t="s">
        <v>53</v>
      </c>
      <c r="O63" s="22" t="s">
        <v>84</v>
      </c>
      <c r="P63" s="23">
        <v>35</v>
      </c>
      <c r="Q63" s="22"/>
      <c r="R63" s="23">
        <v>35</v>
      </c>
      <c r="S63" s="24">
        <v>46050</v>
      </c>
      <c r="T63" s="23">
        <v>0</v>
      </c>
      <c r="U63" s="25">
        <v>4</v>
      </c>
      <c r="V63" s="23">
        <v>35</v>
      </c>
      <c r="W63" s="18" t="s">
        <v>47</v>
      </c>
      <c r="X63" s="18" t="s">
        <v>48</v>
      </c>
      <c r="Y63" s="18" t="s">
        <v>58</v>
      </c>
      <c r="Z63" s="18" t="s">
        <v>43</v>
      </c>
      <c r="AA63" s="18" t="s">
        <v>49</v>
      </c>
      <c r="AB63" s="18" t="s">
        <v>85</v>
      </c>
      <c r="AC63" s="18" t="s">
        <v>38</v>
      </c>
      <c r="AD63" s="7" t="s">
        <v>267</v>
      </c>
      <c r="AE63" s="26"/>
      <c r="AF63" s="26"/>
      <c r="AG63" s="26"/>
      <c r="AH63" s="26"/>
      <c r="AI63" s="26"/>
      <c r="AJ63" s="26"/>
      <c r="AK63" s="26"/>
      <c r="AL63" s="26"/>
      <c r="AM63" s="26"/>
      <c r="AN63" s="26"/>
      <c r="AO63" s="26"/>
      <c r="AP63" s="26"/>
      <c r="AQ63" s="26"/>
      <c r="AR63" s="26"/>
      <c r="AS63" s="26"/>
      <c r="AT63" s="26"/>
      <c r="AU63" s="26"/>
      <c r="AV63" s="26"/>
      <c r="AW63" s="26"/>
    </row>
    <row r="64" spans="1:49" s="34" customFormat="1" ht="31.5" x14ac:dyDescent="0.25">
      <c r="A64" s="18" t="s">
        <v>82</v>
      </c>
      <c r="B64" s="19">
        <v>46050</v>
      </c>
      <c r="C64" s="19">
        <v>46050</v>
      </c>
      <c r="D64" s="18" t="s">
        <v>196</v>
      </c>
      <c r="E64" s="20">
        <v>0.45833333333333331</v>
      </c>
      <c r="F64" s="20">
        <v>0.54166666666666663</v>
      </c>
      <c r="G64" s="20">
        <v>3.4722222222222218E-4</v>
      </c>
      <c r="H64" s="18" t="s">
        <v>83</v>
      </c>
      <c r="I64" s="21">
        <v>0.50640324074074072</v>
      </c>
      <c r="J64" s="18" t="s">
        <v>80</v>
      </c>
      <c r="K64" s="18" t="s">
        <v>151</v>
      </c>
      <c r="L64" s="22">
        <v>1</v>
      </c>
      <c r="M64" s="22">
        <v>70168</v>
      </c>
      <c r="N64" s="18" t="s">
        <v>46</v>
      </c>
      <c r="O64" s="22" t="s">
        <v>84</v>
      </c>
      <c r="P64" s="23">
        <v>0</v>
      </c>
      <c r="Q64" s="22"/>
      <c r="R64" s="23">
        <v>0</v>
      </c>
      <c r="S64" s="24">
        <v>46050</v>
      </c>
      <c r="T64" s="23">
        <v>0</v>
      </c>
      <c r="U64" s="25">
        <v>4</v>
      </c>
      <c r="V64" s="23">
        <v>0</v>
      </c>
      <c r="W64" s="18" t="s">
        <v>47</v>
      </c>
      <c r="X64" s="18" t="s">
        <v>48</v>
      </c>
      <c r="Y64" s="18" t="s">
        <v>58</v>
      </c>
      <c r="Z64" s="18" t="s">
        <v>43</v>
      </c>
      <c r="AA64" s="18" t="s">
        <v>49</v>
      </c>
      <c r="AB64" s="18" t="s">
        <v>85</v>
      </c>
      <c r="AC64" s="18" t="s">
        <v>38</v>
      </c>
      <c r="AD64" s="7" t="s">
        <v>267</v>
      </c>
      <c r="AE64" s="26"/>
      <c r="AF64" s="26"/>
      <c r="AG64" s="26"/>
      <c r="AH64" s="26"/>
      <c r="AI64" s="27"/>
      <c r="AJ64" s="27"/>
      <c r="AK64" s="27"/>
      <c r="AL64" s="27"/>
      <c r="AM64" s="27"/>
      <c r="AN64" s="27"/>
      <c r="AO64" s="27"/>
      <c r="AP64" s="27"/>
      <c r="AQ64" s="27"/>
      <c r="AR64" s="27"/>
      <c r="AS64" s="27"/>
      <c r="AT64" s="27"/>
      <c r="AU64" s="27"/>
      <c r="AV64" s="27"/>
      <c r="AW64" s="27"/>
    </row>
    <row r="65" spans="1:49" s="17" customFormat="1" ht="31.5" x14ac:dyDescent="0.25">
      <c r="A65" s="18" t="s">
        <v>82</v>
      </c>
      <c r="B65" s="19">
        <v>46050</v>
      </c>
      <c r="C65" s="19">
        <v>46050</v>
      </c>
      <c r="D65" s="18" t="s">
        <v>196</v>
      </c>
      <c r="E65" s="20">
        <v>0.45833333333333331</v>
      </c>
      <c r="F65" s="20">
        <v>0.54166666666666663</v>
      </c>
      <c r="G65" s="20">
        <v>3.4722222222222218E-4</v>
      </c>
      <c r="H65" s="18" t="s">
        <v>83</v>
      </c>
      <c r="I65" s="21">
        <v>0.51217905092592586</v>
      </c>
      <c r="J65" s="18" t="s">
        <v>80</v>
      </c>
      <c r="K65" s="18" t="s">
        <v>151</v>
      </c>
      <c r="L65" s="22">
        <v>1</v>
      </c>
      <c r="M65" s="22">
        <v>70168</v>
      </c>
      <c r="N65" s="18" t="s">
        <v>46</v>
      </c>
      <c r="O65" s="22" t="s">
        <v>84</v>
      </c>
      <c r="P65" s="23">
        <v>0</v>
      </c>
      <c r="Q65" s="22"/>
      <c r="R65" s="23">
        <v>0</v>
      </c>
      <c r="S65" s="24">
        <v>46050</v>
      </c>
      <c r="T65" s="23">
        <v>0</v>
      </c>
      <c r="U65" s="25">
        <v>4</v>
      </c>
      <c r="V65" s="23">
        <v>0</v>
      </c>
      <c r="W65" s="18" t="s">
        <v>47</v>
      </c>
      <c r="X65" s="18" t="s">
        <v>48</v>
      </c>
      <c r="Y65" s="18" t="s">
        <v>58</v>
      </c>
      <c r="Z65" s="18" t="s">
        <v>43</v>
      </c>
      <c r="AA65" s="18" t="s">
        <v>49</v>
      </c>
      <c r="AB65" s="18" t="s">
        <v>85</v>
      </c>
      <c r="AC65" s="18" t="s">
        <v>38</v>
      </c>
      <c r="AD65" s="7" t="s">
        <v>267</v>
      </c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</row>
    <row r="66" spans="1:49" s="17" customFormat="1" ht="31.5" x14ac:dyDescent="0.25">
      <c r="A66" s="18" t="s">
        <v>82</v>
      </c>
      <c r="B66" s="19">
        <v>46050</v>
      </c>
      <c r="C66" s="19">
        <v>46050</v>
      </c>
      <c r="D66" s="18" t="s">
        <v>196</v>
      </c>
      <c r="E66" s="20">
        <v>0.5</v>
      </c>
      <c r="F66" s="20">
        <v>0.54166666666666663</v>
      </c>
      <c r="G66" s="20">
        <v>3.4722222222222218E-4</v>
      </c>
      <c r="H66" s="18" t="s">
        <v>83</v>
      </c>
      <c r="I66" s="21">
        <v>0.51460960648148146</v>
      </c>
      <c r="J66" s="18" t="s">
        <v>80</v>
      </c>
      <c r="K66" s="18" t="s">
        <v>151</v>
      </c>
      <c r="L66" s="22">
        <v>1</v>
      </c>
      <c r="M66" s="22">
        <v>70167</v>
      </c>
      <c r="N66" s="18" t="s">
        <v>53</v>
      </c>
      <c r="O66" s="22" t="s">
        <v>84</v>
      </c>
      <c r="P66" s="23">
        <v>35</v>
      </c>
      <c r="Q66" s="22"/>
      <c r="R66" s="23">
        <v>35</v>
      </c>
      <c r="S66" s="24">
        <v>46050</v>
      </c>
      <c r="T66" s="23">
        <v>0</v>
      </c>
      <c r="U66" s="25">
        <v>4</v>
      </c>
      <c r="V66" s="23">
        <v>35</v>
      </c>
      <c r="W66" s="18" t="s">
        <v>47</v>
      </c>
      <c r="X66" s="18" t="s">
        <v>48</v>
      </c>
      <c r="Y66" s="18" t="s">
        <v>58</v>
      </c>
      <c r="Z66" s="18" t="s">
        <v>43</v>
      </c>
      <c r="AA66" s="18" t="s">
        <v>49</v>
      </c>
      <c r="AB66" s="18" t="s">
        <v>85</v>
      </c>
      <c r="AC66" s="18" t="s">
        <v>38</v>
      </c>
      <c r="AD66" s="7" t="s">
        <v>267</v>
      </c>
      <c r="AE66" s="31"/>
      <c r="AF66" s="31"/>
      <c r="AG66" s="31"/>
      <c r="AH66" s="31"/>
      <c r="AI66" s="30"/>
      <c r="AJ66" s="30"/>
      <c r="AK66" s="30"/>
      <c r="AL66" s="30"/>
      <c r="AM66" s="30"/>
      <c r="AN66" s="30"/>
      <c r="AO66" s="30"/>
      <c r="AP66" s="30"/>
      <c r="AQ66" s="30"/>
      <c r="AR66" s="30"/>
      <c r="AS66" s="30"/>
      <c r="AT66" s="30"/>
      <c r="AU66" s="30"/>
      <c r="AV66" s="30"/>
      <c r="AW66" s="30"/>
    </row>
    <row r="67" spans="1:49" s="34" customFormat="1" ht="31.5" x14ac:dyDescent="0.25">
      <c r="A67" s="18" t="s">
        <v>82</v>
      </c>
      <c r="B67" s="19">
        <v>46050</v>
      </c>
      <c r="C67" s="19">
        <v>46050</v>
      </c>
      <c r="D67" s="18" t="s">
        <v>196</v>
      </c>
      <c r="E67" s="20">
        <v>0.5</v>
      </c>
      <c r="F67" s="20">
        <v>0.54166666666666663</v>
      </c>
      <c r="G67" s="20">
        <v>3.4722222222222218E-4</v>
      </c>
      <c r="H67" s="18" t="s">
        <v>83</v>
      </c>
      <c r="I67" s="21">
        <v>0.52440011574074075</v>
      </c>
      <c r="J67" s="18" t="s">
        <v>80</v>
      </c>
      <c r="K67" s="18" t="s">
        <v>151</v>
      </c>
      <c r="L67" s="22">
        <v>1</v>
      </c>
      <c r="M67" s="22">
        <v>70167</v>
      </c>
      <c r="N67" s="18" t="s">
        <v>53</v>
      </c>
      <c r="O67" s="22" t="s">
        <v>84</v>
      </c>
      <c r="P67" s="23">
        <v>35</v>
      </c>
      <c r="Q67" s="22"/>
      <c r="R67" s="23">
        <v>35</v>
      </c>
      <c r="S67" s="24">
        <v>46050</v>
      </c>
      <c r="T67" s="23">
        <v>0</v>
      </c>
      <c r="U67" s="25">
        <v>4</v>
      </c>
      <c r="V67" s="23">
        <v>35</v>
      </c>
      <c r="W67" s="18" t="s">
        <v>47</v>
      </c>
      <c r="X67" s="18" t="s">
        <v>48</v>
      </c>
      <c r="Y67" s="18" t="s">
        <v>58</v>
      </c>
      <c r="Z67" s="18" t="s">
        <v>43</v>
      </c>
      <c r="AA67" s="18" t="s">
        <v>49</v>
      </c>
      <c r="AB67" s="18" t="s">
        <v>85</v>
      </c>
      <c r="AC67" s="18" t="s">
        <v>38</v>
      </c>
      <c r="AD67" s="7" t="s">
        <v>267</v>
      </c>
      <c r="AE67" s="26"/>
      <c r="AF67" s="26"/>
      <c r="AG67" s="26"/>
      <c r="AH67" s="26"/>
      <c r="AI67" s="27"/>
      <c r="AJ67" s="27"/>
      <c r="AK67" s="27"/>
      <c r="AL67" s="27"/>
      <c r="AM67" s="27"/>
      <c r="AN67" s="27"/>
      <c r="AO67" s="27"/>
      <c r="AP67" s="27"/>
      <c r="AQ67" s="27"/>
      <c r="AR67" s="27"/>
      <c r="AS67" s="27"/>
      <c r="AT67" s="27"/>
      <c r="AU67" s="27"/>
      <c r="AV67" s="27"/>
      <c r="AW67" s="27"/>
    </row>
    <row r="68" spans="1:49" s="34" customFormat="1" ht="31.5" x14ac:dyDescent="0.25">
      <c r="A68" s="18" t="s">
        <v>82</v>
      </c>
      <c r="B68" s="19">
        <v>46050</v>
      </c>
      <c r="C68" s="19">
        <v>46050</v>
      </c>
      <c r="D68" s="18" t="s">
        <v>196</v>
      </c>
      <c r="E68" s="20">
        <v>0.5</v>
      </c>
      <c r="F68" s="20">
        <v>0.54166666666666663</v>
      </c>
      <c r="G68" s="20">
        <v>3.4722222222222218E-4</v>
      </c>
      <c r="H68" s="18" t="s">
        <v>83</v>
      </c>
      <c r="I68" s="21">
        <v>0.53268761574074075</v>
      </c>
      <c r="J68" s="18" t="s">
        <v>80</v>
      </c>
      <c r="K68" s="18" t="s">
        <v>151</v>
      </c>
      <c r="L68" s="22">
        <v>1</v>
      </c>
      <c r="M68" s="22">
        <v>70167</v>
      </c>
      <c r="N68" s="18" t="s">
        <v>53</v>
      </c>
      <c r="O68" s="22" t="s">
        <v>84</v>
      </c>
      <c r="P68" s="23">
        <v>35</v>
      </c>
      <c r="Q68" s="22"/>
      <c r="R68" s="23">
        <v>35</v>
      </c>
      <c r="S68" s="24">
        <v>46050</v>
      </c>
      <c r="T68" s="23">
        <v>0</v>
      </c>
      <c r="U68" s="25">
        <v>4</v>
      </c>
      <c r="V68" s="23">
        <v>35</v>
      </c>
      <c r="W68" s="18" t="s">
        <v>47</v>
      </c>
      <c r="X68" s="18" t="s">
        <v>48</v>
      </c>
      <c r="Y68" s="18" t="s">
        <v>58</v>
      </c>
      <c r="Z68" s="18" t="s">
        <v>43</v>
      </c>
      <c r="AA68" s="18" t="s">
        <v>49</v>
      </c>
      <c r="AB68" s="18" t="s">
        <v>85</v>
      </c>
      <c r="AC68" s="18" t="s">
        <v>38</v>
      </c>
      <c r="AD68" s="7" t="s">
        <v>267</v>
      </c>
      <c r="AE68" s="26"/>
      <c r="AF68" s="26"/>
      <c r="AG68" s="26"/>
      <c r="AH68" s="26"/>
      <c r="AI68" s="27"/>
      <c r="AJ68" s="27"/>
      <c r="AK68" s="27"/>
      <c r="AL68" s="27"/>
      <c r="AM68" s="27"/>
      <c r="AN68" s="27"/>
      <c r="AO68" s="27"/>
      <c r="AP68" s="27"/>
      <c r="AQ68" s="27"/>
      <c r="AR68" s="27"/>
      <c r="AS68" s="27"/>
      <c r="AT68" s="27"/>
      <c r="AU68" s="27"/>
      <c r="AV68" s="27"/>
      <c r="AW68" s="27"/>
    </row>
    <row r="69" spans="1:49" s="17" customFormat="1" ht="31.5" x14ac:dyDescent="0.25">
      <c r="A69" s="18" t="s">
        <v>82</v>
      </c>
      <c r="B69" s="19">
        <v>46050</v>
      </c>
      <c r="C69" s="19">
        <v>46050</v>
      </c>
      <c r="D69" s="18" t="s">
        <v>196</v>
      </c>
      <c r="E69" s="20">
        <v>0.5</v>
      </c>
      <c r="F69" s="20">
        <v>0.54166666666666663</v>
      </c>
      <c r="G69" s="20">
        <v>3.4722222222222218E-4</v>
      </c>
      <c r="H69" s="18" t="s">
        <v>83</v>
      </c>
      <c r="I69" s="21">
        <v>0.53971145833333334</v>
      </c>
      <c r="J69" s="18" t="s">
        <v>80</v>
      </c>
      <c r="K69" s="18" t="s">
        <v>151</v>
      </c>
      <c r="L69" s="22">
        <v>1</v>
      </c>
      <c r="M69" s="22">
        <v>70167</v>
      </c>
      <c r="N69" s="18" t="s">
        <v>53</v>
      </c>
      <c r="O69" s="22" t="s">
        <v>84</v>
      </c>
      <c r="P69" s="23">
        <v>35</v>
      </c>
      <c r="Q69" s="22"/>
      <c r="R69" s="23">
        <v>35</v>
      </c>
      <c r="S69" s="24">
        <v>46050</v>
      </c>
      <c r="T69" s="23">
        <v>0</v>
      </c>
      <c r="U69" s="25">
        <v>4</v>
      </c>
      <c r="V69" s="23">
        <v>35</v>
      </c>
      <c r="W69" s="18" t="s">
        <v>47</v>
      </c>
      <c r="X69" s="18" t="s">
        <v>48</v>
      </c>
      <c r="Y69" s="18" t="s">
        <v>58</v>
      </c>
      <c r="Z69" s="18" t="s">
        <v>43</v>
      </c>
      <c r="AA69" s="18" t="s">
        <v>49</v>
      </c>
      <c r="AB69" s="18" t="s">
        <v>85</v>
      </c>
      <c r="AC69" s="18" t="s">
        <v>38</v>
      </c>
      <c r="AD69" s="7" t="s">
        <v>267</v>
      </c>
      <c r="AE69" s="26"/>
      <c r="AF69" s="26"/>
      <c r="AG69" s="26"/>
      <c r="AH69" s="26"/>
      <c r="AI69" s="27"/>
      <c r="AJ69" s="27"/>
      <c r="AK69" s="27"/>
      <c r="AL69" s="27"/>
      <c r="AM69" s="27"/>
      <c r="AN69" s="27"/>
      <c r="AO69" s="27"/>
      <c r="AP69" s="27"/>
      <c r="AQ69" s="27"/>
      <c r="AR69" s="27"/>
      <c r="AS69" s="27"/>
      <c r="AT69" s="27"/>
      <c r="AU69" s="27"/>
      <c r="AV69" s="27"/>
      <c r="AW69" s="27"/>
    </row>
    <row r="70" spans="1:49" s="17" customFormat="1" ht="31.5" x14ac:dyDescent="0.25">
      <c r="A70" s="18" t="s">
        <v>82</v>
      </c>
      <c r="B70" s="19">
        <v>46051</v>
      </c>
      <c r="C70" s="19">
        <v>46051</v>
      </c>
      <c r="D70" s="18" t="s">
        <v>207</v>
      </c>
      <c r="E70" s="20">
        <v>0.45833333333333331</v>
      </c>
      <c r="F70" s="20">
        <v>0.54166666666666663</v>
      </c>
      <c r="G70" s="20">
        <v>3.4722222222222218E-4</v>
      </c>
      <c r="H70" s="18" t="s">
        <v>83</v>
      </c>
      <c r="I70" s="21">
        <v>0.46563657407407405</v>
      </c>
      <c r="J70" s="18" t="s">
        <v>80</v>
      </c>
      <c r="K70" s="18" t="s">
        <v>175</v>
      </c>
      <c r="L70" s="22">
        <v>1</v>
      </c>
      <c r="M70" s="22">
        <v>70168</v>
      </c>
      <c r="N70" s="18" t="s">
        <v>46</v>
      </c>
      <c r="O70" s="22" t="s">
        <v>84</v>
      </c>
      <c r="P70" s="23">
        <v>0</v>
      </c>
      <c r="Q70" s="22"/>
      <c r="R70" s="23">
        <v>0</v>
      </c>
      <c r="S70" s="24">
        <v>46051</v>
      </c>
      <c r="T70" s="23">
        <v>0</v>
      </c>
      <c r="U70" s="25">
        <v>4</v>
      </c>
      <c r="V70" s="23">
        <v>0</v>
      </c>
      <c r="W70" s="18" t="s">
        <v>47</v>
      </c>
      <c r="X70" s="18" t="s">
        <v>48</v>
      </c>
      <c r="Y70" s="18" t="s">
        <v>58</v>
      </c>
      <c r="Z70" s="18" t="s">
        <v>43</v>
      </c>
      <c r="AA70" s="18" t="s">
        <v>49</v>
      </c>
      <c r="AB70" s="18" t="s">
        <v>85</v>
      </c>
      <c r="AC70" s="18" t="s">
        <v>38</v>
      </c>
      <c r="AD70" s="7" t="s">
        <v>267</v>
      </c>
      <c r="AE70" s="26"/>
      <c r="AF70" s="26"/>
      <c r="AG70" s="26"/>
      <c r="AH70" s="26"/>
      <c r="AI70" s="26"/>
      <c r="AJ70" s="26"/>
      <c r="AK70" s="26"/>
      <c r="AL70" s="26"/>
      <c r="AM70" s="26"/>
      <c r="AN70" s="26"/>
      <c r="AO70" s="26"/>
      <c r="AP70" s="26"/>
      <c r="AQ70" s="26"/>
      <c r="AR70" s="26"/>
      <c r="AS70" s="26"/>
      <c r="AT70" s="26"/>
      <c r="AU70" s="26"/>
      <c r="AV70" s="26"/>
      <c r="AW70" s="26"/>
    </row>
    <row r="71" spans="1:49" s="34" customFormat="1" ht="31.5" x14ac:dyDescent="0.25">
      <c r="A71" s="18" t="s">
        <v>82</v>
      </c>
      <c r="B71" s="19">
        <v>46051</v>
      </c>
      <c r="C71" s="19">
        <v>46051</v>
      </c>
      <c r="D71" s="18" t="s">
        <v>207</v>
      </c>
      <c r="E71" s="20">
        <v>0.45833333333333331</v>
      </c>
      <c r="F71" s="20">
        <v>0.5</v>
      </c>
      <c r="G71" s="20">
        <v>3.4722222222222218E-4</v>
      </c>
      <c r="H71" s="18" t="s">
        <v>83</v>
      </c>
      <c r="I71" s="21">
        <v>0.47292824074074075</v>
      </c>
      <c r="J71" s="18" t="s">
        <v>80</v>
      </c>
      <c r="K71" s="18" t="s">
        <v>175</v>
      </c>
      <c r="L71" s="22">
        <v>1</v>
      </c>
      <c r="M71" s="22">
        <v>70166</v>
      </c>
      <c r="N71" s="18" t="s">
        <v>53</v>
      </c>
      <c r="O71" s="22" t="s">
        <v>84</v>
      </c>
      <c r="P71" s="23">
        <v>35</v>
      </c>
      <c r="Q71" s="22"/>
      <c r="R71" s="23">
        <v>35</v>
      </c>
      <c r="S71" s="24">
        <v>46051</v>
      </c>
      <c r="T71" s="23">
        <v>0</v>
      </c>
      <c r="U71" s="25">
        <v>4</v>
      </c>
      <c r="V71" s="23">
        <v>35</v>
      </c>
      <c r="W71" s="18" t="s">
        <v>47</v>
      </c>
      <c r="X71" s="18" t="s">
        <v>48</v>
      </c>
      <c r="Y71" s="18" t="s">
        <v>58</v>
      </c>
      <c r="Z71" s="18" t="s">
        <v>43</v>
      </c>
      <c r="AA71" s="18" t="s">
        <v>49</v>
      </c>
      <c r="AB71" s="18" t="s">
        <v>85</v>
      </c>
      <c r="AC71" s="18" t="s">
        <v>38</v>
      </c>
      <c r="AD71" s="7" t="s">
        <v>267</v>
      </c>
      <c r="AE71" s="26"/>
      <c r="AF71" s="26"/>
      <c r="AG71" s="26"/>
      <c r="AH71" s="26"/>
      <c r="AI71" s="26"/>
      <c r="AJ71" s="26"/>
      <c r="AK71" s="26"/>
      <c r="AL71" s="26"/>
      <c r="AM71" s="26"/>
      <c r="AN71" s="26"/>
      <c r="AO71" s="26"/>
      <c r="AP71" s="26"/>
      <c r="AQ71" s="26"/>
      <c r="AR71" s="26"/>
      <c r="AS71" s="26"/>
      <c r="AT71" s="26"/>
      <c r="AU71" s="26"/>
      <c r="AV71" s="26"/>
      <c r="AW71" s="26"/>
    </row>
    <row r="72" spans="1:49" s="34" customFormat="1" ht="31.5" x14ac:dyDescent="0.25">
      <c r="A72" s="18" t="s">
        <v>82</v>
      </c>
      <c r="B72" s="19">
        <v>46051</v>
      </c>
      <c r="C72" s="19">
        <v>46051</v>
      </c>
      <c r="D72" s="18" t="s">
        <v>207</v>
      </c>
      <c r="E72" s="20">
        <v>0.45833333333333331</v>
      </c>
      <c r="F72" s="20">
        <v>0.5</v>
      </c>
      <c r="G72" s="20">
        <v>3.4722222222222218E-4</v>
      </c>
      <c r="H72" s="18" t="s">
        <v>83</v>
      </c>
      <c r="I72" s="21">
        <v>0.47260416666666666</v>
      </c>
      <c r="J72" s="18" t="s">
        <v>80</v>
      </c>
      <c r="K72" s="18" t="s">
        <v>175</v>
      </c>
      <c r="L72" s="22">
        <v>1</v>
      </c>
      <c r="M72" s="22">
        <v>70166</v>
      </c>
      <c r="N72" s="18" t="s">
        <v>53</v>
      </c>
      <c r="O72" s="22" t="s">
        <v>84</v>
      </c>
      <c r="P72" s="23">
        <v>35</v>
      </c>
      <c r="Q72" s="22"/>
      <c r="R72" s="23">
        <v>35</v>
      </c>
      <c r="S72" s="24">
        <v>46051</v>
      </c>
      <c r="T72" s="23">
        <v>0</v>
      </c>
      <c r="U72" s="25">
        <v>4</v>
      </c>
      <c r="V72" s="23">
        <v>35</v>
      </c>
      <c r="W72" s="18" t="s">
        <v>47</v>
      </c>
      <c r="X72" s="18" t="s">
        <v>48</v>
      </c>
      <c r="Y72" s="18" t="s">
        <v>58</v>
      </c>
      <c r="Z72" s="18" t="s">
        <v>43</v>
      </c>
      <c r="AA72" s="18" t="s">
        <v>49</v>
      </c>
      <c r="AB72" s="18" t="s">
        <v>85</v>
      </c>
      <c r="AC72" s="18" t="s">
        <v>38</v>
      </c>
      <c r="AD72" s="7" t="s">
        <v>267</v>
      </c>
      <c r="AI72" s="30"/>
      <c r="AJ72" s="30"/>
      <c r="AK72" s="30"/>
      <c r="AL72" s="30"/>
      <c r="AM72" s="30"/>
      <c r="AN72" s="30"/>
      <c r="AO72" s="30"/>
      <c r="AP72" s="30"/>
      <c r="AQ72" s="30"/>
      <c r="AR72" s="30"/>
      <c r="AS72" s="30"/>
      <c r="AT72" s="30"/>
      <c r="AU72" s="30"/>
      <c r="AV72" s="30"/>
      <c r="AW72" s="30"/>
    </row>
    <row r="73" spans="1:49" s="17" customFormat="1" ht="31.5" x14ac:dyDescent="0.25">
      <c r="A73" s="18" t="s">
        <v>82</v>
      </c>
      <c r="B73" s="19">
        <v>46051</v>
      </c>
      <c r="C73" s="19">
        <v>46051</v>
      </c>
      <c r="D73" s="18" t="s">
        <v>207</v>
      </c>
      <c r="E73" s="20">
        <v>0.45833333333333331</v>
      </c>
      <c r="F73" s="20">
        <v>0.5</v>
      </c>
      <c r="G73" s="20">
        <v>3.4722222222222218E-4</v>
      </c>
      <c r="H73" s="18" t="s">
        <v>83</v>
      </c>
      <c r="I73" s="21">
        <v>0.4778587962962963</v>
      </c>
      <c r="J73" s="18" t="s">
        <v>80</v>
      </c>
      <c r="K73" s="18" t="s">
        <v>175</v>
      </c>
      <c r="L73" s="22">
        <v>1</v>
      </c>
      <c r="M73" s="22">
        <v>70166</v>
      </c>
      <c r="N73" s="18" t="s">
        <v>53</v>
      </c>
      <c r="O73" s="22" t="s">
        <v>84</v>
      </c>
      <c r="P73" s="23">
        <v>35</v>
      </c>
      <c r="Q73" s="22"/>
      <c r="R73" s="23">
        <v>35</v>
      </c>
      <c r="S73" s="24">
        <v>46051</v>
      </c>
      <c r="T73" s="23">
        <v>0</v>
      </c>
      <c r="U73" s="25">
        <v>4</v>
      </c>
      <c r="V73" s="23">
        <v>35</v>
      </c>
      <c r="W73" s="18" t="s">
        <v>47</v>
      </c>
      <c r="X73" s="18" t="s">
        <v>48</v>
      </c>
      <c r="Y73" s="18" t="s">
        <v>58</v>
      </c>
      <c r="Z73" s="18" t="s">
        <v>43</v>
      </c>
      <c r="AA73" s="18" t="s">
        <v>49</v>
      </c>
      <c r="AB73" s="18" t="s">
        <v>85</v>
      </c>
      <c r="AC73" s="18" t="s">
        <v>38</v>
      </c>
      <c r="AD73" s="7" t="s">
        <v>267</v>
      </c>
      <c r="AE73" s="26"/>
      <c r="AF73" s="26"/>
      <c r="AG73" s="26"/>
      <c r="AH73" s="26"/>
      <c r="AI73" s="26"/>
      <c r="AJ73" s="26"/>
      <c r="AK73" s="26"/>
      <c r="AL73" s="26"/>
      <c r="AM73" s="26"/>
      <c r="AN73" s="26"/>
      <c r="AO73" s="26"/>
      <c r="AP73" s="26"/>
      <c r="AQ73" s="26"/>
      <c r="AR73" s="26"/>
      <c r="AS73" s="26"/>
      <c r="AT73" s="26"/>
      <c r="AU73" s="26"/>
      <c r="AV73" s="26"/>
      <c r="AW73" s="26"/>
    </row>
    <row r="74" spans="1:49" s="17" customFormat="1" ht="31.5" x14ac:dyDescent="0.25">
      <c r="A74" s="18" t="s">
        <v>82</v>
      </c>
      <c r="B74" s="19">
        <v>46051</v>
      </c>
      <c r="C74" s="19">
        <v>46051</v>
      </c>
      <c r="D74" s="18" t="s">
        <v>207</v>
      </c>
      <c r="E74" s="20">
        <v>0.45833333333333331</v>
      </c>
      <c r="F74" s="20">
        <v>0.54166666666666663</v>
      </c>
      <c r="G74" s="20">
        <v>3.4722222222222218E-4</v>
      </c>
      <c r="H74" s="18" t="s">
        <v>83</v>
      </c>
      <c r="I74" s="21">
        <v>0.49685428240740742</v>
      </c>
      <c r="J74" s="18" t="s">
        <v>80</v>
      </c>
      <c r="K74" s="18" t="s">
        <v>150</v>
      </c>
      <c r="L74" s="22">
        <v>1</v>
      </c>
      <c r="M74" s="22">
        <v>70168</v>
      </c>
      <c r="N74" s="18" t="s">
        <v>46</v>
      </c>
      <c r="O74" s="22" t="s">
        <v>84</v>
      </c>
      <c r="P74" s="23">
        <v>0</v>
      </c>
      <c r="Q74" s="22"/>
      <c r="R74" s="23">
        <v>0</v>
      </c>
      <c r="S74" s="24">
        <v>46051</v>
      </c>
      <c r="T74" s="23">
        <v>0</v>
      </c>
      <c r="U74" s="25">
        <v>4</v>
      </c>
      <c r="V74" s="23">
        <v>0</v>
      </c>
      <c r="W74" s="18" t="s">
        <v>47</v>
      </c>
      <c r="X74" s="18" t="s">
        <v>48</v>
      </c>
      <c r="Y74" s="18" t="s">
        <v>58</v>
      </c>
      <c r="Z74" s="18" t="s">
        <v>43</v>
      </c>
      <c r="AA74" s="18" t="s">
        <v>49</v>
      </c>
      <c r="AB74" s="18" t="s">
        <v>85</v>
      </c>
      <c r="AC74" s="18" t="s">
        <v>38</v>
      </c>
      <c r="AD74" s="7" t="s">
        <v>267</v>
      </c>
      <c r="AE74" s="26"/>
      <c r="AF74" s="26"/>
      <c r="AG74" s="26"/>
      <c r="AH74" s="26"/>
      <c r="AI74" s="26"/>
      <c r="AJ74" s="26"/>
      <c r="AK74" s="26"/>
      <c r="AL74" s="26"/>
      <c r="AM74" s="26"/>
      <c r="AN74" s="26"/>
      <c r="AO74" s="26"/>
      <c r="AP74" s="26"/>
      <c r="AQ74" s="26"/>
      <c r="AR74" s="26"/>
      <c r="AS74" s="26"/>
      <c r="AT74" s="26"/>
      <c r="AU74" s="26"/>
      <c r="AV74" s="26"/>
      <c r="AW74" s="26"/>
    </row>
    <row r="75" spans="1:49" s="17" customFormat="1" ht="31.5" x14ac:dyDescent="0.25">
      <c r="A75" s="18" t="s">
        <v>82</v>
      </c>
      <c r="B75" s="19">
        <v>46051</v>
      </c>
      <c r="C75" s="19">
        <v>46051</v>
      </c>
      <c r="D75" s="18" t="s">
        <v>207</v>
      </c>
      <c r="E75" s="20">
        <v>0.45833333333333331</v>
      </c>
      <c r="F75" s="20">
        <v>0.5</v>
      </c>
      <c r="G75" s="20">
        <v>3.4722222222222218E-4</v>
      </c>
      <c r="H75" s="18" t="s">
        <v>83</v>
      </c>
      <c r="I75" s="21">
        <v>0.49928495370370374</v>
      </c>
      <c r="J75" s="18" t="s">
        <v>80</v>
      </c>
      <c r="K75" s="18" t="s">
        <v>150</v>
      </c>
      <c r="L75" s="22">
        <v>1</v>
      </c>
      <c r="M75" s="22">
        <v>70166</v>
      </c>
      <c r="N75" s="18" t="s">
        <v>53</v>
      </c>
      <c r="O75" s="22" t="s">
        <v>84</v>
      </c>
      <c r="P75" s="23">
        <v>35</v>
      </c>
      <c r="Q75" s="22"/>
      <c r="R75" s="23">
        <v>35</v>
      </c>
      <c r="S75" s="24">
        <v>46051</v>
      </c>
      <c r="T75" s="23">
        <v>0</v>
      </c>
      <c r="U75" s="25">
        <v>4</v>
      </c>
      <c r="V75" s="23">
        <v>35</v>
      </c>
      <c r="W75" s="18" t="s">
        <v>47</v>
      </c>
      <c r="X75" s="18" t="s">
        <v>48</v>
      </c>
      <c r="Y75" s="18" t="s">
        <v>58</v>
      </c>
      <c r="Z75" s="18" t="s">
        <v>43</v>
      </c>
      <c r="AA75" s="18" t="s">
        <v>49</v>
      </c>
      <c r="AB75" s="18" t="s">
        <v>85</v>
      </c>
      <c r="AC75" s="18" t="s">
        <v>38</v>
      </c>
      <c r="AD75" s="7" t="s">
        <v>267</v>
      </c>
      <c r="AE75" s="26"/>
      <c r="AF75" s="26"/>
      <c r="AG75" s="26"/>
      <c r="AH75" s="26"/>
      <c r="AI75" s="26"/>
      <c r="AJ75" s="26"/>
      <c r="AK75" s="26"/>
      <c r="AL75" s="26"/>
      <c r="AM75" s="26"/>
      <c r="AN75" s="26"/>
      <c r="AO75" s="26"/>
      <c r="AP75" s="26"/>
      <c r="AQ75" s="26"/>
      <c r="AR75" s="26"/>
      <c r="AS75" s="26"/>
      <c r="AT75" s="26"/>
      <c r="AU75" s="26"/>
      <c r="AV75" s="26"/>
      <c r="AW75" s="26"/>
    </row>
    <row r="76" spans="1:49" s="34" customFormat="1" ht="31.5" x14ac:dyDescent="0.25">
      <c r="A76" s="18" t="s">
        <v>82</v>
      </c>
      <c r="B76" s="19">
        <v>46051</v>
      </c>
      <c r="C76" s="19">
        <v>46051</v>
      </c>
      <c r="D76" s="18" t="s">
        <v>207</v>
      </c>
      <c r="E76" s="20">
        <v>0.5</v>
      </c>
      <c r="F76" s="20">
        <v>0.54166666666666663</v>
      </c>
      <c r="G76" s="20">
        <v>3.4722222222222218E-4</v>
      </c>
      <c r="H76" s="18" t="s">
        <v>83</v>
      </c>
      <c r="I76" s="21">
        <v>0.50666747685185187</v>
      </c>
      <c r="J76" s="18" t="s">
        <v>80</v>
      </c>
      <c r="K76" s="18" t="s">
        <v>151</v>
      </c>
      <c r="L76" s="22">
        <v>1</v>
      </c>
      <c r="M76" s="22">
        <v>70167</v>
      </c>
      <c r="N76" s="18" t="s">
        <v>53</v>
      </c>
      <c r="O76" s="22" t="s">
        <v>84</v>
      </c>
      <c r="P76" s="23">
        <v>35</v>
      </c>
      <c r="Q76" s="22"/>
      <c r="R76" s="23">
        <v>35</v>
      </c>
      <c r="S76" s="24">
        <v>46051</v>
      </c>
      <c r="T76" s="23">
        <v>0</v>
      </c>
      <c r="U76" s="25">
        <v>4</v>
      </c>
      <c r="V76" s="23">
        <v>35</v>
      </c>
      <c r="W76" s="18" t="s">
        <v>47</v>
      </c>
      <c r="X76" s="18" t="s">
        <v>48</v>
      </c>
      <c r="Y76" s="18" t="s">
        <v>58</v>
      </c>
      <c r="Z76" s="18" t="s">
        <v>43</v>
      </c>
      <c r="AA76" s="18" t="s">
        <v>49</v>
      </c>
      <c r="AB76" s="18" t="s">
        <v>85</v>
      </c>
      <c r="AC76" s="18" t="s">
        <v>38</v>
      </c>
      <c r="AD76" s="7" t="s">
        <v>267</v>
      </c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</row>
    <row r="77" spans="1:49" s="17" customFormat="1" ht="31.5" x14ac:dyDescent="0.25">
      <c r="A77" s="18" t="s">
        <v>82</v>
      </c>
      <c r="B77" s="19">
        <v>46051</v>
      </c>
      <c r="C77" s="19">
        <v>46051</v>
      </c>
      <c r="D77" s="18" t="s">
        <v>207</v>
      </c>
      <c r="E77" s="20">
        <v>0.5</v>
      </c>
      <c r="F77" s="20">
        <v>0.54166666666666663</v>
      </c>
      <c r="G77" s="20">
        <v>3.4722222222222218E-4</v>
      </c>
      <c r="H77" s="18" t="s">
        <v>83</v>
      </c>
      <c r="I77" s="21">
        <v>0.51178530092592589</v>
      </c>
      <c r="J77" s="18" t="s">
        <v>80</v>
      </c>
      <c r="K77" s="18" t="s">
        <v>151</v>
      </c>
      <c r="L77" s="22">
        <v>1</v>
      </c>
      <c r="M77" s="22">
        <v>70167</v>
      </c>
      <c r="N77" s="18" t="s">
        <v>53</v>
      </c>
      <c r="O77" s="22" t="s">
        <v>84</v>
      </c>
      <c r="P77" s="23">
        <v>35</v>
      </c>
      <c r="Q77" s="22"/>
      <c r="R77" s="23">
        <v>35</v>
      </c>
      <c r="S77" s="24">
        <v>46051</v>
      </c>
      <c r="T77" s="23">
        <v>0</v>
      </c>
      <c r="U77" s="25">
        <v>4</v>
      </c>
      <c r="V77" s="23">
        <v>35</v>
      </c>
      <c r="W77" s="18" t="s">
        <v>47</v>
      </c>
      <c r="X77" s="18" t="s">
        <v>48</v>
      </c>
      <c r="Y77" s="18" t="s">
        <v>58</v>
      </c>
      <c r="Z77" s="18" t="s">
        <v>43</v>
      </c>
      <c r="AA77" s="18" t="s">
        <v>49</v>
      </c>
      <c r="AB77" s="18" t="s">
        <v>85</v>
      </c>
      <c r="AC77" s="18" t="s">
        <v>38</v>
      </c>
      <c r="AD77" s="7" t="s">
        <v>267</v>
      </c>
      <c r="AE77" s="26"/>
      <c r="AF77" s="26"/>
      <c r="AG77" s="26"/>
      <c r="AH77" s="26"/>
      <c r="AI77" s="27"/>
      <c r="AJ77" s="27"/>
      <c r="AK77" s="27"/>
      <c r="AL77" s="27"/>
      <c r="AM77" s="27"/>
      <c r="AN77" s="27"/>
      <c r="AO77" s="27"/>
      <c r="AP77" s="27"/>
      <c r="AQ77" s="27"/>
      <c r="AR77" s="27"/>
      <c r="AS77" s="27"/>
      <c r="AT77" s="27"/>
      <c r="AU77" s="27"/>
      <c r="AV77" s="27"/>
      <c r="AW77" s="27"/>
    </row>
    <row r="78" spans="1:49" s="17" customFormat="1" ht="31.5" x14ac:dyDescent="0.25">
      <c r="A78" s="18" t="s">
        <v>82</v>
      </c>
      <c r="B78" s="19">
        <v>46051</v>
      </c>
      <c r="C78" s="19">
        <v>46051</v>
      </c>
      <c r="D78" s="18" t="s">
        <v>207</v>
      </c>
      <c r="E78" s="20">
        <v>0.5</v>
      </c>
      <c r="F78" s="20">
        <v>0.54166666666666663</v>
      </c>
      <c r="G78" s="20">
        <v>3.4722222222222218E-4</v>
      </c>
      <c r="H78" s="18" t="s">
        <v>83</v>
      </c>
      <c r="I78" s="21">
        <v>0.51805810185185186</v>
      </c>
      <c r="J78" s="18" t="s">
        <v>80</v>
      </c>
      <c r="K78" s="18" t="s">
        <v>151</v>
      </c>
      <c r="L78" s="22">
        <v>1</v>
      </c>
      <c r="M78" s="22">
        <v>70167</v>
      </c>
      <c r="N78" s="18" t="s">
        <v>53</v>
      </c>
      <c r="O78" s="22" t="s">
        <v>84</v>
      </c>
      <c r="P78" s="23">
        <v>35</v>
      </c>
      <c r="Q78" s="22"/>
      <c r="R78" s="23">
        <v>35</v>
      </c>
      <c r="S78" s="24">
        <v>46051</v>
      </c>
      <c r="T78" s="23">
        <v>0</v>
      </c>
      <c r="U78" s="25">
        <v>4</v>
      </c>
      <c r="V78" s="23">
        <v>35</v>
      </c>
      <c r="W78" s="18" t="s">
        <v>47</v>
      </c>
      <c r="X78" s="18" t="s">
        <v>48</v>
      </c>
      <c r="Y78" s="18" t="s">
        <v>58</v>
      </c>
      <c r="Z78" s="18" t="s">
        <v>43</v>
      </c>
      <c r="AA78" s="18" t="s">
        <v>49</v>
      </c>
      <c r="AB78" s="18" t="s">
        <v>85</v>
      </c>
      <c r="AC78" s="18" t="s">
        <v>38</v>
      </c>
      <c r="AD78" s="7" t="s">
        <v>267</v>
      </c>
      <c r="AE78" s="26"/>
      <c r="AF78" s="26"/>
      <c r="AG78" s="26"/>
      <c r="AH78" s="26"/>
      <c r="AI78" s="27"/>
      <c r="AJ78" s="27"/>
      <c r="AK78" s="27"/>
      <c r="AL78" s="27"/>
      <c r="AM78" s="27"/>
      <c r="AN78" s="27"/>
      <c r="AO78" s="27"/>
      <c r="AP78" s="27"/>
      <c r="AQ78" s="27"/>
      <c r="AR78" s="27"/>
      <c r="AS78" s="27"/>
      <c r="AT78" s="27"/>
      <c r="AU78" s="27"/>
      <c r="AV78" s="27"/>
      <c r="AW78" s="27"/>
    </row>
    <row r="79" spans="1:49" s="17" customFormat="1" ht="31.5" x14ac:dyDescent="0.25">
      <c r="A79" s="18" t="s">
        <v>82</v>
      </c>
      <c r="B79" s="19">
        <v>46051</v>
      </c>
      <c r="C79" s="19">
        <v>46051</v>
      </c>
      <c r="D79" s="18" t="s">
        <v>207</v>
      </c>
      <c r="E79" s="20">
        <v>0.5</v>
      </c>
      <c r="F79" s="20">
        <v>0.54166666666666663</v>
      </c>
      <c r="G79" s="20">
        <v>3.4722222222222218E-4</v>
      </c>
      <c r="H79" s="18" t="s">
        <v>83</v>
      </c>
      <c r="I79" s="21">
        <v>0.54068287037037033</v>
      </c>
      <c r="J79" s="18" t="s">
        <v>80</v>
      </c>
      <c r="K79" s="18" t="s">
        <v>151</v>
      </c>
      <c r="L79" s="22">
        <v>1</v>
      </c>
      <c r="M79" s="22">
        <v>70167</v>
      </c>
      <c r="N79" s="18" t="s">
        <v>53</v>
      </c>
      <c r="O79" s="22" t="s">
        <v>84</v>
      </c>
      <c r="P79" s="23">
        <v>35</v>
      </c>
      <c r="Q79" s="22"/>
      <c r="R79" s="23">
        <v>35</v>
      </c>
      <c r="S79" s="24">
        <v>46051</v>
      </c>
      <c r="T79" s="23">
        <v>0</v>
      </c>
      <c r="U79" s="25">
        <v>4</v>
      </c>
      <c r="V79" s="23">
        <v>35</v>
      </c>
      <c r="W79" s="18" t="s">
        <v>47</v>
      </c>
      <c r="X79" s="18" t="s">
        <v>48</v>
      </c>
      <c r="Y79" s="18" t="s">
        <v>58</v>
      </c>
      <c r="Z79" s="18" t="s">
        <v>43</v>
      </c>
      <c r="AA79" s="18" t="s">
        <v>49</v>
      </c>
      <c r="AB79" s="18" t="s">
        <v>85</v>
      </c>
      <c r="AC79" s="18" t="s">
        <v>38</v>
      </c>
      <c r="AD79" s="7" t="s">
        <v>267</v>
      </c>
      <c r="AE79" s="26"/>
      <c r="AF79" s="26"/>
      <c r="AG79" s="26"/>
      <c r="AH79" s="26"/>
      <c r="AI79" s="26"/>
      <c r="AJ79" s="26"/>
      <c r="AK79" s="26"/>
      <c r="AL79" s="26"/>
      <c r="AM79" s="26"/>
      <c r="AN79" s="26"/>
      <c r="AO79" s="26"/>
      <c r="AP79" s="26"/>
      <c r="AQ79" s="26"/>
      <c r="AR79" s="26"/>
      <c r="AS79" s="26"/>
      <c r="AT79" s="26"/>
      <c r="AU79" s="26"/>
      <c r="AV79" s="26"/>
      <c r="AW79" s="26"/>
    </row>
    <row r="80" spans="1:49" s="17" customFormat="1" ht="31.5" x14ac:dyDescent="0.25">
      <c r="A80" s="18" t="s">
        <v>82</v>
      </c>
      <c r="B80" s="19">
        <v>46052</v>
      </c>
      <c r="C80" s="19">
        <v>46052</v>
      </c>
      <c r="D80" s="18" t="s">
        <v>217</v>
      </c>
      <c r="E80" s="20">
        <v>0.45833333333333331</v>
      </c>
      <c r="F80" s="20">
        <v>0.54166666666666663</v>
      </c>
      <c r="G80" s="20">
        <v>3.4722222222222218E-4</v>
      </c>
      <c r="H80" s="18" t="s">
        <v>83</v>
      </c>
      <c r="I80" s="21">
        <v>0.46516203703703701</v>
      </c>
      <c r="J80" s="18" t="s">
        <v>80</v>
      </c>
      <c r="K80" s="18" t="s">
        <v>175</v>
      </c>
      <c r="L80" s="22">
        <v>1</v>
      </c>
      <c r="M80" s="22">
        <v>70168</v>
      </c>
      <c r="N80" s="18" t="s">
        <v>46</v>
      </c>
      <c r="O80" s="22" t="s">
        <v>84</v>
      </c>
      <c r="P80" s="23">
        <v>0</v>
      </c>
      <c r="Q80" s="22"/>
      <c r="R80" s="23">
        <v>0</v>
      </c>
      <c r="S80" s="24">
        <v>46052</v>
      </c>
      <c r="T80" s="23">
        <v>0</v>
      </c>
      <c r="U80" s="25">
        <v>4</v>
      </c>
      <c r="V80" s="23">
        <v>0</v>
      </c>
      <c r="W80" s="18" t="s">
        <v>47</v>
      </c>
      <c r="X80" s="18" t="s">
        <v>48</v>
      </c>
      <c r="Y80" s="18" t="s">
        <v>58</v>
      </c>
      <c r="Z80" s="18" t="s">
        <v>43</v>
      </c>
      <c r="AA80" s="18" t="s">
        <v>49</v>
      </c>
      <c r="AB80" s="18" t="s">
        <v>85</v>
      </c>
      <c r="AC80" s="18" t="s">
        <v>38</v>
      </c>
      <c r="AD80" s="7" t="s">
        <v>267</v>
      </c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</row>
    <row r="81" spans="1:49" s="17" customFormat="1" ht="31.5" x14ac:dyDescent="0.25">
      <c r="A81" s="18" t="s">
        <v>82</v>
      </c>
      <c r="B81" s="19">
        <v>46052</v>
      </c>
      <c r="C81" s="19">
        <v>46052</v>
      </c>
      <c r="D81" s="18" t="s">
        <v>217</v>
      </c>
      <c r="E81" s="20">
        <v>0.45833333333333331</v>
      </c>
      <c r="F81" s="20">
        <v>0.5</v>
      </c>
      <c r="G81" s="20">
        <v>3.4722222222222218E-4</v>
      </c>
      <c r="H81" s="18" t="s">
        <v>83</v>
      </c>
      <c r="I81" s="21">
        <v>0.46620393518518516</v>
      </c>
      <c r="J81" s="18" t="s">
        <v>80</v>
      </c>
      <c r="K81" s="18" t="s">
        <v>175</v>
      </c>
      <c r="L81" s="22">
        <v>1</v>
      </c>
      <c r="M81" s="22">
        <v>70166</v>
      </c>
      <c r="N81" s="18" t="s">
        <v>53</v>
      </c>
      <c r="O81" s="22" t="s">
        <v>84</v>
      </c>
      <c r="P81" s="23">
        <v>35</v>
      </c>
      <c r="Q81" s="22"/>
      <c r="R81" s="23">
        <v>35</v>
      </c>
      <c r="S81" s="24">
        <v>46052</v>
      </c>
      <c r="T81" s="23">
        <v>0</v>
      </c>
      <c r="U81" s="25">
        <v>4</v>
      </c>
      <c r="V81" s="23">
        <v>35</v>
      </c>
      <c r="W81" s="18" t="s">
        <v>47</v>
      </c>
      <c r="X81" s="18" t="s">
        <v>48</v>
      </c>
      <c r="Y81" s="18" t="s">
        <v>58</v>
      </c>
      <c r="Z81" s="18" t="s">
        <v>43</v>
      </c>
      <c r="AA81" s="18" t="s">
        <v>49</v>
      </c>
      <c r="AB81" s="18" t="s">
        <v>85</v>
      </c>
      <c r="AC81" s="18" t="s">
        <v>38</v>
      </c>
      <c r="AD81" s="7" t="s">
        <v>267</v>
      </c>
      <c r="AE81" s="26"/>
      <c r="AF81" s="26"/>
      <c r="AG81" s="26"/>
      <c r="AH81" s="26"/>
      <c r="AI81" s="27"/>
      <c r="AJ81" s="27"/>
      <c r="AK81" s="27"/>
      <c r="AL81" s="27"/>
      <c r="AM81" s="27"/>
      <c r="AN81" s="27"/>
      <c r="AO81" s="27"/>
      <c r="AP81" s="27"/>
      <c r="AQ81" s="27"/>
      <c r="AR81" s="27"/>
      <c r="AS81" s="27"/>
      <c r="AT81" s="27"/>
      <c r="AU81" s="27"/>
      <c r="AV81" s="27"/>
      <c r="AW81" s="27"/>
    </row>
    <row r="82" spans="1:49" s="17" customFormat="1" ht="31.5" x14ac:dyDescent="0.25">
      <c r="A82" s="18" t="s">
        <v>82</v>
      </c>
      <c r="B82" s="19">
        <v>46052</v>
      </c>
      <c r="C82" s="19">
        <v>46052</v>
      </c>
      <c r="D82" s="18" t="s">
        <v>217</v>
      </c>
      <c r="E82" s="20">
        <v>0.45833333333333331</v>
      </c>
      <c r="F82" s="20">
        <v>0.5</v>
      </c>
      <c r="G82" s="20">
        <v>3.4722222222222218E-4</v>
      </c>
      <c r="H82" s="18" t="s">
        <v>83</v>
      </c>
      <c r="I82" s="21">
        <v>0.4689018518518519</v>
      </c>
      <c r="J82" s="18" t="s">
        <v>80</v>
      </c>
      <c r="K82" s="18" t="s">
        <v>175</v>
      </c>
      <c r="L82" s="22">
        <v>1</v>
      </c>
      <c r="M82" s="22">
        <v>70166</v>
      </c>
      <c r="N82" s="18" t="s">
        <v>53</v>
      </c>
      <c r="O82" s="22" t="s">
        <v>84</v>
      </c>
      <c r="P82" s="23">
        <v>35</v>
      </c>
      <c r="Q82" s="22"/>
      <c r="R82" s="23">
        <v>35</v>
      </c>
      <c r="S82" s="24">
        <v>46052</v>
      </c>
      <c r="T82" s="23">
        <v>0</v>
      </c>
      <c r="U82" s="25">
        <v>4</v>
      </c>
      <c r="V82" s="23">
        <v>35</v>
      </c>
      <c r="W82" s="18" t="s">
        <v>47</v>
      </c>
      <c r="X82" s="18" t="s">
        <v>48</v>
      </c>
      <c r="Y82" s="18" t="s">
        <v>58</v>
      </c>
      <c r="Z82" s="18" t="s">
        <v>43</v>
      </c>
      <c r="AA82" s="18" t="s">
        <v>49</v>
      </c>
      <c r="AB82" s="18" t="s">
        <v>85</v>
      </c>
      <c r="AC82" s="18" t="s">
        <v>38</v>
      </c>
      <c r="AD82" s="7" t="s">
        <v>267</v>
      </c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</row>
    <row r="83" spans="1:49" s="17" customFormat="1" ht="31.5" x14ac:dyDescent="0.25">
      <c r="A83" s="18" t="s">
        <v>82</v>
      </c>
      <c r="B83" s="19">
        <v>46052</v>
      </c>
      <c r="C83" s="19">
        <v>46052</v>
      </c>
      <c r="D83" s="18" t="s">
        <v>217</v>
      </c>
      <c r="E83" s="20">
        <v>0.45833333333333331</v>
      </c>
      <c r="F83" s="20">
        <v>0.5</v>
      </c>
      <c r="G83" s="20">
        <v>3.4722222222222218E-4</v>
      </c>
      <c r="H83" s="18" t="s">
        <v>83</v>
      </c>
      <c r="I83" s="21">
        <v>0.49041886574074078</v>
      </c>
      <c r="J83" s="18" t="s">
        <v>80</v>
      </c>
      <c r="K83" s="18" t="s">
        <v>150</v>
      </c>
      <c r="L83" s="22">
        <v>1</v>
      </c>
      <c r="M83" s="22">
        <v>70166</v>
      </c>
      <c r="N83" s="18" t="s">
        <v>53</v>
      </c>
      <c r="O83" s="22" t="s">
        <v>84</v>
      </c>
      <c r="P83" s="23">
        <v>35</v>
      </c>
      <c r="Q83" s="22"/>
      <c r="R83" s="23">
        <v>35</v>
      </c>
      <c r="S83" s="24">
        <v>46052</v>
      </c>
      <c r="T83" s="23">
        <v>0</v>
      </c>
      <c r="U83" s="25">
        <v>4</v>
      </c>
      <c r="V83" s="23">
        <v>35</v>
      </c>
      <c r="W83" s="18" t="s">
        <v>47</v>
      </c>
      <c r="X83" s="18" t="s">
        <v>48</v>
      </c>
      <c r="Y83" s="18" t="s">
        <v>58</v>
      </c>
      <c r="Z83" s="18" t="s">
        <v>43</v>
      </c>
      <c r="AA83" s="18" t="s">
        <v>49</v>
      </c>
      <c r="AB83" s="18" t="s">
        <v>85</v>
      </c>
      <c r="AC83" s="18" t="s">
        <v>38</v>
      </c>
      <c r="AD83" s="7" t="s">
        <v>267</v>
      </c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</row>
    <row r="84" spans="1:49" s="34" customFormat="1" ht="31.5" x14ac:dyDescent="0.25">
      <c r="A84" s="18" t="s">
        <v>82</v>
      </c>
      <c r="B84" s="19">
        <v>46052</v>
      </c>
      <c r="C84" s="19">
        <v>46052</v>
      </c>
      <c r="D84" s="18" t="s">
        <v>217</v>
      </c>
      <c r="E84" s="20">
        <v>0.45833333333333331</v>
      </c>
      <c r="F84" s="20">
        <v>0.5</v>
      </c>
      <c r="G84" s="20">
        <v>3.4722222222222218E-4</v>
      </c>
      <c r="H84" s="18" t="s">
        <v>83</v>
      </c>
      <c r="I84" s="21">
        <v>0.49936388888888888</v>
      </c>
      <c r="J84" s="18" t="s">
        <v>80</v>
      </c>
      <c r="K84" s="18" t="s">
        <v>150</v>
      </c>
      <c r="L84" s="22">
        <v>1</v>
      </c>
      <c r="M84" s="22">
        <v>70166</v>
      </c>
      <c r="N84" s="18" t="s">
        <v>53</v>
      </c>
      <c r="O84" s="22" t="s">
        <v>84</v>
      </c>
      <c r="P84" s="23">
        <v>35</v>
      </c>
      <c r="Q84" s="22"/>
      <c r="R84" s="23">
        <v>35</v>
      </c>
      <c r="S84" s="24">
        <v>46052</v>
      </c>
      <c r="T84" s="23">
        <v>0</v>
      </c>
      <c r="U84" s="25">
        <v>4</v>
      </c>
      <c r="V84" s="23">
        <v>35</v>
      </c>
      <c r="W84" s="18" t="s">
        <v>47</v>
      </c>
      <c r="X84" s="18" t="s">
        <v>48</v>
      </c>
      <c r="Y84" s="18" t="s">
        <v>58</v>
      </c>
      <c r="Z84" s="18" t="s">
        <v>43</v>
      </c>
      <c r="AA84" s="18" t="s">
        <v>49</v>
      </c>
      <c r="AB84" s="18" t="s">
        <v>85</v>
      </c>
      <c r="AC84" s="18" t="s">
        <v>38</v>
      </c>
      <c r="AD84" s="7" t="s">
        <v>267</v>
      </c>
      <c r="AE84" s="17"/>
      <c r="AF84" s="17"/>
      <c r="AG84" s="17"/>
      <c r="AH84" s="17"/>
      <c r="AI84" s="30"/>
      <c r="AJ84" s="30"/>
      <c r="AK84" s="30"/>
      <c r="AL84" s="30"/>
      <c r="AM84" s="30"/>
      <c r="AN84" s="30"/>
      <c r="AO84" s="30"/>
      <c r="AP84" s="30"/>
      <c r="AQ84" s="30"/>
      <c r="AR84" s="30"/>
      <c r="AS84" s="30"/>
      <c r="AT84" s="30"/>
      <c r="AU84" s="30"/>
      <c r="AV84" s="30"/>
      <c r="AW84" s="30"/>
    </row>
    <row r="85" spans="1:49" s="17" customFormat="1" ht="31.5" x14ac:dyDescent="0.25">
      <c r="A85" s="18" t="s">
        <v>82</v>
      </c>
      <c r="B85" s="19">
        <v>46052</v>
      </c>
      <c r="C85" s="19">
        <v>46052</v>
      </c>
      <c r="D85" s="18" t="s">
        <v>217</v>
      </c>
      <c r="E85" s="20">
        <v>0.45833333333333331</v>
      </c>
      <c r="F85" s="20">
        <v>0.54166666666666663</v>
      </c>
      <c r="G85" s="20">
        <v>3.4722222222222218E-4</v>
      </c>
      <c r="H85" s="18" t="s">
        <v>83</v>
      </c>
      <c r="I85" s="21">
        <v>0.51812685185185192</v>
      </c>
      <c r="J85" s="18" t="s">
        <v>80</v>
      </c>
      <c r="K85" s="18" t="s">
        <v>151</v>
      </c>
      <c r="L85" s="22">
        <v>1</v>
      </c>
      <c r="M85" s="22">
        <v>70168</v>
      </c>
      <c r="N85" s="18" t="s">
        <v>46</v>
      </c>
      <c r="O85" s="22" t="s">
        <v>84</v>
      </c>
      <c r="P85" s="23">
        <v>0</v>
      </c>
      <c r="Q85" s="22"/>
      <c r="R85" s="23">
        <v>0</v>
      </c>
      <c r="S85" s="24">
        <v>46052</v>
      </c>
      <c r="T85" s="23">
        <v>0</v>
      </c>
      <c r="U85" s="25">
        <v>4</v>
      </c>
      <c r="V85" s="23">
        <v>0</v>
      </c>
      <c r="W85" s="18" t="s">
        <v>47</v>
      </c>
      <c r="X85" s="18" t="s">
        <v>48</v>
      </c>
      <c r="Y85" s="18" t="s">
        <v>58</v>
      </c>
      <c r="Z85" s="18" t="s">
        <v>43</v>
      </c>
      <c r="AA85" s="18" t="s">
        <v>49</v>
      </c>
      <c r="AB85" s="18" t="s">
        <v>85</v>
      </c>
      <c r="AC85" s="18" t="s">
        <v>38</v>
      </c>
      <c r="AD85" s="7" t="s">
        <v>267</v>
      </c>
      <c r="AE85" s="26"/>
      <c r="AF85" s="26"/>
      <c r="AG85" s="26"/>
      <c r="AH85" s="26"/>
      <c r="AI85" s="27"/>
      <c r="AJ85" s="27"/>
      <c r="AK85" s="27"/>
      <c r="AL85" s="27"/>
      <c r="AM85" s="27"/>
      <c r="AN85" s="27"/>
      <c r="AO85" s="27"/>
      <c r="AP85" s="27"/>
      <c r="AQ85" s="27"/>
      <c r="AR85" s="27"/>
      <c r="AS85" s="27"/>
      <c r="AT85" s="27"/>
      <c r="AU85" s="27"/>
      <c r="AV85" s="27"/>
      <c r="AW85" s="27"/>
    </row>
    <row r="86" spans="1:49" s="17" customFormat="1" ht="31.5" x14ac:dyDescent="0.25">
      <c r="A86" s="18" t="s">
        <v>82</v>
      </c>
      <c r="B86" s="19">
        <v>46052</v>
      </c>
      <c r="C86" s="19">
        <v>46052</v>
      </c>
      <c r="D86" s="18" t="s">
        <v>217</v>
      </c>
      <c r="E86" s="20">
        <v>0.5</v>
      </c>
      <c r="F86" s="20">
        <v>0.54166666666666663</v>
      </c>
      <c r="G86" s="20">
        <v>3.4722222222222218E-4</v>
      </c>
      <c r="H86" s="18" t="s">
        <v>83</v>
      </c>
      <c r="I86" s="21">
        <v>0.50694490740740739</v>
      </c>
      <c r="J86" s="18" t="s">
        <v>80</v>
      </c>
      <c r="K86" s="18" t="s">
        <v>151</v>
      </c>
      <c r="L86" s="22">
        <v>1</v>
      </c>
      <c r="M86" s="22">
        <v>70167</v>
      </c>
      <c r="N86" s="18" t="s">
        <v>53</v>
      </c>
      <c r="O86" s="22" t="s">
        <v>84</v>
      </c>
      <c r="P86" s="23">
        <v>35</v>
      </c>
      <c r="Q86" s="22"/>
      <c r="R86" s="23">
        <v>35</v>
      </c>
      <c r="S86" s="24">
        <v>46052</v>
      </c>
      <c r="T86" s="23">
        <v>0</v>
      </c>
      <c r="U86" s="25">
        <v>4</v>
      </c>
      <c r="V86" s="23">
        <v>35</v>
      </c>
      <c r="W86" s="18" t="s">
        <v>47</v>
      </c>
      <c r="X86" s="18" t="s">
        <v>48</v>
      </c>
      <c r="Y86" s="18" t="s">
        <v>58</v>
      </c>
      <c r="Z86" s="18" t="s">
        <v>43</v>
      </c>
      <c r="AA86" s="18" t="s">
        <v>49</v>
      </c>
      <c r="AB86" s="18" t="s">
        <v>85</v>
      </c>
      <c r="AC86" s="18" t="s">
        <v>38</v>
      </c>
      <c r="AD86" s="7" t="s">
        <v>267</v>
      </c>
      <c r="AE86" s="31"/>
      <c r="AF86" s="31"/>
      <c r="AG86" s="31"/>
      <c r="AH86" s="31"/>
      <c r="AI86" s="30"/>
      <c r="AJ86" s="30"/>
      <c r="AK86" s="30"/>
      <c r="AL86" s="30"/>
      <c r="AM86" s="30"/>
      <c r="AN86" s="30"/>
      <c r="AO86" s="30"/>
      <c r="AP86" s="30"/>
      <c r="AQ86" s="30"/>
      <c r="AR86" s="30"/>
      <c r="AS86" s="30"/>
      <c r="AT86" s="30"/>
      <c r="AU86" s="30"/>
      <c r="AV86" s="30"/>
      <c r="AW86" s="30"/>
    </row>
    <row r="87" spans="1:49" s="34" customFormat="1" ht="31.5" x14ac:dyDescent="0.25">
      <c r="A87" s="18" t="s">
        <v>82</v>
      </c>
      <c r="B87" s="19">
        <v>46052</v>
      </c>
      <c r="C87" s="19">
        <v>46052</v>
      </c>
      <c r="D87" s="18" t="s">
        <v>217</v>
      </c>
      <c r="E87" s="20">
        <v>0.5</v>
      </c>
      <c r="F87" s="20">
        <v>0.54166666666666663</v>
      </c>
      <c r="G87" s="20">
        <v>3.4722222222222218E-4</v>
      </c>
      <c r="H87" s="18" t="s">
        <v>83</v>
      </c>
      <c r="I87" s="21">
        <v>0.51916874999999996</v>
      </c>
      <c r="J87" s="18" t="s">
        <v>80</v>
      </c>
      <c r="K87" s="18" t="s">
        <v>151</v>
      </c>
      <c r="L87" s="22">
        <v>1</v>
      </c>
      <c r="M87" s="22">
        <v>70167</v>
      </c>
      <c r="N87" s="18" t="s">
        <v>53</v>
      </c>
      <c r="O87" s="22" t="s">
        <v>84</v>
      </c>
      <c r="P87" s="23">
        <v>35</v>
      </c>
      <c r="Q87" s="22"/>
      <c r="R87" s="23">
        <v>35</v>
      </c>
      <c r="S87" s="24">
        <v>46052</v>
      </c>
      <c r="T87" s="23">
        <v>0</v>
      </c>
      <c r="U87" s="25">
        <v>4</v>
      </c>
      <c r="V87" s="23">
        <v>35</v>
      </c>
      <c r="W87" s="18" t="s">
        <v>47</v>
      </c>
      <c r="X87" s="18" t="s">
        <v>48</v>
      </c>
      <c r="Y87" s="18" t="s">
        <v>58</v>
      </c>
      <c r="Z87" s="18" t="s">
        <v>43</v>
      </c>
      <c r="AA87" s="18" t="s">
        <v>49</v>
      </c>
      <c r="AB87" s="18" t="s">
        <v>85</v>
      </c>
      <c r="AC87" s="18" t="s">
        <v>38</v>
      </c>
      <c r="AD87" s="7" t="s">
        <v>267</v>
      </c>
      <c r="AE87" s="33"/>
      <c r="AF87" s="33"/>
      <c r="AG87" s="33"/>
      <c r="AH87" s="33"/>
      <c r="AI87" s="30"/>
      <c r="AJ87" s="30"/>
      <c r="AK87" s="30"/>
      <c r="AL87" s="30"/>
      <c r="AM87" s="30"/>
      <c r="AN87" s="30"/>
      <c r="AO87" s="30"/>
      <c r="AP87" s="30"/>
      <c r="AQ87" s="30"/>
      <c r="AR87" s="30"/>
      <c r="AS87" s="30"/>
      <c r="AT87" s="30"/>
      <c r="AU87" s="30"/>
      <c r="AV87" s="30"/>
      <c r="AW87" s="30"/>
    </row>
    <row r="88" spans="1:49" s="17" customFormat="1" ht="31.5" x14ac:dyDescent="0.25">
      <c r="A88" s="18" t="s">
        <v>82</v>
      </c>
      <c r="B88" s="19">
        <v>46052</v>
      </c>
      <c r="C88" s="19">
        <v>46052</v>
      </c>
      <c r="D88" s="18" t="s">
        <v>217</v>
      </c>
      <c r="E88" s="20">
        <v>0.5</v>
      </c>
      <c r="F88" s="20">
        <v>0.54166666666666663</v>
      </c>
      <c r="G88" s="20">
        <v>3.4722222222222218E-4</v>
      </c>
      <c r="H88" s="18" t="s">
        <v>83</v>
      </c>
      <c r="I88" s="21">
        <v>0.52552129629629629</v>
      </c>
      <c r="J88" s="18" t="s">
        <v>80</v>
      </c>
      <c r="K88" s="18" t="s">
        <v>151</v>
      </c>
      <c r="L88" s="22">
        <v>1</v>
      </c>
      <c r="M88" s="22">
        <v>70167</v>
      </c>
      <c r="N88" s="18" t="s">
        <v>53</v>
      </c>
      <c r="O88" s="22" t="s">
        <v>84</v>
      </c>
      <c r="P88" s="23">
        <v>35</v>
      </c>
      <c r="Q88" s="22"/>
      <c r="R88" s="23">
        <v>35</v>
      </c>
      <c r="S88" s="24">
        <v>46052</v>
      </c>
      <c r="T88" s="23">
        <v>0</v>
      </c>
      <c r="U88" s="25">
        <v>4</v>
      </c>
      <c r="V88" s="23">
        <v>35</v>
      </c>
      <c r="W88" s="18" t="s">
        <v>47</v>
      </c>
      <c r="X88" s="18" t="s">
        <v>48</v>
      </c>
      <c r="Y88" s="18" t="s">
        <v>58</v>
      </c>
      <c r="Z88" s="18" t="s">
        <v>43</v>
      </c>
      <c r="AA88" s="18" t="s">
        <v>49</v>
      </c>
      <c r="AB88" s="18" t="s">
        <v>85</v>
      </c>
      <c r="AC88" s="18" t="s">
        <v>38</v>
      </c>
      <c r="AD88" s="7" t="s">
        <v>267</v>
      </c>
      <c r="AE88" s="26"/>
      <c r="AF88" s="26"/>
      <c r="AG88" s="26"/>
      <c r="AH88" s="26"/>
      <c r="AI88" s="27"/>
      <c r="AJ88" s="27"/>
      <c r="AK88" s="27"/>
      <c r="AL88" s="27"/>
      <c r="AM88" s="27"/>
      <c r="AN88" s="27"/>
      <c r="AO88" s="27"/>
      <c r="AP88" s="27"/>
      <c r="AQ88" s="27"/>
      <c r="AR88" s="27"/>
      <c r="AS88" s="27"/>
      <c r="AT88" s="27"/>
      <c r="AU88" s="27"/>
      <c r="AV88" s="27"/>
      <c r="AW88" s="27"/>
    </row>
    <row r="89" spans="1:49" s="17" customFormat="1" ht="31.5" x14ac:dyDescent="0.25">
      <c r="A89" s="18" t="s">
        <v>82</v>
      </c>
      <c r="B89" s="19">
        <v>46052</v>
      </c>
      <c r="C89" s="19">
        <v>46052</v>
      </c>
      <c r="D89" s="18" t="s">
        <v>217</v>
      </c>
      <c r="E89" s="20">
        <v>0.5</v>
      </c>
      <c r="F89" s="20">
        <v>0.54166666666666663</v>
      </c>
      <c r="G89" s="20">
        <v>3.4722222222222218E-4</v>
      </c>
      <c r="H89" s="18" t="s">
        <v>83</v>
      </c>
      <c r="I89" s="21">
        <v>0.53398171296296293</v>
      </c>
      <c r="J89" s="18" t="s">
        <v>80</v>
      </c>
      <c r="K89" s="18" t="s">
        <v>151</v>
      </c>
      <c r="L89" s="22">
        <v>1</v>
      </c>
      <c r="M89" s="22">
        <v>70167</v>
      </c>
      <c r="N89" s="18" t="s">
        <v>53</v>
      </c>
      <c r="O89" s="22" t="s">
        <v>84</v>
      </c>
      <c r="P89" s="23">
        <v>35</v>
      </c>
      <c r="Q89" s="22"/>
      <c r="R89" s="23">
        <v>35</v>
      </c>
      <c r="S89" s="24">
        <v>46052</v>
      </c>
      <c r="T89" s="23">
        <v>0</v>
      </c>
      <c r="U89" s="25">
        <v>4</v>
      </c>
      <c r="V89" s="23">
        <v>35</v>
      </c>
      <c r="W89" s="18" t="s">
        <v>47</v>
      </c>
      <c r="X89" s="18" t="s">
        <v>48</v>
      </c>
      <c r="Y89" s="18" t="s">
        <v>58</v>
      </c>
      <c r="Z89" s="18" t="s">
        <v>43</v>
      </c>
      <c r="AA89" s="18" t="s">
        <v>49</v>
      </c>
      <c r="AB89" s="18" t="s">
        <v>85</v>
      </c>
      <c r="AC89" s="18" t="s">
        <v>38</v>
      </c>
      <c r="AD89" s="7" t="s">
        <v>267</v>
      </c>
      <c r="AE89" s="26"/>
      <c r="AF89" s="26"/>
      <c r="AG89" s="26"/>
      <c r="AH89" s="26"/>
      <c r="AI89" s="26"/>
      <c r="AJ89" s="26"/>
      <c r="AK89" s="26"/>
      <c r="AL89" s="26"/>
      <c r="AM89" s="26"/>
      <c r="AN89" s="26"/>
      <c r="AO89" s="26"/>
      <c r="AP89" s="26"/>
      <c r="AQ89" s="26"/>
      <c r="AR89" s="26"/>
      <c r="AS89" s="26"/>
      <c r="AT89" s="26"/>
      <c r="AU89" s="26"/>
      <c r="AV89" s="26"/>
      <c r="AW89" s="26"/>
    </row>
    <row r="90" spans="1:49" s="17" customFormat="1" ht="31.5" x14ac:dyDescent="0.25">
      <c r="A90" s="18" t="s">
        <v>82</v>
      </c>
      <c r="B90" s="19">
        <v>46053</v>
      </c>
      <c r="C90" s="19">
        <v>46053</v>
      </c>
      <c r="D90" s="18" t="s">
        <v>224</v>
      </c>
      <c r="E90" s="20">
        <v>0.45833333333333331</v>
      </c>
      <c r="F90" s="20">
        <v>0.5</v>
      </c>
      <c r="G90" s="20">
        <v>3.4722222222222218E-4</v>
      </c>
      <c r="H90" s="18" t="s">
        <v>83</v>
      </c>
      <c r="I90" s="21">
        <v>0.46556909722222223</v>
      </c>
      <c r="J90" s="18" t="s">
        <v>80</v>
      </c>
      <c r="K90" s="18" t="s">
        <v>175</v>
      </c>
      <c r="L90" s="22">
        <v>1</v>
      </c>
      <c r="M90" s="22">
        <v>70166</v>
      </c>
      <c r="N90" s="18" t="s">
        <v>53</v>
      </c>
      <c r="O90" s="22" t="s">
        <v>84</v>
      </c>
      <c r="P90" s="23">
        <v>35</v>
      </c>
      <c r="Q90" s="22"/>
      <c r="R90" s="23">
        <v>35</v>
      </c>
      <c r="S90" s="24">
        <v>46053</v>
      </c>
      <c r="T90" s="23">
        <v>0</v>
      </c>
      <c r="U90" s="25">
        <v>4</v>
      </c>
      <c r="V90" s="23">
        <v>35</v>
      </c>
      <c r="W90" s="18" t="s">
        <v>47</v>
      </c>
      <c r="X90" s="18" t="s">
        <v>48</v>
      </c>
      <c r="Y90" s="18" t="s">
        <v>58</v>
      </c>
      <c r="Z90" s="18" t="s">
        <v>43</v>
      </c>
      <c r="AA90" s="18" t="s">
        <v>49</v>
      </c>
      <c r="AB90" s="18" t="s">
        <v>85</v>
      </c>
      <c r="AC90" s="18" t="s">
        <v>38</v>
      </c>
      <c r="AD90" s="7" t="s">
        <v>267</v>
      </c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</row>
    <row r="91" spans="1:49" s="17" customFormat="1" ht="31.5" x14ac:dyDescent="0.25">
      <c r="A91" s="18" t="s">
        <v>82</v>
      </c>
      <c r="B91" s="19">
        <v>46053</v>
      </c>
      <c r="C91" s="19">
        <v>46053</v>
      </c>
      <c r="D91" s="18" t="s">
        <v>224</v>
      </c>
      <c r="E91" s="20">
        <v>0.45833333333333331</v>
      </c>
      <c r="F91" s="20">
        <v>0.5</v>
      </c>
      <c r="G91" s="20">
        <v>3.4722222222222218E-4</v>
      </c>
      <c r="H91" s="18" t="s">
        <v>83</v>
      </c>
      <c r="I91" s="21">
        <v>0.47744305555555555</v>
      </c>
      <c r="J91" s="18" t="s">
        <v>80</v>
      </c>
      <c r="K91" s="18" t="s">
        <v>175</v>
      </c>
      <c r="L91" s="22">
        <v>1</v>
      </c>
      <c r="M91" s="22">
        <v>70166</v>
      </c>
      <c r="N91" s="18" t="s">
        <v>53</v>
      </c>
      <c r="O91" s="22" t="s">
        <v>84</v>
      </c>
      <c r="P91" s="23">
        <v>35</v>
      </c>
      <c r="Q91" s="22"/>
      <c r="R91" s="23">
        <v>35</v>
      </c>
      <c r="S91" s="24">
        <v>46053</v>
      </c>
      <c r="T91" s="23">
        <v>0</v>
      </c>
      <c r="U91" s="25">
        <v>4</v>
      </c>
      <c r="V91" s="23">
        <v>35</v>
      </c>
      <c r="W91" s="18" t="s">
        <v>47</v>
      </c>
      <c r="X91" s="18" t="s">
        <v>48</v>
      </c>
      <c r="Y91" s="18" t="s">
        <v>58</v>
      </c>
      <c r="Z91" s="18" t="s">
        <v>43</v>
      </c>
      <c r="AA91" s="18" t="s">
        <v>49</v>
      </c>
      <c r="AB91" s="18" t="s">
        <v>85</v>
      </c>
      <c r="AC91" s="18" t="s">
        <v>38</v>
      </c>
      <c r="AD91" s="7" t="s">
        <v>267</v>
      </c>
      <c r="AE91" s="26"/>
      <c r="AF91" s="26"/>
      <c r="AG91" s="26"/>
      <c r="AH91" s="26"/>
      <c r="AI91" s="27"/>
      <c r="AJ91" s="27"/>
      <c r="AK91" s="27"/>
      <c r="AL91" s="27"/>
      <c r="AM91" s="27"/>
      <c r="AN91" s="27"/>
      <c r="AO91" s="27"/>
      <c r="AP91" s="27"/>
      <c r="AQ91" s="27"/>
      <c r="AR91" s="27"/>
      <c r="AS91" s="27"/>
      <c r="AT91" s="27"/>
      <c r="AU91" s="27"/>
      <c r="AV91" s="27"/>
      <c r="AW91" s="27"/>
    </row>
    <row r="92" spans="1:49" s="34" customFormat="1" ht="31.5" x14ac:dyDescent="0.25">
      <c r="A92" s="18" t="s">
        <v>82</v>
      </c>
      <c r="B92" s="19">
        <v>46053</v>
      </c>
      <c r="C92" s="19">
        <v>46053</v>
      </c>
      <c r="D92" s="18" t="s">
        <v>224</v>
      </c>
      <c r="E92" s="20">
        <v>0.45833333333333331</v>
      </c>
      <c r="F92" s="20">
        <v>0.5</v>
      </c>
      <c r="G92" s="20">
        <v>3.4722222222222218E-4</v>
      </c>
      <c r="H92" s="18" t="s">
        <v>83</v>
      </c>
      <c r="I92" s="21">
        <v>0.48905150462962965</v>
      </c>
      <c r="J92" s="18" t="s">
        <v>80</v>
      </c>
      <c r="K92" s="18" t="s">
        <v>228</v>
      </c>
      <c r="L92" s="22">
        <v>1</v>
      </c>
      <c r="M92" s="22">
        <v>70166</v>
      </c>
      <c r="N92" s="18" t="s">
        <v>53</v>
      </c>
      <c r="O92" s="22" t="s">
        <v>84</v>
      </c>
      <c r="P92" s="23">
        <v>35</v>
      </c>
      <c r="Q92" s="22"/>
      <c r="R92" s="23">
        <v>35</v>
      </c>
      <c r="S92" s="24">
        <v>46053</v>
      </c>
      <c r="T92" s="23">
        <v>0</v>
      </c>
      <c r="U92" s="25">
        <v>4</v>
      </c>
      <c r="V92" s="23">
        <v>35</v>
      </c>
      <c r="W92" s="18" t="s">
        <v>47</v>
      </c>
      <c r="X92" s="18" t="s">
        <v>48</v>
      </c>
      <c r="Y92" s="18" t="s">
        <v>58</v>
      </c>
      <c r="Z92" s="18" t="s">
        <v>43</v>
      </c>
      <c r="AA92" s="18" t="s">
        <v>49</v>
      </c>
      <c r="AB92" s="18" t="s">
        <v>85</v>
      </c>
      <c r="AC92" s="18" t="s">
        <v>38</v>
      </c>
      <c r="AD92" s="7" t="s">
        <v>267</v>
      </c>
      <c r="AE92" s="31"/>
      <c r="AF92" s="31"/>
      <c r="AG92" s="31"/>
      <c r="AH92" s="31"/>
      <c r="AI92" s="30"/>
      <c r="AJ92" s="30"/>
      <c r="AK92" s="30"/>
      <c r="AL92" s="30"/>
      <c r="AM92" s="30"/>
      <c r="AN92" s="30"/>
      <c r="AO92" s="30"/>
      <c r="AP92" s="30"/>
      <c r="AQ92" s="30"/>
      <c r="AR92" s="30"/>
      <c r="AS92" s="30"/>
      <c r="AT92" s="30"/>
      <c r="AU92" s="30"/>
      <c r="AV92" s="30"/>
      <c r="AW92" s="30"/>
    </row>
    <row r="93" spans="1:49" s="17" customFormat="1" ht="31.5" x14ac:dyDescent="0.25">
      <c r="A93" s="18" t="s">
        <v>82</v>
      </c>
      <c r="B93" s="19">
        <v>46053</v>
      </c>
      <c r="C93" s="19">
        <v>46053</v>
      </c>
      <c r="D93" s="18" t="s">
        <v>224</v>
      </c>
      <c r="E93" s="20">
        <v>0.45833333333333331</v>
      </c>
      <c r="F93" s="20">
        <v>0.5</v>
      </c>
      <c r="G93" s="20">
        <v>3.4722222222222218E-4</v>
      </c>
      <c r="H93" s="18" t="s">
        <v>83</v>
      </c>
      <c r="I93" s="21">
        <v>0.49846307870370371</v>
      </c>
      <c r="J93" s="18" t="s">
        <v>80</v>
      </c>
      <c r="K93" s="18" t="s">
        <v>150</v>
      </c>
      <c r="L93" s="22">
        <v>1</v>
      </c>
      <c r="M93" s="22">
        <v>70166</v>
      </c>
      <c r="N93" s="18" t="s">
        <v>53</v>
      </c>
      <c r="O93" s="22" t="s">
        <v>84</v>
      </c>
      <c r="P93" s="23">
        <v>35</v>
      </c>
      <c r="Q93" s="22"/>
      <c r="R93" s="23">
        <v>35</v>
      </c>
      <c r="S93" s="24">
        <v>46053</v>
      </c>
      <c r="T93" s="23">
        <v>0</v>
      </c>
      <c r="U93" s="25">
        <v>4</v>
      </c>
      <c r="V93" s="23">
        <v>35</v>
      </c>
      <c r="W93" s="18" t="s">
        <v>47</v>
      </c>
      <c r="X93" s="18" t="s">
        <v>48</v>
      </c>
      <c r="Y93" s="18" t="s">
        <v>58</v>
      </c>
      <c r="Z93" s="18" t="s">
        <v>43</v>
      </c>
      <c r="AA93" s="18" t="s">
        <v>49</v>
      </c>
      <c r="AB93" s="18" t="s">
        <v>85</v>
      </c>
      <c r="AC93" s="18" t="s">
        <v>38</v>
      </c>
      <c r="AD93" s="7" t="s">
        <v>267</v>
      </c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</row>
    <row r="94" spans="1:49" s="17" customFormat="1" ht="31.5" x14ac:dyDescent="0.25">
      <c r="A94" s="18" t="s">
        <v>82</v>
      </c>
      <c r="B94" s="19">
        <v>46054</v>
      </c>
      <c r="C94" s="19">
        <v>46054</v>
      </c>
      <c r="D94" s="18" t="s">
        <v>249</v>
      </c>
      <c r="E94" s="20">
        <v>0.45833333333333331</v>
      </c>
      <c r="F94" s="20">
        <v>0.5</v>
      </c>
      <c r="G94" s="20">
        <v>3.4722222222222218E-4</v>
      </c>
      <c r="H94" s="18" t="s">
        <v>83</v>
      </c>
      <c r="I94" s="21">
        <v>0.47714143518518515</v>
      </c>
      <c r="J94" s="18" t="s">
        <v>80</v>
      </c>
      <c r="K94" s="18" t="s">
        <v>76</v>
      </c>
      <c r="L94" s="22">
        <v>1</v>
      </c>
      <c r="M94" s="22">
        <v>70169</v>
      </c>
      <c r="N94" s="18" t="s">
        <v>53</v>
      </c>
      <c r="O94" s="22" t="s">
        <v>84</v>
      </c>
      <c r="P94" s="23">
        <v>35</v>
      </c>
      <c r="Q94" s="22"/>
      <c r="R94" s="23">
        <v>35</v>
      </c>
      <c r="S94" s="24">
        <v>46054</v>
      </c>
      <c r="T94" s="23">
        <v>0</v>
      </c>
      <c r="U94" s="25">
        <v>4</v>
      </c>
      <c r="V94" s="23">
        <v>35</v>
      </c>
      <c r="W94" s="18" t="s">
        <v>47</v>
      </c>
      <c r="X94" s="18" t="s">
        <v>48</v>
      </c>
      <c r="Y94" s="18" t="s">
        <v>58</v>
      </c>
      <c r="Z94" s="18" t="s">
        <v>43</v>
      </c>
      <c r="AA94" s="18" t="s">
        <v>49</v>
      </c>
      <c r="AB94" s="18" t="s">
        <v>85</v>
      </c>
      <c r="AC94" s="18" t="s">
        <v>38</v>
      </c>
      <c r="AD94" s="7" t="s">
        <v>267</v>
      </c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</row>
    <row r="95" spans="1:49" s="17" customFormat="1" ht="31.5" x14ac:dyDescent="0.25">
      <c r="A95" s="18" t="s">
        <v>82</v>
      </c>
      <c r="B95" s="19">
        <v>46054</v>
      </c>
      <c r="C95" s="19">
        <v>46054</v>
      </c>
      <c r="D95" s="18" t="s">
        <v>249</v>
      </c>
      <c r="E95" s="20">
        <v>0.45833333333333331</v>
      </c>
      <c r="F95" s="20">
        <v>0.54166666666666663</v>
      </c>
      <c r="G95" s="20">
        <v>3.4722222222222218E-4</v>
      </c>
      <c r="H95" s="18" t="s">
        <v>83</v>
      </c>
      <c r="I95" s="21">
        <v>0.49361284722222226</v>
      </c>
      <c r="J95" s="18" t="s">
        <v>80</v>
      </c>
      <c r="K95" s="18" t="s">
        <v>150</v>
      </c>
      <c r="L95" s="22">
        <v>1</v>
      </c>
      <c r="M95" s="22">
        <v>70171</v>
      </c>
      <c r="N95" s="18" t="s">
        <v>46</v>
      </c>
      <c r="O95" s="22" t="s">
        <v>84</v>
      </c>
      <c r="P95" s="23">
        <v>0</v>
      </c>
      <c r="Q95" s="22"/>
      <c r="R95" s="23">
        <v>0</v>
      </c>
      <c r="S95" s="24">
        <v>46054</v>
      </c>
      <c r="T95" s="23">
        <v>0</v>
      </c>
      <c r="U95" s="25">
        <v>4</v>
      </c>
      <c r="V95" s="23">
        <v>0</v>
      </c>
      <c r="W95" s="18" t="s">
        <v>47</v>
      </c>
      <c r="X95" s="18" t="s">
        <v>48</v>
      </c>
      <c r="Y95" s="18" t="s">
        <v>58</v>
      </c>
      <c r="Z95" s="18" t="s">
        <v>43</v>
      </c>
      <c r="AA95" s="18" t="s">
        <v>49</v>
      </c>
      <c r="AB95" s="18" t="s">
        <v>85</v>
      </c>
      <c r="AC95" s="18" t="s">
        <v>38</v>
      </c>
      <c r="AD95" s="7" t="s">
        <v>267</v>
      </c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</row>
    <row r="96" spans="1:49" s="17" customFormat="1" ht="31.5" x14ac:dyDescent="0.25">
      <c r="A96" s="18" t="s">
        <v>82</v>
      </c>
      <c r="B96" s="19">
        <v>46054</v>
      </c>
      <c r="C96" s="19">
        <v>46054</v>
      </c>
      <c r="D96" s="18" t="s">
        <v>249</v>
      </c>
      <c r="E96" s="20">
        <v>0.45833333333333331</v>
      </c>
      <c r="F96" s="20">
        <v>0.5</v>
      </c>
      <c r="G96" s="20">
        <v>3.4722222222222218E-4</v>
      </c>
      <c r="H96" s="18" t="s">
        <v>83</v>
      </c>
      <c r="I96" s="21">
        <v>0.49912071759259258</v>
      </c>
      <c r="J96" s="18" t="s">
        <v>80</v>
      </c>
      <c r="K96" s="18" t="s">
        <v>150</v>
      </c>
      <c r="L96" s="22">
        <v>1</v>
      </c>
      <c r="M96" s="22">
        <v>70169</v>
      </c>
      <c r="N96" s="18" t="s">
        <v>53</v>
      </c>
      <c r="O96" s="22" t="s">
        <v>84</v>
      </c>
      <c r="P96" s="23">
        <v>35</v>
      </c>
      <c r="Q96" s="22"/>
      <c r="R96" s="23">
        <v>35</v>
      </c>
      <c r="S96" s="24">
        <v>46054</v>
      </c>
      <c r="T96" s="23">
        <v>0</v>
      </c>
      <c r="U96" s="25">
        <v>4</v>
      </c>
      <c r="V96" s="23">
        <v>35</v>
      </c>
      <c r="W96" s="18" t="s">
        <v>47</v>
      </c>
      <c r="X96" s="18" t="s">
        <v>48</v>
      </c>
      <c r="Y96" s="18" t="s">
        <v>58</v>
      </c>
      <c r="Z96" s="18" t="s">
        <v>43</v>
      </c>
      <c r="AA96" s="18" t="s">
        <v>49</v>
      </c>
      <c r="AB96" s="18" t="s">
        <v>85</v>
      </c>
      <c r="AC96" s="18" t="s">
        <v>38</v>
      </c>
      <c r="AD96" s="7" t="s">
        <v>267</v>
      </c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</row>
    <row r="97" spans="1:49" s="34" customFormat="1" ht="31.5" x14ac:dyDescent="0.25">
      <c r="A97" s="18" t="s">
        <v>82</v>
      </c>
      <c r="B97" s="19">
        <v>46054</v>
      </c>
      <c r="C97" s="19">
        <v>46054</v>
      </c>
      <c r="D97" s="18" t="s">
        <v>249</v>
      </c>
      <c r="E97" s="20">
        <v>0.5</v>
      </c>
      <c r="F97" s="20">
        <v>0.54166666666666663</v>
      </c>
      <c r="G97" s="20">
        <v>3.4722222222222218E-4</v>
      </c>
      <c r="H97" s="18" t="s">
        <v>83</v>
      </c>
      <c r="I97" s="21">
        <v>0.51180578703703705</v>
      </c>
      <c r="J97" s="18" t="s">
        <v>80</v>
      </c>
      <c r="K97" s="18" t="s">
        <v>151</v>
      </c>
      <c r="L97" s="22">
        <v>1</v>
      </c>
      <c r="M97" s="22">
        <v>70170</v>
      </c>
      <c r="N97" s="18" t="s">
        <v>53</v>
      </c>
      <c r="O97" s="22" t="s">
        <v>84</v>
      </c>
      <c r="P97" s="23">
        <v>35</v>
      </c>
      <c r="Q97" s="22"/>
      <c r="R97" s="23">
        <v>35</v>
      </c>
      <c r="S97" s="24">
        <v>46054</v>
      </c>
      <c r="T97" s="23">
        <v>0</v>
      </c>
      <c r="U97" s="25">
        <v>4</v>
      </c>
      <c r="V97" s="23">
        <v>35</v>
      </c>
      <c r="W97" s="18" t="s">
        <v>47</v>
      </c>
      <c r="X97" s="18" t="s">
        <v>48</v>
      </c>
      <c r="Y97" s="18" t="s">
        <v>58</v>
      </c>
      <c r="Z97" s="18" t="s">
        <v>43</v>
      </c>
      <c r="AA97" s="18" t="s">
        <v>49</v>
      </c>
      <c r="AB97" s="18" t="s">
        <v>85</v>
      </c>
      <c r="AC97" s="18" t="s">
        <v>38</v>
      </c>
      <c r="AD97" s="7" t="s">
        <v>267</v>
      </c>
      <c r="AE97" s="26"/>
      <c r="AF97" s="26"/>
      <c r="AG97" s="26"/>
      <c r="AH97" s="26"/>
      <c r="AI97" s="26"/>
      <c r="AJ97" s="26"/>
      <c r="AK97" s="26"/>
      <c r="AL97" s="26"/>
      <c r="AM97" s="26"/>
      <c r="AN97" s="26"/>
      <c r="AO97" s="26"/>
      <c r="AP97" s="26"/>
      <c r="AQ97" s="26"/>
      <c r="AR97" s="26"/>
      <c r="AS97" s="26"/>
      <c r="AT97" s="26"/>
      <c r="AU97" s="26"/>
      <c r="AV97" s="26"/>
      <c r="AW97" s="26"/>
    </row>
    <row r="98" spans="1:49" s="17" customFormat="1" ht="31.5" x14ac:dyDescent="0.25">
      <c r="A98" s="18" t="s">
        <v>82</v>
      </c>
      <c r="B98" s="19">
        <v>46054</v>
      </c>
      <c r="C98" s="19">
        <v>46054</v>
      </c>
      <c r="D98" s="18" t="s">
        <v>249</v>
      </c>
      <c r="E98" s="20">
        <v>0.5</v>
      </c>
      <c r="F98" s="20">
        <v>0.54166666666666663</v>
      </c>
      <c r="G98" s="20">
        <v>3.4722222222222218E-4</v>
      </c>
      <c r="H98" s="18" t="s">
        <v>83</v>
      </c>
      <c r="I98" s="21">
        <v>0.53975694444444444</v>
      </c>
      <c r="J98" s="18" t="s">
        <v>80</v>
      </c>
      <c r="K98" s="18" t="s">
        <v>151</v>
      </c>
      <c r="L98" s="22">
        <v>1</v>
      </c>
      <c r="M98" s="22">
        <v>70170</v>
      </c>
      <c r="N98" s="18" t="s">
        <v>53</v>
      </c>
      <c r="O98" s="22" t="s">
        <v>84</v>
      </c>
      <c r="P98" s="23">
        <v>35</v>
      </c>
      <c r="Q98" s="22"/>
      <c r="R98" s="23">
        <v>35</v>
      </c>
      <c r="S98" s="24">
        <v>46054</v>
      </c>
      <c r="T98" s="23">
        <v>0</v>
      </c>
      <c r="U98" s="25">
        <v>4</v>
      </c>
      <c r="V98" s="23">
        <v>35</v>
      </c>
      <c r="W98" s="18" t="s">
        <v>47</v>
      </c>
      <c r="X98" s="18" t="s">
        <v>48</v>
      </c>
      <c r="Y98" s="18" t="s">
        <v>58</v>
      </c>
      <c r="Z98" s="18" t="s">
        <v>43</v>
      </c>
      <c r="AA98" s="18" t="s">
        <v>49</v>
      </c>
      <c r="AB98" s="18" t="s">
        <v>85</v>
      </c>
      <c r="AC98" s="18" t="s">
        <v>38</v>
      </c>
      <c r="AD98" s="7" t="s">
        <v>267</v>
      </c>
      <c r="AE98" s="26"/>
      <c r="AF98" s="26"/>
      <c r="AG98" s="26"/>
      <c r="AH98" s="26"/>
      <c r="AI98" s="26"/>
      <c r="AJ98" s="26"/>
      <c r="AK98" s="26"/>
      <c r="AL98" s="26"/>
      <c r="AM98" s="26"/>
      <c r="AN98" s="26"/>
      <c r="AO98" s="26"/>
      <c r="AP98" s="26"/>
      <c r="AQ98" s="26"/>
      <c r="AR98" s="26"/>
      <c r="AS98" s="26"/>
      <c r="AT98" s="26"/>
      <c r="AU98" s="26"/>
      <c r="AV98" s="26"/>
      <c r="AW98" s="26"/>
    </row>
    <row r="99" spans="1:49" s="17" customFormat="1" ht="31.5" x14ac:dyDescent="0.25">
      <c r="A99" s="9" t="s">
        <v>237</v>
      </c>
      <c r="B99" s="10">
        <v>46053</v>
      </c>
      <c r="C99" s="10">
        <v>46053</v>
      </c>
      <c r="D99" s="11" t="s">
        <v>224</v>
      </c>
      <c r="E99" s="12">
        <v>0.75</v>
      </c>
      <c r="F99" s="12">
        <v>0.79166666666666663</v>
      </c>
      <c r="G99" s="12">
        <v>4.1666666666666664E-2</v>
      </c>
      <c r="H99" s="9" t="s">
        <v>238</v>
      </c>
      <c r="I99" s="13"/>
      <c r="J99" s="9" t="s">
        <v>239</v>
      </c>
      <c r="K99" s="9"/>
      <c r="L99" s="14">
        <v>1</v>
      </c>
      <c r="M99" s="14">
        <v>1</v>
      </c>
      <c r="N99" s="9" t="s">
        <v>33</v>
      </c>
      <c r="O99" s="9"/>
      <c r="P99" s="16">
        <v>0</v>
      </c>
      <c r="Q99" s="14"/>
      <c r="R99" s="16">
        <v>0</v>
      </c>
      <c r="S99" s="9">
        <v>46054</v>
      </c>
      <c r="T99" s="16">
        <v>0</v>
      </c>
      <c r="U99" s="14">
        <v>2</v>
      </c>
      <c r="V99" s="16">
        <v>0</v>
      </c>
      <c r="W99" s="9" t="s">
        <v>34</v>
      </c>
      <c r="X99" s="9" t="s">
        <v>42</v>
      </c>
      <c r="Y99" s="9" t="s">
        <v>36</v>
      </c>
      <c r="Z99" s="9" t="s">
        <v>43</v>
      </c>
      <c r="AA99" s="9" t="s">
        <v>37</v>
      </c>
      <c r="AB99" s="9" t="s">
        <v>37</v>
      </c>
      <c r="AC99" s="9" t="s">
        <v>38</v>
      </c>
      <c r="AD99" s="7" t="s">
        <v>267</v>
      </c>
      <c r="AE99" s="26"/>
      <c r="AF99" s="26"/>
      <c r="AG99" s="26"/>
      <c r="AH99" s="26"/>
      <c r="AI99" s="27"/>
      <c r="AJ99" s="27"/>
      <c r="AK99" s="27"/>
      <c r="AL99" s="27"/>
      <c r="AM99" s="27"/>
      <c r="AN99" s="27"/>
      <c r="AO99" s="27"/>
      <c r="AP99" s="27"/>
      <c r="AQ99" s="27"/>
      <c r="AR99" s="27"/>
      <c r="AS99" s="27"/>
      <c r="AT99" s="27"/>
      <c r="AU99" s="27"/>
      <c r="AV99" s="27"/>
      <c r="AW99" s="27"/>
    </row>
    <row r="100" spans="1:49" s="17" customFormat="1" ht="31.5" x14ac:dyDescent="0.25">
      <c r="A100" s="9" t="s">
        <v>237</v>
      </c>
      <c r="B100" s="10">
        <v>46053</v>
      </c>
      <c r="C100" s="10">
        <v>46053</v>
      </c>
      <c r="D100" s="11" t="s">
        <v>224</v>
      </c>
      <c r="E100" s="12">
        <v>0.79166666666666663</v>
      </c>
      <c r="F100" s="12">
        <v>0.83333333333333337</v>
      </c>
      <c r="G100" s="12">
        <v>4.1666666666666664E-2</v>
      </c>
      <c r="H100" s="9" t="s">
        <v>247</v>
      </c>
      <c r="I100" s="13"/>
      <c r="J100" s="9" t="s">
        <v>239</v>
      </c>
      <c r="K100" s="9"/>
      <c r="L100" s="14">
        <v>1</v>
      </c>
      <c r="M100" s="14">
        <v>1</v>
      </c>
      <c r="N100" s="9" t="s">
        <v>33</v>
      </c>
      <c r="O100" s="9"/>
      <c r="P100" s="16">
        <v>0</v>
      </c>
      <c r="Q100" s="14"/>
      <c r="R100" s="16">
        <v>0</v>
      </c>
      <c r="S100" s="9">
        <v>46054</v>
      </c>
      <c r="T100" s="16">
        <v>0</v>
      </c>
      <c r="U100" s="14">
        <v>2</v>
      </c>
      <c r="V100" s="16">
        <v>0</v>
      </c>
      <c r="W100" s="9" t="s">
        <v>34</v>
      </c>
      <c r="X100" s="9" t="s">
        <v>42</v>
      </c>
      <c r="Y100" s="9" t="s">
        <v>36</v>
      </c>
      <c r="Z100" s="9" t="s">
        <v>43</v>
      </c>
      <c r="AA100" s="9" t="s">
        <v>37</v>
      </c>
      <c r="AB100" s="9" t="s">
        <v>37</v>
      </c>
      <c r="AC100" s="9" t="s">
        <v>38</v>
      </c>
      <c r="AD100" s="7" t="s">
        <v>267</v>
      </c>
      <c r="AE100" s="9"/>
      <c r="AF100" s="9"/>
      <c r="AG100" s="9"/>
      <c r="AH100" s="9"/>
      <c r="AI100" s="9"/>
      <c r="AJ100" s="9"/>
      <c r="AK100" s="9"/>
      <c r="AL100" s="9"/>
      <c r="AM100" s="9"/>
      <c r="AN100" s="9"/>
      <c r="AO100" s="9"/>
      <c r="AP100" s="9"/>
      <c r="AQ100" s="9"/>
      <c r="AR100" s="9"/>
      <c r="AS100" s="9"/>
      <c r="AT100" s="9"/>
      <c r="AU100" s="9"/>
      <c r="AV100" s="9"/>
      <c r="AW100" s="9"/>
    </row>
    <row r="101" spans="1:49" s="17" customFormat="1" ht="31.5" x14ac:dyDescent="0.25">
      <c r="A101" s="9" t="s">
        <v>237</v>
      </c>
      <c r="B101" s="10">
        <v>46054</v>
      </c>
      <c r="C101" s="10">
        <v>46054</v>
      </c>
      <c r="D101" s="11" t="s">
        <v>249</v>
      </c>
      <c r="E101" s="12">
        <v>0.75</v>
      </c>
      <c r="F101" s="12">
        <v>0.79166666666666663</v>
      </c>
      <c r="G101" s="12">
        <v>4.1666666666666664E-2</v>
      </c>
      <c r="H101" s="9" t="s">
        <v>238</v>
      </c>
      <c r="I101" s="13"/>
      <c r="J101" s="9" t="s">
        <v>239</v>
      </c>
      <c r="K101" s="9"/>
      <c r="L101" s="14">
        <v>1</v>
      </c>
      <c r="M101" s="14">
        <v>1</v>
      </c>
      <c r="N101" s="9" t="s">
        <v>33</v>
      </c>
      <c r="O101" s="9"/>
      <c r="P101" s="16">
        <v>0</v>
      </c>
      <c r="Q101" s="14"/>
      <c r="R101" s="16">
        <v>0</v>
      </c>
      <c r="S101" s="9">
        <v>46054</v>
      </c>
      <c r="T101" s="16">
        <v>0</v>
      </c>
      <c r="U101" s="14">
        <v>2</v>
      </c>
      <c r="V101" s="16">
        <v>0</v>
      </c>
      <c r="W101" s="9" t="s">
        <v>34</v>
      </c>
      <c r="X101" s="9" t="s">
        <v>42</v>
      </c>
      <c r="Y101" s="9" t="s">
        <v>36</v>
      </c>
      <c r="Z101" s="9" t="s">
        <v>43</v>
      </c>
      <c r="AA101" s="9" t="s">
        <v>37</v>
      </c>
      <c r="AB101" s="9" t="s">
        <v>37</v>
      </c>
      <c r="AC101" s="9" t="s">
        <v>38</v>
      </c>
      <c r="AD101" s="7" t="s">
        <v>267</v>
      </c>
      <c r="AE101" s="9"/>
      <c r="AF101" s="9"/>
      <c r="AG101" s="9"/>
      <c r="AH101" s="9"/>
      <c r="AI101" s="9"/>
      <c r="AJ101" s="9"/>
      <c r="AK101" s="9"/>
      <c r="AL101" s="9"/>
      <c r="AM101" s="9"/>
      <c r="AN101" s="9"/>
      <c r="AO101" s="9"/>
      <c r="AP101" s="9"/>
      <c r="AQ101" s="9"/>
      <c r="AR101" s="9"/>
      <c r="AS101" s="9"/>
      <c r="AT101" s="9"/>
      <c r="AU101" s="9"/>
      <c r="AV101" s="9"/>
      <c r="AW101" s="9"/>
    </row>
    <row r="102" spans="1:49" s="17" customFormat="1" ht="31.5" x14ac:dyDescent="0.25">
      <c r="A102" s="9" t="s">
        <v>237</v>
      </c>
      <c r="B102" s="10">
        <v>46054</v>
      </c>
      <c r="C102" s="10">
        <v>46054</v>
      </c>
      <c r="D102" s="11" t="s">
        <v>249</v>
      </c>
      <c r="E102" s="12">
        <v>0.79166666666666663</v>
      </c>
      <c r="F102" s="12">
        <v>0.83333333333333337</v>
      </c>
      <c r="G102" s="12">
        <v>4.1666666666666664E-2</v>
      </c>
      <c r="H102" s="9" t="s">
        <v>247</v>
      </c>
      <c r="I102" s="13"/>
      <c r="J102" s="9" t="s">
        <v>239</v>
      </c>
      <c r="K102" s="9"/>
      <c r="L102" s="14">
        <v>1</v>
      </c>
      <c r="M102" s="14">
        <v>1</v>
      </c>
      <c r="N102" s="9" t="s">
        <v>33</v>
      </c>
      <c r="O102" s="9"/>
      <c r="P102" s="16">
        <v>0</v>
      </c>
      <c r="Q102" s="14"/>
      <c r="R102" s="16">
        <v>0</v>
      </c>
      <c r="S102" s="9">
        <v>46054</v>
      </c>
      <c r="T102" s="16">
        <v>0</v>
      </c>
      <c r="U102" s="14">
        <v>2</v>
      </c>
      <c r="V102" s="16">
        <v>0</v>
      </c>
      <c r="W102" s="9" t="s">
        <v>34</v>
      </c>
      <c r="X102" s="9" t="s">
        <v>42</v>
      </c>
      <c r="Y102" s="9" t="s">
        <v>36</v>
      </c>
      <c r="Z102" s="9" t="s">
        <v>43</v>
      </c>
      <c r="AA102" s="9" t="s">
        <v>37</v>
      </c>
      <c r="AB102" s="9" t="s">
        <v>37</v>
      </c>
      <c r="AC102" s="9" t="s">
        <v>38</v>
      </c>
      <c r="AD102" s="7" t="s">
        <v>267</v>
      </c>
      <c r="AE102" s="26"/>
      <c r="AF102" s="26"/>
      <c r="AG102" s="26"/>
      <c r="AH102" s="26"/>
      <c r="AI102" s="27"/>
      <c r="AJ102" s="27"/>
      <c r="AK102" s="27"/>
      <c r="AL102" s="27"/>
      <c r="AM102" s="27"/>
      <c r="AN102" s="27"/>
      <c r="AO102" s="27"/>
      <c r="AP102" s="27"/>
      <c r="AQ102" s="27"/>
      <c r="AR102" s="27"/>
      <c r="AS102" s="27"/>
      <c r="AT102" s="27"/>
      <c r="AU102" s="27"/>
      <c r="AV102" s="27"/>
      <c r="AW102" s="27"/>
    </row>
    <row r="103" spans="1:49" s="17" customFormat="1" ht="31.5" x14ac:dyDescent="0.25">
      <c r="A103" s="18" t="s">
        <v>182</v>
      </c>
      <c r="B103" s="19">
        <v>46049</v>
      </c>
      <c r="C103" s="19">
        <v>46049</v>
      </c>
      <c r="D103" s="18" t="s">
        <v>166</v>
      </c>
      <c r="E103" s="20">
        <v>0.66666666666666663</v>
      </c>
      <c r="F103" s="20">
        <v>0.79166666666666663</v>
      </c>
      <c r="G103" s="20">
        <v>3.4722222222222218E-4</v>
      </c>
      <c r="H103" s="18" t="s">
        <v>183</v>
      </c>
      <c r="I103" s="21">
        <v>0.72364583333333332</v>
      </c>
      <c r="J103" s="18" t="s">
        <v>120</v>
      </c>
      <c r="K103" s="18" t="s">
        <v>189</v>
      </c>
      <c r="L103" s="22">
        <v>1</v>
      </c>
      <c r="M103" s="22">
        <v>69626</v>
      </c>
      <c r="N103" s="18" t="s">
        <v>46</v>
      </c>
      <c r="O103" s="22" t="s">
        <v>184</v>
      </c>
      <c r="P103" s="23">
        <v>0</v>
      </c>
      <c r="Q103" s="22"/>
      <c r="R103" s="23">
        <v>0</v>
      </c>
      <c r="S103" s="24">
        <v>46049</v>
      </c>
      <c r="T103" s="23">
        <v>0</v>
      </c>
      <c r="U103" s="25">
        <v>4</v>
      </c>
      <c r="V103" s="23">
        <v>0</v>
      </c>
      <c r="W103" s="18" t="s">
        <v>47</v>
      </c>
      <c r="X103" s="18" t="s">
        <v>48</v>
      </c>
      <c r="Y103" s="18" t="s">
        <v>58</v>
      </c>
      <c r="Z103" s="18" t="s">
        <v>9</v>
      </c>
      <c r="AA103" s="18" t="s">
        <v>49</v>
      </c>
      <c r="AB103" s="18" t="s">
        <v>185</v>
      </c>
      <c r="AC103" s="18" t="s">
        <v>38</v>
      </c>
      <c r="AD103" s="7" t="s">
        <v>267</v>
      </c>
      <c r="AE103" s="26"/>
      <c r="AF103" s="26"/>
      <c r="AG103" s="26"/>
      <c r="AH103" s="26"/>
      <c r="AI103" s="26"/>
      <c r="AJ103" s="26"/>
      <c r="AK103" s="26"/>
      <c r="AL103" s="26"/>
      <c r="AM103" s="26"/>
      <c r="AN103" s="26"/>
      <c r="AO103" s="26"/>
      <c r="AP103" s="26"/>
      <c r="AQ103" s="26"/>
      <c r="AR103" s="26"/>
      <c r="AS103" s="26"/>
      <c r="AT103" s="26"/>
      <c r="AU103" s="26"/>
      <c r="AV103" s="26"/>
      <c r="AW103" s="26"/>
    </row>
    <row r="104" spans="1:49" s="34" customFormat="1" ht="31.5" x14ac:dyDescent="0.25">
      <c r="A104" s="18" t="s">
        <v>182</v>
      </c>
      <c r="B104" s="19">
        <v>46051</v>
      </c>
      <c r="C104" s="19">
        <v>46051</v>
      </c>
      <c r="D104" s="18" t="s">
        <v>207</v>
      </c>
      <c r="E104" s="20">
        <v>0.66666666666666663</v>
      </c>
      <c r="F104" s="20">
        <v>0.79166666666666663</v>
      </c>
      <c r="G104" s="20">
        <v>3.4722222222222218E-4</v>
      </c>
      <c r="H104" s="18" t="s">
        <v>183</v>
      </c>
      <c r="I104" s="21">
        <v>0.68701458333333332</v>
      </c>
      <c r="J104" s="18" t="s">
        <v>120</v>
      </c>
      <c r="K104" s="18" t="s">
        <v>119</v>
      </c>
      <c r="L104" s="22">
        <v>1</v>
      </c>
      <c r="M104" s="22">
        <v>69625</v>
      </c>
      <c r="N104" s="18" t="s">
        <v>53</v>
      </c>
      <c r="O104" s="22" t="s">
        <v>184</v>
      </c>
      <c r="P104" s="23">
        <v>41.17647058823529</v>
      </c>
      <c r="Q104" s="22"/>
      <c r="R104" s="23">
        <v>41.17647058823529</v>
      </c>
      <c r="S104" s="24">
        <v>46051</v>
      </c>
      <c r="T104" s="23">
        <v>6.1764705882352935</v>
      </c>
      <c r="U104" s="25">
        <v>4</v>
      </c>
      <c r="V104" s="23">
        <v>35</v>
      </c>
      <c r="W104" s="18" t="s">
        <v>47</v>
      </c>
      <c r="X104" s="18" t="s">
        <v>48</v>
      </c>
      <c r="Y104" s="18" t="s">
        <v>58</v>
      </c>
      <c r="Z104" s="18" t="s">
        <v>9</v>
      </c>
      <c r="AA104" s="18" t="s">
        <v>49</v>
      </c>
      <c r="AB104" s="18" t="s">
        <v>185</v>
      </c>
      <c r="AC104" s="18" t="s">
        <v>38</v>
      </c>
      <c r="AD104" s="7" t="s">
        <v>267</v>
      </c>
      <c r="AE104" s="26"/>
      <c r="AF104" s="26"/>
      <c r="AG104" s="26"/>
      <c r="AH104" s="26"/>
      <c r="AI104" s="26"/>
      <c r="AJ104" s="26"/>
      <c r="AK104" s="26"/>
      <c r="AL104" s="26"/>
      <c r="AM104" s="26"/>
      <c r="AN104" s="26"/>
      <c r="AO104" s="26"/>
      <c r="AP104" s="26"/>
      <c r="AQ104" s="26"/>
      <c r="AR104" s="26"/>
      <c r="AS104" s="26"/>
      <c r="AT104" s="26"/>
      <c r="AU104" s="26"/>
      <c r="AV104" s="26"/>
      <c r="AW104" s="26"/>
    </row>
    <row r="105" spans="1:49" s="17" customFormat="1" ht="31.5" x14ac:dyDescent="0.25">
      <c r="A105" s="18" t="s">
        <v>182</v>
      </c>
      <c r="B105" s="19">
        <v>46052</v>
      </c>
      <c r="C105" s="19">
        <v>46052</v>
      </c>
      <c r="D105" s="18" t="s">
        <v>217</v>
      </c>
      <c r="E105" s="20">
        <v>0.66666666666666663</v>
      </c>
      <c r="F105" s="20">
        <v>0.79166666666666663</v>
      </c>
      <c r="G105" s="20">
        <v>3.4722222222222218E-4</v>
      </c>
      <c r="H105" s="18" t="s">
        <v>183</v>
      </c>
      <c r="I105" s="21">
        <v>0.76990983796296308</v>
      </c>
      <c r="J105" s="18" t="s">
        <v>120</v>
      </c>
      <c r="K105" s="18" t="s">
        <v>194</v>
      </c>
      <c r="L105" s="22">
        <v>1</v>
      </c>
      <c r="M105" s="22">
        <v>69625</v>
      </c>
      <c r="N105" s="18" t="s">
        <v>53</v>
      </c>
      <c r="O105" s="22" t="s">
        <v>184</v>
      </c>
      <c r="P105" s="23">
        <v>41.17647058823529</v>
      </c>
      <c r="Q105" s="22"/>
      <c r="R105" s="23">
        <v>41.17647058823529</v>
      </c>
      <c r="S105" s="24">
        <v>46052</v>
      </c>
      <c r="T105" s="23">
        <v>6.1764705882352935</v>
      </c>
      <c r="U105" s="25">
        <v>4</v>
      </c>
      <c r="V105" s="23">
        <v>35</v>
      </c>
      <c r="W105" s="18" t="s">
        <v>47</v>
      </c>
      <c r="X105" s="18" t="s">
        <v>48</v>
      </c>
      <c r="Y105" s="18" t="s">
        <v>58</v>
      </c>
      <c r="Z105" s="18" t="s">
        <v>9</v>
      </c>
      <c r="AA105" s="18" t="s">
        <v>49</v>
      </c>
      <c r="AB105" s="18" t="s">
        <v>185</v>
      </c>
      <c r="AC105" s="18" t="s">
        <v>38</v>
      </c>
      <c r="AD105" s="7" t="s">
        <v>267</v>
      </c>
      <c r="AE105" s="26"/>
      <c r="AF105" s="26"/>
      <c r="AG105" s="26"/>
      <c r="AH105" s="26"/>
      <c r="AI105" s="26"/>
      <c r="AJ105" s="26"/>
      <c r="AK105" s="26"/>
      <c r="AL105" s="26"/>
      <c r="AM105" s="26"/>
      <c r="AN105" s="26"/>
      <c r="AO105" s="26"/>
      <c r="AP105" s="26"/>
      <c r="AQ105" s="26"/>
      <c r="AR105" s="26"/>
      <c r="AS105" s="26"/>
      <c r="AT105" s="26"/>
      <c r="AU105" s="26"/>
      <c r="AV105" s="26"/>
      <c r="AW105" s="26"/>
    </row>
    <row r="106" spans="1:49" s="34" customFormat="1" ht="31.5" x14ac:dyDescent="0.25">
      <c r="A106" s="18" t="s">
        <v>182</v>
      </c>
      <c r="B106" s="19">
        <v>46053</v>
      </c>
      <c r="C106" s="19">
        <v>46053</v>
      </c>
      <c r="D106" s="18" t="s">
        <v>224</v>
      </c>
      <c r="E106" s="20">
        <v>0.75</v>
      </c>
      <c r="F106" s="20">
        <v>0.83333333333333337</v>
      </c>
      <c r="G106" s="20">
        <v>3.4722222222222218E-4</v>
      </c>
      <c r="H106" s="18" t="s">
        <v>183</v>
      </c>
      <c r="I106" s="21">
        <v>0.77549976851851843</v>
      </c>
      <c r="J106" s="18" t="s">
        <v>241</v>
      </c>
      <c r="K106" s="18" t="s">
        <v>237</v>
      </c>
      <c r="L106" s="22">
        <v>1</v>
      </c>
      <c r="M106" s="22">
        <v>69628</v>
      </c>
      <c r="N106" s="18" t="s">
        <v>53</v>
      </c>
      <c r="O106" s="22" t="s">
        <v>242</v>
      </c>
      <c r="P106" s="23">
        <v>52.941176470588232</v>
      </c>
      <c r="Q106" s="22"/>
      <c r="R106" s="23">
        <v>52.941176470588232</v>
      </c>
      <c r="S106" s="24">
        <v>46053</v>
      </c>
      <c r="T106" s="23">
        <v>7.9411764705882346</v>
      </c>
      <c r="U106" s="25">
        <v>4</v>
      </c>
      <c r="V106" s="23">
        <v>45</v>
      </c>
      <c r="W106" s="18" t="s">
        <v>47</v>
      </c>
      <c r="X106" s="18" t="s">
        <v>48</v>
      </c>
      <c r="Y106" s="18" t="s">
        <v>58</v>
      </c>
      <c r="Z106" s="18" t="s">
        <v>9</v>
      </c>
      <c r="AA106" s="18" t="s">
        <v>49</v>
      </c>
      <c r="AB106" s="18" t="s">
        <v>243</v>
      </c>
      <c r="AC106" s="18" t="s">
        <v>38</v>
      </c>
      <c r="AD106" s="7" t="s">
        <v>267</v>
      </c>
      <c r="AE106" s="26"/>
      <c r="AF106" s="26"/>
      <c r="AG106" s="26"/>
      <c r="AH106" s="26"/>
      <c r="AI106" s="30"/>
      <c r="AJ106" s="30"/>
      <c r="AK106" s="30"/>
      <c r="AL106" s="30"/>
      <c r="AM106" s="30"/>
      <c r="AN106" s="30"/>
      <c r="AO106" s="30"/>
      <c r="AP106" s="30"/>
      <c r="AQ106" s="30"/>
      <c r="AR106" s="30"/>
      <c r="AS106" s="30"/>
      <c r="AT106" s="30"/>
      <c r="AU106" s="30"/>
      <c r="AV106" s="30"/>
      <c r="AW106" s="30"/>
    </row>
    <row r="107" spans="1:49" ht="31.5" x14ac:dyDescent="0.2">
      <c r="A107" s="56" t="s">
        <v>182</v>
      </c>
      <c r="B107" s="59">
        <v>46053</v>
      </c>
      <c r="C107" s="59">
        <v>46053</v>
      </c>
      <c r="D107" s="56" t="s">
        <v>224</v>
      </c>
      <c r="E107" s="62">
        <v>0.75</v>
      </c>
      <c r="F107" s="62">
        <v>0.83333333333333337</v>
      </c>
      <c r="G107" s="62">
        <v>3.4722222222222218E-4</v>
      </c>
      <c r="H107" s="56" t="s">
        <v>183</v>
      </c>
      <c r="I107" s="66">
        <v>0.80701539351851859</v>
      </c>
      <c r="J107" s="56" t="s">
        <v>241</v>
      </c>
      <c r="K107" s="56" t="s">
        <v>247</v>
      </c>
      <c r="L107" s="68">
        <v>1</v>
      </c>
      <c r="M107" s="68">
        <v>69629</v>
      </c>
      <c r="N107" s="56" t="s">
        <v>46</v>
      </c>
      <c r="O107" s="68" t="s">
        <v>242</v>
      </c>
      <c r="P107" s="70">
        <v>0</v>
      </c>
      <c r="Q107" s="68"/>
      <c r="R107" s="70">
        <v>0</v>
      </c>
      <c r="S107" s="73">
        <v>46053</v>
      </c>
      <c r="T107" s="70">
        <v>0</v>
      </c>
      <c r="U107" s="74">
        <v>4</v>
      </c>
      <c r="V107" s="70">
        <v>0</v>
      </c>
      <c r="W107" s="56" t="s">
        <v>47</v>
      </c>
      <c r="X107" s="56" t="s">
        <v>48</v>
      </c>
      <c r="Y107" s="56" t="s">
        <v>58</v>
      </c>
      <c r="Z107" s="56" t="s">
        <v>9</v>
      </c>
      <c r="AA107" s="56" t="s">
        <v>49</v>
      </c>
      <c r="AB107" s="56" t="s">
        <v>243</v>
      </c>
      <c r="AC107" s="56" t="s">
        <v>38</v>
      </c>
      <c r="AD107" s="75" t="s">
        <v>267</v>
      </c>
      <c r="AE107" s="57"/>
      <c r="AF107" s="57"/>
      <c r="AG107" s="57"/>
      <c r="AH107" s="57"/>
      <c r="AI107" s="57"/>
      <c r="AJ107" s="57"/>
      <c r="AK107" s="57"/>
      <c r="AL107" s="57"/>
      <c r="AM107" s="57"/>
      <c r="AN107" s="57"/>
      <c r="AO107" s="57"/>
      <c r="AP107" s="57"/>
      <c r="AQ107" s="57"/>
      <c r="AR107" s="57"/>
      <c r="AS107" s="57"/>
      <c r="AT107" s="57"/>
      <c r="AU107" s="57"/>
      <c r="AV107" s="57"/>
      <c r="AW107" s="57"/>
    </row>
    <row r="108" spans="1:49" ht="31.5" x14ac:dyDescent="0.25">
      <c r="A108" s="56" t="s">
        <v>182</v>
      </c>
      <c r="B108" s="59">
        <v>46053</v>
      </c>
      <c r="C108" s="59">
        <v>46053</v>
      </c>
      <c r="D108" s="56" t="s">
        <v>224</v>
      </c>
      <c r="E108" s="62">
        <v>0.75</v>
      </c>
      <c r="F108" s="62">
        <v>0.83333333333333337</v>
      </c>
      <c r="G108" s="62">
        <v>3.4722222222222218E-4</v>
      </c>
      <c r="H108" s="56" t="s">
        <v>183</v>
      </c>
      <c r="I108" s="66">
        <v>0.82649594907407409</v>
      </c>
      <c r="J108" s="56" t="s">
        <v>241</v>
      </c>
      <c r="K108" s="56" t="s">
        <v>247</v>
      </c>
      <c r="L108" s="68">
        <v>1</v>
      </c>
      <c r="M108" s="68">
        <v>69628</v>
      </c>
      <c r="N108" s="56" t="s">
        <v>53</v>
      </c>
      <c r="O108" s="68" t="s">
        <v>242</v>
      </c>
      <c r="P108" s="70">
        <v>52.941176470588232</v>
      </c>
      <c r="Q108" s="68"/>
      <c r="R108" s="70">
        <v>52.941176470588232</v>
      </c>
      <c r="S108" s="73">
        <v>46053</v>
      </c>
      <c r="T108" s="70">
        <v>7.9411764705882346</v>
      </c>
      <c r="U108" s="74">
        <v>4</v>
      </c>
      <c r="V108" s="70">
        <v>45</v>
      </c>
      <c r="W108" s="56" t="s">
        <v>47</v>
      </c>
      <c r="X108" s="56" t="s">
        <v>48</v>
      </c>
      <c r="Y108" s="56" t="s">
        <v>58</v>
      </c>
      <c r="Z108" s="56" t="s">
        <v>9</v>
      </c>
      <c r="AA108" s="56" t="s">
        <v>49</v>
      </c>
      <c r="AB108" s="56" t="s">
        <v>243</v>
      </c>
      <c r="AC108" s="56" t="s">
        <v>38</v>
      </c>
      <c r="AD108" s="75" t="s">
        <v>267</v>
      </c>
      <c r="AE108" s="76"/>
      <c r="AF108" s="76"/>
      <c r="AG108" s="76"/>
      <c r="AH108" s="76"/>
      <c r="AI108" s="85"/>
      <c r="AJ108" s="85"/>
      <c r="AK108" s="85"/>
      <c r="AL108" s="85"/>
      <c r="AM108" s="85"/>
      <c r="AN108" s="85"/>
      <c r="AO108" s="85"/>
      <c r="AP108" s="85"/>
      <c r="AQ108" s="85"/>
      <c r="AR108" s="85"/>
      <c r="AS108" s="85"/>
      <c r="AT108" s="85"/>
      <c r="AU108" s="85"/>
      <c r="AV108" s="85"/>
      <c r="AW108" s="85"/>
    </row>
    <row r="109" spans="1:49" ht="31.5" x14ac:dyDescent="0.2">
      <c r="A109" s="56" t="s">
        <v>182</v>
      </c>
      <c r="B109" s="59">
        <v>46054</v>
      </c>
      <c r="C109" s="59">
        <v>46054</v>
      </c>
      <c r="D109" s="56" t="s">
        <v>249</v>
      </c>
      <c r="E109" s="62">
        <v>0.75</v>
      </c>
      <c r="F109" s="62">
        <v>0.83333333333333337</v>
      </c>
      <c r="G109" s="62">
        <v>3.4722222222222218E-4</v>
      </c>
      <c r="H109" s="56" t="s">
        <v>261</v>
      </c>
      <c r="I109" s="66">
        <v>0.76288240740740731</v>
      </c>
      <c r="J109" s="56" t="s">
        <v>241</v>
      </c>
      <c r="K109" s="56" t="s">
        <v>237</v>
      </c>
      <c r="L109" s="68">
        <v>1</v>
      </c>
      <c r="M109" s="68">
        <v>71444</v>
      </c>
      <c r="N109" s="56" t="s">
        <v>46</v>
      </c>
      <c r="O109" s="68" t="s">
        <v>262</v>
      </c>
      <c r="P109" s="70">
        <v>0</v>
      </c>
      <c r="Q109" s="68"/>
      <c r="R109" s="70">
        <v>0</v>
      </c>
      <c r="S109" s="73">
        <v>46054</v>
      </c>
      <c r="T109" s="70">
        <v>0</v>
      </c>
      <c r="U109" s="74">
        <v>4</v>
      </c>
      <c r="V109" s="70">
        <v>0</v>
      </c>
      <c r="W109" s="56" t="s">
        <v>47</v>
      </c>
      <c r="X109" s="56" t="s">
        <v>48</v>
      </c>
      <c r="Y109" s="56" t="s">
        <v>58</v>
      </c>
      <c r="Z109" s="56" t="s">
        <v>9</v>
      </c>
      <c r="AA109" s="56" t="s">
        <v>49</v>
      </c>
      <c r="AB109" s="56" t="s">
        <v>263</v>
      </c>
      <c r="AC109" s="56" t="s">
        <v>38</v>
      </c>
      <c r="AD109" s="75" t="s">
        <v>267</v>
      </c>
      <c r="AE109" s="57"/>
      <c r="AF109" s="57"/>
      <c r="AG109" s="57"/>
      <c r="AH109" s="57"/>
      <c r="AI109" s="57"/>
      <c r="AJ109" s="57"/>
      <c r="AK109" s="57"/>
      <c r="AL109" s="57"/>
      <c r="AM109" s="57"/>
      <c r="AN109" s="57"/>
      <c r="AO109" s="57"/>
      <c r="AP109" s="57"/>
      <c r="AQ109" s="57"/>
      <c r="AR109" s="57"/>
      <c r="AS109" s="57"/>
      <c r="AT109" s="57"/>
      <c r="AU109" s="57"/>
      <c r="AV109" s="57"/>
      <c r="AW109" s="57"/>
    </row>
    <row r="110" spans="1:49" ht="31.5" x14ac:dyDescent="0.25">
      <c r="A110" s="56" t="s">
        <v>182</v>
      </c>
      <c r="B110" s="59">
        <v>46054</v>
      </c>
      <c r="C110" s="59">
        <v>46054</v>
      </c>
      <c r="D110" s="56" t="s">
        <v>249</v>
      </c>
      <c r="E110" s="62">
        <v>0.75</v>
      </c>
      <c r="F110" s="62">
        <v>0.83333333333333337</v>
      </c>
      <c r="G110" s="62">
        <v>3.4722222222222218E-4</v>
      </c>
      <c r="H110" s="56" t="s">
        <v>265</v>
      </c>
      <c r="I110" s="66">
        <v>0.77368263888888877</v>
      </c>
      <c r="J110" s="56" t="s">
        <v>241</v>
      </c>
      <c r="K110" s="56" t="s">
        <v>237</v>
      </c>
      <c r="L110" s="68">
        <v>1</v>
      </c>
      <c r="M110" s="68">
        <v>71442</v>
      </c>
      <c r="N110" s="56" t="s">
        <v>53</v>
      </c>
      <c r="O110" s="68" t="s">
        <v>262</v>
      </c>
      <c r="P110" s="70">
        <v>52.941176470588239</v>
      </c>
      <c r="Q110" s="68"/>
      <c r="R110" s="70">
        <v>52.941176470588239</v>
      </c>
      <c r="S110" s="73">
        <v>46054</v>
      </c>
      <c r="T110" s="70">
        <v>7.9411764705882355</v>
      </c>
      <c r="U110" s="74">
        <v>4</v>
      </c>
      <c r="V110" s="70">
        <v>45</v>
      </c>
      <c r="W110" s="56" t="s">
        <v>47</v>
      </c>
      <c r="X110" s="56" t="s">
        <v>48</v>
      </c>
      <c r="Y110" s="56" t="s">
        <v>58</v>
      </c>
      <c r="Z110" s="56" t="s">
        <v>9</v>
      </c>
      <c r="AA110" s="56" t="s">
        <v>49</v>
      </c>
      <c r="AB110" s="56" t="s">
        <v>263</v>
      </c>
      <c r="AC110" s="56" t="s">
        <v>38</v>
      </c>
      <c r="AD110" s="75" t="s">
        <v>267</v>
      </c>
      <c r="AE110" s="79"/>
      <c r="AF110" s="79"/>
      <c r="AG110" s="79"/>
      <c r="AH110" s="79"/>
      <c r="AI110" s="86"/>
      <c r="AJ110" s="86"/>
      <c r="AK110" s="86"/>
      <c r="AL110" s="86"/>
      <c r="AM110" s="86"/>
      <c r="AN110" s="86"/>
      <c r="AO110" s="86"/>
      <c r="AP110" s="86"/>
      <c r="AQ110" s="86"/>
      <c r="AR110" s="86"/>
      <c r="AS110" s="86"/>
      <c r="AT110" s="86"/>
      <c r="AU110" s="86"/>
      <c r="AV110" s="86"/>
      <c r="AW110" s="86"/>
    </row>
    <row r="111" spans="1:49" ht="31.5" x14ac:dyDescent="0.25">
      <c r="A111" s="56" t="s">
        <v>182</v>
      </c>
      <c r="B111" s="59">
        <v>46054</v>
      </c>
      <c r="C111" s="59">
        <v>46054</v>
      </c>
      <c r="D111" s="56" t="s">
        <v>249</v>
      </c>
      <c r="E111" s="62">
        <v>0.75</v>
      </c>
      <c r="F111" s="62">
        <v>0.83333333333333337</v>
      </c>
      <c r="G111" s="62">
        <v>3.4722222222222218E-4</v>
      </c>
      <c r="H111" s="56" t="s">
        <v>265</v>
      </c>
      <c r="I111" s="66">
        <v>0.82271990740740741</v>
      </c>
      <c r="J111" s="56" t="s">
        <v>241</v>
      </c>
      <c r="K111" s="56" t="s">
        <v>247</v>
      </c>
      <c r="L111" s="68">
        <v>1</v>
      </c>
      <c r="M111" s="68">
        <v>71442</v>
      </c>
      <c r="N111" s="56" t="s">
        <v>53</v>
      </c>
      <c r="O111" s="68" t="s">
        <v>262</v>
      </c>
      <c r="P111" s="70">
        <v>52.941176470588239</v>
      </c>
      <c r="Q111" s="68"/>
      <c r="R111" s="70">
        <v>52.941176470588239</v>
      </c>
      <c r="S111" s="73">
        <v>46054</v>
      </c>
      <c r="T111" s="70">
        <v>7.9411764705882355</v>
      </c>
      <c r="U111" s="74">
        <v>4</v>
      </c>
      <c r="V111" s="70">
        <v>45</v>
      </c>
      <c r="W111" s="56" t="s">
        <v>47</v>
      </c>
      <c r="X111" s="56" t="s">
        <v>48</v>
      </c>
      <c r="Y111" s="56" t="s">
        <v>58</v>
      </c>
      <c r="Z111" s="56" t="s">
        <v>9</v>
      </c>
      <c r="AA111" s="56" t="s">
        <v>49</v>
      </c>
      <c r="AB111" s="56" t="s">
        <v>263</v>
      </c>
      <c r="AC111" s="56" t="s">
        <v>38</v>
      </c>
      <c r="AD111" s="75" t="s">
        <v>267</v>
      </c>
      <c r="AE111" s="78"/>
      <c r="AF111" s="78"/>
      <c r="AG111" s="78"/>
      <c r="AH111" s="78"/>
      <c r="AI111" s="86"/>
      <c r="AJ111" s="86"/>
      <c r="AK111" s="86"/>
      <c r="AL111" s="86"/>
      <c r="AM111" s="86"/>
      <c r="AN111" s="86"/>
      <c r="AO111" s="86"/>
      <c r="AP111" s="86"/>
      <c r="AQ111" s="86"/>
      <c r="AR111" s="86"/>
      <c r="AS111" s="86"/>
      <c r="AT111" s="86"/>
      <c r="AU111" s="86"/>
      <c r="AV111" s="86"/>
      <c r="AW111" s="86"/>
    </row>
    <row r="112" spans="1:49" ht="31.5" x14ac:dyDescent="0.2">
      <c r="A112" s="56" t="s">
        <v>186</v>
      </c>
      <c r="B112" s="59">
        <v>46049</v>
      </c>
      <c r="C112" s="59">
        <v>46049</v>
      </c>
      <c r="D112" s="56" t="s">
        <v>166</v>
      </c>
      <c r="E112" s="62">
        <v>0.66666666666666663</v>
      </c>
      <c r="F112" s="62">
        <v>0.79166666666666663</v>
      </c>
      <c r="G112" s="62">
        <v>3.4722222222222218E-4</v>
      </c>
      <c r="H112" s="56" t="s">
        <v>187</v>
      </c>
      <c r="I112" s="66">
        <v>0.78619537037037035</v>
      </c>
      <c r="J112" s="56" t="s">
        <v>120</v>
      </c>
      <c r="K112" s="56" t="s">
        <v>155</v>
      </c>
      <c r="L112" s="68">
        <v>1</v>
      </c>
      <c r="M112" s="68">
        <v>59760</v>
      </c>
      <c r="N112" s="56" t="s">
        <v>53</v>
      </c>
      <c r="O112" s="68"/>
      <c r="P112" s="70">
        <v>50</v>
      </c>
      <c r="Q112" s="68"/>
      <c r="R112" s="70">
        <v>50</v>
      </c>
      <c r="S112" s="73">
        <v>46054</v>
      </c>
      <c r="T112" s="70">
        <v>0</v>
      </c>
      <c r="U112" s="74">
        <v>4</v>
      </c>
      <c r="V112" s="70">
        <v>50</v>
      </c>
      <c r="W112" s="56" t="s">
        <v>47</v>
      </c>
      <c r="X112" s="56" t="s">
        <v>48</v>
      </c>
      <c r="Y112" s="56" t="s">
        <v>36</v>
      </c>
      <c r="Z112" s="56" t="s">
        <v>9</v>
      </c>
      <c r="AA112" s="56" t="s">
        <v>49</v>
      </c>
      <c r="AB112" s="56" t="s">
        <v>188</v>
      </c>
      <c r="AC112" s="56" t="s">
        <v>38</v>
      </c>
      <c r="AD112" s="75" t="s">
        <v>267</v>
      </c>
      <c r="AE112" s="57"/>
      <c r="AF112" s="57"/>
      <c r="AG112" s="57"/>
      <c r="AH112" s="57"/>
      <c r="AI112" s="57"/>
      <c r="AJ112" s="57"/>
      <c r="AK112" s="57"/>
      <c r="AL112" s="57"/>
      <c r="AM112" s="57"/>
      <c r="AN112" s="57"/>
      <c r="AO112" s="57"/>
      <c r="AP112" s="57"/>
      <c r="AQ112" s="57"/>
      <c r="AR112" s="57"/>
      <c r="AS112" s="57"/>
      <c r="AT112" s="57"/>
      <c r="AU112" s="57"/>
      <c r="AV112" s="57"/>
      <c r="AW112" s="57"/>
    </row>
    <row r="113" spans="1:49" ht="31.5" x14ac:dyDescent="0.25">
      <c r="A113" s="56" t="s">
        <v>186</v>
      </c>
      <c r="B113" s="59">
        <v>46051</v>
      </c>
      <c r="C113" s="59">
        <v>46051</v>
      </c>
      <c r="D113" s="56" t="s">
        <v>207</v>
      </c>
      <c r="E113" s="62">
        <v>0.58333333333333337</v>
      </c>
      <c r="F113" s="62">
        <v>0.66666666666666663</v>
      </c>
      <c r="G113" s="62">
        <v>3.4722222222222218E-4</v>
      </c>
      <c r="H113" s="56" t="s">
        <v>212</v>
      </c>
      <c r="I113" s="66">
        <v>0.60845081018518521</v>
      </c>
      <c r="J113" s="56" t="s">
        <v>115</v>
      </c>
      <c r="K113" s="56" t="s">
        <v>154</v>
      </c>
      <c r="L113" s="68">
        <v>1</v>
      </c>
      <c r="M113" s="68">
        <v>59763</v>
      </c>
      <c r="N113" s="56" t="s">
        <v>53</v>
      </c>
      <c r="O113" s="68"/>
      <c r="P113" s="70">
        <v>50</v>
      </c>
      <c r="Q113" s="68"/>
      <c r="R113" s="70">
        <v>50</v>
      </c>
      <c r="S113" s="73">
        <v>46054</v>
      </c>
      <c r="T113" s="70">
        <v>0</v>
      </c>
      <c r="U113" s="74">
        <v>4</v>
      </c>
      <c r="V113" s="70">
        <v>50</v>
      </c>
      <c r="W113" s="56" t="s">
        <v>47</v>
      </c>
      <c r="X113" s="56" t="s">
        <v>48</v>
      </c>
      <c r="Y113" s="56" t="s">
        <v>36</v>
      </c>
      <c r="Z113" s="56" t="s">
        <v>9</v>
      </c>
      <c r="AA113" s="56" t="s">
        <v>49</v>
      </c>
      <c r="AB113" s="56" t="s">
        <v>188</v>
      </c>
      <c r="AC113" s="56" t="s">
        <v>38</v>
      </c>
      <c r="AD113" s="75" t="s">
        <v>267</v>
      </c>
      <c r="AE113" s="76"/>
      <c r="AF113" s="76"/>
      <c r="AG113" s="76"/>
      <c r="AH113" s="76"/>
      <c r="AI113" s="85"/>
      <c r="AJ113" s="85"/>
      <c r="AK113" s="85"/>
      <c r="AL113" s="85"/>
      <c r="AM113" s="85"/>
      <c r="AN113" s="85"/>
      <c r="AO113" s="85"/>
      <c r="AP113" s="85"/>
      <c r="AQ113" s="85"/>
      <c r="AR113" s="85"/>
      <c r="AS113" s="85"/>
      <c r="AT113" s="85"/>
      <c r="AU113" s="85"/>
      <c r="AV113" s="85"/>
      <c r="AW113" s="85"/>
    </row>
    <row r="114" spans="1:49" ht="31.5" x14ac:dyDescent="0.2">
      <c r="A114" s="56" t="s">
        <v>186</v>
      </c>
      <c r="B114" s="59">
        <v>46053</v>
      </c>
      <c r="C114" s="59">
        <v>46053</v>
      </c>
      <c r="D114" s="56" t="s">
        <v>224</v>
      </c>
      <c r="E114" s="62">
        <v>0.66666666666666663</v>
      </c>
      <c r="F114" s="62">
        <v>0.75</v>
      </c>
      <c r="G114" s="62">
        <v>3.4722222222222218E-4</v>
      </c>
      <c r="H114" s="56" t="s">
        <v>187</v>
      </c>
      <c r="I114" s="66">
        <v>0.68023449074074072</v>
      </c>
      <c r="J114" s="56" t="s">
        <v>120</v>
      </c>
      <c r="K114" s="56" t="s">
        <v>125</v>
      </c>
      <c r="L114" s="68">
        <v>1</v>
      </c>
      <c r="M114" s="68">
        <v>59761</v>
      </c>
      <c r="N114" s="56" t="s">
        <v>53</v>
      </c>
      <c r="O114" s="68"/>
      <c r="P114" s="70">
        <v>40</v>
      </c>
      <c r="Q114" s="68"/>
      <c r="R114" s="70">
        <v>40</v>
      </c>
      <c r="S114" s="73">
        <v>46054</v>
      </c>
      <c r="T114" s="70">
        <v>0</v>
      </c>
      <c r="U114" s="74">
        <v>4</v>
      </c>
      <c r="V114" s="70">
        <v>40</v>
      </c>
      <c r="W114" s="56" t="s">
        <v>47</v>
      </c>
      <c r="X114" s="56" t="s">
        <v>48</v>
      </c>
      <c r="Y114" s="56" t="s">
        <v>36</v>
      </c>
      <c r="Z114" s="56" t="s">
        <v>9</v>
      </c>
      <c r="AA114" s="56" t="s">
        <v>49</v>
      </c>
      <c r="AB114" s="56" t="s">
        <v>188</v>
      </c>
      <c r="AC114" s="56" t="s">
        <v>38</v>
      </c>
      <c r="AD114" s="75" t="s">
        <v>267</v>
      </c>
      <c r="AE114" s="57"/>
      <c r="AF114" s="57"/>
      <c r="AG114" s="57"/>
      <c r="AH114" s="57"/>
      <c r="AI114" s="57"/>
      <c r="AJ114" s="57"/>
      <c r="AK114" s="57"/>
      <c r="AL114" s="57"/>
      <c r="AM114" s="57"/>
      <c r="AN114" s="57"/>
      <c r="AO114" s="57"/>
      <c r="AP114" s="57"/>
      <c r="AQ114" s="57"/>
      <c r="AR114" s="57"/>
      <c r="AS114" s="57"/>
      <c r="AT114" s="57"/>
      <c r="AU114" s="57"/>
      <c r="AV114" s="57"/>
      <c r="AW114" s="57"/>
    </row>
    <row r="115" spans="1:49" ht="31.5" x14ac:dyDescent="0.25">
      <c r="A115" s="56" t="s">
        <v>186</v>
      </c>
      <c r="B115" s="59">
        <v>46054</v>
      </c>
      <c r="C115" s="59">
        <v>46054</v>
      </c>
      <c r="D115" s="56" t="s">
        <v>249</v>
      </c>
      <c r="E115" s="62">
        <v>0.75</v>
      </c>
      <c r="F115" s="62">
        <v>0.83333333333333337</v>
      </c>
      <c r="G115" s="62">
        <v>3.4722222222222218E-4</v>
      </c>
      <c r="H115" s="56" t="s">
        <v>264</v>
      </c>
      <c r="I115" s="66">
        <v>0.76613530092592586</v>
      </c>
      <c r="J115" s="56" t="s">
        <v>241</v>
      </c>
      <c r="K115" s="56" t="s">
        <v>237</v>
      </c>
      <c r="L115" s="68">
        <v>1</v>
      </c>
      <c r="M115" s="68">
        <v>59762</v>
      </c>
      <c r="N115" s="56" t="s">
        <v>53</v>
      </c>
      <c r="O115" s="68"/>
      <c r="P115" s="70">
        <v>50</v>
      </c>
      <c r="Q115" s="68"/>
      <c r="R115" s="70">
        <v>50</v>
      </c>
      <c r="S115" s="73">
        <v>46054</v>
      </c>
      <c r="T115" s="70">
        <v>0</v>
      </c>
      <c r="U115" s="74">
        <v>4</v>
      </c>
      <c r="V115" s="70">
        <v>50</v>
      </c>
      <c r="W115" s="56" t="s">
        <v>47</v>
      </c>
      <c r="X115" s="56" t="s">
        <v>48</v>
      </c>
      <c r="Y115" s="56" t="s">
        <v>36</v>
      </c>
      <c r="Z115" s="56" t="s">
        <v>9</v>
      </c>
      <c r="AA115" s="56" t="s">
        <v>49</v>
      </c>
      <c r="AB115" s="56" t="s">
        <v>188</v>
      </c>
      <c r="AC115" s="56" t="s">
        <v>38</v>
      </c>
      <c r="AD115" s="75" t="s">
        <v>267</v>
      </c>
      <c r="AE115" s="76"/>
      <c r="AF115" s="76"/>
      <c r="AG115" s="76"/>
      <c r="AH115" s="76"/>
      <c r="AI115" s="76"/>
      <c r="AJ115" s="76"/>
      <c r="AK115" s="76"/>
      <c r="AL115" s="76"/>
      <c r="AM115" s="76"/>
      <c r="AN115" s="76"/>
      <c r="AO115" s="76"/>
      <c r="AP115" s="76"/>
      <c r="AQ115" s="76"/>
      <c r="AR115" s="76"/>
      <c r="AS115" s="76"/>
      <c r="AT115" s="76"/>
      <c r="AU115" s="76"/>
      <c r="AV115" s="76"/>
      <c r="AW115" s="76"/>
    </row>
    <row r="116" spans="1:49" ht="31.5" x14ac:dyDescent="0.25">
      <c r="A116" s="56" t="s">
        <v>159</v>
      </c>
      <c r="B116" s="59">
        <v>46048</v>
      </c>
      <c r="C116" s="59">
        <v>46048</v>
      </c>
      <c r="D116" s="56" t="s">
        <v>30</v>
      </c>
      <c r="E116" s="62">
        <v>0.25</v>
      </c>
      <c r="F116" s="62">
        <v>0.99930555555555556</v>
      </c>
      <c r="G116" s="64">
        <v>1.7361111111111109E-4</v>
      </c>
      <c r="H116" s="65" t="s">
        <v>160</v>
      </c>
      <c r="I116" s="66">
        <v>0.29648148148148151</v>
      </c>
      <c r="J116" s="56" t="s">
        <v>41</v>
      </c>
      <c r="K116" s="56" t="s">
        <v>65</v>
      </c>
      <c r="L116" s="68">
        <v>1</v>
      </c>
      <c r="M116" s="68">
        <v>71016</v>
      </c>
      <c r="N116" s="56" t="s">
        <v>46</v>
      </c>
      <c r="O116" s="68" t="s">
        <v>161</v>
      </c>
      <c r="P116" s="70">
        <v>0</v>
      </c>
      <c r="Q116" s="68"/>
      <c r="R116" s="70">
        <v>0</v>
      </c>
      <c r="S116" s="73">
        <v>46054</v>
      </c>
      <c r="T116" s="70">
        <v>0</v>
      </c>
      <c r="U116" s="74">
        <v>4</v>
      </c>
      <c r="V116" s="70">
        <v>0</v>
      </c>
      <c r="W116" s="56" t="s">
        <v>47</v>
      </c>
      <c r="X116" s="56" t="s">
        <v>48</v>
      </c>
      <c r="Y116" s="56" t="s">
        <v>36</v>
      </c>
      <c r="Z116" s="56" t="s">
        <v>9</v>
      </c>
      <c r="AA116" s="56" t="s">
        <v>49</v>
      </c>
      <c r="AB116" s="56" t="s">
        <v>162</v>
      </c>
      <c r="AC116" s="56" t="s">
        <v>38</v>
      </c>
      <c r="AD116" s="75" t="s">
        <v>267</v>
      </c>
      <c r="AE116" s="76"/>
      <c r="AF116" s="76"/>
      <c r="AG116" s="76"/>
      <c r="AH116" s="76"/>
      <c r="AI116" s="85"/>
      <c r="AJ116" s="85"/>
      <c r="AK116" s="85"/>
      <c r="AL116" s="85"/>
      <c r="AM116" s="85"/>
      <c r="AN116" s="85"/>
      <c r="AO116" s="85"/>
      <c r="AP116" s="85"/>
      <c r="AQ116" s="85"/>
      <c r="AR116" s="85"/>
      <c r="AS116" s="85"/>
      <c r="AT116" s="85"/>
      <c r="AU116" s="85"/>
      <c r="AV116" s="85"/>
      <c r="AW116" s="85"/>
    </row>
    <row r="117" spans="1:49" ht="31.5" x14ac:dyDescent="0.2">
      <c r="A117" s="56" t="s">
        <v>159</v>
      </c>
      <c r="B117" s="59">
        <v>46048</v>
      </c>
      <c r="C117" s="59">
        <v>46048</v>
      </c>
      <c r="D117" s="56" t="s">
        <v>30</v>
      </c>
      <c r="E117" s="62">
        <v>0.25</v>
      </c>
      <c r="F117" s="62">
        <v>0.99930555555555556</v>
      </c>
      <c r="G117" s="64">
        <v>1.7361111111111109E-4</v>
      </c>
      <c r="H117" s="65" t="s">
        <v>163</v>
      </c>
      <c r="I117" s="66">
        <v>0.29769675925925926</v>
      </c>
      <c r="J117" s="56" t="s">
        <v>41</v>
      </c>
      <c r="K117" s="56" t="s">
        <v>65</v>
      </c>
      <c r="L117" s="68">
        <v>1</v>
      </c>
      <c r="M117" s="68">
        <v>71016</v>
      </c>
      <c r="N117" s="56" t="s">
        <v>46</v>
      </c>
      <c r="O117" s="68" t="s">
        <v>161</v>
      </c>
      <c r="P117" s="70">
        <v>0</v>
      </c>
      <c r="Q117" s="68"/>
      <c r="R117" s="70">
        <v>0</v>
      </c>
      <c r="S117" s="73">
        <v>46054</v>
      </c>
      <c r="T117" s="70">
        <v>0</v>
      </c>
      <c r="U117" s="74">
        <v>4</v>
      </c>
      <c r="V117" s="70">
        <v>0</v>
      </c>
      <c r="W117" s="56" t="s">
        <v>47</v>
      </c>
      <c r="X117" s="56" t="s">
        <v>48</v>
      </c>
      <c r="Y117" s="56" t="s">
        <v>36</v>
      </c>
      <c r="Z117" s="56" t="s">
        <v>9</v>
      </c>
      <c r="AA117" s="56" t="s">
        <v>49</v>
      </c>
      <c r="AB117" s="56" t="s">
        <v>162</v>
      </c>
      <c r="AC117" s="56" t="s">
        <v>38</v>
      </c>
      <c r="AD117" s="75" t="s">
        <v>267</v>
      </c>
      <c r="AE117" s="57"/>
      <c r="AF117" s="57"/>
      <c r="AG117" s="57"/>
      <c r="AH117" s="57"/>
      <c r="AI117" s="57"/>
      <c r="AJ117" s="57"/>
      <c r="AK117" s="57"/>
      <c r="AL117" s="57"/>
      <c r="AM117" s="57"/>
      <c r="AN117" s="57"/>
      <c r="AO117" s="57"/>
      <c r="AP117" s="57"/>
      <c r="AQ117" s="57"/>
      <c r="AR117" s="57"/>
      <c r="AS117" s="57"/>
      <c r="AT117" s="57"/>
      <c r="AU117" s="57"/>
      <c r="AV117" s="57"/>
      <c r="AW117" s="57"/>
    </row>
    <row r="118" spans="1:49" ht="31.5" x14ac:dyDescent="0.25">
      <c r="A118" s="56" t="s">
        <v>159</v>
      </c>
      <c r="B118" s="59">
        <v>46048</v>
      </c>
      <c r="C118" s="59">
        <v>46048</v>
      </c>
      <c r="D118" s="56" t="s">
        <v>30</v>
      </c>
      <c r="E118" s="62">
        <v>0.25</v>
      </c>
      <c r="F118" s="62">
        <v>0.875</v>
      </c>
      <c r="G118" s="64">
        <v>1.7361111111111109E-4</v>
      </c>
      <c r="H118" s="65" t="s">
        <v>160</v>
      </c>
      <c r="I118" s="66">
        <v>0.80342592592592588</v>
      </c>
      <c r="J118" s="56" t="s">
        <v>41</v>
      </c>
      <c r="K118" s="56" t="s">
        <v>131</v>
      </c>
      <c r="L118" s="68">
        <v>1</v>
      </c>
      <c r="M118" s="68">
        <v>71013</v>
      </c>
      <c r="N118" s="56" t="s">
        <v>53</v>
      </c>
      <c r="O118" s="68" t="s">
        <v>161</v>
      </c>
      <c r="P118" s="70">
        <v>15</v>
      </c>
      <c r="Q118" s="68"/>
      <c r="R118" s="70">
        <v>15</v>
      </c>
      <c r="S118" s="73">
        <v>46054</v>
      </c>
      <c r="T118" s="70">
        <v>2.25</v>
      </c>
      <c r="U118" s="74">
        <v>4</v>
      </c>
      <c r="V118" s="70">
        <v>12.75</v>
      </c>
      <c r="W118" s="56" t="s">
        <v>47</v>
      </c>
      <c r="X118" s="56" t="s">
        <v>48</v>
      </c>
      <c r="Y118" s="56" t="s">
        <v>36</v>
      </c>
      <c r="Z118" s="56" t="s">
        <v>9</v>
      </c>
      <c r="AA118" s="56" t="s">
        <v>49</v>
      </c>
      <c r="AB118" s="56" t="s">
        <v>162</v>
      </c>
      <c r="AC118" s="56" t="s">
        <v>38</v>
      </c>
      <c r="AD118" s="75" t="s">
        <v>267</v>
      </c>
      <c r="AE118" s="77"/>
      <c r="AF118" s="77"/>
      <c r="AG118" s="77"/>
      <c r="AH118" s="77"/>
      <c r="AI118" s="86"/>
      <c r="AJ118" s="86"/>
      <c r="AK118" s="86"/>
      <c r="AL118" s="86"/>
      <c r="AM118" s="86"/>
      <c r="AN118" s="86"/>
      <c r="AO118" s="86"/>
      <c r="AP118" s="86"/>
      <c r="AQ118" s="86"/>
      <c r="AR118" s="86"/>
      <c r="AS118" s="86"/>
      <c r="AT118" s="86"/>
      <c r="AU118" s="86"/>
      <c r="AV118" s="86"/>
      <c r="AW118" s="86"/>
    </row>
    <row r="119" spans="1:49" ht="31.5" x14ac:dyDescent="0.2">
      <c r="A119" s="56" t="s">
        <v>159</v>
      </c>
      <c r="B119" s="59">
        <v>46048</v>
      </c>
      <c r="C119" s="59">
        <v>46048</v>
      </c>
      <c r="D119" s="56" t="s">
        <v>30</v>
      </c>
      <c r="E119" s="62">
        <v>0.25</v>
      </c>
      <c r="F119" s="62">
        <v>0.875</v>
      </c>
      <c r="G119" s="64">
        <v>1.7361111111111109E-4</v>
      </c>
      <c r="H119" s="65" t="s">
        <v>163</v>
      </c>
      <c r="I119" s="66">
        <v>0.8046875</v>
      </c>
      <c r="J119" s="56" t="s">
        <v>41</v>
      </c>
      <c r="K119" s="56" t="s">
        <v>131</v>
      </c>
      <c r="L119" s="68">
        <v>1</v>
      </c>
      <c r="M119" s="68">
        <v>71013</v>
      </c>
      <c r="N119" s="56" t="s">
        <v>53</v>
      </c>
      <c r="O119" s="68" t="s">
        <v>161</v>
      </c>
      <c r="P119" s="70">
        <v>15</v>
      </c>
      <c r="Q119" s="68"/>
      <c r="R119" s="70">
        <v>15</v>
      </c>
      <c r="S119" s="73">
        <v>46054</v>
      </c>
      <c r="T119" s="70">
        <v>2.25</v>
      </c>
      <c r="U119" s="74">
        <v>4</v>
      </c>
      <c r="V119" s="70">
        <v>12.75</v>
      </c>
      <c r="W119" s="56" t="s">
        <v>47</v>
      </c>
      <c r="X119" s="56" t="s">
        <v>48</v>
      </c>
      <c r="Y119" s="56" t="s">
        <v>36</v>
      </c>
      <c r="Z119" s="56" t="s">
        <v>9</v>
      </c>
      <c r="AA119" s="56" t="s">
        <v>49</v>
      </c>
      <c r="AB119" s="56" t="s">
        <v>162</v>
      </c>
      <c r="AC119" s="56" t="s">
        <v>38</v>
      </c>
      <c r="AD119" s="75" t="s">
        <v>267</v>
      </c>
      <c r="AE119" s="57"/>
      <c r="AF119" s="57"/>
      <c r="AG119" s="57"/>
      <c r="AH119" s="57"/>
      <c r="AI119" s="57"/>
      <c r="AJ119" s="57"/>
      <c r="AK119" s="57"/>
      <c r="AL119" s="57"/>
      <c r="AM119" s="57"/>
      <c r="AN119" s="57"/>
      <c r="AO119" s="57"/>
      <c r="AP119" s="57"/>
      <c r="AQ119" s="57"/>
      <c r="AR119" s="57"/>
      <c r="AS119" s="57"/>
      <c r="AT119" s="57"/>
      <c r="AU119" s="57"/>
      <c r="AV119" s="57"/>
      <c r="AW119" s="57"/>
    </row>
    <row r="120" spans="1:49" ht="31.5" x14ac:dyDescent="0.2">
      <c r="A120" s="56" t="s">
        <v>159</v>
      </c>
      <c r="B120" s="59">
        <v>46048</v>
      </c>
      <c r="C120" s="59">
        <v>46048</v>
      </c>
      <c r="D120" s="56" t="s">
        <v>30</v>
      </c>
      <c r="E120" s="62">
        <v>0.33333333333333331</v>
      </c>
      <c r="F120" s="62">
        <v>0.375</v>
      </c>
      <c r="G120" s="64">
        <v>1.7361111111111109E-4</v>
      </c>
      <c r="H120" s="65" t="s">
        <v>160</v>
      </c>
      <c r="I120" s="66">
        <v>0.35842592592592593</v>
      </c>
      <c r="J120" s="56" t="s">
        <v>70</v>
      </c>
      <c r="K120" s="56" t="s">
        <v>69</v>
      </c>
      <c r="L120" s="68">
        <v>1</v>
      </c>
      <c r="M120" s="68">
        <v>71018</v>
      </c>
      <c r="N120" s="56" t="s">
        <v>53</v>
      </c>
      <c r="O120" s="68" t="s">
        <v>161</v>
      </c>
      <c r="P120" s="70">
        <v>15</v>
      </c>
      <c r="Q120" s="68"/>
      <c r="R120" s="70">
        <v>15</v>
      </c>
      <c r="S120" s="73">
        <v>46054</v>
      </c>
      <c r="T120" s="70">
        <v>2.25</v>
      </c>
      <c r="U120" s="74">
        <v>4</v>
      </c>
      <c r="V120" s="70">
        <v>12.75</v>
      </c>
      <c r="W120" s="56" t="s">
        <v>47</v>
      </c>
      <c r="X120" s="56" t="s">
        <v>48</v>
      </c>
      <c r="Y120" s="56" t="s">
        <v>36</v>
      </c>
      <c r="Z120" s="56" t="s">
        <v>9</v>
      </c>
      <c r="AA120" s="56" t="s">
        <v>49</v>
      </c>
      <c r="AB120" s="56" t="s">
        <v>162</v>
      </c>
      <c r="AC120" s="56" t="s">
        <v>38</v>
      </c>
      <c r="AD120" s="75" t="s">
        <v>267</v>
      </c>
      <c r="AE120" s="57"/>
      <c r="AF120" s="57"/>
      <c r="AG120" s="57"/>
      <c r="AH120" s="57"/>
      <c r="AI120" s="57"/>
      <c r="AJ120" s="57"/>
      <c r="AK120" s="57"/>
      <c r="AL120" s="57"/>
      <c r="AM120" s="57"/>
      <c r="AN120" s="57"/>
      <c r="AO120" s="57"/>
      <c r="AP120" s="57"/>
      <c r="AQ120" s="57"/>
      <c r="AR120" s="57"/>
      <c r="AS120" s="57"/>
      <c r="AT120" s="57"/>
      <c r="AU120" s="57"/>
      <c r="AV120" s="57"/>
      <c r="AW120" s="57"/>
    </row>
    <row r="121" spans="1:49" ht="31.5" x14ac:dyDescent="0.25">
      <c r="A121" s="56" t="s">
        <v>159</v>
      </c>
      <c r="B121" s="59">
        <v>46048</v>
      </c>
      <c r="C121" s="59">
        <v>46048</v>
      </c>
      <c r="D121" s="56" t="s">
        <v>30</v>
      </c>
      <c r="E121" s="62">
        <v>0.33333333333333331</v>
      </c>
      <c r="F121" s="62">
        <v>0.375</v>
      </c>
      <c r="G121" s="64">
        <v>1.7361111111111109E-4</v>
      </c>
      <c r="H121" s="65" t="s">
        <v>163</v>
      </c>
      <c r="I121" s="66">
        <v>0.35998842592592589</v>
      </c>
      <c r="J121" s="56" t="s">
        <v>70</v>
      </c>
      <c r="K121" s="56" t="s">
        <v>69</v>
      </c>
      <c r="L121" s="68">
        <v>1</v>
      </c>
      <c r="M121" s="68">
        <v>71018</v>
      </c>
      <c r="N121" s="56" t="s">
        <v>53</v>
      </c>
      <c r="O121" s="68" t="s">
        <v>161</v>
      </c>
      <c r="P121" s="70">
        <v>15</v>
      </c>
      <c r="Q121" s="68"/>
      <c r="R121" s="70">
        <v>15</v>
      </c>
      <c r="S121" s="73">
        <v>46054</v>
      </c>
      <c r="T121" s="70">
        <v>2.25</v>
      </c>
      <c r="U121" s="74">
        <v>4</v>
      </c>
      <c r="V121" s="70">
        <v>12.75</v>
      </c>
      <c r="W121" s="56" t="s">
        <v>47</v>
      </c>
      <c r="X121" s="56" t="s">
        <v>48</v>
      </c>
      <c r="Y121" s="56" t="s">
        <v>36</v>
      </c>
      <c r="Z121" s="56" t="s">
        <v>9</v>
      </c>
      <c r="AA121" s="56" t="s">
        <v>49</v>
      </c>
      <c r="AB121" s="56" t="s">
        <v>162</v>
      </c>
      <c r="AC121" s="56" t="s">
        <v>38</v>
      </c>
      <c r="AD121" s="75" t="s">
        <v>267</v>
      </c>
      <c r="AE121" s="77"/>
      <c r="AF121" s="77"/>
      <c r="AG121" s="77"/>
      <c r="AH121" s="77"/>
      <c r="AI121" s="86"/>
      <c r="AJ121" s="86"/>
      <c r="AK121" s="86"/>
      <c r="AL121" s="86"/>
      <c r="AM121" s="86"/>
      <c r="AN121" s="86"/>
      <c r="AO121" s="86"/>
      <c r="AP121" s="86"/>
      <c r="AQ121" s="86"/>
      <c r="AR121" s="86"/>
      <c r="AS121" s="86"/>
      <c r="AT121" s="86"/>
      <c r="AU121" s="86"/>
      <c r="AV121" s="86"/>
      <c r="AW121" s="86"/>
    </row>
    <row r="122" spans="1:49" ht="31.5" x14ac:dyDescent="0.25">
      <c r="A122" s="56" t="s">
        <v>159</v>
      </c>
      <c r="B122" s="59">
        <v>46048</v>
      </c>
      <c r="C122" s="59">
        <v>46048</v>
      </c>
      <c r="D122" s="56" t="s">
        <v>30</v>
      </c>
      <c r="E122" s="62">
        <v>0.54166666666666663</v>
      </c>
      <c r="F122" s="62">
        <v>0.66666666666666663</v>
      </c>
      <c r="G122" s="64">
        <v>1.7361111111111109E-4</v>
      </c>
      <c r="H122" s="65" t="s">
        <v>160</v>
      </c>
      <c r="I122" s="66">
        <v>0.5680439814814815</v>
      </c>
      <c r="J122" s="56" t="s">
        <v>105</v>
      </c>
      <c r="K122" s="56" t="s">
        <v>153</v>
      </c>
      <c r="L122" s="68">
        <v>1</v>
      </c>
      <c r="M122" s="68">
        <v>71006</v>
      </c>
      <c r="N122" s="56" t="s">
        <v>53</v>
      </c>
      <c r="O122" s="68" t="s">
        <v>161</v>
      </c>
      <c r="P122" s="70">
        <v>15</v>
      </c>
      <c r="Q122" s="68"/>
      <c r="R122" s="70">
        <v>15</v>
      </c>
      <c r="S122" s="73">
        <v>46054</v>
      </c>
      <c r="T122" s="70">
        <v>2.25</v>
      </c>
      <c r="U122" s="74">
        <v>4</v>
      </c>
      <c r="V122" s="70">
        <v>12.75</v>
      </c>
      <c r="W122" s="56" t="s">
        <v>47</v>
      </c>
      <c r="X122" s="56" t="s">
        <v>48</v>
      </c>
      <c r="Y122" s="56" t="s">
        <v>36</v>
      </c>
      <c r="Z122" s="56" t="s">
        <v>9</v>
      </c>
      <c r="AA122" s="56" t="s">
        <v>49</v>
      </c>
      <c r="AB122" s="56" t="s">
        <v>162</v>
      </c>
      <c r="AC122" s="56" t="s">
        <v>38</v>
      </c>
      <c r="AD122" s="75" t="s">
        <v>267</v>
      </c>
      <c r="AE122" s="76"/>
      <c r="AF122" s="76"/>
      <c r="AG122" s="76"/>
      <c r="AH122" s="76"/>
      <c r="AI122" s="85"/>
      <c r="AJ122" s="85"/>
      <c r="AK122" s="85"/>
      <c r="AL122" s="85"/>
      <c r="AM122" s="85"/>
      <c r="AN122" s="85"/>
      <c r="AO122" s="85"/>
      <c r="AP122" s="85"/>
      <c r="AQ122" s="85"/>
      <c r="AR122" s="85"/>
      <c r="AS122" s="85"/>
      <c r="AT122" s="85"/>
      <c r="AU122" s="85"/>
      <c r="AV122" s="85"/>
      <c r="AW122" s="85"/>
    </row>
    <row r="123" spans="1:49" ht="31.5" x14ac:dyDescent="0.25">
      <c r="A123" s="56" t="s">
        <v>159</v>
      </c>
      <c r="B123" s="59">
        <v>46048</v>
      </c>
      <c r="C123" s="59">
        <v>46048</v>
      </c>
      <c r="D123" s="56" t="s">
        <v>30</v>
      </c>
      <c r="E123" s="62">
        <v>0.54166666666666663</v>
      </c>
      <c r="F123" s="62">
        <v>0.66666666666666663</v>
      </c>
      <c r="G123" s="64">
        <v>1.7361111111111109E-4</v>
      </c>
      <c r="H123" s="65" t="s">
        <v>163</v>
      </c>
      <c r="I123" s="66">
        <v>0.56943287037037038</v>
      </c>
      <c r="J123" s="56" t="s">
        <v>105</v>
      </c>
      <c r="K123" s="56" t="s">
        <v>153</v>
      </c>
      <c r="L123" s="68">
        <v>1</v>
      </c>
      <c r="M123" s="68">
        <v>71006</v>
      </c>
      <c r="N123" s="56" t="s">
        <v>53</v>
      </c>
      <c r="O123" s="68" t="s">
        <v>161</v>
      </c>
      <c r="P123" s="70">
        <v>15</v>
      </c>
      <c r="Q123" s="68"/>
      <c r="R123" s="70">
        <v>15</v>
      </c>
      <c r="S123" s="73">
        <v>46054</v>
      </c>
      <c r="T123" s="70">
        <v>2.25</v>
      </c>
      <c r="U123" s="74">
        <v>4</v>
      </c>
      <c r="V123" s="70">
        <v>12.75</v>
      </c>
      <c r="W123" s="56" t="s">
        <v>47</v>
      </c>
      <c r="X123" s="56" t="s">
        <v>48</v>
      </c>
      <c r="Y123" s="56" t="s">
        <v>36</v>
      </c>
      <c r="Z123" s="56" t="s">
        <v>9</v>
      </c>
      <c r="AA123" s="56" t="s">
        <v>49</v>
      </c>
      <c r="AB123" s="56" t="s">
        <v>162</v>
      </c>
      <c r="AC123" s="56" t="s">
        <v>38</v>
      </c>
      <c r="AD123" s="75" t="s">
        <v>267</v>
      </c>
      <c r="AE123" s="76"/>
      <c r="AF123" s="76"/>
      <c r="AG123" s="76"/>
      <c r="AH123" s="76"/>
      <c r="AI123" s="76"/>
      <c r="AJ123" s="76"/>
      <c r="AK123" s="76"/>
      <c r="AL123" s="76"/>
      <c r="AM123" s="76"/>
      <c r="AN123" s="76"/>
      <c r="AO123" s="76"/>
      <c r="AP123" s="76"/>
      <c r="AQ123" s="76"/>
      <c r="AR123" s="76"/>
      <c r="AS123" s="76"/>
      <c r="AT123" s="76"/>
      <c r="AU123" s="76"/>
      <c r="AV123" s="76"/>
      <c r="AW123" s="76"/>
    </row>
    <row r="124" spans="1:49" ht="31.5" x14ac:dyDescent="0.25">
      <c r="A124" s="56" t="s">
        <v>159</v>
      </c>
      <c r="B124" s="59">
        <v>46048</v>
      </c>
      <c r="C124" s="59">
        <v>46048</v>
      </c>
      <c r="D124" s="56" t="s">
        <v>30</v>
      </c>
      <c r="E124" s="62">
        <v>0.58333333333333337</v>
      </c>
      <c r="F124" s="62">
        <v>0.66666666666666663</v>
      </c>
      <c r="G124" s="64">
        <v>1.7361111111111109E-4</v>
      </c>
      <c r="H124" s="65" t="s">
        <v>164</v>
      </c>
      <c r="I124" s="66">
        <v>0.58982638888888894</v>
      </c>
      <c r="J124" s="56" t="s">
        <v>105</v>
      </c>
      <c r="K124" s="56" t="s">
        <v>154</v>
      </c>
      <c r="L124" s="68">
        <v>1</v>
      </c>
      <c r="M124" s="68">
        <v>71009</v>
      </c>
      <c r="N124" s="56" t="s">
        <v>53</v>
      </c>
      <c r="O124" s="68" t="s">
        <v>161</v>
      </c>
      <c r="P124" s="70">
        <v>15</v>
      </c>
      <c r="Q124" s="68"/>
      <c r="R124" s="70">
        <v>15</v>
      </c>
      <c r="S124" s="73">
        <v>46054</v>
      </c>
      <c r="T124" s="70">
        <v>2.25</v>
      </c>
      <c r="U124" s="74">
        <v>4</v>
      </c>
      <c r="V124" s="70">
        <v>12.75</v>
      </c>
      <c r="W124" s="56" t="s">
        <v>47</v>
      </c>
      <c r="X124" s="56" t="s">
        <v>48</v>
      </c>
      <c r="Y124" s="56" t="s">
        <v>36</v>
      </c>
      <c r="Z124" s="56" t="s">
        <v>9</v>
      </c>
      <c r="AA124" s="56" t="s">
        <v>49</v>
      </c>
      <c r="AB124" s="56" t="s">
        <v>162</v>
      </c>
      <c r="AC124" s="56" t="s">
        <v>38</v>
      </c>
      <c r="AD124" s="75" t="s">
        <v>267</v>
      </c>
      <c r="AE124" s="79"/>
      <c r="AF124" s="79"/>
      <c r="AG124" s="79"/>
      <c r="AH124" s="79"/>
      <c r="AI124" s="86"/>
      <c r="AJ124" s="86"/>
      <c r="AK124" s="86"/>
      <c r="AL124" s="86"/>
      <c r="AM124" s="86"/>
      <c r="AN124" s="86"/>
      <c r="AO124" s="86"/>
      <c r="AP124" s="86"/>
      <c r="AQ124" s="86"/>
      <c r="AR124" s="86"/>
      <c r="AS124" s="86"/>
      <c r="AT124" s="86"/>
      <c r="AU124" s="86"/>
      <c r="AV124" s="86"/>
      <c r="AW124" s="86"/>
    </row>
    <row r="125" spans="1:49" ht="31.5" x14ac:dyDescent="0.25">
      <c r="A125" s="56" t="s">
        <v>159</v>
      </c>
      <c r="B125" s="59">
        <v>46048</v>
      </c>
      <c r="C125" s="59">
        <v>46048</v>
      </c>
      <c r="D125" s="56" t="s">
        <v>30</v>
      </c>
      <c r="E125" s="62">
        <v>0.58333333333333337</v>
      </c>
      <c r="F125" s="62">
        <v>0.66666666666666663</v>
      </c>
      <c r="G125" s="64">
        <v>1.7361111111111109E-4</v>
      </c>
      <c r="H125" s="65" t="s">
        <v>165</v>
      </c>
      <c r="I125" s="66">
        <v>0.59121527777777783</v>
      </c>
      <c r="J125" s="56" t="s">
        <v>105</v>
      </c>
      <c r="K125" s="56" t="s">
        <v>154</v>
      </c>
      <c r="L125" s="68">
        <v>1</v>
      </c>
      <c r="M125" s="68">
        <v>71009</v>
      </c>
      <c r="N125" s="56" t="s">
        <v>53</v>
      </c>
      <c r="O125" s="68" t="s">
        <v>161</v>
      </c>
      <c r="P125" s="70">
        <v>15</v>
      </c>
      <c r="Q125" s="68"/>
      <c r="R125" s="70">
        <v>15</v>
      </c>
      <c r="S125" s="73">
        <v>46054</v>
      </c>
      <c r="T125" s="70">
        <v>2.25</v>
      </c>
      <c r="U125" s="74">
        <v>4</v>
      </c>
      <c r="V125" s="70">
        <v>12.75</v>
      </c>
      <c r="W125" s="56" t="s">
        <v>47</v>
      </c>
      <c r="X125" s="56" t="s">
        <v>48</v>
      </c>
      <c r="Y125" s="56" t="s">
        <v>36</v>
      </c>
      <c r="Z125" s="56" t="s">
        <v>9</v>
      </c>
      <c r="AA125" s="56" t="s">
        <v>49</v>
      </c>
      <c r="AB125" s="56" t="s">
        <v>162</v>
      </c>
      <c r="AC125" s="56" t="s">
        <v>38</v>
      </c>
      <c r="AD125" s="75" t="s">
        <v>267</v>
      </c>
      <c r="AE125" s="76"/>
      <c r="AF125" s="76"/>
      <c r="AG125" s="76"/>
      <c r="AH125" s="76"/>
      <c r="AI125" s="85"/>
      <c r="AJ125" s="85"/>
      <c r="AK125" s="85"/>
      <c r="AL125" s="85"/>
      <c r="AM125" s="85"/>
      <c r="AN125" s="85"/>
      <c r="AO125" s="85"/>
      <c r="AP125" s="85"/>
      <c r="AQ125" s="85"/>
      <c r="AR125" s="85"/>
      <c r="AS125" s="85"/>
      <c r="AT125" s="85"/>
      <c r="AU125" s="85"/>
      <c r="AV125" s="85"/>
      <c r="AW125" s="85"/>
    </row>
    <row r="126" spans="1:49" ht="31.5" x14ac:dyDescent="0.25">
      <c r="A126" s="56" t="s">
        <v>159</v>
      </c>
      <c r="B126" s="59">
        <v>46048</v>
      </c>
      <c r="C126" s="59">
        <v>46048</v>
      </c>
      <c r="D126" s="56" t="s">
        <v>30</v>
      </c>
      <c r="E126" s="62">
        <v>0.66666666666666663</v>
      </c>
      <c r="F126" s="62">
        <v>0.79166666666666663</v>
      </c>
      <c r="G126" s="64">
        <v>1.7361111111111109E-4</v>
      </c>
      <c r="H126" s="65" t="s">
        <v>160</v>
      </c>
      <c r="I126" s="66">
        <v>0.68062500000000004</v>
      </c>
      <c r="J126" s="56" t="s">
        <v>120</v>
      </c>
      <c r="K126" s="56" t="s">
        <v>119</v>
      </c>
      <c r="L126" s="68">
        <v>1</v>
      </c>
      <c r="M126" s="68">
        <v>71003</v>
      </c>
      <c r="N126" s="56" t="s">
        <v>53</v>
      </c>
      <c r="O126" s="68" t="s">
        <v>161</v>
      </c>
      <c r="P126" s="70">
        <v>15</v>
      </c>
      <c r="Q126" s="68"/>
      <c r="R126" s="70">
        <v>15</v>
      </c>
      <c r="S126" s="73">
        <v>46054</v>
      </c>
      <c r="T126" s="70">
        <v>2.25</v>
      </c>
      <c r="U126" s="74">
        <v>4</v>
      </c>
      <c r="V126" s="70">
        <v>12.75</v>
      </c>
      <c r="W126" s="56" t="s">
        <v>47</v>
      </c>
      <c r="X126" s="56" t="s">
        <v>48</v>
      </c>
      <c r="Y126" s="56" t="s">
        <v>36</v>
      </c>
      <c r="Z126" s="56" t="s">
        <v>9</v>
      </c>
      <c r="AA126" s="56" t="s">
        <v>49</v>
      </c>
      <c r="AB126" s="56" t="s">
        <v>162</v>
      </c>
      <c r="AC126" s="56" t="s">
        <v>38</v>
      </c>
      <c r="AD126" s="75" t="s">
        <v>267</v>
      </c>
      <c r="AE126" s="76"/>
      <c r="AF126" s="76"/>
      <c r="AG126" s="76"/>
      <c r="AH126" s="76"/>
      <c r="AI126" s="76"/>
      <c r="AJ126" s="76"/>
      <c r="AK126" s="76"/>
      <c r="AL126" s="76"/>
      <c r="AM126" s="76"/>
      <c r="AN126" s="76"/>
      <c r="AO126" s="76"/>
      <c r="AP126" s="76"/>
      <c r="AQ126" s="76"/>
      <c r="AR126" s="76"/>
      <c r="AS126" s="76"/>
      <c r="AT126" s="76"/>
      <c r="AU126" s="76"/>
      <c r="AV126" s="76"/>
      <c r="AW126" s="76"/>
    </row>
    <row r="127" spans="1:49" ht="31.5" x14ac:dyDescent="0.25">
      <c r="A127" s="56" t="s">
        <v>159</v>
      </c>
      <c r="B127" s="59">
        <v>46048</v>
      </c>
      <c r="C127" s="59">
        <v>46048</v>
      </c>
      <c r="D127" s="56" t="s">
        <v>30</v>
      </c>
      <c r="E127" s="62">
        <v>0.66666666666666663</v>
      </c>
      <c r="F127" s="62">
        <v>0.79166666666666663</v>
      </c>
      <c r="G127" s="64">
        <v>1.7361111111111109E-4</v>
      </c>
      <c r="H127" s="65" t="s">
        <v>163</v>
      </c>
      <c r="I127" s="66">
        <v>0.68201388888888892</v>
      </c>
      <c r="J127" s="56" t="s">
        <v>120</v>
      </c>
      <c r="K127" s="56" t="s">
        <v>119</v>
      </c>
      <c r="L127" s="68">
        <v>1</v>
      </c>
      <c r="M127" s="68">
        <v>71003</v>
      </c>
      <c r="N127" s="56" t="s">
        <v>53</v>
      </c>
      <c r="O127" s="68" t="s">
        <v>161</v>
      </c>
      <c r="P127" s="70">
        <v>15</v>
      </c>
      <c r="Q127" s="68"/>
      <c r="R127" s="70">
        <v>15</v>
      </c>
      <c r="S127" s="73">
        <v>46054</v>
      </c>
      <c r="T127" s="70">
        <v>2.25</v>
      </c>
      <c r="U127" s="74">
        <v>4</v>
      </c>
      <c r="V127" s="70">
        <v>12.75</v>
      </c>
      <c r="W127" s="56" t="s">
        <v>47</v>
      </c>
      <c r="X127" s="56" t="s">
        <v>48</v>
      </c>
      <c r="Y127" s="56" t="s">
        <v>36</v>
      </c>
      <c r="Z127" s="56" t="s">
        <v>9</v>
      </c>
      <c r="AA127" s="56" t="s">
        <v>49</v>
      </c>
      <c r="AB127" s="56" t="s">
        <v>162</v>
      </c>
      <c r="AC127" s="56" t="s">
        <v>38</v>
      </c>
      <c r="AD127" s="75" t="s">
        <v>267</v>
      </c>
      <c r="AE127" s="76"/>
      <c r="AF127" s="76"/>
      <c r="AG127" s="76"/>
      <c r="AH127" s="76"/>
      <c r="AI127" s="85"/>
      <c r="AJ127" s="85"/>
      <c r="AK127" s="85"/>
      <c r="AL127" s="85"/>
      <c r="AM127" s="85"/>
      <c r="AN127" s="85"/>
      <c r="AO127" s="85"/>
      <c r="AP127" s="85"/>
      <c r="AQ127" s="85"/>
      <c r="AR127" s="85"/>
      <c r="AS127" s="85"/>
      <c r="AT127" s="85"/>
      <c r="AU127" s="85"/>
      <c r="AV127" s="85"/>
      <c r="AW127" s="85"/>
    </row>
    <row r="128" spans="1:49" ht="31.5" x14ac:dyDescent="0.25">
      <c r="A128" s="56" t="s">
        <v>159</v>
      </c>
      <c r="B128" s="59">
        <v>46048</v>
      </c>
      <c r="C128" s="59">
        <v>46048</v>
      </c>
      <c r="D128" s="56" t="s">
        <v>30</v>
      </c>
      <c r="E128" s="62">
        <v>0.66666666666666663</v>
      </c>
      <c r="F128" s="62">
        <v>0.79166666666666663</v>
      </c>
      <c r="G128" s="64">
        <v>1.7361111111111109E-4</v>
      </c>
      <c r="H128" s="65" t="s">
        <v>160</v>
      </c>
      <c r="I128" s="66">
        <v>0.73372685185185194</v>
      </c>
      <c r="J128" s="56" t="s">
        <v>120</v>
      </c>
      <c r="K128" s="56" t="s">
        <v>125</v>
      </c>
      <c r="L128" s="68">
        <v>1</v>
      </c>
      <c r="M128" s="68">
        <v>71004</v>
      </c>
      <c r="N128" s="56" t="s">
        <v>46</v>
      </c>
      <c r="O128" s="68" t="s">
        <v>161</v>
      </c>
      <c r="P128" s="70">
        <v>0</v>
      </c>
      <c r="Q128" s="68"/>
      <c r="R128" s="70">
        <v>0</v>
      </c>
      <c r="S128" s="73">
        <v>46054</v>
      </c>
      <c r="T128" s="70">
        <v>0</v>
      </c>
      <c r="U128" s="74">
        <v>4</v>
      </c>
      <c r="V128" s="70">
        <v>0</v>
      </c>
      <c r="W128" s="56" t="s">
        <v>47</v>
      </c>
      <c r="X128" s="56" t="s">
        <v>48</v>
      </c>
      <c r="Y128" s="56" t="s">
        <v>36</v>
      </c>
      <c r="Z128" s="56" t="s">
        <v>9</v>
      </c>
      <c r="AA128" s="56" t="s">
        <v>49</v>
      </c>
      <c r="AB128" s="56" t="s">
        <v>162</v>
      </c>
      <c r="AC128" s="56" t="s">
        <v>38</v>
      </c>
      <c r="AD128" s="75" t="s">
        <v>267</v>
      </c>
      <c r="AE128" s="76"/>
      <c r="AF128" s="76"/>
      <c r="AG128" s="76"/>
      <c r="AH128" s="76"/>
      <c r="AI128" s="76"/>
      <c r="AJ128" s="76"/>
      <c r="AK128" s="76"/>
      <c r="AL128" s="76"/>
      <c r="AM128" s="76"/>
      <c r="AN128" s="76"/>
      <c r="AO128" s="76"/>
      <c r="AP128" s="76"/>
      <c r="AQ128" s="76"/>
      <c r="AR128" s="76"/>
      <c r="AS128" s="76"/>
      <c r="AT128" s="76"/>
      <c r="AU128" s="76"/>
      <c r="AV128" s="76"/>
      <c r="AW128" s="76"/>
    </row>
    <row r="129" spans="1:49" ht="31.5" x14ac:dyDescent="0.25">
      <c r="A129" s="56" t="s">
        <v>159</v>
      </c>
      <c r="B129" s="59">
        <v>46048</v>
      </c>
      <c r="C129" s="59">
        <v>46048</v>
      </c>
      <c r="D129" s="56" t="s">
        <v>30</v>
      </c>
      <c r="E129" s="62">
        <v>0.66666666666666663</v>
      </c>
      <c r="F129" s="62">
        <v>0.79166666666666663</v>
      </c>
      <c r="G129" s="64">
        <v>1.7361111111111109E-4</v>
      </c>
      <c r="H129" s="65" t="s">
        <v>163</v>
      </c>
      <c r="I129" s="66">
        <v>0.7359837962962964</v>
      </c>
      <c r="J129" s="56" t="s">
        <v>120</v>
      </c>
      <c r="K129" s="56" t="s">
        <v>125</v>
      </c>
      <c r="L129" s="68">
        <v>1</v>
      </c>
      <c r="M129" s="68">
        <v>71004</v>
      </c>
      <c r="N129" s="56" t="s">
        <v>46</v>
      </c>
      <c r="O129" s="68" t="s">
        <v>161</v>
      </c>
      <c r="P129" s="70">
        <v>0</v>
      </c>
      <c r="Q129" s="68"/>
      <c r="R129" s="70">
        <v>0</v>
      </c>
      <c r="S129" s="73">
        <v>46054</v>
      </c>
      <c r="T129" s="70">
        <v>0</v>
      </c>
      <c r="U129" s="74">
        <v>4</v>
      </c>
      <c r="V129" s="70">
        <v>0</v>
      </c>
      <c r="W129" s="56" t="s">
        <v>47</v>
      </c>
      <c r="X129" s="56" t="s">
        <v>48</v>
      </c>
      <c r="Y129" s="56" t="s">
        <v>36</v>
      </c>
      <c r="Z129" s="56" t="s">
        <v>9</v>
      </c>
      <c r="AA129" s="56" t="s">
        <v>49</v>
      </c>
      <c r="AB129" s="56" t="s">
        <v>162</v>
      </c>
      <c r="AC129" s="56" t="s">
        <v>38</v>
      </c>
      <c r="AD129" s="75" t="s">
        <v>267</v>
      </c>
      <c r="AE129" s="76"/>
      <c r="AF129" s="76"/>
      <c r="AG129" s="76"/>
      <c r="AH129" s="76"/>
      <c r="AI129" s="76"/>
      <c r="AJ129" s="76"/>
      <c r="AK129" s="76"/>
      <c r="AL129" s="76"/>
      <c r="AM129" s="76"/>
      <c r="AN129" s="76"/>
      <c r="AO129" s="76"/>
      <c r="AP129" s="76"/>
      <c r="AQ129" s="76"/>
      <c r="AR129" s="76"/>
      <c r="AS129" s="76"/>
      <c r="AT129" s="76"/>
      <c r="AU129" s="76"/>
      <c r="AV129" s="76"/>
      <c r="AW129" s="76"/>
    </row>
    <row r="130" spans="1:49" ht="31.5" x14ac:dyDescent="0.2">
      <c r="A130" s="56" t="s">
        <v>159</v>
      </c>
      <c r="B130" s="59">
        <v>46049</v>
      </c>
      <c r="C130" s="59">
        <v>46049</v>
      </c>
      <c r="D130" s="56" t="s">
        <v>166</v>
      </c>
      <c r="E130" s="62">
        <v>0.25</v>
      </c>
      <c r="F130" s="62">
        <v>0.875</v>
      </c>
      <c r="G130" s="64">
        <v>1.7361111111111109E-4</v>
      </c>
      <c r="H130" s="65" t="s">
        <v>164</v>
      </c>
      <c r="I130" s="66">
        <v>0.26090277777777776</v>
      </c>
      <c r="J130" s="56" t="s">
        <v>41</v>
      </c>
      <c r="K130" s="56" t="s">
        <v>40</v>
      </c>
      <c r="L130" s="68">
        <v>1</v>
      </c>
      <c r="M130" s="68">
        <v>71013</v>
      </c>
      <c r="N130" s="56" t="s">
        <v>53</v>
      </c>
      <c r="O130" s="68" t="s">
        <v>161</v>
      </c>
      <c r="P130" s="70">
        <v>15</v>
      </c>
      <c r="Q130" s="68"/>
      <c r="R130" s="70">
        <v>15</v>
      </c>
      <c r="S130" s="73">
        <v>46054</v>
      </c>
      <c r="T130" s="70">
        <v>2.25</v>
      </c>
      <c r="U130" s="74">
        <v>4</v>
      </c>
      <c r="V130" s="70">
        <v>12.75</v>
      </c>
      <c r="W130" s="56" t="s">
        <v>47</v>
      </c>
      <c r="X130" s="56" t="s">
        <v>48</v>
      </c>
      <c r="Y130" s="56" t="s">
        <v>36</v>
      </c>
      <c r="Z130" s="56" t="s">
        <v>9</v>
      </c>
      <c r="AA130" s="56" t="s">
        <v>49</v>
      </c>
      <c r="AB130" s="56" t="s">
        <v>162</v>
      </c>
      <c r="AC130" s="56" t="s">
        <v>38</v>
      </c>
      <c r="AD130" s="75" t="s">
        <v>267</v>
      </c>
      <c r="AE130" s="57"/>
      <c r="AF130" s="57"/>
      <c r="AG130" s="57"/>
      <c r="AH130" s="57"/>
      <c r="AI130" s="57"/>
      <c r="AJ130" s="57"/>
      <c r="AK130" s="57"/>
      <c r="AL130" s="57"/>
      <c r="AM130" s="57"/>
      <c r="AN130" s="57"/>
      <c r="AO130" s="57"/>
      <c r="AP130" s="57"/>
      <c r="AQ130" s="57"/>
      <c r="AR130" s="57"/>
      <c r="AS130" s="57"/>
      <c r="AT130" s="57"/>
      <c r="AU130" s="57"/>
      <c r="AV130" s="57"/>
      <c r="AW130" s="57"/>
    </row>
    <row r="131" spans="1:49" ht="31.5" x14ac:dyDescent="0.2">
      <c r="A131" s="56" t="s">
        <v>159</v>
      </c>
      <c r="B131" s="59">
        <v>46049</v>
      </c>
      <c r="C131" s="59">
        <v>46049</v>
      </c>
      <c r="D131" s="56" t="s">
        <v>166</v>
      </c>
      <c r="E131" s="62">
        <v>0.25</v>
      </c>
      <c r="F131" s="62">
        <v>0.875</v>
      </c>
      <c r="G131" s="64">
        <v>1.7361111111111109E-4</v>
      </c>
      <c r="H131" s="65" t="s">
        <v>165</v>
      </c>
      <c r="I131" s="66">
        <v>0.26350694444444445</v>
      </c>
      <c r="J131" s="56" t="s">
        <v>41</v>
      </c>
      <c r="K131" s="56" t="s">
        <v>40</v>
      </c>
      <c r="L131" s="68">
        <v>1</v>
      </c>
      <c r="M131" s="68">
        <v>71013</v>
      </c>
      <c r="N131" s="56" t="s">
        <v>53</v>
      </c>
      <c r="O131" s="68" t="s">
        <v>161</v>
      </c>
      <c r="P131" s="70">
        <v>15</v>
      </c>
      <c r="Q131" s="68"/>
      <c r="R131" s="70">
        <v>15</v>
      </c>
      <c r="S131" s="73">
        <v>46054</v>
      </c>
      <c r="T131" s="70">
        <v>2.25</v>
      </c>
      <c r="U131" s="74">
        <v>4</v>
      </c>
      <c r="V131" s="70">
        <v>12.75</v>
      </c>
      <c r="W131" s="56" t="s">
        <v>47</v>
      </c>
      <c r="X131" s="56" t="s">
        <v>48</v>
      </c>
      <c r="Y131" s="56" t="s">
        <v>36</v>
      </c>
      <c r="Z131" s="56" t="s">
        <v>9</v>
      </c>
      <c r="AA131" s="56" t="s">
        <v>49</v>
      </c>
      <c r="AB131" s="56" t="s">
        <v>162</v>
      </c>
      <c r="AC131" s="56" t="s">
        <v>38</v>
      </c>
      <c r="AD131" s="75" t="s">
        <v>267</v>
      </c>
      <c r="AE131" s="57"/>
      <c r="AF131" s="57"/>
      <c r="AG131" s="57"/>
      <c r="AH131" s="57"/>
      <c r="AI131" s="57"/>
      <c r="AJ131" s="57"/>
      <c r="AK131" s="57"/>
      <c r="AL131" s="57"/>
      <c r="AM131" s="57"/>
      <c r="AN131" s="57"/>
      <c r="AO131" s="57"/>
      <c r="AP131" s="57"/>
      <c r="AQ131" s="57"/>
      <c r="AR131" s="57"/>
      <c r="AS131" s="57"/>
      <c r="AT131" s="57"/>
      <c r="AU131" s="57"/>
      <c r="AV131" s="57"/>
      <c r="AW131" s="57"/>
    </row>
    <row r="132" spans="1:49" ht="31.5" x14ac:dyDescent="0.2">
      <c r="A132" s="56" t="s">
        <v>159</v>
      </c>
      <c r="B132" s="59">
        <v>46049</v>
      </c>
      <c r="C132" s="59">
        <v>46049</v>
      </c>
      <c r="D132" s="56" t="s">
        <v>166</v>
      </c>
      <c r="E132" s="62">
        <v>0.25</v>
      </c>
      <c r="F132" s="62">
        <v>0.99930555555555556</v>
      </c>
      <c r="G132" s="64">
        <v>1.7361111111111109E-4</v>
      </c>
      <c r="H132" s="65" t="s">
        <v>160</v>
      </c>
      <c r="I132" s="66">
        <v>0.28283564814814816</v>
      </c>
      <c r="J132" s="56" t="s">
        <v>41</v>
      </c>
      <c r="K132" s="56" t="s">
        <v>40</v>
      </c>
      <c r="L132" s="68">
        <v>1</v>
      </c>
      <c r="M132" s="68">
        <v>71016</v>
      </c>
      <c r="N132" s="56" t="s">
        <v>46</v>
      </c>
      <c r="O132" s="68" t="s">
        <v>161</v>
      </c>
      <c r="P132" s="70">
        <v>0</v>
      </c>
      <c r="Q132" s="68"/>
      <c r="R132" s="70">
        <v>0</v>
      </c>
      <c r="S132" s="73">
        <v>46054</v>
      </c>
      <c r="T132" s="70">
        <v>0</v>
      </c>
      <c r="U132" s="74">
        <v>4</v>
      </c>
      <c r="V132" s="70">
        <v>0</v>
      </c>
      <c r="W132" s="56" t="s">
        <v>47</v>
      </c>
      <c r="X132" s="56" t="s">
        <v>48</v>
      </c>
      <c r="Y132" s="56" t="s">
        <v>36</v>
      </c>
      <c r="Z132" s="56" t="s">
        <v>9</v>
      </c>
      <c r="AA132" s="56" t="s">
        <v>49</v>
      </c>
      <c r="AB132" s="56" t="s">
        <v>162</v>
      </c>
      <c r="AC132" s="56" t="s">
        <v>38</v>
      </c>
      <c r="AD132" s="75" t="s">
        <v>267</v>
      </c>
      <c r="AE132" s="57"/>
      <c r="AF132" s="57"/>
      <c r="AG132" s="57"/>
      <c r="AH132" s="57"/>
      <c r="AI132" s="57"/>
      <c r="AJ132" s="57"/>
      <c r="AK132" s="57"/>
      <c r="AL132" s="57"/>
      <c r="AM132" s="57"/>
      <c r="AN132" s="57"/>
      <c r="AO132" s="57"/>
      <c r="AP132" s="57"/>
      <c r="AQ132" s="57"/>
      <c r="AR132" s="57"/>
      <c r="AS132" s="57"/>
      <c r="AT132" s="57"/>
      <c r="AU132" s="57"/>
      <c r="AV132" s="57"/>
      <c r="AW132" s="57"/>
    </row>
    <row r="133" spans="1:49" ht="31.5" x14ac:dyDescent="0.25">
      <c r="A133" s="56" t="s">
        <v>159</v>
      </c>
      <c r="B133" s="59">
        <v>46049</v>
      </c>
      <c r="C133" s="59">
        <v>46049</v>
      </c>
      <c r="D133" s="56" t="s">
        <v>166</v>
      </c>
      <c r="E133" s="62">
        <v>0.25</v>
      </c>
      <c r="F133" s="62">
        <v>0.99930555555555556</v>
      </c>
      <c r="G133" s="64">
        <v>1.7361111111111109E-4</v>
      </c>
      <c r="H133" s="65" t="s">
        <v>163</v>
      </c>
      <c r="I133" s="66">
        <v>0.28474537037037034</v>
      </c>
      <c r="J133" s="56" t="s">
        <v>41</v>
      </c>
      <c r="K133" s="56" t="s">
        <v>40</v>
      </c>
      <c r="L133" s="68">
        <v>1</v>
      </c>
      <c r="M133" s="68">
        <v>71016</v>
      </c>
      <c r="N133" s="56" t="s">
        <v>46</v>
      </c>
      <c r="O133" s="68" t="s">
        <v>161</v>
      </c>
      <c r="P133" s="70">
        <v>0</v>
      </c>
      <c r="Q133" s="68"/>
      <c r="R133" s="70">
        <v>0</v>
      </c>
      <c r="S133" s="73">
        <v>46054</v>
      </c>
      <c r="T133" s="70">
        <v>0</v>
      </c>
      <c r="U133" s="74">
        <v>4</v>
      </c>
      <c r="V133" s="70">
        <v>0</v>
      </c>
      <c r="W133" s="56" t="s">
        <v>47</v>
      </c>
      <c r="X133" s="56" t="s">
        <v>48</v>
      </c>
      <c r="Y133" s="56" t="s">
        <v>36</v>
      </c>
      <c r="Z133" s="56" t="s">
        <v>9</v>
      </c>
      <c r="AA133" s="56" t="s">
        <v>49</v>
      </c>
      <c r="AB133" s="56" t="s">
        <v>162</v>
      </c>
      <c r="AC133" s="56" t="s">
        <v>38</v>
      </c>
      <c r="AD133" s="75" t="s">
        <v>267</v>
      </c>
      <c r="AE133" s="76"/>
      <c r="AF133" s="76"/>
      <c r="AG133" s="76"/>
      <c r="AH133" s="76"/>
      <c r="AI133" s="76"/>
      <c r="AJ133" s="76"/>
      <c r="AK133" s="76"/>
      <c r="AL133" s="76"/>
      <c r="AM133" s="76"/>
      <c r="AN133" s="76"/>
      <c r="AO133" s="76"/>
      <c r="AP133" s="76"/>
      <c r="AQ133" s="76"/>
      <c r="AR133" s="76"/>
      <c r="AS133" s="76"/>
      <c r="AT133" s="76"/>
      <c r="AU133" s="76"/>
      <c r="AV133" s="76"/>
      <c r="AW133" s="76"/>
    </row>
    <row r="134" spans="1:49" ht="31.5" x14ac:dyDescent="0.2">
      <c r="A134" s="56" t="s">
        <v>159</v>
      </c>
      <c r="B134" s="59">
        <v>46049</v>
      </c>
      <c r="C134" s="59">
        <v>46049</v>
      </c>
      <c r="D134" s="56" t="s">
        <v>166</v>
      </c>
      <c r="E134" s="62">
        <v>0.33333333333333331</v>
      </c>
      <c r="F134" s="62">
        <v>0.375</v>
      </c>
      <c r="G134" s="64">
        <v>1.7361111111111109E-4</v>
      </c>
      <c r="H134" s="65" t="s">
        <v>160</v>
      </c>
      <c r="I134" s="66">
        <v>0.34917824074074072</v>
      </c>
      <c r="J134" s="56" t="s">
        <v>70</v>
      </c>
      <c r="K134" s="56" t="s">
        <v>69</v>
      </c>
      <c r="L134" s="68">
        <v>1</v>
      </c>
      <c r="M134" s="68">
        <v>71018</v>
      </c>
      <c r="N134" s="56" t="s">
        <v>53</v>
      </c>
      <c r="O134" s="68" t="s">
        <v>161</v>
      </c>
      <c r="P134" s="70">
        <v>15</v>
      </c>
      <c r="Q134" s="68"/>
      <c r="R134" s="70">
        <v>15</v>
      </c>
      <c r="S134" s="73">
        <v>46054</v>
      </c>
      <c r="T134" s="70">
        <v>2.25</v>
      </c>
      <c r="U134" s="74">
        <v>4</v>
      </c>
      <c r="V134" s="70">
        <v>12.75</v>
      </c>
      <c r="W134" s="56" t="s">
        <v>47</v>
      </c>
      <c r="X134" s="56" t="s">
        <v>48</v>
      </c>
      <c r="Y134" s="56" t="s">
        <v>36</v>
      </c>
      <c r="Z134" s="56" t="s">
        <v>9</v>
      </c>
      <c r="AA134" s="56" t="s">
        <v>49</v>
      </c>
      <c r="AB134" s="56" t="s">
        <v>162</v>
      </c>
      <c r="AC134" s="56" t="s">
        <v>38</v>
      </c>
      <c r="AD134" s="75" t="s">
        <v>267</v>
      </c>
      <c r="AE134" s="57"/>
      <c r="AF134" s="57"/>
      <c r="AG134" s="57"/>
      <c r="AH134" s="57"/>
      <c r="AI134" s="57"/>
      <c r="AJ134" s="57"/>
      <c r="AK134" s="57"/>
      <c r="AL134" s="57"/>
      <c r="AM134" s="57"/>
      <c r="AN134" s="57"/>
      <c r="AO134" s="57"/>
      <c r="AP134" s="57"/>
      <c r="AQ134" s="57"/>
      <c r="AR134" s="57"/>
      <c r="AS134" s="57"/>
      <c r="AT134" s="57"/>
      <c r="AU134" s="57"/>
      <c r="AV134" s="57"/>
      <c r="AW134" s="57"/>
    </row>
    <row r="135" spans="1:49" ht="31.5" x14ac:dyDescent="0.25">
      <c r="A135" s="56" t="s">
        <v>159</v>
      </c>
      <c r="B135" s="59">
        <v>46049</v>
      </c>
      <c r="C135" s="59">
        <v>46049</v>
      </c>
      <c r="D135" s="56" t="s">
        <v>166</v>
      </c>
      <c r="E135" s="62">
        <v>0.33333333333333331</v>
      </c>
      <c r="F135" s="62">
        <v>0.375</v>
      </c>
      <c r="G135" s="64">
        <v>1.7361111111111109E-4</v>
      </c>
      <c r="H135" s="65" t="s">
        <v>163</v>
      </c>
      <c r="I135" s="66">
        <v>0.35108796296296296</v>
      </c>
      <c r="J135" s="56" t="s">
        <v>70</v>
      </c>
      <c r="K135" s="56" t="s">
        <v>69</v>
      </c>
      <c r="L135" s="68">
        <v>1</v>
      </c>
      <c r="M135" s="68">
        <v>71018</v>
      </c>
      <c r="N135" s="56" t="s">
        <v>53</v>
      </c>
      <c r="O135" s="68" t="s">
        <v>161</v>
      </c>
      <c r="P135" s="70">
        <v>15</v>
      </c>
      <c r="Q135" s="68"/>
      <c r="R135" s="70">
        <v>15</v>
      </c>
      <c r="S135" s="73">
        <v>46054</v>
      </c>
      <c r="T135" s="70">
        <v>2.25</v>
      </c>
      <c r="U135" s="74">
        <v>4</v>
      </c>
      <c r="V135" s="70">
        <v>12.75</v>
      </c>
      <c r="W135" s="56" t="s">
        <v>47</v>
      </c>
      <c r="X135" s="56" t="s">
        <v>48</v>
      </c>
      <c r="Y135" s="56" t="s">
        <v>36</v>
      </c>
      <c r="Z135" s="56" t="s">
        <v>9</v>
      </c>
      <c r="AA135" s="56" t="s">
        <v>49</v>
      </c>
      <c r="AB135" s="56" t="s">
        <v>162</v>
      </c>
      <c r="AC135" s="56" t="s">
        <v>38</v>
      </c>
      <c r="AD135" s="75" t="s">
        <v>267</v>
      </c>
      <c r="AE135" s="76"/>
      <c r="AF135" s="76"/>
      <c r="AG135" s="76"/>
      <c r="AH135" s="76"/>
      <c r="AI135" s="76"/>
      <c r="AJ135" s="76"/>
      <c r="AK135" s="76"/>
      <c r="AL135" s="76"/>
      <c r="AM135" s="76"/>
      <c r="AN135" s="76"/>
      <c r="AO135" s="76"/>
      <c r="AP135" s="76"/>
      <c r="AQ135" s="76"/>
      <c r="AR135" s="76"/>
      <c r="AS135" s="76"/>
      <c r="AT135" s="76"/>
      <c r="AU135" s="76"/>
      <c r="AV135" s="76"/>
      <c r="AW135" s="76"/>
    </row>
    <row r="136" spans="1:49" ht="31.5" x14ac:dyDescent="0.25">
      <c r="A136" s="56" t="s">
        <v>159</v>
      </c>
      <c r="B136" s="59">
        <v>46049</v>
      </c>
      <c r="C136" s="59">
        <v>46049</v>
      </c>
      <c r="D136" s="56" t="s">
        <v>166</v>
      </c>
      <c r="E136" s="62">
        <v>0.54166666666666663</v>
      </c>
      <c r="F136" s="62">
        <v>0.66666666666666663</v>
      </c>
      <c r="G136" s="64">
        <v>1.7361111111111109E-4</v>
      </c>
      <c r="H136" s="65" t="s">
        <v>160</v>
      </c>
      <c r="I136" s="66">
        <v>0.54785057870370368</v>
      </c>
      <c r="J136" s="56" t="s">
        <v>105</v>
      </c>
      <c r="K136" s="56" t="s">
        <v>152</v>
      </c>
      <c r="L136" s="68">
        <v>1</v>
      </c>
      <c r="M136" s="68">
        <v>71006</v>
      </c>
      <c r="N136" s="56" t="s">
        <v>53</v>
      </c>
      <c r="O136" s="68" t="s">
        <v>161</v>
      </c>
      <c r="P136" s="70">
        <v>15</v>
      </c>
      <c r="Q136" s="68"/>
      <c r="R136" s="70">
        <v>15</v>
      </c>
      <c r="S136" s="73">
        <v>46054</v>
      </c>
      <c r="T136" s="70">
        <v>2.25</v>
      </c>
      <c r="U136" s="74">
        <v>4</v>
      </c>
      <c r="V136" s="70">
        <v>12.75</v>
      </c>
      <c r="W136" s="56" t="s">
        <v>47</v>
      </c>
      <c r="X136" s="56" t="s">
        <v>48</v>
      </c>
      <c r="Y136" s="56" t="s">
        <v>36</v>
      </c>
      <c r="Z136" s="56" t="s">
        <v>9</v>
      </c>
      <c r="AA136" s="56" t="s">
        <v>49</v>
      </c>
      <c r="AB136" s="56" t="s">
        <v>162</v>
      </c>
      <c r="AC136" s="56" t="s">
        <v>38</v>
      </c>
      <c r="AD136" s="75" t="s">
        <v>267</v>
      </c>
      <c r="AE136" s="76"/>
      <c r="AF136" s="76"/>
      <c r="AG136" s="76"/>
      <c r="AH136" s="76"/>
      <c r="AI136" s="76"/>
      <c r="AJ136" s="76"/>
      <c r="AK136" s="76"/>
      <c r="AL136" s="76"/>
      <c r="AM136" s="76"/>
      <c r="AN136" s="76"/>
      <c r="AO136" s="76"/>
      <c r="AP136" s="76"/>
      <c r="AQ136" s="76"/>
      <c r="AR136" s="76"/>
      <c r="AS136" s="76"/>
      <c r="AT136" s="76"/>
      <c r="AU136" s="76"/>
      <c r="AV136" s="76"/>
      <c r="AW136" s="76"/>
    </row>
    <row r="137" spans="1:49" ht="31.5" x14ac:dyDescent="0.25">
      <c r="A137" s="56" t="s">
        <v>159</v>
      </c>
      <c r="B137" s="59">
        <v>46049</v>
      </c>
      <c r="C137" s="59">
        <v>46049</v>
      </c>
      <c r="D137" s="56" t="s">
        <v>166</v>
      </c>
      <c r="E137" s="62">
        <v>0.54166666666666663</v>
      </c>
      <c r="F137" s="62">
        <v>0.66666666666666663</v>
      </c>
      <c r="G137" s="64">
        <v>1.7361111111111109E-4</v>
      </c>
      <c r="H137" s="65" t="s">
        <v>163</v>
      </c>
      <c r="I137" s="66">
        <v>0.54890057870370368</v>
      </c>
      <c r="J137" s="56" t="s">
        <v>105</v>
      </c>
      <c r="K137" s="56" t="s">
        <v>152</v>
      </c>
      <c r="L137" s="68">
        <v>1</v>
      </c>
      <c r="M137" s="68">
        <v>71006</v>
      </c>
      <c r="N137" s="56" t="s">
        <v>53</v>
      </c>
      <c r="O137" s="68" t="s">
        <v>161</v>
      </c>
      <c r="P137" s="70">
        <v>15</v>
      </c>
      <c r="Q137" s="68"/>
      <c r="R137" s="70">
        <v>15</v>
      </c>
      <c r="S137" s="73">
        <v>46054</v>
      </c>
      <c r="T137" s="70">
        <v>2.25</v>
      </c>
      <c r="U137" s="74">
        <v>4</v>
      </c>
      <c r="V137" s="70">
        <v>12.75</v>
      </c>
      <c r="W137" s="56" t="s">
        <v>47</v>
      </c>
      <c r="X137" s="56" t="s">
        <v>48</v>
      </c>
      <c r="Y137" s="56" t="s">
        <v>36</v>
      </c>
      <c r="Z137" s="56" t="s">
        <v>9</v>
      </c>
      <c r="AA137" s="56" t="s">
        <v>49</v>
      </c>
      <c r="AB137" s="56" t="s">
        <v>162</v>
      </c>
      <c r="AC137" s="56" t="s">
        <v>38</v>
      </c>
      <c r="AD137" s="75" t="s">
        <v>267</v>
      </c>
      <c r="AE137" s="76"/>
      <c r="AF137" s="76"/>
      <c r="AG137" s="76"/>
      <c r="AH137" s="76"/>
      <c r="AI137" s="85"/>
      <c r="AJ137" s="85"/>
      <c r="AK137" s="85"/>
      <c r="AL137" s="85"/>
      <c r="AM137" s="85"/>
      <c r="AN137" s="85"/>
      <c r="AO137" s="85"/>
      <c r="AP137" s="85"/>
      <c r="AQ137" s="85"/>
      <c r="AR137" s="85"/>
      <c r="AS137" s="85"/>
      <c r="AT137" s="85"/>
      <c r="AU137" s="85"/>
      <c r="AV137" s="85"/>
      <c r="AW137" s="85"/>
    </row>
    <row r="138" spans="1:49" ht="31.5" x14ac:dyDescent="0.25">
      <c r="A138" s="56" t="s">
        <v>159</v>
      </c>
      <c r="B138" s="59">
        <v>46049</v>
      </c>
      <c r="C138" s="59">
        <v>46049</v>
      </c>
      <c r="D138" s="56" t="s">
        <v>166</v>
      </c>
      <c r="E138" s="62">
        <v>0.54166666666666663</v>
      </c>
      <c r="F138" s="62">
        <v>0.66666666666666663</v>
      </c>
      <c r="G138" s="64">
        <v>1.7361111111111109E-4</v>
      </c>
      <c r="H138" s="65" t="s">
        <v>164</v>
      </c>
      <c r="I138" s="66">
        <v>0.58249085648148147</v>
      </c>
      <c r="J138" s="56" t="s">
        <v>105</v>
      </c>
      <c r="K138" s="56" t="s">
        <v>153</v>
      </c>
      <c r="L138" s="68">
        <v>1</v>
      </c>
      <c r="M138" s="68">
        <v>71011</v>
      </c>
      <c r="N138" s="56" t="s">
        <v>46</v>
      </c>
      <c r="O138" s="68" t="s">
        <v>161</v>
      </c>
      <c r="P138" s="70">
        <v>0</v>
      </c>
      <c r="Q138" s="68"/>
      <c r="R138" s="70">
        <v>0</v>
      </c>
      <c r="S138" s="73">
        <v>46054</v>
      </c>
      <c r="T138" s="70">
        <v>0</v>
      </c>
      <c r="U138" s="74">
        <v>4</v>
      </c>
      <c r="V138" s="70">
        <v>0</v>
      </c>
      <c r="W138" s="56" t="s">
        <v>47</v>
      </c>
      <c r="X138" s="56" t="s">
        <v>48</v>
      </c>
      <c r="Y138" s="56" t="s">
        <v>36</v>
      </c>
      <c r="Z138" s="56" t="s">
        <v>9</v>
      </c>
      <c r="AA138" s="56" t="s">
        <v>49</v>
      </c>
      <c r="AB138" s="56" t="s">
        <v>162</v>
      </c>
      <c r="AC138" s="56" t="s">
        <v>38</v>
      </c>
      <c r="AD138" s="75" t="s">
        <v>267</v>
      </c>
      <c r="AE138" s="76"/>
      <c r="AF138" s="76"/>
      <c r="AG138" s="76"/>
      <c r="AH138" s="76"/>
      <c r="AI138" s="76"/>
      <c r="AJ138" s="76"/>
      <c r="AK138" s="76"/>
      <c r="AL138" s="76"/>
      <c r="AM138" s="76"/>
      <c r="AN138" s="76"/>
      <c r="AO138" s="76"/>
      <c r="AP138" s="76"/>
      <c r="AQ138" s="76"/>
      <c r="AR138" s="76"/>
      <c r="AS138" s="76"/>
      <c r="AT138" s="76"/>
      <c r="AU138" s="76"/>
      <c r="AV138" s="76"/>
      <c r="AW138" s="76"/>
    </row>
    <row r="139" spans="1:49" ht="31.5" x14ac:dyDescent="0.25">
      <c r="A139" s="56" t="s">
        <v>159</v>
      </c>
      <c r="B139" s="59">
        <v>46049</v>
      </c>
      <c r="C139" s="59">
        <v>46049</v>
      </c>
      <c r="D139" s="56" t="s">
        <v>166</v>
      </c>
      <c r="E139" s="62">
        <v>0.54166666666666663</v>
      </c>
      <c r="F139" s="62">
        <v>0.66666666666666663</v>
      </c>
      <c r="G139" s="64">
        <v>1.7361111111111109E-4</v>
      </c>
      <c r="H139" s="65" t="s">
        <v>165</v>
      </c>
      <c r="I139" s="66">
        <v>0.58301192129629631</v>
      </c>
      <c r="J139" s="56" t="s">
        <v>105</v>
      </c>
      <c r="K139" s="56" t="s">
        <v>153</v>
      </c>
      <c r="L139" s="68">
        <v>1</v>
      </c>
      <c r="M139" s="68">
        <v>71011</v>
      </c>
      <c r="N139" s="56" t="s">
        <v>46</v>
      </c>
      <c r="O139" s="68" t="s">
        <v>161</v>
      </c>
      <c r="P139" s="70">
        <v>0</v>
      </c>
      <c r="Q139" s="68"/>
      <c r="R139" s="70">
        <v>0</v>
      </c>
      <c r="S139" s="73">
        <v>46054</v>
      </c>
      <c r="T139" s="70">
        <v>0</v>
      </c>
      <c r="U139" s="74">
        <v>4</v>
      </c>
      <c r="V139" s="70">
        <v>0</v>
      </c>
      <c r="W139" s="56" t="s">
        <v>47</v>
      </c>
      <c r="X139" s="56" t="s">
        <v>48</v>
      </c>
      <c r="Y139" s="56" t="s">
        <v>36</v>
      </c>
      <c r="Z139" s="56" t="s">
        <v>9</v>
      </c>
      <c r="AA139" s="56" t="s">
        <v>49</v>
      </c>
      <c r="AB139" s="56" t="s">
        <v>162</v>
      </c>
      <c r="AC139" s="56" t="s">
        <v>38</v>
      </c>
      <c r="AD139" s="75" t="s">
        <v>267</v>
      </c>
      <c r="AE139" s="76"/>
      <c r="AF139" s="76"/>
      <c r="AG139" s="76"/>
      <c r="AH139" s="76"/>
      <c r="AI139" s="76"/>
      <c r="AJ139" s="76"/>
      <c r="AK139" s="76"/>
      <c r="AL139" s="76"/>
      <c r="AM139" s="76"/>
      <c r="AN139" s="76"/>
      <c r="AO139" s="76"/>
      <c r="AP139" s="76"/>
      <c r="AQ139" s="76"/>
      <c r="AR139" s="76"/>
      <c r="AS139" s="76"/>
      <c r="AT139" s="76"/>
      <c r="AU139" s="76"/>
      <c r="AV139" s="76"/>
      <c r="AW139" s="76"/>
    </row>
    <row r="140" spans="1:49" ht="31.5" x14ac:dyDescent="0.25">
      <c r="A140" s="56" t="s">
        <v>159</v>
      </c>
      <c r="B140" s="59">
        <v>46049</v>
      </c>
      <c r="C140" s="59">
        <v>46049</v>
      </c>
      <c r="D140" s="56" t="s">
        <v>166</v>
      </c>
      <c r="E140" s="62">
        <v>0.54166666666666663</v>
      </c>
      <c r="F140" s="62">
        <v>0.66666666666666663</v>
      </c>
      <c r="G140" s="64">
        <v>1.7361111111111109E-4</v>
      </c>
      <c r="H140" s="65" t="s">
        <v>160</v>
      </c>
      <c r="I140" s="66">
        <v>0.65600694444444441</v>
      </c>
      <c r="J140" s="56" t="s">
        <v>105</v>
      </c>
      <c r="K140" s="56" t="s">
        <v>154</v>
      </c>
      <c r="L140" s="68">
        <v>1</v>
      </c>
      <c r="M140" s="68">
        <v>71011</v>
      </c>
      <c r="N140" s="56" t="s">
        <v>46</v>
      </c>
      <c r="O140" s="68" t="s">
        <v>161</v>
      </c>
      <c r="P140" s="70">
        <v>0</v>
      </c>
      <c r="Q140" s="68"/>
      <c r="R140" s="70">
        <v>0</v>
      </c>
      <c r="S140" s="73">
        <v>46054</v>
      </c>
      <c r="T140" s="70">
        <v>0</v>
      </c>
      <c r="U140" s="74">
        <v>4</v>
      </c>
      <c r="V140" s="70">
        <v>0</v>
      </c>
      <c r="W140" s="56" t="s">
        <v>47</v>
      </c>
      <c r="X140" s="56" t="s">
        <v>48</v>
      </c>
      <c r="Y140" s="56" t="s">
        <v>36</v>
      </c>
      <c r="Z140" s="56" t="s">
        <v>9</v>
      </c>
      <c r="AA140" s="56" t="s">
        <v>49</v>
      </c>
      <c r="AB140" s="56" t="s">
        <v>162</v>
      </c>
      <c r="AC140" s="56" t="s">
        <v>38</v>
      </c>
      <c r="AD140" s="75" t="s">
        <v>267</v>
      </c>
      <c r="AE140" s="76"/>
      <c r="AF140" s="76"/>
      <c r="AG140" s="76"/>
      <c r="AH140" s="76"/>
      <c r="AI140" s="76"/>
      <c r="AJ140" s="76"/>
      <c r="AK140" s="76"/>
      <c r="AL140" s="76"/>
      <c r="AM140" s="76"/>
      <c r="AN140" s="76"/>
      <c r="AO140" s="76"/>
      <c r="AP140" s="76"/>
      <c r="AQ140" s="76"/>
      <c r="AR140" s="76"/>
      <c r="AS140" s="76"/>
      <c r="AT140" s="76"/>
      <c r="AU140" s="76"/>
      <c r="AV140" s="76"/>
      <c r="AW140" s="76"/>
    </row>
    <row r="141" spans="1:49" ht="31.5" x14ac:dyDescent="0.25">
      <c r="A141" s="56" t="s">
        <v>159</v>
      </c>
      <c r="B141" s="59">
        <v>46049</v>
      </c>
      <c r="C141" s="59">
        <v>46049</v>
      </c>
      <c r="D141" s="56" t="s">
        <v>166</v>
      </c>
      <c r="E141" s="62">
        <v>0.54166666666666663</v>
      </c>
      <c r="F141" s="62">
        <v>0.66666666666666663</v>
      </c>
      <c r="G141" s="64">
        <v>1.7361111111111109E-4</v>
      </c>
      <c r="H141" s="65" t="s">
        <v>163</v>
      </c>
      <c r="I141" s="66">
        <v>0.65791666666666671</v>
      </c>
      <c r="J141" s="56" t="s">
        <v>105</v>
      </c>
      <c r="K141" s="56" t="s">
        <v>154</v>
      </c>
      <c r="L141" s="68">
        <v>1</v>
      </c>
      <c r="M141" s="68">
        <v>71011</v>
      </c>
      <c r="N141" s="56" t="s">
        <v>46</v>
      </c>
      <c r="O141" s="68" t="s">
        <v>161</v>
      </c>
      <c r="P141" s="70">
        <v>0</v>
      </c>
      <c r="Q141" s="68"/>
      <c r="R141" s="70">
        <v>0</v>
      </c>
      <c r="S141" s="73">
        <v>46054</v>
      </c>
      <c r="T141" s="70">
        <v>0</v>
      </c>
      <c r="U141" s="74">
        <v>4</v>
      </c>
      <c r="V141" s="70">
        <v>0</v>
      </c>
      <c r="W141" s="56" t="s">
        <v>47</v>
      </c>
      <c r="X141" s="56" t="s">
        <v>48</v>
      </c>
      <c r="Y141" s="56" t="s">
        <v>36</v>
      </c>
      <c r="Z141" s="56" t="s">
        <v>9</v>
      </c>
      <c r="AA141" s="56" t="s">
        <v>49</v>
      </c>
      <c r="AB141" s="56" t="s">
        <v>162</v>
      </c>
      <c r="AC141" s="56" t="s">
        <v>38</v>
      </c>
      <c r="AD141" s="75" t="s">
        <v>267</v>
      </c>
      <c r="AE141" s="76"/>
      <c r="AF141" s="76"/>
      <c r="AG141" s="76"/>
      <c r="AH141" s="76"/>
      <c r="AI141" s="86"/>
      <c r="AJ141" s="86"/>
      <c r="AK141" s="86"/>
      <c r="AL141" s="86"/>
      <c r="AM141" s="86"/>
      <c r="AN141" s="86"/>
      <c r="AO141" s="86"/>
      <c r="AP141" s="86"/>
      <c r="AQ141" s="86"/>
      <c r="AR141" s="86"/>
      <c r="AS141" s="86"/>
      <c r="AT141" s="86"/>
      <c r="AU141" s="86"/>
      <c r="AV141" s="86"/>
      <c r="AW141" s="86"/>
    </row>
    <row r="142" spans="1:49" ht="31.5" x14ac:dyDescent="0.25">
      <c r="A142" s="56" t="s">
        <v>159</v>
      </c>
      <c r="B142" s="59">
        <v>46049</v>
      </c>
      <c r="C142" s="59">
        <v>46049</v>
      </c>
      <c r="D142" s="56" t="s">
        <v>166</v>
      </c>
      <c r="E142" s="62">
        <v>0.58333333333333337</v>
      </c>
      <c r="F142" s="62">
        <v>0.66666666666666663</v>
      </c>
      <c r="G142" s="64">
        <v>1.7361111111111109E-4</v>
      </c>
      <c r="H142" s="65" t="s">
        <v>160</v>
      </c>
      <c r="I142" s="66">
        <v>0.59079861111111109</v>
      </c>
      <c r="J142" s="56" t="s">
        <v>105</v>
      </c>
      <c r="K142" s="56" t="s">
        <v>154</v>
      </c>
      <c r="L142" s="68">
        <v>1</v>
      </c>
      <c r="M142" s="68">
        <v>71009</v>
      </c>
      <c r="N142" s="56" t="s">
        <v>53</v>
      </c>
      <c r="O142" s="68" t="s">
        <v>161</v>
      </c>
      <c r="P142" s="70">
        <v>15</v>
      </c>
      <c r="Q142" s="68"/>
      <c r="R142" s="70">
        <v>15</v>
      </c>
      <c r="S142" s="73">
        <v>46054</v>
      </c>
      <c r="T142" s="70">
        <v>2.25</v>
      </c>
      <c r="U142" s="74">
        <v>4</v>
      </c>
      <c r="V142" s="70">
        <v>12.75</v>
      </c>
      <c r="W142" s="56" t="s">
        <v>47</v>
      </c>
      <c r="X142" s="56" t="s">
        <v>48</v>
      </c>
      <c r="Y142" s="56" t="s">
        <v>36</v>
      </c>
      <c r="Z142" s="56" t="s">
        <v>9</v>
      </c>
      <c r="AA142" s="56" t="s">
        <v>49</v>
      </c>
      <c r="AB142" s="56" t="s">
        <v>162</v>
      </c>
      <c r="AC142" s="56" t="s">
        <v>38</v>
      </c>
      <c r="AD142" s="75" t="s">
        <v>267</v>
      </c>
      <c r="AE142" s="76"/>
      <c r="AF142" s="76"/>
      <c r="AG142" s="76"/>
      <c r="AH142" s="76"/>
      <c r="AI142" s="85"/>
      <c r="AJ142" s="85"/>
      <c r="AK142" s="85"/>
      <c r="AL142" s="85"/>
      <c r="AM142" s="85"/>
      <c r="AN142" s="85"/>
      <c r="AO142" s="85"/>
      <c r="AP142" s="85"/>
      <c r="AQ142" s="85"/>
      <c r="AR142" s="85"/>
      <c r="AS142" s="85"/>
      <c r="AT142" s="85"/>
      <c r="AU142" s="85"/>
      <c r="AV142" s="85"/>
      <c r="AW142" s="85"/>
    </row>
    <row r="143" spans="1:49" ht="31.5" x14ac:dyDescent="0.25">
      <c r="A143" s="56" t="s">
        <v>159</v>
      </c>
      <c r="B143" s="59">
        <v>46049</v>
      </c>
      <c r="C143" s="59">
        <v>46049</v>
      </c>
      <c r="D143" s="56" t="s">
        <v>166</v>
      </c>
      <c r="E143" s="62">
        <v>0.58333333333333337</v>
      </c>
      <c r="F143" s="62">
        <v>0.66666666666666663</v>
      </c>
      <c r="G143" s="64">
        <v>1.7361111111111109E-4</v>
      </c>
      <c r="H143" s="65" t="s">
        <v>163</v>
      </c>
      <c r="I143" s="66">
        <v>0.59236111111111112</v>
      </c>
      <c r="J143" s="56" t="s">
        <v>105</v>
      </c>
      <c r="K143" s="56" t="s">
        <v>154</v>
      </c>
      <c r="L143" s="68">
        <v>1</v>
      </c>
      <c r="M143" s="68">
        <v>71009</v>
      </c>
      <c r="N143" s="56" t="s">
        <v>53</v>
      </c>
      <c r="O143" s="68" t="s">
        <v>161</v>
      </c>
      <c r="P143" s="70">
        <v>15</v>
      </c>
      <c r="Q143" s="68"/>
      <c r="R143" s="70">
        <v>15</v>
      </c>
      <c r="S143" s="73">
        <v>46054</v>
      </c>
      <c r="T143" s="70">
        <v>2.25</v>
      </c>
      <c r="U143" s="74">
        <v>4</v>
      </c>
      <c r="V143" s="70">
        <v>12.75</v>
      </c>
      <c r="W143" s="56" t="s">
        <v>47</v>
      </c>
      <c r="X143" s="56" t="s">
        <v>48</v>
      </c>
      <c r="Y143" s="56" t="s">
        <v>36</v>
      </c>
      <c r="Z143" s="56" t="s">
        <v>9</v>
      </c>
      <c r="AA143" s="56" t="s">
        <v>49</v>
      </c>
      <c r="AB143" s="56" t="s">
        <v>162</v>
      </c>
      <c r="AC143" s="56" t="s">
        <v>38</v>
      </c>
      <c r="AD143" s="75" t="s">
        <v>267</v>
      </c>
      <c r="AE143" s="77"/>
      <c r="AF143" s="77"/>
      <c r="AG143" s="77"/>
      <c r="AH143" s="77"/>
      <c r="AI143" s="86"/>
      <c r="AJ143" s="86"/>
      <c r="AK143" s="86"/>
      <c r="AL143" s="86"/>
      <c r="AM143" s="86"/>
      <c r="AN143" s="86"/>
      <c r="AO143" s="86"/>
      <c r="AP143" s="86"/>
      <c r="AQ143" s="86"/>
      <c r="AR143" s="86"/>
      <c r="AS143" s="86"/>
      <c r="AT143" s="86"/>
      <c r="AU143" s="86"/>
      <c r="AV143" s="86"/>
      <c r="AW143" s="86"/>
    </row>
    <row r="144" spans="1:49" ht="31.5" x14ac:dyDescent="0.2">
      <c r="A144" s="56" t="s">
        <v>159</v>
      </c>
      <c r="B144" s="59">
        <v>46049</v>
      </c>
      <c r="C144" s="59">
        <v>46049</v>
      </c>
      <c r="D144" s="56" t="s">
        <v>166</v>
      </c>
      <c r="E144" s="62">
        <v>0.58333333333333337</v>
      </c>
      <c r="F144" s="62">
        <v>0.66666666666666663</v>
      </c>
      <c r="G144" s="64">
        <v>1.7361111111111109E-4</v>
      </c>
      <c r="H144" s="65" t="s">
        <v>160</v>
      </c>
      <c r="I144" s="66">
        <v>0.60946759259259264</v>
      </c>
      <c r="J144" s="56" t="s">
        <v>105</v>
      </c>
      <c r="K144" s="56" t="s">
        <v>154</v>
      </c>
      <c r="L144" s="68">
        <v>1</v>
      </c>
      <c r="M144" s="68">
        <v>71096</v>
      </c>
      <c r="N144" s="56" t="s">
        <v>53</v>
      </c>
      <c r="O144" s="68" t="s">
        <v>161</v>
      </c>
      <c r="P144" s="70">
        <v>15</v>
      </c>
      <c r="Q144" s="68"/>
      <c r="R144" s="70">
        <v>15</v>
      </c>
      <c r="S144" s="73">
        <v>46054</v>
      </c>
      <c r="T144" s="70">
        <v>2.25</v>
      </c>
      <c r="U144" s="74">
        <v>4</v>
      </c>
      <c r="V144" s="70">
        <v>12.75</v>
      </c>
      <c r="W144" s="56" t="s">
        <v>47</v>
      </c>
      <c r="X144" s="56" t="s">
        <v>48</v>
      </c>
      <c r="Y144" s="56" t="s">
        <v>36</v>
      </c>
      <c r="Z144" s="56" t="s">
        <v>9</v>
      </c>
      <c r="AA144" s="56" t="s">
        <v>49</v>
      </c>
      <c r="AB144" s="56" t="s">
        <v>162</v>
      </c>
      <c r="AC144" s="56" t="s">
        <v>38</v>
      </c>
      <c r="AD144" s="75" t="s">
        <v>267</v>
      </c>
      <c r="AE144" s="57"/>
      <c r="AF144" s="57"/>
      <c r="AG144" s="57"/>
      <c r="AH144" s="57"/>
      <c r="AI144" s="57"/>
      <c r="AJ144" s="57"/>
      <c r="AK144" s="57"/>
      <c r="AL144" s="57"/>
      <c r="AM144" s="57"/>
      <c r="AN144" s="57"/>
      <c r="AO144" s="57"/>
      <c r="AP144" s="57"/>
      <c r="AQ144" s="57"/>
      <c r="AR144" s="57"/>
      <c r="AS144" s="57"/>
      <c r="AT144" s="57"/>
      <c r="AU144" s="57"/>
      <c r="AV144" s="57"/>
      <c r="AW144" s="57"/>
    </row>
    <row r="145" spans="1:49" ht="31.5" x14ac:dyDescent="0.25">
      <c r="A145" s="56" t="s">
        <v>159</v>
      </c>
      <c r="B145" s="59">
        <v>46049</v>
      </c>
      <c r="C145" s="59">
        <v>46049</v>
      </c>
      <c r="D145" s="56" t="s">
        <v>166</v>
      </c>
      <c r="E145" s="62">
        <v>0.58333333333333337</v>
      </c>
      <c r="F145" s="62">
        <v>0.66666666666666663</v>
      </c>
      <c r="G145" s="64">
        <v>1.7361111111111109E-4</v>
      </c>
      <c r="H145" s="65" t="s">
        <v>163</v>
      </c>
      <c r="I145" s="66">
        <v>0.61085648148148153</v>
      </c>
      <c r="J145" s="56" t="s">
        <v>105</v>
      </c>
      <c r="K145" s="56" t="s">
        <v>154</v>
      </c>
      <c r="L145" s="68">
        <v>1</v>
      </c>
      <c r="M145" s="68">
        <v>71096</v>
      </c>
      <c r="N145" s="56" t="s">
        <v>53</v>
      </c>
      <c r="O145" s="68" t="s">
        <v>161</v>
      </c>
      <c r="P145" s="70">
        <v>15</v>
      </c>
      <c r="Q145" s="68"/>
      <c r="R145" s="70">
        <v>15</v>
      </c>
      <c r="S145" s="73">
        <v>46054</v>
      </c>
      <c r="T145" s="70">
        <v>2.25</v>
      </c>
      <c r="U145" s="74">
        <v>4</v>
      </c>
      <c r="V145" s="70">
        <v>12.75</v>
      </c>
      <c r="W145" s="56" t="s">
        <v>47</v>
      </c>
      <c r="X145" s="56" t="s">
        <v>48</v>
      </c>
      <c r="Y145" s="56" t="s">
        <v>36</v>
      </c>
      <c r="Z145" s="56" t="s">
        <v>9</v>
      </c>
      <c r="AA145" s="56" t="s">
        <v>49</v>
      </c>
      <c r="AB145" s="56" t="s">
        <v>162</v>
      </c>
      <c r="AC145" s="56" t="s">
        <v>38</v>
      </c>
      <c r="AD145" s="75" t="s">
        <v>267</v>
      </c>
      <c r="AE145" s="76"/>
      <c r="AF145" s="76"/>
      <c r="AG145" s="76"/>
      <c r="AH145" s="76"/>
      <c r="AI145" s="85"/>
      <c r="AJ145" s="85"/>
      <c r="AK145" s="85"/>
      <c r="AL145" s="85"/>
      <c r="AM145" s="85"/>
      <c r="AN145" s="85"/>
      <c r="AO145" s="85"/>
      <c r="AP145" s="85"/>
      <c r="AQ145" s="85"/>
      <c r="AR145" s="85"/>
      <c r="AS145" s="85"/>
      <c r="AT145" s="85"/>
      <c r="AU145" s="85"/>
      <c r="AV145" s="85"/>
      <c r="AW145" s="85"/>
    </row>
    <row r="146" spans="1:49" ht="31.5" x14ac:dyDescent="0.25">
      <c r="A146" s="56" t="s">
        <v>159</v>
      </c>
      <c r="B146" s="59">
        <v>46049</v>
      </c>
      <c r="C146" s="59">
        <v>46049</v>
      </c>
      <c r="D146" s="56" t="s">
        <v>166</v>
      </c>
      <c r="E146" s="62">
        <v>0.58333333333333337</v>
      </c>
      <c r="F146" s="62">
        <v>0.66666666666666663</v>
      </c>
      <c r="G146" s="64">
        <v>1.7361111111111109E-4</v>
      </c>
      <c r="H146" s="65" t="s">
        <v>160</v>
      </c>
      <c r="I146" s="66">
        <v>0.62349537037037039</v>
      </c>
      <c r="J146" s="56" t="s">
        <v>105</v>
      </c>
      <c r="K146" s="56" t="s">
        <v>154</v>
      </c>
      <c r="L146" s="68">
        <v>1</v>
      </c>
      <c r="M146" s="68">
        <v>71096</v>
      </c>
      <c r="N146" s="56" t="s">
        <v>53</v>
      </c>
      <c r="O146" s="68" t="s">
        <v>161</v>
      </c>
      <c r="P146" s="70">
        <v>15</v>
      </c>
      <c r="Q146" s="68"/>
      <c r="R146" s="70">
        <v>15</v>
      </c>
      <c r="S146" s="73">
        <v>46054</v>
      </c>
      <c r="T146" s="70">
        <v>2.25</v>
      </c>
      <c r="U146" s="74">
        <v>4</v>
      </c>
      <c r="V146" s="70">
        <v>12.75</v>
      </c>
      <c r="W146" s="56" t="s">
        <v>47</v>
      </c>
      <c r="X146" s="56" t="s">
        <v>48</v>
      </c>
      <c r="Y146" s="56" t="s">
        <v>36</v>
      </c>
      <c r="Z146" s="56" t="s">
        <v>9</v>
      </c>
      <c r="AA146" s="56" t="s">
        <v>49</v>
      </c>
      <c r="AB146" s="56" t="s">
        <v>162</v>
      </c>
      <c r="AC146" s="56" t="s">
        <v>38</v>
      </c>
      <c r="AD146" s="75" t="s">
        <v>267</v>
      </c>
      <c r="AE146" s="76"/>
      <c r="AF146" s="76"/>
      <c r="AG146" s="76"/>
      <c r="AH146" s="76"/>
      <c r="AI146" s="76"/>
      <c r="AJ146" s="76"/>
      <c r="AK146" s="76"/>
      <c r="AL146" s="76"/>
      <c r="AM146" s="76"/>
      <c r="AN146" s="76"/>
      <c r="AO146" s="76"/>
      <c r="AP146" s="76"/>
      <c r="AQ146" s="76"/>
      <c r="AR146" s="76"/>
      <c r="AS146" s="76"/>
      <c r="AT146" s="76"/>
      <c r="AU146" s="76"/>
      <c r="AV146" s="76"/>
      <c r="AW146" s="76"/>
    </row>
    <row r="147" spans="1:49" ht="31.5" x14ac:dyDescent="0.25">
      <c r="A147" s="56" t="s">
        <v>159</v>
      </c>
      <c r="B147" s="59">
        <v>46049</v>
      </c>
      <c r="C147" s="59">
        <v>46049</v>
      </c>
      <c r="D147" s="56" t="s">
        <v>166</v>
      </c>
      <c r="E147" s="62">
        <v>0.58333333333333337</v>
      </c>
      <c r="F147" s="62">
        <v>0.66666666666666663</v>
      </c>
      <c r="G147" s="64">
        <v>1.7361111111111109E-4</v>
      </c>
      <c r="H147" s="65" t="s">
        <v>163</v>
      </c>
      <c r="I147" s="66">
        <v>0.62471064814814814</v>
      </c>
      <c r="J147" s="56" t="s">
        <v>105</v>
      </c>
      <c r="K147" s="56" t="s">
        <v>154</v>
      </c>
      <c r="L147" s="68">
        <v>1</v>
      </c>
      <c r="M147" s="68">
        <v>71096</v>
      </c>
      <c r="N147" s="56" t="s">
        <v>53</v>
      </c>
      <c r="O147" s="68" t="s">
        <v>161</v>
      </c>
      <c r="P147" s="70">
        <v>15</v>
      </c>
      <c r="Q147" s="68"/>
      <c r="R147" s="70">
        <v>15</v>
      </c>
      <c r="S147" s="73">
        <v>46054</v>
      </c>
      <c r="T147" s="70">
        <v>2.25</v>
      </c>
      <c r="U147" s="74">
        <v>4</v>
      </c>
      <c r="V147" s="70">
        <v>12.75</v>
      </c>
      <c r="W147" s="56" t="s">
        <v>47</v>
      </c>
      <c r="X147" s="56" t="s">
        <v>48</v>
      </c>
      <c r="Y147" s="56" t="s">
        <v>36</v>
      </c>
      <c r="Z147" s="56" t="s">
        <v>9</v>
      </c>
      <c r="AA147" s="56" t="s">
        <v>49</v>
      </c>
      <c r="AB147" s="56" t="s">
        <v>162</v>
      </c>
      <c r="AC147" s="56" t="s">
        <v>38</v>
      </c>
      <c r="AD147" s="75" t="s">
        <v>267</v>
      </c>
      <c r="AE147" s="76"/>
      <c r="AF147" s="76"/>
      <c r="AG147" s="76"/>
      <c r="AH147" s="76"/>
      <c r="AI147" s="85"/>
      <c r="AJ147" s="85"/>
      <c r="AK147" s="85"/>
      <c r="AL147" s="85"/>
      <c r="AM147" s="85"/>
      <c r="AN147" s="85"/>
      <c r="AO147" s="85"/>
      <c r="AP147" s="85"/>
      <c r="AQ147" s="85"/>
      <c r="AR147" s="85"/>
      <c r="AS147" s="85"/>
      <c r="AT147" s="85"/>
      <c r="AU147" s="85"/>
      <c r="AV147" s="85"/>
      <c r="AW147" s="85"/>
    </row>
    <row r="148" spans="1:49" ht="31.5" x14ac:dyDescent="0.2">
      <c r="A148" s="56" t="s">
        <v>159</v>
      </c>
      <c r="B148" s="59">
        <v>46049</v>
      </c>
      <c r="C148" s="59">
        <v>46049</v>
      </c>
      <c r="D148" s="56" t="s">
        <v>166</v>
      </c>
      <c r="E148" s="62">
        <v>0.58333333333333337</v>
      </c>
      <c r="F148" s="62">
        <v>0.66666666666666663</v>
      </c>
      <c r="G148" s="64">
        <v>1.7361111111111109E-4</v>
      </c>
      <c r="H148" s="65" t="s">
        <v>164</v>
      </c>
      <c r="I148" s="66">
        <v>0.63724537037037032</v>
      </c>
      <c r="J148" s="56" t="s">
        <v>105</v>
      </c>
      <c r="K148" s="56" t="s">
        <v>154</v>
      </c>
      <c r="L148" s="68">
        <v>1</v>
      </c>
      <c r="M148" s="68">
        <v>71096</v>
      </c>
      <c r="N148" s="56" t="s">
        <v>53</v>
      </c>
      <c r="O148" s="68" t="s">
        <v>161</v>
      </c>
      <c r="P148" s="70">
        <v>15</v>
      </c>
      <c r="Q148" s="68"/>
      <c r="R148" s="70">
        <v>15</v>
      </c>
      <c r="S148" s="73">
        <v>46054</v>
      </c>
      <c r="T148" s="70">
        <v>2.25</v>
      </c>
      <c r="U148" s="74">
        <v>4</v>
      </c>
      <c r="V148" s="70">
        <v>12.75</v>
      </c>
      <c r="W148" s="56" t="s">
        <v>47</v>
      </c>
      <c r="X148" s="56" t="s">
        <v>48</v>
      </c>
      <c r="Y148" s="56" t="s">
        <v>36</v>
      </c>
      <c r="Z148" s="56" t="s">
        <v>9</v>
      </c>
      <c r="AA148" s="56" t="s">
        <v>49</v>
      </c>
      <c r="AB148" s="56" t="s">
        <v>162</v>
      </c>
      <c r="AC148" s="56" t="s">
        <v>38</v>
      </c>
      <c r="AD148" s="75" t="s">
        <v>267</v>
      </c>
      <c r="AE148" s="57"/>
      <c r="AF148" s="57"/>
      <c r="AG148" s="57"/>
      <c r="AH148" s="57"/>
      <c r="AI148" s="57"/>
      <c r="AJ148" s="57"/>
      <c r="AK148" s="57"/>
      <c r="AL148" s="57"/>
      <c r="AM148" s="57"/>
      <c r="AN148" s="57"/>
      <c r="AO148" s="57"/>
      <c r="AP148" s="57"/>
      <c r="AQ148" s="57"/>
      <c r="AR148" s="57"/>
      <c r="AS148" s="57"/>
      <c r="AT148" s="57"/>
      <c r="AU148" s="57"/>
      <c r="AV148" s="57"/>
      <c r="AW148" s="57"/>
    </row>
    <row r="149" spans="1:49" ht="31.5" x14ac:dyDescent="0.25">
      <c r="A149" s="56" t="s">
        <v>159</v>
      </c>
      <c r="B149" s="59">
        <v>46049</v>
      </c>
      <c r="C149" s="59">
        <v>46049</v>
      </c>
      <c r="D149" s="56" t="s">
        <v>166</v>
      </c>
      <c r="E149" s="62">
        <v>0.58333333333333337</v>
      </c>
      <c r="F149" s="62">
        <v>0.66666666666666663</v>
      </c>
      <c r="G149" s="64">
        <v>1.7361111111111109E-4</v>
      </c>
      <c r="H149" s="65" t="s">
        <v>165</v>
      </c>
      <c r="I149" s="66">
        <v>0.63880787037037035</v>
      </c>
      <c r="J149" s="56" t="s">
        <v>105</v>
      </c>
      <c r="K149" s="56" t="s">
        <v>154</v>
      </c>
      <c r="L149" s="68">
        <v>1</v>
      </c>
      <c r="M149" s="68">
        <v>71096</v>
      </c>
      <c r="N149" s="56" t="s">
        <v>53</v>
      </c>
      <c r="O149" s="68" t="s">
        <v>161</v>
      </c>
      <c r="P149" s="70">
        <v>15</v>
      </c>
      <c r="Q149" s="68"/>
      <c r="R149" s="70">
        <v>15</v>
      </c>
      <c r="S149" s="73">
        <v>46054</v>
      </c>
      <c r="T149" s="70">
        <v>2.25</v>
      </c>
      <c r="U149" s="74">
        <v>4</v>
      </c>
      <c r="V149" s="70">
        <v>12.75</v>
      </c>
      <c r="W149" s="56" t="s">
        <v>47</v>
      </c>
      <c r="X149" s="56" t="s">
        <v>48</v>
      </c>
      <c r="Y149" s="56" t="s">
        <v>36</v>
      </c>
      <c r="Z149" s="56" t="s">
        <v>9</v>
      </c>
      <c r="AA149" s="56" t="s">
        <v>49</v>
      </c>
      <c r="AB149" s="56" t="s">
        <v>162</v>
      </c>
      <c r="AC149" s="56" t="s">
        <v>38</v>
      </c>
      <c r="AD149" s="75" t="s">
        <v>267</v>
      </c>
      <c r="AE149" s="76"/>
      <c r="AF149" s="76"/>
      <c r="AG149" s="76"/>
      <c r="AH149" s="76"/>
      <c r="AI149" s="76"/>
      <c r="AJ149" s="76"/>
      <c r="AK149" s="76"/>
      <c r="AL149" s="76"/>
      <c r="AM149" s="76"/>
      <c r="AN149" s="76"/>
      <c r="AO149" s="76"/>
      <c r="AP149" s="76"/>
      <c r="AQ149" s="76"/>
      <c r="AR149" s="76"/>
      <c r="AS149" s="76"/>
      <c r="AT149" s="76"/>
      <c r="AU149" s="76"/>
      <c r="AV149" s="76"/>
      <c r="AW149" s="76"/>
    </row>
    <row r="150" spans="1:49" ht="31.5" x14ac:dyDescent="0.25">
      <c r="A150" s="56" t="s">
        <v>159</v>
      </c>
      <c r="B150" s="59">
        <v>46049</v>
      </c>
      <c r="C150" s="59">
        <v>46049</v>
      </c>
      <c r="D150" s="56" t="s">
        <v>166</v>
      </c>
      <c r="E150" s="62">
        <v>0.66666666666666663</v>
      </c>
      <c r="F150" s="62">
        <v>0.79166666666666663</v>
      </c>
      <c r="G150" s="64">
        <v>1.7361111111111109E-4</v>
      </c>
      <c r="H150" s="65" t="s">
        <v>160</v>
      </c>
      <c r="I150" s="66">
        <v>0.6736575231481482</v>
      </c>
      <c r="J150" s="56" t="s">
        <v>120</v>
      </c>
      <c r="K150" s="56" t="s">
        <v>119</v>
      </c>
      <c r="L150" s="68">
        <v>1</v>
      </c>
      <c r="M150" s="68">
        <v>71003</v>
      </c>
      <c r="N150" s="56" t="s">
        <v>53</v>
      </c>
      <c r="O150" s="68" t="s">
        <v>161</v>
      </c>
      <c r="P150" s="70">
        <v>15</v>
      </c>
      <c r="Q150" s="68"/>
      <c r="R150" s="70">
        <v>15</v>
      </c>
      <c r="S150" s="73">
        <v>46054</v>
      </c>
      <c r="T150" s="70">
        <v>2.25</v>
      </c>
      <c r="U150" s="74">
        <v>4</v>
      </c>
      <c r="V150" s="70">
        <v>12.75</v>
      </c>
      <c r="W150" s="56" t="s">
        <v>47</v>
      </c>
      <c r="X150" s="56" t="s">
        <v>48</v>
      </c>
      <c r="Y150" s="56" t="s">
        <v>36</v>
      </c>
      <c r="Z150" s="56" t="s">
        <v>9</v>
      </c>
      <c r="AA150" s="56" t="s">
        <v>49</v>
      </c>
      <c r="AB150" s="56" t="s">
        <v>162</v>
      </c>
      <c r="AC150" s="56" t="s">
        <v>38</v>
      </c>
      <c r="AD150" s="75" t="s">
        <v>267</v>
      </c>
      <c r="AE150" s="80"/>
      <c r="AF150" s="80"/>
      <c r="AG150" s="80"/>
      <c r="AH150" s="80"/>
      <c r="AI150" s="86"/>
      <c r="AJ150" s="86"/>
      <c r="AK150" s="86"/>
      <c r="AL150" s="86"/>
      <c r="AM150" s="86"/>
      <c r="AN150" s="86"/>
      <c r="AO150" s="86"/>
      <c r="AP150" s="86"/>
      <c r="AQ150" s="86"/>
      <c r="AR150" s="86"/>
      <c r="AS150" s="86"/>
      <c r="AT150" s="86"/>
      <c r="AU150" s="86"/>
      <c r="AV150" s="86"/>
      <c r="AW150" s="86"/>
    </row>
    <row r="151" spans="1:49" ht="31.5" x14ac:dyDescent="0.25">
      <c r="A151" s="56" t="s">
        <v>159</v>
      </c>
      <c r="B151" s="59">
        <v>46049</v>
      </c>
      <c r="C151" s="59">
        <v>46049</v>
      </c>
      <c r="D151" s="56" t="s">
        <v>166</v>
      </c>
      <c r="E151" s="62">
        <v>0.66666666666666663</v>
      </c>
      <c r="F151" s="62">
        <v>0.79166666666666663</v>
      </c>
      <c r="G151" s="64">
        <v>1.7361111111111109E-4</v>
      </c>
      <c r="H151" s="65" t="s">
        <v>163</v>
      </c>
      <c r="I151" s="66">
        <v>0.6745258101851852</v>
      </c>
      <c r="J151" s="56" t="s">
        <v>120</v>
      </c>
      <c r="K151" s="56" t="s">
        <v>119</v>
      </c>
      <c r="L151" s="68">
        <v>1</v>
      </c>
      <c r="M151" s="68">
        <v>71003</v>
      </c>
      <c r="N151" s="56" t="s">
        <v>53</v>
      </c>
      <c r="O151" s="68" t="s">
        <v>161</v>
      </c>
      <c r="P151" s="70">
        <v>15</v>
      </c>
      <c r="Q151" s="68"/>
      <c r="R151" s="70">
        <v>15</v>
      </c>
      <c r="S151" s="73">
        <v>46054</v>
      </c>
      <c r="T151" s="70">
        <v>2.25</v>
      </c>
      <c r="U151" s="74">
        <v>4</v>
      </c>
      <c r="V151" s="70">
        <v>12.75</v>
      </c>
      <c r="W151" s="56" t="s">
        <v>47</v>
      </c>
      <c r="X151" s="56" t="s">
        <v>48</v>
      </c>
      <c r="Y151" s="56" t="s">
        <v>36</v>
      </c>
      <c r="Z151" s="56" t="s">
        <v>9</v>
      </c>
      <c r="AA151" s="56" t="s">
        <v>49</v>
      </c>
      <c r="AB151" s="56" t="s">
        <v>162</v>
      </c>
      <c r="AC151" s="56" t="s">
        <v>38</v>
      </c>
      <c r="AD151" s="75" t="s">
        <v>267</v>
      </c>
      <c r="AE151" s="76"/>
      <c r="AF151" s="76"/>
      <c r="AG151" s="76"/>
      <c r="AH151" s="76"/>
      <c r="AI151" s="85"/>
      <c r="AJ151" s="85"/>
      <c r="AK151" s="85"/>
      <c r="AL151" s="85"/>
      <c r="AM151" s="85"/>
      <c r="AN151" s="85"/>
      <c r="AO151" s="85"/>
      <c r="AP151" s="85"/>
      <c r="AQ151" s="85"/>
      <c r="AR151" s="85"/>
      <c r="AS151" s="85"/>
      <c r="AT151" s="85"/>
      <c r="AU151" s="85"/>
      <c r="AV151" s="85"/>
      <c r="AW151" s="85"/>
    </row>
    <row r="152" spans="1:49" ht="31.5" x14ac:dyDescent="0.2">
      <c r="A152" s="56" t="s">
        <v>159</v>
      </c>
      <c r="B152" s="59">
        <v>46049</v>
      </c>
      <c r="C152" s="59">
        <v>46049</v>
      </c>
      <c r="D152" s="56" t="s">
        <v>166</v>
      </c>
      <c r="E152" s="62">
        <v>0.66666666666666663</v>
      </c>
      <c r="F152" s="62">
        <v>0.79166666666666663</v>
      </c>
      <c r="G152" s="64">
        <v>1.7361111111111109E-4</v>
      </c>
      <c r="H152" s="65" t="s">
        <v>160</v>
      </c>
      <c r="I152" s="66">
        <v>0.76435185185185184</v>
      </c>
      <c r="J152" s="56" t="s">
        <v>120</v>
      </c>
      <c r="K152" s="56" t="s">
        <v>194</v>
      </c>
      <c r="L152" s="68">
        <v>1</v>
      </c>
      <c r="M152" s="68">
        <v>71004</v>
      </c>
      <c r="N152" s="56" t="s">
        <v>46</v>
      </c>
      <c r="O152" s="68" t="s">
        <v>161</v>
      </c>
      <c r="P152" s="70">
        <v>0</v>
      </c>
      <c r="Q152" s="68"/>
      <c r="R152" s="70">
        <v>0</v>
      </c>
      <c r="S152" s="73">
        <v>46054</v>
      </c>
      <c r="T152" s="70">
        <v>0</v>
      </c>
      <c r="U152" s="74">
        <v>4</v>
      </c>
      <c r="V152" s="70">
        <v>0</v>
      </c>
      <c r="W152" s="56" t="s">
        <v>47</v>
      </c>
      <c r="X152" s="56" t="s">
        <v>48</v>
      </c>
      <c r="Y152" s="56" t="s">
        <v>36</v>
      </c>
      <c r="Z152" s="56" t="s">
        <v>9</v>
      </c>
      <c r="AA152" s="56" t="s">
        <v>49</v>
      </c>
      <c r="AB152" s="56" t="s">
        <v>162</v>
      </c>
      <c r="AC152" s="56" t="s">
        <v>38</v>
      </c>
      <c r="AD152" s="75" t="s">
        <v>267</v>
      </c>
      <c r="AE152" s="57"/>
      <c r="AF152" s="57"/>
      <c r="AG152" s="57"/>
      <c r="AH152" s="57"/>
      <c r="AI152" s="57"/>
      <c r="AJ152" s="57"/>
      <c r="AK152" s="57"/>
      <c r="AL152" s="57"/>
      <c r="AM152" s="57"/>
      <c r="AN152" s="57"/>
      <c r="AO152" s="57"/>
      <c r="AP152" s="57"/>
      <c r="AQ152" s="57"/>
      <c r="AR152" s="57"/>
      <c r="AS152" s="57"/>
      <c r="AT152" s="57"/>
      <c r="AU152" s="57"/>
      <c r="AV152" s="57"/>
      <c r="AW152" s="57"/>
    </row>
    <row r="153" spans="1:49" ht="31.5" x14ac:dyDescent="0.25">
      <c r="A153" s="56" t="s">
        <v>159</v>
      </c>
      <c r="B153" s="59">
        <v>46049</v>
      </c>
      <c r="C153" s="59">
        <v>46049</v>
      </c>
      <c r="D153" s="56" t="s">
        <v>166</v>
      </c>
      <c r="E153" s="62">
        <v>0.66666666666666663</v>
      </c>
      <c r="F153" s="62">
        <v>0.79166666666666663</v>
      </c>
      <c r="G153" s="64">
        <v>1.7361111111111109E-4</v>
      </c>
      <c r="H153" s="65" t="s">
        <v>163</v>
      </c>
      <c r="I153" s="66">
        <v>0.76591435185185186</v>
      </c>
      <c r="J153" s="56" t="s">
        <v>120</v>
      </c>
      <c r="K153" s="56" t="s">
        <v>194</v>
      </c>
      <c r="L153" s="68">
        <v>1</v>
      </c>
      <c r="M153" s="68">
        <v>71004</v>
      </c>
      <c r="N153" s="56" t="s">
        <v>46</v>
      </c>
      <c r="O153" s="68" t="s">
        <v>161</v>
      </c>
      <c r="P153" s="70">
        <v>0</v>
      </c>
      <c r="Q153" s="68"/>
      <c r="R153" s="70">
        <v>0</v>
      </c>
      <c r="S153" s="73">
        <v>46054</v>
      </c>
      <c r="T153" s="70">
        <v>0</v>
      </c>
      <c r="U153" s="74">
        <v>4</v>
      </c>
      <c r="V153" s="70">
        <v>0</v>
      </c>
      <c r="W153" s="56" t="s">
        <v>47</v>
      </c>
      <c r="X153" s="56" t="s">
        <v>48</v>
      </c>
      <c r="Y153" s="56" t="s">
        <v>36</v>
      </c>
      <c r="Z153" s="56" t="s">
        <v>9</v>
      </c>
      <c r="AA153" s="56" t="s">
        <v>49</v>
      </c>
      <c r="AB153" s="56" t="s">
        <v>162</v>
      </c>
      <c r="AC153" s="56" t="s">
        <v>38</v>
      </c>
      <c r="AD153" s="75" t="s">
        <v>267</v>
      </c>
      <c r="AE153" s="83"/>
      <c r="AF153" s="83"/>
      <c r="AG153" s="83"/>
      <c r="AH153" s="83"/>
      <c r="AI153" s="86"/>
      <c r="AJ153" s="86"/>
      <c r="AK153" s="86"/>
      <c r="AL153" s="86"/>
      <c r="AM153" s="86"/>
      <c r="AN153" s="86"/>
      <c r="AO153" s="86"/>
      <c r="AP153" s="86"/>
      <c r="AQ153" s="86"/>
      <c r="AR153" s="86"/>
      <c r="AS153" s="86"/>
      <c r="AT153" s="86"/>
      <c r="AU153" s="86"/>
      <c r="AV153" s="86"/>
      <c r="AW153" s="86"/>
    </row>
    <row r="154" spans="1:49" ht="31.5" x14ac:dyDescent="0.2">
      <c r="A154" s="56" t="s">
        <v>159</v>
      </c>
      <c r="B154" s="59">
        <v>46050</v>
      </c>
      <c r="C154" s="59">
        <v>46050</v>
      </c>
      <c r="D154" s="56" t="s">
        <v>196</v>
      </c>
      <c r="E154" s="62">
        <v>0.25</v>
      </c>
      <c r="F154" s="62">
        <v>0.875</v>
      </c>
      <c r="G154" s="64">
        <v>1.7361111111111109E-4</v>
      </c>
      <c r="H154" s="65" t="s">
        <v>164</v>
      </c>
      <c r="I154" s="66">
        <v>0.26187523148148151</v>
      </c>
      <c r="J154" s="56" t="s">
        <v>41</v>
      </c>
      <c r="K154" s="56" t="s">
        <v>40</v>
      </c>
      <c r="L154" s="68">
        <v>1</v>
      </c>
      <c r="M154" s="68">
        <v>71013</v>
      </c>
      <c r="N154" s="56" t="s">
        <v>53</v>
      </c>
      <c r="O154" s="68" t="s">
        <v>161</v>
      </c>
      <c r="P154" s="70">
        <v>15</v>
      </c>
      <c r="Q154" s="68"/>
      <c r="R154" s="70">
        <v>15</v>
      </c>
      <c r="S154" s="73">
        <v>46054</v>
      </c>
      <c r="T154" s="70">
        <v>2.25</v>
      </c>
      <c r="U154" s="74">
        <v>4</v>
      </c>
      <c r="V154" s="70">
        <v>12.75</v>
      </c>
      <c r="W154" s="56" t="s">
        <v>47</v>
      </c>
      <c r="X154" s="56" t="s">
        <v>48</v>
      </c>
      <c r="Y154" s="56" t="s">
        <v>36</v>
      </c>
      <c r="Z154" s="56" t="s">
        <v>9</v>
      </c>
      <c r="AA154" s="56" t="s">
        <v>49</v>
      </c>
      <c r="AB154" s="56" t="s">
        <v>162</v>
      </c>
      <c r="AC154" s="56" t="s">
        <v>38</v>
      </c>
      <c r="AD154" s="75" t="s">
        <v>267</v>
      </c>
      <c r="AE154" s="57"/>
      <c r="AF154" s="57"/>
      <c r="AG154" s="57"/>
      <c r="AH154" s="57"/>
      <c r="AI154" s="57"/>
      <c r="AJ154" s="57"/>
      <c r="AK154" s="57"/>
      <c r="AL154" s="57"/>
      <c r="AM154" s="57"/>
      <c r="AN154" s="57"/>
      <c r="AO154" s="57"/>
      <c r="AP154" s="57"/>
      <c r="AQ154" s="57"/>
      <c r="AR154" s="57"/>
      <c r="AS154" s="57"/>
      <c r="AT154" s="57"/>
      <c r="AU154" s="57"/>
      <c r="AV154" s="57"/>
      <c r="AW154" s="57"/>
    </row>
    <row r="155" spans="1:49" ht="31.5" x14ac:dyDescent="0.25">
      <c r="A155" s="56" t="s">
        <v>159</v>
      </c>
      <c r="B155" s="59">
        <v>46050</v>
      </c>
      <c r="C155" s="59">
        <v>46050</v>
      </c>
      <c r="D155" s="56" t="s">
        <v>196</v>
      </c>
      <c r="E155" s="62">
        <v>0.25</v>
      </c>
      <c r="F155" s="62">
        <v>0.875</v>
      </c>
      <c r="G155" s="64">
        <v>1.7361111111111109E-4</v>
      </c>
      <c r="H155" s="65" t="s">
        <v>165</v>
      </c>
      <c r="I155" s="66">
        <v>0.26447916666666665</v>
      </c>
      <c r="J155" s="56" t="s">
        <v>41</v>
      </c>
      <c r="K155" s="56" t="s">
        <v>40</v>
      </c>
      <c r="L155" s="68">
        <v>1</v>
      </c>
      <c r="M155" s="68">
        <v>71013</v>
      </c>
      <c r="N155" s="56" t="s">
        <v>53</v>
      </c>
      <c r="O155" s="68" t="s">
        <v>161</v>
      </c>
      <c r="P155" s="70">
        <v>15</v>
      </c>
      <c r="Q155" s="68"/>
      <c r="R155" s="70">
        <v>15</v>
      </c>
      <c r="S155" s="73">
        <v>46054</v>
      </c>
      <c r="T155" s="70">
        <v>2.25</v>
      </c>
      <c r="U155" s="74">
        <v>4</v>
      </c>
      <c r="V155" s="70">
        <v>12.75</v>
      </c>
      <c r="W155" s="56" t="s">
        <v>47</v>
      </c>
      <c r="X155" s="56" t="s">
        <v>48</v>
      </c>
      <c r="Y155" s="56" t="s">
        <v>36</v>
      </c>
      <c r="Z155" s="56" t="s">
        <v>9</v>
      </c>
      <c r="AA155" s="56" t="s">
        <v>49</v>
      </c>
      <c r="AB155" s="56" t="s">
        <v>162</v>
      </c>
      <c r="AC155" s="56" t="s">
        <v>38</v>
      </c>
      <c r="AD155" s="75" t="s">
        <v>267</v>
      </c>
      <c r="AE155" s="76"/>
      <c r="AF155" s="76"/>
      <c r="AG155" s="76"/>
      <c r="AH155" s="76"/>
      <c r="AI155" s="76"/>
      <c r="AJ155" s="76"/>
      <c r="AK155" s="76"/>
      <c r="AL155" s="76"/>
      <c r="AM155" s="76"/>
      <c r="AN155" s="76"/>
      <c r="AO155" s="76"/>
      <c r="AP155" s="76"/>
      <c r="AQ155" s="76"/>
      <c r="AR155" s="76"/>
      <c r="AS155" s="76"/>
      <c r="AT155" s="76"/>
      <c r="AU155" s="76"/>
      <c r="AV155" s="76"/>
      <c r="AW155" s="76"/>
    </row>
    <row r="156" spans="1:49" ht="31.5" x14ac:dyDescent="0.25">
      <c r="A156" s="56" t="s">
        <v>159</v>
      </c>
      <c r="B156" s="59">
        <v>46050</v>
      </c>
      <c r="C156" s="59">
        <v>46050</v>
      </c>
      <c r="D156" s="56" t="s">
        <v>196</v>
      </c>
      <c r="E156" s="62">
        <v>0.25</v>
      </c>
      <c r="F156" s="62">
        <v>0.99930555555555556</v>
      </c>
      <c r="G156" s="64">
        <v>1.7361111111111109E-4</v>
      </c>
      <c r="H156" s="65" t="s">
        <v>160</v>
      </c>
      <c r="I156" s="66">
        <v>0.28407604166666667</v>
      </c>
      <c r="J156" s="56" t="s">
        <v>41</v>
      </c>
      <c r="K156" s="56" t="s">
        <v>40</v>
      </c>
      <c r="L156" s="68">
        <v>1</v>
      </c>
      <c r="M156" s="68">
        <v>71016</v>
      </c>
      <c r="N156" s="56" t="s">
        <v>46</v>
      </c>
      <c r="O156" s="68" t="s">
        <v>161</v>
      </c>
      <c r="P156" s="70">
        <v>0</v>
      </c>
      <c r="Q156" s="68"/>
      <c r="R156" s="70">
        <v>0</v>
      </c>
      <c r="S156" s="73">
        <v>46054</v>
      </c>
      <c r="T156" s="70">
        <v>0</v>
      </c>
      <c r="U156" s="74">
        <v>4</v>
      </c>
      <c r="V156" s="70">
        <v>0</v>
      </c>
      <c r="W156" s="56" t="s">
        <v>47</v>
      </c>
      <c r="X156" s="56" t="s">
        <v>48</v>
      </c>
      <c r="Y156" s="56" t="s">
        <v>36</v>
      </c>
      <c r="Z156" s="56" t="s">
        <v>9</v>
      </c>
      <c r="AA156" s="56" t="s">
        <v>49</v>
      </c>
      <c r="AB156" s="56" t="s">
        <v>162</v>
      </c>
      <c r="AC156" s="56" t="s">
        <v>38</v>
      </c>
      <c r="AD156" s="75" t="s">
        <v>267</v>
      </c>
      <c r="AE156" s="76"/>
      <c r="AF156" s="76"/>
      <c r="AG156" s="76"/>
      <c r="AH156" s="76"/>
      <c r="AI156" s="76"/>
      <c r="AJ156" s="76"/>
      <c r="AK156" s="76"/>
      <c r="AL156" s="76"/>
      <c r="AM156" s="76"/>
      <c r="AN156" s="76"/>
      <c r="AO156" s="76"/>
      <c r="AP156" s="76"/>
      <c r="AQ156" s="76"/>
      <c r="AR156" s="76"/>
      <c r="AS156" s="76"/>
      <c r="AT156" s="76"/>
      <c r="AU156" s="76"/>
      <c r="AV156" s="76"/>
      <c r="AW156" s="76"/>
    </row>
    <row r="157" spans="1:49" ht="31.5" x14ac:dyDescent="0.25">
      <c r="A157" s="56" t="s">
        <v>159</v>
      </c>
      <c r="B157" s="59">
        <v>46050</v>
      </c>
      <c r="C157" s="59">
        <v>46050</v>
      </c>
      <c r="D157" s="56" t="s">
        <v>196</v>
      </c>
      <c r="E157" s="62">
        <v>0.25</v>
      </c>
      <c r="F157" s="62">
        <v>0.99930555555555556</v>
      </c>
      <c r="G157" s="64">
        <v>1.7361111111111109E-4</v>
      </c>
      <c r="H157" s="65" t="s">
        <v>163</v>
      </c>
      <c r="I157" s="66">
        <v>0.28598553240740743</v>
      </c>
      <c r="J157" s="56" t="s">
        <v>41</v>
      </c>
      <c r="K157" s="56" t="s">
        <v>40</v>
      </c>
      <c r="L157" s="68">
        <v>1</v>
      </c>
      <c r="M157" s="68">
        <v>71016</v>
      </c>
      <c r="N157" s="56" t="s">
        <v>46</v>
      </c>
      <c r="O157" s="68" t="s">
        <v>161</v>
      </c>
      <c r="P157" s="70">
        <v>0</v>
      </c>
      <c r="Q157" s="68"/>
      <c r="R157" s="70">
        <v>0</v>
      </c>
      <c r="S157" s="73">
        <v>46054</v>
      </c>
      <c r="T157" s="70">
        <v>0</v>
      </c>
      <c r="U157" s="74">
        <v>4</v>
      </c>
      <c r="V157" s="70">
        <v>0</v>
      </c>
      <c r="W157" s="56" t="s">
        <v>47</v>
      </c>
      <c r="X157" s="56" t="s">
        <v>48</v>
      </c>
      <c r="Y157" s="56" t="s">
        <v>36</v>
      </c>
      <c r="Z157" s="56" t="s">
        <v>9</v>
      </c>
      <c r="AA157" s="56" t="s">
        <v>49</v>
      </c>
      <c r="AB157" s="56" t="s">
        <v>162</v>
      </c>
      <c r="AC157" s="56" t="s">
        <v>38</v>
      </c>
      <c r="AD157" s="75" t="s">
        <v>267</v>
      </c>
      <c r="AE157" s="76"/>
      <c r="AF157" s="76"/>
      <c r="AG157" s="76"/>
      <c r="AH157" s="76"/>
      <c r="AI157" s="76"/>
      <c r="AJ157" s="76"/>
      <c r="AK157" s="76"/>
      <c r="AL157" s="76"/>
      <c r="AM157" s="76"/>
      <c r="AN157" s="76"/>
      <c r="AO157" s="76"/>
      <c r="AP157" s="76"/>
      <c r="AQ157" s="76"/>
      <c r="AR157" s="76"/>
      <c r="AS157" s="76"/>
      <c r="AT157" s="76"/>
      <c r="AU157" s="76"/>
      <c r="AV157" s="76"/>
      <c r="AW157" s="76"/>
    </row>
    <row r="158" spans="1:49" ht="31.5" x14ac:dyDescent="0.2">
      <c r="A158" s="56" t="s">
        <v>159</v>
      </c>
      <c r="B158" s="59">
        <v>46050</v>
      </c>
      <c r="C158" s="59">
        <v>46050</v>
      </c>
      <c r="D158" s="56" t="s">
        <v>196</v>
      </c>
      <c r="E158" s="62">
        <v>0.25</v>
      </c>
      <c r="F158" s="62">
        <v>0.99930555555555556</v>
      </c>
      <c r="G158" s="64">
        <v>1.7361111111111109E-4</v>
      </c>
      <c r="H158" s="65" t="s">
        <v>160</v>
      </c>
      <c r="I158" s="66">
        <v>0.89078900462962962</v>
      </c>
      <c r="J158" s="56" t="s">
        <v>41</v>
      </c>
      <c r="K158" s="56" t="s">
        <v>147</v>
      </c>
      <c r="L158" s="68">
        <v>1</v>
      </c>
      <c r="M158" s="68">
        <v>71099</v>
      </c>
      <c r="N158" s="56" t="s">
        <v>46</v>
      </c>
      <c r="O158" s="68" t="s">
        <v>161</v>
      </c>
      <c r="P158" s="70">
        <v>0</v>
      </c>
      <c r="Q158" s="68"/>
      <c r="R158" s="70">
        <v>0</v>
      </c>
      <c r="S158" s="73">
        <v>46054</v>
      </c>
      <c r="T158" s="70">
        <v>0</v>
      </c>
      <c r="U158" s="74">
        <v>4</v>
      </c>
      <c r="V158" s="70">
        <v>0</v>
      </c>
      <c r="W158" s="56" t="s">
        <v>47</v>
      </c>
      <c r="X158" s="56" t="s">
        <v>48</v>
      </c>
      <c r="Y158" s="56" t="s">
        <v>36</v>
      </c>
      <c r="Z158" s="56" t="s">
        <v>9</v>
      </c>
      <c r="AA158" s="56" t="s">
        <v>49</v>
      </c>
      <c r="AB158" s="56" t="s">
        <v>162</v>
      </c>
      <c r="AC158" s="56" t="s">
        <v>38</v>
      </c>
      <c r="AD158" s="75" t="s">
        <v>267</v>
      </c>
      <c r="AE158" s="57"/>
      <c r="AF158" s="57"/>
      <c r="AG158" s="57"/>
      <c r="AH158" s="57"/>
      <c r="AI158" s="57"/>
      <c r="AJ158" s="57"/>
      <c r="AK158" s="57"/>
      <c r="AL158" s="57"/>
      <c r="AM158" s="57"/>
      <c r="AN158" s="57"/>
      <c r="AO158" s="57"/>
      <c r="AP158" s="57"/>
      <c r="AQ158" s="57"/>
      <c r="AR158" s="57"/>
      <c r="AS158" s="57"/>
      <c r="AT158" s="57"/>
      <c r="AU158" s="57"/>
      <c r="AV158" s="57"/>
      <c r="AW158" s="57"/>
    </row>
    <row r="159" spans="1:49" ht="31.5" x14ac:dyDescent="0.25">
      <c r="A159" s="56" t="s">
        <v>159</v>
      </c>
      <c r="B159" s="59">
        <v>46050</v>
      </c>
      <c r="C159" s="59">
        <v>46050</v>
      </c>
      <c r="D159" s="56" t="s">
        <v>196</v>
      </c>
      <c r="E159" s="62">
        <v>0.25</v>
      </c>
      <c r="F159" s="62">
        <v>0.99930555555555556</v>
      </c>
      <c r="G159" s="64">
        <v>1.7361111111111109E-4</v>
      </c>
      <c r="H159" s="65" t="s">
        <v>163</v>
      </c>
      <c r="I159" s="66">
        <v>0.89165729166666674</v>
      </c>
      <c r="J159" s="56" t="s">
        <v>41</v>
      </c>
      <c r="K159" s="56" t="s">
        <v>147</v>
      </c>
      <c r="L159" s="68">
        <v>1</v>
      </c>
      <c r="M159" s="68">
        <v>71099</v>
      </c>
      <c r="N159" s="56" t="s">
        <v>46</v>
      </c>
      <c r="O159" s="68" t="s">
        <v>161</v>
      </c>
      <c r="P159" s="70">
        <v>0</v>
      </c>
      <c r="Q159" s="68"/>
      <c r="R159" s="70">
        <v>0</v>
      </c>
      <c r="S159" s="73">
        <v>46054</v>
      </c>
      <c r="T159" s="70">
        <v>0</v>
      </c>
      <c r="U159" s="74">
        <v>4</v>
      </c>
      <c r="V159" s="70">
        <v>0</v>
      </c>
      <c r="W159" s="56" t="s">
        <v>47</v>
      </c>
      <c r="X159" s="56" t="s">
        <v>48</v>
      </c>
      <c r="Y159" s="56" t="s">
        <v>36</v>
      </c>
      <c r="Z159" s="56" t="s">
        <v>9</v>
      </c>
      <c r="AA159" s="56" t="s">
        <v>49</v>
      </c>
      <c r="AB159" s="56" t="s">
        <v>162</v>
      </c>
      <c r="AC159" s="56" t="s">
        <v>38</v>
      </c>
      <c r="AD159" s="75" t="s">
        <v>267</v>
      </c>
      <c r="AE159" s="76"/>
      <c r="AF159" s="76"/>
      <c r="AG159" s="76"/>
      <c r="AH159" s="76"/>
      <c r="AI159" s="76"/>
      <c r="AJ159" s="76"/>
      <c r="AK159" s="76"/>
      <c r="AL159" s="76"/>
      <c r="AM159" s="76"/>
      <c r="AN159" s="76"/>
      <c r="AO159" s="76"/>
      <c r="AP159" s="76"/>
      <c r="AQ159" s="76"/>
      <c r="AR159" s="76"/>
      <c r="AS159" s="76"/>
      <c r="AT159" s="76"/>
      <c r="AU159" s="76"/>
      <c r="AV159" s="76"/>
      <c r="AW159" s="76"/>
    </row>
    <row r="160" spans="1:49" ht="31.5" x14ac:dyDescent="0.25">
      <c r="A160" s="56" t="s">
        <v>159</v>
      </c>
      <c r="B160" s="59">
        <v>46050</v>
      </c>
      <c r="C160" s="59">
        <v>46050</v>
      </c>
      <c r="D160" s="56" t="s">
        <v>196</v>
      </c>
      <c r="E160" s="62">
        <v>0.25</v>
      </c>
      <c r="F160" s="62">
        <v>0.99930555555555556</v>
      </c>
      <c r="G160" s="64">
        <v>1.7361111111111109E-4</v>
      </c>
      <c r="H160" s="65" t="s">
        <v>160</v>
      </c>
      <c r="I160" s="66">
        <v>0.98807870370370365</v>
      </c>
      <c r="J160" s="56" t="s">
        <v>41</v>
      </c>
      <c r="K160" s="56" t="s">
        <v>149</v>
      </c>
      <c r="L160" s="68">
        <v>1</v>
      </c>
      <c r="M160" s="68">
        <v>71099</v>
      </c>
      <c r="N160" s="56" t="s">
        <v>46</v>
      </c>
      <c r="O160" s="68" t="s">
        <v>161</v>
      </c>
      <c r="P160" s="70">
        <v>0</v>
      </c>
      <c r="Q160" s="68"/>
      <c r="R160" s="70">
        <v>0</v>
      </c>
      <c r="S160" s="73">
        <v>46054</v>
      </c>
      <c r="T160" s="70">
        <v>0</v>
      </c>
      <c r="U160" s="74">
        <v>4</v>
      </c>
      <c r="V160" s="70">
        <v>0</v>
      </c>
      <c r="W160" s="56" t="s">
        <v>47</v>
      </c>
      <c r="X160" s="56" t="s">
        <v>48</v>
      </c>
      <c r="Y160" s="56" t="s">
        <v>36</v>
      </c>
      <c r="Z160" s="56" t="s">
        <v>9</v>
      </c>
      <c r="AA160" s="56" t="s">
        <v>49</v>
      </c>
      <c r="AB160" s="56" t="s">
        <v>162</v>
      </c>
      <c r="AC160" s="56" t="s">
        <v>38</v>
      </c>
      <c r="AD160" s="75" t="s">
        <v>267</v>
      </c>
      <c r="AE160" s="76"/>
      <c r="AF160" s="76"/>
      <c r="AG160" s="76"/>
      <c r="AH160" s="76"/>
      <c r="AI160" s="76"/>
      <c r="AJ160" s="76"/>
      <c r="AK160" s="76"/>
      <c r="AL160" s="76"/>
      <c r="AM160" s="76"/>
      <c r="AN160" s="76"/>
      <c r="AO160" s="76"/>
      <c r="AP160" s="76"/>
      <c r="AQ160" s="76"/>
      <c r="AR160" s="76"/>
      <c r="AS160" s="76"/>
      <c r="AT160" s="76"/>
      <c r="AU160" s="76"/>
      <c r="AV160" s="76"/>
      <c r="AW160" s="76"/>
    </row>
    <row r="161" spans="1:49" ht="31.5" x14ac:dyDescent="0.25">
      <c r="A161" s="56" t="s">
        <v>159</v>
      </c>
      <c r="B161" s="59">
        <v>46050</v>
      </c>
      <c r="C161" s="59">
        <v>46050</v>
      </c>
      <c r="D161" s="56" t="s">
        <v>196</v>
      </c>
      <c r="E161" s="62">
        <v>0.25</v>
      </c>
      <c r="F161" s="62">
        <v>0.99930555555555556</v>
      </c>
      <c r="G161" s="64">
        <v>1.7361111111111109E-4</v>
      </c>
      <c r="H161" s="65" t="s">
        <v>163</v>
      </c>
      <c r="I161" s="66">
        <v>0.99016226851851852</v>
      </c>
      <c r="J161" s="56" t="s">
        <v>41</v>
      </c>
      <c r="K161" s="56" t="s">
        <v>149</v>
      </c>
      <c r="L161" s="68">
        <v>1</v>
      </c>
      <c r="M161" s="68">
        <v>71099</v>
      </c>
      <c r="N161" s="56" t="s">
        <v>46</v>
      </c>
      <c r="O161" s="68" t="s">
        <v>161</v>
      </c>
      <c r="P161" s="70">
        <v>0</v>
      </c>
      <c r="Q161" s="68"/>
      <c r="R161" s="70">
        <v>0</v>
      </c>
      <c r="S161" s="73">
        <v>46054</v>
      </c>
      <c r="T161" s="70">
        <v>0</v>
      </c>
      <c r="U161" s="74">
        <v>4</v>
      </c>
      <c r="V161" s="70">
        <v>0</v>
      </c>
      <c r="W161" s="56" t="s">
        <v>47</v>
      </c>
      <c r="X161" s="56" t="s">
        <v>48</v>
      </c>
      <c r="Y161" s="56" t="s">
        <v>36</v>
      </c>
      <c r="Z161" s="56" t="s">
        <v>9</v>
      </c>
      <c r="AA161" s="56" t="s">
        <v>49</v>
      </c>
      <c r="AB161" s="56" t="s">
        <v>162</v>
      </c>
      <c r="AC161" s="56" t="s">
        <v>38</v>
      </c>
      <c r="AD161" s="75" t="s">
        <v>267</v>
      </c>
      <c r="AE161" s="76"/>
      <c r="AF161" s="76"/>
      <c r="AG161" s="76"/>
      <c r="AH161" s="76"/>
      <c r="AI161" s="85"/>
      <c r="AJ161" s="85"/>
      <c r="AK161" s="85"/>
      <c r="AL161" s="85"/>
      <c r="AM161" s="85"/>
      <c r="AN161" s="85"/>
      <c r="AO161" s="85"/>
      <c r="AP161" s="85"/>
      <c r="AQ161" s="85"/>
      <c r="AR161" s="85"/>
      <c r="AS161" s="85"/>
      <c r="AT161" s="85"/>
      <c r="AU161" s="85"/>
      <c r="AV161" s="85"/>
      <c r="AW161" s="85"/>
    </row>
    <row r="162" spans="1:49" ht="31.5" x14ac:dyDescent="0.25">
      <c r="A162" s="56" t="s">
        <v>159</v>
      </c>
      <c r="B162" s="59">
        <v>46050</v>
      </c>
      <c r="C162" s="59">
        <v>46050</v>
      </c>
      <c r="D162" s="56" t="s">
        <v>196</v>
      </c>
      <c r="E162" s="62">
        <v>0.33333333333333331</v>
      </c>
      <c r="F162" s="62">
        <v>0.375</v>
      </c>
      <c r="G162" s="64">
        <v>1.7361111111111109E-4</v>
      </c>
      <c r="H162" s="65" t="s">
        <v>160</v>
      </c>
      <c r="I162" s="66">
        <v>0.33966435185185184</v>
      </c>
      <c r="J162" s="56" t="s">
        <v>70</v>
      </c>
      <c r="K162" s="56" t="s">
        <v>69</v>
      </c>
      <c r="L162" s="68">
        <v>1</v>
      </c>
      <c r="M162" s="68">
        <v>71100</v>
      </c>
      <c r="N162" s="56" t="s">
        <v>53</v>
      </c>
      <c r="O162" s="68" t="s">
        <v>161</v>
      </c>
      <c r="P162" s="70">
        <v>15</v>
      </c>
      <c r="Q162" s="68"/>
      <c r="R162" s="70">
        <v>15</v>
      </c>
      <c r="S162" s="73">
        <v>46054</v>
      </c>
      <c r="T162" s="70">
        <v>2.25</v>
      </c>
      <c r="U162" s="74">
        <v>4</v>
      </c>
      <c r="V162" s="70">
        <v>12.75</v>
      </c>
      <c r="W162" s="56" t="s">
        <v>47</v>
      </c>
      <c r="X162" s="56" t="s">
        <v>48</v>
      </c>
      <c r="Y162" s="56" t="s">
        <v>36</v>
      </c>
      <c r="Z162" s="56" t="s">
        <v>9</v>
      </c>
      <c r="AA162" s="56" t="s">
        <v>49</v>
      </c>
      <c r="AB162" s="56" t="s">
        <v>162</v>
      </c>
      <c r="AC162" s="56" t="s">
        <v>38</v>
      </c>
      <c r="AD162" s="75" t="s">
        <v>267</v>
      </c>
      <c r="AE162" s="76"/>
      <c r="AF162" s="76"/>
      <c r="AG162" s="76"/>
      <c r="AH162" s="76"/>
      <c r="AI162" s="76"/>
      <c r="AJ162" s="76"/>
      <c r="AK162" s="76"/>
      <c r="AL162" s="76"/>
      <c r="AM162" s="76"/>
      <c r="AN162" s="76"/>
      <c r="AO162" s="76"/>
      <c r="AP162" s="76"/>
      <c r="AQ162" s="76"/>
      <c r="AR162" s="76"/>
      <c r="AS162" s="76"/>
      <c r="AT162" s="76"/>
      <c r="AU162" s="76"/>
      <c r="AV162" s="76"/>
      <c r="AW162" s="76"/>
    </row>
    <row r="163" spans="1:49" ht="31.5" x14ac:dyDescent="0.25">
      <c r="A163" s="56" t="s">
        <v>159</v>
      </c>
      <c r="B163" s="59">
        <v>46050</v>
      </c>
      <c r="C163" s="59">
        <v>46050</v>
      </c>
      <c r="D163" s="56" t="s">
        <v>196</v>
      </c>
      <c r="E163" s="62">
        <v>0.33333333333333331</v>
      </c>
      <c r="F163" s="62">
        <v>0.375</v>
      </c>
      <c r="G163" s="64">
        <v>1.7361111111111109E-4</v>
      </c>
      <c r="H163" s="65" t="s">
        <v>163</v>
      </c>
      <c r="I163" s="66">
        <v>0.34087962962962964</v>
      </c>
      <c r="J163" s="56" t="s">
        <v>70</v>
      </c>
      <c r="K163" s="56" t="s">
        <v>69</v>
      </c>
      <c r="L163" s="68">
        <v>1</v>
      </c>
      <c r="M163" s="68">
        <v>71100</v>
      </c>
      <c r="N163" s="56" t="s">
        <v>53</v>
      </c>
      <c r="O163" s="68" t="s">
        <v>161</v>
      </c>
      <c r="P163" s="70">
        <v>15</v>
      </c>
      <c r="Q163" s="68"/>
      <c r="R163" s="70">
        <v>15</v>
      </c>
      <c r="S163" s="73">
        <v>46054</v>
      </c>
      <c r="T163" s="70">
        <v>2.25</v>
      </c>
      <c r="U163" s="74">
        <v>4</v>
      </c>
      <c r="V163" s="70">
        <v>12.75</v>
      </c>
      <c r="W163" s="56" t="s">
        <v>47</v>
      </c>
      <c r="X163" s="56" t="s">
        <v>48</v>
      </c>
      <c r="Y163" s="56" t="s">
        <v>36</v>
      </c>
      <c r="Z163" s="56" t="s">
        <v>9</v>
      </c>
      <c r="AA163" s="56" t="s">
        <v>49</v>
      </c>
      <c r="AB163" s="56" t="s">
        <v>162</v>
      </c>
      <c r="AC163" s="56" t="s">
        <v>38</v>
      </c>
      <c r="AD163" s="75" t="s">
        <v>267</v>
      </c>
      <c r="AE163" s="76"/>
      <c r="AF163" s="76"/>
      <c r="AG163" s="76"/>
      <c r="AH163" s="76"/>
      <c r="AI163" s="76"/>
      <c r="AJ163" s="76"/>
      <c r="AK163" s="76"/>
      <c r="AL163" s="76"/>
      <c r="AM163" s="76"/>
      <c r="AN163" s="76"/>
      <c r="AO163" s="76"/>
      <c r="AP163" s="76"/>
      <c r="AQ163" s="76"/>
      <c r="AR163" s="76"/>
      <c r="AS163" s="76"/>
      <c r="AT163" s="76"/>
      <c r="AU163" s="76"/>
      <c r="AV163" s="76"/>
      <c r="AW163" s="76"/>
    </row>
    <row r="164" spans="1:49" ht="31.5" x14ac:dyDescent="0.25">
      <c r="A164" s="56" t="s">
        <v>159</v>
      </c>
      <c r="B164" s="59">
        <v>46050</v>
      </c>
      <c r="C164" s="59">
        <v>46050</v>
      </c>
      <c r="D164" s="56" t="s">
        <v>196</v>
      </c>
      <c r="E164" s="62">
        <v>0.33333333333333331</v>
      </c>
      <c r="F164" s="62">
        <v>0.375</v>
      </c>
      <c r="G164" s="64">
        <v>1.7361111111111109E-4</v>
      </c>
      <c r="H164" s="65" t="s">
        <v>160</v>
      </c>
      <c r="I164" s="66">
        <v>0.36711805555555554</v>
      </c>
      <c r="J164" s="56" t="s">
        <v>70</v>
      </c>
      <c r="K164" s="56" t="s">
        <v>69</v>
      </c>
      <c r="L164" s="68">
        <v>1</v>
      </c>
      <c r="M164" s="68">
        <v>71018</v>
      </c>
      <c r="N164" s="56" t="s">
        <v>53</v>
      </c>
      <c r="O164" s="68" t="s">
        <v>161</v>
      </c>
      <c r="P164" s="70">
        <v>15</v>
      </c>
      <c r="Q164" s="68"/>
      <c r="R164" s="70">
        <v>15</v>
      </c>
      <c r="S164" s="73">
        <v>46054</v>
      </c>
      <c r="T164" s="70">
        <v>2.25</v>
      </c>
      <c r="U164" s="74">
        <v>4</v>
      </c>
      <c r="V164" s="70">
        <v>12.75</v>
      </c>
      <c r="W164" s="56" t="s">
        <v>47</v>
      </c>
      <c r="X164" s="56" t="s">
        <v>48</v>
      </c>
      <c r="Y164" s="56" t="s">
        <v>36</v>
      </c>
      <c r="Z164" s="56" t="s">
        <v>9</v>
      </c>
      <c r="AA164" s="56" t="s">
        <v>49</v>
      </c>
      <c r="AB164" s="56" t="s">
        <v>162</v>
      </c>
      <c r="AC164" s="56" t="s">
        <v>38</v>
      </c>
      <c r="AD164" s="75" t="s">
        <v>267</v>
      </c>
      <c r="AE164" s="76"/>
      <c r="AF164" s="76"/>
      <c r="AG164" s="76"/>
      <c r="AH164" s="76"/>
      <c r="AI164" s="76"/>
      <c r="AJ164" s="76"/>
      <c r="AK164" s="76"/>
      <c r="AL164" s="76"/>
      <c r="AM164" s="76"/>
      <c r="AN164" s="76"/>
      <c r="AO164" s="76"/>
      <c r="AP164" s="76"/>
      <c r="AQ164" s="76"/>
      <c r="AR164" s="76"/>
      <c r="AS164" s="76"/>
      <c r="AT164" s="76"/>
      <c r="AU164" s="76"/>
      <c r="AV164" s="76"/>
      <c r="AW164" s="76"/>
    </row>
    <row r="165" spans="1:49" ht="31.5" x14ac:dyDescent="0.25">
      <c r="A165" s="56" t="s">
        <v>159</v>
      </c>
      <c r="B165" s="59">
        <v>46050</v>
      </c>
      <c r="C165" s="59">
        <v>46050</v>
      </c>
      <c r="D165" s="56" t="s">
        <v>196</v>
      </c>
      <c r="E165" s="62">
        <v>0.33333333333333331</v>
      </c>
      <c r="F165" s="62">
        <v>0.375</v>
      </c>
      <c r="G165" s="64">
        <v>1.7361111111111109E-4</v>
      </c>
      <c r="H165" s="65" t="s">
        <v>163</v>
      </c>
      <c r="I165" s="66">
        <v>0.36868055555555551</v>
      </c>
      <c r="J165" s="56" t="s">
        <v>70</v>
      </c>
      <c r="K165" s="56" t="s">
        <v>69</v>
      </c>
      <c r="L165" s="68">
        <v>1</v>
      </c>
      <c r="M165" s="68">
        <v>71018</v>
      </c>
      <c r="N165" s="56" t="s">
        <v>53</v>
      </c>
      <c r="O165" s="68" t="s">
        <v>161</v>
      </c>
      <c r="P165" s="70">
        <v>15</v>
      </c>
      <c r="Q165" s="68"/>
      <c r="R165" s="70">
        <v>15</v>
      </c>
      <c r="S165" s="73">
        <v>46054</v>
      </c>
      <c r="T165" s="70">
        <v>2.25</v>
      </c>
      <c r="U165" s="74">
        <v>4</v>
      </c>
      <c r="V165" s="70">
        <v>12.75</v>
      </c>
      <c r="W165" s="56" t="s">
        <v>47</v>
      </c>
      <c r="X165" s="56" t="s">
        <v>48</v>
      </c>
      <c r="Y165" s="56" t="s">
        <v>36</v>
      </c>
      <c r="Z165" s="56" t="s">
        <v>9</v>
      </c>
      <c r="AA165" s="56" t="s">
        <v>49</v>
      </c>
      <c r="AB165" s="56" t="s">
        <v>162</v>
      </c>
      <c r="AC165" s="56" t="s">
        <v>38</v>
      </c>
      <c r="AD165" s="75" t="s">
        <v>267</v>
      </c>
      <c r="AE165" s="76"/>
      <c r="AF165" s="76"/>
      <c r="AG165" s="76"/>
      <c r="AH165" s="76"/>
      <c r="AI165" s="85"/>
      <c r="AJ165" s="85"/>
      <c r="AK165" s="85"/>
      <c r="AL165" s="85"/>
      <c r="AM165" s="85"/>
      <c r="AN165" s="85"/>
      <c r="AO165" s="85"/>
      <c r="AP165" s="85"/>
      <c r="AQ165" s="85"/>
      <c r="AR165" s="85"/>
      <c r="AS165" s="85"/>
      <c r="AT165" s="85"/>
      <c r="AU165" s="85"/>
      <c r="AV165" s="85"/>
      <c r="AW165" s="85"/>
    </row>
    <row r="166" spans="1:49" ht="31.5" x14ac:dyDescent="0.25">
      <c r="A166" s="56" t="s">
        <v>159</v>
      </c>
      <c r="B166" s="59">
        <v>46050</v>
      </c>
      <c r="C166" s="59">
        <v>46050</v>
      </c>
      <c r="D166" s="56" t="s">
        <v>196</v>
      </c>
      <c r="E166" s="62">
        <v>0.33333333333333331</v>
      </c>
      <c r="F166" s="62">
        <v>0.41666666666666669</v>
      </c>
      <c r="G166" s="64">
        <v>1.7361111111111109E-4</v>
      </c>
      <c r="H166" s="65" t="s">
        <v>164</v>
      </c>
      <c r="I166" s="66">
        <v>0.40687685185185191</v>
      </c>
      <c r="J166" s="56" t="s">
        <v>70</v>
      </c>
      <c r="K166" s="56" t="s">
        <v>71</v>
      </c>
      <c r="L166" s="68">
        <v>1</v>
      </c>
      <c r="M166" s="68">
        <v>71020</v>
      </c>
      <c r="N166" s="56" t="s">
        <v>46</v>
      </c>
      <c r="O166" s="68" t="s">
        <v>161</v>
      </c>
      <c r="P166" s="70">
        <v>0</v>
      </c>
      <c r="Q166" s="68"/>
      <c r="R166" s="70">
        <v>0</v>
      </c>
      <c r="S166" s="73">
        <v>46054</v>
      </c>
      <c r="T166" s="70">
        <v>0</v>
      </c>
      <c r="U166" s="74">
        <v>4</v>
      </c>
      <c r="V166" s="70">
        <v>0</v>
      </c>
      <c r="W166" s="56" t="s">
        <v>47</v>
      </c>
      <c r="X166" s="56" t="s">
        <v>48</v>
      </c>
      <c r="Y166" s="56" t="s">
        <v>36</v>
      </c>
      <c r="Z166" s="56" t="s">
        <v>9</v>
      </c>
      <c r="AA166" s="56" t="s">
        <v>49</v>
      </c>
      <c r="AB166" s="56" t="s">
        <v>162</v>
      </c>
      <c r="AC166" s="56" t="s">
        <v>38</v>
      </c>
      <c r="AD166" s="75" t="s">
        <v>267</v>
      </c>
      <c r="AE166" s="76"/>
      <c r="AF166" s="76"/>
      <c r="AG166" s="76"/>
      <c r="AH166" s="76"/>
      <c r="AI166" s="76"/>
      <c r="AJ166" s="76"/>
      <c r="AK166" s="76"/>
      <c r="AL166" s="76"/>
      <c r="AM166" s="76"/>
      <c r="AN166" s="76"/>
      <c r="AO166" s="76"/>
      <c r="AP166" s="76"/>
      <c r="AQ166" s="76"/>
      <c r="AR166" s="76"/>
      <c r="AS166" s="76"/>
      <c r="AT166" s="76"/>
      <c r="AU166" s="76"/>
      <c r="AV166" s="76"/>
      <c r="AW166" s="76"/>
    </row>
    <row r="167" spans="1:49" ht="31.5" x14ac:dyDescent="0.25">
      <c r="A167" s="56" t="s">
        <v>159</v>
      </c>
      <c r="B167" s="59">
        <v>46050</v>
      </c>
      <c r="C167" s="59">
        <v>46050</v>
      </c>
      <c r="D167" s="56" t="s">
        <v>196</v>
      </c>
      <c r="E167" s="62">
        <v>0.33333333333333331</v>
      </c>
      <c r="F167" s="62">
        <v>0.41666666666666669</v>
      </c>
      <c r="G167" s="64">
        <v>1.7361111111111109E-4</v>
      </c>
      <c r="H167" s="65" t="s">
        <v>165</v>
      </c>
      <c r="I167" s="66">
        <v>0.40739791666666669</v>
      </c>
      <c r="J167" s="56" t="s">
        <v>70</v>
      </c>
      <c r="K167" s="56" t="s">
        <v>71</v>
      </c>
      <c r="L167" s="68">
        <v>1</v>
      </c>
      <c r="M167" s="68">
        <v>71020</v>
      </c>
      <c r="N167" s="56" t="s">
        <v>46</v>
      </c>
      <c r="O167" s="68" t="s">
        <v>161</v>
      </c>
      <c r="P167" s="70">
        <v>0</v>
      </c>
      <c r="Q167" s="68"/>
      <c r="R167" s="70">
        <v>0</v>
      </c>
      <c r="S167" s="73">
        <v>46054</v>
      </c>
      <c r="T167" s="70">
        <v>0</v>
      </c>
      <c r="U167" s="74">
        <v>4</v>
      </c>
      <c r="V167" s="70">
        <v>0</v>
      </c>
      <c r="W167" s="56" t="s">
        <v>47</v>
      </c>
      <c r="X167" s="56" t="s">
        <v>48</v>
      </c>
      <c r="Y167" s="56" t="s">
        <v>36</v>
      </c>
      <c r="Z167" s="56" t="s">
        <v>9</v>
      </c>
      <c r="AA167" s="56" t="s">
        <v>49</v>
      </c>
      <c r="AB167" s="56" t="s">
        <v>162</v>
      </c>
      <c r="AC167" s="56" t="s">
        <v>38</v>
      </c>
      <c r="AD167" s="75" t="s">
        <v>267</v>
      </c>
      <c r="AE167" s="80"/>
      <c r="AF167" s="80"/>
      <c r="AG167" s="80"/>
      <c r="AH167" s="80"/>
      <c r="AI167" s="86"/>
      <c r="AJ167" s="86"/>
      <c r="AK167" s="86"/>
      <c r="AL167" s="86"/>
      <c r="AM167" s="86"/>
      <c r="AN167" s="86"/>
      <c r="AO167" s="86"/>
      <c r="AP167" s="86"/>
      <c r="AQ167" s="86"/>
      <c r="AR167" s="86"/>
      <c r="AS167" s="86"/>
      <c r="AT167" s="86"/>
      <c r="AU167" s="86"/>
      <c r="AV167" s="86"/>
      <c r="AW167" s="86"/>
    </row>
    <row r="168" spans="1:49" ht="31.5" x14ac:dyDescent="0.25">
      <c r="A168" s="56" t="s">
        <v>159</v>
      </c>
      <c r="B168" s="59">
        <v>46050</v>
      </c>
      <c r="C168" s="59">
        <v>46050</v>
      </c>
      <c r="D168" s="56" t="s">
        <v>196</v>
      </c>
      <c r="E168" s="62">
        <v>0.54166666666666663</v>
      </c>
      <c r="F168" s="62">
        <v>0.66666666666666663</v>
      </c>
      <c r="G168" s="64">
        <v>1.7361111111111109E-4</v>
      </c>
      <c r="H168" s="65" t="s">
        <v>160</v>
      </c>
      <c r="I168" s="66">
        <v>0.55526643518518515</v>
      </c>
      <c r="J168" s="56" t="s">
        <v>105</v>
      </c>
      <c r="K168" s="56" t="s">
        <v>152</v>
      </c>
      <c r="L168" s="68">
        <v>1</v>
      </c>
      <c r="M168" s="68">
        <v>71006</v>
      </c>
      <c r="N168" s="56" t="s">
        <v>53</v>
      </c>
      <c r="O168" s="68" t="s">
        <v>161</v>
      </c>
      <c r="P168" s="70">
        <v>15</v>
      </c>
      <c r="Q168" s="68"/>
      <c r="R168" s="70">
        <v>15</v>
      </c>
      <c r="S168" s="73">
        <v>46054</v>
      </c>
      <c r="T168" s="70">
        <v>2.25</v>
      </c>
      <c r="U168" s="74">
        <v>4</v>
      </c>
      <c r="V168" s="70">
        <v>12.75</v>
      </c>
      <c r="W168" s="56" t="s">
        <v>47</v>
      </c>
      <c r="X168" s="56" t="s">
        <v>48</v>
      </c>
      <c r="Y168" s="56" t="s">
        <v>36</v>
      </c>
      <c r="Z168" s="56" t="s">
        <v>9</v>
      </c>
      <c r="AA168" s="56" t="s">
        <v>49</v>
      </c>
      <c r="AB168" s="56" t="s">
        <v>162</v>
      </c>
      <c r="AC168" s="56" t="s">
        <v>38</v>
      </c>
      <c r="AD168" s="75" t="s">
        <v>267</v>
      </c>
      <c r="AE168" s="76"/>
      <c r="AF168" s="76"/>
      <c r="AG168" s="76"/>
      <c r="AH168" s="76"/>
      <c r="AI168" s="85"/>
      <c r="AJ168" s="85"/>
      <c r="AK168" s="85"/>
      <c r="AL168" s="85"/>
      <c r="AM168" s="85"/>
      <c r="AN168" s="85"/>
      <c r="AO168" s="85"/>
      <c r="AP168" s="85"/>
      <c r="AQ168" s="85"/>
      <c r="AR168" s="85"/>
      <c r="AS168" s="85"/>
      <c r="AT168" s="85"/>
      <c r="AU168" s="85"/>
      <c r="AV168" s="85"/>
      <c r="AW168" s="85"/>
    </row>
    <row r="169" spans="1:49" ht="31.5" x14ac:dyDescent="0.25">
      <c r="A169" s="56" t="s">
        <v>159</v>
      </c>
      <c r="B169" s="59">
        <v>46050</v>
      </c>
      <c r="C169" s="59">
        <v>46050</v>
      </c>
      <c r="D169" s="56" t="s">
        <v>196</v>
      </c>
      <c r="E169" s="62">
        <v>0.54166666666666663</v>
      </c>
      <c r="F169" s="62">
        <v>0.66666666666666663</v>
      </c>
      <c r="G169" s="64">
        <v>1.7361111111111109E-4</v>
      </c>
      <c r="H169" s="65" t="s">
        <v>163</v>
      </c>
      <c r="I169" s="66">
        <v>0.55544004629629629</v>
      </c>
      <c r="J169" s="56" t="s">
        <v>105</v>
      </c>
      <c r="K169" s="56" t="s">
        <v>152</v>
      </c>
      <c r="L169" s="68">
        <v>1</v>
      </c>
      <c r="M169" s="68">
        <v>71006</v>
      </c>
      <c r="N169" s="56" t="s">
        <v>53</v>
      </c>
      <c r="O169" s="68" t="s">
        <v>161</v>
      </c>
      <c r="P169" s="70">
        <v>15</v>
      </c>
      <c r="Q169" s="68"/>
      <c r="R169" s="70">
        <v>15</v>
      </c>
      <c r="S169" s="73">
        <v>46054</v>
      </c>
      <c r="T169" s="70">
        <v>2.25</v>
      </c>
      <c r="U169" s="74">
        <v>4</v>
      </c>
      <c r="V169" s="70">
        <v>12.75</v>
      </c>
      <c r="W169" s="56" t="s">
        <v>47</v>
      </c>
      <c r="X169" s="56" t="s">
        <v>48</v>
      </c>
      <c r="Y169" s="56" t="s">
        <v>36</v>
      </c>
      <c r="Z169" s="56" t="s">
        <v>9</v>
      </c>
      <c r="AA169" s="56" t="s">
        <v>49</v>
      </c>
      <c r="AB169" s="56" t="s">
        <v>162</v>
      </c>
      <c r="AC169" s="56" t="s">
        <v>38</v>
      </c>
      <c r="AD169" s="75" t="s">
        <v>267</v>
      </c>
      <c r="AE169" s="76"/>
      <c r="AF169" s="76"/>
      <c r="AG169" s="76"/>
      <c r="AH169" s="76"/>
      <c r="AI169" s="85"/>
      <c r="AJ169" s="85"/>
      <c r="AK169" s="85"/>
      <c r="AL169" s="85"/>
      <c r="AM169" s="85"/>
      <c r="AN169" s="85"/>
      <c r="AO169" s="85"/>
      <c r="AP169" s="85"/>
      <c r="AQ169" s="85"/>
      <c r="AR169" s="85"/>
      <c r="AS169" s="85"/>
      <c r="AT169" s="85"/>
      <c r="AU169" s="85"/>
      <c r="AV169" s="85"/>
      <c r="AW169" s="85"/>
    </row>
    <row r="170" spans="1:49" ht="31.5" x14ac:dyDescent="0.25">
      <c r="A170" s="56" t="s">
        <v>159</v>
      </c>
      <c r="B170" s="59">
        <v>46050</v>
      </c>
      <c r="C170" s="59">
        <v>46050</v>
      </c>
      <c r="D170" s="56" t="s">
        <v>196</v>
      </c>
      <c r="E170" s="62">
        <v>0.54166666666666663</v>
      </c>
      <c r="F170" s="62">
        <v>0.66666666666666663</v>
      </c>
      <c r="G170" s="64">
        <v>1.7361111111111109E-4</v>
      </c>
      <c r="H170" s="65" t="s">
        <v>160</v>
      </c>
      <c r="I170" s="66">
        <v>0.57563946759259255</v>
      </c>
      <c r="J170" s="56" t="s">
        <v>105</v>
      </c>
      <c r="K170" s="56" t="s">
        <v>153</v>
      </c>
      <c r="L170" s="68">
        <v>1</v>
      </c>
      <c r="M170" s="68">
        <v>71097</v>
      </c>
      <c r="N170" s="56" t="s">
        <v>46</v>
      </c>
      <c r="O170" s="68" t="s">
        <v>161</v>
      </c>
      <c r="P170" s="70">
        <v>0</v>
      </c>
      <c r="Q170" s="68"/>
      <c r="R170" s="70">
        <v>0</v>
      </c>
      <c r="S170" s="73">
        <v>46054</v>
      </c>
      <c r="T170" s="70">
        <v>0</v>
      </c>
      <c r="U170" s="74">
        <v>4</v>
      </c>
      <c r="V170" s="70">
        <v>0</v>
      </c>
      <c r="W170" s="56" t="s">
        <v>47</v>
      </c>
      <c r="X170" s="56" t="s">
        <v>48</v>
      </c>
      <c r="Y170" s="56" t="s">
        <v>36</v>
      </c>
      <c r="Z170" s="56" t="s">
        <v>9</v>
      </c>
      <c r="AA170" s="56" t="s">
        <v>49</v>
      </c>
      <c r="AB170" s="56" t="s">
        <v>162</v>
      </c>
      <c r="AC170" s="56" t="s">
        <v>38</v>
      </c>
      <c r="AD170" s="75" t="s">
        <v>267</v>
      </c>
      <c r="AE170" s="76"/>
      <c r="AF170" s="76"/>
      <c r="AG170" s="76"/>
      <c r="AH170" s="76"/>
      <c r="AI170" s="76"/>
      <c r="AJ170" s="76"/>
      <c r="AK170" s="76"/>
      <c r="AL170" s="76"/>
      <c r="AM170" s="76"/>
      <c r="AN170" s="76"/>
      <c r="AO170" s="76"/>
      <c r="AP170" s="76"/>
      <c r="AQ170" s="76"/>
      <c r="AR170" s="76"/>
      <c r="AS170" s="76"/>
      <c r="AT170" s="76"/>
      <c r="AU170" s="76"/>
      <c r="AV170" s="76"/>
      <c r="AW170" s="76"/>
    </row>
    <row r="171" spans="1:49" ht="31.5" x14ac:dyDescent="0.25">
      <c r="A171" s="56" t="s">
        <v>159</v>
      </c>
      <c r="B171" s="59">
        <v>46050</v>
      </c>
      <c r="C171" s="59">
        <v>46050</v>
      </c>
      <c r="D171" s="56" t="s">
        <v>196</v>
      </c>
      <c r="E171" s="62">
        <v>0.54166666666666663</v>
      </c>
      <c r="F171" s="62">
        <v>0.66666666666666663</v>
      </c>
      <c r="G171" s="64">
        <v>1.7361111111111109E-4</v>
      </c>
      <c r="H171" s="65" t="s">
        <v>163</v>
      </c>
      <c r="I171" s="66">
        <v>0.57668136574074069</v>
      </c>
      <c r="J171" s="56" t="s">
        <v>105</v>
      </c>
      <c r="K171" s="56" t="s">
        <v>153</v>
      </c>
      <c r="L171" s="68">
        <v>1</v>
      </c>
      <c r="M171" s="68">
        <v>71097</v>
      </c>
      <c r="N171" s="56" t="s">
        <v>46</v>
      </c>
      <c r="O171" s="68" t="s">
        <v>161</v>
      </c>
      <c r="P171" s="70">
        <v>0</v>
      </c>
      <c r="Q171" s="68"/>
      <c r="R171" s="70">
        <v>0</v>
      </c>
      <c r="S171" s="73">
        <v>46054</v>
      </c>
      <c r="T171" s="70">
        <v>0</v>
      </c>
      <c r="U171" s="74">
        <v>4</v>
      </c>
      <c r="V171" s="70">
        <v>0</v>
      </c>
      <c r="W171" s="56" t="s">
        <v>47</v>
      </c>
      <c r="X171" s="56" t="s">
        <v>48</v>
      </c>
      <c r="Y171" s="56" t="s">
        <v>36</v>
      </c>
      <c r="Z171" s="56" t="s">
        <v>9</v>
      </c>
      <c r="AA171" s="56" t="s">
        <v>49</v>
      </c>
      <c r="AB171" s="56" t="s">
        <v>162</v>
      </c>
      <c r="AC171" s="56" t="s">
        <v>38</v>
      </c>
      <c r="AD171" s="75" t="s">
        <v>267</v>
      </c>
      <c r="AE171" s="76"/>
      <c r="AF171" s="76"/>
      <c r="AG171" s="76"/>
      <c r="AH171" s="76"/>
      <c r="AI171" s="85"/>
      <c r="AJ171" s="85"/>
      <c r="AK171" s="85"/>
      <c r="AL171" s="85"/>
      <c r="AM171" s="85"/>
      <c r="AN171" s="85"/>
      <c r="AO171" s="85"/>
      <c r="AP171" s="85"/>
      <c r="AQ171" s="85"/>
      <c r="AR171" s="85"/>
      <c r="AS171" s="85"/>
      <c r="AT171" s="85"/>
      <c r="AU171" s="85"/>
      <c r="AV171" s="85"/>
      <c r="AW171" s="85"/>
    </row>
    <row r="172" spans="1:49" ht="31.5" x14ac:dyDescent="0.2">
      <c r="A172" s="56" t="s">
        <v>159</v>
      </c>
      <c r="B172" s="59">
        <v>46050</v>
      </c>
      <c r="C172" s="59">
        <v>46050</v>
      </c>
      <c r="D172" s="56" t="s">
        <v>196</v>
      </c>
      <c r="E172" s="62">
        <v>0.54166666666666663</v>
      </c>
      <c r="F172" s="62">
        <v>0.66666666666666663</v>
      </c>
      <c r="G172" s="64">
        <v>1.7361111111111109E-4</v>
      </c>
      <c r="H172" s="65" t="s">
        <v>164</v>
      </c>
      <c r="I172" s="66">
        <v>0.60939826388888896</v>
      </c>
      <c r="J172" s="56" t="s">
        <v>105</v>
      </c>
      <c r="K172" s="56" t="s">
        <v>154</v>
      </c>
      <c r="L172" s="68">
        <v>1</v>
      </c>
      <c r="M172" s="68">
        <v>71097</v>
      </c>
      <c r="N172" s="56" t="s">
        <v>46</v>
      </c>
      <c r="O172" s="68" t="s">
        <v>161</v>
      </c>
      <c r="P172" s="70">
        <v>0</v>
      </c>
      <c r="Q172" s="68"/>
      <c r="R172" s="70">
        <v>0</v>
      </c>
      <c r="S172" s="73">
        <v>46054</v>
      </c>
      <c r="T172" s="70">
        <v>0</v>
      </c>
      <c r="U172" s="74">
        <v>4</v>
      </c>
      <c r="V172" s="70">
        <v>0</v>
      </c>
      <c r="W172" s="56" t="s">
        <v>47</v>
      </c>
      <c r="X172" s="56" t="s">
        <v>48</v>
      </c>
      <c r="Y172" s="56" t="s">
        <v>36</v>
      </c>
      <c r="Z172" s="56" t="s">
        <v>9</v>
      </c>
      <c r="AA172" s="56" t="s">
        <v>49</v>
      </c>
      <c r="AB172" s="56" t="s">
        <v>162</v>
      </c>
      <c r="AC172" s="56" t="s">
        <v>38</v>
      </c>
      <c r="AD172" s="75" t="s">
        <v>267</v>
      </c>
      <c r="AE172" s="57"/>
      <c r="AF172" s="57"/>
      <c r="AG172" s="57"/>
      <c r="AH172" s="57"/>
      <c r="AI172" s="57"/>
      <c r="AJ172" s="57"/>
      <c r="AK172" s="57"/>
      <c r="AL172" s="57"/>
      <c r="AM172" s="57"/>
      <c r="AN172" s="57"/>
      <c r="AO172" s="57"/>
      <c r="AP172" s="57"/>
      <c r="AQ172" s="57"/>
      <c r="AR172" s="57"/>
      <c r="AS172" s="57"/>
      <c r="AT172" s="57"/>
      <c r="AU172" s="57"/>
      <c r="AV172" s="57"/>
      <c r="AW172" s="57"/>
    </row>
    <row r="173" spans="1:49" ht="31.5" x14ac:dyDescent="0.25">
      <c r="A173" s="56" t="s">
        <v>159</v>
      </c>
      <c r="B173" s="59">
        <v>46050</v>
      </c>
      <c r="C173" s="59">
        <v>46050</v>
      </c>
      <c r="D173" s="56" t="s">
        <v>196</v>
      </c>
      <c r="E173" s="62">
        <v>0.54166666666666663</v>
      </c>
      <c r="F173" s="62">
        <v>0.66666666666666663</v>
      </c>
      <c r="G173" s="64">
        <v>1.7361111111111109E-4</v>
      </c>
      <c r="H173" s="65" t="s">
        <v>165</v>
      </c>
      <c r="I173" s="66">
        <v>0.61026655092592597</v>
      </c>
      <c r="J173" s="56" t="s">
        <v>105</v>
      </c>
      <c r="K173" s="56" t="s">
        <v>154</v>
      </c>
      <c r="L173" s="68">
        <v>1</v>
      </c>
      <c r="M173" s="68">
        <v>71097</v>
      </c>
      <c r="N173" s="56" t="s">
        <v>46</v>
      </c>
      <c r="O173" s="68" t="s">
        <v>161</v>
      </c>
      <c r="P173" s="70">
        <v>0</v>
      </c>
      <c r="Q173" s="68"/>
      <c r="R173" s="70">
        <v>0</v>
      </c>
      <c r="S173" s="73">
        <v>46054</v>
      </c>
      <c r="T173" s="70">
        <v>0</v>
      </c>
      <c r="U173" s="74">
        <v>4</v>
      </c>
      <c r="V173" s="70">
        <v>0</v>
      </c>
      <c r="W173" s="56" t="s">
        <v>47</v>
      </c>
      <c r="X173" s="56" t="s">
        <v>48</v>
      </c>
      <c r="Y173" s="56" t="s">
        <v>36</v>
      </c>
      <c r="Z173" s="56" t="s">
        <v>9</v>
      </c>
      <c r="AA173" s="56" t="s">
        <v>49</v>
      </c>
      <c r="AB173" s="56" t="s">
        <v>162</v>
      </c>
      <c r="AC173" s="56" t="s">
        <v>38</v>
      </c>
      <c r="AD173" s="75" t="s">
        <v>267</v>
      </c>
      <c r="AE173" s="76"/>
      <c r="AF173" s="76"/>
      <c r="AG173" s="76"/>
      <c r="AH173" s="76"/>
      <c r="AI173" s="85"/>
      <c r="AJ173" s="85"/>
      <c r="AK173" s="85"/>
      <c r="AL173" s="85"/>
      <c r="AM173" s="85"/>
      <c r="AN173" s="85"/>
      <c r="AO173" s="85"/>
      <c r="AP173" s="85"/>
      <c r="AQ173" s="85"/>
      <c r="AR173" s="85"/>
      <c r="AS173" s="85"/>
      <c r="AT173" s="85"/>
      <c r="AU173" s="85"/>
      <c r="AV173" s="85"/>
      <c r="AW173" s="85"/>
    </row>
    <row r="174" spans="1:49" ht="31.5" x14ac:dyDescent="0.25">
      <c r="A174" s="56" t="s">
        <v>159</v>
      </c>
      <c r="B174" s="59">
        <v>46050</v>
      </c>
      <c r="C174" s="59">
        <v>46050</v>
      </c>
      <c r="D174" s="56" t="s">
        <v>196</v>
      </c>
      <c r="E174" s="62">
        <v>0.54166666666666663</v>
      </c>
      <c r="F174" s="62">
        <v>0.66666666666666663</v>
      </c>
      <c r="G174" s="64">
        <v>1.7361111111111109E-4</v>
      </c>
      <c r="H174" s="65" t="s">
        <v>160</v>
      </c>
      <c r="I174" s="66">
        <v>0.63561493055555551</v>
      </c>
      <c r="J174" s="56" t="s">
        <v>105</v>
      </c>
      <c r="K174" s="56" t="s">
        <v>154</v>
      </c>
      <c r="L174" s="68">
        <v>1</v>
      </c>
      <c r="M174" s="68">
        <v>71097</v>
      </c>
      <c r="N174" s="56" t="s">
        <v>46</v>
      </c>
      <c r="O174" s="68" t="s">
        <v>161</v>
      </c>
      <c r="P174" s="70">
        <v>0</v>
      </c>
      <c r="Q174" s="68"/>
      <c r="R174" s="70">
        <v>0</v>
      </c>
      <c r="S174" s="73">
        <v>46054</v>
      </c>
      <c r="T174" s="70">
        <v>0</v>
      </c>
      <c r="U174" s="74">
        <v>4</v>
      </c>
      <c r="V174" s="70">
        <v>0</v>
      </c>
      <c r="W174" s="56" t="s">
        <v>47</v>
      </c>
      <c r="X174" s="56" t="s">
        <v>48</v>
      </c>
      <c r="Y174" s="56" t="s">
        <v>36</v>
      </c>
      <c r="Z174" s="56" t="s">
        <v>9</v>
      </c>
      <c r="AA174" s="56" t="s">
        <v>49</v>
      </c>
      <c r="AB174" s="56" t="s">
        <v>162</v>
      </c>
      <c r="AC174" s="56" t="s">
        <v>38</v>
      </c>
      <c r="AD174" s="75" t="s">
        <v>267</v>
      </c>
      <c r="AE174" s="76"/>
      <c r="AF174" s="76"/>
      <c r="AG174" s="76"/>
      <c r="AH174" s="76"/>
      <c r="AI174" s="85"/>
      <c r="AJ174" s="85"/>
      <c r="AK174" s="85"/>
      <c r="AL174" s="85"/>
      <c r="AM174" s="85"/>
      <c r="AN174" s="85"/>
      <c r="AO174" s="85"/>
      <c r="AP174" s="85"/>
      <c r="AQ174" s="85"/>
      <c r="AR174" s="85"/>
      <c r="AS174" s="85"/>
      <c r="AT174" s="85"/>
      <c r="AU174" s="85"/>
      <c r="AV174" s="85"/>
      <c r="AW174" s="85"/>
    </row>
    <row r="175" spans="1:49" ht="31.5" x14ac:dyDescent="0.2">
      <c r="A175" s="56" t="s">
        <v>159</v>
      </c>
      <c r="B175" s="59">
        <v>46050</v>
      </c>
      <c r="C175" s="59">
        <v>46050</v>
      </c>
      <c r="D175" s="56" t="s">
        <v>196</v>
      </c>
      <c r="E175" s="62">
        <v>0.54166666666666663</v>
      </c>
      <c r="F175" s="62">
        <v>0.66666666666666663</v>
      </c>
      <c r="G175" s="64">
        <v>1.7361111111111109E-4</v>
      </c>
      <c r="H175" s="65" t="s">
        <v>163</v>
      </c>
      <c r="I175" s="66">
        <v>0.63821944444444445</v>
      </c>
      <c r="J175" s="56" t="s">
        <v>105</v>
      </c>
      <c r="K175" s="56" t="s">
        <v>154</v>
      </c>
      <c r="L175" s="68">
        <v>1</v>
      </c>
      <c r="M175" s="68">
        <v>71097</v>
      </c>
      <c r="N175" s="56" t="s">
        <v>46</v>
      </c>
      <c r="O175" s="68" t="s">
        <v>161</v>
      </c>
      <c r="P175" s="70">
        <v>0</v>
      </c>
      <c r="Q175" s="68"/>
      <c r="R175" s="70">
        <v>0</v>
      </c>
      <c r="S175" s="73">
        <v>46054</v>
      </c>
      <c r="T175" s="70">
        <v>0</v>
      </c>
      <c r="U175" s="74">
        <v>4</v>
      </c>
      <c r="V175" s="70">
        <v>0</v>
      </c>
      <c r="W175" s="56" t="s">
        <v>47</v>
      </c>
      <c r="X175" s="56" t="s">
        <v>48</v>
      </c>
      <c r="Y175" s="56" t="s">
        <v>36</v>
      </c>
      <c r="Z175" s="56" t="s">
        <v>9</v>
      </c>
      <c r="AA175" s="56" t="s">
        <v>49</v>
      </c>
      <c r="AB175" s="56" t="s">
        <v>162</v>
      </c>
      <c r="AC175" s="56" t="s">
        <v>38</v>
      </c>
      <c r="AD175" s="75" t="s">
        <v>267</v>
      </c>
      <c r="AE175" s="57"/>
      <c r="AF175" s="57"/>
      <c r="AG175" s="57"/>
      <c r="AH175" s="57"/>
      <c r="AI175" s="57"/>
      <c r="AJ175" s="57"/>
      <c r="AK175" s="57"/>
      <c r="AL175" s="57"/>
      <c r="AM175" s="57"/>
      <c r="AN175" s="57"/>
      <c r="AO175" s="57"/>
      <c r="AP175" s="57"/>
      <c r="AQ175" s="57"/>
      <c r="AR175" s="57"/>
      <c r="AS175" s="57"/>
      <c r="AT175" s="57"/>
      <c r="AU175" s="57"/>
      <c r="AV175" s="57"/>
      <c r="AW175" s="57"/>
    </row>
    <row r="176" spans="1:49" ht="31.5" x14ac:dyDescent="0.25">
      <c r="A176" s="56" t="s">
        <v>159</v>
      </c>
      <c r="B176" s="59">
        <v>46050</v>
      </c>
      <c r="C176" s="59">
        <v>46050</v>
      </c>
      <c r="D176" s="56" t="s">
        <v>196</v>
      </c>
      <c r="E176" s="62">
        <v>0.54166666666666663</v>
      </c>
      <c r="F176" s="62">
        <v>0.66666666666666663</v>
      </c>
      <c r="G176" s="64">
        <v>1.7361111111111109E-4</v>
      </c>
      <c r="H176" s="65" t="s">
        <v>160</v>
      </c>
      <c r="I176" s="66">
        <v>0.65719988425925924</v>
      </c>
      <c r="J176" s="56" t="s">
        <v>105</v>
      </c>
      <c r="K176" s="56" t="s">
        <v>154</v>
      </c>
      <c r="L176" s="68">
        <v>1</v>
      </c>
      <c r="M176" s="68">
        <v>71097</v>
      </c>
      <c r="N176" s="56" t="s">
        <v>46</v>
      </c>
      <c r="O176" s="68" t="s">
        <v>161</v>
      </c>
      <c r="P176" s="70">
        <v>0</v>
      </c>
      <c r="Q176" s="68"/>
      <c r="R176" s="70">
        <v>0</v>
      </c>
      <c r="S176" s="73">
        <v>46054</v>
      </c>
      <c r="T176" s="70">
        <v>0</v>
      </c>
      <c r="U176" s="74">
        <v>4</v>
      </c>
      <c r="V176" s="70">
        <v>0</v>
      </c>
      <c r="W176" s="56" t="s">
        <v>47</v>
      </c>
      <c r="X176" s="56" t="s">
        <v>48</v>
      </c>
      <c r="Y176" s="56" t="s">
        <v>36</v>
      </c>
      <c r="Z176" s="56" t="s">
        <v>9</v>
      </c>
      <c r="AA176" s="56" t="s">
        <v>49</v>
      </c>
      <c r="AB176" s="56" t="s">
        <v>162</v>
      </c>
      <c r="AC176" s="56" t="s">
        <v>38</v>
      </c>
      <c r="AD176" s="75" t="s">
        <v>267</v>
      </c>
      <c r="AE176" s="76"/>
      <c r="AF176" s="76"/>
      <c r="AG176" s="76"/>
      <c r="AH176" s="76"/>
      <c r="AI176" s="76"/>
      <c r="AJ176" s="76"/>
      <c r="AK176" s="76"/>
      <c r="AL176" s="76"/>
      <c r="AM176" s="76"/>
      <c r="AN176" s="76"/>
      <c r="AO176" s="76"/>
      <c r="AP176" s="76"/>
      <c r="AQ176" s="76"/>
      <c r="AR176" s="76"/>
      <c r="AS176" s="76"/>
      <c r="AT176" s="76"/>
      <c r="AU176" s="76"/>
      <c r="AV176" s="76"/>
      <c r="AW176" s="76"/>
    </row>
    <row r="177" spans="1:49" ht="31.5" x14ac:dyDescent="0.25">
      <c r="A177" s="56" t="s">
        <v>159</v>
      </c>
      <c r="B177" s="59">
        <v>46050</v>
      </c>
      <c r="C177" s="59">
        <v>46050</v>
      </c>
      <c r="D177" s="56" t="s">
        <v>196</v>
      </c>
      <c r="E177" s="62">
        <v>0.54166666666666663</v>
      </c>
      <c r="F177" s="62">
        <v>0.66666666666666663</v>
      </c>
      <c r="G177" s="64">
        <v>1.7361111111111109E-4</v>
      </c>
      <c r="H177" s="65" t="s">
        <v>163</v>
      </c>
      <c r="I177" s="66">
        <v>0.65980405092592598</v>
      </c>
      <c r="J177" s="56" t="s">
        <v>105</v>
      </c>
      <c r="K177" s="56" t="s">
        <v>154</v>
      </c>
      <c r="L177" s="68">
        <v>1</v>
      </c>
      <c r="M177" s="68">
        <v>71097</v>
      </c>
      <c r="N177" s="56" t="s">
        <v>46</v>
      </c>
      <c r="O177" s="68" t="s">
        <v>161</v>
      </c>
      <c r="P177" s="70">
        <v>0</v>
      </c>
      <c r="Q177" s="68"/>
      <c r="R177" s="70">
        <v>0</v>
      </c>
      <c r="S177" s="73">
        <v>46054</v>
      </c>
      <c r="T177" s="70">
        <v>0</v>
      </c>
      <c r="U177" s="74">
        <v>4</v>
      </c>
      <c r="V177" s="70">
        <v>0</v>
      </c>
      <c r="W177" s="56" t="s">
        <v>47</v>
      </c>
      <c r="X177" s="56" t="s">
        <v>48</v>
      </c>
      <c r="Y177" s="56" t="s">
        <v>36</v>
      </c>
      <c r="Z177" s="56" t="s">
        <v>9</v>
      </c>
      <c r="AA177" s="56" t="s">
        <v>49</v>
      </c>
      <c r="AB177" s="56" t="s">
        <v>162</v>
      </c>
      <c r="AC177" s="56" t="s">
        <v>38</v>
      </c>
      <c r="AD177" s="75" t="s">
        <v>267</v>
      </c>
      <c r="AE177" s="76"/>
      <c r="AF177" s="76"/>
      <c r="AG177" s="76"/>
      <c r="AH177" s="76"/>
      <c r="AI177" s="76"/>
      <c r="AJ177" s="76"/>
      <c r="AK177" s="76"/>
      <c r="AL177" s="76"/>
      <c r="AM177" s="76"/>
      <c r="AN177" s="76"/>
      <c r="AO177" s="76"/>
      <c r="AP177" s="76"/>
      <c r="AQ177" s="76"/>
      <c r="AR177" s="76"/>
      <c r="AS177" s="76"/>
      <c r="AT177" s="76"/>
      <c r="AU177" s="76"/>
      <c r="AV177" s="76"/>
      <c r="AW177" s="76"/>
    </row>
    <row r="178" spans="1:49" ht="31.5" x14ac:dyDescent="0.25">
      <c r="A178" s="56" t="s">
        <v>159</v>
      </c>
      <c r="B178" s="59">
        <v>46050</v>
      </c>
      <c r="C178" s="59">
        <v>46050</v>
      </c>
      <c r="D178" s="56" t="s">
        <v>196</v>
      </c>
      <c r="E178" s="62">
        <v>0.58333333333333337</v>
      </c>
      <c r="F178" s="62">
        <v>0.66666666666666663</v>
      </c>
      <c r="G178" s="64">
        <v>1.7361111111111109E-4</v>
      </c>
      <c r="H178" s="65" t="s">
        <v>160</v>
      </c>
      <c r="I178" s="66">
        <v>0.590291550925926</v>
      </c>
      <c r="J178" s="56" t="s">
        <v>105</v>
      </c>
      <c r="K178" s="56" t="s">
        <v>154</v>
      </c>
      <c r="L178" s="68">
        <v>1</v>
      </c>
      <c r="M178" s="68">
        <v>71009</v>
      </c>
      <c r="N178" s="56" t="s">
        <v>53</v>
      </c>
      <c r="O178" s="68" t="s">
        <v>161</v>
      </c>
      <c r="P178" s="70">
        <v>15</v>
      </c>
      <c r="Q178" s="68"/>
      <c r="R178" s="70">
        <v>15</v>
      </c>
      <c r="S178" s="73">
        <v>46054</v>
      </c>
      <c r="T178" s="70">
        <v>2.25</v>
      </c>
      <c r="U178" s="74">
        <v>4</v>
      </c>
      <c r="V178" s="70">
        <v>12.75</v>
      </c>
      <c r="W178" s="56" t="s">
        <v>47</v>
      </c>
      <c r="X178" s="56" t="s">
        <v>48</v>
      </c>
      <c r="Y178" s="56" t="s">
        <v>36</v>
      </c>
      <c r="Z178" s="56" t="s">
        <v>9</v>
      </c>
      <c r="AA178" s="56" t="s">
        <v>49</v>
      </c>
      <c r="AB178" s="56" t="s">
        <v>162</v>
      </c>
      <c r="AC178" s="56" t="s">
        <v>38</v>
      </c>
      <c r="AD178" s="75" t="s">
        <v>267</v>
      </c>
      <c r="AE178" s="76"/>
      <c r="AF178" s="76"/>
      <c r="AG178" s="76"/>
      <c r="AH178" s="76"/>
      <c r="AI178" s="76"/>
      <c r="AJ178" s="76"/>
      <c r="AK178" s="76"/>
      <c r="AL178" s="76"/>
      <c r="AM178" s="76"/>
      <c r="AN178" s="76"/>
      <c r="AO178" s="76"/>
      <c r="AP178" s="76"/>
      <c r="AQ178" s="76"/>
      <c r="AR178" s="76"/>
      <c r="AS178" s="76"/>
      <c r="AT178" s="76"/>
      <c r="AU178" s="76"/>
      <c r="AV178" s="76"/>
      <c r="AW178" s="76"/>
    </row>
    <row r="179" spans="1:49" ht="31.5" x14ac:dyDescent="0.25">
      <c r="A179" s="56" t="s">
        <v>159</v>
      </c>
      <c r="B179" s="59">
        <v>46050</v>
      </c>
      <c r="C179" s="59">
        <v>46050</v>
      </c>
      <c r="D179" s="56" t="s">
        <v>196</v>
      </c>
      <c r="E179" s="62">
        <v>0.58333333333333337</v>
      </c>
      <c r="F179" s="62">
        <v>0.66666666666666663</v>
      </c>
      <c r="G179" s="64">
        <v>1.7361111111111109E-4</v>
      </c>
      <c r="H179" s="65" t="s">
        <v>163</v>
      </c>
      <c r="I179" s="66">
        <v>0.59185428240740745</v>
      </c>
      <c r="J179" s="56" t="s">
        <v>105</v>
      </c>
      <c r="K179" s="56" t="s">
        <v>154</v>
      </c>
      <c r="L179" s="68">
        <v>1</v>
      </c>
      <c r="M179" s="68">
        <v>71009</v>
      </c>
      <c r="N179" s="56" t="s">
        <v>53</v>
      </c>
      <c r="O179" s="68" t="s">
        <v>161</v>
      </c>
      <c r="P179" s="70">
        <v>15</v>
      </c>
      <c r="Q179" s="68"/>
      <c r="R179" s="70">
        <v>15</v>
      </c>
      <c r="S179" s="73">
        <v>46054</v>
      </c>
      <c r="T179" s="70">
        <v>2.25</v>
      </c>
      <c r="U179" s="74">
        <v>4</v>
      </c>
      <c r="V179" s="70">
        <v>12.75</v>
      </c>
      <c r="W179" s="56" t="s">
        <v>47</v>
      </c>
      <c r="X179" s="56" t="s">
        <v>48</v>
      </c>
      <c r="Y179" s="56" t="s">
        <v>36</v>
      </c>
      <c r="Z179" s="56" t="s">
        <v>9</v>
      </c>
      <c r="AA179" s="56" t="s">
        <v>49</v>
      </c>
      <c r="AB179" s="56" t="s">
        <v>162</v>
      </c>
      <c r="AC179" s="56" t="s">
        <v>38</v>
      </c>
      <c r="AD179" s="75" t="s">
        <v>267</v>
      </c>
      <c r="AE179" s="76"/>
      <c r="AF179" s="76"/>
      <c r="AG179" s="76"/>
      <c r="AH179" s="76"/>
      <c r="AI179" s="76"/>
      <c r="AJ179" s="76"/>
      <c r="AK179" s="76"/>
      <c r="AL179" s="76"/>
      <c r="AM179" s="76"/>
      <c r="AN179" s="76"/>
      <c r="AO179" s="76"/>
      <c r="AP179" s="76"/>
      <c r="AQ179" s="76"/>
      <c r="AR179" s="76"/>
      <c r="AS179" s="76"/>
      <c r="AT179" s="76"/>
      <c r="AU179" s="76"/>
      <c r="AV179" s="76"/>
      <c r="AW179" s="76"/>
    </row>
    <row r="180" spans="1:49" ht="31.5" x14ac:dyDescent="0.25">
      <c r="A180" s="56" t="s">
        <v>159</v>
      </c>
      <c r="B180" s="59">
        <v>46050</v>
      </c>
      <c r="C180" s="59">
        <v>46050</v>
      </c>
      <c r="D180" s="56" t="s">
        <v>196</v>
      </c>
      <c r="E180" s="62">
        <v>0.66666666666666663</v>
      </c>
      <c r="F180" s="62">
        <v>0.79166666666666663</v>
      </c>
      <c r="G180" s="64">
        <v>1.7361111111111109E-4</v>
      </c>
      <c r="H180" s="65" t="s">
        <v>160</v>
      </c>
      <c r="I180" s="66">
        <v>0.67273391203703703</v>
      </c>
      <c r="J180" s="56" t="s">
        <v>120</v>
      </c>
      <c r="K180" s="56" t="s">
        <v>119</v>
      </c>
      <c r="L180" s="68">
        <v>1</v>
      </c>
      <c r="M180" s="68">
        <v>71003</v>
      </c>
      <c r="N180" s="56" t="s">
        <v>53</v>
      </c>
      <c r="O180" s="68" t="s">
        <v>161</v>
      </c>
      <c r="P180" s="70">
        <v>15</v>
      </c>
      <c r="Q180" s="68"/>
      <c r="R180" s="70">
        <v>15</v>
      </c>
      <c r="S180" s="73">
        <v>46054</v>
      </c>
      <c r="T180" s="70">
        <v>2.25</v>
      </c>
      <c r="U180" s="74">
        <v>4</v>
      </c>
      <c r="V180" s="70">
        <v>12.75</v>
      </c>
      <c r="W180" s="56" t="s">
        <v>47</v>
      </c>
      <c r="X180" s="56" t="s">
        <v>48</v>
      </c>
      <c r="Y180" s="56" t="s">
        <v>36</v>
      </c>
      <c r="Z180" s="56" t="s">
        <v>9</v>
      </c>
      <c r="AA180" s="56" t="s">
        <v>49</v>
      </c>
      <c r="AB180" s="56" t="s">
        <v>162</v>
      </c>
      <c r="AC180" s="56" t="s">
        <v>38</v>
      </c>
      <c r="AD180" s="75" t="s">
        <v>267</v>
      </c>
      <c r="AE180" s="76"/>
      <c r="AF180" s="76"/>
      <c r="AG180" s="76"/>
      <c r="AH180" s="76"/>
      <c r="AI180" s="76"/>
      <c r="AJ180" s="76"/>
      <c r="AK180" s="76"/>
      <c r="AL180" s="76"/>
      <c r="AM180" s="76"/>
      <c r="AN180" s="76"/>
      <c r="AO180" s="76"/>
      <c r="AP180" s="76"/>
      <c r="AQ180" s="76"/>
      <c r="AR180" s="76"/>
      <c r="AS180" s="76"/>
      <c r="AT180" s="76"/>
      <c r="AU180" s="76"/>
      <c r="AV180" s="76"/>
      <c r="AW180" s="76"/>
    </row>
    <row r="181" spans="1:49" ht="31.5" x14ac:dyDescent="0.25">
      <c r="A181" s="56" t="s">
        <v>159</v>
      </c>
      <c r="B181" s="59">
        <v>46050</v>
      </c>
      <c r="C181" s="59">
        <v>46050</v>
      </c>
      <c r="D181" s="56" t="s">
        <v>196</v>
      </c>
      <c r="E181" s="62">
        <v>0.66666666666666663</v>
      </c>
      <c r="F181" s="62">
        <v>0.79166666666666663</v>
      </c>
      <c r="G181" s="64">
        <v>1.7361111111111109E-4</v>
      </c>
      <c r="H181" s="65" t="s">
        <v>163</v>
      </c>
      <c r="I181" s="66">
        <v>0.67394918981481478</v>
      </c>
      <c r="J181" s="56" t="s">
        <v>120</v>
      </c>
      <c r="K181" s="56" t="s">
        <v>119</v>
      </c>
      <c r="L181" s="68">
        <v>1</v>
      </c>
      <c r="M181" s="68">
        <v>71003</v>
      </c>
      <c r="N181" s="56" t="s">
        <v>53</v>
      </c>
      <c r="O181" s="68" t="s">
        <v>161</v>
      </c>
      <c r="P181" s="70">
        <v>15</v>
      </c>
      <c r="Q181" s="68"/>
      <c r="R181" s="70">
        <v>15</v>
      </c>
      <c r="S181" s="73">
        <v>46054</v>
      </c>
      <c r="T181" s="70">
        <v>2.25</v>
      </c>
      <c r="U181" s="74">
        <v>4</v>
      </c>
      <c r="V181" s="70">
        <v>12.75</v>
      </c>
      <c r="W181" s="56" t="s">
        <v>47</v>
      </c>
      <c r="X181" s="56" t="s">
        <v>48</v>
      </c>
      <c r="Y181" s="56" t="s">
        <v>36</v>
      </c>
      <c r="Z181" s="56" t="s">
        <v>9</v>
      </c>
      <c r="AA181" s="56" t="s">
        <v>49</v>
      </c>
      <c r="AB181" s="56" t="s">
        <v>162</v>
      </c>
      <c r="AC181" s="56" t="s">
        <v>38</v>
      </c>
      <c r="AD181" s="75" t="s">
        <v>267</v>
      </c>
      <c r="AE181" s="76"/>
      <c r="AF181" s="76"/>
      <c r="AG181" s="76"/>
      <c r="AH181" s="76"/>
      <c r="AI181" s="76"/>
      <c r="AJ181" s="76"/>
      <c r="AK181" s="76"/>
      <c r="AL181" s="76"/>
      <c r="AM181" s="76"/>
      <c r="AN181" s="76"/>
      <c r="AO181" s="76"/>
      <c r="AP181" s="76"/>
      <c r="AQ181" s="76"/>
      <c r="AR181" s="76"/>
      <c r="AS181" s="76"/>
      <c r="AT181" s="76"/>
      <c r="AU181" s="76"/>
      <c r="AV181" s="76"/>
      <c r="AW181" s="76"/>
    </row>
    <row r="182" spans="1:49" ht="31.5" x14ac:dyDescent="0.25">
      <c r="A182" s="56" t="s">
        <v>159</v>
      </c>
      <c r="B182" s="59">
        <v>46050</v>
      </c>
      <c r="C182" s="59">
        <v>46050</v>
      </c>
      <c r="D182" s="56" t="s">
        <v>196</v>
      </c>
      <c r="E182" s="62">
        <v>0.66666666666666663</v>
      </c>
      <c r="F182" s="62">
        <v>0.79166666666666663</v>
      </c>
      <c r="G182" s="64">
        <v>1.7361111111111109E-4</v>
      </c>
      <c r="H182" s="65" t="s">
        <v>164</v>
      </c>
      <c r="I182" s="66">
        <v>0.68635532407407407</v>
      </c>
      <c r="J182" s="56" t="s">
        <v>120</v>
      </c>
      <c r="K182" s="56" t="s">
        <v>119</v>
      </c>
      <c r="L182" s="68">
        <v>1</v>
      </c>
      <c r="M182" s="68">
        <v>71093</v>
      </c>
      <c r="N182" s="56" t="s">
        <v>53</v>
      </c>
      <c r="O182" s="68" t="s">
        <v>161</v>
      </c>
      <c r="P182" s="70">
        <v>15</v>
      </c>
      <c r="Q182" s="68"/>
      <c r="R182" s="70">
        <v>15</v>
      </c>
      <c r="S182" s="73">
        <v>46054</v>
      </c>
      <c r="T182" s="70">
        <v>2.25</v>
      </c>
      <c r="U182" s="74">
        <v>4</v>
      </c>
      <c r="V182" s="70">
        <v>12.75</v>
      </c>
      <c r="W182" s="56" t="s">
        <v>47</v>
      </c>
      <c r="X182" s="56" t="s">
        <v>48</v>
      </c>
      <c r="Y182" s="56" t="s">
        <v>36</v>
      </c>
      <c r="Z182" s="56" t="s">
        <v>9</v>
      </c>
      <c r="AA182" s="56" t="s">
        <v>49</v>
      </c>
      <c r="AB182" s="56" t="s">
        <v>162</v>
      </c>
      <c r="AC182" s="56" t="s">
        <v>38</v>
      </c>
      <c r="AD182" s="75" t="s">
        <v>267</v>
      </c>
      <c r="AE182" s="76"/>
      <c r="AF182" s="76"/>
      <c r="AG182" s="76"/>
      <c r="AH182" s="76"/>
      <c r="AI182" s="76"/>
      <c r="AJ182" s="76"/>
      <c r="AK182" s="76"/>
      <c r="AL182" s="76"/>
      <c r="AM182" s="76"/>
      <c r="AN182" s="76"/>
      <c r="AO182" s="76"/>
      <c r="AP182" s="76"/>
      <c r="AQ182" s="76"/>
      <c r="AR182" s="76"/>
      <c r="AS182" s="76"/>
      <c r="AT182" s="76"/>
      <c r="AU182" s="76"/>
      <c r="AV182" s="76"/>
      <c r="AW182" s="76"/>
    </row>
    <row r="183" spans="1:49" ht="31.5" x14ac:dyDescent="0.25">
      <c r="A183" s="56" t="s">
        <v>159</v>
      </c>
      <c r="B183" s="59">
        <v>46050</v>
      </c>
      <c r="C183" s="59">
        <v>46050</v>
      </c>
      <c r="D183" s="56" t="s">
        <v>196</v>
      </c>
      <c r="E183" s="62">
        <v>0.66666666666666663</v>
      </c>
      <c r="F183" s="62">
        <v>0.79166666666666663</v>
      </c>
      <c r="G183" s="64">
        <v>1.7361111111111109E-4</v>
      </c>
      <c r="H183" s="65" t="s">
        <v>165</v>
      </c>
      <c r="I183" s="66">
        <v>0.68722337962962965</v>
      </c>
      <c r="J183" s="56" t="s">
        <v>120</v>
      </c>
      <c r="K183" s="56" t="s">
        <v>119</v>
      </c>
      <c r="L183" s="68">
        <v>1</v>
      </c>
      <c r="M183" s="68">
        <v>71093</v>
      </c>
      <c r="N183" s="56" t="s">
        <v>53</v>
      </c>
      <c r="O183" s="68" t="s">
        <v>161</v>
      </c>
      <c r="P183" s="70">
        <v>15</v>
      </c>
      <c r="Q183" s="68"/>
      <c r="R183" s="70">
        <v>15</v>
      </c>
      <c r="S183" s="73">
        <v>46054</v>
      </c>
      <c r="T183" s="70">
        <v>2.25</v>
      </c>
      <c r="U183" s="74">
        <v>4</v>
      </c>
      <c r="V183" s="70">
        <v>12.75</v>
      </c>
      <c r="W183" s="56" t="s">
        <v>47</v>
      </c>
      <c r="X183" s="56" t="s">
        <v>48</v>
      </c>
      <c r="Y183" s="56" t="s">
        <v>36</v>
      </c>
      <c r="Z183" s="56" t="s">
        <v>9</v>
      </c>
      <c r="AA183" s="56" t="s">
        <v>49</v>
      </c>
      <c r="AB183" s="56" t="s">
        <v>162</v>
      </c>
      <c r="AC183" s="56" t="s">
        <v>38</v>
      </c>
      <c r="AD183" s="75" t="s">
        <v>267</v>
      </c>
      <c r="AE183" s="76"/>
      <c r="AF183" s="76"/>
      <c r="AG183" s="76"/>
      <c r="AH183" s="76"/>
      <c r="AI183" s="76"/>
      <c r="AJ183" s="76"/>
      <c r="AK183" s="76"/>
      <c r="AL183" s="76"/>
      <c r="AM183" s="76"/>
      <c r="AN183" s="76"/>
      <c r="AO183" s="76"/>
      <c r="AP183" s="76"/>
      <c r="AQ183" s="76"/>
      <c r="AR183" s="76"/>
      <c r="AS183" s="76"/>
      <c r="AT183" s="76"/>
      <c r="AU183" s="76"/>
      <c r="AV183" s="76"/>
      <c r="AW183" s="76"/>
    </row>
    <row r="184" spans="1:49" ht="31.5" x14ac:dyDescent="0.25">
      <c r="A184" s="56" t="s">
        <v>159</v>
      </c>
      <c r="B184" s="59">
        <v>46050</v>
      </c>
      <c r="C184" s="59">
        <v>46050</v>
      </c>
      <c r="D184" s="56" t="s">
        <v>196</v>
      </c>
      <c r="E184" s="62">
        <v>0.66666666666666663</v>
      </c>
      <c r="F184" s="62">
        <v>0.79166666666666663</v>
      </c>
      <c r="G184" s="64">
        <v>1.7361111111111109E-4</v>
      </c>
      <c r="H184" s="65" t="s">
        <v>160</v>
      </c>
      <c r="I184" s="66">
        <v>0.70128773148148149</v>
      </c>
      <c r="J184" s="56" t="s">
        <v>120</v>
      </c>
      <c r="K184" s="56" t="s">
        <v>155</v>
      </c>
      <c r="L184" s="68">
        <v>1</v>
      </c>
      <c r="M184" s="68">
        <v>71093</v>
      </c>
      <c r="N184" s="56" t="s">
        <v>53</v>
      </c>
      <c r="O184" s="68" t="s">
        <v>161</v>
      </c>
      <c r="P184" s="70">
        <v>15</v>
      </c>
      <c r="Q184" s="68"/>
      <c r="R184" s="70">
        <v>15</v>
      </c>
      <c r="S184" s="73">
        <v>46054</v>
      </c>
      <c r="T184" s="70">
        <v>2.25</v>
      </c>
      <c r="U184" s="74">
        <v>4</v>
      </c>
      <c r="V184" s="70">
        <v>12.75</v>
      </c>
      <c r="W184" s="56" t="s">
        <v>47</v>
      </c>
      <c r="X184" s="56" t="s">
        <v>48</v>
      </c>
      <c r="Y184" s="56" t="s">
        <v>36</v>
      </c>
      <c r="Z184" s="56" t="s">
        <v>9</v>
      </c>
      <c r="AA184" s="56" t="s">
        <v>49</v>
      </c>
      <c r="AB184" s="56" t="s">
        <v>162</v>
      </c>
      <c r="AC184" s="56" t="s">
        <v>38</v>
      </c>
      <c r="AD184" s="75" t="s">
        <v>267</v>
      </c>
      <c r="AE184" s="76"/>
      <c r="AF184" s="76"/>
      <c r="AG184" s="76"/>
      <c r="AH184" s="76"/>
      <c r="AI184" s="76"/>
      <c r="AJ184" s="76"/>
      <c r="AK184" s="76"/>
      <c r="AL184" s="76"/>
      <c r="AM184" s="76"/>
      <c r="AN184" s="76"/>
      <c r="AO184" s="76"/>
      <c r="AP184" s="76"/>
      <c r="AQ184" s="76"/>
      <c r="AR184" s="76"/>
      <c r="AS184" s="76"/>
      <c r="AT184" s="76"/>
      <c r="AU184" s="76"/>
      <c r="AV184" s="76"/>
      <c r="AW184" s="76"/>
    </row>
    <row r="185" spans="1:49" ht="31.5" x14ac:dyDescent="0.25">
      <c r="A185" s="56" t="s">
        <v>159</v>
      </c>
      <c r="B185" s="59">
        <v>46050</v>
      </c>
      <c r="C185" s="59">
        <v>46050</v>
      </c>
      <c r="D185" s="56" t="s">
        <v>196</v>
      </c>
      <c r="E185" s="62">
        <v>0.66666666666666663</v>
      </c>
      <c r="F185" s="62">
        <v>0.79166666666666663</v>
      </c>
      <c r="G185" s="64">
        <v>1.7361111111111109E-4</v>
      </c>
      <c r="H185" s="65" t="s">
        <v>163</v>
      </c>
      <c r="I185" s="66">
        <v>0.70319733796296291</v>
      </c>
      <c r="J185" s="56" t="s">
        <v>120</v>
      </c>
      <c r="K185" s="56" t="s">
        <v>155</v>
      </c>
      <c r="L185" s="68">
        <v>1</v>
      </c>
      <c r="M185" s="68">
        <v>71093</v>
      </c>
      <c r="N185" s="56" t="s">
        <v>53</v>
      </c>
      <c r="O185" s="68" t="s">
        <v>161</v>
      </c>
      <c r="P185" s="70">
        <v>15</v>
      </c>
      <c r="Q185" s="68"/>
      <c r="R185" s="70">
        <v>15</v>
      </c>
      <c r="S185" s="73">
        <v>46054</v>
      </c>
      <c r="T185" s="70">
        <v>2.25</v>
      </c>
      <c r="U185" s="74">
        <v>4</v>
      </c>
      <c r="V185" s="70">
        <v>12.75</v>
      </c>
      <c r="W185" s="56" t="s">
        <v>47</v>
      </c>
      <c r="X185" s="56" t="s">
        <v>48</v>
      </c>
      <c r="Y185" s="56" t="s">
        <v>36</v>
      </c>
      <c r="Z185" s="56" t="s">
        <v>9</v>
      </c>
      <c r="AA185" s="56" t="s">
        <v>49</v>
      </c>
      <c r="AB185" s="56" t="s">
        <v>162</v>
      </c>
      <c r="AC185" s="56" t="s">
        <v>38</v>
      </c>
      <c r="AD185" s="75" t="s">
        <v>267</v>
      </c>
      <c r="AE185" s="76"/>
      <c r="AF185" s="76"/>
      <c r="AG185" s="76"/>
      <c r="AH185" s="76"/>
      <c r="AI185" s="76"/>
      <c r="AJ185" s="76"/>
      <c r="AK185" s="76"/>
      <c r="AL185" s="76"/>
      <c r="AM185" s="76"/>
      <c r="AN185" s="76"/>
      <c r="AO185" s="76"/>
      <c r="AP185" s="76"/>
      <c r="AQ185" s="76"/>
      <c r="AR185" s="76"/>
      <c r="AS185" s="76"/>
      <c r="AT185" s="76"/>
      <c r="AU185" s="76"/>
      <c r="AV185" s="76"/>
      <c r="AW185" s="76"/>
    </row>
    <row r="186" spans="1:49" ht="31.5" x14ac:dyDescent="0.25">
      <c r="A186" s="56" t="s">
        <v>159</v>
      </c>
      <c r="B186" s="59">
        <v>46050</v>
      </c>
      <c r="C186" s="59">
        <v>46050</v>
      </c>
      <c r="D186" s="56" t="s">
        <v>196</v>
      </c>
      <c r="E186" s="62">
        <v>0.66666666666666663</v>
      </c>
      <c r="F186" s="62">
        <v>0.79166666666666663</v>
      </c>
      <c r="G186" s="64">
        <v>1.7361111111111109E-4</v>
      </c>
      <c r="H186" s="65" t="s">
        <v>160</v>
      </c>
      <c r="I186" s="66">
        <v>0.73394999999999999</v>
      </c>
      <c r="J186" s="56" t="s">
        <v>120</v>
      </c>
      <c r="K186" s="56" t="s">
        <v>200</v>
      </c>
      <c r="L186" s="68">
        <v>1</v>
      </c>
      <c r="M186" s="68">
        <v>71004</v>
      </c>
      <c r="N186" s="56" t="s">
        <v>46</v>
      </c>
      <c r="O186" s="68" t="s">
        <v>161</v>
      </c>
      <c r="P186" s="70">
        <v>0</v>
      </c>
      <c r="Q186" s="68"/>
      <c r="R186" s="70">
        <v>0</v>
      </c>
      <c r="S186" s="73">
        <v>46054</v>
      </c>
      <c r="T186" s="70">
        <v>0</v>
      </c>
      <c r="U186" s="74">
        <v>4</v>
      </c>
      <c r="V186" s="70">
        <v>0</v>
      </c>
      <c r="W186" s="56" t="s">
        <v>47</v>
      </c>
      <c r="X186" s="56" t="s">
        <v>48</v>
      </c>
      <c r="Y186" s="56" t="s">
        <v>36</v>
      </c>
      <c r="Z186" s="56" t="s">
        <v>9</v>
      </c>
      <c r="AA186" s="56" t="s">
        <v>49</v>
      </c>
      <c r="AB186" s="56" t="s">
        <v>162</v>
      </c>
      <c r="AC186" s="56" t="s">
        <v>38</v>
      </c>
      <c r="AD186" s="75" t="s">
        <v>267</v>
      </c>
      <c r="AE186" s="76"/>
      <c r="AF186" s="76"/>
      <c r="AG186" s="76"/>
      <c r="AH186" s="76"/>
      <c r="AI186" s="76"/>
      <c r="AJ186" s="76"/>
      <c r="AK186" s="76"/>
      <c r="AL186" s="76"/>
      <c r="AM186" s="76"/>
      <c r="AN186" s="76"/>
      <c r="AO186" s="76"/>
      <c r="AP186" s="76"/>
      <c r="AQ186" s="76"/>
      <c r="AR186" s="76"/>
      <c r="AS186" s="76"/>
      <c r="AT186" s="76"/>
      <c r="AU186" s="76"/>
      <c r="AV186" s="76"/>
      <c r="AW186" s="76"/>
    </row>
    <row r="187" spans="1:49" ht="31.5" x14ac:dyDescent="0.25">
      <c r="A187" s="56" t="s">
        <v>159</v>
      </c>
      <c r="B187" s="59">
        <v>46050</v>
      </c>
      <c r="C187" s="59">
        <v>46050</v>
      </c>
      <c r="D187" s="56" t="s">
        <v>196</v>
      </c>
      <c r="E187" s="62">
        <v>0.66666666666666663</v>
      </c>
      <c r="F187" s="62">
        <v>0.79166666666666663</v>
      </c>
      <c r="G187" s="64">
        <v>1.7361111111111109E-4</v>
      </c>
      <c r="H187" s="65" t="s">
        <v>163</v>
      </c>
      <c r="I187" s="66">
        <v>0.73499999999999999</v>
      </c>
      <c r="J187" s="56" t="s">
        <v>120</v>
      </c>
      <c r="K187" s="56" t="s">
        <v>200</v>
      </c>
      <c r="L187" s="68">
        <v>1</v>
      </c>
      <c r="M187" s="68">
        <v>71004</v>
      </c>
      <c r="N187" s="56" t="s">
        <v>46</v>
      </c>
      <c r="O187" s="68" t="s">
        <v>161</v>
      </c>
      <c r="P187" s="70">
        <v>0</v>
      </c>
      <c r="Q187" s="68"/>
      <c r="R187" s="70">
        <v>0</v>
      </c>
      <c r="S187" s="73">
        <v>46054</v>
      </c>
      <c r="T187" s="70">
        <v>0</v>
      </c>
      <c r="U187" s="74">
        <v>4</v>
      </c>
      <c r="V187" s="70">
        <v>0</v>
      </c>
      <c r="W187" s="56" t="s">
        <v>47</v>
      </c>
      <c r="X187" s="56" t="s">
        <v>48</v>
      </c>
      <c r="Y187" s="56" t="s">
        <v>36</v>
      </c>
      <c r="Z187" s="56" t="s">
        <v>9</v>
      </c>
      <c r="AA187" s="56" t="s">
        <v>49</v>
      </c>
      <c r="AB187" s="56" t="s">
        <v>162</v>
      </c>
      <c r="AC187" s="56" t="s">
        <v>38</v>
      </c>
      <c r="AD187" s="75" t="s">
        <v>267</v>
      </c>
      <c r="AE187" s="76"/>
      <c r="AF187" s="76"/>
      <c r="AG187" s="76"/>
      <c r="AH187" s="76"/>
      <c r="AI187" s="76"/>
      <c r="AJ187" s="76"/>
      <c r="AK187" s="76"/>
      <c r="AL187" s="76"/>
      <c r="AM187" s="76"/>
      <c r="AN187" s="76"/>
      <c r="AO187" s="76"/>
      <c r="AP187" s="76"/>
      <c r="AQ187" s="76"/>
      <c r="AR187" s="76"/>
      <c r="AS187" s="76"/>
      <c r="AT187" s="76"/>
      <c r="AU187" s="76"/>
      <c r="AV187" s="76"/>
      <c r="AW187" s="76"/>
    </row>
    <row r="188" spans="1:49" ht="31.5" x14ac:dyDescent="0.25">
      <c r="A188" s="56" t="s">
        <v>159</v>
      </c>
      <c r="B188" s="59">
        <v>46050</v>
      </c>
      <c r="C188" s="59">
        <v>46050</v>
      </c>
      <c r="D188" s="56" t="s">
        <v>196</v>
      </c>
      <c r="E188" s="62">
        <v>0.66666666666666663</v>
      </c>
      <c r="F188" s="62">
        <v>0.79166666666666663</v>
      </c>
      <c r="G188" s="64">
        <v>1.7361111111111109E-4</v>
      </c>
      <c r="H188" s="65" t="s">
        <v>160</v>
      </c>
      <c r="I188" s="66">
        <v>0.76356817129629617</v>
      </c>
      <c r="J188" s="56" t="s">
        <v>120</v>
      </c>
      <c r="K188" s="56" t="s">
        <v>194</v>
      </c>
      <c r="L188" s="68">
        <v>1</v>
      </c>
      <c r="M188" s="68">
        <v>71093</v>
      </c>
      <c r="N188" s="56" t="s">
        <v>53</v>
      </c>
      <c r="O188" s="68" t="s">
        <v>161</v>
      </c>
      <c r="P188" s="70">
        <v>15</v>
      </c>
      <c r="Q188" s="68"/>
      <c r="R188" s="70">
        <v>15</v>
      </c>
      <c r="S188" s="73">
        <v>46054</v>
      </c>
      <c r="T188" s="70">
        <v>2.25</v>
      </c>
      <c r="U188" s="74">
        <v>4</v>
      </c>
      <c r="V188" s="70">
        <v>12.75</v>
      </c>
      <c r="W188" s="56" t="s">
        <v>47</v>
      </c>
      <c r="X188" s="56" t="s">
        <v>48</v>
      </c>
      <c r="Y188" s="56" t="s">
        <v>36</v>
      </c>
      <c r="Z188" s="56" t="s">
        <v>9</v>
      </c>
      <c r="AA188" s="56" t="s">
        <v>49</v>
      </c>
      <c r="AB188" s="56" t="s">
        <v>162</v>
      </c>
      <c r="AC188" s="56" t="s">
        <v>38</v>
      </c>
      <c r="AD188" s="75" t="s">
        <v>267</v>
      </c>
      <c r="AE188" s="76"/>
      <c r="AF188" s="76"/>
      <c r="AG188" s="76"/>
      <c r="AH188" s="76"/>
      <c r="AI188" s="86"/>
      <c r="AJ188" s="86"/>
      <c r="AK188" s="86"/>
      <c r="AL188" s="86"/>
      <c r="AM188" s="86"/>
      <c r="AN188" s="86"/>
      <c r="AO188" s="86"/>
      <c r="AP188" s="86"/>
      <c r="AQ188" s="86"/>
      <c r="AR188" s="86"/>
      <c r="AS188" s="86"/>
      <c r="AT188" s="86"/>
      <c r="AU188" s="86"/>
      <c r="AV188" s="86"/>
      <c r="AW188" s="86"/>
    </row>
    <row r="189" spans="1:49" ht="31.5" x14ac:dyDescent="0.25">
      <c r="A189" s="56" t="s">
        <v>159</v>
      </c>
      <c r="B189" s="59">
        <v>46050</v>
      </c>
      <c r="C189" s="59">
        <v>46050</v>
      </c>
      <c r="D189" s="56" t="s">
        <v>196</v>
      </c>
      <c r="E189" s="62">
        <v>0.66666666666666663</v>
      </c>
      <c r="F189" s="62">
        <v>0.79166666666666663</v>
      </c>
      <c r="G189" s="64">
        <v>1.7361111111111109E-4</v>
      </c>
      <c r="H189" s="65" t="s">
        <v>163</v>
      </c>
      <c r="I189" s="66">
        <v>0.76547789351851847</v>
      </c>
      <c r="J189" s="56" t="s">
        <v>120</v>
      </c>
      <c r="K189" s="56" t="s">
        <v>194</v>
      </c>
      <c r="L189" s="68">
        <v>1</v>
      </c>
      <c r="M189" s="68">
        <v>71093</v>
      </c>
      <c r="N189" s="56" t="s">
        <v>53</v>
      </c>
      <c r="O189" s="68" t="s">
        <v>161</v>
      </c>
      <c r="P189" s="70">
        <v>15</v>
      </c>
      <c r="Q189" s="68"/>
      <c r="R189" s="70">
        <v>15</v>
      </c>
      <c r="S189" s="73">
        <v>46054</v>
      </c>
      <c r="T189" s="70">
        <v>2.25</v>
      </c>
      <c r="U189" s="74">
        <v>4</v>
      </c>
      <c r="V189" s="70">
        <v>12.75</v>
      </c>
      <c r="W189" s="56" t="s">
        <v>47</v>
      </c>
      <c r="X189" s="56" t="s">
        <v>48</v>
      </c>
      <c r="Y189" s="56" t="s">
        <v>36</v>
      </c>
      <c r="Z189" s="56" t="s">
        <v>9</v>
      </c>
      <c r="AA189" s="56" t="s">
        <v>49</v>
      </c>
      <c r="AB189" s="56" t="s">
        <v>162</v>
      </c>
      <c r="AC189" s="56" t="s">
        <v>38</v>
      </c>
      <c r="AD189" s="75" t="s">
        <v>267</v>
      </c>
      <c r="AE189" s="76"/>
      <c r="AF189" s="76"/>
      <c r="AG189" s="76"/>
      <c r="AH189" s="76"/>
      <c r="AI189" s="86"/>
      <c r="AJ189" s="86"/>
      <c r="AK189" s="86"/>
      <c r="AL189" s="86"/>
      <c r="AM189" s="86"/>
      <c r="AN189" s="86"/>
      <c r="AO189" s="86"/>
      <c r="AP189" s="86"/>
      <c r="AQ189" s="86"/>
      <c r="AR189" s="86"/>
      <c r="AS189" s="86"/>
      <c r="AT189" s="86"/>
      <c r="AU189" s="86"/>
      <c r="AV189" s="86"/>
      <c r="AW189" s="86"/>
    </row>
    <row r="190" spans="1:49" ht="31.5" x14ac:dyDescent="0.25">
      <c r="A190" s="56" t="s">
        <v>159</v>
      </c>
      <c r="B190" s="59">
        <v>46050</v>
      </c>
      <c r="C190" s="59">
        <v>46050</v>
      </c>
      <c r="D190" s="56" t="s">
        <v>196</v>
      </c>
      <c r="E190" s="62">
        <v>0.66666666666666663</v>
      </c>
      <c r="F190" s="62">
        <v>0.79166666666666663</v>
      </c>
      <c r="G190" s="64">
        <v>1.7361111111111109E-4</v>
      </c>
      <c r="H190" s="65" t="s">
        <v>164</v>
      </c>
      <c r="I190" s="66">
        <v>0.78496817129629626</v>
      </c>
      <c r="J190" s="56" t="s">
        <v>120</v>
      </c>
      <c r="K190" s="56" t="s">
        <v>155</v>
      </c>
      <c r="L190" s="68">
        <v>1</v>
      </c>
      <c r="M190" s="68">
        <v>71093</v>
      </c>
      <c r="N190" s="56" t="s">
        <v>53</v>
      </c>
      <c r="O190" s="68" t="s">
        <v>161</v>
      </c>
      <c r="P190" s="70">
        <v>15</v>
      </c>
      <c r="Q190" s="68"/>
      <c r="R190" s="70">
        <v>15</v>
      </c>
      <c r="S190" s="73">
        <v>46054</v>
      </c>
      <c r="T190" s="70">
        <v>2.25</v>
      </c>
      <c r="U190" s="74">
        <v>4</v>
      </c>
      <c r="V190" s="70">
        <v>12.75</v>
      </c>
      <c r="W190" s="56" t="s">
        <v>47</v>
      </c>
      <c r="X190" s="56" t="s">
        <v>48</v>
      </c>
      <c r="Y190" s="56" t="s">
        <v>36</v>
      </c>
      <c r="Z190" s="56" t="s">
        <v>9</v>
      </c>
      <c r="AA190" s="56" t="s">
        <v>49</v>
      </c>
      <c r="AB190" s="56" t="s">
        <v>162</v>
      </c>
      <c r="AC190" s="56" t="s">
        <v>38</v>
      </c>
      <c r="AD190" s="75" t="s">
        <v>267</v>
      </c>
      <c r="AE190" s="76"/>
      <c r="AF190" s="76"/>
      <c r="AG190" s="76"/>
      <c r="AH190" s="76"/>
      <c r="AI190" s="86"/>
      <c r="AJ190" s="86"/>
      <c r="AK190" s="86"/>
      <c r="AL190" s="86"/>
      <c r="AM190" s="86"/>
      <c r="AN190" s="86"/>
      <c r="AO190" s="86"/>
      <c r="AP190" s="86"/>
      <c r="AQ190" s="86"/>
      <c r="AR190" s="86"/>
      <c r="AS190" s="86"/>
      <c r="AT190" s="86"/>
      <c r="AU190" s="86"/>
      <c r="AV190" s="86"/>
      <c r="AW190" s="86"/>
    </row>
    <row r="191" spans="1:49" ht="31.5" x14ac:dyDescent="0.25">
      <c r="A191" s="56" t="s">
        <v>159</v>
      </c>
      <c r="B191" s="59">
        <v>46050</v>
      </c>
      <c r="C191" s="59">
        <v>46050</v>
      </c>
      <c r="D191" s="56" t="s">
        <v>196</v>
      </c>
      <c r="E191" s="62">
        <v>0.66666666666666663</v>
      </c>
      <c r="F191" s="62">
        <v>0.79166666666666663</v>
      </c>
      <c r="G191" s="64">
        <v>1.7361111111111109E-4</v>
      </c>
      <c r="H191" s="65" t="s">
        <v>165</v>
      </c>
      <c r="I191" s="66">
        <v>0.78670451388888896</v>
      </c>
      <c r="J191" s="56" t="s">
        <v>120</v>
      </c>
      <c r="K191" s="56" t="s">
        <v>155</v>
      </c>
      <c r="L191" s="68">
        <v>1</v>
      </c>
      <c r="M191" s="68">
        <v>71093</v>
      </c>
      <c r="N191" s="56" t="s">
        <v>53</v>
      </c>
      <c r="O191" s="68" t="s">
        <v>161</v>
      </c>
      <c r="P191" s="70">
        <v>15</v>
      </c>
      <c r="Q191" s="68"/>
      <c r="R191" s="70">
        <v>15</v>
      </c>
      <c r="S191" s="73">
        <v>46054</v>
      </c>
      <c r="T191" s="70">
        <v>2.25</v>
      </c>
      <c r="U191" s="74">
        <v>4</v>
      </c>
      <c r="V191" s="70">
        <v>12.75</v>
      </c>
      <c r="W191" s="56" t="s">
        <v>47</v>
      </c>
      <c r="X191" s="56" t="s">
        <v>48</v>
      </c>
      <c r="Y191" s="56" t="s">
        <v>36</v>
      </c>
      <c r="Z191" s="56" t="s">
        <v>9</v>
      </c>
      <c r="AA191" s="56" t="s">
        <v>49</v>
      </c>
      <c r="AB191" s="56" t="s">
        <v>162</v>
      </c>
      <c r="AC191" s="56" t="s">
        <v>38</v>
      </c>
      <c r="AD191" s="75" t="s">
        <v>267</v>
      </c>
      <c r="AE191" s="76"/>
      <c r="AF191" s="76"/>
      <c r="AG191" s="76"/>
      <c r="AH191" s="76"/>
      <c r="AI191" s="86"/>
      <c r="AJ191" s="86"/>
      <c r="AK191" s="86"/>
      <c r="AL191" s="86"/>
      <c r="AM191" s="86"/>
      <c r="AN191" s="86"/>
      <c r="AO191" s="86"/>
      <c r="AP191" s="86"/>
      <c r="AQ191" s="86"/>
      <c r="AR191" s="86"/>
      <c r="AS191" s="86"/>
      <c r="AT191" s="86"/>
      <c r="AU191" s="86"/>
      <c r="AV191" s="86"/>
      <c r="AW191" s="86"/>
    </row>
    <row r="192" spans="1:49" ht="31.5" x14ac:dyDescent="0.2">
      <c r="A192" s="56" t="s">
        <v>159</v>
      </c>
      <c r="B192" s="59">
        <v>46051</v>
      </c>
      <c r="C192" s="59">
        <v>46051</v>
      </c>
      <c r="D192" s="56" t="s">
        <v>207</v>
      </c>
      <c r="E192" s="62">
        <v>0.25</v>
      </c>
      <c r="F192" s="62">
        <v>0.875</v>
      </c>
      <c r="G192" s="64">
        <v>1.7361111111111109E-4</v>
      </c>
      <c r="H192" s="65" t="s">
        <v>160</v>
      </c>
      <c r="I192" s="66">
        <v>0.25978171296296293</v>
      </c>
      <c r="J192" s="56" t="s">
        <v>41</v>
      </c>
      <c r="K192" s="56" t="s">
        <v>40</v>
      </c>
      <c r="L192" s="68">
        <v>1</v>
      </c>
      <c r="M192" s="68">
        <v>71013</v>
      </c>
      <c r="N192" s="56" t="s">
        <v>53</v>
      </c>
      <c r="O192" s="68" t="s">
        <v>161</v>
      </c>
      <c r="P192" s="70">
        <v>15</v>
      </c>
      <c r="Q192" s="68"/>
      <c r="R192" s="70">
        <v>15</v>
      </c>
      <c r="S192" s="73">
        <v>46054</v>
      </c>
      <c r="T192" s="70">
        <v>2.25</v>
      </c>
      <c r="U192" s="74">
        <v>4</v>
      </c>
      <c r="V192" s="70">
        <v>12.75</v>
      </c>
      <c r="W192" s="56" t="s">
        <v>47</v>
      </c>
      <c r="X192" s="56" t="s">
        <v>48</v>
      </c>
      <c r="Y192" s="56" t="s">
        <v>36</v>
      </c>
      <c r="Z192" s="56" t="s">
        <v>9</v>
      </c>
      <c r="AA192" s="56" t="s">
        <v>49</v>
      </c>
      <c r="AB192" s="56" t="s">
        <v>162</v>
      </c>
      <c r="AC192" s="56" t="s">
        <v>38</v>
      </c>
      <c r="AD192" s="75" t="s">
        <v>267</v>
      </c>
      <c r="AE192" s="57"/>
      <c r="AF192" s="57"/>
      <c r="AG192" s="57"/>
      <c r="AH192" s="57"/>
      <c r="AI192" s="57"/>
      <c r="AJ192" s="57"/>
      <c r="AK192" s="57"/>
      <c r="AL192" s="57"/>
      <c r="AM192" s="57"/>
      <c r="AN192" s="57"/>
      <c r="AO192" s="57"/>
      <c r="AP192" s="57"/>
      <c r="AQ192" s="57"/>
      <c r="AR192" s="57"/>
      <c r="AS192" s="57"/>
      <c r="AT192" s="57"/>
      <c r="AU192" s="57"/>
      <c r="AV192" s="57"/>
      <c r="AW192" s="57"/>
    </row>
    <row r="193" spans="1:49" ht="31.5" x14ac:dyDescent="0.2">
      <c r="A193" s="56" t="s">
        <v>159</v>
      </c>
      <c r="B193" s="59">
        <v>46051</v>
      </c>
      <c r="C193" s="59">
        <v>46051</v>
      </c>
      <c r="D193" s="56" t="s">
        <v>207</v>
      </c>
      <c r="E193" s="62">
        <v>0.25</v>
      </c>
      <c r="F193" s="62">
        <v>0.875</v>
      </c>
      <c r="G193" s="64">
        <v>1.7361111111111109E-4</v>
      </c>
      <c r="H193" s="65" t="s">
        <v>163</v>
      </c>
      <c r="I193" s="66">
        <v>0.26169143518518517</v>
      </c>
      <c r="J193" s="56" t="s">
        <v>41</v>
      </c>
      <c r="K193" s="56" t="s">
        <v>40</v>
      </c>
      <c r="L193" s="68">
        <v>1</v>
      </c>
      <c r="M193" s="68">
        <v>71013</v>
      </c>
      <c r="N193" s="56" t="s">
        <v>53</v>
      </c>
      <c r="O193" s="68" t="s">
        <v>161</v>
      </c>
      <c r="P193" s="70">
        <v>15</v>
      </c>
      <c r="Q193" s="68"/>
      <c r="R193" s="70">
        <v>15</v>
      </c>
      <c r="S193" s="73">
        <v>46054</v>
      </c>
      <c r="T193" s="70">
        <v>2.25</v>
      </c>
      <c r="U193" s="74">
        <v>4</v>
      </c>
      <c r="V193" s="70">
        <v>12.75</v>
      </c>
      <c r="W193" s="56" t="s">
        <v>47</v>
      </c>
      <c r="X193" s="56" t="s">
        <v>48</v>
      </c>
      <c r="Y193" s="56" t="s">
        <v>36</v>
      </c>
      <c r="Z193" s="56" t="s">
        <v>9</v>
      </c>
      <c r="AA193" s="56" t="s">
        <v>49</v>
      </c>
      <c r="AB193" s="56" t="s">
        <v>162</v>
      </c>
      <c r="AC193" s="56" t="s">
        <v>38</v>
      </c>
      <c r="AD193" s="75" t="s">
        <v>267</v>
      </c>
      <c r="AE193" s="57"/>
      <c r="AF193" s="57"/>
      <c r="AG193" s="57"/>
      <c r="AH193" s="57"/>
      <c r="AI193" s="57"/>
      <c r="AJ193" s="57"/>
      <c r="AK193" s="57"/>
      <c r="AL193" s="57"/>
      <c r="AM193" s="57"/>
      <c r="AN193" s="57"/>
      <c r="AO193" s="57"/>
      <c r="AP193" s="57"/>
      <c r="AQ193" s="57"/>
      <c r="AR193" s="57"/>
      <c r="AS193" s="57"/>
      <c r="AT193" s="57"/>
      <c r="AU193" s="57"/>
      <c r="AV193" s="57"/>
      <c r="AW193" s="57"/>
    </row>
    <row r="194" spans="1:49" ht="31.5" x14ac:dyDescent="0.25">
      <c r="A194" s="56" t="s">
        <v>159</v>
      </c>
      <c r="B194" s="59">
        <v>46051</v>
      </c>
      <c r="C194" s="59">
        <v>46051</v>
      </c>
      <c r="D194" s="56" t="s">
        <v>207</v>
      </c>
      <c r="E194" s="62">
        <v>0.25</v>
      </c>
      <c r="F194" s="62">
        <v>0.99930555555555556</v>
      </c>
      <c r="G194" s="64">
        <v>1.7361111111111109E-4</v>
      </c>
      <c r="H194" s="65" t="s">
        <v>164</v>
      </c>
      <c r="I194" s="66">
        <v>0.2834494212962963</v>
      </c>
      <c r="J194" s="56" t="s">
        <v>41</v>
      </c>
      <c r="K194" s="56" t="s">
        <v>40</v>
      </c>
      <c r="L194" s="68">
        <v>1</v>
      </c>
      <c r="M194" s="68">
        <v>71016</v>
      </c>
      <c r="N194" s="56" t="s">
        <v>46</v>
      </c>
      <c r="O194" s="68" t="s">
        <v>161</v>
      </c>
      <c r="P194" s="70">
        <v>0</v>
      </c>
      <c r="Q194" s="68"/>
      <c r="R194" s="70">
        <v>0</v>
      </c>
      <c r="S194" s="73">
        <v>46054</v>
      </c>
      <c r="T194" s="70">
        <v>0</v>
      </c>
      <c r="U194" s="74">
        <v>4</v>
      </c>
      <c r="V194" s="70">
        <v>0</v>
      </c>
      <c r="W194" s="56" t="s">
        <v>47</v>
      </c>
      <c r="X194" s="56" t="s">
        <v>48</v>
      </c>
      <c r="Y194" s="56" t="s">
        <v>36</v>
      </c>
      <c r="Z194" s="56" t="s">
        <v>9</v>
      </c>
      <c r="AA194" s="56" t="s">
        <v>49</v>
      </c>
      <c r="AB194" s="56" t="s">
        <v>162</v>
      </c>
      <c r="AC194" s="56" t="s">
        <v>38</v>
      </c>
      <c r="AD194" s="75" t="s">
        <v>267</v>
      </c>
      <c r="AE194" s="76"/>
      <c r="AF194" s="76"/>
      <c r="AG194" s="76"/>
      <c r="AH194" s="76"/>
      <c r="AI194" s="76"/>
      <c r="AJ194" s="76"/>
      <c r="AK194" s="76"/>
      <c r="AL194" s="76"/>
      <c r="AM194" s="76"/>
      <c r="AN194" s="76"/>
      <c r="AO194" s="76"/>
      <c r="AP194" s="76"/>
      <c r="AQ194" s="76"/>
      <c r="AR194" s="76"/>
      <c r="AS194" s="76"/>
      <c r="AT194" s="76"/>
      <c r="AU194" s="76"/>
      <c r="AV194" s="76"/>
      <c r="AW194" s="76"/>
    </row>
    <row r="195" spans="1:49" ht="31.5" x14ac:dyDescent="0.25">
      <c r="A195" s="56" t="s">
        <v>159</v>
      </c>
      <c r="B195" s="59">
        <v>46051</v>
      </c>
      <c r="C195" s="59">
        <v>46051</v>
      </c>
      <c r="D195" s="56" t="s">
        <v>207</v>
      </c>
      <c r="E195" s="62">
        <v>0.25</v>
      </c>
      <c r="F195" s="62">
        <v>0.99930555555555556</v>
      </c>
      <c r="G195" s="64">
        <v>1.7361111111111109E-4</v>
      </c>
      <c r="H195" s="65" t="s">
        <v>165</v>
      </c>
      <c r="I195" s="66">
        <v>0.28535879629629629</v>
      </c>
      <c r="J195" s="56" t="s">
        <v>41</v>
      </c>
      <c r="K195" s="56" t="s">
        <v>40</v>
      </c>
      <c r="L195" s="68">
        <v>1</v>
      </c>
      <c r="M195" s="68">
        <v>71016</v>
      </c>
      <c r="N195" s="56" t="s">
        <v>46</v>
      </c>
      <c r="O195" s="68" t="s">
        <v>161</v>
      </c>
      <c r="P195" s="70">
        <v>0</v>
      </c>
      <c r="Q195" s="68"/>
      <c r="R195" s="70">
        <v>0</v>
      </c>
      <c r="S195" s="73">
        <v>46054</v>
      </c>
      <c r="T195" s="70">
        <v>0</v>
      </c>
      <c r="U195" s="74">
        <v>4</v>
      </c>
      <c r="V195" s="70">
        <v>0</v>
      </c>
      <c r="W195" s="56" t="s">
        <v>47</v>
      </c>
      <c r="X195" s="56" t="s">
        <v>48</v>
      </c>
      <c r="Y195" s="56" t="s">
        <v>36</v>
      </c>
      <c r="Z195" s="56" t="s">
        <v>9</v>
      </c>
      <c r="AA195" s="56" t="s">
        <v>49</v>
      </c>
      <c r="AB195" s="56" t="s">
        <v>162</v>
      </c>
      <c r="AC195" s="56" t="s">
        <v>38</v>
      </c>
      <c r="AD195" s="75" t="s">
        <v>267</v>
      </c>
      <c r="AE195" s="76"/>
      <c r="AF195" s="76"/>
      <c r="AG195" s="76"/>
      <c r="AH195" s="76"/>
      <c r="AI195" s="76"/>
      <c r="AJ195" s="76"/>
      <c r="AK195" s="76"/>
      <c r="AL195" s="76"/>
      <c r="AM195" s="76"/>
      <c r="AN195" s="76"/>
      <c r="AO195" s="76"/>
      <c r="AP195" s="76"/>
      <c r="AQ195" s="76"/>
      <c r="AR195" s="76"/>
      <c r="AS195" s="76"/>
      <c r="AT195" s="76"/>
      <c r="AU195" s="76"/>
      <c r="AV195" s="76"/>
      <c r="AW195" s="76"/>
    </row>
    <row r="196" spans="1:49" ht="31.5" x14ac:dyDescent="0.25">
      <c r="A196" s="56" t="s">
        <v>159</v>
      </c>
      <c r="B196" s="59">
        <v>46051</v>
      </c>
      <c r="C196" s="59">
        <v>46051</v>
      </c>
      <c r="D196" s="56" t="s">
        <v>207</v>
      </c>
      <c r="E196" s="62">
        <v>0.25</v>
      </c>
      <c r="F196" s="62">
        <v>0.875</v>
      </c>
      <c r="G196" s="64">
        <v>1.7361111111111109E-4</v>
      </c>
      <c r="H196" s="65" t="s">
        <v>164</v>
      </c>
      <c r="I196" s="66">
        <v>0.80677291666666662</v>
      </c>
      <c r="J196" s="56" t="s">
        <v>41</v>
      </c>
      <c r="K196" s="56" t="s">
        <v>131</v>
      </c>
      <c r="L196" s="68">
        <v>1</v>
      </c>
      <c r="M196" s="68">
        <v>71098</v>
      </c>
      <c r="N196" s="56" t="s">
        <v>53</v>
      </c>
      <c r="O196" s="68" t="s">
        <v>161</v>
      </c>
      <c r="P196" s="70">
        <v>15</v>
      </c>
      <c r="Q196" s="68"/>
      <c r="R196" s="70">
        <v>15</v>
      </c>
      <c r="S196" s="73">
        <v>46054</v>
      </c>
      <c r="T196" s="70">
        <v>2.25</v>
      </c>
      <c r="U196" s="74">
        <v>4</v>
      </c>
      <c r="V196" s="70">
        <v>12.75</v>
      </c>
      <c r="W196" s="56" t="s">
        <v>47</v>
      </c>
      <c r="X196" s="56" t="s">
        <v>48</v>
      </c>
      <c r="Y196" s="56" t="s">
        <v>36</v>
      </c>
      <c r="Z196" s="56" t="s">
        <v>9</v>
      </c>
      <c r="AA196" s="56" t="s">
        <v>49</v>
      </c>
      <c r="AB196" s="56" t="s">
        <v>162</v>
      </c>
      <c r="AC196" s="56" t="s">
        <v>38</v>
      </c>
      <c r="AD196" s="75" t="s">
        <v>267</v>
      </c>
      <c r="AE196" s="79"/>
      <c r="AF196" s="79"/>
      <c r="AG196" s="79"/>
      <c r="AH196" s="79"/>
      <c r="AI196" s="86"/>
      <c r="AJ196" s="86"/>
      <c r="AK196" s="86"/>
      <c r="AL196" s="86"/>
      <c r="AM196" s="86"/>
      <c r="AN196" s="86"/>
      <c r="AO196" s="86"/>
      <c r="AP196" s="86"/>
      <c r="AQ196" s="86"/>
      <c r="AR196" s="86"/>
      <c r="AS196" s="86"/>
      <c r="AT196" s="86"/>
      <c r="AU196" s="86"/>
      <c r="AV196" s="86"/>
      <c r="AW196" s="86"/>
    </row>
    <row r="197" spans="1:49" ht="31.5" x14ac:dyDescent="0.25">
      <c r="A197" s="56" t="s">
        <v>159</v>
      </c>
      <c r="B197" s="59">
        <v>46051</v>
      </c>
      <c r="C197" s="59">
        <v>46051</v>
      </c>
      <c r="D197" s="56" t="s">
        <v>207</v>
      </c>
      <c r="E197" s="62">
        <v>0.25</v>
      </c>
      <c r="F197" s="62">
        <v>0.875</v>
      </c>
      <c r="G197" s="64">
        <v>1.7361111111111109E-4</v>
      </c>
      <c r="H197" s="65" t="s">
        <v>165</v>
      </c>
      <c r="I197" s="66">
        <v>0.80781493055555564</v>
      </c>
      <c r="J197" s="56" t="s">
        <v>41</v>
      </c>
      <c r="K197" s="56" t="s">
        <v>131</v>
      </c>
      <c r="L197" s="68">
        <v>1</v>
      </c>
      <c r="M197" s="68">
        <v>71098</v>
      </c>
      <c r="N197" s="56" t="s">
        <v>53</v>
      </c>
      <c r="O197" s="68" t="s">
        <v>161</v>
      </c>
      <c r="P197" s="70">
        <v>15</v>
      </c>
      <c r="Q197" s="68"/>
      <c r="R197" s="70">
        <v>15</v>
      </c>
      <c r="S197" s="73">
        <v>46054</v>
      </c>
      <c r="T197" s="70">
        <v>2.25</v>
      </c>
      <c r="U197" s="74">
        <v>4</v>
      </c>
      <c r="V197" s="70">
        <v>12.75</v>
      </c>
      <c r="W197" s="56" t="s">
        <v>47</v>
      </c>
      <c r="X197" s="56" t="s">
        <v>48</v>
      </c>
      <c r="Y197" s="56" t="s">
        <v>36</v>
      </c>
      <c r="Z197" s="56" t="s">
        <v>9</v>
      </c>
      <c r="AA197" s="56" t="s">
        <v>49</v>
      </c>
      <c r="AB197" s="56" t="s">
        <v>162</v>
      </c>
      <c r="AC197" s="56" t="s">
        <v>38</v>
      </c>
      <c r="AD197" s="75" t="s">
        <v>267</v>
      </c>
      <c r="AE197" s="79"/>
      <c r="AF197" s="79"/>
      <c r="AG197" s="79"/>
      <c r="AH197" s="79"/>
      <c r="AI197" s="86"/>
      <c r="AJ197" s="86"/>
      <c r="AK197" s="86"/>
      <c r="AL197" s="86"/>
      <c r="AM197" s="86"/>
      <c r="AN197" s="86"/>
      <c r="AO197" s="86"/>
      <c r="AP197" s="86"/>
      <c r="AQ197" s="86"/>
      <c r="AR197" s="86"/>
      <c r="AS197" s="86"/>
      <c r="AT197" s="86"/>
      <c r="AU197" s="86"/>
      <c r="AV197" s="86"/>
      <c r="AW197" s="86"/>
    </row>
    <row r="198" spans="1:49" ht="31.5" x14ac:dyDescent="0.25">
      <c r="A198" s="56" t="s">
        <v>159</v>
      </c>
      <c r="B198" s="59">
        <v>46051</v>
      </c>
      <c r="C198" s="59">
        <v>46051</v>
      </c>
      <c r="D198" s="56" t="s">
        <v>207</v>
      </c>
      <c r="E198" s="62">
        <v>0.25</v>
      </c>
      <c r="F198" s="62">
        <v>0.875</v>
      </c>
      <c r="G198" s="64">
        <v>1.7361111111111109E-4</v>
      </c>
      <c r="H198" s="65" t="s">
        <v>160</v>
      </c>
      <c r="I198" s="66">
        <v>0.85339259259259259</v>
      </c>
      <c r="J198" s="56" t="s">
        <v>41</v>
      </c>
      <c r="K198" s="56" t="s">
        <v>157</v>
      </c>
      <c r="L198" s="68">
        <v>1</v>
      </c>
      <c r="M198" s="68">
        <v>71098</v>
      </c>
      <c r="N198" s="56" t="s">
        <v>53</v>
      </c>
      <c r="O198" s="68" t="s">
        <v>161</v>
      </c>
      <c r="P198" s="70">
        <v>15</v>
      </c>
      <c r="Q198" s="68"/>
      <c r="R198" s="70">
        <v>15</v>
      </c>
      <c r="S198" s="73">
        <v>46054</v>
      </c>
      <c r="T198" s="70">
        <v>2.25</v>
      </c>
      <c r="U198" s="74">
        <v>4</v>
      </c>
      <c r="V198" s="70">
        <v>12.75</v>
      </c>
      <c r="W198" s="56" t="s">
        <v>47</v>
      </c>
      <c r="X198" s="56" t="s">
        <v>48</v>
      </c>
      <c r="Y198" s="56" t="s">
        <v>36</v>
      </c>
      <c r="Z198" s="56" t="s">
        <v>9</v>
      </c>
      <c r="AA198" s="56" t="s">
        <v>49</v>
      </c>
      <c r="AB198" s="56" t="s">
        <v>162</v>
      </c>
      <c r="AC198" s="56" t="s">
        <v>38</v>
      </c>
      <c r="AD198" s="75" t="s">
        <v>267</v>
      </c>
      <c r="AE198" s="77"/>
      <c r="AF198" s="77"/>
      <c r="AG198" s="77"/>
      <c r="AH198" s="77"/>
      <c r="AI198" s="86"/>
      <c r="AJ198" s="86"/>
      <c r="AK198" s="86"/>
      <c r="AL198" s="86"/>
      <c r="AM198" s="86"/>
      <c r="AN198" s="86"/>
      <c r="AO198" s="86"/>
      <c r="AP198" s="86"/>
      <c r="AQ198" s="86"/>
      <c r="AR198" s="86"/>
      <c r="AS198" s="86"/>
      <c r="AT198" s="86"/>
      <c r="AU198" s="86"/>
      <c r="AV198" s="86"/>
      <c r="AW198" s="86"/>
    </row>
    <row r="199" spans="1:49" ht="31.5" x14ac:dyDescent="0.2">
      <c r="A199" s="56" t="s">
        <v>159</v>
      </c>
      <c r="B199" s="59">
        <v>46051</v>
      </c>
      <c r="C199" s="59">
        <v>46051</v>
      </c>
      <c r="D199" s="56" t="s">
        <v>207</v>
      </c>
      <c r="E199" s="62">
        <v>0.25</v>
      </c>
      <c r="F199" s="62">
        <v>0.875</v>
      </c>
      <c r="G199" s="64">
        <v>1.7361111111111109E-4</v>
      </c>
      <c r="H199" s="65" t="s">
        <v>163</v>
      </c>
      <c r="I199" s="66">
        <v>0.8544342592592592</v>
      </c>
      <c r="J199" s="56" t="s">
        <v>41</v>
      </c>
      <c r="K199" s="56" t="s">
        <v>157</v>
      </c>
      <c r="L199" s="68">
        <v>1</v>
      </c>
      <c r="M199" s="68">
        <v>71098</v>
      </c>
      <c r="N199" s="56" t="s">
        <v>53</v>
      </c>
      <c r="O199" s="68" t="s">
        <v>161</v>
      </c>
      <c r="P199" s="70">
        <v>15</v>
      </c>
      <c r="Q199" s="68"/>
      <c r="R199" s="70">
        <v>15</v>
      </c>
      <c r="S199" s="73">
        <v>46054</v>
      </c>
      <c r="T199" s="70">
        <v>2.25</v>
      </c>
      <c r="U199" s="74">
        <v>4</v>
      </c>
      <c r="V199" s="70">
        <v>12.75</v>
      </c>
      <c r="W199" s="56" t="s">
        <v>47</v>
      </c>
      <c r="X199" s="56" t="s">
        <v>48</v>
      </c>
      <c r="Y199" s="56" t="s">
        <v>36</v>
      </c>
      <c r="Z199" s="56" t="s">
        <v>9</v>
      </c>
      <c r="AA199" s="56" t="s">
        <v>49</v>
      </c>
      <c r="AB199" s="56" t="s">
        <v>162</v>
      </c>
      <c r="AC199" s="56" t="s">
        <v>38</v>
      </c>
      <c r="AD199" s="75" t="s">
        <v>267</v>
      </c>
      <c r="AE199" s="57"/>
      <c r="AF199" s="57"/>
      <c r="AG199" s="57"/>
      <c r="AH199" s="57"/>
      <c r="AI199" s="57"/>
      <c r="AJ199" s="57"/>
      <c r="AK199" s="57"/>
      <c r="AL199" s="57"/>
      <c r="AM199" s="57"/>
      <c r="AN199" s="57"/>
      <c r="AO199" s="57"/>
      <c r="AP199" s="57"/>
      <c r="AQ199" s="57"/>
      <c r="AR199" s="57"/>
      <c r="AS199" s="57"/>
      <c r="AT199" s="57"/>
      <c r="AU199" s="57"/>
      <c r="AV199" s="57"/>
      <c r="AW199" s="57"/>
    </row>
    <row r="200" spans="1:49" ht="31.5" x14ac:dyDescent="0.2">
      <c r="A200" s="56" t="s">
        <v>159</v>
      </c>
      <c r="B200" s="59">
        <v>46051</v>
      </c>
      <c r="C200" s="59">
        <v>46051</v>
      </c>
      <c r="D200" s="56" t="s">
        <v>207</v>
      </c>
      <c r="E200" s="62">
        <v>0.25</v>
      </c>
      <c r="F200" s="62">
        <v>0.875</v>
      </c>
      <c r="G200" s="64">
        <v>1.7361111111111109E-4</v>
      </c>
      <c r="H200" s="65" t="s">
        <v>160</v>
      </c>
      <c r="I200" s="66">
        <v>0.87100798611111108</v>
      </c>
      <c r="J200" s="56" t="s">
        <v>41</v>
      </c>
      <c r="K200" s="56" t="s">
        <v>157</v>
      </c>
      <c r="L200" s="68">
        <v>1</v>
      </c>
      <c r="M200" s="68">
        <v>71098</v>
      </c>
      <c r="N200" s="56" t="s">
        <v>53</v>
      </c>
      <c r="O200" s="68" t="s">
        <v>161</v>
      </c>
      <c r="P200" s="70">
        <v>15</v>
      </c>
      <c r="Q200" s="68"/>
      <c r="R200" s="70">
        <v>15</v>
      </c>
      <c r="S200" s="73">
        <v>46054</v>
      </c>
      <c r="T200" s="70">
        <v>2.25</v>
      </c>
      <c r="U200" s="74">
        <v>4</v>
      </c>
      <c r="V200" s="70">
        <v>12.75</v>
      </c>
      <c r="W200" s="56" t="s">
        <v>47</v>
      </c>
      <c r="X200" s="56" t="s">
        <v>48</v>
      </c>
      <c r="Y200" s="56" t="s">
        <v>36</v>
      </c>
      <c r="Z200" s="56" t="s">
        <v>9</v>
      </c>
      <c r="AA200" s="56" t="s">
        <v>49</v>
      </c>
      <c r="AB200" s="56" t="s">
        <v>162</v>
      </c>
      <c r="AC200" s="56" t="s">
        <v>38</v>
      </c>
      <c r="AD200" s="75" t="s">
        <v>267</v>
      </c>
      <c r="AE200" s="57"/>
      <c r="AF200" s="57"/>
      <c r="AG200" s="57"/>
      <c r="AH200" s="57"/>
      <c r="AI200" s="57"/>
      <c r="AJ200" s="57"/>
      <c r="AK200" s="57"/>
      <c r="AL200" s="57"/>
      <c r="AM200" s="57"/>
      <c r="AN200" s="57"/>
      <c r="AO200" s="57"/>
      <c r="AP200" s="57"/>
      <c r="AQ200" s="57"/>
      <c r="AR200" s="57"/>
      <c r="AS200" s="57"/>
      <c r="AT200" s="57"/>
      <c r="AU200" s="57"/>
      <c r="AV200" s="57"/>
      <c r="AW200" s="57"/>
    </row>
    <row r="201" spans="1:49" ht="31.5" x14ac:dyDescent="0.2">
      <c r="A201" s="56" t="s">
        <v>159</v>
      </c>
      <c r="B201" s="59">
        <v>46051</v>
      </c>
      <c r="C201" s="59">
        <v>46051</v>
      </c>
      <c r="D201" s="56" t="s">
        <v>207</v>
      </c>
      <c r="E201" s="62">
        <v>0.25</v>
      </c>
      <c r="F201" s="62">
        <v>0.875</v>
      </c>
      <c r="G201" s="64">
        <v>1.7361111111111109E-4</v>
      </c>
      <c r="H201" s="65" t="s">
        <v>163</v>
      </c>
      <c r="I201" s="66">
        <v>0.87204988425925922</v>
      </c>
      <c r="J201" s="56" t="s">
        <v>41</v>
      </c>
      <c r="K201" s="56" t="s">
        <v>157</v>
      </c>
      <c r="L201" s="68">
        <v>1</v>
      </c>
      <c r="M201" s="68">
        <v>71098</v>
      </c>
      <c r="N201" s="56" t="s">
        <v>53</v>
      </c>
      <c r="O201" s="68" t="s">
        <v>161</v>
      </c>
      <c r="P201" s="70">
        <v>15</v>
      </c>
      <c r="Q201" s="68"/>
      <c r="R201" s="70">
        <v>15</v>
      </c>
      <c r="S201" s="73">
        <v>46054</v>
      </c>
      <c r="T201" s="70">
        <v>2.25</v>
      </c>
      <c r="U201" s="74">
        <v>4</v>
      </c>
      <c r="V201" s="70">
        <v>12.75</v>
      </c>
      <c r="W201" s="56" t="s">
        <v>47</v>
      </c>
      <c r="X201" s="56" t="s">
        <v>48</v>
      </c>
      <c r="Y201" s="56" t="s">
        <v>36</v>
      </c>
      <c r="Z201" s="56" t="s">
        <v>9</v>
      </c>
      <c r="AA201" s="56" t="s">
        <v>49</v>
      </c>
      <c r="AB201" s="56" t="s">
        <v>162</v>
      </c>
      <c r="AC201" s="56" t="s">
        <v>38</v>
      </c>
      <c r="AD201" s="75" t="s">
        <v>267</v>
      </c>
      <c r="AE201" s="57"/>
      <c r="AF201" s="57"/>
      <c r="AG201" s="57"/>
      <c r="AH201" s="57"/>
      <c r="AI201" s="57"/>
      <c r="AJ201" s="57"/>
      <c r="AK201" s="57"/>
      <c r="AL201" s="57"/>
      <c r="AM201" s="57"/>
      <c r="AN201" s="57"/>
      <c r="AO201" s="57"/>
      <c r="AP201" s="57"/>
      <c r="AQ201" s="57"/>
      <c r="AR201" s="57"/>
      <c r="AS201" s="57"/>
      <c r="AT201" s="57"/>
      <c r="AU201" s="57"/>
      <c r="AV201" s="57"/>
      <c r="AW201" s="57"/>
    </row>
    <row r="202" spans="1:49" ht="31.5" x14ac:dyDescent="0.25">
      <c r="A202" s="56" t="s">
        <v>159</v>
      </c>
      <c r="B202" s="59">
        <v>46051</v>
      </c>
      <c r="C202" s="59">
        <v>46051</v>
      </c>
      <c r="D202" s="56" t="s">
        <v>207</v>
      </c>
      <c r="E202" s="62">
        <v>0.33333333333333331</v>
      </c>
      <c r="F202" s="62">
        <v>0.41666666666666669</v>
      </c>
      <c r="G202" s="64">
        <v>1.7361111111111109E-4</v>
      </c>
      <c r="H202" s="65" t="s">
        <v>160</v>
      </c>
      <c r="I202" s="66">
        <v>0.34098379629629627</v>
      </c>
      <c r="J202" s="56" t="s">
        <v>70</v>
      </c>
      <c r="K202" s="56" t="s">
        <v>69</v>
      </c>
      <c r="L202" s="68">
        <v>1</v>
      </c>
      <c r="M202" s="68">
        <v>71020</v>
      </c>
      <c r="N202" s="56" t="s">
        <v>46</v>
      </c>
      <c r="O202" s="68" t="s">
        <v>161</v>
      </c>
      <c r="P202" s="70">
        <v>0</v>
      </c>
      <c r="Q202" s="68"/>
      <c r="R202" s="70">
        <v>0</v>
      </c>
      <c r="S202" s="73">
        <v>46054</v>
      </c>
      <c r="T202" s="70">
        <v>0</v>
      </c>
      <c r="U202" s="74">
        <v>4</v>
      </c>
      <c r="V202" s="70">
        <v>0</v>
      </c>
      <c r="W202" s="56" t="s">
        <v>47</v>
      </c>
      <c r="X202" s="56" t="s">
        <v>48</v>
      </c>
      <c r="Y202" s="56" t="s">
        <v>36</v>
      </c>
      <c r="Z202" s="56" t="s">
        <v>9</v>
      </c>
      <c r="AA202" s="56" t="s">
        <v>49</v>
      </c>
      <c r="AB202" s="56" t="s">
        <v>162</v>
      </c>
      <c r="AC202" s="56" t="s">
        <v>38</v>
      </c>
      <c r="AD202" s="75" t="s">
        <v>267</v>
      </c>
      <c r="AE202" s="80"/>
      <c r="AF202" s="80"/>
      <c r="AG202" s="80"/>
      <c r="AH202" s="80"/>
      <c r="AI202" s="86"/>
      <c r="AJ202" s="86"/>
      <c r="AK202" s="86"/>
      <c r="AL202" s="86"/>
      <c r="AM202" s="86"/>
      <c r="AN202" s="86"/>
      <c r="AO202" s="86"/>
      <c r="AP202" s="86"/>
      <c r="AQ202" s="86"/>
      <c r="AR202" s="86"/>
      <c r="AS202" s="86"/>
      <c r="AT202" s="86"/>
      <c r="AU202" s="86"/>
      <c r="AV202" s="86"/>
      <c r="AW202" s="86"/>
    </row>
    <row r="203" spans="1:49" ht="31.5" x14ac:dyDescent="0.25">
      <c r="A203" s="56" t="s">
        <v>159</v>
      </c>
      <c r="B203" s="59">
        <v>46051</v>
      </c>
      <c r="C203" s="59">
        <v>46051</v>
      </c>
      <c r="D203" s="56" t="s">
        <v>207</v>
      </c>
      <c r="E203" s="62">
        <v>0.33333333333333331</v>
      </c>
      <c r="F203" s="62">
        <v>0.41666666666666669</v>
      </c>
      <c r="G203" s="64">
        <v>1.7361111111111109E-4</v>
      </c>
      <c r="H203" s="65" t="s">
        <v>163</v>
      </c>
      <c r="I203" s="66">
        <v>0.34219907407407407</v>
      </c>
      <c r="J203" s="56" t="s">
        <v>70</v>
      </c>
      <c r="K203" s="56" t="s">
        <v>69</v>
      </c>
      <c r="L203" s="68">
        <v>1</v>
      </c>
      <c r="M203" s="68">
        <v>71020</v>
      </c>
      <c r="N203" s="56" t="s">
        <v>46</v>
      </c>
      <c r="O203" s="68" t="s">
        <v>161</v>
      </c>
      <c r="P203" s="70">
        <v>0</v>
      </c>
      <c r="Q203" s="68"/>
      <c r="R203" s="70">
        <v>0</v>
      </c>
      <c r="S203" s="73">
        <v>46054</v>
      </c>
      <c r="T203" s="70">
        <v>0</v>
      </c>
      <c r="U203" s="74">
        <v>4</v>
      </c>
      <c r="V203" s="70">
        <v>0</v>
      </c>
      <c r="W203" s="56" t="s">
        <v>47</v>
      </c>
      <c r="X203" s="56" t="s">
        <v>48</v>
      </c>
      <c r="Y203" s="56" t="s">
        <v>36</v>
      </c>
      <c r="Z203" s="56" t="s">
        <v>9</v>
      </c>
      <c r="AA203" s="56" t="s">
        <v>49</v>
      </c>
      <c r="AB203" s="56" t="s">
        <v>162</v>
      </c>
      <c r="AC203" s="56" t="s">
        <v>38</v>
      </c>
      <c r="AD203" s="75" t="s">
        <v>267</v>
      </c>
      <c r="AE203" s="76"/>
      <c r="AF203" s="76"/>
      <c r="AG203" s="76"/>
      <c r="AH203" s="76"/>
      <c r="AI203" s="76"/>
      <c r="AJ203" s="76"/>
      <c r="AK203" s="76"/>
      <c r="AL203" s="76"/>
      <c r="AM203" s="76"/>
      <c r="AN203" s="76"/>
      <c r="AO203" s="76"/>
      <c r="AP203" s="76"/>
      <c r="AQ203" s="76"/>
      <c r="AR203" s="76"/>
      <c r="AS203" s="76"/>
      <c r="AT203" s="76"/>
      <c r="AU203" s="76"/>
      <c r="AV203" s="76"/>
      <c r="AW203" s="76"/>
    </row>
    <row r="204" spans="1:49" ht="31.5" x14ac:dyDescent="0.25">
      <c r="A204" s="56" t="s">
        <v>159</v>
      </c>
      <c r="B204" s="59">
        <v>46051</v>
      </c>
      <c r="C204" s="59">
        <v>46051</v>
      </c>
      <c r="D204" s="56" t="s">
        <v>207</v>
      </c>
      <c r="E204" s="62">
        <v>0.33333333333333331</v>
      </c>
      <c r="F204" s="62">
        <v>0.375</v>
      </c>
      <c r="G204" s="64">
        <v>1.7361111111111109E-4</v>
      </c>
      <c r="H204" s="65" t="s">
        <v>160</v>
      </c>
      <c r="I204" s="66">
        <v>0.35754629629629631</v>
      </c>
      <c r="J204" s="56" t="s">
        <v>70</v>
      </c>
      <c r="K204" s="56" t="s">
        <v>69</v>
      </c>
      <c r="L204" s="68">
        <v>1</v>
      </c>
      <c r="M204" s="68">
        <v>71100</v>
      </c>
      <c r="N204" s="56" t="s">
        <v>53</v>
      </c>
      <c r="O204" s="68" t="s">
        <v>161</v>
      </c>
      <c r="P204" s="70">
        <v>15</v>
      </c>
      <c r="Q204" s="68"/>
      <c r="R204" s="70">
        <v>15</v>
      </c>
      <c r="S204" s="73">
        <v>46054</v>
      </c>
      <c r="T204" s="70">
        <v>2.25</v>
      </c>
      <c r="U204" s="74">
        <v>4</v>
      </c>
      <c r="V204" s="70">
        <v>12.75</v>
      </c>
      <c r="W204" s="56" t="s">
        <v>47</v>
      </c>
      <c r="X204" s="56" t="s">
        <v>48</v>
      </c>
      <c r="Y204" s="56" t="s">
        <v>36</v>
      </c>
      <c r="Z204" s="56" t="s">
        <v>9</v>
      </c>
      <c r="AA204" s="56" t="s">
        <v>49</v>
      </c>
      <c r="AB204" s="56" t="s">
        <v>162</v>
      </c>
      <c r="AC204" s="56" t="s">
        <v>38</v>
      </c>
      <c r="AD204" s="75" t="s">
        <v>267</v>
      </c>
      <c r="AE204" s="76"/>
      <c r="AF204" s="76"/>
      <c r="AG204" s="76"/>
      <c r="AH204" s="76"/>
      <c r="AI204" s="76"/>
      <c r="AJ204" s="76"/>
      <c r="AK204" s="76"/>
      <c r="AL204" s="76"/>
      <c r="AM204" s="76"/>
      <c r="AN204" s="76"/>
      <c r="AO204" s="76"/>
      <c r="AP204" s="76"/>
      <c r="AQ204" s="76"/>
      <c r="AR204" s="76"/>
      <c r="AS204" s="76"/>
      <c r="AT204" s="76"/>
      <c r="AU204" s="76"/>
      <c r="AV204" s="76"/>
      <c r="AW204" s="76"/>
    </row>
    <row r="205" spans="1:49" ht="31.5" x14ac:dyDescent="0.25">
      <c r="A205" s="56" t="s">
        <v>159</v>
      </c>
      <c r="B205" s="59">
        <v>46051</v>
      </c>
      <c r="C205" s="59">
        <v>46051</v>
      </c>
      <c r="D205" s="56" t="s">
        <v>207</v>
      </c>
      <c r="E205" s="62">
        <v>0.33333333333333331</v>
      </c>
      <c r="F205" s="62">
        <v>0.375</v>
      </c>
      <c r="G205" s="64">
        <v>1.7361111111111109E-4</v>
      </c>
      <c r="H205" s="65" t="s">
        <v>163</v>
      </c>
      <c r="I205" s="66">
        <v>0.35876157407407411</v>
      </c>
      <c r="J205" s="56" t="s">
        <v>70</v>
      </c>
      <c r="K205" s="56" t="s">
        <v>69</v>
      </c>
      <c r="L205" s="68">
        <v>1</v>
      </c>
      <c r="M205" s="68">
        <v>71100</v>
      </c>
      <c r="N205" s="56" t="s">
        <v>53</v>
      </c>
      <c r="O205" s="68" t="s">
        <v>161</v>
      </c>
      <c r="P205" s="70">
        <v>15</v>
      </c>
      <c r="Q205" s="68"/>
      <c r="R205" s="70">
        <v>15</v>
      </c>
      <c r="S205" s="73">
        <v>46054</v>
      </c>
      <c r="T205" s="70">
        <v>2.25</v>
      </c>
      <c r="U205" s="74">
        <v>4</v>
      </c>
      <c r="V205" s="70">
        <v>12.75</v>
      </c>
      <c r="W205" s="56" t="s">
        <v>47</v>
      </c>
      <c r="X205" s="56" t="s">
        <v>48</v>
      </c>
      <c r="Y205" s="56" t="s">
        <v>36</v>
      </c>
      <c r="Z205" s="56" t="s">
        <v>9</v>
      </c>
      <c r="AA205" s="56" t="s">
        <v>49</v>
      </c>
      <c r="AB205" s="56" t="s">
        <v>162</v>
      </c>
      <c r="AC205" s="56" t="s">
        <v>38</v>
      </c>
      <c r="AD205" s="75" t="s">
        <v>267</v>
      </c>
      <c r="AE205" s="76"/>
      <c r="AF205" s="76"/>
      <c r="AG205" s="76"/>
      <c r="AH205" s="76"/>
      <c r="AI205" s="85"/>
      <c r="AJ205" s="85"/>
      <c r="AK205" s="85"/>
      <c r="AL205" s="85"/>
      <c r="AM205" s="85"/>
      <c r="AN205" s="85"/>
      <c r="AO205" s="85"/>
      <c r="AP205" s="85"/>
      <c r="AQ205" s="85"/>
      <c r="AR205" s="85"/>
      <c r="AS205" s="85"/>
      <c r="AT205" s="85"/>
      <c r="AU205" s="85"/>
      <c r="AV205" s="85"/>
      <c r="AW205" s="85"/>
    </row>
    <row r="206" spans="1:49" ht="31.5" x14ac:dyDescent="0.25">
      <c r="A206" s="56" t="s">
        <v>159</v>
      </c>
      <c r="B206" s="59">
        <v>46051</v>
      </c>
      <c r="C206" s="59">
        <v>46051</v>
      </c>
      <c r="D206" s="56" t="s">
        <v>207</v>
      </c>
      <c r="E206" s="62">
        <v>0.33333333333333331</v>
      </c>
      <c r="F206" s="62">
        <v>0.41666666666666669</v>
      </c>
      <c r="G206" s="64">
        <v>1.7361111111111109E-4</v>
      </c>
      <c r="H206" s="65" t="s">
        <v>160</v>
      </c>
      <c r="I206" s="66">
        <v>0.40712962962962962</v>
      </c>
      <c r="J206" s="56" t="s">
        <v>70</v>
      </c>
      <c r="K206" s="56" t="s">
        <v>71</v>
      </c>
      <c r="L206" s="68">
        <v>1</v>
      </c>
      <c r="M206" s="68">
        <v>71101</v>
      </c>
      <c r="N206" s="56" t="s">
        <v>46</v>
      </c>
      <c r="O206" s="68" t="s">
        <v>161</v>
      </c>
      <c r="P206" s="70">
        <v>0</v>
      </c>
      <c r="Q206" s="68"/>
      <c r="R206" s="70">
        <v>0</v>
      </c>
      <c r="S206" s="73">
        <v>46054</v>
      </c>
      <c r="T206" s="70">
        <v>0</v>
      </c>
      <c r="U206" s="74">
        <v>4</v>
      </c>
      <c r="V206" s="70">
        <v>0</v>
      </c>
      <c r="W206" s="56" t="s">
        <v>47</v>
      </c>
      <c r="X206" s="56" t="s">
        <v>48</v>
      </c>
      <c r="Y206" s="56" t="s">
        <v>36</v>
      </c>
      <c r="Z206" s="56" t="s">
        <v>9</v>
      </c>
      <c r="AA206" s="56" t="s">
        <v>49</v>
      </c>
      <c r="AB206" s="56" t="s">
        <v>162</v>
      </c>
      <c r="AC206" s="56" t="s">
        <v>38</v>
      </c>
      <c r="AD206" s="75" t="s">
        <v>267</v>
      </c>
      <c r="AE206" s="76"/>
      <c r="AF206" s="76"/>
      <c r="AG206" s="76"/>
      <c r="AH206" s="76"/>
      <c r="AI206" s="76"/>
      <c r="AJ206" s="76"/>
      <c r="AK206" s="76"/>
      <c r="AL206" s="76"/>
      <c r="AM206" s="76"/>
      <c r="AN206" s="76"/>
      <c r="AO206" s="76"/>
      <c r="AP206" s="76"/>
      <c r="AQ206" s="76"/>
      <c r="AR206" s="76"/>
      <c r="AS206" s="76"/>
      <c r="AT206" s="76"/>
      <c r="AU206" s="76"/>
      <c r="AV206" s="76"/>
      <c r="AW206" s="76"/>
    </row>
    <row r="207" spans="1:49" ht="31.5" x14ac:dyDescent="0.25">
      <c r="A207" s="56" t="s">
        <v>159</v>
      </c>
      <c r="B207" s="59">
        <v>46051</v>
      </c>
      <c r="C207" s="59">
        <v>46051</v>
      </c>
      <c r="D207" s="56" t="s">
        <v>207</v>
      </c>
      <c r="E207" s="62">
        <v>0.33333333333333331</v>
      </c>
      <c r="F207" s="62">
        <v>0.41666666666666669</v>
      </c>
      <c r="G207" s="64">
        <v>1.7361111111111109E-4</v>
      </c>
      <c r="H207" s="65" t="s">
        <v>163</v>
      </c>
      <c r="I207" s="66">
        <v>0.4079976851851852</v>
      </c>
      <c r="J207" s="56" t="s">
        <v>70</v>
      </c>
      <c r="K207" s="56" t="s">
        <v>71</v>
      </c>
      <c r="L207" s="68">
        <v>1</v>
      </c>
      <c r="M207" s="68">
        <v>71101</v>
      </c>
      <c r="N207" s="56" t="s">
        <v>46</v>
      </c>
      <c r="O207" s="68" t="s">
        <v>161</v>
      </c>
      <c r="P207" s="70">
        <v>0</v>
      </c>
      <c r="Q207" s="68"/>
      <c r="R207" s="70">
        <v>0</v>
      </c>
      <c r="S207" s="73">
        <v>46054</v>
      </c>
      <c r="T207" s="70">
        <v>0</v>
      </c>
      <c r="U207" s="74">
        <v>4</v>
      </c>
      <c r="V207" s="70">
        <v>0</v>
      </c>
      <c r="W207" s="56" t="s">
        <v>47</v>
      </c>
      <c r="X207" s="56" t="s">
        <v>48</v>
      </c>
      <c r="Y207" s="56" t="s">
        <v>36</v>
      </c>
      <c r="Z207" s="56" t="s">
        <v>9</v>
      </c>
      <c r="AA207" s="56" t="s">
        <v>49</v>
      </c>
      <c r="AB207" s="56" t="s">
        <v>162</v>
      </c>
      <c r="AC207" s="56" t="s">
        <v>38</v>
      </c>
      <c r="AD207" s="75" t="s">
        <v>267</v>
      </c>
      <c r="AE207" s="76"/>
      <c r="AF207" s="76"/>
      <c r="AG207" s="76"/>
      <c r="AH207" s="76"/>
      <c r="AI207" s="76"/>
      <c r="AJ207" s="76"/>
      <c r="AK207" s="76"/>
      <c r="AL207" s="76"/>
      <c r="AM207" s="76"/>
      <c r="AN207" s="76"/>
      <c r="AO207" s="76"/>
      <c r="AP207" s="76"/>
      <c r="AQ207" s="76"/>
      <c r="AR207" s="76"/>
      <c r="AS207" s="76"/>
      <c r="AT207" s="76"/>
      <c r="AU207" s="76"/>
      <c r="AV207" s="76"/>
      <c r="AW207" s="76"/>
    </row>
    <row r="208" spans="1:49" ht="31.5" x14ac:dyDescent="0.25">
      <c r="A208" s="56" t="s">
        <v>159</v>
      </c>
      <c r="B208" s="59">
        <v>46051</v>
      </c>
      <c r="C208" s="59">
        <v>46051</v>
      </c>
      <c r="D208" s="56" t="s">
        <v>207</v>
      </c>
      <c r="E208" s="62">
        <v>0.54166666666666663</v>
      </c>
      <c r="F208" s="62">
        <v>0.66666666666666663</v>
      </c>
      <c r="G208" s="64">
        <v>1.7361111111111109E-4</v>
      </c>
      <c r="H208" s="65" t="s">
        <v>164</v>
      </c>
      <c r="I208" s="66">
        <v>0.56126180555555549</v>
      </c>
      <c r="J208" s="56" t="s">
        <v>105</v>
      </c>
      <c r="K208" s="56" t="s">
        <v>152</v>
      </c>
      <c r="L208" s="68">
        <v>1</v>
      </c>
      <c r="M208" s="68">
        <v>71011</v>
      </c>
      <c r="N208" s="56" t="s">
        <v>46</v>
      </c>
      <c r="O208" s="68" t="s">
        <v>161</v>
      </c>
      <c r="P208" s="70">
        <v>0</v>
      </c>
      <c r="Q208" s="68"/>
      <c r="R208" s="70">
        <v>0</v>
      </c>
      <c r="S208" s="73">
        <v>46054</v>
      </c>
      <c r="T208" s="70">
        <v>0</v>
      </c>
      <c r="U208" s="74">
        <v>4</v>
      </c>
      <c r="V208" s="70">
        <v>0</v>
      </c>
      <c r="W208" s="56" t="s">
        <v>47</v>
      </c>
      <c r="X208" s="56" t="s">
        <v>48</v>
      </c>
      <c r="Y208" s="56" t="s">
        <v>36</v>
      </c>
      <c r="Z208" s="56" t="s">
        <v>9</v>
      </c>
      <c r="AA208" s="56" t="s">
        <v>49</v>
      </c>
      <c r="AB208" s="56" t="s">
        <v>162</v>
      </c>
      <c r="AC208" s="56" t="s">
        <v>38</v>
      </c>
      <c r="AD208" s="75" t="s">
        <v>267</v>
      </c>
      <c r="AE208" s="76"/>
      <c r="AF208" s="76"/>
      <c r="AG208" s="76"/>
      <c r="AH208" s="76"/>
      <c r="AI208" s="85"/>
      <c r="AJ208" s="85"/>
      <c r="AK208" s="85"/>
      <c r="AL208" s="85"/>
      <c r="AM208" s="85"/>
      <c r="AN208" s="85"/>
      <c r="AO208" s="85"/>
      <c r="AP208" s="85"/>
      <c r="AQ208" s="85"/>
      <c r="AR208" s="85"/>
      <c r="AS208" s="85"/>
      <c r="AT208" s="85"/>
      <c r="AU208" s="85"/>
      <c r="AV208" s="85"/>
      <c r="AW208" s="85"/>
    </row>
    <row r="209" spans="1:49" ht="31.5" x14ac:dyDescent="0.25">
      <c r="A209" s="56" t="s">
        <v>159</v>
      </c>
      <c r="B209" s="59">
        <v>46051</v>
      </c>
      <c r="C209" s="59">
        <v>46051</v>
      </c>
      <c r="D209" s="56" t="s">
        <v>207</v>
      </c>
      <c r="E209" s="62">
        <v>0.54166666666666663</v>
      </c>
      <c r="F209" s="62">
        <v>0.66666666666666663</v>
      </c>
      <c r="G209" s="64">
        <v>1.7361111111111109E-4</v>
      </c>
      <c r="H209" s="65" t="s">
        <v>165</v>
      </c>
      <c r="I209" s="66">
        <v>0.56212997685185184</v>
      </c>
      <c r="J209" s="56" t="s">
        <v>105</v>
      </c>
      <c r="K209" s="56" t="s">
        <v>152</v>
      </c>
      <c r="L209" s="68">
        <v>1</v>
      </c>
      <c r="M209" s="68">
        <v>71011</v>
      </c>
      <c r="N209" s="56" t="s">
        <v>46</v>
      </c>
      <c r="O209" s="68" t="s">
        <v>161</v>
      </c>
      <c r="P209" s="70">
        <v>0</v>
      </c>
      <c r="Q209" s="68"/>
      <c r="R209" s="70">
        <v>0</v>
      </c>
      <c r="S209" s="73">
        <v>46054</v>
      </c>
      <c r="T209" s="70">
        <v>0</v>
      </c>
      <c r="U209" s="74">
        <v>4</v>
      </c>
      <c r="V209" s="70">
        <v>0</v>
      </c>
      <c r="W209" s="56" t="s">
        <v>47</v>
      </c>
      <c r="X209" s="56" t="s">
        <v>48</v>
      </c>
      <c r="Y209" s="56" t="s">
        <v>36</v>
      </c>
      <c r="Z209" s="56" t="s">
        <v>9</v>
      </c>
      <c r="AA209" s="56" t="s">
        <v>49</v>
      </c>
      <c r="AB209" s="56" t="s">
        <v>162</v>
      </c>
      <c r="AC209" s="56" t="s">
        <v>38</v>
      </c>
      <c r="AD209" s="75" t="s">
        <v>267</v>
      </c>
      <c r="AE209" s="76"/>
      <c r="AF209" s="76"/>
      <c r="AG209" s="76"/>
      <c r="AH209" s="76"/>
      <c r="AI209" s="85"/>
      <c r="AJ209" s="85"/>
      <c r="AK209" s="85"/>
      <c r="AL209" s="85"/>
      <c r="AM209" s="85"/>
      <c r="AN209" s="85"/>
      <c r="AO209" s="85"/>
      <c r="AP209" s="85"/>
      <c r="AQ209" s="85"/>
      <c r="AR209" s="85"/>
      <c r="AS209" s="85"/>
      <c r="AT209" s="85"/>
      <c r="AU209" s="85"/>
      <c r="AV209" s="85"/>
      <c r="AW209" s="85"/>
    </row>
    <row r="210" spans="1:49" ht="31.5" x14ac:dyDescent="0.25">
      <c r="A210" s="56" t="s">
        <v>159</v>
      </c>
      <c r="B210" s="59">
        <v>46051</v>
      </c>
      <c r="C210" s="59">
        <v>46051</v>
      </c>
      <c r="D210" s="56" t="s">
        <v>207</v>
      </c>
      <c r="E210" s="62">
        <v>0.54166666666666663</v>
      </c>
      <c r="F210" s="62">
        <v>0.66666666666666663</v>
      </c>
      <c r="G210" s="64">
        <v>1.7361111111111109E-4</v>
      </c>
      <c r="H210" s="65" t="s">
        <v>160</v>
      </c>
      <c r="I210" s="66">
        <v>0.63710902777777778</v>
      </c>
      <c r="J210" s="56" t="s">
        <v>105</v>
      </c>
      <c r="K210" s="56" t="s">
        <v>154</v>
      </c>
      <c r="L210" s="68">
        <v>1</v>
      </c>
      <c r="M210" s="68">
        <v>71011</v>
      </c>
      <c r="N210" s="56" t="s">
        <v>46</v>
      </c>
      <c r="O210" s="68" t="s">
        <v>161</v>
      </c>
      <c r="P210" s="70">
        <v>0</v>
      </c>
      <c r="Q210" s="68"/>
      <c r="R210" s="70">
        <v>0</v>
      </c>
      <c r="S210" s="73">
        <v>46054</v>
      </c>
      <c r="T210" s="70">
        <v>0</v>
      </c>
      <c r="U210" s="74">
        <v>4</v>
      </c>
      <c r="V210" s="70">
        <v>0</v>
      </c>
      <c r="W210" s="56" t="s">
        <v>47</v>
      </c>
      <c r="X210" s="56" t="s">
        <v>48</v>
      </c>
      <c r="Y210" s="56" t="s">
        <v>36</v>
      </c>
      <c r="Z210" s="56" t="s">
        <v>9</v>
      </c>
      <c r="AA210" s="56" t="s">
        <v>49</v>
      </c>
      <c r="AB210" s="56" t="s">
        <v>162</v>
      </c>
      <c r="AC210" s="56" t="s">
        <v>38</v>
      </c>
      <c r="AD210" s="75" t="s">
        <v>267</v>
      </c>
      <c r="AE210" s="76"/>
      <c r="AF210" s="76"/>
      <c r="AG210" s="76"/>
      <c r="AH210" s="76"/>
      <c r="AI210" s="76"/>
      <c r="AJ210" s="76"/>
      <c r="AK210" s="76"/>
      <c r="AL210" s="76"/>
      <c r="AM210" s="76"/>
      <c r="AN210" s="76"/>
      <c r="AO210" s="76"/>
      <c r="AP210" s="76"/>
      <c r="AQ210" s="76"/>
      <c r="AR210" s="76"/>
      <c r="AS210" s="76"/>
      <c r="AT210" s="76"/>
      <c r="AU210" s="76"/>
      <c r="AV210" s="76"/>
      <c r="AW210" s="76"/>
    </row>
    <row r="211" spans="1:49" ht="31.5" x14ac:dyDescent="0.25">
      <c r="A211" s="56" t="s">
        <v>159</v>
      </c>
      <c r="B211" s="59">
        <v>46051</v>
      </c>
      <c r="C211" s="59">
        <v>46051</v>
      </c>
      <c r="D211" s="56" t="s">
        <v>207</v>
      </c>
      <c r="E211" s="62">
        <v>0.54166666666666663</v>
      </c>
      <c r="F211" s="62">
        <v>0.66666666666666663</v>
      </c>
      <c r="G211" s="64">
        <v>1.7361111111111109E-4</v>
      </c>
      <c r="H211" s="65" t="s">
        <v>163</v>
      </c>
      <c r="I211" s="66">
        <v>0.63901886574074074</v>
      </c>
      <c r="J211" s="56" t="s">
        <v>105</v>
      </c>
      <c r="K211" s="56" t="s">
        <v>154</v>
      </c>
      <c r="L211" s="68">
        <v>1</v>
      </c>
      <c r="M211" s="68">
        <v>71011</v>
      </c>
      <c r="N211" s="56" t="s">
        <v>46</v>
      </c>
      <c r="O211" s="68" t="s">
        <v>161</v>
      </c>
      <c r="P211" s="70">
        <v>0</v>
      </c>
      <c r="Q211" s="68"/>
      <c r="R211" s="70">
        <v>0</v>
      </c>
      <c r="S211" s="73">
        <v>46054</v>
      </c>
      <c r="T211" s="70">
        <v>0</v>
      </c>
      <c r="U211" s="74">
        <v>4</v>
      </c>
      <c r="V211" s="70">
        <v>0</v>
      </c>
      <c r="W211" s="56" t="s">
        <v>47</v>
      </c>
      <c r="X211" s="56" t="s">
        <v>48</v>
      </c>
      <c r="Y211" s="56" t="s">
        <v>36</v>
      </c>
      <c r="Z211" s="56" t="s">
        <v>9</v>
      </c>
      <c r="AA211" s="56" t="s">
        <v>49</v>
      </c>
      <c r="AB211" s="56" t="s">
        <v>162</v>
      </c>
      <c r="AC211" s="56" t="s">
        <v>38</v>
      </c>
      <c r="AD211" s="75" t="s">
        <v>267</v>
      </c>
      <c r="AE211" s="76"/>
      <c r="AF211" s="76"/>
      <c r="AG211" s="76"/>
      <c r="AH211" s="76"/>
      <c r="AI211" s="85"/>
      <c r="AJ211" s="85"/>
      <c r="AK211" s="85"/>
      <c r="AL211" s="85"/>
      <c r="AM211" s="85"/>
      <c r="AN211" s="85"/>
      <c r="AO211" s="85"/>
      <c r="AP211" s="85"/>
      <c r="AQ211" s="85"/>
      <c r="AR211" s="85"/>
      <c r="AS211" s="85"/>
      <c r="AT211" s="85"/>
      <c r="AU211" s="85"/>
      <c r="AV211" s="85"/>
      <c r="AW211" s="85"/>
    </row>
    <row r="212" spans="1:49" ht="31.5" x14ac:dyDescent="0.25">
      <c r="A212" s="56" t="s">
        <v>159</v>
      </c>
      <c r="B212" s="59">
        <v>46051</v>
      </c>
      <c r="C212" s="59">
        <v>46051</v>
      </c>
      <c r="D212" s="56" t="s">
        <v>207</v>
      </c>
      <c r="E212" s="62">
        <v>0.58333333333333337</v>
      </c>
      <c r="F212" s="62">
        <v>0.66666666666666663</v>
      </c>
      <c r="G212" s="64">
        <v>1.7361111111111109E-4</v>
      </c>
      <c r="H212" s="65" t="s">
        <v>160</v>
      </c>
      <c r="I212" s="66">
        <v>0.59084560185185186</v>
      </c>
      <c r="J212" s="56" t="s">
        <v>105</v>
      </c>
      <c r="K212" s="56" t="s">
        <v>154</v>
      </c>
      <c r="L212" s="68">
        <v>1</v>
      </c>
      <c r="M212" s="68">
        <v>71009</v>
      </c>
      <c r="N212" s="56" t="s">
        <v>53</v>
      </c>
      <c r="O212" s="68" t="s">
        <v>161</v>
      </c>
      <c r="P212" s="70">
        <v>15</v>
      </c>
      <c r="Q212" s="68"/>
      <c r="R212" s="70">
        <v>15</v>
      </c>
      <c r="S212" s="73">
        <v>46054</v>
      </c>
      <c r="T212" s="70">
        <v>2.25</v>
      </c>
      <c r="U212" s="74">
        <v>4</v>
      </c>
      <c r="V212" s="70">
        <v>12.75</v>
      </c>
      <c r="W212" s="56" t="s">
        <v>47</v>
      </c>
      <c r="X212" s="56" t="s">
        <v>48</v>
      </c>
      <c r="Y212" s="56" t="s">
        <v>36</v>
      </c>
      <c r="Z212" s="56" t="s">
        <v>9</v>
      </c>
      <c r="AA212" s="56" t="s">
        <v>49</v>
      </c>
      <c r="AB212" s="56" t="s">
        <v>162</v>
      </c>
      <c r="AC212" s="56" t="s">
        <v>38</v>
      </c>
      <c r="AD212" s="75" t="s">
        <v>267</v>
      </c>
      <c r="AE212" s="76"/>
      <c r="AF212" s="76"/>
      <c r="AG212" s="76"/>
      <c r="AH212" s="76"/>
      <c r="AI212" s="76"/>
      <c r="AJ212" s="76"/>
      <c r="AK212" s="76"/>
      <c r="AL212" s="76"/>
      <c r="AM212" s="76"/>
      <c r="AN212" s="76"/>
      <c r="AO212" s="76"/>
      <c r="AP212" s="76"/>
      <c r="AQ212" s="76"/>
      <c r="AR212" s="76"/>
      <c r="AS212" s="76"/>
      <c r="AT212" s="76"/>
      <c r="AU212" s="76"/>
      <c r="AV212" s="76"/>
      <c r="AW212" s="76"/>
    </row>
    <row r="213" spans="1:49" ht="31.5" x14ac:dyDescent="0.25">
      <c r="A213" s="56" t="s">
        <v>159</v>
      </c>
      <c r="B213" s="59">
        <v>46051</v>
      </c>
      <c r="C213" s="59">
        <v>46051</v>
      </c>
      <c r="D213" s="56" t="s">
        <v>207</v>
      </c>
      <c r="E213" s="62">
        <v>0.58333333333333337</v>
      </c>
      <c r="F213" s="62">
        <v>0.66666666666666663</v>
      </c>
      <c r="G213" s="64">
        <v>1.7361111111111109E-4</v>
      </c>
      <c r="H213" s="65" t="s">
        <v>163</v>
      </c>
      <c r="I213" s="66">
        <v>0.59206111111111115</v>
      </c>
      <c r="J213" s="56" t="s">
        <v>105</v>
      </c>
      <c r="K213" s="56" t="s">
        <v>154</v>
      </c>
      <c r="L213" s="68">
        <v>1</v>
      </c>
      <c r="M213" s="68">
        <v>71009</v>
      </c>
      <c r="N213" s="56" t="s">
        <v>53</v>
      </c>
      <c r="O213" s="68" t="s">
        <v>161</v>
      </c>
      <c r="P213" s="70">
        <v>15</v>
      </c>
      <c r="Q213" s="68"/>
      <c r="R213" s="70">
        <v>15</v>
      </c>
      <c r="S213" s="73">
        <v>46054</v>
      </c>
      <c r="T213" s="70">
        <v>2.25</v>
      </c>
      <c r="U213" s="74">
        <v>4</v>
      </c>
      <c r="V213" s="70">
        <v>12.75</v>
      </c>
      <c r="W213" s="56" t="s">
        <v>47</v>
      </c>
      <c r="X213" s="56" t="s">
        <v>48</v>
      </c>
      <c r="Y213" s="56" t="s">
        <v>36</v>
      </c>
      <c r="Z213" s="56" t="s">
        <v>9</v>
      </c>
      <c r="AA213" s="56" t="s">
        <v>49</v>
      </c>
      <c r="AB213" s="56" t="s">
        <v>162</v>
      </c>
      <c r="AC213" s="56" t="s">
        <v>38</v>
      </c>
      <c r="AD213" s="75" t="s">
        <v>267</v>
      </c>
      <c r="AE213" s="76"/>
      <c r="AF213" s="76"/>
      <c r="AG213" s="76"/>
      <c r="AH213" s="76"/>
      <c r="AI213" s="76"/>
      <c r="AJ213" s="76"/>
      <c r="AK213" s="76"/>
      <c r="AL213" s="76"/>
      <c r="AM213" s="76"/>
      <c r="AN213" s="76"/>
      <c r="AO213" s="76"/>
      <c r="AP213" s="76"/>
      <c r="AQ213" s="76"/>
      <c r="AR213" s="76"/>
      <c r="AS213" s="76"/>
      <c r="AT213" s="76"/>
      <c r="AU213" s="76"/>
      <c r="AV213" s="76"/>
      <c r="AW213" s="76"/>
    </row>
    <row r="214" spans="1:49" ht="31.5" x14ac:dyDescent="0.2">
      <c r="A214" s="56" t="s">
        <v>159</v>
      </c>
      <c r="B214" s="59">
        <v>46051</v>
      </c>
      <c r="C214" s="59">
        <v>46051</v>
      </c>
      <c r="D214" s="56" t="s">
        <v>207</v>
      </c>
      <c r="E214" s="62">
        <v>0.66666666666666663</v>
      </c>
      <c r="F214" s="62">
        <v>0.79166666666666663</v>
      </c>
      <c r="G214" s="64">
        <v>1.7361111111111109E-4</v>
      </c>
      <c r="H214" s="65" t="s">
        <v>160</v>
      </c>
      <c r="I214" s="66">
        <v>0.67448043981481487</v>
      </c>
      <c r="J214" s="56" t="s">
        <v>120</v>
      </c>
      <c r="K214" s="56" t="s">
        <v>119</v>
      </c>
      <c r="L214" s="68">
        <v>1</v>
      </c>
      <c r="M214" s="68">
        <v>71003</v>
      </c>
      <c r="N214" s="56" t="s">
        <v>53</v>
      </c>
      <c r="O214" s="68" t="s">
        <v>161</v>
      </c>
      <c r="P214" s="70">
        <v>15</v>
      </c>
      <c r="Q214" s="68"/>
      <c r="R214" s="70">
        <v>15</v>
      </c>
      <c r="S214" s="73">
        <v>46054</v>
      </c>
      <c r="T214" s="70">
        <v>2.25</v>
      </c>
      <c r="U214" s="74">
        <v>4</v>
      </c>
      <c r="V214" s="70">
        <v>12.75</v>
      </c>
      <c r="W214" s="56" t="s">
        <v>47</v>
      </c>
      <c r="X214" s="56" t="s">
        <v>48</v>
      </c>
      <c r="Y214" s="56" t="s">
        <v>36</v>
      </c>
      <c r="Z214" s="56" t="s">
        <v>9</v>
      </c>
      <c r="AA214" s="56" t="s">
        <v>49</v>
      </c>
      <c r="AB214" s="56" t="s">
        <v>162</v>
      </c>
      <c r="AC214" s="56" t="s">
        <v>38</v>
      </c>
      <c r="AD214" s="75" t="s">
        <v>267</v>
      </c>
      <c r="AE214" s="57"/>
      <c r="AF214" s="57"/>
      <c r="AG214" s="57"/>
      <c r="AH214" s="57"/>
      <c r="AI214" s="57"/>
      <c r="AJ214" s="57"/>
      <c r="AK214" s="57"/>
      <c r="AL214" s="57"/>
      <c r="AM214" s="57"/>
      <c r="AN214" s="57"/>
      <c r="AO214" s="57"/>
      <c r="AP214" s="57"/>
      <c r="AQ214" s="57"/>
      <c r="AR214" s="57"/>
      <c r="AS214" s="57"/>
      <c r="AT214" s="57"/>
      <c r="AU214" s="57"/>
      <c r="AV214" s="57"/>
      <c r="AW214" s="57"/>
    </row>
    <row r="215" spans="1:49" ht="31.5" x14ac:dyDescent="0.25">
      <c r="A215" s="56" t="s">
        <v>159</v>
      </c>
      <c r="B215" s="59">
        <v>46051</v>
      </c>
      <c r="C215" s="59">
        <v>46051</v>
      </c>
      <c r="D215" s="56" t="s">
        <v>207</v>
      </c>
      <c r="E215" s="62">
        <v>0.66666666666666663</v>
      </c>
      <c r="F215" s="62">
        <v>0.79166666666666663</v>
      </c>
      <c r="G215" s="64">
        <v>1.7361111111111109E-4</v>
      </c>
      <c r="H215" s="65" t="s">
        <v>163</v>
      </c>
      <c r="I215" s="66">
        <v>0.67569594907407404</v>
      </c>
      <c r="J215" s="56" t="s">
        <v>120</v>
      </c>
      <c r="K215" s="56" t="s">
        <v>119</v>
      </c>
      <c r="L215" s="68">
        <v>1</v>
      </c>
      <c r="M215" s="68">
        <v>71003</v>
      </c>
      <c r="N215" s="56" t="s">
        <v>53</v>
      </c>
      <c r="O215" s="68" t="s">
        <v>161</v>
      </c>
      <c r="P215" s="70">
        <v>15</v>
      </c>
      <c r="Q215" s="68"/>
      <c r="R215" s="70">
        <v>15</v>
      </c>
      <c r="S215" s="73">
        <v>46054</v>
      </c>
      <c r="T215" s="70">
        <v>2.25</v>
      </c>
      <c r="U215" s="74">
        <v>4</v>
      </c>
      <c r="V215" s="70">
        <v>12.75</v>
      </c>
      <c r="W215" s="56" t="s">
        <v>47</v>
      </c>
      <c r="X215" s="56" t="s">
        <v>48</v>
      </c>
      <c r="Y215" s="56" t="s">
        <v>36</v>
      </c>
      <c r="Z215" s="56" t="s">
        <v>9</v>
      </c>
      <c r="AA215" s="56" t="s">
        <v>49</v>
      </c>
      <c r="AB215" s="56" t="s">
        <v>162</v>
      </c>
      <c r="AC215" s="56" t="s">
        <v>38</v>
      </c>
      <c r="AD215" s="75" t="s">
        <v>267</v>
      </c>
      <c r="AE215" s="76"/>
      <c r="AF215" s="76"/>
      <c r="AG215" s="76"/>
      <c r="AH215" s="76"/>
      <c r="AI215" s="76"/>
      <c r="AJ215" s="76"/>
      <c r="AK215" s="76"/>
      <c r="AL215" s="76"/>
      <c r="AM215" s="76"/>
      <c r="AN215" s="76"/>
      <c r="AO215" s="76"/>
      <c r="AP215" s="76"/>
      <c r="AQ215" s="76"/>
      <c r="AR215" s="76"/>
      <c r="AS215" s="76"/>
      <c r="AT215" s="76"/>
      <c r="AU215" s="76"/>
      <c r="AV215" s="76"/>
      <c r="AW215" s="76"/>
    </row>
    <row r="216" spans="1:49" ht="31.5" x14ac:dyDescent="0.25">
      <c r="A216" s="56" t="s">
        <v>159</v>
      </c>
      <c r="B216" s="59">
        <v>46052</v>
      </c>
      <c r="C216" s="59">
        <v>46052</v>
      </c>
      <c r="D216" s="56" t="s">
        <v>217</v>
      </c>
      <c r="E216" s="62">
        <v>0.54166666666666663</v>
      </c>
      <c r="F216" s="62">
        <v>0.66666666666666663</v>
      </c>
      <c r="G216" s="64">
        <v>1.7361111111111109E-4</v>
      </c>
      <c r="H216" s="65" t="s">
        <v>160</v>
      </c>
      <c r="I216" s="66">
        <v>0.54730335648148154</v>
      </c>
      <c r="J216" s="56" t="s">
        <v>105</v>
      </c>
      <c r="K216" s="56" t="s">
        <v>152</v>
      </c>
      <c r="L216" s="68">
        <v>1</v>
      </c>
      <c r="M216" s="68">
        <v>71095</v>
      </c>
      <c r="N216" s="56" t="s">
        <v>53</v>
      </c>
      <c r="O216" s="68" t="s">
        <v>161</v>
      </c>
      <c r="P216" s="70">
        <v>15</v>
      </c>
      <c r="Q216" s="68"/>
      <c r="R216" s="70">
        <v>15</v>
      </c>
      <c r="S216" s="73">
        <v>46054</v>
      </c>
      <c r="T216" s="70">
        <v>2.25</v>
      </c>
      <c r="U216" s="74">
        <v>4</v>
      </c>
      <c r="V216" s="70">
        <v>12.75</v>
      </c>
      <c r="W216" s="56" t="s">
        <v>47</v>
      </c>
      <c r="X216" s="56" t="s">
        <v>48</v>
      </c>
      <c r="Y216" s="56" t="s">
        <v>36</v>
      </c>
      <c r="Z216" s="56" t="s">
        <v>9</v>
      </c>
      <c r="AA216" s="56" t="s">
        <v>49</v>
      </c>
      <c r="AB216" s="56" t="s">
        <v>162</v>
      </c>
      <c r="AC216" s="56" t="s">
        <v>38</v>
      </c>
      <c r="AD216" s="75" t="s">
        <v>267</v>
      </c>
      <c r="AE216" s="76"/>
      <c r="AF216" s="76"/>
      <c r="AG216" s="76"/>
      <c r="AH216" s="76"/>
      <c r="AI216" s="76"/>
      <c r="AJ216" s="76"/>
      <c r="AK216" s="76"/>
      <c r="AL216" s="76"/>
      <c r="AM216" s="76"/>
      <c r="AN216" s="76"/>
      <c r="AO216" s="76"/>
      <c r="AP216" s="76"/>
      <c r="AQ216" s="76"/>
      <c r="AR216" s="76"/>
      <c r="AS216" s="76"/>
      <c r="AT216" s="76"/>
      <c r="AU216" s="76"/>
      <c r="AV216" s="76"/>
      <c r="AW216" s="76"/>
    </row>
    <row r="217" spans="1:49" ht="31.5" x14ac:dyDescent="0.25">
      <c r="A217" s="56" t="s">
        <v>159</v>
      </c>
      <c r="B217" s="59">
        <v>46052</v>
      </c>
      <c r="C217" s="59">
        <v>46052</v>
      </c>
      <c r="D217" s="56" t="s">
        <v>217</v>
      </c>
      <c r="E217" s="62">
        <v>0.54166666666666663</v>
      </c>
      <c r="F217" s="62">
        <v>0.66666666666666663</v>
      </c>
      <c r="G217" s="64">
        <v>1.7361111111111109E-4</v>
      </c>
      <c r="H217" s="65" t="s">
        <v>163</v>
      </c>
      <c r="I217" s="66">
        <v>0.54782418981481484</v>
      </c>
      <c r="J217" s="56" t="s">
        <v>105</v>
      </c>
      <c r="K217" s="56" t="s">
        <v>152</v>
      </c>
      <c r="L217" s="68">
        <v>1</v>
      </c>
      <c r="M217" s="68">
        <v>71095</v>
      </c>
      <c r="N217" s="56" t="s">
        <v>53</v>
      </c>
      <c r="O217" s="68" t="s">
        <v>161</v>
      </c>
      <c r="P217" s="70">
        <v>15</v>
      </c>
      <c r="Q217" s="68"/>
      <c r="R217" s="70">
        <v>15</v>
      </c>
      <c r="S217" s="73">
        <v>46054</v>
      </c>
      <c r="T217" s="70">
        <v>2.25</v>
      </c>
      <c r="U217" s="74">
        <v>4</v>
      </c>
      <c r="V217" s="70">
        <v>12.75</v>
      </c>
      <c r="W217" s="56" t="s">
        <v>47</v>
      </c>
      <c r="X217" s="56" t="s">
        <v>48</v>
      </c>
      <c r="Y217" s="56" t="s">
        <v>36</v>
      </c>
      <c r="Z217" s="56" t="s">
        <v>9</v>
      </c>
      <c r="AA217" s="56" t="s">
        <v>49</v>
      </c>
      <c r="AB217" s="56" t="s">
        <v>162</v>
      </c>
      <c r="AC217" s="56" t="s">
        <v>38</v>
      </c>
      <c r="AD217" s="75" t="s">
        <v>267</v>
      </c>
      <c r="AE217" s="76"/>
      <c r="AF217" s="76"/>
      <c r="AG217" s="76"/>
      <c r="AH217" s="76"/>
      <c r="AI217" s="76"/>
      <c r="AJ217" s="76"/>
      <c r="AK217" s="76"/>
      <c r="AL217" s="76"/>
      <c r="AM217" s="76"/>
      <c r="AN217" s="76"/>
      <c r="AO217" s="76"/>
      <c r="AP217" s="76"/>
      <c r="AQ217" s="76"/>
      <c r="AR217" s="76"/>
      <c r="AS217" s="76"/>
      <c r="AT217" s="76"/>
      <c r="AU217" s="76"/>
      <c r="AV217" s="76"/>
      <c r="AW217" s="76"/>
    </row>
    <row r="218" spans="1:49" ht="31.5" x14ac:dyDescent="0.2">
      <c r="A218" s="56" t="s">
        <v>159</v>
      </c>
      <c r="B218" s="59">
        <v>46052</v>
      </c>
      <c r="C218" s="59">
        <v>46052</v>
      </c>
      <c r="D218" s="56" t="s">
        <v>217</v>
      </c>
      <c r="E218" s="62">
        <v>0.54166666666666663</v>
      </c>
      <c r="F218" s="62">
        <v>0.66666666666666663</v>
      </c>
      <c r="G218" s="64">
        <v>1.7361111111111109E-4</v>
      </c>
      <c r="H218" s="65" t="s">
        <v>164</v>
      </c>
      <c r="I218" s="66">
        <v>0.56133136574074072</v>
      </c>
      <c r="J218" s="56" t="s">
        <v>105</v>
      </c>
      <c r="K218" s="56" t="s">
        <v>152</v>
      </c>
      <c r="L218" s="68">
        <v>1</v>
      </c>
      <c r="M218" s="68">
        <v>71095</v>
      </c>
      <c r="N218" s="56" t="s">
        <v>53</v>
      </c>
      <c r="O218" s="68" t="s">
        <v>161</v>
      </c>
      <c r="P218" s="70">
        <v>15</v>
      </c>
      <c r="Q218" s="68"/>
      <c r="R218" s="70">
        <v>15</v>
      </c>
      <c r="S218" s="73">
        <v>46054</v>
      </c>
      <c r="T218" s="70">
        <v>2.25</v>
      </c>
      <c r="U218" s="74">
        <v>4</v>
      </c>
      <c r="V218" s="70">
        <v>12.75</v>
      </c>
      <c r="W218" s="56" t="s">
        <v>47</v>
      </c>
      <c r="X218" s="56" t="s">
        <v>48</v>
      </c>
      <c r="Y218" s="56" t="s">
        <v>36</v>
      </c>
      <c r="Z218" s="56" t="s">
        <v>9</v>
      </c>
      <c r="AA218" s="56" t="s">
        <v>49</v>
      </c>
      <c r="AB218" s="56" t="s">
        <v>162</v>
      </c>
      <c r="AC218" s="56" t="s">
        <v>38</v>
      </c>
      <c r="AD218" s="75" t="s">
        <v>267</v>
      </c>
      <c r="AE218" s="57"/>
      <c r="AF218" s="57"/>
      <c r="AG218" s="57"/>
      <c r="AH218" s="57"/>
      <c r="AI218" s="57"/>
      <c r="AJ218" s="57"/>
      <c r="AK218" s="57"/>
      <c r="AL218" s="57"/>
      <c r="AM218" s="57"/>
      <c r="AN218" s="57"/>
      <c r="AO218" s="57"/>
      <c r="AP218" s="57"/>
      <c r="AQ218" s="57"/>
      <c r="AR218" s="57"/>
      <c r="AS218" s="57"/>
      <c r="AT218" s="57"/>
      <c r="AU218" s="57"/>
      <c r="AV218" s="57"/>
      <c r="AW218" s="57"/>
    </row>
    <row r="219" spans="1:49" ht="31.5" x14ac:dyDescent="0.25">
      <c r="A219" s="56" t="s">
        <v>159</v>
      </c>
      <c r="B219" s="59">
        <v>46052</v>
      </c>
      <c r="C219" s="59">
        <v>46052</v>
      </c>
      <c r="D219" s="56" t="s">
        <v>217</v>
      </c>
      <c r="E219" s="62">
        <v>0.54166666666666663</v>
      </c>
      <c r="F219" s="62">
        <v>0.66666666666666663</v>
      </c>
      <c r="G219" s="64">
        <v>1.7361111111111109E-4</v>
      </c>
      <c r="H219" s="65" t="s">
        <v>165</v>
      </c>
      <c r="I219" s="66">
        <v>0.56219953703703707</v>
      </c>
      <c r="J219" s="56" t="s">
        <v>105</v>
      </c>
      <c r="K219" s="56" t="s">
        <v>152</v>
      </c>
      <c r="L219" s="68">
        <v>1</v>
      </c>
      <c r="M219" s="68">
        <v>71095</v>
      </c>
      <c r="N219" s="56" t="s">
        <v>53</v>
      </c>
      <c r="O219" s="68" t="s">
        <v>161</v>
      </c>
      <c r="P219" s="70">
        <v>15</v>
      </c>
      <c r="Q219" s="68"/>
      <c r="R219" s="70">
        <v>15</v>
      </c>
      <c r="S219" s="73">
        <v>46054</v>
      </c>
      <c r="T219" s="70">
        <v>2.25</v>
      </c>
      <c r="U219" s="74">
        <v>4</v>
      </c>
      <c r="V219" s="70">
        <v>12.75</v>
      </c>
      <c r="W219" s="56" t="s">
        <v>47</v>
      </c>
      <c r="X219" s="56" t="s">
        <v>48</v>
      </c>
      <c r="Y219" s="56" t="s">
        <v>36</v>
      </c>
      <c r="Z219" s="56" t="s">
        <v>9</v>
      </c>
      <c r="AA219" s="56" t="s">
        <v>49</v>
      </c>
      <c r="AB219" s="56" t="s">
        <v>162</v>
      </c>
      <c r="AC219" s="56" t="s">
        <v>38</v>
      </c>
      <c r="AD219" s="75" t="s">
        <v>267</v>
      </c>
      <c r="AE219" s="76"/>
      <c r="AF219" s="76"/>
      <c r="AG219" s="76"/>
      <c r="AH219" s="76"/>
      <c r="AI219" s="85"/>
      <c r="AJ219" s="85"/>
      <c r="AK219" s="85"/>
      <c r="AL219" s="85"/>
      <c r="AM219" s="85"/>
      <c r="AN219" s="85"/>
      <c r="AO219" s="85"/>
      <c r="AP219" s="85"/>
      <c r="AQ219" s="85"/>
      <c r="AR219" s="85"/>
      <c r="AS219" s="85"/>
      <c r="AT219" s="85"/>
      <c r="AU219" s="85"/>
      <c r="AV219" s="85"/>
      <c r="AW219" s="85"/>
    </row>
    <row r="220" spans="1:49" ht="31.5" x14ac:dyDescent="0.25">
      <c r="A220" s="56" t="s">
        <v>159</v>
      </c>
      <c r="B220" s="59">
        <v>46052</v>
      </c>
      <c r="C220" s="59">
        <v>46052</v>
      </c>
      <c r="D220" s="56" t="s">
        <v>217</v>
      </c>
      <c r="E220" s="62">
        <v>0.54166666666666663</v>
      </c>
      <c r="F220" s="62">
        <v>0.66666666666666663</v>
      </c>
      <c r="G220" s="64">
        <v>1.7361111111111109E-4</v>
      </c>
      <c r="H220" s="65" t="s">
        <v>160</v>
      </c>
      <c r="I220" s="66">
        <v>0.5819336805555555</v>
      </c>
      <c r="J220" s="56" t="s">
        <v>105</v>
      </c>
      <c r="K220" s="56" t="s">
        <v>153</v>
      </c>
      <c r="L220" s="68">
        <v>1</v>
      </c>
      <c r="M220" s="68">
        <v>71095</v>
      </c>
      <c r="N220" s="56" t="s">
        <v>53</v>
      </c>
      <c r="O220" s="68" t="s">
        <v>161</v>
      </c>
      <c r="P220" s="70">
        <v>15</v>
      </c>
      <c r="Q220" s="68"/>
      <c r="R220" s="70">
        <v>15</v>
      </c>
      <c r="S220" s="73">
        <v>46054</v>
      </c>
      <c r="T220" s="70">
        <v>2.25</v>
      </c>
      <c r="U220" s="74">
        <v>4</v>
      </c>
      <c r="V220" s="70">
        <v>12.75</v>
      </c>
      <c r="W220" s="56" t="s">
        <v>47</v>
      </c>
      <c r="X220" s="56" t="s">
        <v>48</v>
      </c>
      <c r="Y220" s="56" t="s">
        <v>36</v>
      </c>
      <c r="Z220" s="56" t="s">
        <v>9</v>
      </c>
      <c r="AA220" s="56" t="s">
        <v>49</v>
      </c>
      <c r="AB220" s="56" t="s">
        <v>162</v>
      </c>
      <c r="AC220" s="56" t="s">
        <v>38</v>
      </c>
      <c r="AD220" s="75" t="s">
        <v>267</v>
      </c>
      <c r="AE220" s="76"/>
      <c r="AF220" s="76"/>
      <c r="AG220" s="76"/>
      <c r="AH220" s="76"/>
      <c r="AI220" s="85"/>
      <c r="AJ220" s="85"/>
      <c r="AK220" s="85"/>
      <c r="AL220" s="85"/>
      <c r="AM220" s="85"/>
      <c r="AN220" s="85"/>
      <c r="AO220" s="85"/>
      <c r="AP220" s="85"/>
      <c r="AQ220" s="85"/>
      <c r="AR220" s="85"/>
      <c r="AS220" s="85"/>
      <c r="AT220" s="85"/>
      <c r="AU220" s="85"/>
      <c r="AV220" s="85"/>
      <c r="AW220" s="85"/>
    </row>
    <row r="221" spans="1:49" ht="31.5" x14ac:dyDescent="0.25">
      <c r="A221" s="56" t="s">
        <v>159</v>
      </c>
      <c r="B221" s="59">
        <v>46052</v>
      </c>
      <c r="C221" s="59">
        <v>46052</v>
      </c>
      <c r="D221" s="56" t="s">
        <v>217</v>
      </c>
      <c r="E221" s="62">
        <v>0.54166666666666663</v>
      </c>
      <c r="F221" s="62">
        <v>0.66666666666666663</v>
      </c>
      <c r="G221" s="64">
        <v>1.7361111111111109E-4</v>
      </c>
      <c r="H221" s="65" t="s">
        <v>163</v>
      </c>
      <c r="I221" s="66">
        <v>0.58297581018518518</v>
      </c>
      <c r="J221" s="56" t="s">
        <v>105</v>
      </c>
      <c r="K221" s="56" t="s">
        <v>153</v>
      </c>
      <c r="L221" s="68">
        <v>1</v>
      </c>
      <c r="M221" s="68">
        <v>71095</v>
      </c>
      <c r="N221" s="56" t="s">
        <v>53</v>
      </c>
      <c r="O221" s="68" t="s">
        <v>161</v>
      </c>
      <c r="P221" s="70">
        <v>15</v>
      </c>
      <c r="Q221" s="68"/>
      <c r="R221" s="70">
        <v>15</v>
      </c>
      <c r="S221" s="73">
        <v>46054</v>
      </c>
      <c r="T221" s="70">
        <v>2.25</v>
      </c>
      <c r="U221" s="74">
        <v>4</v>
      </c>
      <c r="V221" s="70">
        <v>12.75</v>
      </c>
      <c r="W221" s="56" t="s">
        <v>47</v>
      </c>
      <c r="X221" s="56" t="s">
        <v>48</v>
      </c>
      <c r="Y221" s="56" t="s">
        <v>36</v>
      </c>
      <c r="Z221" s="56" t="s">
        <v>9</v>
      </c>
      <c r="AA221" s="56" t="s">
        <v>49</v>
      </c>
      <c r="AB221" s="56" t="s">
        <v>162</v>
      </c>
      <c r="AC221" s="56" t="s">
        <v>38</v>
      </c>
      <c r="AD221" s="75" t="s">
        <v>267</v>
      </c>
      <c r="AE221" s="76"/>
      <c r="AF221" s="76"/>
      <c r="AG221" s="76"/>
      <c r="AH221" s="76"/>
      <c r="AI221" s="85"/>
      <c r="AJ221" s="85"/>
      <c r="AK221" s="85"/>
      <c r="AL221" s="85"/>
      <c r="AM221" s="85"/>
      <c r="AN221" s="85"/>
      <c r="AO221" s="85"/>
      <c r="AP221" s="85"/>
      <c r="AQ221" s="85"/>
      <c r="AR221" s="85"/>
      <c r="AS221" s="85"/>
      <c r="AT221" s="85"/>
      <c r="AU221" s="85"/>
      <c r="AV221" s="85"/>
      <c r="AW221" s="85"/>
    </row>
    <row r="222" spans="1:49" ht="31.5" x14ac:dyDescent="0.25">
      <c r="A222" s="56" t="s">
        <v>159</v>
      </c>
      <c r="B222" s="59">
        <v>46052</v>
      </c>
      <c r="C222" s="59">
        <v>46052</v>
      </c>
      <c r="D222" s="56" t="s">
        <v>217</v>
      </c>
      <c r="E222" s="62">
        <v>0.66666666666666663</v>
      </c>
      <c r="F222" s="62">
        <v>0.79166666666666663</v>
      </c>
      <c r="G222" s="64">
        <v>1.7361111111111109E-4</v>
      </c>
      <c r="H222" s="65" t="s">
        <v>160</v>
      </c>
      <c r="I222" s="66">
        <v>0.68198217592592592</v>
      </c>
      <c r="J222" s="56" t="s">
        <v>120</v>
      </c>
      <c r="K222" s="56" t="s">
        <v>119</v>
      </c>
      <c r="L222" s="68">
        <v>1</v>
      </c>
      <c r="M222" s="68">
        <v>71003</v>
      </c>
      <c r="N222" s="56" t="s">
        <v>53</v>
      </c>
      <c r="O222" s="68" t="s">
        <v>161</v>
      </c>
      <c r="P222" s="70">
        <v>15</v>
      </c>
      <c r="Q222" s="68"/>
      <c r="R222" s="70">
        <v>15</v>
      </c>
      <c r="S222" s="73">
        <v>46054</v>
      </c>
      <c r="T222" s="70">
        <v>2.25</v>
      </c>
      <c r="U222" s="74">
        <v>4</v>
      </c>
      <c r="V222" s="70">
        <v>12.75</v>
      </c>
      <c r="W222" s="56" t="s">
        <v>47</v>
      </c>
      <c r="X222" s="56" t="s">
        <v>48</v>
      </c>
      <c r="Y222" s="56" t="s">
        <v>36</v>
      </c>
      <c r="Z222" s="56" t="s">
        <v>9</v>
      </c>
      <c r="AA222" s="56" t="s">
        <v>49</v>
      </c>
      <c r="AB222" s="56" t="s">
        <v>162</v>
      </c>
      <c r="AC222" s="56" t="s">
        <v>38</v>
      </c>
      <c r="AD222" s="75" t="s">
        <v>267</v>
      </c>
      <c r="AE222" s="79"/>
      <c r="AF222" s="79"/>
      <c r="AG222" s="79"/>
      <c r="AH222" s="79"/>
      <c r="AI222" s="86"/>
      <c r="AJ222" s="86"/>
      <c r="AK222" s="86"/>
      <c r="AL222" s="86"/>
      <c r="AM222" s="86"/>
      <c r="AN222" s="86"/>
      <c r="AO222" s="86"/>
      <c r="AP222" s="86"/>
      <c r="AQ222" s="86"/>
      <c r="AR222" s="86"/>
      <c r="AS222" s="86"/>
      <c r="AT222" s="86"/>
      <c r="AU222" s="86"/>
      <c r="AV222" s="86"/>
      <c r="AW222" s="86"/>
    </row>
    <row r="223" spans="1:49" ht="31.5" x14ac:dyDescent="0.25">
      <c r="A223" s="56" t="s">
        <v>159</v>
      </c>
      <c r="B223" s="59">
        <v>46052</v>
      </c>
      <c r="C223" s="59">
        <v>46052</v>
      </c>
      <c r="D223" s="56" t="s">
        <v>217</v>
      </c>
      <c r="E223" s="62">
        <v>0.66666666666666663</v>
      </c>
      <c r="F223" s="62">
        <v>0.79166666666666663</v>
      </c>
      <c r="G223" s="64">
        <v>1.7361111111111109E-4</v>
      </c>
      <c r="H223" s="65" t="s">
        <v>163</v>
      </c>
      <c r="I223" s="66">
        <v>0.6835447916666666</v>
      </c>
      <c r="J223" s="56" t="s">
        <v>120</v>
      </c>
      <c r="K223" s="56" t="s">
        <v>119</v>
      </c>
      <c r="L223" s="68">
        <v>1</v>
      </c>
      <c r="M223" s="68">
        <v>71003</v>
      </c>
      <c r="N223" s="56" t="s">
        <v>53</v>
      </c>
      <c r="O223" s="68" t="s">
        <v>161</v>
      </c>
      <c r="P223" s="70">
        <v>15</v>
      </c>
      <c r="Q223" s="68"/>
      <c r="R223" s="70">
        <v>15</v>
      </c>
      <c r="S223" s="73">
        <v>46054</v>
      </c>
      <c r="T223" s="70">
        <v>2.25</v>
      </c>
      <c r="U223" s="74">
        <v>4</v>
      </c>
      <c r="V223" s="70">
        <v>12.75</v>
      </c>
      <c r="W223" s="56" t="s">
        <v>47</v>
      </c>
      <c r="X223" s="56" t="s">
        <v>48</v>
      </c>
      <c r="Y223" s="56" t="s">
        <v>36</v>
      </c>
      <c r="Z223" s="56" t="s">
        <v>9</v>
      </c>
      <c r="AA223" s="56" t="s">
        <v>49</v>
      </c>
      <c r="AB223" s="56" t="s">
        <v>162</v>
      </c>
      <c r="AC223" s="56" t="s">
        <v>38</v>
      </c>
      <c r="AD223" s="75" t="s">
        <v>267</v>
      </c>
      <c r="AE223" s="76"/>
      <c r="AF223" s="76"/>
      <c r="AG223" s="76"/>
      <c r="AH223" s="76"/>
      <c r="AI223" s="76"/>
      <c r="AJ223" s="76"/>
      <c r="AK223" s="76"/>
      <c r="AL223" s="76"/>
      <c r="AM223" s="76"/>
      <c r="AN223" s="76"/>
      <c r="AO223" s="76"/>
      <c r="AP223" s="76"/>
      <c r="AQ223" s="76"/>
      <c r="AR223" s="76"/>
      <c r="AS223" s="76"/>
      <c r="AT223" s="76"/>
      <c r="AU223" s="76"/>
      <c r="AV223" s="76"/>
      <c r="AW223" s="76"/>
    </row>
    <row r="224" spans="1:49" ht="31.5" x14ac:dyDescent="0.25">
      <c r="A224" s="56" t="s">
        <v>159</v>
      </c>
      <c r="B224" s="59">
        <v>46052</v>
      </c>
      <c r="C224" s="59">
        <v>46052</v>
      </c>
      <c r="D224" s="56" t="s">
        <v>217</v>
      </c>
      <c r="E224" s="62">
        <v>0.66666666666666663</v>
      </c>
      <c r="F224" s="62">
        <v>0.79166666666666663</v>
      </c>
      <c r="G224" s="64">
        <v>1.7361111111111109E-4</v>
      </c>
      <c r="H224" s="65" t="s">
        <v>160</v>
      </c>
      <c r="I224" s="66">
        <v>0.70789386574074076</v>
      </c>
      <c r="J224" s="56" t="s">
        <v>120</v>
      </c>
      <c r="K224" s="56" t="s">
        <v>155</v>
      </c>
      <c r="L224" s="68">
        <v>1</v>
      </c>
      <c r="M224" s="68">
        <v>71094</v>
      </c>
      <c r="N224" s="56" t="s">
        <v>46</v>
      </c>
      <c r="O224" s="68" t="s">
        <v>161</v>
      </c>
      <c r="P224" s="70">
        <v>0</v>
      </c>
      <c r="Q224" s="68"/>
      <c r="R224" s="70">
        <v>0</v>
      </c>
      <c r="S224" s="73">
        <v>46054</v>
      </c>
      <c r="T224" s="70">
        <v>0</v>
      </c>
      <c r="U224" s="74">
        <v>4</v>
      </c>
      <c r="V224" s="70">
        <v>0</v>
      </c>
      <c r="W224" s="56" t="s">
        <v>47</v>
      </c>
      <c r="X224" s="56" t="s">
        <v>48</v>
      </c>
      <c r="Y224" s="56" t="s">
        <v>36</v>
      </c>
      <c r="Z224" s="56" t="s">
        <v>9</v>
      </c>
      <c r="AA224" s="56" t="s">
        <v>49</v>
      </c>
      <c r="AB224" s="56" t="s">
        <v>162</v>
      </c>
      <c r="AC224" s="56" t="s">
        <v>38</v>
      </c>
      <c r="AD224" s="75" t="s">
        <v>267</v>
      </c>
      <c r="AE224" s="79"/>
      <c r="AF224" s="79"/>
      <c r="AG224" s="79"/>
      <c r="AH224" s="79"/>
      <c r="AI224" s="86"/>
      <c r="AJ224" s="86"/>
      <c r="AK224" s="86"/>
      <c r="AL224" s="86"/>
      <c r="AM224" s="86"/>
      <c r="AN224" s="86"/>
      <c r="AO224" s="86"/>
      <c r="AP224" s="86"/>
      <c r="AQ224" s="86"/>
      <c r="AR224" s="86"/>
      <c r="AS224" s="86"/>
      <c r="AT224" s="86"/>
      <c r="AU224" s="86"/>
      <c r="AV224" s="86"/>
      <c r="AW224" s="86"/>
    </row>
    <row r="225" spans="1:49" ht="31.5" x14ac:dyDescent="0.25">
      <c r="A225" s="56" t="s">
        <v>159</v>
      </c>
      <c r="B225" s="59">
        <v>46052</v>
      </c>
      <c r="C225" s="59">
        <v>46052</v>
      </c>
      <c r="D225" s="56" t="s">
        <v>217</v>
      </c>
      <c r="E225" s="62">
        <v>0.66666666666666663</v>
      </c>
      <c r="F225" s="62">
        <v>0.79166666666666663</v>
      </c>
      <c r="G225" s="64">
        <v>1.7361111111111109E-4</v>
      </c>
      <c r="H225" s="65" t="s">
        <v>163</v>
      </c>
      <c r="I225" s="66">
        <v>0.70806747685185178</v>
      </c>
      <c r="J225" s="56" t="s">
        <v>120</v>
      </c>
      <c r="K225" s="56" t="s">
        <v>155</v>
      </c>
      <c r="L225" s="68">
        <v>1</v>
      </c>
      <c r="M225" s="68">
        <v>71094</v>
      </c>
      <c r="N225" s="56" t="s">
        <v>46</v>
      </c>
      <c r="O225" s="68" t="s">
        <v>161</v>
      </c>
      <c r="P225" s="70">
        <v>0</v>
      </c>
      <c r="Q225" s="68"/>
      <c r="R225" s="70">
        <v>0</v>
      </c>
      <c r="S225" s="73">
        <v>46054</v>
      </c>
      <c r="T225" s="70">
        <v>0</v>
      </c>
      <c r="U225" s="74">
        <v>4</v>
      </c>
      <c r="V225" s="70">
        <v>0</v>
      </c>
      <c r="W225" s="56" t="s">
        <v>47</v>
      </c>
      <c r="X225" s="56" t="s">
        <v>48</v>
      </c>
      <c r="Y225" s="56" t="s">
        <v>36</v>
      </c>
      <c r="Z225" s="56" t="s">
        <v>9</v>
      </c>
      <c r="AA225" s="56" t="s">
        <v>49</v>
      </c>
      <c r="AB225" s="56" t="s">
        <v>162</v>
      </c>
      <c r="AC225" s="56" t="s">
        <v>38</v>
      </c>
      <c r="AD225" s="75" t="s">
        <v>267</v>
      </c>
      <c r="AE225" s="76"/>
      <c r="AF225" s="76"/>
      <c r="AG225" s="76"/>
      <c r="AH225" s="76"/>
      <c r="AI225" s="76"/>
      <c r="AJ225" s="76"/>
      <c r="AK225" s="76"/>
      <c r="AL225" s="76"/>
      <c r="AM225" s="76"/>
      <c r="AN225" s="76"/>
      <c r="AO225" s="76"/>
      <c r="AP225" s="76"/>
      <c r="AQ225" s="76"/>
      <c r="AR225" s="76"/>
      <c r="AS225" s="76"/>
      <c r="AT225" s="76"/>
      <c r="AU225" s="76"/>
      <c r="AV225" s="76"/>
      <c r="AW225" s="76"/>
    </row>
    <row r="226" spans="1:49" ht="31.5" x14ac:dyDescent="0.25">
      <c r="A226" s="56" t="s">
        <v>159</v>
      </c>
      <c r="B226" s="59">
        <v>46052</v>
      </c>
      <c r="C226" s="59">
        <v>46052</v>
      </c>
      <c r="D226" s="56" t="s">
        <v>217</v>
      </c>
      <c r="E226" s="62">
        <v>0.66666666666666663</v>
      </c>
      <c r="F226" s="62">
        <v>0.79166666666666663</v>
      </c>
      <c r="G226" s="64">
        <v>1.7361111111111109E-4</v>
      </c>
      <c r="H226" s="65" t="s">
        <v>164</v>
      </c>
      <c r="I226" s="66">
        <v>0.75288379629629631</v>
      </c>
      <c r="J226" s="56" t="s">
        <v>120</v>
      </c>
      <c r="K226" s="56" t="s">
        <v>194</v>
      </c>
      <c r="L226" s="68">
        <v>1</v>
      </c>
      <c r="M226" s="68">
        <v>71094</v>
      </c>
      <c r="N226" s="56" t="s">
        <v>46</v>
      </c>
      <c r="O226" s="68" t="s">
        <v>161</v>
      </c>
      <c r="P226" s="70">
        <v>0</v>
      </c>
      <c r="Q226" s="68"/>
      <c r="R226" s="70">
        <v>0</v>
      </c>
      <c r="S226" s="73">
        <v>46054</v>
      </c>
      <c r="T226" s="70">
        <v>0</v>
      </c>
      <c r="U226" s="74">
        <v>4</v>
      </c>
      <c r="V226" s="70">
        <v>0</v>
      </c>
      <c r="W226" s="56" t="s">
        <v>47</v>
      </c>
      <c r="X226" s="56" t="s">
        <v>48</v>
      </c>
      <c r="Y226" s="56" t="s">
        <v>36</v>
      </c>
      <c r="Z226" s="56" t="s">
        <v>9</v>
      </c>
      <c r="AA226" s="56" t="s">
        <v>49</v>
      </c>
      <c r="AB226" s="56" t="s">
        <v>162</v>
      </c>
      <c r="AC226" s="56" t="s">
        <v>38</v>
      </c>
      <c r="AD226" s="75" t="s">
        <v>267</v>
      </c>
      <c r="AE226" s="79"/>
      <c r="AF226" s="79"/>
      <c r="AG226" s="79"/>
      <c r="AH226" s="79"/>
      <c r="AI226" s="86"/>
      <c r="AJ226" s="86"/>
      <c r="AK226" s="86"/>
      <c r="AL226" s="86"/>
      <c r="AM226" s="86"/>
      <c r="AN226" s="86"/>
      <c r="AO226" s="86"/>
      <c r="AP226" s="86"/>
      <c r="AQ226" s="86"/>
      <c r="AR226" s="86"/>
      <c r="AS226" s="86"/>
      <c r="AT226" s="86"/>
      <c r="AU226" s="86"/>
      <c r="AV226" s="86"/>
      <c r="AW226" s="86"/>
    </row>
    <row r="227" spans="1:49" ht="31.5" x14ac:dyDescent="0.25">
      <c r="A227" s="56" t="s">
        <v>159</v>
      </c>
      <c r="B227" s="59">
        <v>46052</v>
      </c>
      <c r="C227" s="59">
        <v>46052</v>
      </c>
      <c r="D227" s="56" t="s">
        <v>217</v>
      </c>
      <c r="E227" s="62">
        <v>0.66666666666666663</v>
      </c>
      <c r="F227" s="62">
        <v>0.79166666666666663</v>
      </c>
      <c r="G227" s="64">
        <v>1.7361111111111109E-4</v>
      </c>
      <c r="H227" s="65" t="s">
        <v>165</v>
      </c>
      <c r="I227" s="66">
        <v>0.75531446759259258</v>
      </c>
      <c r="J227" s="56" t="s">
        <v>120</v>
      </c>
      <c r="K227" s="56" t="s">
        <v>194</v>
      </c>
      <c r="L227" s="68">
        <v>1</v>
      </c>
      <c r="M227" s="68">
        <v>71094</v>
      </c>
      <c r="N227" s="56" t="s">
        <v>46</v>
      </c>
      <c r="O227" s="68" t="s">
        <v>161</v>
      </c>
      <c r="P227" s="70">
        <v>0</v>
      </c>
      <c r="Q227" s="68"/>
      <c r="R227" s="70">
        <v>0</v>
      </c>
      <c r="S227" s="73">
        <v>46054</v>
      </c>
      <c r="T227" s="70">
        <v>0</v>
      </c>
      <c r="U227" s="74">
        <v>4</v>
      </c>
      <c r="V227" s="70">
        <v>0</v>
      </c>
      <c r="W227" s="56" t="s">
        <v>47</v>
      </c>
      <c r="X227" s="56" t="s">
        <v>48</v>
      </c>
      <c r="Y227" s="56" t="s">
        <v>36</v>
      </c>
      <c r="Z227" s="56" t="s">
        <v>9</v>
      </c>
      <c r="AA227" s="56" t="s">
        <v>49</v>
      </c>
      <c r="AB227" s="56" t="s">
        <v>162</v>
      </c>
      <c r="AC227" s="56" t="s">
        <v>38</v>
      </c>
      <c r="AD227" s="75" t="s">
        <v>267</v>
      </c>
      <c r="AE227" s="76"/>
      <c r="AF227" s="76"/>
      <c r="AG227" s="76"/>
      <c r="AH227" s="76"/>
      <c r="AI227" s="76"/>
      <c r="AJ227" s="76"/>
      <c r="AK227" s="76"/>
      <c r="AL227" s="76"/>
      <c r="AM227" s="76"/>
      <c r="AN227" s="76"/>
      <c r="AO227" s="76"/>
      <c r="AP227" s="76"/>
      <c r="AQ227" s="76"/>
      <c r="AR227" s="76"/>
      <c r="AS227" s="76"/>
      <c r="AT227" s="76"/>
      <c r="AU227" s="76"/>
      <c r="AV227" s="76"/>
      <c r="AW227" s="76"/>
    </row>
    <row r="228" spans="1:49" ht="31.5" x14ac:dyDescent="0.25">
      <c r="A228" s="56" t="s">
        <v>159</v>
      </c>
      <c r="B228" s="59">
        <v>46053</v>
      </c>
      <c r="C228" s="59">
        <v>46053</v>
      </c>
      <c r="D228" s="56" t="s">
        <v>224</v>
      </c>
      <c r="E228" s="62">
        <v>0.54166666666666663</v>
      </c>
      <c r="F228" s="62">
        <v>0.66666666666666663</v>
      </c>
      <c r="G228" s="64">
        <v>1.7361111111111109E-4</v>
      </c>
      <c r="H228" s="65" t="s">
        <v>160</v>
      </c>
      <c r="I228" s="66">
        <v>0.58281273148148149</v>
      </c>
      <c r="J228" s="56" t="s">
        <v>105</v>
      </c>
      <c r="K228" s="56" t="s">
        <v>248</v>
      </c>
      <c r="L228" s="68">
        <v>1</v>
      </c>
      <c r="M228" s="68">
        <v>71011</v>
      </c>
      <c r="N228" s="56" t="s">
        <v>46</v>
      </c>
      <c r="O228" s="68" t="s">
        <v>161</v>
      </c>
      <c r="P228" s="70">
        <v>0</v>
      </c>
      <c r="Q228" s="68"/>
      <c r="R228" s="70">
        <v>0</v>
      </c>
      <c r="S228" s="73">
        <v>46054</v>
      </c>
      <c r="T228" s="70">
        <v>0</v>
      </c>
      <c r="U228" s="74">
        <v>4</v>
      </c>
      <c r="V228" s="70">
        <v>0</v>
      </c>
      <c r="W228" s="56" t="s">
        <v>47</v>
      </c>
      <c r="X228" s="56" t="s">
        <v>48</v>
      </c>
      <c r="Y228" s="56" t="s">
        <v>36</v>
      </c>
      <c r="Z228" s="56" t="s">
        <v>9</v>
      </c>
      <c r="AA228" s="56" t="s">
        <v>49</v>
      </c>
      <c r="AB228" s="56" t="s">
        <v>162</v>
      </c>
      <c r="AC228" s="56" t="s">
        <v>38</v>
      </c>
      <c r="AD228" s="75" t="s">
        <v>267</v>
      </c>
      <c r="AE228" s="76"/>
      <c r="AF228" s="76"/>
      <c r="AG228" s="76"/>
      <c r="AH228" s="76"/>
      <c r="AI228" s="76"/>
      <c r="AJ228" s="76"/>
      <c r="AK228" s="76"/>
      <c r="AL228" s="76"/>
      <c r="AM228" s="76"/>
      <c r="AN228" s="76"/>
      <c r="AO228" s="76"/>
      <c r="AP228" s="76"/>
      <c r="AQ228" s="76"/>
      <c r="AR228" s="76"/>
      <c r="AS228" s="76"/>
      <c r="AT228" s="76"/>
      <c r="AU228" s="76"/>
      <c r="AV228" s="76"/>
      <c r="AW228" s="76"/>
    </row>
    <row r="229" spans="1:49" ht="31.5" x14ac:dyDescent="0.25">
      <c r="A229" s="56" t="s">
        <v>159</v>
      </c>
      <c r="B229" s="59">
        <v>46053</v>
      </c>
      <c r="C229" s="59">
        <v>46053</v>
      </c>
      <c r="D229" s="56" t="s">
        <v>224</v>
      </c>
      <c r="E229" s="62">
        <v>0.54166666666666663</v>
      </c>
      <c r="F229" s="62">
        <v>0.66666666666666663</v>
      </c>
      <c r="G229" s="64">
        <v>1.7361111111111109E-4</v>
      </c>
      <c r="H229" s="65" t="s">
        <v>163</v>
      </c>
      <c r="I229" s="66">
        <v>0.58298634259259252</v>
      </c>
      <c r="J229" s="56" t="s">
        <v>105</v>
      </c>
      <c r="K229" s="56" t="s">
        <v>248</v>
      </c>
      <c r="L229" s="68">
        <v>1</v>
      </c>
      <c r="M229" s="68">
        <v>71011</v>
      </c>
      <c r="N229" s="56" t="s">
        <v>46</v>
      </c>
      <c r="O229" s="68" t="s">
        <v>161</v>
      </c>
      <c r="P229" s="70">
        <v>0</v>
      </c>
      <c r="Q229" s="68"/>
      <c r="R229" s="70">
        <v>0</v>
      </c>
      <c r="S229" s="73">
        <v>46054</v>
      </c>
      <c r="T229" s="70">
        <v>0</v>
      </c>
      <c r="U229" s="74">
        <v>4</v>
      </c>
      <c r="V229" s="70">
        <v>0</v>
      </c>
      <c r="W229" s="56" t="s">
        <v>47</v>
      </c>
      <c r="X229" s="56" t="s">
        <v>48</v>
      </c>
      <c r="Y229" s="56" t="s">
        <v>36</v>
      </c>
      <c r="Z229" s="56" t="s">
        <v>9</v>
      </c>
      <c r="AA229" s="56" t="s">
        <v>49</v>
      </c>
      <c r="AB229" s="56" t="s">
        <v>162</v>
      </c>
      <c r="AC229" s="56" t="s">
        <v>38</v>
      </c>
      <c r="AD229" s="75" t="s">
        <v>267</v>
      </c>
      <c r="AE229" s="76"/>
      <c r="AF229" s="76"/>
      <c r="AG229" s="76"/>
      <c r="AH229" s="76"/>
      <c r="AI229" s="76"/>
      <c r="AJ229" s="76"/>
      <c r="AK229" s="76"/>
      <c r="AL229" s="76"/>
      <c r="AM229" s="76"/>
      <c r="AN229" s="76"/>
      <c r="AO229" s="76"/>
      <c r="AP229" s="76"/>
      <c r="AQ229" s="76"/>
      <c r="AR229" s="76"/>
      <c r="AS229" s="76"/>
      <c r="AT229" s="76"/>
      <c r="AU229" s="76"/>
      <c r="AV229" s="76"/>
      <c r="AW229" s="76"/>
    </row>
    <row r="230" spans="1:49" ht="31.5" x14ac:dyDescent="0.25">
      <c r="A230" s="56" t="s">
        <v>159</v>
      </c>
      <c r="B230" s="59">
        <v>46053</v>
      </c>
      <c r="C230" s="59">
        <v>46053</v>
      </c>
      <c r="D230" s="56" t="s">
        <v>224</v>
      </c>
      <c r="E230" s="62">
        <v>0.54166666666666663</v>
      </c>
      <c r="F230" s="62">
        <v>0.66666666666666663</v>
      </c>
      <c r="G230" s="64">
        <v>1.7361111111111109E-4</v>
      </c>
      <c r="H230" s="65" t="s">
        <v>160</v>
      </c>
      <c r="I230" s="66">
        <v>0.65449374999999999</v>
      </c>
      <c r="J230" s="56" t="s">
        <v>105</v>
      </c>
      <c r="K230" s="56" t="s">
        <v>248</v>
      </c>
      <c r="L230" s="68">
        <v>1</v>
      </c>
      <c r="M230" s="68">
        <v>71006</v>
      </c>
      <c r="N230" s="56" t="s">
        <v>53</v>
      </c>
      <c r="O230" s="68" t="s">
        <v>161</v>
      </c>
      <c r="P230" s="70">
        <v>15</v>
      </c>
      <c r="Q230" s="68"/>
      <c r="R230" s="70">
        <v>15</v>
      </c>
      <c r="S230" s="73">
        <v>46054</v>
      </c>
      <c r="T230" s="70">
        <v>2.25</v>
      </c>
      <c r="U230" s="74">
        <v>4</v>
      </c>
      <c r="V230" s="70">
        <v>12.75</v>
      </c>
      <c r="W230" s="56" t="s">
        <v>47</v>
      </c>
      <c r="X230" s="56" t="s">
        <v>48</v>
      </c>
      <c r="Y230" s="56" t="s">
        <v>36</v>
      </c>
      <c r="Z230" s="56" t="s">
        <v>9</v>
      </c>
      <c r="AA230" s="56" t="s">
        <v>49</v>
      </c>
      <c r="AB230" s="56" t="s">
        <v>162</v>
      </c>
      <c r="AC230" s="56" t="s">
        <v>38</v>
      </c>
      <c r="AD230" s="75" t="s">
        <v>267</v>
      </c>
      <c r="AE230" s="76"/>
      <c r="AF230" s="76"/>
      <c r="AG230" s="76"/>
      <c r="AH230" s="76"/>
      <c r="AI230" s="85"/>
      <c r="AJ230" s="85"/>
      <c r="AK230" s="85"/>
      <c r="AL230" s="85"/>
      <c r="AM230" s="85"/>
      <c r="AN230" s="85"/>
      <c r="AO230" s="85"/>
      <c r="AP230" s="85"/>
      <c r="AQ230" s="85"/>
      <c r="AR230" s="85"/>
      <c r="AS230" s="85"/>
      <c r="AT230" s="85"/>
      <c r="AU230" s="85"/>
      <c r="AV230" s="85"/>
      <c r="AW230" s="85"/>
    </row>
    <row r="231" spans="1:49" ht="31.5" x14ac:dyDescent="0.25">
      <c r="A231" s="56" t="s">
        <v>159</v>
      </c>
      <c r="B231" s="59">
        <v>46053</v>
      </c>
      <c r="C231" s="59">
        <v>46053</v>
      </c>
      <c r="D231" s="56" t="s">
        <v>224</v>
      </c>
      <c r="E231" s="62">
        <v>0.54166666666666663</v>
      </c>
      <c r="F231" s="62">
        <v>0.66666666666666663</v>
      </c>
      <c r="G231" s="64">
        <v>1.7361111111111109E-4</v>
      </c>
      <c r="H231" s="65" t="s">
        <v>163</v>
      </c>
      <c r="I231" s="66">
        <v>0.65501481481481483</v>
      </c>
      <c r="J231" s="56" t="s">
        <v>105</v>
      </c>
      <c r="K231" s="56" t="s">
        <v>248</v>
      </c>
      <c r="L231" s="68">
        <v>1</v>
      </c>
      <c r="M231" s="68">
        <v>71006</v>
      </c>
      <c r="N231" s="56" t="s">
        <v>53</v>
      </c>
      <c r="O231" s="68" t="s">
        <v>161</v>
      </c>
      <c r="P231" s="70">
        <v>15</v>
      </c>
      <c r="Q231" s="68"/>
      <c r="R231" s="70">
        <v>15</v>
      </c>
      <c r="S231" s="73">
        <v>46054</v>
      </c>
      <c r="T231" s="70">
        <v>2.25</v>
      </c>
      <c r="U231" s="74">
        <v>4</v>
      </c>
      <c r="V231" s="70">
        <v>12.75</v>
      </c>
      <c r="W231" s="56" t="s">
        <v>47</v>
      </c>
      <c r="X231" s="56" t="s">
        <v>48</v>
      </c>
      <c r="Y231" s="56" t="s">
        <v>36</v>
      </c>
      <c r="Z231" s="56" t="s">
        <v>9</v>
      </c>
      <c r="AA231" s="56" t="s">
        <v>49</v>
      </c>
      <c r="AB231" s="56" t="s">
        <v>162</v>
      </c>
      <c r="AC231" s="56" t="s">
        <v>38</v>
      </c>
      <c r="AD231" s="75" t="s">
        <v>267</v>
      </c>
      <c r="AE231" s="76"/>
      <c r="AF231" s="76"/>
      <c r="AG231" s="76"/>
      <c r="AH231" s="76"/>
      <c r="AI231" s="85"/>
      <c r="AJ231" s="85"/>
      <c r="AK231" s="85"/>
      <c r="AL231" s="85"/>
      <c r="AM231" s="85"/>
      <c r="AN231" s="85"/>
      <c r="AO231" s="85"/>
      <c r="AP231" s="85"/>
      <c r="AQ231" s="85"/>
      <c r="AR231" s="85"/>
      <c r="AS231" s="85"/>
      <c r="AT231" s="85"/>
      <c r="AU231" s="85"/>
      <c r="AV231" s="85"/>
      <c r="AW231" s="85"/>
    </row>
    <row r="232" spans="1:49" ht="31.5" x14ac:dyDescent="0.25">
      <c r="A232" s="56" t="s">
        <v>159</v>
      </c>
      <c r="B232" s="59">
        <v>46053</v>
      </c>
      <c r="C232" s="59">
        <v>46053</v>
      </c>
      <c r="D232" s="56" t="s">
        <v>224</v>
      </c>
      <c r="E232" s="62">
        <v>0.54166666666666663</v>
      </c>
      <c r="F232" s="62">
        <v>0.66666666666666663</v>
      </c>
      <c r="G232" s="64">
        <v>1.7361111111111109E-4</v>
      </c>
      <c r="H232" s="65" t="s">
        <v>160</v>
      </c>
      <c r="I232" s="66">
        <v>0.66581354166666673</v>
      </c>
      <c r="J232" s="56" t="s">
        <v>105</v>
      </c>
      <c r="K232" s="56" t="s">
        <v>248</v>
      </c>
      <c r="L232" s="68">
        <v>1</v>
      </c>
      <c r="M232" s="68">
        <v>71011</v>
      </c>
      <c r="N232" s="56" t="s">
        <v>46</v>
      </c>
      <c r="O232" s="68" t="s">
        <v>161</v>
      </c>
      <c r="P232" s="70">
        <v>0</v>
      </c>
      <c r="Q232" s="68"/>
      <c r="R232" s="70">
        <v>0</v>
      </c>
      <c r="S232" s="73">
        <v>46054</v>
      </c>
      <c r="T232" s="70">
        <v>0</v>
      </c>
      <c r="U232" s="74">
        <v>4</v>
      </c>
      <c r="V232" s="70">
        <v>0</v>
      </c>
      <c r="W232" s="56" t="s">
        <v>47</v>
      </c>
      <c r="X232" s="56" t="s">
        <v>48</v>
      </c>
      <c r="Y232" s="56" t="s">
        <v>36</v>
      </c>
      <c r="Z232" s="56" t="s">
        <v>9</v>
      </c>
      <c r="AA232" s="56" t="s">
        <v>49</v>
      </c>
      <c r="AB232" s="56" t="s">
        <v>162</v>
      </c>
      <c r="AC232" s="56" t="s">
        <v>38</v>
      </c>
      <c r="AD232" s="75" t="s">
        <v>267</v>
      </c>
      <c r="AE232" s="76"/>
      <c r="AF232" s="76"/>
      <c r="AG232" s="76"/>
      <c r="AH232" s="76"/>
      <c r="AI232" s="85"/>
      <c r="AJ232" s="85"/>
      <c r="AK232" s="85"/>
      <c r="AL232" s="85"/>
      <c r="AM232" s="85"/>
      <c r="AN232" s="85"/>
      <c r="AO232" s="85"/>
      <c r="AP232" s="85"/>
      <c r="AQ232" s="85"/>
      <c r="AR232" s="85"/>
      <c r="AS232" s="85"/>
      <c r="AT232" s="85"/>
      <c r="AU232" s="85"/>
      <c r="AV232" s="85"/>
      <c r="AW232" s="85"/>
    </row>
    <row r="233" spans="1:49" ht="31.5" x14ac:dyDescent="0.25">
      <c r="A233" s="56" t="s">
        <v>159</v>
      </c>
      <c r="B233" s="59">
        <v>46053</v>
      </c>
      <c r="C233" s="59">
        <v>46053</v>
      </c>
      <c r="D233" s="56" t="s">
        <v>224</v>
      </c>
      <c r="E233" s="62">
        <v>0.54166666666666663</v>
      </c>
      <c r="F233" s="62">
        <v>0.66666666666666663</v>
      </c>
      <c r="G233" s="64">
        <v>1.7361111111111109E-4</v>
      </c>
      <c r="H233" s="65" t="s">
        <v>163</v>
      </c>
      <c r="I233" s="66">
        <v>0.66634270833333331</v>
      </c>
      <c r="J233" s="56" t="s">
        <v>105</v>
      </c>
      <c r="K233" s="56" t="s">
        <v>248</v>
      </c>
      <c r="L233" s="68">
        <v>1</v>
      </c>
      <c r="M233" s="68">
        <v>71011</v>
      </c>
      <c r="N233" s="56" t="s">
        <v>46</v>
      </c>
      <c r="O233" s="68" t="s">
        <v>161</v>
      </c>
      <c r="P233" s="70">
        <v>0</v>
      </c>
      <c r="Q233" s="68"/>
      <c r="R233" s="70">
        <v>0</v>
      </c>
      <c r="S233" s="73">
        <v>46054</v>
      </c>
      <c r="T233" s="70">
        <v>0</v>
      </c>
      <c r="U233" s="74">
        <v>4</v>
      </c>
      <c r="V233" s="70">
        <v>0</v>
      </c>
      <c r="W233" s="56" t="s">
        <v>47</v>
      </c>
      <c r="X233" s="56" t="s">
        <v>48</v>
      </c>
      <c r="Y233" s="56" t="s">
        <v>36</v>
      </c>
      <c r="Z233" s="56" t="s">
        <v>9</v>
      </c>
      <c r="AA233" s="56" t="s">
        <v>49</v>
      </c>
      <c r="AB233" s="56" t="s">
        <v>162</v>
      </c>
      <c r="AC233" s="56" t="s">
        <v>38</v>
      </c>
      <c r="AD233" s="75" t="s">
        <v>267</v>
      </c>
      <c r="AE233" s="76"/>
      <c r="AF233" s="76"/>
      <c r="AG233" s="76"/>
      <c r="AH233" s="76"/>
      <c r="AI233" s="85"/>
      <c r="AJ233" s="85"/>
      <c r="AK233" s="85"/>
      <c r="AL233" s="85"/>
      <c r="AM233" s="85"/>
      <c r="AN233" s="85"/>
      <c r="AO233" s="85"/>
      <c r="AP233" s="85"/>
      <c r="AQ233" s="85"/>
      <c r="AR233" s="85"/>
      <c r="AS233" s="85"/>
      <c r="AT233" s="85"/>
      <c r="AU233" s="85"/>
      <c r="AV233" s="85"/>
      <c r="AW233" s="85"/>
    </row>
    <row r="234" spans="1:49" ht="31.5" x14ac:dyDescent="0.2">
      <c r="A234" s="56" t="s">
        <v>159</v>
      </c>
      <c r="B234" s="59">
        <v>46053</v>
      </c>
      <c r="C234" s="59">
        <v>46053</v>
      </c>
      <c r="D234" s="56" t="s">
        <v>224</v>
      </c>
      <c r="E234" s="62">
        <v>0.66666666666666663</v>
      </c>
      <c r="F234" s="62">
        <v>0.79166666666666663</v>
      </c>
      <c r="G234" s="64">
        <v>1.7361111111111109E-4</v>
      </c>
      <c r="H234" s="65" t="s">
        <v>164</v>
      </c>
      <c r="I234" s="66">
        <v>0.68560428240740745</v>
      </c>
      <c r="J234" s="56" t="s">
        <v>120</v>
      </c>
      <c r="K234" s="56" t="s">
        <v>125</v>
      </c>
      <c r="L234" s="68">
        <v>1</v>
      </c>
      <c r="M234" s="68">
        <v>71004</v>
      </c>
      <c r="N234" s="56" t="s">
        <v>46</v>
      </c>
      <c r="O234" s="68" t="s">
        <v>161</v>
      </c>
      <c r="P234" s="70">
        <v>0</v>
      </c>
      <c r="Q234" s="68"/>
      <c r="R234" s="70">
        <v>0</v>
      </c>
      <c r="S234" s="73">
        <v>46054</v>
      </c>
      <c r="T234" s="70">
        <v>0</v>
      </c>
      <c r="U234" s="74">
        <v>4</v>
      </c>
      <c r="V234" s="70">
        <v>0</v>
      </c>
      <c r="W234" s="56" t="s">
        <v>47</v>
      </c>
      <c r="X234" s="56" t="s">
        <v>48</v>
      </c>
      <c r="Y234" s="56" t="s">
        <v>36</v>
      </c>
      <c r="Z234" s="56" t="s">
        <v>9</v>
      </c>
      <c r="AA234" s="56" t="s">
        <v>49</v>
      </c>
      <c r="AB234" s="56" t="s">
        <v>162</v>
      </c>
      <c r="AC234" s="56" t="s">
        <v>38</v>
      </c>
      <c r="AD234" s="75" t="s">
        <v>267</v>
      </c>
      <c r="AE234" s="57"/>
      <c r="AF234" s="57"/>
      <c r="AG234" s="57"/>
      <c r="AH234" s="57"/>
      <c r="AI234" s="57"/>
      <c r="AJ234" s="57"/>
      <c r="AK234" s="57"/>
      <c r="AL234" s="57"/>
      <c r="AM234" s="57"/>
      <c r="AN234" s="57"/>
      <c r="AO234" s="57"/>
      <c r="AP234" s="57"/>
      <c r="AQ234" s="57"/>
      <c r="AR234" s="57"/>
      <c r="AS234" s="57"/>
      <c r="AT234" s="57"/>
      <c r="AU234" s="57"/>
      <c r="AV234" s="57"/>
      <c r="AW234" s="57"/>
    </row>
    <row r="235" spans="1:49" ht="31.5" x14ac:dyDescent="0.2">
      <c r="A235" s="56" t="s">
        <v>159</v>
      </c>
      <c r="B235" s="59">
        <v>46053</v>
      </c>
      <c r="C235" s="59">
        <v>46053</v>
      </c>
      <c r="D235" s="56" t="s">
        <v>224</v>
      </c>
      <c r="E235" s="62">
        <v>0.66666666666666663</v>
      </c>
      <c r="F235" s="62">
        <v>0.79166666666666663</v>
      </c>
      <c r="G235" s="64">
        <v>1.7361111111111109E-4</v>
      </c>
      <c r="H235" s="65" t="s">
        <v>165</v>
      </c>
      <c r="I235" s="66">
        <v>0.68751400462962964</v>
      </c>
      <c r="J235" s="56" t="s">
        <v>120</v>
      </c>
      <c r="K235" s="56" t="s">
        <v>125</v>
      </c>
      <c r="L235" s="68">
        <v>1</v>
      </c>
      <c r="M235" s="68">
        <v>71004</v>
      </c>
      <c r="N235" s="56" t="s">
        <v>46</v>
      </c>
      <c r="O235" s="68" t="s">
        <v>161</v>
      </c>
      <c r="P235" s="70">
        <v>0</v>
      </c>
      <c r="Q235" s="68"/>
      <c r="R235" s="70">
        <v>0</v>
      </c>
      <c r="S235" s="73">
        <v>46054</v>
      </c>
      <c r="T235" s="70">
        <v>0</v>
      </c>
      <c r="U235" s="74">
        <v>4</v>
      </c>
      <c r="V235" s="70">
        <v>0</v>
      </c>
      <c r="W235" s="56" t="s">
        <v>47</v>
      </c>
      <c r="X235" s="56" t="s">
        <v>48</v>
      </c>
      <c r="Y235" s="56" t="s">
        <v>36</v>
      </c>
      <c r="Z235" s="56" t="s">
        <v>9</v>
      </c>
      <c r="AA235" s="56" t="s">
        <v>49</v>
      </c>
      <c r="AB235" s="56" t="s">
        <v>162</v>
      </c>
      <c r="AC235" s="56" t="s">
        <v>38</v>
      </c>
      <c r="AD235" s="75" t="s">
        <v>267</v>
      </c>
      <c r="AE235" s="57"/>
      <c r="AF235" s="57"/>
      <c r="AG235" s="57"/>
      <c r="AH235" s="57"/>
      <c r="AI235" s="57"/>
      <c r="AJ235" s="57"/>
      <c r="AK235" s="57"/>
      <c r="AL235" s="57"/>
      <c r="AM235" s="57"/>
      <c r="AN235" s="57"/>
      <c r="AO235" s="57"/>
      <c r="AP235" s="57"/>
      <c r="AQ235" s="57"/>
      <c r="AR235" s="57"/>
      <c r="AS235" s="57"/>
      <c r="AT235" s="57"/>
      <c r="AU235" s="57"/>
      <c r="AV235" s="57"/>
      <c r="AW235" s="57"/>
    </row>
    <row r="236" spans="1:49" ht="31.5" x14ac:dyDescent="0.25">
      <c r="A236" s="56" t="s">
        <v>159</v>
      </c>
      <c r="B236" s="59">
        <v>46053</v>
      </c>
      <c r="C236" s="59">
        <v>46053</v>
      </c>
      <c r="D236" s="56" t="s">
        <v>224</v>
      </c>
      <c r="E236" s="62">
        <v>0.75</v>
      </c>
      <c r="F236" s="62">
        <v>0.83333333333333337</v>
      </c>
      <c r="G236" s="64">
        <v>1.7361111111111109E-4</v>
      </c>
      <c r="H236" s="65" t="s">
        <v>160</v>
      </c>
      <c r="I236" s="66">
        <v>0.77393726851851841</v>
      </c>
      <c r="J236" s="56" t="s">
        <v>241</v>
      </c>
      <c r="K236" s="56" t="s">
        <v>237</v>
      </c>
      <c r="L236" s="68">
        <v>1</v>
      </c>
      <c r="M236" s="68">
        <v>71102</v>
      </c>
      <c r="N236" s="56" t="s">
        <v>53</v>
      </c>
      <c r="O236" s="68" t="s">
        <v>161</v>
      </c>
      <c r="P236" s="70">
        <v>15</v>
      </c>
      <c r="Q236" s="68"/>
      <c r="R236" s="70">
        <v>15</v>
      </c>
      <c r="S236" s="73">
        <v>46054</v>
      </c>
      <c r="T236" s="70">
        <v>2.25</v>
      </c>
      <c r="U236" s="74">
        <v>4</v>
      </c>
      <c r="V236" s="70">
        <v>12.75</v>
      </c>
      <c r="W236" s="56" t="s">
        <v>47</v>
      </c>
      <c r="X236" s="56" t="s">
        <v>48</v>
      </c>
      <c r="Y236" s="56" t="s">
        <v>36</v>
      </c>
      <c r="Z236" s="56" t="s">
        <v>9</v>
      </c>
      <c r="AA236" s="56" t="s">
        <v>49</v>
      </c>
      <c r="AB236" s="56" t="s">
        <v>162</v>
      </c>
      <c r="AC236" s="56" t="s">
        <v>38</v>
      </c>
      <c r="AD236" s="75" t="s">
        <v>267</v>
      </c>
      <c r="AE236" s="76"/>
      <c r="AF236" s="76"/>
      <c r="AG236" s="76"/>
      <c r="AH236" s="76"/>
      <c r="AI236" s="86"/>
      <c r="AJ236" s="86"/>
      <c r="AK236" s="86"/>
      <c r="AL236" s="86"/>
      <c r="AM236" s="86"/>
      <c r="AN236" s="86"/>
      <c r="AO236" s="86"/>
      <c r="AP236" s="86"/>
      <c r="AQ236" s="86"/>
      <c r="AR236" s="86"/>
      <c r="AS236" s="86"/>
      <c r="AT236" s="86"/>
      <c r="AU236" s="86"/>
      <c r="AV236" s="86"/>
      <c r="AW236" s="86"/>
    </row>
    <row r="237" spans="1:49" ht="31.5" x14ac:dyDescent="0.25">
      <c r="A237" s="56" t="s">
        <v>159</v>
      </c>
      <c r="B237" s="59">
        <v>46053</v>
      </c>
      <c r="C237" s="59">
        <v>46053</v>
      </c>
      <c r="D237" s="56" t="s">
        <v>224</v>
      </c>
      <c r="E237" s="62">
        <v>0.75</v>
      </c>
      <c r="F237" s="62">
        <v>0.83333333333333337</v>
      </c>
      <c r="G237" s="64">
        <v>1.7361111111111109E-4</v>
      </c>
      <c r="H237" s="65" t="s">
        <v>163</v>
      </c>
      <c r="I237" s="66">
        <v>0.77584722222222224</v>
      </c>
      <c r="J237" s="56" t="s">
        <v>241</v>
      </c>
      <c r="K237" s="56" t="s">
        <v>237</v>
      </c>
      <c r="L237" s="68">
        <v>1</v>
      </c>
      <c r="M237" s="68">
        <v>71102</v>
      </c>
      <c r="N237" s="56" t="s">
        <v>53</v>
      </c>
      <c r="O237" s="68" t="s">
        <v>161</v>
      </c>
      <c r="P237" s="70">
        <v>15</v>
      </c>
      <c r="Q237" s="68"/>
      <c r="R237" s="70">
        <v>15</v>
      </c>
      <c r="S237" s="73">
        <v>46054</v>
      </c>
      <c r="T237" s="70">
        <v>2.25</v>
      </c>
      <c r="U237" s="74">
        <v>4</v>
      </c>
      <c r="V237" s="70">
        <v>12.75</v>
      </c>
      <c r="W237" s="56" t="s">
        <v>47</v>
      </c>
      <c r="X237" s="56" t="s">
        <v>48</v>
      </c>
      <c r="Y237" s="56" t="s">
        <v>36</v>
      </c>
      <c r="Z237" s="56" t="s">
        <v>9</v>
      </c>
      <c r="AA237" s="56" t="s">
        <v>49</v>
      </c>
      <c r="AB237" s="56" t="s">
        <v>162</v>
      </c>
      <c r="AC237" s="56" t="s">
        <v>38</v>
      </c>
      <c r="AD237" s="75" t="s">
        <v>267</v>
      </c>
      <c r="AE237" s="76"/>
      <c r="AF237" s="76"/>
      <c r="AG237" s="76"/>
      <c r="AH237" s="76"/>
      <c r="AI237" s="86"/>
      <c r="AJ237" s="86"/>
      <c r="AK237" s="86"/>
      <c r="AL237" s="86"/>
      <c r="AM237" s="86"/>
      <c r="AN237" s="86"/>
      <c r="AO237" s="86"/>
      <c r="AP237" s="86"/>
      <c r="AQ237" s="86"/>
      <c r="AR237" s="86"/>
      <c r="AS237" s="86"/>
      <c r="AT237" s="86"/>
      <c r="AU237" s="86"/>
      <c r="AV237" s="86"/>
      <c r="AW237" s="86"/>
    </row>
    <row r="238" spans="1:49" ht="31.5" x14ac:dyDescent="0.25">
      <c r="A238" s="56" t="s">
        <v>159</v>
      </c>
      <c r="B238" s="59">
        <v>46053</v>
      </c>
      <c r="C238" s="59">
        <v>46053</v>
      </c>
      <c r="D238" s="56" t="s">
        <v>224</v>
      </c>
      <c r="E238" s="62">
        <v>0.75</v>
      </c>
      <c r="F238" s="62">
        <v>0.83333333333333337</v>
      </c>
      <c r="G238" s="64">
        <v>1.7361111111111109E-4</v>
      </c>
      <c r="H238" s="65" t="s">
        <v>160</v>
      </c>
      <c r="I238" s="66">
        <v>0.80632071759259261</v>
      </c>
      <c r="J238" s="56" t="s">
        <v>241</v>
      </c>
      <c r="K238" s="56" t="s">
        <v>247</v>
      </c>
      <c r="L238" s="68">
        <v>1</v>
      </c>
      <c r="M238" s="68">
        <v>71021</v>
      </c>
      <c r="N238" s="56" t="s">
        <v>53</v>
      </c>
      <c r="O238" s="68" t="s">
        <v>161</v>
      </c>
      <c r="P238" s="70">
        <v>15</v>
      </c>
      <c r="Q238" s="68"/>
      <c r="R238" s="70">
        <v>15</v>
      </c>
      <c r="S238" s="73">
        <v>46054</v>
      </c>
      <c r="T238" s="70">
        <v>2.25</v>
      </c>
      <c r="U238" s="74">
        <v>4</v>
      </c>
      <c r="V238" s="70">
        <v>12.75</v>
      </c>
      <c r="W238" s="56" t="s">
        <v>47</v>
      </c>
      <c r="X238" s="56" t="s">
        <v>48</v>
      </c>
      <c r="Y238" s="56" t="s">
        <v>36</v>
      </c>
      <c r="Z238" s="56" t="s">
        <v>9</v>
      </c>
      <c r="AA238" s="56" t="s">
        <v>49</v>
      </c>
      <c r="AB238" s="56" t="s">
        <v>162</v>
      </c>
      <c r="AC238" s="56" t="s">
        <v>38</v>
      </c>
      <c r="AD238" s="75" t="s">
        <v>267</v>
      </c>
      <c r="AE238" s="76"/>
      <c r="AF238" s="76"/>
      <c r="AG238" s="76"/>
      <c r="AH238" s="76"/>
      <c r="AI238" s="76"/>
      <c r="AJ238" s="76"/>
      <c r="AK238" s="76"/>
      <c r="AL238" s="76"/>
      <c r="AM238" s="76"/>
      <c r="AN238" s="76"/>
      <c r="AO238" s="76"/>
      <c r="AP238" s="76"/>
      <c r="AQ238" s="76"/>
      <c r="AR238" s="76"/>
      <c r="AS238" s="76"/>
      <c r="AT238" s="76"/>
      <c r="AU238" s="76"/>
      <c r="AV238" s="76"/>
      <c r="AW238" s="76"/>
    </row>
    <row r="239" spans="1:49" ht="31.5" x14ac:dyDescent="0.25">
      <c r="A239" s="56" t="s">
        <v>159</v>
      </c>
      <c r="B239" s="59">
        <v>46053</v>
      </c>
      <c r="C239" s="59">
        <v>46053</v>
      </c>
      <c r="D239" s="56" t="s">
        <v>224</v>
      </c>
      <c r="E239" s="62">
        <v>0.75</v>
      </c>
      <c r="F239" s="62">
        <v>0.83333333333333337</v>
      </c>
      <c r="G239" s="64">
        <v>1.7361111111111109E-4</v>
      </c>
      <c r="H239" s="65" t="s">
        <v>163</v>
      </c>
      <c r="I239" s="66">
        <v>0.80736261574074075</v>
      </c>
      <c r="J239" s="56" t="s">
        <v>241</v>
      </c>
      <c r="K239" s="56" t="s">
        <v>247</v>
      </c>
      <c r="L239" s="68">
        <v>1</v>
      </c>
      <c r="M239" s="68">
        <v>71021</v>
      </c>
      <c r="N239" s="56" t="s">
        <v>53</v>
      </c>
      <c r="O239" s="68" t="s">
        <v>161</v>
      </c>
      <c r="P239" s="70">
        <v>15</v>
      </c>
      <c r="Q239" s="68"/>
      <c r="R239" s="70">
        <v>15</v>
      </c>
      <c r="S239" s="73">
        <v>46054</v>
      </c>
      <c r="T239" s="70">
        <v>2.25</v>
      </c>
      <c r="U239" s="74">
        <v>4</v>
      </c>
      <c r="V239" s="70">
        <v>12.75</v>
      </c>
      <c r="W239" s="56" t="s">
        <v>47</v>
      </c>
      <c r="X239" s="56" t="s">
        <v>48</v>
      </c>
      <c r="Y239" s="56" t="s">
        <v>36</v>
      </c>
      <c r="Z239" s="56" t="s">
        <v>9</v>
      </c>
      <c r="AA239" s="56" t="s">
        <v>49</v>
      </c>
      <c r="AB239" s="56" t="s">
        <v>162</v>
      </c>
      <c r="AC239" s="56" t="s">
        <v>38</v>
      </c>
      <c r="AD239" s="75" t="s">
        <v>267</v>
      </c>
      <c r="AE239" s="76"/>
      <c r="AF239" s="76"/>
      <c r="AG239" s="76"/>
      <c r="AH239" s="76"/>
      <c r="AI239" s="76"/>
      <c r="AJ239" s="76"/>
      <c r="AK239" s="76"/>
      <c r="AL239" s="76"/>
      <c r="AM239" s="76"/>
      <c r="AN239" s="76"/>
      <c r="AO239" s="76"/>
      <c r="AP239" s="76"/>
      <c r="AQ239" s="76"/>
      <c r="AR239" s="76"/>
      <c r="AS239" s="76"/>
      <c r="AT239" s="76"/>
      <c r="AU239" s="76"/>
      <c r="AV239" s="76"/>
      <c r="AW239" s="76"/>
    </row>
    <row r="240" spans="1:49" ht="31.5" x14ac:dyDescent="0.25">
      <c r="A240" s="56" t="s">
        <v>159</v>
      </c>
      <c r="B240" s="59">
        <v>46054</v>
      </c>
      <c r="C240" s="59">
        <v>46054</v>
      </c>
      <c r="D240" s="56" t="s">
        <v>249</v>
      </c>
      <c r="E240" s="62">
        <v>0.54166666666666663</v>
      </c>
      <c r="F240" s="62">
        <v>0.66666666666666663</v>
      </c>
      <c r="G240" s="64">
        <v>1.7361111111111109E-4</v>
      </c>
      <c r="H240" s="65" t="s">
        <v>160</v>
      </c>
      <c r="I240" s="66">
        <v>0.58251354166666669</v>
      </c>
      <c r="J240" s="56" t="s">
        <v>105</v>
      </c>
      <c r="K240" s="56" t="s">
        <v>248</v>
      </c>
      <c r="L240" s="68">
        <v>1</v>
      </c>
      <c r="M240" s="68">
        <v>71011</v>
      </c>
      <c r="N240" s="56" t="s">
        <v>46</v>
      </c>
      <c r="O240" s="68" t="s">
        <v>161</v>
      </c>
      <c r="P240" s="70">
        <v>0</v>
      </c>
      <c r="Q240" s="68"/>
      <c r="R240" s="70">
        <v>0</v>
      </c>
      <c r="S240" s="73">
        <v>46054</v>
      </c>
      <c r="T240" s="70">
        <v>0</v>
      </c>
      <c r="U240" s="74">
        <v>4</v>
      </c>
      <c r="V240" s="70">
        <v>0</v>
      </c>
      <c r="W240" s="56" t="s">
        <v>47</v>
      </c>
      <c r="X240" s="56" t="s">
        <v>48</v>
      </c>
      <c r="Y240" s="56" t="s">
        <v>36</v>
      </c>
      <c r="Z240" s="56" t="s">
        <v>9</v>
      </c>
      <c r="AA240" s="56" t="s">
        <v>49</v>
      </c>
      <c r="AB240" s="56" t="s">
        <v>162</v>
      </c>
      <c r="AC240" s="56" t="s">
        <v>38</v>
      </c>
      <c r="AD240" s="75" t="s">
        <v>267</v>
      </c>
      <c r="AE240" s="76"/>
      <c r="AF240" s="76"/>
      <c r="AG240" s="76"/>
      <c r="AH240" s="76"/>
      <c r="AI240" s="85"/>
      <c r="AJ240" s="85"/>
      <c r="AK240" s="85"/>
      <c r="AL240" s="85"/>
      <c r="AM240" s="85"/>
      <c r="AN240" s="85"/>
      <c r="AO240" s="85"/>
      <c r="AP240" s="85"/>
      <c r="AQ240" s="85"/>
      <c r="AR240" s="85"/>
      <c r="AS240" s="85"/>
      <c r="AT240" s="85"/>
      <c r="AU240" s="85"/>
      <c r="AV240" s="85"/>
      <c r="AW240" s="85"/>
    </row>
    <row r="241" spans="1:49" ht="31.5" x14ac:dyDescent="0.25">
      <c r="A241" s="56" t="s">
        <v>159</v>
      </c>
      <c r="B241" s="59">
        <v>46054</v>
      </c>
      <c r="C241" s="59">
        <v>46054</v>
      </c>
      <c r="D241" s="56" t="s">
        <v>249</v>
      </c>
      <c r="E241" s="62">
        <v>0.54166666666666663</v>
      </c>
      <c r="F241" s="62">
        <v>0.66666666666666663</v>
      </c>
      <c r="G241" s="64">
        <v>1.7361111111111109E-4</v>
      </c>
      <c r="H241" s="65" t="s">
        <v>163</v>
      </c>
      <c r="I241" s="66">
        <v>0.58303460648148153</v>
      </c>
      <c r="J241" s="56" t="s">
        <v>105</v>
      </c>
      <c r="K241" s="56" t="s">
        <v>248</v>
      </c>
      <c r="L241" s="68">
        <v>1</v>
      </c>
      <c r="M241" s="68">
        <v>71011</v>
      </c>
      <c r="N241" s="56" t="s">
        <v>46</v>
      </c>
      <c r="O241" s="68" t="s">
        <v>161</v>
      </c>
      <c r="P241" s="70">
        <v>0</v>
      </c>
      <c r="Q241" s="68"/>
      <c r="R241" s="70">
        <v>0</v>
      </c>
      <c r="S241" s="73">
        <v>46054</v>
      </c>
      <c r="T241" s="70">
        <v>0</v>
      </c>
      <c r="U241" s="74">
        <v>4</v>
      </c>
      <c r="V241" s="70">
        <v>0</v>
      </c>
      <c r="W241" s="56" t="s">
        <v>47</v>
      </c>
      <c r="X241" s="56" t="s">
        <v>48</v>
      </c>
      <c r="Y241" s="56" t="s">
        <v>36</v>
      </c>
      <c r="Z241" s="56" t="s">
        <v>9</v>
      </c>
      <c r="AA241" s="56" t="s">
        <v>49</v>
      </c>
      <c r="AB241" s="56" t="s">
        <v>162</v>
      </c>
      <c r="AC241" s="56" t="s">
        <v>38</v>
      </c>
      <c r="AD241" s="75" t="s">
        <v>267</v>
      </c>
      <c r="AE241" s="76"/>
      <c r="AF241" s="76"/>
      <c r="AG241" s="76"/>
      <c r="AH241" s="76"/>
      <c r="AI241" s="76"/>
      <c r="AJ241" s="76"/>
      <c r="AK241" s="76"/>
      <c r="AL241" s="76"/>
      <c r="AM241" s="76"/>
      <c r="AN241" s="76"/>
      <c r="AO241" s="76"/>
      <c r="AP241" s="76"/>
      <c r="AQ241" s="76"/>
      <c r="AR241" s="76"/>
      <c r="AS241" s="76"/>
      <c r="AT241" s="76"/>
      <c r="AU241" s="76"/>
      <c r="AV241" s="76"/>
      <c r="AW241" s="76"/>
    </row>
    <row r="242" spans="1:49" ht="31.5" x14ac:dyDescent="0.25">
      <c r="A242" s="56" t="s">
        <v>159</v>
      </c>
      <c r="B242" s="59">
        <v>46054</v>
      </c>
      <c r="C242" s="59">
        <v>46054</v>
      </c>
      <c r="D242" s="56" t="s">
        <v>249</v>
      </c>
      <c r="E242" s="62">
        <v>0.54166666666666663</v>
      </c>
      <c r="F242" s="62">
        <v>0.66666666666666663</v>
      </c>
      <c r="G242" s="64">
        <v>1.7361111111111109E-4</v>
      </c>
      <c r="H242" s="65" t="s">
        <v>164</v>
      </c>
      <c r="I242" s="66">
        <v>0.59841493055555561</v>
      </c>
      <c r="J242" s="56" t="s">
        <v>105</v>
      </c>
      <c r="K242" s="56" t="s">
        <v>248</v>
      </c>
      <c r="L242" s="68">
        <v>1</v>
      </c>
      <c r="M242" s="68">
        <v>71006</v>
      </c>
      <c r="N242" s="56" t="s">
        <v>53</v>
      </c>
      <c r="O242" s="68" t="s">
        <v>161</v>
      </c>
      <c r="P242" s="70">
        <v>15</v>
      </c>
      <c r="Q242" s="68"/>
      <c r="R242" s="70">
        <v>15</v>
      </c>
      <c r="S242" s="73">
        <v>46054</v>
      </c>
      <c r="T242" s="70">
        <v>2.25</v>
      </c>
      <c r="U242" s="74">
        <v>4</v>
      </c>
      <c r="V242" s="70">
        <v>12.75</v>
      </c>
      <c r="W242" s="56" t="s">
        <v>47</v>
      </c>
      <c r="X242" s="56" t="s">
        <v>48</v>
      </c>
      <c r="Y242" s="56" t="s">
        <v>36</v>
      </c>
      <c r="Z242" s="56" t="s">
        <v>9</v>
      </c>
      <c r="AA242" s="56" t="s">
        <v>49</v>
      </c>
      <c r="AB242" s="56" t="s">
        <v>162</v>
      </c>
      <c r="AC242" s="56" t="s">
        <v>38</v>
      </c>
      <c r="AD242" s="75" t="s">
        <v>267</v>
      </c>
      <c r="AE242" s="76"/>
      <c r="AF242" s="76"/>
      <c r="AG242" s="76"/>
      <c r="AH242" s="76"/>
      <c r="AI242" s="85"/>
      <c r="AJ242" s="85"/>
      <c r="AK242" s="85"/>
      <c r="AL242" s="85"/>
      <c r="AM242" s="85"/>
      <c r="AN242" s="85"/>
      <c r="AO242" s="85"/>
      <c r="AP242" s="85"/>
      <c r="AQ242" s="85"/>
      <c r="AR242" s="85"/>
      <c r="AS242" s="85"/>
      <c r="AT242" s="85"/>
      <c r="AU242" s="85"/>
      <c r="AV242" s="85"/>
      <c r="AW242" s="85"/>
    </row>
    <row r="243" spans="1:49" ht="31.5" x14ac:dyDescent="0.25">
      <c r="A243" s="56" t="s">
        <v>159</v>
      </c>
      <c r="B243" s="59">
        <v>46054</v>
      </c>
      <c r="C243" s="59">
        <v>46054</v>
      </c>
      <c r="D243" s="56" t="s">
        <v>249</v>
      </c>
      <c r="E243" s="62">
        <v>0.54166666666666663</v>
      </c>
      <c r="F243" s="62">
        <v>0.66666666666666663</v>
      </c>
      <c r="G243" s="64">
        <v>1.7361111111111109E-4</v>
      </c>
      <c r="H243" s="65" t="s">
        <v>165</v>
      </c>
      <c r="I243" s="66">
        <v>0.59893599537037034</v>
      </c>
      <c r="J243" s="56" t="s">
        <v>105</v>
      </c>
      <c r="K243" s="56" t="s">
        <v>248</v>
      </c>
      <c r="L243" s="68">
        <v>1</v>
      </c>
      <c r="M243" s="68">
        <v>71006</v>
      </c>
      <c r="N243" s="56" t="s">
        <v>53</v>
      </c>
      <c r="O243" s="68" t="s">
        <v>161</v>
      </c>
      <c r="P243" s="70">
        <v>15</v>
      </c>
      <c r="Q243" s="68"/>
      <c r="R243" s="70">
        <v>15</v>
      </c>
      <c r="S243" s="73">
        <v>46054</v>
      </c>
      <c r="T243" s="70">
        <v>2.25</v>
      </c>
      <c r="U243" s="74">
        <v>4</v>
      </c>
      <c r="V243" s="70">
        <v>12.75</v>
      </c>
      <c r="W243" s="56" t="s">
        <v>47</v>
      </c>
      <c r="X243" s="56" t="s">
        <v>48</v>
      </c>
      <c r="Y243" s="56" t="s">
        <v>36</v>
      </c>
      <c r="Z243" s="56" t="s">
        <v>9</v>
      </c>
      <c r="AA243" s="56" t="s">
        <v>49</v>
      </c>
      <c r="AB243" s="56" t="s">
        <v>162</v>
      </c>
      <c r="AC243" s="56" t="s">
        <v>38</v>
      </c>
      <c r="AD243" s="75" t="s">
        <v>267</v>
      </c>
      <c r="AE243" s="76"/>
      <c r="AF243" s="76"/>
      <c r="AG243" s="76"/>
      <c r="AH243" s="76"/>
      <c r="AI243" s="76"/>
      <c r="AJ243" s="76"/>
      <c r="AK243" s="76"/>
      <c r="AL243" s="76"/>
      <c r="AM243" s="76"/>
      <c r="AN243" s="76"/>
      <c r="AO243" s="76"/>
      <c r="AP243" s="76"/>
      <c r="AQ243" s="76"/>
      <c r="AR243" s="76"/>
      <c r="AS243" s="76"/>
      <c r="AT243" s="76"/>
      <c r="AU243" s="76"/>
      <c r="AV243" s="76"/>
      <c r="AW243" s="76"/>
    </row>
    <row r="244" spans="1:49" ht="31.5" x14ac:dyDescent="0.2">
      <c r="A244" s="56" t="s">
        <v>159</v>
      </c>
      <c r="B244" s="59">
        <v>46054</v>
      </c>
      <c r="C244" s="59">
        <v>46054</v>
      </c>
      <c r="D244" s="56" t="s">
        <v>249</v>
      </c>
      <c r="E244" s="62">
        <v>0.54166666666666663</v>
      </c>
      <c r="F244" s="62">
        <v>0.66666666666666663</v>
      </c>
      <c r="G244" s="64">
        <v>1.7361111111111109E-4</v>
      </c>
      <c r="H244" s="65" t="s">
        <v>160</v>
      </c>
      <c r="I244" s="66">
        <v>0.63349699074074073</v>
      </c>
      <c r="J244" s="56" t="s">
        <v>105</v>
      </c>
      <c r="K244" s="56" t="s">
        <v>260</v>
      </c>
      <c r="L244" s="68">
        <v>1</v>
      </c>
      <c r="M244" s="68">
        <v>71011</v>
      </c>
      <c r="N244" s="56" t="s">
        <v>46</v>
      </c>
      <c r="O244" s="68" t="s">
        <v>161</v>
      </c>
      <c r="P244" s="70">
        <v>0</v>
      </c>
      <c r="Q244" s="68"/>
      <c r="R244" s="70">
        <v>0</v>
      </c>
      <c r="S244" s="73">
        <v>46054</v>
      </c>
      <c r="T244" s="70">
        <v>0</v>
      </c>
      <c r="U244" s="74">
        <v>4</v>
      </c>
      <c r="V244" s="70">
        <v>0</v>
      </c>
      <c r="W244" s="56" t="s">
        <v>47</v>
      </c>
      <c r="X244" s="56" t="s">
        <v>48</v>
      </c>
      <c r="Y244" s="56" t="s">
        <v>36</v>
      </c>
      <c r="Z244" s="56" t="s">
        <v>9</v>
      </c>
      <c r="AA244" s="56" t="s">
        <v>49</v>
      </c>
      <c r="AB244" s="56" t="s">
        <v>162</v>
      </c>
      <c r="AC244" s="56" t="s">
        <v>38</v>
      </c>
      <c r="AD244" s="75" t="s">
        <v>267</v>
      </c>
      <c r="AE244" s="57"/>
      <c r="AF244" s="57"/>
      <c r="AG244" s="57"/>
      <c r="AH244" s="57"/>
      <c r="AI244" s="57"/>
      <c r="AJ244" s="57"/>
      <c r="AK244" s="57"/>
      <c r="AL244" s="57"/>
      <c r="AM244" s="57"/>
      <c r="AN244" s="57"/>
      <c r="AO244" s="57"/>
      <c r="AP244" s="57"/>
      <c r="AQ244" s="57"/>
      <c r="AR244" s="57"/>
      <c r="AS244" s="57"/>
      <c r="AT244" s="57"/>
      <c r="AU244" s="57"/>
      <c r="AV244" s="57"/>
      <c r="AW244" s="57"/>
    </row>
    <row r="245" spans="1:49" ht="31.5" x14ac:dyDescent="0.25">
      <c r="A245" s="56" t="s">
        <v>159</v>
      </c>
      <c r="B245" s="59">
        <v>46054</v>
      </c>
      <c r="C245" s="59">
        <v>46054</v>
      </c>
      <c r="D245" s="56" t="s">
        <v>249</v>
      </c>
      <c r="E245" s="62">
        <v>0.54166666666666663</v>
      </c>
      <c r="F245" s="62">
        <v>0.66666666666666663</v>
      </c>
      <c r="G245" s="64">
        <v>1.7361111111111109E-4</v>
      </c>
      <c r="H245" s="65" t="s">
        <v>163</v>
      </c>
      <c r="I245" s="66">
        <v>0.63505949074074075</v>
      </c>
      <c r="J245" s="56" t="s">
        <v>105</v>
      </c>
      <c r="K245" s="56" t="s">
        <v>260</v>
      </c>
      <c r="L245" s="68">
        <v>1</v>
      </c>
      <c r="M245" s="68">
        <v>71011</v>
      </c>
      <c r="N245" s="56" t="s">
        <v>46</v>
      </c>
      <c r="O245" s="68" t="s">
        <v>161</v>
      </c>
      <c r="P245" s="70">
        <v>0</v>
      </c>
      <c r="Q245" s="68"/>
      <c r="R245" s="70">
        <v>0</v>
      </c>
      <c r="S245" s="73">
        <v>46054</v>
      </c>
      <c r="T245" s="70">
        <v>0</v>
      </c>
      <c r="U245" s="74">
        <v>4</v>
      </c>
      <c r="V245" s="70">
        <v>0</v>
      </c>
      <c r="W245" s="56" t="s">
        <v>47</v>
      </c>
      <c r="X245" s="56" t="s">
        <v>48</v>
      </c>
      <c r="Y245" s="56" t="s">
        <v>36</v>
      </c>
      <c r="Z245" s="56" t="s">
        <v>9</v>
      </c>
      <c r="AA245" s="56" t="s">
        <v>49</v>
      </c>
      <c r="AB245" s="56" t="s">
        <v>162</v>
      </c>
      <c r="AC245" s="56" t="s">
        <v>38</v>
      </c>
      <c r="AD245" s="75" t="s">
        <v>267</v>
      </c>
      <c r="AE245" s="76"/>
      <c r="AF245" s="76"/>
      <c r="AG245" s="76"/>
      <c r="AH245" s="76"/>
      <c r="AI245" s="85"/>
      <c r="AJ245" s="85"/>
      <c r="AK245" s="85"/>
      <c r="AL245" s="85"/>
      <c r="AM245" s="85"/>
      <c r="AN245" s="85"/>
      <c r="AO245" s="85"/>
      <c r="AP245" s="85"/>
      <c r="AQ245" s="85"/>
      <c r="AR245" s="85"/>
      <c r="AS245" s="85"/>
      <c r="AT245" s="85"/>
      <c r="AU245" s="85"/>
      <c r="AV245" s="85"/>
      <c r="AW245" s="85"/>
    </row>
    <row r="246" spans="1:49" ht="31.5" x14ac:dyDescent="0.25">
      <c r="A246" s="56" t="s">
        <v>159</v>
      </c>
      <c r="B246" s="59">
        <v>46054</v>
      </c>
      <c r="C246" s="59">
        <v>46054</v>
      </c>
      <c r="D246" s="56" t="s">
        <v>249</v>
      </c>
      <c r="E246" s="62">
        <v>0.75</v>
      </c>
      <c r="F246" s="62">
        <v>0.83333333333333337</v>
      </c>
      <c r="G246" s="64">
        <v>1.7361111111111109E-4</v>
      </c>
      <c r="H246" s="65" t="s">
        <v>160</v>
      </c>
      <c r="I246" s="66">
        <v>0.77840520833333338</v>
      </c>
      <c r="J246" s="56" t="s">
        <v>241</v>
      </c>
      <c r="K246" s="56" t="s">
        <v>237</v>
      </c>
      <c r="L246" s="68">
        <v>1</v>
      </c>
      <c r="M246" s="68">
        <v>71021</v>
      </c>
      <c r="N246" s="56" t="s">
        <v>53</v>
      </c>
      <c r="O246" s="68" t="s">
        <v>161</v>
      </c>
      <c r="P246" s="70">
        <v>15</v>
      </c>
      <c r="Q246" s="68"/>
      <c r="R246" s="70">
        <v>15</v>
      </c>
      <c r="S246" s="73">
        <v>46054</v>
      </c>
      <c r="T246" s="70">
        <v>2.25</v>
      </c>
      <c r="U246" s="74">
        <v>4</v>
      </c>
      <c r="V246" s="70">
        <v>12.75</v>
      </c>
      <c r="W246" s="56" t="s">
        <v>47</v>
      </c>
      <c r="X246" s="56" t="s">
        <v>48</v>
      </c>
      <c r="Y246" s="56" t="s">
        <v>36</v>
      </c>
      <c r="Z246" s="56" t="s">
        <v>9</v>
      </c>
      <c r="AA246" s="56" t="s">
        <v>49</v>
      </c>
      <c r="AB246" s="56" t="s">
        <v>162</v>
      </c>
      <c r="AC246" s="56" t="s">
        <v>38</v>
      </c>
      <c r="AD246" s="75" t="s">
        <v>267</v>
      </c>
      <c r="AE246" s="76"/>
      <c r="AF246" s="76"/>
      <c r="AG246" s="76"/>
      <c r="AH246" s="76"/>
      <c r="AI246" s="76"/>
      <c r="AJ246" s="76"/>
      <c r="AK246" s="76"/>
      <c r="AL246" s="76"/>
      <c r="AM246" s="76"/>
      <c r="AN246" s="76"/>
      <c r="AO246" s="76"/>
      <c r="AP246" s="76"/>
      <c r="AQ246" s="76"/>
      <c r="AR246" s="76"/>
      <c r="AS246" s="76"/>
      <c r="AT246" s="76"/>
      <c r="AU246" s="76"/>
      <c r="AV246" s="76"/>
      <c r="AW246" s="76"/>
    </row>
    <row r="247" spans="1:49" ht="31.5" x14ac:dyDescent="0.25">
      <c r="A247" s="56" t="s">
        <v>159</v>
      </c>
      <c r="B247" s="59">
        <v>46054</v>
      </c>
      <c r="C247" s="59">
        <v>46054</v>
      </c>
      <c r="D247" s="56" t="s">
        <v>249</v>
      </c>
      <c r="E247" s="62">
        <v>0.75</v>
      </c>
      <c r="F247" s="62">
        <v>0.83333333333333337</v>
      </c>
      <c r="G247" s="64">
        <v>1.7361111111111109E-4</v>
      </c>
      <c r="H247" s="65" t="s">
        <v>163</v>
      </c>
      <c r="I247" s="66">
        <v>0.77909988425925925</v>
      </c>
      <c r="J247" s="56" t="s">
        <v>241</v>
      </c>
      <c r="K247" s="56" t="s">
        <v>237</v>
      </c>
      <c r="L247" s="68">
        <v>1</v>
      </c>
      <c r="M247" s="68">
        <v>71021</v>
      </c>
      <c r="N247" s="56" t="s">
        <v>53</v>
      </c>
      <c r="O247" s="68" t="s">
        <v>161</v>
      </c>
      <c r="P247" s="70">
        <v>15</v>
      </c>
      <c r="Q247" s="68"/>
      <c r="R247" s="70">
        <v>15</v>
      </c>
      <c r="S247" s="73">
        <v>46054</v>
      </c>
      <c r="T247" s="70">
        <v>2.25</v>
      </c>
      <c r="U247" s="74">
        <v>4</v>
      </c>
      <c r="V247" s="70">
        <v>12.75</v>
      </c>
      <c r="W247" s="56" t="s">
        <v>47</v>
      </c>
      <c r="X247" s="56" t="s">
        <v>48</v>
      </c>
      <c r="Y247" s="56" t="s">
        <v>36</v>
      </c>
      <c r="Z247" s="56" t="s">
        <v>9</v>
      </c>
      <c r="AA247" s="56" t="s">
        <v>49</v>
      </c>
      <c r="AB247" s="56" t="s">
        <v>162</v>
      </c>
      <c r="AC247" s="56" t="s">
        <v>38</v>
      </c>
      <c r="AD247" s="75" t="s">
        <v>267</v>
      </c>
      <c r="AE247" s="76"/>
      <c r="AF247" s="76"/>
      <c r="AG247" s="76"/>
      <c r="AH247" s="76"/>
      <c r="AI247" s="76"/>
      <c r="AJ247" s="76"/>
      <c r="AK247" s="76"/>
      <c r="AL247" s="76"/>
      <c r="AM247" s="76"/>
      <c r="AN247" s="76"/>
      <c r="AO247" s="76"/>
      <c r="AP247" s="76"/>
      <c r="AQ247" s="76"/>
      <c r="AR247" s="76"/>
      <c r="AS247" s="76"/>
      <c r="AT247" s="76"/>
      <c r="AU247" s="76"/>
      <c r="AV247" s="76"/>
      <c r="AW247" s="76"/>
    </row>
    <row r="248" spans="1:49" ht="31.5" x14ac:dyDescent="0.25">
      <c r="A248" s="56" t="s">
        <v>159</v>
      </c>
      <c r="B248" s="59">
        <v>46054</v>
      </c>
      <c r="C248" s="59">
        <v>46054</v>
      </c>
      <c r="D248" s="56" t="s">
        <v>249</v>
      </c>
      <c r="E248" s="62">
        <v>0.75</v>
      </c>
      <c r="F248" s="62">
        <v>0.83333333333333337</v>
      </c>
      <c r="G248" s="64">
        <v>1.7361111111111109E-4</v>
      </c>
      <c r="H248" s="65" t="s">
        <v>160</v>
      </c>
      <c r="I248" s="66">
        <v>0.82254629629629628</v>
      </c>
      <c r="J248" s="56" t="s">
        <v>241</v>
      </c>
      <c r="K248" s="56" t="s">
        <v>247</v>
      </c>
      <c r="L248" s="68">
        <v>1</v>
      </c>
      <c r="M248" s="68">
        <v>71023</v>
      </c>
      <c r="N248" s="56" t="s">
        <v>46</v>
      </c>
      <c r="O248" s="68" t="s">
        <v>161</v>
      </c>
      <c r="P248" s="70">
        <v>0</v>
      </c>
      <c r="Q248" s="68"/>
      <c r="R248" s="70">
        <v>0</v>
      </c>
      <c r="S248" s="73">
        <v>46054</v>
      </c>
      <c r="T248" s="70">
        <v>0</v>
      </c>
      <c r="U248" s="74">
        <v>4</v>
      </c>
      <c r="V248" s="70">
        <v>0</v>
      </c>
      <c r="W248" s="56" t="s">
        <v>47</v>
      </c>
      <c r="X248" s="56" t="s">
        <v>48</v>
      </c>
      <c r="Y248" s="56" t="s">
        <v>36</v>
      </c>
      <c r="Z248" s="56" t="s">
        <v>9</v>
      </c>
      <c r="AA248" s="56" t="s">
        <v>49</v>
      </c>
      <c r="AB248" s="56" t="s">
        <v>162</v>
      </c>
      <c r="AC248" s="56" t="s">
        <v>38</v>
      </c>
      <c r="AD248" s="75" t="s">
        <v>267</v>
      </c>
      <c r="AE248" s="76"/>
      <c r="AF248" s="76"/>
      <c r="AG248" s="76"/>
      <c r="AH248" s="76"/>
      <c r="AI248" s="86"/>
      <c r="AJ248" s="86"/>
      <c r="AK248" s="86"/>
      <c r="AL248" s="86"/>
      <c r="AM248" s="86"/>
      <c r="AN248" s="86"/>
      <c r="AO248" s="86"/>
      <c r="AP248" s="86"/>
      <c r="AQ248" s="86"/>
      <c r="AR248" s="86"/>
      <c r="AS248" s="86"/>
      <c r="AT248" s="86"/>
      <c r="AU248" s="86"/>
      <c r="AV248" s="86"/>
      <c r="AW248" s="86"/>
    </row>
    <row r="249" spans="1:49" ht="31.5" x14ac:dyDescent="0.2">
      <c r="A249" s="56" t="s">
        <v>159</v>
      </c>
      <c r="B249" s="59">
        <v>46054</v>
      </c>
      <c r="C249" s="59">
        <v>46054</v>
      </c>
      <c r="D249" s="56" t="s">
        <v>249</v>
      </c>
      <c r="E249" s="62">
        <v>0.75</v>
      </c>
      <c r="F249" s="62">
        <v>0.83333333333333337</v>
      </c>
      <c r="G249" s="64">
        <v>1.7361111111111109E-4</v>
      </c>
      <c r="H249" s="65" t="s">
        <v>163</v>
      </c>
      <c r="I249" s="66">
        <v>0.82341458333333339</v>
      </c>
      <c r="J249" s="56" t="s">
        <v>241</v>
      </c>
      <c r="K249" s="56" t="s">
        <v>247</v>
      </c>
      <c r="L249" s="68">
        <v>1</v>
      </c>
      <c r="M249" s="68">
        <v>71023</v>
      </c>
      <c r="N249" s="56" t="s">
        <v>46</v>
      </c>
      <c r="O249" s="68" t="s">
        <v>161</v>
      </c>
      <c r="P249" s="70">
        <v>0</v>
      </c>
      <c r="Q249" s="68"/>
      <c r="R249" s="70">
        <v>0</v>
      </c>
      <c r="S249" s="73">
        <v>46054</v>
      </c>
      <c r="T249" s="70">
        <v>0</v>
      </c>
      <c r="U249" s="74">
        <v>4</v>
      </c>
      <c r="V249" s="70">
        <v>0</v>
      </c>
      <c r="W249" s="56" t="s">
        <v>47</v>
      </c>
      <c r="X249" s="56" t="s">
        <v>48</v>
      </c>
      <c r="Y249" s="56" t="s">
        <v>36</v>
      </c>
      <c r="Z249" s="56" t="s">
        <v>9</v>
      </c>
      <c r="AA249" s="56" t="s">
        <v>49</v>
      </c>
      <c r="AB249" s="56" t="s">
        <v>162</v>
      </c>
      <c r="AC249" s="56" t="s">
        <v>38</v>
      </c>
      <c r="AD249" s="75" t="s">
        <v>267</v>
      </c>
      <c r="AE249" s="57"/>
      <c r="AF249" s="57"/>
      <c r="AG249" s="57"/>
      <c r="AH249" s="57"/>
      <c r="AI249" s="57"/>
      <c r="AJ249" s="57"/>
      <c r="AK249" s="57"/>
      <c r="AL249" s="57"/>
      <c r="AM249" s="57"/>
      <c r="AN249" s="57"/>
      <c r="AO249" s="57"/>
      <c r="AP249" s="57"/>
      <c r="AQ249" s="57"/>
      <c r="AR249" s="57"/>
      <c r="AS249" s="57"/>
      <c r="AT249" s="57"/>
      <c r="AU249" s="57"/>
      <c r="AV249" s="57"/>
      <c r="AW249" s="57"/>
    </row>
    <row r="250" spans="1:49" ht="31.5" x14ac:dyDescent="0.25">
      <c r="A250" s="57" t="s">
        <v>236</v>
      </c>
      <c r="B250" s="60">
        <v>46053</v>
      </c>
      <c r="C250" s="60">
        <v>46053</v>
      </c>
      <c r="D250" s="61" t="s">
        <v>224</v>
      </c>
      <c r="E250" s="63">
        <v>0.625</v>
      </c>
      <c r="F250" s="63">
        <v>0.66666666666666663</v>
      </c>
      <c r="G250" s="63">
        <v>4.1666666666666664E-2</v>
      </c>
      <c r="H250" s="57" t="s">
        <v>236</v>
      </c>
      <c r="I250" s="67"/>
      <c r="J250" s="57" t="s">
        <v>105</v>
      </c>
      <c r="K250" s="57" t="s">
        <v>236</v>
      </c>
      <c r="L250" s="69">
        <v>1</v>
      </c>
      <c r="M250" s="69">
        <v>1</v>
      </c>
      <c r="N250" s="57" t="s">
        <v>33</v>
      </c>
      <c r="O250" s="57"/>
      <c r="P250" s="42">
        <v>0</v>
      </c>
      <c r="Q250" s="69"/>
      <c r="R250" s="42">
        <v>0</v>
      </c>
      <c r="S250" s="57">
        <v>46053</v>
      </c>
      <c r="T250" s="42">
        <v>0</v>
      </c>
      <c r="U250" s="69">
        <v>1</v>
      </c>
      <c r="V250" s="42">
        <v>0</v>
      </c>
      <c r="W250" s="57" t="s">
        <v>34</v>
      </c>
      <c r="X250" s="57" t="s">
        <v>42</v>
      </c>
      <c r="Y250" s="57" t="s">
        <v>58</v>
      </c>
      <c r="Z250" s="57" t="s">
        <v>174</v>
      </c>
      <c r="AA250" s="57" t="s">
        <v>37</v>
      </c>
      <c r="AB250" s="57" t="s">
        <v>37</v>
      </c>
      <c r="AC250" s="57" t="s">
        <v>38</v>
      </c>
      <c r="AD250" s="75" t="s">
        <v>267</v>
      </c>
      <c r="AE250" s="76"/>
      <c r="AF250" s="76"/>
      <c r="AG250" s="76"/>
      <c r="AH250" s="76"/>
      <c r="AI250" s="76"/>
      <c r="AJ250" s="76"/>
      <c r="AK250" s="76"/>
      <c r="AL250" s="76"/>
      <c r="AM250" s="76"/>
      <c r="AN250" s="76"/>
      <c r="AO250" s="76"/>
      <c r="AP250" s="76"/>
      <c r="AQ250" s="76"/>
      <c r="AR250" s="76"/>
      <c r="AS250" s="76"/>
      <c r="AT250" s="76"/>
      <c r="AU250" s="76"/>
      <c r="AV250" s="76"/>
      <c r="AW250" s="76"/>
    </row>
    <row r="251" spans="1:49" ht="31.5" x14ac:dyDescent="0.25">
      <c r="A251" s="56" t="s">
        <v>78</v>
      </c>
      <c r="B251" s="59">
        <v>46048</v>
      </c>
      <c r="C251" s="59">
        <v>46048</v>
      </c>
      <c r="D251" s="56" t="s">
        <v>30</v>
      </c>
      <c r="E251" s="62">
        <v>0.45833333333333331</v>
      </c>
      <c r="F251" s="62">
        <v>0.52083333333333337</v>
      </c>
      <c r="G251" s="62">
        <v>1.7361111111111109E-4</v>
      </c>
      <c r="H251" s="56" t="s">
        <v>91</v>
      </c>
      <c r="I251" s="66">
        <v>0.4629050925925926</v>
      </c>
      <c r="J251" s="56" t="s">
        <v>80</v>
      </c>
      <c r="K251" s="56" t="s">
        <v>76</v>
      </c>
      <c r="L251" s="68">
        <v>1</v>
      </c>
      <c r="M251" s="68">
        <v>64953</v>
      </c>
      <c r="N251" s="56" t="s">
        <v>53</v>
      </c>
      <c r="O251" s="68"/>
      <c r="P251" s="70">
        <v>20</v>
      </c>
      <c r="Q251" s="68"/>
      <c r="R251" s="70">
        <v>20</v>
      </c>
      <c r="S251" s="73">
        <v>46054</v>
      </c>
      <c r="T251" s="70">
        <v>0</v>
      </c>
      <c r="U251" s="74">
        <v>4</v>
      </c>
      <c r="V251" s="70">
        <v>20</v>
      </c>
      <c r="W251" s="56" t="s">
        <v>47</v>
      </c>
      <c r="X251" s="56" t="s">
        <v>48</v>
      </c>
      <c r="Y251" s="56" t="s">
        <v>36</v>
      </c>
      <c r="Z251" s="56" t="s">
        <v>9</v>
      </c>
      <c r="AA251" s="56" t="s">
        <v>49</v>
      </c>
      <c r="AB251" s="56" t="s">
        <v>81</v>
      </c>
      <c r="AC251" s="56" t="s">
        <v>38</v>
      </c>
      <c r="AD251" s="75" t="s">
        <v>267</v>
      </c>
      <c r="AE251" s="76"/>
      <c r="AF251" s="76"/>
      <c r="AG251" s="76"/>
      <c r="AH251" s="76"/>
      <c r="AI251" s="76"/>
      <c r="AJ251" s="76"/>
      <c r="AK251" s="76"/>
      <c r="AL251" s="76"/>
      <c r="AM251" s="76"/>
      <c r="AN251" s="76"/>
      <c r="AO251" s="76"/>
      <c r="AP251" s="76"/>
      <c r="AQ251" s="76"/>
      <c r="AR251" s="76"/>
      <c r="AS251" s="76"/>
      <c r="AT251" s="76"/>
      <c r="AU251" s="76"/>
      <c r="AV251" s="76"/>
      <c r="AW251" s="76"/>
    </row>
    <row r="252" spans="1:49" ht="31.5" x14ac:dyDescent="0.25">
      <c r="A252" s="56" t="s">
        <v>78</v>
      </c>
      <c r="B252" s="59">
        <v>46048</v>
      </c>
      <c r="C252" s="59">
        <v>46048</v>
      </c>
      <c r="D252" s="56" t="s">
        <v>30</v>
      </c>
      <c r="E252" s="62">
        <v>0.45833333333333331</v>
      </c>
      <c r="F252" s="62">
        <v>0.54166666666666663</v>
      </c>
      <c r="G252" s="62">
        <v>3.4722222222222218E-4</v>
      </c>
      <c r="H252" s="56" t="s">
        <v>79</v>
      </c>
      <c r="I252" s="66">
        <v>0.46796296296296297</v>
      </c>
      <c r="J252" s="56" t="s">
        <v>80</v>
      </c>
      <c r="K252" s="56" t="s">
        <v>76</v>
      </c>
      <c r="L252" s="68">
        <v>1</v>
      </c>
      <c r="M252" s="68">
        <v>64952</v>
      </c>
      <c r="N252" s="56" t="s">
        <v>46</v>
      </c>
      <c r="O252" s="68"/>
      <c r="P252" s="70">
        <v>0</v>
      </c>
      <c r="Q252" s="68"/>
      <c r="R252" s="70">
        <v>0</v>
      </c>
      <c r="S252" s="73">
        <v>46054</v>
      </c>
      <c r="T252" s="70">
        <v>0</v>
      </c>
      <c r="U252" s="74">
        <v>4</v>
      </c>
      <c r="V252" s="70">
        <v>0</v>
      </c>
      <c r="W252" s="56" t="s">
        <v>47</v>
      </c>
      <c r="X252" s="56" t="s">
        <v>48</v>
      </c>
      <c r="Y252" s="56" t="s">
        <v>36</v>
      </c>
      <c r="Z252" s="56" t="s">
        <v>9</v>
      </c>
      <c r="AA252" s="56" t="s">
        <v>49</v>
      </c>
      <c r="AB252" s="56" t="s">
        <v>81</v>
      </c>
      <c r="AC252" s="56" t="s">
        <v>38</v>
      </c>
      <c r="AD252" s="75" t="s">
        <v>267</v>
      </c>
      <c r="AE252" s="76"/>
      <c r="AF252" s="76"/>
      <c r="AG252" s="76"/>
      <c r="AH252" s="76"/>
      <c r="AI252" s="85"/>
      <c r="AJ252" s="85"/>
      <c r="AK252" s="85"/>
      <c r="AL252" s="85"/>
      <c r="AM252" s="85"/>
      <c r="AN252" s="85"/>
      <c r="AO252" s="85"/>
      <c r="AP252" s="85"/>
      <c r="AQ252" s="85"/>
      <c r="AR252" s="85"/>
      <c r="AS252" s="85"/>
      <c r="AT252" s="85"/>
      <c r="AU252" s="85"/>
      <c r="AV252" s="85"/>
      <c r="AW252" s="85"/>
    </row>
    <row r="253" spans="1:49" ht="31.5" x14ac:dyDescent="0.2">
      <c r="A253" s="56" t="s">
        <v>78</v>
      </c>
      <c r="B253" s="59">
        <v>46048</v>
      </c>
      <c r="C253" s="59">
        <v>46048</v>
      </c>
      <c r="D253" s="56" t="s">
        <v>30</v>
      </c>
      <c r="E253" s="62">
        <v>0.45833333333333331</v>
      </c>
      <c r="F253" s="62">
        <v>0.54166666666666663</v>
      </c>
      <c r="G253" s="62">
        <v>1.7361111111111109E-4</v>
      </c>
      <c r="H253" s="56" t="s">
        <v>86</v>
      </c>
      <c r="I253" s="66">
        <v>0.47854166666666664</v>
      </c>
      <c r="J253" s="56" t="s">
        <v>80</v>
      </c>
      <c r="K253" s="56" t="s">
        <v>76</v>
      </c>
      <c r="L253" s="68">
        <v>1</v>
      </c>
      <c r="M253" s="68">
        <v>64954</v>
      </c>
      <c r="N253" s="56" t="s">
        <v>46</v>
      </c>
      <c r="O253" s="68"/>
      <c r="P253" s="70">
        <v>0</v>
      </c>
      <c r="Q253" s="68"/>
      <c r="R253" s="70">
        <v>0</v>
      </c>
      <c r="S253" s="73">
        <v>46054</v>
      </c>
      <c r="T253" s="70">
        <v>0</v>
      </c>
      <c r="U253" s="74">
        <v>4</v>
      </c>
      <c r="V253" s="70">
        <v>0</v>
      </c>
      <c r="W253" s="56" t="s">
        <v>47</v>
      </c>
      <c r="X253" s="56" t="s">
        <v>48</v>
      </c>
      <c r="Y253" s="56" t="s">
        <v>36</v>
      </c>
      <c r="Z253" s="56" t="s">
        <v>9</v>
      </c>
      <c r="AA253" s="56" t="s">
        <v>49</v>
      </c>
      <c r="AB253" s="56" t="s">
        <v>81</v>
      </c>
      <c r="AC253" s="56" t="s">
        <v>38</v>
      </c>
      <c r="AD253" s="75" t="s">
        <v>267</v>
      </c>
      <c r="AE253" s="57"/>
      <c r="AF253" s="57"/>
      <c r="AG253" s="57"/>
      <c r="AH253" s="57"/>
      <c r="AI253" s="57"/>
      <c r="AJ253" s="57"/>
      <c r="AK253" s="57"/>
      <c r="AL253" s="57"/>
      <c r="AM253" s="57"/>
      <c r="AN253" s="57"/>
      <c r="AO253" s="57"/>
      <c r="AP253" s="57"/>
      <c r="AQ253" s="57"/>
      <c r="AR253" s="57"/>
      <c r="AS253" s="57"/>
      <c r="AT253" s="57"/>
      <c r="AU253" s="57"/>
      <c r="AV253" s="57"/>
      <c r="AW253" s="57"/>
    </row>
    <row r="254" spans="1:49" ht="31.5" x14ac:dyDescent="0.2">
      <c r="A254" s="56" t="s">
        <v>78</v>
      </c>
      <c r="B254" s="59">
        <v>46048</v>
      </c>
      <c r="C254" s="59">
        <v>46048</v>
      </c>
      <c r="D254" s="56" t="s">
        <v>30</v>
      </c>
      <c r="E254" s="62">
        <v>0.45833333333333331</v>
      </c>
      <c r="F254" s="62">
        <v>0.52083333333333337</v>
      </c>
      <c r="G254" s="62">
        <v>1.7361111111111109E-4</v>
      </c>
      <c r="H254" s="56" t="s">
        <v>91</v>
      </c>
      <c r="I254" s="66">
        <v>0.48171296296296295</v>
      </c>
      <c r="J254" s="56" t="s">
        <v>80</v>
      </c>
      <c r="K254" s="56" t="s">
        <v>150</v>
      </c>
      <c r="L254" s="68">
        <v>1</v>
      </c>
      <c r="M254" s="68">
        <v>64953</v>
      </c>
      <c r="N254" s="56" t="s">
        <v>53</v>
      </c>
      <c r="O254" s="68"/>
      <c r="P254" s="70">
        <v>20</v>
      </c>
      <c r="Q254" s="68"/>
      <c r="R254" s="70">
        <v>20</v>
      </c>
      <c r="S254" s="73">
        <v>46054</v>
      </c>
      <c r="T254" s="70">
        <v>0</v>
      </c>
      <c r="U254" s="74">
        <v>4</v>
      </c>
      <c r="V254" s="70">
        <v>20</v>
      </c>
      <c r="W254" s="56" t="s">
        <v>47</v>
      </c>
      <c r="X254" s="56" t="s">
        <v>48</v>
      </c>
      <c r="Y254" s="56" t="s">
        <v>36</v>
      </c>
      <c r="Z254" s="56" t="s">
        <v>9</v>
      </c>
      <c r="AA254" s="56" t="s">
        <v>49</v>
      </c>
      <c r="AB254" s="56" t="s">
        <v>81</v>
      </c>
      <c r="AC254" s="56" t="s">
        <v>38</v>
      </c>
      <c r="AD254" s="75" t="s">
        <v>267</v>
      </c>
      <c r="AE254" s="57"/>
      <c r="AF254" s="57"/>
      <c r="AG254" s="57"/>
      <c r="AH254" s="57"/>
      <c r="AI254" s="57"/>
      <c r="AJ254" s="57"/>
      <c r="AK254" s="57"/>
      <c r="AL254" s="57"/>
      <c r="AM254" s="57"/>
      <c r="AN254" s="57"/>
      <c r="AO254" s="57"/>
      <c r="AP254" s="57"/>
      <c r="AQ254" s="57"/>
      <c r="AR254" s="57"/>
      <c r="AS254" s="57"/>
      <c r="AT254" s="57"/>
      <c r="AU254" s="57"/>
      <c r="AV254" s="57"/>
      <c r="AW254" s="57"/>
    </row>
    <row r="255" spans="1:49" ht="31.5" x14ac:dyDescent="0.2">
      <c r="A255" s="56" t="s">
        <v>78</v>
      </c>
      <c r="B255" s="59">
        <v>46048</v>
      </c>
      <c r="C255" s="59">
        <v>46048</v>
      </c>
      <c r="D255" s="56" t="s">
        <v>30</v>
      </c>
      <c r="E255" s="62">
        <v>0.45833333333333331</v>
      </c>
      <c r="F255" s="62">
        <v>0.54166666666666663</v>
      </c>
      <c r="G255" s="62">
        <v>3.4722222222222218E-4</v>
      </c>
      <c r="H255" s="56" t="s">
        <v>79</v>
      </c>
      <c r="I255" s="66">
        <v>0.49659722222222225</v>
      </c>
      <c r="J255" s="56" t="s">
        <v>80</v>
      </c>
      <c r="K255" s="56" t="s">
        <v>150</v>
      </c>
      <c r="L255" s="68">
        <v>1</v>
      </c>
      <c r="M255" s="68">
        <v>64952</v>
      </c>
      <c r="N255" s="56" t="s">
        <v>46</v>
      </c>
      <c r="O255" s="68"/>
      <c r="P255" s="70">
        <v>0</v>
      </c>
      <c r="Q255" s="68"/>
      <c r="R255" s="70">
        <v>0</v>
      </c>
      <c r="S255" s="73">
        <v>46054</v>
      </c>
      <c r="T255" s="70">
        <v>0</v>
      </c>
      <c r="U255" s="74">
        <v>4</v>
      </c>
      <c r="V255" s="70">
        <v>0</v>
      </c>
      <c r="W255" s="56" t="s">
        <v>47</v>
      </c>
      <c r="X255" s="56" t="s">
        <v>48</v>
      </c>
      <c r="Y255" s="56" t="s">
        <v>36</v>
      </c>
      <c r="Z255" s="56" t="s">
        <v>9</v>
      </c>
      <c r="AA255" s="56" t="s">
        <v>49</v>
      </c>
      <c r="AB255" s="56" t="s">
        <v>81</v>
      </c>
      <c r="AC255" s="56" t="s">
        <v>38</v>
      </c>
      <c r="AD255" s="75" t="s">
        <v>267</v>
      </c>
      <c r="AE255" s="57"/>
      <c r="AF255" s="57"/>
      <c r="AG255" s="57"/>
      <c r="AH255" s="57"/>
      <c r="AI255" s="57"/>
      <c r="AJ255" s="57"/>
      <c r="AK255" s="57"/>
      <c r="AL255" s="57"/>
      <c r="AM255" s="57"/>
      <c r="AN255" s="57"/>
      <c r="AO255" s="57"/>
      <c r="AP255" s="57"/>
      <c r="AQ255" s="57"/>
      <c r="AR255" s="57"/>
      <c r="AS255" s="57"/>
      <c r="AT255" s="57"/>
      <c r="AU255" s="57"/>
      <c r="AV255" s="57"/>
      <c r="AW255" s="57"/>
    </row>
    <row r="256" spans="1:49" ht="31.5" x14ac:dyDescent="0.25">
      <c r="A256" s="56" t="s">
        <v>78</v>
      </c>
      <c r="B256" s="59">
        <v>46048</v>
      </c>
      <c r="C256" s="59">
        <v>46048</v>
      </c>
      <c r="D256" s="56" t="s">
        <v>30</v>
      </c>
      <c r="E256" s="62">
        <v>0.45833333333333331</v>
      </c>
      <c r="F256" s="62">
        <v>0.52083333333333337</v>
      </c>
      <c r="G256" s="62">
        <v>1.7361111111111109E-4</v>
      </c>
      <c r="H256" s="56" t="s">
        <v>86</v>
      </c>
      <c r="I256" s="66">
        <v>0.50528935185185186</v>
      </c>
      <c r="J256" s="56" t="s">
        <v>80</v>
      </c>
      <c r="K256" s="56" t="s">
        <v>151</v>
      </c>
      <c r="L256" s="68">
        <v>1</v>
      </c>
      <c r="M256" s="68">
        <v>64953</v>
      </c>
      <c r="N256" s="56" t="s">
        <v>53</v>
      </c>
      <c r="O256" s="68"/>
      <c r="P256" s="70">
        <v>20</v>
      </c>
      <c r="Q256" s="68"/>
      <c r="R256" s="70">
        <v>20</v>
      </c>
      <c r="S256" s="73">
        <v>46054</v>
      </c>
      <c r="T256" s="70">
        <v>0</v>
      </c>
      <c r="U256" s="74">
        <v>4</v>
      </c>
      <c r="V256" s="70">
        <v>20</v>
      </c>
      <c r="W256" s="56" t="s">
        <v>47</v>
      </c>
      <c r="X256" s="56" t="s">
        <v>48</v>
      </c>
      <c r="Y256" s="56" t="s">
        <v>36</v>
      </c>
      <c r="Z256" s="56" t="s">
        <v>9</v>
      </c>
      <c r="AA256" s="56" t="s">
        <v>49</v>
      </c>
      <c r="AB256" s="56" t="s">
        <v>81</v>
      </c>
      <c r="AC256" s="56" t="s">
        <v>38</v>
      </c>
      <c r="AD256" s="75" t="s">
        <v>267</v>
      </c>
      <c r="AE256" s="77"/>
      <c r="AF256" s="77"/>
      <c r="AG256" s="77"/>
      <c r="AH256" s="77"/>
      <c r="AI256" s="86"/>
      <c r="AJ256" s="86"/>
      <c r="AK256" s="86"/>
      <c r="AL256" s="86"/>
      <c r="AM256" s="86"/>
      <c r="AN256" s="86"/>
      <c r="AO256" s="86"/>
      <c r="AP256" s="86"/>
      <c r="AQ256" s="86"/>
      <c r="AR256" s="86"/>
      <c r="AS256" s="86"/>
      <c r="AT256" s="86"/>
      <c r="AU256" s="86"/>
      <c r="AV256" s="86"/>
      <c r="AW256" s="86"/>
    </row>
    <row r="257" spans="1:49" ht="31.5" x14ac:dyDescent="0.25">
      <c r="A257" s="56" t="s">
        <v>78</v>
      </c>
      <c r="B257" s="59">
        <v>46048</v>
      </c>
      <c r="C257" s="59">
        <v>46048</v>
      </c>
      <c r="D257" s="56" t="s">
        <v>30</v>
      </c>
      <c r="E257" s="62">
        <v>0.45833333333333331</v>
      </c>
      <c r="F257" s="62">
        <v>0.54166666666666663</v>
      </c>
      <c r="G257" s="62">
        <v>3.4722222222222218E-4</v>
      </c>
      <c r="H257" s="56" t="s">
        <v>79</v>
      </c>
      <c r="I257" s="66">
        <v>0.5124305555555555</v>
      </c>
      <c r="J257" s="56" t="s">
        <v>80</v>
      </c>
      <c r="K257" s="56" t="s">
        <v>151</v>
      </c>
      <c r="L257" s="68">
        <v>1</v>
      </c>
      <c r="M257" s="68">
        <v>64952</v>
      </c>
      <c r="N257" s="56" t="s">
        <v>46</v>
      </c>
      <c r="O257" s="68"/>
      <c r="P257" s="70">
        <v>0</v>
      </c>
      <c r="Q257" s="68"/>
      <c r="R257" s="70">
        <v>0</v>
      </c>
      <c r="S257" s="73">
        <v>46054</v>
      </c>
      <c r="T257" s="70">
        <v>0</v>
      </c>
      <c r="U257" s="74">
        <v>4</v>
      </c>
      <c r="V257" s="70">
        <v>0</v>
      </c>
      <c r="W257" s="56" t="s">
        <v>47</v>
      </c>
      <c r="X257" s="56" t="s">
        <v>48</v>
      </c>
      <c r="Y257" s="56" t="s">
        <v>36</v>
      </c>
      <c r="Z257" s="56" t="s">
        <v>9</v>
      </c>
      <c r="AA257" s="56" t="s">
        <v>49</v>
      </c>
      <c r="AB257" s="56" t="s">
        <v>81</v>
      </c>
      <c r="AC257" s="56" t="s">
        <v>38</v>
      </c>
      <c r="AD257" s="75" t="s">
        <v>267</v>
      </c>
      <c r="AE257" s="84"/>
      <c r="AF257" s="84"/>
      <c r="AG257" s="84"/>
      <c r="AH257" s="84"/>
      <c r="AI257" s="86"/>
      <c r="AJ257" s="86"/>
      <c r="AK257" s="86"/>
      <c r="AL257" s="86"/>
      <c r="AM257" s="86"/>
      <c r="AN257" s="86"/>
      <c r="AO257" s="86"/>
      <c r="AP257" s="86"/>
      <c r="AQ257" s="86"/>
      <c r="AR257" s="86"/>
      <c r="AS257" s="86"/>
      <c r="AT257" s="86"/>
      <c r="AU257" s="86"/>
      <c r="AV257" s="86"/>
      <c r="AW257" s="86"/>
    </row>
    <row r="258" spans="1:49" ht="31.5" x14ac:dyDescent="0.25">
      <c r="A258" s="56" t="s">
        <v>78</v>
      </c>
      <c r="B258" s="59">
        <v>46048</v>
      </c>
      <c r="C258" s="59">
        <v>46048</v>
      </c>
      <c r="D258" s="56" t="s">
        <v>30</v>
      </c>
      <c r="E258" s="62">
        <v>0.45833333333333331</v>
      </c>
      <c r="F258" s="62">
        <v>0.54166666666666663</v>
      </c>
      <c r="G258" s="62">
        <v>3.4722222222222218E-4</v>
      </c>
      <c r="H258" s="56" t="s">
        <v>79</v>
      </c>
      <c r="I258" s="66">
        <v>0.54074074074074074</v>
      </c>
      <c r="J258" s="56" t="s">
        <v>80</v>
      </c>
      <c r="K258" s="56" t="s">
        <v>151</v>
      </c>
      <c r="L258" s="68">
        <v>1</v>
      </c>
      <c r="M258" s="68">
        <v>64952</v>
      </c>
      <c r="N258" s="56" t="s">
        <v>46</v>
      </c>
      <c r="O258" s="68"/>
      <c r="P258" s="70">
        <v>0</v>
      </c>
      <c r="Q258" s="68"/>
      <c r="R258" s="70">
        <v>0</v>
      </c>
      <c r="S258" s="73">
        <v>46054</v>
      </c>
      <c r="T258" s="70">
        <v>0</v>
      </c>
      <c r="U258" s="74">
        <v>4</v>
      </c>
      <c r="V258" s="70">
        <v>0</v>
      </c>
      <c r="W258" s="56" t="s">
        <v>47</v>
      </c>
      <c r="X258" s="56" t="s">
        <v>48</v>
      </c>
      <c r="Y258" s="56" t="s">
        <v>36</v>
      </c>
      <c r="Z258" s="56" t="s">
        <v>9</v>
      </c>
      <c r="AA258" s="56" t="s">
        <v>49</v>
      </c>
      <c r="AB258" s="56" t="s">
        <v>81</v>
      </c>
      <c r="AC258" s="56" t="s">
        <v>38</v>
      </c>
      <c r="AD258" s="75" t="s">
        <v>267</v>
      </c>
      <c r="AE258" s="76"/>
      <c r="AF258" s="76"/>
      <c r="AG258" s="76"/>
      <c r="AH258" s="76"/>
      <c r="AI258" s="85"/>
      <c r="AJ258" s="85"/>
      <c r="AK258" s="85"/>
      <c r="AL258" s="85"/>
      <c r="AM258" s="85"/>
      <c r="AN258" s="85"/>
      <c r="AO258" s="85"/>
      <c r="AP258" s="85"/>
      <c r="AQ258" s="85"/>
      <c r="AR258" s="85"/>
      <c r="AS258" s="85"/>
      <c r="AT258" s="85"/>
      <c r="AU258" s="85"/>
      <c r="AV258" s="85"/>
      <c r="AW258" s="85"/>
    </row>
    <row r="259" spans="1:49" ht="31.5" x14ac:dyDescent="0.25">
      <c r="A259" s="56" t="s">
        <v>78</v>
      </c>
      <c r="B259" s="59">
        <v>46048</v>
      </c>
      <c r="C259" s="59">
        <v>46048</v>
      </c>
      <c r="D259" s="56" t="s">
        <v>30</v>
      </c>
      <c r="E259" s="62">
        <v>0.79166666666666663</v>
      </c>
      <c r="F259" s="62">
        <v>0.99930555555555556</v>
      </c>
      <c r="G259" s="62">
        <v>1.7361111111111109E-4</v>
      </c>
      <c r="H259" s="56" t="s">
        <v>140</v>
      </c>
      <c r="I259" s="66">
        <v>0.79741898148148149</v>
      </c>
      <c r="J259" s="56" t="s">
        <v>132</v>
      </c>
      <c r="K259" s="56" t="s">
        <v>131</v>
      </c>
      <c r="L259" s="68">
        <v>1</v>
      </c>
      <c r="M259" s="68">
        <v>64941</v>
      </c>
      <c r="N259" s="56" t="s">
        <v>53</v>
      </c>
      <c r="O259" s="68"/>
      <c r="P259" s="70">
        <v>50</v>
      </c>
      <c r="Q259" s="68"/>
      <c r="R259" s="70">
        <v>50</v>
      </c>
      <c r="S259" s="73">
        <v>46054</v>
      </c>
      <c r="T259" s="70">
        <v>0</v>
      </c>
      <c r="U259" s="74">
        <v>4</v>
      </c>
      <c r="V259" s="70">
        <v>50</v>
      </c>
      <c r="W259" s="56" t="s">
        <v>47</v>
      </c>
      <c r="X259" s="56" t="s">
        <v>48</v>
      </c>
      <c r="Y259" s="56" t="s">
        <v>36</v>
      </c>
      <c r="Z259" s="56" t="s">
        <v>9</v>
      </c>
      <c r="AA259" s="56" t="s">
        <v>49</v>
      </c>
      <c r="AB259" s="56" t="s">
        <v>134</v>
      </c>
      <c r="AC259" s="56" t="s">
        <v>38</v>
      </c>
      <c r="AD259" s="75" t="s">
        <v>267</v>
      </c>
      <c r="AE259" s="76"/>
      <c r="AF259" s="76"/>
      <c r="AG259" s="76"/>
      <c r="AH259" s="76"/>
      <c r="AI259" s="76"/>
      <c r="AJ259" s="76"/>
      <c r="AK259" s="76"/>
      <c r="AL259" s="76"/>
      <c r="AM259" s="76"/>
      <c r="AN259" s="76"/>
      <c r="AO259" s="76"/>
      <c r="AP259" s="76"/>
      <c r="AQ259" s="76"/>
      <c r="AR259" s="76"/>
      <c r="AS259" s="76"/>
      <c r="AT259" s="76"/>
      <c r="AU259" s="76"/>
      <c r="AV259" s="76"/>
      <c r="AW259" s="76"/>
    </row>
    <row r="260" spans="1:49" ht="31.5" x14ac:dyDescent="0.25">
      <c r="A260" s="56" t="s">
        <v>78</v>
      </c>
      <c r="B260" s="59">
        <v>46048</v>
      </c>
      <c r="C260" s="59">
        <v>46048</v>
      </c>
      <c r="D260" s="56" t="s">
        <v>30</v>
      </c>
      <c r="E260" s="62">
        <v>0.79166666666666663</v>
      </c>
      <c r="F260" s="62">
        <v>0.99930555555555556</v>
      </c>
      <c r="G260" s="62">
        <v>1.7361111111111109E-4</v>
      </c>
      <c r="H260" s="56" t="s">
        <v>142</v>
      </c>
      <c r="I260" s="66">
        <v>0.82355324074074077</v>
      </c>
      <c r="J260" s="56" t="s">
        <v>132</v>
      </c>
      <c r="K260" s="56" t="s">
        <v>156</v>
      </c>
      <c r="L260" s="68">
        <v>1</v>
      </c>
      <c r="M260" s="68">
        <v>64941</v>
      </c>
      <c r="N260" s="56" t="s">
        <v>53</v>
      </c>
      <c r="O260" s="68"/>
      <c r="P260" s="70">
        <v>50</v>
      </c>
      <c r="Q260" s="68"/>
      <c r="R260" s="70">
        <v>50</v>
      </c>
      <c r="S260" s="73">
        <v>46054</v>
      </c>
      <c r="T260" s="70">
        <v>0</v>
      </c>
      <c r="U260" s="74">
        <v>4</v>
      </c>
      <c r="V260" s="70">
        <v>50</v>
      </c>
      <c r="W260" s="56" t="s">
        <v>47</v>
      </c>
      <c r="X260" s="56" t="s">
        <v>48</v>
      </c>
      <c r="Y260" s="56" t="s">
        <v>36</v>
      </c>
      <c r="Z260" s="56" t="s">
        <v>9</v>
      </c>
      <c r="AA260" s="56" t="s">
        <v>49</v>
      </c>
      <c r="AB260" s="56" t="s">
        <v>134</v>
      </c>
      <c r="AC260" s="56" t="s">
        <v>38</v>
      </c>
      <c r="AD260" s="75" t="s">
        <v>267</v>
      </c>
      <c r="AE260" s="76"/>
      <c r="AF260" s="76"/>
      <c r="AG260" s="76"/>
      <c r="AH260" s="76"/>
      <c r="AI260" s="85"/>
      <c r="AJ260" s="85"/>
      <c r="AK260" s="85"/>
      <c r="AL260" s="85"/>
      <c r="AM260" s="85"/>
      <c r="AN260" s="85"/>
      <c r="AO260" s="85"/>
      <c r="AP260" s="85"/>
      <c r="AQ260" s="85"/>
      <c r="AR260" s="85"/>
      <c r="AS260" s="85"/>
      <c r="AT260" s="85"/>
      <c r="AU260" s="85"/>
      <c r="AV260" s="85"/>
      <c r="AW260" s="85"/>
    </row>
    <row r="261" spans="1:49" ht="31.5" x14ac:dyDescent="0.25">
      <c r="A261" s="56" t="s">
        <v>78</v>
      </c>
      <c r="B261" s="59">
        <v>46048</v>
      </c>
      <c r="C261" s="59">
        <v>46048</v>
      </c>
      <c r="D261" s="56" t="s">
        <v>30</v>
      </c>
      <c r="E261" s="62">
        <v>0.79166666666666663</v>
      </c>
      <c r="F261" s="62">
        <v>0.99930555555555556</v>
      </c>
      <c r="G261" s="62">
        <v>3.4722222222222218E-4</v>
      </c>
      <c r="H261" s="56" t="s">
        <v>133</v>
      </c>
      <c r="I261" s="66">
        <v>0.84701388888888884</v>
      </c>
      <c r="J261" s="56" t="s">
        <v>41</v>
      </c>
      <c r="K261" s="56" t="s">
        <v>157</v>
      </c>
      <c r="L261" s="68">
        <v>1</v>
      </c>
      <c r="M261" s="68">
        <v>64937</v>
      </c>
      <c r="N261" s="56" t="s">
        <v>46</v>
      </c>
      <c r="O261" s="68"/>
      <c r="P261" s="70">
        <v>0</v>
      </c>
      <c r="Q261" s="68"/>
      <c r="R261" s="70">
        <v>0</v>
      </c>
      <c r="S261" s="73">
        <v>46054</v>
      </c>
      <c r="T261" s="70">
        <v>0</v>
      </c>
      <c r="U261" s="74">
        <v>4</v>
      </c>
      <c r="V261" s="70">
        <v>0</v>
      </c>
      <c r="W261" s="56" t="s">
        <v>47</v>
      </c>
      <c r="X261" s="56" t="s">
        <v>48</v>
      </c>
      <c r="Y261" s="56" t="s">
        <v>36</v>
      </c>
      <c r="Z261" s="56" t="s">
        <v>9</v>
      </c>
      <c r="AA261" s="56" t="s">
        <v>49</v>
      </c>
      <c r="AB261" s="56" t="s">
        <v>134</v>
      </c>
      <c r="AC261" s="56" t="s">
        <v>38</v>
      </c>
      <c r="AD261" s="75" t="s">
        <v>267</v>
      </c>
      <c r="AE261" s="76"/>
      <c r="AF261" s="76"/>
      <c r="AG261" s="76"/>
      <c r="AH261" s="76"/>
      <c r="AI261" s="85"/>
      <c r="AJ261" s="85"/>
      <c r="AK261" s="85"/>
      <c r="AL261" s="85"/>
      <c r="AM261" s="85"/>
      <c r="AN261" s="85"/>
      <c r="AO261" s="85"/>
      <c r="AP261" s="85"/>
      <c r="AQ261" s="85"/>
      <c r="AR261" s="85"/>
      <c r="AS261" s="85"/>
      <c r="AT261" s="85"/>
      <c r="AU261" s="85"/>
      <c r="AV261" s="85"/>
      <c r="AW261" s="85"/>
    </row>
    <row r="262" spans="1:49" ht="31.5" x14ac:dyDescent="0.25">
      <c r="A262" s="56" t="s">
        <v>78</v>
      </c>
      <c r="B262" s="59">
        <v>46048</v>
      </c>
      <c r="C262" s="59">
        <v>46048</v>
      </c>
      <c r="D262" s="56" t="s">
        <v>30</v>
      </c>
      <c r="E262" s="62">
        <v>0.79166666666666663</v>
      </c>
      <c r="F262" s="62">
        <v>0.99930555555555556</v>
      </c>
      <c r="G262" s="62">
        <v>3.4722222222222218E-4</v>
      </c>
      <c r="H262" s="56" t="s">
        <v>133</v>
      </c>
      <c r="I262" s="66">
        <v>0.99903935185185189</v>
      </c>
      <c r="J262" s="56" t="s">
        <v>132</v>
      </c>
      <c r="K262" s="56" t="s">
        <v>149</v>
      </c>
      <c r="L262" s="68">
        <v>1</v>
      </c>
      <c r="M262" s="68">
        <v>64932</v>
      </c>
      <c r="N262" s="56" t="s">
        <v>53</v>
      </c>
      <c r="O262" s="68"/>
      <c r="P262" s="70">
        <v>30</v>
      </c>
      <c r="Q262" s="68"/>
      <c r="R262" s="70">
        <v>30</v>
      </c>
      <c r="S262" s="73">
        <v>46054</v>
      </c>
      <c r="T262" s="70">
        <v>0</v>
      </c>
      <c r="U262" s="74">
        <v>4</v>
      </c>
      <c r="V262" s="70">
        <v>30</v>
      </c>
      <c r="W262" s="56" t="s">
        <v>47</v>
      </c>
      <c r="X262" s="56" t="s">
        <v>48</v>
      </c>
      <c r="Y262" s="56" t="s">
        <v>36</v>
      </c>
      <c r="Z262" s="56" t="s">
        <v>9</v>
      </c>
      <c r="AA262" s="56" t="s">
        <v>49</v>
      </c>
      <c r="AB262" s="56" t="s">
        <v>134</v>
      </c>
      <c r="AC262" s="56" t="s">
        <v>38</v>
      </c>
      <c r="AD262" s="75" t="s">
        <v>267</v>
      </c>
      <c r="AE262" s="81"/>
      <c r="AF262" s="81"/>
      <c r="AG262" s="81"/>
      <c r="AH262" s="81"/>
      <c r="AI262" s="86"/>
      <c r="AJ262" s="86"/>
      <c r="AK262" s="86"/>
      <c r="AL262" s="86"/>
      <c r="AM262" s="86"/>
      <c r="AN262" s="86"/>
      <c r="AO262" s="86"/>
      <c r="AP262" s="86"/>
      <c r="AQ262" s="86"/>
      <c r="AR262" s="86"/>
      <c r="AS262" s="86"/>
      <c r="AT262" s="86"/>
      <c r="AU262" s="86"/>
      <c r="AV262" s="86"/>
      <c r="AW262" s="86"/>
    </row>
    <row r="263" spans="1:49" ht="31.5" x14ac:dyDescent="0.25">
      <c r="A263" s="56" t="s">
        <v>78</v>
      </c>
      <c r="B263" s="59">
        <v>46049</v>
      </c>
      <c r="C263" s="59">
        <v>46049</v>
      </c>
      <c r="D263" s="56" t="s">
        <v>166</v>
      </c>
      <c r="E263" s="62">
        <v>0.45833333333333331</v>
      </c>
      <c r="F263" s="62">
        <v>0.52083333333333337</v>
      </c>
      <c r="G263" s="62">
        <v>3.4722222222222218E-4</v>
      </c>
      <c r="H263" s="56" t="s">
        <v>79</v>
      </c>
      <c r="I263" s="66">
        <v>0.46693287037037035</v>
      </c>
      <c r="J263" s="56" t="s">
        <v>80</v>
      </c>
      <c r="K263" s="56" t="s">
        <v>175</v>
      </c>
      <c r="L263" s="68">
        <v>1</v>
      </c>
      <c r="M263" s="68">
        <v>64948</v>
      </c>
      <c r="N263" s="56" t="s">
        <v>53</v>
      </c>
      <c r="O263" s="68"/>
      <c r="P263" s="70">
        <v>35</v>
      </c>
      <c r="Q263" s="68"/>
      <c r="R263" s="70">
        <v>35</v>
      </c>
      <c r="S263" s="73">
        <v>46054</v>
      </c>
      <c r="T263" s="70">
        <v>0</v>
      </c>
      <c r="U263" s="74">
        <v>4</v>
      </c>
      <c r="V263" s="70">
        <v>35</v>
      </c>
      <c r="W263" s="56" t="s">
        <v>47</v>
      </c>
      <c r="X263" s="56" t="s">
        <v>48</v>
      </c>
      <c r="Y263" s="56" t="s">
        <v>36</v>
      </c>
      <c r="Z263" s="56" t="s">
        <v>9</v>
      </c>
      <c r="AA263" s="56" t="s">
        <v>49</v>
      </c>
      <c r="AB263" s="56" t="s">
        <v>81</v>
      </c>
      <c r="AC263" s="56" t="s">
        <v>38</v>
      </c>
      <c r="AD263" s="75" t="s">
        <v>267</v>
      </c>
      <c r="AE263" s="76"/>
      <c r="AF263" s="76"/>
      <c r="AG263" s="76"/>
      <c r="AH263" s="76"/>
      <c r="AI263" s="76"/>
      <c r="AJ263" s="76"/>
      <c r="AK263" s="76"/>
      <c r="AL263" s="76"/>
      <c r="AM263" s="76"/>
      <c r="AN263" s="76"/>
      <c r="AO263" s="76"/>
      <c r="AP263" s="76"/>
      <c r="AQ263" s="76"/>
      <c r="AR263" s="76"/>
      <c r="AS263" s="76"/>
      <c r="AT263" s="76"/>
      <c r="AU263" s="76"/>
      <c r="AV263" s="76"/>
      <c r="AW263" s="76"/>
    </row>
    <row r="264" spans="1:49" ht="31.5" x14ac:dyDescent="0.2">
      <c r="A264" s="56" t="s">
        <v>78</v>
      </c>
      <c r="B264" s="59">
        <v>46049</v>
      </c>
      <c r="C264" s="59">
        <v>46049</v>
      </c>
      <c r="D264" s="56" t="s">
        <v>166</v>
      </c>
      <c r="E264" s="62">
        <v>0.79166666666666663</v>
      </c>
      <c r="F264" s="62">
        <v>0.99930555555555556</v>
      </c>
      <c r="G264" s="62">
        <v>1.7361111111111109E-4</v>
      </c>
      <c r="H264" s="56" t="s">
        <v>140</v>
      </c>
      <c r="I264" s="66">
        <v>0.79949386574074077</v>
      </c>
      <c r="J264" s="56" t="s">
        <v>132</v>
      </c>
      <c r="K264" s="56" t="s">
        <v>131</v>
      </c>
      <c r="L264" s="68">
        <v>1</v>
      </c>
      <c r="M264" s="68">
        <v>64941</v>
      </c>
      <c r="N264" s="56" t="s">
        <v>53</v>
      </c>
      <c r="O264" s="68"/>
      <c r="P264" s="70">
        <v>50</v>
      </c>
      <c r="Q264" s="68"/>
      <c r="R264" s="70">
        <v>50</v>
      </c>
      <c r="S264" s="73">
        <v>46054</v>
      </c>
      <c r="T264" s="70">
        <v>0</v>
      </c>
      <c r="U264" s="74">
        <v>4</v>
      </c>
      <c r="V264" s="70">
        <v>50</v>
      </c>
      <c r="W264" s="56" t="s">
        <v>47</v>
      </c>
      <c r="X264" s="56" t="s">
        <v>48</v>
      </c>
      <c r="Y264" s="56" t="s">
        <v>36</v>
      </c>
      <c r="Z264" s="56" t="s">
        <v>9</v>
      </c>
      <c r="AA264" s="56" t="s">
        <v>49</v>
      </c>
      <c r="AB264" s="56" t="s">
        <v>134</v>
      </c>
      <c r="AC264" s="56" t="s">
        <v>38</v>
      </c>
      <c r="AD264" s="75" t="s">
        <v>267</v>
      </c>
      <c r="AE264" s="57"/>
      <c r="AF264" s="57"/>
      <c r="AG264" s="57"/>
      <c r="AH264" s="57"/>
      <c r="AI264" s="57"/>
      <c r="AJ264" s="57"/>
      <c r="AK264" s="57"/>
      <c r="AL264" s="57"/>
      <c r="AM264" s="57"/>
      <c r="AN264" s="57"/>
      <c r="AO264" s="57"/>
      <c r="AP264" s="57"/>
      <c r="AQ264" s="57"/>
      <c r="AR264" s="57"/>
      <c r="AS264" s="57"/>
      <c r="AT264" s="57"/>
      <c r="AU264" s="57"/>
      <c r="AV264" s="57"/>
      <c r="AW264" s="57"/>
    </row>
    <row r="265" spans="1:49" ht="31.5" x14ac:dyDescent="0.2">
      <c r="A265" s="56" t="s">
        <v>78</v>
      </c>
      <c r="B265" s="59">
        <v>46049</v>
      </c>
      <c r="C265" s="59">
        <v>46049</v>
      </c>
      <c r="D265" s="56" t="s">
        <v>166</v>
      </c>
      <c r="E265" s="62">
        <v>0.79166666666666663</v>
      </c>
      <c r="F265" s="62">
        <v>0.99930555555555556</v>
      </c>
      <c r="G265" s="62">
        <v>3.4722222222222218E-4</v>
      </c>
      <c r="H265" s="56" t="s">
        <v>133</v>
      </c>
      <c r="I265" s="66">
        <v>0.83261631944444447</v>
      </c>
      <c r="J265" s="56" t="s">
        <v>132</v>
      </c>
      <c r="K265" s="56" t="s">
        <v>156</v>
      </c>
      <c r="L265" s="68">
        <v>1</v>
      </c>
      <c r="M265" s="68">
        <v>64932</v>
      </c>
      <c r="N265" s="56" t="s">
        <v>53</v>
      </c>
      <c r="O265" s="68"/>
      <c r="P265" s="70">
        <v>30</v>
      </c>
      <c r="Q265" s="68"/>
      <c r="R265" s="70">
        <v>30</v>
      </c>
      <c r="S265" s="73">
        <v>46054</v>
      </c>
      <c r="T265" s="70">
        <v>0</v>
      </c>
      <c r="U265" s="74">
        <v>4</v>
      </c>
      <c r="V265" s="70">
        <v>30</v>
      </c>
      <c r="W265" s="56" t="s">
        <v>47</v>
      </c>
      <c r="X265" s="56" t="s">
        <v>48</v>
      </c>
      <c r="Y265" s="56" t="s">
        <v>36</v>
      </c>
      <c r="Z265" s="56" t="s">
        <v>9</v>
      </c>
      <c r="AA265" s="56" t="s">
        <v>49</v>
      </c>
      <c r="AB265" s="56" t="s">
        <v>134</v>
      </c>
      <c r="AC265" s="56" t="s">
        <v>38</v>
      </c>
      <c r="AD265" s="75" t="s">
        <v>267</v>
      </c>
      <c r="AE265" s="57"/>
      <c r="AF265" s="57"/>
      <c r="AG265" s="57"/>
      <c r="AH265" s="57"/>
      <c r="AI265" s="57"/>
      <c r="AJ265" s="57"/>
      <c r="AK265" s="57"/>
      <c r="AL265" s="57"/>
      <c r="AM265" s="57"/>
      <c r="AN265" s="57"/>
      <c r="AO265" s="57"/>
      <c r="AP265" s="57"/>
      <c r="AQ265" s="57"/>
      <c r="AR265" s="57"/>
      <c r="AS265" s="57"/>
      <c r="AT265" s="57"/>
      <c r="AU265" s="57"/>
      <c r="AV265" s="57"/>
      <c r="AW265" s="57"/>
    </row>
    <row r="266" spans="1:49" ht="31.5" x14ac:dyDescent="0.25">
      <c r="A266" s="56" t="s">
        <v>78</v>
      </c>
      <c r="B266" s="59">
        <v>46049</v>
      </c>
      <c r="C266" s="59">
        <v>46049</v>
      </c>
      <c r="D266" s="56" t="s">
        <v>166</v>
      </c>
      <c r="E266" s="62">
        <v>0.79166666666666663</v>
      </c>
      <c r="F266" s="62">
        <v>0.99930555555555556</v>
      </c>
      <c r="G266" s="62">
        <v>3.4722222222222218E-4</v>
      </c>
      <c r="H266" s="56" t="s">
        <v>133</v>
      </c>
      <c r="I266" s="66">
        <v>0.91552083333333334</v>
      </c>
      <c r="J266" s="56" t="s">
        <v>41</v>
      </c>
      <c r="K266" s="56" t="s">
        <v>147</v>
      </c>
      <c r="L266" s="68">
        <v>1</v>
      </c>
      <c r="M266" s="68">
        <v>64937</v>
      </c>
      <c r="N266" s="56" t="s">
        <v>46</v>
      </c>
      <c r="O266" s="68"/>
      <c r="P266" s="70">
        <v>0</v>
      </c>
      <c r="Q266" s="68"/>
      <c r="R266" s="70">
        <v>0</v>
      </c>
      <c r="S266" s="73">
        <v>46054</v>
      </c>
      <c r="T266" s="70">
        <v>0</v>
      </c>
      <c r="U266" s="74">
        <v>4</v>
      </c>
      <c r="V266" s="70">
        <v>0</v>
      </c>
      <c r="W266" s="56" t="s">
        <v>47</v>
      </c>
      <c r="X266" s="56" t="s">
        <v>48</v>
      </c>
      <c r="Y266" s="56" t="s">
        <v>36</v>
      </c>
      <c r="Z266" s="56" t="s">
        <v>9</v>
      </c>
      <c r="AA266" s="56" t="s">
        <v>49</v>
      </c>
      <c r="AB266" s="56" t="s">
        <v>134</v>
      </c>
      <c r="AC266" s="56" t="s">
        <v>38</v>
      </c>
      <c r="AD266" s="75" t="s">
        <v>267</v>
      </c>
      <c r="AE266" s="76"/>
      <c r="AF266" s="76"/>
      <c r="AG266" s="76"/>
      <c r="AH266" s="76"/>
      <c r="AI266" s="76"/>
      <c r="AJ266" s="76"/>
      <c r="AK266" s="76"/>
      <c r="AL266" s="76"/>
      <c r="AM266" s="76"/>
      <c r="AN266" s="76"/>
      <c r="AO266" s="76"/>
      <c r="AP266" s="76"/>
      <c r="AQ266" s="76"/>
      <c r="AR266" s="76"/>
      <c r="AS266" s="76"/>
      <c r="AT266" s="76"/>
      <c r="AU266" s="76"/>
      <c r="AV266" s="76"/>
      <c r="AW266" s="76"/>
    </row>
    <row r="267" spans="1:49" ht="31.5" x14ac:dyDescent="0.25">
      <c r="A267" s="56" t="s">
        <v>78</v>
      </c>
      <c r="B267" s="59">
        <v>46049</v>
      </c>
      <c r="C267" s="59">
        <v>46049</v>
      </c>
      <c r="D267" s="56" t="s">
        <v>166</v>
      </c>
      <c r="E267" s="62">
        <v>0.79166666666666663</v>
      </c>
      <c r="F267" s="62">
        <v>0.99930555555555556</v>
      </c>
      <c r="G267" s="62">
        <v>1.7361111111111109E-4</v>
      </c>
      <c r="H267" s="56" t="s">
        <v>142</v>
      </c>
      <c r="I267" s="66">
        <v>0.9888541666666667</v>
      </c>
      <c r="J267" s="56" t="s">
        <v>132</v>
      </c>
      <c r="K267" s="56" t="s">
        <v>149</v>
      </c>
      <c r="L267" s="68">
        <v>1</v>
      </c>
      <c r="M267" s="68">
        <v>64941</v>
      </c>
      <c r="N267" s="56" t="s">
        <v>53</v>
      </c>
      <c r="O267" s="68"/>
      <c r="P267" s="70">
        <v>50</v>
      </c>
      <c r="Q267" s="68"/>
      <c r="R267" s="70">
        <v>50</v>
      </c>
      <c r="S267" s="73">
        <v>46054</v>
      </c>
      <c r="T267" s="70">
        <v>0</v>
      </c>
      <c r="U267" s="74">
        <v>4</v>
      </c>
      <c r="V267" s="70">
        <v>50</v>
      </c>
      <c r="W267" s="56" t="s">
        <v>47</v>
      </c>
      <c r="X267" s="56" t="s">
        <v>48</v>
      </c>
      <c r="Y267" s="56" t="s">
        <v>36</v>
      </c>
      <c r="Z267" s="56" t="s">
        <v>9</v>
      </c>
      <c r="AA267" s="56" t="s">
        <v>49</v>
      </c>
      <c r="AB267" s="56" t="s">
        <v>134</v>
      </c>
      <c r="AC267" s="56" t="s">
        <v>38</v>
      </c>
      <c r="AD267" s="75" t="s">
        <v>267</v>
      </c>
      <c r="AE267" s="76"/>
      <c r="AF267" s="76"/>
      <c r="AG267" s="76"/>
      <c r="AH267" s="76"/>
      <c r="AI267" s="76"/>
      <c r="AJ267" s="76"/>
      <c r="AK267" s="76"/>
      <c r="AL267" s="76"/>
      <c r="AM267" s="76"/>
      <c r="AN267" s="76"/>
      <c r="AO267" s="76"/>
      <c r="AP267" s="76"/>
      <c r="AQ267" s="76"/>
      <c r="AR267" s="76"/>
      <c r="AS267" s="76"/>
      <c r="AT267" s="76"/>
      <c r="AU267" s="76"/>
      <c r="AV267" s="76"/>
      <c r="AW267" s="76"/>
    </row>
    <row r="268" spans="1:49" ht="31.5" x14ac:dyDescent="0.25">
      <c r="A268" s="56" t="s">
        <v>78</v>
      </c>
      <c r="B268" s="59">
        <v>46050</v>
      </c>
      <c r="C268" s="59">
        <v>46050</v>
      </c>
      <c r="D268" s="56" t="s">
        <v>196</v>
      </c>
      <c r="E268" s="62">
        <v>0.79166666666666663</v>
      </c>
      <c r="F268" s="62">
        <v>0.99930555555555556</v>
      </c>
      <c r="G268" s="62">
        <v>3.4722222222222218E-4</v>
      </c>
      <c r="H268" s="56" t="s">
        <v>133</v>
      </c>
      <c r="I268" s="66">
        <v>0.94528113425925919</v>
      </c>
      <c r="J268" s="56" t="s">
        <v>41</v>
      </c>
      <c r="K268" s="56" t="s">
        <v>206</v>
      </c>
      <c r="L268" s="68">
        <v>1</v>
      </c>
      <c r="M268" s="68">
        <v>64937</v>
      </c>
      <c r="N268" s="56" t="s">
        <v>46</v>
      </c>
      <c r="O268" s="68"/>
      <c r="P268" s="70">
        <v>0</v>
      </c>
      <c r="Q268" s="68"/>
      <c r="R268" s="70">
        <v>0</v>
      </c>
      <c r="S268" s="73">
        <v>46054</v>
      </c>
      <c r="T268" s="70">
        <v>0</v>
      </c>
      <c r="U268" s="74">
        <v>4</v>
      </c>
      <c r="V268" s="70">
        <v>0</v>
      </c>
      <c r="W268" s="56" t="s">
        <v>47</v>
      </c>
      <c r="X268" s="56" t="s">
        <v>48</v>
      </c>
      <c r="Y268" s="56" t="s">
        <v>36</v>
      </c>
      <c r="Z268" s="56" t="s">
        <v>9</v>
      </c>
      <c r="AA268" s="56" t="s">
        <v>49</v>
      </c>
      <c r="AB268" s="56" t="s">
        <v>134</v>
      </c>
      <c r="AC268" s="56" t="s">
        <v>38</v>
      </c>
      <c r="AD268" s="75" t="s">
        <v>267</v>
      </c>
      <c r="AE268" s="76"/>
      <c r="AF268" s="76"/>
      <c r="AG268" s="76"/>
      <c r="AH268" s="76"/>
      <c r="AI268" s="76"/>
      <c r="AJ268" s="76"/>
      <c r="AK268" s="76"/>
      <c r="AL268" s="76"/>
      <c r="AM268" s="76"/>
      <c r="AN268" s="76"/>
      <c r="AO268" s="76"/>
      <c r="AP268" s="76"/>
      <c r="AQ268" s="76"/>
      <c r="AR268" s="76"/>
      <c r="AS268" s="76"/>
      <c r="AT268" s="76"/>
      <c r="AU268" s="76"/>
      <c r="AV268" s="76"/>
      <c r="AW268" s="76"/>
    </row>
    <row r="269" spans="1:49" ht="31.5" x14ac:dyDescent="0.25">
      <c r="A269" s="56" t="s">
        <v>78</v>
      </c>
      <c r="B269" s="59">
        <v>46050</v>
      </c>
      <c r="C269" s="59">
        <v>46050</v>
      </c>
      <c r="D269" s="56" t="s">
        <v>196</v>
      </c>
      <c r="E269" s="62">
        <v>0.79166666666666663</v>
      </c>
      <c r="F269" s="62">
        <v>0.99930555555555556</v>
      </c>
      <c r="G269" s="62">
        <v>3.4722222222222218E-4</v>
      </c>
      <c r="H269" s="56" t="s">
        <v>133</v>
      </c>
      <c r="I269" s="66">
        <v>0.98825254629629633</v>
      </c>
      <c r="J269" s="56" t="s">
        <v>132</v>
      </c>
      <c r="K269" s="56" t="s">
        <v>149</v>
      </c>
      <c r="L269" s="68">
        <v>1</v>
      </c>
      <c r="M269" s="68">
        <v>64932</v>
      </c>
      <c r="N269" s="56" t="s">
        <v>53</v>
      </c>
      <c r="O269" s="68"/>
      <c r="P269" s="70">
        <v>30</v>
      </c>
      <c r="Q269" s="68"/>
      <c r="R269" s="70">
        <v>30</v>
      </c>
      <c r="S269" s="73">
        <v>46054</v>
      </c>
      <c r="T269" s="70">
        <v>0</v>
      </c>
      <c r="U269" s="74">
        <v>4</v>
      </c>
      <c r="V269" s="70">
        <v>30</v>
      </c>
      <c r="W269" s="56" t="s">
        <v>47</v>
      </c>
      <c r="X269" s="56" t="s">
        <v>48</v>
      </c>
      <c r="Y269" s="56" t="s">
        <v>36</v>
      </c>
      <c r="Z269" s="56" t="s">
        <v>9</v>
      </c>
      <c r="AA269" s="56" t="s">
        <v>49</v>
      </c>
      <c r="AB269" s="56" t="s">
        <v>134</v>
      </c>
      <c r="AC269" s="56" t="s">
        <v>38</v>
      </c>
      <c r="AD269" s="75" t="s">
        <v>267</v>
      </c>
      <c r="AE269" s="76"/>
      <c r="AF269" s="76"/>
      <c r="AG269" s="76"/>
      <c r="AH269" s="76"/>
      <c r="AI269" s="85"/>
      <c r="AJ269" s="85"/>
      <c r="AK269" s="85"/>
      <c r="AL269" s="85"/>
      <c r="AM269" s="85"/>
      <c r="AN269" s="85"/>
      <c r="AO269" s="85"/>
      <c r="AP269" s="85"/>
      <c r="AQ269" s="85"/>
      <c r="AR269" s="85"/>
      <c r="AS269" s="85"/>
      <c r="AT269" s="85"/>
      <c r="AU269" s="85"/>
      <c r="AV269" s="85"/>
      <c r="AW269" s="85"/>
    </row>
    <row r="270" spans="1:49" ht="31.5" x14ac:dyDescent="0.25">
      <c r="A270" s="56" t="s">
        <v>78</v>
      </c>
      <c r="B270" s="59">
        <v>46051</v>
      </c>
      <c r="C270" s="59">
        <v>46051</v>
      </c>
      <c r="D270" s="56" t="s">
        <v>207</v>
      </c>
      <c r="E270" s="62">
        <v>0.79166666666666663</v>
      </c>
      <c r="F270" s="62">
        <v>0.99930555555555556</v>
      </c>
      <c r="G270" s="62">
        <v>1.7361111111111109E-4</v>
      </c>
      <c r="H270" s="56" t="s">
        <v>140</v>
      </c>
      <c r="I270" s="66">
        <v>0.80694675925925918</v>
      </c>
      <c r="J270" s="56" t="s">
        <v>132</v>
      </c>
      <c r="K270" s="56" t="s">
        <v>131</v>
      </c>
      <c r="L270" s="68">
        <v>1</v>
      </c>
      <c r="M270" s="68">
        <v>64941</v>
      </c>
      <c r="N270" s="56" t="s">
        <v>53</v>
      </c>
      <c r="O270" s="68"/>
      <c r="P270" s="70">
        <v>50</v>
      </c>
      <c r="Q270" s="68"/>
      <c r="R270" s="70">
        <v>50</v>
      </c>
      <c r="S270" s="73">
        <v>46054</v>
      </c>
      <c r="T270" s="70">
        <v>0</v>
      </c>
      <c r="U270" s="74">
        <v>4</v>
      </c>
      <c r="V270" s="70">
        <v>50</v>
      </c>
      <c r="W270" s="56" t="s">
        <v>47</v>
      </c>
      <c r="X270" s="56" t="s">
        <v>48</v>
      </c>
      <c r="Y270" s="56" t="s">
        <v>36</v>
      </c>
      <c r="Z270" s="56" t="s">
        <v>9</v>
      </c>
      <c r="AA270" s="56" t="s">
        <v>49</v>
      </c>
      <c r="AB270" s="56" t="s">
        <v>134</v>
      </c>
      <c r="AC270" s="56" t="s">
        <v>38</v>
      </c>
      <c r="AD270" s="75" t="s">
        <v>267</v>
      </c>
      <c r="AE270" s="76"/>
      <c r="AF270" s="76"/>
      <c r="AG270" s="76"/>
      <c r="AH270" s="76"/>
      <c r="AI270" s="85"/>
      <c r="AJ270" s="85"/>
      <c r="AK270" s="85"/>
      <c r="AL270" s="85"/>
      <c r="AM270" s="85"/>
      <c r="AN270" s="85"/>
      <c r="AO270" s="85"/>
      <c r="AP270" s="85"/>
      <c r="AQ270" s="85"/>
      <c r="AR270" s="85"/>
      <c r="AS270" s="85"/>
      <c r="AT270" s="85"/>
      <c r="AU270" s="85"/>
      <c r="AV270" s="85"/>
      <c r="AW270" s="85"/>
    </row>
    <row r="271" spans="1:49" ht="31.5" x14ac:dyDescent="0.25">
      <c r="A271" s="56" t="s">
        <v>78</v>
      </c>
      <c r="B271" s="59">
        <v>46051</v>
      </c>
      <c r="C271" s="59">
        <v>46051</v>
      </c>
      <c r="D271" s="56" t="s">
        <v>207</v>
      </c>
      <c r="E271" s="62">
        <v>0.79166666666666663</v>
      </c>
      <c r="F271" s="62">
        <v>0.99930555555555556</v>
      </c>
      <c r="G271" s="62">
        <v>3.4722222222222218E-4</v>
      </c>
      <c r="H271" s="56" t="s">
        <v>133</v>
      </c>
      <c r="I271" s="66">
        <v>0.83246863425925921</v>
      </c>
      <c r="J271" s="56" t="s">
        <v>132</v>
      </c>
      <c r="K271" s="56" t="s">
        <v>214</v>
      </c>
      <c r="L271" s="68">
        <v>1</v>
      </c>
      <c r="M271" s="68">
        <v>64932</v>
      </c>
      <c r="N271" s="56" t="s">
        <v>53</v>
      </c>
      <c r="O271" s="68"/>
      <c r="P271" s="70">
        <v>30</v>
      </c>
      <c r="Q271" s="68"/>
      <c r="R271" s="70">
        <v>30</v>
      </c>
      <c r="S271" s="73">
        <v>46054</v>
      </c>
      <c r="T271" s="70">
        <v>0</v>
      </c>
      <c r="U271" s="74">
        <v>4</v>
      </c>
      <c r="V271" s="70">
        <v>30</v>
      </c>
      <c r="W271" s="56" t="s">
        <v>47</v>
      </c>
      <c r="X271" s="56" t="s">
        <v>48</v>
      </c>
      <c r="Y271" s="56" t="s">
        <v>36</v>
      </c>
      <c r="Z271" s="56" t="s">
        <v>9</v>
      </c>
      <c r="AA271" s="56" t="s">
        <v>49</v>
      </c>
      <c r="AB271" s="56" t="s">
        <v>134</v>
      </c>
      <c r="AC271" s="56" t="s">
        <v>38</v>
      </c>
      <c r="AD271" s="75" t="s">
        <v>267</v>
      </c>
      <c r="AE271" s="76"/>
      <c r="AF271" s="76"/>
      <c r="AG271" s="76"/>
      <c r="AH271" s="76"/>
      <c r="AI271" s="76"/>
      <c r="AJ271" s="76"/>
      <c r="AK271" s="76"/>
      <c r="AL271" s="76"/>
      <c r="AM271" s="76"/>
      <c r="AN271" s="76"/>
      <c r="AO271" s="76"/>
      <c r="AP271" s="76"/>
      <c r="AQ271" s="76"/>
      <c r="AR271" s="76"/>
      <c r="AS271" s="76"/>
      <c r="AT271" s="76"/>
      <c r="AU271" s="76"/>
      <c r="AV271" s="76"/>
      <c r="AW271" s="76"/>
    </row>
    <row r="272" spans="1:49" ht="31.5" x14ac:dyDescent="0.2">
      <c r="A272" s="56" t="s">
        <v>78</v>
      </c>
      <c r="B272" s="59">
        <v>46051</v>
      </c>
      <c r="C272" s="59">
        <v>46051</v>
      </c>
      <c r="D272" s="56" t="s">
        <v>207</v>
      </c>
      <c r="E272" s="62">
        <v>0.79166666666666663</v>
      </c>
      <c r="F272" s="62">
        <v>0.99930555555555556</v>
      </c>
      <c r="G272" s="62">
        <v>1.7361111111111109E-4</v>
      </c>
      <c r="H272" s="56" t="s">
        <v>142</v>
      </c>
      <c r="I272" s="66">
        <v>0.99269942129629629</v>
      </c>
      <c r="J272" s="56" t="s">
        <v>132</v>
      </c>
      <c r="K272" s="56" t="s">
        <v>149</v>
      </c>
      <c r="L272" s="68">
        <v>1</v>
      </c>
      <c r="M272" s="68">
        <v>64941</v>
      </c>
      <c r="N272" s="56" t="s">
        <v>53</v>
      </c>
      <c r="O272" s="68"/>
      <c r="P272" s="70">
        <v>50</v>
      </c>
      <c r="Q272" s="68"/>
      <c r="R272" s="70">
        <v>50</v>
      </c>
      <c r="S272" s="73">
        <v>46054</v>
      </c>
      <c r="T272" s="70">
        <v>0</v>
      </c>
      <c r="U272" s="74">
        <v>4</v>
      </c>
      <c r="V272" s="70">
        <v>50</v>
      </c>
      <c r="W272" s="56" t="s">
        <v>47</v>
      </c>
      <c r="X272" s="56" t="s">
        <v>48</v>
      </c>
      <c r="Y272" s="56" t="s">
        <v>36</v>
      </c>
      <c r="Z272" s="56" t="s">
        <v>9</v>
      </c>
      <c r="AA272" s="56" t="s">
        <v>49</v>
      </c>
      <c r="AB272" s="56" t="s">
        <v>134</v>
      </c>
      <c r="AC272" s="56" t="s">
        <v>38</v>
      </c>
      <c r="AD272" s="75" t="s">
        <v>267</v>
      </c>
      <c r="AE272" s="57"/>
      <c r="AF272" s="57"/>
      <c r="AG272" s="57"/>
      <c r="AH272" s="57"/>
      <c r="AI272" s="57"/>
      <c r="AJ272" s="57"/>
      <c r="AK272" s="57"/>
      <c r="AL272" s="57"/>
      <c r="AM272" s="57"/>
      <c r="AN272" s="57"/>
      <c r="AO272" s="57"/>
      <c r="AP272" s="57"/>
      <c r="AQ272" s="57"/>
      <c r="AR272" s="57"/>
      <c r="AS272" s="57"/>
      <c r="AT272" s="57"/>
      <c r="AU272" s="57"/>
      <c r="AV272" s="57"/>
      <c r="AW272" s="57"/>
    </row>
    <row r="273" spans="1:49" ht="31.5" x14ac:dyDescent="0.25">
      <c r="A273" s="56" t="s">
        <v>78</v>
      </c>
      <c r="B273" s="59">
        <v>46052</v>
      </c>
      <c r="C273" s="59">
        <v>46052</v>
      </c>
      <c r="D273" s="56" t="s">
        <v>217</v>
      </c>
      <c r="E273" s="62">
        <v>0.45833333333333331</v>
      </c>
      <c r="F273" s="62">
        <v>0.52083333333333337</v>
      </c>
      <c r="G273" s="62">
        <v>3.4722222222222218E-4</v>
      </c>
      <c r="H273" s="56" t="s">
        <v>79</v>
      </c>
      <c r="I273" s="66">
        <v>0.46550925925925923</v>
      </c>
      <c r="J273" s="56" t="s">
        <v>80</v>
      </c>
      <c r="K273" s="56" t="s">
        <v>175</v>
      </c>
      <c r="L273" s="68">
        <v>1</v>
      </c>
      <c r="M273" s="68">
        <v>64948</v>
      </c>
      <c r="N273" s="56" t="s">
        <v>53</v>
      </c>
      <c r="O273" s="68"/>
      <c r="P273" s="70">
        <v>35</v>
      </c>
      <c r="Q273" s="68"/>
      <c r="R273" s="70">
        <v>35</v>
      </c>
      <c r="S273" s="73">
        <v>46054</v>
      </c>
      <c r="T273" s="70">
        <v>0</v>
      </c>
      <c r="U273" s="74">
        <v>4</v>
      </c>
      <c r="V273" s="70">
        <v>35</v>
      </c>
      <c r="W273" s="56" t="s">
        <v>47</v>
      </c>
      <c r="X273" s="56" t="s">
        <v>48</v>
      </c>
      <c r="Y273" s="56" t="s">
        <v>36</v>
      </c>
      <c r="Z273" s="56" t="s">
        <v>9</v>
      </c>
      <c r="AA273" s="56" t="s">
        <v>49</v>
      </c>
      <c r="AB273" s="56" t="s">
        <v>81</v>
      </c>
      <c r="AC273" s="56" t="s">
        <v>38</v>
      </c>
      <c r="AD273" s="75" t="s">
        <v>267</v>
      </c>
      <c r="AE273" s="76"/>
      <c r="AF273" s="76"/>
      <c r="AG273" s="76"/>
      <c r="AH273" s="76"/>
      <c r="AI273" s="85"/>
      <c r="AJ273" s="85"/>
      <c r="AK273" s="85"/>
      <c r="AL273" s="85"/>
      <c r="AM273" s="85"/>
      <c r="AN273" s="85"/>
      <c r="AO273" s="85"/>
      <c r="AP273" s="85"/>
      <c r="AQ273" s="85"/>
      <c r="AR273" s="85"/>
      <c r="AS273" s="85"/>
      <c r="AT273" s="85"/>
      <c r="AU273" s="85"/>
      <c r="AV273" s="85"/>
      <c r="AW273" s="85"/>
    </row>
    <row r="274" spans="1:49" ht="31.5" x14ac:dyDescent="0.2">
      <c r="A274" s="56" t="s">
        <v>78</v>
      </c>
      <c r="B274" s="59">
        <v>46052</v>
      </c>
      <c r="C274" s="59">
        <v>46052</v>
      </c>
      <c r="D274" s="56" t="s">
        <v>217</v>
      </c>
      <c r="E274" s="62">
        <v>0.45833333333333331</v>
      </c>
      <c r="F274" s="62">
        <v>0.52083333333333337</v>
      </c>
      <c r="G274" s="62">
        <v>1.7361111111111109E-4</v>
      </c>
      <c r="H274" s="56" t="s">
        <v>91</v>
      </c>
      <c r="I274" s="66">
        <v>0.46924907407407412</v>
      </c>
      <c r="J274" s="56" t="s">
        <v>80</v>
      </c>
      <c r="K274" s="56" t="s">
        <v>175</v>
      </c>
      <c r="L274" s="68">
        <v>1</v>
      </c>
      <c r="M274" s="68">
        <v>64953</v>
      </c>
      <c r="N274" s="56" t="s">
        <v>53</v>
      </c>
      <c r="O274" s="68"/>
      <c r="P274" s="70">
        <v>20</v>
      </c>
      <c r="Q274" s="68"/>
      <c r="R274" s="70">
        <v>20</v>
      </c>
      <c r="S274" s="73">
        <v>46054</v>
      </c>
      <c r="T274" s="70">
        <v>0</v>
      </c>
      <c r="U274" s="74">
        <v>4</v>
      </c>
      <c r="V274" s="70">
        <v>20</v>
      </c>
      <c r="W274" s="56" t="s">
        <v>47</v>
      </c>
      <c r="X274" s="56" t="s">
        <v>48</v>
      </c>
      <c r="Y274" s="56" t="s">
        <v>36</v>
      </c>
      <c r="Z274" s="56" t="s">
        <v>9</v>
      </c>
      <c r="AA274" s="56" t="s">
        <v>49</v>
      </c>
      <c r="AB274" s="56" t="s">
        <v>81</v>
      </c>
      <c r="AC274" s="56" t="s">
        <v>38</v>
      </c>
      <c r="AD274" s="75" t="s">
        <v>267</v>
      </c>
      <c r="AE274" s="57"/>
      <c r="AF274" s="57"/>
      <c r="AG274" s="57"/>
      <c r="AH274" s="57"/>
      <c r="AI274" s="57"/>
      <c r="AJ274" s="57"/>
      <c r="AK274" s="57"/>
      <c r="AL274" s="57"/>
      <c r="AM274" s="57"/>
      <c r="AN274" s="57"/>
      <c r="AO274" s="57"/>
      <c r="AP274" s="57"/>
      <c r="AQ274" s="57"/>
      <c r="AR274" s="57"/>
      <c r="AS274" s="57"/>
      <c r="AT274" s="57"/>
      <c r="AU274" s="57"/>
      <c r="AV274" s="57"/>
      <c r="AW274" s="57"/>
    </row>
    <row r="275" spans="1:49" ht="31.5" x14ac:dyDescent="0.25">
      <c r="A275" s="56" t="s">
        <v>78</v>
      </c>
      <c r="B275" s="59">
        <v>46052</v>
      </c>
      <c r="C275" s="59">
        <v>46052</v>
      </c>
      <c r="D275" s="56" t="s">
        <v>217</v>
      </c>
      <c r="E275" s="62">
        <v>0.45833333333333331</v>
      </c>
      <c r="F275" s="62">
        <v>0.54166666666666663</v>
      </c>
      <c r="G275" s="62">
        <v>1.7361111111111109E-4</v>
      </c>
      <c r="H275" s="56" t="s">
        <v>86</v>
      </c>
      <c r="I275" s="66">
        <v>0.47885671296296295</v>
      </c>
      <c r="J275" s="56" t="s">
        <v>80</v>
      </c>
      <c r="K275" s="56" t="s">
        <v>175</v>
      </c>
      <c r="L275" s="68">
        <v>1</v>
      </c>
      <c r="M275" s="68">
        <v>64954</v>
      </c>
      <c r="N275" s="56" t="s">
        <v>46</v>
      </c>
      <c r="O275" s="68"/>
      <c r="P275" s="70">
        <v>0</v>
      </c>
      <c r="Q275" s="68"/>
      <c r="R275" s="70">
        <v>0</v>
      </c>
      <c r="S275" s="73">
        <v>46054</v>
      </c>
      <c r="T275" s="70">
        <v>0</v>
      </c>
      <c r="U275" s="74">
        <v>4</v>
      </c>
      <c r="V275" s="70">
        <v>0</v>
      </c>
      <c r="W275" s="56" t="s">
        <v>47</v>
      </c>
      <c r="X275" s="56" t="s">
        <v>48</v>
      </c>
      <c r="Y275" s="56" t="s">
        <v>36</v>
      </c>
      <c r="Z275" s="56" t="s">
        <v>9</v>
      </c>
      <c r="AA275" s="56" t="s">
        <v>49</v>
      </c>
      <c r="AB275" s="56" t="s">
        <v>81</v>
      </c>
      <c r="AC275" s="56" t="s">
        <v>38</v>
      </c>
      <c r="AD275" s="75" t="s">
        <v>267</v>
      </c>
      <c r="AE275" s="76"/>
      <c r="AF275" s="76"/>
      <c r="AG275" s="76"/>
      <c r="AH275" s="76"/>
      <c r="AI275" s="85"/>
      <c r="AJ275" s="85"/>
      <c r="AK275" s="85"/>
      <c r="AL275" s="85"/>
      <c r="AM275" s="85"/>
      <c r="AN275" s="85"/>
      <c r="AO275" s="85"/>
      <c r="AP275" s="85"/>
      <c r="AQ275" s="85"/>
      <c r="AR275" s="85"/>
      <c r="AS275" s="85"/>
      <c r="AT275" s="85"/>
      <c r="AU275" s="85"/>
      <c r="AV275" s="85"/>
      <c r="AW275" s="85"/>
    </row>
    <row r="276" spans="1:49" ht="31.5" x14ac:dyDescent="0.2">
      <c r="A276" s="56" t="s">
        <v>78</v>
      </c>
      <c r="B276" s="59">
        <v>46052</v>
      </c>
      <c r="C276" s="59">
        <v>46052</v>
      </c>
      <c r="D276" s="56" t="s">
        <v>217</v>
      </c>
      <c r="E276" s="62">
        <v>0.45833333333333331</v>
      </c>
      <c r="F276" s="62">
        <v>0.52083333333333337</v>
      </c>
      <c r="G276" s="62">
        <v>3.4722222222222218E-4</v>
      </c>
      <c r="H276" s="56" t="s">
        <v>79</v>
      </c>
      <c r="I276" s="66">
        <v>0.49007141203703702</v>
      </c>
      <c r="J276" s="56" t="s">
        <v>80</v>
      </c>
      <c r="K276" s="56" t="s">
        <v>150</v>
      </c>
      <c r="L276" s="68">
        <v>1</v>
      </c>
      <c r="M276" s="68">
        <v>64948</v>
      </c>
      <c r="N276" s="56" t="s">
        <v>53</v>
      </c>
      <c r="O276" s="68"/>
      <c r="P276" s="70">
        <v>35</v>
      </c>
      <c r="Q276" s="68"/>
      <c r="R276" s="70">
        <v>35</v>
      </c>
      <c r="S276" s="73">
        <v>46054</v>
      </c>
      <c r="T276" s="70">
        <v>0</v>
      </c>
      <c r="U276" s="74">
        <v>4</v>
      </c>
      <c r="V276" s="70">
        <v>35</v>
      </c>
      <c r="W276" s="56" t="s">
        <v>47</v>
      </c>
      <c r="X276" s="56" t="s">
        <v>48</v>
      </c>
      <c r="Y276" s="56" t="s">
        <v>36</v>
      </c>
      <c r="Z276" s="56" t="s">
        <v>9</v>
      </c>
      <c r="AA276" s="56" t="s">
        <v>49</v>
      </c>
      <c r="AB276" s="56" t="s">
        <v>81</v>
      </c>
      <c r="AC276" s="56" t="s">
        <v>38</v>
      </c>
      <c r="AD276" s="75" t="s">
        <v>267</v>
      </c>
      <c r="AE276" s="57"/>
      <c r="AF276" s="57"/>
      <c r="AG276" s="57"/>
      <c r="AH276" s="57"/>
      <c r="AI276" s="57"/>
      <c r="AJ276" s="57"/>
      <c r="AK276" s="57"/>
      <c r="AL276" s="57"/>
      <c r="AM276" s="57"/>
      <c r="AN276" s="57"/>
      <c r="AO276" s="57"/>
      <c r="AP276" s="57"/>
      <c r="AQ276" s="57"/>
      <c r="AR276" s="57"/>
      <c r="AS276" s="57"/>
      <c r="AT276" s="57"/>
      <c r="AU276" s="57"/>
      <c r="AV276" s="57"/>
      <c r="AW276" s="57"/>
    </row>
    <row r="277" spans="1:49" ht="31.5" x14ac:dyDescent="0.25">
      <c r="A277" s="56" t="s">
        <v>78</v>
      </c>
      <c r="B277" s="59">
        <v>46052</v>
      </c>
      <c r="C277" s="59">
        <v>46052</v>
      </c>
      <c r="D277" s="56" t="s">
        <v>217</v>
      </c>
      <c r="E277" s="62">
        <v>0.45833333333333331</v>
      </c>
      <c r="F277" s="62">
        <v>0.54166666666666663</v>
      </c>
      <c r="G277" s="62">
        <v>1.7361111111111109E-4</v>
      </c>
      <c r="H277" s="56" t="s">
        <v>91</v>
      </c>
      <c r="I277" s="66">
        <v>0.49814849537037037</v>
      </c>
      <c r="J277" s="56" t="s">
        <v>80</v>
      </c>
      <c r="K277" s="56" t="s">
        <v>150</v>
      </c>
      <c r="L277" s="68">
        <v>1</v>
      </c>
      <c r="M277" s="68">
        <v>64954</v>
      </c>
      <c r="N277" s="56" t="s">
        <v>46</v>
      </c>
      <c r="O277" s="68"/>
      <c r="P277" s="70">
        <v>0</v>
      </c>
      <c r="Q277" s="68"/>
      <c r="R277" s="70">
        <v>0</v>
      </c>
      <c r="S277" s="73">
        <v>46054</v>
      </c>
      <c r="T277" s="70">
        <v>0</v>
      </c>
      <c r="U277" s="74">
        <v>4</v>
      </c>
      <c r="V277" s="70">
        <v>0</v>
      </c>
      <c r="W277" s="56" t="s">
        <v>47</v>
      </c>
      <c r="X277" s="56" t="s">
        <v>48</v>
      </c>
      <c r="Y277" s="56" t="s">
        <v>36</v>
      </c>
      <c r="Z277" s="56" t="s">
        <v>9</v>
      </c>
      <c r="AA277" s="56" t="s">
        <v>49</v>
      </c>
      <c r="AB277" s="56" t="s">
        <v>81</v>
      </c>
      <c r="AC277" s="56" t="s">
        <v>38</v>
      </c>
      <c r="AD277" s="75" t="s">
        <v>267</v>
      </c>
      <c r="AE277" s="76"/>
      <c r="AF277" s="76"/>
      <c r="AG277" s="76"/>
      <c r="AH277" s="76"/>
      <c r="AI277" s="85"/>
      <c r="AJ277" s="85"/>
      <c r="AK277" s="85"/>
      <c r="AL277" s="85"/>
      <c r="AM277" s="85"/>
      <c r="AN277" s="85"/>
      <c r="AO277" s="85"/>
      <c r="AP277" s="85"/>
      <c r="AQ277" s="85"/>
      <c r="AR277" s="85"/>
      <c r="AS277" s="85"/>
      <c r="AT277" s="85"/>
      <c r="AU277" s="85"/>
      <c r="AV277" s="85"/>
      <c r="AW277" s="85"/>
    </row>
    <row r="278" spans="1:49" ht="31.5" x14ac:dyDescent="0.25">
      <c r="A278" s="56" t="s">
        <v>78</v>
      </c>
      <c r="B278" s="59">
        <v>46052</v>
      </c>
      <c r="C278" s="59">
        <v>46052</v>
      </c>
      <c r="D278" s="56" t="s">
        <v>217</v>
      </c>
      <c r="E278" s="62">
        <v>0.45833333333333331</v>
      </c>
      <c r="F278" s="62">
        <v>0.52083333333333337</v>
      </c>
      <c r="G278" s="62">
        <v>1.7361111111111109E-4</v>
      </c>
      <c r="H278" s="56" t="s">
        <v>86</v>
      </c>
      <c r="I278" s="66">
        <v>0.50572951388888887</v>
      </c>
      <c r="J278" s="56" t="s">
        <v>80</v>
      </c>
      <c r="K278" s="56" t="s">
        <v>151</v>
      </c>
      <c r="L278" s="68">
        <v>1</v>
      </c>
      <c r="M278" s="68">
        <v>64953</v>
      </c>
      <c r="N278" s="56" t="s">
        <v>53</v>
      </c>
      <c r="O278" s="68"/>
      <c r="P278" s="70">
        <v>20</v>
      </c>
      <c r="Q278" s="68"/>
      <c r="R278" s="70">
        <v>20</v>
      </c>
      <c r="S278" s="73">
        <v>46054</v>
      </c>
      <c r="T278" s="70">
        <v>0</v>
      </c>
      <c r="U278" s="74">
        <v>4</v>
      </c>
      <c r="V278" s="70">
        <v>20</v>
      </c>
      <c r="W278" s="56" t="s">
        <v>47</v>
      </c>
      <c r="X278" s="56" t="s">
        <v>48</v>
      </c>
      <c r="Y278" s="56" t="s">
        <v>36</v>
      </c>
      <c r="Z278" s="56" t="s">
        <v>9</v>
      </c>
      <c r="AA278" s="56" t="s">
        <v>49</v>
      </c>
      <c r="AB278" s="56" t="s">
        <v>81</v>
      </c>
      <c r="AC278" s="56" t="s">
        <v>38</v>
      </c>
      <c r="AD278" s="75" t="s">
        <v>267</v>
      </c>
      <c r="AE278" s="76"/>
      <c r="AF278" s="76"/>
      <c r="AG278" s="76"/>
      <c r="AH278" s="76"/>
      <c r="AI278" s="85"/>
      <c r="AJ278" s="85"/>
      <c r="AK278" s="85"/>
      <c r="AL278" s="85"/>
      <c r="AM278" s="85"/>
      <c r="AN278" s="85"/>
      <c r="AO278" s="85"/>
      <c r="AP278" s="85"/>
      <c r="AQ278" s="85"/>
      <c r="AR278" s="85"/>
      <c r="AS278" s="85"/>
      <c r="AT278" s="85"/>
      <c r="AU278" s="85"/>
      <c r="AV278" s="85"/>
      <c r="AW278" s="85"/>
    </row>
    <row r="279" spans="1:49" ht="31.5" x14ac:dyDescent="0.25">
      <c r="A279" s="56" t="s">
        <v>78</v>
      </c>
      <c r="B279" s="59">
        <v>46052</v>
      </c>
      <c r="C279" s="59">
        <v>46052</v>
      </c>
      <c r="D279" s="56" t="s">
        <v>217</v>
      </c>
      <c r="E279" s="62">
        <v>0.45833333333333331</v>
      </c>
      <c r="F279" s="62">
        <v>0.52083333333333337</v>
      </c>
      <c r="G279" s="62">
        <v>3.4722222222222218E-4</v>
      </c>
      <c r="H279" s="56" t="s">
        <v>79</v>
      </c>
      <c r="I279" s="66">
        <v>0.51246585648148146</v>
      </c>
      <c r="J279" s="56" t="s">
        <v>80</v>
      </c>
      <c r="K279" s="56" t="s">
        <v>151</v>
      </c>
      <c r="L279" s="68">
        <v>1</v>
      </c>
      <c r="M279" s="68">
        <v>64948</v>
      </c>
      <c r="N279" s="56" t="s">
        <v>53</v>
      </c>
      <c r="O279" s="68"/>
      <c r="P279" s="70">
        <v>35</v>
      </c>
      <c r="Q279" s="68"/>
      <c r="R279" s="70">
        <v>35</v>
      </c>
      <c r="S279" s="73">
        <v>46054</v>
      </c>
      <c r="T279" s="70">
        <v>0</v>
      </c>
      <c r="U279" s="74">
        <v>4</v>
      </c>
      <c r="V279" s="70">
        <v>35</v>
      </c>
      <c r="W279" s="56" t="s">
        <v>47</v>
      </c>
      <c r="X279" s="56" t="s">
        <v>48</v>
      </c>
      <c r="Y279" s="56" t="s">
        <v>36</v>
      </c>
      <c r="Z279" s="56" t="s">
        <v>9</v>
      </c>
      <c r="AA279" s="56" t="s">
        <v>49</v>
      </c>
      <c r="AB279" s="56" t="s">
        <v>81</v>
      </c>
      <c r="AC279" s="56" t="s">
        <v>38</v>
      </c>
      <c r="AD279" s="75" t="s">
        <v>267</v>
      </c>
      <c r="AE279" s="77"/>
      <c r="AF279" s="77"/>
      <c r="AG279" s="77"/>
      <c r="AH279" s="77"/>
      <c r="AI279" s="86"/>
      <c r="AJ279" s="86"/>
      <c r="AK279" s="86"/>
      <c r="AL279" s="86"/>
      <c r="AM279" s="86"/>
      <c r="AN279" s="86"/>
      <c r="AO279" s="86"/>
      <c r="AP279" s="86"/>
      <c r="AQ279" s="86"/>
      <c r="AR279" s="86"/>
      <c r="AS279" s="86"/>
      <c r="AT279" s="86"/>
      <c r="AU279" s="86"/>
      <c r="AV279" s="86"/>
      <c r="AW279" s="86"/>
    </row>
    <row r="280" spans="1:49" ht="31.5" x14ac:dyDescent="0.25">
      <c r="A280" s="56" t="s">
        <v>78</v>
      </c>
      <c r="B280" s="59">
        <v>46052</v>
      </c>
      <c r="C280" s="59">
        <v>46052</v>
      </c>
      <c r="D280" s="56" t="s">
        <v>217</v>
      </c>
      <c r="E280" s="62">
        <v>0.45833333333333331</v>
      </c>
      <c r="F280" s="62">
        <v>0.54166666666666663</v>
      </c>
      <c r="G280" s="62">
        <v>1.7361111111111109E-4</v>
      </c>
      <c r="H280" s="56" t="s">
        <v>91</v>
      </c>
      <c r="I280" s="66">
        <v>0.52534768518518515</v>
      </c>
      <c r="J280" s="56" t="s">
        <v>80</v>
      </c>
      <c r="K280" s="56" t="s">
        <v>151</v>
      </c>
      <c r="L280" s="68">
        <v>1</v>
      </c>
      <c r="M280" s="68">
        <v>64954</v>
      </c>
      <c r="N280" s="56" t="s">
        <v>46</v>
      </c>
      <c r="O280" s="68"/>
      <c r="P280" s="70">
        <v>0</v>
      </c>
      <c r="Q280" s="68"/>
      <c r="R280" s="70">
        <v>0</v>
      </c>
      <c r="S280" s="73">
        <v>46054</v>
      </c>
      <c r="T280" s="70">
        <v>0</v>
      </c>
      <c r="U280" s="74">
        <v>4</v>
      </c>
      <c r="V280" s="70">
        <v>0</v>
      </c>
      <c r="W280" s="56" t="s">
        <v>47</v>
      </c>
      <c r="X280" s="56" t="s">
        <v>48</v>
      </c>
      <c r="Y280" s="56" t="s">
        <v>36</v>
      </c>
      <c r="Z280" s="56" t="s">
        <v>9</v>
      </c>
      <c r="AA280" s="56" t="s">
        <v>49</v>
      </c>
      <c r="AB280" s="56" t="s">
        <v>81</v>
      </c>
      <c r="AC280" s="56" t="s">
        <v>38</v>
      </c>
      <c r="AD280" s="75" t="s">
        <v>267</v>
      </c>
      <c r="AE280" s="76"/>
      <c r="AF280" s="76"/>
      <c r="AG280" s="76"/>
      <c r="AH280" s="76"/>
      <c r="AI280" s="85"/>
      <c r="AJ280" s="85"/>
      <c r="AK280" s="85"/>
      <c r="AL280" s="85"/>
      <c r="AM280" s="85"/>
      <c r="AN280" s="85"/>
      <c r="AO280" s="85"/>
      <c r="AP280" s="85"/>
      <c r="AQ280" s="85"/>
      <c r="AR280" s="85"/>
      <c r="AS280" s="85"/>
      <c r="AT280" s="85"/>
      <c r="AU280" s="85"/>
      <c r="AV280" s="85"/>
      <c r="AW280" s="85"/>
    </row>
    <row r="281" spans="1:49" ht="31.5" x14ac:dyDescent="0.25">
      <c r="A281" s="56" t="s">
        <v>78</v>
      </c>
      <c r="B281" s="59">
        <v>46052</v>
      </c>
      <c r="C281" s="59">
        <v>46052</v>
      </c>
      <c r="D281" s="56" t="s">
        <v>217</v>
      </c>
      <c r="E281" s="62">
        <v>0.45833333333333331</v>
      </c>
      <c r="F281" s="62">
        <v>0.54166666666666663</v>
      </c>
      <c r="G281" s="62">
        <v>1.7361111111111109E-4</v>
      </c>
      <c r="H281" s="56" t="s">
        <v>86</v>
      </c>
      <c r="I281" s="66">
        <v>0.54105601851851848</v>
      </c>
      <c r="J281" s="56" t="s">
        <v>80</v>
      </c>
      <c r="K281" s="56" t="s">
        <v>151</v>
      </c>
      <c r="L281" s="68">
        <v>1</v>
      </c>
      <c r="M281" s="68">
        <v>64954</v>
      </c>
      <c r="N281" s="56" t="s">
        <v>46</v>
      </c>
      <c r="O281" s="68"/>
      <c r="P281" s="70">
        <v>0</v>
      </c>
      <c r="Q281" s="68"/>
      <c r="R281" s="70">
        <v>0</v>
      </c>
      <c r="S281" s="73">
        <v>46054</v>
      </c>
      <c r="T281" s="70">
        <v>0</v>
      </c>
      <c r="U281" s="74">
        <v>4</v>
      </c>
      <c r="V281" s="70">
        <v>0</v>
      </c>
      <c r="W281" s="56" t="s">
        <v>47</v>
      </c>
      <c r="X281" s="56" t="s">
        <v>48</v>
      </c>
      <c r="Y281" s="56" t="s">
        <v>36</v>
      </c>
      <c r="Z281" s="56" t="s">
        <v>9</v>
      </c>
      <c r="AA281" s="56" t="s">
        <v>49</v>
      </c>
      <c r="AB281" s="56" t="s">
        <v>81</v>
      </c>
      <c r="AC281" s="56" t="s">
        <v>38</v>
      </c>
      <c r="AD281" s="75" t="s">
        <v>267</v>
      </c>
      <c r="AE281" s="76"/>
      <c r="AF281" s="76"/>
      <c r="AG281" s="76"/>
      <c r="AH281" s="76"/>
      <c r="AI281" s="76"/>
      <c r="AJ281" s="76"/>
      <c r="AK281" s="76"/>
      <c r="AL281" s="76"/>
      <c r="AM281" s="76"/>
      <c r="AN281" s="76"/>
      <c r="AO281" s="76"/>
      <c r="AP281" s="76"/>
      <c r="AQ281" s="76"/>
      <c r="AR281" s="76"/>
      <c r="AS281" s="76"/>
      <c r="AT281" s="76"/>
      <c r="AU281" s="76"/>
      <c r="AV281" s="76"/>
      <c r="AW281" s="76"/>
    </row>
    <row r="282" spans="1:49" ht="31.5" x14ac:dyDescent="0.25">
      <c r="A282" s="56" t="s">
        <v>78</v>
      </c>
      <c r="B282" s="59">
        <v>46052</v>
      </c>
      <c r="C282" s="59">
        <v>46052</v>
      </c>
      <c r="D282" s="56" t="s">
        <v>217</v>
      </c>
      <c r="E282" s="62">
        <v>0.79166666666666663</v>
      </c>
      <c r="F282" s="62">
        <v>0.99930555555555556</v>
      </c>
      <c r="G282" s="62">
        <v>1.7361111111111109E-4</v>
      </c>
      <c r="H282" s="56" t="s">
        <v>140</v>
      </c>
      <c r="I282" s="66">
        <v>0.79843750000000002</v>
      </c>
      <c r="J282" s="56" t="s">
        <v>132</v>
      </c>
      <c r="K282" s="56" t="s">
        <v>131</v>
      </c>
      <c r="L282" s="68">
        <v>1</v>
      </c>
      <c r="M282" s="68">
        <v>64941</v>
      </c>
      <c r="N282" s="56" t="s">
        <v>53</v>
      </c>
      <c r="O282" s="68"/>
      <c r="P282" s="70">
        <v>50</v>
      </c>
      <c r="Q282" s="68"/>
      <c r="R282" s="70">
        <v>50</v>
      </c>
      <c r="S282" s="73">
        <v>46054</v>
      </c>
      <c r="T282" s="70">
        <v>0</v>
      </c>
      <c r="U282" s="74">
        <v>4</v>
      </c>
      <c r="V282" s="70">
        <v>50</v>
      </c>
      <c r="W282" s="56" t="s">
        <v>47</v>
      </c>
      <c r="X282" s="56" t="s">
        <v>48</v>
      </c>
      <c r="Y282" s="56" t="s">
        <v>36</v>
      </c>
      <c r="Z282" s="56" t="s">
        <v>9</v>
      </c>
      <c r="AA282" s="56" t="s">
        <v>49</v>
      </c>
      <c r="AB282" s="56" t="s">
        <v>134</v>
      </c>
      <c r="AC282" s="56" t="s">
        <v>38</v>
      </c>
      <c r="AD282" s="75" t="s">
        <v>267</v>
      </c>
      <c r="AE282" s="77"/>
      <c r="AF282" s="77"/>
      <c r="AG282" s="77"/>
      <c r="AH282" s="77"/>
      <c r="AI282" s="86"/>
      <c r="AJ282" s="86"/>
      <c r="AK282" s="86"/>
      <c r="AL282" s="86"/>
      <c r="AM282" s="86"/>
      <c r="AN282" s="86"/>
      <c r="AO282" s="86"/>
      <c r="AP282" s="86"/>
      <c r="AQ282" s="86"/>
      <c r="AR282" s="86"/>
      <c r="AS282" s="86"/>
      <c r="AT282" s="86"/>
      <c r="AU282" s="86"/>
      <c r="AV282" s="86"/>
      <c r="AW282" s="86"/>
    </row>
    <row r="283" spans="1:49" ht="31.5" x14ac:dyDescent="0.25">
      <c r="A283" s="56" t="s">
        <v>78</v>
      </c>
      <c r="B283" s="59">
        <v>46052</v>
      </c>
      <c r="C283" s="59">
        <v>46052</v>
      </c>
      <c r="D283" s="56" t="s">
        <v>217</v>
      </c>
      <c r="E283" s="62">
        <v>0.79166666666666663</v>
      </c>
      <c r="F283" s="62">
        <v>0.99930555555555556</v>
      </c>
      <c r="G283" s="62">
        <v>1.7361111111111109E-4</v>
      </c>
      <c r="H283" s="56" t="s">
        <v>142</v>
      </c>
      <c r="I283" s="66">
        <v>0.81664641203703703</v>
      </c>
      <c r="J283" s="56" t="s">
        <v>132</v>
      </c>
      <c r="K283" s="56" t="s">
        <v>222</v>
      </c>
      <c r="L283" s="68">
        <v>1</v>
      </c>
      <c r="M283" s="68">
        <v>64941</v>
      </c>
      <c r="N283" s="56" t="s">
        <v>53</v>
      </c>
      <c r="O283" s="68"/>
      <c r="P283" s="70">
        <v>50</v>
      </c>
      <c r="Q283" s="68"/>
      <c r="R283" s="70">
        <v>50</v>
      </c>
      <c r="S283" s="73">
        <v>46054</v>
      </c>
      <c r="T283" s="70">
        <v>0</v>
      </c>
      <c r="U283" s="74">
        <v>4</v>
      </c>
      <c r="V283" s="70">
        <v>50</v>
      </c>
      <c r="W283" s="56" t="s">
        <v>47</v>
      </c>
      <c r="X283" s="56" t="s">
        <v>48</v>
      </c>
      <c r="Y283" s="56" t="s">
        <v>36</v>
      </c>
      <c r="Z283" s="56" t="s">
        <v>9</v>
      </c>
      <c r="AA283" s="56" t="s">
        <v>49</v>
      </c>
      <c r="AB283" s="56" t="s">
        <v>134</v>
      </c>
      <c r="AC283" s="56" t="s">
        <v>38</v>
      </c>
      <c r="AD283" s="75" t="s">
        <v>267</v>
      </c>
      <c r="AE283" s="76"/>
      <c r="AF283" s="76"/>
      <c r="AG283" s="76"/>
      <c r="AH283" s="76"/>
      <c r="AI283" s="86"/>
      <c r="AJ283" s="86"/>
      <c r="AK283" s="86"/>
      <c r="AL283" s="86"/>
      <c r="AM283" s="86"/>
      <c r="AN283" s="86"/>
      <c r="AO283" s="86"/>
      <c r="AP283" s="86"/>
      <c r="AQ283" s="86"/>
      <c r="AR283" s="86"/>
      <c r="AS283" s="86"/>
      <c r="AT283" s="86"/>
      <c r="AU283" s="86"/>
      <c r="AV283" s="86"/>
      <c r="AW283" s="86"/>
    </row>
    <row r="284" spans="1:49" ht="31.5" x14ac:dyDescent="0.2">
      <c r="A284" s="56" t="s">
        <v>78</v>
      </c>
      <c r="B284" s="59">
        <v>46052</v>
      </c>
      <c r="C284" s="59">
        <v>46052</v>
      </c>
      <c r="D284" s="56" t="s">
        <v>217</v>
      </c>
      <c r="E284" s="62">
        <v>0.79166666666666663</v>
      </c>
      <c r="F284" s="62">
        <v>0.99930555555555556</v>
      </c>
      <c r="G284" s="62">
        <v>3.4722222222222218E-4</v>
      </c>
      <c r="H284" s="56" t="s">
        <v>133</v>
      </c>
      <c r="I284" s="66">
        <v>0.90032592592592597</v>
      </c>
      <c r="J284" s="56" t="s">
        <v>41</v>
      </c>
      <c r="K284" s="56" t="s">
        <v>147</v>
      </c>
      <c r="L284" s="68">
        <v>1</v>
      </c>
      <c r="M284" s="68">
        <v>64937</v>
      </c>
      <c r="N284" s="56" t="s">
        <v>46</v>
      </c>
      <c r="O284" s="68"/>
      <c r="P284" s="70">
        <v>0</v>
      </c>
      <c r="Q284" s="68"/>
      <c r="R284" s="70">
        <v>0</v>
      </c>
      <c r="S284" s="73">
        <v>46054</v>
      </c>
      <c r="T284" s="70">
        <v>0</v>
      </c>
      <c r="U284" s="74">
        <v>4</v>
      </c>
      <c r="V284" s="70">
        <v>0</v>
      </c>
      <c r="W284" s="56" t="s">
        <v>47</v>
      </c>
      <c r="X284" s="56" t="s">
        <v>48</v>
      </c>
      <c r="Y284" s="56" t="s">
        <v>36</v>
      </c>
      <c r="Z284" s="56" t="s">
        <v>9</v>
      </c>
      <c r="AA284" s="56" t="s">
        <v>49</v>
      </c>
      <c r="AB284" s="56" t="s">
        <v>134</v>
      </c>
      <c r="AC284" s="56" t="s">
        <v>38</v>
      </c>
      <c r="AD284" s="75" t="s">
        <v>267</v>
      </c>
      <c r="AE284" s="57"/>
      <c r="AF284" s="57"/>
      <c r="AG284" s="57"/>
      <c r="AH284" s="57"/>
      <c r="AI284" s="57"/>
      <c r="AJ284" s="57"/>
      <c r="AK284" s="57"/>
      <c r="AL284" s="57"/>
      <c r="AM284" s="57"/>
      <c r="AN284" s="57"/>
      <c r="AO284" s="57"/>
      <c r="AP284" s="57"/>
      <c r="AQ284" s="57"/>
      <c r="AR284" s="57"/>
      <c r="AS284" s="57"/>
      <c r="AT284" s="57"/>
      <c r="AU284" s="57"/>
      <c r="AV284" s="57"/>
      <c r="AW284" s="57"/>
    </row>
    <row r="285" spans="1:49" ht="31.5" x14ac:dyDescent="0.25">
      <c r="A285" s="57" t="s">
        <v>146</v>
      </c>
      <c r="B285" s="60">
        <v>46048</v>
      </c>
      <c r="C285" s="60">
        <v>46048</v>
      </c>
      <c r="D285" s="61" t="s">
        <v>30</v>
      </c>
      <c r="E285" s="63">
        <v>0.875</v>
      </c>
      <c r="F285" s="63">
        <v>0.91666666666666663</v>
      </c>
      <c r="G285" s="63">
        <v>4.1666666666666664E-2</v>
      </c>
      <c r="H285" s="57" t="s">
        <v>147</v>
      </c>
      <c r="I285" s="67"/>
      <c r="J285" s="57" t="s">
        <v>41</v>
      </c>
      <c r="K285" s="57"/>
      <c r="L285" s="69">
        <v>1</v>
      </c>
      <c r="M285" s="69">
        <v>1</v>
      </c>
      <c r="N285" s="57" t="s">
        <v>33</v>
      </c>
      <c r="O285" s="57"/>
      <c r="P285" s="42">
        <v>0</v>
      </c>
      <c r="Q285" s="69"/>
      <c r="R285" s="42">
        <v>0</v>
      </c>
      <c r="S285" s="57">
        <v>46054</v>
      </c>
      <c r="T285" s="42">
        <v>0</v>
      </c>
      <c r="U285" s="69">
        <v>2</v>
      </c>
      <c r="V285" s="42">
        <v>0</v>
      </c>
      <c r="W285" s="57" t="s">
        <v>34</v>
      </c>
      <c r="X285" s="57" t="s">
        <v>42</v>
      </c>
      <c r="Y285" s="57" t="s">
        <v>36</v>
      </c>
      <c r="Z285" s="57" t="s">
        <v>43</v>
      </c>
      <c r="AA285" s="57" t="s">
        <v>37</v>
      </c>
      <c r="AB285" s="57" t="s">
        <v>37</v>
      </c>
      <c r="AC285" s="57" t="s">
        <v>38</v>
      </c>
      <c r="AD285" s="75" t="s">
        <v>267</v>
      </c>
      <c r="AE285" s="76"/>
      <c r="AF285" s="76"/>
      <c r="AG285" s="76"/>
      <c r="AH285" s="76"/>
      <c r="AI285" s="76"/>
      <c r="AJ285" s="76"/>
      <c r="AK285" s="76"/>
      <c r="AL285" s="76"/>
      <c r="AM285" s="76"/>
      <c r="AN285" s="76"/>
      <c r="AO285" s="76"/>
      <c r="AP285" s="76"/>
      <c r="AQ285" s="76"/>
      <c r="AR285" s="76"/>
      <c r="AS285" s="76"/>
      <c r="AT285" s="76"/>
      <c r="AU285" s="76"/>
      <c r="AV285" s="76"/>
      <c r="AW285" s="76"/>
    </row>
    <row r="286" spans="1:49" ht="31.5" x14ac:dyDescent="0.25">
      <c r="A286" s="57" t="s">
        <v>146</v>
      </c>
      <c r="B286" s="60">
        <v>46048</v>
      </c>
      <c r="C286" s="60">
        <v>46048</v>
      </c>
      <c r="D286" s="61" t="s">
        <v>30</v>
      </c>
      <c r="E286" s="63">
        <v>0.91666666666666663</v>
      </c>
      <c r="F286" s="63">
        <v>0.97916666666666663</v>
      </c>
      <c r="G286" s="63">
        <v>6.25E-2</v>
      </c>
      <c r="H286" s="57" t="s">
        <v>148</v>
      </c>
      <c r="I286" s="67"/>
      <c r="J286" s="57" t="s">
        <v>41</v>
      </c>
      <c r="K286" s="57"/>
      <c r="L286" s="69">
        <v>1</v>
      </c>
      <c r="M286" s="69">
        <v>1</v>
      </c>
      <c r="N286" s="57" t="s">
        <v>33</v>
      </c>
      <c r="O286" s="57"/>
      <c r="P286" s="42">
        <v>0</v>
      </c>
      <c r="Q286" s="69"/>
      <c r="R286" s="42">
        <v>0</v>
      </c>
      <c r="S286" s="57">
        <v>46054</v>
      </c>
      <c r="T286" s="42">
        <v>0</v>
      </c>
      <c r="U286" s="69">
        <v>2</v>
      </c>
      <c r="V286" s="42">
        <v>0</v>
      </c>
      <c r="W286" s="57" t="s">
        <v>34</v>
      </c>
      <c r="X286" s="57" t="s">
        <v>42</v>
      </c>
      <c r="Y286" s="57" t="s">
        <v>36</v>
      </c>
      <c r="Z286" s="57" t="s">
        <v>43</v>
      </c>
      <c r="AA286" s="57" t="s">
        <v>37</v>
      </c>
      <c r="AB286" s="57" t="s">
        <v>37</v>
      </c>
      <c r="AC286" s="57" t="s">
        <v>38</v>
      </c>
      <c r="AD286" s="75" t="s">
        <v>267</v>
      </c>
      <c r="AE286" s="76"/>
      <c r="AF286" s="76"/>
      <c r="AG286" s="76"/>
      <c r="AH286" s="76"/>
      <c r="AI286" s="76"/>
      <c r="AJ286" s="76"/>
      <c r="AK286" s="76"/>
      <c r="AL286" s="76"/>
      <c r="AM286" s="76"/>
      <c r="AN286" s="76"/>
      <c r="AO286" s="76"/>
      <c r="AP286" s="76"/>
      <c r="AQ286" s="76"/>
      <c r="AR286" s="76"/>
      <c r="AS286" s="76"/>
      <c r="AT286" s="76"/>
      <c r="AU286" s="76"/>
      <c r="AV286" s="76"/>
      <c r="AW286" s="76"/>
    </row>
    <row r="287" spans="1:49" ht="31.5" x14ac:dyDescent="0.25">
      <c r="A287" s="57" t="s">
        <v>146</v>
      </c>
      <c r="B287" s="60">
        <v>46049</v>
      </c>
      <c r="C287" s="60">
        <v>46049</v>
      </c>
      <c r="D287" s="61" t="s">
        <v>166</v>
      </c>
      <c r="E287" s="63">
        <v>0.875</v>
      </c>
      <c r="F287" s="63">
        <v>0.91666666666666663</v>
      </c>
      <c r="G287" s="63">
        <v>4.1666666666666664E-2</v>
      </c>
      <c r="H287" s="57" t="s">
        <v>147</v>
      </c>
      <c r="I287" s="67"/>
      <c r="J287" s="57" t="s">
        <v>41</v>
      </c>
      <c r="K287" s="57"/>
      <c r="L287" s="69">
        <v>1</v>
      </c>
      <c r="M287" s="69">
        <v>1</v>
      </c>
      <c r="N287" s="57" t="s">
        <v>33</v>
      </c>
      <c r="O287" s="57"/>
      <c r="P287" s="42">
        <v>0</v>
      </c>
      <c r="Q287" s="69"/>
      <c r="R287" s="42">
        <v>0</v>
      </c>
      <c r="S287" s="57">
        <v>46054</v>
      </c>
      <c r="T287" s="42">
        <v>0</v>
      </c>
      <c r="U287" s="69">
        <v>2</v>
      </c>
      <c r="V287" s="42">
        <v>0</v>
      </c>
      <c r="W287" s="57" t="s">
        <v>34</v>
      </c>
      <c r="X287" s="57" t="s">
        <v>42</v>
      </c>
      <c r="Y287" s="57" t="s">
        <v>36</v>
      </c>
      <c r="Z287" s="57" t="s">
        <v>43</v>
      </c>
      <c r="AA287" s="57" t="s">
        <v>37</v>
      </c>
      <c r="AB287" s="57" t="s">
        <v>37</v>
      </c>
      <c r="AC287" s="57" t="s">
        <v>38</v>
      </c>
      <c r="AD287" s="75" t="s">
        <v>267</v>
      </c>
      <c r="AE287" s="76"/>
      <c r="AF287" s="76"/>
      <c r="AG287" s="76"/>
      <c r="AH287" s="76"/>
      <c r="AI287" s="76"/>
      <c r="AJ287" s="76"/>
      <c r="AK287" s="76"/>
      <c r="AL287" s="76"/>
      <c r="AM287" s="76"/>
      <c r="AN287" s="76"/>
      <c r="AO287" s="76"/>
      <c r="AP287" s="76"/>
      <c r="AQ287" s="76"/>
      <c r="AR287" s="76"/>
      <c r="AS287" s="76"/>
      <c r="AT287" s="76"/>
      <c r="AU287" s="76"/>
      <c r="AV287" s="76"/>
      <c r="AW287" s="76"/>
    </row>
    <row r="288" spans="1:49" ht="31.5" x14ac:dyDescent="0.25">
      <c r="A288" s="57" t="s">
        <v>146</v>
      </c>
      <c r="B288" s="60">
        <v>46049</v>
      </c>
      <c r="C288" s="60">
        <v>46049</v>
      </c>
      <c r="D288" s="61" t="s">
        <v>166</v>
      </c>
      <c r="E288" s="63">
        <v>0.91666666666666663</v>
      </c>
      <c r="F288" s="63">
        <v>0.97916666666666663</v>
      </c>
      <c r="G288" s="63">
        <v>6.25E-2</v>
      </c>
      <c r="H288" s="57" t="s">
        <v>193</v>
      </c>
      <c r="I288" s="67"/>
      <c r="J288" s="57" t="s">
        <v>41</v>
      </c>
      <c r="K288" s="57"/>
      <c r="L288" s="69">
        <v>1</v>
      </c>
      <c r="M288" s="69">
        <v>1</v>
      </c>
      <c r="N288" s="57" t="s">
        <v>33</v>
      </c>
      <c r="O288" s="57"/>
      <c r="P288" s="42">
        <v>0</v>
      </c>
      <c r="Q288" s="69"/>
      <c r="R288" s="42">
        <v>0</v>
      </c>
      <c r="S288" s="57">
        <v>46054</v>
      </c>
      <c r="T288" s="42">
        <v>0</v>
      </c>
      <c r="U288" s="69">
        <v>2</v>
      </c>
      <c r="V288" s="42">
        <v>0</v>
      </c>
      <c r="W288" s="57" t="s">
        <v>34</v>
      </c>
      <c r="X288" s="57" t="s">
        <v>42</v>
      </c>
      <c r="Y288" s="57" t="s">
        <v>36</v>
      </c>
      <c r="Z288" s="57" t="s">
        <v>43</v>
      </c>
      <c r="AA288" s="57" t="s">
        <v>37</v>
      </c>
      <c r="AB288" s="57" t="s">
        <v>37</v>
      </c>
      <c r="AC288" s="57" t="s">
        <v>38</v>
      </c>
      <c r="AD288" s="75" t="s">
        <v>267</v>
      </c>
      <c r="AE288" s="76"/>
      <c r="AF288" s="76"/>
      <c r="AG288" s="76"/>
      <c r="AH288" s="76"/>
      <c r="AI288" s="76"/>
      <c r="AJ288" s="76"/>
      <c r="AK288" s="76"/>
      <c r="AL288" s="76"/>
      <c r="AM288" s="76"/>
      <c r="AN288" s="76"/>
      <c r="AO288" s="76"/>
      <c r="AP288" s="76"/>
      <c r="AQ288" s="76"/>
      <c r="AR288" s="76"/>
      <c r="AS288" s="76"/>
      <c r="AT288" s="76"/>
      <c r="AU288" s="76"/>
      <c r="AV288" s="76"/>
      <c r="AW288" s="76"/>
    </row>
    <row r="289" spans="1:49" ht="31.5" x14ac:dyDescent="0.25">
      <c r="A289" s="57" t="s">
        <v>146</v>
      </c>
      <c r="B289" s="60">
        <v>46050</v>
      </c>
      <c r="C289" s="60">
        <v>46050</v>
      </c>
      <c r="D289" s="61" t="s">
        <v>196</v>
      </c>
      <c r="E289" s="63">
        <v>0.875</v>
      </c>
      <c r="F289" s="63">
        <v>0.91666666666666663</v>
      </c>
      <c r="G289" s="63">
        <v>4.1666666666666664E-2</v>
      </c>
      <c r="H289" s="57" t="s">
        <v>147</v>
      </c>
      <c r="I289" s="67"/>
      <c r="J289" s="57" t="s">
        <v>41</v>
      </c>
      <c r="K289" s="57"/>
      <c r="L289" s="69">
        <v>1</v>
      </c>
      <c r="M289" s="69">
        <v>1</v>
      </c>
      <c r="N289" s="57" t="s">
        <v>33</v>
      </c>
      <c r="O289" s="57"/>
      <c r="P289" s="42">
        <v>0</v>
      </c>
      <c r="Q289" s="69"/>
      <c r="R289" s="42">
        <v>0</v>
      </c>
      <c r="S289" s="57">
        <v>46054</v>
      </c>
      <c r="T289" s="42">
        <v>0</v>
      </c>
      <c r="U289" s="69">
        <v>2</v>
      </c>
      <c r="V289" s="42">
        <v>0</v>
      </c>
      <c r="W289" s="57" t="s">
        <v>34</v>
      </c>
      <c r="X289" s="57" t="s">
        <v>42</v>
      </c>
      <c r="Y289" s="57" t="s">
        <v>36</v>
      </c>
      <c r="Z289" s="57" t="s">
        <v>43</v>
      </c>
      <c r="AA289" s="57" t="s">
        <v>37</v>
      </c>
      <c r="AB289" s="57" t="s">
        <v>37</v>
      </c>
      <c r="AC289" s="57" t="s">
        <v>38</v>
      </c>
      <c r="AD289" s="75" t="s">
        <v>267</v>
      </c>
      <c r="AE289" s="76"/>
      <c r="AF289" s="76"/>
      <c r="AG289" s="76"/>
      <c r="AH289" s="76"/>
      <c r="AI289" s="85"/>
      <c r="AJ289" s="85"/>
      <c r="AK289" s="85"/>
      <c r="AL289" s="85"/>
      <c r="AM289" s="85"/>
      <c r="AN289" s="85"/>
      <c r="AO289" s="85"/>
      <c r="AP289" s="85"/>
      <c r="AQ289" s="85"/>
      <c r="AR289" s="85"/>
      <c r="AS289" s="85"/>
      <c r="AT289" s="85"/>
      <c r="AU289" s="85"/>
      <c r="AV289" s="85"/>
      <c r="AW289" s="85"/>
    </row>
    <row r="290" spans="1:49" ht="31.5" x14ac:dyDescent="0.2">
      <c r="A290" s="57" t="s">
        <v>146</v>
      </c>
      <c r="B290" s="60">
        <v>46050</v>
      </c>
      <c r="C290" s="60">
        <v>46050</v>
      </c>
      <c r="D290" s="61" t="s">
        <v>196</v>
      </c>
      <c r="E290" s="63">
        <v>0.91666666666666663</v>
      </c>
      <c r="F290" s="63">
        <v>0.97916666666666663</v>
      </c>
      <c r="G290" s="63">
        <v>6.25E-2</v>
      </c>
      <c r="H290" s="57" t="s">
        <v>206</v>
      </c>
      <c r="I290" s="67"/>
      <c r="J290" s="57" t="s">
        <v>41</v>
      </c>
      <c r="K290" s="57"/>
      <c r="L290" s="69">
        <v>1</v>
      </c>
      <c r="M290" s="69">
        <v>1</v>
      </c>
      <c r="N290" s="57" t="s">
        <v>33</v>
      </c>
      <c r="O290" s="57"/>
      <c r="P290" s="42">
        <v>0</v>
      </c>
      <c r="Q290" s="69"/>
      <c r="R290" s="42">
        <v>0</v>
      </c>
      <c r="S290" s="57">
        <v>46054</v>
      </c>
      <c r="T290" s="42">
        <v>0</v>
      </c>
      <c r="U290" s="69">
        <v>2</v>
      </c>
      <c r="V290" s="42">
        <v>0</v>
      </c>
      <c r="W290" s="57" t="s">
        <v>34</v>
      </c>
      <c r="X290" s="57" t="s">
        <v>42</v>
      </c>
      <c r="Y290" s="57" t="s">
        <v>36</v>
      </c>
      <c r="Z290" s="57" t="s">
        <v>43</v>
      </c>
      <c r="AA290" s="57" t="s">
        <v>37</v>
      </c>
      <c r="AB290" s="57" t="s">
        <v>37</v>
      </c>
      <c r="AC290" s="57" t="s">
        <v>38</v>
      </c>
      <c r="AD290" s="75" t="s">
        <v>267</v>
      </c>
      <c r="AE290" s="57"/>
      <c r="AF290" s="57"/>
      <c r="AG290" s="57"/>
      <c r="AH290" s="57"/>
      <c r="AI290" s="57"/>
      <c r="AJ290" s="57"/>
      <c r="AK290" s="57"/>
      <c r="AL290" s="57"/>
      <c r="AM290" s="57"/>
      <c r="AN290" s="57"/>
      <c r="AO290" s="57"/>
      <c r="AP290" s="57"/>
      <c r="AQ290" s="57"/>
      <c r="AR290" s="57"/>
      <c r="AS290" s="57"/>
      <c r="AT290" s="57"/>
      <c r="AU290" s="57"/>
      <c r="AV290" s="57"/>
      <c r="AW290" s="57"/>
    </row>
    <row r="291" spans="1:49" ht="31.5" x14ac:dyDescent="0.25">
      <c r="A291" s="57" t="s">
        <v>146</v>
      </c>
      <c r="B291" s="60">
        <v>46051</v>
      </c>
      <c r="C291" s="60">
        <v>46051</v>
      </c>
      <c r="D291" s="61" t="s">
        <v>207</v>
      </c>
      <c r="E291" s="63">
        <v>0.875</v>
      </c>
      <c r="F291" s="63">
        <v>0.91666666666666663</v>
      </c>
      <c r="G291" s="63">
        <v>4.1666666666666664E-2</v>
      </c>
      <c r="H291" s="57" t="s">
        <v>147</v>
      </c>
      <c r="I291" s="67"/>
      <c r="J291" s="57" t="s">
        <v>41</v>
      </c>
      <c r="K291" s="57"/>
      <c r="L291" s="69">
        <v>1</v>
      </c>
      <c r="M291" s="69">
        <v>1</v>
      </c>
      <c r="N291" s="57" t="s">
        <v>33</v>
      </c>
      <c r="O291" s="57"/>
      <c r="P291" s="42">
        <v>0</v>
      </c>
      <c r="Q291" s="69"/>
      <c r="R291" s="42">
        <v>0</v>
      </c>
      <c r="S291" s="57">
        <v>46054</v>
      </c>
      <c r="T291" s="42">
        <v>0</v>
      </c>
      <c r="U291" s="69">
        <v>2</v>
      </c>
      <c r="V291" s="42">
        <v>0</v>
      </c>
      <c r="W291" s="57" t="s">
        <v>34</v>
      </c>
      <c r="X291" s="57" t="s">
        <v>42</v>
      </c>
      <c r="Y291" s="57" t="s">
        <v>36</v>
      </c>
      <c r="Z291" s="57" t="s">
        <v>43</v>
      </c>
      <c r="AA291" s="57" t="s">
        <v>37</v>
      </c>
      <c r="AB291" s="57" t="s">
        <v>37</v>
      </c>
      <c r="AC291" s="57" t="s">
        <v>38</v>
      </c>
      <c r="AD291" s="75" t="s">
        <v>267</v>
      </c>
      <c r="AE291" s="76"/>
      <c r="AF291" s="76"/>
      <c r="AG291" s="76"/>
      <c r="AH291" s="76"/>
      <c r="AI291" s="85"/>
      <c r="AJ291" s="85"/>
      <c r="AK291" s="85"/>
      <c r="AL291" s="85"/>
      <c r="AM291" s="85"/>
      <c r="AN291" s="85"/>
      <c r="AO291" s="85"/>
      <c r="AP291" s="85"/>
      <c r="AQ291" s="85"/>
      <c r="AR291" s="85"/>
      <c r="AS291" s="85"/>
      <c r="AT291" s="85"/>
      <c r="AU291" s="85"/>
      <c r="AV291" s="85"/>
      <c r="AW291" s="85"/>
    </row>
    <row r="292" spans="1:49" ht="31.5" x14ac:dyDescent="0.2">
      <c r="A292" s="57" t="s">
        <v>146</v>
      </c>
      <c r="B292" s="60">
        <v>46051</v>
      </c>
      <c r="C292" s="60">
        <v>46051</v>
      </c>
      <c r="D292" s="61" t="s">
        <v>207</v>
      </c>
      <c r="E292" s="63">
        <v>0.91666666666666663</v>
      </c>
      <c r="F292" s="63">
        <v>0.97916666666666663</v>
      </c>
      <c r="G292" s="63">
        <v>6.25E-2</v>
      </c>
      <c r="H292" s="57" t="s">
        <v>215</v>
      </c>
      <c r="I292" s="67"/>
      <c r="J292" s="57" t="s">
        <v>41</v>
      </c>
      <c r="K292" s="57"/>
      <c r="L292" s="69">
        <v>1</v>
      </c>
      <c r="M292" s="69">
        <v>1</v>
      </c>
      <c r="N292" s="57" t="s">
        <v>33</v>
      </c>
      <c r="O292" s="57"/>
      <c r="P292" s="42">
        <v>0</v>
      </c>
      <c r="Q292" s="69"/>
      <c r="R292" s="42">
        <v>0</v>
      </c>
      <c r="S292" s="57">
        <v>46054</v>
      </c>
      <c r="T292" s="42">
        <v>0</v>
      </c>
      <c r="U292" s="69">
        <v>2</v>
      </c>
      <c r="V292" s="42">
        <v>0</v>
      </c>
      <c r="W292" s="57" t="s">
        <v>34</v>
      </c>
      <c r="X292" s="57" t="s">
        <v>42</v>
      </c>
      <c r="Y292" s="57" t="s">
        <v>36</v>
      </c>
      <c r="Z292" s="57" t="s">
        <v>43</v>
      </c>
      <c r="AA292" s="57" t="s">
        <v>37</v>
      </c>
      <c r="AB292" s="57" t="s">
        <v>37</v>
      </c>
      <c r="AC292" s="57" t="s">
        <v>38</v>
      </c>
      <c r="AD292" s="75" t="s">
        <v>267</v>
      </c>
      <c r="AE292" s="57"/>
      <c r="AF292" s="57"/>
      <c r="AG292" s="57"/>
      <c r="AH292" s="57"/>
      <c r="AI292" s="57"/>
      <c r="AJ292" s="57"/>
      <c r="AK292" s="57"/>
      <c r="AL292" s="57"/>
      <c r="AM292" s="57"/>
      <c r="AN292" s="57"/>
      <c r="AO292" s="57"/>
      <c r="AP292" s="57"/>
      <c r="AQ292" s="57"/>
      <c r="AR292" s="57"/>
      <c r="AS292" s="57"/>
      <c r="AT292" s="57"/>
      <c r="AU292" s="57"/>
      <c r="AV292" s="57"/>
      <c r="AW292" s="57"/>
    </row>
    <row r="293" spans="1:49" ht="31.5" x14ac:dyDescent="0.25">
      <c r="A293" s="57" t="s">
        <v>146</v>
      </c>
      <c r="B293" s="60">
        <v>46052</v>
      </c>
      <c r="C293" s="60">
        <v>46052</v>
      </c>
      <c r="D293" s="61" t="s">
        <v>217</v>
      </c>
      <c r="E293" s="63">
        <v>0.875</v>
      </c>
      <c r="F293" s="63">
        <v>0.91666666666666663</v>
      </c>
      <c r="G293" s="63">
        <v>4.1666666666666664E-2</v>
      </c>
      <c r="H293" s="57" t="s">
        <v>147</v>
      </c>
      <c r="I293" s="67"/>
      <c r="J293" s="57" t="s">
        <v>41</v>
      </c>
      <c r="K293" s="57"/>
      <c r="L293" s="69">
        <v>1</v>
      </c>
      <c r="M293" s="69">
        <v>1</v>
      </c>
      <c r="N293" s="57" t="s">
        <v>33</v>
      </c>
      <c r="O293" s="57"/>
      <c r="P293" s="42">
        <v>0</v>
      </c>
      <c r="Q293" s="69"/>
      <c r="R293" s="42">
        <v>0</v>
      </c>
      <c r="S293" s="57">
        <v>46054</v>
      </c>
      <c r="T293" s="42">
        <v>0</v>
      </c>
      <c r="U293" s="69">
        <v>2</v>
      </c>
      <c r="V293" s="42">
        <v>0</v>
      </c>
      <c r="W293" s="57" t="s">
        <v>34</v>
      </c>
      <c r="X293" s="57" t="s">
        <v>42</v>
      </c>
      <c r="Y293" s="57" t="s">
        <v>36</v>
      </c>
      <c r="Z293" s="57" t="s">
        <v>43</v>
      </c>
      <c r="AA293" s="57" t="s">
        <v>37</v>
      </c>
      <c r="AB293" s="57" t="s">
        <v>37</v>
      </c>
      <c r="AC293" s="57" t="s">
        <v>38</v>
      </c>
      <c r="AD293" s="75" t="s">
        <v>267</v>
      </c>
      <c r="AE293" s="76"/>
      <c r="AF293" s="76"/>
      <c r="AG293" s="76"/>
      <c r="AH293" s="76"/>
      <c r="AI293" s="85"/>
      <c r="AJ293" s="85"/>
      <c r="AK293" s="85"/>
      <c r="AL293" s="85"/>
      <c r="AM293" s="85"/>
      <c r="AN293" s="85"/>
      <c r="AO293" s="85"/>
      <c r="AP293" s="85"/>
      <c r="AQ293" s="85"/>
      <c r="AR293" s="85"/>
      <c r="AS293" s="85"/>
      <c r="AT293" s="85"/>
      <c r="AU293" s="85"/>
      <c r="AV293" s="85"/>
      <c r="AW293" s="85"/>
    </row>
    <row r="294" spans="1:49" ht="31.5" x14ac:dyDescent="0.2">
      <c r="A294" s="57" t="s">
        <v>146</v>
      </c>
      <c r="B294" s="60">
        <v>46052</v>
      </c>
      <c r="C294" s="60">
        <v>46052</v>
      </c>
      <c r="D294" s="61" t="s">
        <v>217</v>
      </c>
      <c r="E294" s="63">
        <v>0.91666666666666663</v>
      </c>
      <c r="F294" s="63">
        <v>0.97916666666666663</v>
      </c>
      <c r="G294" s="63">
        <v>6.25E-2</v>
      </c>
      <c r="H294" s="57" t="s">
        <v>223</v>
      </c>
      <c r="I294" s="67"/>
      <c r="J294" s="57" t="s">
        <v>41</v>
      </c>
      <c r="K294" s="57"/>
      <c r="L294" s="69">
        <v>1</v>
      </c>
      <c r="M294" s="69">
        <v>1</v>
      </c>
      <c r="N294" s="57" t="s">
        <v>33</v>
      </c>
      <c r="O294" s="57"/>
      <c r="P294" s="42">
        <v>0</v>
      </c>
      <c r="Q294" s="69"/>
      <c r="R294" s="42">
        <v>0</v>
      </c>
      <c r="S294" s="57">
        <v>46054</v>
      </c>
      <c r="T294" s="42">
        <v>0</v>
      </c>
      <c r="U294" s="69">
        <v>2</v>
      </c>
      <c r="V294" s="42">
        <v>0</v>
      </c>
      <c r="W294" s="57" t="s">
        <v>34</v>
      </c>
      <c r="X294" s="57" t="s">
        <v>42</v>
      </c>
      <c r="Y294" s="57" t="s">
        <v>36</v>
      </c>
      <c r="Z294" s="57" t="s">
        <v>43</v>
      </c>
      <c r="AA294" s="57" t="s">
        <v>37</v>
      </c>
      <c r="AB294" s="57" t="s">
        <v>37</v>
      </c>
      <c r="AC294" s="57" t="s">
        <v>38</v>
      </c>
      <c r="AD294" s="75" t="s">
        <v>267</v>
      </c>
      <c r="AE294" s="57"/>
      <c r="AF294" s="57"/>
      <c r="AG294" s="57"/>
      <c r="AH294" s="57"/>
      <c r="AI294" s="57"/>
      <c r="AJ294" s="57"/>
      <c r="AK294" s="57"/>
      <c r="AL294" s="57"/>
      <c r="AM294" s="57"/>
      <c r="AN294" s="57"/>
      <c r="AO294" s="57"/>
      <c r="AP294" s="57"/>
      <c r="AQ294" s="57"/>
      <c r="AR294" s="57"/>
      <c r="AS294" s="57"/>
      <c r="AT294" s="57"/>
      <c r="AU294" s="57"/>
      <c r="AV294" s="57"/>
      <c r="AW294" s="57"/>
    </row>
    <row r="295" spans="1:49" ht="31.5" x14ac:dyDescent="0.25">
      <c r="A295" s="57" t="s">
        <v>146</v>
      </c>
      <c r="B295" s="60">
        <v>46053</v>
      </c>
      <c r="C295" s="60">
        <v>46053</v>
      </c>
      <c r="D295" s="61" t="s">
        <v>224</v>
      </c>
      <c r="E295" s="63">
        <v>0.875</v>
      </c>
      <c r="F295" s="63">
        <v>0.9375</v>
      </c>
      <c r="G295" s="63">
        <v>6.25E-2</v>
      </c>
      <c r="H295" s="57" t="s">
        <v>148</v>
      </c>
      <c r="I295" s="67" t="s">
        <v>226</v>
      </c>
      <c r="J295" s="57" t="s">
        <v>41</v>
      </c>
      <c r="K295" s="57"/>
      <c r="L295" s="69">
        <v>1</v>
      </c>
      <c r="M295" s="69">
        <v>1</v>
      </c>
      <c r="N295" s="57" t="s">
        <v>33</v>
      </c>
      <c r="O295" s="57"/>
      <c r="P295" s="42">
        <v>0</v>
      </c>
      <c r="Q295" s="69"/>
      <c r="R295" s="42">
        <v>0</v>
      </c>
      <c r="S295" s="57">
        <v>46054</v>
      </c>
      <c r="T295" s="42">
        <v>0</v>
      </c>
      <c r="U295" s="69">
        <v>2</v>
      </c>
      <c r="V295" s="42">
        <v>0</v>
      </c>
      <c r="W295" s="57" t="s">
        <v>34</v>
      </c>
      <c r="X295" s="57" t="s">
        <v>42</v>
      </c>
      <c r="Y295" s="57" t="s">
        <v>36</v>
      </c>
      <c r="Z295" s="57" t="s">
        <v>43</v>
      </c>
      <c r="AA295" s="57" t="s">
        <v>37</v>
      </c>
      <c r="AB295" s="57" t="s">
        <v>37</v>
      </c>
      <c r="AC295" s="57" t="s">
        <v>38</v>
      </c>
      <c r="AD295" s="75" t="s">
        <v>267</v>
      </c>
      <c r="AE295" s="76"/>
      <c r="AF295" s="76"/>
      <c r="AG295" s="76"/>
      <c r="AH295" s="76"/>
      <c r="AI295" s="85"/>
      <c r="AJ295" s="85"/>
      <c r="AK295" s="85"/>
      <c r="AL295" s="85"/>
      <c r="AM295" s="85"/>
      <c r="AN295" s="85"/>
      <c r="AO295" s="85"/>
      <c r="AP295" s="85"/>
      <c r="AQ295" s="85"/>
      <c r="AR295" s="85"/>
      <c r="AS295" s="85"/>
      <c r="AT295" s="85"/>
      <c r="AU295" s="85"/>
      <c r="AV295" s="85"/>
      <c r="AW295" s="85"/>
    </row>
    <row r="296" spans="1:49" ht="31.5" x14ac:dyDescent="0.2">
      <c r="A296" s="57" t="s">
        <v>146</v>
      </c>
      <c r="B296" s="60">
        <v>46053</v>
      </c>
      <c r="C296" s="60">
        <v>46053</v>
      </c>
      <c r="D296" s="61" t="s">
        <v>224</v>
      </c>
      <c r="E296" s="63">
        <v>0.9375</v>
      </c>
      <c r="F296" s="63">
        <v>1</v>
      </c>
      <c r="G296" s="63">
        <v>6.25E-2</v>
      </c>
      <c r="H296" s="57" t="s">
        <v>206</v>
      </c>
      <c r="I296" s="67" t="s">
        <v>226</v>
      </c>
      <c r="J296" s="57" t="s">
        <v>41</v>
      </c>
      <c r="K296" s="57"/>
      <c r="L296" s="69">
        <v>1</v>
      </c>
      <c r="M296" s="69">
        <v>1</v>
      </c>
      <c r="N296" s="57" t="s">
        <v>33</v>
      </c>
      <c r="O296" s="57"/>
      <c r="P296" s="42">
        <v>0</v>
      </c>
      <c r="Q296" s="69"/>
      <c r="R296" s="42">
        <v>0</v>
      </c>
      <c r="S296" s="57">
        <v>46054</v>
      </c>
      <c r="T296" s="42">
        <v>0</v>
      </c>
      <c r="U296" s="69">
        <v>2</v>
      </c>
      <c r="V296" s="42">
        <v>0</v>
      </c>
      <c r="W296" s="57" t="s">
        <v>34</v>
      </c>
      <c r="X296" s="57" t="s">
        <v>42</v>
      </c>
      <c r="Y296" s="57" t="s">
        <v>36</v>
      </c>
      <c r="Z296" s="57" t="s">
        <v>43</v>
      </c>
      <c r="AA296" s="57" t="s">
        <v>37</v>
      </c>
      <c r="AB296" s="57" t="s">
        <v>37</v>
      </c>
      <c r="AC296" s="57" t="s">
        <v>38</v>
      </c>
      <c r="AD296" s="75" t="s">
        <v>267</v>
      </c>
      <c r="AE296" s="57"/>
      <c r="AF296" s="57"/>
      <c r="AG296" s="57"/>
      <c r="AH296" s="57"/>
      <c r="AI296" s="57"/>
      <c r="AJ296" s="57"/>
      <c r="AK296" s="57"/>
      <c r="AL296" s="57"/>
      <c r="AM296" s="57"/>
      <c r="AN296" s="57"/>
      <c r="AO296" s="57"/>
      <c r="AP296" s="57"/>
      <c r="AQ296" s="57"/>
      <c r="AR296" s="57"/>
      <c r="AS296" s="57"/>
      <c r="AT296" s="57"/>
      <c r="AU296" s="57"/>
      <c r="AV296" s="57"/>
      <c r="AW296" s="57"/>
    </row>
    <row r="297" spans="1:49" ht="31.5" x14ac:dyDescent="0.25">
      <c r="A297" s="57" t="s">
        <v>146</v>
      </c>
      <c r="B297" s="60">
        <v>46054</v>
      </c>
      <c r="C297" s="60">
        <v>46054</v>
      </c>
      <c r="D297" s="61" t="s">
        <v>249</v>
      </c>
      <c r="E297" s="63">
        <v>0.875</v>
      </c>
      <c r="F297" s="63">
        <v>0.9375</v>
      </c>
      <c r="G297" s="63">
        <v>6.25E-2</v>
      </c>
      <c r="H297" s="57" t="s">
        <v>193</v>
      </c>
      <c r="I297" s="67" t="s">
        <v>226</v>
      </c>
      <c r="J297" s="57" t="s">
        <v>41</v>
      </c>
      <c r="K297" s="57"/>
      <c r="L297" s="69">
        <v>1</v>
      </c>
      <c r="M297" s="69">
        <v>1</v>
      </c>
      <c r="N297" s="57" t="s">
        <v>33</v>
      </c>
      <c r="O297" s="57"/>
      <c r="P297" s="42">
        <v>0</v>
      </c>
      <c r="Q297" s="69"/>
      <c r="R297" s="42">
        <v>0</v>
      </c>
      <c r="S297" s="57">
        <v>46054</v>
      </c>
      <c r="T297" s="42">
        <v>0</v>
      </c>
      <c r="U297" s="69">
        <v>2</v>
      </c>
      <c r="V297" s="42">
        <v>0</v>
      </c>
      <c r="W297" s="57" t="s">
        <v>34</v>
      </c>
      <c r="X297" s="57" t="s">
        <v>42</v>
      </c>
      <c r="Y297" s="57" t="s">
        <v>36</v>
      </c>
      <c r="Z297" s="57" t="s">
        <v>43</v>
      </c>
      <c r="AA297" s="57" t="s">
        <v>37</v>
      </c>
      <c r="AB297" s="57" t="s">
        <v>37</v>
      </c>
      <c r="AC297" s="57" t="s">
        <v>38</v>
      </c>
      <c r="AD297" s="75" t="s">
        <v>267</v>
      </c>
      <c r="AE297" s="76"/>
      <c r="AF297" s="76"/>
      <c r="AG297" s="76"/>
      <c r="AH297" s="76"/>
      <c r="AI297" s="85"/>
      <c r="AJ297" s="85"/>
      <c r="AK297" s="85"/>
      <c r="AL297" s="85"/>
      <c r="AM297" s="85"/>
      <c r="AN297" s="85"/>
      <c r="AO297" s="85"/>
      <c r="AP297" s="85"/>
      <c r="AQ297" s="85"/>
      <c r="AR297" s="85"/>
      <c r="AS297" s="85"/>
      <c r="AT297" s="85"/>
      <c r="AU297" s="85"/>
      <c r="AV297" s="85"/>
      <c r="AW297" s="85"/>
    </row>
    <row r="298" spans="1:49" ht="31.5" x14ac:dyDescent="0.2">
      <c r="A298" s="57" t="s">
        <v>146</v>
      </c>
      <c r="B298" s="60">
        <v>46054</v>
      </c>
      <c r="C298" s="60">
        <v>46054</v>
      </c>
      <c r="D298" s="61" t="s">
        <v>249</v>
      </c>
      <c r="E298" s="63">
        <v>0.9375</v>
      </c>
      <c r="F298" s="63">
        <v>1</v>
      </c>
      <c r="G298" s="63">
        <v>6.25E-2</v>
      </c>
      <c r="H298" s="57" t="s">
        <v>215</v>
      </c>
      <c r="I298" s="67" t="s">
        <v>226</v>
      </c>
      <c r="J298" s="57" t="s">
        <v>41</v>
      </c>
      <c r="K298" s="57"/>
      <c r="L298" s="69">
        <v>1</v>
      </c>
      <c r="M298" s="69">
        <v>1</v>
      </c>
      <c r="N298" s="57" t="s">
        <v>33</v>
      </c>
      <c r="O298" s="57"/>
      <c r="P298" s="42">
        <v>0</v>
      </c>
      <c r="Q298" s="69"/>
      <c r="R298" s="42">
        <v>0</v>
      </c>
      <c r="S298" s="57">
        <v>46054</v>
      </c>
      <c r="T298" s="42">
        <v>0</v>
      </c>
      <c r="U298" s="69">
        <v>2</v>
      </c>
      <c r="V298" s="42">
        <v>0</v>
      </c>
      <c r="W298" s="57" t="s">
        <v>34</v>
      </c>
      <c r="X298" s="57" t="s">
        <v>42</v>
      </c>
      <c r="Y298" s="57" t="s">
        <v>36</v>
      </c>
      <c r="Z298" s="57" t="s">
        <v>43</v>
      </c>
      <c r="AA298" s="57" t="s">
        <v>37</v>
      </c>
      <c r="AB298" s="57" t="s">
        <v>37</v>
      </c>
      <c r="AC298" s="57" t="s">
        <v>38</v>
      </c>
      <c r="AD298" s="75" t="s">
        <v>267</v>
      </c>
      <c r="AE298" s="57"/>
      <c r="AF298" s="57"/>
      <c r="AG298" s="57"/>
      <c r="AH298" s="57"/>
      <c r="AI298" s="57"/>
      <c r="AJ298" s="57"/>
      <c r="AK298" s="57"/>
      <c r="AL298" s="57"/>
      <c r="AM298" s="57"/>
      <c r="AN298" s="57"/>
      <c r="AO298" s="57"/>
      <c r="AP298" s="57"/>
      <c r="AQ298" s="57"/>
      <c r="AR298" s="57"/>
      <c r="AS298" s="57"/>
      <c r="AT298" s="57"/>
      <c r="AU298" s="57"/>
      <c r="AV298" s="57"/>
      <c r="AW298" s="57"/>
    </row>
    <row r="299" spans="1:49" ht="31.5" x14ac:dyDescent="0.25">
      <c r="A299" s="57" t="s">
        <v>233</v>
      </c>
      <c r="B299" s="60">
        <v>46053</v>
      </c>
      <c r="C299" s="60">
        <v>46053</v>
      </c>
      <c r="D299" s="61" t="s">
        <v>224</v>
      </c>
      <c r="E299" s="63">
        <v>0.58333333333333337</v>
      </c>
      <c r="F299" s="63">
        <v>0.625</v>
      </c>
      <c r="G299" s="63">
        <v>4.1666666666666664E-2</v>
      </c>
      <c r="H299" s="57" t="s">
        <v>234</v>
      </c>
      <c r="I299" s="67"/>
      <c r="J299" s="57" t="s">
        <v>105</v>
      </c>
      <c r="K299" s="57" t="s">
        <v>235</v>
      </c>
      <c r="L299" s="69">
        <v>1</v>
      </c>
      <c r="M299" s="69">
        <v>1</v>
      </c>
      <c r="N299" s="57" t="s">
        <v>33</v>
      </c>
      <c r="O299" s="57"/>
      <c r="P299" s="71">
        <v>0</v>
      </c>
      <c r="Q299" s="69"/>
      <c r="R299" s="42">
        <v>0</v>
      </c>
      <c r="S299" s="57">
        <v>46054</v>
      </c>
      <c r="T299" s="42">
        <v>0</v>
      </c>
      <c r="U299" s="69">
        <v>1</v>
      </c>
      <c r="V299" s="42">
        <v>0</v>
      </c>
      <c r="W299" s="57" t="s">
        <v>34</v>
      </c>
      <c r="X299" s="57" t="s">
        <v>35</v>
      </c>
      <c r="Y299" s="57" t="s">
        <v>36</v>
      </c>
      <c r="Z299" s="57" t="s">
        <v>174</v>
      </c>
      <c r="AA299" s="57" t="s">
        <v>37</v>
      </c>
      <c r="AB299" s="57" t="s">
        <v>37</v>
      </c>
      <c r="AC299" s="57" t="s">
        <v>38</v>
      </c>
      <c r="AD299" s="75" t="s">
        <v>267</v>
      </c>
      <c r="AE299" s="76"/>
      <c r="AF299" s="76"/>
      <c r="AG299" s="76"/>
      <c r="AH299" s="76"/>
      <c r="AI299" s="76"/>
      <c r="AJ299" s="76"/>
      <c r="AK299" s="76"/>
      <c r="AL299" s="76"/>
      <c r="AM299" s="76"/>
      <c r="AN299" s="76"/>
      <c r="AO299" s="76"/>
      <c r="AP299" s="76"/>
      <c r="AQ299" s="76"/>
      <c r="AR299" s="76"/>
      <c r="AS299" s="76"/>
      <c r="AT299" s="76"/>
      <c r="AU299" s="76"/>
      <c r="AV299" s="76"/>
      <c r="AW299" s="76"/>
    </row>
    <row r="300" spans="1:49" ht="31.5" x14ac:dyDescent="0.2">
      <c r="A300" s="36" t="s">
        <v>113</v>
      </c>
      <c r="B300" s="37">
        <v>46048</v>
      </c>
      <c r="C300" s="37">
        <v>46048</v>
      </c>
      <c r="D300" s="38" t="s">
        <v>30</v>
      </c>
      <c r="E300" s="39">
        <v>0.58333333333333337</v>
      </c>
      <c r="F300" s="39">
        <v>0.625</v>
      </c>
      <c r="G300" s="39">
        <v>4.1666666666666664E-2</v>
      </c>
      <c r="H300" s="36" t="s">
        <v>114</v>
      </c>
      <c r="I300" s="40"/>
      <c r="J300" s="36" t="s">
        <v>115</v>
      </c>
      <c r="K300" s="36"/>
      <c r="L300" s="41">
        <v>1</v>
      </c>
      <c r="M300" s="41">
        <v>1</v>
      </c>
      <c r="N300" s="36" t="s">
        <v>33</v>
      </c>
      <c r="O300" s="36"/>
      <c r="P300" s="42">
        <v>0</v>
      </c>
      <c r="Q300" s="41"/>
      <c r="R300" s="42">
        <v>0</v>
      </c>
      <c r="S300" s="36">
        <v>46054</v>
      </c>
      <c r="T300" s="42">
        <v>0</v>
      </c>
      <c r="U300" s="41">
        <v>2</v>
      </c>
      <c r="V300" s="42">
        <v>0</v>
      </c>
      <c r="W300" s="36" t="s">
        <v>34</v>
      </c>
      <c r="X300" s="36" t="s">
        <v>42</v>
      </c>
      <c r="Y300" s="36" t="s">
        <v>36</v>
      </c>
      <c r="Z300" s="36" t="s">
        <v>43</v>
      </c>
      <c r="AA300" s="36" t="s">
        <v>37</v>
      </c>
      <c r="AB300" s="36" t="s">
        <v>37</v>
      </c>
      <c r="AC300" s="36" t="s">
        <v>38</v>
      </c>
      <c r="AD300" s="75" t="s">
        <v>267</v>
      </c>
    </row>
    <row r="301" spans="1:49" ht="31.5" x14ac:dyDescent="0.25">
      <c r="A301" s="57" t="s">
        <v>113</v>
      </c>
      <c r="B301" s="60">
        <v>46048</v>
      </c>
      <c r="C301" s="60">
        <v>46048</v>
      </c>
      <c r="D301" s="61" t="s">
        <v>30</v>
      </c>
      <c r="E301" s="63">
        <v>0.625</v>
      </c>
      <c r="F301" s="63">
        <v>0.64583333333333337</v>
      </c>
      <c r="G301" s="63">
        <v>2.0833333333333332E-2</v>
      </c>
      <c r="H301" s="57" t="s">
        <v>116</v>
      </c>
      <c r="I301" s="67"/>
      <c r="J301" s="57" t="s">
        <v>115</v>
      </c>
      <c r="K301" s="57"/>
      <c r="L301" s="69">
        <v>1</v>
      </c>
      <c r="M301" s="69">
        <v>1</v>
      </c>
      <c r="N301" s="57" t="s">
        <v>33</v>
      </c>
      <c r="O301" s="57"/>
      <c r="P301" s="42">
        <v>0</v>
      </c>
      <c r="Q301" s="69"/>
      <c r="R301" s="42">
        <v>0</v>
      </c>
      <c r="S301" s="57">
        <v>46054</v>
      </c>
      <c r="T301" s="42">
        <v>0</v>
      </c>
      <c r="U301" s="69">
        <v>2</v>
      </c>
      <c r="V301" s="42">
        <v>0</v>
      </c>
      <c r="W301" s="57" t="s">
        <v>34</v>
      </c>
      <c r="X301" s="57" t="s">
        <v>42</v>
      </c>
      <c r="Y301" s="57" t="s">
        <v>36</v>
      </c>
      <c r="Z301" s="57" t="s">
        <v>43</v>
      </c>
      <c r="AA301" s="57" t="s">
        <v>37</v>
      </c>
      <c r="AB301" s="57" t="s">
        <v>37</v>
      </c>
      <c r="AC301" s="57" t="s">
        <v>38</v>
      </c>
      <c r="AD301" s="75" t="s">
        <v>267</v>
      </c>
      <c r="AE301" s="76"/>
      <c r="AF301" s="76"/>
      <c r="AG301" s="76"/>
      <c r="AH301" s="76"/>
      <c r="AI301" s="76"/>
      <c r="AJ301" s="76"/>
      <c r="AK301" s="76"/>
      <c r="AL301" s="76"/>
      <c r="AM301" s="76"/>
      <c r="AN301" s="76"/>
      <c r="AO301" s="76"/>
      <c r="AP301" s="76"/>
      <c r="AQ301" s="76"/>
      <c r="AR301" s="76"/>
      <c r="AS301" s="76"/>
      <c r="AT301" s="76"/>
      <c r="AU301" s="76"/>
      <c r="AV301" s="76"/>
      <c r="AW301" s="76"/>
    </row>
    <row r="302" spans="1:49" ht="31.5" x14ac:dyDescent="0.25">
      <c r="A302" s="57" t="s">
        <v>113</v>
      </c>
      <c r="B302" s="60">
        <v>46048</v>
      </c>
      <c r="C302" s="60">
        <v>46048</v>
      </c>
      <c r="D302" s="61" t="s">
        <v>30</v>
      </c>
      <c r="E302" s="63">
        <v>0.64583333333333337</v>
      </c>
      <c r="F302" s="63">
        <v>0.66666666666666663</v>
      </c>
      <c r="G302" s="63">
        <v>2.0833333333333332E-2</v>
      </c>
      <c r="H302" s="57" t="s">
        <v>117</v>
      </c>
      <c r="I302" s="67"/>
      <c r="J302" s="57" t="s">
        <v>115</v>
      </c>
      <c r="K302" s="57"/>
      <c r="L302" s="69">
        <v>1</v>
      </c>
      <c r="M302" s="69">
        <v>1</v>
      </c>
      <c r="N302" s="57" t="s">
        <v>33</v>
      </c>
      <c r="O302" s="57"/>
      <c r="P302" s="42">
        <v>0</v>
      </c>
      <c r="Q302" s="69"/>
      <c r="R302" s="42">
        <v>0</v>
      </c>
      <c r="S302" s="57">
        <v>46054</v>
      </c>
      <c r="T302" s="42">
        <v>0</v>
      </c>
      <c r="U302" s="69">
        <v>2</v>
      </c>
      <c r="V302" s="42">
        <v>0</v>
      </c>
      <c r="W302" s="57" t="s">
        <v>34</v>
      </c>
      <c r="X302" s="57" t="s">
        <v>42</v>
      </c>
      <c r="Y302" s="57" t="s">
        <v>36</v>
      </c>
      <c r="Z302" s="57" t="s">
        <v>43</v>
      </c>
      <c r="AA302" s="57" t="s">
        <v>37</v>
      </c>
      <c r="AB302" s="57" t="s">
        <v>37</v>
      </c>
      <c r="AC302" s="57" t="s">
        <v>38</v>
      </c>
      <c r="AD302" s="75" t="s">
        <v>267</v>
      </c>
      <c r="AE302" s="76"/>
      <c r="AF302" s="76"/>
      <c r="AG302" s="76"/>
      <c r="AH302" s="76"/>
      <c r="AI302" s="76"/>
      <c r="AJ302" s="76"/>
      <c r="AK302" s="76"/>
      <c r="AL302" s="76"/>
      <c r="AM302" s="76"/>
      <c r="AN302" s="76"/>
      <c r="AO302" s="76"/>
      <c r="AP302" s="76"/>
      <c r="AQ302" s="76"/>
      <c r="AR302" s="76"/>
      <c r="AS302" s="76"/>
      <c r="AT302" s="76"/>
      <c r="AU302" s="76"/>
      <c r="AV302" s="76"/>
      <c r="AW302" s="76"/>
    </row>
    <row r="303" spans="1:49" ht="31.5" x14ac:dyDescent="0.25">
      <c r="A303" s="57" t="s">
        <v>113</v>
      </c>
      <c r="B303" s="60">
        <v>46049</v>
      </c>
      <c r="C303" s="60">
        <v>46049</v>
      </c>
      <c r="D303" s="61" t="s">
        <v>166</v>
      </c>
      <c r="E303" s="63">
        <v>0.58333333333333337</v>
      </c>
      <c r="F303" s="63">
        <v>0.625</v>
      </c>
      <c r="G303" s="63">
        <v>4.1666666666666664E-2</v>
      </c>
      <c r="H303" s="57" t="s">
        <v>114</v>
      </c>
      <c r="I303" s="67"/>
      <c r="J303" s="57" t="s">
        <v>115</v>
      </c>
      <c r="K303" s="57"/>
      <c r="L303" s="69">
        <v>1</v>
      </c>
      <c r="M303" s="69">
        <v>1</v>
      </c>
      <c r="N303" s="57" t="s">
        <v>33</v>
      </c>
      <c r="O303" s="57"/>
      <c r="P303" s="42">
        <v>0</v>
      </c>
      <c r="Q303" s="69"/>
      <c r="R303" s="42">
        <v>0</v>
      </c>
      <c r="S303" s="57">
        <v>46054</v>
      </c>
      <c r="T303" s="42">
        <v>0</v>
      </c>
      <c r="U303" s="69">
        <v>2</v>
      </c>
      <c r="V303" s="42">
        <v>0</v>
      </c>
      <c r="W303" s="57" t="s">
        <v>34</v>
      </c>
      <c r="X303" s="57" t="s">
        <v>42</v>
      </c>
      <c r="Y303" s="57" t="s">
        <v>36</v>
      </c>
      <c r="Z303" s="57" t="s">
        <v>43</v>
      </c>
      <c r="AA303" s="57" t="s">
        <v>37</v>
      </c>
      <c r="AB303" s="57" t="s">
        <v>37</v>
      </c>
      <c r="AC303" s="57" t="s">
        <v>38</v>
      </c>
      <c r="AD303" s="75" t="s">
        <v>267</v>
      </c>
      <c r="AE303" s="76"/>
      <c r="AF303" s="76"/>
      <c r="AG303" s="76"/>
      <c r="AH303" s="76"/>
      <c r="AI303" s="76"/>
      <c r="AJ303" s="76"/>
      <c r="AK303" s="76"/>
      <c r="AL303" s="76"/>
      <c r="AM303" s="76"/>
      <c r="AN303" s="76"/>
      <c r="AO303" s="76"/>
      <c r="AP303" s="76"/>
      <c r="AQ303" s="76"/>
      <c r="AR303" s="76"/>
      <c r="AS303" s="76"/>
      <c r="AT303" s="76"/>
      <c r="AU303" s="76"/>
      <c r="AV303" s="76"/>
      <c r="AW303" s="76"/>
    </row>
    <row r="304" spans="1:49" ht="31.5" x14ac:dyDescent="0.25">
      <c r="A304" s="57" t="s">
        <v>113</v>
      </c>
      <c r="B304" s="60">
        <v>46049</v>
      </c>
      <c r="C304" s="60">
        <v>46049</v>
      </c>
      <c r="D304" s="61" t="s">
        <v>166</v>
      </c>
      <c r="E304" s="63">
        <v>0.625</v>
      </c>
      <c r="F304" s="63">
        <v>0.64583333333333337</v>
      </c>
      <c r="G304" s="63">
        <v>2.0833333333333332E-2</v>
      </c>
      <c r="H304" s="57" t="s">
        <v>116</v>
      </c>
      <c r="I304" s="67"/>
      <c r="J304" s="57" t="s">
        <v>115</v>
      </c>
      <c r="K304" s="57"/>
      <c r="L304" s="69">
        <v>1</v>
      </c>
      <c r="M304" s="69">
        <v>1</v>
      </c>
      <c r="N304" s="57" t="s">
        <v>33</v>
      </c>
      <c r="O304" s="57"/>
      <c r="P304" s="42">
        <v>0</v>
      </c>
      <c r="Q304" s="69"/>
      <c r="R304" s="42">
        <v>0</v>
      </c>
      <c r="S304" s="57">
        <v>46054</v>
      </c>
      <c r="T304" s="42">
        <v>0</v>
      </c>
      <c r="U304" s="69">
        <v>2</v>
      </c>
      <c r="V304" s="42">
        <v>0</v>
      </c>
      <c r="W304" s="57" t="s">
        <v>34</v>
      </c>
      <c r="X304" s="57" t="s">
        <v>42</v>
      </c>
      <c r="Y304" s="57" t="s">
        <v>36</v>
      </c>
      <c r="Z304" s="57" t="s">
        <v>43</v>
      </c>
      <c r="AA304" s="57" t="s">
        <v>37</v>
      </c>
      <c r="AB304" s="57" t="s">
        <v>37</v>
      </c>
      <c r="AC304" s="57" t="s">
        <v>38</v>
      </c>
      <c r="AD304" s="75" t="s">
        <v>267</v>
      </c>
      <c r="AE304" s="76"/>
      <c r="AF304" s="76"/>
      <c r="AG304" s="76"/>
      <c r="AH304" s="76"/>
      <c r="AI304" s="76"/>
      <c r="AJ304" s="76"/>
      <c r="AK304" s="76"/>
      <c r="AL304" s="76"/>
      <c r="AM304" s="76"/>
      <c r="AN304" s="76"/>
      <c r="AO304" s="76"/>
      <c r="AP304" s="76"/>
      <c r="AQ304" s="76"/>
      <c r="AR304" s="76"/>
      <c r="AS304" s="76"/>
      <c r="AT304" s="76"/>
      <c r="AU304" s="76"/>
      <c r="AV304" s="76"/>
      <c r="AW304" s="76"/>
    </row>
    <row r="305" spans="1:49" ht="31.5" x14ac:dyDescent="0.25">
      <c r="A305" s="57" t="s">
        <v>113</v>
      </c>
      <c r="B305" s="60">
        <v>46049</v>
      </c>
      <c r="C305" s="60">
        <v>46049</v>
      </c>
      <c r="D305" s="61" t="s">
        <v>166</v>
      </c>
      <c r="E305" s="63">
        <v>0.64583333333333337</v>
      </c>
      <c r="F305" s="63">
        <v>0.66666666666666663</v>
      </c>
      <c r="G305" s="63">
        <v>2.0833333333333332E-2</v>
      </c>
      <c r="H305" s="57" t="s">
        <v>117</v>
      </c>
      <c r="I305" s="67"/>
      <c r="J305" s="57" t="s">
        <v>115</v>
      </c>
      <c r="K305" s="57"/>
      <c r="L305" s="69">
        <v>1</v>
      </c>
      <c r="M305" s="69">
        <v>1</v>
      </c>
      <c r="N305" s="57" t="s">
        <v>33</v>
      </c>
      <c r="O305" s="57"/>
      <c r="P305" s="42">
        <v>0</v>
      </c>
      <c r="Q305" s="69"/>
      <c r="R305" s="42">
        <v>0</v>
      </c>
      <c r="S305" s="57">
        <v>46054</v>
      </c>
      <c r="T305" s="42">
        <v>0</v>
      </c>
      <c r="U305" s="69">
        <v>2</v>
      </c>
      <c r="V305" s="42">
        <v>0</v>
      </c>
      <c r="W305" s="57" t="s">
        <v>34</v>
      </c>
      <c r="X305" s="57" t="s">
        <v>42</v>
      </c>
      <c r="Y305" s="57" t="s">
        <v>36</v>
      </c>
      <c r="Z305" s="57" t="s">
        <v>43</v>
      </c>
      <c r="AA305" s="57" t="s">
        <v>37</v>
      </c>
      <c r="AB305" s="57" t="s">
        <v>37</v>
      </c>
      <c r="AC305" s="57" t="s">
        <v>38</v>
      </c>
      <c r="AD305" s="75" t="s">
        <v>267</v>
      </c>
      <c r="AE305" s="76"/>
      <c r="AF305" s="76"/>
      <c r="AG305" s="76"/>
      <c r="AH305" s="76"/>
      <c r="AI305" s="76"/>
      <c r="AJ305" s="76"/>
      <c r="AK305" s="76"/>
      <c r="AL305" s="76"/>
      <c r="AM305" s="76"/>
      <c r="AN305" s="76"/>
      <c r="AO305" s="76"/>
      <c r="AP305" s="76"/>
      <c r="AQ305" s="76"/>
      <c r="AR305" s="76"/>
      <c r="AS305" s="76"/>
      <c r="AT305" s="76"/>
      <c r="AU305" s="76"/>
      <c r="AV305" s="76"/>
      <c r="AW305" s="76"/>
    </row>
    <row r="306" spans="1:49" ht="31.5" x14ac:dyDescent="0.25">
      <c r="A306" s="57" t="s">
        <v>113</v>
      </c>
      <c r="B306" s="60">
        <v>46050</v>
      </c>
      <c r="C306" s="60">
        <v>46050</v>
      </c>
      <c r="D306" s="61" t="s">
        <v>196</v>
      </c>
      <c r="E306" s="63">
        <v>0.58333333333333337</v>
      </c>
      <c r="F306" s="63">
        <v>0.625</v>
      </c>
      <c r="G306" s="63">
        <v>4.1666666666666664E-2</v>
      </c>
      <c r="H306" s="57" t="s">
        <v>114</v>
      </c>
      <c r="I306" s="67"/>
      <c r="J306" s="57" t="s">
        <v>115</v>
      </c>
      <c r="K306" s="57"/>
      <c r="L306" s="69">
        <v>1</v>
      </c>
      <c r="M306" s="69">
        <v>1</v>
      </c>
      <c r="N306" s="57" t="s">
        <v>33</v>
      </c>
      <c r="O306" s="57"/>
      <c r="P306" s="42">
        <v>0</v>
      </c>
      <c r="Q306" s="69"/>
      <c r="R306" s="42">
        <v>0</v>
      </c>
      <c r="S306" s="57">
        <v>46054</v>
      </c>
      <c r="T306" s="42">
        <v>0</v>
      </c>
      <c r="U306" s="69">
        <v>2</v>
      </c>
      <c r="V306" s="42">
        <v>0</v>
      </c>
      <c r="W306" s="57" t="s">
        <v>34</v>
      </c>
      <c r="X306" s="57" t="s">
        <v>42</v>
      </c>
      <c r="Y306" s="57" t="s">
        <v>36</v>
      </c>
      <c r="Z306" s="57" t="s">
        <v>43</v>
      </c>
      <c r="AA306" s="57" t="s">
        <v>37</v>
      </c>
      <c r="AB306" s="57" t="s">
        <v>37</v>
      </c>
      <c r="AC306" s="57" t="s">
        <v>38</v>
      </c>
      <c r="AD306" s="75" t="s">
        <v>267</v>
      </c>
      <c r="AE306" s="76"/>
      <c r="AF306" s="76"/>
      <c r="AG306" s="76"/>
      <c r="AH306" s="76"/>
      <c r="AI306" s="76"/>
      <c r="AJ306" s="76"/>
      <c r="AK306" s="76"/>
      <c r="AL306" s="76"/>
      <c r="AM306" s="76"/>
      <c r="AN306" s="76"/>
      <c r="AO306" s="76"/>
      <c r="AP306" s="76"/>
      <c r="AQ306" s="76"/>
      <c r="AR306" s="76"/>
      <c r="AS306" s="76"/>
      <c r="AT306" s="76"/>
      <c r="AU306" s="76"/>
      <c r="AV306" s="76"/>
      <c r="AW306" s="76"/>
    </row>
    <row r="307" spans="1:49" ht="31.5" x14ac:dyDescent="0.25">
      <c r="A307" s="57" t="s">
        <v>113</v>
      </c>
      <c r="B307" s="60">
        <v>46050</v>
      </c>
      <c r="C307" s="60">
        <v>46050</v>
      </c>
      <c r="D307" s="61" t="s">
        <v>196</v>
      </c>
      <c r="E307" s="63">
        <v>0.625</v>
      </c>
      <c r="F307" s="63">
        <v>0.64583333333333337</v>
      </c>
      <c r="G307" s="63">
        <v>2.0833333333333332E-2</v>
      </c>
      <c r="H307" s="57" t="s">
        <v>116</v>
      </c>
      <c r="I307" s="67"/>
      <c r="J307" s="57" t="s">
        <v>115</v>
      </c>
      <c r="K307" s="57"/>
      <c r="L307" s="69">
        <v>1</v>
      </c>
      <c r="M307" s="69">
        <v>1</v>
      </c>
      <c r="N307" s="57" t="s">
        <v>33</v>
      </c>
      <c r="O307" s="57"/>
      <c r="P307" s="42">
        <v>0</v>
      </c>
      <c r="Q307" s="69"/>
      <c r="R307" s="42">
        <v>0</v>
      </c>
      <c r="S307" s="57">
        <v>46054</v>
      </c>
      <c r="T307" s="42">
        <v>0</v>
      </c>
      <c r="U307" s="69">
        <v>2</v>
      </c>
      <c r="V307" s="42">
        <v>0</v>
      </c>
      <c r="W307" s="57" t="s">
        <v>34</v>
      </c>
      <c r="X307" s="57" t="s">
        <v>42</v>
      </c>
      <c r="Y307" s="57" t="s">
        <v>36</v>
      </c>
      <c r="Z307" s="57" t="s">
        <v>43</v>
      </c>
      <c r="AA307" s="57" t="s">
        <v>37</v>
      </c>
      <c r="AB307" s="57" t="s">
        <v>37</v>
      </c>
      <c r="AC307" s="57" t="s">
        <v>38</v>
      </c>
      <c r="AD307" s="75" t="s">
        <v>267</v>
      </c>
      <c r="AE307" s="80"/>
      <c r="AF307" s="80"/>
      <c r="AG307" s="80"/>
      <c r="AH307" s="80"/>
      <c r="AI307" s="86"/>
      <c r="AJ307" s="86"/>
      <c r="AK307" s="86"/>
      <c r="AL307" s="86"/>
      <c r="AM307" s="86"/>
      <c r="AN307" s="86"/>
      <c r="AO307" s="86"/>
      <c r="AP307" s="86"/>
      <c r="AQ307" s="86"/>
      <c r="AR307" s="86"/>
      <c r="AS307" s="86"/>
      <c r="AT307" s="86"/>
      <c r="AU307" s="86"/>
      <c r="AV307" s="86"/>
      <c r="AW307" s="86"/>
    </row>
    <row r="308" spans="1:49" ht="31.5" x14ac:dyDescent="0.25">
      <c r="A308" s="57" t="s">
        <v>113</v>
      </c>
      <c r="B308" s="60">
        <v>46050</v>
      </c>
      <c r="C308" s="60">
        <v>46050</v>
      </c>
      <c r="D308" s="61" t="s">
        <v>196</v>
      </c>
      <c r="E308" s="63">
        <v>0.64583333333333337</v>
      </c>
      <c r="F308" s="63">
        <v>0.66666666666666663</v>
      </c>
      <c r="G308" s="63">
        <v>2.0833333333333332E-2</v>
      </c>
      <c r="H308" s="57" t="s">
        <v>117</v>
      </c>
      <c r="I308" s="67"/>
      <c r="J308" s="57" t="s">
        <v>115</v>
      </c>
      <c r="K308" s="57"/>
      <c r="L308" s="69">
        <v>1</v>
      </c>
      <c r="M308" s="69">
        <v>1</v>
      </c>
      <c r="N308" s="57" t="s">
        <v>33</v>
      </c>
      <c r="O308" s="57"/>
      <c r="P308" s="42">
        <v>0</v>
      </c>
      <c r="Q308" s="69"/>
      <c r="R308" s="42">
        <v>0</v>
      </c>
      <c r="S308" s="57">
        <v>46054</v>
      </c>
      <c r="T308" s="42">
        <v>0</v>
      </c>
      <c r="U308" s="69">
        <v>2</v>
      </c>
      <c r="V308" s="42">
        <v>0</v>
      </c>
      <c r="W308" s="57" t="s">
        <v>34</v>
      </c>
      <c r="X308" s="57" t="s">
        <v>42</v>
      </c>
      <c r="Y308" s="57" t="s">
        <v>36</v>
      </c>
      <c r="Z308" s="57" t="s">
        <v>43</v>
      </c>
      <c r="AA308" s="57" t="s">
        <v>37</v>
      </c>
      <c r="AB308" s="57" t="s">
        <v>37</v>
      </c>
      <c r="AC308" s="57" t="s">
        <v>38</v>
      </c>
      <c r="AD308" s="75" t="s">
        <v>267</v>
      </c>
      <c r="AE308" s="76"/>
      <c r="AF308" s="76"/>
      <c r="AG308" s="76"/>
      <c r="AH308" s="76"/>
      <c r="AI308" s="85"/>
      <c r="AJ308" s="85"/>
      <c r="AK308" s="85"/>
      <c r="AL308" s="85"/>
      <c r="AM308" s="85"/>
      <c r="AN308" s="85"/>
      <c r="AO308" s="85"/>
      <c r="AP308" s="85"/>
      <c r="AQ308" s="85"/>
      <c r="AR308" s="85"/>
      <c r="AS308" s="85"/>
      <c r="AT308" s="85"/>
      <c r="AU308" s="85"/>
      <c r="AV308" s="85"/>
      <c r="AW308" s="85"/>
    </row>
    <row r="309" spans="1:49" ht="31.5" x14ac:dyDescent="0.25">
      <c r="A309" s="57" t="s">
        <v>113</v>
      </c>
      <c r="B309" s="60">
        <v>46051</v>
      </c>
      <c r="C309" s="60">
        <v>46051</v>
      </c>
      <c r="D309" s="61" t="s">
        <v>207</v>
      </c>
      <c r="E309" s="63">
        <v>0.58333333333333337</v>
      </c>
      <c r="F309" s="63">
        <v>0.625</v>
      </c>
      <c r="G309" s="63">
        <v>4.1666666666666664E-2</v>
      </c>
      <c r="H309" s="57" t="s">
        <v>114</v>
      </c>
      <c r="I309" s="67"/>
      <c r="J309" s="57" t="s">
        <v>115</v>
      </c>
      <c r="K309" s="57"/>
      <c r="L309" s="69">
        <v>1</v>
      </c>
      <c r="M309" s="69">
        <v>1</v>
      </c>
      <c r="N309" s="57" t="s">
        <v>33</v>
      </c>
      <c r="O309" s="57"/>
      <c r="P309" s="42">
        <v>0</v>
      </c>
      <c r="Q309" s="69"/>
      <c r="R309" s="42">
        <v>0</v>
      </c>
      <c r="S309" s="57">
        <v>46054</v>
      </c>
      <c r="T309" s="42">
        <v>0</v>
      </c>
      <c r="U309" s="69">
        <v>2</v>
      </c>
      <c r="V309" s="42">
        <v>0</v>
      </c>
      <c r="W309" s="57" t="s">
        <v>34</v>
      </c>
      <c r="X309" s="57" t="s">
        <v>42</v>
      </c>
      <c r="Y309" s="57" t="s">
        <v>36</v>
      </c>
      <c r="Z309" s="57" t="s">
        <v>43</v>
      </c>
      <c r="AA309" s="57" t="s">
        <v>37</v>
      </c>
      <c r="AB309" s="57" t="s">
        <v>37</v>
      </c>
      <c r="AC309" s="57" t="s">
        <v>38</v>
      </c>
      <c r="AD309" s="75" t="s">
        <v>267</v>
      </c>
      <c r="AE309" s="76"/>
      <c r="AF309" s="76"/>
      <c r="AG309" s="76"/>
      <c r="AH309" s="76"/>
      <c r="AI309" s="76"/>
      <c r="AJ309" s="76"/>
      <c r="AK309" s="76"/>
      <c r="AL309" s="76"/>
      <c r="AM309" s="76"/>
      <c r="AN309" s="76"/>
      <c r="AO309" s="76"/>
      <c r="AP309" s="76"/>
      <c r="AQ309" s="76"/>
      <c r="AR309" s="76"/>
      <c r="AS309" s="76"/>
      <c r="AT309" s="76"/>
      <c r="AU309" s="76"/>
      <c r="AV309" s="76"/>
      <c r="AW309" s="76"/>
    </row>
    <row r="310" spans="1:49" ht="31.5" x14ac:dyDescent="0.25">
      <c r="A310" s="57" t="s">
        <v>113</v>
      </c>
      <c r="B310" s="60">
        <v>46051</v>
      </c>
      <c r="C310" s="60">
        <v>46051</v>
      </c>
      <c r="D310" s="61" t="s">
        <v>207</v>
      </c>
      <c r="E310" s="63">
        <v>0.625</v>
      </c>
      <c r="F310" s="63">
        <v>0.64583333333333337</v>
      </c>
      <c r="G310" s="63">
        <v>2.0833333333333332E-2</v>
      </c>
      <c r="H310" s="57" t="s">
        <v>116</v>
      </c>
      <c r="I310" s="67"/>
      <c r="J310" s="57" t="s">
        <v>115</v>
      </c>
      <c r="K310" s="57"/>
      <c r="L310" s="69">
        <v>1</v>
      </c>
      <c r="M310" s="69">
        <v>1</v>
      </c>
      <c r="N310" s="57" t="s">
        <v>33</v>
      </c>
      <c r="O310" s="57"/>
      <c r="P310" s="42">
        <v>0</v>
      </c>
      <c r="Q310" s="69"/>
      <c r="R310" s="42">
        <v>0</v>
      </c>
      <c r="S310" s="57">
        <v>46054</v>
      </c>
      <c r="T310" s="42">
        <v>0</v>
      </c>
      <c r="U310" s="69">
        <v>2</v>
      </c>
      <c r="V310" s="42">
        <v>0</v>
      </c>
      <c r="W310" s="57" t="s">
        <v>34</v>
      </c>
      <c r="X310" s="57" t="s">
        <v>42</v>
      </c>
      <c r="Y310" s="57" t="s">
        <v>36</v>
      </c>
      <c r="Z310" s="57" t="s">
        <v>43</v>
      </c>
      <c r="AA310" s="57" t="s">
        <v>37</v>
      </c>
      <c r="AB310" s="57" t="s">
        <v>37</v>
      </c>
      <c r="AC310" s="57" t="s">
        <v>38</v>
      </c>
      <c r="AD310" s="75" t="s">
        <v>267</v>
      </c>
      <c r="AE310" s="76"/>
      <c r="AF310" s="76"/>
      <c r="AG310" s="76"/>
      <c r="AH310" s="76"/>
      <c r="AI310" s="76"/>
      <c r="AJ310" s="76"/>
      <c r="AK310" s="76"/>
      <c r="AL310" s="76"/>
      <c r="AM310" s="76"/>
      <c r="AN310" s="76"/>
      <c r="AO310" s="76"/>
      <c r="AP310" s="76"/>
      <c r="AQ310" s="76"/>
      <c r="AR310" s="76"/>
      <c r="AS310" s="76"/>
      <c r="AT310" s="76"/>
      <c r="AU310" s="76"/>
      <c r="AV310" s="76"/>
      <c r="AW310" s="76"/>
    </row>
    <row r="311" spans="1:49" ht="31.5" x14ac:dyDescent="0.25">
      <c r="A311" s="57" t="s">
        <v>113</v>
      </c>
      <c r="B311" s="60">
        <v>46051</v>
      </c>
      <c r="C311" s="60">
        <v>46051</v>
      </c>
      <c r="D311" s="61" t="s">
        <v>207</v>
      </c>
      <c r="E311" s="63">
        <v>0.64583333333333337</v>
      </c>
      <c r="F311" s="63">
        <v>0.66666666666666663</v>
      </c>
      <c r="G311" s="63">
        <v>2.0833333333333332E-2</v>
      </c>
      <c r="H311" s="57" t="s">
        <v>117</v>
      </c>
      <c r="I311" s="67"/>
      <c r="J311" s="57" t="s">
        <v>115</v>
      </c>
      <c r="K311" s="57"/>
      <c r="L311" s="69">
        <v>1</v>
      </c>
      <c r="M311" s="69">
        <v>1</v>
      </c>
      <c r="N311" s="57" t="s">
        <v>33</v>
      </c>
      <c r="O311" s="57"/>
      <c r="P311" s="42">
        <v>0</v>
      </c>
      <c r="Q311" s="69"/>
      <c r="R311" s="42">
        <v>0</v>
      </c>
      <c r="S311" s="57">
        <v>46054</v>
      </c>
      <c r="T311" s="42">
        <v>0</v>
      </c>
      <c r="U311" s="69">
        <v>2</v>
      </c>
      <c r="V311" s="42">
        <v>0</v>
      </c>
      <c r="W311" s="57" t="s">
        <v>34</v>
      </c>
      <c r="X311" s="57" t="s">
        <v>42</v>
      </c>
      <c r="Y311" s="57" t="s">
        <v>36</v>
      </c>
      <c r="Z311" s="57" t="s">
        <v>43</v>
      </c>
      <c r="AA311" s="57" t="s">
        <v>37</v>
      </c>
      <c r="AB311" s="57" t="s">
        <v>37</v>
      </c>
      <c r="AC311" s="57" t="s">
        <v>38</v>
      </c>
      <c r="AD311" s="75" t="s">
        <v>267</v>
      </c>
      <c r="AE311" s="76"/>
      <c r="AF311" s="76"/>
      <c r="AG311" s="76"/>
      <c r="AH311" s="76"/>
      <c r="AI311" s="76"/>
      <c r="AJ311" s="76"/>
      <c r="AK311" s="76"/>
      <c r="AL311" s="76"/>
      <c r="AM311" s="76"/>
      <c r="AN311" s="76"/>
      <c r="AO311" s="76"/>
      <c r="AP311" s="76"/>
      <c r="AQ311" s="76"/>
      <c r="AR311" s="76"/>
      <c r="AS311" s="76"/>
      <c r="AT311" s="76"/>
      <c r="AU311" s="76"/>
      <c r="AV311" s="76"/>
      <c r="AW311" s="76"/>
    </row>
    <row r="312" spans="1:49" ht="31.5" x14ac:dyDescent="0.25">
      <c r="A312" s="57" t="s">
        <v>113</v>
      </c>
      <c r="B312" s="60">
        <v>46052</v>
      </c>
      <c r="C312" s="60">
        <v>46052</v>
      </c>
      <c r="D312" s="61" t="s">
        <v>217</v>
      </c>
      <c r="E312" s="63">
        <v>0.58333333333333337</v>
      </c>
      <c r="F312" s="63">
        <v>0.625</v>
      </c>
      <c r="G312" s="63">
        <v>4.1666666666666664E-2</v>
      </c>
      <c r="H312" s="57" t="s">
        <v>114</v>
      </c>
      <c r="I312" s="67"/>
      <c r="J312" s="57" t="s">
        <v>115</v>
      </c>
      <c r="K312" s="57"/>
      <c r="L312" s="69">
        <v>1</v>
      </c>
      <c r="M312" s="69">
        <v>1</v>
      </c>
      <c r="N312" s="57" t="s">
        <v>33</v>
      </c>
      <c r="O312" s="57"/>
      <c r="P312" s="42">
        <v>0</v>
      </c>
      <c r="Q312" s="69"/>
      <c r="R312" s="42">
        <v>0</v>
      </c>
      <c r="S312" s="57">
        <v>46054</v>
      </c>
      <c r="T312" s="42">
        <v>0</v>
      </c>
      <c r="U312" s="69">
        <v>2</v>
      </c>
      <c r="V312" s="42">
        <v>0</v>
      </c>
      <c r="W312" s="57" t="s">
        <v>34</v>
      </c>
      <c r="X312" s="57" t="s">
        <v>42</v>
      </c>
      <c r="Y312" s="57" t="s">
        <v>36</v>
      </c>
      <c r="Z312" s="57" t="s">
        <v>43</v>
      </c>
      <c r="AA312" s="57" t="s">
        <v>37</v>
      </c>
      <c r="AB312" s="57" t="s">
        <v>37</v>
      </c>
      <c r="AC312" s="57" t="s">
        <v>38</v>
      </c>
      <c r="AD312" s="75" t="s">
        <v>267</v>
      </c>
      <c r="AE312" s="76"/>
      <c r="AF312" s="76"/>
      <c r="AG312" s="76"/>
      <c r="AH312" s="76"/>
      <c r="AI312" s="85"/>
      <c r="AJ312" s="85"/>
      <c r="AK312" s="85"/>
      <c r="AL312" s="85"/>
      <c r="AM312" s="85"/>
      <c r="AN312" s="85"/>
      <c r="AO312" s="85"/>
      <c r="AP312" s="85"/>
      <c r="AQ312" s="85"/>
      <c r="AR312" s="85"/>
      <c r="AS312" s="85"/>
      <c r="AT312" s="85"/>
      <c r="AU312" s="85"/>
      <c r="AV312" s="85"/>
      <c r="AW312" s="85"/>
    </row>
    <row r="313" spans="1:49" ht="31.5" x14ac:dyDescent="0.25">
      <c r="A313" s="57" t="s">
        <v>113</v>
      </c>
      <c r="B313" s="60">
        <v>46052</v>
      </c>
      <c r="C313" s="60">
        <v>46052</v>
      </c>
      <c r="D313" s="61" t="s">
        <v>217</v>
      </c>
      <c r="E313" s="63">
        <v>0.625</v>
      </c>
      <c r="F313" s="63">
        <v>0.64583333333333337</v>
      </c>
      <c r="G313" s="63">
        <v>2.0833333333333332E-2</v>
      </c>
      <c r="H313" s="57" t="s">
        <v>116</v>
      </c>
      <c r="I313" s="67"/>
      <c r="J313" s="57" t="s">
        <v>115</v>
      </c>
      <c r="K313" s="57"/>
      <c r="L313" s="69">
        <v>1</v>
      </c>
      <c r="M313" s="69">
        <v>1</v>
      </c>
      <c r="N313" s="57" t="s">
        <v>33</v>
      </c>
      <c r="O313" s="57"/>
      <c r="P313" s="42">
        <v>0</v>
      </c>
      <c r="Q313" s="69"/>
      <c r="R313" s="42">
        <v>0</v>
      </c>
      <c r="S313" s="57">
        <v>46054</v>
      </c>
      <c r="T313" s="42">
        <v>0</v>
      </c>
      <c r="U313" s="69">
        <v>2</v>
      </c>
      <c r="V313" s="42">
        <v>0</v>
      </c>
      <c r="W313" s="57" t="s">
        <v>34</v>
      </c>
      <c r="X313" s="57" t="s">
        <v>42</v>
      </c>
      <c r="Y313" s="57" t="s">
        <v>36</v>
      </c>
      <c r="Z313" s="57" t="s">
        <v>43</v>
      </c>
      <c r="AA313" s="57" t="s">
        <v>37</v>
      </c>
      <c r="AB313" s="57" t="s">
        <v>37</v>
      </c>
      <c r="AC313" s="57" t="s">
        <v>38</v>
      </c>
      <c r="AD313" s="75" t="s">
        <v>267</v>
      </c>
      <c r="AE313" s="80"/>
      <c r="AF313" s="80"/>
      <c r="AG313" s="80"/>
      <c r="AH313" s="80"/>
      <c r="AI313" s="86"/>
      <c r="AJ313" s="86"/>
      <c r="AK313" s="86"/>
      <c r="AL313" s="86"/>
      <c r="AM313" s="86"/>
      <c r="AN313" s="86"/>
      <c r="AO313" s="86"/>
      <c r="AP313" s="86"/>
      <c r="AQ313" s="86"/>
      <c r="AR313" s="86"/>
      <c r="AS313" s="86"/>
      <c r="AT313" s="86"/>
      <c r="AU313" s="86"/>
      <c r="AV313" s="86"/>
      <c r="AW313" s="86"/>
    </row>
    <row r="314" spans="1:49" ht="31.5" x14ac:dyDescent="0.25">
      <c r="A314" s="57" t="s">
        <v>113</v>
      </c>
      <c r="B314" s="60">
        <v>46052</v>
      </c>
      <c r="C314" s="60">
        <v>46052</v>
      </c>
      <c r="D314" s="61" t="s">
        <v>217</v>
      </c>
      <c r="E314" s="63">
        <v>0.64583333333333337</v>
      </c>
      <c r="F314" s="63">
        <v>0.66666666666666663</v>
      </c>
      <c r="G314" s="63">
        <v>2.0833333333333332E-2</v>
      </c>
      <c r="H314" s="57" t="s">
        <v>117</v>
      </c>
      <c r="I314" s="67"/>
      <c r="J314" s="57" t="s">
        <v>115</v>
      </c>
      <c r="K314" s="57"/>
      <c r="L314" s="69">
        <v>1</v>
      </c>
      <c r="M314" s="69">
        <v>1</v>
      </c>
      <c r="N314" s="57" t="s">
        <v>33</v>
      </c>
      <c r="O314" s="57"/>
      <c r="P314" s="42">
        <v>0</v>
      </c>
      <c r="Q314" s="69"/>
      <c r="R314" s="42">
        <v>0</v>
      </c>
      <c r="S314" s="57">
        <v>46054</v>
      </c>
      <c r="T314" s="42">
        <v>0</v>
      </c>
      <c r="U314" s="69">
        <v>2</v>
      </c>
      <c r="V314" s="42">
        <v>0</v>
      </c>
      <c r="W314" s="57" t="s">
        <v>34</v>
      </c>
      <c r="X314" s="57" t="s">
        <v>42</v>
      </c>
      <c r="Y314" s="57" t="s">
        <v>36</v>
      </c>
      <c r="Z314" s="57" t="s">
        <v>43</v>
      </c>
      <c r="AA314" s="57" t="s">
        <v>37</v>
      </c>
      <c r="AB314" s="57" t="s">
        <v>37</v>
      </c>
      <c r="AC314" s="57" t="s">
        <v>38</v>
      </c>
      <c r="AD314" s="75" t="s">
        <v>267</v>
      </c>
      <c r="AE314" s="76"/>
      <c r="AF314" s="76"/>
      <c r="AG314" s="76"/>
      <c r="AH314" s="76"/>
      <c r="AI314" s="85"/>
      <c r="AJ314" s="85"/>
      <c r="AK314" s="85"/>
      <c r="AL314" s="85"/>
      <c r="AM314" s="85"/>
      <c r="AN314" s="85"/>
      <c r="AO314" s="85"/>
      <c r="AP314" s="85"/>
      <c r="AQ314" s="85"/>
      <c r="AR314" s="85"/>
      <c r="AS314" s="85"/>
      <c r="AT314" s="85"/>
      <c r="AU314" s="85"/>
      <c r="AV314" s="85"/>
      <c r="AW314" s="85"/>
    </row>
    <row r="315" spans="1:49" ht="31.5" x14ac:dyDescent="0.2">
      <c r="A315" s="57" t="s">
        <v>68</v>
      </c>
      <c r="B315" s="60">
        <v>46048</v>
      </c>
      <c r="C315" s="60">
        <v>46048</v>
      </c>
      <c r="D315" s="61" t="s">
        <v>30</v>
      </c>
      <c r="E315" s="63">
        <v>0.33333333333333331</v>
      </c>
      <c r="F315" s="63">
        <v>0.375</v>
      </c>
      <c r="G315" s="63">
        <v>4.1666666666666664E-2</v>
      </c>
      <c r="H315" s="57" t="s">
        <v>69</v>
      </c>
      <c r="I315" s="67"/>
      <c r="J315" s="57" t="s">
        <v>70</v>
      </c>
      <c r="K315" s="57"/>
      <c r="L315" s="69">
        <v>1</v>
      </c>
      <c r="M315" s="69">
        <v>1</v>
      </c>
      <c r="N315" s="57" t="s">
        <v>33</v>
      </c>
      <c r="O315" s="57"/>
      <c r="P315" s="42">
        <v>0</v>
      </c>
      <c r="Q315" s="69"/>
      <c r="R315" s="42">
        <v>0</v>
      </c>
      <c r="S315" s="57">
        <v>46054</v>
      </c>
      <c r="T315" s="42">
        <v>0</v>
      </c>
      <c r="U315" s="69">
        <v>2</v>
      </c>
      <c r="V315" s="42">
        <v>0</v>
      </c>
      <c r="W315" s="57" t="s">
        <v>34</v>
      </c>
      <c r="X315" s="57" t="s">
        <v>42</v>
      </c>
      <c r="Y315" s="57" t="s">
        <v>36</v>
      </c>
      <c r="Z315" s="57" t="s">
        <v>43</v>
      </c>
      <c r="AA315" s="57" t="s">
        <v>37</v>
      </c>
      <c r="AB315" s="57" t="s">
        <v>37</v>
      </c>
      <c r="AC315" s="57" t="s">
        <v>38</v>
      </c>
      <c r="AD315" s="75" t="s">
        <v>267</v>
      </c>
      <c r="AE315" s="57"/>
      <c r="AF315" s="57"/>
      <c r="AG315" s="57"/>
      <c r="AH315" s="57"/>
      <c r="AI315" s="57"/>
      <c r="AJ315" s="57"/>
      <c r="AK315" s="57"/>
      <c r="AL315" s="57"/>
      <c r="AM315" s="57"/>
      <c r="AN315" s="57"/>
      <c r="AO315" s="57"/>
      <c r="AP315" s="57"/>
      <c r="AQ315" s="57"/>
      <c r="AR315" s="57"/>
      <c r="AS315" s="57"/>
      <c r="AT315" s="57"/>
      <c r="AU315" s="57"/>
      <c r="AV315" s="57"/>
      <c r="AW315" s="57"/>
    </row>
    <row r="316" spans="1:49" ht="31.5" x14ac:dyDescent="0.2">
      <c r="A316" s="57" t="s">
        <v>68</v>
      </c>
      <c r="B316" s="60">
        <v>46048</v>
      </c>
      <c r="C316" s="60">
        <v>46048</v>
      </c>
      <c r="D316" s="61" t="s">
        <v>30</v>
      </c>
      <c r="E316" s="63">
        <v>0.375</v>
      </c>
      <c r="F316" s="63">
        <v>0.41666666666666669</v>
      </c>
      <c r="G316" s="63">
        <v>4.1666666666666664E-2</v>
      </c>
      <c r="H316" s="57" t="s">
        <v>71</v>
      </c>
      <c r="I316" s="67"/>
      <c r="J316" s="57" t="s">
        <v>70</v>
      </c>
      <c r="K316" s="57"/>
      <c r="L316" s="69">
        <v>1</v>
      </c>
      <c r="M316" s="69">
        <v>1</v>
      </c>
      <c r="N316" s="57" t="s">
        <v>33</v>
      </c>
      <c r="O316" s="57"/>
      <c r="P316" s="42">
        <v>0</v>
      </c>
      <c r="Q316" s="69"/>
      <c r="R316" s="42">
        <v>0</v>
      </c>
      <c r="S316" s="57">
        <v>46054</v>
      </c>
      <c r="T316" s="42">
        <v>0</v>
      </c>
      <c r="U316" s="69">
        <v>2</v>
      </c>
      <c r="V316" s="42">
        <v>0</v>
      </c>
      <c r="W316" s="57" t="s">
        <v>34</v>
      </c>
      <c r="X316" s="57" t="s">
        <v>42</v>
      </c>
      <c r="Y316" s="57" t="s">
        <v>36</v>
      </c>
      <c r="Z316" s="57" t="s">
        <v>43</v>
      </c>
      <c r="AA316" s="57" t="s">
        <v>37</v>
      </c>
      <c r="AB316" s="57" t="s">
        <v>37</v>
      </c>
      <c r="AC316" s="57" t="s">
        <v>38</v>
      </c>
      <c r="AD316" s="75" t="s">
        <v>267</v>
      </c>
      <c r="AE316" s="57"/>
      <c r="AF316" s="57"/>
      <c r="AG316" s="57"/>
      <c r="AH316" s="57"/>
      <c r="AI316" s="57"/>
      <c r="AJ316" s="57"/>
      <c r="AK316" s="57"/>
      <c r="AL316" s="57"/>
      <c r="AM316" s="57"/>
      <c r="AN316" s="57"/>
      <c r="AO316" s="57"/>
      <c r="AP316" s="57"/>
      <c r="AQ316" s="57"/>
      <c r="AR316" s="57"/>
      <c r="AS316" s="57"/>
      <c r="AT316" s="57"/>
      <c r="AU316" s="57"/>
      <c r="AV316" s="57"/>
      <c r="AW316" s="57"/>
    </row>
    <row r="317" spans="1:49" ht="31.5" x14ac:dyDescent="0.25">
      <c r="A317" s="57" t="s">
        <v>68</v>
      </c>
      <c r="B317" s="60">
        <v>46049</v>
      </c>
      <c r="C317" s="60">
        <v>46049</v>
      </c>
      <c r="D317" s="61" t="s">
        <v>166</v>
      </c>
      <c r="E317" s="63">
        <v>0.33333333333333331</v>
      </c>
      <c r="F317" s="63">
        <v>0.375</v>
      </c>
      <c r="G317" s="63">
        <v>4.1666666666666664E-2</v>
      </c>
      <c r="H317" s="57" t="s">
        <v>69</v>
      </c>
      <c r="I317" s="67"/>
      <c r="J317" s="57" t="s">
        <v>70</v>
      </c>
      <c r="K317" s="57"/>
      <c r="L317" s="69">
        <v>1</v>
      </c>
      <c r="M317" s="69">
        <v>1</v>
      </c>
      <c r="N317" s="57" t="s">
        <v>33</v>
      </c>
      <c r="O317" s="57"/>
      <c r="P317" s="42">
        <v>0</v>
      </c>
      <c r="Q317" s="69"/>
      <c r="R317" s="42">
        <v>0</v>
      </c>
      <c r="S317" s="57">
        <v>46054</v>
      </c>
      <c r="T317" s="42">
        <v>0</v>
      </c>
      <c r="U317" s="69">
        <v>2</v>
      </c>
      <c r="V317" s="42">
        <v>0</v>
      </c>
      <c r="W317" s="57" t="s">
        <v>34</v>
      </c>
      <c r="X317" s="57" t="s">
        <v>42</v>
      </c>
      <c r="Y317" s="57" t="s">
        <v>36</v>
      </c>
      <c r="Z317" s="57" t="s">
        <v>43</v>
      </c>
      <c r="AA317" s="57" t="s">
        <v>37</v>
      </c>
      <c r="AB317" s="57" t="s">
        <v>37</v>
      </c>
      <c r="AC317" s="57" t="s">
        <v>38</v>
      </c>
      <c r="AD317" s="75" t="s">
        <v>267</v>
      </c>
      <c r="AE317" s="76"/>
      <c r="AF317" s="76"/>
      <c r="AG317" s="76"/>
      <c r="AH317" s="76"/>
      <c r="AI317" s="76"/>
      <c r="AJ317" s="76"/>
      <c r="AK317" s="76"/>
      <c r="AL317" s="76"/>
      <c r="AM317" s="76"/>
      <c r="AN317" s="76"/>
      <c r="AO317" s="76"/>
      <c r="AP317" s="76"/>
      <c r="AQ317" s="76"/>
      <c r="AR317" s="76"/>
      <c r="AS317" s="76"/>
      <c r="AT317" s="76"/>
      <c r="AU317" s="76"/>
      <c r="AV317" s="76"/>
      <c r="AW317" s="76"/>
    </row>
    <row r="318" spans="1:49" ht="31.5" x14ac:dyDescent="0.25">
      <c r="A318" s="57" t="s">
        <v>68</v>
      </c>
      <c r="B318" s="60">
        <v>46049</v>
      </c>
      <c r="C318" s="60">
        <v>46049</v>
      </c>
      <c r="D318" s="61" t="s">
        <v>166</v>
      </c>
      <c r="E318" s="63">
        <v>0.375</v>
      </c>
      <c r="F318" s="63">
        <v>0.41666666666666669</v>
      </c>
      <c r="G318" s="63">
        <v>4.1666666666666664E-2</v>
      </c>
      <c r="H318" s="57" t="s">
        <v>71</v>
      </c>
      <c r="I318" s="67"/>
      <c r="J318" s="57" t="s">
        <v>70</v>
      </c>
      <c r="K318" s="57"/>
      <c r="L318" s="69">
        <v>1</v>
      </c>
      <c r="M318" s="69">
        <v>1</v>
      </c>
      <c r="N318" s="57" t="s">
        <v>33</v>
      </c>
      <c r="O318" s="57"/>
      <c r="P318" s="42">
        <v>0</v>
      </c>
      <c r="Q318" s="69"/>
      <c r="R318" s="42">
        <v>0</v>
      </c>
      <c r="S318" s="57">
        <v>46054</v>
      </c>
      <c r="T318" s="42">
        <v>0</v>
      </c>
      <c r="U318" s="69">
        <v>2</v>
      </c>
      <c r="V318" s="42">
        <v>0</v>
      </c>
      <c r="W318" s="57" t="s">
        <v>34</v>
      </c>
      <c r="X318" s="57" t="s">
        <v>42</v>
      </c>
      <c r="Y318" s="57" t="s">
        <v>36</v>
      </c>
      <c r="Z318" s="57" t="s">
        <v>43</v>
      </c>
      <c r="AA318" s="57" t="s">
        <v>37</v>
      </c>
      <c r="AB318" s="57" t="s">
        <v>37</v>
      </c>
      <c r="AC318" s="57" t="s">
        <v>38</v>
      </c>
      <c r="AD318" s="75" t="s">
        <v>267</v>
      </c>
      <c r="AE318" s="76"/>
      <c r="AF318" s="76"/>
      <c r="AG318" s="76"/>
      <c r="AH318" s="76"/>
      <c r="AI318" s="76"/>
      <c r="AJ318" s="76"/>
      <c r="AK318" s="76"/>
      <c r="AL318" s="76"/>
      <c r="AM318" s="76"/>
      <c r="AN318" s="76"/>
      <c r="AO318" s="76"/>
      <c r="AP318" s="76"/>
      <c r="AQ318" s="76"/>
      <c r="AR318" s="76"/>
      <c r="AS318" s="76"/>
      <c r="AT318" s="76"/>
      <c r="AU318" s="76"/>
      <c r="AV318" s="76"/>
      <c r="AW318" s="76"/>
    </row>
    <row r="319" spans="1:49" ht="31.5" x14ac:dyDescent="0.2">
      <c r="A319" s="57" t="s">
        <v>68</v>
      </c>
      <c r="B319" s="60">
        <v>46050</v>
      </c>
      <c r="C319" s="60">
        <v>46050</v>
      </c>
      <c r="D319" s="61" t="s">
        <v>196</v>
      </c>
      <c r="E319" s="63">
        <v>0.33333333333333331</v>
      </c>
      <c r="F319" s="63">
        <v>0.375</v>
      </c>
      <c r="G319" s="63">
        <v>4.1666666666666664E-2</v>
      </c>
      <c r="H319" s="57" t="s">
        <v>69</v>
      </c>
      <c r="I319" s="67"/>
      <c r="J319" s="57" t="s">
        <v>70</v>
      </c>
      <c r="K319" s="57"/>
      <c r="L319" s="69">
        <v>1</v>
      </c>
      <c r="M319" s="69">
        <v>1</v>
      </c>
      <c r="N319" s="57" t="s">
        <v>33</v>
      </c>
      <c r="O319" s="57"/>
      <c r="P319" s="42">
        <v>0</v>
      </c>
      <c r="Q319" s="69"/>
      <c r="R319" s="42">
        <v>0</v>
      </c>
      <c r="S319" s="57">
        <v>46054</v>
      </c>
      <c r="T319" s="42">
        <v>0</v>
      </c>
      <c r="U319" s="69">
        <v>2</v>
      </c>
      <c r="V319" s="42">
        <v>0</v>
      </c>
      <c r="W319" s="57" t="s">
        <v>34</v>
      </c>
      <c r="X319" s="57" t="s">
        <v>42</v>
      </c>
      <c r="Y319" s="57" t="s">
        <v>36</v>
      </c>
      <c r="Z319" s="57" t="s">
        <v>43</v>
      </c>
      <c r="AA319" s="57" t="s">
        <v>37</v>
      </c>
      <c r="AB319" s="57" t="s">
        <v>37</v>
      </c>
      <c r="AC319" s="57" t="s">
        <v>38</v>
      </c>
      <c r="AD319" s="75" t="s">
        <v>267</v>
      </c>
      <c r="AE319" s="57"/>
      <c r="AF319" s="57"/>
      <c r="AG319" s="57"/>
      <c r="AH319" s="57"/>
      <c r="AI319" s="57"/>
      <c r="AJ319" s="57"/>
      <c r="AK319" s="57"/>
      <c r="AL319" s="57"/>
      <c r="AM319" s="57"/>
      <c r="AN319" s="57"/>
      <c r="AO319" s="57"/>
      <c r="AP319" s="57"/>
      <c r="AQ319" s="57"/>
      <c r="AR319" s="57"/>
      <c r="AS319" s="57"/>
      <c r="AT319" s="57"/>
      <c r="AU319" s="57"/>
      <c r="AV319" s="57"/>
      <c r="AW319" s="57"/>
    </row>
    <row r="320" spans="1:49" ht="31.5" x14ac:dyDescent="0.2">
      <c r="A320" s="57" t="s">
        <v>68</v>
      </c>
      <c r="B320" s="60">
        <v>46050</v>
      </c>
      <c r="C320" s="60">
        <v>46050</v>
      </c>
      <c r="D320" s="61" t="s">
        <v>196</v>
      </c>
      <c r="E320" s="63">
        <v>0.375</v>
      </c>
      <c r="F320" s="63">
        <v>0.41666666666666669</v>
      </c>
      <c r="G320" s="63">
        <v>4.1666666666666664E-2</v>
      </c>
      <c r="H320" s="57" t="s">
        <v>71</v>
      </c>
      <c r="I320" s="67"/>
      <c r="J320" s="57" t="s">
        <v>70</v>
      </c>
      <c r="K320" s="57"/>
      <c r="L320" s="69">
        <v>1</v>
      </c>
      <c r="M320" s="69">
        <v>1</v>
      </c>
      <c r="N320" s="57" t="s">
        <v>33</v>
      </c>
      <c r="O320" s="57"/>
      <c r="P320" s="42">
        <v>0</v>
      </c>
      <c r="Q320" s="69"/>
      <c r="R320" s="42">
        <v>0</v>
      </c>
      <c r="S320" s="57">
        <v>46054</v>
      </c>
      <c r="T320" s="42">
        <v>0</v>
      </c>
      <c r="U320" s="69">
        <v>2</v>
      </c>
      <c r="V320" s="42">
        <v>0</v>
      </c>
      <c r="W320" s="57" t="s">
        <v>34</v>
      </c>
      <c r="X320" s="57" t="s">
        <v>42</v>
      </c>
      <c r="Y320" s="57" t="s">
        <v>36</v>
      </c>
      <c r="Z320" s="57" t="s">
        <v>43</v>
      </c>
      <c r="AA320" s="57" t="s">
        <v>37</v>
      </c>
      <c r="AB320" s="57" t="s">
        <v>37</v>
      </c>
      <c r="AC320" s="57" t="s">
        <v>38</v>
      </c>
      <c r="AD320" s="75" t="s">
        <v>267</v>
      </c>
      <c r="AE320" s="57"/>
      <c r="AF320" s="57"/>
      <c r="AG320" s="57"/>
      <c r="AH320" s="57"/>
      <c r="AI320" s="57"/>
      <c r="AJ320" s="57"/>
      <c r="AK320" s="57"/>
      <c r="AL320" s="57"/>
      <c r="AM320" s="57"/>
      <c r="AN320" s="57"/>
      <c r="AO320" s="57"/>
      <c r="AP320" s="57"/>
      <c r="AQ320" s="57"/>
      <c r="AR320" s="57"/>
      <c r="AS320" s="57"/>
      <c r="AT320" s="57"/>
      <c r="AU320" s="57"/>
      <c r="AV320" s="57"/>
      <c r="AW320" s="57"/>
    </row>
    <row r="321" spans="1:49" ht="31.5" x14ac:dyDescent="0.25">
      <c r="A321" s="57" t="s">
        <v>68</v>
      </c>
      <c r="B321" s="60">
        <v>46051</v>
      </c>
      <c r="C321" s="60">
        <v>46051</v>
      </c>
      <c r="D321" s="61" t="s">
        <v>207</v>
      </c>
      <c r="E321" s="63">
        <v>0.33333333333333331</v>
      </c>
      <c r="F321" s="63">
        <v>0.375</v>
      </c>
      <c r="G321" s="63">
        <v>4.1666666666666664E-2</v>
      </c>
      <c r="H321" s="57" t="s">
        <v>69</v>
      </c>
      <c r="I321" s="67"/>
      <c r="J321" s="57" t="s">
        <v>70</v>
      </c>
      <c r="K321" s="57"/>
      <c r="L321" s="69">
        <v>1</v>
      </c>
      <c r="M321" s="69">
        <v>1</v>
      </c>
      <c r="N321" s="57" t="s">
        <v>33</v>
      </c>
      <c r="O321" s="57"/>
      <c r="P321" s="42">
        <v>0</v>
      </c>
      <c r="Q321" s="69"/>
      <c r="R321" s="42">
        <v>0</v>
      </c>
      <c r="S321" s="57">
        <v>46054</v>
      </c>
      <c r="T321" s="42">
        <v>0</v>
      </c>
      <c r="U321" s="69">
        <v>2</v>
      </c>
      <c r="V321" s="42">
        <v>0</v>
      </c>
      <c r="W321" s="57" t="s">
        <v>34</v>
      </c>
      <c r="X321" s="57" t="s">
        <v>42</v>
      </c>
      <c r="Y321" s="57" t="s">
        <v>36</v>
      </c>
      <c r="Z321" s="57" t="s">
        <v>43</v>
      </c>
      <c r="AA321" s="57" t="s">
        <v>37</v>
      </c>
      <c r="AB321" s="57" t="s">
        <v>37</v>
      </c>
      <c r="AC321" s="57" t="s">
        <v>38</v>
      </c>
      <c r="AD321" s="75" t="s">
        <v>267</v>
      </c>
      <c r="AE321" s="76"/>
      <c r="AF321" s="76"/>
      <c r="AG321" s="76"/>
      <c r="AH321" s="76"/>
      <c r="AI321" s="76"/>
      <c r="AJ321" s="76"/>
      <c r="AK321" s="76"/>
      <c r="AL321" s="76"/>
      <c r="AM321" s="76"/>
      <c r="AN321" s="76"/>
      <c r="AO321" s="76"/>
      <c r="AP321" s="76"/>
      <c r="AQ321" s="76"/>
      <c r="AR321" s="76"/>
      <c r="AS321" s="76"/>
      <c r="AT321" s="76"/>
      <c r="AU321" s="76"/>
      <c r="AV321" s="76"/>
      <c r="AW321" s="76"/>
    </row>
    <row r="322" spans="1:49" ht="31.5" x14ac:dyDescent="0.25">
      <c r="A322" s="57" t="s">
        <v>68</v>
      </c>
      <c r="B322" s="60">
        <v>46051</v>
      </c>
      <c r="C322" s="60">
        <v>46051</v>
      </c>
      <c r="D322" s="61" t="s">
        <v>207</v>
      </c>
      <c r="E322" s="63">
        <v>0.375</v>
      </c>
      <c r="F322" s="63">
        <v>0.41666666666666669</v>
      </c>
      <c r="G322" s="63">
        <v>4.1666666666666664E-2</v>
      </c>
      <c r="H322" s="57" t="s">
        <v>71</v>
      </c>
      <c r="I322" s="67"/>
      <c r="J322" s="57" t="s">
        <v>70</v>
      </c>
      <c r="K322" s="57"/>
      <c r="L322" s="69">
        <v>1</v>
      </c>
      <c r="M322" s="69">
        <v>1</v>
      </c>
      <c r="N322" s="57" t="s">
        <v>33</v>
      </c>
      <c r="O322" s="57"/>
      <c r="P322" s="42">
        <v>0</v>
      </c>
      <c r="Q322" s="69"/>
      <c r="R322" s="42">
        <v>0</v>
      </c>
      <c r="S322" s="57">
        <v>46054</v>
      </c>
      <c r="T322" s="42">
        <v>0</v>
      </c>
      <c r="U322" s="69">
        <v>2</v>
      </c>
      <c r="V322" s="42">
        <v>0</v>
      </c>
      <c r="W322" s="57" t="s">
        <v>34</v>
      </c>
      <c r="X322" s="57" t="s">
        <v>42</v>
      </c>
      <c r="Y322" s="57" t="s">
        <v>36</v>
      </c>
      <c r="Z322" s="57" t="s">
        <v>43</v>
      </c>
      <c r="AA322" s="57" t="s">
        <v>37</v>
      </c>
      <c r="AB322" s="57" t="s">
        <v>37</v>
      </c>
      <c r="AC322" s="57" t="s">
        <v>38</v>
      </c>
      <c r="AD322" s="75" t="s">
        <v>267</v>
      </c>
      <c r="AE322" s="76"/>
      <c r="AF322" s="76"/>
      <c r="AG322" s="76"/>
      <c r="AH322" s="76"/>
      <c r="AI322" s="76"/>
      <c r="AJ322" s="76"/>
      <c r="AK322" s="76"/>
      <c r="AL322" s="76"/>
      <c r="AM322" s="76"/>
      <c r="AN322" s="76"/>
      <c r="AO322" s="76"/>
      <c r="AP322" s="76"/>
      <c r="AQ322" s="76"/>
      <c r="AR322" s="76"/>
      <c r="AS322" s="76"/>
      <c r="AT322" s="76"/>
      <c r="AU322" s="76"/>
      <c r="AV322" s="76"/>
      <c r="AW322" s="76"/>
    </row>
    <row r="323" spans="1:49" ht="31.5" x14ac:dyDescent="0.2">
      <c r="A323" s="57" t="s">
        <v>68</v>
      </c>
      <c r="B323" s="60">
        <v>46052</v>
      </c>
      <c r="C323" s="60">
        <v>46052</v>
      </c>
      <c r="D323" s="61" t="s">
        <v>217</v>
      </c>
      <c r="E323" s="63">
        <v>0.33333333333333331</v>
      </c>
      <c r="F323" s="63">
        <v>0.375</v>
      </c>
      <c r="G323" s="63">
        <v>4.1666666666666664E-2</v>
      </c>
      <c r="H323" s="57" t="s">
        <v>69</v>
      </c>
      <c r="I323" s="67"/>
      <c r="J323" s="57" t="s">
        <v>70</v>
      </c>
      <c r="K323" s="57"/>
      <c r="L323" s="69">
        <v>1</v>
      </c>
      <c r="M323" s="69">
        <v>1</v>
      </c>
      <c r="N323" s="57" t="s">
        <v>33</v>
      </c>
      <c r="O323" s="57"/>
      <c r="P323" s="42">
        <v>0</v>
      </c>
      <c r="Q323" s="69"/>
      <c r="R323" s="42">
        <v>0</v>
      </c>
      <c r="S323" s="57">
        <v>46054</v>
      </c>
      <c r="T323" s="42">
        <v>0</v>
      </c>
      <c r="U323" s="69">
        <v>2</v>
      </c>
      <c r="V323" s="42">
        <v>0</v>
      </c>
      <c r="W323" s="57" t="s">
        <v>34</v>
      </c>
      <c r="X323" s="57" t="s">
        <v>42</v>
      </c>
      <c r="Y323" s="57" t="s">
        <v>36</v>
      </c>
      <c r="Z323" s="57" t="s">
        <v>43</v>
      </c>
      <c r="AA323" s="57" t="s">
        <v>37</v>
      </c>
      <c r="AB323" s="57" t="s">
        <v>37</v>
      </c>
      <c r="AC323" s="57" t="s">
        <v>38</v>
      </c>
      <c r="AD323" s="75" t="s">
        <v>267</v>
      </c>
      <c r="AE323" s="57"/>
      <c r="AF323" s="57"/>
      <c r="AG323" s="57"/>
      <c r="AH323" s="57"/>
      <c r="AI323" s="57"/>
      <c r="AJ323" s="57"/>
      <c r="AK323" s="57"/>
      <c r="AL323" s="57"/>
      <c r="AM323" s="57"/>
      <c r="AN323" s="57"/>
      <c r="AO323" s="57"/>
      <c r="AP323" s="57"/>
      <c r="AQ323" s="57"/>
      <c r="AR323" s="57"/>
      <c r="AS323" s="57"/>
      <c r="AT323" s="57"/>
      <c r="AU323" s="57"/>
      <c r="AV323" s="57"/>
      <c r="AW323" s="57"/>
    </row>
    <row r="324" spans="1:49" ht="31.5" x14ac:dyDescent="0.2">
      <c r="A324" s="57" t="s">
        <v>68</v>
      </c>
      <c r="B324" s="60">
        <v>46052</v>
      </c>
      <c r="C324" s="60">
        <v>46052</v>
      </c>
      <c r="D324" s="61" t="s">
        <v>217</v>
      </c>
      <c r="E324" s="63">
        <v>0.375</v>
      </c>
      <c r="F324" s="63">
        <v>0.41666666666666669</v>
      </c>
      <c r="G324" s="63">
        <v>4.1666666666666664E-2</v>
      </c>
      <c r="H324" s="57" t="s">
        <v>71</v>
      </c>
      <c r="I324" s="67"/>
      <c r="J324" s="57" t="s">
        <v>70</v>
      </c>
      <c r="K324" s="57"/>
      <c r="L324" s="69">
        <v>1</v>
      </c>
      <c r="M324" s="69">
        <v>1</v>
      </c>
      <c r="N324" s="57" t="s">
        <v>33</v>
      </c>
      <c r="O324" s="57"/>
      <c r="P324" s="42">
        <v>0</v>
      </c>
      <c r="Q324" s="69"/>
      <c r="R324" s="42">
        <v>0</v>
      </c>
      <c r="S324" s="57">
        <v>46054</v>
      </c>
      <c r="T324" s="42">
        <v>0</v>
      </c>
      <c r="U324" s="69">
        <v>2</v>
      </c>
      <c r="V324" s="42">
        <v>0</v>
      </c>
      <c r="W324" s="57" t="s">
        <v>34</v>
      </c>
      <c r="X324" s="57" t="s">
        <v>42</v>
      </c>
      <c r="Y324" s="57" t="s">
        <v>36</v>
      </c>
      <c r="Z324" s="57" t="s">
        <v>43</v>
      </c>
      <c r="AA324" s="57" t="s">
        <v>37</v>
      </c>
      <c r="AB324" s="57" t="s">
        <v>37</v>
      </c>
      <c r="AC324" s="57" t="s">
        <v>38</v>
      </c>
      <c r="AD324" s="75" t="s">
        <v>267</v>
      </c>
      <c r="AE324" s="57"/>
      <c r="AF324" s="57"/>
      <c r="AG324" s="57"/>
      <c r="AH324" s="57"/>
      <c r="AI324" s="57"/>
      <c r="AJ324" s="57"/>
      <c r="AK324" s="57"/>
      <c r="AL324" s="57"/>
      <c r="AM324" s="57"/>
      <c r="AN324" s="57"/>
      <c r="AO324" s="57"/>
      <c r="AP324" s="57"/>
      <c r="AQ324" s="57"/>
      <c r="AR324" s="57"/>
      <c r="AS324" s="57"/>
      <c r="AT324" s="57"/>
      <c r="AU324" s="57"/>
      <c r="AV324" s="57"/>
      <c r="AW324" s="57"/>
    </row>
    <row r="325" spans="1:49" ht="31.5" x14ac:dyDescent="0.25">
      <c r="A325" s="57" t="s">
        <v>68</v>
      </c>
      <c r="B325" s="60">
        <v>46053</v>
      </c>
      <c r="C325" s="60">
        <v>46053</v>
      </c>
      <c r="D325" s="61" t="s">
        <v>224</v>
      </c>
      <c r="E325" s="63">
        <v>0.33333333333333331</v>
      </c>
      <c r="F325" s="63">
        <v>0.41666666666666669</v>
      </c>
      <c r="G325" s="63">
        <v>8.3333333333333329E-2</v>
      </c>
      <c r="H325" s="57" t="s">
        <v>71</v>
      </c>
      <c r="I325" s="67" t="s">
        <v>226</v>
      </c>
      <c r="J325" s="57" t="s">
        <v>70</v>
      </c>
      <c r="K325" s="57"/>
      <c r="L325" s="69">
        <v>1</v>
      </c>
      <c r="M325" s="69">
        <v>1</v>
      </c>
      <c r="N325" s="57" t="s">
        <v>33</v>
      </c>
      <c r="O325" s="57"/>
      <c r="P325" s="42">
        <v>0</v>
      </c>
      <c r="Q325" s="69"/>
      <c r="R325" s="42">
        <v>0</v>
      </c>
      <c r="S325" s="57">
        <v>46054</v>
      </c>
      <c r="T325" s="42">
        <v>0</v>
      </c>
      <c r="U325" s="69">
        <v>2</v>
      </c>
      <c r="V325" s="42">
        <v>0</v>
      </c>
      <c r="W325" s="57" t="s">
        <v>34</v>
      </c>
      <c r="X325" s="57" t="s">
        <v>42</v>
      </c>
      <c r="Y325" s="57" t="s">
        <v>36</v>
      </c>
      <c r="Z325" s="57" t="s">
        <v>43</v>
      </c>
      <c r="AA325" s="57" t="s">
        <v>37</v>
      </c>
      <c r="AB325" s="57" t="s">
        <v>37</v>
      </c>
      <c r="AC325" s="57" t="s">
        <v>38</v>
      </c>
      <c r="AD325" s="75" t="s">
        <v>267</v>
      </c>
      <c r="AE325" s="76"/>
      <c r="AF325" s="76"/>
      <c r="AG325" s="76"/>
      <c r="AH325" s="76"/>
      <c r="AI325" s="85"/>
      <c r="AJ325" s="85"/>
      <c r="AK325" s="85"/>
      <c r="AL325" s="85"/>
      <c r="AM325" s="85"/>
      <c r="AN325" s="85"/>
      <c r="AO325" s="85"/>
      <c r="AP325" s="85"/>
      <c r="AQ325" s="85"/>
      <c r="AR325" s="85"/>
      <c r="AS325" s="85"/>
      <c r="AT325" s="85"/>
      <c r="AU325" s="85"/>
      <c r="AV325" s="85"/>
      <c r="AW325" s="85"/>
    </row>
    <row r="326" spans="1:49" ht="31.5" x14ac:dyDescent="0.25">
      <c r="A326" s="57" t="s">
        <v>68</v>
      </c>
      <c r="B326" s="60">
        <v>46054</v>
      </c>
      <c r="C326" s="60">
        <v>46054</v>
      </c>
      <c r="D326" s="61" t="s">
        <v>249</v>
      </c>
      <c r="E326" s="63">
        <v>0.33333333333333331</v>
      </c>
      <c r="F326" s="63">
        <v>0.41666666666666669</v>
      </c>
      <c r="G326" s="63">
        <v>8.3333333333333329E-2</v>
      </c>
      <c r="H326" s="57" t="s">
        <v>71</v>
      </c>
      <c r="I326" s="67" t="s">
        <v>226</v>
      </c>
      <c r="J326" s="57" t="s">
        <v>70</v>
      </c>
      <c r="K326" s="57"/>
      <c r="L326" s="69">
        <v>1</v>
      </c>
      <c r="M326" s="69">
        <v>1</v>
      </c>
      <c r="N326" s="57" t="s">
        <v>33</v>
      </c>
      <c r="O326" s="57"/>
      <c r="P326" s="42">
        <v>0</v>
      </c>
      <c r="Q326" s="69"/>
      <c r="R326" s="42">
        <v>0</v>
      </c>
      <c r="S326" s="57">
        <v>46054</v>
      </c>
      <c r="T326" s="42">
        <v>0</v>
      </c>
      <c r="U326" s="69">
        <v>2</v>
      </c>
      <c r="V326" s="42">
        <v>0</v>
      </c>
      <c r="W326" s="57" t="s">
        <v>34</v>
      </c>
      <c r="X326" s="57" t="s">
        <v>42</v>
      </c>
      <c r="Y326" s="57" t="s">
        <v>36</v>
      </c>
      <c r="Z326" s="57" t="s">
        <v>43</v>
      </c>
      <c r="AA326" s="57" t="s">
        <v>37</v>
      </c>
      <c r="AB326" s="57" t="s">
        <v>37</v>
      </c>
      <c r="AC326" s="57" t="s">
        <v>38</v>
      </c>
      <c r="AD326" s="75" t="s">
        <v>267</v>
      </c>
      <c r="AE326" s="76"/>
      <c r="AF326" s="76"/>
      <c r="AG326" s="76"/>
      <c r="AH326" s="76"/>
      <c r="AI326" s="76"/>
      <c r="AJ326" s="76"/>
      <c r="AK326" s="76"/>
      <c r="AL326" s="76"/>
      <c r="AM326" s="76"/>
      <c r="AN326" s="76"/>
      <c r="AO326" s="76"/>
      <c r="AP326" s="76"/>
      <c r="AQ326" s="76"/>
      <c r="AR326" s="76"/>
      <c r="AS326" s="76"/>
      <c r="AT326" s="76"/>
      <c r="AU326" s="76"/>
      <c r="AV326" s="76"/>
      <c r="AW326" s="76"/>
    </row>
    <row r="327" spans="1:49" ht="63" x14ac:dyDescent="0.25">
      <c r="A327" s="57" t="s">
        <v>250</v>
      </c>
      <c r="B327" s="60">
        <v>46054</v>
      </c>
      <c r="C327" s="60">
        <v>46054</v>
      </c>
      <c r="D327" s="61" t="s">
        <v>249</v>
      </c>
      <c r="E327" s="63">
        <v>0.25</v>
      </c>
      <c r="F327" s="63">
        <v>0.29166666666666669</v>
      </c>
      <c r="G327" s="63">
        <v>4.1666666666666664E-2</v>
      </c>
      <c r="H327" s="57" t="s">
        <v>251</v>
      </c>
      <c r="I327" s="67"/>
      <c r="J327" s="57" t="s">
        <v>32</v>
      </c>
      <c r="K327" s="57" t="s">
        <v>251</v>
      </c>
      <c r="L327" s="69">
        <v>1</v>
      </c>
      <c r="M327" s="69">
        <v>1</v>
      </c>
      <c r="N327" s="57" t="s">
        <v>33</v>
      </c>
      <c r="O327" s="57"/>
      <c r="P327" s="72">
        <v>183.33333333333334</v>
      </c>
      <c r="Q327" s="69"/>
      <c r="R327" s="42">
        <v>183.33333333333334</v>
      </c>
      <c r="S327" s="57">
        <v>46054</v>
      </c>
      <c r="T327" s="42">
        <v>27.5</v>
      </c>
      <c r="U327" s="69">
        <v>1</v>
      </c>
      <c r="V327" s="42">
        <v>155.83333333333334</v>
      </c>
      <c r="W327" s="57" t="s">
        <v>252</v>
      </c>
      <c r="X327" s="57" t="s">
        <v>35</v>
      </c>
      <c r="Y327" s="57" t="s">
        <v>36</v>
      </c>
      <c r="Z327" s="57" t="s">
        <v>9</v>
      </c>
      <c r="AA327" s="57" t="s">
        <v>49</v>
      </c>
      <c r="AB327" s="57" t="s">
        <v>37</v>
      </c>
      <c r="AC327" s="57" t="s">
        <v>38</v>
      </c>
      <c r="AD327" s="75" t="s">
        <v>267</v>
      </c>
      <c r="AE327" s="80"/>
      <c r="AF327" s="80"/>
      <c r="AG327" s="80"/>
      <c r="AH327" s="80"/>
      <c r="AI327" s="86"/>
      <c r="AJ327" s="86"/>
      <c r="AK327" s="86"/>
      <c r="AL327" s="86"/>
      <c r="AM327" s="86"/>
      <c r="AN327" s="86"/>
      <c r="AO327" s="86"/>
      <c r="AP327" s="86"/>
      <c r="AQ327" s="86"/>
      <c r="AR327" s="86"/>
      <c r="AS327" s="86"/>
      <c r="AT327" s="86"/>
      <c r="AU327" s="86"/>
      <c r="AV327" s="86"/>
      <c r="AW327" s="86"/>
    </row>
    <row r="328" spans="1:49" ht="31.5" x14ac:dyDescent="0.2">
      <c r="A328" s="56" t="s">
        <v>44</v>
      </c>
      <c r="B328" s="59">
        <v>46048</v>
      </c>
      <c r="C328" s="59">
        <v>46048</v>
      </c>
      <c r="D328" s="56" t="s">
        <v>30</v>
      </c>
      <c r="E328" s="62">
        <v>0.25</v>
      </c>
      <c r="F328" s="62">
        <v>0.99930555555555556</v>
      </c>
      <c r="G328" s="62">
        <v>3.4722222222222218E-4</v>
      </c>
      <c r="H328" s="56" t="s">
        <v>45</v>
      </c>
      <c r="I328" s="66">
        <v>0.83253472222222225</v>
      </c>
      <c r="J328" s="56" t="s">
        <v>41</v>
      </c>
      <c r="K328" s="56" t="s">
        <v>156</v>
      </c>
      <c r="L328" s="68">
        <v>1</v>
      </c>
      <c r="M328" s="68">
        <v>70983</v>
      </c>
      <c r="N328" s="56" t="s">
        <v>46</v>
      </c>
      <c r="O328" s="68" t="s">
        <v>38</v>
      </c>
      <c r="P328" s="70">
        <v>0</v>
      </c>
      <c r="Q328" s="68"/>
      <c r="R328" s="70">
        <v>0</v>
      </c>
      <c r="S328" s="73">
        <v>46054</v>
      </c>
      <c r="T328" s="70">
        <v>0</v>
      </c>
      <c r="U328" s="74">
        <v>4</v>
      </c>
      <c r="V328" s="70">
        <v>0</v>
      </c>
      <c r="W328" s="56" t="s">
        <v>47</v>
      </c>
      <c r="X328" s="56" t="s">
        <v>48</v>
      </c>
      <c r="Y328" s="56" t="s">
        <v>36</v>
      </c>
      <c r="Z328" s="56" t="s">
        <v>9</v>
      </c>
      <c r="AA328" s="56" t="s">
        <v>49</v>
      </c>
      <c r="AB328" s="56" t="s">
        <v>50</v>
      </c>
      <c r="AC328" s="56" t="s">
        <v>38</v>
      </c>
      <c r="AD328" s="75" t="s">
        <v>267</v>
      </c>
      <c r="AE328" s="57"/>
      <c r="AF328" s="57"/>
      <c r="AG328" s="57"/>
      <c r="AH328" s="57"/>
      <c r="AI328" s="57"/>
      <c r="AJ328" s="57"/>
      <c r="AK328" s="57"/>
      <c r="AL328" s="57"/>
      <c r="AM328" s="57"/>
      <c r="AN328" s="57"/>
      <c r="AO328" s="57"/>
      <c r="AP328" s="57"/>
      <c r="AQ328" s="57"/>
      <c r="AR328" s="57"/>
      <c r="AS328" s="57"/>
      <c r="AT328" s="57"/>
      <c r="AU328" s="57"/>
      <c r="AV328" s="57"/>
      <c r="AW328" s="57"/>
    </row>
    <row r="329" spans="1:49" ht="31.5" x14ac:dyDescent="0.25">
      <c r="A329" s="56" t="s">
        <v>44</v>
      </c>
      <c r="B329" s="59">
        <v>46048</v>
      </c>
      <c r="C329" s="59">
        <v>46048</v>
      </c>
      <c r="D329" s="56" t="s">
        <v>30</v>
      </c>
      <c r="E329" s="62">
        <v>0.45833333333333331</v>
      </c>
      <c r="F329" s="62">
        <v>0.5</v>
      </c>
      <c r="G329" s="62">
        <v>3.4722222222222218E-4</v>
      </c>
      <c r="H329" s="56" t="s">
        <v>92</v>
      </c>
      <c r="I329" s="66">
        <v>0.46307870370370369</v>
      </c>
      <c r="J329" s="56" t="s">
        <v>80</v>
      </c>
      <c r="K329" s="56" t="s">
        <v>76</v>
      </c>
      <c r="L329" s="68">
        <v>1</v>
      </c>
      <c r="M329" s="68">
        <v>70998</v>
      </c>
      <c r="N329" s="56" t="s">
        <v>53</v>
      </c>
      <c r="O329" s="68" t="s">
        <v>38</v>
      </c>
      <c r="P329" s="70">
        <v>58.82</v>
      </c>
      <c r="Q329" s="68"/>
      <c r="R329" s="70">
        <v>58.82</v>
      </c>
      <c r="S329" s="73">
        <v>46054</v>
      </c>
      <c r="T329" s="70">
        <v>4.4115000000000002</v>
      </c>
      <c r="U329" s="74">
        <v>4</v>
      </c>
      <c r="V329" s="70">
        <v>54.408500000000004</v>
      </c>
      <c r="W329" s="56" t="s">
        <v>47</v>
      </c>
      <c r="X329" s="56" t="s">
        <v>48</v>
      </c>
      <c r="Y329" s="56" t="s">
        <v>36</v>
      </c>
      <c r="Z329" s="56" t="s">
        <v>9</v>
      </c>
      <c r="AA329" s="56" t="s">
        <v>49</v>
      </c>
      <c r="AB329" s="56" t="s">
        <v>50</v>
      </c>
      <c r="AC329" s="56" t="s">
        <v>38</v>
      </c>
      <c r="AD329" s="75" t="s">
        <v>267</v>
      </c>
      <c r="AE329" s="76"/>
      <c r="AF329" s="76"/>
      <c r="AG329" s="76"/>
      <c r="AH329" s="76"/>
      <c r="AI329" s="76"/>
      <c r="AJ329" s="76"/>
      <c r="AK329" s="76"/>
      <c r="AL329" s="76"/>
      <c r="AM329" s="76"/>
      <c r="AN329" s="76"/>
      <c r="AO329" s="76"/>
      <c r="AP329" s="76"/>
      <c r="AQ329" s="76"/>
      <c r="AR329" s="76"/>
      <c r="AS329" s="76"/>
      <c r="AT329" s="76"/>
      <c r="AU329" s="76"/>
      <c r="AV329" s="76"/>
      <c r="AW329" s="76"/>
    </row>
    <row r="330" spans="1:49" ht="31.5" x14ac:dyDescent="0.25">
      <c r="A330" s="56" t="s">
        <v>44</v>
      </c>
      <c r="B330" s="59">
        <v>46048</v>
      </c>
      <c r="C330" s="59">
        <v>46048</v>
      </c>
      <c r="D330" s="56" t="s">
        <v>30</v>
      </c>
      <c r="E330" s="62">
        <v>0.79166666666666663</v>
      </c>
      <c r="F330" s="62">
        <v>0.83333333333333337</v>
      </c>
      <c r="G330" s="62">
        <v>3.4722222222222218E-4</v>
      </c>
      <c r="H330" s="56" t="s">
        <v>45</v>
      </c>
      <c r="I330" s="66">
        <v>0.81138888888888894</v>
      </c>
      <c r="J330" s="56" t="s">
        <v>132</v>
      </c>
      <c r="K330" s="56" t="s">
        <v>131</v>
      </c>
      <c r="L330" s="68">
        <v>1</v>
      </c>
      <c r="M330" s="68">
        <v>70979</v>
      </c>
      <c r="N330" s="56" t="s">
        <v>53</v>
      </c>
      <c r="O330" s="68" t="s">
        <v>38</v>
      </c>
      <c r="P330" s="70">
        <v>58.82</v>
      </c>
      <c r="Q330" s="68"/>
      <c r="R330" s="70">
        <v>58.82</v>
      </c>
      <c r="S330" s="73">
        <v>46054</v>
      </c>
      <c r="T330" s="70">
        <v>4.4115000000000002</v>
      </c>
      <c r="U330" s="74">
        <v>4</v>
      </c>
      <c r="V330" s="70">
        <v>54.408500000000004</v>
      </c>
      <c r="W330" s="56" t="s">
        <v>47</v>
      </c>
      <c r="X330" s="56" t="s">
        <v>48</v>
      </c>
      <c r="Y330" s="56" t="s">
        <v>36</v>
      </c>
      <c r="Z330" s="56" t="s">
        <v>9</v>
      </c>
      <c r="AA330" s="56" t="s">
        <v>49</v>
      </c>
      <c r="AB330" s="56" t="s">
        <v>50</v>
      </c>
      <c r="AC330" s="56" t="s">
        <v>38</v>
      </c>
      <c r="AD330" s="75" t="s">
        <v>267</v>
      </c>
      <c r="AE330" s="76"/>
      <c r="AF330" s="76"/>
      <c r="AG330" s="76"/>
      <c r="AH330" s="76"/>
      <c r="AI330" s="85"/>
      <c r="AJ330" s="85"/>
      <c r="AK330" s="85"/>
      <c r="AL330" s="85"/>
      <c r="AM330" s="85"/>
      <c r="AN330" s="85"/>
      <c r="AO330" s="85"/>
      <c r="AP330" s="85"/>
      <c r="AQ330" s="85"/>
      <c r="AR330" s="85"/>
      <c r="AS330" s="85"/>
      <c r="AT330" s="85"/>
      <c r="AU330" s="85"/>
      <c r="AV330" s="85"/>
      <c r="AW330" s="85"/>
    </row>
    <row r="331" spans="1:49" ht="31.5" x14ac:dyDescent="0.25">
      <c r="A331" s="56" t="s">
        <v>44</v>
      </c>
      <c r="B331" s="59">
        <v>46049</v>
      </c>
      <c r="C331" s="59">
        <v>46049</v>
      </c>
      <c r="D331" s="56" t="s">
        <v>166</v>
      </c>
      <c r="E331" s="62">
        <v>0.33333333333333331</v>
      </c>
      <c r="F331" s="62">
        <v>0.41666666666666669</v>
      </c>
      <c r="G331" s="62">
        <v>3.4722222222222218E-4</v>
      </c>
      <c r="H331" s="56" t="s">
        <v>172</v>
      </c>
      <c r="I331" s="66">
        <v>0.36715277777777783</v>
      </c>
      <c r="J331" s="56" t="s">
        <v>70</v>
      </c>
      <c r="K331" s="56" t="s">
        <v>69</v>
      </c>
      <c r="L331" s="68">
        <v>1</v>
      </c>
      <c r="M331" s="68">
        <v>70996</v>
      </c>
      <c r="N331" s="56" t="s">
        <v>46</v>
      </c>
      <c r="O331" s="68" t="s">
        <v>38</v>
      </c>
      <c r="P331" s="70">
        <v>0</v>
      </c>
      <c r="Q331" s="68"/>
      <c r="R331" s="70">
        <v>0</v>
      </c>
      <c r="S331" s="73">
        <v>46054</v>
      </c>
      <c r="T331" s="70">
        <v>0</v>
      </c>
      <c r="U331" s="74">
        <v>4</v>
      </c>
      <c r="V331" s="70">
        <v>0</v>
      </c>
      <c r="W331" s="56" t="s">
        <v>47</v>
      </c>
      <c r="X331" s="56" t="s">
        <v>48</v>
      </c>
      <c r="Y331" s="56" t="s">
        <v>36</v>
      </c>
      <c r="Z331" s="56" t="s">
        <v>9</v>
      </c>
      <c r="AA331" s="56" t="s">
        <v>49</v>
      </c>
      <c r="AB331" s="56" t="s">
        <v>50</v>
      </c>
      <c r="AC331" s="56" t="s">
        <v>38</v>
      </c>
      <c r="AD331" s="75" t="s">
        <v>267</v>
      </c>
      <c r="AE331" s="76"/>
      <c r="AF331" s="76"/>
      <c r="AG331" s="76"/>
      <c r="AH331" s="76"/>
      <c r="AI331" s="76"/>
      <c r="AJ331" s="76"/>
      <c r="AK331" s="76"/>
      <c r="AL331" s="76"/>
      <c r="AM331" s="76"/>
      <c r="AN331" s="76"/>
      <c r="AO331" s="76"/>
      <c r="AP331" s="76"/>
      <c r="AQ331" s="76"/>
      <c r="AR331" s="76"/>
      <c r="AS331" s="76"/>
      <c r="AT331" s="76"/>
      <c r="AU331" s="76"/>
      <c r="AV331" s="76"/>
      <c r="AW331" s="76"/>
    </row>
    <row r="332" spans="1:49" ht="31.5" x14ac:dyDescent="0.25">
      <c r="A332" s="56" t="s">
        <v>44</v>
      </c>
      <c r="B332" s="59">
        <v>46049</v>
      </c>
      <c r="C332" s="59">
        <v>46049</v>
      </c>
      <c r="D332" s="56" t="s">
        <v>166</v>
      </c>
      <c r="E332" s="62">
        <v>0.45833333333333331</v>
      </c>
      <c r="F332" s="62">
        <v>0.54166666666666663</v>
      </c>
      <c r="G332" s="62">
        <v>3.4722222222222218E-4</v>
      </c>
      <c r="H332" s="56" t="s">
        <v>92</v>
      </c>
      <c r="I332" s="66">
        <v>0.4739814814814815</v>
      </c>
      <c r="J332" s="56" t="s">
        <v>80</v>
      </c>
      <c r="K332" s="56" t="s">
        <v>175</v>
      </c>
      <c r="L332" s="68">
        <v>1</v>
      </c>
      <c r="M332" s="68">
        <v>71000</v>
      </c>
      <c r="N332" s="56" t="s">
        <v>46</v>
      </c>
      <c r="O332" s="68" t="s">
        <v>38</v>
      </c>
      <c r="P332" s="70">
        <v>0</v>
      </c>
      <c r="Q332" s="68"/>
      <c r="R332" s="70">
        <v>0</v>
      </c>
      <c r="S332" s="73">
        <v>46054</v>
      </c>
      <c r="T332" s="70">
        <v>0</v>
      </c>
      <c r="U332" s="74">
        <v>4</v>
      </c>
      <c r="V332" s="70">
        <v>0</v>
      </c>
      <c r="W332" s="56" t="s">
        <v>47</v>
      </c>
      <c r="X332" s="56" t="s">
        <v>48</v>
      </c>
      <c r="Y332" s="56" t="s">
        <v>36</v>
      </c>
      <c r="Z332" s="56" t="s">
        <v>9</v>
      </c>
      <c r="AA332" s="56" t="s">
        <v>49</v>
      </c>
      <c r="AB332" s="56" t="s">
        <v>50</v>
      </c>
      <c r="AC332" s="56" t="s">
        <v>38</v>
      </c>
      <c r="AD332" s="75" t="s">
        <v>267</v>
      </c>
      <c r="AE332" s="76"/>
      <c r="AF332" s="76"/>
      <c r="AG332" s="76"/>
      <c r="AH332" s="76"/>
      <c r="AI332" s="85"/>
      <c r="AJ332" s="85"/>
      <c r="AK332" s="85"/>
      <c r="AL332" s="85"/>
      <c r="AM332" s="85"/>
      <c r="AN332" s="85"/>
      <c r="AO332" s="85"/>
      <c r="AP332" s="85"/>
      <c r="AQ332" s="85"/>
      <c r="AR332" s="85"/>
      <c r="AS332" s="85"/>
      <c r="AT332" s="85"/>
      <c r="AU332" s="85"/>
      <c r="AV332" s="85"/>
      <c r="AW332" s="85"/>
    </row>
    <row r="333" spans="1:49" ht="31.5" x14ac:dyDescent="0.25">
      <c r="A333" s="56" t="s">
        <v>44</v>
      </c>
      <c r="B333" s="59">
        <v>46049</v>
      </c>
      <c r="C333" s="59">
        <v>46049</v>
      </c>
      <c r="D333" s="56" t="s">
        <v>166</v>
      </c>
      <c r="E333" s="62">
        <v>0.66666666666666663</v>
      </c>
      <c r="F333" s="62">
        <v>0.79166666666666663</v>
      </c>
      <c r="G333" s="62">
        <v>3.4722222222222218E-4</v>
      </c>
      <c r="H333" s="56" t="s">
        <v>181</v>
      </c>
      <c r="I333" s="66">
        <v>0.6741783564814815</v>
      </c>
      <c r="J333" s="56" t="s">
        <v>120</v>
      </c>
      <c r="K333" s="56" t="s">
        <v>119</v>
      </c>
      <c r="L333" s="68">
        <v>1</v>
      </c>
      <c r="M333" s="68">
        <v>70990</v>
      </c>
      <c r="N333" s="56" t="s">
        <v>53</v>
      </c>
      <c r="O333" s="68" t="s">
        <v>38</v>
      </c>
      <c r="P333" s="70">
        <v>58.82</v>
      </c>
      <c r="Q333" s="68"/>
      <c r="R333" s="70">
        <v>58.82</v>
      </c>
      <c r="S333" s="73">
        <v>46054</v>
      </c>
      <c r="T333" s="70">
        <v>4.4115000000000002</v>
      </c>
      <c r="U333" s="74">
        <v>4</v>
      </c>
      <c r="V333" s="70">
        <v>54.408500000000004</v>
      </c>
      <c r="W333" s="56" t="s">
        <v>47</v>
      </c>
      <c r="X333" s="56" t="s">
        <v>48</v>
      </c>
      <c r="Y333" s="56" t="s">
        <v>36</v>
      </c>
      <c r="Z333" s="56" t="s">
        <v>9</v>
      </c>
      <c r="AA333" s="56" t="s">
        <v>49</v>
      </c>
      <c r="AB333" s="56" t="s">
        <v>50</v>
      </c>
      <c r="AC333" s="56" t="s">
        <v>38</v>
      </c>
      <c r="AD333" s="75" t="s">
        <v>267</v>
      </c>
      <c r="AE333" s="76"/>
      <c r="AF333" s="76"/>
      <c r="AG333" s="76"/>
      <c r="AH333" s="76"/>
      <c r="AI333" s="86"/>
      <c r="AJ333" s="86"/>
      <c r="AK333" s="86"/>
      <c r="AL333" s="86"/>
      <c r="AM333" s="86"/>
      <c r="AN333" s="86"/>
      <c r="AO333" s="86"/>
      <c r="AP333" s="86"/>
      <c r="AQ333" s="86"/>
      <c r="AR333" s="86"/>
      <c r="AS333" s="86"/>
      <c r="AT333" s="86"/>
      <c r="AU333" s="86"/>
      <c r="AV333" s="86"/>
      <c r="AW333" s="86"/>
    </row>
    <row r="334" spans="1:49" ht="31.5" x14ac:dyDescent="0.25">
      <c r="A334" s="56" t="s">
        <v>44</v>
      </c>
      <c r="B334" s="59">
        <v>46049</v>
      </c>
      <c r="C334" s="59">
        <v>46049</v>
      </c>
      <c r="D334" s="56" t="s">
        <v>166</v>
      </c>
      <c r="E334" s="62">
        <v>0.66666666666666663</v>
      </c>
      <c r="F334" s="62">
        <v>0.79166666666666663</v>
      </c>
      <c r="G334" s="62">
        <v>3.4722222222222218E-4</v>
      </c>
      <c r="H334" s="56" t="s">
        <v>181</v>
      </c>
      <c r="I334" s="66">
        <v>0.68629953703703706</v>
      </c>
      <c r="J334" s="56" t="s">
        <v>120</v>
      </c>
      <c r="K334" s="56" t="s">
        <v>119</v>
      </c>
      <c r="L334" s="68">
        <v>1</v>
      </c>
      <c r="M334" s="68">
        <v>70992</v>
      </c>
      <c r="N334" s="56" t="s">
        <v>46</v>
      </c>
      <c r="O334" s="68" t="s">
        <v>38</v>
      </c>
      <c r="P334" s="70">
        <v>0</v>
      </c>
      <c r="Q334" s="68"/>
      <c r="R334" s="70">
        <v>0</v>
      </c>
      <c r="S334" s="73">
        <v>46054</v>
      </c>
      <c r="T334" s="70">
        <v>0</v>
      </c>
      <c r="U334" s="74">
        <v>4</v>
      </c>
      <c r="V334" s="70">
        <v>0</v>
      </c>
      <c r="W334" s="56" t="s">
        <v>47</v>
      </c>
      <c r="X334" s="56" t="s">
        <v>48</v>
      </c>
      <c r="Y334" s="56" t="s">
        <v>36</v>
      </c>
      <c r="Z334" s="56" t="s">
        <v>9</v>
      </c>
      <c r="AA334" s="56" t="s">
        <v>49</v>
      </c>
      <c r="AB334" s="56" t="s">
        <v>50</v>
      </c>
      <c r="AC334" s="56" t="s">
        <v>38</v>
      </c>
      <c r="AD334" s="75" t="s">
        <v>267</v>
      </c>
      <c r="AE334" s="76"/>
      <c r="AF334" s="76"/>
      <c r="AG334" s="76"/>
      <c r="AH334" s="76"/>
      <c r="AI334" s="86"/>
      <c r="AJ334" s="86"/>
      <c r="AK334" s="86"/>
      <c r="AL334" s="86"/>
      <c r="AM334" s="86"/>
      <c r="AN334" s="86"/>
      <c r="AO334" s="86"/>
      <c r="AP334" s="86"/>
      <c r="AQ334" s="86"/>
      <c r="AR334" s="86"/>
      <c r="AS334" s="86"/>
      <c r="AT334" s="86"/>
      <c r="AU334" s="86"/>
      <c r="AV334" s="86"/>
      <c r="AW334" s="86"/>
    </row>
    <row r="335" spans="1:49" ht="31.5" x14ac:dyDescent="0.2">
      <c r="A335" s="56" t="s">
        <v>44</v>
      </c>
      <c r="B335" s="59">
        <v>46049</v>
      </c>
      <c r="C335" s="59">
        <v>46049</v>
      </c>
      <c r="D335" s="56" t="s">
        <v>166</v>
      </c>
      <c r="E335" s="62">
        <v>0.79166666666666663</v>
      </c>
      <c r="F335" s="62">
        <v>0.83333333333333337</v>
      </c>
      <c r="G335" s="62">
        <v>3.4722222222222218E-4</v>
      </c>
      <c r="H335" s="56" t="s">
        <v>45</v>
      </c>
      <c r="I335" s="66">
        <v>0.82255798611111108</v>
      </c>
      <c r="J335" s="56" t="s">
        <v>132</v>
      </c>
      <c r="K335" s="56" t="s">
        <v>156</v>
      </c>
      <c r="L335" s="68">
        <v>1</v>
      </c>
      <c r="M335" s="68">
        <v>70979</v>
      </c>
      <c r="N335" s="56" t="s">
        <v>53</v>
      </c>
      <c r="O335" s="68" t="s">
        <v>38</v>
      </c>
      <c r="P335" s="70">
        <v>58.82</v>
      </c>
      <c r="Q335" s="68"/>
      <c r="R335" s="70">
        <v>58.82</v>
      </c>
      <c r="S335" s="73">
        <v>46054</v>
      </c>
      <c r="T335" s="70">
        <v>4.4115000000000002</v>
      </c>
      <c r="U335" s="74">
        <v>4</v>
      </c>
      <c r="V335" s="70">
        <v>54.408500000000004</v>
      </c>
      <c r="W335" s="56" t="s">
        <v>47</v>
      </c>
      <c r="X335" s="56" t="s">
        <v>48</v>
      </c>
      <c r="Y335" s="56" t="s">
        <v>36</v>
      </c>
      <c r="Z335" s="56" t="s">
        <v>9</v>
      </c>
      <c r="AA335" s="56" t="s">
        <v>49</v>
      </c>
      <c r="AB335" s="56" t="s">
        <v>50</v>
      </c>
      <c r="AC335" s="56" t="s">
        <v>38</v>
      </c>
      <c r="AD335" s="75" t="s">
        <v>267</v>
      </c>
      <c r="AE335" s="57"/>
      <c r="AF335" s="57"/>
      <c r="AG335" s="57"/>
      <c r="AH335" s="57"/>
      <c r="AI335" s="57"/>
      <c r="AJ335" s="57"/>
      <c r="AK335" s="57"/>
      <c r="AL335" s="57"/>
      <c r="AM335" s="57"/>
      <c r="AN335" s="57"/>
      <c r="AO335" s="57"/>
      <c r="AP335" s="57"/>
      <c r="AQ335" s="57"/>
      <c r="AR335" s="57"/>
      <c r="AS335" s="57"/>
      <c r="AT335" s="57"/>
      <c r="AU335" s="57"/>
      <c r="AV335" s="57"/>
      <c r="AW335" s="57"/>
    </row>
    <row r="336" spans="1:49" ht="31.5" x14ac:dyDescent="0.25">
      <c r="A336" s="56" t="s">
        <v>44</v>
      </c>
      <c r="B336" s="59">
        <v>46050</v>
      </c>
      <c r="C336" s="59">
        <v>46050</v>
      </c>
      <c r="D336" s="56" t="s">
        <v>196</v>
      </c>
      <c r="E336" s="62">
        <v>0.33333333333333331</v>
      </c>
      <c r="F336" s="62">
        <v>0.41666666666666669</v>
      </c>
      <c r="G336" s="62">
        <v>3.4722222222222218E-4</v>
      </c>
      <c r="H336" s="56" t="s">
        <v>172</v>
      </c>
      <c r="I336" s="66">
        <v>0.40705069444444447</v>
      </c>
      <c r="J336" s="56" t="s">
        <v>70</v>
      </c>
      <c r="K336" s="56" t="s">
        <v>71</v>
      </c>
      <c r="L336" s="68">
        <v>1</v>
      </c>
      <c r="M336" s="68">
        <v>70994</v>
      </c>
      <c r="N336" s="56" t="s">
        <v>53</v>
      </c>
      <c r="O336" s="68" t="s">
        <v>38</v>
      </c>
      <c r="P336" s="70">
        <v>58.82</v>
      </c>
      <c r="Q336" s="68"/>
      <c r="R336" s="70">
        <v>58.82</v>
      </c>
      <c r="S336" s="73">
        <v>46054</v>
      </c>
      <c r="T336" s="70">
        <v>4.4115000000000002</v>
      </c>
      <c r="U336" s="74">
        <v>4</v>
      </c>
      <c r="V336" s="70">
        <v>54.408500000000004</v>
      </c>
      <c r="W336" s="56" t="s">
        <v>47</v>
      </c>
      <c r="X336" s="56" t="s">
        <v>48</v>
      </c>
      <c r="Y336" s="56" t="s">
        <v>36</v>
      </c>
      <c r="Z336" s="56" t="s">
        <v>9</v>
      </c>
      <c r="AA336" s="56" t="s">
        <v>49</v>
      </c>
      <c r="AB336" s="56" t="s">
        <v>50</v>
      </c>
      <c r="AC336" s="56" t="s">
        <v>38</v>
      </c>
      <c r="AD336" s="75" t="s">
        <v>267</v>
      </c>
      <c r="AE336" s="80"/>
      <c r="AF336" s="80"/>
      <c r="AG336" s="80"/>
      <c r="AH336" s="80"/>
      <c r="AI336" s="86"/>
      <c r="AJ336" s="86"/>
      <c r="AK336" s="86"/>
      <c r="AL336" s="86"/>
      <c r="AM336" s="86"/>
      <c r="AN336" s="86"/>
      <c r="AO336" s="86"/>
      <c r="AP336" s="86"/>
      <c r="AQ336" s="86"/>
      <c r="AR336" s="86"/>
      <c r="AS336" s="86"/>
      <c r="AT336" s="86"/>
      <c r="AU336" s="86"/>
      <c r="AV336" s="86"/>
      <c r="AW336" s="86"/>
    </row>
    <row r="337" spans="1:49" ht="31.5" x14ac:dyDescent="0.25">
      <c r="A337" s="56" t="s">
        <v>44</v>
      </c>
      <c r="B337" s="59">
        <v>46050</v>
      </c>
      <c r="C337" s="59">
        <v>46050</v>
      </c>
      <c r="D337" s="56" t="s">
        <v>196</v>
      </c>
      <c r="E337" s="62">
        <v>0.45833333333333331</v>
      </c>
      <c r="F337" s="62">
        <v>0.5</v>
      </c>
      <c r="G337" s="62">
        <v>3.4722222222222218E-4</v>
      </c>
      <c r="H337" s="56" t="s">
        <v>92</v>
      </c>
      <c r="I337" s="66">
        <v>0.47769675925925925</v>
      </c>
      <c r="J337" s="56" t="s">
        <v>80</v>
      </c>
      <c r="K337" s="56" t="s">
        <v>175</v>
      </c>
      <c r="L337" s="68">
        <v>1</v>
      </c>
      <c r="M337" s="68">
        <v>70998</v>
      </c>
      <c r="N337" s="56" t="s">
        <v>53</v>
      </c>
      <c r="O337" s="68" t="s">
        <v>38</v>
      </c>
      <c r="P337" s="70">
        <v>58.82</v>
      </c>
      <c r="Q337" s="68"/>
      <c r="R337" s="70">
        <v>58.82</v>
      </c>
      <c r="S337" s="73">
        <v>46054</v>
      </c>
      <c r="T337" s="70">
        <v>4.4115000000000002</v>
      </c>
      <c r="U337" s="74">
        <v>4</v>
      </c>
      <c r="V337" s="70">
        <v>54.408500000000004</v>
      </c>
      <c r="W337" s="56" t="s">
        <v>47</v>
      </c>
      <c r="X337" s="56" t="s">
        <v>48</v>
      </c>
      <c r="Y337" s="56" t="s">
        <v>36</v>
      </c>
      <c r="Z337" s="56" t="s">
        <v>9</v>
      </c>
      <c r="AA337" s="56" t="s">
        <v>49</v>
      </c>
      <c r="AB337" s="56" t="s">
        <v>50</v>
      </c>
      <c r="AC337" s="56" t="s">
        <v>38</v>
      </c>
      <c r="AD337" s="75" t="s">
        <v>267</v>
      </c>
      <c r="AE337" s="76"/>
      <c r="AF337" s="76"/>
      <c r="AG337" s="76"/>
      <c r="AH337" s="76"/>
      <c r="AI337" s="76"/>
      <c r="AJ337" s="76"/>
      <c r="AK337" s="76"/>
      <c r="AL337" s="76"/>
      <c r="AM337" s="76"/>
      <c r="AN337" s="76"/>
      <c r="AO337" s="76"/>
      <c r="AP337" s="76"/>
      <c r="AQ337" s="76"/>
      <c r="AR337" s="76"/>
      <c r="AS337" s="76"/>
      <c r="AT337" s="76"/>
      <c r="AU337" s="76"/>
      <c r="AV337" s="76"/>
      <c r="AW337" s="76"/>
    </row>
    <row r="338" spans="1:49" ht="31.5" x14ac:dyDescent="0.25">
      <c r="A338" s="56" t="s">
        <v>44</v>
      </c>
      <c r="B338" s="59">
        <v>46050</v>
      </c>
      <c r="C338" s="59">
        <v>46050</v>
      </c>
      <c r="D338" s="56" t="s">
        <v>196</v>
      </c>
      <c r="E338" s="62">
        <v>0.83333333333333337</v>
      </c>
      <c r="F338" s="62">
        <v>0.875</v>
      </c>
      <c r="G338" s="62">
        <v>3.4722222222222218E-4</v>
      </c>
      <c r="H338" s="56" t="s">
        <v>205</v>
      </c>
      <c r="I338" s="66">
        <v>0.85372893518518511</v>
      </c>
      <c r="J338" s="56" t="s">
        <v>41</v>
      </c>
      <c r="K338" s="56" t="s">
        <v>157</v>
      </c>
      <c r="L338" s="68">
        <v>1</v>
      </c>
      <c r="M338" s="68">
        <v>70981</v>
      </c>
      <c r="N338" s="56" t="s">
        <v>53</v>
      </c>
      <c r="O338" s="68" t="s">
        <v>38</v>
      </c>
      <c r="P338" s="70">
        <v>58.82</v>
      </c>
      <c r="Q338" s="68"/>
      <c r="R338" s="70">
        <v>58.82</v>
      </c>
      <c r="S338" s="73">
        <v>46054</v>
      </c>
      <c r="T338" s="70">
        <v>4.4115000000000002</v>
      </c>
      <c r="U338" s="74">
        <v>4</v>
      </c>
      <c r="V338" s="70">
        <v>54.408500000000004</v>
      </c>
      <c r="W338" s="56" t="s">
        <v>47</v>
      </c>
      <c r="X338" s="56" t="s">
        <v>48</v>
      </c>
      <c r="Y338" s="56" t="s">
        <v>36</v>
      </c>
      <c r="Z338" s="56" t="s">
        <v>9</v>
      </c>
      <c r="AA338" s="56" t="s">
        <v>49</v>
      </c>
      <c r="AB338" s="56" t="s">
        <v>50</v>
      </c>
      <c r="AC338" s="56" t="s">
        <v>38</v>
      </c>
      <c r="AD338" s="75" t="s">
        <v>267</v>
      </c>
      <c r="AE338" s="76"/>
      <c r="AF338" s="76"/>
      <c r="AG338" s="76"/>
      <c r="AH338" s="76"/>
      <c r="AI338" s="76"/>
      <c r="AJ338" s="76"/>
      <c r="AK338" s="76"/>
      <c r="AL338" s="76"/>
      <c r="AM338" s="76"/>
      <c r="AN338" s="76"/>
      <c r="AO338" s="76"/>
      <c r="AP338" s="76"/>
      <c r="AQ338" s="76"/>
      <c r="AR338" s="76"/>
      <c r="AS338" s="76"/>
      <c r="AT338" s="76"/>
      <c r="AU338" s="76"/>
      <c r="AV338" s="76"/>
      <c r="AW338" s="76"/>
    </row>
    <row r="339" spans="1:49" ht="31.5" x14ac:dyDescent="0.2">
      <c r="A339" s="56" t="s">
        <v>44</v>
      </c>
      <c r="B339" s="59">
        <v>46051</v>
      </c>
      <c r="C339" s="59">
        <v>46051</v>
      </c>
      <c r="D339" s="56" t="s">
        <v>207</v>
      </c>
      <c r="E339" s="62">
        <v>0.25</v>
      </c>
      <c r="F339" s="62">
        <v>0.99930555555555556</v>
      </c>
      <c r="G339" s="62">
        <v>3.4722222222222218E-4</v>
      </c>
      <c r="H339" s="56" t="s">
        <v>45</v>
      </c>
      <c r="I339" s="66">
        <v>0.81189907407407413</v>
      </c>
      <c r="J339" s="56" t="s">
        <v>41</v>
      </c>
      <c r="K339" s="56" t="s">
        <v>131</v>
      </c>
      <c r="L339" s="68">
        <v>1</v>
      </c>
      <c r="M339" s="68">
        <v>70983</v>
      </c>
      <c r="N339" s="56" t="s">
        <v>46</v>
      </c>
      <c r="O339" s="68" t="s">
        <v>38</v>
      </c>
      <c r="P339" s="70">
        <v>0</v>
      </c>
      <c r="Q339" s="68"/>
      <c r="R339" s="70">
        <v>0</v>
      </c>
      <c r="S339" s="73">
        <v>46054</v>
      </c>
      <c r="T339" s="70">
        <v>0</v>
      </c>
      <c r="U339" s="74">
        <v>4</v>
      </c>
      <c r="V339" s="70">
        <v>0</v>
      </c>
      <c r="W339" s="56" t="s">
        <v>47</v>
      </c>
      <c r="X339" s="56" t="s">
        <v>48</v>
      </c>
      <c r="Y339" s="56" t="s">
        <v>36</v>
      </c>
      <c r="Z339" s="56" t="s">
        <v>9</v>
      </c>
      <c r="AA339" s="56" t="s">
        <v>49</v>
      </c>
      <c r="AB339" s="56" t="s">
        <v>50</v>
      </c>
      <c r="AC339" s="56" t="s">
        <v>38</v>
      </c>
      <c r="AD339" s="75" t="s">
        <v>267</v>
      </c>
      <c r="AE339" s="57"/>
      <c r="AF339" s="57"/>
      <c r="AG339" s="57"/>
      <c r="AH339" s="57"/>
      <c r="AI339" s="57"/>
      <c r="AJ339" s="57"/>
      <c r="AK339" s="57"/>
      <c r="AL339" s="57"/>
      <c r="AM339" s="57"/>
      <c r="AN339" s="57"/>
      <c r="AO339" s="57"/>
      <c r="AP339" s="57"/>
      <c r="AQ339" s="57"/>
      <c r="AR339" s="57"/>
      <c r="AS339" s="57"/>
      <c r="AT339" s="57"/>
      <c r="AU339" s="57"/>
      <c r="AV339" s="57"/>
      <c r="AW339" s="57"/>
    </row>
    <row r="340" spans="1:49" ht="31.5" x14ac:dyDescent="0.25">
      <c r="A340" s="56" t="s">
        <v>44</v>
      </c>
      <c r="B340" s="59">
        <v>46051</v>
      </c>
      <c r="C340" s="59">
        <v>46051</v>
      </c>
      <c r="D340" s="56" t="s">
        <v>207</v>
      </c>
      <c r="E340" s="62">
        <v>0.33333333333333331</v>
      </c>
      <c r="F340" s="62">
        <v>0.41666666666666669</v>
      </c>
      <c r="G340" s="62">
        <v>3.4722222222222218E-4</v>
      </c>
      <c r="H340" s="56" t="s">
        <v>172</v>
      </c>
      <c r="I340" s="66">
        <v>0.39980324074074075</v>
      </c>
      <c r="J340" s="56" t="s">
        <v>70</v>
      </c>
      <c r="K340" s="56" t="s">
        <v>71</v>
      </c>
      <c r="L340" s="68">
        <v>1</v>
      </c>
      <c r="M340" s="68">
        <v>70994</v>
      </c>
      <c r="N340" s="56" t="s">
        <v>53</v>
      </c>
      <c r="O340" s="68" t="s">
        <v>38</v>
      </c>
      <c r="P340" s="70">
        <v>58.82</v>
      </c>
      <c r="Q340" s="68"/>
      <c r="R340" s="70">
        <v>58.82</v>
      </c>
      <c r="S340" s="73">
        <v>46054</v>
      </c>
      <c r="T340" s="70">
        <v>4.4115000000000002</v>
      </c>
      <c r="U340" s="74">
        <v>4</v>
      </c>
      <c r="V340" s="70">
        <v>54.408500000000004</v>
      </c>
      <c r="W340" s="56" t="s">
        <v>47</v>
      </c>
      <c r="X340" s="56" t="s">
        <v>48</v>
      </c>
      <c r="Y340" s="56" t="s">
        <v>36</v>
      </c>
      <c r="Z340" s="56" t="s">
        <v>9</v>
      </c>
      <c r="AA340" s="56" t="s">
        <v>49</v>
      </c>
      <c r="AB340" s="56" t="s">
        <v>50</v>
      </c>
      <c r="AC340" s="56" t="s">
        <v>38</v>
      </c>
      <c r="AD340" s="75" t="s">
        <v>267</v>
      </c>
      <c r="AE340" s="76"/>
      <c r="AF340" s="76"/>
      <c r="AG340" s="76"/>
      <c r="AH340" s="76"/>
      <c r="AI340" s="76"/>
      <c r="AJ340" s="76"/>
      <c r="AK340" s="76"/>
      <c r="AL340" s="76"/>
      <c r="AM340" s="76"/>
      <c r="AN340" s="76"/>
      <c r="AO340" s="76"/>
      <c r="AP340" s="76"/>
      <c r="AQ340" s="76"/>
      <c r="AR340" s="76"/>
      <c r="AS340" s="76"/>
      <c r="AT340" s="76"/>
      <c r="AU340" s="76"/>
      <c r="AV340" s="76"/>
      <c r="AW340" s="76"/>
    </row>
    <row r="341" spans="1:49" ht="31.5" x14ac:dyDescent="0.25">
      <c r="A341" s="56" t="s">
        <v>44</v>
      </c>
      <c r="B341" s="59">
        <v>46051</v>
      </c>
      <c r="C341" s="59">
        <v>46051</v>
      </c>
      <c r="D341" s="56" t="s">
        <v>207</v>
      </c>
      <c r="E341" s="62">
        <v>0.66666666666666663</v>
      </c>
      <c r="F341" s="62">
        <v>0.79166666666666663</v>
      </c>
      <c r="G341" s="62">
        <v>3.4722222222222218E-4</v>
      </c>
      <c r="H341" s="56" t="s">
        <v>181</v>
      </c>
      <c r="I341" s="66">
        <v>0.71980648148148152</v>
      </c>
      <c r="J341" s="56" t="s">
        <v>120</v>
      </c>
      <c r="K341" s="56" t="s">
        <v>216</v>
      </c>
      <c r="L341" s="68">
        <v>1</v>
      </c>
      <c r="M341" s="68">
        <v>70992</v>
      </c>
      <c r="N341" s="56" t="s">
        <v>46</v>
      </c>
      <c r="O341" s="68" t="s">
        <v>38</v>
      </c>
      <c r="P341" s="70">
        <v>0</v>
      </c>
      <c r="Q341" s="68"/>
      <c r="R341" s="70">
        <v>0</v>
      </c>
      <c r="S341" s="73">
        <v>46054</v>
      </c>
      <c r="T341" s="70">
        <v>0</v>
      </c>
      <c r="U341" s="74">
        <v>4</v>
      </c>
      <c r="V341" s="70">
        <v>0</v>
      </c>
      <c r="W341" s="56" t="s">
        <v>47</v>
      </c>
      <c r="X341" s="56" t="s">
        <v>48</v>
      </c>
      <c r="Y341" s="56" t="s">
        <v>36</v>
      </c>
      <c r="Z341" s="56" t="s">
        <v>9</v>
      </c>
      <c r="AA341" s="56" t="s">
        <v>49</v>
      </c>
      <c r="AB341" s="56" t="s">
        <v>50</v>
      </c>
      <c r="AC341" s="56" t="s">
        <v>38</v>
      </c>
      <c r="AD341" s="75" t="s">
        <v>267</v>
      </c>
      <c r="AE341" s="76"/>
      <c r="AF341" s="76"/>
      <c r="AG341" s="76"/>
      <c r="AH341" s="76"/>
      <c r="AI341" s="76"/>
      <c r="AJ341" s="76"/>
      <c r="AK341" s="76"/>
      <c r="AL341" s="76"/>
      <c r="AM341" s="76"/>
      <c r="AN341" s="76"/>
      <c r="AO341" s="76"/>
      <c r="AP341" s="76"/>
      <c r="AQ341" s="76"/>
      <c r="AR341" s="76"/>
      <c r="AS341" s="76"/>
      <c r="AT341" s="76"/>
      <c r="AU341" s="76"/>
      <c r="AV341" s="76"/>
      <c r="AW341" s="76"/>
    </row>
    <row r="342" spans="1:49" ht="31.5" x14ac:dyDescent="0.25">
      <c r="A342" s="56" t="s">
        <v>44</v>
      </c>
      <c r="B342" s="59">
        <v>46051</v>
      </c>
      <c r="C342" s="59">
        <v>46051</v>
      </c>
      <c r="D342" s="56" t="s">
        <v>207</v>
      </c>
      <c r="E342" s="62">
        <v>0.66666666666666663</v>
      </c>
      <c r="F342" s="62">
        <v>0.79166666666666663</v>
      </c>
      <c r="G342" s="62">
        <v>3.4722222222222218E-4</v>
      </c>
      <c r="H342" s="56" t="s">
        <v>181</v>
      </c>
      <c r="I342" s="66">
        <v>0.78266446759259267</v>
      </c>
      <c r="J342" s="56" t="s">
        <v>120</v>
      </c>
      <c r="K342" s="56" t="s">
        <v>155</v>
      </c>
      <c r="L342" s="68">
        <v>1</v>
      </c>
      <c r="M342" s="68">
        <v>70990</v>
      </c>
      <c r="N342" s="56" t="s">
        <v>53</v>
      </c>
      <c r="O342" s="68" t="s">
        <v>38</v>
      </c>
      <c r="P342" s="70">
        <v>58.82</v>
      </c>
      <c r="Q342" s="68"/>
      <c r="R342" s="70">
        <v>58.82</v>
      </c>
      <c r="S342" s="73">
        <v>46054</v>
      </c>
      <c r="T342" s="70">
        <v>4.4115000000000002</v>
      </c>
      <c r="U342" s="74">
        <v>4</v>
      </c>
      <c r="V342" s="70">
        <v>54.408500000000004</v>
      </c>
      <c r="W342" s="56" t="s">
        <v>47</v>
      </c>
      <c r="X342" s="56" t="s">
        <v>48</v>
      </c>
      <c r="Y342" s="56" t="s">
        <v>36</v>
      </c>
      <c r="Z342" s="56" t="s">
        <v>9</v>
      </c>
      <c r="AA342" s="56" t="s">
        <v>49</v>
      </c>
      <c r="AB342" s="56" t="s">
        <v>50</v>
      </c>
      <c r="AC342" s="56" t="s">
        <v>38</v>
      </c>
      <c r="AD342" s="75" t="s">
        <v>267</v>
      </c>
      <c r="AE342" s="76"/>
      <c r="AF342" s="76"/>
      <c r="AG342" s="76"/>
      <c r="AH342" s="76"/>
      <c r="AI342" s="85"/>
      <c r="AJ342" s="85"/>
      <c r="AK342" s="85"/>
      <c r="AL342" s="85"/>
      <c r="AM342" s="85"/>
      <c r="AN342" s="85"/>
      <c r="AO342" s="85"/>
      <c r="AP342" s="85"/>
      <c r="AQ342" s="85"/>
      <c r="AR342" s="85"/>
      <c r="AS342" s="85"/>
      <c r="AT342" s="85"/>
      <c r="AU342" s="85"/>
      <c r="AV342" s="85"/>
      <c r="AW342" s="85"/>
    </row>
    <row r="343" spans="1:49" ht="31.5" x14ac:dyDescent="0.25">
      <c r="A343" s="56" t="s">
        <v>44</v>
      </c>
      <c r="B343" s="59">
        <v>46051</v>
      </c>
      <c r="C343" s="59">
        <v>46051</v>
      </c>
      <c r="D343" s="56" t="s">
        <v>207</v>
      </c>
      <c r="E343" s="62">
        <v>0.79166666666666663</v>
      </c>
      <c r="F343" s="62">
        <v>0.83333333333333337</v>
      </c>
      <c r="G343" s="62">
        <v>3.4722222222222218E-4</v>
      </c>
      <c r="H343" s="56" t="s">
        <v>45</v>
      </c>
      <c r="I343" s="66">
        <v>0.80004803240740729</v>
      </c>
      <c r="J343" s="56" t="s">
        <v>132</v>
      </c>
      <c r="K343" s="56" t="s">
        <v>131</v>
      </c>
      <c r="L343" s="68">
        <v>1</v>
      </c>
      <c r="M343" s="68">
        <v>70979</v>
      </c>
      <c r="N343" s="56" t="s">
        <v>53</v>
      </c>
      <c r="O343" s="68" t="s">
        <v>38</v>
      </c>
      <c r="P343" s="70">
        <v>58.82</v>
      </c>
      <c r="Q343" s="68"/>
      <c r="R343" s="70">
        <v>58.82</v>
      </c>
      <c r="S343" s="73">
        <v>46054</v>
      </c>
      <c r="T343" s="70">
        <v>4.4115000000000002</v>
      </c>
      <c r="U343" s="74">
        <v>4</v>
      </c>
      <c r="V343" s="70">
        <v>54.408500000000004</v>
      </c>
      <c r="W343" s="56" t="s">
        <v>47</v>
      </c>
      <c r="X343" s="56" t="s">
        <v>48</v>
      </c>
      <c r="Y343" s="56" t="s">
        <v>36</v>
      </c>
      <c r="Z343" s="56" t="s">
        <v>9</v>
      </c>
      <c r="AA343" s="56" t="s">
        <v>49</v>
      </c>
      <c r="AB343" s="56" t="s">
        <v>50</v>
      </c>
      <c r="AC343" s="56" t="s">
        <v>38</v>
      </c>
      <c r="AD343" s="75" t="s">
        <v>267</v>
      </c>
      <c r="AE343" s="79"/>
      <c r="AF343" s="79"/>
      <c r="AG343" s="79"/>
      <c r="AH343" s="79"/>
      <c r="AI343" s="86"/>
      <c r="AJ343" s="86"/>
      <c r="AK343" s="86"/>
      <c r="AL343" s="86"/>
      <c r="AM343" s="86"/>
      <c r="AN343" s="86"/>
      <c r="AO343" s="86"/>
      <c r="AP343" s="86"/>
      <c r="AQ343" s="86"/>
      <c r="AR343" s="86"/>
      <c r="AS343" s="86"/>
      <c r="AT343" s="86"/>
      <c r="AU343" s="86"/>
      <c r="AV343" s="86"/>
      <c r="AW343" s="86"/>
    </row>
    <row r="344" spans="1:49" ht="31.5" x14ac:dyDescent="0.25">
      <c r="A344" s="56" t="s">
        <v>44</v>
      </c>
      <c r="B344" s="59">
        <v>46051</v>
      </c>
      <c r="C344" s="59">
        <v>46051</v>
      </c>
      <c r="D344" s="56" t="s">
        <v>207</v>
      </c>
      <c r="E344" s="62">
        <v>0.83333333333333337</v>
      </c>
      <c r="F344" s="62">
        <v>0.875</v>
      </c>
      <c r="G344" s="62">
        <v>3.4722222222222218E-4</v>
      </c>
      <c r="H344" s="56" t="s">
        <v>205</v>
      </c>
      <c r="I344" s="66">
        <v>0.87152905092592592</v>
      </c>
      <c r="J344" s="56" t="s">
        <v>41</v>
      </c>
      <c r="K344" s="56" t="s">
        <v>157</v>
      </c>
      <c r="L344" s="68">
        <v>1</v>
      </c>
      <c r="M344" s="68">
        <v>70981</v>
      </c>
      <c r="N344" s="56" t="s">
        <v>53</v>
      </c>
      <c r="O344" s="68" t="s">
        <v>38</v>
      </c>
      <c r="P344" s="70">
        <v>58.82</v>
      </c>
      <c r="Q344" s="68"/>
      <c r="R344" s="70">
        <v>58.82</v>
      </c>
      <c r="S344" s="73">
        <v>46054</v>
      </c>
      <c r="T344" s="70">
        <v>4.4115000000000002</v>
      </c>
      <c r="U344" s="74">
        <v>4</v>
      </c>
      <c r="V344" s="70">
        <v>54.408500000000004</v>
      </c>
      <c r="W344" s="56" t="s">
        <v>47</v>
      </c>
      <c r="X344" s="56" t="s">
        <v>48</v>
      </c>
      <c r="Y344" s="56" t="s">
        <v>36</v>
      </c>
      <c r="Z344" s="56" t="s">
        <v>9</v>
      </c>
      <c r="AA344" s="56" t="s">
        <v>49</v>
      </c>
      <c r="AB344" s="56" t="s">
        <v>50</v>
      </c>
      <c r="AC344" s="56" t="s">
        <v>38</v>
      </c>
      <c r="AD344" s="75" t="s">
        <v>267</v>
      </c>
      <c r="AE344" s="76"/>
      <c r="AF344" s="76"/>
      <c r="AG344" s="76"/>
      <c r="AH344" s="76"/>
      <c r="AI344" s="76"/>
      <c r="AJ344" s="76"/>
      <c r="AK344" s="76"/>
      <c r="AL344" s="76"/>
      <c r="AM344" s="76"/>
      <c r="AN344" s="76"/>
      <c r="AO344" s="76"/>
      <c r="AP344" s="76"/>
      <c r="AQ344" s="76"/>
      <c r="AR344" s="76"/>
      <c r="AS344" s="76"/>
      <c r="AT344" s="76"/>
      <c r="AU344" s="76"/>
      <c r="AV344" s="76"/>
      <c r="AW344" s="76"/>
    </row>
    <row r="345" spans="1:49" ht="31.5" x14ac:dyDescent="0.2">
      <c r="A345" s="56" t="s">
        <v>44</v>
      </c>
      <c r="B345" s="59">
        <v>46052</v>
      </c>
      <c r="C345" s="59">
        <v>46052</v>
      </c>
      <c r="D345" s="56" t="s">
        <v>217</v>
      </c>
      <c r="E345" s="62">
        <v>0.33333333333333331</v>
      </c>
      <c r="F345" s="62">
        <v>0.41666666666666669</v>
      </c>
      <c r="G345" s="62">
        <v>3.4722222222222218E-4</v>
      </c>
      <c r="H345" s="56" t="s">
        <v>172</v>
      </c>
      <c r="I345" s="66">
        <v>0.3805324074074074</v>
      </c>
      <c r="J345" s="56" t="s">
        <v>70</v>
      </c>
      <c r="K345" s="56" t="s">
        <v>71</v>
      </c>
      <c r="L345" s="68">
        <v>1</v>
      </c>
      <c r="M345" s="68">
        <v>70996</v>
      </c>
      <c r="N345" s="56" t="s">
        <v>46</v>
      </c>
      <c r="O345" s="68" t="s">
        <v>38</v>
      </c>
      <c r="P345" s="70">
        <v>0</v>
      </c>
      <c r="Q345" s="68"/>
      <c r="R345" s="70">
        <v>0</v>
      </c>
      <c r="S345" s="73">
        <v>46054</v>
      </c>
      <c r="T345" s="70">
        <v>0</v>
      </c>
      <c r="U345" s="74">
        <v>4</v>
      </c>
      <c r="V345" s="70">
        <v>0</v>
      </c>
      <c r="W345" s="56" t="s">
        <v>47</v>
      </c>
      <c r="X345" s="56" t="s">
        <v>48</v>
      </c>
      <c r="Y345" s="56" t="s">
        <v>36</v>
      </c>
      <c r="Z345" s="56" t="s">
        <v>9</v>
      </c>
      <c r="AA345" s="56" t="s">
        <v>49</v>
      </c>
      <c r="AB345" s="56" t="s">
        <v>50</v>
      </c>
      <c r="AC345" s="56" t="s">
        <v>38</v>
      </c>
      <c r="AD345" s="75" t="s">
        <v>267</v>
      </c>
      <c r="AE345" s="57"/>
      <c r="AF345" s="57"/>
      <c r="AG345" s="57"/>
      <c r="AH345" s="57"/>
      <c r="AI345" s="57"/>
      <c r="AJ345" s="57"/>
      <c r="AK345" s="57"/>
      <c r="AL345" s="57"/>
      <c r="AM345" s="57"/>
      <c r="AN345" s="57"/>
      <c r="AO345" s="57"/>
      <c r="AP345" s="57"/>
      <c r="AQ345" s="57"/>
      <c r="AR345" s="57"/>
      <c r="AS345" s="57"/>
      <c r="AT345" s="57"/>
      <c r="AU345" s="57"/>
      <c r="AV345" s="57"/>
      <c r="AW345" s="57"/>
    </row>
    <row r="346" spans="1:49" ht="31.5" x14ac:dyDescent="0.25">
      <c r="A346" s="56" t="s">
        <v>44</v>
      </c>
      <c r="B346" s="59">
        <v>46052</v>
      </c>
      <c r="C346" s="59">
        <v>46052</v>
      </c>
      <c r="D346" s="56" t="s">
        <v>217</v>
      </c>
      <c r="E346" s="62">
        <v>0.66666666666666663</v>
      </c>
      <c r="F346" s="62">
        <v>0.79166666666666663</v>
      </c>
      <c r="G346" s="62">
        <v>3.4722222222222218E-4</v>
      </c>
      <c r="H346" s="56" t="s">
        <v>181</v>
      </c>
      <c r="I346" s="66">
        <v>0.68706354166666672</v>
      </c>
      <c r="J346" s="56" t="s">
        <v>120</v>
      </c>
      <c r="K346" s="56" t="s">
        <v>119</v>
      </c>
      <c r="L346" s="68">
        <v>1</v>
      </c>
      <c r="M346" s="68">
        <v>70990</v>
      </c>
      <c r="N346" s="56" t="s">
        <v>53</v>
      </c>
      <c r="O346" s="68" t="s">
        <v>38</v>
      </c>
      <c r="P346" s="70">
        <v>58.82</v>
      </c>
      <c r="Q346" s="68"/>
      <c r="R346" s="70">
        <v>58.82</v>
      </c>
      <c r="S346" s="73">
        <v>46054</v>
      </c>
      <c r="T346" s="70">
        <v>4.4115000000000002</v>
      </c>
      <c r="U346" s="74">
        <v>4</v>
      </c>
      <c r="V346" s="70">
        <v>54.408500000000004</v>
      </c>
      <c r="W346" s="56" t="s">
        <v>47</v>
      </c>
      <c r="X346" s="56" t="s">
        <v>48</v>
      </c>
      <c r="Y346" s="56" t="s">
        <v>36</v>
      </c>
      <c r="Z346" s="56" t="s">
        <v>9</v>
      </c>
      <c r="AA346" s="56" t="s">
        <v>49</v>
      </c>
      <c r="AB346" s="56" t="s">
        <v>50</v>
      </c>
      <c r="AC346" s="56" t="s">
        <v>38</v>
      </c>
      <c r="AD346" s="75" t="s">
        <v>267</v>
      </c>
      <c r="AE346" s="76"/>
      <c r="AF346" s="76"/>
      <c r="AG346" s="76"/>
      <c r="AH346" s="76"/>
      <c r="AI346" s="76"/>
      <c r="AJ346" s="76"/>
      <c r="AK346" s="76"/>
      <c r="AL346" s="76"/>
      <c r="AM346" s="76"/>
      <c r="AN346" s="76"/>
      <c r="AO346" s="76"/>
      <c r="AP346" s="76"/>
      <c r="AQ346" s="76"/>
      <c r="AR346" s="76"/>
      <c r="AS346" s="76"/>
      <c r="AT346" s="76"/>
      <c r="AU346" s="76"/>
      <c r="AV346" s="76"/>
      <c r="AW346" s="76"/>
    </row>
    <row r="347" spans="1:49" ht="31.5" x14ac:dyDescent="0.25">
      <c r="A347" s="56" t="s">
        <v>44</v>
      </c>
      <c r="B347" s="59">
        <v>46052</v>
      </c>
      <c r="C347" s="59">
        <v>46052</v>
      </c>
      <c r="D347" s="56" t="s">
        <v>217</v>
      </c>
      <c r="E347" s="62">
        <v>0.66666666666666663</v>
      </c>
      <c r="F347" s="62">
        <v>0.79166666666666663</v>
      </c>
      <c r="G347" s="62">
        <v>3.4722222222222218E-4</v>
      </c>
      <c r="H347" s="56" t="s">
        <v>181</v>
      </c>
      <c r="I347" s="66">
        <v>0.7362971064814815</v>
      </c>
      <c r="J347" s="56" t="s">
        <v>120</v>
      </c>
      <c r="K347" s="56" t="s">
        <v>220</v>
      </c>
      <c r="L347" s="68">
        <v>1</v>
      </c>
      <c r="M347" s="68">
        <v>70992</v>
      </c>
      <c r="N347" s="56" t="s">
        <v>46</v>
      </c>
      <c r="O347" s="68" t="s">
        <v>38</v>
      </c>
      <c r="P347" s="70">
        <v>0</v>
      </c>
      <c r="Q347" s="68"/>
      <c r="R347" s="70">
        <v>0</v>
      </c>
      <c r="S347" s="73">
        <v>46054</v>
      </c>
      <c r="T347" s="70">
        <v>0</v>
      </c>
      <c r="U347" s="74">
        <v>4</v>
      </c>
      <c r="V347" s="70">
        <v>0</v>
      </c>
      <c r="W347" s="56" t="s">
        <v>47</v>
      </c>
      <c r="X347" s="56" t="s">
        <v>48</v>
      </c>
      <c r="Y347" s="56" t="s">
        <v>36</v>
      </c>
      <c r="Z347" s="56" t="s">
        <v>9</v>
      </c>
      <c r="AA347" s="56" t="s">
        <v>49</v>
      </c>
      <c r="AB347" s="56" t="s">
        <v>50</v>
      </c>
      <c r="AC347" s="56" t="s">
        <v>38</v>
      </c>
      <c r="AD347" s="75" t="s">
        <v>267</v>
      </c>
      <c r="AE347" s="76"/>
      <c r="AF347" s="76"/>
      <c r="AG347" s="76"/>
      <c r="AH347" s="76"/>
      <c r="AI347" s="76"/>
      <c r="AJ347" s="76"/>
      <c r="AK347" s="76"/>
      <c r="AL347" s="76"/>
      <c r="AM347" s="76"/>
      <c r="AN347" s="76"/>
      <c r="AO347" s="76"/>
      <c r="AP347" s="76"/>
      <c r="AQ347" s="76"/>
      <c r="AR347" s="76"/>
      <c r="AS347" s="76"/>
      <c r="AT347" s="76"/>
      <c r="AU347" s="76"/>
      <c r="AV347" s="76"/>
      <c r="AW347" s="76"/>
    </row>
    <row r="348" spans="1:49" ht="31.5" x14ac:dyDescent="0.25">
      <c r="A348" s="56" t="s">
        <v>44</v>
      </c>
      <c r="B348" s="59">
        <v>46053</v>
      </c>
      <c r="C348" s="59">
        <v>46053</v>
      </c>
      <c r="D348" s="56" t="s">
        <v>224</v>
      </c>
      <c r="E348" s="62">
        <v>0.25</v>
      </c>
      <c r="F348" s="62">
        <v>0.99930555555555556</v>
      </c>
      <c r="G348" s="62">
        <v>3.4722222222222218E-4</v>
      </c>
      <c r="H348" s="56" t="s">
        <v>205</v>
      </c>
      <c r="I348" s="66">
        <v>0.86926041666666676</v>
      </c>
      <c r="J348" s="56" t="s">
        <v>41</v>
      </c>
      <c r="K348" s="56" t="s">
        <v>157</v>
      </c>
      <c r="L348" s="68">
        <v>1</v>
      </c>
      <c r="M348" s="68">
        <v>70983</v>
      </c>
      <c r="N348" s="56" t="s">
        <v>46</v>
      </c>
      <c r="O348" s="68" t="s">
        <v>38</v>
      </c>
      <c r="P348" s="70">
        <v>0</v>
      </c>
      <c r="Q348" s="68"/>
      <c r="R348" s="70">
        <v>0</v>
      </c>
      <c r="S348" s="73">
        <v>46054</v>
      </c>
      <c r="T348" s="70">
        <v>0</v>
      </c>
      <c r="U348" s="74">
        <v>4</v>
      </c>
      <c r="V348" s="70">
        <v>0</v>
      </c>
      <c r="W348" s="56" t="s">
        <v>47</v>
      </c>
      <c r="X348" s="56" t="s">
        <v>48</v>
      </c>
      <c r="Y348" s="56" t="s">
        <v>36</v>
      </c>
      <c r="Z348" s="56" t="s">
        <v>9</v>
      </c>
      <c r="AA348" s="56" t="s">
        <v>49</v>
      </c>
      <c r="AB348" s="56" t="s">
        <v>50</v>
      </c>
      <c r="AC348" s="56" t="s">
        <v>38</v>
      </c>
      <c r="AD348" s="75" t="s">
        <v>267</v>
      </c>
      <c r="AE348" s="76"/>
      <c r="AF348" s="76"/>
      <c r="AG348" s="76"/>
      <c r="AH348" s="76"/>
      <c r="AI348" s="85"/>
      <c r="AJ348" s="85"/>
      <c r="AK348" s="85"/>
      <c r="AL348" s="85"/>
      <c r="AM348" s="85"/>
      <c r="AN348" s="85"/>
      <c r="AO348" s="85"/>
      <c r="AP348" s="85"/>
      <c r="AQ348" s="85"/>
      <c r="AR348" s="85"/>
      <c r="AS348" s="85"/>
      <c r="AT348" s="85"/>
      <c r="AU348" s="85"/>
      <c r="AV348" s="85"/>
      <c r="AW348" s="85"/>
    </row>
    <row r="349" spans="1:49" ht="31.5" x14ac:dyDescent="0.25">
      <c r="A349" s="56" t="s">
        <v>44</v>
      </c>
      <c r="B349" s="59">
        <v>46053</v>
      </c>
      <c r="C349" s="59">
        <v>46053</v>
      </c>
      <c r="D349" s="56" t="s">
        <v>224</v>
      </c>
      <c r="E349" s="62">
        <v>0.45833333333333331</v>
      </c>
      <c r="F349" s="62">
        <v>0.54166666666666663</v>
      </c>
      <c r="G349" s="62">
        <v>3.4722222222222218E-4</v>
      </c>
      <c r="H349" s="56" t="s">
        <v>92</v>
      </c>
      <c r="I349" s="66">
        <v>0.48382094907407402</v>
      </c>
      <c r="J349" s="56" t="s">
        <v>80</v>
      </c>
      <c r="K349" s="56" t="s">
        <v>228</v>
      </c>
      <c r="L349" s="68">
        <v>1</v>
      </c>
      <c r="M349" s="68">
        <v>71000</v>
      </c>
      <c r="N349" s="56" t="s">
        <v>46</v>
      </c>
      <c r="O349" s="68" t="s">
        <v>38</v>
      </c>
      <c r="P349" s="70">
        <v>0</v>
      </c>
      <c r="Q349" s="68"/>
      <c r="R349" s="70">
        <v>0</v>
      </c>
      <c r="S349" s="73">
        <v>46054</v>
      </c>
      <c r="T349" s="70">
        <v>0</v>
      </c>
      <c r="U349" s="74">
        <v>4</v>
      </c>
      <c r="V349" s="70">
        <v>0</v>
      </c>
      <c r="W349" s="56" t="s">
        <v>47</v>
      </c>
      <c r="X349" s="56" t="s">
        <v>48</v>
      </c>
      <c r="Y349" s="56" t="s">
        <v>36</v>
      </c>
      <c r="Z349" s="56" t="s">
        <v>9</v>
      </c>
      <c r="AA349" s="56" t="s">
        <v>49</v>
      </c>
      <c r="AB349" s="56" t="s">
        <v>50</v>
      </c>
      <c r="AC349" s="56" t="s">
        <v>38</v>
      </c>
      <c r="AD349" s="75" t="s">
        <v>267</v>
      </c>
      <c r="AE349" s="76"/>
      <c r="AF349" s="76"/>
      <c r="AG349" s="76"/>
      <c r="AH349" s="76"/>
      <c r="AI349" s="85"/>
      <c r="AJ349" s="85"/>
      <c r="AK349" s="85"/>
      <c r="AL349" s="85"/>
      <c r="AM349" s="85"/>
      <c r="AN349" s="85"/>
      <c r="AO349" s="85"/>
      <c r="AP349" s="85"/>
      <c r="AQ349" s="85"/>
      <c r="AR349" s="85"/>
      <c r="AS349" s="85"/>
      <c r="AT349" s="85"/>
      <c r="AU349" s="85"/>
      <c r="AV349" s="85"/>
      <c r="AW349" s="85"/>
    </row>
    <row r="350" spans="1:49" ht="31.5" x14ac:dyDescent="0.25">
      <c r="A350" s="56" t="s">
        <v>44</v>
      </c>
      <c r="B350" s="59">
        <v>46053</v>
      </c>
      <c r="C350" s="59">
        <v>46053</v>
      </c>
      <c r="D350" s="56" t="s">
        <v>224</v>
      </c>
      <c r="E350" s="62">
        <v>0.75</v>
      </c>
      <c r="F350" s="62">
        <v>0.83333333333333337</v>
      </c>
      <c r="G350" s="62">
        <v>3.4722222222222218E-4</v>
      </c>
      <c r="H350" s="56" t="s">
        <v>244</v>
      </c>
      <c r="I350" s="66">
        <v>0.78143611111111111</v>
      </c>
      <c r="J350" s="56" t="s">
        <v>241</v>
      </c>
      <c r="K350" s="56" t="s">
        <v>237</v>
      </c>
      <c r="L350" s="68">
        <v>1</v>
      </c>
      <c r="M350" s="68">
        <v>70985</v>
      </c>
      <c r="N350" s="56" t="s">
        <v>53</v>
      </c>
      <c r="O350" s="68" t="s">
        <v>38</v>
      </c>
      <c r="P350" s="70">
        <v>58.82</v>
      </c>
      <c r="Q350" s="68"/>
      <c r="R350" s="70">
        <v>58.82</v>
      </c>
      <c r="S350" s="73">
        <v>46054</v>
      </c>
      <c r="T350" s="70">
        <v>4.4115000000000002</v>
      </c>
      <c r="U350" s="74">
        <v>4</v>
      </c>
      <c r="V350" s="70">
        <v>54.408500000000004</v>
      </c>
      <c r="W350" s="56" t="s">
        <v>47</v>
      </c>
      <c r="X350" s="56" t="s">
        <v>48</v>
      </c>
      <c r="Y350" s="56" t="s">
        <v>36</v>
      </c>
      <c r="Z350" s="56" t="s">
        <v>9</v>
      </c>
      <c r="AA350" s="56" t="s">
        <v>49</v>
      </c>
      <c r="AB350" s="56" t="s">
        <v>50</v>
      </c>
      <c r="AC350" s="56" t="s">
        <v>38</v>
      </c>
      <c r="AD350" s="75" t="s">
        <v>267</v>
      </c>
      <c r="AE350" s="76"/>
      <c r="AF350" s="76"/>
      <c r="AG350" s="76"/>
      <c r="AH350" s="76"/>
      <c r="AI350" s="76"/>
      <c r="AJ350" s="76"/>
      <c r="AK350" s="76"/>
      <c r="AL350" s="76"/>
      <c r="AM350" s="76"/>
      <c r="AN350" s="76"/>
      <c r="AO350" s="76"/>
      <c r="AP350" s="76"/>
      <c r="AQ350" s="76"/>
      <c r="AR350" s="76"/>
      <c r="AS350" s="76"/>
      <c r="AT350" s="76"/>
      <c r="AU350" s="76"/>
      <c r="AV350" s="76"/>
      <c r="AW350" s="76"/>
    </row>
    <row r="351" spans="1:49" ht="31.5" x14ac:dyDescent="0.2">
      <c r="A351" s="56" t="s">
        <v>44</v>
      </c>
      <c r="B351" s="59">
        <v>46053</v>
      </c>
      <c r="C351" s="59">
        <v>46053</v>
      </c>
      <c r="D351" s="56" t="s">
        <v>224</v>
      </c>
      <c r="E351" s="62">
        <v>0.75</v>
      </c>
      <c r="F351" s="62">
        <v>0.83333333333333337</v>
      </c>
      <c r="G351" s="62">
        <v>3.4722222222222218E-4</v>
      </c>
      <c r="H351" s="56" t="s">
        <v>244</v>
      </c>
      <c r="I351" s="66">
        <v>0.80649432870370374</v>
      </c>
      <c r="J351" s="56" t="s">
        <v>241</v>
      </c>
      <c r="K351" s="56" t="s">
        <v>247</v>
      </c>
      <c r="L351" s="68">
        <v>1</v>
      </c>
      <c r="M351" s="68">
        <v>70987</v>
      </c>
      <c r="N351" s="56" t="s">
        <v>46</v>
      </c>
      <c r="O351" s="68" t="s">
        <v>38</v>
      </c>
      <c r="P351" s="70">
        <v>0</v>
      </c>
      <c r="Q351" s="68"/>
      <c r="R351" s="70">
        <v>0</v>
      </c>
      <c r="S351" s="73">
        <v>46054</v>
      </c>
      <c r="T351" s="70">
        <v>0</v>
      </c>
      <c r="U351" s="74">
        <v>4</v>
      </c>
      <c r="V351" s="70">
        <v>0</v>
      </c>
      <c r="W351" s="56" t="s">
        <v>47</v>
      </c>
      <c r="X351" s="56" t="s">
        <v>48</v>
      </c>
      <c r="Y351" s="56" t="s">
        <v>36</v>
      </c>
      <c r="Z351" s="56" t="s">
        <v>9</v>
      </c>
      <c r="AA351" s="56" t="s">
        <v>49</v>
      </c>
      <c r="AB351" s="56" t="s">
        <v>50</v>
      </c>
      <c r="AC351" s="56" t="s">
        <v>38</v>
      </c>
      <c r="AD351" s="75" t="s">
        <v>267</v>
      </c>
      <c r="AE351" s="57"/>
      <c r="AF351" s="57"/>
      <c r="AG351" s="57"/>
      <c r="AH351" s="57"/>
      <c r="AI351" s="57"/>
      <c r="AJ351" s="57"/>
      <c r="AK351" s="57"/>
      <c r="AL351" s="57"/>
      <c r="AM351" s="57"/>
      <c r="AN351" s="57"/>
      <c r="AO351" s="57"/>
      <c r="AP351" s="57"/>
      <c r="AQ351" s="57"/>
      <c r="AR351" s="57"/>
      <c r="AS351" s="57"/>
      <c r="AT351" s="57"/>
      <c r="AU351" s="57"/>
      <c r="AV351" s="57"/>
      <c r="AW351" s="57"/>
    </row>
    <row r="352" spans="1:49" ht="31.5" x14ac:dyDescent="0.25">
      <c r="A352" s="56" t="s">
        <v>44</v>
      </c>
      <c r="B352" s="59">
        <v>46053</v>
      </c>
      <c r="C352" s="59">
        <v>46053</v>
      </c>
      <c r="D352" s="56" t="s">
        <v>224</v>
      </c>
      <c r="E352" s="62">
        <v>0.75</v>
      </c>
      <c r="F352" s="62">
        <v>0.83333333333333337</v>
      </c>
      <c r="G352" s="62">
        <v>3.4722222222222218E-4</v>
      </c>
      <c r="H352" s="56" t="s">
        <v>244</v>
      </c>
      <c r="I352" s="66">
        <v>0.82104467592592589</v>
      </c>
      <c r="J352" s="56" t="s">
        <v>241</v>
      </c>
      <c r="K352" s="56" t="s">
        <v>247</v>
      </c>
      <c r="L352" s="68">
        <v>1</v>
      </c>
      <c r="M352" s="68">
        <v>70985</v>
      </c>
      <c r="N352" s="56" t="s">
        <v>53</v>
      </c>
      <c r="O352" s="68" t="s">
        <v>38</v>
      </c>
      <c r="P352" s="70">
        <v>58.82</v>
      </c>
      <c r="Q352" s="68"/>
      <c r="R352" s="70">
        <v>58.82</v>
      </c>
      <c r="S352" s="73">
        <v>46054</v>
      </c>
      <c r="T352" s="70">
        <v>4.4115000000000002</v>
      </c>
      <c r="U352" s="74">
        <v>4</v>
      </c>
      <c r="V352" s="70">
        <v>54.408500000000004</v>
      </c>
      <c r="W352" s="56" t="s">
        <v>47</v>
      </c>
      <c r="X352" s="56" t="s">
        <v>48</v>
      </c>
      <c r="Y352" s="56" t="s">
        <v>36</v>
      </c>
      <c r="Z352" s="56" t="s">
        <v>9</v>
      </c>
      <c r="AA352" s="56" t="s">
        <v>49</v>
      </c>
      <c r="AB352" s="56" t="s">
        <v>50</v>
      </c>
      <c r="AC352" s="56" t="s">
        <v>38</v>
      </c>
      <c r="AD352" s="75" t="s">
        <v>267</v>
      </c>
      <c r="AE352" s="81"/>
      <c r="AF352" s="81"/>
      <c r="AG352" s="81"/>
      <c r="AH352" s="81"/>
      <c r="AI352" s="86"/>
      <c r="AJ352" s="86"/>
      <c r="AK352" s="86"/>
      <c r="AL352" s="86"/>
      <c r="AM352" s="86"/>
      <c r="AN352" s="86"/>
      <c r="AO352" s="86"/>
      <c r="AP352" s="86"/>
      <c r="AQ352" s="86"/>
      <c r="AR352" s="86"/>
      <c r="AS352" s="86"/>
      <c r="AT352" s="86"/>
      <c r="AU352" s="86"/>
      <c r="AV352" s="86"/>
      <c r="AW352" s="86"/>
    </row>
    <row r="353" spans="1:49" ht="31.5" x14ac:dyDescent="0.25">
      <c r="A353" s="56" t="s">
        <v>44</v>
      </c>
      <c r="B353" s="59">
        <v>46053</v>
      </c>
      <c r="C353" s="59">
        <v>46053</v>
      </c>
      <c r="D353" s="56" t="s">
        <v>224</v>
      </c>
      <c r="E353" s="62">
        <v>0.75</v>
      </c>
      <c r="F353" s="62">
        <v>0.83333333333333337</v>
      </c>
      <c r="G353" s="62">
        <v>3.4722222222222218E-4</v>
      </c>
      <c r="H353" s="56" t="s">
        <v>244</v>
      </c>
      <c r="I353" s="66">
        <v>0.83241944444444438</v>
      </c>
      <c r="J353" s="56" t="s">
        <v>241</v>
      </c>
      <c r="K353" s="56" t="s">
        <v>247</v>
      </c>
      <c r="L353" s="68">
        <v>1</v>
      </c>
      <c r="M353" s="68">
        <v>70987</v>
      </c>
      <c r="N353" s="56" t="s">
        <v>46</v>
      </c>
      <c r="O353" s="68" t="s">
        <v>38</v>
      </c>
      <c r="P353" s="70">
        <v>0</v>
      </c>
      <c r="Q353" s="68"/>
      <c r="R353" s="70">
        <v>0</v>
      </c>
      <c r="S353" s="73">
        <v>46054</v>
      </c>
      <c r="T353" s="70">
        <v>0</v>
      </c>
      <c r="U353" s="74">
        <v>4</v>
      </c>
      <c r="V353" s="70">
        <v>0</v>
      </c>
      <c r="W353" s="56" t="s">
        <v>47</v>
      </c>
      <c r="X353" s="56" t="s">
        <v>48</v>
      </c>
      <c r="Y353" s="56" t="s">
        <v>36</v>
      </c>
      <c r="Z353" s="56" t="s">
        <v>9</v>
      </c>
      <c r="AA353" s="56" t="s">
        <v>49</v>
      </c>
      <c r="AB353" s="56" t="s">
        <v>50</v>
      </c>
      <c r="AC353" s="56" t="s">
        <v>38</v>
      </c>
      <c r="AD353" s="75" t="s">
        <v>267</v>
      </c>
      <c r="AE353" s="76"/>
      <c r="AF353" s="76"/>
      <c r="AG353" s="76"/>
      <c r="AH353" s="76"/>
      <c r="AI353" s="85"/>
      <c r="AJ353" s="85"/>
      <c r="AK353" s="85"/>
      <c r="AL353" s="85"/>
      <c r="AM353" s="85"/>
      <c r="AN353" s="85"/>
      <c r="AO353" s="85"/>
      <c r="AP353" s="85"/>
      <c r="AQ353" s="85"/>
      <c r="AR353" s="85"/>
      <c r="AS353" s="85"/>
      <c r="AT353" s="85"/>
      <c r="AU353" s="85"/>
      <c r="AV353" s="85"/>
      <c r="AW353" s="85"/>
    </row>
    <row r="354" spans="1:49" ht="31.5" x14ac:dyDescent="0.2">
      <c r="A354" s="56" t="s">
        <v>44</v>
      </c>
      <c r="B354" s="59">
        <v>46053</v>
      </c>
      <c r="C354" s="59">
        <v>46053</v>
      </c>
      <c r="D354" s="56" t="s">
        <v>224</v>
      </c>
      <c r="E354" s="62">
        <v>0.83333333333333337</v>
      </c>
      <c r="F354" s="62">
        <v>0.875</v>
      </c>
      <c r="G354" s="62">
        <v>3.4722222222222218E-4</v>
      </c>
      <c r="H354" s="56" t="s">
        <v>205</v>
      </c>
      <c r="I354" s="66">
        <v>0.84436412037037034</v>
      </c>
      <c r="J354" s="56" t="s">
        <v>41</v>
      </c>
      <c r="K354" s="56" t="s">
        <v>157</v>
      </c>
      <c r="L354" s="68">
        <v>1</v>
      </c>
      <c r="M354" s="68">
        <v>70981</v>
      </c>
      <c r="N354" s="56" t="s">
        <v>53</v>
      </c>
      <c r="O354" s="68" t="s">
        <v>38</v>
      </c>
      <c r="P354" s="70">
        <v>58.82</v>
      </c>
      <c r="Q354" s="68"/>
      <c r="R354" s="70">
        <v>58.82</v>
      </c>
      <c r="S354" s="73">
        <v>46054</v>
      </c>
      <c r="T354" s="70">
        <v>4.4115000000000002</v>
      </c>
      <c r="U354" s="74">
        <v>4</v>
      </c>
      <c r="V354" s="70">
        <v>54.408500000000004</v>
      </c>
      <c r="W354" s="56" t="s">
        <v>47</v>
      </c>
      <c r="X354" s="56" t="s">
        <v>48</v>
      </c>
      <c r="Y354" s="56" t="s">
        <v>36</v>
      </c>
      <c r="Z354" s="56" t="s">
        <v>9</v>
      </c>
      <c r="AA354" s="56" t="s">
        <v>49</v>
      </c>
      <c r="AB354" s="56" t="s">
        <v>50</v>
      </c>
      <c r="AC354" s="56" t="s">
        <v>38</v>
      </c>
      <c r="AD354" s="75" t="s">
        <v>267</v>
      </c>
      <c r="AE354" s="57"/>
      <c r="AF354" s="57"/>
      <c r="AG354" s="57"/>
      <c r="AH354" s="57"/>
      <c r="AI354" s="57"/>
      <c r="AJ354" s="57"/>
      <c r="AK354" s="57"/>
      <c r="AL354" s="57"/>
      <c r="AM354" s="57"/>
      <c r="AN354" s="57"/>
      <c r="AO354" s="57"/>
      <c r="AP354" s="57"/>
      <c r="AQ354" s="57"/>
      <c r="AR354" s="57"/>
      <c r="AS354" s="57"/>
      <c r="AT354" s="57"/>
      <c r="AU354" s="57"/>
      <c r="AV354" s="57"/>
      <c r="AW354" s="57"/>
    </row>
    <row r="355" spans="1:49" ht="31.5" x14ac:dyDescent="0.25">
      <c r="A355" s="56" t="s">
        <v>44</v>
      </c>
      <c r="B355" s="59">
        <v>46054</v>
      </c>
      <c r="C355" s="59">
        <v>46054</v>
      </c>
      <c r="D355" s="56" t="s">
        <v>249</v>
      </c>
      <c r="E355" s="62">
        <v>0.25</v>
      </c>
      <c r="F355" s="62">
        <v>0.99930555555555556</v>
      </c>
      <c r="G355" s="62">
        <v>3.4722222222222218E-4</v>
      </c>
      <c r="H355" s="56" t="s">
        <v>205</v>
      </c>
      <c r="I355" s="66">
        <v>0.93691053240740751</v>
      </c>
      <c r="J355" s="56" t="s">
        <v>41</v>
      </c>
      <c r="K355" s="56" t="s">
        <v>193</v>
      </c>
      <c r="L355" s="68">
        <v>1</v>
      </c>
      <c r="M355" s="68">
        <v>70983</v>
      </c>
      <c r="N355" s="56" t="s">
        <v>46</v>
      </c>
      <c r="O355" s="68" t="s">
        <v>38</v>
      </c>
      <c r="P355" s="70">
        <v>0</v>
      </c>
      <c r="Q355" s="68"/>
      <c r="R355" s="70">
        <v>0</v>
      </c>
      <c r="S355" s="73">
        <v>46054</v>
      </c>
      <c r="T355" s="70">
        <v>0</v>
      </c>
      <c r="U355" s="74">
        <v>4</v>
      </c>
      <c r="V355" s="70">
        <v>0</v>
      </c>
      <c r="W355" s="56" t="s">
        <v>47</v>
      </c>
      <c r="X355" s="56" t="s">
        <v>48</v>
      </c>
      <c r="Y355" s="56" t="s">
        <v>36</v>
      </c>
      <c r="Z355" s="56" t="s">
        <v>9</v>
      </c>
      <c r="AA355" s="56" t="s">
        <v>49</v>
      </c>
      <c r="AB355" s="56" t="s">
        <v>50</v>
      </c>
      <c r="AC355" s="56" t="s">
        <v>38</v>
      </c>
      <c r="AD355" s="75" t="s">
        <v>267</v>
      </c>
      <c r="AE355" s="76"/>
      <c r="AF355" s="76"/>
      <c r="AG355" s="76"/>
      <c r="AH355" s="76"/>
      <c r="AI355" s="76"/>
      <c r="AJ355" s="76"/>
      <c r="AK355" s="76"/>
      <c r="AL355" s="76"/>
      <c r="AM355" s="76"/>
      <c r="AN355" s="76"/>
      <c r="AO355" s="76"/>
      <c r="AP355" s="76"/>
      <c r="AQ355" s="76"/>
      <c r="AR355" s="76"/>
      <c r="AS355" s="76"/>
      <c r="AT355" s="76"/>
      <c r="AU355" s="76"/>
      <c r="AV355" s="76"/>
      <c r="AW355" s="76"/>
    </row>
    <row r="356" spans="1:49" ht="31.5" x14ac:dyDescent="0.2">
      <c r="A356" s="56" t="s">
        <v>44</v>
      </c>
      <c r="B356" s="59">
        <v>46054</v>
      </c>
      <c r="C356" s="59">
        <v>46054</v>
      </c>
      <c r="D356" s="56" t="s">
        <v>249</v>
      </c>
      <c r="E356" s="62">
        <v>0.33333333333333331</v>
      </c>
      <c r="F356" s="62">
        <v>0.41666666666666669</v>
      </c>
      <c r="G356" s="62">
        <v>3.4722222222222218E-4</v>
      </c>
      <c r="H356" s="56" t="s">
        <v>172</v>
      </c>
      <c r="I356" s="66">
        <v>0.34103252314814814</v>
      </c>
      <c r="J356" s="56" t="s">
        <v>70</v>
      </c>
      <c r="K356" s="56" t="s">
        <v>71</v>
      </c>
      <c r="L356" s="68">
        <v>1</v>
      </c>
      <c r="M356" s="68">
        <v>70996</v>
      </c>
      <c r="N356" s="56" t="s">
        <v>46</v>
      </c>
      <c r="O356" s="68" t="s">
        <v>38</v>
      </c>
      <c r="P356" s="70">
        <v>0</v>
      </c>
      <c r="Q356" s="68"/>
      <c r="R356" s="70">
        <v>0</v>
      </c>
      <c r="S356" s="73">
        <v>46054</v>
      </c>
      <c r="T356" s="70">
        <v>0</v>
      </c>
      <c r="U356" s="74">
        <v>4</v>
      </c>
      <c r="V356" s="70">
        <v>0</v>
      </c>
      <c r="W356" s="56" t="s">
        <v>47</v>
      </c>
      <c r="X356" s="56" t="s">
        <v>48</v>
      </c>
      <c r="Y356" s="56" t="s">
        <v>36</v>
      </c>
      <c r="Z356" s="56" t="s">
        <v>9</v>
      </c>
      <c r="AA356" s="56" t="s">
        <v>49</v>
      </c>
      <c r="AB356" s="56" t="s">
        <v>50</v>
      </c>
      <c r="AC356" s="56" t="s">
        <v>38</v>
      </c>
      <c r="AD356" s="75" t="s">
        <v>267</v>
      </c>
      <c r="AE356" s="57"/>
      <c r="AF356" s="57"/>
      <c r="AG356" s="57"/>
      <c r="AH356" s="57"/>
      <c r="AI356" s="57"/>
      <c r="AJ356" s="57"/>
      <c r="AK356" s="57"/>
      <c r="AL356" s="57"/>
      <c r="AM356" s="57"/>
      <c r="AN356" s="57"/>
      <c r="AO356" s="57"/>
      <c r="AP356" s="57"/>
      <c r="AQ356" s="57"/>
      <c r="AR356" s="57"/>
      <c r="AS356" s="57"/>
      <c r="AT356" s="57"/>
      <c r="AU356" s="57"/>
      <c r="AV356" s="57"/>
      <c r="AW356" s="57"/>
    </row>
    <row r="357" spans="1:49" ht="31.5" x14ac:dyDescent="0.25">
      <c r="A357" s="56" t="s">
        <v>44</v>
      </c>
      <c r="B357" s="59">
        <v>46054</v>
      </c>
      <c r="C357" s="59">
        <v>46054</v>
      </c>
      <c r="D357" s="56" t="s">
        <v>249</v>
      </c>
      <c r="E357" s="62">
        <v>0.33333333333333331</v>
      </c>
      <c r="F357" s="62">
        <v>0.41666666666666669</v>
      </c>
      <c r="G357" s="62">
        <v>3.4722222222222218E-4</v>
      </c>
      <c r="H357" s="56" t="s">
        <v>172</v>
      </c>
      <c r="I357" s="66">
        <v>0.38531446759259258</v>
      </c>
      <c r="J357" s="56" t="s">
        <v>70</v>
      </c>
      <c r="K357" s="56" t="s">
        <v>71</v>
      </c>
      <c r="L357" s="68">
        <v>1</v>
      </c>
      <c r="M357" s="68">
        <v>70994</v>
      </c>
      <c r="N357" s="56" t="s">
        <v>53</v>
      </c>
      <c r="O357" s="68" t="s">
        <v>38</v>
      </c>
      <c r="P357" s="70">
        <v>58.82</v>
      </c>
      <c r="Q357" s="68"/>
      <c r="R357" s="70">
        <v>58.82</v>
      </c>
      <c r="S357" s="73">
        <v>46054</v>
      </c>
      <c r="T357" s="70">
        <v>4.4115000000000002</v>
      </c>
      <c r="U357" s="74">
        <v>4</v>
      </c>
      <c r="V357" s="70">
        <v>54.408500000000004</v>
      </c>
      <c r="W357" s="56" t="s">
        <v>47</v>
      </c>
      <c r="X357" s="56" t="s">
        <v>48</v>
      </c>
      <c r="Y357" s="56" t="s">
        <v>36</v>
      </c>
      <c r="Z357" s="56" t="s">
        <v>9</v>
      </c>
      <c r="AA357" s="56" t="s">
        <v>49</v>
      </c>
      <c r="AB357" s="56" t="s">
        <v>50</v>
      </c>
      <c r="AC357" s="56" t="s">
        <v>38</v>
      </c>
      <c r="AD357" s="75" t="s">
        <v>267</v>
      </c>
      <c r="AE357" s="76"/>
      <c r="AF357" s="76"/>
      <c r="AG357" s="76"/>
      <c r="AH357" s="76"/>
      <c r="AI357" s="85"/>
      <c r="AJ357" s="85"/>
      <c r="AK357" s="85"/>
      <c r="AL357" s="85"/>
      <c r="AM357" s="85"/>
      <c r="AN357" s="85"/>
      <c r="AO357" s="85"/>
      <c r="AP357" s="85"/>
      <c r="AQ357" s="85"/>
      <c r="AR357" s="85"/>
      <c r="AS357" s="85"/>
      <c r="AT357" s="85"/>
      <c r="AU357" s="85"/>
      <c r="AV357" s="85"/>
      <c r="AW357" s="85"/>
    </row>
    <row r="358" spans="1:49" ht="31.5" x14ac:dyDescent="0.2">
      <c r="A358" s="56" t="s">
        <v>44</v>
      </c>
      <c r="B358" s="59">
        <v>46054</v>
      </c>
      <c r="C358" s="59">
        <v>46054</v>
      </c>
      <c r="D358" s="56" t="s">
        <v>249</v>
      </c>
      <c r="E358" s="62">
        <v>0.45833333333333331</v>
      </c>
      <c r="F358" s="62">
        <v>0.5</v>
      </c>
      <c r="G358" s="62">
        <v>3.4722222222222218E-4</v>
      </c>
      <c r="H358" s="56" t="s">
        <v>92</v>
      </c>
      <c r="I358" s="66">
        <v>0.46865798611111115</v>
      </c>
      <c r="J358" s="56" t="s">
        <v>80</v>
      </c>
      <c r="K358" s="56" t="s">
        <v>76</v>
      </c>
      <c r="L358" s="68">
        <v>1</v>
      </c>
      <c r="M358" s="68">
        <v>70998</v>
      </c>
      <c r="N358" s="56" t="s">
        <v>53</v>
      </c>
      <c r="O358" s="68" t="s">
        <v>38</v>
      </c>
      <c r="P358" s="70">
        <v>58.82</v>
      </c>
      <c r="Q358" s="68"/>
      <c r="R358" s="70">
        <v>58.82</v>
      </c>
      <c r="S358" s="73">
        <v>46054</v>
      </c>
      <c r="T358" s="70">
        <v>4.4115000000000002</v>
      </c>
      <c r="U358" s="74">
        <v>4</v>
      </c>
      <c r="V358" s="70">
        <v>54.408500000000004</v>
      </c>
      <c r="W358" s="56" t="s">
        <v>47</v>
      </c>
      <c r="X358" s="56" t="s">
        <v>48</v>
      </c>
      <c r="Y358" s="56" t="s">
        <v>36</v>
      </c>
      <c r="Z358" s="56" t="s">
        <v>9</v>
      </c>
      <c r="AA358" s="56" t="s">
        <v>49</v>
      </c>
      <c r="AB358" s="56" t="s">
        <v>50</v>
      </c>
      <c r="AC358" s="56" t="s">
        <v>38</v>
      </c>
      <c r="AD358" s="75" t="s">
        <v>267</v>
      </c>
      <c r="AE358" s="57"/>
      <c r="AF358" s="57"/>
      <c r="AG358" s="57"/>
      <c r="AH358" s="57"/>
      <c r="AI358" s="57"/>
      <c r="AJ358" s="57"/>
      <c r="AK358" s="57"/>
      <c r="AL358" s="57"/>
      <c r="AM358" s="57"/>
      <c r="AN358" s="57"/>
      <c r="AO358" s="57"/>
      <c r="AP358" s="57"/>
      <c r="AQ358" s="57"/>
      <c r="AR358" s="57"/>
      <c r="AS358" s="57"/>
      <c r="AT358" s="57"/>
      <c r="AU358" s="57"/>
      <c r="AV358" s="57"/>
      <c r="AW358" s="57"/>
    </row>
    <row r="359" spans="1:49" ht="31.5" x14ac:dyDescent="0.25">
      <c r="A359" s="56" t="s">
        <v>44</v>
      </c>
      <c r="B359" s="59">
        <v>46054</v>
      </c>
      <c r="C359" s="59">
        <v>46054</v>
      </c>
      <c r="D359" s="56" t="s">
        <v>249</v>
      </c>
      <c r="E359" s="62">
        <v>0.45833333333333331</v>
      </c>
      <c r="F359" s="62">
        <v>0.54166666666666663</v>
      </c>
      <c r="G359" s="62">
        <v>3.4722222222222218E-4</v>
      </c>
      <c r="H359" s="56" t="s">
        <v>92</v>
      </c>
      <c r="I359" s="66">
        <v>0.488915162037037</v>
      </c>
      <c r="J359" s="56" t="s">
        <v>80</v>
      </c>
      <c r="K359" s="56" t="s">
        <v>150</v>
      </c>
      <c r="L359" s="68">
        <v>1</v>
      </c>
      <c r="M359" s="68">
        <v>71000</v>
      </c>
      <c r="N359" s="56" t="s">
        <v>46</v>
      </c>
      <c r="O359" s="68" t="s">
        <v>38</v>
      </c>
      <c r="P359" s="70">
        <v>0</v>
      </c>
      <c r="Q359" s="68"/>
      <c r="R359" s="70">
        <v>0</v>
      </c>
      <c r="S359" s="73">
        <v>46054</v>
      </c>
      <c r="T359" s="70">
        <v>0</v>
      </c>
      <c r="U359" s="74">
        <v>4</v>
      </c>
      <c r="V359" s="70">
        <v>0</v>
      </c>
      <c r="W359" s="56" t="s">
        <v>47</v>
      </c>
      <c r="X359" s="56" t="s">
        <v>48</v>
      </c>
      <c r="Y359" s="56" t="s">
        <v>36</v>
      </c>
      <c r="Z359" s="56" t="s">
        <v>9</v>
      </c>
      <c r="AA359" s="56" t="s">
        <v>49</v>
      </c>
      <c r="AB359" s="56" t="s">
        <v>50</v>
      </c>
      <c r="AC359" s="56" t="s">
        <v>38</v>
      </c>
      <c r="AD359" s="75" t="s">
        <v>267</v>
      </c>
      <c r="AE359" s="76"/>
      <c r="AF359" s="76"/>
      <c r="AG359" s="76"/>
      <c r="AH359" s="76"/>
      <c r="AI359" s="85"/>
      <c r="AJ359" s="85"/>
      <c r="AK359" s="85"/>
      <c r="AL359" s="85"/>
      <c r="AM359" s="85"/>
      <c r="AN359" s="85"/>
      <c r="AO359" s="85"/>
      <c r="AP359" s="85"/>
      <c r="AQ359" s="85"/>
      <c r="AR359" s="85"/>
      <c r="AS359" s="85"/>
      <c r="AT359" s="85"/>
      <c r="AU359" s="85"/>
      <c r="AV359" s="85"/>
      <c r="AW359" s="85"/>
    </row>
    <row r="360" spans="1:49" ht="31.5" x14ac:dyDescent="0.25">
      <c r="A360" s="56" t="s">
        <v>44</v>
      </c>
      <c r="B360" s="59">
        <v>46054</v>
      </c>
      <c r="C360" s="59">
        <v>46054</v>
      </c>
      <c r="D360" s="56" t="s">
        <v>249</v>
      </c>
      <c r="E360" s="62">
        <v>0.75</v>
      </c>
      <c r="F360" s="62">
        <v>0.83333333333333337</v>
      </c>
      <c r="G360" s="62">
        <v>3.4722222222222218E-4</v>
      </c>
      <c r="H360" s="56" t="s">
        <v>244</v>
      </c>
      <c r="I360" s="66">
        <v>0.76253518518518515</v>
      </c>
      <c r="J360" s="56" t="s">
        <v>241</v>
      </c>
      <c r="K360" s="56" t="s">
        <v>237</v>
      </c>
      <c r="L360" s="68">
        <v>1</v>
      </c>
      <c r="M360" s="68">
        <v>70985</v>
      </c>
      <c r="N360" s="56" t="s">
        <v>53</v>
      </c>
      <c r="O360" s="68" t="s">
        <v>38</v>
      </c>
      <c r="P360" s="70">
        <v>58.82</v>
      </c>
      <c r="Q360" s="68"/>
      <c r="R360" s="70">
        <v>58.82</v>
      </c>
      <c r="S360" s="73">
        <v>46054</v>
      </c>
      <c r="T360" s="70">
        <v>4.4115000000000002</v>
      </c>
      <c r="U360" s="74">
        <v>4</v>
      </c>
      <c r="V360" s="70">
        <v>54.408500000000004</v>
      </c>
      <c r="W360" s="56" t="s">
        <v>47</v>
      </c>
      <c r="X360" s="56" t="s">
        <v>48</v>
      </c>
      <c r="Y360" s="56" t="s">
        <v>36</v>
      </c>
      <c r="Z360" s="56" t="s">
        <v>9</v>
      </c>
      <c r="AA360" s="56" t="s">
        <v>49</v>
      </c>
      <c r="AB360" s="56" t="s">
        <v>50</v>
      </c>
      <c r="AC360" s="56" t="s">
        <v>38</v>
      </c>
      <c r="AD360" s="75" t="s">
        <v>267</v>
      </c>
      <c r="AE360" s="76"/>
      <c r="AF360" s="76"/>
      <c r="AG360" s="76"/>
      <c r="AH360" s="76"/>
      <c r="AI360" s="76"/>
      <c r="AJ360" s="76"/>
      <c r="AK360" s="76"/>
      <c r="AL360" s="76"/>
      <c r="AM360" s="76"/>
      <c r="AN360" s="76"/>
      <c r="AO360" s="76"/>
      <c r="AP360" s="76"/>
      <c r="AQ360" s="76"/>
      <c r="AR360" s="76"/>
      <c r="AS360" s="76"/>
      <c r="AT360" s="76"/>
      <c r="AU360" s="76"/>
      <c r="AV360" s="76"/>
      <c r="AW360" s="76"/>
    </row>
    <row r="361" spans="1:49" ht="31.5" x14ac:dyDescent="0.25">
      <c r="A361" s="56" t="s">
        <v>44</v>
      </c>
      <c r="B361" s="59">
        <v>46054</v>
      </c>
      <c r="C361" s="59">
        <v>46054</v>
      </c>
      <c r="D361" s="56" t="s">
        <v>249</v>
      </c>
      <c r="E361" s="62">
        <v>0.75</v>
      </c>
      <c r="F361" s="62">
        <v>0.83333333333333337</v>
      </c>
      <c r="G361" s="62">
        <v>3.4722222222222218E-4</v>
      </c>
      <c r="H361" s="56" t="s">
        <v>244</v>
      </c>
      <c r="I361" s="66">
        <v>0.79346307870370381</v>
      </c>
      <c r="J361" s="56" t="s">
        <v>241</v>
      </c>
      <c r="K361" s="56" t="s">
        <v>247</v>
      </c>
      <c r="L361" s="68">
        <v>1</v>
      </c>
      <c r="M361" s="68">
        <v>70987</v>
      </c>
      <c r="N361" s="56" t="s">
        <v>46</v>
      </c>
      <c r="O361" s="68" t="s">
        <v>38</v>
      </c>
      <c r="P361" s="70">
        <v>0</v>
      </c>
      <c r="Q361" s="68"/>
      <c r="R361" s="70">
        <v>0</v>
      </c>
      <c r="S361" s="73">
        <v>46054</v>
      </c>
      <c r="T361" s="70">
        <v>0</v>
      </c>
      <c r="U361" s="74">
        <v>4</v>
      </c>
      <c r="V361" s="70">
        <v>0</v>
      </c>
      <c r="W361" s="56" t="s">
        <v>47</v>
      </c>
      <c r="X361" s="56" t="s">
        <v>48</v>
      </c>
      <c r="Y361" s="56" t="s">
        <v>36</v>
      </c>
      <c r="Z361" s="56" t="s">
        <v>9</v>
      </c>
      <c r="AA361" s="56" t="s">
        <v>49</v>
      </c>
      <c r="AB361" s="56" t="s">
        <v>50</v>
      </c>
      <c r="AC361" s="56" t="s">
        <v>38</v>
      </c>
      <c r="AD361" s="75" t="s">
        <v>267</v>
      </c>
      <c r="AE361" s="76"/>
      <c r="AF361" s="76"/>
      <c r="AG361" s="76"/>
      <c r="AH361" s="76"/>
      <c r="AI361" s="86"/>
      <c r="AJ361" s="86"/>
      <c r="AK361" s="86"/>
      <c r="AL361" s="86"/>
      <c r="AM361" s="86"/>
      <c r="AN361" s="86"/>
      <c r="AO361" s="86"/>
      <c r="AP361" s="86"/>
      <c r="AQ361" s="86"/>
      <c r="AR361" s="86"/>
      <c r="AS361" s="86"/>
      <c r="AT361" s="86"/>
      <c r="AU361" s="86"/>
      <c r="AV361" s="86"/>
      <c r="AW361" s="86"/>
    </row>
    <row r="362" spans="1:49" ht="31.5" x14ac:dyDescent="0.25">
      <c r="A362" s="56" t="s">
        <v>44</v>
      </c>
      <c r="B362" s="59">
        <v>46054</v>
      </c>
      <c r="C362" s="59">
        <v>46054</v>
      </c>
      <c r="D362" s="56" t="s">
        <v>249</v>
      </c>
      <c r="E362" s="62">
        <v>0.75</v>
      </c>
      <c r="F362" s="62">
        <v>0.83333333333333337</v>
      </c>
      <c r="G362" s="62">
        <v>3.4722222222222218E-4</v>
      </c>
      <c r="H362" s="56" t="s">
        <v>244</v>
      </c>
      <c r="I362" s="66">
        <v>0.80930740740740748</v>
      </c>
      <c r="J362" s="56" t="s">
        <v>241</v>
      </c>
      <c r="K362" s="56" t="s">
        <v>247</v>
      </c>
      <c r="L362" s="68">
        <v>1</v>
      </c>
      <c r="M362" s="68">
        <v>70985</v>
      </c>
      <c r="N362" s="56" t="s">
        <v>53</v>
      </c>
      <c r="O362" s="68" t="s">
        <v>38</v>
      </c>
      <c r="P362" s="70">
        <v>58.82</v>
      </c>
      <c r="Q362" s="68"/>
      <c r="R362" s="70">
        <v>58.82</v>
      </c>
      <c r="S362" s="73">
        <v>46054</v>
      </c>
      <c r="T362" s="70">
        <v>4.4115000000000002</v>
      </c>
      <c r="U362" s="74">
        <v>4</v>
      </c>
      <c r="V362" s="70">
        <v>54.408500000000004</v>
      </c>
      <c r="W362" s="56" t="s">
        <v>47</v>
      </c>
      <c r="X362" s="56" t="s">
        <v>48</v>
      </c>
      <c r="Y362" s="56" t="s">
        <v>36</v>
      </c>
      <c r="Z362" s="56" t="s">
        <v>9</v>
      </c>
      <c r="AA362" s="56" t="s">
        <v>49</v>
      </c>
      <c r="AB362" s="56" t="s">
        <v>50</v>
      </c>
      <c r="AC362" s="56" t="s">
        <v>38</v>
      </c>
      <c r="AD362" s="75" t="s">
        <v>267</v>
      </c>
      <c r="AE362" s="76"/>
      <c r="AF362" s="76"/>
      <c r="AG362" s="76"/>
      <c r="AH362" s="76"/>
      <c r="AI362" s="76"/>
      <c r="AJ362" s="76"/>
      <c r="AK362" s="76"/>
      <c r="AL362" s="76"/>
      <c r="AM362" s="76"/>
      <c r="AN362" s="76"/>
      <c r="AO362" s="76"/>
      <c r="AP362" s="76"/>
      <c r="AQ362" s="76"/>
      <c r="AR362" s="76"/>
      <c r="AS362" s="76"/>
      <c r="AT362" s="76"/>
      <c r="AU362" s="76"/>
      <c r="AV362" s="76"/>
      <c r="AW362" s="76"/>
    </row>
    <row r="363" spans="1:49" ht="31.5" x14ac:dyDescent="0.25">
      <c r="A363" s="56" t="s">
        <v>44</v>
      </c>
      <c r="B363" s="59">
        <v>46054</v>
      </c>
      <c r="C363" s="59">
        <v>46054</v>
      </c>
      <c r="D363" s="56" t="s">
        <v>249</v>
      </c>
      <c r="E363" s="62">
        <v>0.75</v>
      </c>
      <c r="F363" s="62">
        <v>0.83333333333333337</v>
      </c>
      <c r="G363" s="62">
        <v>3.4722222222222218E-4</v>
      </c>
      <c r="H363" s="56" t="s">
        <v>244</v>
      </c>
      <c r="I363" s="66">
        <v>0.82306736111111112</v>
      </c>
      <c r="J363" s="56" t="s">
        <v>241</v>
      </c>
      <c r="K363" s="56" t="s">
        <v>247</v>
      </c>
      <c r="L363" s="68">
        <v>1</v>
      </c>
      <c r="M363" s="68">
        <v>70987</v>
      </c>
      <c r="N363" s="56" t="s">
        <v>46</v>
      </c>
      <c r="O363" s="68" t="s">
        <v>38</v>
      </c>
      <c r="P363" s="70">
        <v>0</v>
      </c>
      <c r="Q363" s="68"/>
      <c r="R363" s="70">
        <v>0</v>
      </c>
      <c r="S363" s="73">
        <v>46054</v>
      </c>
      <c r="T363" s="70">
        <v>0</v>
      </c>
      <c r="U363" s="74">
        <v>4</v>
      </c>
      <c r="V363" s="70">
        <v>0</v>
      </c>
      <c r="W363" s="56" t="s">
        <v>47</v>
      </c>
      <c r="X363" s="56" t="s">
        <v>48</v>
      </c>
      <c r="Y363" s="56" t="s">
        <v>36</v>
      </c>
      <c r="Z363" s="56" t="s">
        <v>9</v>
      </c>
      <c r="AA363" s="56" t="s">
        <v>49</v>
      </c>
      <c r="AB363" s="56" t="s">
        <v>50</v>
      </c>
      <c r="AC363" s="56" t="s">
        <v>38</v>
      </c>
      <c r="AD363" s="75" t="s">
        <v>267</v>
      </c>
      <c r="AE363" s="76"/>
      <c r="AF363" s="76"/>
      <c r="AG363" s="76"/>
      <c r="AH363" s="76"/>
      <c r="AI363" s="76"/>
      <c r="AJ363" s="76"/>
      <c r="AK363" s="76"/>
      <c r="AL363" s="76"/>
      <c r="AM363" s="76"/>
      <c r="AN363" s="76"/>
      <c r="AO363" s="76"/>
      <c r="AP363" s="76"/>
      <c r="AQ363" s="76"/>
      <c r="AR363" s="76"/>
      <c r="AS363" s="76"/>
      <c r="AT363" s="76"/>
      <c r="AU363" s="76"/>
      <c r="AV363" s="76"/>
      <c r="AW363" s="76"/>
    </row>
    <row r="364" spans="1:49" ht="31.5" x14ac:dyDescent="0.2">
      <c r="A364" s="57" t="s">
        <v>29</v>
      </c>
      <c r="B364" s="60">
        <v>46048</v>
      </c>
      <c r="C364" s="60">
        <v>46048</v>
      </c>
      <c r="D364" s="61" t="s">
        <v>30</v>
      </c>
      <c r="E364" s="63">
        <v>0</v>
      </c>
      <c r="F364" s="63">
        <v>0.25</v>
      </c>
      <c r="G364" s="63">
        <v>0.25</v>
      </c>
      <c r="H364" s="57" t="s">
        <v>31</v>
      </c>
      <c r="I364" s="67"/>
      <c r="J364" s="57" t="s">
        <v>32</v>
      </c>
      <c r="K364" s="57" t="s">
        <v>31</v>
      </c>
      <c r="L364" s="69">
        <v>1</v>
      </c>
      <c r="M364" s="69">
        <v>1</v>
      </c>
      <c r="N364" s="57" t="s">
        <v>33</v>
      </c>
      <c r="O364" s="57"/>
      <c r="P364" s="71">
        <v>0</v>
      </c>
      <c r="Q364" s="69"/>
      <c r="R364" s="71">
        <v>0</v>
      </c>
      <c r="S364" s="57">
        <v>46054</v>
      </c>
      <c r="T364" s="42">
        <v>0</v>
      </c>
      <c r="U364" s="69">
        <v>1</v>
      </c>
      <c r="V364" s="42">
        <v>0</v>
      </c>
      <c r="W364" s="57" t="s">
        <v>34</v>
      </c>
      <c r="X364" s="57" t="s">
        <v>35</v>
      </c>
      <c r="Y364" s="57" t="s">
        <v>36</v>
      </c>
      <c r="Z364" s="57" t="s">
        <v>9</v>
      </c>
      <c r="AA364" s="57" t="s">
        <v>37</v>
      </c>
      <c r="AB364" s="57" t="s">
        <v>37</v>
      </c>
      <c r="AC364" s="57" t="s">
        <v>38</v>
      </c>
      <c r="AD364" s="75" t="s">
        <v>267</v>
      </c>
      <c r="AE364" s="57"/>
      <c r="AF364" s="57"/>
      <c r="AG364" s="57"/>
      <c r="AH364" s="57"/>
      <c r="AI364" s="57"/>
      <c r="AJ364" s="57"/>
      <c r="AK364" s="57"/>
      <c r="AL364" s="57"/>
      <c r="AM364" s="57"/>
      <c r="AN364" s="57"/>
      <c r="AO364" s="57"/>
      <c r="AP364" s="57"/>
      <c r="AQ364" s="57"/>
      <c r="AR364" s="57"/>
      <c r="AS364" s="57"/>
      <c r="AT364" s="57"/>
      <c r="AU364" s="57"/>
      <c r="AV364" s="57"/>
      <c r="AW364" s="57"/>
    </row>
    <row r="365" spans="1:49" ht="31.5" x14ac:dyDescent="0.25">
      <c r="A365" s="57" t="s">
        <v>29</v>
      </c>
      <c r="B365" s="60">
        <v>46049</v>
      </c>
      <c r="C365" s="60">
        <v>46049</v>
      </c>
      <c r="D365" s="61" t="s">
        <v>166</v>
      </c>
      <c r="E365" s="63">
        <v>0</v>
      </c>
      <c r="F365" s="63">
        <v>0.25</v>
      </c>
      <c r="G365" s="63">
        <v>0.25</v>
      </c>
      <c r="H365" s="57" t="s">
        <v>31</v>
      </c>
      <c r="I365" s="67"/>
      <c r="J365" s="57" t="s">
        <v>32</v>
      </c>
      <c r="K365" s="57" t="s">
        <v>31</v>
      </c>
      <c r="L365" s="69">
        <v>1</v>
      </c>
      <c r="M365" s="69">
        <v>1</v>
      </c>
      <c r="N365" s="57" t="s">
        <v>33</v>
      </c>
      <c r="O365" s="57"/>
      <c r="P365" s="71">
        <v>0</v>
      </c>
      <c r="Q365" s="69"/>
      <c r="R365" s="71">
        <v>0</v>
      </c>
      <c r="S365" s="57">
        <v>46054</v>
      </c>
      <c r="T365" s="42">
        <v>0</v>
      </c>
      <c r="U365" s="69">
        <v>1</v>
      </c>
      <c r="V365" s="42">
        <v>0</v>
      </c>
      <c r="W365" s="57" t="s">
        <v>34</v>
      </c>
      <c r="X365" s="57" t="s">
        <v>35</v>
      </c>
      <c r="Y365" s="57" t="s">
        <v>36</v>
      </c>
      <c r="Z365" s="57" t="s">
        <v>9</v>
      </c>
      <c r="AA365" s="57" t="s">
        <v>37</v>
      </c>
      <c r="AB365" s="57" t="s">
        <v>37</v>
      </c>
      <c r="AC365" s="57" t="s">
        <v>38</v>
      </c>
      <c r="AD365" s="75" t="s">
        <v>267</v>
      </c>
      <c r="AE365" s="76"/>
      <c r="AF365" s="76"/>
      <c r="AG365" s="76"/>
      <c r="AH365" s="76"/>
      <c r="AI365" s="85"/>
      <c r="AJ365" s="85"/>
      <c r="AK365" s="85"/>
      <c r="AL365" s="85"/>
      <c r="AM365" s="85"/>
      <c r="AN365" s="85"/>
      <c r="AO365" s="85"/>
      <c r="AP365" s="85"/>
      <c r="AQ365" s="85"/>
      <c r="AR365" s="85"/>
      <c r="AS365" s="85"/>
      <c r="AT365" s="85"/>
      <c r="AU365" s="85"/>
      <c r="AV365" s="85"/>
      <c r="AW365" s="85"/>
    </row>
    <row r="366" spans="1:49" ht="31.5" x14ac:dyDescent="0.25">
      <c r="A366" s="57" t="s">
        <v>29</v>
      </c>
      <c r="B366" s="60">
        <v>46050</v>
      </c>
      <c r="C366" s="60">
        <v>46050</v>
      </c>
      <c r="D366" s="61" t="s">
        <v>196</v>
      </c>
      <c r="E366" s="63">
        <v>0</v>
      </c>
      <c r="F366" s="63">
        <v>0.25</v>
      </c>
      <c r="G366" s="63">
        <v>0.25</v>
      </c>
      <c r="H366" s="57" t="s">
        <v>31</v>
      </c>
      <c r="I366" s="67"/>
      <c r="J366" s="57" t="s">
        <v>32</v>
      </c>
      <c r="K366" s="57" t="s">
        <v>31</v>
      </c>
      <c r="L366" s="69">
        <v>1</v>
      </c>
      <c r="M366" s="69">
        <v>1</v>
      </c>
      <c r="N366" s="57" t="s">
        <v>33</v>
      </c>
      <c r="O366" s="57"/>
      <c r="P366" s="71">
        <v>0</v>
      </c>
      <c r="Q366" s="69"/>
      <c r="R366" s="71">
        <v>0</v>
      </c>
      <c r="S366" s="57">
        <v>46054</v>
      </c>
      <c r="T366" s="42">
        <v>0</v>
      </c>
      <c r="U366" s="69">
        <v>1</v>
      </c>
      <c r="V366" s="42">
        <v>0</v>
      </c>
      <c r="W366" s="57" t="s">
        <v>34</v>
      </c>
      <c r="X366" s="57" t="s">
        <v>35</v>
      </c>
      <c r="Y366" s="57" t="s">
        <v>36</v>
      </c>
      <c r="Z366" s="57" t="s">
        <v>9</v>
      </c>
      <c r="AA366" s="57" t="s">
        <v>37</v>
      </c>
      <c r="AB366" s="57" t="s">
        <v>37</v>
      </c>
      <c r="AC366" s="57" t="s">
        <v>38</v>
      </c>
      <c r="AD366" s="75" t="s">
        <v>267</v>
      </c>
      <c r="AE366" s="76"/>
      <c r="AF366" s="76"/>
      <c r="AG366" s="76"/>
      <c r="AH366" s="76"/>
      <c r="AI366" s="76"/>
      <c r="AJ366" s="76"/>
      <c r="AK366" s="76"/>
      <c r="AL366" s="76"/>
      <c r="AM366" s="76"/>
      <c r="AN366" s="76"/>
      <c r="AO366" s="76"/>
      <c r="AP366" s="76"/>
      <c r="AQ366" s="76"/>
      <c r="AR366" s="76"/>
      <c r="AS366" s="76"/>
      <c r="AT366" s="76"/>
      <c r="AU366" s="76"/>
      <c r="AV366" s="76"/>
      <c r="AW366" s="76"/>
    </row>
    <row r="367" spans="1:49" ht="31.5" x14ac:dyDescent="0.25">
      <c r="A367" s="57" t="s">
        <v>29</v>
      </c>
      <c r="B367" s="60">
        <v>46051</v>
      </c>
      <c r="C367" s="60">
        <v>46051</v>
      </c>
      <c r="D367" s="61" t="s">
        <v>207</v>
      </c>
      <c r="E367" s="63">
        <v>0</v>
      </c>
      <c r="F367" s="63">
        <v>0.25</v>
      </c>
      <c r="G367" s="63">
        <v>0.25</v>
      </c>
      <c r="H367" s="57" t="s">
        <v>31</v>
      </c>
      <c r="I367" s="67"/>
      <c r="J367" s="57" t="s">
        <v>32</v>
      </c>
      <c r="K367" s="57" t="s">
        <v>31</v>
      </c>
      <c r="L367" s="69">
        <v>1</v>
      </c>
      <c r="M367" s="69">
        <v>1</v>
      </c>
      <c r="N367" s="57" t="s">
        <v>33</v>
      </c>
      <c r="O367" s="57"/>
      <c r="P367" s="71">
        <v>0</v>
      </c>
      <c r="Q367" s="69"/>
      <c r="R367" s="71">
        <v>0</v>
      </c>
      <c r="S367" s="57">
        <v>46054</v>
      </c>
      <c r="T367" s="42">
        <v>0</v>
      </c>
      <c r="U367" s="69">
        <v>1</v>
      </c>
      <c r="V367" s="42">
        <v>0</v>
      </c>
      <c r="W367" s="57" t="s">
        <v>34</v>
      </c>
      <c r="X367" s="57" t="s">
        <v>35</v>
      </c>
      <c r="Y367" s="57" t="s">
        <v>36</v>
      </c>
      <c r="Z367" s="57" t="s">
        <v>9</v>
      </c>
      <c r="AA367" s="57" t="s">
        <v>37</v>
      </c>
      <c r="AB367" s="57" t="s">
        <v>37</v>
      </c>
      <c r="AC367" s="57" t="s">
        <v>38</v>
      </c>
      <c r="AD367" s="75" t="s">
        <v>267</v>
      </c>
      <c r="AE367" s="76"/>
      <c r="AF367" s="76"/>
      <c r="AG367" s="76"/>
      <c r="AH367" s="76"/>
      <c r="AI367" s="85"/>
      <c r="AJ367" s="85"/>
      <c r="AK367" s="85"/>
      <c r="AL367" s="85"/>
      <c r="AM367" s="85"/>
      <c r="AN367" s="85"/>
      <c r="AO367" s="85"/>
      <c r="AP367" s="85"/>
      <c r="AQ367" s="85"/>
      <c r="AR367" s="85"/>
      <c r="AS367" s="85"/>
      <c r="AT367" s="85"/>
      <c r="AU367" s="85"/>
      <c r="AV367" s="85"/>
      <c r="AW367" s="85"/>
    </row>
    <row r="368" spans="1:49" ht="31.5" x14ac:dyDescent="0.25">
      <c r="A368" s="57" t="s">
        <v>29</v>
      </c>
      <c r="B368" s="60">
        <v>46052</v>
      </c>
      <c r="C368" s="60">
        <v>46052</v>
      </c>
      <c r="D368" s="61" t="s">
        <v>217</v>
      </c>
      <c r="E368" s="63">
        <v>0</v>
      </c>
      <c r="F368" s="63">
        <v>0.25</v>
      </c>
      <c r="G368" s="63">
        <v>0.25</v>
      </c>
      <c r="H368" s="57" t="s">
        <v>31</v>
      </c>
      <c r="I368" s="67"/>
      <c r="J368" s="57" t="s">
        <v>32</v>
      </c>
      <c r="K368" s="57" t="s">
        <v>31</v>
      </c>
      <c r="L368" s="69">
        <v>1</v>
      </c>
      <c r="M368" s="69">
        <v>1</v>
      </c>
      <c r="N368" s="57" t="s">
        <v>33</v>
      </c>
      <c r="O368" s="57"/>
      <c r="P368" s="71">
        <v>0</v>
      </c>
      <c r="Q368" s="69"/>
      <c r="R368" s="71">
        <v>0</v>
      </c>
      <c r="S368" s="57">
        <v>46054</v>
      </c>
      <c r="T368" s="42">
        <v>0</v>
      </c>
      <c r="U368" s="69">
        <v>1</v>
      </c>
      <c r="V368" s="42">
        <v>0</v>
      </c>
      <c r="W368" s="57" t="s">
        <v>34</v>
      </c>
      <c r="X368" s="57" t="s">
        <v>35</v>
      </c>
      <c r="Y368" s="57" t="s">
        <v>36</v>
      </c>
      <c r="Z368" s="57" t="s">
        <v>9</v>
      </c>
      <c r="AA368" s="57" t="s">
        <v>37</v>
      </c>
      <c r="AB368" s="57" t="s">
        <v>37</v>
      </c>
      <c r="AC368" s="57" t="s">
        <v>38</v>
      </c>
      <c r="AD368" s="75" t="s">
        <v>267</v>
      </c>
      <c r="AE368" s="76"/>
      <c r="AF368" s="76"/>
      <c r="AG368" s="76"/>
      <c r="AH368" s="76"/>
      <c r="AI368" s="76"/>
      <c r="AJ368" s="76"/>
      <c r="AK368" s="76"/>
      <c r="AL368" s="76"/>
      <c r="AM368" s="76"/>
      <c r="AN368" s="76"/>
      <c r="AO368" s="76"/>
      <c r="AP368" s="76"/>
      <c r="AQ368" s="76"/>
      <c r="AR368" s="76"/>
      <c r="AS368" s="76"/>
      <c r="AT368" s="76"/>
      <c r="AU368" s="76"/>
      <c r="AV368" s="76"/>
      <c r="AW368" s="76"/>
    </row>
    <row r="369" spans="1:49" ht="31.5" x14ac:dyDescent="0.25">
      <c r="A369" s="57" t="s">
        <v>29</v>
      </c>
      <c r="B369" s="60">
        <v>46053</v>
      </c>
      <c r="C369" s="60">
        <v>46053</v>
      </c>
      <c r="D369" s="61" t="s">
        <v>224</v>
      </c>
      <c r="E369" s="63">
        <v>0</v>
      </c>
      <c r="F369" s="63">
        <v>0.25</v>
      </c>
      <c r="G369" s="63">
        <v>0.25</v>
      </c>
      <c r="H369" s="57" t="s">
        <v>31</v>
      </c>
      <c r="I369" s="67"/>
      <c r="J369" s="57" t="s">
        <v>32</v>
      </c>
      <c r="K369" s="57" t="s">
        <v>31</v>
      </c>
      <c r="L369" s="69">
        <v>1</v>
      </c>
      <c r="M369" s="69">
        <v>1</v>
      </c>
      <c r="N369" s="57" t="s">
        <v>33</v>
      </c>
      <c r="O369" s="57"/>
      <c r="P369" s="71">
        <v>0</v>
      </c>
      <c r="Q369" s="69"/>
      <c r="R369" s="71">
        <v>0</v>
      </c>
      <c r="S369" s="57">
        <v>46054</v>
      </c>
      <c r="T369" s="42">
        <v>0</v>
      </c>
      <c r="U369" s="69">
        <v>1</v>
      </c>
      <c r="V369" s="42">
        <v>0</v>
      </c>
      <c r="W369" s="57" t="s">
        <v>34</v>
      </c>
      <c r="X369" s="57" t="s">
        <v>35</v>
      </c>
      <c r="Y369" s="57" t="s">
        <v>36</v>
      </c>
      <c r="Z369" s="57" t="s">
        <v>9</v>
      </c>
      <c r="AA369" s="57" t="s">
        <v>37</v>
      </c>
      <c r="AB369" s="57" t="s">
        <v>37</v>
      </c>
      <c r="AC369" s="57" t="s">
        <v>38</v>
      </c>
      <c r="AD369" s="75" t="s">
        <v>267</v>
      </c>
      <c r="AE369" s="76"/>
      <c r="AF369" s="76"/>
      <c r="AG369" s="76"/>
      <c r="AH369" s="76"/>
      <c r="AI369" s="85"/>
      <c r="AJ369" s="85"/>
      <c r="AK369" s="85"/>
      <c r="AL369" s="85"/>
      <c r="AM369" s="85"/>
      <c r="AN369" s="85"/>
      <c r="AO369" s="85"/>
      <c r="AP369" s="85"/>
      <c r="AQ369" s="85"/>
      <c r="AR369" s="85"/>
      <c r="AS369" s="85"/>
      <c r="AT369" s="85"/>
      <c r="AU369" s="85"/>
      <c r="AV369" s="85"/>
      <c r="AW369" s="85"/>
    </row>
    <row r="370" spans="1:49" ht="31.5" x14ac:dyDescent="0.25">
      <c r="A370" s="57" t="s">
        <v>29</v>
      </c>
      <c r="B370" s="60">
        <v>46054</v>
      </c>
      <c r="C370" s="60">
        <v>46054</v>
      </c>
      <c r="D370" s="61" t="s">
        <v>249</v>
      </c>
      <c r="E370" s="63">
        <v>0</v>
      </c>
      <c r="F370" s="63">
        <v>0.25</v>
      </c>
      <c r="G370" s="63">
        <v>0.25</v>
      </c>
      <c r="H370" s="57" t="s">
        <v>31</v>
      </c>
      <c r="I370" s="67"/>
      <c r="J370" s="57" t="s">
        <v>32</v>
      </c>
      <c r="K370" s="57" t="s">
        <v>31</v>
      </c>
      <c r="L370" s="69">
        <v>1</v>
      </c>
      <c r="M370" s="69">
        <v>1</v>
      </c>
      <c r="N370" s="57" t="s">
        <v>33</v>
      </c>
      <c r="O370" s="57"/>
      <c r="P370" s="71">
        <v>0</v>
      </c>
      <c r="Q370" s="69"/>
      <c r="R370" s="71">
        <v>0</v>
      </c>
      <c r="S370" s="57">
        <v>46054</v>
      </c>
      <c r="T370" s="42">
        <v>0</v>
      </c>
      <c r="U370" s="69">
        <v>1</v>
      </c>
      <c r="V370" s="42">
        <v>0</v>
      </c>
      <c r="W370" s="57" t="s">
        <v>34</v>
      </c>
      <c r="X370" s="57" t="s">
        <v>35</v>
      </c>
      <c r="Y370" s="57" t="s">
        <v>36</v>
      </c>
      <c r="Z370" s="57" t="s">
        <v>9</v>
      </c>
      <c r="AA370" s="57" t="s">
        <v>37</v>
      </c>
      <c r="AB370" s="57" t="s">
        <v>37</v>
      </c>
      <c r="AC370" s="57" t="s">
        <v>38</v>
      </c>
      <c r="AD370" s="75" t="s">
        <v>267</v>
      </c>
      <c r="AE370" s="76"/>
      <c r="AF370" s="76"/>
      <c r="AG370" s="76"/>
      <c r="AH370" s="76"/>
      <c r="AI370" s="76"/>
      <c r="AJ370" s="76"/>
      <c r="AK370" s="76"/>
      <c r="AL370" s="76"/>
      <c r="AM370" s="76"/>
      <c r="AN370" s="76"/>
      <c r="AO370" s="76"/>
      <c r="AP370" s="76"/>
      <c r="AQ370" s="76"/>
      <c r="AR370" s="76"/>
      <c r="AS370" s="76"/>
      <c r="AT370" s="76"/>
      <c r="AU370" s="76"/>
      <c r="AV370" s="76"/>
      <c r="AW370" s="76"/>
    </row>
    <row r="371" spans="1:49" ht="31.5" x14ac:dyDescent="0.2">
      <c r="A371" s="56" t="s">
        <v>167</v>
      </c>
      <c r="B371" s="59">
        <v>46049</v>
      </c>
      <c r="C371" s="59">
        <v>46049</v>
      </c>
      <c r="D371" s="56" t="s">
        <v>166</v>
      </c>
      <c r="E371" s="62">
        <v>0.25</v>
      </c>
      <c r="F371" s="62">
        <v>0.99930555555555556</v>
      </c>
      <c r="G371" s="62">
        <v>3.8194444444444446E-4</v>
      </c>
      <c r="H371" s="56" t="s">
        <v>168</v>
      </c>
      <c r="I371" s="66">
        <v>0.30475694444444446</v>
      </c>
      <c r="J371" s="56" t="s">
        <v>32</v>
      </c>
      <c r="K371" s="56" t="s">
        <v>171</v>
      </c>
      <c r="L371" s="68">
        <v>1</v>
      </c>
      <c r="M371" s="68">
        <v>61686</v>
      </c>
      <c r="N371" s="56" t="s">
        <v>53</v>
      </c>
      <c r="O371" s="68"/>
      <c r="P371" s="70">
        <v>92.592592592592595</v>
      </c>
      <c r="Q371" s="68"/>
      <c r="R371" s="70">
        <v>92.592592592592595</v>
      </c>
      <c r="S371" s="73">
        <v>46054</v>
      </c>
      <c r="T371" s="70">
        <v>0</v>
      </c>
      <c r="U371" s="74">
        <v>4</v>
      </c>
      <c r="V371" s="70">
        <v>92.592592592592595</v>
      </c>
      <c r="W371" s="56" t="s">
        <v>34</v>
      </c>
      <c r="X371" s="56" t="s">
        <v>169</v>
      </c>
      <c r="Y371" s="56" t="s">
        <v>36</v>
      </c>
      <c r="Z371" s="56" t="s">
        <v>169</v>
      </c>
      <c r="AA371" s="56" t="s">
        <v>49</v>
      </c>
      <c r="AB371" s="56" t="s">
        <v>170</v>
      </c>
      <c r="AC371" s="56" t="s">
        <v>38</v>
      </c>
      <c r="AD371" s="75" t="s">
        <v>267</v>
      </c>
      <c r="AE371" s="57"/>
      <c r="AF371" s="57"/>
      <c r="AG371" s="57"/>
      <c r="AH371" s="57"/>
      <c r="AI371" s="57"/>
      <c r="AJ371" s="57"/>
      <c r="AK371" s="57"/>
      <c r="AL371" s="57"/>
      <c r="AM371" s="57"/>
      <c r="AN371" s="57"/>
      <c r="AO371" s="57"/>
      <c r="AP371" s="57"/>
      <c r="AQ371" s="57"/>
      <c r="AR371" s="57"/>
      <c r="AS371" s="57"/>
      <c r="AT371" s="57"/>
      <c r="AU371" s="57"/>
      <c r="AV371" s="57"/>
      <c r="AW371" s="57"/>
    </row>
    <row r="372" spans="1:49" ht="31.5" x14ac:dyDescent="0.25">
      <c r="A372" s="56" t="s">
        <v>167</v>
      </c>
      <c r="B372" s="59">
        <v>46050</v>
      </c>
      <c r="C372" s="59">
        <v>46050</v>
      </c>
      <c r="D372" s="56" t="s">
        <v>196</v>
      </c>
      <c r="E372" s="62">
        <v>0.25</v>
      </c>
      <c r="F372" s="62">
        <v>0.99930555555555556</v>
      </c>
      <c r="G372" s="62">
        <v>3.8194444444444446E-4</v>
      </c>
      <c r="H372" s="56" t="s">
        <v>168</v>
      </c>
      <c r="I372" s="66">
        <v>0.54110046296296299</v>
      </c>
      <c r="J372" s="56" t="s">
        <v>32</v>
      </c>
      <c r="K372" s="56" t="s">
        <v>151</v>
      </c>
      <c r="L372" s="68">
        <v>1</v>
      </c>
      <c r="M372" s="68">
        <v>61686</v>
      </c>
      <c r="N372" s="56" t="s">
        <v>53</v>
      </c>
      <c r="O372" s="68"/>
      <c r="P372" s="70">
        <v>92.592592592592595</v>
      </c>
      <c r="Q372" s="68"/>
      <c r="R372" s="70">
        <v>92.592592592592595</v>
      </c>
      <c r="S372" s="73">
        <v>46054</v>
      </c>
      <c r="T372" s="70">
        <v>0</v>
      </c>
      <c r="U372" s="74">
        <v>4</v>
      </c>
      <c r="V372" s="70">
        <v>92.592592592592595</v>
      </c>
      <c r="W372" s="56" t="s">
        <v>34</v>
      </c>
      <c r="X372" s="56" t="s">
        <v>169</v>
      </c>
      <c r="Y372" s="56" t="s">
        <v>36</v>
      </c>
      <c r="Z372" s="56" t="s">
        <v>169</v>
      </c>
      <c r="AA372" s="56" t="s">
        <v>49</v>
      </c>
      <c r="AB372" s="56" t="s">
        <v>170</v>
      </c>
      <c r="AC372" s="56" t="s">
        <v>38</v>
      </c>
      <c r="AD372" s="75" t="s">
        <v>267</v>
      </c>
      <c r="AE372" s="76"/>
      <c r="AF372" s="76"/>
      <c r="AG372" s="76"/>
      <c r="AH372" s="76"/>
      <c r="AI372" s="85"/>
      <c r="AJ372" s="85"/>
      <c r="AK372" s="85"/>
      <c r="AL372" s="85"/>
      <c r="AM372" s="85"/>
      <c r="AN372" s="85"/>
      <c r="AO372" s="85"/>
      <c r="AP372" s="85"/>
      <c r="AQ372" s="85"/>
      <c r="AR372" s="85"/>
      <c r="AS372" s="85"/>
      <c r="AT372" s="85"/>
      <c r="AU372" s="85"/>
      <c r="AV372" s="85"/>
      <c r="AW372" s="85"/>
    </row>
    <row r="373" spans="1:49" ht="31.5" x14ac:dyDescent="0.2">
      <c r="A373" s="56" t="s">
        <v>167</v>
      </c>
      <c r="B373" s="59">
        <v>46051</v>
      </c>
      <c r="C373" s="59">
        <v>46051</v>
      </c>
      <c r="D373" s="56" t="s">
        <v>207</v>
      </c>
      <c r="E373" s="62">
        <v>0.25</v>
      </c>
      <c r="F373" s="62">
        <v>0.99930555555555556</v>
      </c>
      <c r="G373" s="62">
        <v>3.8194444444444446E-4</v>
      </c>
      <c r="H373" s="56" t="s">
        <v>168</v>
      </c>
      <c r="I373" s="66">
        <v>0.96260578703703703</v>
      </c>
      <c r="J373" s="56" t="s">
        <v>32</v>
      </c>
      <c r="K373" s="56" t="s">
        <v>215</v>
      </c>
      <c r="L373" s="68">
        <v>1</v>
      </c>
      <c r="M373" s="68">
        <v>61686</v>
      </c>
      <c r="N373" s="56" t="s">
        <v>53</v>
      </c>
      <c r="O373" s="68"/>
      <c r="P373" s="70">
        <v>92.592592592592595</v>
      </c>
      <c r="Q373" s="68"/>
      <c r="R373" s="70">
        <v>92.592592592592595</v>
      </c>
      <c r="S373" s="73">
        <v>46054</v>
      </c>
      <c r="T373" s="70">
        <v>0</v>
      </c>
      <c r="U373" s="74">
        <v>4</v>
      </c>
      <c r="V373" s="70">
        <v>92.592592592592595</v>
      </c>
      <c r="W373" s="56" t="s">
        <v>34</v>
      </c>
      <c r="X373" s="56" t="s">
        <v>169</v>
      </c>
      <c r="Y373" s="56" t="s">
        <v>36</v>
      </c>
      <c r="Z373" s="56" t="s">
        <v>169</v>
      </c>
      <c r="AA373" s="56" t="s">
        <v>49</v>
      </c>
      <c r="AB373" s="56" t="s">
        <v>170</v>
      </c>
      <c r="AC373" s="56" t="s">
        <v>38</v>
      </c>
      <c r="AD373" s="75" t="s">
        <v>267</v>
      </c>
      <c r="AE373" s="57"/>
      <c r="AF373" s="57"/>
      <c r="AG373" s="57"/>
      <c r="AH373" s="57"/>
      <c r="AI373" s="57"/>
      <c r="AJ373" s="57"/>
      <c r="AK373" s="57"/>
      <c r="AL373" s="57"/>
      <c r="AM373" s="57"/>
      <c r="AN373" s="57"/>
      <c r="AO373" s="57"/>
      <c r="AP373" s="57"/>
      <c r="AQ373" s="57"/>
      <c r="AR373" s="57"/>
      <c r="AS373" s="57"/>
      <c r="AT373" s="57"/>
      <c r="AU373" s="57"/>
      <c r="AV373" s="57"/>
      <c r="AW373" s="57"/>
    </row>
    <row r="374" spans="1:49" ht="31.5" x14ac:dyDescent="0.25">
      <c r="A374" s="56" t="s">
        <v>167</v>
      </c>
      <c r="B374" s="59">
        <v>46053</v>
      </c>
      <c r="C374" s="59">
        <v>46053</v>
      </c>
      <c r="D374" s="56" t="s">
        <v>224</v>
      </c>
      <c r="E374" s="62">
        <v>0.25</v>
      </c>
      <c r="F374" s="62">
        <v>0.99930555555555556</v>
      </c>
      <c r="G374" s="62">
        <v>3.8194444444444446E-4</v>
      </c>
      <c r="H374" s="56" t="s">
        <v>168</v>
      </c>
      <c r="I374" s="66">
        <v>0.76743310185185187</v>
      </c>
      <c r="J374" s="56" t="s">
        <v>32</v>
      </c>
      <c r="K374" s="56" t="s">
        <v>237</v>
      </c>
      <c r="L374" s="68">
        <v>1</v>
      </c>
      <c r="M374" s="68">
        <v>61686</v>
      </c>
      <c r="N374" s="56" t="s">
        <v>53</v>
      </c>
      <c r="O374" s="68"/>
      <c r="P374" s="70">
        <v>92.592592592592595</v>
      </c>
      <c r="Q374" s="68"/>
      <c r="R374" s="70">
        <v>92.592592592592595</v>
      </c>
      <c r="S374" s="73">
        <v>46054</v>
      </c>
      <c r="T374" s="70">
        <v>0</v>
      </c>
      <c r="U374" s="74">
        <v>4</v>
      </c>
      <c r="V374" s="70">
        <v>92.592592592592595</v>
      </c>
      <c r="W374" s="56" t="s">
        <v>34</v>
      </c>
      <c r="X374" s="56" t="s">
        <v>169</v>
      </c>
      <c r="Y374" s="56" t="s">
        <v>36</v>
      </c>
      <c r="Z374" s="56" t="s">
        <v>169</v>
      </c>
      <c r="AA374" s="56" t="s">
        <v>49</v>
      </c>
      <c r="AB374" s="56" t="s">
        <v>170</v>
      </c>
      <c r="AC374" s="56" t="s">
        <v>38</v>
      </c>
      <c r="AD374" s="75" t="s">
        <v>267</v>
      </c>
      <c r="AE374" s="76"/>
      <c r="AF374" s="76"/>
      <c r="AG374" s="76"/>
      <c r="AH374" s="76"/>
      <c r="AI374" s="76"/>
      <c r="AJ374" s="76"/>
      <c r="AK374" s="76"/>
      <c r="AL374" s="76"/>
      <c r="AM374" s="76"/>
      <c r="AN374" s="76"/>
      <c r="AO374" s="76"/>
      <c r="AP374" s="76"/>
      <c r="AQ374" s="76"/>
      <c r="AR374" s="76"/>
      <c r="AS374" s="76"/>
      <c r="AT374" s="76"/>
      <c r="AU374" s="76"/>
      <c r="AV374" s="76"/>
      <c r="AW374" s="76"/>
    </row>
    <row r="375" spans="1:49" ht="31.5" x14ac:dyDescent="0.2">
      <c r="A375" s="56" t="s">
        <v>167</v>
      </c>
      <c r="B375" s="59">
        <v>46054</v>
      </c>
      <c r="C375" s="59">
        <v>46054</v>
      </c>
      <c r="D375" s="56" t="s">
        <v>249</v>
      </c>
      <c r="E375" s="62">
        <v>0.25</v>
      </c>
      <c r="F375" s="62">
        <v>0.99930555555555556</v>
      </c>
      <c r="G375" s="62">
        <v>3.8194444444444446E-4</v>
      </c>
      <c r="H375" s="56" t="s">
        <v>168</v>
      </c>
      <c r="I375" s="66">
        <v>0.33264016203703706</v>
      </c>
      <c r="J375" s="56" t="s">
        <v>32</v>
      </c>
      <c r="K375" s="56" t="s">
        <v>197</v>
      </c>
      <c r="L375" s="68">
        <v>1</v>
      </c>
      <c r="M375" s="68">
        <v>61686</v>
      </c>
      <c r="N375" s="56" t="s">
        <v>53</v>
      </c>
      <c r="O375" s="68"/>
      <c r="P375" s="70">
        <v>92.592592592592595</v>
      </c>
      <c r="Q375" s="68"/>
      <c r="R375" s="70">
        <v>92.592592592592595</v>
      </c>
      <c r="S375" s="73">
        <v>46054</v>
      </c>
      <c r="T375" s="70">
        <v>0</v>
      </c>
      <c r="U375" s="74">
        <v>4</v>
      </c>
      <c r="V375" s="70">
        <v>92.592592592592595</v>
      </c>
      <c r="W375" s="56" t="s">
        <v>34</v>
      </c>
      <c r="X375" s="56" t="s">
        <v>169</v>
      </c>
      <c r="Y375" s="56" t="s">
        <v>36</v>
      </c>
      <c r="Z375" s="56" t="s">
        <v>169</v>
      </c>
      <c r="AA375" s="56" t="s">
        <v>49</v>
      </c>
      <c r="AB375" s="56" t="s">
        <v>170</v>
      </c>
      <c r="AC375" s="56" t="s">
        <v>38</v>
      </c>
      <c r="AD375" s="75" t="s">
        <v>267</v>
      </c>
      <c r="AE375" s="57"/>
      <c r="AF375" s="57"/>
      <c r="AG375" s="57"/>
      <c r="AH375" s="57"/>
      <c r="AI375" s="57"/>
      <c r="AJ375" s="57"/>
      <c r="AK375" s="57"/>
      <c r="AL375" s="57"/>
      <c r="AM375" s="57"/>
      <c r="AN375" s="57"/>
      <c r="AO375" s="57"/>
      <c r="AP375" s="57"/>
      <c r="AQ375" s="57"/>
      <c r="AR375" s="57"/>
      <c r="AS375" s="57"/>
      <c r="AT375" s="57"/>
      <c r="AU375" s="57"/>
      <c r="AV375" s="57"/>
      <c r="AW375" s="57"/>
    </row>
    <row r="376" spans="1:49" ht="31.5" x14ac:dyDescent="0.2">
      <c r="A376" s="57" t="s">
        <v>39</v>
      </c>
      <c r="B376" s="60">
        <v>46048</v>
      </c>
      <c r="C376" s="60">
        <v>46048</v>
      </c>
      <c r="D376" s="61" t="s">
        <v>30</v>
      </c>
      <c r="E376" s="63">
        <v>0.25</v>
      </c>
      <c r="F376" s="63">
        <v>0.29166666666666669</v>
      </c>
      <c r="G376" s="63">
        <v>4.1666666666666664E-2</v>
      </c>
      <c r="H376" s="57" t="s">
        <v>40</v>
      </c>
      <c r="I376" s="67"/>
      <c r="J376" s="57" t="s">
        <v>41</v>
      </c>
      <c r="K376" s="57"/>
      <c r="L376" s="69">
        <v>1</v>
      </c>
      <c r="M376" s="69">
        <v>1</v>
      </c>
      <c r="N376" s="57" t="s">
        <v>33</v>
      </c>
      <c r="O376" s="57"/>
      <c r="P376" s="71">
        <v>0</v>
      </c>
      <c r="Q376" s="69"/>
      <c r="R376" s="71">
        <v>0</v>
      </c>
      <c r="S376" s="57">
        <v>46054</v>
      </c>
      <c r="T376" s="71">
        <v>0</v>
      </c>
      <c r="U376" s="69">
        <v>2</v>
      </c>
      <c r="V376" s="71">
        <v>0</v>
      </c>
      <c r="W376" s="57" t="s">
        <v>34</v>
      </c>
      <c r="X376" s="57" t="s">
        <v>42</v>
      </c>
      <c r="Y376" s="57" t="s">
        <v>36</v>
      </c>
      <c r="Z376" s="57" t="s">
        <v>43</v>
      </c>
      <c r="AA376" s="57" t="s">
        <v>37</v>
      </c>
      <c r="AB376" s="57" t="s">
        <v>37</v>
      </c>
      <c r="AC376" s="57" t="s">
        <v>38</v>
      </c>
      <c r="AD376" s="75" t="s">
        <v>267</v>
      </c>
      <c r="AE376" s="57"/>
      <c r="AF376" s="57"/>
      <c r="AG376" s="57"/>
      <c r="AH376" s="57"/>
      <c r="AI376" s="57"/>
      <c r="AJ376" s="57"/>
      <c r="AK376" s="57"/>
      <c r="AL376" s="57"/>
      <c r="AM376" s="57"/>
      <c r="AN376" s="57"/>
      <c r="AO376" s="57"/>
      <c r="AP376" s="57"/>
      <c r="AQ376" s="57"/>
      <c r="AR376" s="57"/>
      <c r="AS376" s="57"/>
      <c r="AT376" s="57"/>
      <c r="AU376" s="57"/>
      <c r="AV376" s="57"/>
      <c r="AW376" s="57"/>
    </row>
    <row r="377" spans="1:49" ht="31.5" x14ac:dyDescent="0.25">
      <c r="A377" s="57" t="s">
        <v>39</v>
      </c>
      <c r="B377" s="60">
        <v>46048</v>
      </c>
      <c r="C377" s="60">
        <v>46048</v>
      </c>
      <c r="D377" s="61" t="s">
        <v>30</v>
      </c>
      <c r="E377" s="63">
        <v>0.79166666666666663</v>
      </c>
      <c r="F377" s="63">
        <v>0.8125</v>
      </c>
      <c r="G377" s="63">
        <v>2.0833333333333332E-2</v>
      </c>
      <c r="H377" s="57" t="s">
        <v>131</v>
      </c>
      <c r="I377" s="67"/>
      <c r="J377" s="57" t="s">
        <v>132</v>
      </c>
      <c r="K377" s="57"/>
      <c r="L377" s="69">
        <v>1</v>
      </c>
      <c r="M377" s="69">
        <v>1</v>
      </c>
      <c r="N377" s="57" t="s">
        <v>33</v>
      </c>
      <c r="O377" s="57"/>
      <c r="P377" s="42">
        <v>0</v>
      </c>
      <c r="Q377" s="69"/>
      <c r="R377" s="42">
        <v>0</v>
      </c>
      <c r="S377" s="57">
        <v>46054</v>
      </c>
      <c r="T377" s="42">
        <v>0</v>
      </c>
      <c r="U377" s="69">
        <v>2</v>
      </c>
      <c r="V377" s="42">
        <v>0</v>
      </c>
      <c r="W377" s="57" t="s">
        <v>34</v>
      </c>
      <c r="X377" s="57" t="s">
        <v>42</v>
      </c>
      <c r="Y377" s="57" t="s">
        <v>36</v>
      </c>
      <c r="Z377" s="57" t="s">
        <v>43</v>
      </c>
      <c r="AA377" s="57" t="s">
        <v>37</v>
      </c>
      <c r="AB377" s="57" t="s">
        <v>37</v>
      </c>
      <c r="AC377" s="57" t="s">
        <v>38</v>
      </c>
      <c r="AD377" s="75" t="s">
        <v>267</v>
      </c>
      <c r="AE377" s="76"/>
      <c r="AF377" s="76"/>
      <c r="AG377" s="76"/>
      <c r="AH377" s="76"/>
      <c r="AI377" s="76"/>
      <c r="AJ377" s="76"/>
      <c r="AK377" s="76"/>
      <c r="AL377" s="76"/>
      <c r="AM377" s="76"/>
      <c r="AN377" s="76"/>
      <c r="AO377" s="76"/>
      <c r="AP377" s="76"/>
      <c r="AQ377" s="76"/>
      <c r="AR377" s="76"/>
      <c r="AS377" s="76"/>
      <c r="AT377" s="76"/>
      <c r="AU377" s="76"/>
      <c r="AV377" s="76"/>
      <c r="AW377" s="76"/>
    </row>
    <row r="378" spans="1:49" ht="31.5" x14ac:dyDescent="0.25">
      <c r="A378" s="57" t="s">
        <v>39</v>
      </c>
      <c r="B378" s="60">
        <v>46048</v>
      </c>
      <c r="C378" s="60">
        <v>46048</v>
      </c>
      <c r="D378" s="61" t="s">
        <v>30</v>
      </c>
      <c r="E378" s="63">
        <v>0.8125</v>
      </c>
      <c r="F378" s="63">
        <v>0.83333333333333337</v>
      </c>
      <c r="G378" s="63">
        <v>2.0833333333333332E-2</v>
      </c>
      <c r="H378" s="57" t="s">
        <v>143</v>
      </c>
      <c r="I378" s="67"/>
      <c r="J378" s="57" t="s">
        <v>132</v>
      </c>
      <c r="K378" s="57"/>
      <c r="L378" s="69">
        <v>1</v>
      </c>
      <c r="M378" s="69">
        <v>1</v>
      </c>
      <c r="N378" s="57" t="s">
        <v>33</v>
      </c>
      <c r="O378" s="57"/>
      <c r="P378" s="42">
        <v>0</v>
      </c>
      <c r="Q378" s="69"/>
      <c r="R378" s="42">
        <v>0</v>
      </c>
      <c r="S378" s="57">
        <v>46054</v>
      </c>
      <c r="T378" s="42">
        <v>0</v>
      </c>
      <c r="U378" s="69">
        <v>2</v>
      </c>
      <c r="V378" s="42">
        <v>0</v>
      </c>
      <c r="W378" s="57" t="s">
        <v>34</v>
      </c>
      <c r="X378" s="57" t="s">
        <v>42</v>
      </c>
      <c r="Y378" s="57" t="s">
        <v>36</v>
      </c>
      <c r="Z378" s="57" t="s">
        <v>43</v>
      </c>
      <c r="AA378" s="57" t="s">
        <v>37</v>
      </c>
      <c r="AB378" s="57" t="s">
        <v>37</v>
      </c>
      <c r="AC378" s="57" t="s">
        <v>38</v>
      </c>
      <c r="AD378" s="75" t="s">
        <v>267</v>
      </c>
      <c r="AE378" s="76"/>
      <c r="AF378" s="76"/>
      <c r="AG378" s="76"/>
      <c r="AH378" s="76"/>
      <c r="AI378" s="76"/>
      <c r="AJ378" s="76"/>
      <c r="AK378" s="76"/>
      <c r="AL378" s="76"/>
      <c r="AM378" s="76"/>
      <c r="AN378" s="76"/>
      <c r="AO378" s="76"/>
      <c r="AP378" s="76"/>
      <c r="AQ378" s="76"/>
      <c r="AR378" s="76"/>
      <c r="AS378" s="76"/>
      <c r="AT378" s="76"/>
      <c r="AU378" s="76"/>
      <c r="AV378" s="76"/>
      <c r="AW378" s="76"/>
    </row>
    <row r="379" spans="1:49" ht="31.5" x14ac:dyDescent="0.25">
      <c r="A379" s="57" t="s">
        <v>39</v>
      </c>
      <c r="B379" s="60">
        <v>46048</v>
      </c>
      <c r="C379" s="60">
        <v>46048</v>
      </c>
      <c r="D379" s="61" t="s">
        <v>30</v>
      </c>
      <c r="E379" s="63">
        <v>0.97916666666666663</v>
      </c>
      <c r="F379" s="63">
        <v>1</v>
      </c>
      <c r="G379" s="63">
        <v>2.0833333333333332E-2</v>
      </c>
      <c r="H379" s="57" t="s">
        <v>149</v>
      </c>
      <c r="I379" s="67"/>
      <c r="J379" s="57" t="s">
        <v>132</v>
      </c>
      <c r="K379" s="57"/>
      <c r="L379" s="69">
        <v>1</v>
      </c>
      <c r="M379" s="69">
        <v>1</v>
      </c>
      <c r="N379" s="57" t="s">
        <v>33</v>
      </c>
      <c r="O379" s="57"/>
      <c r="P379" s="42">
        <v>0</v>
      </c>
      <c r="Q379" s="69"/>
      <c r="R379" s="42">
        <v>0</v>
      </c>
      <c r="S379" s="57">
        <v>46054</v>
      </c>
      <c r="T379" s="42">
        <v>0</v>
      </c>
      <c r="U379" s="69">
        <v>2</v>
      </c>
      <c r="V379" s="42">
        <v>0</v>
      </c>
      <c r="W379" s="57" t="s">
        <v>34</v>
      </c>
      <c r="X379" s="57" t="s">
        <v>42</v>
      </c>
      <c r="Y379" s="57" t="s">
        <v>36</v>
      </c>
      <c r="Z379" s="57" t="s">
        <v>43</v>
      </c>
      <c r="AA379" s="57" t="s">
        <v>37</v>
      </c>
      <c r="AB379" s="57" t="s">
        <v>37</v>
      </c>
      <c r="AC379" s="57" t="s">
        <v>38</v>
      </c>
      <c r="AD379" s="75" t="s">
        <v>267</v>
      </c>
      <c r="AE379" s="76"/>
      <c r="AF379" s="76"/>
      <c r="AG379" s="76"/>
      <c r="AH379" s="76"/>
      <c r="AI379" s="76"/>
      <c r="AJ379" s="76"/>
      <c r="AK379" s="76"/>
      <c r="AL379" s="76"/>
      <c r="AM379" s="76"/>
      <c r="AN379" s="76"/>
      <c r="AO379" s="76"/>
      <c r="AP379" s="76"/>
      <c r="AQ379" s="76"/>
      <c r="AR379" s="76"/>
      <c r="AS379" s="76"/>
      <c r="AT379" s="76"/>
      <c r="AU379" s="76"/>
      <c r="AV379" s="76"/>
      <c r="AW379" s="76"/>
    </row>
    <row r="380" spans="1:49" ht="31.5" x14ac:dyDescent="0.25">
      <c r="A380" s="57" t="s">
        <v>39</v>
      </c>
      <c r="B380" s="60">
        <v>46049</v>
      </c>
      <c r="C380" s="60">
        <v>46049</v>
      </c>
      <c r="D380" s="61" t="s">
        <v>166</v>
      </c>
      <c r="E380" s="63">
        <v>0.25</v>
      </c>
      <c r="F380" s="63">
        <v>0.29166666666666669</v>
      </c>
      <c r="G380" s="63">
        <v>4.1666666666666664E-2</v>
      </c>
      <c r="H380" s="57" t="s">
        <v>40</v>
      </c>
      <c r="I380" s="67"/>
      <c r="J380" s="57" t="s">
        <v>41</v>
      </c>
      <c r="K380" s="57"/>
      <c r="L380" s="69">
        <v>1</v>
      </c>
      <c r="M380" s="69">
        <v>1</v>
      </c>
      <c r="N380" s="57" t="s">
        <v>33</v>
      </c>
      <c r="O380" s="57"/>
      <c r="P380" s="71">
        <v>0</v>
      </c>
      <c r="Q380" s="69"/>
      <c r="R380" s="71">
        <v>0</v>
      </c>
      <c r="S380" s="57">
        <v>46054</v>
      </c>
      <c r="T380" s="71">
        <v>0</v>
      </c>
      <c r="U380" s="69">
        <v>2</v>
      </c>
      <c r="V380" s="71">
        <v>0</v>
      </c>
      <c r="W380" s="57" t="s">
        <v>34</v>
      </c>
      <c r="X380" s="57" t="s">
        <v>42</v>
      </c>
      <c r="Y380" s="57" t="s">
        <v>36</v>
      </c>
      <c r="Z380" s="57" t="s">
        <v>43</v>
      </c>
      <c r="AA380" s="57" t="s">
        <v>37</v>
      </c>
      <c r="AB380" s="57" t="s">
        <v>37</v>
      </c>
      <c r="AC380" s="57" t="s">
        <v>38</v>
      </c>
      <c r="AD380" s="75" t="s">
        <v>267</v>
      </c>
      <c r="AE380" s="76"/>
      <c r="AF380" s="76"/>
      <c r="AG380" s="76"/>
      <c r="AH380" s="76"/>
      <c r="AI380" s="85"/>
      <c r="AJ380" s="85"/>
      <c r="AK380" s="85"/>
      <c r="AL380" s="85"/>
      <c r="AM380" s="85"/>
      <c r="AN380" s="85"/>
      <c r="AO380" s="85"/>
      <c r="AP380" s="85"/>
      <c r="AQ380" s="85"/>
      <c r="AR380" s="85"/>
      <c r="AS380" s="85"/>
      <c r="AT380" s="85"/>
      <c r="AU380" s="85"/>
      <c r="AV380" s="85"/>
      <c r="AW380" s="85"/>
    </row>
    <row r="381" spans="1:49" ht="31.5" x14ac:dyDescent="0.25">
      <c r="A381" s="57" t="s">
        <v>39</v>
      </c>
      <c r="B381" s="60">
        <v>46049</v>
      </c>
      <c r="C381" s="60">
        <v>46049</v>
      </c>
      <c r="D381" s="61" t="s">
        <v>166</v>
      </c>
      <c r="E381" s="63">
        <v>0.79166666666666663</v>
      </c>
      <c r="F381" s="63">
        <v>0.8125</v>
      </c>
      <c r="G381" s="63">
        <v>2.0833333333333332E-2</v>
      </c>
      <c r="H381" s="57" t="s">
        <v>131</v>
      </c>
      <c r="I381" s="67"/>
      <c r="J381" s="57" t="s">
        <v>132</v>
      </c>
      <c r="K381" s="57"/>
      <c r="L381" s="69">
        <v>1</v>
      </c>
      <c r="M381" s="69">
        <v>1</v>
      </c>
      <c r="N381" s="57" t="s">
        <v>33</v>
      </c>
      <c r="O381" s="57"/>
      <c r="P381" s="42">
        <v>0</v>
      </c>
      <c r="Q381" s="69"/>
      <c r="R381" s="42">
        <v>0</v>
      </c>
      <c r="S381" s="57">
        <v>46054</v>
      </c>
      <c r="T381" s="42">
        <v>0</v>
      </c>
      <c r="U381" s="69">
        <v>2</v>
      </c>
      <c r="V381" s="42">
        <v>0</v>
      </c>
      <c r="W381" s="57" t="s">
        <v>34</v>
      </c>
      <c r="X381" s="57" t="s">
        <v>42</v>
      </c>
      <c r="Y381" s="57" t="s">
        <v>36</v>
      </c>
      <c r="Z381" s="57" t="s">
        <v>43</v>
      </c>
      <c r="AA381" s="57" t="s">
        <v>37</v>
      </c>
      <c r="AB381" s="57" t="s">
        <v>37</v>
      </c>
      <c r="AC381" s="57" t="s">
        <v>38</v>
      </c>
      <c r="AD381" s="75" t="s">
        <v>267</v>
      </c>
      <c r="AE381" s="76"/>
      <c r="AF381" s="76"/>
      <c r="AG381" s="76"/>
      <c r="AH381" s="76"/>
      <c r="AI381" s="76"/>
      <c r="AJ381" s="76"/>
      <c r="AK381" s="76"/>
      <c r="AL381" s="76"/>
      <c r="AM381" s="76"/>
      <c r="AN381" s="76"/>
      <c r="AO381" s="76"/>
      <c r="AP381" s="76"/>
      <c r="AQ381" s="76"/>
      <c r="AR381" s="76"/>
      <c r="AS381" s="76"/>
      <c r="AT381" s="76"/>
      <c r="AU381" s="76"/>
      <c r="AV381" s="76"/>
      <c r="AW381" s="76"/>
    </row>
    <row r="382" spans="1:49" ht="31.5" x14ac:dyDescent="0.25">
      <c r="A382" s="57" t="s">
        <v>39</v>
      </c>
      <c r="B382" s="60">
        <v>46049</v>
      </c>
      <c r="C382" s="60">
        <v>46049</v>
      </c>
      <c r="D382" s="61" t="s">
        <v>166</v>
      </c>
      <c r="E382" s="63">
        <v>0.8125</v>
      </c>
      <c r="F382" s="63">
        <v>0.83333333333333337</v>
      </c>
      <c r="G382" s="63">
        <v>2.0833333333333332E-2</v>
      </c>
      <c r="H382" s="57" t="s">
        <v>143</v>
      </c>
      <c r="I382" s="67"/>
      <c r="J382" s="57" t="s">
        <v>132</v>
      </c>
      <c r="K382" s="57"/>
      <c r="L382" s="69">
        <v>1</v>
      </c>
      <c r="M382" s="69">
        <v>1</v>
      </c>
      <c r="N382" s="57" t="s">
        <v>33</v>
      </c>
      <c r="O382" s="57"/>
      <c r="P382" s="42">
        <v>0</v>
      </c>
      <c r="Q382" s="69"/>
      <c r="R382" s="42">
        <v>0</v>
      </c>
      <c r="S382" s="57">
        <v>46054</v>
      </c>
      <c r="T382" s="42">
        <v>0</v>
      </c>
      <c r="U382" s="69">
        <v>2</v>
      </c>
      <c r="V382" s="42">
        <v>0</v>
      </c>
      <c r="W382" s="57" t="s">
        <v>34</v>
      </c>
      <c r="X382" s="57" t="s">
        <v>42</v>
      </c>
      <c r="Y382" s="57" t="s">
        <v>36</v>
      </c>
      <c r="Z382" s="57" t="s">
        <v>43</v>
      </c>
      <c r="AA382" s="57" t="s">
        <v>37</v>
      </c>
      <c r="AB382" s="57" t="s">
        <v>37</v>
      </c>
      <c r="AC382" s="57" t="s">
        <v>38</v>
      </c>
      <c r="AD382" s="75" t="s">
        <v>267</v>
      </c>
      <c r="AE382" s="76"/>
      <c r="AF382" s="76"/>
      <c r="AG382" s="76"/>
      <c r="AH382" s="76"/>
      <c r="AI382" s="76"/>
      <c r="AJ382" s="76"/>
      <c r="AK382" s="76"/>
      <c r="AL382" s="76"/>
      <c r="AM382" s="76"/>
      <c r="AN382" s="76"/>
      <c r="AO382" s="76"/>
      <c r="AP382" s="76"/>
      <c r="AQ382" s="76"/>
      <c r="AR382" s="76"/>
      <c r="AS382" s="76"/>
      <c r="AT382" s="76"/>
      <c r="AU382" s="76"/>
      <c r="AV382" s="76"/>
      <c r="AW382" s="76"/>
    </row>
    <row r="383" spans="1:49" ht="31.5" x14ac:dyDescent="0.25">
      <c r="A383" s="57" t="s">
        <v>39</v>
      </c>
      <c r="B383" s="60">
        <v>46049</v>
      </c>
      <c r="C383" s="60">
        <v>46049</v>
      </c>
      <c r="D383" s="61" t="s">
        <v>166</v>
      </c>
      <c r="E383" s="63">
        <v>0.97916666666666663</v>
      </c>
      <c r="F383" s="63">
        <v>1</v>
      </c>
      <c r="G383" s="63">
        <v>2.0833333333333332E-2</v>
      </c>
      <c r="H383" s="57" t="s">
        <v>149</v>
      </c>
      <c r="I383" s="67"/>
      <c r="J383" s="57" t="s">
        <v>132</v>
      </c>
      <c r="K383" s="57"/>
      <c r="L383" s="69">
        <v>1</v>
      </c>
      <c r="M383" s="69">
        <v>1</v>
      </c>
      <c r="N383" s="57" t="s">
        <v>33</v>
      </c>
      <c r="O383" s="57"/>
      <c r="P383" s="42">
        <v>0</v>
      </c>
      <c r="Q383" s="69"/>
      <c r="R383" s="42">
        <v>0</v>
      </c>
      <c r="S383" s="57">
        <v>46054</v>
      </c>
      <c r="T383" s="42">
        <v>0</v>
      </c>
      <c r="U383" s="69">
        <v>2</v>
      </c>
      <c r="V383" s="42">
        <v>0</v>
      </c>
      <c r="W383" s="57" t="s">
        <v>34</v>
      </c>
      <c r="X383" s="57" t="s">
        <v>42</v>
      </c>
      <c r="Y383" s="57" t="s">
        <v>36</v>
      </c>
      <c r="Z383" s="57" t="s">
        <v>43</v>
      </c>
      <c r="AA383" s="57" t="s">
        <v>37</v>
      </c>
      <c r="AB383" s="57" t="s">
        <v>37</v>
      </c>
      <c r="AC383" s="57" t="s">
        <v>38</v>
      </c>
      <c r="AD383" s="75" t="s">
        <v>267</v>
      </c>
      <c r="AE383" s="76"/>
      <c r="AF383" s="76"/>
      <c r="AG383" s="76"/>
      <c r="AH383" s="76"/>
      <c r="AI383" s="76"/>
      <c r="AJ383" s="76"/>
      <c r="AK383" s="76"/>
      <c r="AL383" s="76"/>
      <c r="AM383" s="76"/>
      <c r="AN383" s="76"/>
      <c r="AO383" s="76"/>
      <c r="AP383" s="76"/>
      <c r="AQ383" s="76"/>
      <c r="AR383" s="76"/>
      <c r="AS383" s="76"/>
      <c r="AT383" s="76"/>
      <c r="AU383" s="76"/>
      <c r="AV383" s="76"/>
      <c r="AW383" s="76"/>
    </row>
    <row r="384" spans="1:49" ht="31.5" x14ac:dyDescent="0.25">
      <c r="A384" s="57" t="s">
        <v>39</v>
      </c>
      <c r="B384" s="60">
        <v>46050</v>
      </c>
      <c r="C384" s="60">
        <v>46050</v>
      </c>
      <c r="D384" s="61" t="s">
        <v>196</v>
      </c>
      <c r="E384" s="63">
        <v>0.25</v>
      </c>
      <c r="F384" s="63">
        <v>0.29166666666666669</v>
      </c>
      <c r="G384" s="63">
        <v>4.1666666666666664E-2</v>
      </c>
      <c r="H384" s="57" t="s">
        <v>40</v>
      </c>
      <c r="I384" s="67"/>
      <c r="J384" s="57" t="s">
        <v>41</v>
      </c>
      <c r="K384" s="57"/>
      <c r="L384" s="69">
        <v>1</v>
      </c>
      <c r="M384" s="69">
        <v>1</v>
      </c>
      <c r="N384" s="57" t="s">
        <v>33</v>
      </c>
      <c r="O384" s="57"/>
      <c r="P384" s="71">
        <v>0</v>
      </c>
      <c r="Q384" s="69"/>
      <c r="R384" s="71">
        <v>0</v>
      </c>
      <c r="S384" s="57">
        <v>46054</v>
      </c>
      <c r="T384" s="71">
        <v>0</v>
      </c>
      <c r="U384" s="69">
        <v>2</v>
      </c>
      <c r="V384" s="71">
        <v>0</v>
      </c>
      <c r="W384" s="57" t="s">
        <v>34</v>
      </c>
      <c r="X384" s="57" t="s">
        <v>42</v>
      </c>
      <c r="Y384" s="57" t="s">
        <v>36</v>
      </c>
      <c r="Z384" s="57" t="s">
        <v>43</v>
      </c>
      <c r="AA384" s="57" t="s">
        <v>37</v>
      </c>
      <c r="AB384" s="57" t="s">
        <v>37</v>
      </c>
      <c r="AC384" s="57" t="s">
        <v>38</v>
      </c>
      <c r="AD384" s="75" t="s">
        <v>267</v>
      </c>
      <c r="AE384" s="76"/>
      <c r="AF384" s="76"/>
      <c r="AG384" s="76"/>
      <c r="AH384" s="76"/>
      <c r="AI384" s="76"/>
      <c r="AJ384" s="76"/>
      <c r="AK384" s="76"/>
      <c r="AL384" s="76"/>
      <c r="AM384" s="76"/>
      <c r="AN384" s="76"/>
      <c r="AO384" s="76"/>
      <c r="AP384" s="76"/>
      <c r="AQ384" s="76"/>
      <c r="AR384" s="76"/>
      <c r="AS384" s="76"/>
      <c r="AT384" s="76"/>
      <c r="AU384" s="76"/>
      <c r="AV384" s="76"/>
      <c r="AW384" s="76"/>
    </row>
    <row r="385" spans="1:49" ht="31.5" x14ac:dyDescent="0.25">
      <c r="A385" s="57" t="s">
        <v>39</v>
      </c>
      <c r="B385" s="60">
        <v>46050</v>
      </c>
      <c r="C385" s="60">
        <v>46050</v>
      </c>
      <c r="D385" s="61" t="s">
        <v>196</v>
      </c>
      <c r="E385" s="63">
        <v>0.79166666666666663</v>
      </c>
      <c r="F385" s="63">
        <v>0.8125</v>
      </c>
      <c r="G385" s="63">
        <v>2.0833333333333332E-2</v>
      </c>
      <c r="H385" s="57" t="s">
        <v>131</v>
      </c>
      <c r="I385" s="67"/>
      <c r="J385" s="57" t="s">
        <v>132</v>
      </c>
      <c r="K385" s="57"/>
      <c r="L385" s="69">
        <v>1</v>
      </c>
      <c r="M385" s="69">
        <v>1</v>
      </c>
      <c r="N385" s="57" t="s">
        <v>33</v>
      </c>
      <c r="O385" s="57"/>
      <c r="P385" s="42">
        <v>0</v>
      </c>
      <c r="Q385" s="69"/>
      <c r="R385" s="42">
        <v>0</v>
      </c>
      <c r="S385" s="57">
        <v>46054</v>
      </c>
      <c r="T385" s="42">
        <v>0</v>
      </c>
      <c r="U385" s="69">
        <v>2</v>
      </c>
      <c r="V385" s="42">
        <v>0</v>
      </c>
      <c r="W385" s="57" t="s">
        <v>34</v>
      </c>
      <c r="X385" s="57" t="s">
        <v>42</v>
      </c>
      <c r="Y385" s="57" t="s">
        <v>36</v>
      </c>
      <c r="Z385" s="57" t="s">
        <v>43</v>
      </c>
      <c r="AA385" s="57" t="s">
        <v>37</v>
      </c>
      <c r="AB385" s="57" t="s">
        <v>37</v>
      </c>
      <c r="AC385" s="57" t="s">
        <v>38</v>
      </c>
      <c r="AD385" s="75" t="s">
        <v>267</v>
      </c>
      <c r="AE385" s="76"/>
      <c r="AF385" s="76"/>
      <c r="AG385" s="76"/>
      <c r="AH385" s="76"/>
      <c r="AI385" s="85"/>
      <c r="AJ385" s="85"/>
      <c r="AK385" s="85"/>
      <c r="AL385" s="85"/>
      <c r="AM385" s="85"/>
      <c r="AN385" s="85"/>
      <c r="AO385" s="85"/>
      <c r="AP385" s="85"/>
      <c r="AQ385" s="85"/>
      <c r="AR385" s="85"/>
      <c r="AS385" s="85"/>
      <c r="AT385" s="85"/>
      <c r="AU385" s="85"/>
      <c r="AV385" s="85"/>
      <c r="AW385" s="85"/>
    </row>
    <row r="386" spans="1:49" ht="31.5" x14ac:dyDescent="0.25">
      <c r="A386" s="57" t="s">
        <v>39</v>
      </c>
      <c r="B386" s="60">
        <v>46050</v>
      </c>
      <c r="C386" s="60">
        <v>46050</v>
      </c>
      <c r="D386" s="61" t="s">
        <v>196</v>
      </c>
      <c r="E386" s="63">
        <v>0.8125</v>
      </c>
      <c r="F386" s="63">
        <v>0.83333333333333337</v>
      </c>
      <c r="G386" s="63">
        <v>2.0833333333333332E-2</v>
      </c>
      <c r="H386" s="57" t="s">
        <v>143</v>
      </c>
      <c r="I386" s="67"/>
      <c r="J386" s="57" t="s">
        <v>132</v>
      </c>
      <c r="K386" s="57"/>
      <c r="L386" s="69">
        <v>1</v>
      </c>
      <c r="M386" s="69">
        <v>1</v>
      </c>
      <c r="N386" s="57" t="s">
        <v>33</v>
      </c>
      <c r="O386" s="57"/>
      <c r="P386" s="42">
        <v>0</v>
      </c>
      <c r="Q386" s="69"/>
      <c r="R386" s="42">
        <v>0</v>
      </c>
      <c r="S386" s="57">
        <v>46054</v>
      </c>
      <c r="T386" s="42">
        <v>0</v>
      </c>
      <c r="U386" s="69">
        <v>2</v>
      </c>
      <c r="V386" s="42">
        <v>0</v>
      </c>
      <c r="W386" s="57" t="s">
        <v>34</v>
      </c>
      <c r="X386" s="57" t="s">
        <v>42</v>
      </c>
      <c r="Y386" s="57" t="s">
        <v>36</v>
      </c>
      <c r="Z386" s="57" t="s">
        <v>43</v>
      </c>
      <c r="AA386" s="57" t="s">
        <v>37</v>
      </c>
      <c r="AB386" s="57" t="s">
        <v>37</v>
      </c>
      <c r="AC386" s="57" t="s">
        <v>38</v>
      </c>
      <c r="AD386" s="75" t="s">
        <v>267</v>
      </c>
      <c r="AE386" s="76"/>
      <c r="AF386" s="76"/>
      <c r="AG386" s="76"/>
      <c r="AH386" s="76"/>
      <c r="AI386" s="85"/>
      <c r="AJ386" s="85"/>
      <c r="AK386" s="85"/>
      <c r="AL386" s="85"/>
      <c r="AM386" s="85"/>
      <c r="AN386" s="85"/>
      <c r="AO386" s="85"/>
      <c r="AP386" s="85"/>
      <c r="AQ386" s="85"/>
      <c r="AR386" s="85"/>
      <c r="AS386" s="85"/>
      <c r="AT386" s="85"/>
      <c r="AU386" s="85"/>
      <c r="AV386" s="85"/>
      <c r="AW386" s="85"/>
    </row>
    <row r="387" spans="1:49" ht="31.5" x14ac:dyDescent="0.2">
      <c r="A387" s="57" t="s">
        <v>39</v>
      </c>
      <c r="B387" s="60">
        <v>46050</v>
      </c>
      <c r="C387" s="60">
        <v>46050</v>
      </c>
      <c r="D387" s="61" t="s">
        <v>196</v>
      </c>
      <c r="E387" s="63">
        <v>0.97916666666666663</v>
      </c>
      <c r="F387" s="63">
        <v>1</v>
      </c>
      <c r="G387" s="63">
        <v>2.0833333333333332E-2</v>
      </c>
      <c r="H387" s="57" t="s">
        <v>149</v>
      </c>
      <c r="I387" s="67"/>
      <c r="J387" s="57" t="s">
        <v>132</v>
      </c>
      <c r="K387" s="57"/>
      <c r="L387" s="69">
        <v>1</v>
      </c>
      <c r="M387" s="69">
        <v>1</v>
      </c>
      <c r="N387" s="57" t="s">
        <v>33</v>
      </c>
      <c r="O387" s="57"/>
      <c r="P387" s="42">
        <v>0</v>
      </c>
      <c r="Q387" s="69"/>
      <c r="R387" s="42">
        <v>0</v>
      </c>
      <c r="S387" s="57">
        <v>46054</v>
      </c>
      <c r="T387" s="42">
        <v>0</v>
      </c>
      <c r="U387" s="69">
        <v>2</v>
      </c>
      <c r="V387" s="42">
        <v>0</v>
      </c>
      <c r="W387" s="57" t="s">
        <v>34</v>
      </c>
      <c r="X387" s="57" t="s">
        <v>42</v>
      </c>
      <c r="Y387" s="57" t="s">
        <v>36</v>
      </c>
      <c r="Z387" s="57" t="s">
        <v>43</v>
      </c>
      <c r="AA387" s="57" t="s">
        <v>37</v>
      </c>
      <c r="AB387" s="57" t="s">
        <v>37</v>
      </c>
      <c r="AC387" s="57" t="s">
        <v>38</v>
      </c>
      <c r="AD387" s="75" t="s">
        <v>267</v>
      </c>
      <c r="AE387" s="57"/>
      <c r="AF387" s="57"/>
      <c r="AG387" s="57"/>
      <c r="AH387" s="57"/>
      <c r="AI387" s="57"/>
      <c r="AJ387" s="57"/>
      <c r="AK387" s="57"/>
      <c r="AL387" s="57"/>
      <c r="AM387" s="57"/>
      <c r="AN387" s="57"/>
      <c r="AO387" s="57"/>
      <c r="AP387" s="57"/>
      <c r="AQ387" s="57"/>
      <c r="AR387" s="57"/>
      <c r="AS387" s="57"/>
      <c r="AT387" s="57"/>
      <c r="AU387" s="57"/>
      <c r="AV387" s="57"/>
      <c r="AW387" s="57"/>
    </row>
    <row r="388" spans="1:49" ht="31.5" x14ac:dyDescent="0.2">
      <c r="A388" s="57" t="s">
        <v>39</v>
      </c>
      <c r="B388" s="60">
        <v>46051</v>
      </c>
      <c r="C388" s="60">
        <v>46051</v>
      </c>
      <c r="D388" s="61" t="s">
        <v>207</v>
      </c>
      <c r="E388" s="63">
        <v>0.25</v>
      </c>
      <c r="F388" s="63">
        <v>0.29166666666666669</v>
      </c>
      <c r="G388" s="63">
        <v>4.1666666666666664E-2</v>
      </c>
      <c r="H388" s="57" t="s">
        <v>40</v>
      </c>
      <c r="I388" s="67"/>
      <c r="J388" s="57" t="s">
        <v>41</v>
      </c>
      <c r="K388" s="57"/>
      <c r="L388" s="69">
        <v>1</v>
      </c>
      <c r="M388" s="69">
        <v>1</v>
      </c>
      <c r="N388" s="57" t="s">
        <v>33</v>
      </c>
      <c r="O388" s="57"/>
      <c r="P388" s="71">
        <v>0</v>
      </c>
      <c r="Q388" s="69"/>
      <c r="R388" s="71">
        <v>0</v>
      </c>
      <c r="S388" s="57">
        <v>46054</v>
      </c>
      <c r="T388" s="71">
        <v>0</v>
      </c>
      <c r="U388" s="69">
        <v>2</v>
      </c>
      <c r="V388" s="71">
        <v>0</v>
      </c>
      <c r="W388" s="57" t="s">
        <v>34</v>
      </c>
      <c r="X388" s="57" t="s">
        <v>42</v>
      </c>
      <c r="Y388" s="57" t="s">
        <v>36</v>
      </c>
      <c r="Z388" s="57" t="s">
        <v>43</v>
      </c>
      <c r="AA388" s="57" t="s">
        <v>37</v>
      </c>
      <c r="AB388" s="57" t="s">
        <v>37</v>
      </c>
      <c r="AC388" s="57" t="s">
        <v>38</v>
      </c>
      <c r="AD388" s="75" t="s">
        <v>267</v>
      </c>
      <c r="AE388" s="57"/>
      <c r="AF388" s="57"/>
      <c r="AG388" s="57"/>
      <c r="AH388" s="57"/>
      <c r="AI388" s="57"/>
      <c r="AJ388" s="57"/>
      <c r="AK388" s="57"/>
      <c r="AL388" s="57"/>
      <c r="AM388" s="57"/>
      <c r="AN388" s="57"/>
      <c r="AO388" s="57"/>
      <c r="AP388" s="57"/>
      <c r="AQ388" s="57"/>
      <c r="AR388" s="57"/>
      <c r="AS388" s="57"/>
      <c r="AT388" s="57"/>
      <c r="AU388" s="57"/>
      <c r="AV388" s="57"/>
      <c r="AW388" s="57"/>
    </row>
    <row r="389" spans="1:49" ht="31.5" x14ac:dyDescent="0.25">
      <c r="A389" s="57" t="s">
        <v>39</v>
      </c>
      <c r="B389" s="60">
        <v>46051</v>
      </c>
      <c r="C389" s="60">
        <v>46051</v>
      </c>
      <c r="D389" s="61" t="s">
        <v>207</v>
      </c>
      <c r="E389" s="63">
        <v>0.79166666666666663</v>
      </c>
      <c r="F389" s="63">
        <v>0.8125</v>
      </c>
      <c r="G389" s="63">
        <v>2.0833333333333332E-2</v>
      </c>
      <c r="H389" s="57" t="s">
        <v>131</v>
      </c>
      <c r="I389" s="67"/>
      <c r="J389" s="57" t="s">
        <v>132</v>
      </c>
      <c r="K389" s="57"/>
      <c r="L389" s="69">
        <v>1</v>
      </c>
      <c r="M389" s="69">
        <v>1</v>
      </c>
      <c r="N389" s="57" t="s">
        <v>33</v>
      </c>
      <c r="O389" s="57"/>
      <c r="P389" s="42">
        <v>0</v>
      </c>
      <c r="Q389" s="69"/>
      <c r="R389" s="42">
        <v>0</v>
      </c>
      <c r="S389" s="57">
        <v>46054</v>
      </c>
      <c r="T389" s="42">
        <v>0</v>
      </c>
      <c r="U389" s="69">
        <v>2</v>
      </c>
      <c r="V389" s="42">
        <v>0</v>
      </c>
      <c r="W389" s="57" t="s">
        <v>34</v>
      </c>
      <c r="X389" s="57" t="s">
        <v>42</v>
      </c>
      <c r="Y389" s="57" t="s">
        <v>36</v>
      </c>
      <c r="Z389" s="57" t="s">
        <v>43</v>
      </c>
      <c r="AA389" s="57" t="s">
        <v>37</v>
      </c>
      <c r="AB389" s="57" t="s">
        <v>37</v>
      </c>
      <c r="AC389" s="57" t="s">
        <v>38</v>
      </c>
      <c r="AD389" s="75" t="s">
        <v>267</v>
      </c>
      <c r="AE389" s="76"/>
      <c r="AF389" s="76"/>
      <c r="AG389" s="76"/>
      <c r="AH389" s="76"/>
      <c r="AI389" s="85"/>
      <c r="AJ389" s="85"/>
      <c r="AK389" s="85"/>
      <c r="AL389" s="85"/>
      <c r="AM389" s="85"/>
      <c r="AN389" s="85"/>
      <c r="AO389" s="85"/>
      <c r="AP389" s="85"/>
      <c r="AQ389" s="85"/>
      <c r="AR389" s="85"/>
      <c r="AS389" s="85"/>
      <c r="AT389" s="85"/>
      <c r="AU389" s="85"/>
      <c r="AV389" s="85"/>
      <c r="AW389" s="85"/>
    </row>
    <row r="390" spans="1:49" ht="31.5" x14ac:dyDescent="0.25">
      <c r="A390" s="57" t="s">
        <v>39</v>
      </c>
      <c r="B390" s="60">
        <v>46051</v>
      </c>
      <c r="C390" s="60">
        <v>46051</v>
      </c>
      <c r="D390" s="61" t="s">
        <v>207</v>
      </c>
      <c r="E390" s="63">
        <v>0.8125</v>
      </c>
      <c r="F390" s="63">
        <v>0.83333333333333337</v>
      </c>
      <c r="G390" s="63">
        <v>2.0833333333333332E-2</v>
      </c>
      <c r="H390" s="57" t="s">
        <v>214</v>
      </c>
      <c r="I390" s="67"/>
      <c r="J390" s="57" t="s">
        <v>132</v>
      </c>
      <c r="K390" s="57"/>
      <c r="L390" s="69">
        <v>1</v>
      </c>
      <c r="M390" s="69">
        <v>1</v>
      </c>
      <c r="N390" s="57" t="s">
        <v>33</v>
      </c>
      <c r="O390" s="57"/>
      <c r="P390" s="42">
        <v>0</v>
      </c>
      <c r="Q390" s="69"/>
      <c r="R390" s="42">
        <v>0</v>
      </c>
      <c r="S390" s="57">
        <v>46054</v>
      </c>
      <c r="T390" s="42">
        <v>0</v>
      </c>
      <c r="U390" s="69">
        <v>2</v>
      </c>
      <c r="V390" s="42">
        <v>0</v>
      </c>
      <c r="W390" s="57" t="s">
        <v>34</v>
      </c>
      <c r="X390" s="57" t="s">
        <v>42</v>
      </c>
      <c r="Y390" s="57" t="s">
        <v>36</v>
      </c>
      <c r="Z390" s="57" t="s">
        <v>43</v>
      </c>
      <c r="AA390" s="57" t="s">
        <v>37</v>
      </c>
      <c r="AB390" s="57" t="s">
        <v>37</v>
      </c>
      <c r="AC390" s="57" t="s">
        <v>38</v>
      </c>
      <c r="AD390" s="75" t="s">
        <v>267</v>
      </c>
      <c r="AE390" s="76"/>
      <c r="AF390" s="76"/>
      <c r="AG390" s="76"/>
      <c r="AH390" s="76"/>
      <c r="AI390" s="85"/>
      <c r="AJ390" s="85"/>
      <c r="AK390" s="85"/>
      <c r="AL390" s="85"/>
      <c r="AM390" s="85"/>
      <c r="AN390" s="85"/>
      <c r="AO390" s="85"/>
      <c r="AP390" s="85"/>
      <c r="AQ390" s="85"/>
      <c r="AR390" s="85"/>
      <c r="AS390" s="85"/>
      <c r="AT390" s="85"/>
      <c r="AU390" s="85"/>
      <c r="AV390" s="85"/>
      <c r="AW390" s="85"/>
    </row>
    <row r="391" spans="1:49" ht="31.5" x14ac:dyDescent="0.2">
      <c r="A391" s="57" t="s">
        <v>39</v>
      </c>
      <c r="B391" s="60">
        <v>46051</v>
      </c>
      <c r="C391" s="60">
        <v>46051</v>
      </c>
      <c r="D391" s="61" t="s">
        <v>207</v>
      </c>
      <c r="E391" s="63">
        <v>0.97916666666666663</v>
      </c>
      <c r="F391" s="63">
        <v>1</v>
      </c>
      <c r="G391" s="63">
        <v>2.0833333333333332E-2</v>
      </c>
      <c r="H391" s="57" t="s">
        <v>149</v>
      </c>
      <c r="I391" s="67"/>
      <c r="J391" s="57" t="s">
        <v>132</v>
      </c>
      <c r="K391" s="57"/>
      <c r="L391" s="69">
        <v>1</v>
      </c>
      <c r="M391" s="69">
        <v>1</v>
      </c>
      <c r="N391" s="57" t="s">
        <v>33</v>
      </c>
      <c r="O391" s="57"/>
      <c r="P391" s="42">
        <v>0</v>
      </c>
      <c r="Q391" s="69"/>
      <c r="R391" s="42">
        <v>0</v>
      </c>
      <c r="S391" s="57">
        <v>46054</v>
      </c>
      <c r="T391" s="42">
        <v>0</v>
      </c>
      <c r="U391" s="69">
        <v>2</v>
      </c>
      <c r="V391" s="42">
        <v>0</v>
      </c>
      <c r="W391" s="57" t="s">
        <v>34</v>
      </c>
      <c r="X391" s="57" t="s">
        <v>42</v>
      </c>
      <c r="Y391" s="57" t="s">
        <v>36</v>
      </c>
      <c r="Z391" s="57" t="s">
        <v>43</v>
      </c>
      <c r="AA391" s="57" t="s">
        <v>37</v>
      </c>
      <c r="AB391" s="57" t="s">
        <v>37</v>
      </c>
      <c r="AC391" s="57" t="s">
        <v>38</v>
      </c>
      <c r="AD391" s="75" t="s">
        <v>267</v>
      </c>
      <c r="AE391" s="57"/>
      <c r="AF391" s="57"/>
      <c r="AG391" s="57"/>
      <c r="AH391" s="57"/>
      <c r="AI391" s="57"/>
      <c r="AJ391" s="57"/>
      <c r="AK391" s="57"/>
      <c r="AL391" s="57"/>
      <c r="AM391" s="57"/>
      <c r="AN391" s="57"/>
      <c r="AO391" s="57"/>
      <c r="AP391" s="57"/>
      <c r="AQ391" s="57"/>
      <c r="AR391" s="57"/>
      <c r="AS391" s="57"/>
      <c r="AT391" s="57"/>
      <c r="AU391" s="57"/>
      <c r="AV391" s="57"/>
      <c r="AW391" s="57"/>
    </row>
    <row r="392" spans="1:49" ht="31.5" x14ac:dyDescent="0.25">
      <c r="A392" s="57" t="s">
        <v>39</v>
      </c>
      <c r="B392" s="60">
        <v>46052</v>
      </c>
      <c r="C392" s="60">
        <v>46052</v>
      </c>
      <c r="D392" s="61" t="s">
        <v>217</v>
      </c>
      <c r="E392" s="63">
        <v>0.25</v>
      </c>
      <c r="F392" s="63">
        <v>0.29166666666666669</v>
      </c>
      <c r="G392" s="63">
        <v>4.1666666666666664E-2</v>
      </c>
      <c r="H392" s="57" t="s">
        <v>40</v>
      </c>
      <c r="I392" s="67"/>
      <c r="J392" s="57" t="s">
        <v>41</v>
      </c>
      <c r="K392" s="57"/>
      <c r="L392" s="69">
        <v>1</v>
      </c>
      <c r="M392" s="69">
        <v>1</v>
      </c>
      <c r="N392" s="57" t="s">
        <v>33</v>
      </c>
      <c r="O392" s="57"/>
      <c r="P392" s="71">
        <v>0</v>
      </c>
      <c r="Q392" s="69"/>
      <c r="R392" s="71">
        <v>0</v>
      </c>
      <c r="S392" s="57">
        <v>46054</v>
      </c>
      <c r="T392" s="71">
        <v>0</v>
      </c>
      <c r="U392" s="69">
        <v>2</v>
      </c>
      <c r="V392" s="71">
        <v>0</v>
      </c>
      <c r="W392" s="57" t="s">
        <v>34</v>
      </c>
      <c r="X392" s="57" t="s">
        <v>42</v>
      </c>
      <c r="Y392" s="57" t="s">
        <v>36</v>
      </c>
      <c r="Z392" s="57" t="s">
        <v>43</v>
      </c>
      <c r="AA392" s="57" t="s">
        <v>37</v>
      </c>
      <c r="AB392" s="57" t="s">
        <v>37</v>
      </c>
      <c r="AC392" s="57" t="s">
        <v>38</v>
      </c>
      <c r="AD392" s="75" t="s">
        <v>267</v>
      </c>
      <c r="AE392" s="76"/>
      <c r="AF392" s="76"/>
      <c r="AG392" s="76"/>
      <c r="AH392" s="76"/>
      <c r="AI392" s="85"/>
      <c r="AJ392" s="85"/>
      <c r="AK392" s="85"/>
      <c r="AL392" s="85"/>
      <c r="AM392" s="85"/>
      <c r="AN392" s="85"/>
      <c r="AO392" s="85"/>
      <c r="AP392" s="85"/>
      <c r="AQ392" s="85"/>
      <c r="AR392" s="85"/>
      <c r="AS392" s="85"/>
      <c r="AT392" s="85"/>
      <c r="AU392" s="85"/>
      <c r="AV392" s="85"/>
      <c r="AW392" s="85"/>
    </row>
    <row r="393" spans="1:49" ht="31.5" x14ac:dyDescent="0.2">
      <c r="A393" s="57" t="s">
        <v>39</v>
      </c>
      <c r="B393" s="60">
        <v>46052</v>
      </c>
      <c r="C393" s="60">
        <v>46052</v>
      </c>
      <c r="D393" s="61" t="s">
        <v>217</v>
      </c>
      <c r="E393" s="63">
        <v>0.79166666666666663</v>
      </c>
      <c r="F393" s="63">
        <v>0.8125</v>
      </c>
      <c r="G393" s="63">
        <v>2.0833333333333332E-2</v>
      </c>
      <c r="H393" s="57" t="s">
        <v>131</v>
      </c>
      <c r="I393" s="67"/>
      <c r="J393" s="57" t="s">
        <v>132</v>
      </c>
      <c r="K393" s="57"/>
      <c r="L393" s="69">
        <v>1</v>
      </c>
      <c r="M393" s="69">
        <v>1</v>
      </c>
      <c r="N393" s="57" t="s">
        <v>33</v>
      </c>
      <c r="O393" s="57"/>
      <c r="P393" s="42">
        <v>0</v>
      </c>
      <c r="Q393" s="69"/>
      <c r="R393" s="42">
        <v>0</v>
      </c>
      <c r="S393" s="57">
        <v>46054</v>
      </c>
      <c r="T393" s="42">
        <v>0</v>
      </c>
      <c r="U393" s="69">
        <v>2</v>
      </c>
      <c r="V393" s="42">
        <v>0</v>
      </c>
      <c r="W393" s="57" t="s">
        <v>34</v>
      </c>
      <c r="X393" s="57" t="s">
        <v>42</v>
      </c>
      <c r="Y393" s="57" t="s">
        <v>36</v>
      </c>
      <c r="Z393" s="57" t="s">
        <v>43</v>
      </c>
      <c r="AA393" s="57" t="s">
        <v>37</v>
      </c>
      <c r="AB393" s="57" t="s">
        <v>37</v>
      </c>
      <c r="AC393" s="57" t="s">
        <v>38</v>
      </c>
      <c r="AD393" s="75" t="s">
        <v>267</v>
      </c>
      <c r="AE393" s="57"/>
      <c r="AF393" s="57"/>
      <c r="AG393" s="57"/>
      <c r="AH393" s="57"/>
      <c r="AI393" s="57"/>
      <c r="AJ393" s="57"/>
      <c r="AK393" s="57"/>
      <c r="AL393" s="57"/>
      <c r="AM393" s="57"/>
      <c r="AN393" s="57"/>
      <c r="AO393" s="57"/>
      <c r="AP393" s="57"/>
      <c r="AQ393" s="57"/>
      <c r="AR393" s="57"/>
      <c r="AS393" s="57"/>
      <c r="AT393" s="57"/>
      <c r="AU393" s="57"/>
      <c r="AV393" s="57"/>
      <c r="AW393" s="57"/>
    </row>
    <row r="394" spans="1:49" ht="31.5" x14ac:dyDescent="0.2">
      <c r="A394" s="57" t="s">
        <v>39</v>
      </c>
      <c r="B394" s="60">
        <v>46052</v>
      </c>
      <c r="C394" s="60">
        <v>46052</v>
      </c>
      <c r="D394" s="61" t="s">
        <v>217</v>
      </c>
      <c r="E394" s="63">
        <v>0.8125</v>
      </c>
      <c r="F394" s="63">
        <v>0.83333333333333337</v>
      </c>
      <c r="G394" s="63">
        <v>2.0833333333333332E-2</v>
      </c>
      <c r="H394" s="57" t="s">
        <v>222</v>
      </c>
      <c r="I394" s="67"/>
      <c r="J394" s="57" t="s">
        <v>132</v>
      </c>
      <c r="K394" s="57"/>
      <c r="L394" s="69">
        <v>1</v>
      </c>
      <c r="M394" s="69">
        <v>1</v>
      </c>
      <c r="N394" s="57" t="s">
        <v>33</v>
      </c>
      <c r="O394" s="57"/>
      <c r="P394" s="42">
        <v>0</v>
      </c>
      <c r="Q394" s="69"/>
      <c r="R394" s="42">
        <v>0</v>
      </c>
      <c r="S394" s="57">
        <v>46054</v>
      </c>
      <c r="T394" s="42">
        <v>0</v>
      </c>
      <c r="U394" s="69">
        <v>2</v>
      </c>
      <c r="V394" s="42">
        <v>0</v>
      </c>
      <c r="W394" s="57" t="s">
        <v>34</v>
      </c>
      <c r="X394" s="57" t="s">
        <v>42</v>
      </c>
      <c r="Y394" s="57" t="s">
        <v>36</v>
      </c>
      <c r="Z394" s="57" t="s">
        <v>43</v>
      </c>
      <c r="AA394" s="57" t="s">
        <v>37</v>
      </c>
      <c r="AB394" s="57" t="s">
        <v>37</v>
      </c>
      <c r="AC394" s="57" t="s">
        <v>38</v>
      </c>
      <c r="AD394" s="75" t="s">
        <v>267</v>
      </c>
      <c r="AE394" s="57"/>
      <c r="AF394" s="57"/>
      <c r="AG394" s="57"/>
      <c r="AH394" s="57"/>
      <c r="AI394" s="57"/>
      <c r="AJ394" s="57"/>
      <c r="AK394" s="57"/>
      <c r="AL394" s="57"/>
      <c r="AM394" s="57"/>
      <c r="AN394" s="57"/>
      <c r="AO394" s="57"/>
      <c r="AP394" s="57"/>
      <c r="AQ394" s="57"/>
      <c r="AR394" s="57"/>
      <c r="AS394" s="57"/>
      <c r="AT394" s="57"/>
      <c r="AU394" s="57"/>
      <c r="AV394" s="57"/>
      <c r="AW394" s="57"/>
    </row>
    <row r="395" spans="1:49" ht="31.5" x14ac:dyDescent="0.2">
      <c r="A395" s="57" t="s">
        <v>39</v>
      </c>
      <c r="B395" s="60">
        <v>46052</v>
      </c>
      <c r="C395" s="60">
        <v>46052</v>
      </c>
      <c r="D395" s="61" t="s">
        <v>217</v>
      </c>
      <c r="E395" s="63">
        <v>0.97916666666666663</v>
      </c>
      <c r="F395" s="63">
        <v>1</v>
      </c>
      <c r="G395" s="63">
        <v>2.0833333333333332E-2</v>
      </c>
      <c r="H395" s="57" t="s">
        <v>149</v>
      </c>
      <c r="I395" s="67"/>
      <c r="J395" s="57" t="s">
        <v>132</v>
      </c>
      <c r="K395" s="57"/>
      <c r="L395" s="69">
        <v>1</v>
      </c>
      <c r="M395" s="69">
        <v>1</v>
      </c>
      <c r="N395" s="57" t="s">
        <v>33</v>
      </c>
      <c r="O395" s="57"/>
      <c r="P395" s="42">
        <v>0</v>
      </c>
      <c r="Q395" s="69"/>
      <c r="R395" s="42">
        <v>0</v>
      </c>
      <c r="S395" s="57">
        <v>46054</v>
      </c>
      <c r="T395" s="42">
        <v>0</v>
      </c>
      <c r="U395" s="69">
        <v>2</v>
      </c>
      <c r="V395" s="42">
        <v>0</v>
      </c>
      <c r="W395" s="57" t="s">
        <v>34</v>
      </c>
      <c r="X395" s="57" t="s">
        <v>42</v>
      </c>
      <c r="Y395" s="57" t="s">
        <v>36</v>
      </c>
      <c r="Z395" s="57" t="s">
        <v>43</v>
      </c>
      <c r="AA395" s="57" t="s">
        <v>37</v>
      </c>
      <c r="AB395" s="57" t="s">
        <v>37</v>
      </c>
      <c r="AC395" s="57" t="s">
        <v>38</v>
      </c>
      <c r="AD395" s="75" t="s">
        <v>267</v>
      </c>
      <c r="AE395" s="57"/>
      <c r="AF395" s="57"/>
      <c r="AG395" s="57"/>
      <c r="AH395" s="57"/>
      <c r="AI395" s="57"/>
      <c r="AJ395" s="57"/>
      <c r="AK395" s="57"/>
      <c r="AL395" s="57"/>
      <c r="AM395" s="57"/>
      <c r="AN395" s="57"/>
      <c r="AO395" s="57"/>
      <c r="AP395" s="57"/>
      <c r="AQ395" s="57"/>
      <c r="AR395" s="57"/>
      <c r="AS395" s="57"/>
      <c r="AT395" s="57"/>
      <c r="AU395" s="57"/>
      <c r="AV395" s="57"/>
      <c r="AW395" s="57"/>
    </row>
    <row r="396" spans="1:49" ht="31.5" x14ac:dyDescent="0.2">
      <c r="A396" s="57" t="s">
        <v>39</v>
      </c>
      <c r="B396" s="60">
        <v>46053</v>
      </c>
      <c r="C396" s="60">
        <v>46053</v>
      </c>
      <c r="D396" s="61" t="s">
        <v>224</v>
      </c>
      <c r="E396" s="63">
        <v>0.25</v>
      </c>
      <c r="F396" s="63">
        <v>0.29166666666666669</v>
      </c>
      <c r="G396" s="63">
        <v>4.1666666666666664E-2</v>
      </c>
      <c r="H396" s="57" t="s">
        <v>40</v>
      </c>
      <c r="I396" s="67"/>
      <c r="J396" s="57" t="s">
        <v>41</v>
      </c>
      <c r="K396" s="57"/>
      <c r="L396" s="69">
        <v>1</v>
      </c>
      <c r="M396" s="69">
        <v>1</v>
      </c>
      <c r="N396" s="57" t="s">
        <v>33</v>
      </c>
      <c r="O396" s="57"/>
      <c r="P396" s="71">
        <v>0</v>
      </c>
      <c r="Q396" s="69"/>
      <c r="R396" s="71">
        <v>0</v>
      </c>
      <c r="S396" s="57">
        <v>46054</v>
      </c>
      <c r="T396" s="71">
        <v>0</v>
      </c>
      <c r="U396" s="69">
        <v>2</v>
      </c>
      <c r="V396" s="71">
        <v>0</v>
      </c>
      <c r="W396" s="57" t="s">
        <v>34</v>
      </c>
      <c r="X396" s="57" t="s">
        <v>42</v>
      </c>
      <c r="Y396" s="57" t="s">
        <v>36</v>
      </c>
      <c r="Z396" s="57" t="s">
        <v>43</v>
      </c>
      <c r="AA396" s="57" t="s">
        <v>37</v>
      </c>
      <c r="AB396" s="57" t="s">
        <v>37</v>
      </c>
      <c r="AC396" s="57" t="s">
        <v>38</v>
      </c>
      <c r="AD396" s="75" t="s">
        <v>267</v>
      </c>
      <c r="AE396" s="57"/>
      <c r="AF396" s="57"/>
      <c r="AG396" s="57"/>
      <c r="AH396" s="57"/>
      <c r="AI396" s="57"/>
      <c r="AJ396" s="57"/>
      <c r="AK396" s="57"/>
      <c r="AL396" s="57"/>
      <c r="AM396" s="57"/>
      <c r="AN396" s="57"/>
      <c r="AO396" s="57"/>
      <c r="AP396" s="57"/>
      <c r="AQ396" s="57"/>
      <c r="AR396" s="57"/>
      <c r="AS396" s="57"/>
      <c r="AT396" s="57"/>
      <c r="AU396" s="57"/>
      <c r="AV396" s="57"/>
      <c r="AW396" s="57"/>
    </row>
    <row r="397" spans="1:49" ht="31.5" x14ac:dyDescent="0.25">
      <c r="A397" s="56" t="s">
        <v>87</v>
      </c>
      <c r="B397" s="59">
        <v>46048</v>
      </c>
      <c r="C397" s="59">
        <v>46048</v>
      </c>
      <c r="D397" s="56" t="s">
        <v>30</v>
      </c>
      <c r="E397" s="62">
        <v>0.45833333333333331</v>
      </c>
      <c r="F397" s="62">
        <v>0.54166666666666663</v>
      </c>
      <c r="G397" s="62">
        <v>3.4722222222222218E-4</v>
      </c>
      <c r="H397" s="56" t="s">
        <v>88</v>
      </c>
      <c r="I397" s="66">
        <v>0.46342592592592591</v>
      </c>
      <c r="J397" s="56" t="s">
        <v>80</v>
      </c>
      <c r="K397" s="56" t="s">
        <v>76</v>
      </c>
      <c r="L397" s="68">
        <v>1</v>
      </c>
      <c r="M397" s="68">
        <v>69607</v>
      </c>
      <c r="N397" s="56" t="s">
        <v>53</v>
      </c>
      <c r="O397" s="68" t="s">
        <v>89</v>
      </c>
      <c r="P397" s="70">
        <v>40</v>
      </c>
      <c r="Q397" s="68"/>
      <c r="R397" s="70">
        <v>40</v>
      </c>
      <c r="S397" s="73">
        <v>46048</v>
      </c>
      <c r="T397" s="70">
        <v>0</v>
      </c>
      <c r="U397" s="74">
        <v>4</v>
      </c>
      <c r="V397" s="70">
        <v>40</v>
      </c>
      <c r="W397" s="56" t="s">
        <v>47</v>
      </c>
      <c r="X397" s="56" t="s">
        <v>48</v>
      </c>
      <c r="Y397" s="56" t="s">
        <v>58</v>
      </c>
      <c r="Z397" s="56" t="s">
        <v>43</v>
      </c>
      <c r="AA397" s="56" t="s">
        <v>49</v>
      </c>
      <c r="AB397" s="56" t="s">
        <v>90</v>
      </c>
      <c r="AC397" s="56" t="s">
        <v>38</v>
      </c>
      <c r="AD397" s="75" t="s">
        <v>267</v>
      </c>
      <c r="AE397" s="76"/>
      <c r="AF397" s="76"/>
      <c r="AG397" s="76"/>
      <c r="AH397" s="76"/>
      <c r="AI397" s="76"/>
      <c r="AJ397" s="76"/>
      <c r="AK397" s="76"/>
      <c r="AL397" s="76"/>
      <c r="AM397" s="76"/>
      <c r="AN397" s="76"/>
      <c r="AO397" s="76"/>
      <c r="AP397" s="76"/>
      <c r="AQ397" s="76"/>
      <c r="AR397" s="76"/>
      <c r="AS397" s="76"/>
      <c r="AT397" s="76"/>
      <c r="AU397" s="76"/>
      <c r="AV397" s="76"/>
      <c r="AW397" s="76"/>
    </row>
    <row r="398" spans="1:49" ht="31.5" x14ac:dyDescent="0.2">
      <c r="A398" s="56" t="s">
        <v>87</v>
      </c>
      <c r="B398" s="59">
        <v>46048</v>
      </c>
      <c r="C398" s="59">
        <v>46048</v>
      </c>
      <c r="D398" s="56" t="s">
        <v>30</v>
      </c>
      <c r="E398" s="62">
        <v>0.45833333333333331</v>
      </c>
      <c r="F398" s="62">
        <v>0.54166666666666663</v>
      </c>
      <c r="G398" s="62">
        <v>3.4722222222222218E-4</v>
      </c>
      <c r="H398" s="56" t="s">
        <v>88</v>
      </c>
      <c r="I398" s="66">
        <v>0.48188657407407409</v>
      </c>
      <c r="J398" s="56" t="s">
        <v>80</v>
      </c>
      <c r="K398" s="56" t="s">
        <v>150</v>
      </c>
      <c r="L398" s="68">
        <v>1</v>
      </c>
      <c r="M398" s="68">
        <v>69609</v>
      </c>
      <c r="N398" s="56" t="s">
        <v>46</v>
      </c>
      <c r="O398" s="68" t="s">
        <v>89</v>
      </c>
      <c r="P398" s="70">
        <v>0</v>
      </c>
      <c r="Q398" s="68"/>
      <c r="R398" s="70">
        <v>0</v>
      </c>
      <c r="S398" s="73">
        <v>46048</v>
      </c>
      <c r="T398" s="70">
        <v>0</v>
      </c>
      <c r="U398" s="74">
        <v>4</v>
      </c>
      <c r="V398" s="70">
        <v>0</v>
      </c>
      <c r="W398" s="56" t="s">
        <v>47</v>
      </c>
      <c r="X398" s="56" t="s">
        <v>48</v>
      </c>
      <c r="Y398" s="56" t="s">
        <v>58</v>
      </c>
      <c r="Z398" s="56" t="s">
        <v>43</v>
      </c>
      <c r="AA398" s="56" t="s">
        <v>49</v>
      </c>
      <c r="AB398" s="56" t="s">
        <v>90</v>
      </c>
      <c r="AC398" s="56" t="s">
        <v>38</v>
      </c>
      <c r="AD398" s="75" t="s">
        <v>267</v>
      </c>
      <c r="AE398" s="57"/>
      <c r="AF398" s="57"/>
      <c r="AG398" s="57"/>
      <c r="AH398" s="57"/>
      <c r="AI398" s="57"/>
      <c r="AJ398" s="57"/>
      <c r="AK398" s="57"/>
      <c r="AL398" s="57"/>
      <c r="AM398" s="57"/>
      <c r="AN398" s="57"/>
      <c r="AO398" s="57"/>
      <c r="AP398" s="57"/>
      <c r="AQ398" s="57"/>
      <c r="AR398" s="57"/>
      <c r="AS398" s="57"/>
      <c r="AT398" s="57"/>
      <c r="AU398" s="57"/>
      <c r="AV398" s="57"/>
      <c r="AW398" s="57"/>
    </row>
    <row r="399" spans="1:49" ht="31.5" x14ac:dyDescent="0.25">
      <c r="A399" s="56" t="s">
        <v>87</v>
      </c>
      <c r="B399" s="59">
        <v>46048</v>
      </c>
      <c r="C399" s="59">
        <v>46048</v>
      </c>
      <c r="D399" s="56" t="s">
        <v>30</v>
      </c>
      <c r="E399" s="62">
        <v>0.45833333333333331</v>
      </c>
      <c r="F399" s="62">
        <v>0.54166666666666663</v>
      </c>
      <c r="G399" s="62">
        <v>3.4722222222222218E-4</v>
      </c>
      <c r="H399" s="56" t="s">
        <v>88</v>
      </c>
      <c r="I399" s="66">
        <v>0.51208333333333333</v>
      </c>
      <c r="J399" s="56" t="s">
        <v>80</v>
      </c>
      <c r="K399" s="56" t="s">
        <v>151</v>
      </c>
      <c r="L399" s="68">
        <v>1</v>
      </c>
      <c r="M399" s="68">
        <v>69607</v>
      </c>
      <c r="N399" s="56" t="s">
        <v>53</v>
      </c>
      <c r="O399" s="68" t="s">
        <v>89</v>
      </c>
      <c r="P399" s="70">
        <v>40</v>
      </c>
      <c r="Q399" s="68"/>
      <c r="R399" s="70">
        <v>40</v>
      </c>
      <c r="S399" s="73">
        <v>46048</v>
      </c>
      <c r="T399" s="70">
        <v>0</v>
      </c>
      <c r="U399" s="74">
        <v>4</v>
      </c>
      <c r="V399" s="70">
        <v>40</v>
      </c>
      <c r="W399" s="56" t="s">
        <v>47</v>
      </c>
      <c r="X399" s="56" t="s">
        <v>48</v>
      </c>
      <c r="Y399" s="56" t="s">
        <v>58</v>
      </c>
      <c r="Z399" s="56" t="s">
        <v>43</v>
      </c>
      <c r="AA399" s="56" t="s">
        <v>49</v>
      </c>
      <c r="AB399" s="56" t="s">
        <v>90</v>
      </c>
      <c r="AC399" s="56" t="s">
        <v>38</v>
      </c>
      <c r="AD399" s="75" t="s">
        <v>267</v>
      </c>
      <c r="AE399" s="76"/>
      <c r="AF399" s="76"/>
      <c r="AG399" s="76"/>
      <c r="AH399" s="76"/>
      <c r="AI399" s="85"/>
      <c r="AJ399" s="85"/>
      <c r="AK399" s="85"/>
      <c r="AL399" s="85"/>
      <c r="AM399" s="85"/>
      <c r="AN399" s="85"/>
      <c r="AO399" s="85"/>
      <c r="AP399" s="85"/>
      <c r="AQ399" s="85"/>
      <c r="AR399" s="85"/>
      <c r="AS399" s="85"/>
      <c r="AT399" s="85"/>
      <c r="AU399" s="85"/>
      <c r="AV399" s="85"/>
      <c r="AW399" s="85"/>
    </row>
    <row r="400" spans="1:49" ht="31.5" x14ac:dyDescent="0.25">
      <c r="A400" s="56" t="s">
        <v>87</v>
      </c>
      <c r="B400" s="59">
        <v>46049</v>
      </c>
      <c r="C400" s="59">
        <v>46049</v>
      </c>
      <c r="D400" s="56" t="s">
        <v>166</v>
      </c>
      <c r="E400" s="62">
        <v>0.45833333333333331</v>
      </c>
      <c r="F400" s="62">
        <v>0.54166666666666663</v>
      </c>
      <c r="G400" s="62">
        <v>3.4722222222222218E-4</v>
      </c>
      <c r="H400" s="56" t="s">
        <v>88</v>
      </c>
      <c r="I400" s="66">
        <v>0.51185185185185189</v>
      </c>
      <c r="J400" s="56" t="s">
        <v>80</v>
      </c>
      <c r="K400" s="56" t="s">
        <v>151</v>
      </c>
      <c r="L400" s="68">
        <v>1</v>
      </c>
      <c r="M400" s="68">
        <v>69609</v>
      </c>
      <c r="N400" s="56" t="s">
        <v>46</v>
      </c>
      <c r="O400" s="68" t="s">
        <v>89</v>
      </c>
      <c r="P400" s="70">
        <v>0</v>
      </c>
      <c r="Q400" s="68"/>
      <c r="R400" s="70">
        <v>0</v>
      </c>
      <c r="S400" s="73">
        <v>46049</v>
      </c>
      <c r="T400" s="70">
        <v>0</v>
      </c>
      <c r="U400" s="74">
        <v>4</v>
      </c>
      <c r="V400" s="70">
        <v>0</v>
      </c>
      <c r="W400" s="56" t="s">
        <v>47</v>
      </c>
      <c r="X400" s="56" t="s">
        <v>48</v>
      </c>
      <c r="Y400" s="56" t="s">
        <v>58</v>
      </c>
      <c r="Z400" s="56" t="s">
        <v>43</v>
      </c>
      <c r="AA400" s="56" t="s">
        <v>49</v>
      </c>
      <c r="AB400" s="56" t="s">
        <v>90</v>
      </c>
      <c r="AC400" s="56" t="s">
        <v>38</v>
      </c>
      <c r="AD400" s="75" t="s">
        <v>267</v>
      </c>
      <c r="AE400" s="76"/>
      <c r="AF400" s="76"/>
      <c r="AG400" s="76"/>
      <c r="AH400" s="76"/>
      <c r="AI400" s="85"/>
      <c r="AJ400" s="85"/>
      <c r="AK400" s="85"/>
      <c r="AL400" s="85"/>
      <c r="AM400" s="85"/>
      <c r="AN400" s="85"/>
      <c r="AO400" s="85"/>
      <c r="AP400" s="85"/>
      <c r="AQ400" s="85"/>
      <c r="AR400" s="85"/>
      <c r="AS400" s="85"/>
      <c r="AT400" s="85"/>
      <c r="AU400" s="85"/>
      <c r="AV400" s="85"/>
      <c r="AW400" s="85"/>
    </row>
    <row r="401" spans="1:49" s="17" customFormat="1" ht="31.5" x14ac:dyDescent="0.25">
      <c r="A401" s="18" t="s">
        <v>87</v>
      </c>
      <c r="B401" s="19">
        <v>46051</v>
      </c>
      <c r="C401" s="19">
        <v>46051</v>
      </c>
      <c r="D401" s="18" t="s">
        <v>207</v>
      </c>
      <c r="E401" s="20">
        <v>0.45833333333333331</v>
      </c>
      <c r="F401" s="20">
        <v>0.54166666666666663</v>
      </c>
      <c r="G401" s="20">
        <v>3.4722222222222218E-4</v>
      </c>
      <c r="H401" s="18" t="s">
        <v>88</v>
      </c>
      <c r="I401" s="21">
        <v>0.48677268518518524</v>
      </c>
      <c r="J401" s="18" t="s">
        <v>80</v>
      </c>
      <c r="K401" s="18" t="s">
        <v>150</v>
      </c>
      <c r="L401" s="22">
        <v>1</v>
      </c>
      <c r="M401" s="22">
        <v>69607</v>
      </c>
      <c r="N401" s="18" t="s">
        <v>53</v>
      </c>
      <c r="O401" s="22" t="s">
        <v>89</v>
      </c>
      <c r="P401" s="23">
        <v>40</v>
      </c>
      <c r="Q401" s="22"/>
      <c r="R401" s="23">
        <v>40</v>
      </c>
      <c r="S401" s="24">
        <v>46051</v>
      </c>
      <c r="T401" s="23">
        <v>0</v>
      </c>
      <c r="U401" s="25">
        <v>4</v>
      </c>
      <c r="V401" s="23">
        <v>40</v>
      </c>
      <c r="W401" s="18" t="s">
        <v>47</v>
      </c>
      <c r="X401" s="18" t="s">
        <v>48</v>
      </c>
      <c r="Y401" s="18" t="s">
        <v>58</v>
      </c>
      <c r="Z401" s="18" t="s">
        <v>43</v>
      </c>
      <c r="AA401" s="18" t="s">
        <v>49</v>
      </c>
      <c r="AB401" s="18" t="s">
        <v>90</v>
      </c>
      <c r="AC401" s="18" t="s">
        <v>38</v>
      </c>
      <c r="AD401" s="7" t="s">
        <v>267</v>
      </c>
      <c r="AE401" s="26"/>
      <c r="AF401" s="26"/>
      <c r="AG401" s="26"/>
      <c r="AH401" s="26"/>
      <c r="AI401" s="26"/>
      <c r="AJ401" s="26"/>
      <c r="AK401" s="26"/>
      <c r="AL401" s="26"/>
      <c r="AM401" s="26"/>
      <c r="AN401" s="26"/>
      <c r="AO401" s="26"/>
      <c r="AP401" s="26"/>
      <c r="AQ401" s="26"/>
      <c r="AR401" s="26"/>
      <c r="AS401" s="26"/>
      <c r="AT401" s="26"/>
      <c r="AU401" s="26"/>
      <c r="AV401" s="26"/>
      <c r="AW401" s="26"/>
    </row>
    <row r="402" spans="1:49" s="17" customFormat="1" ht="31.5" x14ac:dyDescent="0.25">
      <c r="A402" s="18" t="s">
        <v>87</v>
      </c>
      <c r="B402" s="19">
        <v>46051</v>
      </c>
      <c r="C402" s="19">
        <v>46051</v>
      </c>
      <c r="D402" s="18" t="s">
        <v>207</v>
      </c>
      <c r="E402" s="20">
        <v>0.45833333333333331</v>
      </c>
      <c r="F402" s="20">
        <v>0.54166666666666663</v>
      </c>
      <c r="G402" s="20">
        <v>3.4722222222222218E-4</v>
      </c>
      <c r="H402" s="18" t="s">
        <v>88</v>
      </c>
      <c r="I402" s="21">
        <v>0.51143807870370372</v>
      </c>
      <c r="J402" s="18" t="s">
        <v>80</v>
      </c>
      <c r="K402" s="18" t="s">
        <v>151</v>
      </c>
      <c r="L402" s="22">
        <v>1</v>
      </c>
      <c r="M402" s="22">
        <v>69609</v>
      </c>
      <c r="N402" s="18" t="s">
        <v>46</v>
      </c>
      <c r="O402" s="22" t="s">
        <v>89</v>
      </c>
      <c r="P402" s="23">
        <v>0</v>
      </c>
      <c r="Q402" s="22"/>
      <c r="R402" s="23">
        <v>0</v>
      </c>
      <c r="S402" s="24">
        <v>46051</v>
      </c>
      <c r="T402" s="23">
        <v>0</v>
      </c>
      <c r="U402" s="25">
        <v>4</v>
      </c>
      <c r="V402" s="23">
        <v>0</v>
      </c>
      <c r="W402" s="18" t="s">
        <v>47</v>
      </c>
      <c r="X402" s="18" t="s">
        <v>48</v>
      </c>
      <c r="Y402" s="18" t="s">
        <v>58</v>
      </c>
      <c r="Z402" s="18" t="s">
        <v>43</v>
      </c>
      <c r="AA402" s="18" t="s">
        <v>49</v>
      </c>
      <c r="AB402" s="18" t="s">
        <v>90</v>
      </c>
      <c r="AC402" s="18" t="s">
        <v>38</v>
      </c>
      <c r="AD402" s="7" t="s">
        <v>267</v>
      </c>
      <c r="AE402" s="26"/>
      <c r="AF402" s="26"/>
      <c r="AG402" s="26"/>
      <c r="AH402" s="26"/>
      <c r="AI402" s="27"/>
      <c r="AJ402" s="27"/>
      <c r="AK402" s="27"/>
      <c r="AL402" s="27"/>
      <c r="AM402" s="27"/>
      <c r="AN402" s="27"/>
      <c r="AO402" s="27"/>
      <c r="AP402" s="27"/>
      <c r="AQ402" s="27"/>
      <c r="AR402" s="27"/>
      <c r="AS402" s="27"/>
      <c r="AT402" s="27"/>
      <c r="AU402" s="27"/>
      <c r="AV402" s="27"/>
      <c r="AW402" s="27"/>
    </row>
    <row r="403" spans="1:49" s="17" customFormat="1" ht="31.5" x14ac:dyDescent="0.25">
      <c r="A403" s="18" t="s">
        <v>87</v>
      </c>
      <c r="B403" s="19">
        <v>46051</v>
      </c>
      <c r="C403" s="19">
        <v>46051</v>
      </c>
      <c r="D403" s="18" t="s">
        <v>207</v>
      </c>
      <c r="E403" s="20">
        <v>0.45833333333333331</v>
      </c>
      <c r="F403" s="20">
        <v>0.54166666666666663</v>
      </c>
      <c r="G403" s="20">
        <v>3.4722222222222218E-4</v>
      </c>
      <c r="H403" s="18" t="s">
        <v>88</v>
      </c>
      <c r="I403" s="21">
        <v>0.53401724537037032</v>
      </c>
      <c r="J403" s="18" t="s">
        <v>80</v>
      </c>
      <c r="K403" s="18" t="s">
        <v>151</v>
      </c>
      <c r="L403" s="22">
        <v>1</v>
      </c>
      <c r="M403" s="22">
        <v>69607</v>
      </c>
      <c r="N403" s="18" t="s">
        <v>53</v>
      </c>
      <c r="O403" s="22" t="s">
        <v>89</v>
      </c>
      <c r="P403" s="23">
        <v>40</v>
      </c>
      <c r="Q403" s="22"/>
      <c r="R403" s="23">
        <v>40</v>
      </c>
      <c r="S403" s="24">
        <v>46051</v>
      </c>
      <c r="T403" s="23">
        <v>0</v>
      </c>
      <c r="U403" s="25">
        <v>4</v>
      </c>
      <c r="V403" s="23">
        <v>40</v>
      </c>
      <c r="W403" s="18" t="s">
        <v>47</v>
      </c>
      <c r="X403" s="18" t="s">
        <v>48</v>
      </c>
      <c r="Y403" s="18" t="s">
        <v>58</v>
      </c>
      <c r="Z403" s="18" t="s">
        <v>43</v>
      </c>
      <c r="AA403" s="18" t="s">
        <v>49</v>
      </c>
      <c r="AB403" s="18" t="s">
        <v>90</v>
      </c>
      <c r="AC403" s="18" t="s">
        <v>38</v>
      </c>
      <c r="AD403" s="7" t="s">
        <v>267</v>
      </c>
      <c r="AE403" s="26"/>
      <c r="AF403" s="26"/>
      <c r="AG403" s="26"/>
      <c r="AH403" s="26"/>
      <c r="AI403" s="27"/>
      <c r="AJ403" s="27"/>
      <c r="AK403" s="27"/>
      <c r="AL403" s="27"/>
      <c r="AM403" s="27"/>
      <c r="AN403" s="27"/>
      <c r="AO403" s="27"/>
      <c r="AP403" s="27"/>
      <c r="AQ403" s="27"/>
      <c r="AR403" s="27"/>
      <c r="AS403" s="27"/>
      <c r="AT403" s="27"/>
      <c r="AU403" s="27"/>
      <c r="AV403" s="27"/>
      <c r="AW403" s="27"/>
    </row>
    <row r="404" spans="1:49" s="17" customFormat="1" ht="31.5" x14ac:dyDescent="0.25">
      <c r="A404" s="18" t="s">
        <v>87</v>
      </c>
      <c r="B404" s="19">
        <v>46053</v>
      </c>
      <c r="C404" s="19">
        <v>46053</v>
      </c>
      <c r="D404" s="18" t="s">
        <v>224</v>
      </c>
      <c r="E404" s="20">
        <v>0.45833333333333331</v>
      </c>
      <c r="F404" s="20">
        <v>0.54166666666666663</v>
      </c>
      <c r="G404" s="20">
        <v>3.4722222222222218E-4</v>
      </c>
      <c r="H404" s="18" t="s">
        <v>88</v>
      </c>
      <c r="I404" s="21">
        <v>0.49933148148148143</v>
      </c>
      <c r="J404" s="18" t="s">
        <v>80</v>
      </c>
      <c r="K404" s="18" t="s">
        <v>150</v>
      </c>
      <c r="L404" s="22">
        <v>1</v>
      </c>
      <c r="M404" s="22">
        <v>69609</v>
      </c>
      <c r="N404" s="18" t="s">
        <v>46</v>
      </c>
      <c r="O404" s="22" t="s">
        <v>89</v>
      </c>
      <c r="P404" s="23">
        <v>0</v>
      </c>
      <c r="Q404" s="22"/>
      <c r="R404" s="23">
        <v>0</v>
      </c>
      <c r="S404" s="24">
        <v>46053</v>
      </c>
      <c r="T404" s="23">
        <v>0</v>
      </c>
      <c r="U404" s="25">
        <v>4</v>
      </c>
      <c r="V404" s="23">
        <v>0</v>
      </c>
      <c r="W404" s="18" t="s">
        <v>47</v>
      </c>
      <c r="X404" s="18" t="s">
        <v>48</v>
      </c>
      <c r="Y404" s="18" t="s">
        <v>58</v>
      </c>
      <c r="Z404" s="18" t="s">
        <v>43</v>
      </c>
      <c r="AA404" s="18" t="s">
        <v>49</v>
      </c>
      <c r="AB404" s="18" t="s">
        <v>90</v>
      </c>
      <c r="AC404" s="18" t="s">
        <v>38</v>
      </c>
      <c r="AD404" s="7" t="s">
        <v>267</v>
      </c>
      <c r="AE404" s="26"/>
      <c r="AF404" s="26"/>
      <c r="AG404" s="26"/>
      <c r="AH404" s="26"/>
      <c r="AI404" s="27"/>
      <c r="AJ404" s="27"/>
      <c r="AK404" s="27"/>
      <c r="AL404" s="27"/>
      <c r="AM404" s="27"/>
      <c r="AN404" s="27"/>
      <c r="AO404" s="27"/>
      <c r="AP404" s="27"/>
      <c r="AQ404" s="27"/>
      <c r="AR404" s="27"/>
      <c r="AS404" s="27"/>
      <c r="AT404" s="27"/>
      <c r="AU404" s="27"/>
      <c r="AV404" s="27"/>
      <c r="AW404" s="27"/>
    </row>
    <row r="405" spans="1:49" s="17" customFormat="1" ht="31.5" x14ac:dyDescent="0.25">
      <c r="A405" s="18" t="s">
        <v>87</v>
      </c>
      <c r="B405" s="19">
        <v>46054</v>
      </c>
      <c r="C405" s="19">
        <v>46054</v>
      </c>
      <c r="D405" s="18" t="s">
        <v>249</v>
      </c>
      <c r="E405" s="20">
        <v>0.45833333333333331</v>
      </c>
      <c r="F405" s="20">
        <v>0.54166666666666663</v>
      </c>
      <c r="G405" s="20">
        <v>3.4722222222222218E-4</v>
      </c>
      <c r="H405" s="18" t="s">
        <v>88</v>
      </c>
      <c r="I405" s="21">
        <v>0.4882206018518519</v>
      </c>
      <c r="J405" s="18" t="s">
        <v>80</v>
      </c>
      <c r="K405" s="18" t="s">
        <v>150</v>
      </c>
      <c r="L405" s="22">
        <v>1</v>
      </c>
      <c r="M405" s="22">
        <v>71252</v>
      </c>
      <c r="N405" s="18" t="s">
        <v>53</v>
      </c>
      <c r="O405" s="22" t="s">
        <v>253</v>
      </c>
      <c r="P405" s="23">
        <v>40</v>
      </c>
      <c r="Q405" s="22"/>
      <c r="R405" s="23">
        <v>40</v>
      </c>
      <c r="S405" s="24">
        <v>46054</v>
      </c>
      <c r="T405" s="23">
        <v>0</v>
      </c>
      <c r="U405" s="25">
        <v>4</v>
      </c>
      <c r="V405" s="23">
        <v>40</v>
      </c>
      <c r="W405" s="18" t="s">
        <v>47</v>
      </c>
      <c r="X405" s="18" t="s">
        <v>48</v>
      </c>
      <c r="Y405" s="18" t="s">
        <v>58</v>
      </c>
      <c r="Z405" s="18" t="s">
        <v>9</v>
      </c>
      <c r="AA405" s="18" t="s">
        <v>49</v>
      </c>
      <c r="AB405" s="18" t="s">
        <v>254</v>
      </c>
      <c r="AC405" s="18" t="s">
        <v>38</v>
      </c>
      <c r="AD405" s="7" t="s">
        <v>267</v>
      </c>
      <c r="AE405" s="26"/>
      <c r="AF405" s="26"/>
      <c r="AG405" s="26"/>
      <c r="AH405" s="26"/>
      <c r="AI405" s="27"/>
      <c r="AJ405" s="27"/>
      <c r="AK405" s="27"/>
      <c r="AL405" s="27"/>
      <c r="AM405" s="27"/>
      <c r="AN405" s="27"/>
      <c r="AO405" s="27"/>
      <c r="AP405" s="27"/>
      <c r="AQ405" s="27"/>
      <c r="AR405" s="27"/>
      <c r="AS405" s="27"/>
      <c r="AT405" s="27"/>
      <c r="AU405" s="27"/>
      <c r="AV405" s="27"/>
      <c r="AW405" s="27"/>
    </row>
    <row r="406" spans="1:49" s="17" customFormat="1" ht="31.5" x14ac:dyDescent="0.25">
      <c r="A406" s="18" t="s">
        <v>87</v>
      </c>
      <c r="B406" s="19">
        <v>46054</v>
      </c>
      <c r="C406" s="19">
        <v>46054</v>
      </c>
      <c r="D406" s="18" t="s">
        <v>249</v>
      </c>
      <c r="E406" s="20">
        <v>0.45833333333333331</v>
      </c>
      <c r="F406" s="20">
        <v>0.54166666666666663</v>
      </c>
      <c r="G406" s="20">
        <v>3.4722222222222218E-4</v>
      </c>
      <c r="H406" s="18" t="s">
        <v>88</v>
      </c>
      <c r="I406" s="21">
        <v>0.52003541666666664</v>
      </c>
      <c r="J406" s="18" t="s">
        <v>80</v>
      </c>
      <c r="K406" s="18" t="s">
        <v>151</v>
      </c>
      <c r="L406" s="22">
        <v>1</v>
      </c>
      <c r="M406" s="22">
        <v>71252</v>
      </c>
      <c r="N406" s="18" t="s">
        <v>53</v>
      </c>
      <c r="O406" s="22" t="s">
        <v>253</v>
      </c>
      <c r="P406" s="23">
        <v>40</v>
      </c>
      <c r="Q406" s="22"/>
      <c r="R406" s="23">
        <v>40</v>
      </c>
      <c r="S406" s="24">
        <v>46054</v>
      </c>
      <c r="T406" s="23">
        <v>0</v>
      </c>
      <c r="U406" s="25">
        <v>4</v>
      </c>
      <c r="V406" s="23">
        <v>40</v>
      </c>
      <c r="W406" s="18" t="s">
        <v>47</v>
      </c>
      <c r="X406" s="18" t="s">
        <v>48</v>
      </c>
      <c r="Y406" s="18" t="s">
        <v>58</v>
      </c>
      <c r="Z406" s="18" t="s">
        <v>9</v>
      </c>
      <c r="AA406" s="18" t="s">
        <v>49</v>
      </c>
      <c r="AB406" s="18" t="s">
        <v>254</v>
      </c>
      <c r="AC406" s="18" t="s">
        <v>38</v>
      </c>
      <c r="AD406" s="7" t="s">
        <v>267</v>
      </c>
      <c r="AE406" s="26"/>
      <c r="AF406" s="26"/>
      <c r="AG406" s="26"/>
      <c r="AH406" s="26"/>
      <c r="AI406" s="26"/>
      <c r="AJ406" s="26"/>
      <c r="AK406" s="26"/>
      <c r="AL406" s="26"/>
      <c r="AM406" s="26"/>
      <c r="AN406" s="26"/>
      <c r="AO406" s="26"/>
      <c r="AP406" s="26"/>
      <c r="AQ406" s="26"/>
      <c r="AR406" s="26"/>
      <c r="AS406" s="26"/>
      <c r="AT406" s="26"/>
      <c r="AU406" s="26"/>
      <c r="AV406" s="26"/>
      <c r="AW406" s="26"/>
    </row>
    <row r="407" spans="1:49" ht="31.5" x14ac:dyDescent="0.2">
      <c r="A407" s="56" t="s">
        <v>51</v>
      </c>
      <c r="B407" s="59">
        <v>46048</v>
      </c>
      <c r="C407" s="59">
        <v>46048</v>
      </c>
      <c r="D407" s="56" t="s">
        <v>30</v>
      </c>
      <c r="E407" s="62">
        <v>0.25</v>
      </c>
      <c r="F407" s="62">
        <v>0.29166666666666669</v>
      </c>
      <c r="G407" s="62">
        <v>3.4722222222222218E-4</v>
      </c>
      <c r="H407" s="56" t="s">
        <v>52</v>
      </c>
      <c r="I407" s="66">
        <v>0.28394675925925927</v>
      </c>
      <c r="J407" s="56" t="s">
        <v>41</v>
      </c>
      <c r="K407" s="56" t="s">
        <v>40</v>
      </c>
      <c r="L407" s="68">
        <v>1</v>
      </c>
      <c r="M407" s="68">
        <v>70365</v>
      </c>
      <c r="N407" s="56" t="s">
        <v>53</v>
      </c>
      <c r="O407" s="68" t="s">
        <v>54</v>
      </c>
      <c r="P407" s="70">
        <v>40</v>
      </c>
      <c r="Q407" s="68"/>
      <c r="R407" s="70">
        <v>40</v>
      </c>
      <c r="S407" s="73">
        <v>46054</v>
      </c>
      <c r="T407" s="70">
        <v>6</v>
      </c>
      <c r="U407" s="74">
        <v>4</v>
      </c>
      <c r="V407" s="70">
        <v>34</v>
      </c>
      <c r="W407" s="56" t="s">
        <v>47</v>
      </c>
      <c r="X407" s="56" t="s">
        <v>48</v>
      </c>
      <c r="Y407" s="56" t="s">
        <v>36</v>
      </c>
      <c r="Z407" s="56" t="s">
        <v>9</v>
      </c>
      <c r="AA407" s="56" t="s">
        <v>49</v>
      </c>
      <c r="AB407" s="56" t="s">
        <v>55</v>
      </c>
      <c r="AC407" s="56" t="s">
        <v>38</v>
      </c>
      <c r="AD407" s="7" t="s">
        <v>267</v>
      </c>
      <c r="AE407" s="57"/>
      <c r="AF407" s="57"/>
      <c r="AG407" s="57"/>
      <c r="AH407" s="57"/>
      <c r="AI407" s="57"/>
      <c r="AJ407" s="57"/>
      <c r="AK407" s="57"/>
      <c r="AL407" s="57"/>
      <c r="AM407" s="57"/>
      <c r="AN407" s="57"/>
      <c r="AO407" s="57"/>
      <c r="AP407" s="57"/>
      <c r="AQ407" s="57"/>
      <c r="AR407" s="57"/>
      <c r="AS407" s="57"/>
      <c r="AT407" s="57"/>
      <c r="AU407" s="57"/>
      <c r="AV407" s="57"/>
      <c r="AW407" s="57"/>
    </row>
    <row r="408" spans="1:49" s="17" customFormat="1" ht="31.5" x14ac:dyDescent="0.25">
      <c r="A408" s="18" t="s">
        <v>51</v>
      </c>
      <c r="B408" s="19">
        <v>46048</v>
      </c>
      <c r="C408" s="19">
        <v>46048</v>
      </c>
      <c r="D408" s="18" t="s">
        <v>30</v>
      </c>
      <c r="E408" s="20">
        <v>0.5</v>
      </c>
      <c r="F408" s="20">
        <v>0.54166666666666663</v>
      </c>
      <c r="G408" s="20">
        <v>3.4722222222222218E-4</v>
      </c>
      <c r="H408" s="18" t="s">
        <v>102</v>
      </c>
      <c r="I408" s="21">
        <v>0.53425925925925921</v>
      </c>
      <c r="J408" s="18" t="s">
        <v>80</v>
      </c>
      <c r="K408" s="18" t="s">
        <v>151</v>
      </c>
      <c r="L408" s="22">
        <v>1</v>
      </c>
      <c r="M408" s="22">
        <v>70362</v>
      </c>
      <c r="N408" s="18" t="s">
        <v>53</v>
      </c>
      <c r="O408" s="22" t="s">
        <v>54</v>
      </c>
      <c r="P408" s="23">
        <v>50</v>
      </c>
      <c r="Q408" s="22"/>
      <c r="R408" s="23">
        <v>50</v>
      </c>
      <c r="S408" s="24">
        <v>46054</v>
      </c>
      <c r="T408" s="23">
        <v>7.5</v>
      </c>
      <c r="U408" s="25">
        <v>4</v>
      </c>
      <c r="V408" s="23">
        <v>42.5</v>
      </c>
      <c r="W408" s="18" t="s">
        <v>47</v>
      </c>
      <c r="X408" s="18" t="s">
        <v>48</v>
      </c>
      <c r="Y408" s="18" t="s">
        <v>36</v>
      </c>
      <c r="Z408" s="18" t="s">
        <v>9</v>
      </c>
      <c r="AA408" s="18" t="s">
        <v>49</v>
      </c>
      <c r="AB408" s="18" t="s">
        <v>55</v>
      </c>
      <c r="AC408" s="18" t="s">
        <v>38</v>
      </c>
      <c r="AD408" s="7" t="s">
        <v>267</v>
      </c>
      <c r="AE408" s="33"/>
      <c r="AF408" s="33"/>
      <c r="AG408" s="33"/>
      <c r="AH408" s="33"/>
      <c r="AI408" s="30"/>
      <c r="AJ408" s="30"/>
      <c r="AK408" s="30"/>
      <c r="AL408" s="30"/>
      <c r="AM408" s="30"/>
      <c r="AN408" s="30"/>
      <c r="AO408" s="30"/>
      <c r="AP408" s="30"/>
      <c r="AQ408" s="30"/>
      <c r="AR408" s="30"/>
      <c r="AS408" s="30"/>
      <c r="AT408" s="30"/>
      <c r="AU408" s="30"/>
      <c r="AV408" s="30"/>
      <c r="AW408" s="30"/>
    </row>
    <row r="409" spans="1:49" s="34" customFormat="1" ht="31.5" x14ac:dyDescent="0.25">
      <c r="A409" s="18" t="s">
        <v>51</v>
      </c>
      <c r="B409" s="19">
        <v>46048</v>
      </c>
      <c r="C409" s="19">
        <v>46048</v>
      </c>
      <c r="D409" s="18" t="s">
        <v>30</v>
      </c>
      <c r="E409" s="20">
        <v>0.83333333333333337</v>
      </c>
      <c r="F409" s="20">
        <v>0.875</v>
      </c>
      <c r="G409" s="20">
        <v>3.4722222222222218E-4</v>
      </c>
      <c r="H409" s="18" t="s">
        <v>52</v>
      </c>
      <c r="I409" s="21">
        <v>0.86719907407407404</v>
      </c>
      <c r="J409" s="18" t="s">
        <v>41</v>
      </c>
      <c r="K409" s="18" t="s">
        <v>157</v>
      </c>
      <c r="L409" s="22">
        <v>1</v>
      </c>
      <c r="M409" s="22">
        <v>70366</v>
      </c>
      <c r="N409" s="18" t="s">
        <v>53</v>
      </c>
      <c r="O409" s="22" t="s">
        <v>54</v>
      </c>
      <c r="P409" s="23">
        <v>60</v>
      </c>
      <c r="Q409" s="22"/>
      <c r="R409" s="23">
        <v>60</v>
      </c>
      <c r="S409" s="24">
        <v>46054</v>
      </c>
      <c r="T409" s="23">
        <v>9</v>
      </c>
      <c r="U409" s="25">
        <v>4</v>
      </c>
      <c r="V409" s="23">
        <v>51</v>
      </c>
      <c r="W409" s="18" t="s">
        <v>47</v>
      </c>
      <c r="X409" s="18" t="s">
        <v>48</v>
      </c>
      <c r="Y409" s="18" t="s">
        <v>36</v>
      </c>
      <c r="Z409" s="18" t="s">
        <v>9</v>
      </c>
      <c r="AA409" s="18" t="s">
        <v>49</v>
      </c>
      <c r="AB409" s="18" t="s">
        <v>55</v>
      </c>
      <c r="AC409" s="18" t="s">
        <v>38</v>
      </c>
      <c r="AD409" s="7" t="s">
        <v>267</v>
      </c>
      <c r="AE409" s="33"/>
      <c r="AF409" s="33"/>
      <c r="AG409" s="33"/>
      <c r="AH409" s="33"/>
      <c r="AI409" s="30"/>
      <c r="AJ409" s="30"/>
      <c r="AK409" s="30"/>
      <c r="AL409" s="30"/>
      <c r="AM409" s="30"/>
      <c r="AN409" s="30"/>
      <c r="AO409" s="30"/>
      <c r="AP409" s="30"/>
      <c r="AQ409" s="30"/>
      <c r="AR409" s="30"/>
      <c r="AS409" s="30"/>
      <c r="AT409" s="30"/>
      <c r="AU409" s="30"/>
      <c r="AV409" s="30"/>
      <c r="AW409" s="30"/>
    </row>
    <row r="410" spans="1:49" s="34" customFormat="1" ht="31.5" x14ac:dyDescent="0.25">
      <c r="A410" s="18" t="s">
        <v>51</v>
      </c>
      <c r="B410" s="19">
        <v>46048</v>
      </c>
      <c r="C410" s="19">
        <v>46048</v>
      </c>
      <c r="D410" s="18" t="s">
        <v>30</v>
      </c>
      <c r="E410" s="20">
        <v>0.875</v>
      </c>
      <c r="F410" s="20">
        <v>0.91666666666666663</v>
      </c>
      <c r="G410" s="20">
        <v>3.4722222222222218E-4</v>
      </c>
      <c r="H410" s="18" t="s">
        <v>52</v>
      </c>
      <c r="I410" s="21">
        <v>0.88656250000000003</v>
      </c>
      <c r="J410" s="18" t="s">
        <v>41</v>
      </c>
      <c r="K410" s="18" t="s">
        <v>147</v>
      </c>
      <c r="L410" s="22">
        <v>1</v>
      </c>
      <c r="M410" s="22">
        <v>70367</v>
      </c>
      <c r="N410" s="18" t="s">
        <v>53</v>
      </c>
      <c r="O410" s="22" t="s">
        <v>54</v>
      </c>
      <c r="P410" s="23">
        <v>60</v>
      </c>
      <c r="Q410" s="22"/>
      <c r="R410" s="23">
        <v>60</v>
      </c>
      <c r="S410" s="24">
        <v>46054</v>
      </c>
      <c r="T410" s="23">
        <v>9</v>
      </c>
      <c r="U410" s="25">
        <v>4</v>
      </c>
      <c r="V410" s="23">
        <v>51</v>
      </c>
      <c r="W410" s="18" t="s">
        <v>47</v>
      </c>
      <c r="X410" s="18" t="s">
        <v>48</v>
      </c>
      <c r="Y410" s="18" t="s">
        <v>36</v>
      </c>
      <c r="Z410" s="18" t="s">
        <v>9</v>
      </c>
      <c r="AA410" s="18" t="s">
        <v>49</v>
      </c>
      <c r="AB410" s="18" t="s">
        <v>55</v>
      </c>
      <c r="AC410" s="18" t="s">
        <v>38</v>
      </c>
      <c r="AD410" s="7" t="s">
        <v>267</v>
      </c>
      <c r="AE410" s="33"/>
      <c r="AF410" s="33"/>
      <c r="AG410" s="33"/>
      <c r="AH410" s="33"/>
      <c r="AI410" s="30"/>
      <c r="AJ410" s="30"/>
      <c r="AK410" s="30"/>
      <c r="AL410" s="30"/>
      <c r="AM410" s="30"/>
      <c r="AN410" s="30"/>
      <c r="AO410" s="30"/>
      <c r="AP410" s="30"/>
      <c r="AQ410" s="30"/>
      <c r="AR410" s="30"/>
      <c r="AS410" s="30"/>
      <c r="AT410" s="30"/>
      <c r="AU410" s="30"/>
      <c r="AV410" s="30"/>
      <c r="AW410" s="30"/>
    </row>
    <row r="411" spans="1:49" s="17" customFormat="1" ht="31.5" x14ac:dyDescent="0.25">
      <c r="A411" s="18" t="s">
        <v>51</v>
      </c>
      <c r="B411" s="19">
        <v>46049</v>
      </c>
      <c r="C411" s="19">
        <v>46049</v>
      </c>
      <c r="D411" s="18" t="s">
        <v>166</v>
      </c>
      <c r="E411" s="20">
        <v>0.45833333333333331</v>
      </c>
      <c r="F411" s="20">
        <v>0.47916666666666669</v>
      </c>
      <c r="G411" s="20">
        <v>3.4722222222222218E-4</v>
      </c>
      <c r="H411" s="18" t="s">
        <v>102</v>
      </c>
      <c r="I411" s="21">
        <v>0.47805555555555557</v>
      </c>
      <c r="J411" s="18" t="s">
        <v>80</v>
      </c>
      <c r="K411" s="18" t="s">
        <v>175</v>
      </c>
      <c r="L411" s="22">
        <v>1</v>
      </c>
      <c r="M411" s="22">
        <v>70360</v>
      </c>
      <c r="N411" s="18" t="s">
        <v>53</v>
      </c>
      <c r="O411" s="22" t="s">
        <v>54</v>
      </c>
      <c r="P411" s="23">
        <v>50</v>
      </c>
      <c r="Q411" s="22"/>
      <c r="R411" s="23">
        <v>50</v>
      </c>
      <c r="S411" s="24">
        <v>46054</v>
      </c>
      <c r="T411" s="23">
        <v>7.5</v>
      </c>
      <c r="U411" s="25">
        <v>4</v>
      </c>
      <c r="V411" s="23">
        <v>42.5</v>
      </c>
      <c r="W411" s="18" t="s">
        <v>47</v>
      </c>
      <c r="X411" s="18" t="s">
        <v>48</v>
      </c>
      <c r="Y411" s="18" t="s">
        <v>36</v>
      </c>
      <c r="Z411" s="18" t="s">
        <v>9</v>
      </c>
      <c r="AA411" s="18" t="s">
        <v>49</v>
      </c>
      <c r="AB411" s="18" t="s">
        <v>55</v>
      </c>
      <c r="AC411" s="18" t="s">
        <v>38</v>
      </c>
      <c r="AD411" s="7" t="s">
        <v>267</v>
      </c>
      <c r="AE411" s="9"/>
      <c r="AF411" s="9"/>
      <c r="AG411" s="9"/>
      <c r="AH411" s="9"/>
      <c r="AI411" s="9"/>
      <c r="AJ411" s="9"/>
      <c r="AK411" s="9"/>
      <c r="AL411" s="9"/>
      <c r="AM411" s="9"/>
      <c r="AN411" s="9"/>
      <c r="AO411" s="9"/>
      <c r="AP411" s="9"/>
      <c r="AQ411" s="9"/>
      <c r="AR411" s="9"/>
      <c r="AS411" s="9"/>
      <c r="AT411" s="9"/>
      <c r="AU411" s="9"/>
      <c r="AV411" s="9"/>
      <c r="AW411" s="9"/>
    </row>
    <row r="412" spans="1:49" s="17" customFormat="1" ht="31.5" x14ac:dyDescent="0.25">
      <c r="A412" s="18" t="s">
        <v>51</v>
      </c>
      <c r="B412" s="19">
        <v>46049</v>
      </c>
      <c r="C412" s="19">
        <v>46049</v>
      </c>
      <c r="D412" s="18" t="s">
        <v>166</v>
      </c>
      <c r="E412" s="20">
        <v>0.47916666666666669</v>
      </c>
      <c r="F412" s="20">
        <v>0.5</v>
      </c>
      <c r="G412" s="20">
        <v>3.4722222222222218E-4</v>
      </c>
      <c r="H412" s="18" t="s">
        <v>102</v>
      </c>
      <c r="I412" s="21">
        <v>0.49843749999999998</v>
      </c>
      <c r="J412" s="18" t="s">
        <v>80</v>
      </c>
      <c r="K412" s="18" t="s">
        <v>150</v>
      </c>
      <c r="L412" s="22">
        <v>1</v>
      </c>
      <c r="M412" s="22">
        <v>70361</v>
      </c>
      <c r="N412" s="18" t="s">
        <v>53</v>
      </c>
      <c r="O412" s="22" t="s">
        <v>54</v>
      </c>
      <c r="P412" s="23">
        <v>50</v>
      </c>
      <c r="Q412" s="22"/>
      <c r="R412" s="23">
        <v>50</v>
      </c>
      <c r="S412" s="24">
        <v>46054</v>
      </c>
      <c r="T412" s="23">
        <v>7.5</v>
      </c>
      <c r="U412" s="25">
        <v>4</v>
      </c>
      <c r="V412" s="23">
        <v>42.5</v>
      </c>
      <c r="W412" s="18" t="s">
        <v>47</v>
      </c>
      <c r="X412" s="18" t="s">
        <v>48</v>
      </c>
      <c r="Y412" s="18" t="s">
        <v>36</v>
      </c>
      <c r="Z412" s="18" t="s">
        <v>9</v>
      </c>
      <c r="AA412" s="18" t="s">
        <v>49</v>
      </c>
      <c r="AB412" s="18" t="s">
        <v>55</v>
      </c>
      <c r="AC412" s="18" t="s">
        <v>38</v>
      </c>
      <c r="AD412" s="7" t="s">
        <v>267</v>
      </c>
      <c r="AE412" s="26"/>
      <c r="AF412" s="26"/>
      <c r="AG412" s="26"/>
      <c r="AH412" s="26"/>
      <c r="AI412" s="26"/>
      <c r="AJ412" s="26"/>
      <c r="AK412" s="26"/>
      <c r="AL412" s="26"/>
      <c r="AM412" s="26"/>
      <c r="AN412" s="26"/>
      <c r="AO412" s="26"/>
      <c r="AP412" s="26"/>
      <c r="AQ412" s="26"/>
      <c r="AR412" s="26"/>
      <c r="AS412" s="26"/>
      <c r="AT412" s="26"/>
      <c r="AU412" s="26"/>
      <c r="AV412" s="26"/>
      <c r="AW412" s="26"/>
    </row>
    <row r="413" spans="1:49" s="17" customFormat="1" ht="31.5" x14ac:dyDescent="0.25">
      <c r="A413" s="18" t="s">
        <v>51</v>
      </c>
      <c r="B413" s="19">
        <v>46049</v>
      </c>
      <c r="C413" s="19">
        <v>46049</v>
      </c>
      <c r="D413" s="18" t="s">
        <v>166</v>
      </c>
      <c r="E413" s="20">
        <v>0.5</v>
      </c>
      <c r="F413" s="20">
        <v>0.54166666666666663</v>
      </c>
      <c r="G413" s="20">
        <v>3.4722222222222218E-4</v>
      </c>
      <c r="H413" s="18" t="s">
        <v>102</v>
      </c>
      <c r="I413" s="21">
        <v>0.54013888888888884</v>
      </c>
      <c r="J413" s="18" t="s">
        <v>80</v>
      </c>
      <c r="K413" s="18" t="s">
        <v>151</v>
      </c>
      <c r="L413" s="22">
        <v>1</v>
      </c>
      <c r="M413" s="22">
        <v>70362</v>
      </c>
      <c r="N413" s="18" t="s">
        <v>53</v>
      </c>
      <c r="O413" s="22" t="s">
        <v>54</v>
      </c>
      <c r="P413" s="23">
        <v>50</v>
      </c>
      <c r="Q413" s="22"/>
      <c r="R413" s="23">
        <v>50</v>
      </c>
      <c r="S413" s="24">
        <v>46054</v>
      </c>
      <c r="T413" s="23">
        <v>7.5</v>
      </c>
      <c r="U413" s="25">
        <v>4</v>
      </c>
      <c r="V413" s="23">
        <v>42.5</v>
      </c>
      <c r="W413" s="18" t="s">
        <v>47</v>
      </c>
      <c r="X413" s="18" t="s">
        <v>48</v>
      </c>
      <c r="Y413" s="18" t="s">
        <v>36</v>
      </c>
      <c r="Z413" s="18" t="s">
        <v>9</v>
      </c>
      <c r="AA413" s="18" t="s">
        <v>49</v>
      </c>
      <c r="AB413" s="18" t="s">
        <v>55</v>
      </c>
      <c r="AC413" s="18" t="s">
        <v>38</v>
      </c>
      <c r="AD413" s="7" t="s">
        <v>267</v>
      </c>
      <c r="AE413" s="26"/>
      <c r="AF413" s="26"/>
      <c r="AG413" s="26"/>
      <c r="AH413" s="26"/>
      <c r="AI413" s="27"/>
      <c r="AJ413" s="27"/>
      <c r="AK413" s="27"/>
      <c r="AL413" s="27"/>
      <c r="AM413" s="27"/>
      <c r="AN413" s="27"/>
      <c r="AO413" s="27"/>
      <c r="AP413" s="27"/>
      <c r="AQ413" s="27"/>
      <c r="AR413" s="27"/>
      <c r="AS413" s="27"/>
      <c r="AT413" s="27"/>
      <c r="AU413" s="27"/>
      <c r="AV413" s="27"/>
      <c r="AW413" s="27"/>
    </row>
    <row r="414" spans="1:49" s="34" customFormat="1" ht="31.5" x14ac:dyDescent="0.25">
      <c r="A414" s="18" t="s">
        <v>51</v>
      </c>
      <c r="B414" s="19">
        <v>46050</v>
      </c>
      <c r="C414" s="19">
        <v>46050</v>
      </c>
      <c r="D414" s="18" t="s">
        <v>196</v>
      </c>
      <c r="E414" s="20">
        <v>0.25</v>
      </c>
      <c r="F414" s="20">
        <v>0.29166666666666669</v>
      </c>
      <c r="G414" s="20">
        <v>3.4722222222222218E-4</v>
      </c>
      <c r="H414" s="18" t="s">
        <v>52</v>
      </c>
      <c r="I414" s="21">
        <v>0.26204884259259259</v>
      </c>
      <c r="J414" s="18" t="s">
        <v>41</v>
      </c>
      <c r="K414" s="18" t="s">
        <v>40</v>
      </c>
      <c r="L414" s="22">
        <v>1</v>
      </c>
      <c r="M414" s="22">
        <v>70365</v>
      </c>
      <c r="N414" s="18" t="s">
        <v>53</v>
      </c>
      <c r="O414" s="22" t="s">
        <v>54</v>
      </c>
      <c r="P414" s="23">
        <v>40</v>
      </c>
      <c r="Q414" s="22"/>
      <c r="R414" s="23">
        <v>40</v>
      </c>
      <c r="S414" s="24">
        <v>46054</v>
      </c>
      <c r="T414" s="23">
        <v>6</v>
      </c>
      <c r="U414" s="25">
        <v>4</v>
      </c>
      <c r="V414" s="23">
        <v>34</v>
      </c>
      <c r="W414" s="18" t="s">
        <v>47</v>
      </c>
      <c r="X414" s="18" t="s">
        <v>48</v>
      </c>
      <c r="Y414" s="18" t="s">
        <v>36</v>
      </c>
      <c r="Z414" s="18" t="s">
        <v>9</v>
      </c>
      <c r="AA414" s="18" t="s">
        <v>49</v>
      </c>
      <c r="AB414" s="18" t="s">
        <v>55</v>
      </c>
      <c r="AC414" s="18" t="s">
        <v>38</v>
      </c>
      <c r="AD414" s="7" t="s">
        <v>267</v>
      </c>
      <c r="AE414" s="9"/>
      <c r="AF414" s="9"/>
      <c r="AG414" s="9"/>
      <c r="AH414" s="9"/>
      <c r="AI414" s="9"/>
      <c r="AJ414" s="9"/>
      <c r="AK414" s="9"/>
      <c r="AL414" s="9"/>
      <c r="AM414" s="9"/>
      <c r="AN414" s="9"/>
      <c r="AO414" s="9"/>
      <c r="AP414" s="9"/>
      <c r="AQ414" s="9"/>
      <c r="AR414" s="9"/>
      <c r="AS414" s="9"/>
      <c r="AT414" s="9"/>
      <c r="AU414" s="9"/>
      <c r="AV414" s="9"/>
      <c r="AW414" s="9"/>
    </row>
    <row r="415" spans="1:49" s="34" customFormat="1" ht="31.5" x14ac:dyDescent="0.25">
      <c r="A415" s="18" t="s">
        <v>51</v>
      </c>
      <c r="B415" s="19">
        <v>46050</v>
      </c>
      <c r="C415" s="19">
        <v>46050</v>
      </c>
      <c r="D415" s="18" t="s">
        <v>196</v>
      </c>
      <c r="E415" s="20">
        <v>0.45833333333333331</v>
      </c>
      <c r="F415" s="20">
        <v>0.47916666666666669</v>
      </c>
      <c r="G415" s="20">
        <v>3.4722222222222218E-4</v>
      </c>
      <c r="H415" s="18" t="s">
        <v>102</v>
      </c>
      <c r="I415" s="21">
        <v>0.47873842592592591</v>
      </c>
      <c r="J415" s="18" t="s">
        <v>80</v>
      </c>
      <c r="K415" s="18" t="s">
        <v>175</v>
      </c>
      <c r="L415" s="22">
        <v>1</v>
      </c>
      <c r="M415" s="22">
        <v>70360</v>
      </c>
      <c r="N415" s="18" t="s">
        <v>53</v>
      </c>
      <c r="O415" s="22" t="s">
        <v>54</v>
      </c>
      <c r="P415" s="23">
        <v>50</v>
      </c>
      <c r="Q415" s="22"/>
      <c r="R415" s="23">
        <v>50</v>
      </c>
      <c r="S415" s="24">
        <v>46054</v>
      </c>
      <c r="T415" s="23">
        <v>7.5</v>
      </c>
      <c r="U415" s="25">
        <v>4</v>
      </c>
      <c r="V415" s="23">
        <v>42.5</v>
      </c>
      <c r="W415" s="18" t="s">
        <v>47</v>
      </c>
      <c r="X415" s="18" t="s">
        <v>48</v>
      </c>
      <c r="Y415" s="18" t="s">
        <v>36</v>
      </c>
      <c r="Z415" s="18" t="s">
        <v>9</v>
      </c>
      <c r="AA415" s="18" t="s">
        <v>49</v>
      </c>
      <c r="AB415" s="18" t="s">
        <v>55</v>
      </c>
      <c r="AC415" s="18" t="s">
        <v>38</v>
      </c>
      <c r="AD415" s="7" t="s">
        <v>267</v>
      </c>
      <c r="AE415" s="9"/>
      <c r="AF415" s="9"/>
      <c r="AG415" s="9"/>
      <c r="AH415" s="9"/>
      <c r="AI415" s="9"/>
      <c r="AJ415" s="9"/>
      <c r="AK415" s="9"/>
      <c r="AL415" s="9"/>
      <c r="AM415" s="9"/>
      <c r="AN415" s="9"/>
      <c r="AO415" s="9"/>
      <c r="AP415" s="9"/>
      <c r="AQ415" s="9"/>
      <c r="AR415" s="9"/>
      <c r="AS415" s="9"/>
      <c r="AT415" s="9"/>
      <c r="AU415" s="9"/>
      <c r="AV415" s="9"/>
      <c r="AW415" s="9"/>
    </row>
    <row r="416" spans="1:49" s="17" customFormat="1" ht="31.5" x14ac:dyDescent="0.25">
      <c r="A416" s="18" t="s">
        <v>51</v>
      </c>
      <c r="B416" s="19">
        <v>46050</v>
      </c>
      <c r="C416" s="19">
        <v>46050</v>
      </c>
      <c r="D416" s="18" t="s">
        <v>196</v>
      </c>
      <c r="E416" s="20">
        <v>0.83333333333333337</v>
      </c>
      <c r="F416" s="20">
        <v>0.875</v>
      </c>
      <c r="G416" s="20">
        <v>3.4722222222222218E-4</v>
      </c>
      <c r="H416" s="18" t="s">
        <v>52</v>
      </c>
      <c r="I416" s="21">
        <v>0.84177245370370368</v>
      </c>
      <c r="J416" s="18" t="s">
        <v>41</v>
      </c>
      <c r="K416" s="18" t="s">
        <v>157</v>
      </c>
      <c r="L416" s="22">
        <v>1</v>
      </c>
      <c r="M416" s="22">
        <v>70366</v>
      </c>
      <c r="N416" s="18" t="s">
        <v>53</v>
      </c>
      <c r="O416" s="22" t="s">
        <v>54</v>
      </c>
      <c r="P416" s="23">
        <v>60</v>
      </c>
      <c r="Q416" s="22"/>
      <c r="R416" s="23">
        <v>60</v>
      </c>
      <c r="S416" s="24">
        <v>46054</v>
      </c>
      <c r="T416" s="23">
        <v>9</v>
      </c>
      <c r="U416" s="25">
        <v>4</v>
      </c>
      <c r="V416" s="23">
        <v>51</v>
      </c>
      <c r="W416" s="18" t="s">
        <v>47</v>
      </c>
      <c r="X416" s="18" t="s">
        <v>48</v>
      </c>
      <c r="Y416" s="18" t="s">
        <v>36</v>
      </c>
      <c r="Z416" s="18" t="s">
        <v>9</v>
      </c>
      <c r="AA416" s="18" t="s">
        <v>49</v>
      </c>
      <c r="AB416" s="18" t="s">
        <v>55</v>
      </c>
      <c r="AC416" s="18" t="s">
        <v>38</v>
      </c>
      <c r="AD416" s="7" t="s">
        <v>267</v>
      </c>
      <c r="AE416" s="9"/>
      <c r="AF416" s="9"/>
      <c r="AG416" s="9"/>
      <c r="AH416" s="9"/>
      <c r="AI416" s="9"/>
      <c r="AJ416" s="9"/>
      <c r="AK416" s="9"/>
      <c r="AL416" s="9"/>
      <c r="AM416" s="9"/>
      <c r="AN416" s="9"/>
      <c r="AO416" s="9"/>
      <c r="AP416" s="9"/>
      <c r="AQ416" s="9"/>
      <c r="AR416" s="9"/>
      <c r="AS416" s="9"/>
      <c r="AT416" s="9"/>
      <c r="AU416" s="9"/>
      <c r="AV416" s="9"/>
      <c r="AW416" s="9"/>
    </row>
    <row r="417" spans="1:49" s="34" customFormat="1" ht="31.5" x14ac:dyDescent="0.25">
      <c r="A417" s="18" t="s">
        <v>51</v>
      </c>
      <c r="B417" s="19">
        <v>46051</v>
      </c>
      <c r="C417" s="19">
        <v>46051</v>
      </c>
      <c r="D417" s="18" t="s">
        <v>207</v>
      </c>
      <c r="E417" s="20">
        <v>0.25</v>
      </c>
      <c r="F417" s="20">
        <v>0.29166666666666669</v>
      </c>
      <c r="G417" s="20">
        <v>3.4722222222222218E-4</v>
      </c>
      <c r="H417" s="18" t="s">
        <v>52</v>
      </c>
      <c r="I417" s="21">
        <v>0.28945601851851854</v>
      </c>
      <c r="J417" s="18" t="s">
        <v>41</v>
      </c>
      <c r="K417" s="18" t="s">
        <v>40</v>
      </c>
      <c r="L417" s="22">
        <v>1</v>
      </c>
      <c r="M417" s="22">
        <v>70365</v>
      </c>
      <c r="N417" s="18" t="s">
        <v>53</v>
      </c>
      <c r="O417" s="22" t="s">
        <v>54</v>
      </c>
      <c r="P417" s="23">
        <v>40</v>
      </c>
      <c r="Q417" s="22"/>
      <c r="R417" s="23">
        <v>40</v>
      </c>
      <c r="S417" s="24">
        <v>46054</v>
      </c>
      <c r="T417" s="23">
        <v>6</v>
      </c>
      <c r="U417" s="25">
        <v>4</v>
      </c>
      <c r="V417" s="23">
        <v>34</v>
      </c>
      <c r="W417" s="18" t="s">
        <v>47</v>
      </c>
      <c r="X417" s="18" t="s">
        <v>48</v>
      </c>
      <c r="Y417" s="18" t="s">
        <v>36</v>
      </c>
      <c r="Z417" s="18" t="s">
        <v>9</v>
      </c>
      <c r="AA417" s="18" t="s">
        <v>49</v>
      </c>
      <c r="AB417" s="18" t="s">
        <v>55</v>
      </c>
      <c r="AC417" s="18" t="s">
        <v>38</v>
      </c>
      <c r="AD417" s="7" t="s">
        <v>267</v>
      </c>
      <c r="AE417" s="26"/>
      <c r="AF417" s="26"/>
      <c r="AG417" s="26"/>
      <c r="AH417" s="26"/>
      <c r="AI417" s="27"/>
      <c r="AJ417" s="27"/>
      <c r="AK417" s="27"/>
      <c r="AL417" s="27"/>
      <c r="AM417" s="27"/>
      <c r="AN417" s="27"/>
      <c r="AO417" s="27"/>
      <c r="AP417" s="27"/>
      <c r="AQ417" s="27"/>
      <c r="AR417" s="27"/>
      <c r="AS417" s="27"/>
      <c r="AT417" s="27"/>
      <c r="AU417" s="27"/>
      <c r="AV417" s="27"/>
      <c r="AW417" s="27"/>
    </row>
    <row r="418" spans="1:49" s="17" customFormat="1" ht="31.5" x14ac:dyDescent="0.25">
      <c r="A418" s="18" t="s">
        <v>51</v>
      </c>
      <c r="B418" s="19">
        <v>46051</v>
      </c>
      <c r="C418" s="19">
        <v>46051</v>
      </c>
      <c r="D418" s="18" t="s">
        <v>207</v>
      </c>
      <c r="E418" s="20">
        <v>0.45833333333333331</v>
      </c>
      <c r="F418" s="20">
        <v>0.47916666666666669</v>
      </c>
      <c r="G418" s="20">
        <v>3.4722222222222218E-4</v>
      </c>
      <c r="H418" s="18" t="s">
        <v>102</v>
      </c>
      <c r="I418" s="21">
        <v>0.46633101851851849</v>
      </c>
      <c r="J418" s="18" t="s">
        <v>80</v>
      </c>
      <c r="K418" s="18" t="s">
        <v>175</v>
      </c>
      <c r="L418" s="22">
        <v>1</v>
      </c>
      <c r="M418" s="22">
        <v>70360</v>
      </c>
      <c r="N418" s="18" t="s">
        <v>53</v>
      </c>
      <c r="O418" s="22" t="s">
        <v>54</v>
      </c>
      <c r="P418" s="23">
        <v>50</v>
      </c>
      <c r="Q418" s="22"/>
      <c r="R418" s="23">
        <v>50</v>
      </c>
      <c r="S418" s="24">
        <v>46054</v>
      </c>
      <c r="T418" s="23">
        <v>7.5</v>
      </c>
      <c r="U418" s="25">
        <v>4</v>
      </c>
      <c r="V418" s="23">
        <v>42.5</v>
      </c>
      <c r="W418" s="18" t="s">
        <v>47</v>
      </c>
      <c r="X418" s="18" t="s">
        <v>48</v>
      </c>
      <c r="Y418" s="18" t="s">
        <v>36</v>
      </c>
      <c r="Z418" s="18" t="s">
        <v>9</v>
      </c>
      <c r="AA418" s="18" t="s">
        <v>49</v>
      </c>
      <c r="AB418" s="18" t="s">
        <v>55</v>
      </c>
      <c r="AC418" s="18" t="s">
        <v>38</v>
      </c>
      <c r="AD418" s="7" t="s">
        <v>267</v>
      </c>
      <c r="AE418" s="9"/>
      <c r="AF418" s="9"/>
      <c r="AG418" s="9"/>
      <c r="AH418" s="9"/>
      <c r="AI418" s="9"/>
      <c r="AJ418" s="9"/>
      <c r="AK418" s="9"/>
      <c r="AL418" s="9"/>
      <c r="AM418" s="9"/>
      <c r="AN418" s="9"/>
      <c r="AO418" s="9"/>
      <c r="AP418" s="9"/>
      <c r="AQ418" s="9"/>
      <c r="AR418" s="9"/>
      <c r="AS418" s="9"/>
      <c r="AT418" s="9"/>
      <c r="AU418" s="9"/>
      <c r="AV418" s="9"/>
      <c r="AW418" s="9"/>
    </row>
    <row r="419" spans="1:49" s="17" customFormat="1" ht="31.5" x14ac:dyDescent="0.25">
      <c r="A419" s="18" t="s">
        <v>51</v>
      </c>
      <c r="B419" s="19">
        <v>46051</v>
      </c>
      <c r="C419" s="19">
        <v>46051</v>
      </c>
      <c r="D419" s="18" t="s">
        <v>207</v>
      </c>
      <c r="E419" s="20">
        <v>0.45833333333333331</v>
      </c>
      <c r="F419" s="20">
        <v>0.54166666666666663</v>
      </c>
      <c r="G419" s="20">
        <v>3.4722222222222218E-4</v>
      </c>
      <c r="H419" s="18" t="s">
        <v>102</v>
      </c>
      <c r="I419" s="21">
        <v>0.51840532407407414</v>
      </c>
      <c r="J419" s="18" t="s">
        <v>80</v>
      </c>
      <c r="K419" s="18" t="s">
        <v>151</v>
      </c>
      <c r="L419" s="22">
        <v>1</v>
      </c>
      <c r="M419" s="22">
        <v>70379</v>
      </c>
      <c r="N419" s="18" t="s">
        <v>46</v>
      </c>
      <c r="O419" s="22" t="s">
        <v>54</v>
      </c>
      <c r="P419" s="23">
        <v>0</v>
      </c>
      <c r="Q419" s="22"/>
      <c r="R419" s="23">
        <v>0</v>
      </c>
      <c r="S419" s="24">
        <v>46054</v>
      </c>
      <c r="T419" s="23">
        <v>0</v>
      </c>
      <c r="U419" s="25">
        <v>4</v>
      </c>
      <c r="V419" s="23">
        <v>0</v>
      </c>
      <c r="W419" s="18" t="s">
        <v>47</v>
      </c>
      <c r="X419" s="18" t="s">
        <v>48</v>
      </c>
      <c r="Y419" s="18" t="s">
        <v>36</v>
      </c>
      <c r="Z419" s="18" t="s">
        <v>9</v>
      </c>
      <c r="AA419" s="18" t="s">
        <v>49</v>
      </c>
      <c r="AB419" s="18" t="s">
        <v>55</v>
      </c>
      <c r="AC419" s="18" t="s">
        <v>38</v>
      </c>
      <c r="AD419" s="7" t="s">
        <v>267</v>
      </c>
      <c r="AE419" s="26"/>
      <c r="AF419" s="26"/>
      <c r="AG419" s="26"/>
      <c r="AH419" s="26"/>
      <c r="AI419" s="27"/>
      <c r="AJ419" s="27"/>
      <c r="AK419" s="27"/>
      <c r="AL419" s="27"/>
      <c r="AM419" s="27"/>
      <c r="AN419" s="27"/>
      <c r="AO419" s="27"/>
      <c r="AP419" s="27"/>
      <c r="AQ419" s="27"/>
      <c r="AR419" s="27"/>
      <c r="AS419" s="27"/>
      <c r="AT419" s="27"/>
      <c r="AU419" s="27"/>
      <c r="AV419" s="27"/>
      <c r="AW419" s="27"/>
    </row>
    <row r="420" spans="1:49" s="17" customFormat="1" ht="31.5" x14ac:dyDescent="0.25">
      <c r="A420" s="18" t="s">
        <v>51</v>
      </c>
      <c r="B420" s="19">
        <v>46051</v>
      </c>
      <c r="C420" s="19">
        <v>46051</v>
      </c>
      <c r="D420" s="18" t="s">
        <v>207</v>
      </c>
      <c r="E420" s="20">
        <v>0.47916666666666669</v>
      </c>
      <c r="F420" s="20">
        <v>0.5</v>
      </c>
      <c r="G420" s="20">
        <v>3.4722222222222218E-4</v>
      </c>
      <c r="H420" s="18" t="s">
        <v>102</v>
      </c>
      <c r="I420" s="21">
        <v>0.49720150462962964</v>
      </c>
      <c r="J420" s="18" t="s">
        <v>80</v>
      </c>
      <c r="K420" s="18" t="s">
        <v>150</v>
      </c>
      <c r="L420" s="22">
        <v>1</v>
      </c>
      <c r="M420" s="22">
        <v>70361</v>
      </c>
      <c r="N420" s="18" t="s">
        <v>53</v>
      </c>
      <c r="O420" s="22" t="s">
        <v>54</v>
      </c>
      <c r="P420" s="23">
        <v>50</v>
      </c>
      <c r="Q420" s="22"/>
      <c r="R420" s="23">
        <v>50</v>
      </c>
      <c r="S420" s="24">
        <v>46054</v>
      </c>
      <c r="T420" s="23">
        <v>7.5</v>
      </c>
      <c r="U420" s="25">
        <v>4</v>
      </c>
      <c r="V420" s="23">
        <v>42.5</v>
      </c>
      <c r="W420" s="18" t="s">
        <v>47</v>
      </c>
      <c r="X420" s="18" t="s">
        <v>48</v>
      </c>
      <c r="Y420" s="18" t="s">
        <v>36</v>
      </c>
      <c r="Z420" s="18" t="s">
        <v>9</v>
      </c>
      <c r="AA420" s="18" t="s">
        <v>49</v>
      </c>
      <c r="AB420" s="18" t="s">
        <v>55</v>
      </c>
      <c r="AC420" s="18" t="s">
        <v>38</v>
      </c>
      <c r="AD420" s="7" t="s">
        <v>267</v>
      </c>
      <c r="AE420" s="9"/>
      <c r="AF420" s="9"/>
      <c r="AG420" s="9"/>
      <c r="AH420" s="9"/>
      <c r="AI420" s="9"/>
      <c r="AJ420" s="9"/>
      <c r="AK420" s="9"/>
      <c r="AL420" s="9"/>
      <c r="AM420" s="9"/>
      <c r="AN420" s="9"/>
      <c r="AO420" s="9"/>
      <c r="AP420" s="9"/>
      <c r="AQ420" s="9"/>
      <c r="AR420" s="9"/>
      <c r="AS420" s="9"/>
      <c r="AT420" s="9"/>
      <c r="AU420" s="9"/>
      <c r="AV420" s="9"/>
      <c r="AW420" s="9"/>
    </row>
    <row r="421" spans="1:49" s="17" customFormat="1" ht="31.5" x14ac:dyDescent="0.25">
      <c r="A421" s="18" t="s">
        <v>51</v>
      </c>
      <c r="B421" s="19">
        <v>46052</v>
      </c>
      <c r="C421" s="19">
        <v>46052</v>
      </c>
      <c r="D421" s="18" t="s">
        <v>217</v>
      </c>
      <c r="E421" s="20">
        <v>0.47916666666666669</v>
      </c>
      <c r="F421" s="20">
        <v>0.5</v>
      </c>
      <c r="G421" s="20">
        <v>3.4722222222222218E-4</v>
      </c>
      <c r="H421" s="18" t="s">
        <v>102</v>
      </c>
      <c r="I421" s="21">
        <v>0.4878143518518519</v>
      </c>
      <c r="J421" s="18" t="s">
        <v>80</v>
      </c>
      <c r="K421" s="18" t="s">
        <v>150</v>
      </c>
      <c r="L421" s="22">
        <v>1</v>
      </c>
      <c r="M421" s="22">
        <v>70361</v>
      </c>
      <c r="N421" s="18" t="s">
        <v>53</v>
      </c>
      <c r="O421" s="22" t="s">
        <v>54</v>
      </c>
      <c r="P421" s="23">
        <v>50</v>
      </c>
      <c r="Q421" s="22"/>
      <c r="R421" s="23">
        <v>50</v>
      </c>
      <c r="S421" s="24">
        <v>46054</v>
      </c>
      <c r="T421" s="23">
        <v>7.5</v>
      </c>
      <c r="U421" s="25">
        <v>4</v>
      </c>
      <c r="V421" s="23">
        <v>42.5</v>
      </c>
      <c r="W421" s="18" t="s">
        <v>47</v>
      </c>
      <c r="X421" s="18" t="s">
        <v>48</v>
      </c>
      <c r="Y421" s="18" t="s">
        <v>36</v>
      </c>
      <c r="Z421" s="18" t="s">
        <v>9</v>
      </c>
      <c r="AA421" s="18" t="s">
        <v>49</v>
      </c>
      <c r="AB421" s="18" t="s">
        <v>55</v>
      </c>
      <c r="AC421" s="18" t="s">
        <v>38</v>
      </c>
      <c r="AD421" s="7" t="s">
        <v>267</v>
      </c>
      <c r="AE421" s="9"/>
      <c r="AF421" s="9"/>
      <c r="AG421" s="9"/>
      <c r="AH421" s="9"/>
      <c r="AI421" s="9"/>
      <c r="AJ421" s="9"/>
      <c r="AK421" s="9"/>
      <c r="AL421" s="9"/>
      <c r="AM421" s="9"/>
      <c r="AN421" s="9"/>
      <c r="AO421" s="9"/>
      <c r="AP421" s="9"/>
      <c r="AQ421" s="9"/>
      <c r="AR421" s="9"/>
      <c r="AS421" s="9"/>
      <c r="AT421" s="9"/>
      <c r="AU421" s="9"/>
      <c r="AV421" s="9"/>
      <c r="AW421" s="9"/>
    </row>
    <row r="422" spans="1:49" s="17" customFormat="1" ht="31.5" x14ac:dyDescent="0.25">
      <c r="A422" s="18" t="s">
        <v>51</v>
      </c>
      <c r="B422" s="19">
        <v>46052</v>
      </c>
      <c r="C422" s="19">
        <v>46052</v>
      </c>
      <c r="D422" s="18" t="s">
        <v>217</v>
      </c>
      <c r="E422" s="20">
        <v>0.5</v>
      </c>
      <c r="F422" s="20">
        <v>0.54166666666666663</v>
      </c>
      <c r="G422" s="20">
        <v>3.4722222222222218E-4</v>
      </c>
      <c r="H422" s="18" t="s">
        <v>102</v>
      </c>
      <c r="I422" s="21">
        <v>0.51420196759259262</v>
      </c>
      <c r="J422" s="18" t="s">
        <v>80</v>
      </c>
      <c r="K422" s="18" t="s">
        <v>151</v>
      </c>
      <c r="L422" s="22">
        <v>1</v>
      </c>
      <c r="M422" s="22">
        <v>70362</v>
      </c>
      <c r="N422" s="18" t="s">
        <v>53</v>
      </c>
      <c r="O422" s="22" t="s">
        <v>54</v>
      </c>
      <c r="P422" s="23">
        <v>50</v>
      </c>
      <c r="Q422" s="22"/>
      <c r="R422" s="23">
        <v>50</v>
      </c>
      <c r="S422" s="24">
        <v>46054</v>
      </c>
      <c r="T422" s="23">
        <v>7.5</v>
      </c>
      <c r="U422" s="25">
        <v>4</v>
      </c>
      <c r="V422" s="23">
        <v>42.5</v>
      </c>
      <c r="W422" s="18" t="s">
        <v>47</v>
      </c>
      <c r="X422" s="18" t="s">
        <v>48</v>
      </c>
      <c r="Y422" s="18" t="s">
        <v>36</v>
      </c>
      <c r="Z422" s="18" t="s">
        <v>9</v>
      </c>
      <c r="AA422" s="18" t="s">
        <v>49</v>
      </c>
      <c r="AB422" s="18" t="s">
        <v>55</v>
      </c>
      <c r="AC422" s="18" t="s">
        <v>38</v>
      </c>
      <c r="AD422" s="7" t="s">
        <v>267</v>
      </c>
      <c r="AE422" s="31"/>
      <c r="AF422" s="31"/>
      <c r="AG422" s="31"/>
      <c r="AH422" s="31"/>
      <c r="AI422" s="30"/>
      <c r="AJ422" s="30"/>
      <c r="AK422" s="30"/>
      <c r="AL422" s="30"/>
      <c r="AM422" s="30"/>
      <c r="AN422" s="30"/>
      <c r="AO422" s="30"/>
      <c r="AP422" s="30"/>
      <c r="AQ422" s="30"/>
      <c r="AR422" s="30"/>
      <c r="AS422" s="30"/>
      <c r="AT422" s="30"/>
      <c r="AU422" s="30"/>
      <c r="AV422" s="30"/>
      <c r="AW422" s="30"/>
    </row>
    <row r="423" spans="1:49" s="17" customFormat="1" ht="31.5" x14ac:dyDescent="0.25">
      <c r="A423" s="18" t="s">
        <v>51</v>
      </c>
      <c r="B423" s="19">
        <v>46052</v>
      </c>
      <c r="C423" s="19">
        <v>46052</v>
      </c>
      <c r="D423" s="18" t="s">
        <v>217</v>
      </c>
      <c r="E423" s="20">
        <v>0.875</v>
      </c>
      <c r="F423" s="20">
        <v>0.91666666666666663</v>
      </c>
      <c r="G423" s="20">
        <v>3.4722222222222218E-4</v>
      </c>
      <c r="H423" s="18" t="s">
        <v>52</v>
      </c>
      <c r="I423" s="21">
        <v>0.89997847222222227</v>
      </c>
      <c r="J423" s="18" t="s">
        <v>41</v>
      </c>
      <c r="K423" s="18" t="s">
        <v>147</v>
      </c>
      <c r="L423" s="22">
        <v>1</v>
      </c>
      <c r="M423" s="22">
        <v>70367</v>
      </c>
      <c r="N423" s="18" t="s">
        <v>53</v>
      </c>
      <c r="O423" s="22" t="s">
        <v>54</v>
      </c>
      <c r="P423" s="23">
        <v>60</v>
      </c>
      <c r="Q423" s="22"/>
      <c r="R423" s="23">
        <v>60</v>
      </c>
      <c r="S423" s="24">
        <v>46054</v>
      </c>
      <c r="T423" s="23">
        <v>9</v>
      </c>
      <c r="U423" s="25">
        <v>4</v>
      </c>
      <c r="V423" s="23">
        <v>51</v>
      </c>
      <c r="W423" s="18" t="s">
        <v>47</v>
      </c>
      <c r="X423" s="18" t="s">
        <v>48</v>
      </c>
      <c r="Y423" s="18" t="s">
        <v>36</v>
      </c>
      <c r="Z423" s="18" t="s">
        <v>9</v>
      </c>
      <c r="AA423" s="18" t="s">
        <v>49</v>
      </c>
      <c r="AB423" s="18" t="s">
        <v>55</v>
      </c>
      <c r="AC423" s="18" t="s">
        <v>38</v>
      </c>
      <c r="AD423" s="7" t="s">
        <v>267</v>
      </c>
      <c r="AE423" s="26"/>
      <c r="AF423" s="26"/>
      <c r="AG423" s="26"/>
      <c r="AH423" s="26"/>
      <c r="AI423" s="26"/>
      <c r="AJ423" s="26"/>
      <c r="AK423" s="26"/>
      <c r="AL423" s="26"/>
      <c r="AM423" s="26"/>
      <c r="AN423" s="26"/>
      <c r="AO423" s="26"/>
      <c r="AP423" s="26"/>
      <c r="AQ423" s="26"/>
      <c r="AR423" s="26"/>
      <c r="AS423" s="26"/>
      <c r="AT423" s="26"/>
      <c r="AU423" s="26"/>
      <c r="AV423" s="26"/>
      <c r="AW423" s="26"/>
    </row>
    <row r="424" spans="1:49" s="34" customFormat="1" ht="31.5" x14ac:dyDescent="0.25">
      <c r="A424" s="18" t="s">
        <v>51</v>
      </c>
      <c r="B424" s="19">
        <v>46053</v>
      </c>
      <c r="C424" s="19">
        <v>46053</v>
      </c>
      <c r="D424" s="18" t="s">
        <v>224</v>
      </c>
      <c r="E424" s="20">
        <v>0.25</v>
      </c>
      <c r="F424" s="20">
        <v>0.29166666666666669</v>
      </c>
      <c r="G424" s="20">
        <v>3.4722222222222218E-4</v>
      </c>
      <c r="H424" s="18" t="s">
        <v>52</v>
      </c>
      <c r="I424" s="21">
        <v>0.28957175925925926</v>
      </c>
      <c r="J424" s="18" t="s">
        <v>41</v>
      </c>
      <c r="K424" s="18" t="s">
        <v>40</v>
      </c>
      <c r="L424" s="22">
        <v>1</v>
      </c>
      <c r="M424" s="22">
        <v>70365</v>
      </c>
      <c r="N424" s="18" t="s">
        <v>53</v>
      </c>
      <c r="O424" s="22" t="s">
        <v>54</v>
      </c>
      <c r="P424" s="23">
        <v>40</v>
      </c>
      <c r="Q424" s="22"/>
      <c r="R424" s="23">
        <v>40</v>
      </c>
      <c r="S424" s="24">
        <v>46054</v>
      </c>
      <c r="T424" s="23">
        <v>6</v>
      </c>
      <c r="U424" s="25">
        <v>4</v>
      </c>
      <c r="V424" s="23">
        <v>34</v>
      </c>
      <c r="W424" s="18" t="s">
        <v>47</v>
      </c>
      <c r="X424" s="18" t="s">
        <v>48</v>
      </c>
      <c r="Y424" s="18" t="s">
        <v>36</v>
      </c>
      <c r="Z424" s="18" t="s">
        <v>9</v>
      </c>
      <c r="AA424" s="18" t="s">
        <v>49</v>
      </c>
      <c r="AB424" s="18" t="s">
        <v>55</v>
      </c>
      <c r="AC424" s="18" t="s">
        <v>38</v>
      </c>
      <c r="AD424" s="7" t="s">
        <v>267</v>
      </c>
      <c r="AE424" s="9"/>
      <c r="AF424" s="9"/>
      <c r="AG424" s="9"/>
      <c r="AH424" s="9"/>
      <c r="AI424" s="9"/>
      <c r="AJ424" s="9"/>
      <c r="AK424" s="9"/>
      <c r="AL424" s="9"/>
      <c r="AM424" s="9"/>
      <c r="AN424" s="9"/>
      <c r="AO424" s="9"/>
      <c r="AP424" s="9"/>
      <c r="AQ424" s="9"/>
      <c r="AR424" s="9"/>
      <c r="AS424" s="9"/>
      <c r="AT424" s="9"/>
      <c r="AU424" s="9"/>
      <c r="AV424" s="9"/>
      <c r="AW424" s="9"/>
    </row>
    <row r="425" spans="1:49" s="17" customFormat="1" ht="31.5" x14ac:dyDescent="0.25">
      <c r="A425" s="18" t="s">
        <v>51</v>
      </c>
      <c r="B425" s="19">
        <v>46053</v>
      </c>
      <c r="C425" s="19">
        <v>46053</v>
      </c>
      <c r="D425" s="18" t="s">
        <v>224</v>
      </c>
      <c r="E425" s="20">
        <v>0.45833333333333331</v>
      </c>
      <c r="F425" s="20">
        <v>0.5</v>
      </c>
      <c r="G425" s="20">
        <v>3.4722222222222218E-4</v>
      </c>
      <c r="H425" s="18" t="s">
        <v>102</v>
      </c>
      <c r="I425" s="21">
        <v>0.48870405092592589</v>
      </c>
      <c r="J425" s="18" t="s">
        <v>80</v>
      </c>
      <c r="K425" s="18" t="s">
        <v>228</v>
      </c>
      <c r="L425" s="22">
        <v>1</v>
      </c>
      <c r="M425" s="22">
        <v>70363</v>
      </c>
      <c r="N425" s="18" t="s">
        <v>53</v>
      </c>
      <c r="O425" s="22" t="s">
        <v>54</v>
      </c>
      <c r="P425" s="23">
        <v>50</v>
      </c>
      <c r="Q425" s="22"/>
      <c r="R425" s="23">
        <v>50</v>
      </c>
      <c r="S425" s="24">
        <v>46054</v>
      </c>
      <c r="T425" s="23">
        <v>7.5</v>
      </c>
      <c r="U425" s="25">
        <v>4</v>
      </c>
      <c r="V425" s="23">
        <v>42.5</v>
      </c>
      <c r="W425" s="18" t="s">
        <v>47</v>
      </c>
      <c r="X425" s="18" t="s">
        <v>48</v>
      </c>
      <c r="Y425" s="18" t="s">
        <v>36</v>
      </c>
      <c r="Z425" s="18" t="s">
        <v>9</v>
      </c>
      <c r="AA425" s="18" t="s">
        <v>49</v>
      </c>
      <c r="AB425" s="18" t="s">
        <v>55</v>
      </c>
      <c r="AC425" s="18" t="s">
        <v>38</v>
      </c>
      <c r="AD425" s="7" t="s">
        <v>267</v>
      </c>
      <c r="AE425" s="26"/>
      <c r="AF425" s="26"/>
      <c r="AG425" s="26"/>
      <c r="AH425" s="26"/>
      <c r="AI425" s="27"/>
      <c r="AJ425" s="27"/>
      <c r="AK425" s="27"/>
      <c r="AL425" s="27"/>
      <c r="AM425" s="27"/>
      <c r="AN425" s="27"/>
      <c r="AO425" s="27"/>
      <c r="AP425" s="27"/>
      <c r="AQ425" s="27"/>
      <c r="AR425" s="27"/>
      <c r="AS425" s="27"/>
      <c r="AT425" s="27"/>
      <c r="AU425" s="27"/>
      <c r="AV425" s="27"/>
      <c r="AW425" s="27"/>
    </row>
    <row r="426" spans="1:49" s="17" customFormat="1" ht="31.5" x14ac:dyDescent="0.25">
      <c r="A426" s="18" t="s">
        <v>51</v>
      </c>
      <c r="B426" s="19">
        <v>46053</v>
      </c>
      <c r="C426" s="19">
        <v>46053</v>
      </c>
      <c r="D426" s="18" t="s">
        <v>224</v>
      </c>
      <c r="E426" s="20">
        <v>0.45833333333333331</v>
      </c>
      <c r="F426" s="20">
        <v>0.54166666666666663</v>
      </c>
      <c r="G426" s="20">
        <v>3.4722222222222218E-4</v>
      </c>
      <c r="H426" s="18" t="s">
        <v>102</v>
      </c>
      <c r="I426" s="21">
        <v>0.53125104166666659</v>
      </c>
      <c r="J426" s="18" t="s">
        <v>80</v>
      </c>
      <c r="K426" s="18" t="s">
        <v>151</v>
      </c>
      <c r="L426" s="22">
        <v>1</v>
      </c>
      <c r="M426" s="22">
        <v>70379</v>
      </c>
      <c r="N426" s="18" t="s">
        <v>46</v>
      </c>
      <c r="O426" s="22" t="s">
        <v>54</v>
      </c>
      <c r="P426" s="23">
        <v>0</v>
      </c>
      <c r="Q426" s="22"/>
      <c r="R426" s="23">
        <v>0</v>
      </c>
      <c r="S426" s="24">
        <v>46054</v>
      </c>
      <c r="T426" s="23">
        <v>0</v>
      </c>
      <c r="U426" s="25">
        <v>4</v>
      </c>
      <c r="V426" s="23">
        <v>0</v>
      </c>
      <c r="W426" s="18" t="s">
        <v>47</v>
      </c>
      <c r="X426" s="18" t="s">
        <v>48</v>
      </c>
      <c r="Y426" s="18" t="s">
        <v>36</v>
      </c>
      <c r="Z426" s="18" t="s">
        <v>9</v>
      </c>
      <c r="AA426" s="18" t="s">
        <v>49</v>
      </c>
      <c r="AB426" s="18" t="s">
        <v>55</v>
      </c>
      <c r="AC426" s="18" t="s">
        <v>38</v>
      </c>
      <c r="AD426" s="7" t="s">
        <v>267</v>
      </c>
      <c r="AE426" s="26"/>
      <c r="AF426" s="26"/>
      <c r="AG426" s="26"/>
      <c r="AH426" s="26"/>
      <c r="AI426" s="27"/>
      <c r="AJ426" s="27"/>
      <c r="AK426" s="27"/>
      <c r="AL426" s="27"/>
      <c r="AM426" s="27"/>
      <c r="AN426" s="27"/>
      <c r="AO426" s="27"/>
      <c r="AP426" s="27"/>
      <c r="AQ426" s="27"/>
      <c r="AR426" s="27"/>
      <c r="AS426" s="27"/>
      <c r="AT426" s="27"/>
      <c r="AU426" s="27"/>
      <c r="AV426" s="27"/>
      <c r="AW426" s="27"/>
    </row>
    <row r="427" spans="1:49" s="17" customFormat="1" ht="31.5" x14ac:dyDescent="0.25">
      <c r="A427" s="18" t="s">
        <v>51</v>
      </c>
      <c r="B427" s="19">
        <v>46053</v>
      </c>
      <c r="C427" s="19">
        <v>46053</v>
      </c>
      <c r="D427" s="18" t="s">
        <v>224</v>
      </c>
      <c r="E427" s="20">
        <v>0.5</v>
      </c>
      <c r="F427" s="20">
        <v>0.54166666666666663</v>
      </c>
      <c r="G427" s="20">
        <v>3.4722222222222218E-4</v>
      </c>
      <c r="H427" s="18" t="s">
        <v>102</v>
      </c>
      <c r="I427" s="21">
        <v>0.5133685185185185</v>
      </c>
      <c r="J427" s="18" t="s">
        <v>80</v>
      </c>
      <c r="K427" s="18" t="s">
        <v>151</v>
      </c>
      <c r="L427" s="22">
        <v>1</v>
      </c>
      <c r="M427" s="22">
        <v>70364</v>
      </c>
      <c r="N427" s="18" t="s">
        <v>53</v>
      </c>
      <c r="O427" s="22" t="s">
        <v>54</v>
      </c>
      <c r="P427" s="23">
        <v>50</v>
      </c>
      <c r="Q427" s="22"/>
      <c r="R427" s="23">
        <v>50</v>
      </c>
      <c r="S427" s="24">
        <v>46054</v>
      </c>
      <c r="T427" s="23">
        <v>7.5</v>
      </c>
      <c r="U427" s="25">
        <v>4</v>
      </c>
      <c r="V427" s="23">
        <v>42.5</v>
      </c>
      <c r="W427" s="18" t="s">
        <v>47</v>
      </c>
      <c r="X427" s="18" t="s">
        <v>48</v>
      </c>
      <c r="Y427" s="18" t="s">
        <v>36</v>
      </c>
      <c r="Z427" s="18" t="s">
        <v>9</v>
      </c>
      <c r="AA427" s="18" t="s">
        <v>49</v>
      </c>
      <c r="AB427" s="18" t="s">
        <v>55</v>
      </c>
      <c r="AC427" s="18" t="s">
        <v>38</v>
      </c>
      <c r="AD427" s="7" t="s">
        <v>267</v>
      </c>
      <c r="AE427" s="9"/>
      <c r="AF427" s="9"/>
      <c r="AG427" s="9"/>
      <c r="AH427" s="9"/>
      <c r="AI427" s="9"/>
      <c r="AJ427" s="9"/>
      <c r="AK427" s="9"/>
      <c r="AL427" s="9"/>
      <c r="AM427" s="9"/>
      <c r="AN427" s="9"/>
      <c r="AO427" s="9"/>
      <c r="AP427" s="9"/>
      <c r="AQ427" s="9"/>
      <c r="AR427" s="9"/>
      <c r="AS427" s="9"/>
      <c r="AT427" s="9"/>
      <c r="AU427" s="9"/>
      <c r="AV427" s="9"/>
      <c r="AW427" s="9"/>
    </row>
    <row r="428" spans="1:49" s="17" customFormat="1" ht="31.5" x14ac:dyDescent="0.25">
      <c r="A428" s="18" t="s">
        <v>51</v>
      </c>
      <c r="B428" s="19">
        <v>46053</v>
      </c>
      <c r="C428" s="19">
        <v>46053</v>
      </c>
      <c r="D428" s="18" t="s">
        <v>224</v>
      </c>
      <c r="E428" s="20">
        <v>0.875</v>
      </c>
      <c r="F428" s="20">
        <v>0.99930555555555556</v>
      </c>
      <c r="G428" s="20">
        <v>3.4722222222222218E-4</v>
      </c>
      <c r="H428" s="18" t="s">
        <v>52</v>
      </c>
      <c r="I428" s="21">
        <v>0.91580092592592588</v>
      </c>
      <c r="J428" s="18" t="s">
        <v>41</v>
      </c>
      <c r="K428" s="18" t="s">
        <v>158</v>
      </c>
      <c r="L428" s="22">
        <v>1</v>
      </c>
      <c r="M428" s="22">
        <v>70368</v>
      </c>
      <c r="N428" s="18" t="s">
        <v>53</v>
      </c>
      <c r="O428" s="22" t="s">
        <v>54</v>
      </c>
      <c r="P428" s="23">
        <v>40</v>
      </c>
      <c r="Q428" s="22"/>
      <c r="R428" s="23">
        <v>40</v>
      </c>
      <c r="S428" s="24">
        <v>46054</v>
      </c>
      <c r="T428" s="23">
        <v>6</v>
      </c>
      <c r="U428" s="25">
        <v>4</v>
      </c>
      <c r="V428" s="23">
        <v>34</v>
      </c>
      <c r="W428" s="18" t="s">
        <v>47</v>
      </c>
      <c r="X428" s="18" t="s">
        <v>48</v>
      </c>
      <c r="Y428" s="18" t="s">
        <v>36</v>
      </c>
      <c r="Z428" s="18" t="s">
        <v>9</v>
      </c>
      <c r="AA428" s="18" t="s">
        <v>49</v>
      </c>
      <c r="AB428" s="18" t="s">
        <v>55</v>
      </c>
      <c r="AC428" s="18" t="s">
        <v>38</v>
      </c>
      <c r="AD428" s="7" t="s">
        <v>267</v>
      </c>
      <c r="AE428" s="26"/>
      <c r="AF428" s="26"/>
      <c r="AG428" s="26"/>
      <c r="AH428" s="26"/>
      <c r="AI428" s="27"/>
      <c r="AJ428" s="27"/>
      <c r="AK428" s="27"/>
      <c r="AL428" s="27"/>
      <c r="AM428" s="27"/>
      <c r="AN428" s="27"/>
      <c r="AO428" s="27"/>
      <c r="AP428" s="27"/>
      <c r="AQ428" s="27"/>
      <c r="AR428" s="27"/>
      <c r="AS428" s="27"/>
      <c r="AT428" s="27"/>
      <c r="AU428" s="27"/>
      <c r="AV428" s="27"/>
      <c r="AW428" s="27"/>
    </row>
    <row r="429" spans="1:49" s="17" customFormat="1" ht="31.5" x14ac:dyDescent="0.25">
      <c r="A429" s="18" t="s">
        <v>51</v>
      </c>
      <c r="B429" s="19">
        <v>46053</v>
      </c>
      <c r="C429" s="19">
        <v>46053</v>
      </c>
      <c r="D429" s="18" t="s">
        <v>224</v>
      </c>
      <c r="E429" s="20">
        <v>0.875</v>
      </c>
      <c r="F429" s="20">
        <v>0.99930555555555556</v>
      </c>
      <c r="G429" s="20">
        <v>3.4722222222222218E-4</v>
      </c>
      <c r="H429" s="18" t="s">
        <v>52</v>
      </c>
      <c r="I429" s="21">
        <v>0.98997881944444444</v>
      </c>
      <c r="J429" s="18" t="s">
        <v>41</v>
      </c>
      <c r="K429" s="18" t="s">
        <v>206</v>
      </c>
      <c r="L429" s="22">
        <v>1</v>
      </c>
      <c r="M429" s="22">
        <v>70368</v>
      </c>
      <c r="N429" s="18" t="s">
        <v>53</v>
      </c>
      <c r="O429" s="22" t="s">
        <v>54</v>
      </c>
      <c r="P429" s="23">
        <v>40</v>
      </c>
      <c r="Q429" s="22"/>
      <c r="R429" s="23">
        <v>40</v>
      </c>
      <c r="S429" s="24">
        <v>46054</v>
      </c>
      <c r="T429" s="23">
        <v>6</v>
      </c>
      <c r="U429" s="25">
        <v>4</v>
      </c>
      <c r="V429" s="23">
        <v>34</v>
      </c>
      <c r="W429" s="18" t="s">
        <v>47</v>
      </c>
      <c r="X429" s="18" t="s">
        <v>48</v>
      </c>
      <c r="Y429" s="18" t="s">
        <v>36</v>
      </c>
      <c r="Z429" s="18" t="s">
        <v>9</v>
      </c>
      <c r="AA429" s="18" t="s">
        <v>49</v>
      </c>
      <c r="AB429" s="18" t="s">
        <v>55</v>
      </c>
      <c r="AC429" s="18" t="s">
        <v>38</v>
      </c>
      <c r="AD429" s="7" t="s">
        <v>267</v>
      </c>
      <c r="AE429" s="26"/>
      <c r="AF429" s="26"/>
      <c r="AG429" s="26"/>
      <c r="AH429" s="26"/>
      <c r="AI429" s="26"/>
      <c r="AJ429" s="26"/>
      <c r="AK429" s="26"/>
      <c r="AL429" s="26"/>
      <c r="AM429" s="26"/>
      <c r="AN429" s="26"/>
      <c r="AO429" s="26"/>
      <c r="AP429" s="26"/>
      <c r="AQ429" s="26"/>
      <c r="AR429" s="26"/>
      <c r="AS429" s="26"/>
      <c r="AT429" s="26"/>
      <c r="AU429" s="26"/>
      <c r="AV429" s="26"/>
      <c r="AW429" s="26"/>
    </row>
    <row r="430" spans="1:49" s="34" customFormat="1" ht="31.5" x14ac:dyDescent="0.25">
      <c r="A430" s="18" t="s">
        <v>51</v>
      </c>
      <c r="B430" s="19">
        <v>46054</v>
      </c>
      <c r="C430" s="19">
        <v>46054</v>
      </c>
      <c r="D430" s="18" t="s">
        <v>249</v>
      </c>
      <c r="E430" s="20">
        <v>0.45833333333333331</v>
      </c>
      <c r="F430" s="20">
        <v>0.5</v>
      </c>
      <c r="G430" s="20">
        <v>3.4722222222222218E-4</v>
      </c>
      <c r="H430" s="18" t="s">
        <v>102</v>
      </c>
      <c r="I430" s="21">
        <v>0.46306817129629624</v>
      </c>
      <c r="J430" s="18" t="s">
        <v>80</v>
      </c>
      <c r="K430" s="18" t="s">
        <v>76</v>
      </c>
      <c r="L430" s="22">
        <v>1</v>
      </c>
      <c r="M430" s="22">
        <v>70363</v>
      </c>
      <c r="N430" s="18" t="s">
        <v>53</v>
      </c>
      <c r="O430" s="22" t="s">
        <v>54</v>
      </c>
      <c r="P430" s="23">
        <v>50</v>
      </c>
      <c r="Q430" s="22"/>
      <c r="R430" s="23">
        <v>50</v>
      </c>
      <c r="S430" s="24">
        <v>46054</v>
      </c>
      <c r="T430" s="23">
        <v>7.5</v>
      </c>
      <c r="U430" s="25">
        <v>4</v>
      </c>
      <c r="V430" s="23">
        <v>42.5</v>
      </c>
      <c r="W430" s="18" t="s">
        <v>47</v>
      </c>
      <c r="X430" s="18" t="s">
        <v>48</v>
      </c>
      <c r="Y430" s="18" t="s">
        <v>36</v>
      </c>
      <c r="Z430" s="18" t="s">
        <v>9</v>
      </c>
      <c r="AA430" s="18" t="s">
        <v>49</v>
      </c>
      <c r="AB430" s="18" t="s">
        <v>55</v>
      </c>
      <c r="AC430" s="18" t="s">
        <v>38</v>
      </c>
      <c r="AD430" s="7" t="s">
        <v>267</v>
      </c>
      <c r="AE430" s="44"/>
      <c r="AF430" s="44"/>
      <c r="AG430" s="44"/>
      <c r="AH430" s="44"/>
      <c r="AI430" s="30"/>
      <c r="AJ430" s="30"/>
      <c r="AK430" s="30"/>
      <c r="AL430" s="30"/>
      <c r="AM430" s="30"/>
      <c r="AN430" s="30"/>
      <c r="AO430" s="30"/>
      <c r="AP430" s="30"/>
      <c r="AQ430" s="30"/>
      <c r="AR430" s="30"/>
      <c r="AS430" s="30"/>
      <c r="AT430" s="30"/>
      <c r="AU430" s="30"/>
      <c r="AV430" s="30"/>
      <c r="AW430" s="30"/>
    </row>
    <row r="431" spans="1:49" s="17" customFormat="1" ht="31.5" x14ac:dyDescent="0.25">
      <c r="A431" s="18" t="s">
        <v>51</v>
      </c>
      <c r="B431" s="19">
        <v>46054</v>
      </c>
      <c r="C431" s="19">
        <v>46054</v>
      </c>
      <c r="D431" s="18" t="s">
        <v>249</v>
      </c>
      <c r="E431" s="20">
        <v>0.5</v>
      </c>
      <c r="F431" s="20">
        <v>0.54166666666666663</v>
      </c>
      <c r="G431" s="20">
        <v>3.4722222222222218E-4</v>
      </c>
      <c r="H431" s="18" t="s">
        <v>102</v>
      </c>
      <c r="I431" s="21">
        <v>0.51968819444444436</v>
      </c>
      <c r="J431" s="18" t="s">
        <v>80</v>
      </c>
      <c r="K431" s="18" t="s">
        <v>151</v>
      </c>
      <c r="L431" s="22">
        <v>1</v>
      </c>
      <c r="M431" s="22">
        <v>70364</v>
      </c>
      <c r="N431" s="18" t="s">
        <v>53</v>
      </c>
      <c r="O431" s="22" t="s">
        <v>54</v>
      </c>
      <c r="P431" s="23">
        <v>50</v>
      </c>
      <c r="Q431" s="22"/>
      <c r="R431" s="23">
        <v>50</v>
      </c>
      <c r="S431" s="24">
        <v>46054</v>
      </c>
      <c r="T431" s="23">
        <v>7.5</v>
      </c>
      <c r="U431" s="25">
        <v>4</v>
      </c>
      <c r="V431" s="23">
        <v>42.5</v>
      </c>
      <c r="W431" s="18" t="s">
        <v>47</v>
      </c>
      <c r="X431" s="18" t="s">
        <v>48</v>
      </c>
      <c r="Y431" s="18" t="s">
        <v>36</v>
      </c>
      <c r="Z431" s="18" t="s">
        <v>9</v>
      </c>
      <c r="AA431" s="18" t="s">
        <v>49</v>
      </c>
      <c r="AB431" s="18" t="s">
        <v>55</v>
      </c>
      <c r="AC431" s="18" t="s">
        <v>38</v>
      </c>
      <c r="AD431" s="7" t="s">
        <v>267</v>
      </c>
      <c r="AE431" s="26"/>
      <c r="AF431" s="26"/>
      <c r="AG431" s="26"/>
      <c r="AH431" s="26"/>
      <c r="AI431" s="27"/>
      <c r="AJ431" s="27"/>
      <c r="AK431" s="27"/>
      <c r="AL431" s="27"/>
      <c r="AM431" s="27"/>
      <c r="AN431" s="27"/>
      <c r="AO431" s="27"/>
      <c r="AP431" s="27"/>
      <c r="AQ431" s="27"/>
      <c r="AR431" s="27"/>
      <c r="AS431" s="27"/>
      <c r="AT431" s="27"/>
      <c r="AU431" s="27"/>
      <c r="AV431" s="27"/>
      <c r="AW431" s="27"/>
    </row>
    <row r="432" spans="1:49" s="17" customFormat="1" ht="31.5" x14ac:dyDescent="0.25">
      <c r="A432" s="18" t="s">
        <v>51</v>
      </c>
      <c r="B432" s="19">
        <v>46054</v>
      </c>
      <c r="C432" s="19">
        <v>46054</v>
      </c>
      <c r="D432" s="18" t="s">
        <v>249</v>
      </c>
      <c r="E432" s="20">
        <v>0.875</v>
      </c>
      <c r="F432" s="20">
        <v>0.99930555555555556</v>
      </c>
      <c r="G432" s="20">
        <v>3.4722222222222218E-4</v>
      </c>
      <c r="H432" s="18" t="s">
        <v>52</v>
      </c>
      <c r="I432" s="21">
        <v>0.89731655092592588</v>
      </c>
      <c r="J432" s="18" t="s">
        <v>41</v>
      </c>
      <c r="K432" s="18" t="s">
        <v>193</v>
      </c>
      <c r="L432" s="22">
        <v>1</v>
      </c>
      <c r="M432" s="22">
        <v>70368</v>
      </c>
      <c r="N432" s="18" t="s">
        <v>53</v>
      </c>
      <c r="O432" s="22" t="s">
        <v>54</v>
      </c>
      <c r="P432" s="23">
        <v>40</v>
      </c>
      <c r="Q432" s="22"/>
      <c r="R432" s="23">
        <v>40</v>
      </c>
      <c r="S432" s="24">
        <v>46054</v>
      </c>
      <c r="T432" s="23">
        <v>6</v>
      </c>
      <c r="U432" s="25">
        <v>4</v>
      </c>
      <c r="V432" s="23">
        <v>34</v>
      </c>
      <c r="W432" s="18" t="s">
        <v>47</v>
      </c>
      <c r="X432" s="18" t="s">
        <v>48</v>
      </c>
      <c r="Y432" s="18" t="s">
        <v>36</v>
      </c>
      <c r="Z432" s="18" t="s">
        <v>9</v>
      </c>
      <c r="AA432" s="18" t="s">
        <v>49</v>
      </c>
      <c r="AB432" s="18" t="s">
        <v>55</v>
      </c>
      <c r="AC432" s="18" t="s">
        <v>38</v>
      </c>
      <c r="AD432" s="7" t="s">
        <v>267</v>
      </c>
      <c r="AE432" s="26"/>
      <c r="AF432" s="26"/>
      <c r="AG432" s="26"/>
      <c r="AH432" s="26"/>
      <c r="AI432" s="27"/>
      <c r="AJ432" s="27"/>
      <c r="AK432" s="27"/>
      <c r="AL432" s="27"/>
      <c r="AM432" s="27"/>
      <c r="AN432" s="27"/>
      <c r="AO432" s="27"/>
      <c r="AP432" s="27"/>
      <c r="AQ432" s="27"/>
      <c r="AR432" s="27"/>
      <c r="AS432" s="27"/>
      <c r="AT432" s="27"/>
      <c r="AU432" s="27"/>
      <c r="AV432" s="27"/>
      <c r="AW432" s="27"/>
    </row>
    <row r="433" spans="1:49" s="17" customFormat="1" ht="31.5" x14ac:dyDescent="0.25">
      <c r="A433" s="18" t="s">
        <v>51</v>
      </c>
      <c r="B433" s="19">
        <v>46054</v>
      </c>
      <c r="C433" s="19">
        <v>46054</v>
      </c>
      <c r="D433" s="18" t="s">
        <v>249</v>
      </c>
      <c r="E433" s="20">
        <v>0.875</v>
      </c>
      <c r="F433" s="20">
        <v>0.99930555555555556</v>
      </c>
      <c r="G433" s="20">
        <v>3.4722222222222218E-4</v>
      </c>
      <c r="H433" s="18" t="s">
        <v>52</v>
      </c>
      <c r="I433" s="21">
        <v>0.99740740740740741</v>
      </c>
      <c r="J433" s="18" t="s">
        <v>41</v>
      </c>
      <c r="K433" s="18" t="s">
        <v>215</v>
      </c>
      <c r="L433" s="22">
        <v>1</v>
      </c>
      <c r="M433" s="22">
        <v>70368</v>
      </c>
      <c r="N433" s="18" t="s">
        <v>53</v>
      </c>
      <c r="O433" s="22" t="s">
        <v>54</v>
      </c>
      <c r="P433" s="23">
        <v>40</v>
      </c>
      <c r="Q433" s="22"/>
      <c r="R433" s="23">
        <v>40</v>
      </c>
      <c r="S433" s="24">
        <v>46054</v>
      </c>
      <c r="T433" s="23">
        <v>6</v>
      </c>
      <c r="U433" s="25">
        <v>4</v>
      </c>
      <c r="V433" s="23">
        <v>34</v>
      </c>
      <c r="W433" s="18" t="s">
        <v>47</v>
      </c>
      <c r="X433" s="18" t="s">
        <v>48</v>
      </c>
      <c r="Y433" s="18" t="s">
        <v>36</v>
      </c>
      <c r="Z433" s="18" t="s">
        <v>9</v>
      </c>
      <c r="AA433" s="18" t="s">
        <v>49</v>
      </c>
      <c r="AB433" s="18" t="s">
        <v>55</v>
      </c>
      <c r="AC433" s="18" t="s">
        <v>38</v>
      </c>
      <c r="AD433" s="7" t="s">
        <v>267</v>
      </c>
      <c r="AE433" s="26"/>
      <c r="AF433" s="26"/>
      <c r="AG433" s="26"/>
      <c r="AH433" s="26"/>
      <c r="AI433" s="27"/>
      <c r="AJ433" s="27"/>
      <c r="AK433" s="27"/>
      <c r="AL433" s="27"/>
      <c r="AM433" s="27"/>
      <c r="AN433" s="27"/>
      <c r="AO433" s="27"/>
      <c r="AP433" s="27"/>
      <c r="AQ433" s="27"/>
      <c r="AR433" s="27"/>
      <c r="AS433" s="27"/>
      <c r="AT433" s="27"/>
      <c r="AU433" s="27"/>
      <c r="AV433" s="27"/>
      <c r="AW433" s="27"/>
    </row>
    <row r="434" spans="1:49" s="17" customFormat="1" ht="31.5" x14ac:dyDescent="0.25">
      <c r="A434" s="18" t="s">
        <v>56</v>
      </c>
      <c r="B434" s="19">
        <v>46048</v>
      </c>
      <c r="C434" s="19">
        <v>46048</v>
      </c>
      <c r="D434" s="18" t="s">
        <v>30</v>
      </c>
      <c r="E434" s="20">
        <v>0.25</v>
      </c>
      <c r="F434" s="20">
        <v>0.99930555555555556</v>
      </c>
      <c r="G434" s="28">
        <v>1.7361111111111112E-4</v>
      </c>
      <c r="H434" s="29" t="s">
        <v>57</v>
      </c>
      <c r="I434" s="21">
        <v>0.79724537037037035</v>
      </c>
      <c r="J434" s="18" t="s">
        <v>41</v>
      </c>
      <c r="K434" s="18" t="s">
        <v>131</v>
      </c>
      <c r="L434" s="22">
        <v>1</v>
      </c>
      <c r="M434" s="22">
        <v>69827</v>
      </c>
      <c r="N434" s="18" t="s">
        <v>53</v>
      </c>
      <c r="O434" s="22"/>
      <c r="P434" s="23">
        <v>23</v>
      </c>
      <c r="Q434" s="22"/>
      <c r="R434" s="23">
        <v>23</v>
      </c>
      <c r="S434" s="24">
        <v>46048</v>
      </c>
      <c r="T434" s="23">
        <v>0</v>
      </c>
      <c r="U434" s="25">
        <v>4</v>
      </c>
      <c r="V434" s="23">
        <v>23</v>
      </c>
      <c r="W434" s="18" t="s">
        <v>34</v>
      </c>
      <c r="X434" s="18" t="s">
        <v>48</v>
      </c>
      <c r="Y434" s="18" t="s">
        <v>58</v>
      </c>
      <c r="Z434" s="18" t="s">
        <v>43</v>
      </c>
      <c r="AA434" s="18" t="s">
        <v>49</v>
      </c>
      <c r="AB434" s="18" t="s">
        <v>59</v>
      </c>
      <c r="AC434" s="18" t="s">
        <v>38</v>
      </c>
      <c r="AD434" s="7" t="s">
        <v>267</v>
      </c>
      <c r="AE434" s="26"/>
      <c r="AF434" s="26"/>
      <c r="AG434" s="26"/>
      <c r="AH434" s="26"/>
      <c r="AI434" s="26"/>
      <c r="AJ434" s="26"/>
      <c r="AK434" s="26"/>
      <c r="AL434" s="26"/>
      <c r="AM434" s="26"/>
      <c r="AN434" s="26"/>
      <c r="AO434" s="26"/>
      <c r="AP434" s="26"/>
      <c r="AQ434" s="26"/>
      <c r="AR434" s="26"/>
      <c r="AS434" s="26"/>
      <c r="AT434" s="26"/>
      <c r="AU434" s="26"/>
      <c r="AV434" s="26"/>
      <c r="AW434" s="26"/>
    </row>
    <row r="435" spans="1:49" s="17" customFormat="1" ht="31.5" x14ac:dyDescent="0.25">
      <c r="A435" s="18" t="s">
        <v>56</v>
      </c>
      <c r="B435" s="19">
        <v>46048</v>
      </c>
      <c r="C435" s="19">
        <v>46048</v>
      </c>
      <c r="D435" s="18" t="s">
        <v>30</v>
      </c>
      <c r="E435" s="20">
        <v>0.25</v>
      </c>
      <c r="F435" s="20">
        <v>0.99930555555555556</v>
      </c>
      <c r="G435" s="28">
        <v>1.7361111111111112E-4</v>
      </c>
      <c r="H435" s="29" t="s">
        <v>60</v>
      </c>
      <c r="I435" s="21">
        <v>0.7979398148148148</v>
      </c>
      <c r="J435" s="18" t="s">
        <v>41</v>
      </c>
      <c r="K435" s="18" t="s">
        <v>131</v>
      </c>
      <c r="L435" s="22">
        <v>1</v>
      </c>
      <c r="M435" s="22">
        <v>69827</v>
      </c>
      <c r="N435" s="18" t="s">
        <v>53</v>
      </c>
      <c r="O435" s="22"/>
      <c r="P435" s="23">
        <v>0</v>
      </c>
      <c r="Q435" s="22"/>
      <c r="R435" s="23">
        <v>0</v>
      </c>
      <c r="S435" s="24">
        <v>46048</v>
      </c>
      <c r="T435" s="23">
        <v>0</v>
      </c>
      <c r="U435" s="25">
        <v>4</v>
      </c>
      <c r="V435" s="23">
        <v>0</v>
      </c>
      <c r="W435" s="18" t="s">
        <v>34</v>
      </c>
      <c r="X435" s="18" t="s">
        <v>48</v>
      </c>
      <c r="Y435" s="18" t="s">
        <v>58</v>
      </c>
      <c r="Z435" s="18" t="s">
        <v>43</v>
      </c>
      <c r="AA435" s="18" t="s">
        <v>49</v>
      </c>
      <c r="AB435" s="18" t="s">
        <v>59</v>
      </c>
      <c r="AC435" s="18" t="s">
        <v>38</v>
      </c>
      <c r="AD435" s="7" t="s">
        <v>267</v>
      </c>
      <c r="AE435" s="26"/>
      <c r="AF435" s="26"/>
      <c r="AG435" s="26"/>
      <c r="AH435" s="26"/>
      <c r="AI435" s="26"/>
      <c r="AJ435" s="26"/>
      <c r="AK435" s="26"/>
      <c r="AL435" s="26"/>
      <c r="AM435" s="26"/>
      <c r="AN435" s="26"/>
      <c r="AO435" s="26"/>
      <c r="AP435" s="26"/>
      <c r="AQ435" s="26"/>
      <c r="AR435" s="26"/>
      <c r="AS435" s="26"/>
      <c r="AT435" s="26"/>
      <c r="AU435" s="26"/>
      <c r="AV435" s="26"/>
      <c r="AW435" s="26"/>
    </row>
    <row r="436" spans="1:49" s="17" customFormat="1" ht="31.5" x14ac:dyDescent="0.25">
      <c r="A436" s="18" t="s">
        <v>56</v>
      </c>
      <c r="B436" s="19">
        <v>46048</v>
      </c>
      <c r="C436" s="19">
        <v>46048</v>
      </c>
      <c r="D436" s="18" t="s">
        <v>30</v>
      </c>
      <c r="E436" s="20">
        <v>0.54166666666666663</v>
      </c>
      <c r="F436" s="20">
        <v>0.66666666666666663</v>
      </c>
      <c r="G436" s="28">
        <v>1.7361111111111112E-4</v>
      </c>
      <c r="H436" s="29" t="s">
        <v>110</v>
      </c>
      <c r="I436" s="21">
        <v>0.62932870370370375</v>
      </c>
      <c r="J436" s="18" t="s">
        <v>105</v>
      </c>
      <c r="K436" s="18" t="s">
        <v>154</v>
      </c>
      <c r="L436" s="22">
        <v>1</v>
      </c>
      <c r="M436" s="22">
        <v>69830</v>
      </c>
      <c r="N436" s="18" t="s">
        <v>53</v>
      </c>
      <c r="O436" s="22"/>
      <c r="P436" s="23">
        <v>22</v>
      </c>
      <c r="Q436" s="22"/>
      <c r="R436" s="23">
        <v>22</v>
      </c>
      <c r="S436" s="24">
        <v>46048</v>
      </c>
      <c r="T436" s="23">
        <v>0</v>
      </c>
      <c r="U436" s="25">
        <v>4</v>
      </c>
      <c r="V436" s="23">
        <v>22</v>
      </c>
      <c r="W436" s="18" t="s">
        <v>34</v>
      </c>
      <c r="X436" s="18" t="s">
        <v>48</v>
      </c>
      <c r="Y436" s="18" t="s">
        <v>58</v>
      </c>
      <c r="Z436" s="18" t="s">
        <v>43</v>
      </c>
      <c r="AA436" s="18" t="s">
        <v>49</v>
      </c>
      <c r="AB436" s="18" t="s">
        <v>59</v>
      </c>
      <c r="AC436" s="18" t="s">
        <v>38</v>
      </c>
      <c r="AD436" s="7" t="s">
        <v>267</v>
      </c>
      <c r="AE436" s="31"/>
      <c r="AF436" s="31"/>
      <c r="AG436" s="31"/>
      <c r="AH436" s="31"/>
      <c r="AI436" s="30"/>
      <c r="AJ436" s="30"/>
      <c r="AK436" s="30"/>
      <c r="AL436" s="30"/>
      <c r="AM436" s="30"/>
      <c r="AN436" s="30"/>
      <c r="AO436" s="30"/>
      <c r="AP436" s="30"/>
      <c r="AQ436" s="30"/>
      <c r="AR436" s="30"/>
      <c r="AS436" s="30"/>
      <c r="AT436" s="30"/>
      <c r="AU436" s="30"/>
      <c r="AV436" s="30"/>
      <c r="AW436" s="30"/>
    </row>
    <row r="437" spans="1:49" s="17" customFormat="1" ht="31.5" x14ac:dyDescent="0.25">
      <c r="A437" s="18" t="s">
        <v>56</v>
      </c>
      <c r="B437" s="19">
        <v>46048</v>
      </c>
      <c r="C437" s="19">
        <v>46048</v>
      </c>
      <c r="D437" s="18" t="s">
        <v>30</v>
      </c>
      <c r="E437" s="20">
        <v>0.54166666666666663</v>
      </c>
      <c r="F437" s="20">
        <v>0.66666666666666663</v>
      </c>
      <c r="G437" s="28">
        <v>1.7361111111111112E-4</v>
      </c>
      <c r="H437" s="29" t="s">
        <v>111</v>
      </c>
      <c r="I437" s="21">
        <v>0.63089120370370366</v>
      </c>
      <c r="J437" s="18" t="s">
        <v>105</v>
      </c>
      <c r="K437" s="18" t="s">
        <v>154</v>
      </c>
      <c r="L437" s="22">
        <v>1</v>
      </c>
      <c r="M437" s="22">
        <v>69830</v>
      </c>
      <c r="N437" s="18" t="s">
        <v>53</v>
      </c>
      <c r="O437" s="22"/>
      <c r="P437" s="23">
        <v>0</v>
      </c>
      <c r="Q437" s="22"/>
      <c r="R437" s="23">
        <v>0</v>
      </c>
      <c r="S437" s="24">
        <v>46048</v>
      </c>
      <c r="T437" s="23">
        <v>0</v>
      </c>
      <c r="U437" s="25">
        <v>4</v>
      </c>
      <c r="V437" s="23">
        <v>0</v>
      </c>
      <c r="W437" s="18" t="s">
        <v>34</v>
      </c>
      <c r="X437" s="18" t="s">
        <v>48</v>
      </c>
      <c r="Y437" s="18" t="s">
        <v>58</v>
      </c>
      <c r="Z437" s="18" t="s">
        <v>43</v>
      </c>
      <c r="AA437" s="18" t="s">
        <v>49</v>
      </c>
      <c r="AB437" s="18" t="s">
        <v>59</v>
      </c>
      <c r="AC437" s="18" t="s">
        <v>38</v>
      </c>
      <c r="AD437" s="7" t="s">
        <v>267</v>
      </c>
      <c r="AE437" s="26"/>
      <c r="AF437" s="26"/>
      <c r="AG437" s="26"/>
      <c r="AH437" s="26"/>
      <c r="AI437" s="26"/>
      <c r="AJ437" s="26"/>
      <c r="AK437" s="26"/>
      <c r="AL437" s="26"/>
      <c r="AM437" s="26"/>
      <c r="AN437" s="26"/>
      <c r="AO437" s="26"/>
      <c r="AP437" s="26"/>
      <c r="AQ437" s="26"/>
      <c r="AR437" s="26"/>
      <c r="AS437" s="26"/>
      <c r="AT437" s="26"/>
      <c r="AU437" s="26"/>
      <c r="AV437" s="26"/>
      <c r="AW437" s="26"/>
    </row>
    <row r="438" spans="1:49" s="17" customFormat="1" ht="31.5" x14ac:dyDescent="0.25">
      <c r="A438" s="18" t="s">
        <v>56</v>
      </c>
      <c r="B438" s="19">
        <v>46048</v>
      </c>
      <c r="C438" s="19">
        <v>46048</v>
      </c>
      <c r="D438" s="18" t="s">
        <v>30</v>
      </c>
      <c r="E438" s="20">
        <v>0.66666666666666663</v>
      </c>
      <c r="F438" s="20">
        <v>0.79166666666666663</v>
      </c>
      <c r="G438" s="28">
        <v>1.7361111111111112E-4</v>
      </c>
      <c r="H438" s="29" t="s">
        <v>121</v>
      </c>
      <c r="I438" s="21">
        <v>0.78684027777777776</v>
      </c>
      <c r="J438" s="18" t="s">
        <v>120</v>
      </c>
      <c r="K438" s="18" t="s">
        <v>155</v>
      </c>
      <c r="L438" s="22">
        <v>1</v>
      </c>
      <c r="M438" s="22">
        <v>69828</v>
      </c>
      <c r="N438" s="18" t="s">
        <v>53</v>
      </c>
      <c r="O438" s="22"/>
      <c r="P438" s="23">
        <v>28</v>
      </c>
      <c r="Q438" s="22"/>
      <c r="R438" s="23">
        <v>28</v>
      </c>
      <c r="S438" s="24">
        <v>46048</v>
      </c>
      <c r="T438" s="23">
        <v>0</v>
      </c>
      <c r="U438" s="25">
        <v>4</v>
      </c>
      <c r="V438" s="23">
        <v>28</v>
      </c>
      <c r="W438" s="18" t="s">
        <v>34</v>
      </c>
      <c r="X438" s="18" t="s">
        <v>48</v>
      </c>
      <c r="Y438" s="18" t="s">
        <v>58</v>
      </c>
      <c r="Z438" s="18" t="s">
        <v>43</v>
      </c>
      <c r="AA438" s="18" t="s">
        <v>49</v>
      </c>
      <c r="AB438" s="18" t="s">
        <v>59</v>
      </c>
      <c r="AC438" s="18" t="s">
        <v>38</v>
      </c>
      <c r="AD438" s="7" t="s">
        <v>267</v>
      </c>
      <c r="AE438" s="9"/>
      <c r="AF438" s="9"/>
      <c r="AG438" s="9"/>
      <c r="AH438" s="9"/>
      <c r="AI438" s="9"/>
      <c r="AJ438" s="9"/>
      <c r="AK438" s="9"/>
      <c r="AL438" s="9"/>
      <c r="AM438" s="9"/>
      <c r="AN438" s="9"/>
      <c r="AO438" s="9"/>
      <c r="AP438" s="9"/>
      <c r="AQ438" s="9"/>
      <c r="AR438" s="9"/>
      <c r="AS438" s="9"/>
      <c r="AT438" s="9"/>
      <c r="AU438" s="9"/>
      <c r="AV438" s="9"/>
      <c r="AW438" s="9"/>
    </row>
    <row r="439" spans="1:49" s="17" customFormat="1" ht="31.5" x14ac:dyDescent="0.25">
      <c r="A439" s="18" t="s">
        <v>56</v>
      </c>
      <c r="B439" s="19">
        <v>46048</v>
      </c>
      <c r="C439" s="19">
        <v>46048</v>
      </c>
      <c r="D439" s="18" t="s">
        <v>30</v>
      </c>
      <c r="E439" s="20">
        <v>0.66666666666666663</v>
      </c>
      <c r="F439" s="20">
        <v>0.79166666666666663</v>
      </c>
      <c r="G439" s="28">
        <v>1.7361111111111112E-4</v>
      </c>
      <c r="H439" s="29" t="s">
        <v>122</v>
      </c>
      <c r="I439" s="21">
        <v>0.78840277777777779</v>
      </c>
      <c r="J439" s="18" t="s">
        <v>120</v>
      </c>
      <c r="K439" s="18" t="s">
        <v>155</v>
      </c>
      <c r="L439" s="22">
        <v>1</v>
      </c>
      <c r="M439" s="22">
        <v>69828</v>
      </c>
      <c r="N439" s="18" t="s">
        <v>53</v>
      </c>
      <c r="O439" s="22"/>
      <c r="P439" s="23">
        <v>0</v>
      </c>
      <c r="Q439" s="22"/>
      <c r="R439" s="23">
        <v>0</v>
      </c>
      <c r="S439" s="24">
        <v>46048</v>
      </c>
      <c r="T439" s="23">
        <v>0</v>
      </c>
      <c r="U439" s="25">
        <v>4</v>
      </c>
      <c r="V439" s="23">
        <v>0</v>
      </c>
      <c r="W439" s="18" t="s">
        <v>34</v>
      </c>
      <c r="X439" s="18" t="s">
        <v>48</v>
      </c>
      <c r="Y439" s="18" t="s">
        <v>58</v>
      </c>
      <c r="Z439" s="18" t="s">
        <v>43</v>
      </c>
      <c r="AA439" s="18" t="s">
        <v>49</v>
      </c>
      <c r="AB439" s="18" t="s">
        <v>59</v>
      </c>
      <c r="AC439" s="18" t="s">
        <v>38</v>
      </c>
      <c r="AD439" s="7" t="s">
        <v>267</v>
      </c>
      <c r="AE439" s="9"/>
      <c r="AF439" s="9"/>
      <c r="AG439" s="9"/>
      <c r="AH439" s="9"/>
      <c r="AI439" s="9"/>
      <c r="AJ439" s="9"/>
      <c r="AK439" s="9"/>
      <c r="AL439" s="9"/>
      <c r="AM439" s="9"/>
      <c r="AN439" s="9"/>
      <c r="AO439" s="9"/>
      <c r="AP439" s="9"/>
      <c r="AQ439" s="9"/>
      <c r="AR439" s="9"/>
      <c r="AS439" s="9"/>
      <c r="AT439" s="9"/>
      <c r="AU439" s="9"/>
      <c r="AV439" s="9"/>
      <c r="AW439" s="9"/>
    </row>
    <row r="440" spans="1:49" s="34" customFormat="1" ht="31.5" x14ac:dyDescent="0.25">
      <c r="A440" s="18" t="s">
        <v>56</v>
      </c>
      <c r="B440" s="19">
        <v>46049</v>
      </c>
      <c r="C440" s="19">
        <v>46049</v>
      </c>
      <c r="D440" s="18" t="s">
        <v>166</v>
      </c>
      <c r="E440" s="20">
        <v>0.25</v>
      </c>
      <c r="F440" s="20">
        <v>0.99930555555555556</v>
      </c>
      <c r="G440" s="28">
        <v>1.7361111111111112E-4</v>
      </c>
      <c r="H440" s="29" t="s">
        <v>57</v>
      </c>
      <c r="I440" s="21">
        <v>0.87421620370370368</v>
      </c>
      <c r="J440" s="18" t="s">
        <v>41</v>
      </c>
      <c r="K440" s="18" t="s">
        <v>157</v>
      </c>
      <c r="L440" s="22">
        <v>1</v>
      </c>
      <c r="M440" s="22">
        <v>69827</v>
      </c>
      <c r="N440" s="18" t="s">
        <v>53</v>
      </c>
      <c r="O440" s="22"/>
      <c r="P440" s="23">
        <v>23</v>
      </c>
      <c r="Q440" s="22"/>
      <c r="R440" s="23">
        <v>23</v>
      </c>
      <c r="S440" s="24">
        <v>46049</v>
      </c>
      <c r="T440" s="23">
        <v>0</v>
      </c>
      <c r="U440" s="25">
        <v>4</v>
      </c>
      <c r="V440" s="23">
        <v>23</v>
      </c>
      <c r="W440" s="18" t="s">
        <v>34</v>
      </c>
      <c r="X440" s="18" t="s">
        <v>48</v>
      </c>
      <c r="Y440" s="18" t="s">
        <v>58</v>
      </c>
      <c r="Z440" s="18" t="s">
        <v>43</v>
      </c>
      <c r="AA440" s="18" t="s">
        <v>49</v>
      </c>
      <c r="AB440" s="18" t="s">
        <v>59</v>
      </c>
      <c r="AC440" s="18" t="s">
        <v>38</v>
      </c>
      <c r="AD440" s="7" t="s">
        <v>267</v>
      </c>
      <c r="AE440" s="9"/>
      <c r="AF440" s="9"/>
      <c r="AG440" s="9"/>
      <c r="AH440" s="9"/>
      <c r="AI440" s="9"/>
      <c r="AJ440" s="9"/>
      <c r="AK440" s="9"/>
      <c r="AL440" s="9"/>
      <c r="AM440" s="9"/>
      <c r="AN440" s="9"/>
      <c r="AO440" s="9"/>
      <c r="AP440" s="9"/>
      <c r="AQ440" s="9"/>
      <c r="AR440" s="9"/>
      <c r="AS440" s="9"/>
      <c r="AT440" s="9"/>
      <c r="AU440" s="9"/>
      <c r="AV440" s="9"/>
      <c r="AW440" s="9"/>
    </row>
    <row r="441" spans="1:49" s="17" customFormat="1" ht="31.5" x14ac:dyDescent="0.25">
      <c r="A441" s="18" t="s">
        <v>56</v>
      </c>
      <c r="B441" s="19">
        <v>46049</v>
      </c>
      <c r="C441" s="19">
        <v>46049</v>
      </c>
      <c r="D441" s="18" t="s">
        <v>166</v>
      </c>
      <c r="E441" s="20">
        <v>0.25</v>
      </c>
      <c r="F441" s="20">
        <v>0.99930555555555556</v>
      </c>
      <c r="G441" s="28">
        <v>1.7361111111111112E-4</v>
      </c>
      <c r="H441" s="29" t="s">
        <v>60</v>
      </c>
      <c r="I441" s="21">
        <v>0.87473715277777775</v>
      </c>
      <c r="J441" s="18" t="s">
        <v>41</v>
      </c>
      <c r="K441" s="18" t="s">
        <v>157</v>
      </c>
      <c r="L441" s="22">
        <v>1</v>
      </c>
      <c r="M441" s="22">
        <v>69827</v>
      </c>
      <c r="N441" s="18" t="s">
        <v>53</v>
      </c>
      <c r="O441" s="22"/>
      <c r="P441" s="23">
        <v>0</v>
      </c>
      <c r="Q441" s="22"/>
      <c r="R441" s="23">
        <v>0</v>
      </c>
      <c r="S441" s="24">
        <v>46049</v>
      </c>
      <c r="T441" s="23">
        <v>0</v>
      </c>
      <c r="U441" s="25">
        <v>4</v>
      </c>
      <c r="V441" s="23">
        <v>0</v>
      </c>
      <c r="W441" s="18" t="s">
        <v>34</v>
      </c>
      <c r="X441" s="18" t="s">
        <v>48</v>
      </c>
      <c r="Y441" s="18" t="s">
        <v>58</v>
      </c>
      <c r="Z441" s="18" t="s">
        <v>43</v>
      </c>
      <c r="AA441" s="18" t="s">
        <v>49</v>
      </c>
      <c r="AB441" s="18" t="s">
        <v>59</v>
      </c>
      <c r="AC441" s="18" t="s">
        <v>38</v>
      </c>
      <c r="AD441" s="7" t="s">
        <v>267</v>
      </c>
      <c r="AE441" s="9"/>
      <c r="AF441" s="9"/>
      <c r="AG441" s="9"/>
      <c r="AH441" s="9"/>
      <c r="AI441" s="9"/>
      <c r="AJ441" s="9"/>
      <c r="AK441" s="9"/>
      <c r="AL441" s="9"/>
      <c r="AM441" s="9"/>
      <c r="AN441" s="9"/>
      <c r="AO441" s="9"/>
      <c r="AP441" s="9"/>
      <c r="AQ441" s="9"/>
      <c r="AR441" s="9"/>
      <c r="AS441" s="9"/>
      <c r="AT441" s="9"/>
      <c r="AU441" s="9"/>
      <c r="AV441" s="9"/>
      <c r="AW441" s="9"/>
    </row>
    <row r="442" spans="1:49" s="17" customFormat="1" ht="31.5" x14ac:dyDescent="0.25">
      <c r="A442" s="18" t="s">
        <v>56</v>
      </c>
      <c r="B442" s="19">
        <v>46049</v>
      </c>
      <c r="C442" s="19">
        <v>46049</v>
      </c>
      <c r="D442" s="18" t="s">
        <v>166</v>
      </c>
      <c r="E442" s="20">
        <v>0.45833333333333331</v>
      </c>
      <c r="F442" s="20">
        <v>0.54166666666666663</v>
      </c>
      <c r="G442" s="28">
        <v>1.7361111111111112E-4</v>
      </c>
      <c r="H442" s="29" t="s">
        <v>176</v>
      </c>
      <c r="I442" s="21">
        <v>0.53314814814814815</v>
      </c>
      <c r="J442" s="18" t="s">
        <v>80</v>
      </c>
      <c r="K442" s="18" t="s">
        <v>151</v>
      </c>
      <c r="L442" s="22">
        <v>1</v>
      </c>
      <c r="M442" s="22">
        <v>69831</v>
      </c>
      <c r="N442" s="18" t="s">
        <v>53</v>
      </c>
      <c r="O442" s="22"/>
      <c r="P442" s="23">
        <v>21.75</v>
      </c>
      <c r="Q442" s="22"/>
      <c r="R442" s="23">
        <v>21.75</v>
      </c>
      <c r="S442" s="24">
        <v>46049</v>
      </c>
      <c r="T442" s="23">
        <v>0</v>
      </c>
      <c r="U442" s="25">
        <v>4</v>
      </c>
      <c r="V442" s="23">
        <v>21.75</v>
      </c>
      <c r="W442" s="18" t="s">
        <v>34</v>
      </c>
      <c r="X442" s="18" t="s">
        <v>48</v>
      </c>
      <c r="Y442" s="18" t="s">
        <v>58</v>
      </c>
      <c r="Z442" s="18" t="s">
        <v>43</v>
      </c>
      <c r="AA442" s="18" t="s">
        <v>49</v>
      </c>
      <c r="AB442" s="18" t="s">
        <v>59</v>
      </c>
      <c r="AC442" s="18" t="s">
        <v>38</v>
      </c>
      <c r="AD442" s="7" t="s">
        <v>267</v>
      </c>
      <c r="AE442" s="26"/>
      <c r="AF442" s="26"/>
      <c r="AG442" s="26"/>
      <c r="AH442" s="26"/>
      <c r="AI442" s="27"/>
      <c r="AJ442" s="27"/>
      <c r="AK442" s="27"/>
      <c r="AL442" s="27"/>
      <c r="AM442" s="27"/>
      <c r="AN442" s="27"/>
      <c r="AO442" s="27"/>
      <c r="AP442" s="27"/>
      <c r="AQ442" s="27"/>
      <c r="AR442" s="27"/>
      <c r="AS442" s="27"/>
      <c r="AT442" s="27"/>
      <c r="AU442" s="27"/>
      <c r="AV442" s="27"/>
      <c r="AW442" s="27"/>
    </row>
    <row r="443" spans="1:49" s="17" customFormat="1" ht="31.5" x14ac:dyDescent="0.25">
      <c r="A443" s="18" t="s">
        <v>56</v>
      </c>
      <c r="B443" s="19">
        <v>46049</v>
      </c>
      <c r="C443" s="19">
        <v>46049</v>
      </c>
      <c r="D443" s="18" t="s">
        <v>166</v>
      </c>
      <c r="E443" s="20">
        <v>0.45833333333333331</v>
      </c>
      <c r="F443" s="20">
        <v>0.54166666666666663</v>
      </c>
      <c r="G443" s="28">
        <v>1.7361111111111112E-4</v>
      </c>
      <c r="H443" s="29" t="s">
        <v>177</v>
      </c>
      <c r="I443" s="21">
        <v>0.53521990740740744</v>
      </c>
      <c r="J443" s="18" t="s">
        <v>80</v>
      </c>
      <c r="K443" s="18" t="s">
        <v>151</v>
      </c>
      <c r="L443" s="22">
        <v>1</v>
      </c>
      <c r="M443" s="22">
        <v>69831</v>
      </c>
      <c r="N443" s="18" t="s">
        <v>53</v>
      </c>
      <c r="O443" s="22"/>
      <c r="P443" s="23">
        <v>0</v>
      </c>
      <c r="Q443" s="22"/>
      <c r="R443" s="23">
        <v>0</v>
      </c>
      <c r="S443" s="24">
        <v>46049</v>
      </c>
      <c r="T443" s="23">
        <v>0</v>
      </c>
      <c r="U443" s="25">
        <v>4</v>
      </c>
      <c r="V443" s="23">
        <v>0</v>
      </c>
      <c r="W443" s="18" t="s">
        <v>34</v>
      </c>
      <c r="X443" s="18" t="s">
        <v>48</v>
      </c>
      <c r="Y443" s="18" t="s">
        <v>58</v>
      </c>
      <c r="Z443" s="18" t="s">
        <v>43</v>
      </c>
      <c r="AA443" s="18" t="s">
        <v>49</v>
      </c>
      <c r="AB443" s="18" t="s">
        <v>59</v>
      </c>
      <c r="AC443" s="18" t="s">
        <v>38</v>
      </c>
      <c r="AD443" s="7" t="s">
        <v>267</v>
      </c>
      <c r="AE443" s="26"/>
      <c r="AF443" s="26"/>
      <c r="AG443" s="26"/>
      <c r="AH443" s="26"/>
      <c r="AI443" s="27"/>
      <c r="AJ443" s="27"/>
      <c r="AK443" s="27"/>
      <c r="AL443" s="27"/>
      <c r="AM443" s="27"/>
      <c r="AN443" s="27"/>
      <c r="AO443" s="27"/>
      <c r="AP443" s="27"/>
      <c r="AQ443" s="27"/>
      <c r="AR443" s="27"/>
      <c r="AS443" s="27"/>
      <c r="AT443" s="27"/>
      <c r="AU443" s="27"/>
      <c r="AV443" s="27"/>
      <c r="AW443" s="27"/>
    </row>
    <row r="444" spans="1:49" s="17" customFormat="1" ht="31.5" x14ac:dyDescent="0.25">
      <c r="A444" s="18" t="s">
        <v>56</v>
      </c>
      <c r="B444" s="19">
        <v>46049</v>
      </c>
      <c r="C444" s="19">
        <v>46049</v>
      </c>
      <c r="D444" s="18" t="s">
        <v>166</v>
      </c>
      <c r="E444" s="20">
        <v>0.54166666666666663</v>
      </c>
      <c r="F444" s="20">
        <v>0.66666666666666663</v>
      </c>
      <c r="G444" s="28">
        <v>1.7361111111111112E-4</v>
      </c>
      <c r="H444" s="29" t="s">
        <v>110</v>
      </c>
      <c r="I444" s="21">
        <v>0.65026620370370369</v>
      </c>
      <c r="J444" s="18" t="s">
        <v>105</v>
      </c>
      <c r="K444" s="18" t="s">
        <v>154</v>
      </c>
      <c r="L444" s="22">
        <v>1</v>
      </c>
      <c r="M444" s="22">
        <v>69830</v>
      </c>
      <c r="N444" s="18" t="s">
        <v>53</v>
      </c>
      <c r="O444" s="22"/>
      <c r="P444" s="23">
        <v>22</v>
      </c>
      <c r="Q444" s="22"/>
      <c r="R444" s="23">
        <v>22</v>
      </c>
      <c r="S444" s="24">
        <v>46049</v>
      </c>
      <c r="T444" s="23">
        <v>0</v>
      </c>
      <c r="U444" s="25">
        <v>4</v>
      </c>
      <c r="V444" s="23">
        <v>22</v>
      </c>
      <c r="W444" s="18" t="s">
        <v>34</v>
      </c>
      <c r="X444" s="18" t="s">
        <v>48</v>
      </c>
      <c r="Y444" s="18" t="s">
        <v>58</v>
      </c>
      <c r="Z444" s="18" t="s">
        <v>43</v>
      </c>
      <c r="AA444" s="18" t="s">
        <v>49</v>
      </c>
      <c r="AB444" s="18" t="s">
        <v>59</v>
      </c>
      <c r="AC444" s="18" t="s">
        <v>38</v>
      </c>
      <c r="AD444" s="7" t="s">
        <v>267</v>
      </c>
      <c r="AE444" s="26"/>
      <c r="AF444" s="26"/>
      <c r="AG444" s="26"/>
      <c r="AH444" s="26"/>
      <c r="AI444" s="26"/>
      <c r="AJ444" s="26"/>
      <c r="AK444" s="26"/>
      <c r="AL444" s="26"/>
      <c r="AM444" s="26"/>
      <c r="AN444" s="26"/>
      <c r="AO444" s="26"/>
      <c r="AP444" s="26"/>
      <c r="AQ444" s="26"/>
      <c r="AR444" s="26"/>
      <c r="AS444" s="26"/>
      <c r="AT444" s="26"/>
      <c r="AU444" s="26"/>
      <c r="AV444" s="26"/>
      <c r="AW444" s="26"/>
    </row>
    <row r="445" spans="1:49" s="34" customFormat="1" ht="31.5" x14ac:dyDescent="0.25">
      <c r="A445" s="18" t="s">
        <v>56</v>
      </c>
      <c r="B445" s="19">
        <v>46049</v>
      </c>
      <c r="C445" s="19">
        <v>46049</v>
      </c>
      <c r="D445" s="18" t="s">
        <v>166</v>
      </c>
      <c r="E445" s="20">
        <v>0.54166666666666663</v>
      </c>
      <c r="F445" s="20">
        <v>0.66666666666666663</v>
      </c>
      <c r="G445" s="28">
        <v>1.7361111111111112E-4</v>
      </c>
      <c r="H445" s="29" t="s">
        <v>111</v>
      </c>
      <c r="I445" s="21">
        <v>0.65165509259259258</v>
      </c>
      <c r="J445" s="18" t="s">
        <v>105</v>
      </c>
      <c r="K445" s="18" t="s">
        <v>154</v>
      </c>
      <c r="L445" s="22">
        <v>1</v>
      </c>
      <c r="M445" s="22">
        <v>69830</v>
      </c>
      <c r="N445" s="18" t="s">
        <v>53</v>
      </c>
      <c r="O445" s="22"/>
      <c r="P445" s="23">
        <v>0</v>
      </c>
      <c r="Q445" s="22"/>
      <c r="R445" s="23">
        <v>0</v>
      </c>
      <c r="S445" s="24">
        <v>46049</v>
      </c>
      <c r="T445" s="23">
        <v>0</v>
      </c>
      <c r="U445" s="25">
        <v>4</v>
      </c>
      <c r="V445" s="23">
        <v>0</v>
      </c>
      <c r="W445" s="18" t="s">
        <v>34</v>
      </c>
      <c r="X445" s="18" t="s">
        <v>48</v>
      </c>
      <c r="Y445" s="18" t="s">
        <v>58</v>
      </c>
      <c r="Z445" s="18" t="s">
        <v>43</v>
      </c>
      <c r="AA445" s="18" t="s">
        <v>49</v>
      </c>
      <c r="AB445" s="18" t="s">
        <v>59</v>
      </c>
      <c r="AC445" s="18" t="s">
        <v>38</v>
      </c>
      <c r="AD445" s="7" t="s">
        <v>267</v>
      </c>
      <c r="AE445" s="26"/>
      <c r="AF445" s="26"/>
      <c r="AG445" s="26"/>
      <c r="AH445" s="26"/>
      <c r="AI445" s="26"/>
      <c r="AJ445" s="26"/>
      <c r="AK445" s="26"/>
      <c r="AL445" s="26"/>
      <c r="AM445" s="26"/>
      <c r="AN445" s="26"/>
      <c r="AO445" s="26"/>
      <c r="AP445" s="26"/>
      <c r="AQ445" s="26"/>
      <c r="AR445" s="26"/>
      <c r="AS445" s="26"/>
      <c r="AT445" s="26"/>
      <c r="AU445" s="26"/>
      <c r="AV445" s="26"/>
      <c r="AW445" s="26"/>
    </row>
    <row r="446" spans="1:49" s="17" customFormat="1" ht="31.5" x14ac:dyDescent="0.25">
      <c r="A446" s="18" t="s">
        <v>56</v>
      </c>
      <c r="B446" s="19">
        <v>46049</v>
      </c>
      <c r="C446" s="19">
        <v>46049</v>
      </c>
      <c r="D446" s="18" t="s">
        <v>166</v>
      </c>
      <c r="E446" s="20">
        <v>0.66666666666666663</v>
      </c>
      <c r="F446" s="20">
        <v>0.79166666666666663</v>
      </c>
      <c r="G446" s="28">
        <v>1.7361111111111112E-4</v>
      </c>
      <c r="H446" s="29" t="s">
        <v>121</v>
      </c>
      <c r="I446" s="21">
        <v>0.72329861111111116</v>
      </c>
      <c r="J446" s="18" t="s">
        <v>120</v>
      </c>
      <c r="K446" s="18" t="s">
        <v>189</v>
      </c>
      <c r="L446" s="22">
        <v>1</v>
      </c>
      <c r="M446" s="22">
        <v>69828</v>
      </c>
      <c r="N446" s="18" t="s">
        <v>53</v>
      </c>
      <c r="O446" s="22"/>
      <c r="P446" s="23">
        <v>28</v>
      </c>
      <c r="Q446" s="22"/>
      <c r="R446" s="23">
        <v>28</v>
      </c>
      <c r="S446" s="24">
        <v>46049</v>
      </c>
      <c r="T446" s="23">
        <v>0</v>
      </c>
      <c r="U446" s="25">
        <v>4</v>
      </c>
      <c r="V446" s="23">
        <v>28</v>
      </c>
      <c r="W446" s="18" t="s">
        <v>34</v>
      </c>
      <c r="X446" s="18" t="s">
        <v>48</v>
      </c>
      <c r="Y446" s="18" t="s">
        <v>58</v>
      </c>
      <c r="Z446" s="18" t="s">
        <v>43</v>
      </c>
      <c r="AA446" s="18" t="s">
        <v>49</v>
      </c>
      <c r="AB446" s="18" t="s">
        <v>59</v>
      </c>
      <c r="AC446" s="18" t="s">
        <v>38</v>
      </c>
      <c r="AD446" s="7" t="s">
        <v>267</v>
      </c>
      <c r="AE446" s="26"/>
      <c r="AF446" s="26"/>
      <c r="AG446" s="26"/>
      <c r="AH446" s="26"/>
      <c r="AI446" s="26"/>
      <c r="AJ446" s="26"/>
      <c r="AK446" s="26"/>
      <c r="AL446" s="26"/>
      <c r="AM446" s="26"/>
      <c r="AN446" s="26"/>
      <c r="AO446" s="26"/>
      <c r="AP446" s="26"/>
      <c r="AQ446" s="26"/>
      <c r="AR446" s="26"/>
      <c r="AS446" s="26"/>
      <c r="AT446" s="26"/>
      <c r="AU446" s="26"/>
      <c r="AV446" s="26"/>
      <c r="AW446" s="26"/>
    </row>
    <row r="447" spans="1:49" s="17" customFormat="1" ht="31.5" x14ac:dyDescent="0.25">
      <c r="A447" s="18" t="s">
        <v>56</v>
      </c>
      <c r="B447" s="19">
        <v>46049</v>
      </c>
      <c r="C447" s="19">
        <v>46049</v>
      </c>
      <c r="D447" s="18" t="s">
        <v>166</v>
      </c>
      <c r="E447" s="20">
        <v>0.66666666666666663</v>
      </c>
      <c r="F447" s="20">
        <v>0.79166666666666663</v>
      </c>
      <c r="G447" s="28">
        <v>1.7361111111111112E-4</v>
      </c>
      <c r="H447" s="29" t="s">
        <v>122</v>
      </c>
      <c r="I447" s="21">
        <v>0.72434027777777776</v>
      </c>
      <c r="J447" s="18" t="s">
        <v>120</v>
      </c>
      <c r="K447" s="18" t="s">
        <v>189</v>
      </c>
      <c r="L447" s="22">
        <v>1</v>
      </c>
      <c r="M447" s="22">
        <v>69828</v>
      </c>
      <c r="N447" s="18" t="s">
        <v>53</v>
      </c>
      <c r="O447" s="22"/>
      <c r="P447" s="23">
        <v>0</v>
      </c>
      <c r="Q447" s="22"/>
      <c r="R447" s="23">
        <v>0</v>
      </c>
      <c r="S447" s="24">
        <v>46049</v>
      </c>
      <c r="T447" s="23">
        <v>0</v>
      </c>
      <c r="U447" s="25">
        <v>4</v>
      </c>
      <c r="V447" s="23">
        <v>0</v>
      </c>
      <c r="W447" s="18" t="s">
        <v>34</v>
      </c>
      <c r="X447" s="18" t="s">
        <v>48</v>
      </c>
      <c r="Y447" s="18" t="s">
        <v>58</v>
      </c>
      <c r="Z447" s="18" t="s">
        <v>43</v>
      </c>
      <c r="AA447" s="18" t="s">
        <v>49</v>
      </c>
      <c r="AB447" s="18" t="s">
        <v>59</v>
      </c>
      <c r="AC447" s="18" t="s">
        <v>38</v>
      </c>
      <c r="AD447" s="7" t="s">
        <v>267</v>
      </c>
      <c r="AE447" s="26"/>
      <c r="AF447" s="26"/>
      <c r="AG447" s="26"/>
      <c r="AH447" s="26"/>
      <c r="AI447" s="27"/>
      <c r="AJ447" s="27"/>
      <c r="AK447" s="27"/>
      <c r="AL447" s="27"/>
      <c r="AM447" s="27"/>
      <c r="AN447" s="27"/>
      <c r="AO447" s="27"/>
      <c r="AP447" s="27"/>
      <c r="AQ447" s="27"/>
      <c r="AR447" s="27"/>
      <c r="AS447" s="27"/>
      <c r="AT447" s="27"/>
      <c r="AU447" s="27"/>
      <c r="AV447" s="27"/>
      <c r="AW447" s="27"/>
    </row>
    <row r="448" spans="1:49" s="17" customFormat="1" ht="31.5" x14ac:dyDescent="0.25">
      <c r="A448" s="18" t="s">
        <v>56</v>
      </c>
      <c r="B448" s="19">
        <v>46050</v>
      </c>
      <c r="C448" s="19">
        <v>46050</v>
      </c>
      <c r="D448" s="18" t="s">
        <v>196</v>
      </c>
      <c r="E448" s="20">
        <v>0.25</v>
      </c>
      <c r="F448" s="20">
        <v>0.99930555555555556</v>
      </c>
      <c r="G448" s="28">
        <v>1.7361111111111112E-4</v>
      </c>
      <c r="H448" s="29" t="s">
        <v>57</v>
      </c>
      <c r="I448" s="21">
        <v>0.90589120370370368</v>
      </c>
      <c r="J448" s="18" t="s">
        <v>41</v>
      </c>
      <c r="K448" s="18" t="s">
        <v>147</v>
      </c>
      <c r="L448" s="22">
        <v>1</v>
      </c>
      <c r="M448" s="22">
        <v>69827</v>
      </c>
      <c r="N448" s="18" t="s">
        <v>53</v>
      </c>
      <c r="O448" s="22"/>
      <c r="P448" s="23">
        <v>23</v>
      </c>
      <c r="Q448" s="22"/>
      <c r="R448" s="23">
        <v>23</v>
      </c>
      <c r="S448" s="24">
        <v>46050</v>
      </c>
      <c r="T448" s="23">
        <v>0</v>
      </c>
      <c r="U448" s="25">
        <v>4</v>
      </c>
      <c r="V448" s="23">
        <v>23</v>
      </c>
      <c r="W448" s="18" t="s">
        <v>34</v>
      </c>
      <c r="X448" s="18" t="s">
        <v>48</v>
      </c>
      <c r="Y448" s="18" t="s">
        <v>58</v>
      </c>
      <c r="Z448" s="18" t="s">
        <v>43</v>
      </c>
      <c r="AA448" s="18" t="s">
        <v>49</v>
      </c>
      <c r="AB448" s="18" t="s">
        <v>59</v>
      </c>
      <c r="AC448" s="18" t="s">
        <v>38</v>
      </c>
      <c r="AD448" s="7" t="s">
        <v>267</v>
      </c>
      <c r="AE448" s="26"/>
      <c r="AF448" s="26"/>
      <c r="AG448" s="26"/>
      <c r="AH448" s="26"/>
      <c r="AI448" s="26"/>
      <c r="AJ448" s="26"/>
      <c r="AK448" s="26"/>
      <c r="AL448" s="26"/>
      <c r="AM448" s="26"/>
      <c r="AN448" s="26"/>
      <c r="AO448" s="26"/>
      <c r="AP448" s="26"/>
      <c r="AQ448" s="26"/>
      <c r="AR448" s="26"/>
      <c r="AS448" s="26"/>
      <c r="AT448" s="26"/>
      <c r="AU448" s="26"/>
      <c r="AV448" s="26"/>
      <c r="AW448" s="26"/>
    </row>
    <row r="449" spans="1:49" s="17" customFormat="1" ht="31.5" x14ac:dyDescent="0.25">
      <c r="A449" s="18" t="s">
        <v>56</v>
      </c>
      <c r="B449" s="19">
        <v>46050</v>
      </c>
      <c r="C449" s="19">
        <v>46050</v>
      </c>
      <c r="D449" s="18" t="s">
        <v>196</v>
      </c>
      <c r="E449" s="20">
        <v>0.25</v>
      </c>
      <c r="F449" s="20">
        <v>0.99930555555555556</v>
      </c>
      <c r="G449" s="28">
        <v>1.7361111111111112E-4</v>
      </c>
      <c r="H449" s="29" t="s">
        <v>60</v>
      </c>
      <c r="I449" s="21">
        <v>0.90780104166666664</v>
      </c>
      <c r="J449" s="18" t="s">
        <v>41</v>
      </c>
      <c r="K449" s="18" t="s">
        <v>147</v>
      </c>
      <c r="L449" s="22">
        <v>1</v>
      </c>
      <c r="M449" s="22">
        <v>69827</v>
      </c>
      <c r="N449" s="18" t="s">
        <v>53</v>
      </c>
      <c r="O449" s="22"/>
      <c r="P449" s="23">
        <v>0</v>
      </c>
      <c r="Q449" s="22"/>
      <c r="R449" s="23">
        <v>0</v>
      </c>
      <c r="S449" s="24">
        <v>46050</v>
      </c>
      <c r="T449" s="23">
        <v>0</v>
      </c>
      <c r="U449" s="25">
        <v>4</v>
      </c>
      <c r="V449" s="23">
        <v>0</v>
      </c>
      <c r="W449" s="18" t="s">
        <v>34</v>
      </c>
      <c r="X449" s="18" t="s">
        <v>48</v>
      </c>
      <c r="Y449" s="18" t="s">
        <v>58</v>
      </c>
      <c r="Z449" s="18" t="s">
        <v>43</v>
      </c>
      <c r="AA449" s="18" t="s">
        <v>49</v>
      </c>
      <c r="AB449" s="18" t="s">
        <v>59</v>
      </c>
      <c r="AC449" s="18" t="s">
        <v>38</v>
      </c>
      <c r="AD449" s="7" t="s">
        <v>267</v>
      </c>
      <c r="AE449" s="26"/>
      <c r="AF449" s="26"/>
      <c r="AG449" s="26"/>
      <c r="AH449" s="26"/>
      <c r="AI449" s="26"/>
      <c r="AJ449" s="26"/>
      <c r="AK449" s="26"/>
      <c r="AL449" s="26"/>
      <c r="AM449" s="26"/>
      <c r="AN449" s="26"/>
      <c r="AO449" s="26"/>
      <c r="AP449" s="26"/>
      <c r="AQ449" s="26"/>
      <c r="AR449" s="26"/>
      <c r="AS449" s="26"/>
      <c r="AT449" s="26"/>
      <c r="AU449" s="26"/>
      <c r="AV449" s="26"/>
      <c r="AW449" s="26"/>
    </row>
    <row r="450" spans="1:49" s="34" customFormat="1" ht="31.5" x14ac:dyDescent="0.25">
      <c r="A450" s="18" t="s">
        <v>56</v>
      </c>
      <c r="B450" s="19">
        <v>46050</v>
      </c>
      <c r="C450" s="19">
        <v>46050</v>
      </c>
      <c r="D450" s="18" t="s">
        <v>196</v>
      </c>
      <c r="E450" s="20">
        <v>0.45833333333333331</v>
      </c>
      <c r="F450" s="20">
        <v>0.54166666666666663</v>
      </c>
      <c r="G450" s="28">
        <v>1.7361111111111112E-4</v>
      </c>
      <c r="H450" s="29" t="s">
        <v>176</v>
      </c>
      <c r="I450" s="21">
        <v>0.47045138888888888</v>
      </c>
      <c r="J450" s="18" t="s">
        <v>80</v>
      </c>
      <c r="K450" s="18" t="s">
        <v>175</v>
      </c>
      <c r="L450" s="22">
        <v>1</v>
      </c>
      <c r="M450" s="22">
        <v>69831</v>
      </c>
      <c r="N450" s="18" t="s">
        <v>53</v>
      </c>
      <c r="O450" s="22"/>
      <c r="P450" s="23">
        <v>21.75</v>
      </c>
      <c r="Q450" s="22"/>
      <c r="R450" s="23">
        <v>21.75</v>
      </c>
      <c r="S450" s="24">
        <v>46050</v>
      </c>
      <c r="T450" s="23">
        <v>0</v>
      </c>
      <c r="U450" s="25">
        <v>4</v>
      </c>
      <c r="V450" s="23">
        <v>21.75</v>
      </c>
      <c r="W450" s="18" t="s">
        <v>34</v>
      </c>
      <c r="X450" s="18" t="s">
        <v>48</v>
      </c>
      <c r="Y450" s="18" t="s">
        <v>58</v>
      </c>
      <c r="Z450" s="18" t="s">
        <v>43</v>
      </c>
      <c r="AA450" s="18" t="s">
        <v>49</v>
      </c>
      <c r="AB450" s="18" t="s">
        <v>59</v>
      </c>
      <c r="AC450" s="18" t="s">
        <v>38</v>
      </c>
      <c r="AD450" s="7" t="s">
        <v>267</v>
      </c>
      <c r="AE450" s="26"/>
      <c r="AF450" s="26"/>
      <c r="AG450" s="26"/>
      <c r="AH450" s="26"/>
      <c r="AI450" s="27"/>
      <c r="AJ450" s="27"/>
      <c r="AK450" s="27"/>
      <c r="AL450" s="27"/>
      <c r="AM450" s="27"/>
      <c r="AN450" s="27"/>
      <c r="AO450" s="27"/>
      <c r="AP450" s="27"/>
      <c r="AQ450" s="27"/>
      <c r="AR450" s="27"/>
      <c r="AS450" s="27"/>
      <c r="AT450" s="27"/>
      <c r="AU450" s="27"/>
      <c r="AV450" s="27"/>
      <c r="AW450" s="27"/>
    </row>
    <row r="451" spans="1:49" s="17" customFormat="1" ht="31.5" x14ac:dyDescent="0.25">
      <c r="A451" s="18" t="s">
        <v>56</v>
      </c>
      <c r="B451" s="19">
        <v>46050</v>
      </c>
      <c r="C451" s="19">
        <v>46050</v>
      </c>
      <c r="D451" s="18" t="s">
        <v>196</v>
      </c>
      <c r="E451" s="20">
        <v>0.45833333333333331</v>
      </c>
      <c r="F451" s="20">
        <v>0.54166666666666663</v>
      </c>
      <c r="G451" s="28">
        <v>1.7361111111111112E-4</v>
      </c>
      <c r="H451" s="29" t="s">
        <v>177</v>
      </c>
      <c r="I451" s="21">
        <v>0.47131944444444446</v>
      </c>
      <c r="J451" s="18" t="s">
        <v>80</v>
      </c>
      <c r="K451" s="18" t="s">
        <v>175</v>
      </c>
      <c r="L451" s="22">
        <v>1</v>
      </c>
      <c r="M451" s="22">
        <v>69831</v>
      </c>
      <c r="N451" s="18" t="s">
        <v>53</v>
      </c>
      <c r="O451" s="22"/>
      <c r="P451" s="23">
        <v>0</v>
      </c>
      <c r="Q451" s="22"/>
      <c r="R451" s="23">
        <v>0</v>
      </c>
      <c r="S451" s="24">
        <v>46050</v>
      </c>
      <c r="T451" s="23">
        <v>0</v>
      </c>
      <c r="U451" s="25">
        <v>4</v>
      </c>
      <c r="V451" s="23">
        <v>0</v>
      </c>
      <c r="W451" s="18" t="s">
        <v>34</v>
      </c>
      <c r="X451" s="18" t="s">
        <v>48</v>
      </c>
      <c r="Y451" s="18" t="s">
        <v>58</v>
      </c>
      <c r="Z451" s="18" t="s">
        <v>43</v>
      </c>
      <c r="AA451" s="18" t="s">
        <v>49</v>
      </c>
      <c r="AB451" s="18" t="s">
        <v>59</v>
      </c>
      <c r="AC451" s="18" t="s">
        <v>38</v>
      </c>
      <c r="AD451" s="7" t="s">
        <v>267</v>
      </c>
      <c r="AE451" s="9"/>
      <c r="AF451" s="9"/>
      <c r="AG451" s="9"/>
      <c r="AH451" s="9"/>
      <c r="AI451" s="9"/>
      <c r="AJ451" s="9"/>
      <c r="AK451" s="9"/>
      <c r="AL451" s="9"/>
      <c r="AM451" s="9"/>
      <c r="AN451" s="9"/>
      <c r="AO451" s="9"/>
      <c r="AP451" s="9"/>
      <c r="AQ451" s="9"/>
      <c r="AR451" s="9"/>
      <c r="AS451" s="9"/>
      <c r="AT451" s="9"/>
      <c r="AU451" s="9"/>
      <c r="AV451" s="9"/>
      <c r="AW451" s="9"/>
    </row>
    <row r="452" spans="1:49" s="17" customFormat="1" ht="31.5" x14ac:dyDescent="0.25">
      <c r="A452" s="18" t="s">
        <v>56</v>
      </c>
      <c r="B452" s="19">
        <v>46050</v>
      </c>
      <c r="C452" s="19">
        <v>46050</v>
      </c>
      <c r="D452" s="18" t="s">
        <v>196</v>
      </c>
      <c r="E452" s="20">
        <v>0.66666666666666663</v>
      </c>
      <c r="F452" s="20">
        <v>0.79166666666666663</v>
      </c>
      <c r="G452" s="28">
        <v>1.7361111111111112E-4</v>
      </c>
      <c r="H452" s="29" t="s">
        <v>121</v>
      </c>
      <c r="I452" s="21">
        <v>0.74869548611111114</v>
      </c>
      <c r="J452" s="18" t="s">
        <v>120</v>
      </c>
      <c r="K452" s="18" t="s">
        <v>200</v>
      </c>
      <c r="L452" s="22">
        <v>1</v>
      </c>
      <c r="M452" s="22">
        <v>69828</v>
      </c>
      <c r="N452" s="18" t="s">
        <v>53</v>
      </c>
      <c r="O452" s="22"/>
      <c r="P452" s="23">
        <v>28</v>
      </c>
      <c r="Q452" s="22"/>
      <c r="R452" s="23">
        <v>28</v>
      </c>
      <c r="S452" s="24">
        <v>46050</v>
      </c>
      <c r="T452" s="23">
        <v>0</v>
      </c>
      <c r="U452" s="25">
        <v>4</v>
      </c>
      <c r="V452" s="23">
        <v>28</v>
      </c>
      <c r="W452" s="18" t="s">
        <v>34</v>
      </c>
      <c r="X452" s="18" t="s">
        <v>48</v>
      </c>
      <c r="Y452" s="18" t="s">
        <v>58</v>
      </c>
      <c r="Z452" s="18" t="s">
        <v>43</v>
      </c>
      <c r="AA452" s="18" t="s">
        <v>49</v>
      </c>
      <c r="AB452" s="18" t="s">
        <v>59</v>
      </c>
      <c r="AC452" s="18" t="s">
        <v>38</v>
      </c>
      <c r="AD452" s="7" t="s">
        <v>267</v>
      </c>
      <c r="AE452" s="26"/>
      <c r="AF452" s="26"/>
      <c r="AG452" s="26"/>
      <c r="AH452" s="26"/>
      <c r="AI452" s="30"/>
      <c r="AJ452" s="30"/>
      <c r="AK452" s="30"/>
      <c r="AL452" s="30"/>
      <c r="AM452" s="30"/>
      <c r="AN452" s="30"/>
      <c r="AO452" s="30"/>
      <c r="AP452" s="30"/>
      <c r="AQ452" s="30"/>
      <c r="AR452" s="30"/>
      <c r="AS452" s="30"/>
      <c r="AT452" s="30"/>
      <c r="AU452" s="30"/>
      <c r="AV452" s="30"/>
      <c r="AW452" s="30"/>
    </row>
    <row r="453" spans="1:49" s="17" customFormat="1" ht="31.5" x14ac:dyDescent="0.25">
      <c r="A453" s="18" t="s">
        <v>56</v>
      </c>
      <c r="B453" s="19">
        <v>46050</v>
      </c>
      <c r="C453" s="19">
        <v>46050</v>
      </c>
      <c r="D453" s="18" t="s">
        <v>196</v>
      </c>
      <c r="E453" s="20">
        <v>0.66666666666666663</v>
      </c>
      <c r="F453" s="20">
        <v>0.79166666666666663</v>
      </c>
      <c r="G453" s="28">
        <v>1.7361111111111112E-4</v>
      </c>
      <c r="H453" s="29" t="s">
        <v>122</v>
      </c>
      <c r="I453" s="21">
        <v>0.74973703703703698</v>
      </c>
      <c r="J453" s="18" t="s">
        <v>120</v>
      </c>
      <c r="K453" s="18" t="s">
        <v>200</v>
      </c>
      <c r="L453" s="22">
        <v>1</v>
      </c>
      <c r="M453" s="22">
        <v>69828</v>
      </c>
      <c r="N453" s="18" t="s">
        <v>53</v>
      </c>
      <c r="O453" s="22"/>
      <c r="P453" s="23">
        <v>0</v>
      </c>
      <c r="Q453" s="22"/>
      <c r="R453" s="23">
        <v>0</v>
      </c>
      <c r="S453" s="24">
        <v>46050</v>
      </c>
      <c r="T453" s="23">
        <v>0</v>
      </c>
      <c r="U453" s="25">
        <v>4</v>
      </c>
      <c r="V453" s="23">
        <v>0</v>
      </c>
      <c r="W453" s="18" t="s">
        <v>34</v>
      </c>
      <c r="X453" s="18" t="s">
        <v>48</v>
      </c>
      <c r="Y453" s="18" t="s">
        <v>58</v>
      </c>
      <c r="Z453" s="18" t="s">
        <v>43</v>
      </c>
      <c r="AA453" s="18" t="s">
        <v>49</v>
      </c>
      <c r="AB453" s="18" t="s">
        <v>59</v>
      </c>
      <c r="AC453" s="18" t="s">
        <v>38</v>
      </c>
      <c r="AD453" s="7" t="s">
        <v>267</v>
      </c>
      <c r="AE453" s="26"/>
      <c r="AF453" s="26"/>
      <c r="AG453" s="26"/>
      <c r="AH453" s="26"/>
      <c r="AI453" s="27"/>
      <c r="AJ453" s="27"/>
      <c r="AK453" s="27"/>
      <c r="AL453" s="27"/>
      <c r="AM453" s="27"/>
      <c r="AN453" s="27"/>
      <c r="AO453" s="27"/>
      <c r="AP453" s="27"/>
      <c r="AQ453" s="27"/>
      <c r="AR453" s="27"/>
      <c r="AS453" s="27"/>
      <c r="AT453" s="27"/>
      <c r="AU453" s="27"/>
      <c r="AV453" s="27"/>
      <c r="AW453" s="27"/>
    </row>
    <row r="454" spans="1:49" s="17" customFormat="1" ht="31.5" x14ac:dyDescent="0.25">
      <c r="A454" s="18" t="s">
        <v>56</v>
      </c>
      <c r="B454" s="19">
        <v>46051</v>
      </c>
      <c r="C454" s="19">
        <v>46051</v>
      </c>
      <c r="D454" s="18" t="s">
        <v>207</v>
      </c>
      <c r="E454" s="20">
        <v>0.45833333333333331</v>
      </c>
      <c r="F454" s="20">
        <v>0.54166666666666663</v>
      </c>
      <c r="G454" s="28">
        <v>1.7361111111111112E-4</v>
      </c>
      <c r="H454" s="29" t="s">
        <v>176</v>
      </c>
      <c r="I454" s="21">
        <v>0.47208333333333335</v>
      </c>
      <c r="J454" s="18" t="s">
        <v>80</v>
      </c>
      <c r="K454" s="18" t="s">
        <v>175</v>
      </c>
      <c r="L454" s="22">
        <v>1</v>
      </c>
      <c r="M454" s="22">
        <v>69831</v>
      </c>
      <c r="N454" s="18" t="s">
        <v>53</v>
      </c>
      <c r="O454" s="22"/>
      <c r="P454" s="23">
        <v>21.75</v>
      </c>
      <c r="Q454" s="22"/>
      <c r="R454" s="23">
        <v>21.75</v>
      </c>
      <c r="S454" s="24">
        <v>46051</v>
      </c>
      <c r="T454" s="23">
        <v>0</v>
      </c>
      <c r="U454" s="25">
        <v>4</v>
      </c>
      <c r="V454" s="23">
        <v>21.75</v>
      </c>
      <c r="W454" s="18" t="s">
        <v>34</v>
      </c>
      <c r="X454" s="18" t="s">
        <v>48</v>
      </c>
      <c r="Y454" s="18" t="s">
        <v>58</v>
      </c>
      <c r="Z454" s="18" t="s">
        <v>43</v>
      </c>
      <c r="AA454" s="18" t="s">
        <v>49</v>
      </c>
      <c r="AB454" s="18" t="s">
        <v>59</v>
      </c>
      <c r="AC454" s="18" t="s">
        <v>38</v>
      </c>
      <c r="AD454" s="7" t="s">
        <v>267</v>
      </c>
      <c r="AE454" s="26"/>
      <c r="AF454" s="26"/>
      <c r="AG454" s="26"/>
      <c r="AH454" s="26"/>
      <c r="AI454" s="26"/>
      <c r="AJ454" s="26"/>
      <c r="AK454" s="26"/>
      <c r="AL454" s="26"/>
      <c r="AM454" s="26"/>
      <c r="AN454" s="26"/>
      <c r="AO454" s="26"/>
      <c r="AP454" s="26"/>
      <c r="AQ454" s="26"/>
      <c r="AR454" s="26"/>
      <c r="AS454" s="26"/>
      <c r="AT454" s="26"/>
      <c r="AU454" s="26"/>
      <c r="AV454" s="26"/>
      <c r="AW454" s="26"/>
    </row>
    <row r="455" spans="1:49" s="17" customFormat="1" ht="31.5" x14ac:dyDescent="0.25">
      <c r="A455" s="18" t="s">
        <v>56</v>
      </c>
      <c r="B455" s="19">
        <v>46051</v>
      </c>
      <c r="C455" s="19">
        <v>46051</v>
      </c>
      <c r="D455" s="18" t="s">
        <v>207</v>
      </c>
      <c r="E455" s="20">
        <v>0.45833333333333331</v>
      </c>
      <c r="F455" s="20">
        <v>0.54166666666666663</v>
      </c>
      <c r="G455" s="28">
        <v>1.7361111111111112E-4</v>
      </c>
      <c r="H455" s="29" t="s">
        <v>177</v>
      </c>
      <c r="I455" s="21">
        <v>0.4732986111111111</v>
      </c>
      <c r="J455" s="18" t="s">
        <v>80</v>
      </c>
      <c r="K455" s="18" t="s">
        <v>175</v>
      </c>
      <c r="L455" s="22">
        <v>1</v>
      </c>
      <c r="M455" s="22">
        <v>69831</v>
      </c>
      <c r="N455" s="18" t="s">
        <v>53</v>
      </c>
      <c r="O455" s="22"/>
      <c r="P455" s="23">
        <v>0</v>
      </c>
      <c r="Q455" s="22"/>
      <c r="R455" s="23">
        <v>0</v>
      </c>
      <c r="S455" s="24">
        <v>46051</v>
      </c>
      <c r="T455" s="23">
        <v>0</v>
      </c>
      <c r="U455" s="25">
        <v>4</v>
      </c>
      <c r="V455" s="23">
        <v>0</v>
      </c>
      <c r="W455" s="18" t="s">
        <v>34</v>
      </c>
      <c r="X455" s="18" t="s">
        <v>48</v>
      </c>
      <c r="Y455" s="18" t="s">
        <v>58</v>
      </c>
      <c r="Z455" s="18" t="s">
        <v>43</v>
      </c>
      <c r="AA455" s="18" t="s">
        <v>49</v>
      </c>
      <c r="AB455" s="18" t="s">
        <v>59</v>
      </c>
      <c r="AC455" s="18" t="s">
        <v>38</v>
      </c>
      <c r="AD455" s="7" t="s">
        <v>267</v>
      </c>
      <c r="AE455" s="26"/>
      <c r="AF455" s="26"/>
      <c r="AG455" s="26"/>
      <c r="AH455" s="26"/>
      <c r="AI455" s="26"/>
      <c r="AJ455" s="26"/>
      <c r="AK455" s="26"/>
      <c r="AL455" s="26"/>
      <c r="AM455" s="26"/>
      <c r="AN455" s="26"/>
      <c r="AO455" s="26"/>
      <c r="AP455" s="26"/>
      <c r="AQ455" s="26"/>
      <c r="AR455" s="26"/>
      <c r="AS455" s="26"/>
      <c r="AT455" s="26"/>
      <c r="AU455" s="26"/>
      <c r="AV455" s="26"/>
      <c r="AW455" s="26"/>
    </row>
    <row r="456" spans="1:49" s="17" customFormat="1" ht="31.5" x14ac:dyDescent="0.25">
      <c r="A456" s="18" t="s">
        <v>56</v>
      </c>
      <c r="B456" s="19">
        <v>46051</v>
      </c>
      <c r="C456" s="19">
        <v>46051</v>
      </c>
      <c r="D456" s="18" t="s">
        <v>207</v>
      </c>
      <c r="E456" s="20">
        <v>0.54166666666666663</v>
      </c>
      <c r="F456" s="20">
        <v>0.66666666666666663</v>
      </c>
      <c r="G456" s="28">
        <v>1.7361111111111112E-4</v>
      </c>
      <c r="H456" s="29" t="s">
        <v>110</v>
      </c>
      <c r="I456" s="21">
        <v>0.66438784722222222</v>
      </c>
      <c r="J456" s="18" t="s">
        <v>105</v>
      </c>
      <c r="K456" s="18" t="s">
        <v>154</v>
      </c>
      <c r="L456" s="22">
        <v>1</v>
      </c>
      <c r="M456" s="22">
        <v>69830</v>
      </c>
      <c r="N456" s="18" t="s">
        <v>53</v>
      </c>
      <c r="O456" s="22"/>
      <c r="P456" s="23">
        <v>22</v>
      </c>
      <c r="Q456" s="22"/>
      <c r="R456" s="23">
        <v>22</v>
      </c>
      <c r="S456" s="24">
        <v>46051</v>
      </c>
      <c r="T456" s="23">
        <v>0</v>
      </c>
      <c r="U456" s="25">
        <v>4</v>
      </c>
      <c r="V456" s="23">
        <v>22</v>
      </c>
      <c r="W456" s="18" t="s">
        <v>34</v>
      </c>
      <c r="X456" s="18" t="s">
        <v>48</v>
      </c>
      <c r="Y456" s="18" t="s">
        <v>58</v>
      </c>
      <c r="Z456" s="18" t="s">
        <v>43</v>
      </c>
      <c r="AA456" s="18" t="s">
        <v>49</v>
      </c>
      <c r="AB456" s="18" t="s">
        <v>59</v>
      </c>
      <c r="AC456" s="18" t="s">
        <v>38</v>
      </c>
      <c r="AD456" s="7" t="s">
        <v>267</v>
      </c>
      <c r="AE456" s="26"/>
      <c r="AF456" s="26"/>
      <c r="AG456" s="26"/>
      <c r="AH456" s="26"/>
      <c r="AI456" s="27"/>
      <c r="AJ456" s="27"/>
      <c r="AK456" s="27"/>
      <c r="AL456" s="27"/>
      <c r="AM456" s="27"/>
      <c r="AN456" s="27"/>
      <c r="AO456" s="27"/>
      <c r="AP456" s="27"/>
      <c r="AQ456" s="27"/>
      <c r="AR456" s="27"/>
      <c r="AS456" s="27"/>
      <c r="AT456" s="27"/>
      <c r="AU456" s="27"/>
      <c r="AV456" s="27"/>
      <c r="AW456" s="27"/>
    </row>
    <row r="457" spans="1:49" s="17" customFormat="1" ht="31.5" x14ac:dyDescent="0.25">
      <c r="A457" s="18" t="s">
        <v>56</v>
      </c>
      <c r="B457" s="19">
        <v>46051</v>
      </c>
      <c r="C457" s="19">
        <v>46051</v>
      </c>
      <c r="D457" s="18" t="s">
        <v>207</v>
      </c>
      <c r="E457" s="20">
        <v>0.54166666666666663</v>
      </c>
      <c r="F457" s="20">
        <v>0.66666666666666663</v>
      </c>
      <c r="G457" s="28">
        <v>1.7361111111111112E-4</v>
      </c>
      <c r="H457" s="29" t="s">
        <v>111</v>
      </c>
      <c r="I457" s="21">
        <v>0.66629780092592594</v>
      </c>
      <c r="J457" s="18" t="s">
        <v>105</v>
      </c>
      <c r="K457" s="18" t="s">
        <v>154</v>
      </c>
      <c r="L457" s="22">
        <v>1</v>
      </c>
      <c r="M457" s="22">
        <v>69830</v>
      </c>
      <c r="N457" s="18" t="s">
        <v>53</v>
      </c>
      <c r="O457" s="22"/>
      <c r="P457" s="23">
        <v>0</v>
      </c>
      <c r="Q457" s="22"/>
      <c r="R457" s="23">
        <v>0</v>
      </c>
      <c r="S457" s="24">
        <v>46051</v>
      </c>
      <c r="T457" s="23">
        <v>0</v>
      </c>
      <c r="U457" s="25">
        <v>4</v>
      </c>
      <c r="V457" s="23">
        <v>0</v>
      </c>
      <c r="W457" s="18" t="s">
        <v>34</v>
      </c>
      <c r="X457" s="18" t="s">
        <v>48</v>
      </c>
      <c r="Y457" s="18" t="s">
        <v>58</v>
      </c>
      <c r="Z457" s="18" t="s">
        <v>43</v>
      </c>
      <c r="AA457" s="18" t="s">
        <v>49</v>
      </c>
      <c r="AB457" s="18" t="s">
        <v>59</v>
      </c>
      <c r="AC457" s="18" t="s">
        <v>38</v>
      </c>
      <c r="AD457" s="7" t="s">
        <v>267</v>
      </c>
      <c r="AE457" s="26"/>
      <c r="AF457" s="26"/>
      <c r="AG457" s="26"/>
      <c r="AH457" s="26"/>
      <c r="AI457" s="27"/>
      <c r="AJ457" s="27"/>
      <c r="AK457" s="27"/>
      <c r="AL457" s="27"/>
      <c r="AM457" s="27"/>
      <c r="AN457" s="27"/>
      <c r="AO457" s="27"/>
      <c r="AP457" s="27"/>
      <c r="AQ457" s="27"/>
      <c r="AR457" s="27"/>
      <c r="AS457" s="27"/>
      <c r="AT457" s="27"/>
      <c r="AU457" s="27"/>
      <c r="AV457" s="27"/>
      <c r="AW457" s="27"/>
    </row>
    <row r="458" spans="1:49" s="17" customFormat="1" ht="31.5" x14ac:dyDescent="0.25">
      <c r="A458" s="18" t="s">
        <v>56</v>
      </c>
      <c r="B458" s="19">
        <v>46051</v>
      </c>
      <c r="C458" s="19">
        <v>46051</v>
      </c>
      <c r="D458" s="18" t="s">
        <v>207</v>
      </c>
      <c r="E458" s="20">
        <v>0.66666666666666663</v>
      </c>
      <c r="F458" s="20">
        <v>0.79166666666666663</v>
      </c>
      <c r="G458" s="28">
        <v>1.7361111111111112E-4</v>
      </c>
      <c r="H458" s="29" t="s">
        <v>121</v>
      </c>
      <c r="I458" s="21">
        <v>0.78058101851851847</v>
      </c>
      <c r="J458" s="18" t="s">
        <v>120</v>
      </c>
      <c r="K458" s="18" t="s">
        <v>155</v>
      </c>
      <c r="L458" s="22">
        <v>1</v>
      </c>
      <c r="M458" s="22">
        <v>69828</v>
      </c>
      <c r="N458" s="18" t="s">
        <v>53</v>
      </c>
      <c r="O458" s="22"/>
      <c r="P458" s="23">
        <v>28</v>
      </c>
      <c r="Q458" s="22"/>
      <c r="R458" s="23">
        <v>28</v>
      </c>
      <c r="S458" s="24">
        <v>46051</v>
      </c>
      <c r="T458" s="23">
        <v>0</v>
      </c>
      <c r="U458" s="25">
        <v>4</v>
      </c>
      <c r="V458" s="23">
        <v>28</v>
      </c>
      <c r="W458" s="18" t="s">
        <v>34</v>
      </c>
      <c r="X458" s="18" t="s">
        <v>48</v>
      </c>
      <c r="Y458" s="18" t="s">
        <v>58</v>
      </c>
      <c r="Z458" s="18" t="s">
        <v>43</v>
      </c>
      <c r="AA458" s="18" t="s">
        <v>49</v>
      </c>
      <c r="AB458" s="18" t="s">
        <v>59</v>
      </c>
      <c r="AC458" s="18" t="s">
        <v>38</v>
      </c>
      <c r="AD458" s="7" t="s">
        <v>267</v>
      </c>
      <c r="AE458" s="31"/>
      <c r="AF458" s="31"/>
      <c r="AG458" s="31"/>
      <c r="AH458" s="31"/>
      <c r="AI458" s="30"/>
      <c r="AJ458" s="30"/>
      <c r="AK458" s="30"/>
      <c r="AL458" s="30"/>
      <c r="AM458" s="30"/>
      <c r="AN458" s="30"/>
      <c r="AO458" s="30"/>
      <c r="AP458" s="30"/>
      <c r="AQ458" s="30"/>
      <c r="AR458" s="30"/>
      <c r="AS458" s="30"/>
      <c r="AT458" s="30"/>
      <c r="AU458" s="30"/>
      <c r="AV458" s="30"/>
      <c r="AW458" s="30"/>
    </row>
    <row r="459" spans="1:49" s="34" customFormat="1" ht="31.5" x14ac:dyDescent="0.25">
      <c r="A459" s="18" t="s">
        <v>56</v>
      </c>
      <c r="B459" s="19">
        <v>46051</v>
      </c>
      <c r="C459" s="19">
        <v>46051</v>
      </c>
      <c r="D459" s="18" t="s">
        <v>207</v>
      </c>
      <c r="E459" s="20">
        <v>0.66666666666666663</v>
      </c>
      <c r="F459" s="20">
        <v>0.79166666666666663</v>
      </c>
      <c r="G459" s="28">
        <v>1.7361111111111112E-4</v>
      </c>
      <c r="H459" s="29" t="s">
        <v>122</v>
      </c>
      <c r="I459" s="21">
        <v>0.78301168981481484</v>
      </c>
      <c r="J459" s="18" t="s">
        <v>120</v>
      </c>
      <c r="K459" s="18" t="s">
        <v>155</v>
      </c>
      <c r="L459" s="22">
        <v>1</v>
      </c>
      <c r="M459" s="22">
        <v>69828</v>
      </c>
      <c r="N459" s="18" t="s">
        <v>53</v>
      </c>
      <c r="O459" s="22"/>
      <c r="P459" s="23">
        <v>0</v>
      </c>
      <c r="Q459" s="22"/>
      <c r="R459" s="23">
        <v>0</v>
      </c>
      <c r="S459" s="24">
        <v>46051</v>
      </c>
      <c r="T459" s="23">
        <v>0</v>
      </c>
      <c r="U459" s="25">
        <v>4</v>
      </c>
      <c r="V459" s="23">
        <v>0</v>
      </c>
      <c r="W459" s="18" t="s">
        <v>34</v>
      </c>
      <c r="X459" s="18" t="s">
        <v>48</v>
      </c>
      <c r="Y459" s="18" t="s">
        <v>58</v>
      </c>
      <c r="Z459" s="18" t="s">
        <v>43</v>
      </c>
      <c r="AA459" s="18" t="s">
        <v>49</v>
      </c>
      <c r="AB459" s="18" t="s">
        <v>59</v>
      </c>
      <c r="AC459" s="18" t="s">
        <v>38</v>
      </c>
      <c r="AD459" s="7" t="s">
        <v>267</v>
      </c>
      <c r="AE459" s="26"/>
      <c r="AF459" s="26"/>
      <c r="AG459" s="26"/>
      <c r="AH459" s="26"/>
      <c r="AI459" s="26"/>
      <c r="AJ459" s="26"/>
      <c r="AK459" s="26"/>
      <c r="AL459" s="26"/>
      <c r="AM459" s="26"/>
      <c r="AN459" s="26"/>
      <c r="AO459" s="26"/>
      <c r="AP459" s="26"/>
      <c r="AQ459" s="26"/>
      <c r="AR459" s="26"/>
      <c r="AS459" s="26"/>
      <c r="AT459" s="26"/>
      <c r="AU459" s="26"/>
      <c r="AV459" s="26"/>
      <c r="AW459" s="26"/>
    </row>
    <row r="460" spans="1:49" s="17" customFormat="1" ht="31.5" x14ac:dyDescent="0.25">
      <c r="A460" s="18" t="s">
        <v>56</v>
      </c>
      <c r="B460" s="19">
        <v>46052</v>
      </c>
      <c r="C460" s="19">
        <v>46052</v>
      </c>
      <c r="D460" s="18" t="s">
        <v>217</v>
      </c>
      <c r="E460" s="20">
        <v>0.25</v>
      </c>
      <c r="F460" s="20">
        <v>0.99930555555555556</v>
      </c>
      <c r="G460" s="28">
        <v>1.7361111111111112E-4</v>
      </c>
      <c r="H460" s="29" t="s">
        <v>57</v>
      </c>
      <c r="I460" s="21">
        <v>0.93821886574074076</v>
      </c>
      <c r="J460" s="18" t="s">
        <v>41</v>
      </c>
      <c r="K460" s="18" t="s">
        <v>223</v>
      </c>
      <c r="L460" s="22">
        <v>1</v>
      </c>
      <c r="M460" s="22">
        <v>69827</v>
      </c>
      <c r="N460" s="18" t="s">
        <v>53</v>
      </c>
      <c r="O460" s="22"/>
      <c r="P460" s="23">
        <v>23</v>
      </c>
      <c r="Q460" s="22"/>
      <c r="R460" s="23">
        <v>23</v>
      </c>
      <c r="S460" s="24">
        <v>46052</v>
      </c>
      <c r="T460" s="23">
        <v>0</v>
      </c>
      <c r="U460" s="25">
        <v>4</v>
      </c>
      <c r="V460" s="23">
        <v>23</v>
      </c>
      <c r="W460" s="18" t="s">
        <v>34</v>
      </c>
      <c r="X460" s="18" t="s">
        <v>48</v>
      </c>
      <c r="Y460" s="18" t="s">
        <v>58</v>
      </c>
      <c r="Z460" s="18" t="s">
        <v>43</v>
      </c>
      <c r="AA460" s="18" t="s">
        <v>49</v>
      </c>
      <c r="AB460" s="18" t="s">
        <v>59</v>
      </c>
      <c r="AC460" s="18" t="s">
        <v>38</v>
      </c>
      <c r="AD460" s="7" t="s">
        <v>267</v>
      </c>
      <c r="AE460" s="26"/>
      <c r="AF460" s="26"/>
      <c r="AG460" s="26"/>
      <c r="AH460" s="26"/>
      <c r="AI460" s="26"/>
      <c r="AJ460" s="26"/>
      <c r="AK460" s="26"/>
      <c r="AL460" s="26"/>
      <c r="AM460" s="26"/>
      <c r="AN460" s="26"/>
      <c r="AO460" s="26"/>
      <c r="AP460" s="26"/>
      <c r="AQ460" s="26"/>
      <c r="AR460" s="26"/>
      <c r="AS460" s="26"/>
      <c r="AT460" s="26"/>
      <c r="AU460" s="26"/>
      <c r="AV460" s="26"/>
      <c r="AW460" s="26"/>
    </row>
    <row r="461" spans="1:49" s="17" customFormat="1" ht="31.5" x14ac:dyDescent="0.25">
      <c r="A461" s="18" t="s">
        <v>56</v>
      </c>
      <c r="B461" s="19">
        <v>46052</v>
      </c>
      <c r="C461" s="19">
        <v>46052</v>
      </c>
      <c r="D461" s="18" t="s">
        <v>217</v>
      </c>
      <c r="E461" s="20">
        <v>0.25</v>
      </c>
      <c r="F461" s="20">
        <v>0.99930555555555556</v>
      </c>
      <c r="G461" s="28">
        <v>1.7361111111111112E-4</v>
      </c>
      <c r="H461" s="29" t="s">
        <v>60</v>
      </c>
      <c r="I461" s="21">
        <v>0.94099675925925919</v>
      </c>
      <c r="J461" s="18" t="s">
        <v>41</v>
      </c>
      <c r="K461" s="18" t="s">
        <v>223</v>
      </c>
      <c r="L461" s="22">
        <v>1</v>
      </c>
      <c r="M461" s="22">
        <v>69827</v>
      </c>
      <c r="N461" s="18" t="s">
        <v>53</v>
      </c>
      <c r="O461" s="22"/>
      <c r="P461" s="23">
        <v>0</v>
      </c>
      <c r="Q461" s="22"/>
      <c r="R461" s="23">
        <v>0</v>
      </c>
      <c r="S461" s="24">
        <v>46052</v>
      </c>
      <c r="T461" s="23">
        <v>0</v>
      </c>
      <c r="U461" s="25">
        <v>4</v>
      </c>
      <c r="V461" s="23">
        <v>0</v>
      </c>
      <c r="W461" s="18" t="s">
        <v>34</v>
      </c>
      <c r="X461" s="18" t="s">
        <v>48</v>
      </c>
      <c r="Y461" s="18" t="s">
        <v>58</v>
      </c>
      <c r="Z461" s="18" t="s">
        <v>43</v>
      </c>
      <c r="AA461" s="18" t="s">
        <v>49</v>
      </c>
      <c r="AB461" s="18" t="s">
        <v>59</v>
      </c>
      <c r="AC461" s="18" t="s">
        <v>38</v>
      </c>
      <c r="AD461" s="7" t="s">
        <v>267</v>
      </c>
      <c r="AE461" s="26"/>
      <c r="AF461" s="26"/>
      <c r="AG461" s="26"/>
      <c r="AH461" s="26"/>
      <c r="AI461" s="27"/>
      <c r="AJ461" s="27"/>
      <c r="AK461" s="27"/>
      <c r="AL461" s="27"/>
      <c r="AM461" s="27"/>
      <c r="AN461" s="27"/>
      <c r="AO461" s="27"/>
      <c r="AP461" s="27"/>
      <c r="AQ461" s="27"/>
      <c r="AR461" s="27"/>
      <c r="AS461" s="27"/>
      <c r="AT461" s="27"/>
      <c r="AU461" s="27"/>
      <c r="AV461" s="27"/>
      <c r="AW461" s="27"/>
    </row>
    <row r="462" spans="1:49" s="17" customFormat="1" ht="31.5" x14ac:dyDescent="0.25">
      <c r="A462" s="18" t="s">
        <v>56</v>
      </c>
      <c r="B462" s="19">
        <v>46053</v>
      </c>
      <c r="C462" s="19">
        <v>46053</v>
      </c>
      <c r="D462" s="18" t="s">
        <v>224</v>
      </c>
      <c r="E462" s="20">
        <v>0.25</v>
      </c>
      <c r="F462" s="20">
        <v>0.99930555555555556</v>
      </c>
      <c r="G462" s="28">
        <v>1.7361111111111112E-4</v>
      </c>
      <c r="H462" s="29" t="s">
        <v>57</v>
      </c>
      <c r="I462" s="21">
        <v>0.99884259259259256</v>
      </c>
      <c r="J462" s="18" t="s">
        <v>41</v>
      </c>
      <c r="K462" s="18" t="s">
        <v>206</v>
      </c>
      <c r="L462" s="22">
        <v>1</v>
      </c>
      <c r="M462" s="22">
        <v>69827</v>
      </c>
      <c r="N462" s="18" t="s">
        <v>53</v>
      </c>
      <c r="O462" s="22"/>
      <c r="P462" s="23">
        <v>23</v>
      </c>
      <c r="Q462" s="22"/>
      <c r="R462" s="23">
        <v>23</v>
      </c>
      <c r="S462" s="24">
        <v>46053</v>
      </c>
      <c r="T462" s="23">
        <v>0</v>
      </c>
      <c r="U462" s="25">
        <v>4</v>
      </c>
      <c r="V462" s="23">
        <v>23</v>
      </c>
      <c r="W462" s="18" t="s">
        <v>34</v>
      </c>
      <c r="X462" s="18" t="s">
        <v>48</v>
      </c>
      <c r="Y462" s="18" t="s">
        <v>58</v>
      </c>
      <c r="Z462" s="18" t="s">
        <v>43</v>
      </c>
      <c r="AA462" s="18" t="s">
        <v>49</v>
      </c>
      <c r="AB462" s="18" t="s">
        <v>59</v>
      </c>
      <c r="AC462" s="18" t="s">
        <v>38</v>
      </c>
      <c r="AD462" s="7" t="s">
        <v>267</v>
      </c>
      <c r="AE462" s="26"/>
      <c r="AF462" s="26"/>
      <c r="AG462" s="26"/>
      <c r="AH462" s="26"/>
      <c r="AI462" s="26"/>
      <c r="AJ462" s="26"/>
      <c r="AK462" s="26"/>
      <c r="AL462" s="26"/>
      <c r="AM462" s="26"/>
      <c r="AN462" s="26"/>
      <c r="AO462" s="26"/>
      <c r="AP462" s="26"/>
      <c r="AQ462" s="26"/>
      <c r="AR462" s="26"/>
      <c r="AS462" s="26"/>
      <c r="AT462" s="26"/>
      <c r="AU462" s="26"/>
      <c r="AV462" s="26"/>
      <c r="AW462" s="26"/>
    </row>
    <row r="463" spans="1:49" s="34" customFormat="1" ht="31.5" x14ac:dyDescent="0.25">
      <c r="A463" s="18" t="s">
        <v>56</v>
      </c>
      <c r="B463" s="19">
        <v>46053</v>
      </c>
      <c r="C463" s="19">
        <v>46053</v>
      </c>
      <c r="D463" s="18" t="s">
        <v>224</v>
      </c>
      <c r="E463" s="20">
        <v>0.25</v>
      </c>
      <c r="F463" s="20">
        <v>1</v>
      </c>
      <c r="G463" s="28">
        <v>1.7361111111111112E-4</v>
      </c>
      <c r="H463" s="29" t="s">
        <v>60</v>
      </c>
      <c r="I463" s="21">
        <v>0.99970243055555552</v>
      </c>
      <c r="J463" s="18" t="s">
        <v>41</v>
      </c>
      <c r="K463" s="18" t="s">
        <v>206</v>
      </c>
      <c r="L463" s="22">
        <v>1</v>
      </c>
      <c r="M463" s="22">
        <v>69827</v>
      </c>
      <c r="N463" s="18" t="s">
        <v>53</v>
      </c>
      <c r="O463" s="22"/>
      <c r="P463" s="23">
        <v>0</v>
      </c>
      <c r="Q463" s="22"/>
      <c r="R463" s="23">
        <v>0</v>
      </c>
      <c r="S463" s="24">
        <v>46053</v>
      </c>
      <c r="T463" s="23">
        <v>0</v>
      </c>
      <c r="U463" s="25">
        <v>4</v>
      </c>
      <c r="V463" s="23">
        <v>0</v>
      </c>
      <c r="W463" s="18" t="s">
        <v>34</v>
      </c>
      <c r="X463" s="18" t="s">
        <v>48</v>
      </c>
      <c r="Y463" s="18" t="s">
        <v>58</v>
      </c>
      <c r="Z463" s="18" t="s">
        <v>43</v>
      </c>
      <c r="AA463" s="18" t="s">
        <v>49</v>
      </c>
      <c r="AB463" s="18" t="s">
        <v>59</v>
      </c>
      <c r="AC463" s="18" t="s">
        <v>38</v>
      </c>
      <c r="AD463" s="7" t="s">
        <v>267</v>
      </c>
      <c r="AE463" s="26"/>
      <c r="AF463" s="26"/>
      <c r="AG463" s="26"/>
      <c r="AH463" s="26"/>
      <c r="AI463" s="27"/>
      <c r="AJ463" s="27"/>
      <c r="AK463" s="27"/>
      <c r="AL463" s="27"/>
      <c r="AM463" s="27"/>
      <c r="AN463" s="27"/>
      <c r="AO463" s="27"/>
      <c r="AP463" s="27"/>
      <c r="AQ463" s="27"/>
      <c r="AR463" s="27"/>
      <c r="AS463" s="27"/>
      <c r="AT463" s="27"/>
      <c r="AU463" s="27"/>
      <c r="AV463" s="27"/>
      <c r="AW463" s="27"/>
    </row>
    <row r="464" spans="1:49" s="17" customFormat="1" ht="31.5" x14ac:dyDescent="0.25">
      <c r="A464" s="18" t="s">
        <v>56</v>
      </c>
      <c r="B464" s="19">
        <v>46053</v>
      </c>
      <c r="C464" s="19">
        <v>46053</v>
      </c>
      <c r="D464" s="18" t="s">
        <v>224</v>
      </c>
      <c r="E464" s="20">
        <v>0.45833333333333331</v>
      </c>
      <c r="F464" s="20">
        <v>0.54166666666666663</v>
      </c>
      <c r="G464" s="28">
        <v>1.7361111111111112E-4</v>
      </c>
      <c r="H464" s="29" t="s">
        <v>176</v>
      </c>
      <c r="I464" s="21">
        <v>0.52569513888888886</v>
      </c>
      <c r="J464" s="18" t="s">
        <v>80</v>
      </c>
      <c r="K464" s="18" t="s">
        <v>151</v>
      </c>
      <c r="L464" s="22">
        <v>1</v>
      </c>
      <c r="M464" s="22">
        <v>69831</v>
      </c>
      <c r="N464" s="18" t="s">
        <v>53</v>
      </c>
      <c r="O464" s="22"/>
      <c r="P464" s="23">
        <v>21.75</v>
      </c>
      <c r="Q464" s="22"/>
      <c r="R464" s="23">
        <v>21.75</v>
      </c>
      <c r="S464" s="24">
        <v>46053</v>
      </c>
      <c r="T464" s="23">
        <v>0</v>
      </c>
      <c r="U464" s="25">
        <v>4</v>
      </c>
      <c r="V464" s="23">
        <v>21.75</v>
      </c>
      <c r="W464" s="18" t="s">
        <v>34</v>
      </c>
      <c r="X464" s="18" t="s">
        <v>48</v>
      </c>
      <c r="Y464" s="18" t="s">
        <v>58</v>
      </c>
      <c r="Z464" s="18" t="s">
        <v>43</v>
      </c>
      <c r="AA464" s="18" t="s">
        <v>49</v>
      </c>
      <c r="AB464" s="18" t="s">
        <v>59</v>
      </c>
      <c r="AC464" s="18" t="s">
        <v>38</v>
      </c>
      <c r="AD464" s="7" t="s">
        <v>267</v>
      </c>
      <c r="AE464" s="9"/>
      <c r="AF464" s="9"/>
      <c r="AG464" s="9"/>
      <c r="AH464" s="9"/>
      <c r="AI464" s="9"/>
      <c r="AJ464" s="9"/>
      <c r="AK464" s="9"/>
      <c r="AL464" s="9"/>
      <c r="AM464" s="9"/>
      <c r="AN464" s="9"/>
      <c r="AO464" s="9"/>
      <c r="AP464" s="9"/>
      <c r="AQ464" s="9"/>
      <c r="AR464" s="9"/>
      <c r="AS464" s="9"/>
      <c r="AT464" s="9"/>
      <c r="AU464" s="9"/>
      <c r="AV464" s="9"/>
      <c r="AW464" s="9"/>
    </row>
    <row r="465" spans="1:49" s="17" customFormat="1" ht="31.5" x14ac:dyDescent="0.25">
      <c r="A465" s="18" t="s">
        <v>56</v>
      </c>
      <c r="B465" s="19">
        <v>46053</v>
      </c>
      <c r="C465" s="19">
        <v>46053</v>
      </c>
      <c r="D465" s="18" t="s">
        <v>224</v>
      </c>
      <c r="E465" s="20">
        <v>0.45833333333333331</v>
      </c>
      <c r="F465" s="20">
        <v>0.54166666666666663</v>
      </c>
      <c r="G465" s="28">
        <v>1.7361111111111112E-4</v>
      </c>
      <c r="H465" s="29" t="s">
        <v>177</v>
      </c>
      <c r="I465" s="21">
        <v>0.52743113425925925</v>
      </c>
      <c r="J465" s="18" t="s">
        <v>80</v>
      </c>
      <c r="K465" s="18" t="s">
        <v>151</v>
      </c>
      <c r="L465" s="22">
        <v>1</v>
      </c>
      <c r="M465" s="22">
        <v>69831</v>
      </c>
      <c r="N465" s="18" t="s">
        <v>53</v>
      </c>
      <c r="O465" s="22"/>
      <c r="P465" s="23">
        <v>0</v>
      </c>
      <c r="Q465" s="22"/>
      <c r="R465" s="23">
        <v>0</v>
      </c>
      <c r="S465" s="24">
        <v>46053</v>
      </c>
      <c r="T465" s="23">
        <v>0</v>
      </c>
      <c r="U465" s="25">
        <v>4</v>
      </c>
      <c r="V465" s="23">
        <v>0</v>
      </c>
      <c r="W465" s="18" t="s">
        <v>34</v>
      </c>
      <c r="X465" s="18" t="s">
        <v>48</v>
      </c>
      <c r="Y465" s="18" t="s">
        <v>58</v>
      </c>
      <c r="Z465" s="18" t="s">
        <v>43</v>
      </c>
      <c r="AA465" s="18" t="s">
        <v>49</v>
      </c>
      <c r="AB465" s="18" t="s">
        <v>59</v>
      </c>
      <c r="AC465" s="18" t="s">
        <v>38</v>
      </c>
      <c r="AD465" s="7" t="s">
        <v>267</v>
      </c>
      <c r="AE465" s="26"/>
      <c r="AF465" s="26"/>
      <c r="AG465" s="26"/>
      <c r="AH465" s="26"/>
      <c r="AI465" s="27"/>
      <c r="AJ465" s="27"/>
      <c r="AK465" s="27"/>
      <c r="AL465" s="27"/>
      <c r="AM465" s="27"/>
      <c r="AN465" s="27"/>
      <c r="AO465" s="27"/>
      <c r="AP465" s="27"/>
      <c r="AQ465" s="27"/>
      <c r="AR465" s="27"/>
      <c r="AS465" s="27"/>
      <c r="AT465" s="27"/>
      <c r="AU465" s="27"/>
      <c r="AV465" s="27"/>
      <c r="AW465" s="27"/>
    </row>
    <row r="466" spans="1:49" s="17" customFormat="1" ht="31.5" x14ac:dyDescent="0.25">
      <c r="A466" s="18" t="s">
        <v>56</v>
      </c>
      <c r="B466" s="19">
        <v>46053</v>
      </c>
      <c r="C466" s="19">
        <v>46053</v>
      </c>
      <c r="D466" s="18" t="s">
        <v>224</v>
      </c>
      <c r="E466" s="20">
        <v>0.66666666666666663</v>
      </c>
      <c r="F466" s="20">
        <v>0.79166666666666663</v>
      </c>
      <c r="G466" s="28">
        <v>1.7361111111111112E-4</v>
      </c>
      <c r="H466" s="29" t="s">
        <v>121</v>
      </c>
      <c r="I466" s="21">
        <v>0.73949409722222226</v>
      </c>
      <c r="J466" s="18" t="s">
        <v>120</v>
      </c>
      <c r="K466" s="18" t="s">
        <v>189</v>
      </c>
      <c r="L466" s="22">
        <v>1</v>
      </c>
      <c r="M466" s="22">
        <v>69828</v>
      </c>
      <c r="N466" s="18" t="s">
        <v>53</v>
      </c>
      <c r="O466" s="22"/>
      <c r="P466" s="23">
        <v>28</v>
      </c>
      <c r="Q466" s="22"/>
      <c r="R466" s="23">
        <v>28</v>
      </c>
      <c r="S466" s="24">
        <v>46053</v>
      </c>
      <c r="T466" s="23">
        <v>0</v>
      </c>
      <c r="U466" s="25">
        <v>4</v>
      </c>
      <c r="V466" s="23">
        <v>28</v>
      </c>
      <c r="W466" s="18" t="s">
        <v>34</v>
      </c>
      <c r="X466" s="18" t="s">
        <v>48</v>
      </c>
      <c r="Y466" s="18" t="s">
        <v>58</v>
      </c>
      <c r="Z466" s="18" t="s">
        <v>43</v>
      </c>
      <c r="AA466" s="18" t="s">
        <v>49</v>
      </c>
      <c r="AB466" s="18" t="s">
        <v>59</v>
      </c>
      <c r="AC466" s="18" t="s">
        <v>38</v>
      </c>
      <c r="AD466" s="7" t="s">
        <v>267</v>
      </c>
      <c r="AE466" s="26"/>
      <c r="AF466" s="26"/>
      <c r="AG466" s="26"/>
      <c r="AH466" s="26"/>
      <c r="AI466" s="27"/>
      <c r="AJ466" s="27"/>
      <c r="AK466" s="27"/>
      <c r="AL466" s="27"/>
      <c r="AM466" s="27"/>
      <c r="AN466" s="27"/>
      <c r="AO466" s="27"/>
      <c r="AP466" s="27"/>
      <c r="AQ466" s="27"/>
      <c r="AR466" s="27"/>
      <c r="AS466" s="27"/>
      <c r="AT466" s="27"/>
      <c r="AU466" s="27"/>
      <c r="AV466" s="27"/>
      <c r="AW466" s="27"/>
    </row>
    <row r="467" spans="1:49" s="17" customFormat="1" ht="31.5" x14ac:dyDescent="0.25">
      <c r="A467" s="18" t="s">
        <v>56</v>
      </c>
      <c r="B467" s="19">
        <v>46053</v>
      </c>
      <c r="C467" s="19">
        <v>46053</v>
      </c>
      <c r="D467" s="18" t="s">
        <v>224</v>
      </c>
      <c r="E467" s="20">
        <v>0.66666666666666663</v>
      </c>
      <c r="F467" s="20">
        <v>0.79166666666666663</v>
      </c>
      <c r="G467" s="28">
        <v>1.7361111111111112E-4</v>
      </c>
      <c r="H467" s="29" t="s">
        <v>122</v>
      </c>
      <c r="I467" s="21">
        <v>0.74140381944444445</v>
      </c>
      <c r="J467" s="18" t="s">
        <v>120</v>
      </c>
      <c r="K467" s="18" t="s">
        <v>189</v>
      </c>
      <c r="L467" s="22">
        <v>1</v>
      </c>
      <c r="M467" s="22">
        <v>69828</v>
      </c>
      <c r="N467" s="18" t="s">
        <v>53</v>
      </c>
      <c r="O467" s="22"/>
      <c r="P467" s="23">
        <v>0</v>
      </c>
      <c r="Q467" s="22"/>
      <c r="R467" s="23">
        <v>0</v>
      </c>
      <c r="S467" s="24">
        <v>46053</v>
      </c>
      <c r="T467" s="23">
        <v>0</v>
      </c>
      <c r="U467" s="25">
        <v>4</v>
      </c>
      <c r="V467" s="23">
        <v>0</v>
      </c>
      <c r="W467" s="18" t="s">
        <v>34</v>
      </c>
      <c r="X467" s="18" t="s">
        <v>48</v>
      </c>
      <c r="Y467" s="18" t="s">
        <v>58</v>
      </c>
      <c r="Z467" s="18" t="s">
        <v>43</v>
      </c>
      <c r="AA467" s="18" t="s">
        <v>49</v>
      </c>
      <c r="AB467" s="18" t="s">
        <v>59</v>
      </c>
      <c r="AC467" s="18" t="s">
        <v>38</v>
      </c>
      <c r="AD467" s="7" t="s">
        <v>267</v>
      </c>
      <c r="AE467" s="9"/>
      <c r="AF467" s="9"/>
      <c r="AG467" s="9"/>
      <c r="AH467" s="9"/>
      <c r="AI467" s="9"/>
      <c r="AJ467" s="9"/>
      <c r="AK467" s="9"/>
      <c r="AL467" s="9"/>
      <c r="AM467" s="9"/>
      <c r="AN467" s="9"/>
      <c r="AO467" s="9"/>
      <c r="AP467" s="9"/>
      <c r="AQ467" s="9"/>
      <c r="AR467" s="9"/>
      <c r="AS467" s="9"/>
      <c r="AT467" s="9"/>
      <c r="AU467" s="9"/>
      <c r="AV467" s="9"/>
      <c r="AW467" s="9"/>
    </row>
    <row r="468" spans="1:49" s="17" customFormat="1" ht="31.5" x14ac:dyDescent="0.25">
      <c r="A468" s="18" t="s">
        <v>56</v>
      </c>
      <c r="B468" s="19">
        <v>46053</v>
      </c>
      <c r="C468" s="19">
        <v>46053</v>
      </c>
      <c r="D468" s="18" t="s">
        <v>224</v>
      </c>
      <c r="E468" s="20">
        <v>0.75</v>
      </c>
      <c r="F468" s="20">
        <v>0.83333333333333337</v>
      </c>
      <c r="G468" s="28">
        <v>1.7361111111111112E-4</v>
      </c>
      <c r="H468" s="29" t="s">
        <v>245</v>
      </c>
      <c r="I468" s="21">
        <v>0.7590059027777778</v>
      </c>
      <c r="J468" s="18" t="s">
        <v>241</v>
      </c>
      <c r="K468" s="18" t="s">
        <v>237</v>
      </c>
      <c r="L468" s="22">
        <v>1</v>
      </c>
      <c r="M468" s="22">
        <v>69829</v>
      </c>
      <c r="N468" s="18" t="s">
        <v>53</v>
      </c>
      <c r="O468" s="22"/>
      <c r="P468" s="23">
        <v>34</v>
      </c>
      <c r="Q468" s="22"/>
      <c r="R468" s="23">
        <v>34</v>
      </c>
      <c r="S468" s="24">
        <v>46053</v>
      </c>
      <c r="T468" s="23">
        <v>0</v>
      </c>
      <c r="U468" s="25">
        <v>4</v>
      </c>
      <c r="V468" s="23">
        <v>34</v>
      </c>
      <c r="W468" s="18" t="s">
        <v>34</v>
      </c>
      <c r="X468" s="18" t="s">
        <v>48</v>
      </c>
      <c r="Y468" s="18" t="s">
        <v>58</v>
      </c>
      <c r="Z468" s="18" t="s">
        <v>43</v>
      </c>
      <c r="AA468" s="18" t="s">
        <v>49</v>
      </c>
      <c r="AB468" s="18" t="s">
        <v>59</v>
      </c>
      <c r="AC468" s="18" t="s">
        <v>38</v>
      </c>
      <c r="AD468" s="7" t="s">
        <v>267</v>
      </c>
      <c r="AE468" s="26"/>
      <c r="AF468" s="26"/>
      <c r="AG468" s="26"/>
      <c r="AH468" s="26"/>
      <c r="AI468" s="26"/>
      <c r="AJ468" s="26"/>
      <c r="AK468" s="26"/>
      <c r="AL468" s="26"/>
      <c r="AM468" s="26"/>
      <c r="AN468" s="26"/>
      <c r="AO468" s="26"/>
      <c r="AP468" s="26"/>
      <c r="AQ468" s="26"/>
      <c r="AR468" s="26"/>
      <c r="AS468" s="26"/>
      <c r="AT468" s="26"/>
      <c r="AU468" s="26"/>
      <c r="AV468" s="26"/>
      <c r="AW468" s="26"/>
    </row>
    <row r="469" spans="1:49" s="17" customFormat="1" ht="31.5" x14ac:dyDescent="0.25">
      <c r="A469" s="18" t="s">
        <v>56</v>
      </c>
      <c r="B469" s="19">
        <v>46053</v>
      </c>
      <c r="C469" s="19">
        <v>46053</v>
      </c>
      <c r="D469" s="18" t="s">
        <v>224</v>
      </c>
      <c r="E469" s="20">
        <v>0.75</v>
      </c>
      <c r="F469" s="20">
        <v>0.83333333333333337</v>
      </c>
      <c r="G469" s="28">
        <v>1.7361111111111112E-4</v>
      </c>
      <c r="H469" s="29" t="s">
        <v>246</v>
      </c>
      <c r="I469" s="21">
        <v>0.76004768518518517</v>
      </c>
      <c r="J469" s="18" t="s">
        <v>241</v>
      </c>
      <c r="K469" s="18" t="s">
        <v>237</v>
      </c>
      <c r="L469" s="22">
        <v>1</v>
      </c>
      <c r="M469" s="22">
        <v>69829</v>
      </c>
      <c r="N469" s="18" t="s">
        <v>53</v>
      </c>
      <c r="O469" s="22"/>
      <c r="P469" s="23">
        <v>0</v>
      </c>
      <c r="Q469" s="22"/>
      <c r="R469" s="23">
        <v>0</v>
      </c>
      <c r="S469" s="24">
        <v>46053</v>
      </c>
      <c r="T469" s="23">
        <v>0</v>
      </c>
      <c r="U469" s="25">
        <v>4</v>
      </c>
      <c r="V469" s="23">
        <v>0</v>
      </c>
      <c r="W469" s="18" t="s">
        <v>34</v>
      </c>
      <c r="X469" s="18" t="s">
        <v>48</v>
      </c>
      <c r="Y469" s="18" t="s">
        <v>58</v>
      </c>
      <c r="Z469" s="18" t="s">
        <v>43</v>
      </c>
      <c r="AA469" s="18" t="s">
        <v>49</v>
      </c>
      <c r="AB469" s="18" t="s">
        <v>59</v>
      </c>
      <c r="AC469" s="18" t="s">
        <v>38</v>
      </c>
      <c r="AD469" s="7" t="s">
        <v>267</v>
      </c>
      <c r="AE469" s="26"/>
      <c r="AF469" s="26"/>
      <c r="AG469" s="26"/>
      <c r="AH469" s="26"/>
      <c r="AI469" s="26"/>
      <c r="AJ469" s="26"/>
      <c r="AK469" s="26"/>
      <c r="AL469" s="26"/>
      <c r="AM469" s="26"/>
      <c r="AN469" s="26"/>
      <c r="AO469" s="26"/>
      <c r="AP469" s="26"/>
      <c r="AQ469" s="26"/>
      <c r="AR469" s="26"/>
      <c r="AS469" s="26"/>
      <c r="AT469" s="26"/>
      <c r="AU469" s="26"/>
      <c r="AV469" s="26"/>
      <c r="AW469" s="26"/>
    </row>
    <row r="470" spans="1:49" s="34" customFormat="1" ht="31.5" x14ac:dyDescent="0.25">
      <c r="A470" s="18" t="s">
        <v>56</v>
      </c>
      <c r="B470" s="19">
        <v>46053</v>
      </c>
      <c r="C470" s="19">
        <v>46053</v>
      </c>
      <c r="D470" s="18" t="s">
        <v>224</v>
      </c>
      <c r="E470" s="20">
        <v>0.75</v>
      </c>
      <c r="F470" s="20">
        <v>0.83333333333333337</v>
      </c>
      <c r="G470" s="28">
        <v>1.7361111111111112E-4</v>
      </c>
      <c r="H470" s="29" t="s">
        <v>245</v>
      </c>
      <c r="I470" s="21">
        <v>0.78431921296296292</v>
      </c>
      <c r="J470" s="18" t="s">
        <v>241</v>
      </c>
      <c r="K470" s="18" t="s">
        <v>237</v>
      </c>
      <c r="L470" s="22">
        <v>1</v>
      </c>
      <c r="M470" s="22">
        <v>69829</v>
      </c>
      <c r="N470" s="18" t="s">
        <v>53</v>
      </c>
      <c r="O470" s="22"/>
      <c r="P470" s="23">
        <v>34</v>
      </c>
      <c r="Q470" s="22"/>
      <c r="R470" s="23">
        <v>34</v>
      </c>
      <c r="S470" s="24">
        <v>46053</v>
      </c>
      <c r="T470" s="23">
        <v>0</v>
      </c>
      <c r="U470" s="25">
        <v>4</v>
      </c>
      <c r="V470" s="23">
        <v>34</v>
      </c>
      <c r="W470" s="18" t="s">
        <v>34</v>
      </c>
      <c r="X470" s="18" t="s">
        <v>48</v>
      </c>
      <c r="Y470" s="18" t="s">
        <v>58</v>
      </c>
      <c r="Z470" s="18" t="s">
        <v>43</v>
      </c>
      <c r="AA470" s="18" t="s">
        <v>49</v>
      </c>
      <c r="AB470" s="18" t="s">
        <v>59</v>
      </c>
      <c r="AC470" s="18" t="s">
        <v>38</v>
      </c>
      <c r="AD470" s="7" t="s">
        <v>267</v>
      </c>
      <c r="AE470" s="26"/>
      <c r="AF470" s="26"/>
      <c r="AG470" s="26"/>
      <c r="AH470" s="26"/>
      <c r="AI470" s="30"/>
      <c r="AJ470" s="30"/>
      <c r="AK470" s="30"/>
      <c r="AL470" s="30"/>
      <c r="AM470" s="30"/>
      <c r="AN470" s="30"/>
      <c r="AO470" s="30"/>
      <c r="AP470" s="30"/>
      <c r="AQ470" s="30"/>
      <c r="AR470" s="30"/>
      <c r="AS470" s="30"/>
      <c r="AT470" s="30"/>
      <c r="AU470" s="30"/>
      <c r="AV470" s="30"/>
      <c r="AW470" s="30"/>
    </row>
    <row r="471" spans="1:49" s="17" customFormat="1" ht="31.5" x14ac:dyDescent="0.25">
      <c r="A471" s="18" t="s">
        <v>56</v>
      </c>
      <c r="B471" s="19">
        <v>46053</v>
      </c>
      <c r="C471" s="19">
        <v>46053</v>
      </c>
      <c r="D471" s="18" t="s">
        <v>224</v>
      </c>
      <c r="E471" s="20">
        <v>0.75</v>
      </c>
      <c r="F471" s="20">
        <v>0.83333333333333337</v>
      </c>
      <c r="G471" s="28">
        <v>1.7361111111111112E-4</v>
      </c>
      <c r="H471" s="29" t="s">
        <v>246</v>
      </c>
      <c r="I471" s="21">
        <v>0.78518715277777773</v>
      </c>
      <c r="J471" s="18" t="s">
        <v>241</v>
      </c>
      <c r="K471" s="18" t="s">
        <v>237</v>
      </c>
      <c r="L471" s="22">
        <v>1</v>
      </c>
      <c r="M471" s="22">
        <v>69829</v>
      </c>
      <c r="N471" s="18" t="s">
        <v>53</v>
      </c>
      <c r="O471" s="22"/>
      <c r="P471" s="23">
        <v>0</v>
      </c>
      <c r="Q471" s="22"/>
      <c r="R471" s="23">
        <v>0</v>
      </c>
      <c r="S471" s="24">
        <v>46053</v>
      </c>
      <c r="T471" s="23">
        <v>0</v>
      </c>
      <c r="U471" s="25">
        <v>4</v>
      </c>
      <c r="V471" s="23">
        <v>0</v>
      </c>
      <c r="W471" s="18" t="s">
        <v>34</v>
      </c>
      <c r="X471" s="18" t="s">
        <v>48</v>
      </c>
      <c r="Y471" s="18" t="s">
        <v>58</v>
      </c>
      <c r="Z471" s="18" t="s">
        <v>43</v>
      </c>
      <c r="AA471" s="18" t="s">
        <v>49</v>
      </c>
      <c r="AB471" s="18" t="s">
        <v>59</v>
      </c>
      <c r="AC471" s="18" t="s">
        <v>38</v>
      </c>
      <c r="AD471" s="7" t="s">
        <v>267</v>
      </c>
      <c r="AE471" s="9"/>
      <c r="AF471" s="9"/>
      <c r="AG471" s="9"/>
      <c r="AH471" s="9"/>
      <c r="AI471" s="9"/>
      <c r="AJ471" s="9"/>
      <c r="AK471" s="9"/>
      <c r="AL471" s="9"/>
      <c r="AM471" s="9"/>
      <c r="AN471" s="9"/>
      <c r="AO471" s="9"/>
      <c r="AP471" s="9"/>
      <c r="AQ471" s="9"/>
      <c r="AR471" s="9"/>
      <c r="AS471" s="9"/>
      <c r="AT471" s="9"/>
      <c r="AU471" s="9"/>
      <c r="AV471" s="9"/>
      <c r="AW471" s="9"/>
    </row>
    <row r="472" spans="1:49" s="17" customFormat="1" ht="31.5" x14ac:dyDescent="0.25">
      <c r="A472" s="18" t="s">
        <v>93</v>
      </c>
      <c r="B472" s="19">
        <v>46048</v>
      </c>
      <c r="C472" s="19">
        <v>46048</v>
      </c>
      <c r="D472" s="18" t="s">
        <v>30</v>
      </c>
      <c r="E472" s="20">
        <v>0.45833333333333331</v>
      </c>
      <c r="F472" s="20">
        <v>0.54166666666666663</v>
      </c>
      <c r="G472" s="28">
        <v>1.7361111111111109E-4</v>
      </c>
      <c r="H472" s="29" t="s">
        <v>94</v>
      </c>
      <c r="I472" s="21">
        <v>0.46778935185185183</v>
      </c>
      <c r="J472" s="18" t="s">
        <v>80</v>
      </c>
      <c r="K472" s="18" t="s">
        <v>76</v>
      </c>
      <c r="L472" s="22">
        <v>1</v>
      </c>
      <c r="M472" s="22">
        <v>69570</v>
      </c>
      <c r="N472" s="18" t="s">
        <v>53</v>
      </c>
      <c r="O472" s="22" t="s">
        <v>95</v>
      </c>
      <c r="P472" s="23">
        <v>0</v>
      </c>
      <c r="Q472" s="22"/>
      <c r="R472" s="23">
        <v>19.042139037433099</v>
      </c>
      <c r="S472" s="24">
        <v>46054</v>
      </c>
      <c r="T472" s="23">
        <v>0</v>
      </c>
      <c r="U472" s="25">
        <v>4</v>
      </c>
      <c r="V472" s="23">
        <v>0</v>
      </c>
      <c r="W472" s="18" t="s">
        <v>47</v>
      </c>
      <c r="X472" s="18" t="s">
        <v>48</v>
      </c>
      <c r="Y472" s="18" t="s">
        <v>36</v>
      </c>
      <c r="Z472" s="18" t="s">
        <v>9</v>
      </c>
      <c r="AA472" s="18" t="s">
        <v>49</v>
      </c>
      <c r="AB472" s="18" t="s">
        <v>96</v>
      </c>
      <c r="AC472" s="18" t="s">
        <v>38</v>
      </c>
      <c r="AD472" s="7" t="s">
        <v>267</v>
      </c>
      <c r="AE472" s="9"/>
      <c r="AF472" s="9"/>
      <c r="AG472" s="9"/>
      <c r="AH472" s="9"/>
      <c r="AI472" s="9"/>
      <c r="AJ472" s="9"/>
      <c r="AK472" s="9"/>
      <c r="AL472" s="9"/>
      <c r="AM472" s="9"/>
      <c r="AN472" s="9"/>
      <c r="AO472" s="9"/>
      <c r="AP472" s="9"/>
      <c r="AQ472" s="9"/>
      <c r="AR472" s="9"/>
      <c r="AS472" s="9"/>
      <c r="AT472" s="9"/>
      <c r="AU472" s="9"/>
      <c r="AV472" s="9"/>
      <c r="AW472" s="9"/>
    </row>
    <row r="473" spans="1:49" s="17" customFormat="1" ht="31.5" x14ac:dyDescent="0.25">
      <c r="A473" s="18" t="s">
        <v>93</v>
      </c>
      <c r="B473" s="19">
        <v>46048</v>
      </c>
      <c r="C473" s="19">
        <v>46048</v>
      </c>
      <c r="D473" s="18" t="s">
        <v>30</v>
      </c>
      <c r="E473" s="20">
        <v>0.45833333333333331</v>
      </c>
      <c r="F473" s="20">
        <v>0.54166666666666663</v>
      </c>
      <c r="G473" s="28">
        <v>1.7361111111111109E-4</v>
      </c>
      <c r="H473" s="29" t="s">
        <v>97</v>
      </c>
      <c r="I473" s="21">
        <v>0.46935185185185185</v>
      </c>
      <c r="J473" s="18" t="s">
        <v>80</v>
      </c>
      <c r="K473" s="18" t="s">
        <v>76</v>
      </c>
      <c r="L473" s="22">
        <v>1</v>
      </c>
      <c r="M473" s="22">
        <v>69570</v>
      </c>
      <c r="N473" s="18" t="s">
        <v>53</v>
      </c>
      <c r="O473" s="22" t="s">
        <v>95</v>
      </c>
      <c r="P473" s="23">
        <v>0</v>
      </c>
      <c r="Q473" s="22"/>
      <c r="R473" s="23">
        <v>19.042139037433099</v>
      </c>
      <c r="S473" s="24">
        <v>46054</v>
      </c>
      <c r="T473" s="23">
        <v>0</v>
      </c>
      <c r="U473" s="25">
        <v>4</v>
      </c>
      <c r="V473" s="23">
        <v>0</v>
      </c>
      <c r="W473" s="18" t="s">
        <v>47</v>
      </c>
      <c r="X473" s="18" t="s">
        <v>48</v>
      </c>
      <c r="Y473" s="18" t="s">
        <v>36</v>
      </c>
      <c r="Z473" s="18" t="s">
        <v>9</v>
      </c>
      <c r="AA473" s="18" t="s">
        <v>49</v>
      </c>
      <c r="AB473" s="18" t="s">
        <v>96</v>
      </c>
      <c r="AC473" s="18" t="s">
        <v>38</v>
      </c>
      <c r="AD473" s="7" t="s">
        <v>267</v>
      </c>
      <c r="AE473" s="26"/>
      <c r="AF473" s="26"/>
      <c r="AG473" s="26"/>
      <c r="AH473" s="26"/>
      <c r="AI473" s="27"/>
      <c r="AJ473" s="27"/>
      <c r="AK473" s="27"/>
      <c r="AL473" s="27"/>
      <c r="AM473" s="27"/>
      <c r="AN473" s="27"/>
      <c r="AO473" s="27"/>
      <c r="AP473" s="27"/>
      <c r="AQ473" s="27"/>
      <c r="AR473" s="27"/>
      <c r="AS473" s="27"/>
      <c r="AT473" s="27"/>
      <c r="AU473" s="27"/>
      <c r="AV473" s="27"/>
      <c r="AW473" s="27"/>
    </row>
    <row r="474" spans="1:49" s="17" customFormat="1" ht="31.5" x14ac:dyDescent="0.25">
      <c r="A474" s="18" t="s">
        <v>93</v>
      </c>
      <c r="B474" s="19">
        <v>46048</v>
      </c>
      <c r="C474" s="19">
        <v>46048</v>
      </c>
      <c r="D474" s="18" t="s">
        <v>30</v>
      </c>
      <c r="E474" s="20">
        <v>0.45833333333333331</v>
      </c>
      <c r="F474" s="20">
        <v>0.54166666666666663</v>
      </c>
      <c r="G474" s="28">
        <v>1.7361111111111109E-4</v>
      </c>
      <c r="H474" s="29" t="s">
        <v>98</v>
      </c>
      <c r="I474" s="21">
        <v>0.48804398148148148</v>
      </c>
      <c r="J474" s="18" t="s">
        <v>80</v>
      </c>
      <c r="K474" s="18" t="s">
        <v>150</v>
      </c>
      <c r="L474" s="22">
        <v>1</v>
      </c>
      <c r="M474" s="22">
        <v>69570</v>
      </c>
      <c r="N474" s="18" t="s">
        <v>53</v>
      </c>
      <c r="O474" s="22" t="s">
        <v>95</v>
      </c>
      <c r="P474" s="23">
        <v>0</v>
      </c>
      <c r="Q474" s="22"/>
      <c r="R474" s="23">
        <v>19.042139037433099</v>
      </c>
      <c r="S474" s="24">
        <v>46054</v>
      </c>
      <c r="T474" s="23">
        <v>0</v>
      </c>
      <c r="U474" s="25">
        <v>4</v>
      </c>
      <c r="V474" s="23">
        <v>0</v>
      </c>
      <c r="W474" s="18" t="s">
        <v>47</v>
      </c>
      <c r="X474" s="18" t="s">
        <v>48</v>
      </c>
      <c r="Y474" s="18" t="s">
        <v>36</v>
      </c>
      <c r="Z474" s="18" t="s">
        <v>9</v>
      </c>
      <c r="AA474" s="18" t="s">
        <v>49</v>
      </c>
      <c r="AB474" s="18" t="s">
        <v>96</v>
      </c>
      <c r="AC474" s="18" t="s">
        <v>38</v>
      </c>
      <c r="AD474" s="7" t="s">
        <v>267</v>
      </c>
      <c r="AE474" s="9"/>
      <c r="AF474" s="9"/>
      <c r="AG474" s="9"/>
      <c r="AH474" s="9"/>
      <c r="AI474" s="9"/>
      <c r="AJ474" s="9"/>
      <c r="AK474" s="9"/>
      <c r="AL474" s="9"/>
      <c r="AM474" s="9"/>
      <c r="AN474" s="9"/>
      <c r="AO474" s="9"/>
      <c r="AP474" s="9"/>
      <c r="AQ474" s="9"/>
      <c r="AR474" s="9"/>
      <c r="AS474" s="9"/>
      <c r="AT474" s="9"/>
      <c r="AU474" s="9"/>
      <c r="AV474" s="9"/>
      <c r="AW474" s="9"/>
    </row>
    <row r="475" spans="1:49" s="34" customFormat="1" ht="31.5" x14ac:dyDescent="0.25">
      <c r="A475" s="18" t="s">
        <v>93</v>
      </c>
      <c r="B475" s="19">
        <v>46048</v>
      </c>
      <c r="C475" s="19">
        <v>46048</v>
      </c>
      <c r="D475" s="18" t="s">
        <v>30</v>
      </c>
      <c r="E475" s="20">
        <v>0.45833333333333331</v>
      </c>
      <c r="F475" s="20">
        <v>0.54166666666666663</v>
      </c>
      <c r="G475" s="28">
        <v>1.7361111111111109E-4</v>
      </c>
      <c r="H475" s="29" t="s">
        <v>97</v>
      </c>
      <c r="I475" s="21">
        <v>0.49030092592592595</v>
      </c>
      <c r="J475" s="18" t="s">
        <v>80</v>
      </c>
      <c r="K475" s="18" t="s">
        <v>150</v>
      </c>
      <c r="L475" s="22">
        <v>1</v>
      </c>
      <c r="M475" s="22">
        <v>69570</v>
      </c>
      <c r="N475" s="18" t="s">
        <v>53</v>
      </c>
      <c r="O475" s="22" t="s">
        <v>95</v>
      </c>
      <c r="P475" s="23">
        <v>0</v>
      </c>
      <c r="Q475" s="22"/>
      <c r="R475" s="23">
        <v>19.042139037433099</v>
      </c>
      <c r="S475" s="24">
        <v>46054</v>
      </c>
      <c r="T475" s="23">
        <v>0</v>
      </c>
      <c r="U475" s="25">
        <v>4</v>
      </c>
      <c r="V475" s="23">
        <v>0</v>
      </c>
      <c r="W475" s="18" t="s">
        <v>47</v>
      </c>
      <c r="X475" s="18" t="s">
        <v>48</v>
      </c>
      <c r="Y475" s="18" t="s">
        <v>36</v>
      </c>
      <c r="Z475" s="18" t="s">
        <v>9</v>
      </c>
      <c r="AA475" s="18" t="s">
        <v>49</v>
      </c>
      <c r="AB475" s="18" t="s">
        <v>96</v>
      </c>
      <c r="AC475" s="18" t="s">
        <v>38</v>
      </c>
      <c r="AD475" s="7" t="s">
        <v>267</v>
      </c>
      <c r="AE475" s="31"/>
      <c r="AF475" s="31"/>
      <c r="AG475" s="31"/>
      <c r="AH475" s="31"/>
      <c r="AI475" s="30"/>
      <c r="AJ475" s="30"/>
      <c r="AK475" s="30"/>
      <c r="AL475" s="30"/>
      <c r="AM475" s="30"/>
      <c r="AN475" s="30"/>
      <c r="AO475" s="30"/>
      <c r="AP475" s="30"/>
      <c r="AQ475" s="30"/>
      <c r="AR475" s="30"/>
      <c r="AS475" s="30"/>
      <c r="AT475" s="30"/>
      <c r="AU475" s="30"/>
      <c r="AV475" s="30"/>
      <c r="AW475" s="30"/>
    </row>
    <row r="476" spans="1:49" s="34" customFormat="1" ht="31.5" x14ac:dyDescent="0.25">
      <c r="A476" s="18" t="s">
        <v>93</v>
      </c>
      <c r="B476" s="19">
        <v>46048</v>
      </c>
      <c r="C476" s="19">
        <v>46048</v>
      </c>
      <c r="D476" s="18" t="s">
        <v>30</v>
      </c>
      <c r="E476" s="20">
        <v>0.45833333333333331</v>
      </c>
      <c r="F476" s="20">
        <v>0.54166666666666663</v>
      </c>
      <c r="G476" s="28">
        <v>1.7361111111111109E-4</v>
      </c>
      <c r="H476" s="29" t="s">
        <v>94</v>
      </c>
      <c r="I476" s="21">
        <v>0.5119097222222222</v>
      </c>
      <c r="J476" s="18" t="s">
        <v>80</v>
      </c>
      <c r="K476" s="18" t="s">
        <v>151</v>
      </c>
      <c r="L476" s="22">
        <v>1</v>
      </c>
      <c r="M476" s="22">
        <v>69570</v>
      </c>
      <c r="N476" s="18" t="s">
        <v>53</v>
      </c>
      <c r="O476" s="22" t="s">
        <v>95</v>
      </c>
      <c r="P476" s="23">
        <v>0</v>
      </c>
      <c r="Q476" s="22"/>
      <c r="R476" s="23">
        <v>19.042139037433099</v>
      </c>
      <c r="S476" s="24">
        <v>46054</v>
      </c>
      <c r="T476" s="23">
        <v>0</v>
      </c>
      <c r="U476" s="25">
        <v>4</v>
      </c>
      <c r="V476" s="23">
        <v>0</v>
      </c>
      <c r="W476" s="18" t="s">
        <v>47</v>
      </c>
      <c r="X476" s="18" t="s">
        <v>48</v>
      </c>
      <c r="Y476" s="18" t="s">
        <v>36</v>
      </c>
      <c r="Z476" s="18" t="s">
        <v>9</v>
      </c>
      <c r="AA476" s="18" t="s">
        <v>49</v>
      </c>
      <c r="AB476" s="18" t="s">
        <v>96</v>
      </c>
      <c r="AC476" s="18" t="s">
        <v>38</v>
      </c>
      <c r="AD476" s="7" t="s">
        <v>267</v>
      </c>
      <c r="AE476" s="31"/>
      <c r="AF476" s="31"/>
      <c r="AG476" s="31"/>
      <c r="AH476" s="31"/>
      <c r="AI476" s="30"/>
      <c r="AJ476" s="30"/>
      <c r="AK476" s="30"/>
      <c r="AL476" s="30"/>
      <c r="AM476" s="30"/>
      <c r="AN476" s="30"/>
      <c r="AO476" s="30"/>
      <c r="AP476" s="30"/>
      <c r="AQ476" s="30"/>
      <c r="AR476" s="30"/>
      <c r="AS476" s="30"/>
      <c r="AT476" s="30"/>
      <c r="AU476" s="30"/>
      <c r="AV476" s="30"/>
      <c r="AW476" s="30"/>
    </row>
    <row r="477" spans="1:49" s="17" customFormat="1" ht="31.5" x14ac:dyDescent="0.25">
      <c r="A477" s="18" t="s">
        <v>93</v>
      </c>
      <c r="B477" s="19">
        <v>46048</v>
      </c>
      <c r="C477" s="19">
        <v>46048</v>
      </c>
      <c r="D477" s="18" t="s">
        <v>30</v>
      </c>
      <c r="E477" s="20">
        <v>0.45833333333333331</v>
      </c>
      <c r="F477" s="20">
        <v>0.54166666666666663</v>
      </c>
      <c r="G477" s="28">
        <v>1.7361111111111109E-4</v>
      </c>
      <c r="H477" s="29" t="s">
        <v>97</v>
      </c>
      <c r="I477" s="21">
        <v>0.51364583333333336</v>
      </c>
      <c r="J477" s="18" t="s">
        <v>80</v>
      </c>
      <c r="K477" s="18" t="s">
        <v>151</v>
      </c>
      <c r="L477" s="22">
        <v>1</v>
      </c>
      <c r="M477" s="22">
        <v>69570</v>
      </c>
      <c r="N477" s="18" t="s">
        <v>53</v>
      </c>
      <c r="O477" s="22" t="s">
        <v>95</v>
      </c>
      <c r="P477" s="23">
        <v>0</v>
      </c>
      <c r="Q477" s="22"/>
      <c r="R477" s="23">
        <v>19.042139037433099</v>
      </c>
      <c r="S477" s="24">
        <v>46054</v>
      </c>
      <c r="T477" s="23">
        <v>0</v>
      </c>
      <c r="U477" s="25">
        <v>4</v>
      </c>
      <c r="V477" s="23">
        <v>0</v>
      </c>
      <c r="W477" s="18" t="s">
        <v>47</v>
      </c>
      <c r="X477" s="18" t="s">
        <v>48</v>
      </c>
      <c r="Y477" s="18" t="s">
        <v>36</v>
      </c>
      <c r="Z477" s="18" t="s">
        <v>9</v>
      </c>
      <c r="AA477" s="18" t="s">
        <v>49</v>
      </c>
      <c r="AB477" s="18" t="s">
        <v>96</v>
      </c>
      <c r="AC477" s="18" t="s">
        <v>38</v>
      </c>
      <c r="AD477" s="7" t="s">
        <v>267</v>
      </c>
      <c r="AI477" s="30"/>
      <c r="AJ477" s="30"/>
      <c r="AK477" s="30"/>
      <c r="AL477" s="30"/>
      <c r="AM477" s="30"/>
      <c r="AN477" s="30"/>
      <c r="AO477" s="30"/>
      <c r="AP477" s="30"/>
      <c r="AQ477" s="30"/>
      <c r="AR477" s="30"/>
      <c r="AS477" s="30"/>
      <c r="AT477" s="30"/>
      <c r="AU477" s="30"/>
      <c r="AV477" s="30"/>
      <c r="AW477" s="30"/>
    </row>
    <row r="478" spans="1:49" s="17" customFormat="1" ht="31.5" x14ac:dyDescent="0.25">
      <c r="A478" s="18" t="s">
        <v>93</v>
      </c>
      <c r="B478" s="19">
        <v>46048</v>
      </c>
      <c r="C478" s="19">
        <v>46048</v>
      </c>
      <c r="D478" s="18" t="s">
        <v>30</v>
      </c>
      <c r="E478" s="20">
        <v>0.79166666666666663</v>
      </c>
      <c r="F478" s="20">
        <v>0.99930555555555556</v>
      </c>
      <c r="G478" s="28">
        <v>1.7361111111111109E-4</v>
      </c>
      <c r="H478" s="29" t="s">
        <v>135</v>
      </c>
      <c r="I478" s="21">
        <v>0.85790509259259262</v>
      </c>
      <c r="J478" s="18" t="s">
        <v>136</v>
      </c>
      <c r="K478" s="18" t="s">
        <v>157</v>
      </c>
      <c r="L478" s="22">
        <v>1</v>
      </c>
      <c r="M478" s="22">
        <v>69566</v>
      </c>
      <c r="N478" s="18" t="s">
        <v>53</v>
      </c>
      <c r="O478" s="22" t="s">
        <v>137</v>
      </c>
      <c r="P478" s="23">
        <v>0</v>
      </c>
      <c r="Q478" s="22"/>
      <c r="R478" s="23">
        <v>16.531831119544499</v>
      </c>
      <c r="S478" s="24">
        <v>46054</v>
      </c>
      <c r="T478" s="23">
        <v>0</v>
      </c>
      <c r="U478" s="25">
        <v>4</v>
      </c>
      <c r="V478" s="23">
        <v>0</v>
      </c>
      <c r="W478" s="18" t="s">
        <v>47</v>
      </c>
      <c r="X478" s="18" t="s">
        <v>48</v>
      </c>
      <c r="Y478" s="18" t="s">
        <v>36</v>
      </c>
      <c r="Z478" s="18" t="s">
        <v>9</v>
      </c>
      <c r="AA478" s="18" t="s">
        <v>49</v>
      </c>
      <c r="AB478" s="18" t="s">
        <v>138</v>
      </c>
      <c r="AC478" s="18" t="s">
        <v>38</v>
      </c>
      <c r="AD478" s="7" t="s">
        <v>267</v>
      </c>
      <c r="AE478" s="26"/>
      <c r="AF478" s="26"/>
      <c r="AG478" s="26"/>
      <c r="AH478" s="26"/>
      <c r="AI478" s="27"/>
      <c r="AJ478" s="27"/>
      <c r="AK478" s="27"/>
      <c r="AL478" s="27"/>
      <c r="AM478" s="27"/>
      <c r="AN478" s="27"/>
      <c r="AO478" s="27"/>
      <c r="AP478" s="27"/>
      <c r="AQ478" s="27"/>
      <c r="AR478" s="27"/>
      <c r="AS478" s="27"/>
      <c r="AT478" s="27"/>
      <c r="AU478" s="27"/>
      <c r="AV478" s="27"/>
      <c r="AW478" s="27"/>
    </row>
    <row r="479" spans="1:49" s="17" customFormat="1" ht="31.5" x14ac:dyDescent="0.25">
      <c r="A479" s="18" t="s">
        <v>93</v>
      </c>
      <c r="B479" s="19">
        <v>46048</v>
      </c>
      <c r="C479" s="19">
        <v>46048</v>
      </c>
      <c r="D479" s="18" t="s">
        <v>30</v>
      </c>
      <c r="E479" s="20">
        <v>0.79166666666666663</v>
      </c>
      <c r="F479" s="20">
        <v>0.99930555555555556</v>
      </c>
      <c r="G479" s="28">
        <v>1.7361111111111109E-4</v>
      </c>
      <c r="H479" s="29" t="s">
        <v>139</v>
      </c>
      <c r="I479" s="21">
        <v>0.85946759259259264</v>
      </c>
      <c r="J479" s="18" t="s">
        <v>136</v>
      </c>
      <c r="K479" s="18" t="s">
        <v>157</v>
      </c>
      <c r="L479" s="22">
        <v>1</v>
      </c>
      <c r="M479" s="22">
        <v>69566</v>
      </c>
      <c r="N479" s="18" t="s">
        <v>53</v>
      </c>
      <c r="O479" s="22" t="s">
        <v>137</v>
      </c>
      <c r="P479" s="23">
        <v>0</v>
      </c>
      <c r="Q479" s="22"/>
      <c r="R479" s="23">
        <v>16.531831119544499</v>
      </c>
      <c r="S479" s="24">
        <v>46054</v>
      </c>
      <c r="T479" s="23">
        <v>0</v>
      </c>
      <c r="U479" s="25">
        <v>4</v>
      </c>
      <c r="V479" s="23">
        <v>0</v>
      </c>
      <c r="W479" s="18" t="s">
        <v>47</v>
      </c>
      <c r="X479" s="18" t="s">
        <v>48</v>
      </c>
      <c r="Y479" s="18" t="s">
        <v>36</v>
      </c>
      <c r="Z479" s="18" t="s">
        <v>9</v>
      </c>
      <c r="AA479" s="18" t="s">
        <v>49</v>
      </c>
      <c r="AB479" s="18" t="s">
        <v>138</v>
      </c>
      <c r="AC479" s="18" t="s">
        <v>38</v>
      </c>
      <c r="AD479" s="7" t="s">
        <v>267</v>
      </c>
      <c r="AE479" s="9"/>
      <c r="AF479" s="9"/>
      <c r="AG479" s="9"/>
      <c r="AH479" s="9"/>
      <c r="AI479" s="9"/>
      <c r="AJ479" s="9"/>
      <c r="AK479" s="9"/>
      <c r="AL479" s="9"/>
      <c r="AM479" s="9"/>
      <c r="AN479" s="9"/>
      <c r="AO479" s="9"/>
      <c r="AP479" s="9"/>
      <c r="AQ479" s="9"/>
      <c r="AR479" s="9"/>
      <c r="AS479" s="9"/>
      <c r="AT479" s="9"/>
      <c r="AU479" s="9"/>
      <c r="AV479" s="9"/>
      <c r="AW479" s="9"/>
    </row>
    <row r="480" spans="1:49" s="34" customFormat="1" ht="31.5" x14ac:dyDescent="0.25">
      <c r="A480" s="18" t="s">
        <v>93</v>
      </c>
      <c r="B480" s="19">
        <v>46048</v>
      </c>
      <c r="C480" s="19">
        <v>46048</v>
      </c>
      <c r="D480" s="18" t="s">
        <v>30</v>
      </c>
      <c r="E480" s="20">
        <v>0.79166666666666663</v>
      </c>
      <c r="F480" s="20">
        <v>0.99930555555555556</v>
      </c>
      <c r="G480" s="28">
        <v>1.7361111111111109E-4</v>
      </c>
      <c r="H480" s="29" t="s">
        <v>135</v>
      </c>
      <c r="I480" s="21">
        <v>0.9054861111111111</v>
      </c>
      <c r="J480" s="18" t="s">
        <v>136</v>
      </c>
      <c r="K480" s="18" t="s">
        <v>147</v>
      </c>
      <c r="L480" s="22">
        <v>1</v>
      </c>
      <c r="M480" s="22">
        <v>69567</v>
      </c>
      <c r="N480" s="18" t="s">
        <v>46</v>
      </c>
      <c r="O480" s="22" t="s">
        <v>137</v>
      </c>
      <c r="P480" s="23">
        <v>0</v>
      </c>
      <c r="Q480" s="22"/>
      <c r="R480" s="23">
        <v>0</v>
      </c>
      <c r="S480" s="24">
        <v>46054</v>
      </c>
      <c r="T480" s="23">
        <v>0</v>
      </c>
      <c r="U480" s="25">
        <v>4</v>
      </c>
      <c r="V480" s="23">
        <v>0</v>
      </c>
      <c r="W480" s="18" t="s">
        <v>47</v>
      </c>
      <c r="X480" s="18" t="s">
        <v>48</v>
      </c>
      <c r="Y480" s="18" t="s">
        <v>36</v>
      </c>
      <c r="Z480" s="18" t="s">
        <v>9</v>
      </c>
      <c r="AA480" s="18" t="s">
        <v>49</v>
      </c>
      <c r="AB480" s="18" t="s">
        <v>138</v>
      </c>
      <c r="AC480" s="18" t="s">
        <v>38</v>
      </c>
      <c r="AD480" s="7" t="s">
        <v>267</v>
      </c>
      <c r="AE480" s="33"/>
      <c r="AF480" s="33"/>
      <c r="AG480" s="33"/>
      <c r="AH480" s="33"/>
      <c r="AI480" s="30"/>
      <c r="AJ480" s="30"/>
      <c r="AK480" s="30"/>
      <c r="AL480" s="30"/>
      <c r="AM480" s="30"/>
      <c r="AN480" s="30"/>
      <c r="AO480" s="30"/>
      <c r="AP480" s="30"/>
      <c r="AQ480" s="30"/>
      <c r="AR480" s="30"/>
      <c r="AS480" s="30"/>
      <c r="AT480" s="30"/>
      <c r="AU480" s="30"/>
      <c r="AV480" s="30"/>
      <c r="AW480" s="30"/>
    </row>
    <row r="481" spans="1:49" s="17" customFormat="1" ht="31.5" x14ac:dyDescent="0.25">
      <c r="A481" s="18" t="s">
        <v>93</v>
      </c>
      <c r="B481" s="19">
        <v>46048</v>
      </c>
      <c r="C481" s="19">
        <v>46048</v>
      </c>
      <c r="D481" s="18" t="s">
        <v>30</v>
      </c>
      <c r="E481" s="20">
        <v>0.79166666666666663</v>
      </c>
      <c r="F481" s="20">
        <v>0.99930555555555556</v>
      </c>
      <c r="G481" s="28">
        <v>1.7361111111111109E-4</v>
      </c>
      <c r="H481" s="29" t="s">
        <v>139</v>
      </c>
      <c r="I481" s="21">
        <v>0.90652777777777782</v>
      </c>
      <c r="J481" s="18" t="s">
        <v>136</v>
      </c>
      <c r="K481" s="18" t="s">
        <v>147</v>
      </c>
      <c r="L481" s="22">
        <v>1</v>
      </c>
      <c r="M481" s="22">
        <v>69567</v>
      </c>
      <c r="N481" s="18" t="s">
        <v>46</v>
      </c>
      <c r="O481" s="22" t="s">
        <v>137</v>
      </c>
      <c r="P481" s="23">
        <v>0</v>
      </c>
      <c r="Q481" s="22"/>
      <c r="R481" s="23">
        <v>0</v>
      </c>
      <c r="S481" s="24">
        <v>46054</v>
      </c>
      <c r="T481" s="23">
        <v>0</v>
      </c>
      <c r="U481" s="25">
        <v>4</v>
      </c>
      <c r="V481" s="23">
        <v>0</v>
      </c>
      <c r="W481" s="18" t="s">
        <v>47</v>
      </c>
      <c r="X481" s="18" t="s">
        <v>48</v>
      </c>
      <c r="Y481" s="18" t="s">
        <v>36</v>
      </c>
      <c r="Z481" s="18" t="s">
        <v>9</v>
      </c>
      <c r="AA481" s="18" t="s">
        <v>49</v>
      </c>
      <c r="AB481" s="18" t="s">
        <v>138</v>
      </c>
      <c r="AC481" s="18" t="s">
        <v>38</v>
      </c>
      <c r="AD481" s="7" t="s">
        <v>267</v>
      </c>
      <c r="AE481" s="33"/>
      <c r="AF481" s="33"/>
      <c r="AG481" s="33"/>
      <c r="AH481" s="33"/>
      <c r="AI481" s="30"/>
      <c r="AJ481" s="30"/>
      <c r="AK481" s="30"/>
      <c r="AL481" s="30"/>
      <c r="AM481" s="30"/>
      <c r="AN481" s="30"/>
      <c r="AO481" s="30"/>
      <c r="AP481" s="30"/>
      <c r="AQ481" s="30"/>
      <c r="AR481" s="30"/>
      <c r="AS481" s="30"/>
      <c r="AT481" s="30"/>
      <c r="AU481" s="30"/>
      <c r="AV481" s="30"/>
      <c r="AW481" s="30"/>
    </row>
    <row r="482" spans="1:49" s="17" customFormat="1" ht="31.5" x14ac:dyDescent="0.25">
      <c r="A482" s="18" t="s">
        <v>93</v>
      </c>
      <c r="B482" s="19">
        <v>46048</v>
      </c>
      <c r="C482" s="19">
        <v>46048</v>
      </c>
      <c r="D482" s="18" t="s">
        <v>30</v>
      </c>
      <c r="E482" s="20">
        <v>0.79166666666666663</v>
      </c>
      <c r="F482" s="20">
        <v>0.99930555555555556</v>
      </c>
      <c r="G482" s="28">
        <v>1.7361111111111109E-4</v>
      </c>
      <c r="H482" s="29" t="s">
        <v>135</v>
      </c>
      <c r="I482" s="21">
        <v>0.9537268518518518</v>
      </c>
      <c r="J482" s="18" t="s">
        <v>136</v>
      </c>
      <c r="K482" s="18" t="s">
        <v>158</v>
      </c>
      <c r="L482" s="22">
        <v>1</v>
      </c>
      <c r="M482" s="22">
        <v>69566</v>
      </c>
      <c r="N482" s="18" t="s">
        <v>53</v>
      </c>
      <c r="O482" s="22" t="s">
        <v>137</v>
      </c>
      <c r="P482" s="23">
        <v>0</v>
      </c>
      <c r="Q482" s="22"/>
      <c r="R482" s="23">
        <v>16.531831119544499</v>
      </c>
      <c r="S482" s="24">
        <v>46054</v>
      </c>
      <c r="T482" s="23">
        <v>0</v>
      </c>
      <c r="U482" s="25">
        <v>4</v>
      </c>
      <c r="V482" s="23">
        <v>0</v>
      </c>
      <c r="W482" s="18" t="s">
        <v>47</v>
      </c>
      <c r="X482" s="18" t="s">
        <v>48</v>
      </c>
      <c r="Y482" s="18" t="s">
        <v>36</v>
      </c>
      <c r="Z482" s="18" t="s">
        <v>9</v>
      </c>
      <c r="AA482" s="18" t="s">
        <v>49</v>
      </c>
      <c r="AB482" s="18" t="s">
        <v>138</v>
      </c>
      <c r="AC482" s="18" t="s">
        <v>38</v>
      </c>
      <c r="AD482" s="7" t="s">
        <v>267</v>
      </c>
      <c r="AE482" s="9"/>
      <c r="AF482" s="9"/>
      <c r="AG482" s="9"/>
      <c r="AH482" s="9"/>
      <c r="AI482" s="9"/>
      <c r="AJ482" s="9"/>
      <c r="AK482" s="9"/>
      <c r="AL482" s="9"/>
      <c r="AM482" s="9"/>
      <c r="AN482" s="9"/>
      <c r="AO482" s="9"/>
      <c r="AP482" s="9"/>
      <c r="AQ482" s="9"/>
      <c r="AR482" s="9"/>
      <c r="AS482" s="9"/>
      <c r="AT482" s="9"/>
      <c r="AU482" s="9"/>
      <c r="AV482" s="9"/>
      <c r="AW482" s="9"/>
    </row>
    <row r="483" spans="1:49" s="34" customFormat="1" ht="31.5" x14ac:dyDescent="0.25">
      <c r="A483" s="18" t="s">
        <v>93</v>
      </c>
      <c r="B483" s="19">
        <v>46048</v>
      </c>
      <c r="C483" s="19">
        <v>46048</v>
      </c>
      <c r="D483" s="18" t="s">
        <v>30</v>
      </c>
      <c r="E483" s="20">
        <v>0.79166666666666663</v>
      </c>
      <c r="F483" s="20">
        <v>0.99930555555555556</v>
      </c>
      <c r="G483" s="28">
        <v>1.7361111111111109E-4</v>
      </c>
      <c r="H483" s="29" t="s">
        <v>139</v>
      </c>
      <c r="I483" s="21">
        <v>0.95442129629629635</v>
      </c>
      <c r="J483" s="18" t="s">
        <v>136</v>
      </c>
      <c r="K483" s="18" t="s">
        <v>158</v>
      </c>
      <c r="L483" s="22">
        <v>1</v>
      </c>
      <c r="M483" s="22">
        <v>69566</v>
      </c>
      <c r="N483" s="18" t="s">
        <v>53</v>
      </c>
      <c r="O483" s="22" t="s">
        <v>137</v>
      </c>
      <c r="P483" s="23">
        <v>0</v>
      </c>
      <c r="Q483" s="22"/>
      <c r="R483" s="23">
        <v>16.531831119544499</v>
      </c>
      <c r="S483" s="24">
        <v>46054</v>
      </c>
      <c r="T483" s="23">
        <v>0</v>
      </c>
      <c r="U483" s="25">
        <v>4</v>
      </c>
      <c r="V483" s="23">
        <v>0</v>
      </c>
      <c r="W483" s="18" t="s">
        <v>47</v>
      </c>
      <c r="X483" s="18" t="s">
        <v>48</v>
      </c>
      <c r="Y483" s="18" t="s">
        <v>36</v>
      </c>
      <c r="Z483" s="18" t="s">
        <v>9</v>
      </c>
      <c r="AA483" s="18" t="s">
        <v>49</v>
      </c>
      <c r="AB483" s="18" t="s">
        <v>138</v>
      </c>
      <c r="AC483" s="18" t="s">
        <v>38</v>
      </c>
      <c r="AD483" s="7" t="s">
        <v>267</v>
      </c>
      <c r="AE483" s="33"/>
      <c r="AF483" s="33"/>
      <c r="AG483" s="33"/>
      <c r="AH483" s="33"/>
      <c r="AI483" s="30"/>
      <c r="AJ483" s="30"/>
      <c r="AK483" s="30"/>
      <c r="AL483" s="30"/>
      <c r="AM483" s="30"/>
      <c r="AN483" s="30"/>
      <c r="AO483" s="30"/>
      <c r="AP483" s="30"/>
      <c r="AQ483" s="30"/>
      <c r="AR483" s="30"/>
      <c r="AS483" s="30"/>
      <c r="AT483" s="30"/>
      <c r="AU483" s="30"/>
      <c r="AV483" s="30"/>
      <c r="AW483" s="30"/>
    </row>
    <row r="484" spans="1:49" s="17" customFormat="1" ht="31.5" x14ac:dyDescent="0.25">
      <c r="A484" s="18" t="s">
        <v>93</v>
      </c>
      <c r="B484" s="19">
        <v>46048</v>
      </c>
      <c r="C484" s="19">
        <v>46048</v>
      </c>
      <c r="D484" s="18" t="s">
        <v>30</v>
      </c>
      <c r="E484" s="20">
        <v>0.79166666666666663</v>
      </c>
      <c r="F484" s="20">
        <v>0.99930555555555556</v>
      </c>
      <c r="G484" s="28">
        <v>1.7361111111111109E-4</v>
      </c>
      <c r="H484" s="29" t="s">
        <v>135</v>
      </c>
      <c r="I484" s="21">
        <v>0.97679398148148144</v>
      </c>
      <c r="J484" s="18" t="s">
        <v>136</v>
      </c>
      <c r="K484" s="18" t="s">
        <v>158</v>
      </c>
      <c r="L484" s="22">
        <v>1</v>
      </c>
      <c r="M484" s="22">
        <v>69566</v>
      </c>
      <c r="N484" s="18" t="s">
        <v>53</v>
      </c>
      <c r="O484" s="22" t="s">
        <v>137</v>
      </c>
      <c r="P484" s="23">
        <v>0</v>
      </c>
      <c r="Q484" s="22"/>
      <c r="R484" s="23">
        <v>16.531831119544499</v>
      </c>
      <c r="S484" s="24">
        <v>46054</v>
      </c>
      <c r="T484" s="23">
        <v>0</v>
      </c>
      <c r="U484" s="25">
        <v>4</v>
      </c>
      <c r="V484" s="23">
        <v>0</v>
      </c>
      <c r="W484" s="18" t="s">
        <v>47</v>
      </c>
      <c r="X484" s="18" t="s">
        <v>48</v>
      </c>
      <c r="Y484" s="18" t="s">
        <v>36</v>
      </c>
      <c r="Z484" s="18" t="s">
        <v>9</v>
      </c>
      <c r="AA484" s="18" t="s">
        <v>49</v>
      </c>
      <c r="AB484" s="18" t="s">
        <v>138</v>
      </c>
      <c r="AC484" s="18" t="s">
        <v>38</v>
      </c>
      <c r="AD484" s="7" t="s">
        <v>267</v>
      </c>
      <c r="AE484" s="26"/>
      <c r="AF484" s="26"/>
      <c r="AG484" s="26"/>
      <c r="AH484" s="26"/>
      <c r="AI484" s="27"/>
      <c r="AJ484" s="27"/>
      <c r="AK484" s="27"/>
      <c r="AL484" s="27"/>
      <c r="AM484" s="27"/>
      <c r="AN484" s="27"/>
      <c r="AO484" s="27"/>
      <c r="AP484" s="27"/>
      <c r="AQ484" s="27"/>
      <c r="AR484" s="27"/>
      <c r="AS484" s="27"/>
      <c r="AT484" s="27"/>
      <c r="AU484" s="27"/>
      <c r="AV484" s="27"/>
      <c r="AW484" s="27"/>
    </row>
    <row r="485" spans="1:49" s="34" customFormat="1" ht="31.5" x14ac:dyDescent="0.25">
      <c r="A485" s="18" t="s">
        <v>93</v>
      </c>
      <c r="B485" s="19">
        <v>46048</v>
      </c>
      <c r="C485" s="19">
        <v>46048</v>
      </c>
      <c r="D485" s="18" t="s">
        <v>30</v>
      </c>
      <c r="E485" s="20">
        <v>0.79166666666666663</v>
      </c>
      <c r="F485" s="20">
        <v>0.99930555555555556</v>
      </c>
      <c r="G485" s="28">
        <v>1.7361111111111109E-4</v>
      </c>
      <c r="H485" s="29" t="s">
        <v>139</v>
      </c>
      <c r="I485" s="21">
        <v>0.9773263888888889</v>
      </c>
      <c r="J485" s="18" t="s">
        <v>136</v>
      </c>
      <c r="K485" s="18" t="s">
        <v>158</v>
      </c>
      <c r="L485" s="22">
        <v>1</v>
      </c>
      <c r="M485" s="22">
        <v>69566</v>
      </c>
      <c r="N485" s="18" t="s">
        <v>53</v>
      </c>
      <c r="O485" s="22" t="s">
        <v>137</v>
      </c>
      <c r="P485" s="23">
        <v>0</v>
      </c>
      <c r="Q485" s="22"/>
      <c r="R485" s="23">
        <v>16.531831119544499</v>
      </c>
      <c r="S485" s="24">
        <v>46054</v>
      </c>
      <c r="T485" s="23">
        <v>0</v>
      </c>
      <c r="U485" s="25">
        <v>4</v>
      </c>
      <c r="V485" s="23">
        <v>0</v>
      </c>
      <c r="W485" s="18" t="s">
        <v>47</v>
      </c>
      <c r="X485" s="18" t="s">
        <v>48</v>
      </c>
      <c r="Y485" s="18" t="s">
        <v>36</v>
      </c>
      <c r="Z485" s="18" t="s">
        <v>9</v>
      </c>
      <c r="AA485" s="18" t="s">
        <v>49</v>
      </c>
      <c r="AB485" s="18" t="s">
        <v>138</v>
      </c>
      <c r="AC485" s="18" t="s">
        <v>38</v>
      </c>
      <c r="AD485" s="7" t="s">
        <v>267</v>
      </c>
      <c r="AE485" s="26"/>
      <c r="AF485" s="26"/>
      <c r="AG485" s="26"/>
      <c r="AH485" s="26"/>
      <c r="AI485" s="27"/>
      <c r="AJ485" s="27"/>
      <c r="AK485" s="27"/>
      <c r="AL485" s="27"/>
      <c r="AM485" s="27"/>
      <c r="AN485" s="27"/>
      <c r="AO485" s="27"/>
      <c r="AP485" s="27"/>
      <c r="AQ485" s="27"/>
      <c r="AR485" s="27"/>
      <c r="AS485" s="27"/>
      <c r="AT485" s="27"/>
      <c r="AU485" s="27"/>
      <c r="AV485" s="27"/>
      <c r="AW485" s="27"/>
    </row>
    <row r="486" spans="1:49" s="17" customFormat="1" ht="31.5" x14ac:dyDescent="0.25">
      <c r="A486" s="18" t="s">
        <v>93</v>
      </c>
      <c r="B486" s="19">
        <v>46048</v>
      </c>
      <c r="C486" s="19">
        <v>46048</v>
      </c>
      <c r="D486" s="18" t="s">
        <v>30</v>
      </c>
      <c r="E486" s="20">
        <v>0.79166666666666663</v>
      </c>
      <c r="F486" s="20">
        <v>0.99930555555555556</v>
      </c>
      <c r="G486" s="28">
        <v>1.7361111111111109E-4</v>
      </c>
      <c r="H486" s="29" t="s">
        <v>135</v>
      </c>
      <c r="I486" s="21">
        <v>0.97821759259259256</v>
      </c>
      <c r="J486" s="18" t="s">
        <v>136</v>
      </c>
      <c r="K486" s="18" t="s">
        <v>158</v>
      </c>
      <c r="L486" s="22">
        <v>1</v>
      </c>
      <c r="M486" s="22">
        <v>69567</v>
      </c>
      <c r="N486" s="18" t="s">
        <v>46</v>
      </c>
      <c r="O486" s="22" t="s">
        <v>137</v>
      </c>
      <c r="P486" s="23">
        <v>0</v>
      </c>
      <c r="Q486" s="22"/>
      <c r="R486" s="23">
        <v>0</v>
      </c>
      <c r="S486" s="24">
        <v>46054</v>
      </c>
      <c r="T486" s="23">
        <v>0</v>
      </c>
      <c r="U486" s="25">
        <v>4</v>
      </c>
      <c r="V486" s="23">
        <v>0</v>
      </c>
      <c r="W486" s="18" t="s">
        <v>47</v>
      </c>
      <c r="X486" s="18" t="s">
        <v>48</v>
      </c>
      <c r="Y486" s="18" t="s">
        <v>36</v>
      </c>
      <c r="Z486" s="18" t="s">
        <v>9</v>
      </c>
      <c r="AA486" s="18" t="s">
        <v>49</v>
      </c>
      <c r="AB486" s="18" t="s">
        <v>138</v>
      </c>
      <c r="AC486" s="18" t="s">
        <v>38</v>
      </c>
      <c r="AD486" s="7" t="s">
        <v>267</v>
      </c>
      <c r="AI486" s="30"/>
      <c r="AJ486" s="30"/>
      <c r="AK486" s="30"/>
      <c r="AL486" s="30"/>
      <c r="AM486" s="30"/>
      <c r="AN486" s="30"/>
      <c r="AO486" s="30"/>
      <c r="AP486" s="30"/>
      <c r="AQ486" s="30"/>
      <c r="AR486" s="30"/>
      <c r="AS486" s="30"/>
      <c r="AT486" s="30"/>
      <c r="AU486" s="30"/>
      <c r="AV486" s="30"/>
      <c r="AW486" s="30"/>
    </row>
    <row r="487" spans="1:49" s="34" customFormat="1" ht="31.5" x14ac:dyDescent="0.25">
      <c r="A487" s="18" t="s">
        <v>93</v>
      </c>
      <c r="B487" s="19">
        <v>46048</v>
      </c>
      <c r="C487" s="19">
        <v>46048</v>
      </c>
      <c r="D487" s="18" t="s">
        <v>30</v>
      </c>
      <c r="E487" s="20">
        <v>0.79166666666666663</v>
      </c>
      <c r="F487" s="20">
        <v>0.99930555555555556</v>
      </c>
      <c r="G487" s="28">
        <v>1.7361111111111109E-4</v>
      </c>
      <c r="H487" s="29" t="s">
        <v>139</v>
      </c>
      <c r="I487" s="21">
        <v>0.97875000000000001</v>
      </c>
      <c r="J487" s="18" t="s">
        <v>136</v>
      </c>
      <c r="K487" s="18" t="s">
        <v>158</v>
      </c>
      <c r="L487" s="22">
        <v>1</v>
      </c>
      <c r="M487" s="22">
        <v>69567</v>
      </c>
      <c r="N487" s="18" t="s">
        <v>46</v>
      </c>
      <c r="O487" s="22" t="s">
        <v>137</v>
      </c>
      <c r="P487" s="23">
        <v>0</v>
      </c>
      <c r="Q487" s="22"/>
      <c r="R487" s="23">
        <v>0</v>
      </c>
      <c r="S487" s="24">
        <v>46054</v>
      </c>
      <c r="T487" s="23">
        <v>0</v>
      </c>
      <c r="U487" s="25">
        <v>4</v>
      </c>
      <c r="V487" s="23">
        <v>0</v>
      </c>
      <c r="W487" s="18" t="s">
        <v>47</v>
      </c>
      <c r="X487" s="18" t="s">
        <v>48</v>
      </c>
      <c r="Y487" s="18" t="s">
        <v>36</v>
      </c>
      <c r="Z487" s="18" t="s">
        <v>9</v>
      </c>
      <c r="AA487" s="18" t="s">
        <v>49</v>
      </c>
      <c r="AB487" s="18" t="s">
        <v>138</v>
      </c>
      <c r="AC487" s="18" t="s">
        <v>38</v>
      </c>
      <c r="AD487" s="7" t="s">
        <v>267</v>
      </c>
      <c r="AE487" s="26"/>
      <c r="AF487" s="26"/>
      <c r="AG487" s="26"/>
      <c r="AH487" s="26"/>
      <c r="AI487" s="27"/>
      <c r="AJ487" s="27"/>
      <c r="AK487" s="27"/>
      <c r="AL487" s="27"/>
      <c r="AM487" s="27"/>
      <c r="AN487" s="27"/>
      <c r="AO487" s="27"/>
      <c r="AP487" s="27"/>
      <c r="AQ487" s="27"/>
      <c r="AR487" s="27"/>
      <c r="AS487" s="27"/>
      <c r="AT487" s="27"/>
      <c r="AU487" s="27"/>
      <c r="AV487" s="27"/>
      <c r="AW487" s="27"/>
    </row>
    <row r="488" spans="1:49" s="17" customFormat="1" ht="31.5" x14ac:dyDescent="0.25">
      <c r="A488" s="18" t="s">
        <v>93</v>
      </c>
      <c r="B488" s="19">
        <v>46049</v>
      </c>
      <c r="C488" s="19">
        <v>46049</v>
      </c>
      <c r="D488" s="18" t="s">
        <v>166</v>
      </c>
      <c r="E488" s="20">
        <v>0.45833333333333331</v>
      </c>
      <c r="F488" s="20">
        <v>0.54166666666666663</v>
      </c>
      <c r="G488" s="28">
        <v>1.7361111111111109E-4</v>
      </c>
      <c r="H488" s="29" t="s">
        <v>98</v>
      </c>
      <c r="I488" s="21">
        <v>0.47346064814814814</v>
      </c>
      <c r="J488" s="18" t="s">
        <v>80</v>
      </c>
      <c r="K488" s="18" t="s">
        <v>175</v>
      </c>
      <c r="L488" s="22">
        <v>1</v>
      </c>
      <c r="M488" s="22">
        <v>69570</v>
      </c>
      <c r="N488" s="18" t="s">
        <v>53</v>
      </c>
      <c r="O488" s="22" t="s">
        <v>95</v>
      </c>
      <c r="P488" s="23">
        <v>0</v>
      </c>
      <c r="Q488" s="22"/>
      <c r="R488" s="23">
        <v>19.042139037433099</v>
      </c>
      <c r="S488" s="24">
        <v>46054</v>
      </c>
      <c r="T488" s="23">
        <v>0</v>
      </c>
      <c r="U488" s="25">
        <v>4</v>
      </c>
      <c r="V488" s="23">
        <v>0</v>
      </c>
      <c r="W488" s="18" t="s">
        <v>47</v>
      </c>
      <c r="X488" s="18" t="s">
        <v>48</v>
      </c>
      <c r="Y488" s="18" t="s">
        <v>36</v>
      </c>
      <c r="Z488" s="18" t="s">
        <v>9</v>
      </c>
      <c r="AA488" s="18" t="s">
        <v>49</v>
      </c>
      <c r="AB488" s="18" t="s">
        <v>96</v>
      </c>
      <c r="AC488" s="18" t="s">
        <v>38</v>
      </c>
      <c r="AD488" s="7" t="s">
        <v>267</v>
      </c>
      <c r="AE488" s="45"/>
      <c r="AF488" s="45"/>
      <c r="AG488" s="45"/>
      <c r="AH488" s="45"/>
      <c r="AI488" s="30"/>
      <c r="AJ488" s="30"/>
      <c r="AK488" s="30"/>
      <c r="AL488" s="30"/>
      <c r="AM488" s="30"/>
      <c r="AN488" s="30"/>
      <c r="AO488" s="30"/>
      <c r="AP488" s="30"/>
      <c r="AQ488" s="30"/>
      <c r="AR488" s="30"/>
      <c r="AS488" s="30"/>
      <c r="AT488" s="30"/>
      <c r="AU488" s="30"/>
      <c r="AV488" s="30"/>
      <c r="AW488" s="30"/>
    </row>
    <row r="489" spans="1:49" s="17" customFormat="1" ht="31.5" x14ac:dyDescent="0.25">
      <c r="A489" s="18" t="s">
        <v>93</v>
      </c>
      <c r="B489" s="19">
        <v>46049</v>
      </c>
      <c r="C489" s="19">
        <v>46049</v>
      </c>
      <c r="D489" s="18" t="s">
        <v>166</v>
      </c>
      <c r="E489" s="20">
        <v>0.45833333333333331</v>
      </c>
      <c r="F489" s="20">
        <v>0.54166666666666663</v>
      </c>
      <c r="G489" s="28">
        <v>1.7361111111111109E-4</v>
      </c>
      <c r="H489" s="29" t="s">
        <v>97</v>
      </c>
      <c r="I489" s="21">
        <v>0.47502314814814817</v>
      </c>
      <c r="J489" s="18" t="s">
        <v>80</v>
      </c>
      <c r="K489" s="18" t="s">
        <v>175</v>
      </c>
      <c r="L489" s="22">
        <v>1</v>
      </c>
      <c r="M489" s="22">
        <v>69570</v>
      </c>
      <c r="N489" s="18" t="s">
        <v>53</v>
      </c>
      <c r="O489" s="22" t="s">
        <v>95</v>
      </c>
      <c r="P489" s="23">
        <v>0</v>
      </c>
      <c r="Q489" s="22"/>
      <c r="R489" s="23">
        <v>19.042139037433099</v>
      </c>
      <c r="S489" s="24">
        <v>46054</v>
      </c>
      <c r="T489" s="23">
        <v>0</v>
      </c>
      <c r="U489" s="25">
        <v>4</v>
      </c>
      <c r="V489" s="23">
        <v>0</v>
      </c>
      <c r="W489" s="18" t="s">
        <v>47</v>
      </c>
      <c r="X489" s="18" t="s">
        <v>48</v>
      </c>
      <c r="Y489" s="18" t="s">
        <v>36</v>
      </c>
      <c r="Z489" s="18" t="s">
        <v>9</v>
      </c>
      <c r="AA489" s="18" t="s">
        <v>49</v>
      </c>
      <c r="AB489" s="18" t="s">
        <v>96</v>
      </c>
      <c r="AC489" s="18" t="s">
        <v>38</v>
      </c>
      <c r="AD489" s="7" t="s">
        <v>267</v>
      </c>
      <c r="AE489" s="9"/>
      <c r="AF489" s="9"/>
      <c r="AG489" s="9"/>
      <c r="AH489" s="9"/>
      <c r="AI489" s="9"/>
      <c r="AJ489" s="9"/>
      <c r="AK489" s="9"/>
      <c r="AL489" s="9"/>
      <c r="AM489" s="9"/>
      <c r="AN489" s="9"/>
      <c r="AO489" s="9"/>
      <c r="AP489" s="9"/>
      <c r="AQ489" s="9"/>
      <c r="AR489" s="9"/>
      <c r="AS489" s="9"/>
      <c r="AT489" s="9"/>
      <c r="AU489" s="9"/>
      <c r="AV489" s="9"/>
      <c r="AW489" s="9"/>
    </row>
    <row r="490" spans="1:49" s="17" customFormat="1" ht="31.5" x14ac:dyDescent="0.25">
      <c r="A490" s="18" t="s">
        <v>93</v>
      </c>
      <c r="B490" s="19">
        <v>46049</v>
      </c>
      <c r="C490" s="19">
        <v>46049</v>
      </c>
      <c r="D490" s="18" t="s">
        <v>166</v>
      </c>
      <c r="E490" s="20">
        <v>0.45833333333333331</v>
      </c>
      <c r="F490" s="20">
        <v>0.54166666666666663</v>
      </c>
      <c r="G490" s="28">
        <v>1.7361111111111109E-4</v>
      </c>
      <c r="H490" s="29" t="s">
        <v>94</v>
      </c>
      <c r="I490" s="21">
        <v>0.48731481481481481</v>
      </c>
      <c r="J490" s="18" t="s">
        <v>80</v>
      </c>
      <c r="K490" s="18" t="s">
        <v>150</v>
      </c>
      <c r="L490" s="22">
        <v>1</v>
      </c>
      <c r="M490" s="22">
        <v>69570</v>
      </c>
      <c r="N490" s="18" t="s">
        <v>53</v>
      </c>
      <c r="O490" s="22" t="s">
        <v>95</v>
      </c>
      <c r="P490" s="23">
        <v>0</v>
      </c>
      <c r="Q490" s="22"/>
      <c r="R490" s="23">
        <v>19.042139037433099</v>
      </c>
      <c r="S490" s="24">
        <v>46054</v>
      </c>
      <c r="T490" s="23">
        <v>0</v>
      </c>
      <c r="U490" s="25">
        <v>4</v>
      </c>
      <c r="V490" s="23">
        <v>0</v>
      </c>
      <c r="W490" s="18" t="s">
        <v>47</v>
      </c>
      <c r="X490" s="18" t="s">
        <v>48</v>
      </c>
      <c r="Y490" s="18" t="s">
        <v>36</v>
      </c>
      <c r="Z490" s="18" t="s">
        <v>9</v>
      </c>
      <c r="AA490" s="18" t="s">
        <v>49</v>
      </c>
      <c r="AB490" s="18" t="s">
        <v>96</v>
      </c>
      <c r="AC490" s="18" t="s">
        <v>38</v>
      </c>
      <c r="AD490" s="7" t="s">
        <v>267</v>
      </c>
      <c r="AE490" s="9"/>
      <c r="AF490" s="9"/>
      <c r="AG490" s="9"/>
      <c r="AH490" s="9"/>
      <c r="AI490" s="9"/>
      <c r="AJ490" s="9"/>
      <c r="AK490" s="9"/>
      <c r="AL490" s="9"/>
      <c r="AM490" s="9"/>
      <c r="AN490" s="9"/>
      <c r="AO490" s="9"/>
      <c r="AP490" s="9"/>
      <c r="AQ490" s="9"/>
      <c r="AR490" s="9"/>
      <c r="AS490" s="9"/>
      <c r="AT490" s="9"/>
      <c r="AU490" s="9"/>
      <c r="AV490" s="9"/>
      <c r="AW490" s="9"/>
    </row>
    <row r="491" spans="1:49" s="17" customFormat="1" ht="31.5" x14ac:dyDescent="0.25">
      <c r="A491" s="18" t="s">
        <v>93</v>
      </c>
      <c r="B491" s="19">
        <v>46049</v>
      </c>
      <c r="C491" s="19">
        <v>46049</v>
      </c>
      <c r="D491" s="18" t="s">
        <v>166</v>
      </c>
      <c r="E491" s="20">
        <v>0.45833333333333331</v>
      </c>
      <c r="F491" s="20">
        <v>0.54166666666666663</v>
      </c>
      <c r="G491" s="28">
        <v>1.7361111111111109E-4</v>
      </c>
      <c r="H491" s="29" t="s">
        <v>97</v>
      </c>
      <c r="I491" s="21">
        <v>0.48853009259259261</v>
      </c>
      <c r="J491" s="18" t="s">
        <v>80</v>
      </c>
      <c r="K491" s="18" t="s">
        <v>150</v>
      </c>
      <c r="L491" s="22">
        <v>1</v>
      </c>
      <c r="M491" s="22">
        <v>69570</v>
      </c>
      <c r="N491" s="18" t="s">
        <v>53</v>
      </c>
      <c r="O491" s="22" t="s">
        <v>95</v>
      </c>
      <c r="P491" s="23">
        <v>0</v>
      </c>
      <c r="Q491" s="22"/>
      <c r="R491" s="23">
        <v>19.042139037433099</v>
      </c>
      <c r="S491" s="24">
        <v>46054</v>
      </c>
      <c r="T491" s="23">
        <v>0</v>
      </c>
      <c r="U491" s="25">
        <v>4</v>
      </c>
      <c r="V491" s="23">
        <v>0</v>
      </c>
      <c r="W491" s="18" t="s">
        <v>47</v>
      </c>
      <c r="X491" s="18" t="s">
        <v>48</v>
      </c>
      <c r="Y491" s="18" t="s">
        <v>36</v>
      </c>
      <c r="Z491" s="18" t="s">
        <v>9</v>
      </c>
      <c r="AA491" s="18" t="s">
        <v>49</v>
      </c>
      <c r="AB491" s="18" t="s">
        <v>96</v>
      </c>
      <c r="AC491" s="18" t="s">
        <v>38</v>
      </c>
      <c r="AD491" s="7" t="s">
        <v>267</v>
      </c>
      <c r="AE491" s="26"/>
      <c r="AF491" s="26"/>
      <c r="AG491" s="26"/>
      <c r="AH491" s="26"/>
      <c r="AI491" s="26"/>
      <c r="AJ491" s="26"/>
      <c r="AK491" s="26"/>
      <c r="AL491" s="26"/>
      <c r="AM491" s="26"/>
      <c r="AN491" s="26"/>
      <c r="AO491" s="26"/>
      <c r="AP491" s="26"/>
      <c r="AQ491" s="26"/>
      <c r="AR491" s="26"/>
      <c r="AS491" s="26"/>
      <c r="AT491" s="26"/>
      <c r="AU491" s="26"/>
      <c r="AV491" s="26"/>
      <c r="AW491" s="26"/>
    </row>
    <row r="492" spans="1:49" s="34" customFormat="1" ht="31.5" x14ac:dyDescent="0.25">
      <c r="A492" s="18" t="s">
        <v>93</v>
      </c>
      <c r="B492" s="19">
        <v>46049</v>
      </c>
      <c r="C492" s="19">
        <v>46049</v>
      </c>
      <c r="D492" s="18" t="s">
        <v>166</v>
      </c>
      <c r="E492" s="20">
        <v>0.45833333333333331</v>
      </c>
      <c r="F492" s="20">
        <v>0.54166666666666663</v>
      </c>
      <c r="G492" s="28">
        <v>1.7361111111111109E-4</v>
      </c>
      <c r="H492" s="29" t="s">
        <v>98</v>
      </c>
      <c r="I492" s="21">
        <v>0.51166666666666671</v>
      </c>
      <c r="J492" s="18" t="s">
        <v>80</v>
      </c>
      <c r="K492" s="18" t="s">
        <v>151</v>
      </c>
      <c r="L492" s="22">
        <v>1</v>
      </c>
      <c r="M492" s="22">
        <v>69570</v>
      </c>
      <c r="N492" s="18" t="s">
        <v>53</v>
      </c>
      <c r="O492" s="22" t="s">
        <v>95</v>
      </c>
      <c r="P492" s="23">
        <v>0</v>
      </c>
      <c r="Q492" s="22"/>
      <c r="R492" s="23">
        <v>19.042139037433099</v>
      </c>
      <c r="S492" s="24">
        <v>46054</v>
      </c>
      <c r="T492" s="23">
        <v>0</v>
      </c>
      <c r="U492" s="25">
        <v>4</v>
      </c>
      <c r="V492" s="23">
        <v>0</v>
      </c>
      <c r="W492" s="18" t="s">
        <v>47</v>
      </c>
      <c r="X492" s="18" t="s">
        <v>48</v>
      </c>
      <c r="Y492" s="18" t="s">
        <v>36</v>
      </c>
      <c r="Z492" s="18" t="s">
        <v>9</v>
      </c>
      <c r="AA492" s="18" t="s">
        <v>49</v>
      </c>
      <c r="AB492" s="18" t="s">
        <v>96</v>
      </c>
      <c r="AC492" s="18" t="s">
        <v>38</v>
      </c>
      <c r="AD492" s="7" t="s">
        <v>267</v>
      </c>
      <c r="AE492" s="9"/>
      <c r="AF492" s="9"/>
      <c r="AG492" s="9"/>
      <c r="AH492" s="9"/>
      <c r="AI492" s="9"/>
      <c r="AJ492" s="9"/>
      <c r="AK492" s="9"/>
      <c r="AL492" s="9"/>
      <c r="AM492" s="9"/>
      <c r="AN492" s="9"/>
      <c r="AO492" s="9"/>
      <c r="AP492" s="9"/>
      <c r="AQ492" s="9"/>
      <c r="AR492" s="9"/>
      <c r="AS492" s="9"/>
      <c r="AT492" s="9"/>
      <c r="AU492" s="9"/>
      <c r="AV492" s="9"/>
      <c r="AW492" s="9"/>
    </row>
    <row r="493" spans="1:49" s="17" customFormat="1" ht="31.5" x14ac:dyDescent="0.25">
      <c r="A493" s="18" t="s">
        <v>93</v>
      </c>
      <c r="B493" s="19">
        <v>46049</v>
      </c>
      <c r="C493" s="19">
        <v>46049</v>
      </c>
      <c r="D493" s="18" t="s">
        <v>166</v>
      </c>
      <c r="E493" s="20">
        <v>0.45833333333333331</v>
      </c>
      <c r="F493" s="20">
        <v>0.54166666666666663</v>
      </c>
      <c r="G493" s="28">
        <v>1.7361111111111109E-4</v>
      </c>
      <c r="H493" s="29" t="s">
        <v>97</v>
      </c>
      <c r="I493" s="21">
        <v>0.51393518518518522</v>
      </c>
      <c r="J493" s="18" t="s">
        <v>80</v>
      </c>
      <c r="K493" s="18" t="s">
        <v>151</v>
      </c>
      <c r="L493" s="22">
        <v>1</v>
      </c>
      <c r="M493" s="22">
        <v>69570</v>
      </c>
      <c r="N493" s="18" t="s">
        <v>53</v>
      </c>
      <c r="O493" s="22" t="s">
        <v>95</v>
      </c>
      <c r="P493" s="23">
        <v>0</v>
      </c>
      <c r="Q493" s="22"/>
      <c r="R493" s="23">
        <v>19.042139037433099</v>
      </c>
      <c r="S493" s="24">
        <v>46054</v>
      </c>
      <c r="T493" s="23">
        <v>0</v>
      </c>
      <c r="U493" s="25">
        <v>4</v>
      </c>
      <c r="V493" s="23">
        <v>0</v>
      </c>
      <c r="W493" s="18" t="s">
        <v>47</v>
      </c>
      <c r="X493" s="18" t="s">
        <v>48</v>
      </c>
      <c r="Y493" s="18" t="s">
        <v>36</v>
      </c>
      <c r="Z493" s="18" t="s">
        <v>9</v>
      </c>
      <c r="AA493" s="18" t="s">
        <v>49</v>
      </c>
      <c r="AB493" s="18" t="s">
        <v>96</v>
      </c>
      <c r="AC493" s="18" t="s">
        <v>38</v>
      </c>
      <c r="AD493" s="7" t="s">
        <v>267</v>
      </c>
      <c r="AE493" s="9"/>
      <c r="AF493" s="9"/>
      <c r="AG493" s="9"/>
      <c r="AH493" s="9"/>
      <c r="AI493" s="9"/>
      <c r="AJ493" s="9"/>
      <c r="AK493" s="9"/>
      <c r="AL493" s="9"/>
      <c r="AM493" s="9"/>
      <c r="AN493" s="9"/>
      <c r="AO493" s="9"/>
      <c r="AP493" s="9"/>
      <c r="AQ493" s="9"/>
      <c r="AR493" s="9"/>
      <c r="AS493" s="9"/>
      <c r="AT493" s="9"/>
      <c r="AU493" s="9"/>
      <c r="AV493" s="9"/>
      <c r="AW493" s="9"/>
    </row>
    <row r="494" spans="1:49" s="17" customFormat="1" ht="31.5" x14ac:dyDescent="0.25">
      <c r="A494" s="18" t="s">
        <v>93</v>
      </c>
      <c r="B494" s="19">
        <v>46049</v>
      </c>
      <c r="C494" s="19">
        <v>46049</v>
      </c>
      <c r="D494" s="18" t="s">
        <v>166</v>
      </c>
      <c r="E494" s="20">
        <v>0.79166666666666663</v>
      </c>
      <c r="F494" s="20">
        <v>0.99930555555555556</v>
      </c>
      <c r="G494" s="28">
        <v>1.7361111111111109E-4</v>
      </c>
      <c r="H494" s="29" t="s">
        <v>190</v>
      </c>
      <c r="I494" s="21">
        <v>0.83244270833333334</v>
      </c>
      <c r="J494" s="18" t="s">
        <v>136</v>
      </c>
      <c r="K494" s="18" t="s">
        <v>156</v>
      </c>
      <c r="L494" s="22">
        <v>1</v>
      </c>
      <c r="M494" s="22">
        <v>69567</v>
      </c>
      <c r="N494" s="18" t="s">
        <v>46</v>
      </c>
      <c r="O494" s="22" t="s">
        <v>137</v>
      </c>
      <c r="P494" s="23">
        <v>0</v>
      </c>
      <c r="Q494" s="22"/>
      <c r="R494" s="23">
        <v>0</v>
      </c>
      <c r="S494" s="24">
        <v>46054</v>
      </c>
      <c r="T494" s="23">
        <v>0</v>
      </c>
      <c r="U494" s="25">
        <v>4</v>
      </c>
      <c r="V494" s="23">
        <v>0</v>
      </c>
      <c r="W494" s="18" t="s">
        <v>47</v>
      </c>
      <c r="X494" s="18" t="s">
        <v>48</v>
      </c>
      <c r="Y494" s="18" t="s">
        <v>36</v>
      </c>
      <c r="Z494" s="18" t="s">
        <v>9</v>
      </c>
      <c r="AA494" s="18" t="s">
        <v>49</v>
      </c>
      <c r="AB494" s="18" t="s">
        <v>138</v>
      </c>
      <c r="AC494" s="18" t="s">
        <v>38</v>
      </c>
      <c r="AD494" s="7" t="s">
        <v>267</v>
      </c>
      <c r="AE494" s="44"/>
      <c r="AF494" s="44"/>
      <c r="AG494" s="44"/>
      <c r="AH494" s="44"/>
      <c r="AI494" s="30"/>
      <c r="AJ494" s="30"/>
      <c r="AK494" s="30"/>
      <c r="AL494" s="30"/>
      <c r="AM494" s="30"/>
      <c r="AN494" s="30"/>
      <c r="AO494" s="30"/>
      <c r="AP494" s="30"/>
      <c r="AQ494" s="30"/>
      <c r="AR494" s="30"/>
      <c r="AS494" s="30"/>
      <c r="AT494" s="30"/>
      <c r="AU494" s="30"/>
      <c r="AV494" s="30"/>
      <c r="AW494" s="30"/>
    </row>
    <row r="495" spans="1:49" s="17" customFormat="1" ht="31.5" x14ac:dyDescent="0.25">
      <c r="A495" s="18" t="s">
        <v>93</v>
      </c>
      <c r="B495" s="19">
        <v>46049</v>
      </c>
      <c r="C495" s="19">
        <v>46049</v>
      </c>
      <c r="D495" s="18" t="s">
        <v>166</v>
      </c>
      <c r="E495" s="20">
        <v>0.79166666666666663</v>
      </c>
      <c r="F495" s="20">
        <v>0.99930555555555556</v>
      </c>
      <c r="G495" s="28">
        <v>1.7361111111111109E-4</v>
      </c>
      <c r="H495" s="29" t="s">
        <v>191</v>
      </c>
      <c r="I495" s="21">
        <v>0.83296377314814818</v>
      </c>
      <c r="J495" s="18" t="s">
        <v>136</v>
      </c>
      <c r="K495" s="18" t="s">
        <v>156</v>
      </c>
      <c r="L495" s="22">
        <v>1</v>
      </c>
      <c r="M495" s="22">
        <v>69567</v>
      </c>
      <c r="N495" s="18" t="s">
        <v>46</v>
      </c>
      <c r="O495" s="22" t="s">
        <v>137</v>
      </c>
      <c r="P495" s="23">
        <v>0</v>
      </c>
      <c r="Q495" s="22"/>
      <c r="R495" s="23">
        <v>0</v>
      </c>
      <c r="S495" s="24">
        <v>46054</v>
      </c>
      <c r="T495" s="23">
        <v>0</v>
      </c>
      <c r="U495" s="25">
        <v>4</v>
      </c>
      <c r="V495" s="23">
        <v>0</v>
      </c>
      <c r="W495" s="18" t="s">
        <v>47</v>
      </c>
      <c r="X495" s="18" t="s">
        <v>48</v>
      </c>
      <c r="Y495" s="18" t="s">
        <v>36</v>
      </c>
      <c r="Z495" s="18" t="s">
        <v>9</v>
      </c>
      <c r="AA495" s="18" t="s">
        <v>49</v>
      </c>
      <c r="AB495" s="18" t="s">
        <v>138</v>
      </c>
      <c r="AC495" s="18" t="s">
        <v>38</v>
      </c>
      <c r="AD495" s="7" t="s">
        <v>267</v>
      </c>
      <c r="AE495" s="26"/>
      <c r="AF495" s="26"/>
      <c r="AG495" s="26"/>
      <c r="AH495" s="26"/>
      <c r="AI495" s="26"/>
      <c r="AJ495" s="26"/>
      <c r="AK495" s="26"/>
      <c r="AL495" s="26"/>
      <c r="AM495" s="26"/>
      <c r="AN495" s="26"/>
      <c r="AO495" s="26"/>
      <c r="AP495" s="26"/>
      <c r="AQ495" s="26"/>
      <c r="AR495" s="26"/>
      <c r="AS495" s="26"/>
      <c r="AT495" s="26"/>
      <c r="AU495" s="26"/>
      <c r="AV495" s="26"/>
      <c r="AW495" s="26"/>
    </row>
    <row r="496" spans="1:49" s="17" customFormat="1" ht="31.5" x14ac:dyDescent="0.25">
      <c r="A496" s="18" t="s">
        <v>93</v>
      </c>
      <c r="B496" s="19">
        <v>46049</v>
      </c>
      <c r="C496" s="19">
        <v>46049</v>
      </c>
      <c r="D496" s="18" t="s">
        <v>166</v>
      </c>
      <c r="E496" s="20">
        <v>0.79166666666666663</v>
      </c>
      <c r="F496" s="20">
        <v>0.99930555555555556</v>
      </c>
      <c r="G496" s="28">
        <v>1.7361111111111109E-4</v>
      </c>
      <c r="H496" s="29" t="s">
        <v>135</v>
      </c>
      <c r="I496" s="21">
        <v>0.83959756944444441</v>
      </c>
      <c r="J496" s="18" t="s">
        <v>136</v>
      </c>
      <c r="K496" s="18" t="s">
        <v>157</v>
      </c>
      <c r="L496" s="22">
        <v>1</v>
      </c>
      <c r="M496" s="22">
        <v>69566</v>
      </c>
      <c r="N496" s="18" t="s">
        <v>53</v>
      </c>
      <c r="O496" s="22" t="s">
        <v>137</v>
      </c>
      <c r="P496" s="23">
        <v>0</v>
      </c>
      <c r="Q496" s="22"/>
      <c r="R496" s="23">
        <v>16.531831119544499</v>
      </c>
      <c r="S496" s="24">
        <v>46054</v>
      </c>
      <c r="T496" s="23">
        <v>0</v>
      </c>
      <c r="U496" s="25">
        <v>4</v>
      </c>
      <c r="V496" s="23">
        <v>0</v>
      </c>
      <c r="W496" s="18" t="s">
        <v>47</v>
      </c>
      <c r="X496" s="18" t="s">
        <v>48</v>
      </c>
      <c r="Y496" s="18" t="s">
        <v>36</v>
      </c>
      <c r="Z496" s="18" t="s">
        <v>9</v>
      </c>
      <c r="AA496" s="18" t="s">
        <v>49</v>
      </c>
      <c r="AB496" s="18" t="s">
        <v>138</v>
      </c>
      <c r="AC496" s="18" t="s">
        <v>38</v>
      </c>
      <c r="AD496" s="7" t="s">
        <v>267</v>
      </c>
      <c r="AE496" s="26"/>
      <c r="AF496" s="26"/>
      <c r="AG496" s="26"/>
      <c r="AH496" s="26"/>
      <c r="AI496" s="26"/>
      <c r="AJ496" s="26"/>
      <c r="AK496" s="26"/>
      <c r="AL496" s="26"/>
      <c r="AM496" s="26"/>
      <c r="AN496" s="26"/>
      <c r="AO496" s="26"/>
      <c r="AP496" s="26"/>
      <c r="AQ496" s="26"/>
      <c r="AR496" s="26"/>
      <c r="AS496" s="26"/>
      <c r="AT496" s="26"/>
      <c r="AU496" s="26"/>
      <c r="AV496" s="26"/>
      <c r="AW496" s="26"/>
    </row>
    <row r="497" spans="1:49" s="34" customFormat="1" ht="31.5" x14ac:dyDescent="0.25">
      <c r="A497" s="18" t="s">
        <v>93</v>
      </c>
      <c r="B497" s="19">
        <v>46049</v>
      </c>
      <c r="C497" s="19">
        <v>46049</v>
      </c>
      <c r="D497" s="18" t="s">
        <v>166</v>
      </c>
      <c r="E497" s="20">
        <v>0.79166666666666663</v>
      </c>
      <c r="F497" s="20">
        <v>0.99930555555555556</v>
      </c>
      <c r="G497" s="28">
        <v>1.7361111111111109E-4</v>
      </c>
      <c r="H497" s="29" t="s">
        <v>139</v>
      </c>
      <c r="I497" s="21">
        <v>0.84081261574074084</v>
      </c>
      <c r="J497" s="18" t="s">
        <v>136</v>
      </c>
      <c r="K497" s="18" t="s">
        <v>157</v>
      </c>
      <c r="L497" s="22">
        <v>1</v>
      </c>
      <c r="M497" s="22">
        <v>69566</v>
      </c>
      <c r="N497" s="18" t="s">
        <v>53</v>
      </c>
      <c r="O497" s="22" t="s">
        <v>137</v>
      </c>
      <c r="P497" s="23">
        <v>0</v>
      </c>
      <c r="Q497" s="22"/>
      <c r="R497" s="23">
        <v>16.531831119544499</v>
      </c>
      <c r="S497" s="24">
        <v>46054</v>
      </c>
      <c r="T497" s="23">
        <v>0</v>
      </c>
      <c r="U497" s="25">
        <v>4</v>
      </c>
      <c r="V497" s="23">
        <v>0</v>
      </c>
      <c r="W497" s="18" t="s">
        <v>47</v>
      </c>
      <c r="X497" s="18" t="s">
        <v>48</v>
      </c>
      <c r="Y497" s="18" t="s">
        <v>36</v>
      </c>
      <c r="Z497" s="18" t="s">
        <v>9</v>
      </c>
      <c r="AA497" s="18" t="s">
        <v>49</v>
      </c>
      <c r="AB497" s="18" t="s">
        <v>138</v>
      </c>
      <c r="AC497" s="18" t="s">
        <v>38</v>
      </c>
      <c r="AD497" s="7" t="s">
        <v>267</v>
      </c>
      <c r="AE497" s="9"/>
      <c r="AF497" s="9"/>
      <c r="AG497" s="9"/>
      <c r="AH497" s="9"/>
      <c r="AI497" s="9"/>
      <c r="AJ497" s="9"/>
      <c r="AK497" s="9"/>
      <c r="AL497" s="9"/>
      <c r="AM497" s="9"/>
      <c r="AN497" s="9"/>
      <c r="AO497" s="9"/>
      <c r="AP497" s="9"/>
      <c r="AQ497" s="9"/>
      <c r="AR497" s="9"/>
      <c r="AS497" s="9"/>
      <c r="AT497" s="9"/>
      <c r="AU497" s="9"/>
      <c r="AV497" s="9"/>
      <c r="AW497" s="9"/>
    </row>
    <row r="498" spans="1:49" s="17" customFormat="1" ht="31.5" x14ac:dyDescent="0.25">
      <c r="A498" s="18" t="s">
        <v>93</v>
      </c>
      <c r="B498" s="19">
        <v>46049</v>
      </c>
      <c r="C498" s="19">
        <v>46049</v>
      </c>
      <c r="D498" s="18" t="s">
        <v>166</v>
      </c>
      <c r="E498" s="20">
        <v>0.79166666666666663</v>
      </c>
      <c r="F498" s="20">
        <v>0.99930555555555556</v>
      </c>
      <c r="G498" s="28">
        <v>1.7361111111111109E-4</v>
      </c>
      <c r="H498" s="29" t="s">
        <v>135</v>
      </c>
      <c r="I498" s="21">
        <v>0.90653935185185186</v>
      </c>
      <c r="J498" s="18" t="s">
        <v>136</v>
      </c>
      <c r="K498" s="18" t="s">
        <v>147</v>
      </c>
      <c r="L498" s="22">
        <v>1</v>
      </c>
      <c r="M498" s="22">
        <v>69566</v>
      </c>
      <c r="N498" s="18" t="s">
        <v>53</v>
      </c>
      <c r="O498" s="22" t="s">
        <v>137</v>
      </c>
      <c r="P498" s="23">
        <v>0</v>
      </c>
      <c r="Q498" s="22"/>
      <c r="R498" s="23">
        <v>16.531831119544499</v>
      </c>
      <c r="S498" s="24">
        <v>46054</v>
      </c>
      <c r="T498" s="23">
        <v>0</v>
      </c>
      <c r="U498" s="25">
        <v>4</v>
      </c>
      <c r="V498" s="23">
        <v>0</v>
      </c>
      <c r="W498" s="18" t="s">
        <v>47</v>
      </c>
      <c r="X498" s="18" t="s">
        <v>48</v>
      </c>
      <c r="Y498" s="18" t="s">
        <v>36</v>
      </c>
      <c r="Z498" s="18" t="s">
        <v>9</v>
      </c>
      <c r="AA498" s="18" t="s">
        <v>49</v>
      </c>
      <c r="AB498" s="18" t="s">
        <v>138</v>
      </c>
      <c r="AC498" s="18" t="s">
        <v>38</v>
      </c>
      <c r="AD498" s="7" t="s">
        <v>267</v>
      </c>
      <c r="AE498" s="26"/>
      <c r="AF498" s="26"/>
      <c r="AG498" s="26"/>
      <c r="AH498" s="26"/>
      <c r="AI498" s="27"/>
      <c r="AJ498" s="27"/>
      <c r="AK498" s="27"/>
      <c r="AL498" s="27"/>
      <c r="AM498" s="27"/>
      <c r="AN498" s="27"/>
      <c r="AO498" s="27"/>
      <c r="AP498" s="27"/>
      <c r="AQ498" s="27"/>
      <c r="AR498" s="27"/>
      <c r="AS498" s="27"/>
      <c r="AT498" s="27"/>
      <c r="AU498" s="27"/>
      <c r="AV498" s="27"/>
      <c r="AW498" s="27"/>
    </row>
    <row r="499" spans="1:49" s="17" customFormat="1" ht="31.5" x14ac:dyDescent="0.25">
      <c r="A499" s="18" t="s">
        <v>93</v>
      </c>
      <c r="B499" s="19">
        <v>46049</v>
      </c>
      <c r="C499" s="19">
        <v>46049</v>
      </c>
      <c r="D499" s="18" t="s">
        <v>166</v>
      </c>
      <c r="E499" s="20">
        <v>0.79166666666666663</v>
      </c>
      <c r="F499" s="20">
        <v>0.99930555555555556</v>
      </c>
      <c r="G499" s="28">
        <v>1.7361111111111109E-4</v>
      </c>
      <c r="H499" s="29" t="s">
        <v>139</v>
      </c>
      <c r="I499" s="21">
        <v>0.90827546296296291</v>
      </c>
      <c r="J499" s="18" t="s">
        <v>136</v>
      </c>
      <c r="K499" s="18" t="s">
        <v>147</v>
      </c>
      <c r="L499" s="22">
        <v>1</v>
      </c>
      <c r="M499" s="22">
        <v>69566</v>
      </c>
      <c r="N499" s="18" t="s">
        <v>53</v>
      </c>
      <c r="O499" s="22" t="s">
        <v>137</v>
      </c>
      <c r="P499" s="23">
        <v>0</v>
      </c>
      <c r="Q499" s="22"/>
      <c r="R499" s="23">
        <v>16.531831119544499</v>
      </c>
      <c r="S499" s="24">
        <v>46054</v>
      </c>
      <c r="T499" s="23">
        <v>0</v>
      </c>
      <c r="U499" s="25">
        <v>4</v>
      </c>
      <c r="V499" s="23">
        <v>0</v>
      </c>
      <c r="W499" s="18" t="s">
        <v>47</v>
      </c>
      <c r="X499" s="18" t="s">
        <v>48</v>
      </c>
      <c r="Y499" s="18" t="s">
        <v>36</v>
      </c>
      <c r="Z499" s="18" t="s">
        <v>9</v>
      </c>
      <c r="AA499" s="18" t="s">
        <v>49</v>
      </c>
      <c r="AB499" s="18" t="s">
        <v>138</v>
      </c>
      <c r="AC499" s="18" t="s">
        <v>38</v>
      </c>
      <c r="AD499" s="7" t="s">
        <v>267</v>
      </c>
      <c r="AE499" s="26"/>
      <c r="AF499" s="26"/>
      <c r="AG499" s="26"/>
      <c r="AH499" s="26"/>
      <c r="AI499" s="27"/>
      <c r="AJ499" s="27"/>
      <c r="AK499" s="27"/>
      <c r="AL499" s="27"/>
      <c r="AM499" s="27"/>
      <c r="AN499" s="27"/>
      <c r="AO499" s="27"/>
      <c r="AP499" s="27"/>
      <c r="AQ499" s="27"/>
      <c r="AR499" s="27"/>
      <c r="AS499" s="27"/>
      <c r="AT499" s="27"/>
      <c r="AU499" s="27"/>
      <c r="AV499" s="27"/>
      <c r="AW499" s="27"/>
    </row>
    <row r="500" spans="1:49" s="17" customFormat="1" ht="31.5" x14ac:dyDescent="0.25">
      <c r="A500" s="18" t="s">
        <v>93</v>
      </c>
      <c r="B500" s="19">
        <v>46049</v>
      </c>
      <c r="C500" s="19">
        <v>46049</v>
      </c>
      <c r="D500" s="18" t="s">
        <v>166</v>
      </c>
      <c r="E500" s="20">
        <v>0.79166666666666663</v>
      </c>
      <c r="F500" s="20">
        <v>0.99930555555555556</v>
      </c>
      <c r="G500" s="28">
        <v>1.7361111111111109E-4</v>
      </c>
      <c r="H500" s="29" t="s">
        <v>135</v>
      </c>
      <c r="I500" s="21">
        <v>0.9715625</v>
      </c>
      <c r="J500" s="18" t="s">
        <v>136</v>
      </c>
      <c r="K500" s="18" t="s">
        <v>193</v>
      </c>
      <c r="L500" s="22">
        <v>1</v>
      </c>
      <c r="M500" s="22">
        <v>69567</v>
      </c>
      <c r="N500" s="18" t="s">
        <v>46</v>
      </c>
      <c r="O500" s="22" t="s">
        <v>137</v>
      </c>
      <c r="P500" s="23">
        <v>0</v>
      </c>
      <c r="Q500" s="22"/>
      <c r="R500" s="23">
        <v>0</v>
      </c>
      <c r="S500" s="24">
        <v>46054</v>
      </c>
      <c r="T500" s="23">
        <v>0</v>
      </c>
      <c r="U500" s="25">
        <v>4</v>
      </c>
      <c r="V500" s="23">
        <v>0</v>
      </c>
      <c r="W500" s="18" t="s">
        <v>47</v>
      </c>
      <c r="X500" s="18" t="s">
        <v>48</v>
      </c>
      <c r="Y500" s="18" t="s">
        <v>36</v>
      </c>
      <c r="Z500" s="18" t="s">
        <v>9</v>
      </c>
      <c r="AA500" s="18" t="s">
        <v>49</v>
      </c>
      <c r="AB500" s="18" t="s">
        <v>138</v>
      </c>
      <c r="AC500" s="18" t="s">
        <v>38</v>
      </c>
      <c r="AD500" s="7" t="s">
        <v>267</v>
      </c>
      <c r="AE500" s="26"/>
      <c r="AF500" s="26"/>
      <c r="AG500" s="26"/>
      <c r="AH500" s="26"/>
      <c r="AI500" s="26"/>
      <c r="AJ500" s="26"/>
      <c r="AK500" s="26"/>
      <c r="AL500" s="26"/>
      <c r="AM500" s="26"/>
      <c r="AN500" s="26"/>
      <c r="AO500" s="26"/>
      <c r="AP500" s="26"/>
      <c r="AQ500" s="26"/>
      <c r="AR500" s="26"/>
      <c r="AS500" s="26"/>
      <c r="AT500" s="26"/>
      <c r="AU500" s="26"/>
      <c r="AV500" s="26"/>
      <c r="AW500" s="26"/>
    </row>
    <row r="501" spans="1:49" s="17" customFormat="1" ht="31.5" x14ac:dyDescent="0.25">
      <c r="A501" s="18" t="s">
        <v>93</v>
      </c>
      <c r="B501" s="19">
        <v>46049</v>
      </c>
      <c r="C501" s="19">
        <v>46049</v>
      </c>
      <c r="D501" s="18" t="s">
        <v>166</v>
      </c>
      <c r="E501" s="20">
        <v>0.79166666666666663</v>
      </c>
      <c r="F501" s="20">
        <v>0.99930555555555556</v>
      </c>
      <c r="G501" s="28">
        <v>1.7361111111111109E-4</v>
      </c>
      <c r="H501" s="29" t="s">
        <v>139</v>
      </c>
      <c r="I501" s="21">
        <v>0.97329861111111116</v>
      </c>
      <c r="J501" s="18" t="s">
        <v>136</v>
      </c>
      <c r="K501" s="18" t="s">
        <v>193</v>
      </c>
      <c r="L501" s="22">
        <v>1</v>
      </c>
      <c r="M501" s="22">
        <v>69567</v>
      </c>
      <c r="N501" s="18" t="s">
        <v>46</v>
      </c>
      <c r="O501" s="22" t="s">
        <v>137</v>
      </c>
      <c r="P501" s="23">
        <v>0</v>
      </c>
      <c r="Q501" s="22"/>
      <c r="R501" s="23">
        <v>0</v>
      </c>
      <c r="S501" s="24">
        <v>46054</v>
      </c>
      <c r="T501" s="23">
        <v>0</v>
      </c>
      <c r="U501" s="25">
        <v>4</v>
      </c>
      <c r="V501" s="23">
        <v>0</v>
      </c>
      <c r="W501" s="18" t="s">
        <v>47</v>
      </c>
      <c r="X501" s="18" t="s">
        <v>48</v>
      </c>
      <c r="Y501" s="18" t="s">
        <v>36</v>
      </c>
      <c r="Z501" s="18" t="s">
        <v>9</v>
      </c>
      <c r="AA501" s="18" t="s">
        <v>49</v>
      </c>
      <c r="AB501" s="18" t="s">
        <v>138</v>
      </c>
      <c r="AC501" s="18" t="s">
        <v>38</v>
      </c>
      <c r="AD501" s="7" t="s">
        <v>267</v>
      </c>
      <c r="AE501" s="9"/>
      <c r="AF501" s="9"/>
      <c r="AG501" s="9"/>
      <c r="AH501" s="9"/>
      <c r="AI501" s="9"/>
      <c r="AJ501" s="9"/>
      <c r="AK501" s="9"/>
      <c r="AL501" s="9"/>
      <c r="AM501" s="9"/>
      <c r="AN501" s="9"/>
      <c r="AO501" s="9"/>
      <c r="AP501" s="9"/>
      <c r="AQ501" s="9"/>
      <c r="AR501" s="9"/>
      <c r="AS501" s="9"/>
      <c r="AT501" s="9"/>
      <c r="AU501" s="9"/>
      <c r="AV501" s="9"/>
      <c r="AW501" s="9"/>
    </row>
    <row r="502" spans="1:49" s="34" customFormat="1" ht="31.5" x14ac:dyDescent="0.25">
      <c r="A502" s="18" t="s">
        <v>93</v>
      </c>
      <c r="B502" s="19">
        <v>46049</v>
      </c>
      <c r="C502" s="19">
        <v>46049</v>
      </c>
      <c r="D502" s="18" t="s">
        <v>166</v>
      </c>
      <c r="E502" s="20">
        <v>0.79166666666666663</v>
      </c>
      <c r="F502" s="20">
        <v>0.99930555555555556</v>
      </c>
      <c r="G502" s="28">
        <v>1.7361111111111109E-4</v>
      </c>
      <c r="H502" s="29" t="s">
        <v>190</v>
      </c>
      <c r="I502" s="21">
        <v>0.99826527777777774</v>
      </c>
      <c r="J502" s="18" t="s">
        <v>136</v>
      </c>
      <c r="K502" s="18" t="s">
        <v>149</v>
      </c>
      <c r="L502" s="22">
        <v>1</v>
      </c>
      <c r="M502" s="22">
        <v>69566</v>
      </c>
      <c r="N502" s="18" t="s">
        <v>53</v>
      </c>
      <c r="O502" s="22" t="s">
        <v>137</v>
      </c>
      <c r="P502" s="23">
        <v>0</v>
      </c>
      <c r="Q502" s="22"/>
      <c r="R502" s="23">
        <v>16.531831119544499</v>
      </c>
      <c r="S502" s="24">
        <v>46054</v>
      </c>
      <c r="T502" s="23">
        <v>0</v>
      </c>
      <c r="U502" s="25">
        <v>4</v>
      </c>
      <c r="V502" s="23">
        <v>0</v>
      </c>
      <c r="W502" s="18" t="s">
        <v>47</v>
      </c>
      <c r="X502" s="18" t="s">
        <v>48</v>
      </c>
      <c r="Y502" s="18" t="s">
        <v>36</v>
      </c>
      <c r="Z502" s="18" t="s">
        <v>9</v>
      </c>
      <c r="AA502" s="18" t="s">
        <v>49</v>
      </c>
      <c r="AB502" s="18" t="s">
        <v>138</v>
      </c>
      <c r="AC502" s="18" t="s">
        <v>38</v>
      </c>
      <c r="AD502" s="7" t="s">
        <v>267</v>
      </c>
      <c r="AE502" s="26"/>
      <c r="AF502" s="26"/>
      <c r="AG502" s="26"/>
      <c r="AH502" s="26"/>
      <c r="AI502" s="26"/>
      <c r="AJ502" s="26"/>
      <c r="AK502" s="26"/>
      <c r="AL502" s="26"/>
      <c r="AM502" s="26"/>
      <c r="AN502" s="26"/>
      <c r="AO502" s="26"/>
      <c r="AP502" s="26"/>
      <c r="AQ502" s="26"/>
      <c r="AR502" s="26"/>
      <c r="AS502" s="26"/>
      <c r="AT502" s="26"/>
      <c r="AU502" s="26"/>
      <c r="AV502" s="26"/>
      <c r="AW502" s="26"/>
    </row>
    <row r="503" spans="1:49" s="17" customFormat="1" ht="31.5" x14ac:dyDescent="0.25">
      <c r="A503" s="18" t="s">
        <v>93</v>
      </c>
      <c r="B503" s="19">
        <v>46049</v>
      </c>
      <c r="C503" s="19">
        <v>46049</v>
      </c>
      <c r="D503" s="18" t="s">
        <v>166</v>
      </c>
      <c r="E503" s="20">
        <v>0.79166666666666663</v>
      </c>
      <c r="F503" s="20">
        <v>1</v>
      </c>
      <c r="G503" s="28">
        <v>1.7361111111111109E-4</v>
      </c>
      <c r="H503" s="29" t="s">
        <v>191</v>
      </c>
      <c r="I503" s="21">
        <v>0.99948078703703702</v>
      </c>
      <c r="J503" s="18" t="s">
        <v>136</v>
      </c>
      <c r="K503" s="18" t="s">
        <v>149</v>
      </c>
      <c r="L503" s="22">
        <v>1</v>
      </c>
      <c r="M503" s="22">
        <v>69566</v>
      </c>
      <c r="N503" s="18" t="s">
        <v>53</v>
      </c>
      <c r="O503" s="22" t="s">
        <v>137</v>
      </c>
      <c r="P503" s="23">
        <v>0</v>
      </c>
      <c r="Q503" s="22"/>
      <c r="R503" s="23">
        <v>16.531831119544499</v>
      </c>
      <c r="S503" s="24">
        <v>46054</v>
      </c>
      <c r="T503" s="23">
        <v>0</v>
      </c>
      <c r="U503" s="25">
        <v>4</v>
      </c>
      <c r="V503" s="23">
        <v>0</v>
      </c>
      <c r="W503" s="18" t="s">
        <v>47</v>
      </c>
      <c r="X503" s="18" t="s">
        <v>48</v>
      </c>
      <c r="Y503" s="18" t="s">
        <v>36</v>
      </c>
      <c r="Z503" s="18" t="s">
        <v>9</v>
      </c>
      <c r="AA503" s="18" t="s">
        <v>49</v>
      </c>
      <c r="AB503" s="18" t="s">
        <v>138</v>
      </c>
      <c r="AC503" s="18" t="s">
        <v>38</v>
      </c>
      <c r="AD503" s="7" t="s">
        <v>267</v>
      </c>
      <c r="AE503" s="9"/>
      <c r="AF503" s="9"/>
      <c r="AG503" s="9"/>
      <c r="AH503" s="9"/>
      <c r="AI503" s="9"/>
      <c r="AJ503" s="9"/>
      <c r="AK503" s="9"/>
      <c r="AL503" s="9"/>
      <c r="AM503" s="9"/>
      <c r="AN503" s="9"/>
      <c r="AO503" s="9"/>
      <c r="AP503" s="9"/>
      <c r="AQ503" s="9"/>
      <c r="AR503" s="9"/>
      <c r="AS503" s="9"/>
      <c r="AT503" s="9"/>
      <c r="AU503" s="9"/>
      <c r="AV503" s="9"/>
      <c r="AW503" s="9"/>
    </row>
    <row r="504" spans="1:49" s="17" customFormat="1" ht="31.5" x14ac:dyDescent="0.25">
      <c r="A504" s="18" t="s">
        <v>93</v>
      </c>
      <c r="B504" s="19">
        <v>46050</v>
      </c>
      <c r="C504" s="19">
        <v>46050</v>
      </c>
      <c r="D504" s="18" t="s">
        <v>196</v>
      </c>
      <c r="E504" s="20">
        <v>0.45833333333333331</v>
      </c>
      <c r="F504" s="20">
        <v>0.54166666666666663</v>
      </c>
      <c r="G504" s="28">
        <v>1.7361111111111109E-4</v>
      </c>
      <c r="H504" s="29" t="s">
        <v>94</v>
      </c>
      <c r="I504" s="21">
        <v>0.48724710648148151</v>
      </c>
      <c r="J504" s="18" t="s">
        <v>80</v>
      </c>
      <c r="K504" s="18" t="s">
        <v>150</v>
      </c>
      <c r="L504" s="22">
        <v>1</v>
      </c>
      <c r="M504" s="22">
        <v>69570</v>
      </c>
      <c r="N504" s="18" t="s">
        <v>53</v>
      </c>
      <c r="O504" s="22" t="s">
        <v>95</v>
      </c>
      <c r="P504" s="23">
        <v>0</v>
      </c>
      <c r="Q504" s="22"/>
      <c r="R504" s="23">
        <v>19.042139037433099</v>
      </c>
      <c r="S504" s="24">
        <v>46054</v>
      </c>
      <c r="T504" s="23">
        <v>0</v>
      </c>
      <c r="U504" s="25">
        <v>4</v>
      </c>
      <c r="V504" s="23">
        <v>0</v>
      </c>
      <c r="W504" s="18" t="s">
        <v>47</v>
      </c>
      <c r="X504" s="18" t="s">
        <v>48</v>
      </c>
      <c r="Y504" s="18" t="s">
        <v>36</v>
      </c>
      <c r="Z504" s="18" t="s">
        <v>9</v>
      </c>
      <c r="AA504" s="18" t="s">
        <v>49</v>
      </c>
      <c r="AB504" s="18" t="s">
        <v>96</v>
      </c>
      <c r="AC504" s="18" t="s">
        <v>38</v>
      </c>
      <c r="AD504" s="7" t="s">
        <v>267</v>
      </c>
      <c r="AE504" s="26"/>
      <c r="AF504" s="26"/>
      <c r="AG504" s="26"/>
      <c r="AH504" s="26"/>
      <c r="AI504" s="26"/>
      <c r="AJ504" s="26"/>
      <c r="AK504" s="26"/>
      <c r="AL504" s="26"/>
      <c r="AM504" s="26"/>
      <c r="AN504" s="26"/>
      <c r="AO504" s="26"/>
      <c r="AP504" s="26"/>
      <c r="AQ504" s="26"/>
      <c r="AR504" s="26"/>
      <c r="AS504" s="26"/>
      <c r="AT504" s="26"/>
      <c r="AU504" s="26"/>
      <c r="AV504" s="26"/>
      <c r="AW504" s="26"/>
    </row>
    <row r="505" spans="1:49" s="34" customFormat="1" ht="31.5" x14ac:dyDescent="0.25">
      <c r="A505" s="18" t="s">
        <v>93</v>
      </c>
      <c r="B505" s="19">
        <v>46050</v>
      </c>
      <c r="C505" s="19">
        <v>46050</v>
      </c>
      <c r="D505" s="18" t="s">
        <v>196</v>
      </c>
      <c r="E505" s="20">
        <v>0.45833333333333331</v>
      </c>
      <c r="F505" s="20">
        <v>0.54166666666666663</v>
      </c>
      <c r="G505" s="28">
        <v>1.7361111111111109E-4</v>
      </c>
      <c r="H505" s="29" t="s">
        <v>97</v>
      </c>
      <c r="I505" s="21">
        <v>0.48863645833333336</v>
      </c>
      <c r="J505" s="18" t="s">
        <v>80</v>
      </c>
      <c r="K505" s="18" t="s">
        <v>150</v>
      </c>
      <c r="L505" s="22">
        <v>1</v>
      </c>
      <c r="M505" s="22">
        <v>69570</v>
      </c>
      <c r="N505" s="18" t="s">
        <v>53</v>
      </c>
      <c r="O505" s="22" t="s">
        <v>95</v>
      </c>
      <c r="P505" s="23">
        <v>0</v>
      </c>
      <c r="Q505" s="22"/>
      <c r="R505" s="23">
        <v>19.042139037433099</v>
      </c>
      <c r="S505" s="24">
        <v>46054</v>
      </c>
      <c r="T505" s="23">
        <v>0</v>
      </c>
      <c r="U505" s="25">
        <v>4</v>
      </c>
      <c r="V505" s="23">
        <v>0</v>
      </c>
      <c r="W505" s="18" t="s">
        <v>47</v>
      </c>
      <c r="X505" s="18" t="s">
        <v>48</v>
      </c>
      <c r="Y505" s="18" t="s">
        <v>36</v>
      </c>
      <c r="Z505" s="18" t="s">
        <v>9</v>
      </c>
      <c r="AA505" s="18" t="s">
        <v>49</v>
      </c>
      <c r="AB505" s="18" t="s">
        <v>96</v>
      </c>
      <c r="AC505" s="18" t="s">
        <v>38</v>
      </c>
      <c r="AD505" s="7" t="s">
        <v>267</v>
      </c>
      <c r="AE505" s="26"/>
      <c r="AF505" s="26"/>
      <c r="AG505" s="26"/>
      <c r="AH505" s="26"/>
      <c r="AI505" s="26"/>
      <c r="AJ505" s="26"/>
      <c r="AK505" s="26"/>
      <c r="AL505" s="26"/>
      <c r="AM505" s="26"/>
      <c r="AN505" s="26"/>
      <c r="AO505" s="26"/>
      <c r="AP505" s="26"/>
      <c r="AQ505" s="26"/>
      <c r="AR505" s="26"/>
      <c r="AS505" s="26"/>
      <c r="AT505" s="26"/>
      <c r="AU505" s="26"/>
      <c r="AV505" s="26"/>
      <c r="AW505" s="26"/>
    </row>
    <row r="506" spans="1:49" s="17" customFormat="1" ht="31.5" x14ac:dyDescent="0.25">
      <c r="A506" s="18" t="s">
        <v>93</v>
      </c>
      <c r="B506" s="19">
        <v>46050</v>
      </c>
      <c r="C506" s="19">
        <v>46050</v>
      </c>
      <c r="D506" s="18" t="s">
        <v>196</v>
      </c>
      <c r="E506" s="20">
        <v>0.45833333333333331</v>
      </c>
      <c r="F506" s="20">
        <v>0.54166666666666663</v>
      </c>
      <c r="G506" s="28">
        <v>1.7361111111111109E-4</v>
      </c>
      <c r="H506" s="29" t="s">
        <v>98</v>
      </c>
      <c r="I506" s="21">
        <v>0.50345162037037039</v>
      </c>
      <c r="J506" s="18" t="s">
        <v>80</v>
      </c>
      <c r="K506" s="18" t="s">
        <v>151</v>
      </c>
      <c r="L506" s="22">
        <v>1</v>
      </c>
      <c r="M506" s="22">
        <v>69570</v>
      </c>
      <c r="N506" s="18" t="s">
        <v>53</v>
      </c>
      <c r="O506" s="22" t="s">
        <v>95</v>
      </c>
      <c r="P506" s="23">
        <v>0</v>
      </c>
      <c r="Q506" s="22"/>
      <c r="R506" s="23">
        <v>19.042139037433099</v>
      </c>
      <c r="S506" s="24">
        <v>46054</v>
      </c>
      <c r="T506" s="23">
        <v>0</v>
      </c>
      <c r="U506" s="25">
        <v>4</v>
      </c>
      <c r="V506" s="23">
        <v>0</v>
      </c>
      <c r="W506" s="18" t="s">
        <v>47</v>
      </c>
      <c r="X506" s="18" t="s">
        <v>48</v>
      </c>
      <c r="Y506" s="18" t="s">
        <v>36</v>
      </c>
      <c r="Z506" s="18" t="s">
        <v>9</v>
      </c>
      <c r="AA506" s="18" t="s">
        <v>49</v>
      </c>
      <c r="AB506" s="18" t="s">
        <v>96</v>
      </c>
      <c r="AC506" s="18" t="s">
        <v>38</v>
      </c>
      <c r="AD506" s="7" t="s">
        <v>267</v>
      </c>
      <c r="AE506" s="9"/>
      <c r="AF506" s="9"/>
      <c r="AG506" s="9"/>
      <c r="AH506" s="9"/>
      <c r="AI506" s="9"/>
      <c r="AJ506" s="9"/>
      <c r="AK506" s="9"/>
      <c r="AL506" s="9"/>
      <c r="AM506" s="9"/>
      <c r="AN506" s="9"/>
      <c r="AO506" s="9"/>
      <c r="AP506" s="9"/>
      <c r="AQ506" s="9"/>
      <c r="AR506" s="9"/>
      <c r="AS506" s="9"/>
      <c r="AT506" s="9"/>
      <c r="AU506" s="9"/>
      <c r="AV506" s="9"/>
      <c r="AW506" s="9"/>
    </row>
    <row r="507" spans="1:49" s="17" customFormat="1" ht="31.5" x14ac:dyDescent="0.25">
      <c r="A507" s="18" t="s">
        <v>93</v>
      </c>
      <c r="B507" s="19">
        <v>46050</v>
      </c>
      <c r="C507" s="19">
        <v>46050</v>
      </c>
      <c r="D507" s="18" t="s">
        <v>196</v>
      </c>
      <c r="E507" s="20">
        <v>0.45833333333333331</v>
      </c>
      <c r="F507" s="20">
        <v>0.54166666666666663</v>
      </c>
      <c r="G507" s="28">
        <v>1.7361111111111109E-4</v>
      </c>
      <c r="H507" s="29" t="s">
        <v>97</v>
      </c>
      <c r="I507" s="21">
        <v>0.50675046296296289</v>
      </c>
      <c r="J507" s="18" t="s">
        <v>80</v>
      </c>
      <c r="K507" s="18" t="s">
        <v>151</v>
      </c>
      <c r="L507" s="22">
        <v>1</v>
      </c>
      <c r="M507" s="22">
        <v>69570</v>
      </c>
      <c r="N507" s="18" t="s">
        <v>53</v>
      </c>
      <c r="O507" s="22" t="s">
        <v>95</v>
      </c>
      <c r="P507" s="23">
        <v>0</v>
      </c>
      <c r="Q507" s="22"/>
      <c r="R507" s="23">
        <v>19.042139037433099</v>
      </c>
      <c r="S507" s="24">
        <v>46054</v>
      </c>
      <c r="T507" s="23">
        <v>0</v>
      </c>
      <c r="U507" s="25">
        <v>4</v>
      </c>
      <c r="V507" s="23">
        <v>0</v>
      </c>
      <c r="W507" s="18" t="s">
        <v>47</v>
      </c>
      <c r="X507" s="18" t="s">
        <v>48</v>
      </c>
      <c r="Y507" s="18" t="s">
        <v>36</v>
      </c>
      <c r="Z507" s="18" t="s">
        <v>9</v>
      </c>
      <c r="AA507" s="18" t="s">
        <v>49</v>
      </c>
      <c r="AB507" s="18" t="s">
        <v>96</v>
      </c>
      <c r="AC507" s="18" t="s">
        <v>38</v>
      </c>
      <c r="AD507" s="7" t="s">
        <v>267</v>
      </c>
      <c r="AE507" s="9"/>
      <c r="AF507" s="9"/>
      <c r="AG507" s="9"/>
      <c r="AH507" s="9"/>
      <c r="AI507" s="9"/>
      <c r="AJ507" s="9"/>
      <c r="AK507" s="9"/>
      <c r="AL507" s="9"/>
      <c r="AM507" s="9"/>
      <c r="AN507" s="9"/>
      <c r="AO507" s="9"/>
      <c r="AP507" s="9"/>
      <c r="AQ507" s="9"/>
      <c r="AR507" s="9"/>
      <c r="AS507" s="9"/>
      <c r="AT507" s="9"/>
      <c r="AU507" s="9"/>
      <c r="AV507" s="9"/>
      <c r="AW507" s="9"/>
    </row>
    <row r="508" spans="1:49" s="17" customFormat="1" ht="31.5" x14ac:dyDescent="0.25">
      <c r="A508" s="18" t="s">
        <v>93</v>
      </c>
      <c r="B508" s="19">
        <v>46050</v>
      </c>
      <c r="C508" s="19">
        <v>46050</v>
      </c>
      <c r="D508" s="18" t="s">
        <v>196</v>
      </c>
      <c r="E508" s="20">
        <v>0.45833333333333331</v>
      </c>
      <c r="F508" s="20">
        <v>0.54166666666666663</v>
      </c>
      <c r="G508" s="28">
        <v>1.7361111111111109E-4</v>
      </c>
      <c r="H508" s="29" t="s">
        <v>94</v>
      </c>
      <c r="I508" s="21">
        <v>0.53216655092592591</v>
      </c>
      <c r="J508" s="18" t="s">
        <v>80</v>
      </c>
      <c r="K508" s="18" t="s">
        <v>151</v>
      </c>
      <c r="L508" s="22">
        <v>1</v>
      </c>
      <c r="M508" s="22">
        <v>69570</v>
      </c>
      <c r="N508" s="18" t="s">
        <v>53</v>
      </c>
      <c r="O508" s="22" t="s">
        <v>95</v>
      </c>
      <c r="P508" s="23">
        <v>0</v>
      </c>
      <c r="Q508" s="22"/>
      <c r="R508" s="23">
        <v>19.042139037433099</v>
      </c>
      <c r="S508" s="24">
        <v>46054</v>
      </c>
      <c r="T508" s="23">
        <v>0</v>
      </c>
      <c r="U508" s="25">
        <v>4</v>
      </c>
      <c r="V508" s="23">
        <v>0</v>
      </c>
      <c r="W508" s="18" t="s">
        <v>47</v>
      </c>
      <c r="X508" s="18" t="s">
        <v>48</v>
      </c>
      <c r="Y508" s="18" t="s">
        <v>36</v>
      </c>
      <c r="Z508" s="18" t="s">
        <v>9</v>
      </c>
      <c r="AA508" s="18" t="s">
        <v>49</v>
      </c>
      <c r="AB508" s="18" t="s">
        <v>96</v>
      </c>
      <c r="AC508" s="18" t="s">
        <v>38</v>
      </c>
      <c r="AD508" s="7" t="s">
        <v>267</v>
      </c>
      <c r="AE508" s="26"/>
      <c r="AF508" s="26"/>
      <c r="AG508" s="26"/>
      <c r="AH508" s="26"/>
      <c r="AI508" s="27"/>
      <c r="AJ508" s="27"/>
      <c r="AK508" s="27"/>
      <c r="AL508" s="27"/>
      <c r="AM508" s="27"/>
      <c r="AN508" s="27"/>
      <c r="AO508" s="27"/>
      <c r="AP508" s="27"/>
      <c r="AQ508" s="27"/>
      <c r="AR508" s="27"/>
      <c r="AS508" s="27"/>
      <c r="AT508" s="27"/>
      <c r="AU508" s="27"/>
      <c r="AV508" s="27"/>
      <c r="AW508" s="27"/>
    </row>
    <row r="509" spans="1:49" ht="31.5" x14ac:dyDescent="0.25">
      <c r="A509" s="56" t="s">
        <v>93</v>
      </c>
      <c r="B509" s="59">
        <v>46050</v>
      </c>
      <c r="C509" s="59">
        <v>46050</v>
      </c>
      <c r="D509" s="56" t="s">
        <v>196</v>
      </c>
      <c r="E509" s="62">
        <v>0.45833333333333331</v>
      </c>
      <c r="F509" s="62">
        <v>0.54166666666666663</v>
      </c>
      <c r="G509" s="64">
        <v>1.7361111111111109E-4</v>
      </c>
      <c r="H509" s="65" t="s">
        <v>97</v>
      </c>
      <c r="I509" s="66">
        <v>0.5344237268518518</v>
      </c>
      <c r="J509" s="56" t="s">
        <v>80</v>
      </c>
      <c r="K509" s="56" t="s">
        <v>151</v>
      </c>
      <c r="L509" s="68">
        <v>1</v>
      </c>
      <c r="M509" s="68">
        <v>69570</v>
      </c>
      <c r="N509" s="56" t="s">
        <v>53</v>
      </c>
      <c r="O509" s="68" t="s">
        <v>95</v>
      </c>
      <c r="P509" s="70">
        <v>0</v>
      </c>
      <c r="Q509" s="68"/>
      <c r="R509" s="70">
        <v>19.042139037433099</v>
      </c>
      <c r="S509" s="73">
        <v>46054</v>
      </c>
      <c r="T509" s="70">
        <v>0</v>
      </c>
      <c r="U509" s="74">
        <v>4</v>
      </c>
      <c r="V509" s="70">
        <v>0</v>
      </c>
      <c r="W509" s="56" t="s">
        <v>47</v>
      </c>
      <c r="X509" s="56" t="s">
        <v>48</v>
      </c>
      <c r="Y509" s="56" t="s">
        <v>36</v>
      </c>
      <c r="Z509" s="56" t="s">
        <v>9</v>
      </c>
      <c r="AA509" s="56" t="s">
        <v>49</v>
      </c>
      <c r="AB509" s="56" t="s">
        <v>96</v>
      </c>
      <c r="AC509" s="56" t="s">
        <v>38</v>
      </c>
      <c r="AD509" s="75" t="s">
        <v>267</v>
      </c>
      <c r="AE509" s="76"/>
      <c r="AF509" s="76"/>
      <c r="AG509" s="76"/>
      <c r="AH509" s="76"/>
      <c r="AI509" s="85"/>
      <c r="AJ509" s="85"/>
      <c r="AK509" s="85"/>
      <c r="AL509" s="85"/>
      <c r="AM509" s="85"/>
      <c r="AN509" s="85"/>
      <c r="AO509" s="85"/>
      <c r="AP509" s="85"/>
      <c r="AQ509" s="85"/>
      <c r="AR509" s="85"/>
      <c r="AS509" s="85"/>
      <c r="AT509" s="85"/>
      <c r="AU509" s="85"/>
      <c r="AV509" s="85"/>
      <c r="AW509" s="85"/>
    </row>
    <row r="510" spans="1:49" ht="31.5" x14ac:dyDescent="0.2">
      <c r="A510" s="56" t="s">
        <v>93</v>
      </c>
      <c r="B510" s="59">
        <v>46050</v>
      </c>
      <c r="C510" s="59">
        <v>46050</v>
      </c>
      <c r="D510" s="56" t="s">
        <v>196</v>
      </c>
      <c r="E510" s="62">
        <v>0.79166666666666663</v>
      </c>
      <c r="F510" s="62">
        <v>0.99930555555555556</v>
      </c>
      <c r="G510" s="64">
        <v>1.7361111111111109E-4</v>
      </c>
      <c r="H510" s="65" t="s">
        <v>135</v>
      </c>
      <c r="I510" s="66">
        <v>0.88435405092592601</v>
      </c>
      <c r="J510" s="56" t="s">
        <v>136</v>
      </c>
      <c r="K510" s="56" t="s">
        <v>147</v>
      </c>
      <c r="L510" s="68">
        <v>1</v>
      </c>
      <c r="M510" s="68">
        <v>69567</v>
      </c>
      <c r="N510" s="56" t="s">
        <v>46</v>
      </c>
      <c r="O510" s="68" t="s">
        <v>137</v>
      </c>
      <c r="P510" s="70">
        <v>0</v>
      </c>
      <c r="Q510" s="68"/>
      <c r="R510" s="70">
        <v>0</v>
      </c>
      <c r="S510" s="73">
        <v>46054</v>
      </c>
      <c r="T510" s="70">
        <v>0</v>
      </c>
      <c r="U510" s="74">
        <v>4</v>
      </c>
      <c r="V510" s="70">
        <v>0</v>
      </c>
      <c r="W510" s="56" t="s">
        <v>47</v>
      </c>
      <c r="X510" s="56" t="s">
        <v>48</v>
      </c>
      <c r="Y510" s="56" t="s">
        <v>36</v>
      </c>
      <c r="Z510" s="56" t="s">
        <v>9</v>
      </c>
      <c r="AA510" s="56" t="s">
        <v>49</v>
      </c>
      <c r="AB510" s="56" t="s">
        <v>138</v>
      </c>
      <c r="AC510" s="56" t="s">
        <v>38</v>
      </c>
      <c r="AD510" s="75" t="s">
        <v>267</v>
      </c>
      <c r="AE510" s="57"/>
      <c r="AF510" s="57"/>
      <c r="AG510" s="57"/>
      <c r="AH510" s="57"/>
      <c r="AI510" s="57"/>
      <c r="AJ510" s="57"/>
      <c r="AK510" s="57"/>
      <c r="AL510" s="57"/>
      <c r="AM510" s="57"/>
      <c r="AN510" s="57"/>
      <c r="AO510" s="57"/>
      <c r="AP510" s="57"/>
      <c r="AQ510" s="57"/>
      <c r="AR510" s="57"/>
      <c r="AS510" s="57"/>
      <c r="AT510" s="57"/>
      <c r="AU510" s="57"/>
      <c r="AV510" s="57"/>
      <c r="AW510" s="57"/>
    </row>
    <row r="511" spans="1:49" ht="31.5" x14ac:dyDescent="0.2">
      <c r="A511" s="56" t="s">
        <v>93</v>
      </c>
      <c r="B511" s="59">
        <v>46050</v>
      </c>
      <c r="C511" s="59">
        <v>46050</v>
      </c>
      <c r="D511" s="56" t="s">
        <v>196</v>
      </c>
      <c r="E511" s="62">
        <v>0.79166666666666663</v>
      </c>
      <c r="F511" s="62">
        <v>0.99930555555555556</v>
      </c>
      <c r="G511" s="64">
        <v>1.7361111111111109E-4</v>
      </c>
      <c r="H511" s="65" t="s">
        <v>139</v>
      </c>
      <c r="I511" s="66">
        <v>0.88609027777777771</v>
      </c>
      <c r="J511" s="56" t="s">
        <v>136</v>
      </c>
      <c r="K511" s="56" t="s">
        <v>147</v>
      </c>
      <c r="L511" s="68">
        <v>1</v>
      </c>
      <c r="M511" s="68">
        <v>69567</v>
      </c>
      <c r="N511" s="56" t="s">
        <v>46</v>
      </c>
      <c r="O511" s="68" t="s">
        <v>137</v>
      </c>
      <c r="P511" s="70">
        <v>0</v>
      </c>
      <c r="Q511" s="68"/>
      <c r="R511" s="70">
        <v>0</v>
      </c>
      <c r="S511" s="73">
        <v>46054</v>
      </c>
      <c r="T511" s="70">
        <v>0</v>
      </c>
      <c r="U511" s="74">
        <v>4</v>
      </c>
      <c r="V511" s="70">
        <v>0</v>
      </c>
      <c r="W511" s="56" t="s">
        <v>47</v>
      </c>
      <c r="X511" s="56" t="s">
        <v>48</v>
      </c>
      <c r="Y511" s="56" t="s">
        <v>36</v>
      </c>
      <c r="Z511" s="56" t="s">
        <v>9</v>
      </c>
      <c r="AA511" s="56" t="s">
        <v>49</v>
      </c>
      <c r="AB511" s="56" t="s">
        <v>138</v>
      </c>
      <c r="AC511" s="56" t="s">
        <v>38</v>
      </c>
      <c r="AD511" s="75" t="s">
        <v>267</v>
      </c>
      <c r="AE511" s="57"/>
      <c r="AF511" s="57"/>
      <c r="AG511" s="57"/>
      <c r="AH511" s="57"/>
      <c r="AI511" s="57"/>
      <c r="AJ511" s="57"/>
      <c r="AK511" s="57"/>
      <c r="AL511" s="57"/>
      <c r="AM511" s="57"/>
      <c r="AN511" s="57"/>
      <c r="AO511" s="57"/>
      <c r="AP511" s="57"/>
      <c r="AQ511" s="57"/>
      <c r="AR511" s="57"/>
      <c r="AS511" s="57"/>
      <c r="AT511" s="57"/>
      <c r="AU511" s="57"/>
      <c r="AV511" s="57"/>
      <c r="AW511" s="57"/>
    </row>
    <row r="512" spans="1:49" ht="31.5" x14ac:dyDescent="0.25">
      <c r="A512" s="56" t="s">
        <v>93</v>
      </c>
      <c r="B512" s="59">
        <v>46050</v>
      </c>
      <c r="C512" s="59">
        <v>46050</v>
      </c>
      <c r="D512" s="56" t="s">
        <v>196</v>
      </c>
      <c r="E512" s="62">
        <v>0.79166666666666663</v>
      </c>
      <c r="F512" s="62">
        <v>0.99930555555555556</v>
      </c>
      <c r="G512" s="64">
        <v>1.7361111111111109E-4</v>
      </c>
      <c r="H512" s="65" t="s">
        <v>135</v>
      </c>
      <c r="I512" s="66">
        <v>0.93502581018518516</v>
      </c>
      <c r="J512" s="56" t="s">
        <v>136</v>
      </c>
      <c r="K512" s="56" t="s">
        <v>206</v>
      </c>
      <c r="L512" s="68">
        <v>1</v>
      </c>
      <c r="M512" s="68">
        <v>69567</v>
      </c>
      <c r="N512" s="56" t="s">
        <v>46</v>
      </c>
      <c r="O512" s="68" t="s">
        <v>137</v>
      </c>
      <c r="P512" s="70">
        <v>0</v>
      </c>
      <c r="Q512" s="68"/>
      <c r="R512" s="70">
        <v>0</v>
      </c>
      <c r="S512" s="73">
        <v>46054</v>
      </c>
      <c r="T512" s="70">
        <v>0</v>
      </c>
      <c r="U512" s="74">
        <v>4</v>
      </c>
      <c r="V512" s="70">
        <v>0</v>
      </c>
      <c r="W512" s="56" t="s">
        <v>47</v>
      </c>
      <c r="X512" s="56" t="s">
        <v>48</v>
      </c>
      <c r="Y512" s="56" t="s">
        <v>36</v>
      </c>
      <c r="Z512" s="56" t="s">
        <v>9</v>
      </c>
      <c r="AA512" s="56" t="s">
        <v>49</v>
      </c>
      <c r="AB512" s="56" t="s">
        <v>138</v>
      </c>
      <c r="AC512" s="56" t="s">
        <v>38</v>
      </c>
      <c r="AD512" s="75" t="s">
        <v>267</v>
      </c>
      <c r="AE512" s="76"/>
      <c r="AF512" s="76"/>
      <c r="AG512" s="76"/>
      <c r="AH512" s="76"/>
      <c r="AI512" s="76"/>
      <c r="AJ512" s="76"/>
      <c r="AK512" s="76"/>
      <c r="AL512" s="76"/>
      <c r="AM512" s="76"/>
      <c r="AN512" s="76"/>
      <c r="AO512" s="76"/>
      <c r="AP512" s="76"/>
      <c r="AQ512" s="76"/>
      <c r="AR512" s="76"/>
      <c r="AS512" s="76"/>
      <c r="AT512" s="76"/>
      <c r="AU512" s="76"/>
      <c r="AV512" s="76"/>
      <c r="AW512" s="76"/>
    </row>
    <row r="513" spans="1:49" ht="31.5" x14ac:dyDescent="0.25">
      <c r="A513" s="56" t="s">
        <v>93</v>
      </c>
      <c r="B513" s="59">
        <v>46050</v>
      </c>
      <c r="C513" s="59">
        <v>46050</v>
      </c>
      <c r="D513" s="56" t="s">
        <v>196</v>
      </c>
      <c r="E513" s="62">
        <v>0.79166666666666663</v>
      </c>
      <c r="F513" s="62">
        <v>0.99930555555555556</v>
      </c>
      <c r="G513" s="64">
        <v>1.7361111111111109E-4</v>
      </c>
      <c r="H513" s="65" t="s">
        <v>139</v>
      </c>
      <c r="I513" s="66">
        <v>0.93745636574074065</v>
      </c>
      <c r="J513" s="56" t="s">
        <v>136</v>
      </c>
      <c r="K513" s="56" t="s">
        <v>206</v>
      </c>
      <c r="L513" s="68">
        <v>1</v>
      </c>
      <c r="M513" s="68">
        <v>69567</v>
      </c>
      <c r="N513" s="56" t="s">
        <v>46</v>
      </c>
      <c r="O513" s="68" t="s">
        <v>137</v>
      </c>
      <c r="P513" s="70">
        <v>0</v>
      </c>
      <c r="Q513" s="68"/>
      <c r="R513" s="70">
        <v>0</v>
      </c>
      <c r="S513" s="73">
        <v>46054</v>
      </c>
      <c r="T513" s="70">
        <v>0</v>
      </c>
      <c r="U513" s="74">
        <v>4</v>
      </c>
      <c r="V513" s="70">
        <v>0</v>
      </c>
      <c r="W513" s="56" t="s">
        <v>47</v>
      </c>
      <c r="X513" s="56" t="s">
        <v>48</v>
      </c>
      <c r="Y513" s="56" t="s">
        <v>36</v>
      </c>
      <c r="Z513" s="56" t="s">
        <v>9</v>
      </c>
      <c r="AA513" s="56" t="s">
        <v>49</v>
      </c>
      <c r="AB513" s="56" t="s">
        <v>138</v>
      </c>
      <c r="AC513" s="56" t="s">
        <v>38</v>
      </c>
      <c r="AD513" s="75" t="s">
        <v>267</v>
      </c>
      <c r="AE513" s="76"/>
      <c r="AF513" s="76"/>
      <c r="AG513" s="76"/>
      <c r="AH513" s="76"/>
      <c r="AI513" s="76"/>
      <c r="AJ513" s="76"/>
      <c r="AK513" s="76"/>
      <c r="AL513" s="76"/>
      <c r="AM513" s="76"/>
      <c r="AN513" s="76"/>
      <c r="AO513" s="76"/>
      <c r="AP513" s="76"/>
      <c r="AQ513" s="76"/>
      <c r="AR513" s="76"/>
      <c r="AS513" s="76"/>
      <c r="AT513" s="76"/>
      <c r="AU513" s="76"/>
      <c r="AV513" s="76"/>
      <c r="AW513" s="76"/>
    </row>
    <row r="514" spans="1:49" ht="31.5" x14ac:dyDescent="0.2">
      <c r="A514" s="56" t="s">
        <v>93</v>
      </c>
      <c r="B514" s="59">
        <v>46051</v>
      </c>
      <c r="C514" s="59">
        <v>46051</v>
      </c>
      <c r="D514" s="56" t="s">
        <v>207</v>
      </c>
      <c r="E514" s="62">
        <v>0.45833333333333331</v>
      </c>
      <c r="F514" s="62">
        <v>0.54166666666666663</v>
      </c>
      <c r="G514" s="64">
        <v>1.7361111111111109E-4</v>
      </c>
      <c r="H514" s="65" t="s">
        <v>98</v>
      </c>
      <c r="I514" s="66">
        <v>0.46546296296296297</v>
      </c>
      <c r="J514" s="56" t="s">
        <v>80</v>
      </c>
      <c r="K514" s="56" t="s">
        <v>175</v>
      </c>
      <c r="L514" s="68">
        <v>1</v>
      </c>
      <c r="M514" s="68">
        <v>69570</v>
      </c>
      <c r="N514" s="56" t="s">
        <v>53</v>
      </c>
      <c r="O514" s="68" t="s">
        <v>95</v>
      </c>
      <c r="P514" s="70">
        <v>0</v>
      </c>
      <c r="Q514" s="68"/>
      <c r="R514" s="70">
        <v>19.042139037433099</v>
      </c>
      <c r="S514" s="73">
        <v>46054</v>
      </c>
      <c r="T514" s="70">
        <v>0</v>
      </c>
      <c r="U514" s="74">
        <v>4</v>
      </c>
      <c r="V514" s="70">
        <v>0</v>
      </c>
      <c r="W514" s="56" t="s">
        <v>47</v>
      </c>
      <c r="X514" s="56" t="s">
        <v>48</v>
      </c>
      <c r="Y514" s="56" t="s">
        <v>36</v>
      </c>
      <c r="Z514" s="56" t="s">
        <v>9</v>
      </c>
      <c r="AA514" s="56" t="s">
        <v>49</v>
      </c>
      <c r="AB514" s="56" t="s">
        <v>96</v>
      </c>
      <c r="AC514" s="56" t="s">
        <v>38</v>
      </c>
      <c r="AD514" s="75" t="s">
        <v>267</v>
      </c>
      <c r="AE514" s="57"/>
      <c r="AF514" s="57"/>
      <c r="AG514" s="57"/>
      <c r="AH514" s="57"/>
      <c r="AI514" s="57"/>
      <c r="AJ514" s="57"/>
      <c r="AK514" s="57"/>
      <c r="AL514" s="57"/>
      <c r="AM514" s="57"/>
      <c r="AN514" s="57"/>
      <c r="AO514" s="57"/>
      <c r="AP514" s="57"/>
      <c r="AQ514" s="57"/>
      <c r="AR514" s="57"/>
      <c r="AS514" s="57"/>
      <c r="AT514" s="57"/>
      <c r="AU514" s="57"/>
      <c r="AV514" s="57"/>
      <c r="AW514" s="57"/>
    </row>
    <row r="515" spans="1:49" ht="31.5" x14ac:dyDescent="0.2">
      <c r="A515" s="56" t="s">
        <v>93</v>
      </c>
      <c r="B515" s="59">
        <v>46051</v>
      </c>
      <c r="C515" s="59">
        <v>46051</v>
      </c>
      <c r="D515" s="56" t="s">
        <v>207</v>
      </c>
      <c r="E515" s="62">
        <v>0.45833333333333331</v>
      </c>
      <c r="F515" s="62">
        <v>0.54166666666666663</v>
      </c>
      <c r="G515" s="64">
        <v>1.7361111111111109E-4</v>
      </c>
      <c r="H515" s="65" t="s">
        <v>97</v>
      </c>
      <c r="I515" s="66">
        <v>0.46737268518518521</v>
      </c>
      <c r="J515" s="56" t="s">
        <v>80</v>
      </c>
      <c r="K515" s="56" t="s">
        <v>175</v>
      </c>
      <c r="L515" s="68">
        <v>1</v>
      </c>
      <c r="M515" s="68">
        <v>69570</v>
      </c>
      <c r="N515" s="56" t="s">
        <v>53</v>
      </c>
      <c r="O515" s="68" t="s">
        <v>95</v>
      </c>
      <c r="P515" s="70">
        <v>0</v>
      </c>
      <c r="Q515" s="68"/>
      <c r="R515" s="70">
        <v>19.042139037433099</v>
      </c>
      <c r="S515" s="73">
        <v>46054</v>
      </c>
      <c r="T515" s="70">
        <v>0</v>
      </c>
      <c r="U515" s="74">
        <v>4</v>
      </c>
      <c r="V515" s="70">
        <v>0</v>
      </c>
      <c r="W515" s="56" t="s">
        <v>47</v>
      </c>
      <c r="X515" s="56" t="s">
        <v>48</v>
      </c>
      <c r="Y515" s="56" t="s">
        <v>36</v>
      </c>
      <c r="Z515" s="56" t="s">
        <v>9</v>
      </c>
      <c r="AA515" s="56" t="s">
        <v>49</v>
      </c>
      <c r="AB515" s="56" t="s">
        <v>96</v>
      </c>
      <c r="AC515" s="56" t="s">
        <v>38</v>
      </c>
      <c r="AD515" s="75" t="s">
        <v>267</v>
      </c>
      <c r="AE515" s="57"/>
      <c r="AF515" s="57"/>
      <c r="AG515" s="57"/>
      <c r="AH515" s="57"/>
      <c r="AI515" s="57"/>
      <c r="AJ515" s="57"/>
      <c r="AK515" s="57"/>
      <c r="AL515" s="57"/>
      <c r="AM515" s="57"/>
      <c r="AN515" s="57"/>
      <c r="AO515" s="57"/>
      <c r="AP515" s="57"/>
      <c r="AQ515" s="57"/>
      <c r="AR515" s="57"/>
      <c r="AS515" s="57"/>
      <c r="AT515" s="57"/>
      <c r="AU515" s="57"/>
      <c r="AV515" s="57"/>
      <c r="AW515" s="57"/>
    </row>
    <row r="516" spans="1:49" ht="31.5" x14ac:dyDescent="0.25">
      <c r="A516" s="56" t="s">
        <v>93</v>
      </c>
      <c r="B516" s="59">
        <v>46051</v>
      </c>
      <c r="C516" s="59">
        <v>46051</v>
      </c>
      <c r="D516" s="56" t="s">
        <v>207</v>
      </c>
      <c r="E516" s="62">
        <v>0.45833333333333331</v>
      </c>
      <c r="F516" s="62">
        <v>0.54166666666666663</v>
      </c>
      <c r="G516" s="64">
        <v>1.7361111111111109E-4</v>
      </c>
      <c r="H516" s="65" t="s">
        <v>94</v>
      </c>
      <c r="I516" s="66">
        <v>0.49668067129629628</v>
      </c>
      <c r="J516" s="56" t="s">
        <v>80</v>
      </c>
      <c r="K516" s="56" t="s">
        <v>150</v>
      </c>
      <c r="L516" s="68">
        <v>1</v>
      </c>
      <c r="M516" s="68">
        <v>69570</v>
      </c>
      <c r="N516" s="56" t="s">
        <v>53</v>
      </c>
      <c r="O516" s="68" t="s">
        <v>95</v>
      </c>
      <c r="P516" s="70">
        <v>0</v>
      </c>
      <c r="Q516" s="68"/>
      <c r="R516" s="70">
        <v>19.042139037433099</v>
      </c>
      <c r="S516" s="73">
        <v>46054</v>
      </c>
      <c r="T516" s="70">
        <v>0</v>
      </c>
      <c r="U516" s="74">
        <v>4</v>
      </c>
      <c r="V516" s="70">
        <v>0</v>
      </c>
      <c r="W516" s="56" t="s">
        <v>47</v>
      </c>
      <c r="X516" s="56" t="s">
        <v>48</v>
      </c>
      <c r="Y516" s="56" t="s">
        <v>36</v>
      </c>
      <c r="Z516" s="56" t="s">
        <v>9</v>
      </c>
      <c r="AA516" s="56" t="s">
        <v>49</v>
      </c>
      <c r="AB516" s="56" t="s">
        <v>96</v>
      </c>
      <c r="AC516" s="56" t="s">
        <v>38</v>
      </c>
      <c r="AD516" s="75" t="s">
        <v>267</v>
      </c>
      <c r="AE516" s="76"/>
      <c r="AF516" s="76"/>
      <c r="AG516" s="76"/>
      <c r="AH516" s="76"/>
      <c r="AI516" s="85"/>
      <c r="AJ516" s="85"/>
      <c r="AK516" s="85"/>
      <c r="AL516" s="85"/>
      <c r="AM516" s="85"/>
      <c r="AN516" s="85"/>
      <c r="AO516" s="85"/>
      <c r="AP516" s="85"/>
      <c r="AQ516" s="85"/>
      <c r="AR516" s="85"/>
      <c r="AS516" s="85"/>
      <c r="AT516" s="85"/>
      <c r="AU516" s="85"/>
      <c r="AV516" s="85"/>
      <c r="AW516" s="85"/>
    </row>
    <row r="517" spans="1:49" ht="31.5" x14ac:dyDescent="0.2">
      <c r="A517" s="56" t="s">
        <v>93</v>
      </c>
      <c r="B517" s="59">
        <v>46051</v>
      </c>
      <c r="C517" s="59">
        <v>46051</v>
      </c>
      <c r="D517" s="56" t="s">
        <v>207</v>
      </c>
      <c r="E517" s="62">
        <v>0.45833333333333331</v>
      </c>
      <c r="F517" s="62">
        <v>0.54166666666666663</v>
      </c>
      <c r="G517" s="64">
        <v>1.7361111111111109E-4</v>
      </c>
      <c r="H517" s="65" t="s">
        <v>97</v>
      </c>
      <c r="I517" s="66">
        <v>0.49963240740740739</v>
      </c>
      <c r="J517" s="56" t="s">
        <v>80</v>
      </c>
      <c r="K517" s="56" t="s">
        <v>150</v>
      </c>
      <c r="L517" s="68">
        <v>1</v>
      </c>
      <c r="M517" s="68">
        <v>69570</v>
      </c>
      <c r="N517" s="56" t="s">
        <v>53</v>
      </c>
      <c r="O517" s="68" t="s">
        <v>95</v>
      </c>
      <c r="P517" s="70">
        <v>0</v>
      </c>
      <c r="Q517" s="68"/>
      <c r="R517" s="70">
        <v>19.042139037433099</v>
      </c>
      <c r="S517" s="73">
        <v>46054</v>
      </c>
      <c r="T517" s="70">
        <v>0</v>
      </c>
      <c r="U517" s="74">
        <v>4</v>
      </c>
      <c r="V517" s="70">
        <v>0</v>
      </c>
      <c r="W517" s="56" t="s">
        <v>47</v>
      </c>
      <c r="X517" s="56" t="s">
        <v>48</v>
      </c>
      <c r="Y517" s="56" t="s">
        <v>36</v>
      </c>
      <c r="Z517" s="56" t="s">
        <v>9</v>
      </c>
      <c r="AA517" s="56" t="s">
        <v>49</v>
      </c>
      <c r="AB517" s="56" t="s">
        <v>96</v>
      </c>
      <c r="AC517" s="56" t="s">
        <v>38</v>
      </c>
      <c r="AD517" s="75" t="s">
        <v>267</v>
      </c>
      <c r="AE517" s="57"/>
      <c r="AF517" s="57"/>
      <c r="AG517" s="57"/>
      <c r="AH517" s="57"/>
      <c r="AI517" s="57"/>
      <c r="AJ517" s="57"/>
      <c r="AK517" s="57"/>
      <c r="AL517" s="57"/>
      <c r="AM517" s="57"/>
      <c r="AN517" s="57"/>
      <c r="AO517" s="57"/>
      <c r="AP517" s="57"/>
      <c r="AQ517" s="57"/>
      <c r="AR517" s="57"/>
      <c r="AS517" s="57"/>
      <c r="AT517" s="57"/>
      <c r="AU517" s="57"/>
      <c r="AV517" s="57"/>
      <c r="AW517" s="57"/>
    </row>
    <row r="518" spans="1:49" ht="31.5" x14ac:dyDescent="0.25">
      <c r="A518" s="56" t="s">
        <v>93</v>
      </c>
      <c r="B518" s="59">
        <v>46051</v>
      </c>
      <c r="C518" s="59">
        <v>46051</v>
      </c>
      <c r="D518" s="56" t="s">
        <v>207</v>
      </c>
      <c r="E518" s="62">
        <v>0.45833333333333331</v>
      </c>
      <c r="F518" s="62">
        <v>0.54166666666666663</v>
      </c>
      <c r="G518" s="64">
        <v>1.7361111111111109E-4</v>
      </c>
      <c r="H518" s="65" t="s">
        <v>98</v>
      </c>
      <c r="I518" s="66">
        <v>0.53367002314814815</v>
      </c>
      <c r="J518" s="56" t="s">
        <v>80</v>
      </c>
      <c r="K518" s="56" t="s">
        <v>151</v>
      </c>
      <c r="L518" s="68">
        <v>1</v>
      </c>
      <c r="M518" s="68">
        <v>69570</v>
      </c>
      <c r="N518" s="56" t="s">
        <v>53</v>
      </c>
      <c r="O518" s="68" t="s">
        <v>95</v>
      </c>
      <c r="P518" s="70">
        <v>0</v>
      </c>
      <c r="Q518" s="68"/>
      <c r="R518" s="70">
        <v>19.042139037433099</v>
      </c>
      <c r="S518" s="73">
        <v>46054</v>
      </c>
      <c r="T518" s="70">
        <v>0</v>
      </c>
      <c r="U518" s="74">
        <v>4</v>
      </c>
      <c r="V518" s="70">
        <v>0</v>
      </c>
      <c r="W518" s="56" t="s">
        <v>47</v>
      </c>
      <c r="X518" s="56" t="s">
        <v>48</v>
      </c>
      <c r="Y518" s="56" t="s">
        <v>36</v>
      </c>
      <c r="Z518" s="56" t="s">
        <v>9</v>
      </c>
      <c r="AA518" s="56" t="s">
        <v>49</v>
      </c>
      <c r="AB518" s="56" t="s">
        <v>96</v>
      </c>
      <c r="AC518" s="56" t="s">
        <v>38</v>
      </c>
      <c r="AD518" s="75" t="s">
        <v>267</v>
      </c>
      <c r="AE518" s="80"/>
      <c r="AF518" s="80"/>
      <c r="AG518" s="80"/>
      <c r="AH518" s="80"/>
      <c r="AI518" s="86"/>
      <c r="AJ518" s="86"/>
      <c r="AK518" s="86"/>
      <c r="AL518" s="86"/>
      <c r="AM518" s="86"/>
      <c r="AN518" s="86"/>
      <c r="AO518" s="86"/>
      <c r="AP518" s="86"/>
      <c r="AQ518" s="86"/>
      <c r="AR518" s="86"/>
      <c r="AS518" s="86"/>
      <c r="AT518" s="86"/>
      <c r="AU518" s="86"/>
      <c r="AV518" s="86"/>
      <c r="AW518" s="86"/>
    </row>
    <row r="519" spans="1:49" ht="31.5" x14ac:dyDescent="0.25">
      <c r="A519" s="56" t="s">
        <v>93</v>
      </c>
      <c r="B519" s="59">
        <v>46051</v>
      </c>
      <c r="C519" s="59">
        <v>46051</v>
      </c>
      <c r="D519" s="56" t="s">
        <v>207</v>
      </c>
      <c r="E519" s="62">
        <v>0.45833333333333331</v>
      </c>
      <c r="F519" s="62">
        <v>0.54166666666666663</v>
      </c>
      <c r="G519" s="64">
        <v>1.7361111111111109E-4</v>
      </c>
      <c r="H519" s="65" t="s">
        <v>97</v>
      </c>
      <c r="I519" s="66">
        <v>0.5354061342592592</v>
      </c>
      <c r="J519" s="56" t="s">
        <v>80</v>
      </c>
      <c r="K519" s="56" t="s">
        <v>151</v>
      </c>
      <c r="L519" s="68">
        <v>1</v>
      </c>
      <c r="M519" s="68">
        <v>69570</v>
      </c>
      <c r="N519" s="56" t="s">
        <v>53</v>
      </c>
      <c r="O519" s="68" t="s">
        <v>95</v>
      </c>
      <c r="P519" s="70">
        <v>0</v>
      </c>
      <c r="Q519" s="68"/>
      <c r="R519" s="70">
        <v>19.042139037433099</v>
      </c>
      <c r="S519" s="73">
        <v>46054</v>
      </c>
      <c r="T519" s="70">
        <v>0</v>
      </c>
      <c r="U519" s="74">
        <v>4</v>
      </c>
      <c r="V519" s="70">
        <v>0</v>
      </c>
      <c r="W519" s="56" t="s">
        <v>47</v>
      </c>
      <c r="X519" s="56" t="s">
        <v>48</v>
      </c>
      <c r="Y519" s="56" t="s">
        <v>36</v>
      </c>
      <c r="Z519" s="56" t="s">
        <v>9</v>
      </c>
      <c r="AA519" s="56" t="s">
        <v>49</v>
      </c>
      <c r="AB519" s="56" t="s">
        <v>96</v>
      </c>
      <c r="AC519" s="56" t="s">
        <v>38</v>
      </c>
      <c r="AD519" s="75" t="s">
        <v>267</v>
      </c>
      <c r="AE519" s="76"/>
      <c r="AF519" s="76"/>
      <c r="AG519" s="76"/>
      <c r="AH519" s="76"/>
      <c r="AI519" s="85"/>
      <c r="AJ519" s="85"/>
      <c r="AK519" s="85"/>
      <c r="AL519" s="85"/>
      <c r="AM519" s="85"/>
      <c r="AN519" s="85"/>
      <c r="AO519" s="85"/>
      <c r="AP519" s="85"/>
      <c r="AQ519" s="85"/>
      <c r="AR519" s="85"/>
      <c r="AS519" s="85"/>
      <c r="AT519" s="85"/>
      <c r="AU519" s="85"/>
      <c r="AV519" s="85"/>
      <c r="AW519" s="85"/>
    </row>
    <row r="520" spans="1:49" ht="31.5" x14ac:dyDescent="0.25">
      <c r="A520" s="56" t="s">
        <v>93</v>
      </c>
      <c r="B520" s="59">
        <v>46051</v>
      </c>
      <c r="C520" s="59">
        <v>46051</v>
      </c>
      <c r="D520" s="56" t="s">
        <v>207</v>
      </c>
      <c r="E520" s="62">
        <v>0.79166666666666663</v>
      </c>
      <c r="F520" s="62">
        <v>0.99930555555555556</v>
      </c>
      <c r="G520" s="64">
        <v>1.7361111111111109E-4</v>
      </c>
      <c r="H520" s="65" t="s">
        <v>190</v>
      </c>
      <c r="I520" s="66">
        <v>0.81172523148148146</v>
      </c>
      <c r="J520" s="56" t="s">
        <v>136</v>
      </c>
      <c r="K520" s="56" t="s">
        <v>131</v>
      </c>
      <c r="L520" s="68">
        <v>1</v>
      </c>
      <c r="M520" s="68">
        <v>69567</v>
      </c>
      <c r="N520" s="56" t="s">
        <v>46</v>
      </c>
      <c r="O520" s="68" t="s">
        <v>137</v>
      </c>
      <c r="P520" s="70">
        <v>0</v>
      </c>
      <c r="Q520" s="68"/>
      <c r="R520" s="70">
        <v>0</v>
      </c>
      <c r="S520" s="73">
        <v>46054</v>
      </c>
      <c r="T520" s="70">
        <v>0</v>
      </c>
      <c r="U520" s="74">
        <v>4</v>
      </c>
      <c r="V520" s="70">
        <v>0</v>
      </c>
      <c r="W520" s="56" t="s">
        <v>47</v>
      </c>
      <c r="X520" s="56" t="s">
        <v>48</v>
      </c>
      <c r="Y520" s="56" t="s">
        <v>36</v>
      </c>
      <c r="Z520" s="56" t="s">
        <v>9</v>
      </c>
      <c r="AA520" s="56" t="s">
        <v>49</v>
      </c>
      <c r="AB520" s="56" t="s">
        <v>138</v>
      </c>
      <c r="AC520" s="56" t="s">
        <v>38</v>
      </c>
      <c r="AD520" s="75" t="s">
        <v>267</v>
      </c>
      <c r="AE520" s="76"/>
      <c r="AF520" s="76"/>
      <c r="AG520" s="76"/>
      <c r="AH520" s="76"/>
      <c r="AI520" s="85"/>
      <c r="AJ520" s="85"/>
      <c r="AK520" s="85"/>
      <c r="AL520" s="85"/>
      <c r="AM520" s="85"/>
      <c r="AN520" s="85"/>
      <c r="AO520" s="85"/>
      <c r="AP520" s="85"/>
      <c r="AQ520" s="85"/>
      <c r="AR520" s="85"/>
      <c r="AS520" s="85"/>
      <c r="AT520" s="85"/>
      <c r="AU520" s="85"/>
      <c r="AV520" s="85"/>
      <c r="AW520" s="85"/>
    </row>
    <row r="521" spans="1:49" ht="31.5" x14ac:dyDescent="0.2">
      <c r="A521" s="56" t="s">
        <v>93</v>
      </c>
      <c r="B521" s="59">
        <v>46051</v>
      </c>
      <c r="C521" s="59">
        <v>46051</v>
      </c>
      <c r="D521" s="56" t="s">
        <v>207</v>
      </c>
      <c r="E521" s="62">
        <v>0.79166666666666663</v>
      </c>
      <c r="F521" s="62">
        <v>0.99930555555555556</v>
      </c>
      <c r="G521" s="64">
        <v>1.7361111111111109E-4</v>
      </c>
      <c r="H521" s="65" t="s">
        <v>191</v>
      </c>
      <c r="I521" s="66">
        <v>0.8122462962962963</v>
      </c>
      <c r="J521" s="56" t="s">
        <v>136</v>
      </c>
      <c r="K521" s="56" t="s">
        <v>131</v>
      </c>
      <c r="L521" s="68">
        <v>1</v>
      </c>
      <c r="M521" s="68">
        <v>69567</v>
      </c>
      <c r="N521" s="56" t="s">
        <v>46</v>
      </c>
      <c r="O521" s="68" t="s">
        <v>137</v>
      </c>
      <c r="P521" s="70">
        <v>0</v>
      </c>
      <c r="Q521" s="68"/>
      <c r="R521" s="70">
        <v>0</v>
      </c>
      <c r="S521" s="73">
        <v>46054</v>
      </c>
      <c r="T521" s="70">
        <v>0</v>
      </c>
      <c r="U521" s="74">
        <v>4</v>
      </c>
      <c r="V521" s="70">
        <v>0</v>
      </c>
      <c r="W521" s="56" t="s">
        <v>47</v>
      </c>
      <c r="X521" s="56" t="s">
        <v>48</v>
      </c>
      <c r="Y521" s="56" t="s">
        <v>36</v>
      </c>
      <c r="Z521" s="56" t="s">
        <v>9</v>
      </c>
      <c r="AA521" s="56" t="s">
        <v>49</v>
      </c>
      <c r="AB521" s="56" t="s">
        <v>138</v>
      </c>
      <c r="AC521" s="56" t="s">
        <v>38</v>
      </c>
      <c r="AD521" s="75" t="s">
        <v>267</v>
      </c>
      <c r="AE521" s="57"/>
      <c r="AF521" s="57"/>
      <c r="AG521" s="57"/>
      <c r="AH521" s="57"/>
      <c r="AI521" s="57"/>
      <c r="AJ521" s="57"/>
      <c r="AK521" s="57"/>
      <c r="AL521" s="57"/>
      <c r="AM521" s="57"/>
      <c r="AN521" s="57"/>
      <c r="AO521" s="57"/>
      <c r="AP521" s="57"/>
      <c r="AQ521" s="57"/>
      <c r="AR521" s="57"/>
      <c r="AS521" s="57"/>
      <c r="AT521" s="57"/>
      <c r="AU521" s="57"/>
      <c r="AV521" s="57"/>
      <c r="AW521" s="57"/>
    </row>
    <row r="522" spans="1:49" ht="31.5" x14ac:dyDescent="0.25">
      <c r="A522" s="56" t="s">
        <v>93</v>
      </c>
      <c r="B522" s="59">
        <v>46051</v>
      </c>
      <c r="C522" s="59">
        <v>46051</v>
      </c>
      <c r="D522" s="56" t="s">
        <v>207</v>
      </c>
      <c r="E522" s="62">
        <v>0.79166666666666663</v>
      </c>
      <c r="F522" s="62">
        <v>0.99930555555555556</v>
      </c>
      <c r="G522" s="64">
        <v>1.7361111111111109E-4</v>
      </c>
      <c r="H522" s="65" t="s">
        <v>190</v>
      </c>
      <c r="I522" s="66">
        <v>0.83212141203703693</v>
      </c>
      <c r="J522" s="56" t="s">
        <v>136</v>
      </c>
      <c r="K522" s="56" t="s">
        <v>214</v>
      </c>
      <c r="L522" s="68">
        <v>1</v>
      </c>
      <c r="M522" s="68">
        <v>69567</v>
      </c>
      <c r="N522" s="56" t="s">
        <v>46</v>
      </c>
      <c r="O522" s="68" t="s">
        <v>137</v>
      </c>
      <c r="P522" s="70">
        <v>0</v>
      </c>
      <c r="Q522" s="68"/>
      <c r="R522" s="70">
        <v>0</v>
      </c>
      <c r="S522" s="73">
        <v>46054</v>
      </c>
      <c r="T522" s="70">
        <v>0</v>
      </c>
      <c r="U522" s="74">
        <v>4</v>
      </c>
      <c r="V522" s="70">
        <v>0</v>
      </c>
      <c r="W522" s="56" t="s">
        <v>47</v>
      </c>
      <c r="X522" s="56" t="s">
        <v>48</v>
      </c>
      <c r="Y522" s="56" t="s">
        <v>36</v>
      </c>
      <c r="Z522" s="56" t="s">
        <v>9</v>
      </c>
      <c r="AA522" s="56" t="s">
        <v>49</v>
      </c>
      <c r="AB522" s="56" t="s">
        <v>138</v>
      </c>
      <c r="AC522" s="56" t="s">
        <v>38</v>
      </c>
      <c r="AD522" s="75" t="s">
        <v>267</v>
      </c>
      <c r="AE522" s="77"/>
      <c r="AF522" s="77"/>
      <c r="AG522" s="77"/>
      <c r="AH522" s="77"/>
      <c r="AI522" s="86"/>
      <c r="AJ522" s="86"/>
      <c r="AK522" s="86"/>
      <c r="AL522" s="86"/>
      <c r="AM522" s="86"/>
      <c r="AN522" s="86"/>
      <c r="AO522" s="86"/>
      <c r="AP522" s="86"/>
      <c r="AQ522" s="86"/>
      <c r="AR522" s="86"/>
      <c r="AS522" s="86"/>
      <c r="AT522" s="86"/>
      <c r="AU522" s="86"/>
      <c r="AV522" s="86"/>
      <c r="AW522" s="86"/>
    </row>
    <row r="523" spans="1:49" ht="31.5" x14ac:dyDescent="0.25">
      <c r="A523" s="56" t="s">
        <v>93</v>
      </c>
      <c r="B523" s="59">
        <v>46051</v>
      </c>
      <c r="C523" s="59">
        <v>46051</v>
      </c>
      <c r="D523" s="56" t="s">
        <v>207</v>
      </c>
      <c r="E523" s="62">
        <v>0.79166666666666663</v>
      </c>
      <c r="F523" s="62">
        <v>0.99930555555555556</v>
      </c>
      <c r="G523" s="64">
        <v>1.7361111111111109E-4</v>
      </c>
      <c r="H523" s="65" t="s">
        <v>191</v>
      </c>
      <c r="I523" s="66">
        <v>0.8329978009259259</v>
      </c>
      <c r="J523" s="56" t="s">
        <v>136</v>
      </c>
      <c r="K523" s="56" t="s">
        <v>214</v>
      </c>
      <c r="L523" s="68">
        <v>1</v>
      </c>
      <c r="M523" s="68">
        <v>69567</v>
      </c>
      <c r="N523" s="56" t="s">
        <v>46</v>
      </c>
      <c r="O523" s="68" t="s">
        <v>137</v>
      </c>
      <c r="P523" s="70">
        <v>0</v>
      </c>
      <c r="Q523" s="68"/>
      <c r="R523" s="70">
        <v>0</v>
      </c>
      <c r="S523" s="73">
        <v>46054</v>
      </c>
      <c r="T523" s="70">
        <v>0</v>
      </c>
      <c r="U523" s="74">
        <v>4</v>
      </c>
      <c r="V523" s="70">
        <v>0</v>
      </c>
      <c r="W523" s="56" t="s">
        <v>47</v>
      </c>
      <c r="X523" s="56" t="s">
        <v>48</v>
      </c>
      <c r="Y523" s="56" t="s">
        <v>36</v>
      </c>
      <c r="Z523" s="56" t="s">
        <v>9</v>
      </c>
      <c r="AA523" s="56" t="s">
        <v>49</v>
      </c>
      <c r="AB523" s="56" t="s">
        <v>138</v>
      </c>
      <c r="AC523" s="56" t="s">
        <v>38</v>
      </c>
      <c r="AD523" s="75" t="s">
        <v>267</v>
      </c>
      <c r="AE523" s="76"/>
      <c r="AF523" s="76"/>
      <c r="AG523" s="76"/>
      <c r="AH523" s="76"/>
      <c r="AI523" s="76"/>
      <c r="AJ523" s="76"/>
      <c r="AK523" s="76"/>
      <c r="AL523" s="76"/>
      <c r="AM523" s="76"/>
      <c r="AN523" s="76"/>
      <c r="AO523" s="76"/>
      <c r="AP523" s="76"/>
      <c r="AQ523" s="76"/>
      <c r="AR523" s="76"/>
      <c r="AS523" s="76"/>
      <c r="AT523" s="76"/>
      <c r="AU523" s="76"/>
      <c r="AV523" s="76"/>
      <c r="AW523" s="76"/>
    </row>
    <row r="524" spans="1:49" ht="31.5" x14ac:dyDescent="0.25">
      <c r="A524" s="56" t="s">
        <v>93</v>
      </c>
      <c r="B524" s="59">
        <v>46051</v>
      </c>
      <c r="C524" s="59">
        <v>46051</v>
      </c>
      <c r="D524" s="56" t="s">
        <v>207</v>
      </c>
      <c r="E524" s="62">
        <v>0.79166666666666663</v>
      </c>
      <c r="F524" s="62">
        <v>0.99930555555555556</v>
      </c>
      <c r="G524" s="64">
        <v>1.7361111111111109E-4</v>
      </c>
      <c r="H524" s="65" t="s">
        <v>135</v>
      </c>
      <c r="I524" s="66">
        <v>0.84502581018518519</v>
      </c>
      <c r="J524" s="56" t="s">
        <v>136</v>
      </c>
      <c r="K524" s="56" t="s">
        <v>157</v>
      </c>
      <c r="L524" s="68">
        <v>1</v>
      </c>
      <c r="M524" s="68">
        <v>69566</v>
      </c>
      <c r="N524" s="56" t="s">
        <v>53</v>
      </c>
      <c r="O524" s="68" t="s">
        <v>137</v>
      </c>
      <c r="P524" s="70">
        <v>0</v>
      </c>
      <c r="Q524" s="68"/>
      <c r="R524" s="70">
        <v>16.531831119544499</v>
      </c>
      <c r="S524" s="73">
        <v>46054</v>
      </c>
      <c r="T524" s="70">
        <v>0</v>
      </c>
      <c r="U524" s="74">
        <v>4</v>
      </c>
      <c r="V524" s="70">
        <v>0</v>
      </c>
      <c r="W524" s="56" t="s">
        <v>47</v>
      </c>
      <c r="X524" s="56" t="s">
        <v>48</v>
      </c>
      <c r="Y524" s="56" t="s">
        <v>36</v>
      </c>
      <c r="Z524" s="56" t="s">
        <v>9</v>
      </c>
      <c r="AA524" s="56" t="s">
        <v>49</v>
      </c>
      <c r="AB524" s="56" t="s">
        <v>138</v>
      </c>
      <c r="AC524" s="56" t="s">
        <v>38</v>
      </c>
      <c r="AD524" s="75" t="s">
        <v>267</v>
      </c>
      <c r="AE524" s="81"/>
      <c r="AF524" s="81"/>
      <c r="AG524" s="81"/>
      <c r="AH524" s="81"/>
      <c r="AI524" s="86"/>
      <c r="AJ524" s="86"/>
      <c r="AK524" s="86"/>
      <c r="AL524" s="86"/>
      <c r="AM524" s="86"/>
      <c r="AN524" s="86"/>
      <c r="AO524" s="86"/>
      <c r="AP524" s="86"/>
      <c r="AQ524" s="86"/>
      <c r="AR524" s="86"/>
      <c r="AS524" s="86"/>
      <c r="AT524" s="86"/>
      <c r="AU524" s="86"/>
      <c r="AV524" s="86"/>
      <c r="AW524" s="86"/>
    </row>
    <row r="525" spans="1:49" ht="31.5" x14ac:dyDescent="0.25">
      <c r="A525" s="56" t="s">
        <v>93</v>
      </c>
      <c r="B525" s="59">
        <v>46051</v>
      </c>
      <c r="C525" s="59">
        <v>46051</v>
      </c>
      <c r="D525" s="56" t="s">
        <v>207</v>
      </c>
      <c r="E525" s="62">
        <v>0.79166666666666663</v>
      </c>
      <c r="F525" s="62">
        <v>0.99930555555555556</v>
      </c>
      <c r="G525" s="64">
        <v>1.7361111111111109E-4</v>
      </c>
      <c r="H525" s="65" t="s">
        <v>139</v>
      </c>
      <c r="I525" s="66">
        <v>0.84572048611111106</v>
      </c>
      <c r="J525" s="56" t="s">
        <v>136</v>
      </c>
      <c r="K525" s="56" t="s">
        <v>157</v>
      </c>
      <c r="L525" s="68">
        <v>1</v>
      </c>
      <c r="M525" s="68">
        <v>69566</v>
      </c>
      <c r="N525" s="56" t="s">
        <v>53</v>
      </c>
      <c r="O525" s="68" t="s">
        <v>137</v>
      </c>
      <c r="P525" s="70">
        <v>0</v>
      </c>
      <c r="Q525" s="68"/>
      <c r="R525" s="70">
        <v>16.531831119544499</v>
      </c>
      <c r="S525" s="73">
        <v>46054</v>
      </c>
      <c r="T525" s="70">
        <v>0</v>
      </c>
      <c r="U525" s="74">
        <v>4</v>
      </c>
      <c r="V525" s="70">
        <v>0</v>
      </c>
      <c r="W525" s="56" t="s">
        <v>47</v>
      </c>
      <c r="X525" s="56" t="s">
        <v>48</v>
      </c>
      <c r="Y525" s="56" t="s">
        <v>36</v>
      </c>
      <c r="Z525" s="56" t="s">
        <v>9</v>
      </c>
      <c r="AA525" s="56" t="s">
        <v>49</v>
      </c>
      <c r="AB525" s="56" t="s">
        <v>138</v>
      </c>
      <c r="AC525" s="56" t="s">
        <v>38</v>
      </c>
      <c r="AD525" s="75" t="s">
        <v>267</v>
      </c>
      <c r="AE525" s="79"/>
      <c r="AF525" s="79"/>
      <c r="AG525" s="79"/>
      <c r="AH525" s="79"/>
      <c r="AI525" s="86"/>
      <c r="AJ525" s="86"/>
      <c r="AK525" s="86"/>
      <c r="AL525" s="86"/>
      <c r="AM525" s="86"/>
      <c r="AN525" s="86"/>
      <c r="AO525" s="86"/>
      <c r="AP525" s="86"/>
      <c r="AQ525" s="86"/>
      <c r="AR525" s="86"/>
      <c r="AS525" s="86"/>
      <c r="AT525" s="86"/>
      <c r="AU525" s="86"/>
      <c r="AV525" s="86"/>
      <c r="AW525" s="86"/>
    </row>
    <row r="526" spans="1:49" ht="31.5" x14ac:dyDescent="0.25">
      <c r="A526" s="56" t="s">
        <v>93</v>
      </c>
      <c r="B526" s="59">
        <v>46051</v>
      </c>
      <c r="C526" s="59">
        <v>46051</v>
      </c>
      <c r="D526" s="56" t="s">
        <v>207</v>
      </c>
      <c r="E526" s="62">
        <v>0.79166666666666663</v>
      </c>
      <c r="F526" s="62">
        <v>0.99930555555555556</v>
      </c>
      <c r="G526" s="64">
        <v>1.7361111111111109E-4</v>
      </c>
      <c r="H526" s="65" t="s">
        <v>135</v>
      </c>
      <c r="I526" s="66">
        <v>0.89789583333333334</v>
      </c>
      <c r="J526" s="56" t="s">
        <v>136</v>
      </c>
      <c r="K526" s="56" t="s">
        <v>147</v>
      </c>
      <c r="L526" s="68">
        <v>1</v>
      </c>
      <c r="M526" s="68">
        <v>69566</v>
      </c>
      <c r="N526" s="56" t="s">
        <v>53</v>
      </c>
      <c r="O526" s="68" t="s">
        <v>137</v>
      </c>
      <c r="P526" s="70">
        <v>0</v>
      </c>
      <c r="Q526" s="68"/>
      <c r="R526" s="70">
        <v>16.531831119544499</v>
      </c>
      <c r="S526" s="73">
        <v>46054</v>
      </c>
      <c r="T526" s="70">
        <v>0</v>
      </c>
      <c r="U526" s="74">
        <v>4</v>
      </c>
      <c r="V526" s="70">
        <v>0</v>
      </c>
      <c r="W526" s="56" t="s">
        <v>47</v>
      </c>
      <c r="X526" s="56" t="s">
        <v>48</v>
      </c>
      <c r="Y526" s="56" t="s">
        <v>36</v>
      </c>
      <c r="Z526" s="56" t="s">
        <v>9</v>
      </c>
      <c r="AA526" s="56" t="s">
        <v>49</v>
      </c>
      <c r="AB526" s="56" t="s">
        <v>138</v>
      </c>
      <c r="AC526" s="56" t="s">
        <v>38</v>
      </c>
      <c r="AD526" s="75" t="s">
        <v>267</v>
      </c>
      <c r="AE526" s="76"/>
      <c r="AF526" s="76"/>
      <c r="AG526" s="76"/>
      <c r="AH526" s="76"/>
      <c r="AI526" s="76"/>
      <c r="AJ526" s="76"/>
      <c r="AK526" s="76"/>
      <c r="AL526" s="76"/>
      <c r="AM526" s="76"/>
      <c r="AN526" s="76"/>
      <c r="AO526" s="76"/>
      <c r="AP526" s="76"/>
      <c r="AQ526" s="76"/>
      <c r="AR526" s="76"/>
      <c r="AS526" s="76"/>
      <c r="AT526" s="76"/>
      <c r="AU526" s="76"/>
      <c r="AV526" s="76"/>
      <c r="AW526" s="76"/>
    </row>
    <row r="527" spans="1:49" ht="31.5" x14ac:dyDescent="0.25">
      <c r="A527" s="56" t="s">
        <v>93</v>
      </c>
      <c r="B527" s="59">
        <v>46051</v>
      </c>
      <c r="C527" s="59">
        <v>46051</v>
      </c>
      <c r="D527" s="56" t="s">
        <v>207</v>
      </c>
      <c r="E527" s="62">
        <v>0.79166666666666663</v>
      </c>
      <c r="F527" s="62">
        <v>0.99930555555555556</v>
      </c>
      <c r="G527" s="64">
        <v>1.7361111111111109E-4</v>
      </c>
      <c r="H527" s="65" t="s">
        <v>139</v>
      </c>
      <c r="I527" s="66">
        <v>0.89980578703703706</v>
      </c>
      <c r="J527" s="56" t="s">
        <v>136</v>
      </c>
      <c r="K527" s="56" t="s">
        <v>147</v>
      </c>
      <c r="L527" s="68">
        <v>1</v>
      </c>
      <c r="M527" s="68">
        <v>69566</v>
      </c>
      <c r="N527" s="56" t="s">
        <v>53</v>
      </c>
      <c r="O527" s="68" t="s">
        <v>137</v>
      </c>
      <c r="P527" s="70">
        <v>0</v>
      </c>
      <c r="Q527" s="68"/>
      <c r="R527" s="70">
        <v>16.531831119544499</v>
      </c>
      <c r="S527" s="73">
        <v>46054</v>
      </c>
      <c r="T527" s="70">
        <v>0</v>
      </c>
      <c r="U527" s="74">
        <v>4</v>
      </c>
      <c r="V527" s="70">
        <v>0</v>
      </c>
      <c r="W527" s="56" t="s">
        <v>47</v>
      </c>
      <c r="X527" s="56" t="s">
        <v>48</v>
      </c>
      <c r="Y527" s="56" t="s">
        <v>36</v>
      </c>
      <c r="Z527" s="56" t="s">
        <v>9</v>
      </c>
      <c r="AA527" s="56" t="s">
        <v>49</v>
      </c>
      <c r="AB527" s="56" t="s">
        <v>138</v>
      </c>
      <c r="AC527" s="56" t="s">
        <v>38</v>
      </c>
      <c r="AD527" s="75" t="s">
        <v>267</v>
      </c>
      <c r="AE527" s="76"/>
      <c r="AF527" s="76"/>
      <c r="AG527" s="76"/>
      <c r="AH527" s="76"/>
      <c r="AI527" s="85"/>
      <c r="AJ527" s="85"/>
      <c r="AK527" s="85"/>
      <c r="AL527" s="85"/>
      <c r="AM527" s="85"/>
      <c r="AN527" s="85"/>
      <c r="AO527" s="85"/>
      <c r="AP527" s="85"/>
      <c r="AQ527" s="85"/>
      <c r="AR527" s="85"/>
      <c r="AS527" s="85"/>
      <c r="AT527" s="85"/>
      <c r="AU527" s="85"/>
      <c r="AV527" s="85"/>
      <c r="AW527" s="85"/>
    </row>
    <row r="528" spans="1:49" ht="31.5" x14ac:dyDescent="0.25">
      <c r="A528" s="56" t="s">
        <v>93</v>
      </c>
      <c r="B528" s="59">
        <v>46051</v>
      </c>
      <c r="C528" s="59">
        <v>46051</v>
      </c>
      <c r="D528" s="56" t="s">
        <v>207</v>
      </c>
      <c r="E528" s="62">
        <v>0.79166666666666663</v>
      </c>
      <c r="F528" s="62">
        <v>0.99930555555555556</v>
      </c>
      <c r="G528" s="64">
        <v>1.7361111111111109E-4</v>
      </c>
      <c r="H528" s="65" t="s">
        <v>135</v>
      </c>
      <c r="I528" s="66">
        <v>0.92562557870370377</v>
      </c>
      <c r="J528" s="56" t="s">
        <v>136</v>
      </c>
      <c r="K528" s="56" t="s">
        <v>215</v>
      </c>
      <c r="L528" s="68">
        <v>1</v>
      </c>
      <c r="M528" s="68">
        <v>69566</v>
      </c>
      <c r="N528" s="56" t="s">
        <v>53</v>
      </c>
      <c r="O528" s="68" t="s">
        <v>137</v>
      </c>
      <c r="P528" s="70">
        <v>0</v>
      </c>
      <c r="Q528" s="68"/>
      <c r="R528" s="70">
        <v>16.531831119544499</v>
      </c>
      <c r="S528" s="73">
        <v>46054</v>
      </c>
      <c r="T528" s="70">
        <v>0</v>
      </c>
      <c r="U528" s="74">
        <v>4</v>
      </c>
      <c r="V528" s="70">
        <v>0</v>
      </c>
      <c r="W528" s="56" t="s">
        <v>47</v>
      </c>
      <c r="X528" s="56" t="s">
        <v>48</v>
      </c>
      <c r="Y528" s="56" t="s">
        <v>36</v>
      </c>
      <c r="Z528" s="56" t="s">
        <v>9</v>
      </c>
      <c r="AA528" s="56" t="s">
        <v>49</v>
      </c>
      <c r="AB528" s="56" t="s">
        <v>138</v>
      </c>
      <c r="AC528" s="56" t="s">
        <v>38</v>
      </c>
      <c r="AD528" s="75" t="s">
        <v>267</v>
      </c>
      <c r="AE528" s="76"/>
      <c r="AF528" s="76"/>
      <c r="AG528" s="76"/>
      <c r="AH528" s="76"/>
      <c r="AI528" s="85"/>
      <c r="AJ528" s="85"/>
      <c r="AK528" s="85"/>
      <c r="AL528" s="85"/>
      <c r="AM528" s="85"/>
      <c r="AN528" s="85"/>
      <c r="AO528" s="85"/>
      <c r="AP528" s="85"/>
      <c r="AQ528" s="85"/>
      <c r="AR528" s="85"/>
      <c r="AS528" s="85"/>
      <c r="AT528" s="85"/>
      <c r="AU528" s="85"/>
      <c r="AV528" s="85"/>
      <c r="AW528" s="85"/>
    </row>
    <row r="529" spans="1:49" ht="31.5" x14ac:dyDescent="0.2">
      <c r="A529" s="56" t="s">
        <v>93</v>
      </c>
      <c r="B529" s="59">
        <v>46051</v>
      </c>
      <c r="C529" s="59">
        <v>46051</v>
      </c>
      <c r="D529" s="56" t="s">
        <v>207</v>
      </c>
      <c r="E529" s="62">
        <v>0.79166666666666663</v>
      </c>
      <c r="F529" s="62">
        <v>0.99930555555555556</v>
      </c>
      <c r="G529" s="64">
        <v>1.7361111111111109E-4</v>
      </c>
      <c r="H529" s="65" t="s">
        <v>139</v>
      </c>
      <c r="I529" s="66">
        <v>0.9280563657407408</v>
      </c>
      <c r="J529" s="56" t="s">
        <v>136</v>
      </c>
      <c r="K529" s="56" t="s">
        <v>215</v>
      </c>
      <c r="L529" s="68">
        <v>1</v>
      </c>
      <c r="M529" s="68">
        <v>69566</v>
      </c>
      <c r="N529" s="56" t="s">
        <v>53</v>
      </c>
      <c r="O529" s="68" t="s">
        <v>137</v>
      </c>
      <c r="P529" s="70">
        <v>0</v>
      </c>
      <c r="Q529" s="68"/>
      <c r="R529" s="70">
        <v>16.531831119544499</v>
      </c>
      <c r="S529" s="73">
        <v>46054</v>
      </c>
      <c r="T529" s="70">
        <v>0</v>
      </c>
      <c r="U529" s="74">
        <v>4</v>
      </c>
      <c r="V529" s="70">
        <v>0</v>
      </c>
      <c r="W529" s="56" t="s">
        <v>47</v>
      </c>
      <c r="X529" s="56" t="s">
        <v>48</v>
      </c>
      <c r="Y529" s="56" t="s">
        <v>36</v>
      </c>
      <c r="Z529" s="56" t="s">
        <v>9</v>
      </c>
      <c r="AA529" s="56" t="s">
        <v>49</v>
      </c>
      <c r="AB529" s="56" t="s">
        <v>138</v>
      </c>
      <c r="AC529" s="56" t="s">
        <v>38</v>
      </c>
      <c r="AD529" s="75" t="s">
        <v>267</v>
      </c>
      <c r="AE529" s="57"/>
      <c r="AF529" s="57"/>
      <c r="AG529" s="57"/>
      <c r="AH529" s="57"/>
      <c r="AI529" s="57"/>
      <c r="AJ529" s="57"/>
      <c r="AK529" s="57"/>
      <c r="AL529" s="57"/>
      <c r="AM529" s="57"/>
      <c r="AN529" s="57"/>
      <c r="AO529" s="57"/>
      <c r="AP529" s="57"/>
      <c r="AQ529" s="57"/>
      <c r="AR529" s="57"/>
      <c r="AS529" s="57"/>
      <c r="AT529" s="57"/>
      <c r="AU529" s="57"/>
      <c r="AV529" s="57"/>
      <c r="AW529" s="57"/>
    </row>
    <row r="530" spans="1:49" ht="31.5" x14ac:dyDescent="0.25">
      <c r="A530" s="56" t="s">
        <v>93</v>
      </c>
      <c r="B530" s="59">
        <v>46052</v>
      </c>
      <c r="C530" s="59">
        <v>46052</v>
      </c>
      <c r="D530" s="56" t="s">
        <v>217</v>
      </c>
      <c r="E530" s="62">
        <v>0.45833333333333331</v>
      </c>
      <c r="F530" s="62">
        <v>0.54166666666666663</v>
      </c>
      <c r="G530" s="64">
        <v>1.7361111111111109E-4</v>
      </c>
      <c r="H530" s="65" t="s">
        <v>94</v>
      </c>
      <c r="I530" s="66">
        <v>0.49797488425925923</v>
      </c>
      <c r="J530" s="56" t="s">
        <v>80</v>
      </c>
      <c r="K530" s="56" t="s">
        <v>150</v>
      </c>
      <c r="L530" s="68">
        <v>1</v>
      </c>
      <c r="M530" s="68">
        <v>69570</v>
      </c>
      <c r="N530" s="56" t="s">
        <v>53</v>
      </c>
      <c r="O530" s="68" t="s">
        <v>95</v>
      </c>
      <c r="P530" s="70">
        <v>0</v>
      </c>
      <c r="Q530" s="68"/>
      <c r="R530" s="70">
        <v>19.042139037433099</v>
      </c>
      <c r="S530" s="73">
        <v>46054</v>
      </c>
      <c r="T530" s="70">
        <v>0</v>
      </c>
      <c r="U530" s="74">
        <v>4</v>
      </c>
      <c r="V530" s="70">
        <v>0</v>
      </c>
      <c r="W530" s="56" t="s">
        <v>47</v>
      </c>
      <c r="X530" s="56" t="s">
        <v>48</v>
      </c>
      <c r="Y530" s="56" t="s">
        <v>36</v>
      </c>
      <c r="Z530" s="56" t="s">
        <v>9</v>
      </c>
      <c r="AA530" s="56" t="s">
        <v>49</v>
      </c>
      <c r="AB530" s="56" t="s">
        <v>96</v>
      </c>
      <c r="AC530" s="56" t="s">
        <v>38</v>
      </c>
      <c r="AD530" s="75" t="s">
        <v>267</v>
      </c>
      <c r="AE530" s="80"/>
      <c r="AF530" s="80"/>
      <c r="AG530" s="80"/>
      <c r="AH530" s="80"/>
      <c r="AI530" s="86"/>
      <c r="AJ530" s="86"/>
      <c r="AK530" s="86"/>
      <c r="AL530" s="86"/>
      <c r="AM530" s="86"/>
      <c r="AN530" s="86"/>
      <c r="AO530" s="86"/>
      <c r="AP530" s="86"/>
      <c r="AQ530" s="86"/>
      <c r="AR530" s="86"/>
      <c r="AS530" s="86"/>
      <c r="AT530" s="86"/>
      <c r="AU530" s="86"/>
      <c r="AV530" s="86"/>
      <c r="AW530" s="86"/>
    </row>
    <row r="531" spans="1:49" ht="31.5" x14ac:dyDescent="0.25">
      <c r="A531" s="56" t="s">
        <v>93</v>
      </c>
      <c r="B531" s="59">
        <v>46052</v>
      </c>
      <c r="C531" s="59">
        <v>46052</v>
      </c>
      <c r="D531" s="56" t="s">
        <v>217</v>
      </c>
      <c r="E531" s="62">
        <v>0.45833333333333331</v>
      </c>
      <c r="F531" s="62">
        <v>0.54166666666666663</v>
      </c>
      <c r="G531" s="64">
        <v>1.7361111111111109E-4</v>
      </c>
      <c r="H531" s="65" t="s">
        <v>97</v>
      </c>
      <c r="I531" s="66">
        <v>0.49971111111111111</v>
      </c>
      <c r="J531" s="56" t="s">
        <v>80</v>
      </c>
      <c r="K531" s="56" t="s">
        <v>150</v>
      </c>
      <c r="L531" s="68">
        <v>1</v>
      </c>
      <c r="M531" s="68">
        <v>69570</v>
      </c>
      <c r="N531" s="56" t="s">
        <v>53</v>
      </c>
      <c r="O531" s="68" t="s">
        <v>95</v>
      </c>
      <c r="P531" s="70">
        <v>0</v>
      </c>
      <c r="Q531" s="68"/>
      <c r="R531" s="70">
        <v>19.042139037433099</v>
      </c>
      <c r="S531" s="73">
        <v>46054</v>
      </c>
      <c r="T531" s="70">
        <v>0</v>
      </c>
      <c r="U531" s="74">
        <v>4</v>
      </c>
      <c r="V531" s="70">
        <v>0</v>
      </c>
      <c r="W531" s="56" t="s">
        <v>47</v>
      </c>
      <c r="X531" s="56" t="s">
        <v>48</v>
      </c>
      <c r="Y531" s="56" t="s">
        <v>36</v>
      </c>
      <c r="Z531" s="56" t="s">
        <v>9</v>
      </c>
      <c r="AA531" s="56" t="s">
        <v>49</v>
      </c>
      <c r="AB531" s="56" t="s">
        <v>96</v>
      </c>
      <c r="AC531" s="56" t="s">
        <v>38</v>
      </c>
      <c r="AD531" s="75" t="s">
        <v>267</v>
      </c>
      <c r="AE531" s="80"/>
      <c r="AF531" s="80"/>
      <c r="AG531" s="80"/>
      <c r="AH531" s="80"/>
      <c r="AI531" s="86"/>
      <c r="AJ531" s="86"/>
      <c r="AK531" s="86"/>
      <c r="AL531" s="86"/>
      <c r="AM531" s="86"/>
      <c r="AN531" s="86"/>
      <c r="AO531" s="86"/>
      <c r="AP531" s="86"/>
      <c r="AQ531" s="86"/>
      <c r="AR531" s="86"/>
      <c r="AS531" s="86"/>
      <c r="AT531" s="86"/>
      <c r="AU531" s="86"/>
      <c r="AV531" s="86"/>
      <c r="AW531" s="86"/>
    </row>
    <row r="532" spans="1:49" ht="31.5" x14ac:dyDescent="0.25">
      <c r="A532" s="56" t="s">
        <v>93</v>
      </c>
      <c r="B532" s="59">
        <v>46052</v>
      </c>
      <c r="C532" s="59">
        <v>46052</v>
      </c>
      <c r="D532" s="56" t="s">
        <v>217</v>
      </c>
      <c r="E532" s="62">
        <v>0.45833333333333331</v>
      </c>
      <c r="F532" s="62">
        <v>0.54166666666666663</v>
      </c>
      <c r="G532" s="64">
        <v>1.7361111111111109E-4</v>
      </c>
      <c r="H532" s="65" t="s">
        <v>98</v>
      </c>
      <c r="I532" s="66">
        <v>0.52517407407407413</v>
      </c>
      <c r="J532" s="56" t="s">
        <v>80</v>
      </c>
      <c r="K532" s="56" t="s">
        <v>151</v>
      </c>
      <c r="L532" s="68">
        <v>1</v>
      </c>
      <c r="M532" s="68">
        <v>69570</v>
      </c>
      <c r="N532" s="56" t="s">
        <v>53</v>
      </c>
      <c r="O532" s="68" t="s">
        <v>95</v>
      </c>
      <c r="P532" s="70">
        <v>0</v>
      </c>
      <c r="Q532" s="68"/>
      <c r="R532" s="70">
        <v>19.042139037433099</v>
      </c>
      <c r="S532" s="73">
        <v>46054</v>
      </c>
      <c r="T532" s="70">
        <v>0</v>
      </c>
      <c r="U532" s="74">
        <v>4</v>
      </c>
      <c r="V532" s="70">
        <v>0</v>
      </c>
      <c r="W532" s="56" t="s">
        <v>47</v>
      </c>
      <c r="X532" s="56" t="s">
        <v>48</v>
      </c>
      <c r="Y532" s="56" t="s">
        <v>36</v>
      </c>
      <c r="Z532" s="56" t="s">
        <v>9</v>
      </c>
      <c r="AA532" s="56" t="s">
        <v>49</v>
      </c>
      <c r="AB532" s="56" t="s">
        <v>96</v>
      </c>
      <c r="AC532" s="56" t="s">
        <v>38</v>
      </c>
      <c r="AD532" s="75" t="s">
        <v>267</v>
      </c>
      <c r="AE532" s="82"/>
      <c r="AF532" s="82"/>
      <c r="AG532" s="82"/>
      <c r="AH532" s="82"/>
      <c r="AI532" s="86"/>
      <c r="AJ532" s="86"/>
      <c r="AK532" s="86"/>
      <c r="AL532" s="86"/>
      <c r="AM532" s="86"/>
      <c r="AN532" s="86"/>
      <c r="AO532" s="86"/>
      <c r="AP532" s="86"/>
      <c r="AQ532" s="86"/>
      <c r="AR532" s="86"/>
      <c r="AS532" s="86"/>
      <c r="AT532" s="86"/>
      <c r="AU532" s="86"/>
      <c r="AV532" s="86"/>
      <c r="AW532" s="86"/>
    </row>
    <row r="533" spans="1:49" ht="31.5" x14ac:dyDescent="0.25">
      <c r="A533" s="56" t="s">
        <v>93</v>
      </c>
      <c r="B533" s="59">
        <v>46052</v>
      </c>
      <c r="C533" s="59">
        <v>46052</v>
      </c>
      <c r="D533" s="56" t="s">
        <v>217</v>
      </c>
      <c r="E533" s="62">
        <v>0.45833333333333331</v>
      </c>
      <c r="F533" s="62">
        <v>0.54166666666666663</v>
      </c>
      <c r="G533" s="64">
        <v>1.7361111111111109E-4</v>
      </c>
      <c r="H533" s="65" t="s">
        <v>97</v>
      </c>
      <c r="I533" s="66">
        <v>0.52691030092592595</v>
      </c>
      <c r="J533" s="56" t="s">
        <v>80</v>
      </c>
      <c r="K533" s="56" t="s">
        <v>151</v>
      </c>
      <c r="L533" s="68">
        <v>1</v>
      </c>
      <c r="M533" s="68">
        <v>69570</v>
      </c>
      <c r="N533" s="56" t="s">
        <v>53</v>
      </c>
      <c r="O533" s="68" t="s">
        <v>95</v>
      </c>
      <c r="P533" s="70">
        <v>0</v>
      </c>
      <c r="Q533" s="68"/>
      <c r="R533" s="70">
        <v>19.042139037433099</v>
      </c>
      <c r="S533" s="73">
        <v>46054</v>
      </c>
      <c r="T533" s="70">
        <v>0</v>
      </c>
      <c r="U533" s="74">
        <v>4</v>
      </c>
      <c r="V533" s="70">
        <v>0</v>
      </c>
      <c r="W533" s="56" t="s">
        <v>47</v>
      </c>
      <c r="X533" s="56" t="s">
        <v>48</v>
      </c>
      <c r="Y533" s="56" t="s">
        <v>36</v>
      </c>
      <c r="Z533" s="56" t="s">
        <v>9</v>
      </c>
      <c r="AA533" s="56" t="s">
        <v>49</v>
      </c>
      <c r="AB533" s="56" t="s">
        <v>96</v>
      </c>
      <c r="AC533" s="56" t="s">
        <v>38</v>
      </c>
      <c r="AD533" s="75" t="s">
        <v>267</v>
      </c>
      <c r="AE533" s="76"/>
      <c r="AF533" s="76"/>
      <c r="AG533" s="76"/>
      <c r="AH533" s="76"/>
      <c r="AI533" s="85"/>
      <c r="AJ533" s="85"/>
      <c r="AK533" s="85"/>
      <c r="AL533" s="85"/>
      <c r="AM533" s="85"/>
      <c r="AN533" s="85"/>
      <c r="AO533" s="85"/>
      <c r="AP533" s="85"/>
      <c r="AQ533" s="85"/>
      <c r="AR533" s="85"/>
      <c r="AS533" s="85"/>
      <c r="AT533" s="85"/>
      <c r="AU533" s="85"/>
      <c r="AV533" s="85"/>
      <c r="AW533" s="85"/>
    </row>
    <row r="534" spans="1:49" ht="31.5" x14ac:dyDescent="0.25">
      <c r="A534" s="56" t="s">
        <v>93</v>
      </c>
      <c r="B534" s="59">
        <v>46052</v>
      </c>
      <c r="C534" s="59">
        <v>46052</v>
      </c>
      <c r="D534" s="56" t="s">
        <v>217</v>
      </c>
      <c r="E534" s="62">
        <v>0.45833333333333331</v>
      </c>
      <c r="F534" s="62">
        <v>0.54166666666666663</v>
      </c>
      <c r="G534" s="64">
        <v>1.7361111111111109E-4</v>
      </c>
      <c r="H534" s="65" t="s">
        <v>94</v>
      </c>
      <c r="I534" s="66">
        <v>0.54088217592592591</v>
      </c>
      <c r="J534" s="56" t="s">
        <v>80</v>
      </c>
      <c r="K534" s="56" t="s">
        <v>151</v>
      </c>
      <c r="L534" s="68">
        <v>1</v>
      </c>
      <c r="M534" s="68">
        <v>69570</v>
      </c>
      <c r="N534" s="56" t="s">
        <v>53</v>
      </c>
      <c r="O534" s="68" t="s">
        <v>95</v>
      </c>
      <c r="P534" s="70">
        <v>0</v>
      </c>
      <c r="Q534" s="68"/>
      <c r="R534" s="70">
        <v>19.042139037433099</v>
      </c>
      <c r="S534" s="73">
        <v>46054</v>
      </c>
      <c r="T534" s="70">
        <v>0</v>
      </c>
      <c r="U534" s="74">
        <v>4</v>
      </c>
      <c r="V534" s="70">
        <v>0</v>
      </c>
      <c r="W534" s="56" t="s">
        <v>47</v>
      </c>
      <c r="X534" s="56" t="s">
        <v>48</v>
      </c>
      <c r="Y534" s="56" t="s">
        <v>36</v>
      </c>
      <c r="Z534" s="56" t="s">
        <v>9</v>
      </c>
      <c r="AA534" s="56" t="s">
        <v>49</v>
      </c>
      <c r="AB534" s="56" t="s">
        <v>96</v>
      </c>
      <c r="AC534" s="56" t="s">
        <v>38</v>
      </c>
      <c r="AD534" s="75" t="s">
        <v>267</v>
      </c>
      <c r="AE534" s="79"/>
      <c r="AF534" s="79"/>
      <c r="AG534" s="79"/>
      <c r="AH534" s="79"/>
      <c r="AI534" s="86"/>
      <c r="AJ534" s="86"/>
      <c r="AK534" s="86"/>
      <c r="AL534" s="86"/>
      <c r="AM534" s="86"/>
      <c r="AN534" s="86"/>
      <c r="AO534" s="86"/>
      <c r="AP534" s="86"/>
      <c r="AQ534" s="86"/>
      <c r="AR534" s="86"/>
      <c r="AS534" s="86"/>
      <c r="AT534" s="86"/>
      <c r="AU534" s="86"/>
      <c r="AV534" s="86"/>
      <c r="AW534" s="86"/>
    </row>
    <row r="535" spans="1:49" ht="31.5" x14ac:dyDescent="0.25">
      <c r="A535" s="56" t="s">
        <v>93</v>
      </c>
      <c r="B535" s="59">
        <v>46052</v>
      </c>
      <c r="C535" s="59">
        <v>46052</v>
      </c>
      <c r="D535" s="56" t="s">
        <v>217</v>
      </c>
      <c r="E535" s="62">
        <v>0.45833333333333331</v>
      </c>
      <c r="F535" s="62">
        <v>0.54166666666666663</v>
      </c>
      <c r="G535" s="64">
        <v>1.7361111111111109E-4</v>
      </c>
      <c r="H535" s="65" t="s">
        <v>97</v>
      </c>
      <c r="I535" s="66">
        <v>0.54122962962962962</v>
      </c>
      <c r="J535" s="56" t="s">
        <v>80</v>
      </c>
      <c r="K535" s="56" t="s">
        <v>151</v>
      </c>
      <c r="L535" s="68">
        <v>1</v>
      </c>
      <c r="M535" s="68">
        <v>69570</v>
      </c>
      <c r="N535" s="56" t="s">
        <v>53</v>
      </c>
      <c r="O535" s="68" t="s">
        <v>95</v>
      </c>
      <c r="P535" s="70">
        <v>0</v>
      </c>
      <c r="Q535" s="68"/>
      <c r="R535" s="70">
        <v>19.042139037433099</v>
      </c>
      <c r="S535" s="73">
        <v>46054</v>
      </c>
      <c r="T535" s="70">
        <v>0</v>
      </c>
      <c r="U535" s="74">
        <v>4</v>
      </c>
      <c r="V535" s="70">
        <v>0</v>
      </c>
      <c r="W535" s="56" t="s">
        <v>47</v>
      </c>
      <c r="X535" s="56" t="s">
        <v>48</v>
      </c>
      <c r="Y535" s="56" t="s">
        <v>36</v>
      </c>
      <c r="Z535" s="56" t="s">
        <v>9</v>
      </c>
      <c r="AA535" s="56" t="s">
        <v>49</v>
      </c>
      <c r="AB535" s="56" t="s">
        <v>96</v>
      </c>
      <c r="AC535" s="56" t="s">
        <v>38</v>
      </c>
      <c r="AD535" s="75" t="s">
        <v>267</v>
      </c>
      <c r="AE535" s="82"/>
      <c r="AF535" s="82"/>
      <c r="AG535" s="82"/>
      <c r="AH535" s="82"/>
      <c r="AI535" s="86"/>
      <c r="AJ535" s="86"/>
      <c r="AK535" s="86"/>
      <c r="AL535" s="86"/>
      <c r="AM535" s="86"/>
      <c r="AN535" s="86"/>
      <c r="AO535" s="86"/>
      <c r="AP535" s="86"/>
      <c r="AQ535" s="86"/>
      <c r="AR535" s="86"/>
      <c r="AS535" s="86"/>
      <c r="AT535" s="86"/>
      <c r="AU535" s="86"/>
      <c r="AV535" s="86"/>
      <c r="AW535" s="86"/>
    </row>
    <row r="536" spans="1:49" ht="31.5" x14ac:dyDescent="0.25">
      <c r="A536" s="56" t="s">
        <v>93</v>
      </c>
      <c r="B536" s="59">
        <v>46052</v>
      </c>
      <c r="C536" s="59">
        <v>46052</v>
      </c>
      <c r="D536" s="56" t="s">
        <v>217</v>
      </c>
      <c r="E536" s="62">
        <v>0.79166666666666663</v>
      </c>
      <c r="F536" s="62">
        <v>0.99930555555555556</v>
      </c>
      <c r="G536" s="64">
        <v>1.7361111111111109E-4</v>
      </c>
      <c r="H536" s="65" t="s">
        <v>190</v>
      </c>
      <c r="I536" s="66">
        <v>0.82256064814814822</v>
      </c>
      <c r="J536" s="56" t="s">
        <v>136</v>
      </c>
      <c r="K536" s="56" t="s">
        <v>222</v>
      </c>
      <c r="L536" s="68">
        <v>1</v>
      </c>
      <c r="M536" s="68">
        <v>69567</v>
      </c>
      <c r="N536" s="56" t="s">
        <v>46</v>
      </c>
      <c r="O536" s="68" t="s">
        <v>137</v>
      </c>
      <c r="P536" s="70">
        <v>0</v>
      </c>
      <c r="Q536" s="68"/>
      <c r="R536" s="70">
        <v>0</v>
      </c>
      <c r="S536" s="73">
        <v>46054</v>
      </c>
      <c r="T536" s="70">
        <v>0</v>
      </c>
      <c r="U536" s="74">
        <v>4</v>
      </c>
      <c r="V536" s="70">
        <v>0</v>
      </c>
      <c r="W536" s="56" t="s">
        <v>47</v>
      </c>
      <c r="X536" s="56" t="s">
        <v>48</v>
      </c>
      <c r="Y536" s="56" t="s">
        <v>36</v>
      </c>
      <c r="Z536" s="56" t="s">
        <v>9</v>
      </c>
      <c r="AA536" s="56" t="s">
        <v>49</v>
      </c>
      <c r="AB536" s="56" t="s">
        <v>138</v>
      </c>
      <c r="AC536" s="56" t="s">
        <v>38</v>
      </c>
      <c r="AD536" s="75" t="s">
        <v>267</v>
      </c>
      <c r="AE536" s="76"/>
      <c r="AF536" s="76"/>
      <c r="AG536" s="76"/>
      <c r="AH536" s="76"/>
      <c r="AI536" s="86"/>
      <c r="AJ536" s="86"/>
      <c r="AK536" s="86"/>
      <c r="AL536" s="86"/>
      <c r="AM536" s="86"/>
      <c r="AN536" s="86"/>
      <c r="AO536" s="86"/>
      <c r="AP536" s="86"/>
      <c r="AQ536" s="86"/>
      <c r="AR536" s="86"/>
      <c r="AS536" s="86"/>
      <c r="AT536" s="86"/>
      <c r="AU536" s="86"/>
      <c r="AV536" s="86"/>
      <c r="AW536" s="86"/>
    </row>
    <row r="537" spans="1:49" ht="31.5" x14ac:dyDescent="0.2">
      <c r="A537" s="56" t="s">
        <v>93</v>
      </c>
      <c r="B537" s="59">
        <v>46052</v>
      </c>
      <c r="C537" s="59">
        <v>46052</v>
      </c>
      <c r="D537" s="56" t="s">
        <v>217</v>
      </c>
      <c r="E537" s="62">
        <v>0.79166666666666663</v>
      </c>
      <c r="F537" s="62">
        <v>0.99930555555555556</v>
      </c>
      <c r="G537" s="64">
        <v>1.7361111111111109E-4</v>
      </c>
      <c r="H537" s="65" t="s">
        <v>191</v>
      </c>
      <c r="I537" s="66">
        <v>0.82308171296296295</v>
      </c>
      <c r="J537" s="56" t="s">
        <v>136</v>
      </c>
      <c r="K537" s="56" t="s">
        <v>222</v>
      </c>
      <c r="L537" s="68">
        <v>1</v>
      </c>
      <c r="M537" s="68">
        <v>69567</v>
      </c>
      <c r="N537" s="56" t="s">
        <v>46</v>
      </c>
      <c r="O537" s="68" t="s">
        <v>137</v>
      </c>
      <c r="P537" s="70">
        <v>0</v>
      </c>
      <c r="Q537" s="68"/>
      <c r="R537" s="70">
        <v>0</v>
      </c>
      <c r="S537" s="73">
        <v>46054</v>
      </c>
      <c r="T537" s="70">
        <v>0</v>
      </c>
      <c r="U537" s="74">
        <v>4</v>
      </c>
      <c r="V537" s="70">
        <v>0</v>
      </c>
      <c r="W537" s="56" t="s">
        <v>47</v>
      </c>
      <c r="X537" s="56" t="s">
        <v>48</v>
      </c>
      <c r="Y537" s="56" t="s">
        <v>36</v>
      </c>
      <c r="Z537" s="56" t="s">
        <v>9</v>
      </c>
      <c r="AA537" s="56" t="s">
        <v>49</v>
      </c>
      <c r="AB537" s="56" t="s">
        <v>138</v>
      </c>
      <c r="AC537" s="56" t="s">
        <v>38</v>
      </c>
      <c r="AD537" s="75" t="s">
        <v>267</v>
      </c>
      <c r="AE537" s="57"/>
      <c r="AF537" s="57"/>
      <c r="AG537" s="57"/>
      <c r="AH537" s="57"/>
      <c r="AI537" s="57"/>
      <c r="AJ537" s="57"/>
      <c r="AK537" s="57"/>
      <c r="AL537" s="57"/>
      <c r="AM537" s="57"/>
      <c r="AN537" s="57"/>
      <c r="AO537" s="57"/>
      <c r="AP537" s="57"/>
      <c r="AQ537" s="57"/>
      <c r="AR537" s="57"/>
      <c r="AS537" s="57"/>
      <c r="AT537" s="57"/>
      <c r="AU537" s="57"/>
      <c r="AV537" s="57"/>
      <c r="AW537" s="57"/>
    </row>
    <row r="538" spans="1:49" ht="31.5" x14ac:dyDescent="0.2">
      <c r="A538" s="56" t="s">
        <v>93</v>
      </c>
      <c r="B538" s="59">
        <v>46052</v>
      </c>
      <c r="C538" s="59">
        <v>46052</v>
      </c>
      <c r="D538" s="56" t="s">
        <v>217</v>
      </c>
      <c r="E538" s="62">
        <v>0.79166666666666663</v>
      </c>
      <c r="F538" s="62">
        <v>0.99930555555555556</v>
      </c>
      <c r="G538" s="64">
        <v>1.7361111111111109E-4</v>
      </c>
      <c r="H538" s="65" t="s">
        <v>135</v>
      </c>
      <c r="I538" s="66">
        <v>0.88511747685185183</v>
      </c>
      <c r="J538" s="56" t="s">
        <v>136</v>
      </c>
      <c r="K538" s="56" t="s">
        <v>147</v>
      </c>
      <c r="L538" s="68">
        <v>1</v>
      </c>
      <c r="M538" s="68">
        <v>69567</v>
      </c>
      <c r="N538" s="56" t="s">
        <v>46</v>
      </c>
      <c r="O538" s="68" t="s">
        <v>137</v>
      </c>
      <c r="P538" s="70">
        <v>0</v>
      </c>
      <c r="Q538" s="68"/>
      <c r="R538" s="70">
        <v>0</v>
      </c>
      <c r="S538" s="73">
        <v>46054</v>
      </c>
      <c r="T538" s="70">
        <v>0</v>
      </c>
      <c r="U538" s="74">
        <v>4</v>
      </c>
      <c r="V538" s="70">
        <v>0</v>
      </c>
      <c r="W538" s="56" t="s">
        <v>47</v>
      </c>
      <c r="X538" s="56" t="s">
        <v>48</v>
      </c>
      <c r="Y538" s="56" t="s">
        <v>36</v>
      </c>
      <c r="Z538" s="56" t="s">
        <v>9</v>
      </c>
      <c r="AA538" s="56" t="s">
        <v>49</v>
      </c>
      <c r="AB538" s="56" t="s">
        <v>138</v>
      </c>
      <c r="AC538" s="56" t="s">
        <v>38</v>
      </c>
      <c r="AD538" s="75" t="s">
        <v>267</v>
      </c>
      <c r="AE538" s="57"/>
      <c r="AF538" s="57"/>
      <c r="AG538" s="57"/>
      <c r="AH538" s="57"/>
      <c r="AI538" s="57"/>
      <c r="AJ538" s="57"/>
      <c r="AK538" s="57"/>
      <c r="AL538" s="57"/>
      <c r="AM538" s="57"/>
      <c r="AN538" s="57"/>
      <c r="AO538" s="57"/>
      <c r="AP538" s="57"/>
      <c r="AQ538" s="57"/>
      <c r="AR538" s="57"/>
      <c r="AS538" s="57"/>
      <c r="AT538" s="57"/>
      <c r="AU538" s="57"/>
      <c r="AV538" s="57"/>
      <c r="AW538" s="57"/>
    </row>
    <row r="539" spans="1:49" ht="31.5" x14ac:dyDescent="0.2">
      <c r="A539" s="56" t="s">
        <v>93</v>
      </c>
      <c r="B539" s="59">
        <v>46052</v>
      </c>
      <c r="C539" s="59">
        <v>46052</v>
      </c>
      <c r="D539" s="56" t="s">
        <v>217</v>
      </c>
      <c r="E539" s="62">
        <v>0.79166666666666663</v>
      </c>
      <c r="F539" s="62">
        <v>0.99930555555555556</v>
      </c>
      <c r="G539" s="64">
        <v>1.7361111111111109E-4</v>
      </c>
      <c r="H539" s="65" t="s">
        <v>139</v>
      </c>
      <c r="I539" s="66">
        <v>0.88772187499999999</v>
      </c>
      <c r="J539" s="56" t="s">
        <v>136</v>
      </c>
      <c r="K539" s="56" t="s">
        <v>147</v>
      </c>
      <c r="L539" s="68">
        <v>1</v>
      </c>
      <c r="M539" s="68">
        <v>69567</v>
      </c>
      <c r="N539" s="56" t="s">
        <v>46</v>
      </c>
      <c r="O539" s="68" t="s">
        <v>137</v>
      </c>
      <c r="P539" s="70">
        <v>0</v>
      </c>
      <c r="Q539" s="68"/>
      <c r="R539" s="70">
        <v>0</v>
      </c>
      <c r="S539" s="73">
        <v>46054</v>
      </c>
      <c r="T539" s="70">
        <v>0</v>
      </c>
      <c r="U539" s="74">
        <v>4</v>
      </c>
      <c r="V539" s="70">
        <v>0</v>
      </c>
      <c r="W539" s="56" t="s">
        <v>47</v>
      </c>
      <c r="X539" s="56" t="s">
        <v>48</v>
      </c>
      <c r="Y539" s="56" t="s">
        <v>36</v>
      </c>
      <c r="Z539" s="56" t="s">
        <v>9</v>
      </c>
      <c r="AA539" s="56" t="s">
        <v>49</v>
      </c>
      <c r="AB539" s="56" t="s">
        <v>138</v>
      </c>
      <c r="AC539" s="56" t="s">
        <v>38</v>
      </c>
      <c r="AD539" s="75" t="s">
        <v>267</v>
      </c>
      <c r="AE539" s="57"/>
      <c r="AF539" s="57"/>
      <c r="AG539" s="57"/>
      <c r="AH539" s="57"/>
      <c r="AI539" s="57"/>
      <c r="AJ539" s="57"/>
      <c r="AK539" s="57"/>
      <c r="AL539" s="57"/>
      <c r="AM539" s="57"/>
      <c r="AN539" s="57"/>
      <c r="AO539" s="57"/>
      <c r="AP539" s="57"/>
      <c r="AQ539" s="57"/>
      <c r="AR539" s="57"/>
      <c r="AS539" s="57"/>
      <c r="AT539" s="57"/>
      <c r="AU539" s="57"/>
      <c r="AV539" s="57"/>
      <c r="AW539" s="57"/>
    </row>
    <row r="540" spans="1:49" ht="31.5" x14ac:dyDescent="0.25">
      <c r="A540" s="56" t="s">
        <v>93</v>
      </c>
      <c r="B540" s="59">
        <v>46052</v>
      </c>
      <c r="C540" s="59">
        <v>46052</v>
      </c>
      <c r="D540" s="56" t="s">
        <v>217</v>
      </c>
      <c r="E540" s="62">
        <v>0.79166666666666663</v>
      </c>
      <c r="F540" s="62">
        <v>0.99930555555555556</v>
      </c>
      <c r="G540" s="64">
        <v>1.7361111111111109E-4</v>
      </c>
      <c r="H540" s="65" t="s">
        <v>135</v>
      </c>
      <c r="I540" s="66">
        <v>0.97782650462962972</v>
      </c>
      <c r="J540" s="56" t="s">
        <v>136</v>
      </c>
      <c r="K540" s="56" t="s">
        <v>223</v>
      </c>
      <c r="L540" s="68">
        <v>1</v>
      </c>
      <c r="M540" s="68">
        <v>69566</v>
      </c>
      <c r="N540" s="56" t="s">
        <v>53</v>
      </c>
      <c r="O540" s="68" t="s">
        <v>137</v>
      </c>
      <c r="P540" s="70">
        <v>0</v>
      </c>
      <c r="Q540" s="68"/>
      <c r="R540" s="70">
        <v>16.531831119544499</v>
      </c>
      <c r="S540" s="73">
        <v>46054</v>
      </c>
      <c r="T540" s="70">
        <v>0</v>
      </c>
      <c r="U540" s="74">
        <v>4</v>
      </c>
      <c r="V540" s="70">
        <v>0</v>
      </c>
      <c r="W540" s="56" t="s">
        <v>47</v>
      </c>
      <c r="X540" s="56" t="s">
        <v>48</v>
      </c>
      <c r="Y540" s="56" t="s">
        <v>36</v>
      </c>
      <c r="Z540" s="56" t="s">
        <v>9</v>
      </c>
      <c r="AA540" s="56" t="s">
        <v>49</v>
      </c>
      <c r="AB540" s="56" t="s">
        <v>138</v>
      </c>
      <c r="AC540" s="56" t="s">
        <v>38</v>
      </c>
      <c r="AD540" s="75" t="s">
        <v>267</v>
      </c>
      <c r="AE540" s="76"/>
      <c r="AF540" s="76"/>
      <c r="AG540" s="76"/>
      <c r="AH540" s="76"/>
      <c r="AI540" s="76"/>
      <c r="AJ540" s="76"/>
      <c r="AK540" s="76"/>
      <c r="AL540" s="76"/>
      <c r="AM540" s="76"/>
      <c r="AN540" s="76"/>
      <c r="AO540" s="76"/>
      <c r="AP540" s="76"/>
      <c r="AQ540" s="76"/>
      <c r="AR540" s="76"/>
      <c r="AS540" s="76"/>
      <c r="AT540" s="76"/>
      <c r="AU540" s="76"/>
      <c r="AV540" s="76"/>
      <c r="AW540" s="76"/>
    </row>
    <row r="541" spans="1:49" ht="31.5" x14ac:dyDescent="0.25">
      <c r="A541" s="56" t="s">
        <v>93</v>
      </c>
      <c r="B541" s="59">
        <v>46052</v>
      </c>
      <c r="C541" s="59">
        <v>46052</v>
      </c>
      <c r="D541" s="56" t="s">
        <v>217</v>
      </c>
      <c r="E541" s="62">
        <v>0.79166666666666663</v>
      </c>
      <c r="F541" s="62">
        <v>0.99930555555555556</v>
      </c>
      <c r="G541" s="64">
        <v>1.7361111111111109E-4</v>
      </c>
      <c r="H541" s="65" t="s">
        <v>139</v>
      </c>
      <c r="I541" s="66">
        <v>0.97886817129629633</v>
      </c>
      <c r="J541" s="56" t="s">
        <v>136</v>
      </c>
      <c r="K541" s="56" t="s">
        <v>223</v>
      </c>
      <c r="L541" s="68">
        <v>1</v>
      </c>
      <c r="M541" s="68">
        <v>69566</v>
      </c>
      <c r="N541" s="56" t="s">
        <v>53</v>
      </c>
      <c r="O541" s="68" t="s">
        <v>137</v>
      </c>
      <c r="P541" s="70">
        <v>0</v>
      </c>
      <c r="Q541" s="68"/>
      <c r="R541" s="70">
        <v>16.531831119544499</v>
      </c>
      <c r="S541" s="73">
        <v>46054</v>
      </c>
      <c r="T541" s="70">
        <v>0</v>
      </c>
      <c r="U541" s="74">
        <v>4</v>
      </c>
      <c r="V541" s="70">
        <v>0</v>
      </c>
      <c r="W541" s="56" t="s">
        <v>47</v>
      </c>
      <c r="X541" s="56" t="s">
        <v>48</v>
      </c>
      <c r="Y541" s="56" t="s">
        <v>36</v>
      </c>
      <c r="Z541" s="56" t="s">
        <v>9</v>
      </c>
      <c r="AA541" s="56" t="s">
        <v>49</v>
      </c>
      <c r="AB541" s="56" t="s">
        <v>138</v>
      </c>
      <c r="AC541" s="56" t="s">
        <v>38</v>
      </c>
      <c r="AD541" s="75" t="s">
        <v>267</v>
      </c>
      <c r="AE541" s="76"/>
      <c r="AF541" s="76"/>
      <c r="AG541" s="76"/>
      <c r="AH541" s="76"/>
      <c r="AI541" s="76"/>
      <c r="AJ541" s="76"/>
      <c r="AK541" s="76"/>
      <c r="AL541" s="76"/>
      <c r="AM541" s="76"/>
      <c r="AN541" s="76"/>
      <c r="AO541" s="76"/>
      <c r="AP541" s="76"/>
      <c r="AQ541" s="76"/>
      <c r="AR541" s="76"/>
      <c r="AS541" s="76"/>
      <c r="AT541" s="76"/>
      <c r="AU541" s="76"/>
      <c r="AV541" s="76"/>
      <c r="AW541" s="76"/>
    </row>
    <row r="542" spans="1:49" ht="31.5" x14ac:dyDescent="0.2">
      <c r="A542" s="56" t="s">
        <v>93</v>
      </c>
      <c r="B542" s="59">
        <v>46053</v>
      </c>
      <c r="C542" s="59">
        <v>46053</v>
      </c>
      <c r="D542" s="56" t="s">
        <v>224</v>
      </c>
      <c r="E542" s="62">
        <v>0.45833333333333331</v>
      </c>
      <c r="F542" s="62">
        <v>0.54166666666666663</v>
      </c>
      <c r="G542" s="64">
        <v>1.7361111111111109E-4</v>
      </c>
      <c r="H542" s="65" t="s">
        <v>98</v>
      </c>
      <c r="I542" s="66">
        <v>0.51180601851851848</v>
      </c>
      <c r="J542" s="56" t="s">
        <v>80</v>
      </c>
      <c r="K542" s="56" t="s">
        <v>151</v>
      </c>
      <c r="L542" s="68">
        <v>1</v>
      </c>
      <c r="M542" s="68">
        <v>69571</v>
      </c>
      <c r="N542" s="56" t="s">
        <v>46</v>
      </c>
      <c r="O542" s="68" t="s">
        <v>95</v>
      </c>
      <c r="P542" s="70">
        <v>0</v>
      </c>
      <c r="Q542" s="68"/>
      <c r="R542" s="70">
        <v>0</v>
      </c>
      <c r="S542" s="73">
        <v>46054</v>
      </c>
      <c r="T542" s="70">
        <v>0</v>
      </c>
      <c r="U542" s="74">
        <v>4</v>
      </c>
      <c r="V542" s="70">
        <v>0</v>
      </c>
      <c r="W542" s="56" t="s">
        <v>47</v>
      </c>
      <c r="X542" s="56" t="s">
        <v>48</v>
      </c>
      <c r="Y542" s="56" t="s">
        <v>36</v>
      </c>
      <c r="Z542" s="56" t="s">
        <v>9</v>
      </c>
      <c r="AA542" s="56" t="s">
        <v>49</v>
      </c>
      <c r="AB542" s="56" t="s">
        <v>96</v>
      </c>
      <c r="AC542" s="56" t="s">
        <v>38</v>
      </c>
      <c r="AD542" s="75" t="s">
        <v>267</v>
      </c>
      <c r="AE542" s="57"/>
      <c r="AF542" s="57"/>
      <c r="AG542" s="57"/>
      <c r="AH542" s="57"/>
      <c r="AI542" s="57"/>
      <c r="AJ542" s="57"/>
      <c r="AK542" s="57"/>
      <c r="AL542" s="57"/>
      <c r="AM542" s="57"/>
      <c r="AN542" s="57"/>
      <c r="AO542" s="57"/>
      <c r="AP542" s="57"/>
      <c r="AQ542" s="57"/>
      <c r="AR542" s="57"/>
      <c r="AS542" s="57"/>
      <c r="AT542" s="57"/>
      <c r="AU542" s="57"/>
      <c r="AV542" s="57"/>
      <c r="AW542" s="57"/>
    </row>
    <row r="543" spans="1:49" ht="31.5" x14ac:dyDescent="0.2">
      <c r="A543" s="56" t="s">
        <v>93</v>
      </c>
      <c r="B543" s="59">
        <v>46053</v>
      </c>
      <c r="C543" s="59">
        <v>46053</v>
      </c>
      <c r="D543" s="56" t="s">
        <v>224</v>
      </c>
      <c r="E543" s="62">
        <v>0.45833333333333331</v>
      </c>
      <c r="F543" s="62">
        <v>0.54166666666666663</v>
      </c>
      <c r="G543" s="64">
        <v>1.7361111111111109E-4</v>
      </c>
      <c r="H543" s="65" t="s">
        <v>97</v>
      </c>
      <c r="I543" s="66">
        <v>0.51371574074074078</v>
      </c>
      <c r="J543" s="56" t="s">
        <v>80</v>
      </c>
      <c r="K543" s="56" t="s">
        <v>151</v>
      </c>
      <c r="L543" s="68">
        <v>1</v>
      </c>
      <c r="M543" s="68">
        <v>69571</v>
      </c>
      <c r="N543" s="56" t="s">
        <v>46</v>
      </c>
      <c r="O543" s="68" t="s">
        <v>95</v>
      </c>
      <c r="P543" s="70">
        <v>0</v>
      </c>
      <c r="Q543" s="68"/>
      <c r="R543" s="70">
        <v>0</v>
      </c>
      <c r="S543" s="73">
        <v>46054</v>
      </c>
      <c r="T543" s="70">
        <v>0</v>
      </c>
      <c r="U543" s="74">
        <v>4</v>
      </c>
      <c r="V543" s="70">
        <v>0</v>
      </c>
      <c r="W543" s="56" t="s">
        <v>47</v>
      </c>
      <c r="X543" s="56" t="s">
        <v>48</v>
      </c>
      <c r="Y543" s="56" t="s">
        <v>36</v>
      </c>
      <c r="Z543" s="56" t="s">
        <v>9</v>
      </c>
      <c r="AA543" s="56" t="s">
        <v>49</v>
      </c>
      <c r="AB543" s="56" t="s">
        <v>96</v>
      </c>
      <c r="AC543" s="56" t="s">
        <v>38</v>
      </c>
      <c r="AD543" s="75" t="s">
        <v>267</v>
      </c>
      <c r="AE543" s="57"/>
      <c r="AF543" s="57"/>
      <c r="AG543" s="57"/>
      <c r="AH543" s="57"/>
      <c r="AI543" s="57"/>
      <c r="AJ543" s="57"/>
      <c r="AK543" s="57"/>
      <c r="AL543" s="57"/>
      <c r="AM543" s="57"/>
      <c r="AN543" s="57"/>
      <c r="AO543" s="57"/>
      <c r="AP543" s="57"/>
      <c r="AQ543" s="57"/>
      <c r="AR543" s="57"/>
      <c r="AS543" s="57"/>
      <c r="AT543" s="57"/>
      <c r="AU543" s="57"/>
      <c r="AV543" s="57"/>
      <c r="AW543" s="57"/>
    </row>
    <row r="544" spans="1:49" ht="31.5" x14ac:dyDescent="0.25">
      <c r="A544" s="56" t="s">
        <v>93</v>
      </c>
      <c r="B544" s="59">
        <v>46053</v>
      </c>
      <c r="C544" s="59">
        <v>46053</v>
      </c>
      <c r="D544" s="56" t="s">
        <v>224</v>
      </c>
      <c r="E544" s="62">
        <v>0.45833333333333331</v>
      </c>
      <c r="F544" s="62">
        <v>0.54166666666666663</v>
      </c>
      <c r="G544" s="64">
        <v>1.7361111111111109E-4</v>
      </c>
      <c r="H544" s="65" t="s">
        <v>94</v>
      </c>
      <c r="I544" s="66">
        <v>0.53934247685185188</v>
      </c>
      <c r="J544" s="56" t="s">
        <v>80</v>
      </c>
      <c r="K544" s="56" t="s">
        <v>151</v>
      </c>
      <c r="L544" s="68">
        <v>1</v>
      </c>
      <c r="M544" s="68">
        <v>69571</v>
      </c>
      <c r="N544" s="56" t="s">
        <v>46</v>
      </c>
      <c r="O544" s="68" t="s">
        <v>95</v>
      </c>
      <c r="P544" s="70">
        <v>0</v>
      </c>
      <c r="Q544" s="68"/>
      <c r="R544" s="70">
        <v>0</v>
      </c>
      <c r="S544" s="73">
        <v>46054</v>
      </c>
      <c r="T544" s="70">
        <v>0</v>
      </c>
      <c r="U544" s="74">
        <v>4</v>
      </c>
      <c r="V544" s="70">
        <v>0</v>
      </c>
      <c r="W544" s="56" t="s">
        <v>47</v>
      </c>
      <c r="X544" s="56" t="s">
        <v>48</v>
      </c>
      <c r="Y544" s="56" t="s">
        <v>36</v>
      </c>
      <c r="Z544" s="56" t="s">
        <v>9</v>
      </c>
      <c r="AA544" s="56" t="s">
        <v>49</v>
      </c>
      <c r="AB544" s="56" t="s">
        <v>96</v>
      </c>
      <c r="AC544" s="56" t="s">
        <v>38</v>
      </c>
      <c r="AD544" s="75" t="s">
        <v>267</v>
      </c>
      <c r="AE544" s="76"/>
      <c r="AF544" s="76"/>
      <c r="AG544" s="76"/>
      <c r="AH544" s="76"/>
      <c r="AI544" s="76"/>
      <c r="AJ544" s="76"/>
      <c r="AK544" s="76"/>
      <c r="AL544" s="76"/>
      <c r="AM544" s="76"/>
      <c r="AN544" s="76"/>
      <c r="AO544" s="76"/>
      <c r="AP544" s="76"/>
      <c r="AQ544" s="76"/>
      <c r="AR544" s="76"/>
      <c r="AS544" s="76"/>
      <c r="AT544" s="76"/>
      <c r="AU544" s="76"/>
      <c r="AV544" s="76"/>
      <c r="AW544" s="76"/>
    </row>
    <row r="545" spans="1:49" ht="31.5" x14ac:dyDescent="0.25">
      <c r="A545" s="56" t="s">
        <v>93</v>
      </c>
      <c r="B545" s="59">
        <v>46053</v>
      </c>
      <c r="C545" s="59">
        <v>46053</v>
      </c>
      <c r="D545" s="56" t="s">
        <v>224</v>
      </c>
      <c r="E545" s="62">
        <v>0.45833333333333331</v>
      </c>
      <c r="F545" s="62">
        <v>0.54166666666666663</v>
      </c>
      <c r="G545" s="64">
        <v>1.7361111111111109E-4</v>
      </c>
      <c r="H545" s="65" t="s">
        <v>97</v>
      </c>
      <c r="I545" s="66">
        <v>0.54125231481481473</v>
      </c>
      <c r="J545" s="56" t="s">
        <v>80</v>
      </c>
      <c r="K545" s="56" t="s">
        <v>151</v>
      </c>
      <c r="L545" s="68">
        <v>1</v>
      </c>
      <c r="M545" s="68">
        <v>69571</v>
      </c>
      <c r="N545" s="56" t="s">
        <v>46</v>
      </c>
      <c r="O545" s="68" t="s">
        <v>95</v>
      </c>
      <c r="P545" s="70">
        <v>0</v>
      </c>
      <c r="Q545" s="68"/>
      <c r="R545" s="70">
        <v>0</v>
      </c>
      <c r="S545" s="73">
        <v>46054</v>
      </c>
      <c r="T545" s="70">
        <v>0</v>
      </c>
      <c r="U545" s="74">
        <v>4</v>
      </c>
      <c r="V545" s="70">
        <v>0</v>
      </c>
      <c r="W545" s="56" t="s">
        <v>47</v>
      </c>
      <c r="X545" s="56" t="s">
        <v>48</v>
      </c>
      <c r="Y545" s="56" t="s">
        <v>36</v>
      </c>
      <c r="Z545" s="56" t="s">
        <v>9</v>
      </c>
      <c r="AA545" s="56" t="s">
        <v>49</v>
      </c>
      <c r="AB545" s="56" t="s">
        <v>96</v>
      </c>
      <c r="AC545" s="56" t="s">
        <v>38</v>
      </c>
      <c r="AD545" s="75" t="s">
        <v>267</v>
      </c>
      <c r="AE545" s="76"/>
      <c r="AF545" s="76"/>
      <c r="AG545" s="76"/>
      <c r="AH545" s="76"/>
      <c r="AI545" s="76"/>
      <c r="AJ545" s="76"/>
      <c r="AK545" s="76"/>
      <c r="AL545" s="76"/>
      <c r="AM545" s="76"/>
      <c r="AN545" s="76"/>
      <c r="AO545" s="76"/>
      <c r="AP545" s="76"/>
      <c r="AQ545" s="76"/>
      <c r="AR545" s="76"/>
      <c r="AS545" s="76"/>
      <c r="AT545" s="76"/>
      <c r="AU545" s="76"/>
      <c r="AV545" s="76"/>
      <c r="AW545" s="76"/>
    </row>
    <row r="546" spans="1:49" ht="31.5" x14ac:dyDescent="0.25">
      <c r="A546" s="56" t="s">
        <v>93</v>
      </c>
      <c r="B546" s="59">
        <v>46053</v>
      </c>
      <c r="C546" s="59">
        <v>46053</v>
      </c>
      <c r="D546" s="56" t="s">
        <v>224</v>
      </c>
      <c r="E546" s="62">
        <v>0.79166666666666663</v>
      </c>
      <c r="F546" s="62">
        <v>0.99930555555555556</v>
      </c>
      <c r="G546" s="64">
        <v>1.7361111111111109E-4</v>
      </c>
      <c r="H546" s="65" t="s">
        <v>135</v>
      </c>
      <c r="I546" s="66">
        <v>0.85376412037037042</v>
      </c>
      <c r="J546" s="56" t="s">
        <v>136</v>
      </c>
      <c r="K546" s="56" t="s">
        <v>157</v>
      </c>
      <c r="L546" s="68">
        <v>1</v>
      </c>
      <c r="M546" s="68">
        <v>69567</v>
      </c>
      <c r="N546" s="56" t="s">
        <v>46</v>
      </c>
      <c r="O546" s="68" t="s">
        <v>137</v>
      </c>
      <c r="P546" s="70">
        <v>0</v>
      </c>
      <c r="Q546" s="68"/>
      <c r="R546" s="70">
        <v>0</v>
      </c>
      <c r="S546" s="73">
        <v>46054</v>
      </c>
      <c r="T546" s="70">
        <v>0</v>
      </c>
      <c r="U546" s="74">
        <v>4</v>
      </c>
      <c r="V546" s="70">
        <v>0</v>
      </c>
      <c r="W546" s="56" t="s">
        <v>47</v>
      </c>
      <c r="X546" s="56" t="s">
        <v>48</v>
      </c>
      <c r="Y546" s="56" t="s">
        <v>36</v>
      </c>
      <c r="Z546" s="56" t="s">
        <v>9</v>
      </c>
      <c r="AA546" s="56" t="s">
        <v>49</v>
      </c>
      <c r="AB546" s="56" t="s">
        <v>138</v>
      </c>
      <c r="AC546" s="56" t="s">
        <v>38</v>
      </c>
      <c r="AD546" s="75" t="s">
        <v>267</v>
      </c>
      <c r="AE546" s="78"/>
      <c r="AF546" s="78"/>
      <c r="AG546" s="78"/>
      <c r="AH546" s="78"/>
      <c r="AI546" s="86"/>
      <c r="AJ546" s="86"/>
      <c r="AK546" s="86"/>
      <c r="AL546" s="86"/>
      <c r="AM546" s="86"/>
      <c r="AN546" s="86"/>
      <c r="AO546" s="86"/>
      <c r="AP546" s="86"/>
      <c r="AQ546" s="86"/>
      <c r="AR546" s="86"/>
      <c r="AS546" s="86"/>
      <c r="AT546" s="86"/>
      <c r="AU546" s="86"/>
      <c r="AV546" s="86"/>
      <c r="AW546" s="86"/>
    </row>
    <row r="547" spans="1:49" ht="31.5" x14ac:dyDescent="0.25">
      <c r="A547" s="56" t="s">
        <v>93</v>
      </c>
      <c r="B547" s="59">
        <v>46053</v>
      </c>
      <c r="C547" s="59">
        <v>46053</v>
      </c>
      <c r="D547" s="56" t="s">
        <v>224</v>
      </c>
      <c r="E547" s="62">
        <v>0.79166666666666663</v>
      </c>
      <c r="F547" s="62">
        <v>0.99930555555555556</v>
      </c>
      <c r="G547" s="64">
        <v>1.7361111111111109E-4</v>
      </c>
      <c r="H547" s="65" t="s">
        <v>139</v>
      </c>
      <c r="I547" s="66">
        <v>0.85497939814814816</v>
      </c>
      <c r="J547" s="56" t="s">
        <v>136</v>
      </c>
      <c r="K547" s="56" t="s">
        <v>157</v>
      </c>
      <c r="L547" s="68">
        <v>1</v>
      </c>
      <c r="M547" s="68">
        <v>69567</v>
      </c>
      <c r="N547" s="56" t="s">
        <v>46</v>
      </c>
      <c r="O547" s="68" t="s">
        <v>137</v>
      </c>
      <c r="P547" s="70">
        <v>0</v>
      </c>
      <c r="Q547" s="68"/>
      <c r="R547" s="70">
        <v>0</v>
      </c>
      <c r="S547" s="73">
        <v>46054</v>
      </c>
      <c r="T547" s="70">
        <v>0</v>
      </c>
      <c r="U547" s="74">
        <v>4</v>
      </c>
      <c r="V547" s="70">
        <v>0</v>
      </c>
      <c r="W547" s="56" t="s">
        <v>47</v>
      </c>
      <c r="X547" s="56" t="s">
        <v>48</v>
      </c>
      <c r="Y547" s="56" t="s">
        <v>36</v>
      </c>
      <c r="Z547" s="56" t="s">
        <v>9</v>
      </c>
      <c r="AA547" s="56" t="s">
        <v>49</v>
      </c>
      <c r="AB547" s="56" t="s">
        <v>138</v>
      </c>
      <c r="AC547" s="56" t="s">
        <v>38</v>
      </c>
      <c r="AD547" s="75" t="s">
        <v>267</v>
      </c>
      <c r="AE547" s="76"/>
      <c r="AF547" s="76"/>
      <c r="AG547" s="76"/>
      <c r="AH547" s="76"/>
      <c r="AI547" s="85"/>
      <c r="AJ547" s="85"/>
      <c r="AK547" s="85"/>
      <c r="AL547" s="85"/>
      <c r="AM547" s="85"/>
      <c r="AN547" s="85"/>
      <c r="AO547" s="85"/>
      <c r="AP547" s="85"/>
      <c r="AQ547" s="85"/>
      <c r="AR547" s="85"/>
      <c r="AS547" s="85"/>
      <c r="AT547" s="85"/>
      <c r="AU547" s="85"/>
      <c r="AV547" s="85"/>
      <c r="AW547" s="85"/>
    </row>
    <row r="548" spans="1:49" ht="31.5" x14ac:dyDescent="0.25">
      <c r="A548" s="56" t="s">
        <v>93</v>
      </c>
      <c r="B548" s="59">
        <v>46053</v>
      </c>
      <c r="C548" s="59">
        <v>46053</v>
      </c>
      <c r="D548" s="56" t="s">
        <v>224</v>
      </c>
      <c r="E548" s="62">
        <v>0.79166666666666663</v>
      </c>
      <c r="F548" s="62">
        <v>0.99930555555555556</v>
      </c>
      <c r="G548" s="64">
        <v>1.7361111111111109E-4</v>
      </c>
      <c r="H548" s="65" t="s">
        <v>135</v>
      </c>
      <c r="I548" s="66">
        <v>0.87417905092592596</v>
      </c>
      <c r="J548" s="56" t="s">
        <v>136</v>
      </c>
      <c r="K548" s="56" t="s">
        <v>157</v>
      </c>
      <c r="L548" s="68">
        <v>1</v>
      </c>
      <c r="M548" s="68">
        <v>69566</v>
      </c>
      <c r="N548" s="56" t="s">
        <v>53</v>
      </c>
      <c r="O548" s="68" t="s">
        <v>137</v>
      </c>
      <c r="P548" s="70">
        <v>0</v>
      </c>
      <c r="Q548" s="68"/>
      <c r="R548" s="70">
        <v>16.531831119544499</v>
      </c>
      <c r="S548" s="73">
        <v>46054</v>
      </c>
      <c r="T548" s="70">
        <v>0</v>
      </c>
      <c r="U548" s="74">
        <v>4</v>
      </c>
      <c r="V548" s="70">
        <v>0</v>
      </c>
      <c r="W548" s="56" t="s">
        <v>47</v>
      </c>
      <c r="X548" s="56" t="s">
        <v>48</v>
      </c>
      <c r="Y548" s="56" t="s">
        <v>36</v>
      </c>
      <c r="Z548" s="56" t="s">
        <v>9</v>
      </c>
      <c r="AA548" s="56" t="s">
        <v>49</v>
      </c>
      <c r="AB548" s="56" t="s">
        <v>138</v>
      </c>
      <c r="AC548" s="56" t="s">
        <v>38</v>
      </c>
      <c r="AD548" s="75" t="s">
        <v>267</v>
      </c>
      <c r="AE548" s="76"/>
      <c r="AF548" s="76"/>
      <c r="AG548" s="76"/>
      <c r="AH548" s="76"/>
      <c r="AI548" s="85"/>
      <c r="AJ548" s="85"/>
      <c r="AK548" s="85"/>
      <c r="AL548" s="85"/>
      <c r="AM548" s="85"/>
      <c r="AN548" s="85"/>
      <c r="AO548" s="85"/>
      <c r="AP548" s="85"/>
      <c r="AQ548" s="85"/>
      <c r="AR548" s="85"/>
      <c r="AS548" s="85"/>
      <c r="AT548" s="85"/>
      <c r="AU548" s="85"/>
      <c r="AV548" s="85"/>
      <c r="AW548" s="85"/>
    </row>
    <row r="549" spans="1:49" ht="31.5" x14ac:dyDescent="0.25">
      <c r="A549" s="56" t="s">
        <v>93</v>
      </c>
      <c r="B549" s="59">
        <v>46053</v>
      </c>
      <c r="C549" s="59">
        <v>46053</v>
      </c>
      <c r="D549" s="56" t="s">
        <v>224</v>
      </c>
      <c r="E549" s="62">
        <v>0.79166666666666663</v>
      </c>
      <c r="F549" s="62">
        <v>0.99930555555555556</v>
      </c>
      <c r="G549" s="64">
        <v>1.7361111111111109E-4</v>
      </c>
      <c r="H549" s="65" t="s">
        <v>139</v>
      </c>
      <c r="I549" s="66">
        <v>0.87470011574074069</v>
      </c>
      <c r="J549" s="56" t="s">
        <v>136</v>
      </c>
      <c r="K549" s="56" t="s">
        <v>157</v>
      </c>
      <c r="L549" s="68">
        <v>1</v>
      </c>
      <c r="M549" s="68">
        <v>69566</v>
      </c>
      <c r="N549" s="56" t="s">
        <v>53</v>
      </c>
      <c r="O549" s="68" t="s">
        <v>137</v>
      </c>
      <c r="P549" s="70">
        <v>0</v>
      </c>
      <c r="Q549" s="68"/>
      <c r="R549" s="70">
        <v>16.531831119544499</v>
      </c>
      <c r="S549" s="73">
        <v>46054</v>
      </c>
      <c r="T549" s="70">
        <v>0</v>
      </c>
      <c r="U549" s="74">
        <v>4</v>
      </c>
      <c r="V549" s="70">
        <v>0</v>
      </c>
      <c r="W549" s="56" t="s">
        <v>47</v>
      </c>
      <c r="X549" s="56" t="s">
        <v>48</v>
      </c>
      <c r="Y549" s="56" t="s">
        <v>36</v>
      </c>
      <c r="Z549" s="56" t="s">
        <v>9</v>
      </c>
      <c r="AA549" s="56" t="s">
        <v>49</v>
      </c>
      <c r="AB549" s="56" t="s">
        <v>138</v>
      </c>
      <c r="AC549" s="56" t="s">
        <v>38</v>
      </c>
      <c r="AD549" s="75" t="s">
        <v>267</v>
      </c>
      <c r="AE549" s="76"/>
      <c r="AF549" s="76"/>
      <c r="AG549" s="76"/>
      <c r="AH549" s="76"/>
      <c r="AI549" s="85"/>
      <c r="AJ549" s="85"/>
      <c r="AK549" s="85"/>
      <c r="AL549" s="85"/>
      <c r="AM549" s="85"/>
      <c r="AN549" s="85"/>
      <c r="AO549" s="85"/>
      <c r="AP549" s="85"/>
      <c r="AQ549" s="85"/>
      <c r="AR549" s="85"/>
      <c r="AS549" s="85"/>
      <c r="AT549" s="85"/>
      <c r="AU549" s="85"/>
      <c r="AV549" s="85"/>
      <c r="AW549" s="85"/>
    </row>
    <row r="550" spans="1:49" ht="31.5" x14ac:dyDescent="0.25">
      <c r="A550" s="56" t="s">
        <v>93</v>
      </c>
      <c r="B550" s="59">
        <v>46053</v>
      </c>
      <c r="C550" s="59">
        <v>46053</v>
      </c>
      <c r="D550" s="56" t="s">
        <v>224</v>
      </c>
      <c r="E550" s="62">
        <v>0.79166666666666663</v>
      </c>
      <c r="F550" s="62">
        <v>0.99930555555555556</v>
      </c>
      <c r="G550" s="64">
        <v>1.7361111111111109E-4</v>
      </c>
      <c r="H550" s="65" t="s">
        <v>135</v>
      </c>
      <c r="I550" s="66">
        <v>0.95884293981481483</v>
      </c>
      <c r="J550" s="56" t="s">
        <v>136</v>
      </c>
      <c r="K550" s="56" t="s">
        <v>206</v>
      </c>
      <c r="L550" s="68">
        <v>1</v>
      </c>
      <c r="M550" s="68">
        <v>69566</v>
      </c>
      <c r="N550" s="56" t="s">
        <v>53</v>
      </c>
      <c r="O550" s="68" t="s">
        <v>137</v>
      </c>
      <c r="P550" s="70">
        <v>0</v>
      </c>
      <c r="Q550" s="68"/>
      <c r="R550" s="70">
        <v>16.531831119544499</v>
      </c>
      <c r="S550" s="73">
        <v>46054</v>
      </c>
      <c r="T550" s="70">
        <v>0</v>
      </c>
      <c r="U550" s="74">
        <v>4</v>
      </c>
      <c r="V550" s="70">
        <v>0</v>
      </c>
      <c r="W550" s="56" t="s">
        <v>47</v>
      </c>
      <c r="X550" s="56" t="s">
        <v>48</v>
      </c>
      <c r="Y550" s="56" t="s">
        <v>36</v>
      </c>
      <c r="Z550" s="56" t="s">
        <v>9</v>
      </c>
      <c r="AA550" s="56" t="s">
        <v>49</v>
      </c>
      <c r="AB550" s="56" t="s">
        <v>138</v>
      </c>
      <c r="AC550" s="56" t="s">
        <v>38</v>
      </c>
      <c r="AD550" s="75" t="s">
        <v>267</v>
      </c>
      <c r="AE550" s="76"/>
      <c r="AF550" s="76"/>
      <c r="AG550" s="76"/>
      <c r="AH550" s="76"/>
      <c r="AI550" s="76"/>
      <c r="AJ550" s="76"/>
      <c r="AK550" s="76"/>
      <c r="AL550" s="76"/>
      <c r="AM550" s="76"/>
      <c r="AN550" s="76"/>
      <c r="AO550" s="76"/>
      <c r="AP550" s="76"/>
      <c r="AQ550" s="76"/>
      <c r="AR550" s="76"/>
      <c r="AS550" s="76"/>
      <c r="AT550" s="76"/>
      <c r="AU550" s="76"/>
      <c r="AV550" s="76"/>
      <c r="AW550" s="76"/>
    </row>
    <row r="551" spans="1:49" ht="31.5" x14ac:dyDescent="0.25">
      <c r="A551" s="56" t="s">
        <v>93</v>
      </c>
      <c r="B551" s="59">
        <v>46053</v>
      </c>
      <c r="C551" s="59">
        <v>46053</v>
      </c>
      <c r="D551" s="56" t="s">
        <v>224</v>
      </c>
      <c r="E551" s="62">
        <v>0.79166666666666663</v>
      </c>
      <c r="F551" s="62">
        <v>0.99930555555555556</v>
      </c>
      <c r="G551" s="64">
        <v>1.7361111111111109E-4</v>
      </c>
      <c r="H551" s="65" t="s">
        <v>139</v>
      </c>
      <c r="I551" s="66">
        <v>0.96110034722222226</v>
      </c>
      <c r="J551" s="56" t="s">
        <v>136</v>
      </c>
      <c r="K551" s="56" t="s">
        <v>206</v>
      </c>
      <c r="L551" s="68">
        <v>1</v>
      </c>
      <c r="M551" s="68">
        <v>69566</v>
      </c>
      <c r="N551" s="56" t="s">
        <v>53</v>
      </c>
      <c r="O551" s="68" t="s">
        <v>137</v>
      </c>
      <c r="P551" s="70">
        <v>0</v>
      </c>
      <c r="Q551" s="68"/>
      <c r="R551" s="70">
        <v>16.531831119544499</v>
      </c>
      <c r="S551" s="73">
        <v>46054</v>
      </c>
      <c r="T551" s="70">
        <v>0</v>
      </c>
      <c r="U551" s="74">
        <v>4</v>
      </c>
      <c r="V551" s="70">
        <v>0</v>
      </c>
      <c r="W551" s="56" t="s">
        <v>47</v>
      </c>
      <c r="X551" s="56" t="s">
        <v>48</v>
      </c>
      <c r="Y551" s="56" t="s">
        <v>36</v>
      </c>
      <c r="Z551" s="56" t="s">
        <v>9</v>
      </c>
      <c r="AA551" s="56" t="s">
        <v>49</v>
      </c>
      <c r="AB551" s="56" t="s">
        <v>138</v>
      </c>
      <c r="AC551" s="56" t="s">
        <v>38</v>
      </c>
      <c r="AD551" s="75" t="s">
        <v>267</v>
      </c>
      <c r="AE551" s="76"/>
      <c r="AF551" s="76"/>
      <c r="AG551" s="76"/>
      <c r="AH551" s="76"/>
      <c r="AI551" s="76"/>
      <c r="AJ551" s="76"/>
      <c r="AK551" s="76"/>
      <c r="AL551" s="76"/>
      <c r="AM551" s="76"/>
      <c r="AN551" s="76"/>
      <c r="AO551" s="76"/>
      <c r="AP551" s="76"/>
      <c r="AQ551" s="76"/>
      <c r="AR551" s="76"/>
      <c r="AS551" s="76"/>
      <c r="AT551" s="76"/>
      <c r="AU551" s="76"/>
      <c r="AV551" s="76"/>
      <c r="AW551" s="76"/>
    </row>
    <row r="552" spans="1:49" ht="31.5" x14ac:dyDescent="0.25">
      <c r="A552" s="56" t="s">
        <v>93</v>
      </c>
      <c r="B552" s="59">
        <v>46053</v>
      </c>
      <c r="C552" s="59">
        <v>46053</v>
      </c>
      <c r="D552" s="56" t="s">
        <v>224</v>
      </c>
      <c r="E552" s="62">
        <v>0.79166666666666663</v>
      </c>
      <c r="F552" s="62">
        <v>0.99930555555555556</v>
      </c>
      <c r="G552" s="64">
        <v>1.7361111111111109E-4</v>
      </c>
      <c r="H552" s="65" t="s">
        <v>135</v>
      </c>
      <c r="I552" s="66">
        <v>0.9684042824074075</v>
      </c>
      <c r="J552" s="56" t="s">
        <v>136</v>
      </c>
      <c r="K552" s="56" t="s">
        <v>206</v>
      </c>
      <c r="L552" s="68">
        <v>1</v>
      </c>
      <c r="M552" s="68">
        <v>69567</v>
      </c>
      <c r="N552" s="56" t="s">
        <v>46</v>
      </c>
      <c r="O552" s="68" t="s">
        <v>137</v>
      </c>
      <c r="P552" s="70">
        <v>0</v>
      </c>
      <c r="Q552" s="68"/>
      <c r="R552" s="70">
        <v>0</v>
      </c>
      <c r="S552" s="73">
        <v>46054</v>
      </c>
      <c r="T552" s="70">
        <v>0</v>
      </c>
      <c r="U552" s="74">
        <v>4</v>
      </c>
      <c r="V552" s="70">
        <v>0</v>
      </c>
      <c r="W552" s="56" t="s">
        <v>47</v>
      </c>
      <c r="X552" s="56" t="s">
        <v>48</v>
      </c>
      <c r="Y552" s="56" t="s">
        <v>36</v>
      </c>
      <c r="Z552" s="56" t="s">
        <v>9</v>
      </c>
      <c r="AA552" s="56" t="s">
        <v>49</v>
      </c>
      <c r="AB552" s="56" t="s">
        <v>138</v>
      </c>
      <c r="AC552" s="56" t="s">
        <v>38</v>
      </c>
      <c r="AD552" s="75" t="s">
        <v>267</v>
      </c>
      <c r="AE552" s="76"/>
      <c r="AF552" s="76"/>
      <c r="AG552" s="76"/>
      <c r="AH552" s="76"/>
      <c r="AI552" s="85"/>
      <c r="AJ552" s="85"/>
      <c r="AK552" s="85"/>
      <c r="AL552" s="85"/>
      <c r="AM552" s="85"/>
      <c r="AN552" s="85"/>
      <c r="AO552" s="85"/>
      <c r="AP552" s="85"/>
      <c r="AQ552" s="85"/>
      <c r="AR552" s="85"/>
      <c r="AS552" s="85"/>
      <c r="AT552" s="85"/>
      <c r="AU552" s="85"/>
      <c r="AV552" s="85"/>
      <c r="AW552" s="85"/>
    </row>
    <row r="553" spans="1:49" ht="31.5" x14ac:dyDescent="0.25">
      <c r="A553" s="56" t="s">
        <v>93</v>
      </c>
      <c r="B553" s="59">
        <v>46053</v>
      </c>
      <c r="C553" s="59">
        <v>46053</v>
      </c>
      <c r="D553" s="56" t="s">
        <v>224</v>
      </c>
      <c r="E553" s="62">
        <v>0.79166666666666663</v>
      </c>
      <c r="F553" s="62">
        <v>0.99930555555555556</v>
      </c>
      <c r="G553" s="64">
        <v>1.7361111111111109E-4</v>
      </c>
      <c r="H553" s="65" t="s">
        <v>139</v>
      </c>
      <c r="I553" s="66">
        <v>0.97031423611111101</v>
      </c>
      <c r="J553" s="56" t="s">
        <v>136</v>
      </c>
      <c r="K553" s="56" t="s">
        <v>206</v>
      </c>
      <c r="L553" s="68">
        <v>1</v>
      </c>
      <c r="M553" s="68">
        <v>69567</v>
      </c>
      <c r="N553" s="56" t="s">
        <v>46</v>
      </c>
      <c r="O553" s="68" t="s">
        <v>137</v>
      </c>
      <c r="P553" s="70">
        <v>0</v>
      </c>
      <c r="Q553" s="68"/>
      <c r="R553" s="70">
        <v>0</v>
      </c>
      <c r="S553" s="73">
        <v>46054</v>
      </c>
      <c r="T553" s="70">
        <v>0</v>
      </c>
      <c r="U553" s="74">
        <v>4</v>
      </c>
      <c r="V553" s="70">
        <v>0</v>
      </c>
      <c r="W553" s="56" t="s">
        <v>47</v>
      </c>
      <c r="X553" s="56" t="s">
        <v>48</v>
      </c>
      <c r="Y553" s="56" t="s">
        <v>36</v>
      </c>
      <c r="Z553" s="56" t="s">
        <v>9</v>
      </c>
      <c r="AA553" s="56" t="s">
        <v>49</v>
      </c>
      <c r="AB553" s="56" t="s">
        <v>138</v>
      </c>
      <c r="AC553" s="56" t="s">
        <v>38</v>
      </c>
      <c r="AD553" s="75" t="s">
        <v>267</v>
      </c>
      <c r="AE553" s="78"/>
      <c r="AF553" s="78"/>
      <c r="AG553" s="78"/>
      <c r="AH553" s="78"/>
      <c r="AI553" s="86"/>
      <c r="AJ553" s="86"/>
      <c r="AK553" s="86"/>
      <c r="AL553" s="86"/>
      <c r="AM553" s="86"/>
      <c r="AN553" s="86"/>
      <c r="AO553" s="86"/>
      <c r="AP553" s="86"/>
      <c r="AQ553" s="86"/>
      <c r="AR553" s="86"/>
      <c r="AS553" s="86"/>
      <c r="AT553" s="86"/>
      <c r="AU553" s="86"/>
      <c r="AV553" s="86"/>
      <c r="AW553" s="86"/>
    </row>
    <row r="554" spans="1:49" ht="31.5" x14ac:dyDescent="0.25">
      <c r="A554" s="56" t="s">
        <v>93</v>
      </c>
      <c r="B554" s="59">
        <v>46053</v>
      </c>
      <c r="C554" s="59">
        <v>46053</v>
      </c>
      <c r="D554" s="56" t="s">
        <v>224</v>
      </c>
      <c r="E554" s="62">
        <v>0.79166666666666663</v>
      </c>
      <c r="F554" s="62">
        <v>0.99930555555555556</v>
      </c>
      <c r="G554" s="64">
        <v>1.7361111111111109E-4</v>
      </c>
      <c r="H554" s="65" t="s">
        <v>135</v>
      </c>
      <c r="I554" s="66">
        <v>0.98008425925925924</v>
      </c>
      <c r="J554" s="56" t="s">
        <v>136</v>
      </c>
      <c r="K554" s="56" t="s">
        <v>206</v>
      </c>
      <c r="L554" s="68">
        <v>1</v>
      </c>
      <c r="M554" s="68">
        <v>69566</v>
      </c>
      <c r="N554" s="56" t="s">
        <v>53</v>
      </c>
      <c r="O554" s="68" t="s">
        <v>137</v>
      </c>
      <c r="P554" s="70">
        <v>0</v>
      </c>
      <c r="Q554" s="68"/>
      <c r="R554" s="70">
        <v>16.531831119544499</v>
      </c>
      <c r="S554" s="73">
        <v>46054</v>
      </c>
      <c r="T554" s="70">
        <v>0</v>
      </c>
      <c r="U554" s="74">
        <v>4</v>
      </c>
      <c r="V554" s="70">
        <v>0</v>
      </c>
      <c r="W554" s="56" t="s">
        <v>47</v>
      </c>
      <c r="X554" s="56" t="s">
        <v>48</v>
      </c>
      <c r="Y554" s="56" t="s">
        <v>36</v>
      </c>
      <c r="Z554" s="56" t="s">
        <v>9</v>
      </c>
      <c r="AA554" s="56" t="s">
        <v>49</v>
      </c>
      <c r="AB554" s="56" t="s">
        <v>138</v>
      </c>
      <c r="AC554" s="56" t="s">
        <v>38</v>
      </c>
      <c r="AD554" s="75" t="s">
        <v>267</v>
      </c>
      <c r="AE554" s="76"/>
      <c r="AF554" s="76"/>
      <c r="AG554" s="76"/>
      <c r="AH554" s="76"/>
      <c r="AI554" s="85"/>
      <c r="AJ554" s="85"/>
      <c r="AK554" s="85"/>
      <c r="AL554" s="85"/>
      <c r="AM554" s="85"/>
      <c r="AN554" s="85"/>
      <c r="AO554" s="85"/>
      <c r="AP554" s="85"/>
      <c r="AQ554" s="85"/>
      <c r="AR554" s="85"/>
      <c r="AS554" s="85"/>
      <c r="AT554" s="85"/>
      <c r="AU554" s="85"/>
      <c r="AV554" s="85"/>
      <c r="AW554" s="85"/>
    </row>
    <row r="555" spans="1:49" ht="31.5" x14ac:dyDescent="0.25">
      <c r="A555" s="56" t="s">
        <v>93</v>
      </c>
      <c r="B555" s="59">
        <v>46053</v>
      </c>
      <c r="C555" s="59">
        <v>46053</v>
      </c>
      <c r="D555" s="56" t="s">
        <v>224</v>
      </c>
      <c r="E555" s="62">
        <v>0.79166666666666663</v>
      </c>
      <c r="F555" s="62">
        <v>0.99930555555555556</v>
      </c>
      <c r="G555" s="64">
        <v>1.7361111111111109E-4</v>
      </c>
      <c r="H555" s="65" t="s">
        <v>139</v>
      </c>
      <c r="I555" s="66">
        <v>0.98112604166666662</v>
      </c>
      <c r="J555" s="56" t="s">
        <v>136</v>
      </c>
      <c r="K555" s="56" t="s">
        <v>206</v>
      </c>
      <c r="L555" s="68">
        <v>1</v>
      </c>
      <c r="M555" s="68">
        <v>69566</v>
      </c>
      <c r="N555" s="56" t="s">
        <v>53</v>
      </c>
      <c r="O555" s="68" t="s">
        <v>137</v>
      </c>
      <c r="P555" s="70">
        <v>0</v>
      </c>
      <c r="Q555" s="68"/>
      <c r="R555" s="70">
        <v>16.531831119544499</v>
      </c>
      <c r="S555" s="73">
        <v>46054</v>
      </c>
      <c r="T555" s="70">
        <v>0</v>
      </c>
      <c r="U555" s="74">
        <v>4</v>
      </c>
      <c r="V555" s="70">
        <v>0</v>
      </c>
      <c r="W555" s="56" t="s">
        <v>47</v>
      </c>
      <c r="X555" s="56" t="s">
        <v>48</v>
      </c>
      <c r="Y555" s="56" t="s">
        <v>36</v>
      </c>
      <c r="Z555" s="56" t="s">
        <v>9</v>
      </c>
      <c r="AA555" s="56" t="s">
        <v>49</v>
      </c>
      <c r="AB555" s="56" t="s">
        <v>138</v>
      </c>
      <c r="AC555" s="56" t="s">
        <v>38</v>
      </c>
      <c r="AD555" s="75" t="s">
        <v>267</v>
      </c>
      <c r="AE555" s="76"/>
      <c r="AF555" s="76"/>
      <c r="AG555" s="76"/>
      <c r="AH555" s="76"/>
      <c r="AI555" s="85"/>
      <c r="AJ555" s="85"/>
      <c r="AK555" s="85"/>
      <c r="AL555" s="85"/>
      <c r="AM555" s="85"/>
      <c r="AN555" s="85"/>
      <c r="AO555" s="85"/>
      <c r="AP555" s="85"/>
      <c r="AQ555" s="85"/>
      <c r="AR555" s="85"/>
      <c r="AS555" s="85"/>
      <c r="AT555" s="85"/>
      <c r="AU555" s="85"/>
      <c r="AV555" s="85"/>
      <c r="AW555" s="85"/>
    </row>
    <row r="556" spans="1:49" ht="31.5" x14ac:dyDescent="0.25">
      <c r="A556" s="56" t="s">
        <v>93</v>
      </c>
      <c r="B556" s="59">
        <v>46054</v>
      </c>
      <c r="C556" s="59">
        <v>46054</v>
      </c>
      <c r="D556" s="56" t="s">
        <v>249</v>
      </c>
      <c r="E556" s="62">
        <v>0.45833333333333331</v>
      </c>
      <c r="F556" s="62">
        <v>0.54166666666666663</v>
      </c>
      <c r="G556" s="64">
        <v>1.7361111111111109E-4</v>
      </c>
      <c r="H556" s="65" t="s">
        <v>98</v>
      </c>
      <c r="I556" s="66">
        <v>0.46813715277777779</v>
      </c>
      <c r="J556" s="56" t="s">
        <v>80</v>
      </c>
      <c r="K556" s="56" t="s">
        <v>76</v>
      </c>
      <c r="L556" s="68">
        <v>1</v>
      </c>
      <c r="M556" s="68">
        <v>69571</v>
      </c>
      <c r="N556" s="56" t="s">
        <v>46</v>
      </c>
      <c r="O556" s="68" t="s">
        <v>95</v>
      </c>
      <c r="P556" s="70">
        <v>0</v>
      </c>
      <c r="Q556" s="68"/>
      <c r="R556" s="70">
        <v>0</v>
      </c>
      <c r="S556" s="73">
        <v>46054</v>
      </c>
      <c r="T556" s="70">
        <v>0</v>
      </c>
      <c r="U556" s="74">
        <v>4</v>
      </c>
      <c r="V556" s="70">
        <v>0</v>
      </c>
      <c r="W556" s="56" t="s">
        <v>47</v>
      </c>
      <c r="X556" s="56" t="s">
        <v>48</v>
      </c>
      <c r="Y556" s="56" t="s">
        <v>36</v>
      </c>
      <c r="Z556" s="56" t="s">
        <v>9</v>
      </c>
      <c r="AA556" s="56" t="s">
        <v>49</v>
      </c>
      <c r="AB556" s="56" t="s">
        <v>96</v>
      </c>
      <c r="AC556" s="56" t="s">
        <v>38</v>
      </c>
      <c r="AD556" s="75" t="s">
        <v>267</v>
      </c>
      <c r="AE556" s="77"/>
      <c r="AF556" s="77"/>
      <c r="AG556" s="77"/>
      <c r="AH556" s="77"/>
      <c r="AI556" s="86"/>
      <c r="AJ556" s="86"/>
      <c r="AK556" s="86"/>
      <c r="AL556" s="86"/>
      <c r="AM556" s="86"/>
      <c r="AN556" s="86"/>
      <c r="AO556" s="86"/>
      <c r="AP556" s="86"/>
      <c r="AQ556" s="86"/>
      <c r="AR556" s="86"/>
      <c r="AS556" s="86"/>
      <c r="AT556" s="86"/>
      <c r="AU556" s="86"/>
      <c r="AV556" s="86"/>
      <c r="AW556" s="86"/>
    </row>
    <row r="557" spans="1:49" ht="31.5" x14ac:dyDescent="0.2">
      <c r="A557" s="56" t="s">
        <v>93</v>
      </c>
      <c r="B557" s="59">
        <v>46054</v>
      </c>
      <c r="C557" s="59">
        <v>46054</v>
      </c>
      <c r="D557" s="56" t="s">
        <v>249</v>
      </c>
      <c r="E557" s="62">
        <v>0.45833333333333331</v>
      </c>
      <c r="F557" s="62">
        <v>0.54166666666666663</v>
      </c>
      <c r="G557" s="64">
        <v>1.7361111111111109E-4</v>
      </c>
      <c r="H557" s="65" t="s">
        <v>97</v>
      </c>
      <c r="I557" s="66">
        <v>0.4690054398148148</v>
      </c>
      <c r="J557" s="56" t="s">
        <v>80</v>
      </c>
      <c r="K557" s="56" t="s">
        <v>76</v>
      </c>
      <c r="L557" s="68">
        <v>1</v>
      </c>
      <c r="M557" s="68">
        <v>69571</v>
      </c>
      <c r="N557" s="56" t="s">
        <v>46</v>
      </c>
      <c r="O557" s="68" t="s">
        <v>95</v>
      </c>
      <c r="P557" s="70">
        <v>0</v>
      </c>
      <c r="Q557" s="68"/>
      <c r="R557" s="70">
        <v>0</v>
      </c>
      <c r="S557" s="73">
        <v>46054</v>
      </c>
      <c r="T557" s="70">
        <v>0</v>
      </c>
      <c r="U557" s="74">
        <v>4</v>
      </c>
      <c r="V557" s="70">
        <v>0</v>
      </c>
      <c r="W557" s="56" t="s">
        <v>47</v>
      </c>
      <c r="X557" s="56" t="s">
        <v>48</v>
      </c>
      <c r="Y557" s="56" t="s">
        <v>36</v>
      </c>
      <c r="Z557" s="56" t="s">
        <v>9</v>
      </c>
      <c r="AA557" s="56" t="s">
        <v>49</v>
      </c>
      <c r="AB557" s="56" t="s">
        <v>96</v>
      </c>
      <c r="AC557" s="56" t="s">
        <v>38</v>
      </c>
      <c r="AD557" s="75" t="s">
        <v>267</v>
      </c>
      <c r="AE557" s="57"/>
      <c r="AF557" s="57"/>
      <c r="AG557" s="57"/>
      <c r="AH557" s="57"/>
      <c r="AI557" s="57"/>
      <c r="AJ557" s="57"/>
      <c r="AK557" s="57"/>
      <c r="AL557" s="57"/>
      <c r="AM557" s="57"/>
      <c r="AN557" s="57"/>
      <c r="AO557" s="57"/>
      <c r="AP557" s="57"/>
      <c r="AQ557" s="57"/>
      <c r="AR557" s="57"/>
      <c r="AS557" s="57"/>
      <c r="AT557" s="57"/>
      <c r="AU557" s="57"/>
      <c r="AV557" s="57"/>
      <c r="AW557" s="57"/>
    </row>
    <row r="558" spans="1:49" ht="31.5" x14ac:dyDescent="0.25">
      <c r="A558" s="56" t="s">
        <v>93</v>
      </c>
      <c r="B558" s="59">
        <v>46054</v>
      </c>
      <c r="C558" s="59">
        <v>46054</v>
      </c>
      <c r="D558" s="56" t="s">
        <v>249</v>
      </c>
      <c r="E558" s="62">
        <v>0.45833333333333331</v>
      </c>
      <c r="F558" s="62">
        <v>0.54166666666666663</v>
      </c>
      <c r="G558" s="64">
        <v>1.7361111111111109E-4</v>
      </c>
      <c r="H558" s="65" t="s">
        <v>94</v>
      </c>
      <c r="I558" s="66">
        <v>0.53224745370370374</v>
      </c>
      <c r="J558" s="56" t="s">
        <v>80</v>
      </c>
      <c r="K558" s="56" t="s">
        <v>151</v>
      </c>
      <c r="L558" s="68">
        <v>1</v>
      </c>
      <c r="M558" s="68">
        <v>69571</v>
      </c>
      <c r="N558" s="56" t="s">
        <v>46</v>
      </c>
      <c r="O558" s="68" t="s">
        <v>95</v>
      </c>
      <c r="P558" s="70">
        <v>0</v>
      </c>
      <c r="Q558" s="68"/>
      <c r="R558" s="70">
        <v>0</v>
      </c>
      <c r="S558" s="73">
        <v>46054</v>
      </c>
      <c r="T558" s="70">
        <v>0</v>
      </c>
      <c r="U558" s="74">
        <v>4</v>
      </c>
      <c r="V558" s="70">
        <v>0</v>
      </c>
      <c r="W558" s="56" t="s">
        <v>47</v>
      </c>
      <c r="X558" s="56" t="s">
        <v>48</v>
      </c>
      <c r="Y558" s="56" t="s">
        <v>36</v>
      </c>
      <c r="Z558" s="56" t="s">
        <v>9</v>
      </c>
      <c r="AA558" s="56" t="s">
        <v>49</v>
      </c>
      <c r="AB558" s="56" t="s">
        <v>96</v>
      </c>
      <c r="AC558" s="56" t="s">
        <v>38</v>
      </c>
      <c r="AD558" s="75" t="s">
        <v>267</v>
      </c>
      <c r="AE558" s="76"/>
      <c r="AF558" s="76"/>
      <c r="AG558" s="76"/>
      <c r="AH558" s="76"/>
      <c r="AI558" s="85"/>
      <c r="AJ558" s="85"/>
      <c r="AK558" s="85"/>
      <c r="AL558" s="85"/>
      <c r="AM558" s="85"/>
      <c r="AN558" s="85"/>
      <c r="AO558" s="85"/>
      <c r="AP558" s="85"/>
      <c r="AQ558" s="85"/>
      <c r="AR558" s="85"/>
      <c r="AS558" s="85"/>
      <c r="AT558" s="85"/>
      <c r="AU558" s="85"/>
      <c r="AV558" s="85"/>
      <c r="AW558" s="85"/>
    </row>
    <row r="559" spans="1:49" ht="31.5" x14ac:dyDescent="0.25">
      <c r="A559" s="56" t="s">
        <v>93</v>
      </c>
      <c r="B559" s="59">
        <v>46054</v>
      </c>
      <c r="C559" s="59">
        <v>46054</v>
      </c>
      <c r="D559" s="56" t="s">
        <v>249</v>
      </c>
      <c r="E559" s="62">
        <v>0.45833333333333331</v>
      </c>
      <c r="F559" s="62">
        <v>0.54166666666666663</v>
      </c>
      <c r="G559" s="64">
        <v>1.7361111111111109E-4</v>
      </c>
      <c r="H559" s="65" t="s">
        <v>97</v>
      </c>
      <c r="I559" s="66">
        <v>0.53415740740740736</v>
      </c>
      <c r="J559" s="56" t="s">
        <v>80</v>
      </c>
      <c r="K559" s="56" t="s">
        <v>151</v>
      </c>
      <c r="L559" s="68">
        <v>1</v>
      </c>
      <c r="M559" s="68">
        <v>69571</v>
      </c>
      <c r="N559" s="56" t="s">
        <v>46</v>
      </c>
      <c r="O559" s="68" t="s">
        <v>95</v>
      </c>
      <c r="P559" s="70">
        <v>0</v>
      </c>
      <c r="Q559" s="68"/>
      <c r="R559" s="70">
        <v>0</v>
      </c>
      <c r="S559" s="73">
        <v>46054</v>
      </c>
      <c r="T559" s="70">
        <v>0</v>
      </c>
      <c r="U559" s="74">
        <v>4</v>
      </c>
      <c r="V559" s="70">
        <v>0</v>
      </c>
      <c r="W559" s="56" t="s">
        <v>47</v>
      </c>
      <c r="X559" s="56" t="s">
        <v>48</v>
      </c>
      <c r="Y559" s="56" t="s">
        <v>36</v>
      </c>
      <c r="Z559" s="56" t="s">
        <v>9</v>
      </c>
      <c r="AA559" s="56" t="s">
        <v>49</v>
      </c>
      <c r="AB559" s="56" t="s">
        <v>96</v>
      </c>
      <c r="AC559" s="56" t="s">
        <v>38</v>
      </c>
      <c r="AD559" s="75" t="s">
        <v>267</v>
      </c>
      <c r="AE559" s="76"/>
      <c r="AF559" s="76"/>
      <c r="AG559" s="76"/>
      <c r="AH559" s="76"/>
      <c r="AI559" s="76"/>
      <c r="AJ559" s="76"/>
      <c r="AK559" s="76"/>
      <c r="AL559" s="76"/>
      <c r="AM559" s="76"/>
      <c r="AN559" s="76"/>
      <c r="AO559" s="76"/>
      <c r="AP559" s="76"/>
      <c r="AQ559" s="76"/>
      <c r="AR559" s="76"/>
      <c r="AS559" s="76"/>
      <c r="AT559" s="76"/>
      <c r="AU559" s="76"/>
      <c r="AV559" s="76"/>
      <c r="AW559" s="76"/>
    </row>
    <row r="560" spans="1:49" ht="31.5" x14ac:dyDescent="0.2">
      <c r="A560" s="56" t="s">
        <v>93</v>
      </c>
      <c r="B560" s="59">
        <v>46054</v>
      </c>
      <c r="C560" s="59">
        <v>46054</v>
      </c>
      <c r="D560" s="56" t="s">
        <v>249</v>
      </c>
      <c r="E560" s="62">
        <v>0.79166666666666663</v>
      </c>
      <c r="F560" s="62">
        <v>0.99930555555555556</v>
      </c>
      <c r="G560" s="64">
        <v>1.7361111111111109E-4</v>
      </c>
      <c r="H560" s="65" t="s">
        <v>135</v>
      </c>
      <c r="I560" s="66">
        <v>0.84141203703703704</v>
      </c>
      <c r="J560" s="56" t="s">
        <v>136</v>
      </c>
      <c r="K560" s="56" t="s">
        <v>157</v>
      </c>
      <c r="L560" s="68">
        <v>1</v>
      </c>
      <c r="M560" s="68">
        <v>69566</v>
      </c>
      <c r="N560" s="56" t="s">
        <v>53</v>
      </c>
      <c r="O560" s="68" t="s">
        <v>137</v>
      </c>
      <c r="P560" s="70">
        <v>0</v>
      </c>
      <c r="Q560" s="68"/>
      <c r="R560" s="70">
        <v>16.531831119544499</v>
      </c>
      <c r="S560" s="73">
        <v>46054</v>
      </c>
      <c r="T560" s="70">
        <v>0</v>
      </c>
      <c r="U560" s="74">
        <v>4</v>
      </c>
      <c r="V560" s="70">
        <v>0</v>
      </c>
      <c r="W560" s="56" t="s">
        <v>47</v>
      </c>
      <c r="X560" s="56" t="s">
        <v>48</v>
      </c>
      <c r="Y560" s="56" t="s">
        <v>36</v>
      </c>
      <c r="Z560" s="56" t="s">
        <v>9</v>
      </c>
      <c r="AA560" s="56" t="s">
        <v>49</v>
      </c>
      <c r="AB560" s="56" t="s">
        <v>138</v>
      </c>
      <c r="AC560" s="56" t="s">
        <v>38</v>
      </c>
      <c r="AD560" s="75" t="s">
        <v>267</v>
      </c>
      <c r="AE560" s="57"/>
      <c r="AF560" s="57"/>
      <c r="AG560" s="57"/>
      <c r="AH560" s="57"/>
      <c r="AI560" s="57"/>
      <c r="AJ560" s="57"/>
      <c r="AK560" s="57"/>
      <c r="AL560" s="57"/>
      <c r="AM560" s="57"/>
      <c r="AN560" s="57"/>
      <c r="AO560" s="57"/>
      <c r="AP560" s="57"/>
      <c r="AQ560" s="57"/>
      <c r="AR560" s="57"/>
      <c r="AS560" s="57"/>
      <c r="AT560" s="57"/>
      <c r="AU560" s="57"/>
      <c r="AV560" s="57"/>
      <c r="AW560" s="57"/>
    </row>
    <row r="561" spans="1:49" ht="31.5" x14ac:dyDescent="0.2">
      <c r="A561" s="56" t="s">
        <v>93</v>
      </c>
      <c r="B561" s="59">
        <v>46054</v>
      </c>
      <c r="C561" s="59">
        <v>46054</v>
      </c>
      <c r="D561" s="56" t="s">
        <v>249</v>
      </c>
      <c r="E561" s="62">
        <v>0.79166666666666663</v>
      </c>
      <c r="F561" s="62">
        <v>0.99930555555555556</v>
      </c>
      <c r="G561" s="64">
        <v>1.7361111111111109E-4</v>
      </c>
      <c r="H561" s="65" t="s">
        <v>139</v>
      </c>
      <c r="I561" s="66">
        <v>0.84262731481481479</v>
      </c>
      <c r="J561" s="56" t="s">
        <v>136</v>
      </c>
      <c r="K561" s="56" t="s">
        <v>157</v>
      </c>
      <c r="L561" s="68">
        <v>1</v>
      </c>
      <c r="M561" s="68">
        <v>69566</v>
      </c>
      <c r="N561" s="56" t="s">
        <v>53</v>
      </c>
      <c r="O561" s="68" t="s">
        <v>137</v>
      </c>
      <c r="P561" s="70">
        <v>0</v>
      </c>
      <c r="Q561" s="68"/>
      <c r="R561" s="70">
        <v>16.531831119544499</v>
      </c>
      <c r="S561" s="73">
        <v>46054</v>
      </c>
      <c r="T561" s="70">
        <v>0</v>
      </c>
      <c r="U561" s="74">
        <v>4</v>
      </c>
      <c r="V561" s="70">
        <v>0</v>
      </c>
      <c r="W561" s="56" t="s">
        <v>47</v>
      </c>
      <c r="X561" s="56" t="s">
        <v>48</v>
      </c>
      <c r="Y561" s="56" t="s">
        <v>36</v>
      </c>
      <c r="Z561" s="56" t="s">
        <v>9</v>
      </c>
      <c r="AA561" s="56" t="s">
        <v>49</v>
      </c>
      <c r="AB561" s="56" t="s">
        <v>138</v>
      </c>
      <c r="AC561" s="56" t="s">
        <v>38</v>
      </c>
      <c r="AD561" s="75" t="s">
        <v>267</v>
      </c>
      <c r="AE561" s="57"/>
      <c r="AF561" s="57"/>
      <c r="AG561" s="57"/>
      <c r="AH561" s="57"/>
      <c r="AI561" s="57"/>
      <c r="AJ561" s="57"/>
      <c r="AK561" s="57"/>
      <c r="AL561" s="57"/>
      <c r="AM561" s="57"/>
      <c r="AN561" s="57"/>
      <c r="AO561" s="57"/>
      <c r="AP561" s="57"/>
      <c r="AQ561" s="57"/>
      <c r="AR561" s="57"/>
      <c r="AS561" s="57"/>
      <c r="AT561" s="57"/>
      <c r="AU561" s="57"/>
      <c r="AV561" s="57"/>
      <c r="AW561" s="57"/>
    </row>
    <row r="562" spans="1:49" ht="31.5" x14ac:dyDescent="0.25">
      <c r="A562" s="56" t="s">
        <v>93</v>
      </c>
      <c r="B562" s="59">
        <v>46054</v>
      </c>
      <c r="C562" s="59">
        <v>46054</v>
      </c>
      <c r="D562" s="56" t="s">
        <v>249</v>
      </c>
      <c r="E562" s="62">
        <v>0.79166666666666663</v>
      </c>
      <c r="F562" s="62">
        <v>0.99930555555555556</v>
      </c>
      <c r="G562" s="64">
        <v>1.7361111111111109E-4</v>
      </c>
      <c r="H562" s="65" t="s">
        <v>135</v>
      </c>
      <c r="I562" s="66">
        <v>0.88783587962962973</v>
      </c>
      <c r="J562" s="56" t="s">
        <v>136</v>
      </c>
      <c r="K562" s="56" t="s">
        <v>193</v>
      </c>
      <c r="L562" s="68">
        <v>1</v>
      </c>
      <c r="M562" s="68">
        <v>69567</v>
      </c>
      <c r="N562" s="56" t="s">
        <v>46</v>
      </c>
      <c r="O562" s="68" t="s">
        <v>137</v>
      </c>
      <c r="P562" s="70">
        <v>0</v>
      </c>
      <c r="Q562" s="68"/>
      <c r="R562" s="70">
        <v>0</v>
      </c>
      <c r="S562" s="73">
        <v>46054</v>
      </c>
      <c r="T562" s="70">
        <v>0</v>
      </c>
      <c r="U562" s="74">
        <v>4</v>
      </c>
      <c r="V562" s="70">
        <v>0</v>
      </c>
      <c r="W562" s="56" t="s">
        <v>47</v>
      </c>
      <c r="X562" s="56" t="s">
        <v>48</v>
      </c>
      <c r="Y562" s="56" t="s">
        <v>36</v>
      </c>
      <c r="Z562" s="56" t="s">
        <v>9</v>
      </c>
      <c r="AA562" s="56" t="s">
        <v>49</v>
      </c>
      <c r="AB562" s="56" t="s">
        <v>138</v>
      </c>
      <c r="AC562" s="56" t="s">
        <v>38</v>
      </c>
      <c r="AD562" s="75" t="s">
        <v>267</v>
      </c>
      <c r="AE562" s="78"/>
      <c r="AF562" s="78"/>
      <c r="AG562" s="78"/>
      <c r="AH562" s="78"/>
      <c r="AI562" s="86"/>
      <c r="AJ562" s="86"/>
      <c r="AK562" s="86"/>
      <c r="AL562" s="86"/>
      <c r="AM562" s="86"/>
      <c r="AN562" s="86"/>
      <c r="AO562" s="86"/>
      <c r="AP562" s="86"/>
      <c r="AQ562" s="86"/>
      <c r="AR562" s="86"/>
      <c r="AS562" s="86"/>
      <c r="AT562" s="86"/>
      <c r="AU562" s="86"/>
      <c r="AV562" s="86"/>
      <c r="AW562" s="86"/>
    </row>
    <row r="563" spans="1:49" ht="31.5" x14ac:dyDescent="0.25">
      <c r="A563" s="56" t="s">
        <v>93</v>
      </c>
      <c r="B563" s="59">
        <v>46054</v>
      </c>
      <c r="C563" s="59">
        <v>46054</v>
      </c>
      <c r="D563" s="56" t="s">
        <v>249</v>
      </c>
      <c r="E563" s="62">
        <v>0.79166666666666663</v>
      </c>
      <c r="F563" s="62">
        <v>0.99930555555555556</v>
      </c>
      <c r="G563" s="64">
        <v>1.7361111111111109E-4</v>
      </c>
      <c r="H563" s="65" t="s">
        <v>139</v>
      </c>
      <c r="I563" s="66">
        <v>0.88835694444444435</v>
      </c>
      <c r="J563" s="56" t="s">
        <v>136</v>
      </c>
      <c r="K563" s="56" t="s">
        <v>193</v>
      </c>
      <c r="L563" s="68">
        <v>1</v>
      </c>
      <c r="M563" s="68">
        <v>69567</v>
      </c>
      <c r="N563" s="56" t="s">
        <v>46</v>
      </c>
      <c r="O563" s="68" t="s">
        <v>137</v>
      </c>
      <c r="P563" s="70">
        <v>0</v>
      </c>
      <c r="Q563" s="68"/>
      <c r="R563" s="70">
        <v>0</v>
      </c>
      <c r="S563" s="73">
        <v>46054</v>
      </c>
      <c r="T563" s="70">
        <v>0</v>
      </c>
      <c r="U563" s="74">
        <v>4</v>
      </c>
      <c r="V563" s="70">
        <v>0</v>
      </c>
      <c r="W563" s="56" t="s">
        <v>47</v>
      </c>
      <c r="X563" s="56" t="s">
        <v>48</v>
      </c>
      <c r="Y563" s="56" t="s">
        <v>36</v>
      </c>
      <c r="Z563" s="56" t="s">
        <v>9</v>
      </c>
      <c r="AA563" s="56" t="s">
        <v>49</v>
      </c>
      <c r="AB563" s="56" t="s">
        <v>138</v>
      </c>
      <c r="AC563" s="56" t="s">
        <v>38</v>
      </c>
      <c r="AD563" s="75" t="s">
        <v>267</v>
      </c>
      <c r="AE563" s="76"/>
      <c r="AF563" s="76"/>
      <c r="AG563" s="76"/>
      <c r="AH563" s="76"/>
      <c r="AI563" s="76"/>
      <c r="AJ563" s="76"/>
      <c r="AK563" s="76"/>
      <c r="AL563" s="76"/>
      <c r="AM563" s="76"/>
      <c r="AN563" s="76"/>
      <c r="AO563" s="76"/>
      <c r="AP563" s="76"/>
      <c r="AQ563" s="76"/>
      <c r="AR563" s="76"/>
      <c r="AS563" s="76"/>
      <c r="AT563" s="76"/>
      <c r="AU563" s="76"/>
      <c r="AV563" s="76"/>
      <c r="AW563" s="76"/>
    </row>
    <row r="564" spans="1:49" ht="31.5" x14ac:dyDescent="0.25">
      <c r="A564" s="56" t="s">
        <v>93</v>
      </c>
      <c r="B564" s="59">
        <v>46054</v>
      </c>
      <c r="C564" s="59">
        <v>46054</v>
      </c>
      <c r="D564" s="56" t="s">
        <v>249</v>
      </c>
      <c r="E564" s="62">
        <v>0.79166666666666663</v>
      </c>
      <c r="F564" s="62">
        <v>0.99930555555555556</v>
      </c>
      <c r="G564" s="64">
        <v>1.7361111111111109E-4</v>
      </c>
      <c r="H564" s="65" t="s">
        <v>135</v>
      </c>
      <c r="I564" s="66">
        <v>0.912374074074074</v>
      </c>
      <c r="J564" s="56" t="s">
        <v>136</v>
      </c>
      <c r="K564" s="56" t="s">
        <v>193</v>
      </c>
      <c r="L564" s="68">
        <v>1</v>
      </c>
      <c r="M564" s="68">
        <v>69566</v>
      </c>
      <c r="N564" s="56" t="s">
        <v>53</v>
      </c>
      <c r="O564" s="68" t="s">
        <v>137</v>
      </c>
      <c r="P564" s="70">
        <v>0</v>
      </c>
      <c r="Q564" s="68"/>
      <c r="R564" s="70">
        <v>16.531831119544499</v>
      </c>
      <c r="S564" s="73">
        <v>46054</v>
      </c>
      <c r="T564" s="70">
        <v>0</v>
      </c>
      <c r="U564" s="74">
        <v>4</v>
      </c>
      <c r="V564" s="70">
        <v>0</v>
      </c>
      <c r="W564" s="56" t="s">
        <v>47</v>
      </c>
      <c r="X564" s="56" t="s">
        <v>48</v>
      </c>
      <c r="Y564" s="56" t="s">
        <v>36</v>
      </c>
      <c r="Z564" s="56" t="s">
        <v>9</v>
      </c>
      <c r="AA564" s="56" t="s">
        <v>49</v>
      </c>
      <c r="AB564" s="56" t="s">
        <v>138</v>
      </c>
      <c r="AC564" s="56" t="s">
        <v>38</v>
      </c>
      <c r="AD564" s="75" t="s">
        <v>267</v>
      </c>
      <c r="AE564" s="76"/>
      <c r="AF564" s="76"/>
      <c r="AG564" s="76"/>
      <c r="AH564" s="76"/>
      <c r="AI564" s="85"/>
      <c r="AJ564" s="85"/>
      <c r="AK564" s="85"/>
      <c r="AL564" s="85"/>
      <c r="AM564" s="85"/>
      <c r="AN564" s="85"/>
      <c r="AO564" s="85"/>
      <c r="AP564" s="85"/>
      <c r="AQ564" s="85"/>
      <c r="AR564" s="85"/>
      <c r="AS564" s="85"/>
      <c r="AT564" s="85"/>
      <c r="AU564" s="85"/>
      <c r="AV564" s="85"/>
      <c r="AW564" s="85"/>
    </row>
    <row r="565" spans="1:49" ht="31.5" x14ac:dyDescent="0.25">
      <c r="A565" s="56" t="s">
        <v>93</v>
      </c>
      <c r="B565" s="59">
        <v>46054</v>
      </c>
      <c r="C565" s="59">
        <v>46054</v>
      </c>
      <c r="D565" s="56" t="s">
        <v>249</v>
      </c>
      <c r="E565" s="62">
        <v>0.79166666666666663</v>
      </c>
      <c r="F565" s="62">
        <v>0.99930555555555556</v>
      </c>
      <c r="G565" s="64">
        <v>1.7361111111111109E-4</v>
      </c>
      <c r="H565" s="65" t="s">
        <v>139</v>
      </c>
      <c r="I565" s="66">
        <v>0.91358958333333329</v>
      </c>
      <c r="J565" s="56" t="s">
        <v>136</v>
      </c>
      <c r="K565" s="56" t="s">
        <v>193</v>
      </c>
      <c r="L565" s="68">
        <v>1</v>
      </c>
      <c r="M565" s="68">
        <v>69566</v>
      </c>
      <c r="N565" s="56" t="s">
        <v>53</v>
      </c>
      <c r="O565" s="68" t="s">
        <v>137</v>
      </c>
      <c r="P565" s="70">
        <v>0</v>
      </c>
      <c r="Q565" s="68"/>
      <c r="R565" s="70">
        <v>16.531831119544499</v>
      </c>
      <c r="S565" s="73">
        <v>46054</v>
      </c>
      <c r="T565" s="70">
        <v>0</v>
      </c>
      <c r="U565" s="74">
        <v>4</v>
      </c>
      <c r="V565" s="70">
        <v>0</v>
      </c>
      <c r="W565" s="56" t="s">
        <v>47</v>
      </c>
      <c r="X565" s="56" t="s">
        <v>48</v>
      </c>
      <c r="Y565" s="56" t="s">
        <v>36</v>
      </c>
      <c r="Z565" s="56" t="s">
        <v>9</v>
      </c>
      <c r="AA565" s="56" t="s">
        <v>49</v>
      </c>
      <c r="AB565" s="56" t="s">
        <v>138</v>
      </c>
      <c r="AC565" s="56" t="s">
        <v>38</v>
      </c>
      <c r="AD565" s="75" t="s">
        <v>267</v>
      </c>
      <c r="AE565" s="76"/>
      <c r="AF565" s="76"/>
      <c r="AG565" s="76"/>
      <c r="AH565" s="76"/>
      <c r="AI565" s="76"/>
      <c r="AJ565" s="76"/>
      <c r="AK565" s="76"/>
      <c r="AL565" s="76"/>
      <c r="AM565" s="76"/>
      <c r="AN565" s="76"/>
      <c r="AO565" s="76"/>
      <c r="AP565" s="76"/>
      <c r="AQ565" s="76"/>
      <c r="AR565" s="76"/>
      <c r="AS565" s="76"/>
      <c r="AT565" s="76"/>
      <c r="AU565" s="76"/>
      <c r="AV565" s="76"/>
      <c r="AW565" s="76"/>
    </row>
    <row r="566" spans="1:49" ht="31.5" x14ac:dyDescent="0.25">
      <c r="A566" s="56" t="s">
        <v>93</v>
      </c>
      <c r="B566" s="59">
        <v>46054</v>
      </c>
      <c r="C566" s="59">
        <v>46054</v>
      </c>
      <c r="D566" s="56" t="s">
        <v>249</v>
      </c>
      <c r="E566" s="62">
        <v>0.79166666666666663</v>
      </c>
      <c r="F566" s="62">
        <v>0.99930555555555556</v>
      </c>
      <c r="G566" s="64">
        <v>1.7361111111111109E-4</v>
      </c>
      <c r="H566" s="65" t="s">
        <v>135</v>
      </c>
      <c r="I566" s="66">
        <v>0.92989687499999996</v>
      </c>
      <c r="J566" s="56" t="s">
        <v>136</v>
      </c>
      <c r="K566" s="56" t="s">
        <v>193</v>
      </c>
      <c r="L566" s="68">
        <v>1</v>
      </c>
      <c r="M566" s="68">
        <v>69567</v>
      </c>
      <c r="N566" s="56" t="s">
        <v>46</v>
      </c>
      <c r="O566" s="68" t="s">
        <v>137</v>
      </c>
      <c r="P566" s="70">
        <v>0</v>
      </c>
      <c r="Q566" s="68"/>
      <c r="R566" s="70">
        <v>0</v>
      </c>
      <c r="S566" s="73">
        <v>46054</v>
      </c>
      <c r="T566" s="70">
        <v>0</v>
      </c>
      <c r="U566" s="74">
        <v>4</v>
      </c>
      <c r="V566" s="70">
        <v>0</v>
      </c>
      <c r="W566" s="56" t="s">
        <v>47</v>
      </c>
      <c r="X566" s="56" t="s">
        <v>48</v>
      </c>
      <c r="Y566" s="56" t="s">
        <v>36</v>
      </c>
      <c r="Z566" s="56" t="s">
        <v>9</v>
      </c>
      <c r="AA566" s="56" t="s">
        <v>49</v>
      </c>
      <c r="AB566" s="56" t="s">
        <v>138</v>
      </c>
      <c r="AC566" s="56" t="s">
        <v>38</v>
      </c>
      <c r="AD566" s="75" t="s">
        <v>267</v>
      </c>
      <c r="AE566" s="76"/>
      <c r="AF566" s="76"/>
      <c r="AG566" s="76"/>
      <c r="AH566" s="76"/>
      <c r="AI566" s="76"/>
      <c r="AJ566" s="76"/>
      <c r="AK566" s="76"/>
      <c r="AL566" s="76"/>
      <c r="AM566" s="76"/>
      <c r="AN566" s="76"/>
      <c r="AO566" s="76"/>
      <c r="AP566" s="76"/>
      <c r="AQ566" s="76"/>
      <c r="AR566" s="76"/>
      <c r="AS566" s="76"/>
      <c r="AT566" s="76"/>
      <c r="AU566" s="76"/>
      <c r="AV566" s="76"/>
      <c r="AW566" s="76"/>
    </row>
    <row r="567" spans="1:49" ht="31.5" x14ac:dyDescent="0.25">
      <c r="A567" s="56" t="s">
        <v>93</v>
      </c>
      <c r="B567" s="59">
        <v>46054</v>
      </c>
      <c r="C567" s="59">
        <v>46054</v>
      </c>
      <c r="D567" s="56" t="s">
        <v>249</v>
      </c>
      <c r="E567" s="62">
        <v>0.79166666666666663</v>
      </c>
      <c r="F567" s="62">
        <v>0.99930555555555556</v>
      </c>
      <c r="G567" s="64">
        <v>1.7361111111111109E-4</v>
      </c>
      <c r="H567" s="65" t="s">
        <v>139</v>
      </c>
      <c r="I567" s="66">
        <v>0.93111192129629639</v>
      </c>
      <c r="J567" s="56" t="s">
        <v>136</v>
      </c>
      <c r="K567" s="56" t="s">
        <v>193</v>
      </c>
      <c r="L567" s="68">
        <v>1</v>
      </c>
      <c r="M567" s="68">
        <v>69567</v>
      </c>
      <c r="N567" s="56" t="s">
        <v>46</v>
      </c>
      <c r="O567" s="68" t="s">
        <v>137</v>
      </c>
      <c r="P567" s="70">
        <v>0</v>
      </c>
      <c r="Q567" s="68"/>
      <c r="R567" s="70">
        <v>0</v>
      </c>
      <c r="S567" s="73">
        <v>46054</v>
      </c>
      <c r="T567" s="70">
        <v>0</v>
      </c>
      <c r="U567" s="74">
        <v>4</v>
      </c>
      <c r="V567" s="70">
        <v>0</v>
      </c>
      <c r="W567" s="56" t="s">
        <v>47</v>
      </c>
      <c r="X567" s="56" t="s">
        <v>48</v>
      </c>
      <c r="Y567" s="56" t="s">
        <v>36</v>
      </c>
      <c r="Z567" s="56" t="s">
        <v>9</v>
      </c>
      <c r="AA567" s="56" t="s">
        <v>49</v>
      </c>
      <c r="AB567" s="56" t="s">
        <v>138</v>
      </c>
      <c r="AC567" s="56" t="s">
        <v>38</v>
      </c>
      <c r="AD567" s="75" t="s">
        <v>267</v>
      </c>
      <c r="AE567" s="76"/>
      <c r="AF567" s="76"/>
      <c r="AG567" s="76"/>
      <c r="AH567" s="76"/>
      <c r="AI567" s="85"/>
      <c r="AJ567" s="85"/>
      <c r="AK567" s="85"/>
      <c r="AL567" s="85"/>
      <c r="AM567" s="85"/>
      <c r="AN567" s="85"/>
      <c r="AO567" s="85"/>
      <c r="AP567" s="85"/>
      <c r="AQ567" s="85"/>
      <c r="AR567" s="85"/>
      <c r="AS567" s="85"/>
      <c r="AT567" s="85"/>
      <c r="AU567" s="85"/>
      <c r="AV567" s="85"/>
      <c r="AW567" s="85"/>
    </row>
    <row r="568" spans="1:49" ht="31.5" x14ac:dyDescent="0.25">
      <c r="A568" s="56" t="s">
        <v>93</v>
      </c>
      <c r="B568" s="59">
        <v>46054</v>
      </c>
      <c r="C568" s="59">
        <v>46054</v>
      </c>
      <c r="D568" s="56" t="s">
        <v>249</v>
      </c>
      <c r="E568" s="62">
        <v>0.79166666666666663</v>
      </c>
      <c r="F568" s="62">
        <v>0.99930555555555556</v>
      </c>
      <c r="G568" s="64">
        <v>1.7361111111111109E-4</v>
      </c>
      <c r="H568" s="65" t="s">
        <v>135</v>
      </c>
      <c r="I568" s="66">
        <v>0.94645891203703703</v>
      </c>
      <c r="J568" s="56" t="s">
        <v>136</v>
      </c>
      <c r="K568" s="56" t="s">
        <v>215</v>
      </c>
      <c r="L568" s="68">
        <v>1</v>
      </c>
      <c r="M568" s="68">
        <v>69566</v>
      </c>
      <c r="N568" s="56" t="s">
        <v>53</v>
      </c>
      <c r="O568" s="68" t="s">
        <v>137</v>
      </c>
      <c r="P568" s="70">
        <v>0</v>
      </c>
      <c r="Q568" s="68"/>
      <c r="R568" s="70">
        <v>16.531831119544499</v>
      </c>
      <c r="S568" s="73">
        <v>46054</v>
      </c>
      <c r="T568" s="70">
        <v>0</v>
      </c>
      <c r="U568" s="74">
        <v>4</v>
      </c>
      <c r="V568" s="70">
        <v>0</v>
      </c>
      <c r="W568" s="56" t="s">
        <v>47</v>
      </c>
      <c r="X568" s="56" t="s">
        <v>48</v>
      </c>
      <c r="Y568" s="56" t="s">
        <v>36</v>
      </c>
      <c r="Z568" s="56" t="s">
        <v>9</v>
      </c>
      <c r="AA568" s="56" t="s">
        <v>49</v>
      </c>
      <c r="AB568" s="56" t="s">
        <v>138</v>
      </c>
      <c r="AC568" s="56" t="s">
        <v>38</v>
      </c>
      <c r="AD568" s="75" t="s">
        <v>267</v>
      </c>
      <c r="AE568" s="76"/>
      <c r="AF568" s="76"/>
      <c r="AG568" s="76"/>
      <c r="AH568" s="76"/>
      <c r="AI568" s="76"/>
      <c r="AJ568" s="76"/>
      <c r="AK568" s="76"/>
      <c r="AL568" s="76"/>
      <c r="AM568" s="76"/>
      <c r="AN568" s="76"/>
      <c r="AO568" s="76"/>
      <c r="AP568" s="76"/>
      <c r="AQ568" s="76"/>
      <c r="AR568" s="76"/>
      <c r="AS568" s="76"/>
      <c r="AT568" s="76"/>
      <c r="AU568" s="76"/>
      <c r="AV568" s="76"/>
      <c r="AW568" s="76"/>
    </row>
    <row r="569" spans="1:49" ht="31.5" x14ac:dyDescent="0.25">
      <c r="A569" s="56" t="s">
        <v>93</v>
      </c>
      <c r="B569" s="59">
        <v>46054</v>
      </c>
      <c r="C569" s="59">
        <v>46054</v>
      </c>
      <c r="D569" s="56" t="s">
        <v>249</v>
      </c>
      <c r="E569" s="62">
        <v>0.79166666666666663</v>
      </c>
      <c r="F569" s="62">
        <v>0.99930555555555556</v>
      </c>
      <c r="G569" s="64">
        <v>1.7361111111111109E-4</v>
      </c>
      <c r="H569" s="65" t="s">
        <v>139</v>
      </c>
      <c r="I569" s="66">
        <v>0.94819525462962972</v>
      </c>
      <c r="J569" s="56" t="s">
        <v>136</v>
      </c>
      <c r="K569" s="56" t="s">
        <v>215</v>
      </c>
      <c r="L569" s="68">
        <v>1</v>
      </c>
      <c r="M569" s="68">
        <v>69566</v>
      </c>
      <c r="N569" s="56" t="s">
        <v>53</v>
      </c>
      <c r="O569" s="68" t="s">
        <v>137</v>
      </c>
      <c r="P569" s="70">
        <v>0</v>
      </c>
      <c r="Q569" s="68"/>
      <c r="R569" s="70">
        <v>16.531831119544499</v>
      </c>
      <c r="S569" s="73">
        <v>46054</v>
      </c>
      <c r="T569" s="70">
        <v>0</v>
      </c>
      <c r="U569" s="74">
        <v>4</v>
      </c>
      <c r="V569" s="70">
        <v>0</v>
      </c>
      <c r="W569" s="56" t="s">
        <v>47</v>
      </c>
      <c r="X569" s="56" t="s">
        <v>48</v>
      </c>
      <c r="Y569" s="56" t="s">
        <v>36</v>
      </c>
      <c r="Z569" s="56" t="s">
        <v>9</v>
      </c>
      <c r="AA569" s="56" t="s">
        <v>49</v>
      </c>
      <c r="AB569" s="56" t="s">
        <v>138</v>
      </c>
      <c r="AC569" s="56" t="s">
        <v>38</v>
      </c>
      <c r="AD569" s="75" t="s">
        <v>267</v>
      </c>
      <c r="AE569" s="76"/>
      <c r="AF569" s="76"/>
      <c r="AG569" s="76"/>
      <c r="AH569" s="76"/>
      <c r="AI569" s="76"/>
      <c r="AJ569" s="76"/>
      <c r="AK569" s="76"/>
      <c r="AL569" s="76"/>
      <c r="AM569" s="76"/>
      <c r="AN569" s="76"/>
      <c r="AO569" s="76"/>
      <c r="AP569" s="76"/>
      <c r="AQ569" s="76"/>
      <c r="AR569" s="76"/>
      <c r="AS569" s="76"/>
      <c r="AT569" s="76"/>
      <c r="AU569" s="76"/>
      <c r="AV569" s="76"/>
      <c r="AW569" s="76"/>
    </row>
    <row r="570" spans="1:49" ht="31.5" x14ac:dyDescent="0.25">
      <c r="A570" s="56" t="s">
        <v>106</v>
      </c>
      <c r="B570" s="59">
        <v>46048</v>
      </c>
      <c r="C570" s="59">
        <v>46048</v>
      </c>
      <c r="D570" s="56" t="s">
        <v>30</v>
      </c>
      <c r="E570" s="62">
        <v>0.54166666666666663</v>
      </c>
      <c r="F570" s="62">
        <v>0.66666666666666663</v>
      </c>
      <c r="G570" s="62">
        <v>3.4722222222222218E-4</v>
      </c>
      <c r="H570" s="56" t="s">
        <v>107</v>
      </c>
      <c r="I570" s="66">
        <v>0.54800925925925925</v>
      </c>
      <c r="J570" s="56" t="s">
        <v>105</v>
      </c>
      <c r="K570" s="56" t="s">
        <v>152</v>
      </c>
      <c r="L570" s="68">
        <v>1</v>
      </c>
      <c r="M570" s="68">
        <v>58165</v>
      </c>
      <c r="N570" s="56" t="s">
        <v>53</v>
      </c>
      <c r="O570" s="68" t="s">
        <v>108</v>
      </c>
      <c r="P570" s="70">
        <v>42.352941176470587</v>
      </c>
      <c r="Q570" s="68"/>
      <c r="R570" s="70">
        <v>42.352941176470587</v>
      </c>
      <c r="S570" s="73">
        <v>46054</v>
      </c>
      <c r="T570" s="70">
        <v>6.3529411764705879</v>
      </c>
      <c r="U570" s="74">
        <v>4</v>
      </c>
      <c r="V570" s="70">
        <v>36</v>
      </c>
      <c r="W570" s="56" t="s">
        <v>34</v>
      </c>
      <c r="X570" s="56" t="s">
        <v>48</v>
      </c>
      <c r="Y570" s="56" t="s">
        <v>36</v>
      </c>
      <c r="Z570" s="56" t="s">
        <v>9</v>
      </c>
      <c r="AA570" s="56" t="s">
        <v>49</v>
      </c>
      <c r="AB570" s="56" t="s">
        <v>109</v>
      </c>
      <c r="AC570" s="56" t="s">
        <v>38</v>
      </c>
      <c r="AD570" s="75" t="s">
        <v>267</v>
      </c>
      <c r="AE570" s="76"/>
      <c r="AF570" s="76"/>
      <c r="AG570" s="76"/>
      <c r="AH570" s="76"/>
      <c r="AI570" s="85"/>
      <c r="AJ570" s="85"/>
      <c r="AK570" s="85"/>
      <c r="AL570" s="85"/>
      <c r="AM570" s="85"/>
      <c r="AN570" s="85"/>
      <c r="AO570" s="85"/>
      <c r="AP570" s="85"/>
      <c r="AQ570" s="85"/>
      <c r="AR570" s="85"/>
      <c r="AS570" s="85"/>
      <c r="AT570" s="85"/>
      <c r="AU570" s="85"/>
      <c r="AV570" s="85"/>
      <c r="AW570" s="85"/>
    </row>
    <row r="571" spans="1:49" ht="31.5" x14ac:dyDescent="0.25">
      <c r="A571" s="56" t="s">
        <v>106</v>
      </c>
      <c r="B571" s="59">
        <v>46048</v>
      </c>
      <c r="C571" s="59">
        <v>46048</v>
      </c>
      <c r="D571" s="56" t="s">
        <v>30</v>
      </c>
      <c r="E571" s="62">
        <v>0.54166666666666663</v>
      </c>
      <c r="F571" s="62">
        <v>0.66666666666666663</v>
      </c>
      <c r="G571" s="62">
        <v>3.4722222222222218E-4</v>
      </c>
      <c r="H571" s="56" t="s">
        <v>107</v>
      </c>
      <c r="I571" s="66">
        <v>0.57579861111111108</v>
      </c>
      <c r="J571" s="56" t="s">
        <v>105</v>
      </c>
      <c r="K571" s="56" t="s">
        <v>153</v>
      </c>
      <c r="L571" s="68">
        <v>1</v>
      </c>
      <c r="M571" s="68">
        <v>58165</v>
      </c>
      <c r="N571" s="56" t="s">
        <v>53</v>
      </c>
      <c r="O571" s="68" t="s">
        <v>108</v>
      </c>
      <c r="P571" s="70">
        <v>42.352941176470587</v>
      </c>
      <c r="Q571" s="68"/>
      <c r="R571" s="70">
        <v>42.352941176470587</v>
      </c>
      <c r="S571" s="73">
        <v>46054</v>
      </c>
      <c r="T571" s="70">
        <v>6.3529411764705879</v>
      </c>
      <c r="U571" s="74">
        <v>4</v>
      </c>
      <c r="V571" s="70">
        <v>36</v>
      </c>
      <c r="W571" s="56" t="s">
        <v>34</v>
      </c>
      <c r="X571" s="56" t="s">
        <v>48</v>
      </c>
      <c r="Y571" s="56" t="s">
        <v>36</v>
      </c>
      <c r="Z571" s="56" t="s">
        <v>9</v>
      </c>
      <c r="AA571" s="56" t="s">
        <v>49</v>
      </c>
      <c r="AB571" s="56" t="s">
        <v>109</v>
      </c>
      <c r="AC571" s="56" t="s">
        <v>38</v>
      </c>
      <c r="AD571" s="75" t="s">
        <v>267</v>
      </c>
      <c r="AE571" s="76"/>
      <c r="AF571" s="76"/>
      <c r="AG571" s="76"/>
      <c r="AH571" s="76"/>
      <c r="AI571" s="76"/>
      <c r="AJ571" s="76"/>
      <c r="AK571" s="76"/>
      <c r="AL571" s="76"/>
      <c r="AM571" s="76"/>
      <c r="AN571" s="76"/>
      <c r="AO571" s="76"/>
      <c r="AP571" s="76"/>
      <c r="AQ571" s="76"/>
      <c r="AR571" s="76"/>
      <c r="AS571" s="76"/>
      <c r="AT571" s="76"/>
      <c r="AU571" s="76"/>
      <c r="AV571" s="76"/>
      <c r="AW571" s="76"/>
    </row>
    <row r="572" spans="1:49" ht="31.5" x14ac:dyDescent="0.25">
      <c r="A572" s="56" t="s">
        <v>106</v>
      </c>
      <c r="B572" s="59">
        <v>46048</v>
      </c>
      <c r="C572" s="59">
        <v>46048</v>
      </c>
      <c r="D572" s="56" t="s">
        <v>30</v>
      </c>
      <c r="E572" s="62">
        <v>0.54166666666666663</v>
      </c>
      <c r="F572" s="62">
        <v>0.66666666666666663</v>
      </c>
      <c r="G572" s="62">
        <v>3.4722222222222218E-4</v>
      </c>
      <c r="H572" s="56" t="s">
        <v>107</v>
      </c>
      <c r="I572" s="66">
        <v>0.59</v>
      </c>
      <c r="J572" s="56" t="s">
        <v>105</v>
      </c>
      <c r="K572" s="56" t="s">
        <v>154</v>
      </c>
      <c r="L572" s="68">
        <v>1</v>
      </c>
      <c r="M572" s="68">
        <v>58165</v>
      </c>
      <c r="N572" s="56" t="s">
        <v>53</v>
      </c>
      <c r="O572" s="68" t="s">
        <v>108</v>
      </c>
      <c r="P572" s="70">
        <v>42.352941176470587</v>
      </c>
      <c r="Q572" s="68"/>
      <c r="R572" s="70">
        <v>42.352941176470587</v>
      </c>
      <c r="S572" s="73">
        <v>46054</v>
      </c>
      <c r="T572" s="70">
        <v>6.3529411764705879</v>
      </c>
      <c r="U572" s="74">
        <v>4</v>
      </c>
      <c r="V572" s="70">
        <v>36</v>
      </c>
      <c r="W572" s="56" t="s">
        <v>34</v>
      </c>
      <c r="X572" s="56" t="s">
        <v>48</v>
      </c>
      <c r="Y572" s="56" t="s">
        <v>36</v>
      </c>
      <c r="Z572" s="56" t="s">
        <v>9</v>
      </c>
      <c r="AA572" s="56" t="s">
        <v>49</v>
      </c>
      <c r="AB572" s="56" t="s">
        <v>109</v>
      </c>
      <c r="AC572" s="56" t="s">
        <v>38</v>
      </c>
      <c r="AD572" s="75" t="s">
        <v>267</v>
      </c>
      <c r="AE572" s="76"/>
      <c r="AF572" s="76"/>
      <c r="AG572" s="76"/>
      <c r="AH572" s="76"/>
      <c r="AI572" s="85"/>
      <c r="AJ572" s="85"/>
      <c r="AK572" s="85"/>
      <c r="AL572" s="85"/>
      <c r="AM572" s="85"/>
      <c r="AN572" s="85"/>
      <c r="AO572" s="85"/>
      <c r="AP572" s="85"/>
      <c r="AQ572" s="85"/>
      <c r="AR572" s="85"/>
      <c r="AS572" s="85"/>
      <c r="AT572" s="85"/>
      <c r="AU572" s="85"/>
      <c r="AV572" s="85"/>
      <c r="AW572" s="85"/>
    </row>
    <row r="573" spans="1:49" ht="31.5" x14ac:dyDescent="0.25">
      <c r="A573" s="56" t="s">
        <v>106</v>
      </c>
      <c r="B573" s="59">
        <v>46048</v>
      </c>
      <c r="C573" s="59">
        <v>46048</v>
      </c>
      <c r="D573" s="56" t="s">
        <v>30</v>
      </c>
      <c r="E573" s="62">
        <v>0.54166666666666663</v>
      </c>
      <c r="F573" s="62">
        <v>0.66666666666666663</v>
      </c>
      <c r="G573" s="62">
        <v>3.4722222222222218E-4</v>
      </c>
      <c r="H573" s="56" t="s">
        <v>107</v>
      </c>
      <c r="I573" s="66">
        <v>0.62299768518518517</v>
      </c>
      <c r="J573" s="56" t="s">
        <v>105</v>
      </c>
      <c r="K573" s="56" t="s">
        <v>154</v>
      </c>
      <c r="L573" s="68">
        <v>1</v>
      </c>
      <c r="M573" s="68">
        <v>58165</v>
      </c>
      <c r="N573" s="56" t="s">
        <v>53</v>
      </c>
      <c r="O573" s="68" t="s">
        <v>108</v>
      </c>
      <c r="P573" s="70">
        <v>42.352941176470587</v>
      </c>
      <c r="Q573" s="68"/>
      <c r="R573" s="70">
        <v>42.352941176470587</v>
      </c>
      <c r="S573" s="73">
        <v>46054</v>
      </c>
      <c r="T573" s="70">
        <v>6.3529411764705879</v>
      </c>
      <c r="U573" s="74">
        <v>4</v>
      </c>
      <c r="V573" s="70">
        <v>36</v>
      </c>
      <c r="W573" s="56" t="s">
        <v>34</v>
      </c>
      <c r="X573" s="56" t="s">
        <v>48</v>
      </c>
      <c r="Y573" s="56" t="s">
        <v>36</v>
      </c>
      <c r="Z573" s="56" t="s">
        <v>9</v>
      </c>
      <c r="AA573" s="56" t="s">
        <v>49</v>
      </c>
      <c r="AB573" s="56" t="s">
        <v>109</v>
      </c>
      <c r="AC573" s="56" t="s">
        <v>38</v>
      </c>
      <c r="AD573" s="75" t="s">
        <v>267</v>
      </c>
      <c r="AE573" s="76"/>
      <c r="AF573" s="76"/>
      <c r="AG573" s="76"/>
      <c r="AH573" s="76"/>
      <c r="AI573" s="85"/>
      <c r="AJ573" s="85"/>
      <c r="AK573" s="85"/>
      <c r="AL573" s="85"/>
      <c r="AM573" s="85"/>
      <c r="AN573" s="85"/>
      <c r="AO573" s="85"/>
      <c r="AP573" s="85"/>
      <c r="AQ573" s="85"/>
      <c r="AR573" s="85"/>
      <c r="AS573" s="85"/>
      <c r="AT573" s="85"/>
      <c r="AU573" s="85"/>
      <c r="AV573" s="85"/>
      <c r="AW573" s="85"/>
    </row>
    <row r="574" spans="1:49" ht="31.5" x14ac:dyDescent="0.25">
      <c r="A574" s="56" t="s">
        <v>106</v>
      </c>
      <c r="B574" s="59">
        <v>46048</v>
      </c>
      <c r="C574" s="59">
        <v>46048</v>
      </c>
      <c r="D574" s="56" t="s">
        <v>30</v>
      </c>
      <c r="E574" s="62">
        <v>0.54166666666666663</v>
      </c>
      <c r="F574" s="62">
        <v>0.66666666666666663</v>
      </c>
      <c r="G574" s="62">
        <v>3.4722222222222218E-4</v>
      </c>
      <c r="H574" s="56" t="s">
        <v>107</v>
      </c>
      <c r="I574" s="66">
        <v>0.6365277777777778</v>
      </c>
      <c r="J574" s="56" t="s">
        <v>105</v>
      </c>
      <c r="K574" s="56" t="s">
        <v>154</v>
      </c>
      <c r="L574" s="68">
        <v>1</v>
      </c>
      <c r="M574" s="68">
        <v>58167</v>
      </c>
      <c r="N574" s="56" t="s">
        <v>46</v>
      </c>
      <c r="O574" s="68" t="s">
        <v>108</v>
      </c>
      <c r="P574" s="70">
        <v>0</v>
      </c>
      <c r="Q574" s="68"/>
      <c r="R574" s="70">
        <v>0</v>
      </c>
      <c r="S574" s="73">
        <v>46054</v>
      </c>
      <c r="T574" s="70">
        <v>0</v>
      </c>
      <c r="U574" s="74">
        <v>4</v>
      </c>
      <c r="V574" s="70">
        <v>0</v>
      </c>
      <c r="W574" s="56" t="s">
        <v>34</v>
      </c>
      <c r="X574" s="56" t="s">
        <v>48</v>
      </c>
      <c r="Y574" s="56" t="s">
        <v>36</v>
      </c>
      <c r="Z574" s="56" t="s">
        <v>9</v>
      </c>
      <c r="AA574" s="56" t="s">
        <v>49</v>
      </c>
      <c r="AB574" s="56" t="s">
        <v>109</v>
      </c>
      <c r="AC574" s="56" t="s">
        <v>38</v>
      </c>
      <c r="AD574" s="75" t="s">
        <v>267</v>
      </c>
      <c r="AE574" s="76"/>
      <c r="AF574" s="76"/>
      <c r="AG574" s="76"/>
      <c r="AH574" s="76"/>
      <c r="AI574" s="76"/>
      <c r="AJ574" s="76"/>
      <c r="AK574" s="76"/>
      <c r="AL574" s="76"/>
      <c r="AM574" s="76"/>
      <c r="AN574" s="76"/>
      <c r="AO574" s="76"/>
      <c r="AP574" s="76"/>
      <c r="AQ574" s="76"/>
      <c r="AR574" s="76"/>
      <c r="AS574" s="76"/>
      <c r="AT574" s="76"/>
      <c r="AU574" s="76"/>
      <c r="AV574" s="76"/>
      <c r="AW574" s="76"/>
    </row>
    <row r="575" spans="1:49" ht="31.5" x14ac:dyDescent="0.25">
      <c r="A575" s="56" t="s">
        <v>106</v>
      </c>
      <c r="B575" s="59">
        <v>46048</v>
      </c>
      <c r="C575" s="59">
        <v>46048</v>
      </c>
      <c r="D575" s="56" t="s">
        <v>30</v>
      </c>
      <c r="E575" s="62">
        <v>0.54166666666666663</v>
      </c>
      <c r="F575" s="62">
        <v>0.66666666666666663</v>
      </c>
      <c r="G575" s="62">
        <v>3.4722222222222218E-4</v>
      </c>
      <c r="H575" s="56" t="s">
        <v>107</v>
      </c>
      <c r="I575" s="66">
        <v>0.65031249999999996</v>
      </c>
      <c r="J575" s="56" t="s">
        <v>105</v>
      </c>
      <c r="K575" s="56" t="s">
        <v>154</v>
      </c>
      <c r="L575" s="68">
        <v>1</v>
      </c>
      <c r="M575" s="68">
        <v>58165</v>
      </c>
      <c r="N575" s="56" t="s">
        <v>53</v>
      </c>
      <c r="O575" s="68" t="s">
        <v>108</v>
      </c>
      <c r="P575" s="70">
        <v>42.352941176470587</v>
      </c>
      <c r="Q575" s="68"/>
      <c r="R575" s="70">
        <v>42.352941176470587</v>
      </c>
      <c r="S575" s="73">
        <v>46054</v>
      </c>
      <c r="T575" s="70">
        <v>6.3529411764705879</v>
      </c>
      <c r="U575" s="74">
        <v>4</v>
      </c>
      <c r="V575" s="70">
        <v>36</v>
      </c>
      <c r="W575" s="56" t="s">
        <v>34</v>
      </c>
      <c r="X575" s="56" t="s">
        <v>48</v>
      </c>
      <c r="Y575" s="56" t="s">
        <v>36</v>
      </c>
      <c r="Z575" s="56" t="s">
        <v>9</v>
      </c>
      <c r="AA575" s="56" t="s">
        <v>49</v>
      </c>
      <c r="AB575" s="56" t="s">
        <v>109</v>
      </c>
      <c r="AC575" s="56" t="s">
        <v>38</v>
      </c>
      <c r="AD575" s="75" t="s">
        <v>267</v>
      </c>
      <c r="AE575" s="76"/>
      <c r="AF575" s="76"/>
      <c r="AG575" s="76"/>
      <c r="AH575" s="76"/>
      <c r="AI575" s="76"/>
      <c r="AJ575" s="76"/>
      <c r="AK575" s="76"/>
      <c r="AL575" s="76"/>
      <c r="AM575" s="76"/>
      <c r="AN575" s="76"/>
      <c r="AO575" s="76"/>
      <c r="AP575" s="76"/>
      <c r="AQ575" s="76"/>
      <c r="AR575" s="76"/>
      <c r="AS575" s="76"/>
      <c r="AT575" s="76"/>
      <c r="AU575" s="76"/>
      <c r="AV575" s="76"/>
      <c r="AW575" s="76"/>
    </row>
    <row r="576" spans="1:49" ht="31.5" x14ac:dyDescent="0.25">
      <c r="A576" s="56" t="s">
        <v>106</v>
      </c>
      <c r="B576" s="59">
        <v>46048</v>
      </c>
      <c r="C576" s="59">
        <v>46048</v>
      </c>
      <c r="D576" s="56" t="s">
        <v>30</v>
      </c>
      <c r="E576" s="62">
        <v>0.54166666666666663</v>
      </c>
      <c r="F576" s="62">
        <v>0.66666666666666663</v>
      </c>
      <c r="G576" s="62">
        <v>3.4722222222222218E-4</v>
      </c>
      <c r="H576" s="56" t="s">
        <v>107</v>
      </c>
      <c r="I576" s="66">
        <v>0.66597222222222219</v>
      </c>
      <c r="J576" s="56" t="s">
        <v>105</v>
      </c>
      <c r="K576" s="56" t="s">
        <v>154</v>
      </c>
      <c r="L576" s="68">
        <v>1</v>
      </c>
      <c r="M576" s="68">
        <v>58165</v>
      </c>
      <c r="N576" s="56" t="s">
        <v>53</v>
      </c>
      <c r="O576" s="68" t="s">
        <v>108</v>
      </c>
      <c r="P576" s="70">
        <v>42.352941176470587</v>
      </c>
      <c r="Q576" s="68"/>
      <c r="R576" s="70">
        <v>42.352941176470587</v>
      </c>
      <c r="S576" s="73">
        <v>46054</v>
      </c>
      <c r="T576" s="70">
        <v>6.3529411764705879</v>
      </c>
      <c r="U576" s="74">
        <v>4</v>
      </c>
      <c r="V576" s="70">
        <v>36</v>
      </c>
      <c r="W576" s="56" t="s">
        <v>34</v>
      </c>
      <c r="X576" s="56" t="s">
        <v>48</v>
      </c>
      <c r="Y576" s="56" t="s">
        <v>36</v>
      </c>
      <c r="Z576" s="56" t="s">
        <v>9</v>
      </c>
      <c r="AA576" s="56" t="s">
        <v>49</v>
      </c>
      <c r="AB576" s="56" t="s">
        <v>109</v>
      </c>
      <c r="AC576" s="56" t="s">
        <v>38</v>
      </c>
      <c r="AD576" s="75" t="s">
        <v>267</v>
      </c>
      <c r="AE576" s="79"/>
      <c r="AF576" s="79"/>
      <c r="AG576" s="79"/>
      <c r="AH576" s="79"/>
      <c r="AI576" s="86"/>
      <c r="AJ576" s="86"/>
      <c r="AK576" s="86"/>
      <c r="AL576" s="86"/>
      <c r="AM576" s="86"/>
      <c r="AN576" s="86"/>
      <c r="AO576" s="86"/>
      <c r="AP576" s="86"/>
      <c r="AQ576" s="86"/>
      <c r="AR576" s="86"/>
      <c r="AS576" s="86"/>
      <c r="AT576" s="86"/>
      <c r="AU576" s="86"/>
      <c r="AV576" s="86"/>
      <c r="AW576" s="86"/>
    </row>
    <row r="577" spans="1:49" ht="31.5" x14ac:dyDescent="0.25">
      <c r="A577" s="56" t="s">
        <v>106</v>
      </c>
      <c r="B577" s="59">
        <v>46049</v>
      </c>
      <c r="C577" s="59">
        <v>46049</v>
      </c>
      <c r="D577" s="56" t="s">
        <v>166</v>
      </c>
      <c r="E577" s="62">
        <v>0.54166666666666663</v>
      </c>
      <c r="F577" s="62">
        <v>0.66666666666666663</v>
      </c>
      <c r="G577" s="62">
        <v>3.4722222222222218E-4</v>
      </c>
      <c r="H577" s="56" t="s">
        <v>107</v>
      </c>
      <c r="I577" s="66">
        <v>0.54855335648148151</v>
      </c>
      <c r="J577" s="56" t="s">
        <v>105</v>
      </c>
      <c r="K577" s="56" t="s">
        <v>152</v>
      </c>
      <c r="L577" s="68">
        <v>1</v>
      </c>
      <c r="M577" s="68">
        <v>58165</v>
      </c>
      <c r="N577" s="56" t="s">
        <v>53</v>
      </c>
      <c r="O577" s="68" t="s">
        <v>108</v>
      </c>
      <c r="P577" s="70">
        <v>42.352941176470587</v>
      </c>
      <c r="Q577" s="68"/>
      <c r="R577" s="70">
        <v>42.352941176470587</v>
      </c>
      <c r="S577" s="73">
        <v>46054</v>
      </c>
      <c r="T577" s="70">
        <v>6.3529411764705879</v>
      </c>
      <c r="U577" s="74">
        <v>4</v>
      </c>
      <c r="V577" s="70">
        <v>36</v>
      </c>
      <c r="W577" s="56" t="s">
        <v>34</v>
      </c>
      <c r="X577" s="56" t="s">
        <v>48</v>
      </c>
      <c r="Y577" s="56" t="s">
        <v>36</v>
      </c>
      <c r="Z577" s="56" t="s">
        <v>9</v>
      </c>
      <c r="AA577" s="56" t="s">
        <v>49</v>
      </c>
      <c r="AB577" s="56" t="s">
        <v>109</v>
      </c>
      <c r="AC577" s="56" t="s">
        <v>38</v>
      </c>
      <c r="AD577" s="75" t="s">
        <v>267</v>
      </c>
      <c r="AE577" s="76"/>
      <c r="AF577" s="76"/>
      <c r="AG577" s="76"/>
      <c r="AH577" s="76"/>
      <c r="AI577" s="76"/>
      <c r="AJ577" s="76"/>
      <c r="AK577" s="76"/>
      <c r="AL577" s="76"/>
      <c r="AM577" s="76"/>
      <c r="AN577" s="76"/>
      <c r="AO577" s="76"/>
      <c r="AP577" s="76"/>
      <c r="AQ577" s="76"/>
      <c r="AR577" s="76"/>
      <c r="AS577" s="76"/>
      <c r="AT577" s="76"/>
      <c r="AU577" s="76"/>
      <c r="AV577" s="76"/>
      <c r="AW577" s="76"/>
    </row>
    <row r="578" spans="1:49" ht="31.5" x14ac:dyDescent="0.25">
      <c r="A578" s="56" t="s">
        <v>106</v>
      </c>
      <c r="B578" s="59">
        <v>46049</v>
      </c>
      <c r="C578" s="59">
        <v>46049</v>
      </c>
      <c r="D578" s="56" t="s">
        <v>166</v>
      </c>
      <c r="E578" s="62">
        <v>0.54166666666666663</v>
      </c>
      <c r="F578" s="62">
        <v>0.66666666666666663</v>
      </c>
      <c r="G578" s="62">
        <v>3.4722222222222218E-4</v>
      </c>
      <c r="H578" s="56" t="s">
        <v>107</v>
      </c>
      <c r="I578" s="66">
        <v>0.56161215277777776</v>
      </c>
      <c r="J578" s="56" t="s">
        <v>105</v>
      </c>
      <c r="K578" s="56" t="s">
        <v>152</v>
      </c>
      <c r="L578" s="68">
        <v>1</v>
      </c>
      <c r="M578" s="68">
        <v>58165</v>
      </c>
      <c r="N578" s="56" t="s">
        <v>53</v>
      </c>
      <c r="O578" s="68" t="s">
        <v>108</v>
      </c>
      <c r="P578" s="70">
        <v>42.352941176470587</v>
      </c>
      <c r="Q578" s="68"/>
      <c r="R578" s="70">
        <v>42.352941176470587</v>
      </c>
      <c r="S578" s="73">
        <v>46054</v>
      </c>
      <c r="T578" s="70">
        <v>6.3529411764705879</v>
      </c>
      <c r="U578" s="74">
        <v>4</v>
      </c>
      <c r="V578" s="70">
        <v>36</v>
      </c>
      <c r="W578" s="56" t="s">
        <v>34</v>
      </c>
      <c r="X578" s="56" t="s">
        <v>48</v>
      </c>
      <c r="Y578" s="56" t="s">
        <v>36</v>
      </c>
      <c r="Z578" s="56" t="s">
        <v>9</v>
      </c>
      <c r="AA578" s="56" t="s">
        <v>49</v>
      </c>
      <c r="AB578" s="56" t="s">
        <v>109</v>
      </c>
      <c r="AC578" s="56" t="s">
        <v>38</v>
      </c>
      <c r="AD578" s="75" t="s">
        <v>267</v>
      </c>
      <c r="AE578" s="76"/>
      <c r="AF578" s="76"/>
      <c r="AG578" s="76"/>
      <c r="AH578" s="76"/>
      <c r="AI578" s="85"/>
      <c r="AJ578" s="85"/>
      <c r="AK578" s="85"/>
      <c r="AL578" s="85"/>
      <c r="AM578" s="85"/>
      <c r="AN578" s="85"/>
      <c r="AO578" s="85"/>
      <c r="AP578" s="85"/>
      <c r="AQ578" s="85"/>
      <c r="AR578" s="85"/>
      <c r="AS578" s="85"/>
      <c r="AT578" s="85"/>
      <c r="AU578" s="85"/>
      <c r="AV578" s="85"/>
      <c r="AW578" s="85"/>
    </row>
    <row r="579" spans="1:49" ht="31.5" x14ac:dyDescent="0.25">
      <c r="A579" s="56" t="s">
        <v>106</v>
      </c>
      <c r="B579" s="59">
        <v>46049</v>
      </c>
      <c r="C579" s="59">
        <v>46049</v>
      </c>
      <c r="D579" s="56" t="s">
        <v>166</v>
      </c>
      <c r="E579" s="62">
        <v>0.54166666666666663</v>
      </c>
      <c r="F579" s="62">
        <v>0.66666666666666663</v>
      </c>
      <c r="G579" s="62">
        <v>3.4722222222222218E-4</v>
      </c>
      <c r="H579" s="56" t="s">
        <v>107</v>
      </c>
      <c r="I579" s="66">
        <v>0.57820914351851849</v>
      </c>
      <c r="J579" s="56" t="s">
        <v>105</v>
      </c>
      <c r="K579" s="56" t="s">
        <v>153</v>
      </c>
      <c r="L579" s="68">
        <v>1</v>
      </c>
      <c r="M579" s="68">
        <v>58165</v>
      </c>
      <c r="N579" s="56" t="s">
        <v>53</v>
      </c>
      <c r="O579" s="68" t="s">
        <v>108</v>
      </c>
      <c r="P579" s="70">
        <v>42.352941176470587</v>
      </c>
      <c r="Q579" s="68"/>
      <c r="R579" s="70">
        <v>42.352941176470587</v>
      </c>
      <c r="S579" s="73">
        <v>46054</v>
      </c>
      <c r="T579" s="70">
        <v>6.3529411764705879</v>
      </c>
      <c r="U579" s="74">
        <v>4</v>
      </c>
      <c r="V579" s="70">
        <v>36</v>
      </c>
      <c r="W579" s="56" t="s">
        <v>34</v>
      </c>
      <c r="X579" s="56" t="s">
        <v>48</v>
      </c>
      <c r="Y579" s="56" t="s">
        <v>36</v>
      </c>
      <c r="Z579" s="56" t="s">
        <v>9</v>
      </c>
      <c r="AA579" s="56" t="s">
        <v>49</v>
      </c>
      <c r="AB579" s="56" t="s">
        <v>109</v>
      </c>
      <c r="AC579" s="56" t="s">
        <v>38</v>
      </c>
      <c r="AD579" s="75" t="s">
        <v>267</v>
      </c>
      <c r="AE579" s="76"/>
      <c r="AF579" s="76"/>
      <c r="AG579" s="76"/>
      <c r="AH579" s="76"/>
      <c r="AI579" s="76"/>
      <c r="AJ579" s="76"/>
      <c r="AK579" s="76"/>
      <c r="AL579" s="76"/>
      <c r="AM579" s="76"/>
      <c r="AN579" s="76"/>
      <c r="AO579" s="76"/>
      <c r="AP579" s="76"/>
      <c r="AQ579" s="76"/>
      <c r="AR579" s="76"/>
      <c r="AS579" s="76"/>
      <c r="AT579" s="76"/>
      <c r="AU579" s="76"/>
      <c r="AV579" s="76"/>
      <c r="AW579" s="76"/>
    </row>
    <row r="580" spans="1:49" ht="31.5" x14ac:dyDescent="0.25">
      <c r="A580" s="56" t="s">
        <v>106</v>
      </c>
      <c r="B580" s="59">
        <v>46049</v>
      </c>
      <c r="C580" s="59">
        <v>46049</v>
      </c>
      <c r="D580" s="56" t="s">
        <v>166</v>
      </c>
      <c r="E580" s="62">
        <v>0.54166666666666663</v>
      </c>
      <c r="F580" s="62">
        <v>0.66666666666666663</v>
      </c>
      <c r="G580" s="62">
        <v>3.4722222222222218E-4</v>
      </c>
      <c r="H580" s="56" t="s">
        <v>107</v>
      </c>
      <c r="I580" s="66">
        <v>0.59079861111111109</v>
      </c>
      <c r="J580" s="56" t="s">
        <v>105</v>
      </c>
      <c r="K580" s="56" t="s">
        <v>154</v>
      </c>
      <c r="L580" s="68">
        <v>1</v>
      </c>
      <c r="M580" s="68">
        <v>58165</v>
      </c>
      <c r="N580" s="56" t="s">
        <v>53</v>
      </c>
      <c r="O580" s="68" t="s">
        <v>108</v>
      </c>
      <c r="P580" s="70">
        <v>42.352941176470587</v>
      </c>
      <c r="Q580" s="68"/>
      <c r="R580" s="70">
        <v>42.352941176470587</v>
      </c>
      <c r="S580" s="73">
        <v>46054</v>
      </c>
      <c r="T580" s="70">
        <v>6.3529411764705879</v>
      </c>
      <c r="U580" s="74">
        <v>4</v>
      </c>
      <c r="V580" s="70">
        <v>36</v>
      </c>
      <c r="W580" s="56" t="s">
        <v>34</v>
      </c>
      <c r="X580" s="56" t="s">
        <v>48</v>
      </c>
      <c r="Y580" s="56" t="s">
        <v>36</v>
      </c>
      <c r="Z580" s="56" t="s">
        <v>9</v>
      </c>
      <c r="AA580" s="56" t="s">
        <v>49</v>
      </c>
      <c r="AB580" s="56" t="s">
        <v>109</v>
      </c>
      <c r="AC580" s="56" t="s">
        <v>38</v>
      </c>
      <c r="AD580" s="75" t="s">
        <v>267</v>
      </c>
      <c r="AE580" s="76"/>
      <c r="AF580" s="76"/>
      <c r="AG580" s="76"/>
      <c r="AH580" s="76"/>
      <c r="AI580" s="85"/>
      <c r="AJ580" s="85"/>
      <c r="AK580" s="85"/>
      <c r="AL580" s="85"/>
      <c r="AM580" s="85"/>
      <c r="AN580" s="85"/>
      <c r="AO580" s="85"/>
      <c r="AP580" s="85"/>
      <c r="AQ580" s="85"/>
      <c r="AR580" s="85"/>
      <c r="AS580" s="85"/>
      <c r="AT580" s="85"/>
      <c r="AU580" s="85"/>
      <c r="AV580" s="85"/>
      <c r="AW580" s="85"/>
    </row>
    <row r="581" spans="1:49" ht="31.5" x14ac:dyDescent="0.25">
      <c r="A581" s="56" t="s">
        <v>106</v>
      </c>
      <c r="B581" s="59">
        <v>46049</v>
      </c>
      <c r="C581" s="59">
        <v>46049</v>
      </c>
      <c r="D581" s="56" t="s">
        <v>166</v>
      </c>
      <c r="E581" s="62">
        <v>0.54166666666666663</v>
      </c>
      <c r="F581" s="62">
        <v>0.66666666666666663</v>
      </c>
      <c r="G581" s="62">
        <v>3.4722222222222218E-4</v>
      </c>
      <c r="H581" s="56" t="s">
        <v>107</v>
      </c>
      <c r="I581" s="66">
        <v>0.62991898148148151</v>
      </c>
      <c r="J581" s="56" t="s">
        <v>105</v>
      </c>
      <c r="K581" s="56" t="s">
        <v>154</v>
      </c>
      <c r="L581" s="68">
        <v>1</v>
      </c>
      <c r="M581" s="68">
        <v>58167</v>
      </c>
      <c r="N581" s="56" t="s">
        <v>46</v>
      </c>
      <c r="O581" s="68" t="s">
        <v>108</v>
      </c>
      <c r="P581" s="70">
        <v>0</v>
      </c>
      <c r="Q581" s="68"/>
      <c r="R581" s="70">
        <v>0</v>
      </c>
      <c r="S581" s="73">
        <v>46054</v>
      </c>
      <c r="T581" s="70">
        <v>0</v>
      </c>
      <c r="U581" s="74">
        <v>4</v>
      </c>
      <c r="V581" s="70">
        <v>0</v>
      </c>
      <c r="W581" s="56" t="s">
        <v>34</v>
      </c>
      <c r="X581" s="56" t="s">
        <v>48</v>
      </c>
      <c r="Y581" s="56" t="s">
        <v>36</v>
      </c>
      <c r="Z581" s="56" t="s">
        <v>9</v>
      </c>
      <c r="AA581" s="56" t="s">
        <v>49</v>
      </c>
      <c r="AB581" s="56" t="s">
        <v>109</v>
      </c>
      <c r="AC581" s="56" t="s">
        <v>38</v>
      </c>
      <c r="AD581" s="75" t="s">
        <v>267</v>
      </c>
      <c r="AE581" s="76"/>
      <c r="AF581" s="76"/>
      <c r="AG581" s="76"/>
      <c r="AH581" s="76"/>
      <c r="AI581" s="76"/>
      <c r="AJ581" s="76"/>
      <c r="AK581" s="76"/>
      <c r="AL581" s="76"/>
      <c r="AM581" s="76"/>
      <c r="AN581" s="76"/>
      <c r="AO581" s="76"/>
      <c r="AP581" s="76"/>
      <c r="AQ581" s="76"/>
      <c r="AR581" s="76"/>
      <c r="AS581" s="76"/>
      <c r="AT581" s="76"/>
      <c r="AU581" s="76"/>
      <c r="AV581" s="76"/>
      <c r="AW581" s="76"/>
    </row>
    <row r="582" spans="1:49" ht="31.5" x14ac:dyDescent="0.25">
      <c r="A582" s="56" t="s">
        <v>106</v>
      </c>
      <c r="B582" s="59">
        <v>46049</v>
      </c>
      <c r="C582" s="59">
        <v>46049</v>
      </c>
      <c r="D582" s="56" t="s">
        <v>166</v>
      </c>
      <c r="E582" s="62">
        <v>0.54166666666666663</v>
      </c>
      <c r="F582" s="62">
        <v>0.66666666666666663</v>
      </c>
      <c r="G582" s="62">
        <v>3.4722222222222218E-4</v>
      </c>
      <c r="H582" s="56" t="s">
        <v>107</v>
      </c>
      <c r="I582" s="66">
        <v>0.65061342592592597</v>
      </c>
      <c r="J582" s="56" t="s">
        <v>105</v>
      </c>
      <c r="K582" s="56" t="s">
        <v>154</v>
      </c>
      <c r="L582" s="68">
        <v>1</v>
      </c>
      <c r="M582" s="68">
        <v>58165</v>
      </c>
      <c r="N582" s="56" t="s">
        <v>53</v>
      </c>
      <c r="O582" s="68" t="s">
        <v>108</v>
      </c>
      <c r="P582" s="70">
        <v>42.352941176470587</v>
      </c>
      <c r="Q582" s="68"/>
      <c r="R582" s="70">
        <v>42.352941176470587</v>
      </c>
      <c r="S582" s="73">
        <v>46054</v>
      </c>
      <c r="T582" s="70">
        <v>6.3529411764705879</v>
      </c>
      <c r="U582" s="74">
        <v>4</v>
      </c>
      <c r="V582" s="70">
        <v>36</v>
      </c>
      <c r="W582" s="56" t="s">
        <v>34</v>
      </c>
      <c r="X582" s="56" t="s">
        <v>48</v>
      </c>
      <c r="Y582" s="56" t="s">
        <v>36</v>
      </c>
      <c r="Z582" s="56" t="s">
        <v>9</v>
      </c>
      <c r="AA582" s="56" t="s">
        <v>49</v>
      </c>
      <c r="AB582" s="56" t="s">
        <v>109</v>
      </c>
      <c r="AC582" s="56" t="s">
        <v>38</v>
      </c>
      <c r="AD582" s="75" t="s">
        <v>267</v>
      </c>
      <c r="AE582" s="76"/>
      <c r="AF582" s="76"/>
      <c r="AG582" s="76"/>
      <c r="AH582" s="76"/>
      <c r="AI582" s="76"/>
      <c r="AJ582" s="76"/>
      <c r="AK582" s="76"/>
      <c r="AL582" s="76"/>
      <c r="AM582" s="76"/>
      <c r="AN582" s="76"/>
      <c r="AO582" s="76"/>
      <c r="AP582" s="76"/>
      <c r="AQ582" s="76"/>
      <c r="AR582" s="76"/>
      <c r="AS582" s="76"/>
      <c r="AT582" s="76"/>
      <c r="AU582" s="76"/>
      <c r="AV582" s="76"/>
      <c r="AW582" s="76"/>
    </row>
    <row r="583" spans="1:49" ht="31.5" x14ac:dyDescent="0.25">
      <c r="A583" s="56" t="s">
        <v>106</v>
      </c>
      <c r="B583" s="59">
        <v>46049</v>
      </c>
      <c r="C583" s="59">
        <v>46049</v>
      </c>
      <c r="D583" s="56" t="s">
        <v>166</v>
      </c>
      <c r="E583" s="62">
        <v>0.54166666666666663</v>
      </c>
      <c r="F583" s="62">
        <v>0.66666666666666663</v>
      </c>
      <c r="G583" s="62">
        <v>3.4722222222222218E-4</v>
      </c>
      <c r="H583" s="56" t="s">
        <v>107</v>
      </c>
      <c r="I583" s="66">
        <v>0.66541666666666666</v>
      </c>
      <c r="J583" s="56" t="s">
        <v>105</v>
      </c>
      <c r="K583" s="56" t="s">
        <v>154</v>
      </c>
      <c r="L583" s="68">
        <v>1</v>
      </c>
      <c r="M583" s="68">
        <v>58165</v>
      </c>
      <c r="N583" s="56" t="s">
        <v>53</v>
      </c>
      <c r="O583" s="68" t="s">
        <v>108</v>
      </c>
      <c r="P583" s="70">
        <v>42.352941176470587</v>
      </c>
      <c r="Q583" s="68"/>
      <c r="R583" s="70">
        <v>42.352941176470587</v>
      </c>
      <c r="S583" s="73">
        <v>46054</v>
      </c>
      <c r="T583" s="70">
        <v>6.3529411764705879</v>
      </c>
      <c r="U583" s="74">
        <v>4</v>
      </c>
      <c r="V583" s="70">
        <v>36</v>
      </c>
      <c r="W583" s="56" t="s">
        <v>34</v>
      </c>
      <c r="X583" s="56" t="s">
        <v>48</v>
      </c>
      <c r="Y583" s="56" t="s">
        <v>36</v>
      </c>
      <c r="Z583" s="56" t="s">
        <v>9</v>
      </c>
      <c r="AA583" s="56" t="s">
        <v>49</v>
      </c>
      <c r="AB583" s="56" t="s">
        <v>109</v>
      </c>
      <c r="AC583" s="56" t="s">
        <v>38</v>
      </c>
      <c r="AD583" s="75" t="s">
        <v>267</v>
      </c>
      <c r="AE583" s="76"/>
      <c r="AF583" s="76"/>
      <c r="AG583" s="76"/>
      <c r="AH583" s="76"/>
      <c r="AI583" s="76"/>
      <c r="AJ583" s="76"/>
      <c r="AK583" s="76"/>
      <c r="AL583" s="76"/>
      <c r="AM583" s="76"/>
      <c r="AN583" s="76"/>
      <c r="AO583" s="76"/>
      <c r="AP583" s="76"/>
      <c r="AQ583" s="76"/>
      <c r="AR583" s="76"/>
      <c r="AS583" s="76"/>
      <c r="AT583" s="76"/>
      <c r="AU583" s="76"/>
      <c r="AV583" s="76"/>
      <c r="AW583" s="76"/>
    </row>
    <row r="584" spans="1:49" ht="31.5" x14ac:dyDescent="0.25">
      <c r="A584" s="56" t="s">
        <v>106</v>
      </c>
      <c r="B584" s="59">
        <v>46050</v>
      </c>
      <c r="C584" s="59">
        <v>46050</v>
      </c>
      <c r="D584" s="56" t="s">
        <v>196</v>
      </c>
      <c r="E584" s="62">
        <v>0.54166666666666663</v>
      </c>
      <c r="F584" s="62">
        <v>0.66666666666666663</v>
      </c>
      <c r="G584" s="62">
        <v>3.4722222222222218E-4</v>
      </c>
      <c r="H584" s="56" t="s">
        <v>107</v>
      </c>
      <c r="I584" s="66">
        <v>0.54821782407407404</v>
      </c>
      <c r="J584" s="56" t="s">
        <v>105</v>
      </c>
      <c r="K584" s="56" t="s">
        <v>152</v>
      </c>
      <c r="L584" s="68">
        <v>1</v>
      </c>
      <c r="M584" s="68">
        <v>58167</v>
      </c>
      <c r="N584" s="56" t="s">
        <v>46</v>
      </c>
      <c r="O584" s="68" t="s">
        <v>108</v>
      </c>
      <c r="P584" s="70">
        <v>0</v>
      </c>
      <c r="Q584" s="68"/>
      <c r="R584" s="70">
        <v>0</v>
      </c>
      <c r="S584" s="73">
        <v>46054</v>
      </c>
      <c r="T584" s="70">
        <v>0</v>
      </c>
      <c r="U584" s="74">
        <v>4</v>
      </c>
      <c r="V584" s="70">
        <v>0</v>
      </c>
      <c r="W584" s="56" t="s">
        <v>34</v>
      </c>
      <c r="X584" s="56" t="s">
        <v>48</v>
      </c>
      <c r="Y584" s="56" t="s">
        <v>36</v>
      </c>
      <c r="Z584" s="56" t="s">
        <v>9</v>
      </c>
      <c r="AA584" s="56" t="s">
        <v>49</v>
      </c>
      <c r="AB584" s="56" t="s">
        <v>109</v>
      </c>
      <c r="AC584" s="56" t="s">
        <v>38</v>
      </c>
      <c r="AD584" s="75" t="s">
        <v>267</v>
      </c>
      <c r="AE584" s="76"/>
      <c r="AF584" s="76"/>
      <c r="AG584" s="76"/>
      <c r="AH584" s="76"/>
      <c r="AI584" s="85"/>
      <c r="AJ584" s="85"/>
      <c r="AK584" s="85"/>
      <c r="AL584" s="85"/>
      <c r="AM584" s="85"/>
      <c r="AN584" s="85"/>
      <c r="AO584" s="85"/>
      <c r="AP584" s="85"/>
      <c r="AQ584" s="85"/>
      <c r="AR584" s="85"/>
      <c r="AS584" s="85"/>
      <c r="AT584" s="85"/>
      <c r="AU584" s="85"/>
      <c r="AV584" s="85"/>
      <c r="AW584" s="85"/>
    </row>
    <row r="585" spans="1:49" ht="31.5" x14ac:dyDescent="0.25">
      <c r="A585" s="56" t="s">
        <v>106</v>
      </c>
      <c r="B585" s="59">
        <v>46050</v>
      </c>
      <c r="C585" s="59">
        <v>46050</v>
      </c>
      <c r="D585" s="56" t="s">
        <v>196</v>
      </c>
      <c r="E585" s="62">
        <v>0.54166666666666663</v>
      </c>
      <c r="F585" s="62">
        <v>0.66666666666666663</v>
      </c>
      <c r="G585" s="62">
        <v>3.4722222222222218E-4</v>
      </c>
      <c r="H585" s="56" t="s">
        <v>107</v>
      </c>
      <c r="I585" s="66">
        <v>0.56195624999999993</v>
      </c>
      <c r="J585" s="56" t="s">
        <v>105</v>
      </c>
      <c r="K585" s="56" t="s">
        <v>152</v>
      </c>
      <c r="L585" s="68">
        <v>1</v>
      </c>
      <c r="M585" s="68">
        <v>58165</v>
      </c>
      <c r="N585" s="56" t="s">
        <v>53</v>
      </c>
      <c r="O585" s="68" t="s">
        <v>108</v>
      </c>
      <c r="P585" s="70">
        <v>42.352941176470587</v>
      </c>
      <c r="Q585" s="68"/>
      <c r="R585" s="70">
        <v>42.352941176470587</v>
      </c>
      <c r="S585" s="73">
        <v>46054</v>
      </c>
      <c r="T585" s="70">
        <v>6.3529411764705879</v>
      </c>
      <c r="U585" s="74">
        <v>4</v>
      </c>
      <c r="V585" s="70">
        <v>36</v>
      </c>
      <c r="W585" s="56" t="s">
        <v>34</v>
      </c>
      <c r="X585" s="56" t="s">
        <v>48</v>
      </c>
      <c r="Y585" s="56" t="s">
        <v>36</v>
      </c>
      <c r="Z585" s="56" t="s">
        <v>9</v>
      </c>
      <c r="AA585" s="56" t="s">
        <v>49</v>
      </c>
      <c r="AB585" s="56" t="s">
        <v>109</v>
      </c>
      <c r="AC585" s="56" t="s">
        <v>38</v>
      </c>
      <c r="AD585" s="75" t="s">
        <v>267</v>
      </c>
      <c r="AE585" s="76"/>
      <c r="AF585" s="76"/>
      <c r="AG585" s="76"/>
      <c r="AH585" s="76"/>
      <c r="AI585" s="76"/>
      <c r="AJ585" s="76"/>
      <c r="AK585" s="76"/>
      <c r="AL585" s="76"/>
      <c r="AM585" s="76"/>
      <c r="AN585" s="76"/>
      <c r="AO585" s="76"/>
      <c r="AP585" s="76"/>
      <c r="AQ585" s="76"/>
      <c r="AR585" s="76"/>
      <c r="AS585" s="76"/>
      <c r="AT585" s="76"/>
      <c r="AU585" s="76"/>
      <c r="AV585" s="76"/>
      <c r="AW585" s="76"/>
    </row>
    <row r="586" spans="1:49" ht="31.5" x14ac:dyDescent="0.25">
      <c r="A586" s="56" t="s">
        <v>106</v>
      </c>
      <c r="B586" s="59">
        <v>46050</v>
      </c>
      <c r="C586" s="59">
        <v>46050</v>
      </c>
      <c r="D586" s="56" t="s">
        <v>196</v>
      </c>
      <c r="E586" s="62">
        <v>0.54166666666666663</v>
      </c>
      <c r="F586" s="62">
        <v>0.66666666666666663</v>
      </c>
      <c r="G586" s="62">
        <v>3.4722222222222218E-4</v>
      </c>
      <c r="H586" s="56" t="s">
        <v>107</v>
      </c>
      <c r="I586" s="66">
        <v>0.58131041666666672</v>
      </c>
      <c r="J586" s="56" t="s">
        <v>105</v>
      </c>
      <c r="K586" s="56" t="s">
        <v>153</v>
      </c>
      <c r="L586" s="68">
        <v>1</v>
      </c>
      <c r="M586" s="68">
        <v>58165</v>
      </c>
      <c r="N586" s="56" t="s">
        <v>53</v>
      </c>
      <c r="O586" s="68" t="s">
        <v>108</v>
      </c>
      <c r="P586" s="70">
        <v>42.352941176470587</v>
      </c>
      <c r="Q586" s="68"/>
      <c r="R586" s="70">
        <v>42.352941176470587</v>
      </c>
      <c r="S586" s="73">
        <v>46054</v>
      </c>
      <c r="T586" s="70">
        <v>6.3529411764705879</v>
      </c>
      <c r="U586" s="74">
        <v>4</v>
      </c>
      <c r="V586" s="70">
        <v>36</v>
      </c>
      <c r="W586" s="56" t="s">
        <v>34</v>
      </c>
      <c r="X586" s="56" t="s">
        <v>48</v>
      </c>
      <c r="Y586" s="56" t="s">
        <v>36</v>
      </c>
      <c r="Z586" s="56" t="s">
        <v>9</v>
      </c>
      <c r="AA586" s="56" t="s">
        <v>49</v>
      </c>
      <c r="AB586" s="56" t="s">
        <v>109</v>
      </c>
      <c r="AC586" s="56" t="s">
        <v>38</v>
      </c>
      <c r="AD586" s="75" t="s">
        <v>267</v>
      </c>
      <c r="AE586" s="76"/>
      <c r="AF586" s="76"/>
      <c r="AG586" s="76"/>
      <c r="AH586" s="76"/>
      <c r="AI586" s="76"/>
      <c r="AJ586" s="76"/>
      <c r="AK586" s="76"/>
      <c r="AL586" s="76"/>
      <c r="AM586" s="76"/>
      <c r="AN586" s="76"/>
      <c r="AO586" s="76"/>
      <c r="AP586" s="76"/>
      <c r="AQ586" s="76"/>
      <c r="AR586" s="76"/>
      <c r="AS586" s="76"/>
      <c r="AT586" s="76"/>
      <c r="AU586" s="76"/>
      <c r="AV586" s="76"/>
      <c r="AW586" s="76"/>
    </row>
    <row r="587" spans="1:49" ht="31.5" x14ac:dyDescent="0.2">
      <c r="A587" s="56" t="s">
        <v>106</v>
      </c>
      <c r="B587" s="59">
        <v>46050</v>
      </c>
      <c r="C587" s="59">
        <v>46050</v>
      </c>
      <c r="D587" s="56" t="s">
        <v>196</v>
      </c>
      <c r="E587" s="62">
        <v>0.54166666666666663</v>
      </c>
      <c r="F587" s="62">
        <v>0.66666666666666663</v>
      </c>
      <c r="G587" s="62">
        <v>3.4722222222222218E-4</v>
      </c>
      <c r="H587" s="56" t="s">
        <v>107</v>
      </c>
      <c r="I587" s="66">
        <v>0.59819444444444447</v>
      </c>
      <c r="J587" s="56" t="s">
        <v>105</v>
      </c>
      <c r="K587" s="56" t="s">
        <v>154</v>
      </c>
      <c r="L587" s="68">
        <v>1</v>
      </c>
      <c r="M587" s="68">
        <v>58165</v>
      </c>
      <c r="N587" s="56" t="s">
        <v>53</v>
      </c>
      <c r="O587" s="68" t="s">
        <v>108</v>
      </c>
      <c r="P587" s="70">
        <v>42.352941176470587</v>
      </c>
      <c r="Q587" s="68"/>
      <c r="R587" s="70">
        <v>42.352941176470587</v>
      </c>
      <c r="S587" s="73">
        <v>46054</v>
      </c>
      <c r="T587" s="70">
        <v>6.3529411764705879</v>
      </c>
      <c r="U587" s="74">
        <v>4</v>
      </c>
      <c r="V587" s="70">
        <v>36</v>
      </c>
      <c r="W587" s="56" t="s">
        <v>34</v>
      </c>
      <c r="X587" s="56" t="s">
        <v>48</v>
      </c>
      <c r="Y587" s="56" t="s">
        <v>36</v>
      </c>
      <c r="Z587" s="56" t="s">
        <v>9</v>
      </c>
      <c r="AA587" s="56" t="s">
        <v>49</v>
      </c>
      <c r="AB587" s="56" t="s">
        <v>109</v>
      </c>
      <c r="AC587" s="56" t="s">
        <v>38</v>
      </c>
      <c r="AD587" s="75" t="s">
        <v>267</v>
      </c>
      <c r="AE587" s="57"/>
      <c r="AF587" s="57"/>
      <c r="AG587" s="57"/>
      <c r="AH587" s="57"/>
      <c r="AI587" s="57"/>
      <c r="AJ587" s="57"/>
      <c r="AK587" s="57"/>
      <c r="AL587" s="57"/>
      <c r="AM587" s="57"/>
      <c r="AN587" s="57"/>
      <c r="AO587" s="57"/>
      <c r="AP587" s="57"/>
      <c r="AQ587" s="57"/>
      <c r="AR587" s="57"/>
      <c r="AS587" s="57"/>
      <c r="AT587" s="57"/>
      <c r="AU587" s="57"/>
      <c r="AV587" s="57"/>
      <c r="AW587" s="57"/>
    </row>
    <row r="588" spans="1:49" ht="31.5" x14ac:dyDescent="0.25">
      <c r="A588" s="56" t="s">
        <v>106</v>
      </c>
      <c r="B588" s="59">
        <v>46050</v>
      </c>
      <c r="C588" s="59">
        <v>46050</v>
      </c>
      <c r="D588" s="56" t="s">
        <v>196</v>
      </c>
      <c r="E588" s="62">
        <v>0.54166666666666663</v>
      </c>
      <c r="F588" s="62">
        <v>0.66666666666666663</v>
      </c>
      <c r="G588" s="62">
        <v>3.4722222222222218E-4</v>
      </c>
      <c r="H588" s="56" t="s">
        <v>107</v>
      </c>
      <c r="I588" s="66">
        <v>0.60957187499999999</v>
      </c>
      <c r="J588" s="56" t="s">
        <v>105</v>
      </c>
      <c r="K588" s="56" t="s">
        <v>154</v>
      </c>
      <c r="L588" s="68">
        <v>1</v>
      </c>
      <c r="M588" s="68">
        <v>58165</v>
      </c>
      <c r="N588" s="56" t="s">
        <v>53</v>
      </c>
      <c r="O588" s="68" t="s">
        <v>108</v>
      </c>
      <c r="P588" s="70">
        <v>42.352941176470587</v>
      </c>
      <c r="Q588" s="68"/>
      <c r="R588" s="70">
        <v>42.352941176470587</v>
      </c>
      <c r="S588" s="73">
        <v>46054</v>
      </c>
      <c r="T588" s="70">
        <v>6.3529411764705879</v>
      </c>
      <c r="U588" s="74">
        <v>4</v>
      </c>
      <c r="V588" s="70">
        <v>36</v>
      </c>
      <c r="W588" s="56" t="s">
        <v>34</v>
      </c>
      <c r="X588" s="56" t="s">
        <v>48</v>
      </c>
      <c r="Y588" s="56" t="s">
        <v>36</v>
      </c>
      <c r="Z588" s="56" t="s">
        <v>9</v>
      </c>
      <c r="AA588" s="56" t="s">
        <v>49</v>
      </c>
      <c r="AB588" s="56" t="s">
        <v>109</v>
      </c>
      <c r="AC588" s="56" t="s">
        <v>38</v>
      </c>
      <c r="AD588" s="75" t="s">
        <v>267</v>
      </c>
      <c r="AE588" s="76"/>
      <c r="AF588" s="76"/>
      <c r="AG588" s="76"/>
      <c r="AH588" s="76"/>
      <c r="AI588" s="85"/>
      <c r="AJ588" s="85"/>
      <c r="AK588" s="85"/>
      <c r="AL588" s="85"/>
      <c r="AM588" s="85"/>
      <c r="AN588" s="85"/>
      <c r="AO588" s="85"/>
      <c r="AP588" s="85"/>
      <c r="AQ588" s="85"/>
      <c r="AR588" s="85"/>
      <c r="AS588" s="85"/>
      <c r="AT588" s="85"/>
      <c r="AU588" s="85"/>
      <c r="AV588" s="85"/>
      <c r="AW588" s="85"/>
    </row>
    <row r="589" spans="1:49" ht="31.5" x14ac:dyDescent="0.25">
      <c r="A589" s="56" t="s">
        <v>106</v>
      </c>
      <c r="B589" s="59">
        <v>46050</v>
      </c>
      <c r="C589" s="59">
        <v>46050</v>
      </c>
      <c r="D589" s="56" t="s">
        <v>196</v>
      </c>
      <c r="E589" s="62">
        <v>0.54166666666666663</v>
      </c>
      <c r="F589" s="62">
        <v>0.66666666666666663</v>
      </c>
      <c r="G589" s="62">
        <v>3.4722222222222218E-4</v>
      </c>
      <c r="H589" s="56" t="s">
        <v>107</v>
      </c>
      <c r="I589" s="66">
        <v>0.61823055555555562</v>
      </c>
      <c r="J589" s="56" t="s">
        <v>105</v>
      </c>
      <c r="K589" s="56" t="s">
        <v>154</v>
      </c>
      <c r="L589" s="68">
        <v>1</v>
      </c>
      <c r="M589" s="68">
        <v>58165</v>
      </c>
      <c r="N589" s="56" t="s">
        <v>53</v>
      </c>
      <c r="O589" s="68" t="s">
        <v>108</v>
      </c>
      <c r="P589" s="70">
        <v>42.352941176470587</v>
      </c>
      <c r="Q589" s="68"/>
      <c r="R589" s="70">
        <v>42.352941176470587</v>
      </c>
      <c r="S589" s="73">
        <v>46054</v>
      </c>
      <c r="T589" s="70">
        <v>6.3529411764705879</v>
      </c>
      <c r="U589" s="74">
        <v>4</v>
      </c>
      <c r="V589" s="70">
        <v>36</v>
      </c>
      <c r="W589" s="56" t="s">
        <v>34</v>
      </c>
      <c r="X589" s="56" t="s">
        <v>48</v>
      </c>
      <c r="Y589" s="56" t="s">
        <v>36</v>
      </c>
      <c r="Z589" s="56" t="s">
        <v>9</v>
      </c>
      <c r="AA589" s="56" t="s">
        <v>49</v>
      </c>
      <c r="AB589" s="56" t="s">
        <v>109</v>
      </c>
      <c r="AC589" s="56" t="s">
        <v>38</v>
      </c>
      <c r="AD589" s="75" t="s">
        <v>267</v>
      </c>
      <c r="AE589" s="76"/>
      <c r="AF589" s="76"/>
      <c r="AG589" s="76"/>
      <c r="AH589" s="76"/>
      <c r="AI589" s="85"/>
      <c r="AJ589" s="85"/>
      <c r="AK589" s="85"/>
      <c r="AL589" s="85"/>
      <c r="AM589" s="85"/>
      <c r="AN589" s="85"/>
      <c r="AO589" s="85"/>
      <c r="AP589" s="85"/>
      <c r="AQ589" s="85"/>
      <c r="AR589" s="85"/>
      <c r="AS589" s="85"/>
      <c r="AT589" s="85"/>
      <c r="AU589" s="85"/>
      <c r="AV589" s="85"/>
      <c r="AW589" s="85"/>
    </row>
    <row r="590" spans="1:49" ht="31.5" x14ac:dyDescent="0.25">
      <c r="A590" s="56" t="s">
        <v>106</v>
      </c>
      <c r="B590" s="59">
        <v>46050</v>
      </c>
      <c r="C590" s="59">
        <v>46050</v>
      </c>
      <c r="D590" s="56" t="s">
        <v>196</v>
      </c>
      <c r="E590" s="62">
        <v>0.54166666666666663</v>
      </c>
      <c r="F590" s="62">
        <v>0.66666666666666663</v>
      </c>
      <c r="G590" s="62">
        <v>3.4722222222222218E-4</v>
      </c>
      <c r="H590" s="56" t="s">
        <v>107</v>
      </c>
      <c r="I590" s="66">
        <v>0.63787199074074075</v>
      </c>
      <c r="J590" s="56" t="s">
        <v>105</v>
      </c>
      <c r="K590" s="56" t="s">
        <v>154</v>
      </c>
      <c r="L590" s="68">
        <v>1</v>
      </c>
      <c r="M590" s="68">
        <v>58165</v>
      </c>
      <c r="N590" s="56" t="s">
        <v>53</v>
      </c>
      <c r="O590" s="68" t="s">
        <v>108</v>
      </c>
      <c r="P590" s="70">
        <v>42.352941176470587</v>
      </c>
      <c r="Q590" s="68"/>
      <c r="R590" s="70">
        <v>42.352941176470587</v>
      </c>
      <c r="S590" s="73">
        <v>46054</v>
      </c>
      <c r="T590" s="70">
        <v>6.3529411764705879</v>
      </c>
      <c r="U590" s="74">
        <v>4</v>
      </c>
      <c r="V590" s="70">
        <v>36</v>
      </c>
      <c r="W590" s="56" t="s">
        <v>34</v>
      </c>
      <c r="X590" s="56" t="s">
        <v>48</v>
      </c>
      <c r="Y590" s="56" t="s">
        <v>36</v>
      </c>
      <c r="Z590" s="56" t="s">
        <v>9</v>
      </c>
      <c r="AA590" s="56" t="s">
        <v>49</v>
      </c>
      <c r="AB590" s="56" t="s">
        <v>109</v>
      </c>
      <c r="AC590" s="56" t="s">
        <v>38</v>
      </c>
      <c r="AD590" s="75" t="s">
        <v>267</v>
      </c>
      <c r="AE590" s="77"/>
      <c r="AF590" s="77"/>
      <c r="AG590" s="77"/>
      <c r="AH590" s="77"/>
      <c r="AI590" s="86"/>
      <c r="AJ590" s="86"/>
      <c r="AK590" s="86"/>
      <c r="AL590" s="86"/>
      <c r="AM590" s="86"/>
      <c r="AN590" s="86"/>
      <c r="AO590" s="86"/>
      <c r="AP590" s="86"/>
      <c r="AQ590" s="86"/>
      <c r="AR590" s="86"/>
      <c r="AS590" s="86"/>
      <c r="AT590" s="86"/>
      <c r="AU590" s="86"/>
      <c r="AV590" s="86"/>
      <c r="AW590" s="86"/>
    </row>
    <row r="591" spans="1:49" ht="31.5" x14ac:dyDescent="0.25">
      <c r="A591" s="56" t="s">
        <v>106</v>
      </c>
      <c r="B591" s="59">
        <v>46051</v>
      </c>
      <c r="C591" s="59">
        <v>46051</v>
      </c>
      <c r="D591" s="56" t="s">
        <v>207</v>
      </c>
      <c r="E591" s="62">
        <v>0.54166666666666663</v>
      </c>
      <c r="F591" s="62">
        <v>0.66666666666666663</v>
      </c>
      <c r="G591" s="62">
        <v>3.4722222222222218E-4</v>
      </c>
      <c r="H591" s="56" t="s">
        <v>107</v>
      </c>
      <c r="I591" s="66">
        <v>0.54788194444444449</v>
      </c>
      <c r="J591" s="56" t="s">
        <v>105</v>
      </c>
      <c r="K591" s="56" t="s">
        <v>152</v>
      </c>
      <c r="L591" s="68">
        <v>1</v>
      </c>
      <c r="M591" s="68">
        <v>58165</v>
      </c>
      <c r="N591" s="56" t="s">
        <v>53</v>
      </c>
      <c r="O591" s="68" t="s">
        <v>108</v>
      </c>
      <c r="P591" s="70">
        <v>42.352941176470587</v>
      </c>
      <c r="Q591" s="68"/>
      <c r="R591" s="70">
        <v>42.352941176470587</v>
      </c>
      <c r="S591" s="73">
        <v>46054</v>
      </c>
      <c r="T591" s="70">
        <v>6.3529411764705879</v>
      </c>
      <c r="U591" s="74">
        <v>4</v>
      </c>
      <c r="V591" s="70">
        <v>36</v>
      </c>
      <c r="W591" s="56" t="s">
        <v>34</v>
      </c>
      <c r="X591" s="56" t="s">
        <v>48</v>
      </c>
      <c r="Y591" s="56" t="s">
        <v>36</v>
      </c>
      <c r="Z591" s="56" t="s">
        <v>9</v>
      </c>
      <c r="AA591" s="56" t="s">
        <v>49</v>
      </c>
      <c r="AB591" s="56" t="s">
        <v>109</v>
      </c>
      <c r="AC591" s="56" t="s">
        <v>38</v>
      </c>
      <c r="AD591" s="75" t="s">
        <v>267</v>
      </c>
      <c r="AE591" s="76"/>
      <c r="AF591" s="76"/>
      <c r="AG591" s="76"/>
      <c r="AH591" s="76"/>
      <c r="AI591" s="76"/>
      <c r="AJ591" s="76"/>
      <c r="AK591" s="76"/>
      <c r="AL591" s="76"/>
      <c r="AM591" s="76"/>
      <c r="AN591" s="76"/>
      <c r="AO591" s="76"/>
      <c r="AP591" s="76"/>
      <c r="AQ591" s="76"/>
      <c r="AR591" s="76"/>
      <c r="AS591" s="76"/>
      <c r="AT591" s="76"/>
      <c r="AU591" s="76"/>
      <c r="AV591" s="76"/>
      <c r="AW591" s="76"/>
    </row>
    <row r="592" spans="1:49" ht="31.5" x14ac:dyDescent="0.25">
      <c r="A592" s="56" t="s">
        <v>106</v>
      </c>
      <c r="B592" s="59">
        <v>46051</v>
      </c>
      <c r="C592" s="59">
        <v>46051</v>
      </c>
      <c r="D592" s="56" t="s">
        <v>207</v>
      </c>
      <c r="E592" s="62">
        <v>0.54166666666666663</v>
      </c>
      <c r="F592" s="62">
        <v>0.66666666666666663</v>
      </c>
      <c r="G592" s="62">
        <v>3.4722222222222218E-4</v>
      </c>
      <c r="H592" s="56" t="s">
        <v>107</v>
      </c>
      <c r="I592" s="66">
        <v>0.56178252314814814</v>
      </c>
      <c r="J592" s="56" t="s">
        <v>105</v>
      </c>
      <c r="K592" s="56" t="s">
        <v>152</v>
      </c>
      <c r="L592" s="68">
        <v>1</v>
      </c>
      <c r="M592" s="68">
        <v>58165</v>
      </c>
      <c r="N592" s="56" t="s">
        <v>53</v>
      </c>
      <c r="O592" s="68" t="s">
        <v>108</v>
      </c>
      <c r="P592" s="70">
        <v>42.352941176470587</v>
      </c>
      <c r="Q592" s="68"/>
      <c r="R592" s="70">
        <v>42.352941176470587</v>
      </c>
      <c r="S592" s="73">
        <v>46054</v>
      </c>
      <c r="T592" s="70">
        <v>6.3529411764705879</v>
      </c>
      <c r="U592" s="74">
        <v>4</v>
      </c>
      <c r="V592" s="70">
        <v>36</v>
      </c>
      <c r="W592" s="56" t="s">
        <v>34</v>
      </c>
      <c r="X592" s="56" t="s">
        <v>48</v>
      </c>
      <c r="Y592" s="56" t="s">
        <v>36</v>
      </c>
      <c r="Z592" s="56" t="s">
        <v>9</v>
      </c>
      <c r="AA592" s="56" t="s">
        <v>49</v>
      </c>
      <c r="AB592" s="56" t="s">
        <v>109</v>
      </c>
      <c r="AC592" s="56" t="s">
        <v>38</v>
      </c>
      <c r="AD592" s="75" t="s">
        <v>267</v>
      </c>
      <c r="AE592" s="76"/>
      <c r="AF592" s="76"/>
      <c r="AG592" s="76"/>
      <c r="AH592" s="76"/>
      <c r="AI592" s="85"/>
      <c r="AJ592" s="85"/>
      <c r="AK592" s="85"/>
      <c r="AL592" s="85"/>
      <c r="AM592" s="85"/>
      <c r="AN592" s="85"/>
      <c r="AO592" s="85"/>
      <c r="AP592" s="85"/>
      <c r="AQ592" s="85"/>
      <c r="AR592" s="85"/>
      <c r="AS592" s="85"/>
      <c r="AT592" s="85"/>
      <c r="AU592" s="85"/>
      <c r="AV592" s="85"/>
      <c r="AW592" s="85"/>
    </row>
    <row r="593" spans="1:49" ht="31.5" x14ac:dyDescent="0.25">
      <c r="A593" s="56" t="s">
        <v>106</v>
      </c>
      <c r="B593" s="59">
        <v>46051</v>
      </c>
      <c r="C593" s="59">
        <v>46051</v>
      </c>
      <c r="D593" s="56" t="s">
        <v>207</v>
      </c>
      <c r="E593" s="62">
        <v>0.54166666666666663</v>
      </c>
      <c r="F593" s="62">
        <v>0.66666666666666663</v>
      </c>
      <c r="G593" s="62">
        <v>3.4722222222222218E-4</v>
      </c>
      <c r="H593" s="56" t="s">
        <v>107</v>
      </c>
      <c r="I593" s="66">
        <v>0.57594062499999998</v>
      </c>
      <c r="J593" s="56" t="s">
        <v>105</v>
      </c>
      <c r="K593" s="56" t="s">
        <v>153</v>
      </c>
      <c r="L593" s="68">
        <v>1</v>
      </c>
      <c r="M593" s="68">
        <v>58165</v>
      </c>
      <c r="N593" s="56" t="s">
        <v>53</v>
      </c>
      <c r="O593" s="68" t="s">
        <v>108</v>
      </c>
      <c r="P593" s="70">
        <v>42.352941176470587</v>
      </c>
      <c r="Q593" s="68"/>
      <c r="R593" s="70">
        <v>42.352941176470587</v>
      </c>
      <c r="S593" s="73">
        <v>46054</v>
      </c>
      <c r="T593" s="70">
        <v>6.3529411764705879</v>
      </c>
      <c r="U593" s="74">
        <v>4</v>
      </c>
      <c r="V593" s="70">
        <v>36</v>
      </c>
      <c r="W593" s="56" t="s">
        <v>34</v>
      </c>
      <c r="X593" s="56" t="s">
        <v>48</v>
      </c>
      <c r="Y593" s="56" t="s">
        <v>36</v>
      </c>
      <c r="Z593" s="56" t="s">
        <v>9</v>
      </c>
      <c r="AA593" s="56" t="s">
        <v>49</v>
      </c>
      <c r="AB593" s="56" t="s">
        <v>109</v>
      </c>
      <c r="AC593" s="56" t="s">
        <v>38</v>
      </c>
      <c r="AD593" s="75" t="s">
        <v>267</v>
      </c>
      <c r="AE593" s="76"/>
      <c r="AF593" s="76"/>
      <c r="AG593" s="76"/>
      <c r="AH593" s="76"/>
      <c r="AI593" s="85"/>
      <c r="AJ593" s="85"/>
      <c r="AK593" s="85"/>
      <c r="AL593" s="85"/>
      <c r="AM593" s="85"/>
      <c r="AN593" s="85"/>
      <c r="AO593" s="85"/>
      <c r="AP593" s="85"/>
      <c r="AQ593" s="85"/>
      <c r="AR593" s="85"/>
      <c r="AS593" s="85"/>
      <c r="AT593" s="85"/>
      <c r="AU593" s="85"/>
      <c r="AV593" s="85"/>
      <c r="AW593" s="85"/>
    </row>
    <row r="594" spans="1:49" ht="31.5" x14ac:dyDescent="0.25">
      <c r="A594" s="56" t="s">
        <v>106</v>
      </c>
      <c r="B594" s="59">
        <v>46051</v>
      </c>
      <c r="C594" s="59">
        <v>46051</v>
      </c>
      <c r="D594" s="56" t="s">
        <v>207</v>
      </c>
      <c r="E594" s="62">
        <v>0.54166666666666663</v>
      </c>
      <c r="F594" s="62">
        <v>0.66666666666666663</v>
      </c>
      <c r="G594" s="62">
        <v>3.4722222222222218E-4</v>
      </c>
      <c r="H594" s="56" t="s">
        <v>107</v>
      </c>
      <c r="I594" s="66">
        <v>0.59101944444444443</v>
      </c>
      <c r="J594" s="56" t="s">
        <v>105</v>
      </c>
      <c r="K594" s="56" t="s">
        <v>154</v>
      </c>
      <c r="L594" s="68">
        <v>1</v>
      </c>
      <c r="M594" s="68">
        <v>58165</v>
      </c>
      <c r="N594" s="56" t="s">
        <v>53</v>
      </c>
      <c r="O594" s="68" t="s">
        <v>108</v>
      </c>
      <c r="P594" s="70">
        <v>42.352941176470587</v>
      </c>
      <c r="Q594" s="68"/>
      <c r="R594" s="70">
        <v>42.352941176470587</v>
      </c>
      <c r="S594" s="73">
        <v>46054</v>
      </c>
      <c r="T594" s="70">
        <v>6.3529411764705879</v>
      </c>
      <c r="U594" s="74">
        <v>4</v>
      </c>
      <c r="V594" s="70">
        <v>36</v>
      </c>
      <c r="W594" s="56" t="s">
        <v>34</v>
      </c>
      <c r="X594" s="56" t="s">
        <v>48</v>
      </c>
      <c r="Y594" s="56" t="s">
        <v>36</v>
      </c>
      <c r="Z594" s="56" t="s">
        <v>9</v>
      </c>
      <c r="AA594" s="56" t="s">
        <v>49</v>
      </c>
      <c r="AB594" s="56" t="s">
        <v>109</v>
      </c>
      <c r="AC594" s="56" t="s">
        <v>38</v>
      </c>
      <c r="AD594" s="75" t="s">
        <v>267</v>
      </c>
      <c r="AE594" s="76"/>
      <c r="AF594" s="76"/>
      <c r="AG594" s="76"/>
      <c r="AH594" s="76"/>
      <c r="AI594" s="85"/>
      <c r="AJ594" s="85"/>
      <c r="AK594" s="85"/>
      <c r="AL594" s="85"/>
      <c r="AM594" s="85"/>
      <c r="AN594" s="85"/>
      <c r="AO594" s="85"/>
      <c r="AP594" s="85"/>
      <c r="AQ594" s="85"/>
      <c r="AR594" s="85"/>
      <c r="AS594" s="85"/>
      <c r="AT594" s="85"/>
      <c r="AU594" s="85"/>
      <c r="AV594" s="85"/>
      <c r="AW594" s="85"/>
    </row>
    <row r="595" spans="1:49" ht="31.5" x14ac:dyDescent="0.2">
      <c r="A595" s="56" t="s">
        <v>106</v>
      </c>
      <c r="B595" s="59">
        <v>46051</v>
      </c>
      <c r="C595" s="59">
        <v>46051</v>
      </c>
      <c r="D595" s="56" t="s">
        <v>207</v>
      </c>
      <c r="E595" s="62">
        <v>0.54166666666666663</v>
      </c>
      <c r="F595" s="62">
        <v>0.66666666666666663</v>
      </c>
      <c r="G595" s="62">
        <v>3.4722222222222218E-4</v>
      </c>
      <c r="H595" s="56" t="s">
        <v>107</v>
      </c>
      <c r="I595" s="66">
        <v>0.6383244212962963</v>
      </c>
      <c r="J595" s="56" t="s">
        <v>105</v>
      </c>
      <c r="K595" s="56" t="s">
        <v>154</v>
      </c>
      <c r="L595" s="68">
        <v>1</v>
      </c>
      <c r="M595" s="68">
        <v>58167</v>
      </c>
      <c r="N595" s="56" t="s">
        <v>46</v>
      </c>
      <c r="O595" s="68" t="s">
        <v>108</v>
      </c>
      <c r="P595" s="70">
        <v>0</v>
      </c>
      <c r="Q595" s="68"/>
      <c r="R595" s="70">
        <v>0</v>
      </c>
      <c r="S595" s="73">
        <v>46054</v>
      </c>
      <c r="T595" s="70">
        <v>0</v>
      </c>
      <c r="U595" s="74">
        <v>4</v>
      </c>
      <c r="V595" s="70">
        <v>0</v>
      </c>
      <c r="W595" s="56" t="s">
        <v>34</v>
      </c>
      <c r="X595" s="56" t="s">
        <v>48</v>
      </c>
      <c r="Y595" s="56" t="s">
        <v>36</v>
      </c>
      <c r="Z595" s="56" t="s">
        <v>9</v>
      </c>
      <c r="AA595" s="56" t="s">
        <v>49</v>
      </c>
      <c r="AB595" s="56" t="s">
        <v>109</v>
      </c>
      <c r="AC595" s="56" t="s">
        <v>38</v>
      </c>
      <c r="AD595" s="75" t="s">
        <v>267</v>
      </c>
      <c r="AE595" s="57"/>
      <c r="AF595" s="57"/>
      <c r="AG595" s="57"/>
      <c r="AH595" s="57"/>
      <c r="AI595" s="57"/>
      <c r="AJ595" s="57"/>
      <c r="AK595" s="57"/>
      <c r="AL595" s="57"/>
      <c r="AM595" s="57"/>
      <c r="AN595" s="57"/>
      <c r="AO595" s="57"/>
      <c r="AP595" s="57"/>
      <c r="AQ595" s="57"/>
      <c r="AR595" s="57"/>
      <c r="AS595" s="57"/>
      <c r="AT595" s="57"/>
      <c r="AU595" s="57"/>
      <c r="AV595" s="57"/>
      <c r="AW595" s="57"/>
    </row>
    <row r="596" spans="1:49" ht="31.5" x14ac:dyDescent="0.25">
      <c r="A596" s="56" t="s">
        <v>106</v>
      </c>
      <c r="B596" s="59">
        <v>46051</v>
      </c>
      <c r="C596" s="59">
        <v>46051</v>
      </c>
      <c r="D596" s="56" t="s">
        <v>207</v>
      </c>
      <c r="E596" s="62">
        <v>0.54166666666666663</v>
      </c>
      <c r="F596" s="62">
        <v>0.66666666666666663</v>
      </c>
      <c r="G596" s="62">
        <v>3.4722222222222218E-4</v>
      </c>
      <c r="H596" s="56" t="s">
        <v>107</v>
      </c>
      <c r="I596" s="66">
        <v>0.65026631944444446</v>
      </c>
      <c r="J596" s="56" t="s">
        <v>105</v>
      </c>
      <c r="K596" s="56" t="s">
        <v>154</v>
      </c>
      <c r="L596" s="68">
        <v>1</v>
      </c>
      <c r="M596" s="68">
        <v>58165</v>
      </c>
      <c r="N596" s="56" t="s">
        <v>53</v>
      </c>
      <c r="O596" s="68" t="s">
        <v>108</v>
      </c>
      <c r="P596" s="70">
        <v>42.352941176470587</v>
      </c>
      <c r="Q596" s="68"/>
      <c r="R596" s="70">
        <v>42.352941176470587</v>
      </c>
      <c r="S596" s="73">
        <v>46054</v>
      </c>
      <c r="T596" s="70">
        <v>6.3529411764705879</v>
      </c>
      <c r="U596" s="74">
        <v>4</v>
      </c>
      <c r="V596" s="70">
        <v>36</v>
      </c>
      <c r="W596" s="56" t="s">
        <v>34</v>
      </c>
      <c r="X596" s="56" t="s">
        <v>48</v>
      </c>
      <c r="Y596" s="56" t="s">
        <v>36</v>
      </c>
      <c r="Z596" s="56" t="s">
        <v>9</v>
      </c>
      <c r="AA596" s="56" t="s">
        <v>49</v>
      </c>
      <c r="AB596" s="56" t="s">
        <v>109</v>
      </c>
      <c r="AC596" s="56" t="s">
        <v>38</v>
      </c>
      <c r="AD596" s="75" t="s">
        <v>267</v>
      </c>
      <c r="AE596" s="76"/>
      <c r="AF596" s="76"/>
      <c r="AG596" s="76"/>
      <c r="AH596" s="76"/>
      <c r="AI596" s="85"/>
      <c r="AJ596" s="85"/>
      <c r="AK596" s="85"/>
      <c r="AL596" s="85"/>
      <c r="AM596" s="85"/>
      <c r="AN596" s="85"/>
      <c r="AO596" s="85"/>
      <c r="AP596" s="85"/>
      <c r="AQ596" s="85"/>
      <c r="AR596" s="85"/>
      <c r="AS596" s="85"/>
      <c r="AT596" s="85"/>
      <c r="AU596" s="85"/>
      <c r="AV596" s="85"/>
      <c r="AW596" s="85"/>
    </row>
    <row r="597" spans="1:49" ht="31.5" x14ac:dyDescent="0.25">
      <c r="A597" s="56" t="s">
        <v>106</v>
      </c>
      <c r="B597" s="59">
        <v>46051</v>
      </c>
      <c r="C597" s="59">
        <v>46051</v>
      </c>
      <c r="D597" s="56" t="s">
        <v>207</v>
      </c>
      <c r="E597" s="62">
        <v>0.54166666666666663</v>
      </c>
      <c r="F597" s="62">
        <v>0.66666666666666663</v>
      </c>
      <c r="G597" s="62">
        <v>3.4722222222222218E-4</v>
      </c>
      <c r="H597" s="56" t="s">
        <v>107</v>
      </c>
      <c r="I597" s="66">
        <v>0.66595034722222224</v>
      </c>
      <c r="J597" s="56" t="s">
        <v>105</v>
      </c>
      <c r="K597" s="56" t="s">
        <v>154</v>
      </c>
      <c r="L597" s="68">
        <v>1</v>
      </c>
      <c r="M597" s="68">
        <v>58165</v>
      </c>
      <c r="N597" s="56" t="s">
        <v>53</v>
      </c>
      <c r="O597" s="68" t="s">
        <v>108</v>
      </c>
      <c r="P597" s="70">
        <v>42.352941176470587</v>
      </c>
      <c r="Q597" s="68"/>
      <c r="R597" s="70">
        <v>42.352941176470587</v>
      </c>
      <c r="S597" s="73">
        <v>46054</v>
      </c>
      <c r="T597" s="70">
        <v>6.3529411764705879</v>
      </c>
      <c r="U597" s="74">
        <v>4</v>
      </c>
      <c r="V597" s="70">
        <v>36</v>
      </c>
      <c r="W597" s="56" t="s">
        <v>34</v>
      </c>
      <c r="X597" s="56" t="s">
        <v>48</v>
      </c>
      <c r="Y597" s="56" t="s">
        <v>36</v>
      </c>
      <c r="Z597" s="56" t="s">
        <v>9</v>
      </c>
      <c r="AA597" s="56" t="s">
        <v>49</v>
      </c>
      <c r="AB597" s="56" t="s">
        <v>109</v>
      </c>
      <c r="AC597" s="56" t="s">
        <v>38</v>
      </c>
      <c r="AD597" s="75" t="s">
        <v>267</v>
      </c>
      <c r="AE597" s="76"/>
      <c r="AF597" s="76"/>
      <c r="AG597" s="76"/>
      <c r="AH597" s="76"/>
      <c r="AI597" s="85"/>
      <c r="AJ597" s="85"/>
      <c r="AK597" s="85"/>
      <c r="AL597" s="85"/>
      <c r="AM597" s="85"/>
      <c r="AN597" s="85"/>
      <c r="AO597" s="85"/>
      <c r="AP597" s="85"/>
      <c r="AQ597" s="85"/>
      <c r="AR597" s="85"/>
      <c r="AS597" s="85"/>
      <c r="AT597" s="85"/>
      <c r="AU597" s="85"/>
      <c r="AV597" s="85"/>
      <c r="AW597" s="85"/>
    </row>
    <row r="598" spans="1:49" ht="31.5" x14ac:dyDescent="0.25">
      <c r="A598" s="56" t="s">
        <v>106</v>
      </c>
      <c r="B598" s="59">
        <v>46052</v>
      </c>
      <c r="C598" s="59">
        <v>46052</v>
      </c>
      <c r="D598" s="56" t="s">
        <v>217</v>
      </c>
      <c r="E598" s="62">
        <v>0.54166666666666663</v>
      </c>
      <c r="F598" s="62">
        <v>0.66666666666666663</v>
      </c>
      <c r="G598" s="62">
        <v>3.4722222222222218E-4</v>
      </c>
      <c r="H598" s="56" t="s">
        <v>107</v>
      </c>
      <c r="I598" s="66">
        <v>0.54747696759259257</v>
      </c>
      <c r="J598" s="56" t="s">
        <v>105</v>
      </c>
      <c r="K598" s="56" t="s">
        <v>152</v>
      </c>
      <c r="L598" s="68">
        <v>1</v>
      </c>
      <c r="M598" s="68">
        <v>58167</v>
      </c>
      <c r="N598" s="56" t="s">
        <v>46</v>
      </c>
      <c r="O598" s="68" t="s">
        <v>108</v>
      </c>
      <c r="P598" s="70">
        <v>0</v>
      </c>
      <c r="Q598" s="68"/>
      <c r="R598" s="70">
        <v>0</v>
      </c>
      <c r="S598" s="73">
        <v>46054</v>
      </c>
      <c r="T598" s="70">
        <v>0</v>
      </c>
      <c r="U598" s="74">
        <v>4</v>
      </c>
      <c r="V598" s="70">
        <v>0</v>
      </c>
      <c r="W598" s="56" t="s">
        <v>34</v>
      </c>
      <c r="X598" s="56" t="s">
        <v>48</v>
      </c>
      <c r="Y598" s="56" t="s">
        <v>36</v>
      </c>
      <c r="Z598" s="56" t="s">
        <v>9</v>
      </c>
      <c r="AA598" s="56" t="s">
        <v>49</v>
      </c>
      <c r="AB598" s="56" t="s">
        <v>109</v>
      </c>
      <c r="AC598" s="56" t="s">
        <v>38</v>
      </c>
      <c r="AD598" s="75" t="s">
        <v>267</v>
      </c>
      <c r="AE598" s="76"/>
      <c r="AF598" s="76"/>
      <c r="AG598" s="76"/>
      <c r="AH598" s="76"/>
      <c r="AI598" s="76"/>
      <c r="AJ598" s="76"/>
      <c r="AK598" s="76"/>
      <c r="AL598" s="76"/>
      <c r="AM598" s="76"/>
      <c r="AN598" s="76"/>
      <c r="AO598" s="76"/>
      <c r="AP598" s="76"/>
      <c r="AQ598" s="76"/>
      <c r="AR598" s="76"/>
      <c r="AS598" s="76"/>
      <c r="AT598" s="76"/>
      <c r="AU598" s="76"/>
      <c r="AV598" s="76"/>
      <c r="AW598" s="76"/>
    </row>
    <row r="599" spans="1:49" ht="31.5" x14ac:dyDescent="0.25">
      <c r="A599" s="56" t="s">
        <v>106</v>
      </c>
      <c r="B599" s="59">
        <v>46052</v>
      </c>
      <c r="C599" s="59">
        <v>46052</v>
      </c>
      <c r="D599" s="56" t="s">
        <v>217</v>
      </c>
      <c r="E599" s="62">
        <v>0.54166666666666663</v>
      </c>
      <c r="F599" s="62">
        <v>0.66666666666666663</v>
      </c>
      <c r="G599" s="62">
        <v>3.4722222222222218E-4</v>
      </c>
      <c r="H599" s="56" t="s">
        <v>107</v>
      </c>
      <c r="I599" s="66">
        <v>0.56185231481481479</v>
      </c>
      <c r="J599" s="56" t="s">
        <v>105</v>
      </c>
      <c r="K599" s="56" t="s">
        <v>152</v>
      </c>
      <c r="L599" s="68">
        <v>1</v>
      </c>
      <c r="M599" s="68">
        <v>58165</v>
      </c>
      <c r="N599" s="56" t="s">
        <v>53</v>
      </c>
      <c r="O599" s="68" t="s">
        <v>108</v>
      </c>
      <c r="P599" s="70">
        <v>42.352941176470587</v>
      </c>
      <c r="Q599" s="68"/>
      <c r="R599" s="70">
        <v>42.352941176470587</v>
      </c>
      <c r="S599" s="73">
        <v>46054</v>
      </c>
      <c r="T599" s="70">
        <v>6.3529411764705879</v>
      </c>
      <c r="U599" s="74">
        <v>4</v>
      </c>
      <c r="V599" s="70">
        <v>36</v>
      </c>
      <c r="W599" s="56" t="s">
        <v>34</v>
      </c>
      <c r="X599" s="56" t="s">
        <v>48</v>
      </c>
      <c r="Y599" s="56" t="s">
        <v>36</v>
      </c>
      <c r="Z599" s="56" t="s">
        <v>9</v>
      </c>
      <c r="AA599" s="56" t="s">
        <v>49</v>
      </c>
      <c r="AB599" s="56" t="s">
        <v>109</v>
      </c>
      <c r="AC599" s="56" t="s">
        <v>38</v>
      </c>
      <c r="AD599" s="75" t="s">
        <v>267</v>
      </c>
      <c r="AE599" s="76"/>
      <c r="AF599" s="76"/>
      <c r="AG599" s="76"/>
      <c r="AH599" s="76"/>
      <c r="AI599" s="76"/>
      <c r="AJ599" s="76"/>
      <c r="AK599" s="76"/>
      <c r="AL599" s="76"/>
      <c r="AM599" s="76"/>
      <c r="AN599" s="76"/>
      <c r="AO599" s="76"/>
      <c r="AP599" s="76"/>
      <c r="AQ599" s="76"/>
      <c r="AR599" s="76"/>
      <c r="AS599" s="76"/>
      <c r="AT599" s="76"/>
      <c r="AU599" s="76"/>
      <c r="AV599" s="76"/>
      <c r="AW599" s="76"/>
    </row>
    <row r="600" spans="1:49" ht="31.5" x14ac:dyDescent="0.2">
      <c r="A600" s="56" t="s">
        <v>106</v>
      </c>
      <c r="B600" s="59">
        <v>46052</v>
      </c>
      <c r="C600" s="59">
        <v>46052</v>
      </c>
      <c r="D600" s="56" t="s">
        <v>217</v>
      </c>
      <c r="E600" s="62">
        <v>0.54166666666666663</v>
      </c>
      <c r="F600" s="62">
        <v>0.66666666666666663</v>
      </c>
      <c r="G600" s="62">
        <v>3.4722222222222218E-4</v>
      </c>
      <c r="H600" s="56" t="s">
        <v>107</v>
      </c>
      <c r="I600" s="66">
        <v>0.5822811342592592</v>
      </c>
      <c r="J600" s="56" t="s">
        <v>105</v>
      </c>
      <c r="K600" s="56" t="s">
        <v>153</v>
      </c>
      <c r="L600" s="68">
        <v>1</v>
      </c>
      <c r="M600" s="68">
        <v>58165</v>
      </c>
      <c r="N600" s="56" t="s">
        <v>53</v>
      </c>
      <c r="O600" s="68" t="s">
        <v>108</v>
      </c>
      <c r="P600" s="70">
        <v>42.352941176470587</v>
      </c>
      <c r="Q600" s="68"/>
      <c r="R600" s="70">
        <v>42.352941176470587</v>
      </c>
      <c r="S600" s="73">
        <v>46054</v>
      </c>
      <c r="T600" s="70">
        <v>6.3529411764705879</v>
      </c>
      <c r="U600" s="74">
        <v>4</v>
      </c>
      <c r="V600" s="70">
        <v>36</v>
      </c>
      <c r="W600" s="56" t="s">
        <v>34</v>
      </c>
      <c r="X600" s="56" t="s">
        <v>48</v>
      </c>
      <c r="Y600" s="56" t="s">
        <v>36</v>
      </c>
      <c r="Z600" s="56" t="s">
        <v>9</v>
      </c>
      <c r="AA600" s="56" t="s">
        <v>49</v>
      </c>
      <c r="AB600" s="56" t="s">
        <v>109</v>
      </c>
      <c r="AC600" s="56" t="s">
        <v>38</v>
      </c>
      <c r="AD600" s="75" t="s">
        <v>267</v>
      </c>
      <c r="AE600" s="57"/>
      <c r="AF600" s="57"/>
      <c r="AG600" s="57"/>
      <c r="AH600" s="57"/>
      <c r="AI600" s="57"/>
      <c r="AJ600" s="57"/>
      <c r="AK600" s="57"/>
      <c r="AL600" s="57"/>
      <c r="AM600" s="57"/>
      <c r="AN600" s="57"/>
      <c r="AO600" s="57"/>
      <c r="AP600" s="57"/>
      <c r="AQ600" s="57"/>
      <c r="AR600" s="57"/>
      <c r="AS600" s="57"/>
      <c r="AT600" s="57"/>
      <c r="AU600" s="57"/>
      <c r="AV600" s="57"/>
      <c r="AW600" s="57"/>
    </row>
    <row r="601" spans="1:49" ht="31.5" x14ac:dyDescent="0.25">
      <c r="A601" s="56" t="s">
        <v>106</v>
      </c>
      <c r="B601" s="59">
        <v>46052</v>
      </c>
      <c r="C601" s="59">
        <v>46052</v>
      </c>
      <c r="D601" s="56" t="s">
        <v>217</v>
      </c>
      <c r="E601" s="62">
        <v>0.54166666666666663</v>
      </c>
      <c r="F601" s="62">
        <v>0.66666666666666663</v>
      </c>
      <c r="G601" s="62">
        <v>3.4722222222222218E-4</v>
      </c>
      <c r="H601" s="56" t="s">
        <v>107</v>
      </c>
      <c r="I601" s="66">
        <v>0.59806840277777773</v>
      </c>
      <c r="J601" s="56" t="s">
        <v>105</v>
      </c>
      <c r="K601" s="56" t="s">
        <v>154</v>
      </c>
      <c r="L601" s="68">
        <v>1</v>
      </c>
      <c r="M601" s="68">
        <v>58165</v>
      </c>
      <c r="N601" s="56" t="s">
        <v>53</v>
      </c>
      <c r="O601" s="68" t="s">
        <v>108</v>
      </c>
      <c r="P601" s="70">
        <v>42.352941176470587</v>
      </c>
      <c r="Q601" s="68"/>
      <c r="R601" s="70">
        <v>42.352941176470587</v>
      </c>
      <c r="S601" s="73">
        <v>46054</v>
      </c>
      <c r="T601" s="70">
        <v>6.3529411764705879</v>
      </c>
      <c r="U601" s="74">
        <v>4</v>
      </c>
      <c r="V601" s="70">
        <v>36</v>
      </c>
      <c r="W601" s="56" t="s">
        <v>34</v>
      </c>
      <c r="X601" s="56" t="s">
        <v>48</v>
      </c>
      <c r="Y601" s="56" t="s">
        <v>36</v>
      </c>
      <c r="Z601" s="56" t="s">
        <v>9</v>
      </c>
      <c r="AA601" s="56" t="s">
        <v>49</v>
      </c>
      <c r="AB601" s="56" t="s">
        <v>109</v>
      </c>
      <c r="AC601" s="56" t="s">
        <v>38</v>
      </c>
      <c r="AD601" s="75" t="s">
        <v>267</v>
      </c>
      <c r="AE601" s="76"/>
      <c r="AF601" s="76"/>
      <c r="AG601" s="76"/>
      <c r="AH601" s="76"/>
      <c r="AI601" s="85"/>
      <c r="AJ601" s="85"/>
      <c r="AK601" s="85"/>
      <c r="AL601" s="85"/>
      <c r="AM601" s="85"/>
      <c r="AN601" s="85"/>
      <c r="AO601" s="85"/>
      <c r="AP601" s="85"/>
      <c r="AQ601" s="85"/>
      <c r="AR601" s="85"/>
      <c r="AS601" s="85"/>
      <c r="AT601" s="85"/>
      <c r="AU601" s="85"/>
      <c r="AV601" s="85"/>
      <c r="AW601" s="85"/>
    </row>
    <row r="602" spans="1:49" ht="31.5" x14ac:dyDescent="0.25">
      <c r="A602" s="56" t="s">
        <v>106</v>
      </c>
      <c r="B602" s="59">
        <v>46052</v>
      </c>
      <c r="C602" s="59">
        <v>46052</v>
      </c>
      <c r="D602" s="56" t="s">
        <v>217</v>
      </c>
      <c r="E602" s="62">
        <v>0.54166666666666663</v>
      </c>
      <c r="F602" s="62">
        <v>0.66666666666666663</v>
      </c>
      <c r="G602" s="62">
        <v>3.4722222222222218E-4</v>
      </c>
      <c r="H602" s="56" t="s">
        <v>107</v>
      </c>
      <c r="I602" s="66">
        <v>0.60774386574074069</v>
      </c>
      <c r="J602" s="56" t="s">
        <v>105</v>
      </c>
      <c r="K602" s="56" t="s">
        <v>154</v>
      </c>
      <c r="L602" s="68">
        <v>1</v>
      </c>
      <c r="M602" s="68">
        <v>58165</v>
      </c>
      <c r="N602" s="56" t="s">
        <v>53</v>
      </c>
      <c r="O602" s="68" t="s">
        <v>108</v>
      </c>
      <c r="P602" s="70">
        <v>42.352941176470587</v>
      </c>
      <c r="Q602" s="68"/>
      <c r="R602" s="70">
        <v>42.352941176470587</v>
      </c>
      <c r="S602" s="73">
        <v>46054</v>
      </c>
      <c r="T602" s="70">
        <v>6.3529411764705879</v>
      </c>
      <c r="U602" s="74">
        <v>4</v>
      </c>
      <c r="V602" s="70">
        <v>36</v>
      </c>
      <c r="W602" s="56" t="s">
        <v>34</v>
      </c>
      <c r="X602" s="56" t="s">
        <v>48</v>
      </c>
      <c r="Y602" s="56" t="s">
        <v>36</v>
      </c>
      <c r="Z602" s="56" t="s">
        <v>9</v>
      </c>
      <c r="AA602" s="56" t="s">
        <v>49</v>
      </c>
      <c r="AB602" s="56" t="s">
        <v>109</v>
      </c>
      <c r="AC602" s="56" t="s">
        <v>38</v>
      </c>
      <c r="AD602" s="75" t="s">
        <v>267</v>
      </c>
      <c r="AE602" s="76"/>
      <c r="AF602" s="76"/>
      <c r="AG602" s="76"/>
      <c r="AH602" s="76"/>
      <c r="AI602" s="85"/>
      <c r="AJ602" s="85"/>
      <c r="AK602" s="85"/>
      <c r="AL602" s="85"/>
      <c r="AM602" s="85"/>
      <c r="AN602" s="85"/>
      <c r="AO602" s="85"/>
      <c r="AP602" s="85"/>
      <c r="AQ602" s="85"/>
      <c r="AR602" s="85"/>
      <c r="AS602" s="85"/>
      <c r="AT602" s="85"/>
      <c r="AU602" s="85"/>
      <c r="AV602" s="85"/>
      <c r="AW602" s="85"/>
    </row>
    <row r="603" spans="1:49" ht="31.5" x14ac:dyDescent="0.25">
      <c r="A603" s="56" t="s">
        <v>106</v>
      </c>
      <c r="B603" s="59">
        <v>46052</v>
      </c>
      <c r="C603" s="59">
        <v>46052</v>
      </c>
      <c r="D603" s="56" t="s">
        <v>217</v>
      </c>
      <c r="E603" s="62">
        <v>0.54166666666666663</v>
      </c>
      <c r="F603" s="62">
        <v>0.66666666666666663</v>
      </c>
      <c r="G603" s="62">
        <v>3.4722222222222218E-4</v>
      </c>
      <c r="H603" s="56" t="s">
        <v>107</v>
      </c>
      <c r="I603" s="66">
        <v>0.62345231481481478</v>
      </c>
      <c r="J603" s="56" t="s">
        <v>105</v>
      </c>
      <c r="K603" s="56" t="s">
        <v>154</v>
      </c>
      <c r="L603" s="68">
        <v>1</v>
      </c>
      <c r="M603" s="68">
        <v>58165</v>
      </c>
      <c r="N603" s="56" t="s">
        <v>53</v>
      </c>
      <c r="O603" s="68" t="s">
        <v>108</v>
      </c>
      <c r="P603" s="70">
        <v>42.352941176470587</v>
      </c>
      <c r="Q603" s="68"/>
      <c r="R603" s="70">
        <v>42.352941176470587</v>
      </c>
      <c r="S603" s="73">
        <v>46054</v>
      </c>
      <c r="T603" s="70">
        <v>6.3529411764705879</v>
      </c>
      <c r="U603" s="74">
        <v>4</v>
      </c>
      <c r="V603" s="70">
        <v>36</v>
      </c>
      <c r="W603" s="56" t="s">
        <v>34</v>
      </c>
      <c r="X603" s="56" t="s">
        <v>48</v>
      </c>
      <c r="Y603" s="56" t="s">
        <v>36</v>
      </c>
      <c r="Z603" s="56" t="s">
        <v>9</v>
      </c>
      <c r="AA603" s="56" t="s">
        <v>49</v>
      </c>
      <c r="AB603" s="56" t="s">
        <v>109</v>
      </c>
      <c r="AC603" s="56" t="s">
        <v>38</v>
      </c>
      <c r="AD603" s="75" t="s">
        <v>267</v>
      </c>
      <c r="AE603" s="76"/>
      <c r="AF603" s="76"/>
      <c r="AG603" s="76"/>
      <c r="AH603" s="76"/>
      <c r="AI603" s="85"/>
      <c r="AJ603" s="85"/>
      <c r="AK603" s="85"/>
      <c r="AL603" s="85"/>
      <c r="AM603" s="85"/>
      <c r="AN603" s="85"/>
      <c r="AO603" s="85"/>
      <c r="AP603" s="85"/>
      <c r="AQ603" s="85"/>
      <c r="AR603" s="85"/>
      <c r="AS603" s="85"/>
      <c r="AT603" s="85"/>
      <c r="AU603" s="85"/>
      <c r="AV603" s="85"/>
      <c r="AW603" s="85"/>
    </row>
    <row r="604" spans="1:49" ht="31.5" x14ac:dyDescent="0.2">
      <c r="A604" s="56" t="s">
        <v>106</v>
      </c>
      <c r="B604" s="59">
        <v>46052</v>
      </c>
      <c r="C604" s="59">
        <v>46052</v>
      </c>
      <c r="D604" s="56" t="s">
        <v>217</v>
      </c>
      <c r="E604" s="62">
        <v>0.54166666666666663</v>
      </c>
      <c r="F604" s="62">
        <v>0.66666666666666663</v>
      </c>
      <c r="G604" s="62">
        <v>3.4722222222222218E-4</v>
      </c>
      <c r="H604" s="56" t="s">
        <v>107</v>
      </c>
      <c r="I604" s="66">
        <v>0.63389120370370367</v>
      </c>
      <c r="J604" s="56" t="s">
        <v>105</v>
      </c>
      <c r="K604" s="56" t="s">
        <v>154</v>
      </c>
      <c r="L604" s="68">
        <v>1</v>
      </c>
      <c r="M604" s="68">
        <v>58165</v>
      </c>
      <c r="N604" s="56" t="s">
        <v>53</v>
      </c>
      <c r="O604" s="68" t="s">
        <v>108</v>
      </c>
      <c r="P604" s="70">
        <v>42.352941176470587</v>
      </c>
      <c r="Q604" s="68"/>
      <c r="R604" s="70">
        <v>42.352941176470587</v>
      </c>
      <c r="S604" s="73">
        <v>46054</v>
      </c>
      <c r="T604" s="70">
        <v>6.3529411764705879</v>
      </c>
      <c r="U604" s="74">
        <v>4</v>
      </c>
      <c r="V604" s="70">
        <v>36</v>
      </c>
      <c r="W604" s="56" t="s">
        <v>34</v>
      </c>
      <c r="X604" s="56" t="s">
        <v>48</v>
      </c>
      <c r="Y604" s="56" t="s">
        <v>36</v>
      </c>
      <c r="Z604" s="56" t="s">
        <v>9</v>
      </c>
      <c r="AA604" s="56" t="s">
        <v>49</v>
      </c>
      <c r="AB604" s="56" t="s">
        <v>109</v>
      </c>
      <c r="AC604" s="56" t="s">
        <v>38</v>
      </c>
      <c r="AD604" s="75" t="s">
        <v>267</v>
      </c>
      <c r="AE604" s="57"/>
      <c r="AF604" s="57"/>
      <c r="AG604" s="57"/>
      <c r="AH604" s="57"/>
      <c r="AI604" s="57"/>
      <c r="AJ604" s="57"/>
      <c r="AK604" s="57"/>
      <c r="AL604" s="57"/>
      <c r="AM604" s="57"/>
      <c r="AN604" s="57"/>
      <c r="AO604" s="57"/>
      <c r="AP604" s="57"/>
      <c r="AQ604" s="57"/>
      <c r="AR604" s="57"/>
      <c r="AS604" s="57"/>
      <c r="AT604" s="57"/>
      <c r="AU604" s="57"/>
      <c r="AV604" s="57"/>
      <c r="AW604" s="57"/>
    </row>
    <row r="605" spans="1:49" ht="31.5" x14ac:dyDescent="0.25">
      <c r="A605" s="56" t="s">
        <v>106</v>
      </c>
      <c r="B605" s="59">
        <v>46053</v>
      </c>
      <c r="C605" s="59">
        <v>46053</v>
      </c>
      <c r="D605" s="56" t="s">
        <v>224</v>
      </c>
      <c r="E605" s="62">
        <v>0.54166666666666663</v>
      </c>
      <c r="F605" s="62">
        <v>0.66666666666666663</v>
      </c>
      <c r="G605" s="62">
        <v>3.4722222222222218E-4</v>
      </c>
      <c r="H605" s="56" t="s">
        <v>107</v>
      </c>
      <c r="I605" s="66">
        <v>0.56952800925925928</v>
      </c>
      <c r="J605" s="56" t="s">
        <v>105</v>
      </c>
      <c r="K605" s="56" t="s">
        <v>248</v>
      </c>
      <c r="L605" s="68">
        <v>1</v>
      </c>
      <c r="M605" s="68">
        <v>58166</v>
      </c>
      <c r="N605" s="56" t="s">
        <v>53</v>
      </c>
      <c r="O605" s="68" t="s">
        <v>108</v>
      </c>
      <c r="P605" s="70">
        <v>29.411764705882355</v>
      </c>
      <c r="Q605" s="68"/>
      <c r="R605" s="70">
        <v>29.411764705882355</v>
      </c>
      <c r="S605" s="73">
        <v>46054</v>
      </c>
      <c r="T605" s="70">
        <v>4.4117647058823533</v>
      </c>
      <c r="U605" s="74">
        <v>4</v>
      </c>
      <c r="V605" s="70">
        <v>25</v>
      </c>
      <c r="W605" s="56" t="s">
        <v>34</v>
      </c>
      <c r="X605" s="56" t="s">
        <v>48</v>
      </c>
      <c r="Y605" s="56" t="s">
        <v>36</v>
      </c>
      <c r="Z605" s="56" t="s">
        <v>9</v>
      </c>
      <c r="AA605" s="56" t="s">
        <v>49</v>
      </c>
      <c r="AB605" s="56" t="s">
        <v>109</v>
      </c>
      <c r="AC605" s="56" t="s">
        <v>38</v>
      </c>
      <c r="AD605" s="75" t="s">
        <v>267</v>
      </c>
      <c r="AE605" s="76"/>
      <c r="AF605" s="76"/>
      <c r="AG605" s="76"/>
      <c r="AH605" s="76"/>
      <c r="AI605" s="85"/>
      <c r="AJ605" s="85"/>
      <c r="AK605" s="85"/>
      <c r="AL605" s="85"/>
      <c r="AM605" s="85"/>
      <c r="AN605" s="85"/>
      <c r="AO605" s="85"/>
      <c r="AP605" s="85"/>
      <c r="AQ605" s="85"/>
      <c r="AR605" s="85"/>
      <c r="AS605" s="85"/>
      <c r="AT605" s="85"/>
      <c r="AU605" s="85"/>
      <c r="AV605" s="85"/>
      <c r="AW605" s="85"/>
    </row>
    <row r="606" spans="1:49" ht="31.5" x14ac:dyDescent="0.25">
      <c r="A606" s="56" t="s">
        <v>106</v>
      </c>
      <c r="B606" s="59">
        <v>46053</v>
      </c>
      <c r="C606" s="59">
        <v>46053</v>
      </c>
      <c r="D606" s="56" t="s">
        <v>224</v>
      </c>
      <c r="E606" s="62">
        <v>0.54166666666666663</v>
      </c>
      <c r="F606" s="62">
        <v>0.66666666666666663</v>
      </c>
      <c r="G606" s="62">
        <v>3.4722222222222218E-4</v>
      </c>
      <c r="H606" s="56" t="s">
        <v>107</v>
      </c>
      <c r="I606" s="66">
        <v>0.58426134259259255</v>
      </c>
      <c r="J606" s="56" t="s">
        <v>105</v>
      </c>
      <c r="K606" s="56" t="s">
        <v>248</v>
      </c>
      <c r="L606" s="68">
        <v>1</v>
      </c>
      <c r="M606" s="68">
        <v>58166</v>
      </c>
      <c r="N606" s="56" t="s">
        <v>53</v>
      </c>
      <c r="O606" s="68" t="s">
        <v>108</v>
      </c>
      <c r="P606" s="70">
        <v>29.411764705882355</v>
      </c>
      <c r="Q606" s="68"/>
      <c r="R606" s="70">
        <v>29.411764705882355</v>
      </c>
      <c r="S606" s="73">
        <v>46054</v>
      </c>
      <c r="T606" s="70">
        <v>4.4117647058823533</v>
      </c>
      <c r="U606" s="74">
        <v>4</v>
      </c>
      <c r="V606" s="70">
        <v>25</v>
      </c>
      <c r="W606" s="56" t="s">
        <v>34</v>
      </c>
      <c r="X606" s="56" t="s">
        <v>48</v>
      </c>
      <c r="Y606" s="56" t="s">
        <v>36</v>
      </c>
      <c r="Z606" s="56" t="s">
        <v>9</v>
      </c>
      <c r="AA606" s="56" t="s">
        <v>49</v>
      </c>
      <c r="AB606" s="56" t="s">
        <v>109</v>
      </c>
      <c r="AC606" s="56" t="s">
        <v>38</v>
      </c>
      <c r="AD606" s="75" t="s">
        <v>267</v>
      </c>
      <c r="AE606" s="76"/>
      <c r="AF606" s="76"/>
      <c r="AG606" s="76"/>
      <c r="AH606" s="76"/>
      <c r="AI606" s="85"/>
      <c r="AJ606" s="85"/>
      <c r="AK606" s="85"/>
      <c r="AL606" s="85"/>
      <c r="AM606" s="85"/>
      <c r="AN606" s="85"/>
      <c r="AO606" s="85"/>
      <c r="AP606" s="85"/>
      <c r="AQ606" s="85"/>
      <c r="AR606" s="85"/>
      <c r="AS606" s="85"/>
      <c r="AT606" s="85"/>
      <c r="AU606" s="85"/>
      <c r="AV606" s="85"/>
      <c r="AW606" s="85"/>
    </row>
    <row r="607" spans="1:49" ht="31.5" x14ac:dyDescent="0.25">
      <c r="A607" s="56" t="s">
        <v>106</v>
      </c>
      <c r="B607" s="59">
        <v>46053</v>
      </c>
      <c r="C607" s="59">
        <v>46053</v>
      </c>
      <c r="D607" s="56" t="s">
        <v>224</v>
      </c>
      <c r="E607" s="62">
        <v>0.54166666666666663</v>
      </c>
      <c r="F607" s="62">
        <v>0.66666666666666663</v>
      </c>
      <c r="G607" s="62">
        <v>3.4722222222222218E-4</v>
      </c>
      <c r="H607" s="56" t="s">
        <v>107</v>
      </c>
      <c r="I607" s="66">
        <v>0.62394907407407407</v>
      </c>
      <c r="J607" s="56" t="s">
        <v>105</v>
      </c>
      <c r="K607" s="56" t="s">
        <v>248</v>
      </c>
      <c r="L607" s="68">
        <v>1</v>
      </c>
      <c r="M607" s="68">
        <v>58166</v>
      </c>
      <c r="N607" s="56" t="s">
        <v>53</v>
      </c>
      <c r="O607" s="68" t="s">
        <v>108</v>
      </c>
      <c r="P607" s="70">
        <v>29.411764705882355</v>
      </c>
      <c r="Q607" s="68"/>
      <c r="R607" s="70">
        <v>29.411764705882355</v>
      </c>
      <c r="S607" s="73">
        <v>46054</v>
      </c>
      <c r="T607" s="70">
        <v>4.4117647058823533</v>
      </c>
      <c r="U607" s="74">
        <v>4</v>
      </c>
      <c r="V607" s="70">
        <v>25</v>
      </c>
      <c r="W607" s="56" t="s">
        <v>34</v>
      </c>
      <c r="X607" s="56" t="s">
        <v>48</v>
      </c>
      <c r="Y607" s="56" t="s">
        <v>36</v>
      </c>
      <c r="Z607" s="56" t="s">
        <v>9</v>
      </c>
      <c r="AA607" s="56" t="s">
        <v>49</v>
      </c>
      <c r="AB607" s="56" t="s">
        <v>109</v>
      </c>
      <c r="AC607" s="56" t="s">
        <v>38</v>
      </c>
      <c r="AD607" s="75" t="s">
        <v>267</v>
      </c>
      <c r="AE607" s="76"/>
      <c r="AF607" s="76"/>
      <c r="AG607" s="76"/>
      <c r="AH607" s="76"/>
      <c r="AI607" s="85"/>
      <c r="AJ607" s="85"/>
      <c r="AK607" s="85"/>
      <c r="AL607" s="85"/>
      <c r="AM607" s="85"/>
      <c r="AN607" s="85"/>
      <c r="AO607" s="85"/>
      <c r="AP607" s="85"/>
      <c r="AQ607" s="85"/>
      <c r="AR607" s="85"/>
      <c r="AS607" s="85"/>
      <c r="AT607" s="85"/>
      <c r="AU607" s="85"/>
      <c r="AV607" s="85"/>
      <c r="AW607" s="85"/>
    </row>
    <row r="608" spans="1:49" ht="31.5" x14ac:dyDescent="0.25">
      <c r="A608" s="56" t="s">
        <v>106</v>
      </c>
      <c r="B608" s="59">
        <v>46053</v>
      </c>
      <c r="C608" s="59">
        <v>46053</v>
      </c>
      <c r="D608" s="56" t="s">
        <v>224</v>
      </c>
      <c r="E608" s="62">
        <v>0.54166666666666663</v>
      </c>
      <c r="F608" s="62">
        <v>0.66666666666666663</v>
      </c>
      <c r="G608" s="62">
        <v>3.4722222222222218E-4</v>
      </c>
      <c r="H608" s="56" t="s">
        <v>107</v>
      </c>
      <c r="I608" s="66">
        <v>0.66599548611111115</v>
      </c>
      <c r="J608" s="56" t="s">
        <v>105</v>
      </c>
      <c r="K608" s="56" t="s">
        <v>248</v>
      </c>
      <c r="L608" s="68">
        <v>1</v>
      </c>
      <c r="M608" s="68">
        <v>58166</v>
      </c>
      <c r="N608" s="56" t="s">
        <v>53</v>
      </c>
      <c r="O608" s="68" t="s">
        <v>108</v>
      </c>
      <c r="P608" s="70">
        <v>29.411764705882355</v>
      </c>
      <c r="Q608" s="68"/>
      <c r="R608" s="70">
        <v>29.411764705882355</v>
      </c>
      <c r="S608" s="73">
        <v>46054</v>
      </c>
      <c r="T608" s="70">
        <v>4.4117647058823533</v>
      </c>
      <c r="U608" s="74">
        <v>4</v>
      </c>
      <c r="V608" s="70">
        <v>25</v>
      </c>
      <c r="W608" s="56" t="s">
        <v>34</v>
      </c>
      <c r="X608" s="56" t="s">
        <v>48</v>
      </c>
      <c r="Y608" s="56" t="s">
        <v>36</v>
      </c>
      <c r="Z608" s="56" t="s">
        <v>9</v>
      </c>
      <c r="AA608" s="56" t="s">
        <v>49</v>
      </c>
      <c r="AB608" s="56" t="s">
        <v>109</v>
      </c>
      <c r="AC608" s="56" t="s">
        <v>38</v>
      </c>
      <c r="AD608" s="75" t="s">
        <v>267</v>
      </c>
      <c r="AE608" s="76"/>
      <c r="AF608" s="76"/>
      <c r="AG608" s="76"/>
      <c r="AH608" s="76"/>
      <c r="AI608" s="85"/>
      <c r="AJ608" s="85"/>
      <c r="AK608" s="85"/>
      <c r="AL608" s="85"/>
      <c r="AM608" s="85"/>
      <c r="AN608" s="85"/>
      <c r="AO608" s="85"/>
      <c r="AP608" s="85"/>
      <c r="AQ608" s="85"/>
      <c r="AR608" s="85"/>
      <c r="AS608" s="85"/>
      <c r="AT608" s="85"/>
      <c r="AU608" s="85"/>
      <c r="AV608" s="85"/>
      <c r="AW608" s="85"/>
    </row>
    <row r="609" spans="1:49" ht="31.5" x14ac:dyDescent="0.25">
      <c r="A609" s="56" t="s">
        <v>106</v>
      </c>
      <c r="B609" s="59">
        <v>46054</v>
      </c>
      <c r="C609" s="59">
        <v>46054</v>
      </c>
      <c r="D609" s="56" t="s">
        <v>249</v>
      </c>
      <c r="E609" s="62">
        <v>0.54166666666666663</v>
      </c>
      <c r="F609" s="62">
        <v>0.66666666666666663</v>
      </c>
      <c r="G609" s="62">
        <v>3.4722222222222218E-4</v>
      </c>
      <c r="H609" s="56" t="s">
        <v>107</v>
      </c>
      <c r="I609" s="66">
        <v>0.56247928240740741</v>
      </c>
      <c r="J609" s="56" t="s">
        <v>105</v>
      </c>
      <c r="K609" s="56" t="s">
        <v>248</v>
      </c>
      <c r="L609" s="68">
        <v>1</v>
      </c>
      <c r="M609" s="68">
        <v>58166</v>
      </c>
      <c r="N609" s="56" t="s">
        <v>53</v>
      </c>
      <c r="O609" s="68" t="s">
        <v>108</v>
      </c>
      <c r="P609" s="70">
        <v>29.411764705882355</v>
      </c>
      <c r="Q609" s="68"/>
      <c r="R609" s="70">
        <v>29.411764705882355</v>
      </c>
      <c r="S609" s="73">
        <v>46054</v>
      </c>
      <c r="T609" s="70">
        <v>4.4117647058823533</v>
      </c>
      <c r="U609" s="74">
        <v>4</v>
      </c>
      <c r="V609" s="70">
        <v>25</v>
      </c>
      <c r="W609" s="56" t="s">
        <v>34</v>
      </c>
      <c r="X609" s="56" t="s">
        <v>48</v>
      </c>
      <c r="Y609" s="56" t="s">
        <v>36</v>
      </c>
      <c r="Z609" s="56" t="s">
        <v>9</v>
      </c>
      <c r="AA609" s="56" t="s">
        <v>49</v>
      </c>
      <c r="AB609" s="56" t="s">
        <v>109</v>
      </c>
      <c r="AC609" s="56" t="s">
        <v>38</v>
      </c>
      <c r="AD609" s="75" t="s">
        <v>267</v>
      </c>
      <c r="AE609" s="76"/>
      <c r="AF609" s="76"/>
      <c r="AG609" s="76"/>
      <c r="AH609" s="76"/>
      <c r="AI609" s="85"/>
      <c r="AJ609" s="85"/>
      <c r="AK609" s="85"/>
      <c r="AL609" s="85"/>
      <c r="AM609" s="85"/>
      <c r="AN609" s="85"/>
      <c r="AO609" s="85"/>
      <c r="AP609" s="85"/>
      <c r="AQ609" s="85"/>
      <c r="AR609" s="85"/>
      <c r="AS609" s="85"/>
      <c r="AT609" s="85"/>
      <c r="AU609" s="85"/>
      <c r="AV609" s="85"/>
      <c r="AW609" s="85"/>
    </row>
    <row r="610" spans="1:49" ht="31.5" x14ac:dyDescent="0.25">
      <c r="A610" s="56" t="s">
        <v>106</v>
      </c>
      <c r="B610" s="59">
        <v>46054</v>
      </c>
      <c r="C610" s="59">
        <v>46054</v>
      </c>
      <c r="D610" s="56" t="s">
        <v>249</v>
      </c>
      <c r="E610" s="62">
        <v>0.54166666666666663</v>
      </c>
      <c r="F610" s="62">
        <v>0.66666666666666663</v>
      </c>
      <c r="G610" s="62">
        <v>3.4722222222222218E-4</v>
      </c>
      <c r="H610" s="56" t="s">
        <v>107</v>
      </c>
      <c r="I610" s="66">
        <v>0.58268738425925926</v>
      </c>
      <c r="J610" s="56" t="s">
        <v>105</v>
      </c>
      <c r="K610" s="56" t="s">
        <v>248</v>
      </c>
      <c r="L610" s="68">
        <v>1</v>
      </c>
      <c r="M610" s="68">
        <v>58166</v>
      </c>
      <c r="N610" s="56" t="s">
        <v>53</v>
      </c>
      <c r="O610" s="68" t="s">
        <v>108</v>
      </c>
      <c r="P610" s="70">
        <v>29.411764705882355</v>
      </c>
      <c r="Q610" s="68"/>
      <c r="R610" s="70">
        <v>29.411764705882355</v>
      </c>
      <c r="S610" s="73">
        <v>46054</v>
      </c>
      <c r="T610" s="70">
        <v>4.4117647058823533</v>
      </c>
      <c r="U610" s="74">
        <v>4</v>
      </c>
      <c r="V610" s="70">
        <v>25</v>
      </c>
      <c r="W610" s="56" t="s">
        <v>34</v>
      </c>
      <c r="X610" s="56" t="s">
        <v>48</v>
      </c>
      <c r="Y610" s="56" t="s">
        <v>36</v>
      </c>
      <c r="Z610" s="56" t="s">
        <v>9</v>
      </c>
      <c r="AA610" s="56" t="s">
        <v>49</v>
      </c>
      <c r="AB610" s="56" t="s">
        <v>109</v>
      </c>
      <c r="AC610" s="56" t="s">
        <v>38</v>
      </c>
      <c r="AD610" s="75" t="s">
        <v>267</v>
      </c>
      <c r="AE610" s="76"/>
      <c r="AF610" s="76"/>
      <c r="AG610" s="76"/>
      <c r="AH610" s="76"/>
      <c r="AI610" s="85"/>
      <c r="AJ610" s="85"/>
      <c r="AK610" s="85"/>
      <c r="AL610" s="85"/>
      <c r="AM610" s="85"/>
      <c r="AN610" s="85"/>
      <c r="AO610" s="85"/>
      <c r="AP610" s="85"/>
      <c r="AQ610" s="85"/>
      <c r="AR610" s="85"/>
      <c r="AS610" s="85"/>
      <c r="AT610" s="85"/>
      <c r="AU610" s="85"/>
      <c r="AV610" s="85"/>
      <c r="AW610" s="85"/>
    </row>
    <row r="611" spans="1:49" ht="31.5" x14ac:dyDescent="0.2">
      <c r="A611" s="56" t="s">
        <v>106</v>
      </c>
      <c r="B611" s="59">
        <v>46054</v>
      </c>
      <c r="C611" s="59">
        <v>46054</v>
      </c>
      <c r="D611" s="56" t="s">
        <v>249</v>
      </c>
      <c r="E611" s="62">
        <v>0.54166666666666663</v>
      </c>
      <c r="F611" s="62">
        <v>0.66666666666666663</v>
      </c>
      <c r="G611" s="62">
        <v>3.4722222222222218E-4</v>
      </c>
      <c r="H611" s="56" t="s">
        <v>107</v>
      </c>
      <c r="I611" s="66">
        <v>0.60489872685185186</v>
      </c>
      <c r="J611" s="56" t="s">
        <v>105</v>
      </c>
      <c r="K611" s="56" t="s">
        <v>248</v>
      </c>
      <c r="L611" s="68">
        <v>1</v>
      </c>
      <c r="M611" s="68">
        <v>58166</v>
      </c>
      <c r="N611" s="56" t="s">
        <v>53</v>
      </c>
      <c r="O611" s="68" t="s">
        <v>108</v>
      </c>
      <c r="P611" s="70">
        <v>29.411764705882355</v>
      </c>
      <c r="Q611" s="68"/>
      <c r="R611" s="70">
        <v>29.411764705882355</v>
      </c>
      <c r="S611" s="73">
        <v>46054</v>
      </c>
      <c r="T611" s="70">
        <v>4.4117647058823533</v>
      </c>
      <c r="U611" s="74">
        <v>4</v>
      </c>
      <c r="V611" s="70">
        <v>25</v>
      </c>
      <c r="W611" s="56" t="s">
        <v>34</v>
      </c>
      <c r="X611" s="56" t="s">
        <v>48</v>
      </c>
      <c r="Y611" s="56" t="s">
        <v>36</v>
      </c>
      <c r="Z611" s="56" t="s">
        <v>9</v>
      </c>
      <c r="AA611" s="56" t="s">
        <v>49</v>
      </c>
      <c r="AB611" s="56" t="s">
        <v>109</v>
      </c>
      <c r="AC611" s="56" t="s">
        <v>38</v>
      </c>
      <c r="AD611" s="75" t="s">
        <v>267</v>
      </c>
      <c r="AE611" s="57"/>
      <c r="AF611" s="57"/>
      <c r="AG611" s="57"/>
      <c r="AH611" s="57"/>
      <c r="AI611" s="57"/>
      <c r="AJ611" s="57"/>
      <c r="AK611" s="57"/>
      <c r="AL611" s="57"/>
      <c r="AM611" s="57"/>
      <c r="AN611" s="57"/>
      <c r="AO611" s="57"/>
      <c r="AP611" s="57"/>
      <c r="AQ611" s="57"/>
      <c r="AR611" s="57"/>
      <c r="AS611" s="57"/>
      <c r="AT611" s="57"/>
      <c r="AU611" s="57"/>
      <c r="AV611" s="57"/>
      <c r="AW611" s="57"/>
    </row>
    <row r="612" spans="1:49" ht="31.5" x14ac:dyDescent="0.2">
      <c r="A612" s="56" t="s">
        <v>106</v>
      </c>
      <c r="B612" s="59">
        <v>46054</v>
      </c>
      <c r="C612" s="59">
        <v>46054</v>
      </c>
      <c r="D612" s="56" t="s">
        <v>249</v>
      </c>
      <c r="E612" s="62">
        <v>0.54166666666666663</v>
      </c>
      <c r="F612" s="62">
        <v>0.66666666666666663</v>
      </c>
      <c r="G612" s="62">
        <v>3.4722222222222218E-4</v>
      </c>
      <c r="H612" s="56" t="s">
        <v>107</v>
      </c>
      <c r="I612" s="66">
        <v>0.62415659722222216</v>
      </c>
      <c r="J612" s="56" t="s">
        <v>105</v>
      </c>
      <c r="K612" s="56" t="s">
        <v>248</v>
      </c>
      <c r="L612" s="68">
        <v>1</v>
      </c>
      <c r="M612" s="68">
        <v>58167</v>
      </c>
      <c r="N612" s="56" t="s">
        <v>46</v>
      </c>
      <c r="O612" s="68" t="s">
        <v>108</v>
      </c>
      <c r="P612" s="70">
        <v>0</v>
      </c>
      <c r="Q612" s="68"/>
      <c r="R612" s="70">
        <v>0</v>
      </c>
      <c r="S612" s="73">
        <v>46054</v>
      </c>
      <c r="T612" s="70">
        <v>0</v>
      </c>
      <c r="U612" s="74">
        <v>4</v>
      </c>
      <c r="V612" s="70">
        <v>0</v>
      </c>
      <c r="W612" s="56" t="s">
        <v>34</v>
      </c>
      <c r="X612" s="56" t="s">
        <v>48</v>
      </c>
      <c r="Y612" s="56" t="s">
        <v>36</v>
      </c>
      <c r="Z612" s="56" t="s">
        <v>9</v>
      </c>
      <c r="AA612" s="56" t="s">
        <v>49</v>
      </c>
      <c r="AB612" s="56" t="s">
        <v>109</v>
      </c>
      <c r="AC612" s="56" t="s">
        <v>38</v>
      </c>
      <c r="AD612" s="75" t="s">
        <v>267</v>
      </c>
      <c r="AE612" s="57"/>
      <c r="AF612" s="57"/>
      <c r="AG612" s="57"/>
      <c r="AH612" s="57"/>
      <c r="AI612" s="57"/>
      <c r="AJ612" s="57"/>
      <c r="AK612" s="57"/>
      <c r="AL612" s="57"/>
      <c r="AM612" s="57"/>
      <c r="AN612" s="57"/>
      <c r="AO612" s="57"/>
      <c r="AP612" s="57"/>
      <c r="AQ612" s="57"/>
      <c r="AR612" s="57"/>
      <c r="AS612" s="57"/>
      <c r="AT612" s="57"/>
      <c r="AU612" s="57"/>
      <c r="AV612" s="57"/>
      <c r="AW612" s="57"/>
    </row>
    <row r="613" spans="1:49" ht="31.5" x14ac:dyDescent="0.25">
      <c r="A613" s="56" t="s">
        <v>106</v>
      </c>
      <c r="B613" s="59">
        <v>46054</v>
      </c>
      <c r="C613" s="59">
        <v>46054</v>
      </c>
      <c r="D613" s="56" t="s">
        <v>249</v>
      </c>
      <c r="E613" s="62">
        <v>0.54166666666666663</v>
      </c>
      <c r="F613" s="62">
        <v>0.66666666666666663</v>
      </c>
      <c r="G613" s="62">
        <v>3.4722222222222218E-4</v>
      </c>
      <c r="H613" s="56" t="s">
        <v>107</v>
      </c>
      <c r="I613" s="66">
        <v>0.640290625</v>
      </c>
      <c r="J613" s="56" t="s">
        <v>105</v>
      </c>
      <c r="K613" s="56" t="s">
        <v>260</v>
      </c>
      <c r="L613" s="68">
        <v>1</v>
      </c>
      <c r="M613" s="68">
        <v>58166</v>
      </c>
      <c r="N613" s="56" t="s">
        <v>53</v>
      </c>
      <c r="O613" s="68" t="s">
        <v>108</v>
      </c>
      <c r="P613" s="70">
        <v>29.411764705882355</v>
      </c>
      <c r="Q613" s="68"/>
      <c r="R613" s="70">
        <v>29.411764705882355</v>
      </c>
      <c r="S613" s="73">
        <v>46054</v>
      </c>
      <c r="T613" s="70">
        <v>4.4117647058823533</v>
      </c>
      <c r="U613" s="74">
        <v>4</v>
      </c>
      <c r="V613" s="70">
        <v>25</v>
      </c>
      <c r="W613" s="56" t="s">
        <v>34</v>
      </c>
      <c r="X613" s="56" t="s">
        <v>48</v>
      </c>
      <c r="Y613" s="56" t="s">
        <v>36</v>
      </c>
      <c r="Z613" s="56" t="s">
        <v>9</v>
      </c>
      <c r="AA613" s="56" t="s">
        <v>49</v>
      </c>
      <c r="AB613" s="56" t="s">
        <v>109</v>
      </c>
      <c r="AC613" s="56" t="s">
        <v>38</v>
      </c>
      <c r="AD613" s="75" t="s">
        <v>267</v>
      </c>
      <c r="AE613" s="76"/>
      <c r="AF613" s="76"/>
      <c r="AG613" s="76"/>
      <c r="AH613" s="76"/>
      <c r="AI613" s="85"/>
      <c r="AJ613" s="85"/>
      <c r="AK613" s="85"/>
      <c r="AL613" s="85"/>
      <c r="AM613" s="85"/>
      <c r="AN613" s="85"/>
      <c r="AO613" s="85"/>
      <c r="AP613" s="85"/>
      <c r="AQ613" s="85"/>
      <c r="AR613" s="85"/>
      <c r="AS613" s="85"/>
      <c r="AT613" s="85"/>
      <c r="AU613" s="85"/>
      <c r="AV613" s="85"/>
      <c r="AW613" s="85"/>
    </row>
    <row r="614" spans="1:49" ht="31.5" x14ac:dyDescent="0.25">
      <c r="A614" s="57" t="s">
        <v>144</v>
      </c>
      <c r="B614" s="60">
        <v>46048</v>
      </c>
      <c r="C614" s="60">
        <v>46048</v>
      </c>
      <c r="D614" s="61" t="s">
        <v>30</v>
      </c>
      <c r="E614" s="63">
        <v>0.83333333333333337</v>
      </c>
      <c r="F614" s="63">
        <v>0.875</v>
      </c>
      <c r="G614" s="63">
        <v>4.1666666666666664E-2</v>
      </c>
      <c r="H614" s="57" t="s">
        <v>145</v>
      </c>
      <c r="I614" s="67"/>
      <c r="J614" s="57" t="s">
        <v>41</v>
      </c>
      <c r="K614" s="57"/>
      <c r="L614" s="69">
        <v>1</v>
      </c>
      <c r="M614" s="69">
        <v>1</v>
      </c>
      <c r="N614" s="57" t="s">
        <v>33</v>
      </c>
      <c r="O614" s="57"/>
      <c r="P614" s="42">
        <v>0</v>
      </c>
      <c r="Q614" s="69"/>
      <c r="R614" s="42">
        <v>0</v>
      </c>
      <c r="S614" s="57">
        <v>46054</v>
      </c>
      <c r="T614" s="42">
        <v>0</v>
      </c>
      <c r="U614" s="69">
        <v>2</v>
      </c>
      <c r="V614" s="42">
        <v>0</v>
      </c>
      <c r="W614" s="57" t="s">
        <v>34</v>
      </c>
      <c r="X614" s="57" t="s">
        <v>42</v>
      </c>
      <c r="Y614" s="57" t="s">
        <v>36</v>
      </c>
      <c r="Z614" s="57" t="s">
        <v>43</v>
      </c>
      <c r="AA614" s="57" t="s">
        <v>37</v>
      </c>
      <c r="AB614" s="57" t="s">
        <v>37</v>
      </c>
      <c r="AC614" s="57" t="s">
        <v>38</v>
      </c>
      <c r="AD614" s="75" t="s">
        <v>267</v>
      </c>
      <c r="AE614" s="76"/>
      <c r="AF614" s="76"/>
      <c r="AG614" s="76"/>
      <c r="AH614" s="76"/>
      <c r="AI614" s="76"/>
      <c r="AJ614" s="76"/>
      <c r="AK614" s="76"/>
      <c r="AL614" s="76"/>
      <c r="AM614" s="76"/>
      <c r="AN614" s="76"/>
      <c r="AO614" s="76"/>
      <c r="AP614" s="76"/>
      <c r="AQ614" s="76"/>
      <c r="AR614" s="76"/>
      <c r="AS614" s="76"/>
      <c r="AT614" s="76"/>
      <c r="AU614" s="76"/>
      <c r="AV614" s="76"/>
      <c r="AW614" s="76"/>
    </row>
    <row r="615" spans="1:49" ht="31.5" x14ac:dyDescent="0.25">
      <c r="A615" s="57" t="s">
        <v>144</v>
      </c>
      <c r="B615" s="60">
        <v>46049</v>
      </c>
      <c r="C615" s="60">
        <v>46049</v>
      </c>
      <c r="D615" s="61" t="s">
        <v>166</v>
      </c>
      <c r="E615" s="63">
        <v>0.83333333333333337</v>
      </c>
      <c r="F615" s="63">
        <v>0.875</v>
      </c>
      <c r="G615" s="63">
        <v>4.1666666666666664E-2</v>
      </c>
      <c r="H615" s="57" t="s">
        <v>145</v>
      </c>
      <c r="I615" s="67"/>
      <c r="J615" s="57" t="s">
        <v>41</v>
      </c>
      <c r="K615" s="57"/>
      <c r="L615" s="69">
        <v>1</v>
      </c>
      <c r="M615" s="69">
        <v>1</v>
      </c>
      <c r="N615" s="57" t="s">
        <v>33</v>
      </c>
      <c r="O615" s="57"/>
      <c r="P615" s="42">
        <v>0</v>
      </c>
      <c r="Q615" s="69"/>
      <c r="R615" s="42">
        <v>0</v>
      </c>
      <c r="S615" s="57">
        <v>46054</v>
      </c>
      <c r="T615" s="42">
        <v>0</v>
      </c>
      <c r="U615" s="69">
        <v>2</v>
      </c>
      <c r="V615" s="42">
        <v>0</v>
      </c>
      <c r="W615" s="57" t="s">
        <v>34</v>
      </c>
      <c r="X615" s="57" t="s">
        <v>42</v>
      </c>
      <c r="Y615" s="57" t="s">
        <v>36</v>
      </c>
      <c r="Z615" s="57" t="s">
        <v>43</v>
      </c>
      <c r="AA615" s="57" t="s">
        <v>37</v>
      </c>
      <c r="AB615" s="57" t="s">
        <v>37</v>
      </c>
      <c r="AC615" s="57" t="s">
        <v>38</v>
      </c>
      <c r="AD615" s="75" t="s">
        <v>267</v>
      </c>
      <c r="AE615" s="76"/>
      <c r="AF615" s="76"/>
      <c r="AG615" s="76"/>
      <c r="AH615" s="76"/>
      <c r="AI615" s="76"/>
      <c r="AJ615" s="76"/>
      <c r="AK615" s="76"/>
      <c r="AL615" s="76"/>
      <c r="AM615" s="76"/>
      <c r="AN615" s="76"/>
      <c r="AO615" s="76"/>
      <c r="AP615" s="76"/>
      <c r="AQ615" s="76"/>
      <c r="AR615" s="76"/>
      <c r="AS615" s="76"/>
      <c r="AT615" s="76"/>
      <c r="AU615" s="76"/>
      <c r="AV615" s="76"/>
      <c r="AW615" s="76"/>
    </row>
    <row r="616" spans="1:49" ht="31.5" x14ac:dyDescent="0.2">
      <c r="A616" s="57" t="s">
        <v>144</v>
      </c>
      <c r="B616" s="60">
        <v>46050</v>
      </c>
      <c r="C616" s="60">
        <v>46050</v>
      </c>
      <c r="D616" s="61" t="s">
        <v>196</v>
      </c>
      <c r="E616" s="63">
        <v>0.83333333333333337</v>
      </c>
      <c r="F616" s="63">
        <v>0.875</v>
      </c>
      <c r="G616" s="63">
        <v>4.1666666666666664E-2</v>
      </c>
      <c r="H616" s="57" t="s">
        <v>145</v>
      </c>
      <c r="I616" s="67"/>
      <c r="J616" s="57" t="s">
        <v>41</v>
      </c>
      <c r="K616" s="57"/>
      <c r="L616" s="69">
        <v>1</v>
      </c>
      <c r="M616" s="69">
        <v>1</v>
      </c>
      <c r="N616" s="57" t="s">
        <v>33</v>
      </c>
      <c r="O616" s="57"/>
      <c r="P616" s="42">
        <v>0</v>
      </c>
      <c r="Q616" s="69"/>
      <c r="R616" s="42">
        <v>0</v>
      </c>
      <c r="S616" s="57">
        <v>46054</v>
      </c>
      <c r="T616" s="42">
        <v>0</v>
      </c>
      <c r="U616" s="69">
        <v>2</v>
      </c>
      <c r="V616" s="42">
        <v>0</v>
      </c>
      <c r="W616" s="57" t="s">
        <v>34</v>
      </c>
      <c r="X616" s="57" t="s">
        <v>42</v>
      </c>
      <c r="Y616" s="57" t="s">
        <v>36</v>
      </c>
      <c r="Z616" s="57" t="s">
        <v>43</v>
      </c>
      <c r="AA616" s="57" t="s">
        <v>37</v>
      </c>
      <c r="AB616" s="57" t="s">
        <v>37</v>
      </c>
      <c r="AC616" s="57" t="s">
        <v>38</v>
      </c>
      <c r="AD616" s="75" t="s">
        <v>267</v>
      </c>
      <c r="AE616" s="57"/>
      <c r="AF616" s="57"/>
      <c r="AG616" s="57"/>
      <c r="AH616" s="57"/>
      <c r="AI616" s="57"/>
      <c r="AJ616" s="57"/>
      <c r="AK616" s="57"/>
      <c r="AL616" s="57"/>
      <c r="AM616" s="57"/>
      <c r="AN616" s="57"/>
      <c r="AO616" s="57"/>
      <c r="AP616" s="57"/>
      <c r="AQ616" s="57"/>
      <c r="AR616" s="57"/>
      <c r="AS616" s="57"/>
      <c r="AT616" s="57"/>
      <c r="AU616" s="57"/>
      <c r="AV616" s="57"/>
      <c r="AW616" s="57"/>
    </row>
    <row r="617" spans="1:49" ht="31.5" x14ac:dyDescent="0.2">
      <c r="A617" s="57" t="s">
        <v>144</v>
      </c>
      <c r="B617" s="60">
        <v>46051</v>
      </c>
      <c r="C617" s="60">
        <v>46051</v>
      </c>
      <c r="D617" s="61" t="s">
        <v>207</v>
      </c>
      <c r="E617" s="63">
        <v>0.83333333333333337</v>
      </c>
      <c r="F617" s="63">
        <v>0.875</v>
      </c>
      <c r="G617" s="63">
        <v>4.1666666666666664E-2</v>
      </c>
      <c r="H617" s="57" t="s">
        <v>145</v>
      </c>
      <c r="I617" s="67"/>
      <c r="J617" s="57" t="s">
        <v>41</v>
      </c>
      <c r="K617" s="57"/>
      <c r="L617" s="69">
        <v>1</v>
      </c>
      <c r="M617" s="69">
        <v>1</v>
      </c>
      <c r="N617" s="57" t="s">
        <v>33</v>
      </c>
      <c r="O617" s="57"/>
      <c r="P617" s="42">
        <v>0</v>
      </c>
      <c r="Q617" s="69"/>
      <c r="R617" s="42">
        <v>0</v>
      </c>
      <c r="S617" s="57">
        <v>46054</v>
      </c>
      <c r="T617" s="42">
        <v>0</v>
      </c>
      <c r="U617" s="69">
        <v>2</v>
      </c>
      <c r="V617" s="42">
        <v>0</v>
      </c>
      <c r="W617" s="57" t="s">
        <v>34</v>
      </c>
      <c r="X617" s="57" t="s">
        <v>42</v>
      </c>
      <c r="Y617" s="57" t="s">
        <v>36</v>
      </c>
      <c r="Z617" s="57" t="s">
        <v>43</v>
      </c>
      <c r="AA617" s="57" t="s">
        <v>37</v>
      </c>
      <c r="AB617" s="57" t="s">
        <v>37</v>
      </c>
      <c r="AC617" s="57" t="s">
        <v>38</v>
      </c>
      <c r="AD617" s="75" t="s">
        <v>267</v>
      </c>
      <c r="AE617" s="57"/>
      <c r="AF617" s="57"/>
      <c r="AG617" s="57"/>
      <c r="AH617" s="57"/>
      <c r="AI617" s="57"/>
      <c r="AJ617" s="57"/>
      <c r="AK617" s="57"/>
      <c r="AL617" s="57"/>
      <c r="AM617" s="57"/>
      <c r="AN617" s="57"/>
      <c r="AO617" s="57"/>
      <c r="AP617" s="57"/>
      <c r="AQ617" s="57"/>
      <c r="AR617" s="57"/>
      <c r="AS617" s="57"/>
      <c r="AT617" s="57"/>
      <c r="AU617" s="57"/>
      <c r="AV617" s="57"/>
      <c r="AW617" s="57"/>
    </row>
    <row r="618" spans="1:49" ht="31.5" x14ac:dyDescent="0.2">
      <c r="A618" s="57" t="s">
        <v>144</v>
      </c>
      <c r="B618" s="60">
        <v>46052</v>
      </c>
      <c r="C618" s="60">
        <v>46052</v>
      </c>
      <c r="D618" s="61" t="s">
        <v>217</v>
      </c>
      <c r="E618" s="63">
        <v>0.83333333333333337</v>
      </c>
      <c r="F618" s="63">
        <v>0.875</v>
      </c>
      <c r="G618" s="63">
        <v>4.1666666666666664E-2</v>
      </c>
      <c r="H618" s="57" t="s">
        <v>145</v>
      </c>
      <c r="I618" s="67"/>
      <c r="J618" s="57" t="s">
        <v>41</v>
      </c>
      <c r="K618" s="57"/>
      <c r="L618" s="69">
        <v>1</v>
      </c>
      <c r="M618" s="69">
        <v>1</v>
      </c>
      <c r="N618" s="57" t="s">
        <v>33</v>
      </c>
      <c r="O618" s="57"/>
      <c r="P618" s="42">
        <v>0</v>
      </c>
      <c r="Q618" s="69"/>
      <c r="R618" s="42">
        <v>0</v>
      </c>
      <c r="S618" s="57">
        <v>46054</v>
      </c>
      <c r="T618" s="42">
        <v>0</v>
      </c>
      <c r="U618" s="69">
        <v>2</v>
      </c>
      <c r="V618" s="42">
        <v>0</v>
      </c>
      <c r="W618" s="57" t="s">
        <v>34</v>
      </c>
      <c r="X618" s="57" t="s">
        <v>42</v>
      </c>
      <c r="Y618" s="57" t="s">
        <v>36</v>
      </c>
      <c r="Z618" s="57" t="s">
        <v>43</v>
      </c>
      <c r="AA618" s="57" t="s">
        <v>37</v>
      </c>
      <c r="AB618" s="57" t="s">
        <v>37</v>
      </c>
      <c r="AC618" s="57" t="s">
        <v>38</v>
      </c>
      <c r="AD618" s="75" t="s">
        <v>267</v>
      </c>
      <c r="AE618" s="57"/>
      <c r="AF618" s="57"/>
      <c r="AG618" s="57"/>
      <c r="AH618" s="57"/>
      <c r="AI618" s="57"/>
      <c r="AJ618" s="57"/>
      <c r="AK618" s="57"/>
      <c r="AL618" s="57"/>
      <c r="AM618" s="57"/>
      <c r="AN618" s="57"/>
      <c r="AO618" s="57"/>
      <c r="AP618" s="57"/>
      <c r="AQ618" s="57"/>
      <c r="AR618" s="57"/>
      <c r="AS618" s="57"/>
      <c r="AT618" s="57"/>
      <c r="AU618" s="57"/>
      <c r="AV618" s="57"/>
      <c r="AW618" s="57"/>
    </row>
    <row r="619" spans="1:49" ht="31.5" x14ac:dyDescent="0.25">
      <c r="A619" s="57" t="s">
        <v>144</v>
      </c>
      <c r="B619" s="60">
        <v>46053</v>
      </c>
      <c r="C619" s="60">
        <v>46053</v>
      </c>
      <c r="D619" s="61" t="s">
        <v>224</v>
      </c>
      <c r="E619" s="63">
        <v>0.83333333333333337</v>
      </c>
      <c r="F619" s="63">
        <v>0.875</v>
      </c>
      <c r="G619" s="63">
        <v>4.1666666666666664E-2</v>
      </c>
      <c r="H619" s="57" t="s">
        <v>145</v>
      </c>
      <c r="I619" s="67"/>
      <c r="J619" s="57" t="s">
        <v>41</v>
      </c>
      <c r="K619" s="57"/>
      <c r="L619" s="69">
        <v>1</v>
      </c>
      <c r="M619" s="69">
        <v>1</v>
      </c>
      <c r="N619" s="57" t="s">
        <v>33</v>
      </c>
      <c r="O619" s="57"/>
      <c r="P619" s="42">
        <v>0</v>
      </c>
      <c r="Q619" s="69"/>
      <c r="R619" s="42">
        <v>0</v>
      </c>
      <c r="S619" s="57">
        <v>46054</v>
      </c>
      <c r="T619" s="42">
        <v>0</v>
      </c>
      <c r="U619" s="69">
        <v>2</v>
      </c>
      <c r="V619" s="42">
        <v>0</v>
      </c>
      <c r="W619" s="57" t="s">
        <v>34</v>
      </c>
      <c r="X619" s="57" t="s">
        <v>42</v>
      </c>
      <c r="Y619" s="57" t="s">
        <v>36</v>
      </c>
      <c r="Z619" s="57" t="s">
        <v>43</v>
      </c>
      <c r="AA619" s="57" t="s">
        <v>37</v>
      </c>
      <c r="AB619" s="57" t="s">
        <v>37</v>
      </c>
      <c r="AC619" s="57" t="s">
        <v>38</v>
      </c>
      <c r="AD619" s="75" t="s">
        <v>267</v>
      </c>
      <c r="AE619" s="76"/>
      <c r="AF619" s="76"/>
      <c r="AG619" s="76"/>
      <c r="AH619" s="76"/>
      <c r="AI619" s="85"/>
      <c r="AJ619" s="85"/>
      <c r="AK619" s="85"/>
      <c r="AL619" s="85"/>
      <c r="AM619" s="85"/>
      <c r="AN619" s="85"/>
      <c r="AO619" s="85"/>
      <c r="AP619" s="85"/>
      <c r="AQ619" s="85"/>
      <c r="AR619" s="85"/>
      <c r="AS619" s="85"/>
      <c r="AT619" s="85"/>
      <c r="AU619" s="85"/>
      <c r="AV619" s="85"/>
      <c r="AW619" s="85"/>
    </row>
    <row r="620" spans="1:49" ht="31.5" x14ac:dyDescent="0.25">
      <c r="A620" s="57" t="s">
        <v>144</v>
      </c>
      <c r="B620" s="60">
        <v>46054</v>
      </c>
      <c r="C620" s="60">
        <v>46054</v>
      </c>
      <c r="D620" s="61" t="s">
        <v>249</v>
      </c>
      <c r="E620" s="63">
        <v>0.83333333333333337</v>
      </c>
      <c r="F620" s="63">
        <v>0.875</v>
      </c>
      <c r="G620" s="63">
        <v>4.1666666666666664E-2</v>
      </c>
      <c r="H620" s="57" t="s">
        <v>145</v>
      </c>
      <c r="I620" s="67"/>
      <c r="J620" s="57" t="s">
        <v>41</v>
      </c>
      <c r="K620" s="57"/>
      <c r="L620" s="69">
        <v>1</v>
      </c>
      <c r="M620" s="69">
        <v>1</v>
      </c>
      <c r="N620" s="57" t="s">
        <v>33</v>
      </c>
      <c r="O620" s="57"/>
      <c r="P620" s="42">
        <v>0</v>
      </c>
      <c r="Q620" s="69"/>
      <c r="R620" s="42">
        <v>0</v>
      </c>
      <c r="S620" s="57">
        <v>46054</v>
      </c>
      <c r="T620" s="42">
        <v>0</v>
      </c>
      <c r="U620" s="69">
        <v>2</v>
      </c>
      <c r="V620" s="42">
        <v>0</v>
      </c>
      <c r="W620" s="57" t="s">
        <v>34</v>
      </c>
      <c r="X620" s="57" t="s">
        <v>42</v>
      </c>
      <c r="Y620" s="57" t="s">
        <v>36</v>
      </c>
      <c r="Z620" s="57" t="s">
        <v>43</v>
      </c>
      <c r="AA620" s="57" t="s">
        <v>37</v>
      </c>
      <c r="AB620" s="57" t="s">
        <v>37</v>
      </c>
      <c r="AC620" s="57" t="s">
        <v>38</v>
      </c>
      <c r="AD620" s="75" t="s">
        <v>267</v>
      </c>
      <c r="AE620" s="76"/>
      <c r="AF620" s="76"/>
      <c r="AG620" s="76"/>
      <c r="AH620" s="76"/>
      <c r="AI620" s="85"/>
      <c r="AJ620" s="85"/>
      <c r="AK620" s="85"/>
      <c r="AL620" s="85"/>
      <c r="AM620" s="85"/>
      <c r="AN620" s="85"/>
      <c r="AO620" s="85"/>
      <c r="AP620" s="85"/>
      <c r="AQ620" s="85"/>
      <c r="AR620" s="85"/>
      <c r="AS620" s="85"/>
      <c r="AT620" s="85"/>
      <c r="AU620" s="85"/>
      <c r="AV620" s="85"/>
      <c r="AW620" s="85"/>
    </row>
    <row r="621" spans="1:49" ht="31.5" x14ac:dyDescent="0.25">
      <c r="A621" s="57" t="s">
        <v>258</v>
      </c>
      <c r="B621" s="60">
        <v>46054</v>
      </c>
      <c r="C621" s="60">
        <v>46054</v>
      </c>
      <c r="D621" s="61" t="s">
        <v>249</v>
      </c>
      <c r="E621" s="63">
        <v>0.58333333333333337</v>
      </c>
      <c r="F621" s="63">
        <v>0.625</v>
      </c>
      <c r="G621" s="63">
        <v>4.1666666666666664E-2</v>
      </c>
      <c r="H621" s="57" t="s">
        <v>258</v>
      </c>
      <c r="I621" s="67"/>
      <c r="J621" s="57" t="s">
        <v>105</v>
      </c>
      <c r="K621" s="57"/>
      <c r="L621" s="69">
        <v>1</v>
      </c>
      <c r="M621" s="69">
        <v>1</v>
      </c>
      <c r="N621" s="57" t="s">
        <v>33</v>
      </c>
      <c r="O621" s="57"/>
      <c r="P621" s="42">
        <v>0</v>
      </c>
      <c r="Q621" s="69"/>
      <c r="R621" s="42">
        <v>0</v>
      </c>
      <c r="S621" s="57">
        <v>46054</v>
      </c>
      <c r="T621" s="42">
        <v>0</v>
      </c>
      <c r="U621" s="69">
        <v>1</v>
      </c>
      <c r="V621" s="42">
        <v>0</v>
      </c>
      <c r="W621" s="57" t="s">
        <v>34</v>
      </c>
      <c r="X621" s="57" t="s">
        <v>35</v>
      </c>
      <c r="Y621" s="57" t="s">
        <v>58</v>
      </c>
      <c r="Z621" s="57" t="s">
        <v>174</v>
      </c>
      <c r="AA621" s="57" t="s">
        <v>37</v>
      </c>
      <c r="AB621" s="57" t="s">
        <v>37</v>
      </c>
      <c r="AC621" s="57" t="s">
        <v>38</v>
      </c>
      <c r="AD621" s="75" t="s">
        <v>267</v>
      </c>
      <c r="AE621" s="76"/>
      <c r="AF621" s="76"/>
      <c r="AG621" s="76"/>
      <c r="AH621" s="76"/>
      <c r="AI621" s="76"/>
      <c r="AJ621" s="76"/>
      <c r="AK621" s="76"/>
      <c r="AL621" s="76"/>
      <c r="AM621" s="76"/>
      <c r="AN621" s="76"/>
      <c r="AO621" s="76"/>
      <c r="AP621" s="76"/>
      <c r="AQ621" s="76"/>
      <c r="AR621" s="76"/>
      <c r="AS621" s="76"/>
      <c r="AT621" s="76"/>
      <c r="AU621" s="76"/>
      <c r="AV621" s="76"/>
      <c r="AW621" s="76"/>
    </row>
    <row r="622" spans="1:49" ht="31.5" x14ac:dyDescent="0.25">
      <c r="A622" s="57" t="s">
        <v>257</v>
      </c>
      <c r="B622" s="60">
        <v>46054</v>
      </c>
      <c r="C622" s="60">
        <v>46054</v>
      </c>
      <c r="D622" s="61" t="s">
        <v>249</v>
      </c>
      <c r="E622" s="63">
        <v>0.54166666666666663</v>
      </c>
      <c r="F622" s="63">
        <v>0.58333333333333337</v>
      </c>
      <c r="G622" s="63">
        <v>4.1666666666666664E-2</v>
      </c>
      <c r="H622" s="57" t="s">
        <v>257</v>
      </c>
      <c r="I622" s="67"/>
      <c r="J622" s="57" t="s">
        <v>105</v>
      </c>
      <c r="K622" s="57"/>
      <c r="L622" s="69">
        <v>1</v>
      </c>
      <c r="M622" s="69">
        <v>1</v>
      </c>
      <c r="N622" s="57" t="s">
        <v>33</v>
      </c>
      <c r="O622" s="57"/>
      <c r="P622" s="42">
        <v>0</v>
      </c>
      <c r="Q622" s="69"/>
      <c r="R622" s="42">
        <v>0</v>
      </c>
      <c r="S622" s="57">
        <v>46054</v>
      </c>
      <c r="T622" s="42">
        <v>0</v>
      </c>
      <c r="U622" s="69">
        <v>2</v>
      </c>
      <c r="V622" s="42">
        <v>0</v>
      </c>
      <c r="W622" s="57" t="s">
        <v>34</v>
      </c>
      <c r="X622" s="57" t="s">
        <v>42</v>
      </c>
      <c r="Y622" s="57" t="s">
        <v>36</v>
      </c>
      <c r="Z622" s="57" t="s">
        <v>43</v>
      </c>
      <c r="AA622" s="57" t="s">
        <v>37</v>
      </c>
      <c r="AB622" s="57" t="s">
        <v>37</v>
      </c>
      <c r="AC622" s="57" t="s">
        <v>38</v>
      </c>
      <c r="AD622" s="75" t="s">
        <v>267</v>
      </c>
      <c r="AE622" s="76"/>
      <c r="AF622" s="76"/>
      <c r="AG622" s="76"/>
      <c r="AH622" s="76"/>
      <c r="AI622" s="76"/>
      <c r="AJ622" s="76"/>
      <c r="AK622" s="76"/>
      <c r="AL622" s="76"/>
      <c r="AM622" s="76"/>
      <c r="AN622" s="76"/>
      <c r="AO622" s="76"/>
      <c r="AP622" s="76"/>
      <c r="AQ622" s="76"/>
      <c r="AR622" s="76"/>
      <c r="AS622" s="76"/>
      <c r="AT622" s="76"/>
      <c r="AU622" s="76"/>
      <c r="AV622" s="76"/>
      <c r="AW622" s="76"/>
    </row>
    <row r="623" spans="1:49" ht="31.5" x14ac:dyDescent="0.25">
      <c r="A623" s="56" t="s">
        <v>61</v>
      </c>
      <c r="B623" s="59">
        <v>46048</v>
      </c>
      <c r="C623" s="59">
        <v>46048</v>
      </c>
      <c r="D623" s="56" t="s">
        <v>30</v>
      </c>
      <c r="E623" s="62">
        <v>0.25</v>
      </c>
      <c r="F623" s="62">
        <v>0.99930555555555556</v>
      </c>
      <c r="G623" s="62">
        <v>3.4722222222222218E-4</v>
      </c>
      <c r="H623" s="56" t="s">
        <v>62</v>
      </c>
      <c r="I623" s="66">
        <v>0.89225694444444448</v>
      </c>
      <c r="J623" s="56" t="s">
        <v>41</v>
      </c>
      <c r="K623" s="56" t="s">
        <v>147</v>
      </c>
      <c r="L623" s="68">
        <v>1</v>
      </c>
      <c r="M623" s="68">
        <v>64407</v>
      </c>
      <c r="N623" s="56" t="s">
        <v>53</v>
      </c>
      <c r="O623" s="68" t="s">
        <v>63</v>
      </c>
      <c r="P623" s="70">
        <v>30</v>
      </c>
      <c r="Q623" s="68"/>
      <c r="R623" s="70">
        <v>30</v>
      </c>
      <c r="S623" s="73">
        <v>46054</v>
      </c>
      <c r="T623" s="70">
        <v>4.5</v>
      </c>
      <c r="U623" s="74">
        <v>4</v>
      </c>
      <c r="V623" s="70">
        <v>25.5</v>
      </c>
      <c r="W623" s="56" t="s">
        <v>47</v>
      </c>
      <c r="X623" s="56" t="s">
        <v>48</v>
      </c>
      <c r="Y623" s="56" t="s">
        <v>36</v>
      </c>
      <c r="Z623" s="56" t="s">
        <v>9</v>
      </c>
      <c r="AA623" s="56" t="s">
        <v>49</v>
      </c>
      <c r="AB623" s="56" t="s">
        <v>64</v>
      </c>
      <c r="AC623" s="56" t="s">
        <v>38</v>
      </c>
      <c r="AD623" s="75" t="s">
        <v>267</v>
      </c>
      <c r="AE623" s="76"/>
      <c r="AF623" s="76"/>
      <c r="AG623" s="76"/>
      <c r="AH623" s="76"/>
      <c r="AI623" s="85"/>
      <c r="AJ623" s="85"/>
      <c r="AK623" s="85"/>
      <c r="AL623" s="85"/>
      <c r="AM623" s="85"/>
      <c r="AN623" s="85"/>
      <c r="AO623" s="85"/>
      <c r="AP623" s="85"/>
      <c r="AQ623" s="85"/>
      <c r="AR623" s="85"/>
      <c r="AS623" s="85"/>
      <c r="AT623" s="85"/>
      <c r="AU623" s="85"/>
      <c r="AV623" s="85"/>
      <c r="AW623" s="85"/>
    </row>
    <row r="624" spans="1:49" ht="31.5" x14ac:dyDescent="0.25">
      <c r="A624" s="56" t="s">
        <v>61</v>
      </c>
      <c r="B624" s="59">
        <v>46049</v>
      </c>
      <c r="C624" s="59">
        <v>46049</v>
      </c>
      <c r="D624" s="56" t="s">
        <v>166</v>
      </c>
      <c r="E624" s="62">
        <v>0.58333333333333337</v>
      </c>
      <c r="F624" s="62">
        <v>0.66666666666666663</v>
      </c>
      <c r="G624" s="62">
        <v>3.4722222222222218E-4</v>
      </c>
      <c r="H624" s="56" t="s">
        <v>180</v>
      </c>
      <c r="I624" s="66">
        <v>0.59114583333333337</v>
      </c>
      <c r="J624" s="56" t="s">
        <v>105</v>
      </c>
      <c r="K624" s="56" t="s">
        <v>154</v>
      </c>
      <c r="L624" s="68">
        <v>1</v>
      </c>
      <c r="M624" s="68">
        <v>64419</v>
      </c>
      <c r="N624" s="56" t="s">
        <v>46</v>
      </c>
      <c r="O624" s="68" t="s">
        <v>63</v>
      </c>
      <c r="P624" s="70">
        <v>0</v>
      </c>
      <c r="Q624" s="68"/>
      <c r="R624" s="70">
        <v>0</v>
      </c>
      <c r="S624" s="73">
        <v>46054</v>
      </c>
      <c r="T624" s="70">
        <v>0</v>
      </c>
      <c r="U624" s="74">
        <v>4</v>
      </c>
      <c r="V624" s="70">
        <v>0</v>
      </c>
      <c r="W624" s="56" t="s">
        <v>47</v>
      </c>
      <c r="X624" s="56" t="s">
        <v>48</v>
      </c>
      <c r="Y624" s="56" t="s">
        <v>36</v>
      </c>
      <c r="Z624" s="56" t="s">
        <v>9</v>
      </c>
      <c r="AA624" s="56" t="s">
        <v>49</v>
      </c>
      <c r="AB624" s="56" t="s">
        <v>64</v>
      </c>
      <c r="AC624" s="56" t="s">
        <v>38</v>
      </c>
      <c r="AD624" s="75" t="s">
        <v>267</v>
      </c>
      <c r="AE624" s="76"/>
      <c r="AF624" s="76"/>
      <c r="AG624" s="76"/>
      <c r="AH624" s="76"/>
      <c r="AI624" s="85"/>
      <c r="AJ624" s="85"/>
      <c r="AK624" s="85"/>
      <c r="AL624" s="85"/>
      <c r="AM624" s="85"/>
      <c r="AN624" s="85"/>
      <c r="AO624" s="85"/>
      <c r="AP624" s="85"/>
      <c r="AQ624" s="85"/>
      <c r="AR624" s="85"/>
      <c r="AS624" s="85"/>
      <c r="AT624" s="85"/>
      <c r="AU624" s="85"/>
      <c r="AV624" s="85"/>
      <c r="AW624" s="85"/>
    </row>
    <row r="625" spans="1:49" ht="31.5" x14ac:dyDescent="0.25">
      <c r="A625" s="56" t="s">
        <v>61</v>
      </c>
      <c r="B625" s="59">
        <v>46050</v>
      </c>
      <c r="C625" s="59">
        <v>46050</v>
      </c>
      <c r="D625" s="56" t="s">
        <v>196</v>
      </c>
      <c r="E625" s="62">
        <v>0.25</v>
      </c>
      <c r="F625" s="62">
        <v>0.99930555555555556</v>
      </c>
      <c r="G625" s="62">
        <v>3.4722222222222218E-4</v>
      </c>
      <c r="H625" s="56" t="s">
        <v>62</v>
      </c>
      <c r="I625" s="66">
        <v>0.33246643518518515</v>
      </c>
      <c r="J625" s="56" t="s">
        <v>41</v>
      </c>
      <c r="K625" s="56" t="s">
        <v>197</v>
      </c>
      <c r="L625" s="68">
        <v>1</v>
      </c>
      <c r="M625" s="68">
        <v>64407</v>
      </c>
      <c r="N625" s="56" t="s">
        <v>53</v>
      </c>
      <c r="O625" s="68" t="s">
        <v>63</v>
      </c>
      <c r="P625" s="70">
        <v>30</v>
      </c>
      <c r="Q625" s="68"/>
      <c r="R625" s="70">
        <v>30</v>
      </c>
      <c r="S625" s="73">
        <v>46054</v>
      </c>
      <c r="T625" s="70">
        <v>4.5</v>
      </c>
      <c r="U625" s="74">
        <v>4</v>
      </c>
      <c r="V625" s="70">
        <v>25.5</v>
      </c>
      <c r="W625" s="56" t="s">
        <v>47</v>
      </c>
      <c r="X625" s="56" t="s">
        <v>48</v>
      </c>
      <c r="Y625" s="56" t="s">
        <v>36</v>
      </c>
      <c r="Z625" s="56" t="s">
        <v>9</v>
      </c>
      <c r="AA625" s="56" t="s">
        <v>49</v>
      </c>
      <c r="AB625" s="56" t="s">
        <v>64</v>
      </c>
      <c r="AC625" s="56" t="s">
        <v>38</v>
      </c>
      <c r="AD625" s="75" t="s">
        <v>267</v>
      </c>
      <c r="AE625" s="76"/>
      <c r="AF625" s="76"/>
      <c r="AG625" s="76"/>
      <c r="AH625" s="76"/>
      <c r="AI625" s="76"/>
      <c r="AJ625" s="76"/>
      <c r="AK625" s="76"/>
      <c r="AL625" s="76"/>
      <c r="AM625" s="76"/>
      <c r="AN625" s="76"/>
      <c r="AO625" s="76"/>
      <c r="AP625" s="76"/>
      <c r="AQ625" s="76"/>
      <c r="AR625" s="76"/>
      <c r="AS625" s="76"/>
      <c r="AT625" s="76"/>
      <c r="AU625" s="76"/>
      <c r="AV625" s="76"/>
      <c r="AW625" s="76"/>
    </row>
    <row r="626" spans="1:49" ht="31.5" x14ac:dyDescent="0.25">
      <c r="A626" s="56" t="s">
        <v>61</v>
      </c>
      <c r="B626" s="59">
        <v>46050</v>
      </c>
      <c r="C626" s="59">
        <v>46050</v>
      </c>
      <c r="D626" s="56" t="s">
        <v>196</v>
      </c>
      <c r="E626" s="62">
        <v>0.45833333333333331</v>
      </c>
      <c r="F626" s="62">
        <v>0.54166666666666663</v>
      </c>
      <c r="G626" s="62">
        <v>3.4722222222222218E-4</v>
      </c>
      <c r="H626" s="56" t="s">
        <v>198</v>
      </c>
      <c r="I626" s="66">
        <v>0.48776817129629629</v>
      </c>
      <c r="J626" s="56" t="s">
        <v>80</v>
      </c>
      <c r="K626" s="56" t="s">
        <v>150</v>
      </c>
      <c r="L626" s="68">
        <v>1</v>
      </c>
      <c r="M626" s="68">
        <v>64416</v>
      </c>
      <c r="N626" s="56" t="s">
        <v>46</v>
      </c>
      <c r="O626" s="68" t="s">
        <v>63</v>
      </c>
      <c r="P626" s="70">
        <v>0</v>
      </c>
      <c r="Q626" s="68"/>
      <c r="R626" s="70">
        <v>0</v>
      </c>
      <c r="S626" s="73">
        <v>46054</v>
      </c>
      <c r="T626" s="70">
        <v>0</v>
      </c>
      <c r="U626" s="74">
        <v>4</v>
      </c>
      <c r="V626" s="70">
        <v>0</v>
      </c>
      <c r="W626" s="56" t="s">
        <v>47</v>
      </c>
      <c r="X626" s="56" t="s">
        <v>48</v>
      </c>
      <c r="Y626" s="56" t="s">
        <v>36</v>
      </c>
      <c r="Z626" s="56" t="s">
        <v>9</v>
      </c>
      <c r="AA626" s="56" t="s">
        <v>49</v>
      </c>
      <c r="AB626" s="56" t="s">
        <v>64</v>
      </c>
      <c r="AC626" s="56" t="s">
        <v>38</v>
      </c>
      <c r="AD626" s="75" t="s">
        <v>267</v>
      </c>
      <c r="AE626" s="76"/>
      <c r="AF626" s="76"/>
      <c r="AG626" s="76"/>
      <c r="AH626" s="76"/>
      <c r="AI626" s="76"/>
      <c r="AJ626" s="76"/>
      <c r="AK626" s="76"/>
      <c r="AL626" s="76"/>
      <c r="AM626" s="76"/>
      <c r="AN626" s="76"/>
      <c r="AO626" s="76"/>
      <c r="AP626" s="76"/>
      <c r="AQ626" s="76"/>
      <c r="AR626" s="76"/>
      <c r="AS626" s="76"/>
      <c r="AT626" s="76"/>
      <c r="AU626" s="76"/>
      <c r="AV626" s="76"/>
      <c r="AW626" s="76"/>
    </row>
    <row r="627" spans="1:49" ht="31.5" x14ac:dyDescent="0.25">
      <c r="A627" s="56" t="s">
        <v>61</v>
      </c>
      <c r="B627" s="59">
        <v>46051</v>
      </c>
      <c r="C627" s="59">
        <v>46051</v>
      </c>
      <c r="D627" s="56" t="s">
        <v>207</v>
      </c>
      <c r="E627" s="62">
        <v>0.25</v>
      </c>
      <c r="F627" s="62">
        <v>0.99930555555555556</v>
      </c>
      <c r="G627" s="62">
        <v>3.4722222222222218E-4</v>
      </c>
      <c r="H627" s="56" t="s">
        <v>62</v>
      </c>
      <c r="I627" s="66">
        <v>0.91514120370370367</v>
      </c>
      <c r="J627" s="56" t="s">
        <v>41</v>
      </c>
      <c r="K627" s="56" t="s">
        <v>147</v>
      </c>
      <c r="L627" s="68">
        <v>1</v>
      </c>
      <c r="M627" s="68">
        <v>64414</v>
      </c>
      <c r="N627" s="56" t="s">
        <v>46</v>
      </c>
      <c r="O627" s="68" t="s">
        <v>63</v>
      </c>
      <c r="P627" s="70">
        <v>0</v>
      </c>
      <c r="Q627" s="68"/>
      <c r="R627" s="70">
        <v>0</v>
      </c>
      <c r="S627" s="73">
        <v>46054</v>
      </c>
      <c r="T627" s="70">
        <v>0</v>
      </c>
      <c r="U627" s="74">
        <v>4</v>
      </c>
      <c r="V627" s="70">
        <v>0</v>
      </c>
      <c r="W627" s="56" t="s">
        <v>47</v>
      </c>
      <c r="X627" s="56" t="s">
        <v>48</v>
      </c>
      <c r="Y627" s="56" t="s">
        <v>36</v>
      </c>
      <c r="Z627" s="56" t="s">
        <v>9</v>
      </c>
      <c r="AA627" s="56" t="s">
        <v>49</v>
      </c>
      <c r="AB627" s="56" t="s">
        <v>64</v>
      </c>
      <c r="AC627" s="56" t="s">
        <v>38</v>
      </c>
      <c r="AD627" s="75" t="s">
        <v>267</v>
      </c>
      <c r="AE627" s="76"/>
      <c r="AF627" s="76"/>
      <c r="AG627" s="76"/>
      <c r="AH627" s="76"/>
      <c r="AI627" s="85"/>
      <c r="AJ627" s="85"/>
      <c r="AK627" s="85"/>
      <c r="AL627" s="85"/>
      <c r="AM627" s="85"/>
      <c r="AN627" s="85"/>
      <c r="AO627" s="85"/>
      <c r="AP627" s="85"/>
      <c r="AQ627" s="85"/>
      <c r="AR627" s="85"/>
      <c r="AS627" s="85"/>
      <c r="AT627" s="85"/>
      <c r="AU627" s="85"/>
      <c r="AV627" s="85"/>
      <c r="AW627" s="85"/>
    </row>
    <row r="628" spans="1:49" ht="31.5" x14ac:dyDescent="0.25">
      <c r="A628" s="56" t="s">
        <v>61</v>
      </c>
      <c r="B628" s="59">
        <v>46051</v>
      </c>
      <c r="C628" s="59">
        <v>46051</v>
      </c>
      <c r="D628" s="56" t="s">
        <v>207</v>
      </c>
      <c r="E628" s="62">
        <v>0.45833333333333331</v>
      </c>
      <c r="F628" s="62">
        <v>0.54166666666666663</v>
      </c>
      <c r="G628" s="62">
        <v>3.4722222222222218E-4</v>
      </c>
      <c r="H628" s="56" t="s">
        <v>198</v>
      </c>
      <c r="I628" s="66">
        <v>0.46598379629629627</v>
      </c>
      <c r="J628" s="56" t="s">
        <v>80</v>
      </c>
      <c r="K628" s="56" t="s">
        <v>175</v>
      </c>
      <c r="L628" s="68">
        <v>1</v>
      </c>
      <c r="M628" s="68">
        <v>64409</v>
      </c>
      <c r="N628" s="56" t="s">
        <v>53</v>
      </c>
      <c r="O628" s="68" t="s">
        <v>63</v>
      </c>
      <c r="P628" s="70">
        <v>30</v>
      </c>
      <c r="Q628" s="68"/>
      <c r="R628" s="70">
        <v>30</v>
      </c>
      <c r="S628" s="73">
        <v>46054</v>
      </c>
      <c r="T628" s="70">
        <v>4.5</v>
      </c>
      <c r="U628" s="74">
        <v>4</v>
      </c>
      <c r="V628" s="70">
        <v>25.5</v>
      </c>
      <c r="W628" s="56" t="s">
        <v>47</v>
      </c>
      <c r="X628" s="56" t="s">
        <v>48</v>
      </c>
      <c r="Y628" s="56" t="s">
        <v>36</v>
      </c>
      <c r="Z628" s="56" t="s">
        <v>9</v>
      </c>
      <c r="AA628" s="56" t="s">
        <v>49</v>
      </c>
      <c r="AB628" s="56" t="s">
        <v>64</v>
      </c>
      <c r="AC628" s="56" t="s">
        <v>38</v>
      </c>
      <c r="AD628" s="75" t="s">
        <v>267</v>
      </c>
      <c r="AE628" s="76"/>
      <c r="AF628" s="76"/>
      <c r="AG628" s="76"/>
      <c r="AH628" s="76"/>
      <c r="AI628" s="76"/>
      <c r="AJ628" s="76"/>
      <c r="AK628" s="76"/>
      <c r="AL628" s="76"/>
      <c r="AM628" s="76"/>
      <c r="AN628" s="76"/>
      <c r="AO628" s="76"/>
      <c r="AP628" s="76"/>
      <c r="AQ628" s="76"/>
      <c r="AR628" s="76"/>
      <c r="AS628" s="76"/>
      <c r="AT628" s="76"/>
      <c r="AU628" s="76"/>
      <c r="AV628" s="76"/>
      <c r="AW628" s="76"/>
    </row>
    <row r="629" spans="1:49" ht="31.5" x14ac:dyDescent="0.25">
      <c r="A629" s="56" t="s">
        <v>61</v>
      </c>
      <c r="B629" s="59">
        <v>46051</v>
      </c>
      <c r="C629" s="59">
        <v>46051</v>
      </c>
      <c r="D629" s="56" t="s">
        <v>207</v>
      </c>
      <c r="E629" s="62">
        <v>0.45833333333333331</v>
      </c>
      <c r="F629" s="62">
        <v>0.54166666666666663</v>
      </c>
      <c r="G629" s="62">
        <v>3.4722222222222218E-4</v>
      </c>
      <c r="H629" s="56" t="s">
        <v>198</v>
      </c>
      <c r="I629" s="66">
        <v>0.50527835648148156</v>
      </c>
      <c r="J629" s="56" t="s">
        <v>80</v>
      </c>
      <c r="K629" s="56" t="s">
        <v>151</v>
      </c>
      <c r="L629" s="68">
        <v>1</v>
      </c>
      <c r="M629" s="68">
        <v>64409</v>
      </c>
      <c r="N629" s="56" t="s">
        <v>53</v>
      </c>
      <c r="O629" s="68" t="s">
        <v>63</v>
      </c>
      <c r="P629" s="70">
        <v>30</v>
      </c>
      <c r="Q629" s="68"/>
      <c r="R629" s="70">
        <v>30</v>
      </c>
      <c r="S629" s="73">
        <v>46054</v>
      </c>
      <c r="T629" s="70">
        <v>4.5</v>
      </c>
      <c r="U629" s="74">
        <v>4</v>
      </c>
      <c r="V629" s="70">
        <v>25.5</v>
      </c>
      <c r="W629" s="56" t="s">
        <v>47</v>
      </c>
      <c r="X629" s="56" t="s">
        <v>48</v>
      </c>
      <c r="Y629" s="56" t="s">
        <v>36</v>
      </c>
      <c r="Z629" s="56" t="s">
        <v>9</v>
      </c>
      <c r="AA629" s="56" t="s">
        <v>49</v>
      </c>
      <c r="AB629" s="56" t="s">
        <v>64</v>
      </c>
      <c r="AC629" s="56" t="s">
        <v>38</v>
      </c>
      <c r="AD629" s="75" t="s">
        <v>267</v>
      </c>
      <c r="AE629" s="76"/>
      <c r="AF629" s="76"/>
      <c r="AG629" s="76"/>
      <c r="AH629" s="76"/>
      <c r="AI629" s="85"/>
      <c r="AJ629" s="85"/>
      <c r="AK629" s="85"/>
      <c r="AL629" s="85"/>
      <c r="AM629" s="85"/>
      <c r="AN629" s="85"/>
      <c r="AO629" s="85"/>
      <c r="AP629" s="85"/>
      <c r="AQ629" s="85"/>
      <c r="AR629" s="85"/>
      <c r="AS629" s="85"/>
      <c r="AT629" s="85"/>
      <c r="AU629" s="85"/>
      <c r="AV629" s="85"/>
      <c r="AW629" s="85"/>
    </row>
    <row r="630" spans="1:49" ht="31.5" x14ac:dyDescent="0.25">
      <c r="A630" s="56" t="s">
        <v>61</v>
      </c>
      <c r="B630" s="59">
        <v>46051</v>
      </c>
      <c r="C630" s="59">
        <v>46051</v>
      </c>
      <c r="D630" s="56" t="s">
        <v>207</v>
      </c>
      <c r="E630" s="62">
        <v>0.58333333333333337</v>
      </c>
      <c r="F630" s="62">
        <v>0.66666666666666663</v>
      </c>
      <c r="G630" s="62">
        <v>3.4722222222222218E-4</v>
      </c>
      <c r="H630" s="56" t="s">
        <v>180</v>
      </c>
      <c r="I630" s="66">
        <v>0.60148310185185183</v>
      </c>
      <c r="J630" s="56" t="s">
        <v>105</v>
      </c>
      <c r="K630" s="56" t="s">
        <v>154</v>
      </c>
      <c r="L630" s="68">
        <v>1</v>
      </c>
      <c r="M630" s="68">
        <v>64419</v>
      </c>
      <c r="N630" s="56" t="s">
        <v>46</v>
      </c>
      <c r="O630" s="68" t="s">
        <v>63</v>
      </c>
      <c r="P630" s="70">
        <v>0</v>
      </c>
      <c r="Q630" s="68"/>
      <c r="R630" s="70">
        <v>0</v>
      </c>
      <c r="S630" s="73">
        <v>46054</v>
      </c>
      <c r="T630" s="70">
        <v>0</v>
      </c>
      <c r="U630" s="74">
        <v>4</v>
      </c>
      <c r="V630" s="70">
        <v>0</v>
      </c>
      <c r="W630" s="56" t="s">
        <v>47</v>
      </c>
      <c r="X630" s="56" t="s">
        <v>48</v>
      </c>
      <c r="Y630" s="56" t="s">
        <v>36</v>
      </c>
      <c r="Z630" s="56" t="s">
        <v>9</v>
      </c>
      <c r="AA630" s="56" t="s">
        <v>49</v>
      </c>
      <c r="AB630" s="56" t="s">
        <v>64</v>
      </c>
      <c r="AC630" s="56" t="s">
        <v>38</v>
      </c>
      <c r="AD630" s="75" t="s">
        <v>267</v>
      </c>
      <c r="AE630" s="80"/>
      <c r="AF630" s="80"/>
      <c r="AG630" s="80"/>
      <c r="AH630" s="80"/>
      <c r="AI630" s="86"/>
      <c r="AJ630" s="86"/>
      <c r="AK630" s="86"/>
      <c r="AL630" s="86"/>
      <c r="AM630" s="86"/>
      <c r="AN630" s="86"/>
      <c r="AO630" s="86"/>
      <c r="AP630" s="86"/>
      <c r="AQ630" s="86"/>
      <c r="AR630" s="86"/>
      <c r="AS630" s="86"/>
      <c r="AT630" s="86"/>
      <c r="AU630" s="86"/>
      <c r="AV630" s="86"/>
      <c r="AW630" s="86"/>
    </row>
    <row r="631" spans="1:49" ht="31.5" x14ac:dyDescent="0.25">
      <c r="A631" s="56" t="s">
        <v>61</v>
      </c>
      <c r="B631" s="59">
        <v>46051</v>
      </c>
      <c r="C631" s="59">
        <v>46051</v>
      </c>
      <c r="D631" s="56" t="s">
        <v>207</v>
      </c>
      <c r="E631" s="62">
        <v>0.58333333333333337</v>
      </c>
      <c r="F631" s="62">
        <v>0.66666666666666663</v>
      </c>
      <c r="G631" s="62">
        <v>3.4722222222222218E-4</v>
      </c>
      <c r="H631" s="56" t="s">
        <v>180</v>
      </c>
      <c r="I631" s="66">
        <v>0.63062604166666658</v>
      </c>
      <c r="J631" s="56" t="s">
        <v>105</v>
      </c>
      <c r="K631" s="56" t="s">
        <v>154</v>
      </c>
      <c r="L631" s="68">
        <v>1</v>
      </c>
      <c r="M631" s="68">
        <v>64413</v>
      </c>
      <c r="N631" s="56" t="s">
        <v>53</v>
      </c>
      <c r="O631" s="68" t="s">
        <v>63</v>
      </c>
      <c r="P631" s="70">
        <v>30</v>
      </c>
      <c r="Q631" s="68"/>
      <c r="R631" s="70">
        <v>30</v>
      </c>
      <c r="S631" s="73">
        <v>46054</v>
      </c>
      <c r="T631" s="70">
        <v>4.5</v>
      </c>
      <c r="U631" s="74">
        <v>4</v>
      </c>
      <c r="V631" s="70">
        <v>25.5</v>
      </c>
      <c r="W631" s="56" t="s">
        <v>47</v>
      </c>
      <c r="X631" s="56" t="s">
        <v>48</v>
      </c>
      <c r="Y631" s="56" t="s">
        <v>36</v>
      </c>
      <c r="Z631" s="56" t="s">
        <v>9</v>
      </c>
      <c r="AA631" s="56" t="s">
        <v>49</v>
      </c>
      <c r="AB631" s="56" t="s">
        <v>64</v>
      </c>
      <c r="AC631" s="56" t="s">
        <v>38</v>
      </c>
      <c r="AD631" s="75" t="s">
        <v>267</v>
      </c>
      <c r="AE631" s="76"/>
      <c r="AF631" s="76"/>
      <c r="AG631" s="76"/>
      <c r="AH631" s="76"/>
      <c r="AI631" s="76"/>
      <c r="AJ631" s="76"/>
      <c r="AK631" s="76"/>
      <c r="AL631" s="76"/>
      <c r="AM631" s="76"/>
      <c r="AN631" s="76"/>
      <c r="AO631" s="76"/>
      <c r="AP631" s="76"/>
      <c r="AQ631" s="76"/>
      <c r="AR631" s="76"/>
      <c r="AS631" s="76"/>
      <c r="AT631" s="76"/>
      <c r="AU631" s="76"/>
      <c r="AV631" s="76"/>
      <c r="AW631" s="76"/>
    </row>
    <row r="632" spans="1:49" ht="31.5" x14ac:dyDescent="0.2">
      <c r="A632" s="56" t="s">
        <v>61</v>
      </c>
      <c r="B632" s="59">
        <v>46051</v>
      </c>
      <c r="C632" s="59">
        <v>46051</v>
      </c>
      <c r="D632" s="56" t="s">
        <v>207</v>
      </c>
      <c r="E632" s="62">
        <v>0.58333333333333337</v>
      </c>
      <c r="F632" s="62">
        <v>0.66666666666666663</v>
      </c>
      <c r="G632" s="62">
        <v>3.4722222222222218E-4</v>
      </c>
      <c r="H632" s="56" t="s">
        <v>180</v>
      </c>
      <c r="I632" s="66">
        <v>0.64367094907407407</v>
      </c>
      <c r="J632" s="56" t="s">
        <v>105</v>
      </c>
      <c r="K632" s="56" t="s">
        <v>154</v>
      </c>
      <c r="L632" s="68">
        <v>1</v>
      </c>
      <c r="M632" s="68">
        <v>64413</v>
      </c>
      <c r="N632" s="56" t="s">
        <v>53</v>
      </c>
      <c r="O632" s="68" t="s">
        <v>63</v>
      </c>
      <c r="P632" s="70">
        <v>30</v>
      </c>
      <c r="Q632" s="68"/>
      <c r="R632" s="70">
        <v>30</v>
      </c>
      <c r="S632" s="73">
        <v>46054</v>
      </c>
      <c r="T632" s="70">
        <v>4.5</v>
      </c>
      <c r="U632" s="74">
        <v>4</v>
      </c>
      <c r="V632" s="70">
        <v>25.5</v>
      </c>
      <c r="W632" s="56" t="s">
        <v>47</v>
      </c>
      <c r="X632" s="56" t="s">
        <v>48</v>
      </c>
      <c r="Y632" s="56" t="s">
        <v>36</v>
      </c>
      <c r="Z632" s="56" t="s">
        <v>9</v>
      </c>
      <c r="AA632" s="56" t="s">
        <v>49</v>
      </c>
      <c r="AB632" s="56" t="s">
        <v>64</v>
      </c>
      <c r="AC632" s="56" t="s">
        <v>38</v>
      </c>
      <c r="AD632" s="75" t="s">
        <v>267</v>
      </c>
      <c r="AE632" s="57"/>
      <c r="AF632" s="57"/>
      <c r="AG632" s="57"/>
      <c r="AH632" s="57"/>
      <c r="AI632" s="57"/>
      <c r="AJ632" s="57"/>
      <c r="AK632" s="57"/>
      <c r="AL632" s="57"/>
      <c r="AM632" s="57"/>
      <c r="AN632" s="57"/>
      <c r="AO632" s="57"/>
      <c r="AP632" s="57"/>
      <c r="AQ632" s="57"/>
      <c r="AR632" s="57"/>
      <c r="AS632" s="57"/>
      <c r="AT632" s="57"/>
      <c r="AU632" s="57"/>
      <c r="AV632" s="57"/>
      <c r="AW632" s="57"/>
    </row>
    <row r="633" spans="1:49" ht="31.5" x14ac:dyDescent="0.2">
      <c r="A633" s="56" t="s">
        <v>61</v>
      </c>
      <c r="B633" s="59">
        <v>46052</v>
      </c>
      <c r="C633" s="59">
        <v>46052</v>
      </c>
      <c r="D633" s="56" t="s">
        <v>217</v>
      </c>
      <c r="E633" s="62">
        <v>0.45833333333333331</v>
      </c>
      <c r="F633" s="62">
        <v>0.54166666666666663</v>
      </c>
      <c r="G633" s="62">
        <v>3.4722222222222218E-4</v>
      </c>
      <c r="H633" s="56" t="s">
        <v>198</v>
      </c>
      <c r="I633" s="66">
        <v>0.47781504629629629</v>
      </c>
      <c r="J633" s="56" t="s">
        <v>80</v>
      </c>
      <c r="K633" s="56" t="s">
        <v>175</v>
      </c>
      <c r="L633" s="68">
        <v>1</v>
      </c>
      <c r="M633" s="68">
        <v>64416</v>
      </c>
      <c r="N633" s="56" t="s">
        <v>46</v>
      </c>
      <c r="O633" s="68" t="s">
        <v>63</v>
      </c>
      <c r="P633" s="70">
        <v>0</v>
      </c>
      <c r="Q633" s="68"/>
      <c r="R633" s="70">
        <v>0</v>
      </c>
      <c r="S633" s="73">
        <v>46054</v>
      </c>
      <c r="T633" s="70">
        <v>0</v>
      </c>
      <c r="U633" s="74">
        <v>4</v>
      </c>
      <c r="V633" s="70">
        <v>0</v>
      </c>
      <c r="W633" s="56" t="s">
        <v>47</v>
      </c>
      <c r="X633" s="56" t="s">
        <v>48</v>
      </c>
      <c r="Y633" s="56" t="s">
        <v>36</v>
      </c>
      <c r="Z633" s="56" t="s">
        <v>9</v>
      </c>
      <c r="AA633" s="56" t="s">
        <v>49</v>
      </c>
      <c r="AB633" s="56" t="s">
        <v>64</v>
      </c>
      <c r="AC633" s="56" t="s">
        <v>38</v>
      </c>
      <c r="AD633" s="75" t="s">
        <v>267</v>
      </c>
      <c r="AE633" s="57"/>
      <c r="AF633" s="57"/>
      <c r="AG633" s="57"/>
      <c r="AH633" s="57"/>
      <c r="AI633" s="57"/>
      <c r="AJ633" s="57"/>
      <c r="AK633" s="57"/>
      <c r="AL633" s="57"/>
      <c r="AM633" s="57"/>
      <c r="AN633" s="57"/>
      <c r="AO633" s="57"/>
      <c r="AP633" s="57"/>
      <c r="AQ633" s="57"/>
      <c r="AR633" s="57"/>
      <c r="AS633" s="57"/>
      <c r="AT633" s="57"/>
      <c r="AU633" s="57"/>
      <c r="AV633" s="57"/>
      <c r="AW633" s="57"/>
    </row>
    <row r="634" spans="1:49" ht="31.5" x14ac:dyDescent="0.25">
      <c r="A634" s="56" t="s">
        <v>61</v>
      </c>
      <c r="B634" s="59">
        <v>46053</v>
      </c>
      <c r="C634" s="59">
        <v>46053</v>
      </c>
      <c r="D634" s="56" t="s">
        <v>224</v>
      </c>
      <c r="E634" s="62">
        <v>0.75</v>
      </c>
      <c r="F634" s="62">
        <v>0.83333333333333337</v>
      </c>
      <c r="G634" s="62">
        <v>3.4722222222222218E-4</v>
      </c>
      <c r="H634" s="56" t="s">
        <v>240</v>
      </c>
      <c r="I634" s="66">
        <v>0.76781504629629627</v>
      </c>
      <c r="J634" s="56" t="s">
        <v>241</v>
      </c>
      <c r="K634" s="56" t="s">
        <v>237</v>
      </c>
      <c r="L634" s="68">
        <v>1</v>
      </c>
      <c r="M634" s="68">
        <v>64418</v>
      </c>
      <c r="N634" s="56" t="s">
        <v>46</v>
      </c>
      <c r="O634" s="68" t="s">
        <v>63</v>
      </c>
      <c r="P634" s="70">
        <v>0</v>
      </c>
      <c r="Q634" s="68"/>
      <c r="R634" s="70">
        <v>0</v>
      </c>
      <c r="S634" s="73">
        <v>46054</v>
      </c>
      <c r="T634" s="70">
        <v>0</v>
      </c>
      <c r="U634" s="74">
        <v>4</v>
      </c>
      <c r="V634" s="70">
        <v>0</v>
      </c>
      <c r="W634" s="56" t="s">
        <v>47</v>
      </c>
      <c r="X634" s="56" t="s">
        <v>48</v>
      </c>
      <c r="Y634" s="56" t="s">
        <v>36</v>
      </c>
      <c r="Z634" s="56" t="s">
        <v>9</v>
      </c>
      <c r="AA634" s="56" t="s">
        <v>49</v>
      </c>
      <c r="AB634" s="56" t="s">
        <v>64</v>
      </c>
      <c r="AC634" s="56" t="s">
        <v>38</v>
      </c>
      <c r="AD634" s="75" t="s">
        <v>267</v>
      </c>
      <c r="AE634" s="76"/>
      <c r="AF634" s="76"/>
      <c r="AG634" s="76"/>
      <c r="AH634" s="76"/>
      <c r="AI634" s="76"/>
      <c r="AJ634" s="76"/>
      <c r="AK634" s="76"/>
      <c r="AL634" s="76"/>
      <c r="AM634" s="76"/>
      <c r="AN634" s="76"/>
      <c r="AO634" s="76"/>
      <c r="AP634" s="76"/>
      <c r="AQ634" s="76"/>
      <c r="AR634" s="76"/>
      <c r="AS634" s="76"/>
      <c r="AT634" s="76"/>
      <c r="AU634" s="76"/>
      <c r="AV634" s="76"/>
      <c r="AW634" s="76"/>
    </row>
    <row r="635" spans="1:49" ht="31.5" x14ac:dyDescent="0.25">
      <c r="A635" s="56" t="s">
        <v>61</v>
      </c>
      <c r="B635" s="59">
        <v>46053</v>
      </c>
      <c r="C635" s="59">
        <v>46053</v>
      </c>
      <c r="D635" s="56" t="s">
        <v>224</v>
      </c>
      <c r="E635" s="62">
        <v>0.75</v>
      </c>
      <c r="F635" s="62">
        <v>0.83333333333333337</v>
      </c>
      <c r="G635" s="62">
        <v>3.4722222222222218E-4</v>
      </c>
      <c r="H635" s="56" t="s">
        <v>240</v>
      </c>
      <c r="I635" s="66">
        <v>0.78449270833333329</v>
      </c>
      <c r="J635" s="56" t="s">
        <v>241</v>
      </c>
      <c r="K635" s="56" t="s">
        <v>237</v>
      </c>
      <c r="L635" s="68">
        <v>1</v>
      </c>
      <c r="M635" s="68">
        <v>64410</v>
      </c>
      <c r="N635" s="56" t="s">
        <v>53</v>
      </c>
      <c r="O635" s="68" t="s">
        <v>63</v>
      </c>
      <c r="P635" s="70">
        <v>30</v>
      </c>
      <c r="Q635" s="68"/>
      <c r="R635" s="70">
        <v>30</v>
      </c>
      <c r="S635" s="73">
        <v>46054</v>
      </c>
      <c r="T635" s="70">
        <v>4.5</v>
      </c>
      <c r="U635" s="74">
        <v>4</v>
      </c>
      <c r="V635" s="70">
        <v>25.5</v>
      </c>
      <c r="W635" s="56" t="s">
        <v>47</v>
      </c>
      <c r="X635" s="56" t="s">
        <v>48</v>
      </c>
      <c r="Y635" s="56" t="s">
        <v>36</v>
      </c>
      <c r="Z635" s="56" t="s">
        <v>9</v>
      </c>
      <c r="AA635" s="56" t="s">
        <v>49</v>
      </c>
      <c r="AB635" s="56" t="s">
        <v>64</v>
      </c>
      <c r="AC635" s="56" t="s">
        <v>38</v>
      </c>
      <c r="AD635" s="75" t="s">
        <v>267</v>
      </c>
      <c r="AE635" s="76"/>
      <c r="AF635" s="76"/>
      <c r="AG635" s="76"/>
      <c r="AH635" s="76"/>
      <c r="AI635" s="76"/>
      <c r="AJ635" s="76"/>
      <c r="AK635" s="76"/>
      <c r="AL635" s="76"/>
      <c r="AM635" s="76"/>
      <c r="AN635" s="76"/>
      <c r="AO635" s="76"/>
      <c r="AP635" s="76"/>
      <c r="AQ635" s="76"/>
      <c r="AR635" s="76"/>
      <c r="AS635" s="76"/>
      <c r="AT635" s="76"/>
      <c r="AU635" s="76"/>
      <c r="AV635" s="76"/>
      <c r="AW635" s="76"/>
    </row>
    <row r="636" spans="1:49" ht="31.5" x14ac:dyDescent="0.25">
      <c r="A636" s="56" t="s">
        <v>61</v>
      </c>
      <c r="B636" s="59">
        <v>46054</v>
      </c>
      <c r="C636" s="59">
        <v>46054</v>
      </c>
      <c r="D636" s="56" t="s">
        <v>249</v>
      </c>
      <c r="E636" s="62">
        <v>0.25</v>
      </c>
      <c r="F636" s="62">
        <v>0.99930555555555556</v>
      </c>
      <c r="G636" s="62">
        <v>3.4722222222222218E-4</v>
      </c>
      <c r="H636" s="56" t="s">
        <v>62</v>
      </c>
      <c r="I636" s="66">
        <v>0.96378530092592596</v>
      </c>
      <c r="J636" s="56" t="s">
        <v>41</v>
      </c>
      <c r="K636" s="56" t="s">
        <v>215</v>
      </c>
      <c r="L636" s="68">
        <v>1</v>
      </c>
      <c r="M636" s="68">
        <v>64414</v>
      </c>
      <c r="N636" s="56" t="s">
        <v>46</v>
      </c>
      <c r="O636" s="68" t="s">
        <v>63</v>
      </c>
      <c r="P636" s="70">
        <v>0</v>
      </c>
      <c r="Q636" s="68"/>
      <c r="R636" s="70">
        <v>0</v>
      </c>
      <c r="S636" s="73">
        <v>46054</v>
      </c>
      <c r="T636" s="70">
        <v>0</v>
      </c>
      <c r="U636" s="74">
        <v>4</v>
      </c>
      <c r="V636" s="70">
        <v>0</v>
      </c>
      <c r="W636" s="56" t="s">
        <v>47</v>
      </c>
      <c r="X636" s="56" t="s">
        <v>48</v>
      </c>
      <c r="Y636" s="56" t="s">
        <v>36</v>
      </c>
      <c r="Z636" s="56" t="s">
        <v>9</v>
      </c>
      <c r="AA636" s="56" t="s">
        <v>49</v>
      </c>
      <c r="AB636" s="56" t="s">
        <v>64</v>
      </c>
      <c r="AC636" s="56" t="s">
        <v>38</v>
      </c>
      <c r="AD636" s="75" t="s">
        <v>267</v>
      </c>
      <c r="AE636" s="80"/>
      <c r="AF636" s="80"/>
      <c r="AG636" s="80"/>
      <c r="AH636" s="80"/>
      <c r="AI636" s="86"/>
      <c r="AJ636" s="86"/>
      <c r="AK636" s="86"/>
      <c r="AL636" s="86"/>
      <c r="AM636" s="86"/>
      <c r="AN636" s="86"/>
      <c r="AO636" s="86"/>
      <c r="AP636" s="86"/>
      <c r="AQ636" s="86"/>
      <c r="AR636" s="86"/>
      <c r="AS636" s="86"/>
      <c r="AT636" s="86"/>
      <c r="AU636" s="86"/>
      <c r="AV636" s="86"/>
      <c r="AW636" s="86"/>
    </row>
    <row r="637" spans="1:49" ht="31.5" x14ac:dyDescent="0.25">
      <c r="A637" s="56" t="s">
        <v>61</v>
      </c>
      <c r="B637" s="59">
        <v>46054</v>
      </c>
      <c r="C637" s="59">
        <v>46054</v>
      </c>
      <c r="D637" s="56" t="s">
        <v>249</v>
      </c>
      <c r="E637" s="62">
        <v>0.75</v>
      </c>
      <c r="F637" s="62">
        <v>0.83333333333333337</v>
      </c>
      <c r="G637" s="62">
        <v>3.4722222222222218E-4</v>
      </c>
      <c r="H637" s="56" t="s">
        <v>240</v>
      </c>
      <c r="I637" s="66">
        <v>0.76218773148148156</v>
      </c>
      <c r="J637" s="56" t="s">
        <v>241</v>
      </c>
      <c r="K637" s="56" t="s">
        <v>237</v>
      </c>
      <c r="L637" s="68">
        <v>1</v>
      </c>
      <c r="M637" s="68">
        <v>64418</v>
      </c>
      <c r="N637" s="56" t="s">
        <v>46</v>
      </c>
      <c r="O637" s="68" t="s">
        <v>63</v>
      </c>
      <c r="P637" s="70">
        <v>0</v>
      </c>
      <c r="Q637" s="68"/>
      <c r="R637" s="70">
        <v>0</v>
      </c>
      <c r="S637" s="73">
        <v>46054</v>
      </c>
      <c r="T637" s="70">
        <v>0</v>
      </c>
      <c r="U637" s="74">
        <v>4</v>
      </c>
      <c r="V637" s="70">
        <v>0</v>
      </c>
      <c r="W637" s="56" t="s">
        <v>47</v>
      </c>
      <c r="X637" s="56" t="s">
        <v>48</v>
      </c>
      <c r="Y637" s="56" t="s">
        <v>36</v>
      </c>
      <c r="Z637" s="56" t="s">
        <v>9</v>
      </c>
      <c r="AA637" s="56" t="s">
        <v>49</v>
      </c>
      <c r="AB637" s="56" t="s">
        <v>64</v>
      </c>
      <c r="AC637" s="56" t="s">
        <v>38</v>
      </c>
      <c r="AD637" s="75" t="s">
        <v>267</v>
      </c>
      <c r="AE637" s="76"/>
      <c r="AF637" s="76"/>
      <c r="AG637" s="76"/>
      <c r="AH637" s="76"/>
      <c r="AI637" s="85"/>
      <c r="AJ637" s="85"/>
      <c r="AK637" s="85"/>
      <c r="AL637" s="85"/>
      <c r="AM637" s="85"/>
      <c r="AN637" s="85"/>
      <c r="AO637" s="85"/>
      <c r="AP637" s="85"/>
      <c r="AQ637" s="85"/>
      <c r="AR637" s="85"/>
      <c r="AS637" s="85"/>
      <c r="AT637" s="85"/>
      <c r="AU637" s="85"/>
      <c r="AV637" s="85"/>
      <c r="AW637" s="85"/>
    </row>
    <row r="638" spans="1:49" ht="31.5" x14ac:dyDescent="0.25">
      <c r="A638" s="56" t="s">
        <v>61</v>
      </c>
      <c r="B638" s="59">
        <v>46054</v>
      </c>
      <c r="C638" s="59">
        <v>46054</v>
      </c>
      <c r="D638" s="56" t="s">
        <v>249</v>
      </c>
      <c r="E638" s="62">
        <v>0.75</v>
      </c>
      <c r="F638" s="62">
        <v>0.83333333333333337</v>
      </c>
      <c r="G638" s="62">
        <v>3.4722222222222218E-4</v>
      </c>
      <c r="H638" s="56" t="s">
        <v>240</v>
      </c>
      <c r="I638" s="66">
        <v>0.79124097222222223</v>
      </c>
      <c r="J638" s="56" t="s">
        <v>241</v>
      </c>
      <c r="K638" s="56" t="s">
        <v>237</v>
      </c>
      <c r="L638" s="68">
        <v>1</v>
      </c>
      <c r="M638" s="68">
        <v>64410</v>
      </c>
      <c r="N638" s="56" t="s">
        <v>53</v>
      </c>
      <c r="O638" s="68" t="s">
        <v>63</v>
      </c>
      <c r="P638" s="70">
        <v>30</v>
      </c>
      <c r="Q638" s="68"/>
      <c r="R638" s="70">
        <v>30</v>
      </c>
      <c r="S638" s="73">
        <v>46054</v>
      </c>
      <c r="T638" s="70">
        <v>4.5</v>
      </c>
      <c r="U638" s="74">
        <v>4</v>
      </c>
      <c r="V638" s="70">
        <v>25.5</v>
      </c>
      <c r="W638" s="56" t="s">
        <v>47</v>
      </c>
      <c r="X638" s="56" t="s">
        <v>48</v>
      </c>
      <c r="Y638" s="56" t="s">
        <v>36</v>
      </c>
      <c r="Z638" s="56" t="s">
        <v>9</v>
      </c>
      <c r="AA638" s="56" t="s">
        <v>49</v>
      </c>
      <c r="AB638" s="56" t="s">
        <v>64</v>
      </c>
      <c r="AC638" s="56" t="s">
        <v>38</v>
      </c>
      <c r="AD638" s="75" t="s">
        <v>267</v>
      </c>
      <c r="AE638" s="76"/>
      <c r="AF638" s="76"/>
      <c r="AG638" s="76"/>
      <c r="AH638" s="76"/>
      <c r="AI638" s="86"/>
      <c r="AJ638" s="86"/>
      <c r="AK638" s="86"/>
      <c r="AL638" s="86"/>
      <c r="AM638" s="86"/>
      <c r="AN638" s="86"/>
      <c r="AO638" s="86"/>
      <c r="AP638" s="86"/>
      <c r="AQ638" s="86"/>
      <c r="AR638" s="86"/>
      <c r="AS638" s="86"/>
      <c r="AT638" s="86"/>
      <c r="AU638" s="86"/>
      <c r="AV638" s="86"/>
      <c r="AW638" s="86"/>
    </row>
    <row r="639" spans="1:49" ht="31.5" x14ac:dyDescent="0.2">
      <c r="A639" s="56" t="s">
        <v>61</v>
      </c>
      <c r="B639" s="59">
        <v>46054</v>
      </c>
      <c r="C639" s="59">
        <v>46054</v>
      </c>
      <c r="D639" s="56" t="s">
        <v>249</v>
      </c>
      <c r="E639" s="62">
        <v>0.75</v>
      </c>
      <c r="F639" s="62">
        <v>0.83333333333333337</v>
      </c>
      <c r="G639" s="62">
        <v>3.4722222222222218E-4</v>
      </c>
      <c r="H639" s="56" t="s">
        <v>240</v>
      </c>
      <c r="I639" s="66">
        <v>0.83206249999999993</v>
      </c>
      <c r="J639" s="56" t="s">
        <v>241</v>
      </c>
      <c r="K639" s="56" t="s">
        <v>247</v>
      </c>
      <c r="L639" s="68">
        <v>1</v>
      </c>
      <c r="M639" s="68">
        <v>64410</v>
      </c>
      <c r="N639" s="56" t="s">
        <v>53</v>
      </c>
      <c r="O639" s="68" t="s">
        <v>63</v>
      </c>
      <c r="P639" s="70">
        <v>30</v>
      </c>
      <c r="Q639" s="68"/>
      <c r="R639" s="70">
        <v>30</v>
      </c>
      <c r="S639" s="73">
        <v>46054</v>
      </c>
      <c r="T639" s="70">
        <v>4.5</v>
      </c>
      <c r="U639" s="74">
        <v>4</v>
      </c>
      <c r="V639" s="70">
        <v>25.5</v>
      </c>
      <c r="W639" s="56" t="s">
        <v>47</v>
      </c>
      <c r="X639" s="56" t="s">
        <v>48</v>
      </c>
      <c r="Y639" s="56" t="s">
        <v>36</v>
      </c>
      <c r="Z639" s="56" t="s">
        <v>9</v>
      </c>
      <c r="AA639" s="56" t="s">
        <v>49</v>
      </c>
      <c r="AB639" s="56" t="s">
        <v>64</v>
      </c>
      <c r="AC639" s="56" t="s">
        <v>38</v>
      </c>
      <c r="AD639" s="75" t="s">
        <v>267</v>
      </c>
      <c r="AE639" s="57"/>
      <c r="AF639" s="57"/>
      <c r="AG639" s="57"/>
      <c r="AH639" s="57"/>
      <c r="AI639" s="57"/>
      <c r="AJ639" s="57"/>
      <c r="AK639" s="57"/>
      <c r="AL639" s="57"/>
      <c r="AM639" s="57"/>
      <c r="AN639" s="57"/>
      <c r="AO639" s="57"/>
      <c r="AP639" s="57"/>
      <c r="AQ639" s="57"/>
      <c r="AR639" s="57"/>
      <c r="AS639" s="57"/>
      <c r="AT639" s="57"/>
      <c r="AU639" s="57"/>
      <c r="AV639" s="57"/>
      <c r="AW639" s="57"/>
    </row>
    <row r="640" spans="1:49" ht="31.5" x14ac:dyDescent="0.25">
      <c r="A640" s="57" t="s">
        <v>123</v>
      </c>
      <c r="B640" s="60">
        <v>46048</v>
      </c>
      <c r="C640" s="60">
        <v>46048</v>
      </c>
      <c r="D640" s="61" t="s">
        <v>30</v>
      </c>
      <c r="E640" s="63">
        <v>0.6875</v>
      </c>
      <c r="F640" s="63">
        <v>0.70833333333333337</v>
      </c>
      <c r="G640" s="63">
        <v>2.0833333333333332E-2</v>
      </c>
      <c r="H640" s="57" t="s">
        <v>124</v>
      </c>
      <c r="I640" s="67"/>
      <c r="J640" s="57" t="s">
        <v>120</v>
      </c>
      <c r="K640" s="57"/>
      <c r="L640" s="69">
        <v>1</v>
      </c>
      <c r="M640" s="69">
        <v>1</v>
      </c>
      <c r="N640" s="57" t="s">
        <v>33</v>
      </c>
      <c r="O640" s="57"/>
      <c r="P640" s="42">
        <v>0</v>
      </c>
      <c r="Q640" s="69"/>
      <c r="R640" s="42">
        <v>0</v>
      </c>
      <c r="S640" s="57">
        <v>46054</v>
      </c>
      <c r="T640" s="42">
        <v>0</v>
      </c>
      <c r="U640" s="69">
        <v>2</v>
      </c>
      <c r="V640" s="42">
        <v>0</v>
      </c>
      <c r="W640" s="57" t="s">
        <v>34</v>
      </c>
      <c r="X640" s="57" t="s">
        <v>42</v>
      </c>
      <c r="Y640" s="57" t="s">
        <v>36</v>
      </c>
      <c r="Z640" s="57" t="s">
        <v>43</v>
      </c>
      <c r="AA640" s="57" t="s">
        <v>37</v>
      </c>
      <c r="AB640" s="57" t="s">
        <v>37</v>
      </c>
      <c r="AC640" s="57" t="s">
        <v>38</v>
      </c>
      <c r="AD640" s="75" t="s">
        <v>267</v>
      </c>
      <c r="AE640" s="76"/>
      <c r="AF640" s="76"/>
      <c r="AG640" s="76"/>
      <c r="AH640" s="76"/>
      <c r="AI640" s="76"/>
      <c r="AJ640" s="76"/>
      <c r="AK640" s="76"/>
      <c r="AL640" s="76"/>
      <c r="AM640" s="76"/>
      <c r="AN640" s="76"/>
      <c r="AO640" s="76"/>
      <c r="AP640" s="76"/>
      <c r="AQ640" s="76"/>
      <c r="AR640" s="76"/>
      <c r="AS640" s="76"/>
      <c r="AT640" s="76"/>
      <c r="AU640" s="76"/>
      <c r="AV640" s="76"/>
      <c r="AW640" s="76"/>
    </row>
    <row r="641" spans="1:49" ht="31.5" x14ac:dyDescent="0.25">
      <c r="A641" s="57" t="s">
        <v>123</v>
      </c>
      <c r="B641" s="60">
        <v>46048</v>
      </c>
      <c r="C641" s="60">
        <v>46048</v>
      </c>
      <c r="D641" s="61" t="s">
        <v>30</v>
      </c>
      <c r="E641" s="63">
        <v>0.75</v>
      </c>
      <c r="F641" s="63">
        <v>0.77083333333333337</v>
      </c>
      <c r="G641" s="63">
        <v>2.0833333333333332E-2</v>
      </c>
      <c r="H641" s="57" t="s">
        <v>126</v>
      </c>
      <c r="I641" s="67"/>
      <c r="J641" s="57" t="s">
        <v>120</v>
      </c>
      <c r="K641" s="57"/>
      <c r="L641" s="69">
        <v>1</v>
      </c>
      <c r="M641" s="69">
        <v>1</v>
      </c>
      <c r="N641" s="57" t="s">
        <v>33</v>
      </c>
      <c r="O641" s="57"/>
      <c r="P641" s="42">
        <v>0</v>
      </c>
      <c r="Q641" s="69"/>
      <c r="R641" s="42">
        <v>0</v>
      </c>
      <c r="S641" s="57">
        <v>46054</v>
      </c>
      <c r="T641" s="42">
        <v>0</v>
      </c>
      <c r="U641" s="69">
        <v>2</v>
      </c>
      <c r="V641" s="42">
        <v>0</v>
      </c>
      <c r="W641" s="57" t="s">
        <v>34</v>
      </c>
      <c r="X641" s="57" t="s">
        <v>42</v>
      </c>
      <c r="Y641" s="57" t="s">
        <v>36</v>
      </c>
      <c r="Z641" s="57" t="s">
        <v>43</v>
      </c>
      <c r="AA641" s="57" t="s">
        <v>37</v>
      </c>
      <c r="AB641" s="57" t="s">
        <v>37</v>
      </c>
      <c r="AC641" s="57" t="s">
        <v>38</v>
      </c>
      <c r="AD641" s="75" t="s">
        <v>267</v>
      </c>
      <c r="AE641" s="76"/>
      <c r="AF641" s="76"/>
      <c r="AG641" s="76"/>
      <c r="AH641" s="76"/>
      <c r="AI641" s="76"/>
      <c r="AJ641" s="76"/>
      <c r="AK641" s="76"/>
      <c r="AL641" s="76"/>
      <c r="AM641" s="76"/>
      <c r="AN641" s="76"/>
      <c r="AO641" s="76"/>
      <c r="AP641" s="76"/>
      <c r="AQ641" s="76"/>
      <c r="AR641" s="76"/>
      <c r="AS641" s="76"/>
      <c r="AT641" s="76"/>
      <c r="AU641" s="76"/>
      <c r="AV641" s="76"/>
      <c r="AW641" s="76"/>
    </row>
    <row r="642" spans="1:49" ht="31.5" x14ac:dyDescent="0.25">
      <c r="A642" s="57" t="s">
        <v>123</v>
      </c>
      <c r="B642" s="60">
        <v>46048</v>
      </c>
      <c r="C642" s="60">
        <v>46048</v>
      </c>
      <c r="D642" s="61" t="s">
        <v>30</v>
      </c>
      <c r="E642" s="63">
        <v>0.77083333333333337</v>
      </c>
      <c r="F642" s="63">
        <v>0.79166666666666663</v>
      </c>
      <c r="G642" s="63">
        <v>2.0833333333333332E-2</v>
      </c>
      <c r="H642" s="57" t="s">
        <v>124</v>
      </c>
      <c r="I642" s="67"/>
      <c r="J642" s="57" t="s">
        <v>120</v>
      </c>
      <c r="K642" s="57"/>
      <c r="L642" s="69">
        <v>1</v>
      </c>
      <c r="M642" s="69">
        <v>1</v>
      </c>
      <c r="N642" s="57" t="s">
        <v>33</v>
      </c>
      <c r="O642" s="57"/>
      <c r="P642" s="42">
        <v>0</v>
      </c>
      <c r="Q642" s="69"/>
      <c r="R642" s="42">
        <v>0</v>
      </c>
      <c r="S642" s="57">
        <v>46054</v>
      </c>
      <c r="T642" s="42">
        <v>0</v>
      </c>
      <c r="U642" s="69">
        <v>2</v>
      </c>
      <c r="V642" s="42">
        <v>0</v>
      </c>
      <c r="W642" s="57" t="s">
        <v>34</v>
      </c>
      <c r="X642" s="57" t="s">
        <v>42</v>
      </c>
      <c r="Y642" s="57" t="s">
        <v>36</v>
      </c>
      <c r="Z642" s="57" t="s">
        <v>43</v>
      </c>
      <c r="AA642" s="57" t="s">
        <v>37</v>
      </c>
      <c r="AB642" s="57" t="s">
        <v>37</v>
      </c>
      <c r="AC642" s="57" t="s">
        <v>38</v>
      </c>
      <c r="AD642" s="75" t="s">
        <v>267</v>
      </c>
      <c r="AE642" s="76"/>
      <c r="AF642" s="76"/>
      <c r="AG642" s="76"/>
      <c r="AH642" s="76"/>
      <c r="AI642" s="76"/>
      <c r="AJ642" s="76"/>
      <c r="AK642" s="76"/>
      <c r="AL642" s="76"/>
      <c r="AM642" s="76"/>
      <c r="AN642" s="76"/>
      <c r="AO642" s="76"/>
      <c r="AP642" s="76"/>
      <c r="AQ642" s="76"/>
      <c r="AR642" s="76"/>
      <c r="AS642" s="76"/>
      <c r="AT642" s="76"/>
      <c r="AU642" s="76"/>
      <c r="AV642" s="76"/>
      <c r="AW642" s="76"/>
    </row>
    <row r="643" spans="1:49" ht="31.5" x14ac:dyDescent="0.25">
      <c r="A643" s="57" t="s">
        <v>123</v>
      </c>
      <c r="B643" s="60">
        <v>46049</v>
      </c>
      <c r="C643" s="60">
        <v>46049</v>
      </c>
      <c r="D643" s="61" t="s">
        <v>166</v>
      </c>
      <c r="E643" s="63">
        <v>0.6875</v>
      </c>
      <c r="F643" s="63">
        <v>0.70833333333333337</v>
      </c>
      <c r="G643" s="63">
        <v>2.0833333333333332E-2</v>
      </c>
      <c r="H643" s="57" t="s">
        <v>124</v>
      </c>
      <c r="I643" s="67"/>
      <c r="J643" s="57" t="s">
        <v>120</v>
      </c>
      <c r="K643" s="57"/>
      <c r="L643" s="69">
        <v>1</v>
      </c>
      <c r="M643" s="69">
        <v>1</v>
      </c>
      <c r="N643" s="57" t="s">
        <v>33</v>
      </c>
      <c r="O643" s="57"/>
      <c r="P643" s="42">
        <v>0</v>
      </c>
      <c r="Q643" s="69"/>
      <c r="R643" s="42">
        <v>0</v>
      </c>
      <c r="S643" s="57">
        <v>46054</v>
      </c>
      <c r="T643" s="42">
        <v>0</v>
      </c>
      <c r="U643" s="69">
        <v>2</v>
      </c>
      <c r="V643" s="42">
        <v>0</v>
      </c>
      <c r="W643" s="57" t="s">
        <v>34</v>
      </c>
      <c r="X643" s="57" t="s">
        <v>42</v>
      </c>
      <c r="Y643" s="57" t="s">
        <v>36</v>
      </c>
      <c r="Z643" s="57" t="s">
        <v>43</v>
      </c>
      <c r="AA643" s="57" t="s">
        <v>37</v>
      </c>
      <c r="AB643" s="57" t="s">
        <v>37</v>
      </c>
      <c r="AC643" s="57" t="s">
        <v>38</v>
      </c>
      <c r="AD643" s="75" t="s">
        <v>267</v>
      </c>
      <c r="AE643" s="76"/>
      <c r="AF643" s="76"/>
      <c r="AG643" s="76"/>
      <c r="AH643" s="76"/>
      <c r="AI643" s="76"/>
      <c r="AJ643" s="76"/>
      <c r="AK643" s="76"/>
      <c r="AL643" s="76"/>
      <c r="AM643" s="76"/>
      <c r="AN643" s="76"/>
      <c r="AO643" s="76"/>
      <c r="AP643" s="76"/>
      <c r="AQ643" s="76"/>
      <c r="AR643" s="76"/>
      <c r="AS643" s="76"/>
      <c r="AT643" s="76"/>
      <c r="AU643" s="76"/>
      <c r="AV643" s="76"/>
      <c r="AW643" s="76"/>
    </row>
    <row r="644" spans="1:49" ht="31.5" x14ac:dyDescent="0.25">
      <c r="A644" s="57" t="s">
        <v>123</v>
      </c>
      <c r="B644" s="60">
        <v>46049</v>
      </c>
      <c r="C644" s="60">
        <v>46049</v>
      </c>
      <c r="D644" s="61" t="s">
        <v>166</v>
      </c>
      <c r="E644" s="63">
        <v>0.75</v>
      </c>
      <c r="F644" s="63">
        <v>0.77083333333333337</v>
      </c>
      <c r="G644" s="63">
        <v>2.0833333333333332E-2</v>
      </c>
      <c r="H644" s="57" t="s">
        <v>126</v>
      </c>
      <c r="I644" s="67"/>
      <c r="J644" s="57" t="s">
        <v>120</v>
      </c>
      <c r="K644" s="57"/>
      <c r="L644" s="69">
        <v>1</v>
      </c>
      <c r="M644" s="69">
        <v>1</v>
      </c>
      <c r="N644" s="57" t="s">
        <v>33</v>
      </c>
      <c r="O644" s="57"/>
      <c r="P644" s="42">
        <v>0</v>
      </c>
      <c r="Q644" s="69"/>
      <c r="R644" s="42">
        <v>0</v>
      </c>
      <c r="S644" s="57">
        <v>46054</v>
      </c>
      <c r="T644" s="42">
        <v>0</v>
      </c>
      <c r="U644" s="69">
        <v>2</v>
      </c>
      <c r="V644" s="42">
        <v>0</v>
      </c>
      <c r="W644" s="57" t="s">
        <v>34</v>
      </c>
      <c r="X644" s="57" t="s">
        <v>42</v>
      </c>
      <c r="Y644" s="57" t="s">
        <v>36</v>
      </c>
      <c r="Z644" s="57" t="s">
        <v>43</v>
      </c>
      <c r="AA644" s="57" t="s">
        <v>37</v>
      </c>
      <c r="AB644" s="57" t="s">
        <v>37</v>
      </c>
      <c r="AC644" s="57" t="s">
        <v>38</v>
      </c>
      <c r="AD644" s="75" t="s">
        <v>267</v>
      </c>
      <c r="AE644" s="76"/>
      <c r="AF644" s="76"/>
      <c r="AG644" s="76"/>
      <c r="AH644" s="76"/>
      <c r="AI644" s="76"/>
      <c r="AJ644" s="76"/>
      <c r="AK644" s="76"/>
      <c r="AL644" s="76"/>
      <c r="AM644" s="76"/>
      <c r="AN644" s="76"/>
      <c r="AO644" s="76"/>
      <c r="AP644" s="76"/>
      <c r="AQ644" s="76"/>
      <c r="AR644" s="76"/>
      <c r="AS644" s="76"/>
      <c r="AT644" s="76"/>
      <c r="AU644" s="76"/>
      <c r="AV644" s="76"/>
      <c r="AW644" s="76"/>
    </row>
    <row r="645" spans="1:49" ht="31.5" x14ac:dyDescent="0.25">
      <c r="A645" s="57" t="s">
        <v>123</v>
      </c>
      <c r="B645" s="60">
        <v>46049</v>
      </c>
      <c r="C645" s="60">
        <v>46049</v>
      </c>
      <c r="D645" s="61" t="s">
        <v>166</v>
      </c>
      <c r="E645" s="63">
        <v>0.77083333333333337</v>
      </c>
      <c r="F645" s="63">
        <v>0.79166666666666663</v>
      </c>
      <c r="G645" s="63">
        <v>2.0833333333333332E-2</v>
      </c>
      <c r="H645" s="57" t="s">
        <v>124</v>
      </c>
      <c r="I645" s="67"/>
      <c r="J645" s="57" t="s">
        <v>120</v>
      </c>
      <c r="K645" s="57"/>
      <c r="L645" s="69">
        <v>1</v>
      </c>
      <c r="M645" s="69">
        <v>1</v>
      </c>
      <c r="N645" s="57" t="s">
        <v>33</v>
      </c>
      <c r="O645" s="57"/>
      <c r="P645" s="42">
        <v>0</v>
      </c>
      <c r="Q645" s="69"/>
      <c r="R645" s="42">
        <v>0</v>
      </c>
      <c r="S645" s="57">
        <v>46054</v>
      </c>
      <c r="T645" s="42">
        <v>0</v>
      </c>
      <c r="U645" s="69">
        <v>2</v>
      </c>
      <c r="V645" s="42">
        <v>0</v>
      </c>
      <c r="W645" s="57" t="s">
        <v>34</v>
      </c>
      <c r="X645" s="57" t="s">
        <v>42</v>
      </c>
      <c r="Y645" s="57" t="s">
        <v>36</v>
      </c>
      <c r="Z645" s="57" t="s">
        <v>43</v>
      </c>
      <c r="AA645" s="57" t="s">
        <v>37</v>
      </c>
      <c r="AB645" s="57" t="s">
        <v>37</v>
      </c>
      <c r="AC645" s="57" t="s">
        <v>38</v>
      </c>
      <c r="AD645" s="75" t="s">
        <v>267</v>
      </c>
      <c r="AE645" s="76"/>
      <c r="AF645" s="76"/>
      <c r="AG645" s="76"/>
      <c r="AH645" s="76"/>
      <c r="AI645" s="76"/>
      <c r="AJ645" s="76"/>
      <c r="AK645" s="76"/>
      <c r="AL645" s="76"/>
      <c r="AM645" s="76"/>
      <c r="AN645" s="76"/>
      <c r="AO645" s="76"/>
      <c r="AP645" s="76"/>
      <c r="AQ645" s="76"/>
      <c r="AR645" s="76"/>
      <c r="AS645" s="76"/>
      <c r="AT645" s="76"/>
      <c r="AU645" s="76"/>
      <c r="AV645" s="76"/>
      <c r="AW645" s="76"/>
    </row>
    <row r="646" spans="1:49" ht="31.5" x14ac:dyDescent="0.25">
      <c r="A646" s="57" t="s">
        <v>123</v>
      </c>
      <c r="B646" s="60">
        <v>46050</v>
      </c>
      <c r="C646" s="60">
        <v>46050</v>
      </c>
      <c r="D646" s="61" t="s">
        <v>196</v>
      </c>
      <c r="E646" s="63">
        <v>0.6875</v>
      </c>
      <c r="F646" s="63">
        <v>0.70833333333333337</v>
      </c>
      <c r="G646" s="63">
        <v>2.0833333333333332E-2</v>
      </c>
      <c r="H646" s="57" t="s">
        <v>124</v>
      </c>
      <c r="I646" s="67"/>
      <c r="J646" s="57" t="s">
        <v>120</v>
      </c>
      <c r="K646" s="57"/>
      <c r="L646" s="69">
        <v>1</v>
      </c>
      <c r="M646" s="69">
        <v>1</v>
      </c>
      <c r="N646" s="57" t="s">
        <v>33</v>
      </c>
      <c r="O646" s="57"/>
      <c r="P646" s="42">
        <v>0</v>
      </c>
      <c r="Q646" s="69"/>
      <c r="R646" s="42">
        <v>0</v>
      </c>
      <c r="S646" s="57">
        <v>46054</v>
      </c>
      <c r="T646" s="42">
        <v>0</v>
      </c>
      <c r="U646" s="69">
        <v>2</v>
      </c>
      <c r="V646" s="42">
        <v>0</v>
      </c>
      <c r="W646" s="57" t="s">
        <v>34</v>
      </c>
      <c r="X646" s="57" t="s">
        <v>42</v>
      </c>
      <c r="Y646" s="57" t="s">
        <v>36</v>
      </c>
      <c r="Z646" s="57" t="s">
        <v>43</v>
      </c>
      <c r="AA646" s="57" t="s">
        <v>37</v>
      </c>
      <c r="AB646" s="57" t="s">
        <v>37</v>
      </c>
      <c r="AC646" s="57" t="s">
        <v>38</v>
      </c>
      <c r="AD646" s="75" t="s">
        <v>267</v>
      </c>
      <c r="AE646" s="82"/>
      <c r="AF646" s="82"/>
      <c r="AG646" s="82"/>
      <c r="AH646" s="82"/>
      <c r="AI646" s="86"/>
      <c r="AJ646" s="86"/>
      <c r="AK646" s="86"/>
      <c r="AL646" s="86"/>
      <c r="AM646" s="86"/>
      <c r="AN646" s="86"/>
      <c r="AO646" s="86"/>
      <c r="AP646" s="86"/>
      <c r="AQ646" s="86"/>
      <c r="AR646" s="86"/>
      <c r="AS646" s="86"/>
      <c r="AT646" s="86"/>
      <c r="AU646" s="86"/>
      <c r="AV646" s="86"/>
      <c r="AW646" s="86"/>
    </row>
    <row r="647" spans="1:49" ht="31.5" x14ac:dyDescent="0.2">
      <c r="A647" s="57" t="s">
        <v>123</v>
      </c>
      <c r="B647" s="60">
        <v>46050</v>
      </c>
      <c r="C647" s="60">
        <v>46050</v>
      </c>
      <c r="D647" s="61" t="s">
        <v>196</v>
      </c>
      <c r="E647" s="63">
        <v>0.75</v>
      </c>
      <c r="F647" s="63">
        <v>0.77083333333333337</v>
      </c>
      <c r="G647" s="63">
        <v>2.0833333333333332E-2</v>
      </c>
      <c r="H647" s="57" t="s">
        <v>126</v>
      </c>
      <c r="I647" s="67"/>
      <c r="J647" s="57" t="s">
        <v>120</v>
      </c>
      <c r="K647" s="57"/>
      <c r="L647" s="69">
        <v>1</v>
      </c>
      <c r="M647" s="69">
        <v>1</v>
      </c>
      <c r="N647" s="57" t="s">
        <v>33</v>
      </c>
      <c r="O647" s="57"/>
      <c r="P647" s="42">
        <v>0</v>
      </c>
      <c r="Q647" s="69"/>
      <c r="R647" s="42">
        <v>0</v>
      </c>
      <c r="S647" s="57">
        <v>46054</v>
      </c>
      <c r="T647" s="42">
        <v>0</v>
      </c>
      <c r="U647" s="69">
        <v>2</v>
      </c>
      <c r="V647" s="42">
        <v>0</v>
      </c>
      <c r="W647" s="57" t="s">
        <v>34</v>
      </c>
      <c r="X647" s="57" t="s">
        <v>42</v>
      </c>
      <c r="Y647" s="57" t="s">
        <v>36</v>
      </c>
      <c r="Z647" s="57" t="s">
        <v>43</v>
      </c>
      <c r="AA647" s="57" t="s">
        <v>37</v>
      </c>
      <c r="AB647" s="57" t="s">
        <v>37</v>
      </c>
      <c r="AC647" s="57" t="s">
        <v>38</v>
      </c>
      <c r="AD647" s="75" t="s">
        <v>267</v>
      </c>
      <c r="AE647" s="57"/>
      <c r="AF647" s="57"/>
      <c r="AG647" s="57"/>
      <c r="AH647" s="57"/>
      <c r="AI647" s="57"/>
      <c r="AJ647" s="57"/>
      <c r="AK647" s="57"/>
      <c r="AL647" s="57"/>
      <c r="AM647" s="57"/>
      <c r="AN647" s="57"/>
      <c r="AO647" s="57"/>
      <c r="AP647" s="57"/>
      <c r="AQ647" s="57"/>
      <c r="AR647" s="57"/>
      <c r="AS647" s="57"/>
      <c r="AT647" s="57"/>
      <c r="AU647" s="57"/>
      <c r="AV647" s="57"/>
      <c r="AW647" s="57"/>
    </row>
    <row r="648" spans="1:49" ht="31.5" x14ac:dyDescent="0.25">
      <c r="A648" s="57" t="s">
        <v>123</v>
      </c>
      <c r="B648" s="60">
        <v>46050</v>
      </c>
      <c r="C648" s="60">
        <v>46050</v>
      </c>
      <c r="D648" s="61" t="s">
        <v>196</v>
      </c>
      <c r="E648" s="63">
        <v>0.77083333333333337</v>
      </c>
      <c r="F648" s="63">
        <v>0.79166666666666663</v>
      </c>
      <c r="G648" s="63">
        <v>2.0833333333333332E-2</v>
      </c>
      <c r="H648" s="57" t="s">
        <v>124</v>
      </c>
      <c r="I648" s="67"/>
      <c r="J648" s="57" t="s">
        <v>120</v>
      </c>
      <c r="K648" s="57"/>
      <c r="L648" s="69">
        <v>1</v>
      </c>
      <c r="M648" s="69">
        <v>1</v>
      </c>
      <c r="N648" s="57" t="s">
        <v>33</v>
      </c>
      <c r="O648" s="57"/>
      <c r="P648" s="42">
        <v>0</v>
      </c>
      <c r="Q648" s="69"/>
      <c r="R648" s="42">
        <v>0</v>
      </c>
      <c r="S648" s="57">
        <v>46054</v>
      </c>
      <c r="T648" s="42">
        <v>0</v>
      </c>
      <c r="U648" s="69">
        <v>2</v>
      </c>
      <c r="V648" s="42">
        <v>0</v>
      </c>
      <c r="W648" s="57" t="s">
        <v>34</v>
      </c>
      <c r="X648" s="57" t="s">
        <v>42</v>
      </c>
      <c r="Y648" s="57" t="s">
        <v>36</v>
      </c>
      <c r="Z648" s="57" t="s">
        <v>43</v>
      </c>
      <c r="AA648" s="57" t="s">
        <v>37</v>
      </c>
      <c r="AB648" s="57" t="s">
        <v>37</v>
      </c>
      <c r="AC648" s="57" t="s">
        <v>38</v>
      </c>
      <c r="AD648" s="75" t="s">
        <v>267</v>
      </c>
      <c r="AE648" s="76"/>
      <c r="AF648" s="76"/>
      <c r="AG648" s="76"/>
      <c r="AH648" s="76"/>
      <c r="AI648" s="85"/>
      <c r="AJ648" s="85"/>
      <c r="AK648" s="85"/>
      <c r="AL648" s="85"/>
      <c r="AM648" s="85"/>
      <c r="AN648" s="85"/>
      <c r="AO648" s="85"/>
      <c r="AP648" s="85"/>
      <c r="AQ648" s="85"/>
      <c r="AR648" s="85"/>
      <c r="AS648" s="85"/>
      <c r="AT648" s="85"/>
      <c r="AU648" s="85"/>
      <c r="AV648" s="85"/>
      <c r="AW648" s="85"/>
    </row>
    <row r="649" spans="1:49" ht="31.5" x14ac:dyDescent="0.25">
      <c r="A649" s="57" t="s">
        <v>123</v>
      </c>
      <c r="B649" s="60">
        <v>46051</v>
      </c>
      <c r="C649" s="60">
        <v>46051</v>
      </c>
      <c r="D649" s="61" t="s">
        <v>207</v>
      </c>
      <c r="E649" s="63">
        <v>0.6875</v>
      </c>
      <c r="F649" s="63">
        <v>0.70833333333333337</v>
      </c>
      <c r="G649" s="63">
        <v>2.0833333333333332E-2</v>
      </c>
      <c r="H649" s="57" t="s">
        <v>124</v>
      </c>
      <c r="I649" s="67"/>
      <c r="J649" s="57" t="s">
        <v>120</v>
      </c>
      <c r="K649" s="57"/>
      <c r="L649" s="69">
        <v>1</v>
      </c>
      <c r="M649" s="69">
        <v>1</v>
      </c>
      <c r="N649" s="57" t="s">
        <v>33</v>
      </c>
      <c r="O649" s="57"/>
      <c r="P649" s="42">
        <v>0</v>
      </c>
      <c r="Q649" s="69"/>
      <c r="R649" s="42">
        <v>0</v>
      </c>
      <c r="S649" s="57">
        <v>46054</v>
      </c>
      <c r="T649" s="42">
        <v>0</v>
      </c>
      <c r="U649" s="69">
        <v>2</v>
      </c>
      <c r="V649" s="42">
        <v>0</v>
      </c>
      <c r="W649" s="57" t="s">
        <v>34</v>
      </c>
      <c r="X649" s="57" t="s">
        <v>42</v>
      </c>
      <c r="Y649" s="57" t="s">
        <v>36</v>
      </c>
      <c r="Z649" s="57" t="s">
        <v>43</v>
      </c>
      <c r="AA649" s="57" t="s">
        <v>37</v>
      </c>
      <c r="AB649" s="57" t="s">
        <v>37</v>
      </c>
      <c r="AC649" s="57" t="s">
        <v>38</v>
      </c>
      <c r="AD649" s="75" t="s">
        <v>267</v>
      </c>
      <c r="AE649" s="76"/>
      <c r="AF649" s="76"/>
      <c r="AG649" s="76"/>
      <c r="AH649" s="76"/>
      <c r="AI649" s="76"/>
      <c r="AJ649" s="76"/>
      <c r="AK649" s="76"/>
      <c r="AL649" s="76"/>
      <c r="AM649" s="76"/>
      <c r="AN649" s="76"/>
      <c r="AO649" s="76"/>
      <c r="AP649" s="76"/>
      <c r="AQ649" s="76"/>
      <c r="AR649" s="76"/>
      <c r="AS649" s="76"/>
      <c r="AT649" s="76"/>
      <c r="AU649" s="76"/>
      <c r="AV649" s="76"/>
      <c r="AW649" s="76"/>
    </row>
    <row r="650" spans="1:49" ht="31.5" x14ac:dyDescent="0.2">
      <c r="A650" s="57" t="s">
        <v>123</v>
      </c>
      <c r="B650" s="60">
        <v>46051</v>
      </c>
      <c r="C650" s="60">
        <v>46051</v>
      </c>
      <c r="D650" s="61" t="s">
        <v>207</v>
      </c>
      <c r="E650" s="63">
        <v>0.75</v>
      </c>
      <c r="F650" s="63">
        <v>0.77083333333333337</v>
      </c>
      <c r="G650" s="63">
        <v>2.0833333333333332E-2</v>
      </c>
      <c r="H650" s="57" t="s">
        <v>126</v>
      </c>
      <c r="I650" s="67"/>
      <c r="J650" s="57" t="s">
        <v>120</v>
      </c>
      <c r="K650" s="57"/>
      <c r="L650" s="69">
        <v>1</v>
      </c>
      <c r="M650" s="69">
        <v>1</v>
      </c>
      <c r="N650" s="57" t="s">
        <v>33</v>
      </c>
      <c r="O650" s="57"/>
      <c r="P650" s="42">
        <v>0</v>
      </c>
      <c r="Q650" s="69"/>
      <c r="R650" s="42">
        <v>0</v>
      </c>
      <c r="S650" s="57">
        <v>46054</v>
      </c>
      <c r="T650" s="42">
        <v>0</v>
      </c>
      <c r="U650" s="69">
        <v>2</v>
      </c>
      <c r="V650" s="42">
        <v>0</v>
      </c>
      <c r="W650" s="57" t="s">
        <v>34</v>
      </c>
      <c r="X650" s="57" t="s">
        <v>42</v>
      </c>
      <c r="Y650" s="57" t="s">
        <v>36</v>
      </c>
      <c r="Z650" s="57" t="s">
        <v>43</v>
      </c>
      <c r="AA650" s="57" t="s">
        <v>37</v>
      </c>
      <c r="AB650" s="57" t="s">
        <v>37</v>
      </c>
      <c r="AC650" s="57" t="s">
        <v>38</v>
      </c>
      <c r="AD650" s="75" t="s">
        <v>267</v>
      </c>
      <c r="AE650" s="57"/>
      <c r="AF650" s="57"/>
      <c r="AG650" s="57"/>
      <c r="AH650" s="57"/>
      <c r="AI650" s="57"/>
      <c r="AJ650" s="57"/>
      <c r="AK650" s="57"/>
      <c r="AL650" s="57"/>
      <c r="AM650" s="57"/>
      <c r="AN650" s="57"/>
      <c r="AO650" s="57"/>
      <c r="AP650" s="57"/>
      <c r="AQ650" s="57"/>
      <c r="AR650" s="57"/>
      <c r="AS650" s="57"/>
      <c r="AT650" s="57"/>
      <c r="AU650" s="57"/>
      <c r="AV650" s="57"/>
      <c r="AW650" s="57"/>
    </row>
    <row r="651" spans="1:49" ht="31.5" x14ac:dyDescent="0.2">
      <c r="A651" s="57" t="s">
        <v>123</v>
      </c>
      <c r="B651" s="60">
        <v>46051</v>
      </c>
      <c r="C651" s="60">
        <v>46051</v>
      </c>
      <c r="D651" s="61" t="s">
        <v>207</v>
      </c>
      <c r="E651" s="63">
        <v>0.77083333333333337</v>
      </c>
      <c r="F651" s="63">
        <v>0.79166666666666663</v>
      </c>
      <c r="G651" s="63">
        <v>2.0833333333333332E-2</v>
      </c>
      <c r="H651" s="57" t="s">
        <v>124</v>
      </c>
      <c r="I651" s="67"/>
      <c r="J651" s="57" t="s">
        <v>120</v>
      </c>
      <c r="K651" s="57"/>
      <c r="L651" s="69">
        <v>1</v>
      </c>
      <c r="M651" s="69">
        <v>1</v>
      </c>
      <c r="N651" s="57" t="s">
        <v>33</v>
      </c>
      <c r="O651" s="57"/>
      <c r="P651" s="42">
        <v>0</v>
      </c>
      <c r="Q651" s="69"/>
      <c r="R651" s="42">
        <v>0</v>
      </c>
      <c r="S651" s="57">
        <v>46054</v>
      </c>
      <c r="T651" s="42">
        <v>0</v>
      </c>
      <c r="U651" s="69">
        <v>2</v>
      </c>
      <c r="V651" s="42">
        <v>0</v>
      </c>
      <c r="W651" s="57" t="s">
        <v>34</v>
      </c>
      <c r="X651" s="57" t="s">
        <v>42</v>
      </c>
      <c r="Y651" s="57" t="s">
        <v>36</v>
      </c>
      <c r="Z651" s="57" t="s">
        <v>43</v>
      </c>
      <c r="AA651" s="57" t="s">
        <v>37</v>
      </c>
      <c r="AB651" s="57" t="s">
        <v>37</v>
      </c>
      <c r="AC651" s="57" t="s">
        <v>38</v>
      </c>
      <c r="AD651" s="75" t="s">
        <v>267</v>
      </c>
      <c r="AE651" s="57"/>
      <c r="AF651" s="57"/>
      <c r="AG651" s="57"/>
      <c r="AH651" s="57"/>
      <c r="AI651" s="57"/>
      <c r="AJ651" s="57"/>
      <c r="AK651" s="57"/>
      <c r="AL651" s="57"/>
      <c r="AM651" s="57"/>
      <c r="AN651" s="57"/>
      <c r="AO651" s="57"/>
      <c r="AP651" s="57"/>
      <c r="AQ651" s="57"/>
      <c r="AR651" s="57"/>
      <c r="AS651" s="57"/>
      <c r="AT651" s="57"/>
      <c r="AU651" s="57"/>
      <c r="AV651" s="57"/>
      <c r="AW651" s="57"/>
    </row>
    <row r="652" spans="1:49" ht="31.5" x14ac:dyDescent="0.25">
      <c r="A652" s="57" t="s">
        <v>123</v>
      </c>
      <c r="B652" s="60">
        <v>46052</v>
      </c>
      <c r="C652" s="60">
        <v>46052</v>
      </c>
      <c r="D652" s="61" t="s">
        <v>217</v>
      </c>
      <c r="E652" s="63">
        <v>0.6875</v>
      </c>
      <c r="F652" s="63">
        <v>0.70833333333333337</v>
      </c>
      <c r="G652" s="63">
        <v>2.0833333333333332E-2</v>
      </c>
      <c r="H652" s="57" t="s">
        <v>124</v>
      </c>
      <c r="I652" s="67"/>
      <c r="J652" s="57" t="s">
        <v>120</v>
      </c>
      <c r="K652" s="57"/>
      <c r="L652" s="69">
        <v>1</v>
      </c>
      <c r="M652" s="69">
        <v>1</v>
      </c>
      <c r="N652" s="57" t="s">
        <v>33</v>
      </c>
      <c r="O652" s="57"/>
      <c r="P652" s="42">
        <v>0</v>
      </c>
      <c r="Q652" s="69"/>
      <c r="R652" s="42">
        <v>0</v>
      </c>
      <c r="S652" s="57">
        <v>46054</v>
      </c>
      <c r="T652" s="42">
        <v>0</v>
      </c>
      <c r="U652" s="69">
        <v>2</v>
      </c>
      <c r="V652" s="42">
        <v>0</v>
      </c>
      <c r="W652" s="57" t="s">
        <v>34</v>
      </c>
      <c r="X652" s="57" t="s">
        <v>42</v>
      </c>
      <c r="Y652" s="57" t="s">
        <v>36</v>
      </c>
      <c r="Z652" s="57" t="s">
        <v>43</v>
      </c>
      <c r="AA652" s="57" t="s">
        <v>37</v>
      </c>
      <c r="AB652" s="57" t="s">
        <v>37</v>
      </c>
      <c r="AC652" s="57" t="s">
        <v>38</v>
      </c>
      <c r="AD652" s="75" t="s">
        <v>267</v>
      </c>
      <c r="AE652" s="76"/>
      <c r="AF652" s="76"/>
      <c r="AG652" s="76"/>
      <c r="AH652" s="76"/>
      <c r="AI652" s="85"/>
      <c r="AJ652" s="85"/>
      <c r="AK652" s="85"/>
      <c r="AL652" s="85"/>
      <c r="AM652" s="85"/>
      <c r="AN652" s="85"/>
      <c r="AO652" s="85"/>
      <c r="AP652" s="85"/>
      <c r="AQ652" s="85"/>
      <c r="AR652" s="85"/>
      <c r="AS652" s="85"/>
      <c r="AT652" s="85"/>
      <c r="AU652" s="85"/>
      <c r="AV652" s="85"/>
      <c r="AW652" s="85"/>
    </row>
    <row r="653" spans="1:49" ht="31.5" x14ac:dyDescent="0.25">
      <c r="A653" s="57" t="s">
        <v>123</v>
      </c>
      <c r="B653" s="60">
        <v>46052</v>
      </c>
      <c r="C653" s="60">
        <v>46052</v>
      </c>
      <c r="D653" s="61" t="s">
        <v>217</v>
      </c>
      <c r="E653" s="63">
        <v>0.75</v>
      </c>
      <c r="F653" s="63">
        <v>0.77083333333333337</v>
      </c>
      <c r="G653" s="63">
        <v>2.0833333333333332E-2</v>
      </c>
      <c r="H653" s="57" t="s">
        <v>126</v>
      </c>
      <c r="I653" s="67"/>
      <c r="J653" s="57" t="s">
        <v>120</v>
      </c>
      <c r="K653" s="57"/>
      <c r="L653" s="69">
        <v>1</v>
      </c>
      <c r="M653" s="69">
        <v>1</v>
      </c>
      <c r="N653" s="57" t="s">
        <v>33</v>
      </c>
      <c r="O653" s="57"/>
      <c r="P653" s="42">
        <v>0</v>
      </c>
      <c r="Q653" s="69"/>
      <c r="R653" s="42">
        <v>0</v>
      </c>
      <c r="S653" s="57">
        <v>46054</v>
      </c>
      <c r="T653" s="42">
        <v>0</v>
      </c>
      <c r="U653" s="69">
        <v>2</v>
      </c>
      <c r="V653" s="42">
        <v>0</v>
      </c>
      <c r="W653" s="57" t="s">
        <v>34</v>
      </c>
      <c r="X653" s="57" t="s">
        <v>42</v>
      </c>
      <c r="Y653" s="57" t="s">
        <v>36</v>
      </c>
      <c r="Z653" s="57" t="s">
        <v>43</v>
      </c>
      <c r="AA653" s="57" t="s">
        <v>37</v>
      </c>
      <c r="AB653" s="57" t="s">
        <v>37</v>
      </c>
      <c r="AC653" s="57" t="s">
        <v>38</v>
      </c>
      <c r="AD653" s="75" t="s">
        <v>267</v>
      </c>
      <c r="AE653" s="76"/>
      <c r="AF653" s="76"/>
      <c r="AG653" s="76"/>
      <c r="AH653" s="76"/>
      <c r="AI653" s="76"/>
      <c r="AJ653" s="76"/>
      <c r="AK653" s="76"/>
      <c r="AL653" s="76"/>
      <c r="AM653" s="76"/>
      <c r="AN653" s="76"/>
      <c r="AO653" s="76"/>
      <c r="AP653" s="76"/>
      <c r="AQ653" s="76"/>
      <c r="AR653" s="76"/>
      <c r="AS653" s="76"/>
      <c r="AT653" s="76"/>
      <c r="AU653" s="76"/>
      <c r="AV653" s="76"/>
      <c r="AW653" s="76"/>
    </row>
    <row r="654" spans="1:49" ht="31.5" x14ac:dyDescent="0.25">
      <c r="A654" s="57" t="s">
        <v>123</v>
      </c>
      <c r="B654" s="60">
        <v>46052</v>
      </c>
      <c r="C654" s="60">
        <v>46052</v>
      </c>
      <c r="D654" s="61" t="s">
        <v>217</v>
      </c>
      <c r="E654" s="63">
        <v>0.77083333333333337</v>
      </c>
      <c r="F654" s="63">
        <v>0.79166666666666663</v>
      </c>
      <c r="G654" s="63">
        <v>2.0833333333333332E-2</v>
      </c>
      <c r="H654" s="57" t="s">
        <v>124</v>
      </c>
      <c r="I654" s="67"/>
      <c r="J654" s="57" t="s">
        <v>120</v>
      </c>
      <c r="K654" s="57"/>
      <c r="L654" s="69">
        <v>1</v>
      </c>
      <c r="M654" s="69">
        <v>1</v>
      </c>
      <c r="N654" s="57" t="s">
        <v>33</v>
      </c>
      <c r="O654" s="57"/>
      <c r="P654" s="42">
        <v>0</v>
      </c>
      <c r="Q654" s="69"/>
      <c r="R654" s="42">
        <v>0</v>
      </c>
      <c r="S654" s="57">
        <v>46054</v>
      </c>
      <c r="T654" s="42">
        <v>0</v>
      </c>
      <c r="U654" s="69">
        <v>2</v>
      </c>
      <c r="V654" s="42">
        <v>0</v>
      </c>
      <c r="W654" s="57" t="s">
        <v>34</v>
      </c>
      <c r="X654" s="57" t="s">
        <v>42</v>
      </c>
      <c r="Y654" s="57" t="s">
        <v>36</v>
      </c>
      <c r="Z654" s="57" t="s">
        <v>43</v>
      </c>
      <c r="AA654" s="57" t="s">
        <v>37</v>
      </c>
      <c r="AB654" s="57" t="s">
        <v>37</v>
      </c>
      <c r="AC654" s="57" t="s">
        <v>38</v>
      </c>
      <c r="AD654" s="75" t="s">
        <v>267</v>
      </c>
      <c r="AE654" s="76"/>
      <c r="AF654" s="76"/>
      <c r="AG654" s="76"/>
      <c r="AH654" s="76"/>
      <c r="AI654" s="76"/>
      <c r="AJ654" s="76"/>
      <c r="AK654" s="76"/>
      <c r="AL654" s="76"/>
      <c r="AM654" s="76"/>
      <c r="AN654" s="76"/>
      <c r="AO654" s="76"/>
      <c r="AP654" s="76"/>
      <c r="AQ654" s="76"/>
      <c r="AR654" s="76"/>
      <c r="AS654" s="76"/>
      <c r="AT654" s="76"/>
      <c r="AU654" s="76"/>
      <c r="AV654" s="76"/>
      <c r="AW654" s="76"/>
    </row>
    <row r="655" spans="1:49" ht="31.5" x14ac:dyDescent="0.25">
      <c r="A655" s="57" t="s">
        <v>123</v>
      </c>
      <c r="B655" s="60">
        <v>46053</v>
      </c>
      <c r="C655" s="60">
        <v>46053</v>
      </c>
      <c r="D655" s="61" t="s">
        <v>224</v>
      </c>
      <c r="E655" s="63">
        <v>0.70833333333333337</v>
      </c>
      <c r="F655" s="63">
        <v>0.75</v>
      </c>
      <c r="G655" s="63">
        <v>4.1666666666666664E-2</v>
      </c>
      <c r="H655" s="57" t="s">
        <v>189</v>
      </c>
      <c r="I655" s="67" t="s">
        <v>226</v>
      </c>
      <c r="J655" s="57" t="s">
        <v>120</v>
      </c>
      <c r="K655" s="57"/>
      <c r="L655" s="69">
        <v>1</v>
      </c>
      <c r="M655" s="69">
        <v>1</v>
      </c>
      <c r="N655" s="57" t="s">
        <v>33</v>
      </c>
      <c r="O655" s="57"/>
      <c r="P655" s="42">
        <v>0</v>
      </c>
      <c r="Q655" s="69"/>
      <c r="R655" s="42">
        <v>0</v>
      </c>
      <c r="S655" s="57">
        <v>46054</v>
      </c>
      <c r="T655" s="42">
        <v>0</v>
      </c>
      <c r="U655" s="69">
        <v>2</v>
      </c>
      <c r="V655" s="42">
        <v>0</v>
      </c>
      <c r="W655" s="57" t="s">
        <v>34</v>
      </c>
      <c r="X655" s="57" t="s">
        <v>42</v>
      </c>
      <c r="Y655" s="57" t="s">
        <v>36</v>
      </c>
      <c r="Z655" s="57" t="s">
        <v>43</v>
      </c>
      <c r="AA655" s="57" t="s">
        <v>37</v>
      </c>
      <c r="AB655" s="57" t="s">
        <v>37</v>
      </c>
      <c r="AC655" s="57" t="s">
        <v>38</v>
      </c>
      <c r="AD655" s="75" t="s">
        <v>267</v>
      </c>
      <c r="AE655" s="76"/>
      <c r="AF655" s="76"/>
      <c r="AG655" s="76"/>
      <c r="AH655" s="76"/>
      <c r="AI655" s="85"/>
      <c r="AJ655" s="85"/>
      <c r="AK655" s="85"/>
      <c r="AL655" s="85"/>
      <c r="AM655" s="85"/>
      <c r="AN655" s="85"/>
      <c r="AO655" s="85"/>
      <c r="AP655" s="85"/>
      <c r="AQ655" s="85"/>
      <c r="AR655" s="85"/>
      <c r="AS655" s="85"/>
      <c r="AT655" s="85"/>
      <c r="AU655" s="85"/>
      <c r="AV655" s="85"/>
      <c r="AW655" s="85"/>
    </row>
    <row r="656" spans="1:49" ht="31.5" x14ac:dyDescent="0.25">
      <c r="A656" s="56" t="s">
        <v>201</v>
      </c>
      <c r="B656" s="59">
        <v>46050</v>
      </c>
      <c r="C656" s="59">
        <v>46050</v>
      </c>
      <c r="D656" s="56" t="s">
        <v>196</v>
      </c>
      <c r="E656" s="62">
        <v>0.79166666666666663</v>
      </c>
      <c r="F656" s="62">
        <v>1</v>
      </c>
      <c r="G656" s="62">
        <v>3.4722222222222218E-4</v>
      </c>
      <c r="H656" s="56" t="s">
        <v>202</v>
      </c>
      <c r="I656" s="66">
        <v>0.99737268518518518</v>
      </c>
      <c r="J656" s="56" t="s">
        <v>136</v>
      </c>
      <c r="K656" s="56" t="s">
        <v>149</v>
      </c>
      <c r="L656" s="68">
        <v>1</v>
      </c>
      <c r="M656" s="68">
        <v>69657</v>
      </c>
      <c r="N656" s="56" t="s">
        <v>46</v>
      </c>
      <c r="O656" s="68" t="s">
        <v>203</v>
      </c>
      <c r="P656" s="70">
        <v>0</v>
      </c>
      <c r="Q656" s="68"/>
      <c r="R656" s="70">
        <v>0</v>
      </c>
      <c r="S656" s="73">
        <v>46050</v>
      </c>
      <c r="T656" s="70">
        <v>0</v>
      </c>
      <c r="U656" s="74">
        <v>4</v>
      </c>
      <c r="V656" s="70">
        <v>0</v>
      </c>
      <c r="W656" s="56" t="s">
        <v>47</v>
      </c>
      <c r="X656" s="56" t="s">
        <v>48</v>
      </c>
      <c r="Y656" s="56" t="s">
        <v>58</v>
      </c>
      <c r="Z656" s="56" t="s">
        <v>9</v>
      </c>
      <c r="AA656" s="56" t="s">
        <v>49</v>
      </c>
      <c r="AB656" s="56" t="s">
        <v>204</v>
      </c>
      <c r="AC656" s="56" t="s">
        <v>38</v>
      </c>
      <c r="AD656" s="75" t="s">
        <v>267</v>
      </c>
      <c r="AE656" s="76"/>
      <c r="AF656" s="76"/>
      <c r="AG656" s="76"/>
      <c r="AH656" s="76"/>
      <c r="AI656" s="76"/>
      <c r="AJ656" s="76"/>
      <c r="AK656" s="76"/>
      <c r="AL656" s="76"/>
      <c r="AM656" s="76"/>
      <c r="AN656" s="76"/>
      <c r="AO656" s="76"/>
      <c r="AP656" s="76"/>
      <c r="AQ656" s="76"/>
      <c r="AR656" s="76"/>
      <c r="AS656" s="76"/>
      <c r="AT656" s="76"/>
      <c r="AU656" s="76"/>
      <c r="AV656" s="76"/>
      <c r="AW656" s="76"/>
    </row>
    <row r="657" spans="1:49" ht="31.5" x14ac:dyDescent="0.25">
      <c r="A657" s="56" t="s">
        <v>201</v>
      </c>
      <c r="B657" s="59">
        <v>46051</v>
      </c>
      <c r="C657" s="59">
        <v>46051</v>
      </c>
      <c r="D657" s="56" t="s">
        <v>207</v>
      </c>
      <c r="E657" s="62">
        <v>0.79166666666666663</v>
      </c>
      <c r="F657" s="62">
        <v>0.83333333333333337</v>
      </c>
      <c r="G657" s="62">
        <v>3.4722222222222218E-4</v>
      </c>
      <c r="H657" s="56" t="s">
        <v>202</v>
      </c>
      <c r="I657" s="66">
        <v>0.79935335648148154</v>
      </c>
      <c r="J657" s="56" t="s">
        <v>132</v>
      </c>
      <c r="K657" s="56" t="s">
        <v>131</v>
      </c>
      <c r="L657" s="68">
        <v>1</v>
      </c>
      <c r="M657" s="68">
        <v>69632</v>
      </c>
      <c r="N657" s="56" t="s">
        <v>53</v>
      </c>
      <c r="O657" s="68" t="s">
        <v>203</v>
      </c>
      <c r="P657" s="70">
        <v>60</v>
      </c>
      <c r="Q657" s="68"/>
      <c r="R657" s="70">
        <v>60</v>
      </c>
      <c r="S657" s="73">
        <v>46051</v>
      </c>
      <c r="T657" s="70">
        <v>9</v>
      </c>
      <c r="U657" s="74">
        <v>4</v>
      </c>
      <c r="V657" s="70">
        <v>51</v>
      </c>
      <c r="W657" s="56" t="s">
        <v>47</v>
      </c>
      <c r="X657" s="56" t="s">
        <v>48</v>
      </c>
      <c r="Y657" s="56" t="s">
        <v>58</v>
      </c>
      <c r="Z657" s="56" t="s">
        <v>9</v>
      </c>
      <c r="AA657" s="56" t="s">
        <v>49</v>
      </c>
      <c r="AB657" s="56" t="s">
        <v>204</v>
      </c>
      <c r="AC657" s="56" t="s">
        <v>38</v>
      </c>
      <c r="AD657" s="75" t="s">
        <v>267</v>
      </c>
      <c r="AE657" s="79"/>
      <c r="AF657" s="79"/>
      <c r="AG657" s="79"/>
      <c r="AH657" s="79"/>
      <c r="AI657" s="86"/>
      <c r="AJ657" s="86"/>
      <c r="AK657" s="86"/>
      <c r="AL657" s="86"/>
      <c r="AM657" s="86"/>
      <c r="AN657" s="86"/>
      <c r="AO657" s="86"/>
      <c r="AP657" s="86"/>
      <c r="AQ657" s="86"/>
      <c r="AR657" s="86"/>
      <c r="AS657" s="86"/>
      <c r="AT657" s="86"/>
      <c r="AU657" s="86"/>
      <c r="AV657" s="86"/>
      <c r="AW657" s="86"/>
    </row>
    <row r="658" spans="1:49" ht="31.5" x14ac:dyDescent="0.25">
      <c r="A658" s="56" t="s">
        <v>201</v>
      </c>
      <c r="B658" s="59">
        <v>46052</v>
      </c>
      <c r="C658" s="59">
        <v>46052</v>
      </c>
      <c r="D658" s="56" t="s">
        <v>217</v>
      </c>
      <c r="E658" s="62">
        <v>0.79166666666666663</v>
      </c>
      <c r="F658" s="62">
        <v>0.83333333333333337</v>
      </c>
      <c r="G658" s="62">
        <v>3.4722222222222218E-4</v>
      </c>
      <c r="H658" s="56" t="s">
        <v>202</v>
      </c>
      <c r="I658" s="66">
        <v>0.80453715277777771</v>
      </c>
      <c r="J658" s="56" t="s">
        <v>132</v>
      </c>
      <c r="K658" s="56" t="s">
        <v>131</v>
      </c>
      <c r="L658" s="68">
        <v>1</v>
      </c>
      <c r="M658" s="68">
        <v>69632</v>
      </c>
      <c r="N658" s="56" t="s">
        <v>53</v>
      </c>
      <c r="O658" s="68" t="s">
        <v>203</v>
      </c>
      <c r="P658" s="70">
        <v>60</v>
      </c>
      <c r="Q658" s="68"/>
      <c r="R658" s="70">
        <v>60</v>
      </c>
      <c r="S658" s="73">
        <v>46052</v>
      </c>
      <c r="T658" s="70">
        <v>9</v>
      </c>
      <c r="U658" s="74">
        <v>4</v>
      </c>
      <c r="V658" s="70">
        <v>51</v>
      </c>
      <c r="W658" s="56" t="s">
        <v>47</v>
      </c>
      <c r="X658" s="56" t="s">
        <v>48</v>
      </c>
      <c r="Y658" s="56" t="s">
        <v>58</v>
      </c>
      <c r="Z658" s="56" t="s">
        <v>9</v>
      </c>
      <c r="AA658" s="56" t="s">
        <v>49</v>
      </c>
      <c r="AB658" s="56" t="s">
        <v>204</v>
      </c>
      <c r="AC658" s="56" t="s">
        <v>38</v>
      </c>
      <c r="AD658" s="75" t="s">
        <v>267</v>
      </c>
      <c r="AE658" s="77"/>
      <c r="AF658" s="77"/>
      <c r="AG658" s="77"/>
      <c r="AH658" s="77"/>
      <c r="AI658" s="86"/>
      <c r="AJ658" s="86"/>
      <c r="AK658" s="86"/>
      <c r="AL658" s="86"/>
      <c r="AM658" s="86"/>
      <c r="AN658" s="86"/>
      <c r="AO658" s="86"/>
      <c r="AP658" s="86"/>
      <c r="AQ658" s="86"/>
      <c r="AR658" s="86"/>
      <c r="AS658" s="86"/>
      <c r="AT658" s="86"/>
      <c r="AU658" s="86"/>
      <c r="AV658" s="86"/>
      <c r="AW658" s="86"/>
    </row>
    <row r="659" spans="1:49" ht="31.5" x14ac:dyDescent="0.2">
      <c r="A659" s="56" t="s">
        <v>201</v>
      </c>
      <c r="B659" s="59">
        <v>46052</v>
      </c>
      <c r="C659" s="59">
        <v>46052</v>
      </c>
      <c r="D659" s="56" t="s">
        <v>217</v>
      </c>
      <c r="E659" s="62">
        <v>0.79166666666666663</v>
      </c>
      <c r="F659" s="62">
        <v>0.99930555555555556</v>
      </c>
      <c r="G659" s="62">
        <v>3.4722222222222218E-4</v>
      </c>
      <c r="H659" s="56" t="s">
        <v>221</v>
      </c>
      <c r="I659" s="66">
        <v>0.88529108796296285</v>
      </c>
      <c r="J659" s="56" t="s">
        <v>136</v>
      </c>
      <c r="K659" s="56" t="s">
        <v>147</v>
      </c>
      <c r="L659" s="68">
        <v>1</v>
      </c>
      <c r="M659" s="68">
        <v>69657</v>
      </c>
      <c r="N659" s="56" t="s">
        <v>46</v>
      </c>
      <c r="O659" s="68" t="s">
        <v>203</v>
      </c>
      <c r="P659" s="70">
        <v>0</v>
      </c>
      <c r="Q659" s="68"/>
      <c r="R659" s="70">
        <v>0</v>
      </c>
      <c r="S659" s="73">
        <v>46052</v>
      </c>
      <c r="T659" s="70">
        <v>0</v>
      </c>
      <c r="U659" s="74">
        <v>4</v>
      </c>
      <c r="V659" s="70">
        <v>0</v>
      </c>
      <c r="W659" s="56" t="s">
        <v>47</v>
      </c>
      <c r="X659" s="56" t="s">
        <v>48</v>
      </c>
      <c r="Y659" s="56" t="s">
        <v>58</v>
      </c>
      <c r="Z659" s="56" t="s">
        <v>9</v>
      </c>
      <c r="AA659" s="56" t="s">
        <v>49</v>
      </c>
      <c r="AB659" s="56" t="s">
        <v>204</v>
      </c>
      <c r="AC659" s="56" t="s">
        <v>38</v>
      </c>
      <c r="AD659" s="75" t="s">
        <v>267</v>
      </c>
      <c r="AE659" s="57"/>
      <c r="AF659" s="57"/>
      <c r="AG659" s="57"/>
      <c r="AH659" s="57"/>
      <c r="AI659" s="57"/>
      <c r="AJ659" s="57"/>
      <c r="AK659" s="57"/>
      <c r="AL659" s="57"/>
      <c r="AM659" s="57"/>
      <c r="AN659" s="57"/>
      <c r="AO659" s="57"/>
      <c r="AP659" s="57"/>
      <c r="AQ659" s="57"/>
      <c r="AR659" s="57"/>
      <c r="AS659" s="57"/>
      <c r="AT659" s="57"/>
      <c r="AU659" s="57"/>
      <c r="AV659" s="57"/>
      <c r="AW659" s="57"/>
    </row>
    <row r="660" spans="1:49" ht="31.5" x14ac:dyDescent="0.25">
      <c r="A660" s="57" t="s">
        <v>118</v>
      </c>
      <c r="B660" s="60">
        <v>46048</v>
      </c>
      <c r="C660" s="60">
        <v>46048</v>
      </c>
      <c r="D660" s="61" t="s">
        <v>30</v>
      </c>
      <c r="E660" s="63">
        <v>0.66666666666666663</v>
      </c>
      <c r="F660" s="63">
        <v>0.6875</v>
      </c>
      <c r="G660" s="63">
        <v>2.0833333333333332E-2</v>
      </c>
      <c r="H660" s="57" t="s">
        <v>119</v>
      </c>
      <c r="I660" s="67"/>
      <c r="J660" s="57" t="s">
        <v>120</v>
      </c>
      <c r="K660" s="57"/>
      <c r="L660" s="69">
        <v>1</v>
      </c>
      <c r="M660" s="69">
        <v>1</v>
      </c>
      <c r="N660" s="57" t="s">
        <v>33</v>
      </c>
      <c r="O660" s="57"/>
      <c r="P660" s="42">
        <v>0</v>
      </c>
      <c r="Q660" s="69"/>
      <c r="R660" s="42">
        <v>0</v>
      </c>
      <c r="S660" s="57">
        <v>46054</v>
      </c>
      <c r="T660" s="42">
        <v>0</v>
      </c>
      <c r="U660" s="69">
        <v>2</v>
      </c>
      <c r="V660" s="42">
        <v>0</v>
      </c>
      <c r="W660" s="57" t="s">
        <v>34</v>
      </c>
      <c r="X660" s="57" t="s">
        <v>42</v>
      </c>
      <c r="Y660" s="57" t="s">
        <v>36</v>
      </c>
      <c r="Z660" s="57" t="s">
        <v>43</v>
      </c>
      <c r="AA660" s="57" t="s">
        <v>37</v>
      </c>
      <c r="AB660" s="57" t="s">
        <v>37</v>
      </c>
      <c r="AC660" s="57" t="s">
        <v>38</v>
      </c>
      <c r="AD660" s="75" t="s">
        <v>267</v>
      </c>
      <c r="AE660" s="76"/>
      <c r="AF660" s="76"/>
      <c r="AG660" s="76"/>
      <c r="AH660" s="76"/>
      <c r="AI660" s="76"/>
      <c r="AJ660" s="76"/>
      <c r="AK660" s="76"/>
      <c r="AL660" s="76"/>
      <c r="AM660" s="76"/>
      <c r="AN660" s="76"/>
      <c r="AO660" s="76"/>
      <c r="AP660" s="76"/>
      <c r="AQ660" s="76"/>
      <c r="AR660" s="76"/>
      <c r="AS660" s="76"/>
      <c r="AT660" s="76"/>
      <c r="AU660" s="76"/>
      <c r="AV660" s="76"/>
      <c r="AW660" s="76"/>
    </row>
    <row r="661" spans="1:49" ht="31.5" x14ac:dyDescent="0.25">
      <c r="A661" s="57" t="s">
        <v>118</v>
      </c>
      <c r="B661" s="60">
        <v>46048</v>
      </c>
      <c r="C661" s="60">
        <v>46048</v>
      </c>
      <c r="D661" s="61" t="s">
        <v>30</v>
      </c>
      <c r="E661" s="63">
        <v>0.70833333333333337</v>
      </c>
      <c r="F661" s="63">
        <v>0.75</v>
      </c>
      <c r="G661" s="63">
        <v>4.1666666666666664E-2</v>
      </c>
      <c r="H661" s="57" t="s">
        <v>125</v>
      </c>
      <c r="I661" s="67"/>
      <c r="J661" s="57" t="s">
        <v>120</v>
      </c>
      <c r="K661" s="57"/>
      <c r="L661" s="69">
        <v>1</v>
      </c>
      <c r="M661" s="69">
        <v>1</v>
      </c>
      <c r="N661" s="57" t="s">
        <v>33</v>
      </c>
      <c r="O661" s="57"/>
      <c r="P661" s="42">
        <v>0</v>
      </c>
      <c r="Q661" s="69"/>
      <c r="R661" s="42">
        <v>0</v>
      </c>
      <c r="S661" s="57">
        <v>46054</v>
      </c>
      <c r="T661" s="42">
        <v>0</v>
      </c>
      <c r="U661" s="69">
        <v>2</v>
      </c>
      <c r="V661" s="42">
        <v>0</v>
      </c>
      <c r="W661" s="57" t="s">
        <v>34</v>
      </c>
      <c r="X661" s="57" t="s">
        <v>42</v>
      </c>
      <c r="Y661" s="57" t="s">
        <v>36</v>
      </c>
      <c r="Z661" s="57" t="s">
        <v>43</v>
      </c>
      <c r="AA661" s="57" t="s">
        <v>37</v>
      </c>
      <c r="AB661" s="57" t="s">
        <v>37</v>
      </c>
      <c r="AC661" s="57" t="s">
        <v>38</v>
      </c>
      <c r="AD661" s="75" t="s">
        <v>267</v>
      </c>
      <c r="AE661" s="76"/>
      <c r="AF661" s="76"/>
      <c r="AG661" s="76"/>
      <c r="AH661" s="76"/>
      <c r="AI661" s="76"/>
      <c r="AJ661" s="76"/>
      <c r="AK661" s="76"/>
      <c r="AL661" s="76"/>
      <c r="AM661" s="76"/>
      <c r="AN661" s="76"/>
      <c r="AO661" s="76"/>
      <c r="AP661" s="76"/>
      <c r="AQ661" s="76"/>
      <c r="AR661" s="76"/>
      <c r="AS661" s="76"/>
      <c r="AT661" s="76"/>
      <c r="AU661" s="76"/>
      <c r="AV661" s="76"/>
      <c r="AW661" s="76"/>
    </row>
    <row r="662" spans="1:49" ht="31.5" x14ac:dyDescent="0.25">
      <c r="A662" s="57" t="s">
        <v>118</v>
      </c>
      <c r="B662" s="60">
        <v>46049</v>
      </c>
      <c r="C662" s="60">
        <v>46049</v>
      </c>
      <c r="D662" s="61" t="s">
        <v>166</v>
      </c>
      <c r="E662" s="63">
        <v>0.66666666666666663</v>
      </c>
      <c r="F662" s="63">
        <v>0.6875</v>
      </c>
      <c r="G662" s="63">
        <v>2.0833333333333332E-2</v>
      </c>
      <c r="H662" s="57" t="s">
        <v>119</v>
      </c>
      <c r="I662" s="67"/>
      <c r="J662" s="57" t="s">
        <v>120</v>
      </c>
      <c r="K662" s="57"/>
      <c r="L662" s="69">
        <v>1</v>
      </c>
      <c r="M662" s="69">
        <v>1</v>
      </c>
      <c r="N662" s="57" t="s">
        <v>33</v>
      </c>
      <c r="O662" s="57"/>
      <c r="P662" s="42">
        <v>0</v>
      </c>
      <c r="Q662" s="69"/>
      <c r="R662" s="42">
        <v>0</v>
      </c>
      <c r="S662" s="57">
        <v>46054</v>
      </c>
      <c r="T662" s="42">
        <v>0</v>
      </c>
      <c r="U662" s="69">
        <v>2</v>
      </c>
      <c r="V662" s="42">
        <v>0</v>
      </c>
      <c r="W662" s="57" t="s">
        <v>34</v>
      </c>
      <c r="X662" s="57" t="s">
        <v>42</v>
      </c>
      <c r="Y662" s="57" t="s">
        <v>36</v>
      </c>
      <c r="Z662" s="57" t="s">
        <v>43</v>
      </c>
      <c r="AA662" s="57" t="s">
        <v>37</v>
      </c>
      <c r="AB662" s="57" t="s">
        <v>37</v>
      </c>
      <c r="AC662" s="57" t="s">
        <v>38</v>
      </c>
      <c r="AD662" s="75" t="s">
        <v>267</v>
      </c>
      <c r="AE662" s="76"/>
      <c r="AF662" s="76"/>
      <c r="AG662" s="76"/>
      <c r="AH662" s="76"/>
      <c r="AI662" s="76"/>
      <c r="AJ662" s="76"/>
      <c r="AK662" s="76"/>
      <c r="AL662" s="76"/>
      <c r="AM662" s="76"/>
      <c r="AN662" s="76"/>
      <c r="AO662" s="76"/>
      <c r="AP662" s="76"/>
      <c r="AQ662" s="76"/>
      <c r="AR662" s="76"/>
      <c r="AS662" s="76"/>
      <c r="AT662" s="76"/>
      <c r="AU662" s="76"/>
      <c r="AV662" s="76"/>
      <c r="AW662" s="76"/>
    </row>
    <row r="663" spans="1:49" ht="31.5" x14ac:dyDescent="0.25">
      <c r="A663" s="57" t="s">
        <v>118</v>
      </c>
      <c r="B663" s="60">
        <v>46049</v>
      </c>
      <c r="C663" s="60">
        <v>46049</v>
      </c>
      <c r="D663" s="61" t="s">
        <v>166</v>
      </c>
      <c r="E663" s="63">
        <v>0.70833333333333337</v>
      </c>
      <c r="F663" s="63">
        <v>0.75</v>
      </c>
      <c r="G663" s="63">
        <v>4.1666666666666664E-2</v>
      </c>
      <c r="H663" s="57" t="s">
        <v>189</v>
      </c>
      <c r="I663" s="67"/>
      <c r="J663" s="57" t="s">
        <v>120</v>
      </c>
      <c r="K663" s="57"/>
      <c r="L663" s="69">
        <v>1</v>
      </c>
      <c r="M663" s="69">
        <v>1</v>
      </c>
      <c r="N663" s="57" t="s">
        <v>33</v>
      </c>
      <c r="O663" s="57"/>
      <c r="P663" s="42">
        <v>0</v>
      </c>
      <c r="Q663" s="69"/>
      <c r="R663" s="42">
        <v>0</v>
      </c>
      <c r="S663" s="57">
        <v>46054</v>
      </c>
      <c r="T663" s="42">
        <v>0</v>
      </c>
      <c r="U663" s="69">
        <v>2</v>
      </c>
      <c r="V663" s="42">
        <v>0</v>
      </c>
      <c r="W663" s="57" t="s">
        <v>34</v>
      </c>
      <c r="X663" s="57" t="s">
        <v>42</v>
      </c>
      <c r="Y663" s="57" t="s">
        <v>36</v>
      </c>
      <c r="Z663" s="57" t="s">
        <v>43</v>
      </c>
      <c r="AA663" s="57" t="s">
        <v>37</v>
      </c>
      <c r="AB663" s="57" t="s">
        <v>37</v>
      </c>
      <c r="AC663" s="57" t="s">
        <v>38</v>
      </c>
      <c r="AD663" s="75" t="s">
        <v>267</v>
      </c>
      <c r="AE663" s="76"/>
      <c r="AF663" s="76"/>
      <c r="AG663" s="76"/>
      <c r="AH663" s="76"/>
      <c r="AI663" s="76"/>
      <c r="AJ663" s="76"/>
      <c r="AK663" s="76"/>
      <c r="AL663" s="76"/>
      <c r="AM663" s="76"/>
      <c r="AN663" s="76"/>
      <c r="AO663" s="76"/>
      <c r="AP663" s="76"/>
      <c r="AQ663" s="76"/>
      <c r="AR663" s="76"/>
      <c r="AS663" s="76"/>
      <c r="AT663" s="76"/>
      <c r="AU663" s="76"/>
      <c r="AV663" s="76"/>
      <c r="AW663" s="76"/>
    </row>
    <row r="664" spans="1:49" ht="31.5" x14ac:dyDescent="0.25">
      <c r="A664" s="57" t="s">
        <v>118</v>
      </c>
      <c r="B664" s="60">
        <v>46050</v>
      </c>
      <c r="C664" s="60">
        <v>46050</v>
      </c>
      <c r="D664" s="61" t="s">
        <v>196</v>
      </c>
      <c r="E664" s="63">
        <v>0.66666666666666663</v>
      </c>
      <c r="F664" s="63">
        <v>0.6875</v>
      </c>
      <c r="G664" s="63">
        <v>2.0833333333333332E-2</v>
      </c>
      <c r="H664" s="57" t="s">
        <v>119</v>
      </c>
      <c r="I664" s="67"/>
      <c r="J664" s="57" t="s">
        <v>120</v>
      </c>
      <c r="K664" s="57"/>
      <c r="L664" s="69">
        <v>1</v>
      </c>
      <c r="M664" s="69">
        <v>1</v>
      </c>
      <c r="N664" s="57" t="s">
        <v>33</v>
      </c>
      <c r="O664" s="57"/>
      <c r="P664" s="42">
        <v>0</v>
      </c>
      <c r="Q664" s="69"/>
      <c r="R664" s="42">
        <v>0</v>
      </c>
      <c r="S664" s="57">
        <v>46054</v>
      </c>
      <c r="T664" s="42">
        <v>0</v>
      </c>
      <c r="U664" s="69">
        <v>2</v>
      </c>
      <c r="V664" s="42">
        <v>0</v>
      </c>
      <c r="W664" s="57" t="s">
        <v>34</v>
      </c>
      <c r="X664" s="57" t="s">
        <v>42</v>
      </c>
      <c r="Y664" s="57" t="s">
        <v>36</v>
      </c>
      <c r="Z664" s="57" t="s">
        <v>43</v>
      </c>
      <c r="AA664" s="57" t="s">
        <v>37</v>
      </c>
      <c r="AB664" s="57" t="s">
        <v>37</v>
      </c>
      <c r="AC664" s="57" t="s">
        <v>38</v>
      </c>
      <c r="AD664" s="75" t="s">
        <v>267</v>
      </c>
      <c r="AE664" s="76"/>
      <c r="AF664" s="76"/>
      <c r="AG664" s="76"/>
      <c r="AH664" s="76"/>
      <c r="AI664" s="85"/>
      <c r="AJ664" s="85"/>
      <c r="AK664" s="85"/>
      <c r="AL664" s="85"/>
      <c r="AM664" s="85"/>
      <c r="AN664" s="85"/>
      <c r="AO664" s="85"/>
      <c r="AP664" s="85"/>
      <c r="AQ664" s="85"/>
      <c r="AR664" s="85"/>
      <c r="AS664" s="85"/>
      <c r="AT664" s="85"/>
      <c r="AU664" s="85"/>
      <c r="AV664" s="85"/>
      <c r="AW664" s="85"/>
    </row>
    <row r="665" spans="1:49" ht="31.5" x14ac:dyDescent="0.2">
      <c r="A665" s="57" t="s">
        <v>118</v>
      </c>
      <c r="B665" s="60">
        <v>46050</v>
      </c>
      <c r="C665" s="60">
        <v>46050</v>
      </c>
      <c r="D665" s="61" t="s">
        <v>196</v>
      </c>
      <c r="E665" s="63">
        <v>0.70833333333333337</v>
      </c>
      <c r="F665" s="63">
        <v>0.75</v>
      </c>
      <c r="G665" s="63">
        <v>4.1666666666666664E-2</v>
      </c>
      <c r="H665" s="57" t="s">
        <v>200</v>
      </c>
      <c r="I665" s="67"/>
      <c r="J665" s="57" t="s">
        <v>120</v>
      </c>
      <c r="K665" s="57"/>
      <c r="L665" s="69">
        <v>1</v>
      </c>
      <c r="M665" s="69">
        <v>1</v>
      </c>
      <c r="N665" s="57" t="s">
        <v>33</v>
      </c>
      <c r="O665" s="57"/>
      <c r="P665" s="42">
        <v>0</v>
      </c>
      <c r="Q665" s="69"/>
      <c r="R665" s="42">
        <v>0</v>
      </c>
      <c r="S665" s="57">
        <v>46054</v>
      </c>
      <c r="T665" s="42">
        <v>0</v>
      </c>
      <c r="U665" s="69">
        <v>2</v>
      </c>
      <c r="V665" s="42">
        <v>0</v>
      </c>
      <c r="W665" s="57" t="s">
        <v>34</v>
      </c>
      <c r="X665" s="57" t="s">
        <v>42</v>
      </c>
      <c r="Y665" s="57" t="s">
        <v>36</v>
      </c>
      <c r="Z665" s="57" t="s">
        <v>43</v>
      </c>
      <c r="AA665" s="57" t="s">
        <v>37</v>
      </c>
      <c r="AB665" s="57" t="s">
        <v>37</v>
      </c>
      <c r="AC665" s="57" t="s">
        <v>38</v>
      </c>
      <c r="AD665" s="75" t="s">
        <v>267</v>
      </c>
      <c r="AE665" s="57"/>
      <c r="AF665" s="57"/>
      <c r="AG665" s="57"/>
      <c r="AH665" s="57"/>
      <c r="AI665" s="57"/>
      <c r="AJ665" s="57"/>
      <c r="AK665" s="57"/>
      <c r="AL665" s="57"/>
      <c r="AM665" s="57"/>
      <c r="AN665" s="57"/>
      <c r="AO665" s="57"/>
      <c r="AP665" s="57"/>
      <c r="AQ665" s="57"/>
      <c r="AR665" s="57"/>
      <c r="AS665" s="57"/>
      <c r="AT665" s="57"/>
      <c r="AU665" s="57"/>
      <c r="AV665" s="57"/>
      <c r="AW665" s="57"/>
    </row>
    <row r="666" spans="1:49" ht="31.5" x14ac:dyDescent="0.25">
      <c r="A666" s="57" t="s">
        <v>118</v>
      </c>
      <c r="B666" s="60">
        <v>46051</v>
      </c>
      <c r="C666" s="60">
        <v>46051</v>
      </c>
      <c r="D666" s="61" t="s">
        <v>207</v>
      </c>
      <c r="E666" s="63">
        <v>0.66666666666666663</v>
      </c>
      <c r="F666" s="63">
        <v>0.6875</v>
      </c>
      <c r="G666" s="63">
        <v>2.0833333333333332E-2</v>
      </c>
      <c r="H666" s="57" t="s">
        <v>119</v>
      </c>
      <c r="I666" s="67"/>
      <c r="J666" s="57" t="s">
        <v>120</v>
      </c>
      <c r="K666" s="57"/>
      <c r="L666" s="69">
        <v>1</v>
      </c>
      <c r="M666" s="69">
        <v>1</v>
      </c>
      <c r="N666" s="57" t="s">
        <v>33</v>
      </c>
      <c r="O666" s="57"/>
      <c r="P666" s="42">
        <v>0</v>
      </c>
      <c r="Q666" s="69"/>
      <c r="R666" s="42">
        <v>0</v>
      </c>
      <c r="S666" s="57">
        <v>46054</v>
      </c>
      <c r="T666" s="42">
        <v>0</v>
      </c>
      <c r="U666" s="69">
        <v>2</v>
      </c>
      <c r="V666" s="42">
        <v>0</v>
      </c>
      <c r="W666" s="57" t="s">
        <v>34</v>
      </c>
      <c r="X666" s="57" t="s">
        <v>42</v>
      </c>
      <c r="Y666" s="57" t="s">
        <v>36</v>
      </c>
      <c r="Z666" s="57" t="s">
        <v>43</v>
      </c>
      <c r="AA666" s="57" t="s">
        <v>37</v>
      </c>
      <c r="AB666" s="57" t="s">
        <v>37</v>
      </c>
      <c r="AC666" s="57" t="s">
        <v>38</v>
      </c>
      <c r="AD666" s="75" t="s">
        <v>267</v>
      </c>
      <c r="AE666" s="76"/>
      <c r="AF666" s="76"/>
      <c r="AG666" s="76"/>
      <c r="AH666" s="76"/>
      <c r="AI666" s="76"/>
      <c r="AJ666" s="76"/>
      <c r="AK666" s="76"/>
      <c r="AL666" s="76"/>
      <c r="AM666" s="76"/>
      <c r="AN666" s="76"/>
      <c r="AO666" s="76"/>
      <c r="AP666" s="76"/>
      <c r="AQ666" s="76"/>
      <c r="AR666" s="76"/>
      <c r="AS666" s="76"/>
      <c r="AT666" s="76"/>
      <c r="AU666" s="76"/>
      <c r="AV666" s="76"/>
      <c r="AW666" s="76"/>
    </row>
    <row r="667" spans="1:49" ht="31.5" x14ac:dyDescent="0.25">
      <c r="A667" s="57" t="s">
        <v>118</v>
      </c>
      <c r="B667" s="60">
        <v>46051</v>
      </c>
      <c r="C667" s="60">
        <v>46051</v>
      </c>
      <c r="D667" s="61" t="s">
        <v>207</v>
      </c>
      <c r="E667" s="63">
        <v>0.70833333333333337</v>
      </c>
      <c r="F667" s="63">
        <v>0.75</v>
      </c>
      <c r="G667" s="63">
        <v>4.1666666666666664E-2</v>
      </c>
      <c r="H667" s="57" t="s">
        <v>213</v>
      </c>
      <c r="I667" s="67"/>
      <c r="J667" s="57" t="s">
        <v>120</v>
      </c>
      <c r="K667" s="57"/>
      <c r="L667" s="69">
        <v>1</v>
      </c>
      <c r="M667" s="69">
        <v>1</v>
      </c>
      <c r="N667" s="57" t="s">
        <v>33</v>
      </c>
      <c r="O667" s="57"/>
      <c r="P667" s="42">
        <v>0</v>
      </c>
      <c r="Q667" s="69"/>
      <c r="R667" s="42">
        <v>0</v>
      </c>
      <c r="S667" s="57">
        <v>46054</v>
      </c>
      <c r="T667" s="42">
        <v>0</v>
      </c>
      <c r="U667" s="69">
        <v>2</v>
      </c>
      <c r="V667" s="42">
        <v>0</v>
      </c>
      <c r="W667" s="57" t="s">
        <v>34</v>
      </c>
      <c r="X667" s="57" t="s">
        <v>42</v>
      </c>
      <c r="Y667" s="57" t="s">
        <v>36</v>
      </c>
      <c r="Z667" s="57" t="s">
        <v>43</v>
      </c>
      <c r="AA667" s="57" t="s">
        <v>37</v>
      </c>
      <c r="AB667" s="57" t="s">
        <v>37</v>
      </c>
      <c r="AC667" s="57" t="s">
        <v>38</v>
      </c>
      <c r="AD667" s="75" t="s">
        <v>267</v>
      </c>
      <c r="AE667" s="80"/>
      <c r="AF667" s="80"/>
      <c r="AG667" s="80"/>
      <c r="AH667" s="80"/>
      <c r="AI667" s="86"/>
      <c r="AJ667" s="86"/>
      <c r="AK667" s="86"/>
      <c r="AL667" s="86"/>
      <c r="AM667" s="86"/>
      <c r="AN667" s="86"/>
      <c r="AO667" s="86"/>
      <c r="AP667" s="86"/>
      <c r="AQ667" s="86"/>
      <c r="AR667" s="86"/>
      <c r="AS667" s="86"/>
      <c r="AT667" s="86"/>
      <c r="AU667" s="86"/>
      <c r="AV667" s="86"/>
      <c r="AW667" s="86"/>
    </row>
    <row r="668" spans="1:49" ht="31.5" x14ac:dyDescent="0.25">
      <c r="A668" s="57" t="s">
        <v>118</v>
      </c>
      <c r="B668" s="60">
        <v>46052</v>
      </c>
      <c r="C668" s="60">
        <v>46052</v>
      </c>
      <c r="D668" s="61" t="s">
        <v>217</v>
      </c>
      <c r="E668" s="63">
        <v>0.66666666666666663</v>
      </c>
      <c r="F668" s="63">
        <v>0.6875</v>
      </c>
      <c r="G668" s="63">
        <v>2.0833333333333332E-2</v>
      </c>
      <c r="H668" s="57" t="s">
        <v>119</v>
      </c>
      <c r="I668" s="67"/>
      <c r="J668" s="57" t="s">
        <v>120</v>
      </c>
      <c r="K668" s="57"/>
      <c r="L668" s="69">
        <v>1</v>
      </c>
      <c r="M668" s="69">
        <v>1</v>
      </c>
      <c r="N668" s="57" t="s">
        <v>33</v>
      </c>
      <c r="O668" s="57"/>
      <c r="P668" s="42">
        <v>0</v>
      </c>
      <c r="Q668" s="69"/>
      <c r="R668" s="42">
        <v>0</v>
      </c>
      <c r="S668" s="57">
        <v>46054</v>
      </c>
      <c r="T668" s="42">
        <v>0</v>
      </c>
      <c r="U668" s="69">
        <v>2</v>
      </c>
      <c r="V668" s="42">
        <v>0</v>
      </c>
      <c r="W668" s="57" t="s">
        <v>34</v>
      </c>
      <c r="X668" s="57" t="s">
        <v>42</v>
      </c>
      <c r="Y668" s="57" t="s">
        <v>36</v>
      </c>
      <c r="Z668" s="57" t="s">
        <v>43</v>
      </c>
      <c r="AA668" s="57" t="s">
        <v>37</v>
      </c>
      <c r="AB668" s="57" t="s">
        <v>37</v>
      </c>
      <c r="AC668" s="57" t="s">
        <v>38</v>
      </c>
      <c r="AD668" s="75" t="s">
        <v>267</v>
      </c>
      <c r="AE668" s="79"/>
      <c r="AF668" s="79"/>
      <c r="AG668" s="79"/>
      <c r="AH668" s="79"/>
      <c r="AI668" s="86"/>
      <c r="AJ668" s="86"/>
      <c r="AK668" s="86"/>
      <c r="AL668" s="86"/>
      <c r="AM668" s="86"/>
      <c r="AN668" s="86"/>
      <c r="AO668" s="86"/>
      <c r="AP668" s="86"/>
      <c r="AQ668" s="86"/>
      <c r="AR668" s="86"/>
      <c r="AS668" s="86"/>
      <c r="AT668" s="86"/>
      <c r="AU668" s="86"/>
      <c r="AV668" s="86"/>
      <c r="AW668" s="86"/>
    </row>
    <row r="669" spans="1:49" ht="31.5" x14ac:dyDescent="0.25">
      <c r="A669" s="57" t="s">
        <v>118</v>
      </c>
      <c r="B669" s="60">
        <v>46052</v>
      </c>
      <c r="C669" s="60">
        <v>46052</v>
      </c>
      <c r="D669" s="61" t="s">
        <v>217</v>
      </c>
      <c r="E669" s="63">
        <v>0.70833333333333337</v>
      </c>
      <c r="F669" s="63">
        <v>0.75</v>
      </c>
      <c r="G669" s="63">
        <v>4.1666666666666664E-2</v>
      </c>
      <c r="H669" s="57" t="s">
        <v>220</v>
      </c>
      <c r="I669" s="67"/>
      <c r="J669" s="57" t="s">
        <v>120</v>
      </c>
      <c r="K669" s="57"/>
      <c r="L669" s="69">
        <v>1</v>
      </c>
      <c r="M669" s="69">
        <v>1</v>
      </c>
      <c r="N669" s="57" t="s">
        <v>33</v>
      </c>
      <c r="O669" s="57"/>
      <c r="P669" s="42">
        <v>0</v>
      </c>
      <c r="Q669" s="69"/>
      <c r="R669" s="42">
        <v>0</v>
      </c>
      <c r="S669" s="57">
        <v>46054</v>
      </c>
      <c r="T669" s="42">
        <v>0</v>
      </c>
      <c r="U669" s="69">
        <v>2</v>
      </c>
      <c r="V669" s="42">
        <v>0</v>
      </c>
      <c r="W669" s="57" t="s">
        <v>34</v>
      </c>
      <c r="X669" s="57" t="s">
        <v>42</v>
      </c>
      <c r="Y669" s="57" t="s">
        <v>36</v>
      </c>
      <c r="Z669" s="57" t="s">
        <v>43</v>
      </c>
      <c r="AA669" s="57" t="s">
        <v>37</v>
      </c>
      <c r="AB669" s="57" t="s">
        <v>37</v>
      </c>
      <c r="AC669" s="57" t="s">
        <v>38</v>
      </c>
      <c r="AD669" s="75" t="s">
        <v>267</v>
      </c>
      <c r="AE669" s="79"/>
      <c r="AF669" s="79"/>
      <c r="AG669" s="79"/>
      <c r="AH669" s="79"/>
      <c r="AI669" s="86"/>
      <c r="AJ669" s="86"/>
      <c r="AK669" s="86"/>
      <c r="AL669" s="86"/>
      <c r="AM669" s="86"/>
      <c r="AN669" s="86"/>
      <c r="AO669" s="86"/>
      <c r="AP669" s="86"/>
      <c r="AQ669" s="86"/>
      <c r="AR669" s="86"/>
      <c r="AS669" s="86"/>
      <c r="AT669" s="86"/>
      <c r="AU669" s="86"/>
      <c r="AV669" s="86"/>
      <c r="AW669" s="86"/>
    </row>
    <row r="670" spans="1:49" ht="31.5" x14ac:dyDescent="0.2">
      <c r="A670" s="57" t="s">
        <v>118</v>
      </c>
      <c r="B670" s="60">
        <v>46053</v>
      </c>
      <c r="C670" s="60">
        <v>46053</v>
      </c>
      <c r="D670" s="61" t="s">
        <v>224</v>
      </c>
      <c r="E670" s="63">
        <v>0.66666666666666663</v>
      </c>
      <c r="F670" s="63">
        <v>0.70833333333333337</v>
      </c>
      <c r="G670" s="63">
        <v>4.1666666666666664E-2</v>
      </c>
      <c r="H670" s="57" t="s">
        <v>125</v>
      </c>
      <c r="I670" s="67" t="s">
        <v>226</v>
      </c>
      <c r="J670" s="57" t="s">
        <v>120</v>
      </c>
      <c r="K670" s="57"/>
      <c r="L670" s="69">
        <v>1</v>
      </c>
      <c r="M670" s="69">
        <v>1</v>
      </c>
      <c r="N670" s="57" t="s">
        <v>33</v>
      </c>
      <c r="O670" s="57"/>
      <c r="P670" s="42">
        <v>0</v>
      </c>
      <c r="Q670" s="69"/>
      <c r="R670" s="42">
        <v>0</v>
      </c>
      <c r="S670" s="57">
        <v>46054</v>
      </c>
      <c r="T670" s="42">
        <v>0</v>
      </c>
      <c r="U670" s="69">
        <v>2</v>
      </c>
      <c r="V670" s="42">
        <v>0</v>
      </c>
      <c r="W670" s="57" t="s">
        <v>34</v>
      </c>
      <c r="X670" s="57" t="s">
        <v>42</v>
      </c>
      <c r="Y670" s="57" t="s">
        <v>36</v>
      </c>
      <c r="Z670" s="57" t="s">
        <v>43</v>
      </c>
      <c r="AA670" s="57" t="s">
        <v>37</v>
      </c>
      <c r="AB670" s="57" t="s">
        <v>37</v>
      </c>
      <c r="AC670" s="57" t="s">
        <v>38</v>
      </c>
      <c r="AD670" s="75" t="s">
        <v>267</v>
      </c>
      <c r="AE670" s="57"/>
      <c r="AF670" s="57"/>
      <c r="AG670" s="57"/>
      <c r="AH670" s="57"/>
      <c r="AI670" s="57"/>
      <c r="AJ670" s="57"/>
      <c r="AK670" s="57"/>
      <c r="AL670" s="57"/>
      <c r="AM670" s="57"/>
      <c r="AN670" s="57"/>
      <c r="AO670" s="57"/>
      <c r="AP670" s="57"/>
      <c r="AQ670" s="57"/>
      <c r="AR670" s="57"/>
      <c r="AS670" s="57"/>
      <c r="AT670" s="57"/>
      <c r="AU670" s="57"/>
      <c r="AV670" s="57"/>
      <c r="AW670" s="57"/>
    </row>
    <row r="671" spans="1:49" ht="31.5" x14ac:dyDescent="0.25">
      <c r="A671" s="57" t="s">
        <v>118</v>
      </c>
      <c r="B671" s="60">
        <v>46054</v>
      </c>
      <c r="C671" s="60">
        <v>46054</v>
      </c>
      <c r="D671" s="61" t="s">
        <v>249</v>
      </c>
      <c r="E671" s="63">
        <v>0.66666666666666663</v>
      </c>
      <c r="F671" s="63">
        <v>0.70833333333333337</v>
      </c>
      <c r="G671" s="63">
        <v>4.1666666666666664E-2</v>
      </c>
      <c r="H671" s="57" t="s">
        <v>200</v>
      </c>
      <c r="I671" s="67" t="s">
        <v>226</v>
      </c>
      <c r="J671" s="57" t="s">
        <v>120</v>
      </c>
      <c r="K671" s="57"/>
      <c r="L671" s="69">
        <v>1</v>
      </c>
      <c r="M671" s="69">
        <v>1</v>
      </c>
      <c r="N671" s="57" t="s">
        <v>33</v>
      </c>
      <c r="O671" s="57"/>
      <c r="P671" s="42">
        <v>0</v>
      </c>
      <c r="Q671" s="69"/>
      <c r="R671" s="42">
        <v>0</v>
      </c>
      <c r="S671" s="57">
        <v>46054</v>
      </c>
      <c r="T671" s="42">
        <v>0</v>
      </c>
      <c r="U671" s="69">
        <v>2</v>
      </c>
      <c r="V671" s="42">
        <v>0</v>
      </c>
      <c r="W671" s="57" t="s">
        <v>34</v>
      </c>
      <c r="X671" s="57" t="s">
        <v>42</v>
      </c>
      <c r="Y671" s="57" t="s">
        <v>36</v>
      </c>
      <c r="Z671" s="57" t="s">
        <v>43</v>
      </c>
      <c r="AA671" s="57" t="s">
        <v>37</v>
      </c>
      <c r="AB671" s="57" t="s">
        <v>37</v>
      </c>
      <c r="AC671" s="57" t="s">
        <v>38</v>
      </c>
      <c r="AD671" s="75" t="s">
        <v>267</v>
      </c>
      <c r="AE671" s="76"/>
      <c r="AF671" s="76"/>
      <c r="AG671" s="76"/>
      <c r="AH671" s="76"/>
      <c r="AI671" s="76"/>
      <c r="AJ671" s="76"/>
      <c r="AK671" s="76"/>
      <c r="AL671" s="76"/>
      <c r="AM671" s="76"/>
      <c r="AN671" s="76"/>
      <c r="AO671" s="76"/>
      <c r="AP671" s="76"/>
      <c r="AQ671" s="76"/>
      <c r="AR671" s="76"/>
      <c r="AS671" s="76"/>
      <c r="AT671" s="76"/>
      <c r="AU671" s="76"/>
      <c r="AV671" s="76"/>
      <c r="AW671" s="76"/>
    </row>
    <row r="672" spans="1:49" ht="31.5" x14ac:dyDescent="0.2">
      <c r="A672" s="57" t="s">
        <v>118</v>
      </c>
      <c r="B672" s="60">
        <v>46054</v>
      </c>
      <c r="C672" s="60">
        <v>46054</v>
      </c>
      <c r="D672" s="61" t="s">
        <v>249</v>
      </c>
      <c r="E672" s="63">
        <v>0.70833333333333337</v>
      </c>
      <c r="F672" s="63">
        <v>0.75</v>
      </c>
      <c r="G672" s="63">
        <v>4.1666666666666664E-2</v>
      </c>
      <c r="H672" s="57" t="s">
        <v>213</v>
      </c>
      <c r="I672" s="67" t="s">
        <v>226</v>
      </c>
      <c r="J672" s="57" t="s">
        <v>120</v>
      </c>
      <c r="K672" s="57"/>
      <c r="L672" s="69">
        <v>1</v>
      </c>
      <c r="M672" s="69">
        <v>1</v>
      </c>
      <c r="N672" s="57" t="s">
        <v>33</v>
      </c>
      <c r="O672" s="57"/>
      <c r="P672" s="42">
        <v>0</v>
      </c>
      <c r="Q672" s="69"/>
      <c r="R672" s="42">
        <v>0</v>
      </c>
      <c r="S672" s="57">
        <v>46054</v>
      </c>
      <c r="T672" s="42">
        <v>0</v>
      </c>
      <c r="U672" s="69">
        <v>2</v>
      </c>
      <c r="V672" s="42">
        <v>0</v>
      </c>
      <c r="W672" s="57" t="s">
        <v>34</v>
      </c>
      <c r="X672" s="57" t="s">
        <v>42</v>
      </c>
      <c r="Y672" s="57" t="s">
        <v>36</v>
      </c>
      <c r="Z672" s="57" t="s">
        <v>43</v>
      </c>
      <c r="AA672" s="57" t="s">
        <v>37</v>
      </c>
      <c r="AB672" s="57" t="s">
        <v>37</v>
      </c>
      <c r="AC672" s="57" t="s">
        <v>38</v>
      </c>
      <c r="AD672" s="75" t="s">
        <v>267</v>
      </c>
      <c r="AE672" s="57"/>
      <c r="AF672" s="57"/>
      <c r="AG672" s="57"/>
      <c r="AH672" s="57"/>
      <c r="AI672" s="57"/>
      <c r="AJ672" s="57"/>
      <c r="AK672" s="57"/>
      <c r="AL672" s="57"/>
      <c r="AM672" s="57"/>
      <c r="AN672" s="57"/>
      <c r="AO672" s="57"/>
      <c r="AP672" s="57"/>
      <c r="AQ672" s="57"/>
      <c r="AR672" s="57"/>
      <c r="AS672" s="57"/>
      <c r="AT672" s="57"/>
      <c r="AU672" s="57"/>
      <c r="AV672" s="57"/>
      <c r="AW672" s="57"/>
    </row>
    <row r="673" spans="1:49" ht="31.5" x14ac:dyDescent="0.2">
      <c r="A673" s="57" t="s">
        <v>103</v>
      </c>
      <c r="B673" s="60">
        <v>46048</v>
      </c>
      <c r="C673" s="60">
        <v>46048</v>
      </c>
      <c r="D673" s="61" t="s">
        <v>30</v>
      </c>
      <c r="E673" s="63">
        <v>0.54166666666666663</v>
      </c>
      <c r="F673" s="63">
        <v>0.5625</v>
      </c>
      <c r="G673" s="63">
        <v>2.0833333333333332E-2</v>
      </c>
      <c r="H673" s="57" t="s">
        <v>104</v>
      </c>
      <c r="I673" s="67"/>
      <c r="J673" s="57" t="s">
        <v>105</v>
      </c>
      <c r="K673" s="57"/>
      <c r="L673" s="69">
        <v>1</v>
      </c>
      <c r="M673" s="69">
        <v>1</v>
      </c>
      <c r="N673" s="57" t="s">
        <v>33</v>
      </c>
      <c r="O673" s="57"/>
      <c r="P673" s="42">
        <v>0</v>
      </c>
      <c r="Q673" s="69"/>
      <c r="R673" s="42">
        <v>0</v>
      </c>
      <c r="S673" s="57">
        <v>46054</v>
      </c>
      <c r="T673" s="42">
        <v>0</v>
      </c>
      <c r="U673" s="69">
        <v>2</v>
      </c>
      <c r="V673" s="42">
        <v>0</v>
      </c>
      <c r="W673" s="57" t="s">
        <v>34</v>
      </c>
      <c r="X673" s="57" t="s">
        <v>42</v>
      </c>
      <c r="Y673" s="57" t="s">
        <v>36</v>
      </c>
      <c r="Z673" s="57" t="s">
        <v>43</v>
      </c>
      <c r="AA673" s="57" t="s">
        <v>37</v>
      </c>
      <c r="AB673" s="57" t="s">
        <v>37</v>
      </c>
      <c r="AC673" s="57" t="s">
        <v>38</v>
      </c>
      <c r="AD673" s="75" t="s">
        <v>267</v>
      </c>
      <c r="AE673" s="57"/>
      <c r="AF673" s="57"/>
      <c r="AG673" s="57"/>
      <c r="AH673" s="57"/>
      <c r="AI673" s="57"/>
      <c r="AJ673" s="57"/>
      <c r="AK673" s="57"/>
      <c r="AL673" s="57"/>
      <c r="AM673" s="57"/>
      <c r="AN673" s="57"/>
      <c r="AO673" s="57"/>
      <c r="AP673" s="57"/>
      <c r="AQ673" s="57"/>
      <c r="AR673" s="57"/>
      <c r="AS673" s="57"/>
      <c r="AT673" s="57"/>
      <c r="AU673" s="57"/>
      <c r="AV673" s="57"/>
      <c r="AW673" s="57"/>
    </row>
    <row r="674" spans="1:49" ht="31.5" x14ac:dyDescent="0.2">
      <c r="A674" s="57" t="s">
        <v>103</v>
      </c>
      <c r="B674" s="60">
        <v>46048</v>
      </c>
      <c r="C674" s="60">
        <v>46048</v>
      </c>
      <c r="D674" s="61" t="s">
        <v>30</v>
      </c>
      <c r="E674" s="63">
        <v>0.5625</v>
      </c>
      <c r="F674" s="63">
        <v>0.58333333333333337</v>
      </c>
      <c r="G674" s="63">
        <v>2.0833333333333332E-2</v>
      </c>
      <c r="H674" s="57" t="s">
        <v>112</v>
      </c>
      <c r="I674" s="67"/>
      <c r="J674" s="57" t="s">
        <v>105</v>
      </c>
      <c r="K674" s="57"/>
      <c r="L674" s="69">
        <v>1</v>
      </c>
      <c r="M674" s="69">
        <v>1</v>
      </c>
      <c r="N674" s="57" t="s">
        <v>33</v>
      </c>
      <c r="O674" s="57"/>
      <c r="P674" s="42">
        <v>0</v>
      </c>
      <c r="Q674" s="69"/>
      <c r="R674" s="42">
        <v>0</v>
      </c>
      <c r="S674" s="57">
        <v>46054</v>
      </c>
      <c r="T674" s="42">
        <v>0</v>
      </c>
      <c r="U674" s="69">
        <v>2</v>
      </c>
      <c r="V674" s="42">
        <v>0</v>
      </c>
      <c r="W674" s="57" t="s">
        <v>34</v>
      </c>
      <c r="X674" s="57" t="s">
        <v>42</v>
      </c>
      <c r="Y674" s="57" t="s">
        <v>36</v>
      </c>
      <c r="Z674" s="57" t="s">
        <v>43</v>
      </c>
      <c r="AA674" s="57" t="s">
        <v>37</v>
      </c>
      <c r="AB674" s="57" t="s">
        <v>37</v>
      </c>
      <c r="AC674" s="57" t="s">
        <v>38</v>
      </c>
      <c r="AD674" s="75" t="s">
        <v>267</v>
      </c>
      <c r="AE674" s="57"/>
      <c r="AF674" s="57"/>
      <c r="AG674" s="57"/>
      <c r="AH674" s="57"/>
      <c r="AI674" s="57"/>
      <c r="AJ674" s="57"/>
      <c r="AK674" s="57"/>
      <c r="AL674" s="57"/>
      <c r="AM674" s="57"/>
      <c r="AN674" s="57"/>
      <c r="AO674" s="57"/>
      <c r="AP674" s="57"/>
      <c r="AQ674" s="57"/>
      <c r="AR674" s="57"/>
      <c r="AS674" s="57"/>
      <c r="AT674" s="57"/>
      <c r="AU674" s="57"/>
      <c r="AV674" s="57"/>
      <c r="AW674" s="57"/>
    </row>
    <row r="675" spans="1:49" ht="31.5" x14ac:dyDescent="0.25">
      <c r="A675" s="57" t="s">
        <v>103</v>
      </c>
      <c r="B675" s="60">
        <v>46049</v>
      </c>
      <c r="C675" s="60">
        <v>46049</v>
      </c>
      <c r="D675" s="61" t="s">
        <v>166</v>
      </c>
      <c r="E675" s="63">
        <v>0.54166666666666663</v>
      </c>
      <c r="F675" s="63">
        <v>0.5625</v>
      </c>
      <c r="G675" s="63">
        <v>2.0833333333333332E-2</v>
      </c>
      <c r="H675" s="57" t="s">
        <v>104</v>
      </c>
      <c r="I675" s="67"/>
      <c r="J675" s="57" t="s">
        <v>105</v>
      </c>
      <c r="K675" s="57"/>
      <c r="L675" s="69">
        <v>1</v>
      </c>
      <c r="M675" s="69">
        <v>1</v>
      </c>
      <c r="N675" s="57" t="s">
        <v>33</v>
      </c>
      <c r="O675" s="57"/>
      <c r="P675" s="42">
        <v>0</v>
      </c>
      <c r="Q675" s="69"/>
      <c r="R675" s="42">
        <v>0</v>
      </c>
      <c r="S675" s="57">
        <v>46054</v>
      </c>
      <c r="T675" s="42">
        <v>0</v>
      </c>
      <c r="U675" s="69">
        <v>2</v>
      </c>
      <c r="V675" s="42">
        <v>0</v>
      </c>
      <c r="W675" s="57" t="s">
        <v>34</v>
      </c>
      <c r="X675" s="57" t="s">
        <v>42</v>
      </c>
      <c r="Y675" s="57" t="s">
        <v>36</v>
      </c>
      <c r="Z675" s="57" t="s">
        <v>43</v>
      </c>
      <c r="AA675" s="57" t="s">
        <v>37</v>
      </c>
      <c r="AB675" s="57" t="s">
        <v>37</v>
      </c>
      <c r="AC675" s="57" t="s">
        <v>38</v>
      </c>
      <c r="AD675" s="75" t="s">
        <v>267</v>
      </c>
      <c r="AE675" s="76"/>
      <c r="AF675" s="76"/>
      <c r="AG675" s="76"/>
      <c r="AH675" s="76"/>
      <c r="AI675" s="76"/>
      <c r="AJ675" s="76"/>
      <c r="AK675" s="76"/>
      <c r="AL675" s="76"/>
      <c r="AM675" s="76"/>
      <c r="AN675" s="76"/>
      <c r="AO675" s="76"/>
      <c r="AP675" s="76"/>
      <c r="AQ675" s="76"/>
      <c r="AR675" s="76"/>
      <c r="AS675" s="76"/>
      <c r="AT675" s="76"/>
      <c r="AU675" s="76"/>
      <c r="AV675" s="76"/>
      <c r="AW675" s="76"/>
    </row>
    <row r="676" spans="1:49" ht="31.5" x14ac:dyDescent="0.25">
      <c r="A676" s="57" t="s">
        <v>103</v>
      </c>
      <c r="B676" s="60">
        <v>46049</v>
      </c>
      <c r="C676" s="60">
        <v>46049</v>
      </c>
      <c r="D676" s="61" t="s">
        <v>166</v>
      </c>
      <c r="E676" s="63">
        <v>0.5625</v>
      </c>
      <c r="F676" s="63">
        <v>0.58333333333333337</v>
      </c>
      <c r="G676" s="63">
        <v>2.0833333333333332E-2</v>
      </c>
      <c r="H676" s="57" t="s">
        <v>112</v>
      </c>
      <c r="I676" s="67"/>
      <c r="J676" s="57" t="s">
        <v>105</v>
      </c>
      <c r="K676" s="57"/>
      <c r="L676" s="69">
        <v>1</v>
      </c>
      <c r="M676" s="69">
        <v>1</v>
      </c>
      <c r="N676" s="57" t="s">
        <v>33</v>
      </c>
      <c r="O676" s="57"/>
      <c r="P676" s="42">
        <v>0</v>
      </c>
      <c r="Q676" s="69"/>
      <c r="R676" s="42">
        <v>0</v>
      </c>
      <c r="S676" s="57">
        <v>46054</v>
      </c>
      <c r="T676" s="42">
        <v>0</v>
      </c>
      <c r="U676" s="69">
        <v>2</v>
      </c>
      <c r="V676" s="42">
        <v>0</v>
      </c>
      <c r="W676" s="57" t="s">
        <v>34</v>
      </c>
      <c r="X676" s="57" t="s">
        <v>42</v>
      </c>
      <c r="Y676" s="57" t="s">
        <v>36</v>
      </c>
      <c r="Z676" s="57" t="s">
        <v>43</v>
      </c>
      <c r="AA676" s="57" t="s">
        <v>37</v>
      </c>
      <c r="AB676" s="57" t="s">
        <v>37</v>
      </c>
      <c r="AC676" s="57" t="s">
        <v>38</v>
      </c>
      <c r="AD676" s="75" t="s">
        <v>267</v>
      </c>
      <c r="AE676" s="76"/>
      <c r="AF676" s="76"/>
      <c r="AG676" s="76"/>
      <c r="AH676" s="76"/>
      <c r="AI676" s="76"/>
      <c r="AJ676" s="76"/>
      <c r="AK676" s="76"/>
      <c r="AL676" s="76"/>
      <c r="AM676" s="76"/>
      <c r="AN676" s="76"/>
      <c r="AO676" s="76"/>
      <c r="AP676" s="76"/>
      <c r="AQ676" s="76"/>
      <c r="AR676" s="76"/>
      <c r="AS676" s="76"/>
      <c r="AT676" s="76"/>
      <c r="AU676" s="76"/>
      <c r="AV676" s="76"/>
      <c r="AW676" s="76"/>
    </row>
    <row r="677" spans="1:49" ht="31.5" x14ac:dyDescent="0.25">
      <c r="A677" s="57" t="s">
        <v>103</v>
      </c>
      <c r="B677" s="60">
        <v>46050</v>
      </c>
      <c r="C677" s="60">
        <v>46050</v>
      </c>
      <c r="D677" s="61" t="s">
        <v>196</v>
      </c>
      <c r="E677" s="63">
        <v>0.54166666666666663</v>
      </c>
      <c r="F677" s="63">
        <v>0.5625</v>
      </c>
      <c r="G677" s="63">
        <v>2.0833333333333332E-2</v>
      </c>
      <c r="H677" s="57" t="s">
        <v>104</v>
      </c>
      <c r="I677" s="67"/>
      <c r="J677" s="57" t="s">
        <v>105</v>
      </c>
      <c r="K677" s="57"/>
      <c r="L677" s="69">
        <v>1</v>
      </c>
      <c r="M677" s="69">
        <v>1</v>
      </c>
      <c r="N677" s="57" t="s">
        <v>33</v>
      </c>
      <c r="O677" s="57"/>
      <c r="P677" s="42">
        <v>0</v>
      </c>
      <c r="Q677" s="69"/>
      <c r="R677" s="42">
        <v>0</v>
      </c>
      <c r="S677" s="57">
        <v>46054</v>
      </c>
      <c r="T677" s="42">
        <v>0</v>
      </c>
      <c r="U677" s="69">
        <v>2</v>
      </c>
      <c r="V677" s="42">
        <v>0</v>
      </c>
      <c r="W677" s="57" t="s">
        <v>34</v>
      </c>
      <c r="X677" s="57" t="s">
        <v>42</v>
      </c>
      <c r="Y677" s="57" t="s">
        <v>36</v>
      </c>
      <c r="Z677" s="57" t="s">
        <v>43</v>
      </c>
      <c r="AA677" s="57" t="s">
        <v>37</v>
      </c>
      <c r="AB677" s="57" t="s">
        <v>37</v>
      </c>
      <c r="AC677" s="57" t="s">
        <v>38</v>
      </c>
      <c r="AD677" s="75" t="s">
        <v>267</v>
      </c>
      <c r="AE677" s="76"/>
      <c r="AF677" s="76"/>
      <c r="AG677" s="76"/>
      <c r="AH677" s="76"/>
      <c r="AI677" s="76"/>
      <c r="AJ677" s="76"/>
      <c r="AK677" s="76"/>
      <c r="AL677" s="76"/>
      <c r="AM677" s="76"/>
      <c r="AN677" s="76"/>
      <c r="AO677" s="76"/>
      <c r="AP677" s="76"/>
      <c r="AQ677" s="76"/>
      <c r="AR677" s="76"/>
      <c r="AS677" s="76"/>
      <c r="AT677" s="76"/>
      <c r="AU677" s="76"/>
      <c r="AV677" s="76"/>
      <c r="AW677" s="76"/>
    </row>
    <row r="678" spans="1:49" ht="31.5" x14ac:dyDescent="0.25">
      <c r="A678" s="57" t="s">
        <v>103</v>
      </c>
      <c r="B678" s="60">
        <v>46050</v>
      </c>
      <c r="C678" s="60">
        <v>46050</v>
      </c>
      <c r="D678" s="61" t="s">
        <v>196</v>
      </c>
      <c r="E678" s="63">
        <v>0.5625</v>
      </c>
      <c r="F678" s="63">
        <v>0.58333333333333337</v>
      </c>
      <c r="G678" s="63">
        <v>2.0833333333333332E-2</v>
      </c>
      <c r="H678" s="57" t="s">
        <v>112</v>
      </c>
      <c r="I678" s="67"/>
      <c r="J678" s="57" t="s">
        <v>105</v>
      </c>
      <c r="K678" s="57"/>
      <c r="L678" s="69">
        <v>1</v>
      </c>
      <c r="M678" s="69">
        <v>1</v>
      </c>
      <c r="N678" s="57" t="s">
        <v>33</v>
      </c>
      <c r="O678" s="57"/>
      <c r="P678" s="42">
        <v>0</v>
      </c>
      <c r="Q678" s="69"/>
      <c r="R678" s="42">
        <v>0</v>
      </c>
      <c r="S678" s="57">
        <v>46054</v>
      </c>
      <c r="T678" s="42">
        <v>0</v>
      </c>
      <c r="U678" s="69">
        <v>2</v>
      </c>
      <c r="V678" s="42">
        <v>0</v>
      </c>
      <c r="W678" s="57" t="s">
        <v>34</v>
      </c>
      <c r="X678" s="57" t="s">
        <v>42</v>
      </c>
      <c r="Y678" s="57" t="s">
        <v>36</v>
      </c>
      <c r="Z678" s="57" t="s">
        <v>43</v>
      </c>
      <c r="AA678" s="57" t="s">
        <v>37</v>
      </c>
      <c r="AB678" s="57" t="s">
        <v>37</v>
      </c>
      <c r="AC678" s="57" t="s">
        <v>38</v>
      </c>
      <c r="AD678" s="75" t="s">
        <v>267</v>
      </c>
      <c r="AE678" s="76"/>
      <c r="AF678" s="76"/>
      <c r="AG678" s="76"/>
      <c r="AH678" s="76"/>
      <c r="AI678" s="76"/>
      <c r="AJ678" s="76"/>
      <c r="AK678" s="76"/>
      <c r="AL678" s="76"/>
      <c r="AM678" s="76"/>
      <c r="AN678" s="76"/>
      <c r="AO678" s="76"/>
      <c r="AP678" s="76"/>
      <c r="AQ678" s="76"/>
      <c r="AR678" s="76"/>
      <c r="AS678" s="76"/>
      <c r="AT678" s="76"/>
      <c r="AU678" s="76"/>
      <c r="AV678" s="76"/>
      <c r="AW678" s="76"/>
    </row>
    <row r="679" spans="1:49" ht="31.5" x14ac:dyDescent="0.25">
      <c r="A679" s="57" t="s">
        <v>103</v>
      </c>
      <c r="B679" s="60">
        <v>46051</v>
      </c>
      <c r="C679" s="60">
        <v>46051</v>
      </c>
      <c r="D679" s="61" t="s">
        <v>207</v>
      </c>
      <c r="E679" s="63">
        <v>0.54166666666666663</v>
      </c>
      <c r="F679" s="63">
        <v>0.5625</v>
      </c>
      <c r="G679" s="63">
        <v>2.0833333333333332E-2</v>
      </c>
      <c r="H679" s="57" t="s">
        <v>104</v>
      </c>
      <c r="I679" s="67"/>
      <c r="J679" s="57" t="s">
        <v>105</v>
      </c>
      <c r="K679" s="57"/>
      <c r="L679" s="69">
        <v>1</v>
      </c>
      <c r="M679" s="69">
        <v>1</v>
      </c>
      <c r="N679" s="57" t="s">
        <v>33</v>
      </c>
      <c r="O679" s="57"/>
      <c r="P679" s="42">
        <v>0</v>
      </c>
      <c r="Q679" s="69"/>
      <c r="R679" s="42">
        <v>0</v>
      </c>
      <c r="S679" s="57">
        <v>46054</v>
      </c>
      <c r="T679" s="42">
        <v>0</v>
      </c>
      <c r="U679" s="69">
        <v>2</v>
      </c>
      <c r="V679" s="42">
        <v>0</v>
      </c>
      <c r="W679" s="57" t="s">
        <v>34</v>
      </c>
      <c r="X679" s="57" t="s">
        <v>42</v>
      </c>
      <c r="Y679" s="57" t="s">
        <v>36</v>
      </c>
      <c r="Z679" s="57" t="s">
        <v>43</v>
      </c>
      <c r="AA679" s="57" t="s">
        <v>37</v>
      </c>
      <c r="AB679" s="57" t="s">
        <v>37</v>
      </c>
      <c r="AC679" s="57" t="s">
        <v>38</v>
      </c>
      <c r="AD679" s="75" t="s">
        <v>267</v>
      </c>
      <c r="AE679" s="82"/>
      <c r="AF679" s="82"/>
      <c r="AG679" s="82"/>
      <c r="AH679" s="82"/>
      <c r="AI679" s="86"/>
      <c r="AJ679" s="86"/>
      <c r="AK679" s="86"/>
      <c r="AL679" s="86"/>
      <c r="AM679" s="86"/>
      <c r="AN679" s="86"/>
      <c r="AO679" s="86"/>
      <c r="AP679" s="86"/>
      <c r="AQ679" s="86"/>
      <c r="AR679" s="86"/>
      <c r="AS679" s="86"/>
      <c r="AT679" s="86"/>
      <c r="AU679" s="86"/>
      <c r="AV679" s="86"/>
      <c r="AW679" s="86"/>
    </row>
    <row r="680" spans="1:49" ht="31.5" x14ac:dyDescent="0.25">
      <c r="A680" s="57" t="s">
        <v>103</v>
      </c>
      <c r="B680" s="60">
        <v>46051</v>
      </c>
      <c r="C680" s="60">
        <v>46051</v>
      </c>
      <c r="D680" s="61" t="s">
        <v>207</v>
      </c>
      <c r="E680" s="63">
        <v>0.5625</v>
      </c>
      <c r="F680" s="63">
        <v>0.58333333333333337</v>
      </c>
      <c r="G680" s="63">
        <v>2.0833333333333332E-2</v>
      </c>
      <c r="H680" s="57" t="s">
        <v>112</v>
      </c>
      <c r="I680" s="67"/>
      <c r="J680" s="57" t="s">
        <v>105</v>
      </c>
      <c r="K680" s="57"/>
      <c r="L680" s="69">
        <v>1</v>
      </c>
      <c r="M680" s="69">
        <v>1</v>
      </c>
      <c r="N680" s="57" t="s">
        <v>33</v>
      </c>
      <c r="O680" s="57"/>
      <c r="P680" s="42">
        <v>0</v>
      </c>
      <c r="Q680" s="69"/>
      <c r="R680" s="42">
        <v>0</v>
      </c>
      <c r="S680" s="57">
        <v>46054</v>
      </c>
      <c r="T680" s="42">
        <v>0</v>
      </c>
      <c r="U680" s="69">
        <v>2</v>
      </c>
      <c r="V680" s="42">
        <v>0</v>
      </c>
      <c r="W680" s="57" t="s">
        <v>34</v>
      </c>
      <c r="X680" s="57" t="s">
        <v>42</v>
      </c>
      <c r="Y680" s="57" t="s">
        <v>36</v>
      </c>
      <c r="Z680" s="57" t="s">
        <v>43</v>
      </c>
      <c r="AA680" s="57" t="s">
        <v>37</v>
      </c>
      <c r="AB680" s="57" t="s">
        <v>37</v>
      </c>
      <c r="AC680" s="57" t="s">
        <v>38</v>
      </c>
      <c r="AD680" s="75" t="s">
        <v>267</v>
      </c>
      <c r="AE680" s="76"/>
      <c r="AF680" s="76"/>
      <c r="AG680" s="76"/>
      <c r="AH680" s="76"/>
      <c r="AI680" s="76"/>
      <c r="AJ680" s="76"/>
      <c r="AK680" s="76"/>
      <c r="AL680" s="76"/>
      <c r="AM680" s="76"/>
      <c r="AN680" s="76"/>
      <c r="AO680" s="76"/>
      <c r="AP680" s="76"/>
      <c r="AQ680" s="76"/>
      <c r="AR680" s="76"/>
      <c r="AS680" s="76"/>
      <c r="AT680" s="76"/>
      <c r="AU680" s="76"/>
      <c r="AV680" s="76"/>
      <c r="AW680" s="76"/>
    </row>
    <row r="681" spans="1:49" ht="31.5" x14ac:dyDescent="0.25">
      <c r="A681" s="57" t="s">
        <v>103</v>
      </c>
      <c r="B681" s="60">
        <v>46052</v>
      </c>
      <c r="C681" s="60">
        <v>46052</v>
      </c>
      <c r="D681" s="61" t="s">
        <v>217</v>
      </c>
      <c r="E681" s="63">
        <v>0.54166666666666663</v>
      </c>
      <c r="F681" s="63">
        <v>0.5625</v>
      </c>
      <c r="G681" s="63">
        <v>2.0833333333333332E-2</v>
      </c>
      <c r="H681" s="57" t="s">
        <v>104</v>
      </c>
      <c r="I681" s="67"/>
      <c r="J681" s="57" t="s">
        <v>105</v>
      </c>
      <c r="K681" s="57"/>
      <c r="L681" s="69">
        <v>1</v>
      </c>
      <c r="M681" s="69">
        <v>1</v>
      </c>
      <c r="N681" s="57" t="s">
        <v>33</v>
      </c>
      <c r="O681" s="57"/>
      <c r="P681" s="42">
        <v>0</v>
      </c>
      <c r="Q681" s="69"/>
      <c r="R681" s="42">
        <v>0</v>
      </c>
      <c r="S681" s="57">
        <v>46054</v>
      </c>
      <c r="T681" s="42">
        <v>0</v>
      </c>
      <c r="U681" s="69">
        <v>2</v>
      </c>
      <c r="V681" s="42">
        <v>0</v>
      </c>
      <c r="W681" s="57" t="s">
        <v>34</v>
      </c>
      <c r="X681" s="57" t="s">
        <v>42</v>
      </c>
      <c r="Y681" s="57" t="s">
        <v>36</v>
      </c>
      <c r="Z681" s="57" t="s">
        <v>43</v>
      </c>
      <c r="AA681" s="57" t="s">
        <v>37</v>
      </c>
      <c r="AB681" s="57" t="s">
        <v>37</v>
      </c>
      <c r="AC681" s="57" t="s">
        <v>38</v>
      </c>
      <c r="AD681" s="75" t="s">
        <v>267</v>
      </c>
      <c r="AE681" s="76"/>
      <c r="AF681" s="76"/>
      <c r="AG681" s="76"/>
      <c r="AH681" s="76"/>
      <c r="AI681" s="76"/>
      <c r="AJ681" s="76"/>
      <c r="AK681" s="76"/>
      <c r="AL681" s="76"/>
      <c r="AM681" s="76"/>
      <c r="AN681" s="76"/>
      <c r="AO681" s="76"/>
      <c r="AP681" s="76"/>
      <c r="AQ681" s="76"/>
      <c r="AR681" s="76"/>
      <c r="AS681" s="76"/>
      <c r="AT681" s="76"/>
      <c r="AU681" s="76"/>
      <c r="AV681" s="76"/>
      <c r="AW681" s="76"/>
    </row>
    <row r="682" spans="1:49" ht="31.5" x14ac:dyDescent="0.25">
      <c r="A682" s="57" t="s">
        <v>103</v>
      </c>
      <c r="B682" s="60">
        <v>46052</v>
      </c>
      <c r="C682" s="60">
        <v>46052</v>
      </c>
      <c r="D682" s="61" t="s">
        <v>217</v>
      </c>
      <c r="E682" s="63">
        <v>0.5625</v>
      </c>
      <c r="F682" s="63">
        <v>0.58333333333333337</v>
      </c>
      <c r="G682" s="63">
        <v>2.0833333333333332E-2</v>
      </c>
      <c r="H682" s="57" t="s">
        <v>112</v>
      </c>
      <c r="I682" s="67"/>
      <c r="J682" s="57" t="s">
        <v>105</v>
      </c>
      <c r="K682" s="57"/>
      <c r="L682" s="69">
        <v>1</v>
      </c>
      <c r="M682" s="69">
        <v>1</v>
      </c>
      <c r="N682" s="57" t="s">
        <v>33</v>
      </c>
      <c r="O682" s="57"/>
      <c r="P682" s="42">
        <v>0</v>
      </c>
      <c r="Q682" s="69"/>
      <c r="R682" s="42">
        <v>0</v>
      </c>
      <c r="S682" s="57">
        <v>46054</v>
      </c>
      <c r="T682" s="42">
        <v>0</v>
      </c>
      <c r="U682" s="69">
        <v>2</v>
      </c>
      <c r="V682" s="42">
        <v>0</v>
      </c>
      <c r="W682" s="57" t="s">
        <v>34</v>
      </c>
      <c r="X682" s="57" t="s">
        <v>42</v>
      </c>
      <c r="Y682" s="57" t="s">
        <v>36</v>
      </c>
      <c r="Z682" s="57" t="s">
        <v>43</v>
      </c>
      <c r="AA682" s="57" t="s">
        <v>37</v>
      </c>
      <c r="AB682" s="57" t="s">
        <v>37</v>
      </c>
      <c r="AC682" s="57" t="s">
        <v>38</v>
      </c>
      <c r="AD682" s="75" t="s">
        <v>267</v>
      </c>
      <c r="AE682" s="76"/>
      <c r="AF682" s="76"/>
      <c r="AG682" s="76"/>
      <c r="AH682" s="76"/>
      <c r="AI682" s="76"/>
      <c r="AJ682" s="76"/>
      <c r="AK682" s="76"/>
      <c r="AL682" s="76"/>
      <c r="AM682" s="76"/>
      <c r="AN682" s="76"/>
      <c r="AO682" s="76"/>
      <c r="AP682" s="76"/>
      <c r="AQ682" s="76"/>
      <c r="AR682" s="76"/>
      <c r="AS682" s="76"/>
      <c r="AT682" s="76"/>
      <c r="AU682" s="76"/>
      <c r="AV682" s="76"/>
      <c r="AW682" s="76"/>
    </row>
    <row r="683" spans="1:49" ht="31.5" x14ac:dyDescent="0.25">
      <c r="A683" s="57" t="s">
        <v>75</v>
      </c>
      <c r="B683" s="60">
        <v>46048</v>
      </c>
      <c r="C683" s="60">
        <v>46048</v>
      </c>
      <c r="D683" s="61" t="s">
        <v>30</v>
      </c>
      <c r="E683" s="63">
        <v>0.45833333333333331</v>
      </c>
      <c r="F683" s="63">
        <v>0.47916666666666669</v>
      </c>
      <c r="G683" s="63">
        <v>2.0833333333333332E-2</v>
      </c>
      <c r="H683" s="57" t="s">
        <v>76</v>
      </c>
      <c r="I683" s="67" t="s">
        <v>77</v>
      </c>
      <c r="J683" s="57" t="s">
        <v>74</v>
      </c>
      <c r="K683" s="57"/>
      <c r="L683" s="69">
        <v>1</v>
      </c>
      <c r="M683" s="69">
        <v>1</v>
      </c>
      <c r="N683" s="57" t="s">
        <v>33</v>
      </c>
      <c r="O683" s="57"/>
      <c r="P683" s="42">
        <v>0</v>
      </c>
      <c r="Q683" s="69"/>
      <c r="R683" s="42">
        <v>0</v>
      </c>
      <c r="S683" s="57">
        <v>46054</v>
      </c>
      <c r="T683" s="42">
        <v>0</v>
      </c>
      <c r="U683" s="69">
        <v>2</v>
      </c>
      <c r="V683" s="42">
        <v>0</v>
      </c>
      <c r="W683" s="57" t="s">
        <v>34</v>
      </c>
      <c r="X683" s="57" t="s">
        <v>42</v>
      </c>
      <c r="Y683" s="57" t="s">
        <v>36</v>
      </c>
      <c r="Z683" s="57" t="s">
        <v>43</v>
      </c>
      <c r="AA683" s="57" t="s">
        <v>37</v>
      </c>
      <c r="AB683" s="57" t="s">
        <v>37</v>
      </c>
      <c r="AC683" s="57" t="s">
        <v>38</v>
      </c>
      <c r="AD683" s="75" t="s">
        <v>267</v>
      </c>
      <c r="AE683" s="76"/>
      <c r="AF683" s="76"/>
      <c r="AG683" s="76"/>
      <c r="AH683" s="76"/>
      <c r="AI683" s="85"/>
      <c r="AJ683" s="85"/>
      <c r="AK683" s="85"/>
      <c r="AL683" s="85"/>
      <c r="AM683" s="85"/>
      <c r="AN683" s="85"/>
      <c r="AO683" s="85"/>
      <c r="AP683" s="85"/>
      <c r="AQ683" s="85"/>
      <c r="AR683" s="85"/>
      <c r="AS683" s="85"/>
      <c r="AT683" s="85"/>
      <c r="AU683" s="85"/>
      <c r="AV683" s="85"/>
      <c r="AW683" s="85"/>
    </row>
    <row r="684" spans="1:49" ht="31.5" x14ac:dyDescent="0.2">
      <c r="A684" s="57" t="s">
        <v>75</v>
      </c>
      <c r="B684" s="60">
        <v>46048</v>
      </c>
      <c r="C684" s="60">
        <v>46048</v>
      </c>
      <c r="D684" s="61" t="s">
        <v>30</v>
      </c>
      <c r="E684" s="63">
        <v>0.47916666666666669</v>
      </c>
      <c r="F684" s="63">
        <v>0.5</v>
      </c>
      <c r="G684" s="63">
        <v>2.0833333333333332E-2</v>
      </c>
      <c r="H684" s="57" t="s">
        <v>99</v>
      </c>
      <c r="I684" s="67"/>
      <c r="J684" s="57" t="s">
        <v>80</v>
      </c>
      <c r="K684" s="57"/>
      <c r="L684" s="69">
        <v>1</v>
      </c>
      <c r="M684" s="69">
        <v>1</v>
      </c>
      <c r="N684" s="57" t="s">
        <v>33</v>
      </c>
      <c r="O684" s="57"/>
      <c r="P684" s="42">
        <v>0</v>
      </c>
      <c r="Q684" s="69"/>
      <c r="R684" s="42">
        <v>0</v>
      </c>
      <c r="S684" s="57">
        <v>46054</v>
      </c>
      <c r="T684" s="42">
        <v>0</v>
      </c>
      <c r="U684" s="69">
        <v>2</v>
      </c>
      <c r="V684" s="42">
        <v>0</v>
      </c>
      <c r="W684" s="57" t="s">
        <v>34</v>
      </c>
      <c r="X684" s="57" t="s">
        <v>42</v>
      </c>
      <c r="Y684" s="57" t="s">
        <v>36</v>
      </c>
      <c r="Z684" s="57" t="s">
        <v>43</v>
      </c>
      <c r="AA684" s="57" t="s">
        <v>37</v>
      </c>
      <c r="AB684" s="57" t="s">
        <v>37</v>
      </c>
      <c r="AC684" s="57" t="s">
        <v>38</v>
      </c>
      <c r="AD684" s="75" t="s">
        <v>267</v>
      </c>
      <c r="AE684" s="57"/>
      <c r="AF684" s="57"/>
      <c r="AG684" s="57"/>
      <c r="AH684" s="57"/>
      <c r="AI684" s="57"/>
      <c r="AJ684" s="57"/>
      <c r="AK684" s="57"/>
      <c r="AL684" s="57"/>
      <c r="AM684" s="57"/>
      <c r="AN684" s="57"/>
      <c r="AO684" s="57"/>
      <c r="AP684" s="57"/>
      <c r="AQ684" s="57"/>
      <c r="AR684" s="57"/>
      <c r="AS684" s="57"/>
      <c r="AT684" s="57"/>
      <c r="AU684" s="57"/>
      <c r="AV684" s="57"/>
      <c r="AW684" s="57"/>
    </row>
    <row r="685" spans="1:49" ht="31.5" x14ac:dyDescent="0.25">
      <c r="A685" s="57" t="s">
        <v>75</v>
      </c>
      <c r="B685" s="60">
        <v>46049</v>
      </c>
      <c r="C685" s="60">
        <v>46049</v>
      </c>
      <c r="D685" s="61" t="s">
        <v>166</v>
      </c>
      <c r="E685" s="63">
        <v>0.45833333333333331</v>
      </c>
      <c r="F685" s="63">
        <v>0.47916666666666669</v>
      </c>
      <c r="G685" s="63">
        <v>2.0833333333333332E-2</v>
      </c>
      <c r="H685" s="57" t="s">
        <v>175</v>
      </c>
      <c r="I685" s="67"/>
      <c r="J685" s="57" t="s">
        <v>80</v>
      </c>
      <c r="K685" s="57"/>
      <c r="L685" s="69">
        <v>1</v>
      </c>
      <c r="M685" s="69">
        <v>1</v>
      </c>
      <c r="N685" s="57" t="s">
        <v>33</v>
      </c>
      <c r="O685" s="57"/>
      <c r="P685" s="42">
        <v>0</v>
      </c>
      <c r="Q685" s="69"/>
      <c r="R685" s="42">
        <v>0</v>
      </c>
      <c r="S685" s="57">
        <v>46054</v>
      </c>
      <c r="T685" s="42">
        <v>0</v>
      </c>
      <c r="U685" s="69">
        <v>2</v>
      </c>
      <c r="V685" s="42">
        <v>0</v>
      </c>
      <c r="W685" s="57" t="s">
        <v>34</v>
      </c>
      <c r="X685" s="57" t="s">
        <v>42</v>
      </c>
      <c r="Y685" s="57" t="s">
        <v>36</v>
      </c>
      <c r="Z685" s="57" t="s">
        <v>43</v>
      </c>
      <c r="AA685" s="57" t="s">
        <v>37</v>
      </c>
      <c r="AB685" s="57" t="s">
        <v>37</v>
      </c>
      <c r="AC685" s="57" t="s">
        <v>38</v>
      </c>
      <c r="AD685" s="75" t="s">
        <v>267</v>
      </c>
      <c r="AE685" s="76"/>
      <c r="AF685" s="76"/>
      <c r="AG685" s="76"/>
      <c r="AH685" s="76"/>
      <c r="AI685" s="76"/>
      <c r="AJ685" s="76"/>
      <c r="AK685" s="76"/>
      <c r="AL685" s="76"/>
      <c r="AM685" s="76"/>
      <c r="AN685" s="76"/>
      <c r="AO685" s="76"/>
      <c r="AP685" s="76"/>
      <c r="AQ685" s="76"/>
      <c r="AR685" s="76"/>
      <c r="AS685" s="76"/>
      <c r="AT685" s="76"/>
      <c r="AU685" s="76"/>
      <c r="AV685" s="76"/>
      <c r="AW685" s="76"/>
    </row>
    <row r="686" spans="1:49" ht="31.5" x14ac:dyDescent="0.25">
      <c r="A686" s="57" t="s">
        <v>75</v>
      </c>
      <c r="B686" s="60">
        <v>46049</v>
      </c>
      <c r="C686" s="60">
        <v>46049</v>
      </c>
      <c r="D686" s="61" t="s">
        <v>166</v>
      </c>
      <c r="E686" s="63">
        <v>0.47916666666666669</v>
      </c>
      <c r="F686" s="63">
        <v>0.5</v>
      </c>
      <c r="G686" s="63">
        <v>2.0833333333333332E-2</v>
      </c>
      <c r="H686" s="57" t="s">
        <v>178</v>
      </c>
      <c r="I686" s="67"/>
      <c r="J686" s="57" t="s">
        <v>80</v>
      </c>
      <c r="K686" s="57"/>
      <c r="L686" s="69">
        <v>1</v>
      </c>
      <c r="M686" s="69">
        <v>1</v>
      </c>
      <c r="N686" s="57" t="s">
        <v>33</v>
      </c>
      <c r="O686" s="57"/>
      <c r="P686" s="42">
        <v>0</v>
      </c>
      <c r="Q686" s="69"/>
      <c r="R686" s="42">
        <v>0</v>
      </c>
      <c r="S686" s="57">
        <v>46054</v>
      </c>
      <c r="T686" s="42">
        <v>0</v>
      </c>
      <c r="U686" s="69">
        <v>2</v>
      </c>
      <c r="V686" s="42">
        <v>0</v>
      </c>
      <c r="W686" s="57" t="s">
        <v>34</v>
      </c>
      <c r="X686" s="57" t="s">
        <v>42</v>
      </c>
      <c r="Y686" s="57" t="s">
        <v>36</v>
      </c>
      <c r="Z686" s="57" t="s">
        <v>43</v>
      </c>
      <c r="AA686" s="57" t="s">
        <v>37</v>
      </c>
      <c r="AB686" s="57" t="s">
        <v>37</v>
      </c>
      <c r="AC686" s="57" t="s">
        <v>38</v>
      </c>
      <c r="AD686" s="75" t="s">
        <v>267</v>
      </c>
      <c r="AE686" s="76"/>
      <c r="AF686" s="76"/>
      <c r="AG686" s="76"/>
      <c r="AH686" s="76"/>
      <c r="AI686" s="76"/>
      <c r="AJ686" s="76"/>
      <c r="AK686" s="76"/>
      <c r="AL686" s="76"/>
      <c r="AM686" s="76"/>
      <c r="AN686" s="76"/>
      <c r="AO686" s="76"/>
      <c r="AP686" s="76"/>
      <c r="AQ686" s="76"/>
      <c r="AR686" s="76"/>
      <c r="AS686" s="76"/>
      <c r="AT686" s="76"/>
      <c r="AU686" s="76"/>
      <c r="AV686" s="76"/>
      <c r="AW686" s="76"/>
    </row>
    <row r="687" spans="1:49" ht="31.5" x14ac:dyDescent="0.25">
      <c r="A687" s="57" t="s">
        <v>75</v>
      </c>
      <c r="B687" s="60">
        <v>46050</v>
      </c>
      <c r="C687" s="60">
        <v>46050</v>
      </c>
      <c r="D687" s="61" t="s">
        <v>196</v>
      </c>
      <c r="E687" s="63">
        <v>0.45833333333333331</v>
      </c>
      <c r="F687" s="63">
        <v>0.47916666666666669</v>
      </c>
      <c r="G687" s="63">
        <v>2.0833333333333332E-2</v>
      </c>
      <c r="H687" s="57" t="s">
        <v>175</v>
      </c>
      <c r="I687" s="67"/>
      <c r="J687" s="57" t="s">
        <v>80</v>
      </c>
      <c r="K687" s="57"/>
      <c r="L687" s="69">
        <v>1</v>
      </c>
      <c r="M687" s="69">
        <v>1</v>
      </c>
      <c r="N687" s="57" t="s">
        <v>33</v>
      </c>
      <c r="O687" s="57"/>
      <c r="P687" s="42">
        <v>0</v>
      </c>
      <c r="Q687" s="69"/>
      <c r="R687" s="42">
        <v>0</v>
      </c>
      <c r="S687" s="57">
        <v>46054</v>
      </c>
      <c r="T687" s="42">
        <v>0</v>
      </c>
      <c r="U687" s="69">
        <v>2</v>
      </c>
      <c r="V687" s="42">
        <v>0</v>
      </c>
      <c r="W687" s="57" t="s">
        <v>34</v>
      </c>
      <c r="X687" s="57" t="s">
        <v>42</v>
      </c>
      <c r="Y687" s="57" t="s">
        <v>36</v>
      </c>
      <c r="Z687" s="57" t="s">
        <v>43</v>
      </c>
      <c r="AA687" s="57" t="s">
        <v>37</v>
      </c>
      <c r="AB687" s="57" t="s">
        <v>37</v>
      </c>
      <c r="AC687" s="57" t="s">
        <v>38</v>
      </c>
      <c r="AD687" s="75" t="s">
        <v>267</v>
      </c>
      <c r="AE687" s="76"/>
      <c r="AF687" s="76"/>
      <c r="AG687" s="76"/>
      <c r="AH687" s="76"/>
      <c r="AI687" s="85"/>
      <c r="AJ687" s="85"/>
      <c r="AK687" s="85"/>
      <c r="AL687" s="85"/>
      <c r="AM687" s="85"/>
      <c r="AN687" s="85"/>
      <c r="AO687" s="85"/>
      <c r="AP687" s="85"/>
      <c r="AQ687" s="85"/>
      <c r="AR687" s="85"/>
      <c r="AS687" s="85"/>
      <c r="AT687" s="85"/>
      <c r="AU687" s="85"/>
      <c r="AV687" s="85"/>
      <c r="AW687" s="85"/>
    </row>
    <row r="688" spans="1:49" ht="31.5" x14ac:dyDescent="0.2">
      <c r="A688" s="57" t="s">
        <v>75</v>
      </c>
      <c r="B688" s="60">
        <v>46050</v>
      </c>
      <c r="C688" s="60">
        <v>46050</v>
      </c>
      <c r="D688" s="61" t="s">
        <v>196</v>
      </c>
      <c r="E688" s="63">
        <v>0.47916666666666669</v>
      </c>
      <c r="F688" s="63">
        <v>0.5</v>
      </c>
      <c r="G688" s="63">
        <v>2.0833333333333332E-2</v>
      </c>
      <c r="H688" s="57" t="s">
        <v>199</v>
      </c>
      <c r="I688" s="67"/>
      <c r="J688" s="57" t="s">
        <v>80</v>
      </c>
      <c r="K688" s="57"/>
      <c r="L688" s="69">
        <v>1</v>
      </c>
      <c r="M688" s="69">
        <v>1</v>
      </c>
      <c r="N688" s="57" t="s">
        <v>33</v>
      </c>
      <c r="O688" s="57"/>
      <c r="P688" s="42">
        <v>0</v>
      </c>
      <c r="Q688" s="69"/>
      <c r="R688" s="42">
        <v>0</v>
      </c>
      <c r="S688" s="57">
        <v>46054</v>
      </c>
      <c r="T688" s="42">
        <v>0</v>
      </c>
      <c r="U688" s="69">
        <v>2</v>
      </c>
      <c r="V688" s="42">
        <v>0</v>
      </c>
      <c r="W688" s="57" t="s">
        <v>34</v>
      </c>
      <c r="X688" s="57" t="s">
        <v>42</v>
      </c>
      <c r="Y688" s="57" t="s">
        <v>36</v>
      </c>
      <c r="Z688" s="57" t="s">
        <v>43</v>
      </c>
      <c r="AA688" s="57" t="s">
        <v>37</v>
      </c>
      <c r="AB688" s="57" t="s">
        <v>37</v>
      </c>
      <c r="AC688" s="57" t="s">
        <v>38</v>
      </c>
      <c r="AD688" s="75" t="s">
        <v>267</v>
      </c>
      <c r="AE688" s="57"/>
      <c r="AF688" s="57"/>
      <c r="AG688" s="57"/>
      <c r="AH688" s="57"/>
      <c r="AI688" s="57"/>
      <c r="AJ688" s="57"/>
      <c r="AK688" s="57"/>
      <c r="AL688" s="57"/>
      <c r="AM688" s="57"/>
      <c r="AN688" s="57"/>
      <c r="AO688" s="57"/>
      <c r="AP688" s="57"/>
      <c r="AQ688" s="57"/>
      <c r="AR688" s="57"/>
      <c r="AS688" s="57"/>
      <c r="AT688" s="57"/>
      <c r="AU688" s="57"/>
      <c r="AV688" s="57"/>
      <c r="AW688" s="57"/>
    </row>
    <row r="689" spans="1:49" ht="31.5" x14ac:dyDescent="0.25">
      <c r="A689" s="57" t="s">
        <v>75</v>
      </c>
      <c r="B689" s="60">
        <v>46051</v>
      </c>
      <c r="C689" s="60">
        <v>46051</v>
      </c>
      <c r="D689" s="61" t="s">
        <v>207</v>
      </c>
      <c r="E689" s="63">
        <v>0.45833333333333331</v>
      </c>
      <c r="F689" s="63">
        <v>0.47916666666666669</v>
      </c>
      <c r="G689" s="63">
        <v>2.0833333333333332E-2</v>
      </c>
      <c r="H689" s="57" t="s">
        <v>175</v>
      </c>
      <c r="I689" s="67"/>
      <c r="J689" s="57" t="s">
        <v>80</v>
      </c>
      <c r="K689" s="57"/>
      <c r="L689" s="69">
        <v>1</v>
      </c>
      <c r="M689" s="69">
        <v>1</v>
      </c>
      <c r="N689" s="57" t="s">
        <v>33</v>
      </c>
      <c r="O689" s="57"/>
      <c r="P689" s="42">
        <v>0</v>
      </c>
      <c r="Q689" s="69"/>
      <c r="R689" s="42">
        <v>0</v>
      </c>
      <c r="S689" s="57">
        <v>46054</v>
      </c>
      <c r="T689" s="42">
        <v>0</v>
      </c>
      <c r="U689" s="69">
        <v>2</v>
      </c>
      <c r="V689" s="42">
        <v>0</v>
      </c>
      <c r="W689" s="57" t="s">
        <v>34</v>
      </c>
      <c r="X689" s="57" t="s">
        <v>42</v>
      </c>
      <c r="Y689" s="57" t="s">
        <v>36</v>
      </c>
      <c r="Z689" s="57" t="s">
        <v>43</v>
      </c>
      <c r="AA689" s="57" t="s">
        <v>37</v>
      </c>
      <c r="AB689" s="57" t="s">
        <v>37</v>
      </c>
      <c r="AC689" s="57" t="s">
        <v>38</v>
      </c>
      <c r="AD689" s="75" t="s">
        <v>267</v>
      </c>
      <c r="AE689" s="76"/>
      <c r="AF689" s="76"/>
      <c r="AG689" s="76"/>
      <c r="AH689" s="76"/>
      <c r="AI689" s="85"/>
      <c r="AJ689" s="85"/>
      <c r="AK689" s="85"/>
      <c r="AL689" s="85"/>
      <c r="AM689" s="85"/>
      <c r="AN689" s="85"/>
      <c r="AO689" s="85"/>
      <c r="AP689" s="85"/>
      <c r="AQ689" s="85"/>
      <c r="AR689" s="85"/>
      <c r="AS689" s="85"/>
      <c r="AT689" s="85"/>
      <c r="AU689" s="85"/>
      <c r="AV689" s="85"/>
      <c r="AW689" s="85"/>
    </row>
    <row r="690" spans="1:49" ht="31.5" x14ac:dyDescent="0.25">
      <c r="A690" s="57" t="s">
        <v>75</v>
      </c>
      <c r="B690" s="60">
        <v>46051</v>
      </c>
      <c r="C690" s="60">
        <v>46051</v>
      </c>
      <c r="D690" s="61" t="s">
        <v>207</v>
      </c>
      <c r="E690" s="63">
        <v>0.47916666666666669</v>
      </c>
      <c r="F690" s="63">
        <v>0.5</v>
      </c>
      <c r="G690" s="63">
        <v>2.0833333333333332E-2</v>
      </c>
      <c r="H690" s="57" t="s">
        <v>211</v>
      </c>
      <c r="I690" s="67"/>
      <c r="J690" s="57" t="s">
        <v>80</v>
      </c>
      <c r="K690" s="57"/>
      <c r="L690" s="69">
        <v>1</v>
      </c>
      <c r="M690" s="69">
        <v>1</v>
      </c>
      <c r="N690" s="57" t="s">
        <v>33</v>
      </c>
      <c r="O690" s="57"/>
      <c r="P690" s="42">
        <v>0</v>
      </c>
      <c r="Q690" s="69"/>
      <c r="R690" s="42">
        <v>0</v>
      </c>
      <c r="S690" s="57">
        <v>46054</v>
      </c>
      <c r="T690" s="42">
        <v>0</v>
      </c>
      <c r="U690" s="69">
        <v>2</v>
      </c>
      <c r="V690" s="42">
        <v>0</v>
      </c>
      <c r="W690" s="57" t="s">
        <v>34</v>
      </c>
      <c r="X690" s="57" t="s">
        <v>42</v>
      </c>
      <c r="Y690" s="57" t="s">
        <v>36</v>
      </c>
      <c r="Z690" s="57" t="s">
        <v>43</v>
      </c>
      <c r="AA690" s="57" t="s">
        <v>37</v>
      </c>
      <c r="AB690" s="57" t="s">
        <v>37</v>
      </c>
      <c r="AC690" s="57" t="s">
        <v>38</v>
      </c>
      <c r="AD690" s="75" t="s">
        <v>267</v>
      </c>
      <c r="AE690" s="76"/>
      <c r="AF690" s="76"/>
      <c r="AG690" s="76"/>
      <c r="AH690" s="76"/>
      <c r="AI690" s="85"/>
      <c r="AJ690" s="85"/>
      <c r="AK690" s="85"/>
      <c r="AL690" s="85"/>
      <c r="AM690" s="85"/>
      <c r="AN690" s="85"/>
      <c r="AO690" s="85"/>
      <c r="AP690" s="85"/>
      <c r="AQ690" s="85"/>
      <c r="AR690" s="85"/>
      <c r="AS690" s="85"/>
      <c r="AT690" s="85"/>
      <c r="AU690" s="85"/>
      <c r="AV690" s="85"/>
      <c r="AW690" s="85"/>
    </row>
    <row r="691" spans="1:49" ht="31.5" x14ac:dyDescent="0.2">
      <c r="A691" s="57" t="s">
        <v>75</v>
      </c>
      <c r="B691" s="60">
        <v>46052</v>
      </c>
      <c r="C691" s="60">
        <v>46052</v>
      </c>
      <c r="D691" s="61" t="s">
        <v>217</v>
      </c>
      <c r="E691" s="63">
        <v>0.45833333333333331</v>
      </c>
      <c r="F691" s="63">
        <v>0.47916666666666669</v>
      </c>
      <c r="G691" s="63">
        <v>2.0833333333333332E-2</v>
      </c>
      <c r="H691" s="57" t="s">
        <v>175</v>
      </c>
      <c r="I691" s="67"/>
      <c r="J691" s="57" t="s">
        <v>80</v>
      </c>
      <c r="K691" s="57"/>
      <c r="L691" s="69">
        <v>1</v>
      </c>
      <c r="M691" s="69">
        <v>1</v>
      </c>
      <c r="N691" s="57" t="s">
        <v>33</v>
      </c>
      <c r="O691" s="57"/>
      <c r="P691" s="42">
        <v>0</v>
      </c>
      <c r="Q691" s="69"/>
      <c r="R691" s="42">
        <v>0</v>
      </c>
      <c r="S691" s="57">
        <v>46054</v>
      </c>
      <c r="T691" s="42">
        <v>0</v>
      </c>
      <c r="U691" s="69">
        <v>2</v>
      </c>
      <c r="V691" s="42">
        <v>0</v>
      </c>
      <c r="W691" s="57" t="s">
        <v>34</v>
      </c>
      <c r="X691" s="57" t="s">
        <v>42</v>
      </c>
      <c r="Y691" s="57" t="s">
        <v>36</v>
      </c>
      <c r="Z691" s="57" t="s">
        <v>43</v>
      </c>
      <c r="AA691" s="57" t="s">
        <v>37</v>
      </c>
      <c r="AB691" s="57" t="s">
        <v>37</v>
      </c>
      <c r="AC691" s="57" t="s">
        <v>38</v>
      </c>
      <c r="AD691" s="75" t="s">
        <v>267</v>
      </c>
      <c r="AE691" s="57"/>
      <c r="AF691" s="57"/>
      <c r="AG691" s="57"/>
      <c r="AH691" s="57"/>
      <c r="AI691" s="57"/>
      <c r="AJ691" s="57"/>
      <c r="AK691" s="57"/>
      <c r="AL691" s="57"/>
      <c r="AM691" s="57"/>
      <c r="AN691" s="57"/>
      <c r="AO691" s="57"/>
      <c r="AP691" s="57"/>
      <c r="AQ691" s="57"/>
      <c r="AR691" s="57"/>
      <c r="AS691" s="57"/>
      <c r="AT691" s="57"/>
      <c r="AU691" s="57"/>
      <c r="AV691" s="57"/>
      <c r="AW691" s="57"/>
    </row>
    <row r="692" spans="1:49" ht="31.5" x14ac:dyDescent="0.25">
      <c r="A692" s="57" t="s">
        <v>75</v>
      </c>
      <c r="B692" s="60">
        <v>46052</v>
      </c>
      <c r="C692" s="60">
        <v>46052</v>
      </c>
      <c r="D692" s="61" t="s">
        <v>217</v>
      </c>
      <c r="E692" s="63">
        <v>0.47916666666666669</v>
      </c>
      <c r="F692" s="63">
        <v>0.5</v>
      </c>
      <c r="G692" s="63">
        <v>2.0833333333333332E-2</v>
      </c>
      <c r="H692" s="57" t="s">
        <v>219</v>
      </c>
      <c r="I692" s="67"/>
      <c r="J692" s="57" t="s">
        <v>80</v>
      </c>
      <c r="K692" s="57"/>
      <c r="L692" s="69">
        <v>1</v>
      </c>
      <c r="M692" s="69">
        <v>1</v>
      </c>
      <c r="N692" s="57" t="s">
        <v>33</v>
      </c>
      <c r="O692" s="57"/>
      <c r="P692" s="42">
        <v>0</v>
      </c>
      <c r="Q692" s="69"/>
      <c r="R692" s="42">
        <v>0</v>
      </c>
      <c r="S692" s="57">
        <v>46054</v>
      </c>
      <c r="T692" s="42">
        <v>0</v>
      </c>
      <c r="U692" s="69">
        <v>2</v>
      </c>
      <c r="V692" s="42">
        <v>0</v>
      </c>
      <c r="W692" s="57" t="s">
        <v>34</v>
      </c>
      <c r="X692" s="57" t="s">
        <v>42</v>
      </c>
      <c r="Y692" s="57" t="s">
        <v>36</v>
      </c>
      <c r="Z692" s="57" t="s">
        <v>43</v>
      </c>
      <c r="AA692" s="57" t="s">
        <v>37</v>
      </c>
      <c r="AB692" s="57" t="s">
        <v>37</v>
      </c>
      <c r="AC692" s="57" t="s">
        <v>38</v>
      </c>
      <c r="AD692" s="75" t="s">
        <v>267</v>
      </c>
      <c r="AE692" s="76"/>
      <c r="AF692" s="76"/>
      <c r="AG692" s="76"/>
      <c r="AH692" s="76"/>
      <c r="AI692" s="76"/>
      <c r="AJ692" s="76"/>
      <c r="AK692" s="76"/>
      <c r="AL692" s="76"/>
      <c r="AM692" s="76"/>
      <c r="AN692" s="76"/>
      <c r="AO692" s="76"/>
      <c r="AP692" s="76"/>
      <c r="AQ692" s="76"/>
      <c r="AR692" s="76"/>
      <c r="AS692" s="76"/>
      <c r="AT692" s="76"/>
      <c r="AU692" s="76"/>
      <c r="AV692" s="76"/>
      <c r="AW692" s="76"/>
    </row>
    <row r="693" spans="1:49" ht="31.5" x14ac:dyDescent="0.25">
      <c r="A693" s="57" t="s">
        <v>75</v>
      </c>
      <c r="B693" s="60">
        <v>46053</v>
      </c>
      <c r="C693" s="60">
        <v>46053</v>
      </c>
      <c r="D693" s="61" t="s">
        <v>224</v>
      </c>
      <c r="E693" s="63">
        <v>0.45833333333333331</v>
      </c>
      <c r="F693" s="63">
        <v>0.47916666666666669</v>
      </c>
      <c r="G693" s="63">
        <v>2.0833333333333332E-2</v>
      </c>
      <c r="H693" s="57" t="s">
        <v>175</v>
      </c>
      <c r="I693" s="67"/>
      <c r="J693" s="57" t="s">
        <v>80</v>
      </c>
      <c r="K693" s="57"/>
      <c r="L693" s="69">
        <v>1</v>
      </c>
      <c r="M693" s="69">
        <v>1</v>
      </c>
      <c r="N693" s="57" t="s">
        <v>33</v>
      </c>
      <c r="O693" s="57"/>
      <c r="P693" s="42">
        <v>0</v>
      </c>
      <c r="Q693" s="69"/>
      <c r="R693" s="42">
        <v>0</v>
      </c>
      <c r="S693" s="57">
        <v>46054</v>
      </c>
      <c r="T693" s="42">
        <v>0</v>
      </c>
      <c r="U693" s="69">
        <v>2</v>
      </c>
      <c r="V693" s="42">
        <v>0</v>
      </c>
      <c r="W693" s="57" t="s">
        <v>34</v>
      </c>
      <c r="X693" s="57" t="s">
        <v>42</v>
      </c>
      <c r="Y693" s="57" t="s">
        <v>36</v>
      </c>
      <c r="Z693" s="57" t="s">
        <v>43</v>
      </c>
      <c r="AA693" s="57" t="s">
        <v>37</v>
      </c>
      <c r="AB693" s="57" t="s">
        <v>37</v>
      </c>
      <c r="AC693" s="57" t="s">
        <v>38</v>
      </c>
      <c r="AD693" s="75" t="s">
        <v>267</v>
      </c>
      <c r="AE693" s="76"/>
      <c r="AF693" s="76"/>
      <c r="AG693" s="76"/>
      <c r="AH693" s="76"/>
      <c r="AI693" s="76"/>
      <c r="AJ693" s="76"/>
      <c r="AK693" s="76"/>
      <c r="AL693" s="76"/>
      <c r="AM693" s="76"/>
      <c r="AN693" s="76"/>
      <c r="AO693" s="76"/>
      <c r="AP693" s="76"/>
      <c r="AQ693" s="76"/>
      <c r="AR693" s="76"/>
      <c r="AS693" s="76"/>
      <c r="AT693" s="76"/>
      <c r="AU693" s="76"/>
      <c r="AV693" s="76"/>
      <c r="AW693" s="76"/>
    </row>
    <row r="694" spans="1:49" ht="31.5" x14ac:dyDescent="0.25">
      <c r="A694" s="57" t="s">
        <v>75</v>
      </c>
      <c r="B694" s="60">
        <v>46053</v>
      </c>
      <c r="C694" s="60">
        <v>46053</v>
      </c>
      <c r="D694" s="61" t="s">
        <v>224</v>
      </c>
      <c r="E694" s="63">
        <v>0.47916666666666669</v>
      </c>
      <c r="F694" s="63">
        <v>0.48958333333333331</v>
      </c>
      <c r="G694" s="63">
        <v>1.0416666666666666E-2</v>
      </c>
      <c r="H694" s="57" t="s">
        <v>228</v>
      </c>
      <c r="I694" s="67"/>
      <c r="J694" s="57" t="s">
        <v>80</v>
      </c>
      <c r="K694" s="57"/>
      <c r="L694" s="69">
        <v>1</v>
      </c>
      <c r="M694" s="69">
        <v>1</v>
      </c>
      <c r="N694" s="57" t="s">
        <v>33</v>
      </c>
      <c r="O694" s="57"/>
      <c r="P694" s="42">
        <v>0</v>
      </c>
      <c r="Q694" s="69"/>
      <c r="R694" s="42">
        <v>0</v>
      </c>
      <c r="S694" s="57">
        <v>46054</v>
      </c>
      <c r="T694" s="42">
        <v>0</v>
      </c>
      <c r="U694" s="69">
        <v>2</v>
      </c>
      <c r="V694" s="42">
        <v>0</v>
      </c>
      <c r="W694" s="57" t="s">
        <v>34</v>
      </c>
      <c r="X694" s="57" t="s">
        <v>42</v>
      </c>
      <c r="Y694" s="57" t="s">
        <v>36</v>
      </c>
      <c r="Z694" s="57" t="s">
        <v>43</v>
      </c>
      <c r="AA694" s="57" t="s">
        <v>37</v>
      </c>
      <c r="AB694" s="57" t="s">
        <v>37</v>
      </c>
      <c r="AC694" s="57" t="s">
        <v>38</v>
      </c>
      <c r="AD694" s="75" t="s">
        <v>267</v>
      </c>
      <c r="AE694" s="76"/>
      <c r="AF694" s="76"/>
      <c r="AG694" s="76"/>
      <c r="AH694" s="76"/>
      <c r="AI694" s="76"/>
      <c r="AJ694" s="76"/>
      <c r="AK694" s="76"/>
      <c r="AL694" s="76"/>
      <c r="AM694" s="76"/>
      <c r="AN694" s="76"/>
      <c r="AO694" s="76"/>
      <c r="AP694" s="76"/>
      <c r="AQ694" s="76"/>
      <c r="AR694" s="76"/>
      <c r="AS694" s="76"/>
      <c r="AT694" s="76"/>
      <c r="AU694" s="76"/>
      <c r="AV694" s="76"/>
      <c r="AW694" s="76"/>
    </row>
    <row r="695" spans="1:49" ht="31.5" x14ac:dyDescent="0.25">
      <c r="A695" s="57" t="s">
        <v>75</v>
      </c>
      <c r="B695" s="60">
        <v>46053</v>
      </c>
      <c r="C695" s="60">
        <v>46053</v>
      </c>
      <c r="D695" s="61" t="s">
        <v>224</v>
      </c>
      <c r="E695" s="63">
        <v>0.48958333333333331</v>
      </c>
      <c r="F695" s="63">
        <v>0.5</v>
      </c>
      <c r="G695" s="63">
        <v>1.0416666666666666E-2</v>
      </c>
      <c r="H695" s="57" t="s">
        <v>229</v>
      </c>
      <c r="I695" s="67"/>
      <c r="J695" s="57" t="s">
        <v>80</v>
      </c>
      <c r="K695" s="57"/>
      <c r="L695" s="69">
        <v>1</v>
      </c>
      <c r="M695" s="69">
        <v>1</v>
      </c>
      <c r="N695" s="57" t="s">
        <v>33</v>
      </c>
      <c r="O695" s="57"/>
      <c r="P695" s="42">
        <v>0</v>
      </c>
      <c r="Q695" s="69"/>
      <c r="R695" s="42">
        <v>0</v>
      </c>
      <c r="S695" s="57">
        <v>46054</v>
      </c>
      <c r="T695" s="42">
        <v>0</v>
      </c>
      <c r="U695" s="69">
        <v>2</v>
      </c>
      <c r="V695" s="42">
        <v>0</v>
      </c>
      <c r="W695" s="57" t="s">
        <v>34</v>
      </c>
      <c r="X695" s="57" t="s">
        <v>42</v>
      </c>
      <c r="Y695" s="57" t="s">
        <v>36</v>
      </c>
      <c r="Z695" s="57" t="s">
        <v>43</v>
      </c>
      <c r="AA695" s="57" t="s">
        <v>37</v>
      </c>
      <c r="AB695" s="57" t="s">
        <v>37</v>
      </c>
      <c r="AC695" s="57" t="s">
        <v>38</v>
      </c>
      <c r="AD695" s="75" t="s">
        <v>267</v>
      </c>
      <c r="AE695" s="76"/>
      <c r="AF695" s="76"/>
      <c r="AG695" s="76"/>
      <c r="AH695" s="76"/>
      <c r="AI695" s="76"/>
      <c r="AJ695" s="76"/>
      <c r="AK695" s="76"/>
      <c r="AL695" s="76"/>
      <c r="AM695" s="76"/>
      <c r="AN695" s="76"/>
      <c r="AO695" s="76"/>
      <c r="AP695" s="76"/>
      <c r="AQ695" s="76"/>
      <c r="AR695" s="76"/>
      <c r="AS695" s="76"/>
      <c r="AT695" s="76"/>
      <c r="AU695" s="76"/>
      <c r="AV695" s="76"/>
      <c r="AW695" s="76"/>
    </row>
    <row r="696" spans="1:49" ht="31.5" x14ac:dyDescent="0.25">
      <c r="A696" s="57" t="s">
        <v>75</v>
      </c>
      <c r="B696" s="60">
        <v>46053</v>
      </c>
      <c r="C696" s="60">
        <v>46053</v>
      </c>
      <c r="D696" s="61" t="s">
        <v>224</v>
      </c>
      <c r="E696" s="63">
        <v>0.5</v>
      </c>
      <c r="F696" s="63">
        <v>0.54166666666666663</v>
      </c>
      <c r="G696" s="63">
        <v>4.1666666666666664E-2</v>
      </c>
      <c r="H696" s="57" t="s">
        <v>230</v>
      </c>
      <c r="I696" s="67"/>
      <c r="J696" s="57" t="s">
        <v>80</v>
      </c>
      <c r="K696" s="57"/>
      <c r="L696" s="69">
        <v>1</v>
      </c>
      <c r="M696" s="69">
        <v>1</v>
      </c>
      <c r="N696" s="57" t="s">
        <v>33</v>
      </c>
      <c r="O696" s="57"/>
      <c r="P696" s="42">
        <v>0</v>
      </c>
      <c r="Q696" s="69"/>
      <c r="R696" s="42">
        <v>0</v>
      </c>
      <c r="S696" s="57">
        <v>46054</v>
      </c>
      <c r="T696" s="42">
        <v>0</v>
      </c>
      <c r="U696" s="69">
        <v>2</v>
      </c>
      <c r="V696" s="42">
        <v>0</v>
      </c>
      <c r="W696" s="57" t="s">
        <v>34</v>
      </c>
      <c r="X696" s="57" t="s">
        <v>42</v>
      </c>
      <c r="Y696" s="57" t="s">
        <v>36</v>
      </c>
      <c r="Z696" s="57" t="s">
        <v>43</v>
      </c>
      <c r="AA696" s="57" t="s">
        <v>37</v>
      </c>
      <c r="AB696" s="57" t="s">
        <v>37</v>
      </c>
      <c r="AC696" s="57" t="s">
        <v>38</v>
      </c>
      <c r="AD696" s="75" t="s">
        <v>267</v>
      </c>
      <c r="AE696" s="76"/>
      <c r="AF696" s="76"/>
      <c r="AG696" s="76"/>
      <c r="AH696" s="76"/>
      <c r="AI696" s="76"/>
      <c r="AJ696" s="76"/>
      <c r="AK696" s="76"/>
      <c r="AL696" s="76"/>
      <c r="AM696" s="76"/>
      <c r="AN696" s="76"/>
      <c r="AO696" s="76"/>
      <c r="AP696" s="76"/>
      <c r="AQ696" s="76"/>
      <c r="AR696" s="76"/>
      <c r="AS696" s="76"/>
      <c r="AT696" s="76"/>
      <c r="AU696" s="76"/>
      <c r="AV696" s="76"/>
      <c r="AW696" s="76"/>
    </row>
    <row r="697" spans="1:49" ht="31.5" x14ac:dyDescent="0.25">
      <c r="A697" s="57" t="s">
        <v>75</v>
      </c>
      <c r="B697" s="60">
        <v>46054</v>
      </c>
      <c r="C697" s="60">
        <v>46054</v>
      </c>
      <c r="D697" s="61" t="s">
        <v>249</v>
      </c>
      <c r="E697" s="63">
        <v>0.45833333333333331</v>
      </c>
      <c r="F697" s="63">
        <v>0.47916666666666669</v>
      </c>
      <c r="G697" s="63">
        <v>2.0833333333333332E-2</v>
      </c>
      <c r="H697" s="57" t="s">
        <v>76</v>
      </c>
      <c r="I697" s="67"/>
      <c r="J697" s="57" t="s">
        <v>80</v>
      </c>
      <c r="K697" s="57"/>
      <c r="L697" s="69">
        <v>1</v>
      </c>
      <c r="M697" s="69">
        <v>1</v>
      </c>
      <c r="N697" s="57" t="s">
        <v>33</v>
      </c>
      <c r="O697" s="57"/>
      <c r="P697" s="42">
        <v>0</v>
      </c>
      <c r="Q697" s="69"/>
      <c r="R697" s="42">
        <v>0</v>
      </c>
      <c r="S697" s="57">
        <v>46054</v>
      </c>
      <c r="T697" s="42">
        <v>0</v>
      </c>
      <c r="U697" s="69">
        <v>2</v>
      </c>
      <c r="V697" s="42">
        <v>0</v>
      </c>
      <c r="W697" s="57" t="s">
        <v>34</v>
      </c>
      <c r="X697" s="57" t="s">
        <v>42</v>
      </c>
      <c r="Y697" s="57" t="s">
        <v>36</v>
      </c>
      <c r="Z697" s="57" t="s">
        <v>43</v>
      </c>
      <c r="AA697" s="57" t="s">
        <v>37</v>
      </c>
      <c r="AB697" s="57" t="s">
        <v>37</v>
      </c>
      <c r="AC697" s="57" t="s">
        <v>38</v>
      </c>
      <c r="AD697" s="75" t="s">
        <v>267</v>
      </c>
      <c r="AE697" s="76"/>
      <c r="AF697" s="76"/>
      <c r="AG697" s="76"/>
      <c r="AH697" s="76"/>
      <c r="AI697" s="76"/>
      <c r="AJ697" s="76"/>
      <c r="AK697" s="76"/>
      <c r="AL697" s="76"/>
      <c r="AM697" s="76"/>
      <c r="AN697" s="76"/>
      <c r="AO697" s="76"/>
      <c r="AP697" s="76"/>
      <c r="AQ697" s="76"/>
      <c r="AR697" s="76"/>
      <c r="AS697" s="76"/>
      <c r="AT697" s="76"/>
      <c r="AU697" s="76"/>
      <c r="AV697" s="76"/>
      <c r="AW697" s="76"/>
    </row>
    <row r="698" spans="1:49" ht="31.5" x14ac:dyDescent="0.25">
      <c r="A698" s="57" t="s">
        <v>75</v>
      </c>
      <c r="B698" s="60">
        <v>46054</v>
      </c>
      <c r="C698" s="60">
        <v>46054</v>
      </c>
      <c r="D698" s="61" t="s">
        <v>249</v>
      </c>
      <c r="E698" s="63">
        <v>0.47916666666666669</v>
      </c>
      <c r="F698" s="63">
        <v>0.48958333333333331</v>
      </c>
      <c r="G698" s="63">
        <v>1.0416666666666666E-2</v>
      </c>
      <c r="H698" s="57" t="s">
        <v>255</v>
      </c>
      <c r="I698" s="67"/>
      <c r="J698" s="57" t="s">
        <v>80</v>
      </c>
      <c r="K698" s="57"/>
      <c r="L698" s="69">
        <v>1</v>
      </c>
      <c r="M698" s="69">
        <v>1</v>
      </c>
      <c r="N698" s="57" t="s">
        <v>33</v>
      </c>
      <c r="O698" s="57"/>
      <c r="P698" s="42">
        <v>0</v>
      </c>
      <c r="Q698" s="69"/>
      <c r="R698" s="42">
        <v>0</v>
      </c>
      <c r="S698" s="57">
        <v>46054</v>
      </c>
      <c r="T698" s="42">
        <v>0</v>
      </c>
      <c r="U698" s="69">
        <v>2</v>
      </c>
      <c r="V698" s="42">
        <v>0</v>
      </c>
      <c r="W698" s="57" t="s">
        <v>34</v>
      </c>
      <c r="X698" s="57" t="s">
        <v>42</v>
      </c>
      <c r="Y698" s="57" t="s">
        <v>36</v>
      </c>
      <c r="Z698" s="57" t="s">
        <v>43</v>
      </c>
      <c r="AA698" s="57" t="s">
        <v>37</v>
      </c>
      <c r="AB698" s="57" t="s">
        <v>37</v>
      </c>
      <c r="AC698" s="57" t="s">
        <v>38</v>
      </c>
      <c r="AD698" s="75" t="s">
        <v>267</v>
      </c>
      <c r="AE698" s="76"/>
      <c r="AF698" s="76"/>
      <c r="AG698" s="76"/>
      <c r="AH698" s="76"/>
      <c r="AI698" s="76"/>
      <c r="AJ698" s="76"/>
      <c r="AK698" s="76"/>
      <c r="AL698" s="76"/>
      <c r="AM698" s="76"/>
      <c r="AN698" s="76"/>
      <c r="AO698" s="76"/>
      <c r="AP698" s="76"/>
      <c r="AQ698" s="76"/>
      <c r="AR698" s="76"/>
      <c r="AS698" s="76"/>
      <c r="AT698" s="76"/>
      <c r="AU698" s="76"/>
      <c r="AV698" s="76"/>
      <c r="AW698" s="76"/>
    </row>
    <row r="699" spans="1:49" ht="31.5" x14ac:dyDescent="0.25">
      <c r="A699" s="57" t="s">
        <v>75</v>
      </c>
      <c r="B699" s="60">
        <v>46054</v>
      </c>
      <c r="C699" s="60">
        <v>46054</v>
      </c>
      <c r="D699" s="61" t="s">
        <v>249</v>
      </c>
      <c r="E699" s="63">
        <v>0.48958333333333331</v>
      </c>
      <c r="F699" s="63">
        <v>0.5</v>
      </c>
      <c r="G699" s="63">
        <v>1.0416666666666666E-2</v>
      </c>
      <c r="H699" s="57" t="s">
        <v>256</v>
      </c>
      <c r="I699" s="67"/>
      <c r="J699" s="57" t="s">
        <v>80</v>
      </c>
      <c r="K699" s="57"/>
      <c r="L699" s="69">
        <v>1</v>
      </c>
      <c r="M699" s="69">
        <v>1</v>
      </c>
      <c r="N699" s="57" t="s">
        <v>33</v>
      </c>
      <c r="O699" s="57"/>
      <c r="P699" s="42">
        <v>0</v>
      </c>
      <c r="Q699" s="69"/>
      <c r="R699" s="42">
        <v>0</v>
      </c>
      <c r="S699" s="57">
        <v>46054</v>
      </c>
      <c r="T699" s="42">
        <v>0</v>
      </c>
      <c r="U699" s="69">
        <v>2</v>
      </c>
      <c r="V699" s="42">
        <v>0</v>
      </c>
      <c r="W699" s="57" t="s">
        <v>34</v>
      </c>
      <c r="X699" s="57" t="s">
        <v>42</v>
      </c>
      <c r="Y699" s="57" t="s">
        <v>36</v>
      </c>
      <c r="Z699" s="57" t="s">
        <v>43</v>
      </c>
      <c r="AA699" s="57" t="s">
        <v>37</v>
      </c>
      <c r="AB699" s="57" t="s">
        <v>37</v>
      </c>
      <c r="AC699" s="57" t="s">
        <v>38</v>
      </c>
      <c r="AD699" s="75" t="s">
        <v>267</v>
      </c>
      <c r="AE699" s="76"/>
      <c r="AF699" s="76"/>
      <c r="AG699" s="76"/>
      <c r="AH699" s="76"/>
      <c r="AI699" s="76"/>
      <c r="AJ699" s="76"/>
      <c r="AK699" s="76"/>
      <c r="AL699" s="76"/>
      <c r="AM699" s="76"/>
      <c r="AN699" s="76"/>
      <c r="AO699" s="76"/>
      <c r="AP699" s="76"/>
      <c r="AQ699" s="76"/>
      <c r="AR699" s="76"/>
      <c r="AS699" s="76"/>
      <c r="AT699" s="76"/>
      <c r="AU699" s="76"/>
      <c r="AV699" s="76"/>
      <c r="AW699" s="76"/>
    </row>
    <row r="700" spans="1:49" ht="31.5" x14ac:dyDescent="0.25">
      <c r="A700" s="57" t="s">
        <v>75</v>
      </c>
      <c r="B700" s="60">
        <v>46054</v>
      </c>
      <c r="C700" s="60">
        <v>46054</v>
      </c>
      <c r="D700" s="61" t="s">
        <v>249</v>
      </c>
      <c r="E700" s="63">
        <v>0.5</v>
      </c>
      <c r="F700" s="63">
        <v>0.54166666666666663</v>
      </c>
      <c r="G700" s="63">
        <v>4.1666666666666664E-2</v>
      </c>
      <c r="H700" s="57" t="s">
        <v>230</v>
      </c>
      <c r="I700" s="67"/>
      <c r="J700" s="57" t="s">
        <v>80</v>
      </c>
      <c r="K700" s="57"/>
      <c r="L700" s="69">
        <v>1</v>
      </c>
      <c r="M700" s="69">
        <v>1</v>
      </c>
      <c r="N700" s="57" t="s">
        <v>33</v>
      </c>
      <c r="O700" s="57"/>
      <c r="P700" s="42">
        <v>0</v>
      </c>
      <c r="Q700" s="69"/>
      <c r="R700" s="42">
        <v>0</v>
      </c>
      <c r="S700" s="57">
        <v>46054</v>
      </c>
      <c r="T700" s="42">
        <v>0</v>
      </c>
      <c r="U700" s="69">
        <v>2</v>
      </c>
      <c r="V700" s="42">
        <v>0</v>
      </c>
      <c r="W700" s="57" t="s">
        <v>34</v>
      </c>
      <c r="X700" s="57" t="s">
        <v>42</v>
      </c>
      <c r="Y700" s="57" t="s">
        <v>36</v>
      </c>
      <c r="Z700" s="57" t="s">
        <v>43</v>
      </c>
      <c r="AA700" s="57" t="s">
        <v>37</v>
      </c>
      <c r="AB700" s="57" t="s">
        <v>37</v>
      </c>
      <c r="AC700" s="57" t="s">
        <v>38</v>
      </c>
      <c r="AD700" s="75" t="s">
        <v>267</v>
      </c>
      <c r="AE700" s="76"/>
      <c r="AF700" s="76"/>
      <c r="AG700" s="76"/>
      <c r="AH700" s="76"/>
      <c r="AI700" s="76"/>
      <c r="AJ700" s="76"/>
      <c r="AK700" s="76"/>
      <c r="AL700" s="76"/>
      <c r="AM700" s="76"/>
      <c r="AN700" s="76"/>
      <c r="AO700" s="76"/>
      <c r="AP700" s="76"/>
      <c r="AQ700" s="76"/>
      <c r="AR700" s="76"/>
      <c r="AS700" s="76"/>
      <c r="AT700" s="76"/>
      <c r="AU700" s="76"/>
      <c r="AV700" s="76"/>
      <c r="AW700" s="76"/>
    </row>
    <row r="701" spans="1:49" ht="31.5" x14ac:dyDescent="0.2">
      <c r="A701" s="57" t="s">
        <v>100</v>
      </c>
      <c r="B701" s="60">
        <v>46048</v>
      </c>
      <c r="C701" s="60">
        <v>46048</v>
      </c>
      <c r="D701" s="61" t="s">
        <v>30</v>
      </c>
      <c r="E701" s="63">
        <v>0.5</v>
      </c>
      <c r="F701" s="63">
        <v>0.54166666666666663</v>
      </c>
      <c r="G701" s="63">
        <v>4.1666666666666664E-2</v>
      </c>
      <c r="H701" s="57" t="s">
        <v>101</v>
      </c>
      <c r="I701" s="67"/>
      <c r="J701" s="57" t="s">
        <v>80</v>
      </c>
      <c r="K701" s="57"/>
      <c r="L701" s="69">
        <v>1</v>
      </c>
      <c r="M701" s="69">
        <v>1</v>
      </c>
      <c r="N701" s="57" t="s">
        <v>33</v>
      </c>
      <c r="O701" s="57"/>
      <c r="P701" s="42">
        <v>0</v>
      </c>
      <c r="Q701" s="69"/>
      <c r="R701" s="42">
        <v>0</v>
      </c>
      <c r="S701" s="57">
        <v>46054</v>
      </c>
      <c r="T701" s="42">
        <v>0</v>
      </c>
      <c r="U701" s="69">
        <v>2</v>
      </c>
      <c r="V701" s="42">
        <v>0</v>
      </c>
      <c r="W701" s="57" t="s">
        <v>34</v>
      </c>
      <c r="X701" s="57" t="s">
        <v>42</v>
      </c>
      <c r="Y701" s="57" t="s">
        <v>36</v>
      </c>
      <c r="Z701" s="57" t="s">
        <v>43</v>
      </c>
      <c r="AA701" s="57" t="s">
        <v>37</v>
      </c>
      <c r="AB701" s="57" t="s">
        <v>37</v>
      </c>
      <c r="AC701" s="57" t="s">
        <v>38</v>
      </c>
      <c r="AD701" s="75" t="s">
        <v>267</v>
      </c>
      <c r="AE701" s="57"/>
      <c r="AF701" s="57"/>
      <c r="AG701" s="57"/>
      <c r="AH701" s="57"/>
      <c r="AI701" s="57"/>
      <c r="AJ701" s="57"/>
      <c r="AK701" s="57"/>
      <c r="AL701" s="57"/>
      <c r="AM701" s="57"/>
      <c r="AN701" s="57"/>
      <c r="AO701" s="57"/>
      <c r="AP701" s="57"/>
      <c r="AQ701" s="57"/>
      <c r="AR701" s="57"/>
      <c r="AS701" s="57"/>
      <c r="AT701" s="57"/>
      <c r="AU701" s="57"/>
      <c r="AV701" s="57"/>
      <c r="AW701" s="57"/>
    </row>
    <row r="702" spans="1:49" ht="31.5" x14ac:dyDescent="0.25">
      <c r="A702" s="57" t="s">
        <v>100</v>
      </c>
      <c r="B702" s="60">
        <v>46049</v>
      </c>
      <c r="C702" s="60">
        <v>46049</v>
      </c>
      <c r="D702" s="61" t="s">
        <v>166</v>
      </c>
      <c r="E702" s="63">
        <v>0.5</v>
      </c>
      <c r="F702" s="63">
        <v>0.54166666666666663</v>
      </c>
      <c r="G702" s="63">
        <v>4.1666666666666664E-2</v>
      </c>
      <c r="H702" s="57" t="s">
        <v>101</v>
      </c>
      <c r="I702" s="67"/>
      <c r="J702" s="57" t="s">
        <v>80</v>
      </c>
      <c r="K702" s="57"/>
      <c r="L702" s="69">
        <v>1</v>
      </c>
      <c r="M702" s="69">
        <v>1</v>
      </c>
      <c r="N702" s="57" t="s">
        <v>33</v>
      </c>
      <c r="O702" s="57"/>
      <c r="P702" s="42">
        <v>0</v>
      </c>
      <c r="Q702" s="69"/>
      <c r="R702" s="42">
        <v>0</v>
      </c>
      <c r="S702" s="57">
        <v>46054</v>
      </c>
      <c r="T702" s="42">
        <v>0</v>
      </c>
      <c r="U702" s="69">
        <v>2</v>
      </c>
      <c r="V702" s="42">
        <v>0</v>
      </c>
      <c r="W702" s="57" t="s">
        <v>34</v>
      </c>
      <c r="X702" s="57" t="s">
        <v>42</v>
      </c>
      <c r="Y702" s="57" t="s">
        <v>36</v>
      </c>
      <c r="Z702" s="57" t="s">
        <v>43</v>
      </c>
      <c r="AA702" s="57" t="s">
        <v>37</v>
      </c>
      <c r="AB702" s="57" t="s">
        <v>37</v>
      </c>
      <c r="AC702" s="57" t="s">
        <v>38</v>
      </c>
      <c r="AD702" s="75" t="s">
        <v>267</v>
      </c>
      <c r="AE702" s="76"/>
      <c r="AF702" s="76"/>
      <c r="AG702" s="76"/>
      <c r="AH702" s="76"/>
      <c r="AI702" s="76"/>
      <c r="AJ702" s="76"/>
      <c r="AK702" s="76"/>
      <c r="AL702" s="76"/>
      <c r="AM702" s="76"/>
      <c r="AN702" s="76"/>
      <c r="AO702" s="76"/>
      <c r="AP702" s="76"/>
      <c r="AQ702" s="76"/>
      <c r="AR702" s="76"/>
      <c r="AS702" s="76"/>
      <c r="AT702" s="76"/>
      <c r="AU702" s="76"/>
      <c r="AV702" s="76"/>
      <c r="AW702" s="76"/>
    </row>
    <row r="703" spans="1:49" ht="31.5" x14ac:dyDescent="0.25">
      <c r="A703" s="57" t="s">
        <v>100</v>
      </c>
      <c r="B703" s="60">
        <v>46050</v>
      </c>
      <c r="C703" s="60">
        <v>46050</v>
      </c>
      <c r="D703" s="61" t="s">
        <v>196</v>
      </c>
      <c r="E703" s="63">
        <v>0.5</v>
      </c>
      <c r="F703" s="63">
        <v>0.54166666666666663</v>
      </c>
      <c r="G703" s="63">
        <v>4.1666666666666664E-2</v>
      </c>
      <c r="H703" s="57" t="s">
        <v>101</v>
      </c>
      <c r="I703" s="67"/>
      <c r="J703" s="57" t="s">
        <v>80</v>
      </c>
      <c r="K703" s="57"/>
      <c r="L703" s="69">
        <v>1</v>
      </c>
      <c r="M703" s="69">
        <v>1</v>
      </c>
      <c r="N703" s="57" t="s">
        <v>33</v>
      </c>
      <c r="O703" s="57"/>
      <c r="P703" s="42">
        <v>0</v>
      </c>
      <c r="Q703" s="69"/>
      <c r="R703" s="42">
        <v>0</v>
      </c>
      <c r="S703" s="57">
        <v>46054</v>
      </c>
      <c r="T703" s="42">
        <v>0</v>
      </c>
      <c r="U703" s="69">
        <v>2</v>
      </c>
      <c r="V703" s="42">
        <v>0</v>
      </c>
      <c r="W703" s="57" t="s">
        <v>34</v>
      </c>
      <c r="X703" s="57" t="s">
        <v>42</v>
      </c>
      <c r="Y703" s="57" t="s">
        <v>36</v>
      </c>
      <c r="Z703" s="57" t="s">
        <v>43</v>
      </c>
      <c r="AA703" s="57" t="s">
        <v>37</v>
      </c>
      <c r="AB703" s="57" t="s">
        <v>37</v>
      </c>
      <c r="AC703" s="57" t="s">
        <v>38</v>
      </c>
      <c r="AD703" s="75" t="s">
        <v>267</v>
      </c>
      <c r="AE703" s="76"/>
      <c r="AF703" s="76"/>
      <c r="AG703" s="76"/>
      <c r="AH703" s="76"/>
      <c r="AI703" s="76"/>
      <c r="AJ703" s="76"/>
      <c r="AK703" s="76"/>
      <c r="AL703" s="76"/>
      <c r="AM703" s="76"/>
      <c r="AN703" s="76"/>
      <c r="AO703" s="76"/>
      <c r="AP703" s="76"/>
      <c r="AQ703" s="76"/>
      <c r="AR703" s="76"/>
      <c r="AS703" s="76"/>
      <c r="AT703" s="76"/>
      <c r="AU703" s="76"/>
      <c r="AV703" s="76"/>
      <c r="AW703" s="76"/>
    </row>
    <row r="704" spans="1:49" ht="31.5" x14ac:dyDescent="0.25">
      <c r="A704" s="57" t="s">
        <v>100</v>
      </c>
      <c r="B704" s="60">
        <v>46051</v>
      </c>
      <c r="C704" s="60">
        <v>46051</v>
      </c>
      <c r="D704" s="61" t="s">
        <v>207</v>
      </c>
      <c r="E704" s="63">
        <v>0.5</v>
      </c>
      <c r="F704" s="63">
        <v>0.54166666666666663</v>
      </c>
      <c r="G704" s="63">
        <v>4.1666666666666664E-2</v>
      </c>
      <c r="H704" s="57" t="s">
        <v>101</v>
      </c>
      <c r="I704" s="67"/>
      <c r="J704" s="57" t="s">
        <v>80</v>
      </c>
      <c r="K704" s="57"/>
      <c r="L704" s="69">
        <v>1</v>
      </c>
      <c r="M704" s="69">
        <v>1</v>
      </c>
      <c r="N704" s="57" t="s">
        <v>33</v>
      </c>
      <c r="O704" s="57"/>
      <c r="P704" s="42">
        <v>0</v>
      </c>
      <c r="Q704" s="69"/>
      <c r="R704" s="42">
        <v>0</v>
      </c>
      <c r="S704" s="57">
        <v>46054</v>
      </c>
      <c r="T704" s="42">
        <v>0</v>
      </c>
      <c r="U704" s="69">
        <v>2</v>
      </c>
      <c r="V704" s="42">
        <v>0</v>
      </c>
      <c r="W704" s="57" t="s">
        <v>34</v>
      </c>
      <c r="X704" s="57" t="s">
        <v>42</v>
      </c>
      <c r="Y704" s="57" t="s">
        <v>36</v>
      </c>
      <c r="Z704" s="57" t="s">
        <v>43</v>
      </c>
      <c r="AA704" s="57" t="s">
        <v>37</v>
      </c>
      <c r="AB704" s="57" t="s">
        <v>37</v>
      </c>
      <c r="AC704" s="57" t="s">
        <v>38</v>
      </c>
      <c r="AD704" s="75" t="s">
        <v>267</v>
      </c>
      <c r="AE704" s="80"/>
      <c r="AF704" s="80"/>
      <c r="AG704" s="80"/>
      <c r="AH704" s="80"/>
      <c r="AI704" s="86"/>
      <c r="AJ704" s="86"/>
      <c r="AK704" s="86"/>
      <c r="AL704" s="86"/>
      <c r="AM704" s="86"/>
      <c r="AN704" s="86"/>
      <c r="AO704" s="86"/>
      <c r="AP704" s="86"/>
      <c r="AQ704" s="86"/>
      <c r="AR704" s="86"/>
      <c r="AS704" s="86"/>
      <c r="AT704" s="86"/>
      <c r="AU704" s="86"/>
      <c r="AV704" s="86"/>
      <c r="AW704" s="86"/>
    </row>
    <row r="705" spans="1:49" ht="31.5" x14ac:dyDescent="0.25">
      <c r="A705" s="57" t="s">
        <v>100</v>
      </c>
      <c r="B705" s="60">
        <v>46052</v>
      </c>
      <c r="C705" s="60">
        <v>46052</v>
      </c>
      <c r="D705" s="61" t="s">
        <v>217</v>
      </c>
      <c r="E705" s="63">
        <v>0.5</v>
      </c>
      <c r="F705" s="63">
        <v>0.54166666666666663</v>
      </c>
      <c r="G705" s="63">
        <v>4.1666666666666664E-2</v>
      </c>
      <c r="H705" s="57" t="s">
        <v>101</v>
      </c>
      <c r="I705" s="67"/>
      <c r="J705" s="57" t="s">
        <v>80</v>
      </c>
      <c r="K705" s="57"/>
      <c r="L705" s="69">
        <v>1</v>
      </c>
      <c r="M705" s="69">
        <v>1</v>
      </c>
      <c r="N705" s="57" t="s">
        <v>33</v>
      </c>
      <c r="O705" s="57"/>
      <c r="P705" s="42">
        <v>0</v>
      </c>
      <c r="Q705" s="69"/>
      <c r="R705" s="42">
        <v>0</v>
      </c>
      <c r="S705" s="57">
        <v>46054</v>
      </c>
      <c r="T705" s="42">
        <v>0</v>
      </c>
      <c r="U705" s="69">
        <v>2</v>
      </c>
      <c r="V705" s="42">
        <v>0</v>
      </c>
      <c r="W705" s="57" t="s">
        <v>34</v>
      </c>
      <c r="X705" s="57" t="s">
        <v>42</v>
      </c>
      <c r="Y705" s="57" t="s">
        <v>36</v>
      </c>
      <c r="Z705" s="57" t="s">
        <v>43</v>
      </c>
      <c r="AA705" s="57" t="s">
        <v>37</v>
      </c>
      <c r="AB705" s="57" t="s">
        <v>37</v>
      </c>
      <c r="AC705" s="57" t="s">
        <v>38</v>
      </c>
      <c r="AD705" s="75" t="s">
        <v>267</v>
      </c>
      <c r="AE705" s="76"/>
      <c r="AF705" s="76"/>
      <c r="AG705" s="76"/>
      <c r="AH705" s="76"/>
      <c r="AI705" s="76"/>
      <c r="AJ705" s="76"/>
      <c r="AK705" s="76"/>
      <c r="AL705" s="76"/>
      <c r="AM705" s="76"/>
      <c r="AN705" s="76"/>
      <c r="AO705" s="76"/>
      <c r="AP705" s="76"/>
      <c r="AQ705" s="76"/>
      <c r="AR705" s="76"/>
      <c r="AS705" s="76"/>
      <c r="AT705" s="76"/>
      <c r="AU705" s="76"/>
      <c r="AV705" s="76"/>
      <c r="AW705" s="76"/>
    </row>
    <row r="706" spans="1:49" ht="31.5" x14ac:dyDescent="0.25">
      <c r="A706" s="57" t="s">
        <v>100</v>
      </c>
      <c r="B706" s="60">
        <v>46053</v>
      </c>
      <c r="C706" s="60">
        <v>46053</v>
      </c>
      <c r="D706" s="61" t="s">
        <v>224</v>
      </c>
      <c r="E706" s="63">
        <v>0.41666666666666669</v>
      </c>
      <c r="F706" s="63">
        <v>0.45833333333333331</v>
      </c>
      <c r="G706" s="63">
        <v>4.1666666666666664E-2</v>
      </c>
      <c r="H706" s="57" t="s">
        <v>227</v>
      </c>
      <c r="I706" s="67"/>
      <c r="J706" s="57" t="s">
        <v>32</v>
      </c>
      <c r="K706" s="57"/>
      <c r="L706" s="69">
        <v>1</v>
      </c>
      <c r="M706" s="69">
        <v>1</v>
      </c>
      <c r="N706" s="57" t="s">
        <v>33</v>
      </c>
      <c r="O706" s="57"/>
      <c r="P706" s="42">
        <v>0</v>
      </c>
      <c r="Q706" s="69"/>
      <c r="R706" s="42">
        <v>0</v>
      </c>
      <c r="S706" s="57">
        <v>46054</v>
      </c>
      <c r="T706" s="42">
        <v>0</v>
      </c>
      <c r="U706" s="69">
        <v>1</v>
      </c>
      <c r="V706" s="42">
        <v>0</v>
      </c>
      <c r="W706" s="57" t="s">
        <v>34</v>
      </c>
      <c r="X706" s="57" t="s">
        <v>42</v>
      </c>
      <c r="Y706" s="57" t="s">
        <v>36</v>
      </c>
      <c r="Z706" s="57" t="s">
        <v>43</v>
      </c>
      <c r="AA706" s="57" t="s">
        <v>37</v>
      </c>
      <c r="AB706" s="57" t="s">
        <v>37</v>
      </c>
      <c r="AC706" s="57" t="s">
        <v>38</v>
      </c>
      <c r="AD706" s="75" t="s">
        <v>267</v>
      </c>
      <c r="AE706" s="76"/>
      <c r="AF706" s="76"/>
      <c r="AG706" s="76"/>
      <c r="AH706" s="76"/>
      <c r="AI706" s="76"/>
      <c r="AJ706" s="76"/>
      <c r="AK706" s="76"/>
      <c r="AL706" s="76"/>
      <c r="AM706" s="76"/>
      <c r="AN706" s="76"/>
      <c r="AO706" s="76"/>
      <c r="AP706" s="76"/>
      <c r="AQ706" s="76"/>
      <c r="AR706" s="76"/>
      <c r="AS706" s="76"/>
      <c r="AT706" s="76"/>
      <c r="AU706" s="76"/>
      <c r="AV706" s="76"/>
      <c r="AW706" s="76"/>
    </row>
    <row r="707" spans="1:49" ht="31.5" x14ac:dyDescent="0.25">
      <c r="A707" s="57" t="s">
        <v>100</v>
      </c>
      <c r="B707" s="60">
        <v>46054</v>
      </c>
      <c r="C707" s="60">
        <v>46054</v>
      </c>
      <c r="D707" s="61" t="s">
        <v>249</v>
      </c>
      <c r="E707" s="63">
        <v>0.41666666666666669</v>
      </c>
      <c r="F707" s="63">
        <v>0.45833333333333331</v>
      </c>
      <c r="G707" s="63">
        <v>4.1666666666666664E-2</v>
      </c>
      <c r="H707" s="57" t="s">
        <v>227</v>
      </c>
      <c r="I707" s="67"/>
      <c r="J707" s="57" t="s">
        <v>32</v>
      </c>
      <c r="K707" s="57"/>
      <c r="L707" s="69">
        <v>1</v>
      </c>
      <c r="M707" s="69">
        <v>1</v>
      </c>
      <c r="N707" s="57" t="s">
        <v>33</v>
      </c>
      <c r="O707" s="57"/>
      <c r="P707" s="42">
        <v>0</v>
      </c>
      <c r="Q707" s="69"/>
      <c r="R707" s="42">
        <v>0</v>
      </c>
      <c r="S707" s="57">
        <v>46054</v>
      </c>
      <c r="T707" s="42">
        <v>0</v>
      </c>
      <c r="U707" s="69">
        <v>1</v>
      </c>
      <c r="V707" s="42">
        <v>0</v>
      </c>
      <c r="W707" s="57" t="s">
        <v>34</v>
      </c>
      <c r="X707" s="57" t="s">
        <v>42</v>
      </c>
      <c r="Y707" s="57" t="s">
        <v>36</v>
      </c>
      <c r="Z707" s="57" t="s">
        <v>43</v>
      </c>
      <c r="AA707" s="57" t="s">
        <v>37</v>
      </c>
      <c r="AB707" s="57" t="s">
        <v>37</v>
      </c>
      <c r="AC707" s="57" t="s">
        <v>38</v>
      </c>
      <c r="AD707" s="75" t="s">
        <v>267</v>
      </c>
      <c r="AE707" s="76"/>
      <c r="AF707" s="76"/>
      <c r="AG707" s="76"/>
      <c r="AH707" s="76"/>
      <c r="AI707" s="76"/>
      <c r="AJ707" s="76"/>
      <c r="AK707" s="76"/>
      <c r="AL707" s="76"/>
      <c r="AM707" s="76"/>
      <c r="AN707" s="76"/>
      <c r="AO707" s="76"/>
      <c r="AP707" s="76"/>
      <c r="AQ707" s="76"/>
      <c r="AR707" s="76"/>
      <c r="AS707" s="76"/>
      <c r="AT707" s="76"/>
      <c r="AU707" s="76"/>
      <c r="AV707" s="76"/>
      <c r="AW707" s="76"/>
    </row>
    <row r="708" spans="1:49" ht="23.25" x14ac:dyDescent="0.25">
      <c r="A708" s="58"/>
      <c r="B708" s="58"/>
      <c r="C708" s="58"/>
      <c r="D708" s="58"/>
      <c r="E708" s="58"/>
      <c r="F708" s="58"/>
      <c r="G708" s="58"/>
      <c r="H708" s="58"/>
      <c r="I708" s="58"/>
      <c r="J708" s="58"/>
      <c r="K708" s="58"/>
      <c r="L708" s="58"/>
      <c r="M708" s="58"/>
      <c r="N708" s="58"/>
      <c r="O708" s="58"/>
      <c r="P708" s="58"/>
      <c r="Q708" s="58"/>
      <c r="R708" s="58"/>
      <c r="S708" s="58"/>
      <c r="T708" s="58"/>
      <c r="U708" s="58"/>
      <c r="V708" s="58"/>
      <c r="W708" s="58"/>
      <c r="X708" s="58"/>
      <c r="Y708" s="58"/>
      <c r="Z708" s="58"/>
      <c r="AA708" s="58"/>
      <c r="AB708" s="58"/>
      <c r="AC708" s="58"/>
      <c r="AD708" s="75" t="s">
        <v>267</v>
      </c>
      <c r="AE708" s="76"/>
      <c r="AF708" s="76"/>
      <c r="AG708" s="76"/>
      <c r="AH708" s="76"/>
      <c r="AI708" s="76"/>
      <c r="AJ708" s="76"/>
      <c r="AK708" s="76"/>
      <c r="AL708" s="76"/>
      <c r="AM708" s="76"/>
      <c r="AN708" s="76"/>
      <c r="AO708" s="76"/>
      <c r="AP708" s="76"/>
      <c r="AQ708" s="76"/>
      <c r="AR708" s="76"/>
      <c r="AS708" s="76"/>
      <c r="AT708" s="76"/>
      <c r="AU708" s="76"/>
      <c r="AV708" s="76"/>
      <c r="AW708" s="76"/>
    </row>
    <row r="801" spans="1:49" s="27" customFormat="1" ht="15.75" x14ac:dyDescent="0.2">
      <c r="A801" s="35"/>
      <c r="B801" s="35"/>
      <c r="C801" s="35"/>
      <c r="D801" s="35"/>
      <c r="E801" s="35"/>
      <c r="F801" s="35"/>
      <c r="G801" s="35"/>
      <c r="H801" s="35"/>
      <c r="I801" s="35"/>
      <c r="J801" s="35"/>
      <c r="K801" s="35"/>
      <c r="L801" s="35"/>
      <c r="M801" s="35"/>
      <c r="N801" s="35"/>
      <c r="O801" s="35"/>
      <c r="P801" s="35"/>
      <c r="Q801" s="35"/>
      <c r="R801" s="35"/>
      <c r="S801" s="35"/>
      <c r="T801" s="35"/>
      <c r="U801" s="35"/>
      <c r="V801" s="35"/>
      <c r="W801" s="35"/>
      <c r="X801" s="35"/>
      <c r="Y801" s="35"/>
      <c r="Z801" s="35"/>
      <c r="AA801" s="35"/>
      <c r="AB801" s="35"/>
      <c r="AC801" s="35"/>
      <c r="AD801" s="35"/>
      <c r="AE801" s="35"/>
      <c r="AF801" s="35"/>
      <c r="AG801" s="35"/>
      <c r="AH801" s="35"/>
      <c r="AI801" s="35"/>
      <c r="AJ801" s="35"/>
      <c r="AK801" s="35"/>
      <c r="AL801" s="35"/>
      <c r="AM801" s="35"/>
      <c r="AN801" s="35"/>
      <c r="AO801" s="35"/>
      <c r="AP801" s="35"/>
      <c r="AQ801" s="35"/>
      <c r="AR801" s="35"/>
      <c r="AS801" s="35"/>
      <c r="AT801" s="35"/>
      <c r="AU801" s="35"/>
      <c r="AV801" s="35"/>
      <c r="AW801" s="35"/>
    </row>
    <row r="802" spans="1:49" s="27" customFormat="1" ht="15.75" x14ac:dyDescent="0.2">
      <c r="A802" s="35"/>
      <c r="B802" s="35"/>
      <c r="C802" s="35"/>
      <c r="D802" s="35"/>
      <c r="E802" s="35"/>
      <c r="F802" s="35"/>
      <c r="G802" s="35"/>
      <c r="H802" s="35"/>
      <c r="I802" s="35"/>
      <c r="J802" s="35"/>
      <c r="K802" s="35"/>
      <c r="L802" s="35"/>
      <c r="M802" s="35"/>
      <c r="N802" s="35"/>
      <c r="O802" s="35"/>
      <c r="P802" s="35"/>
      <c r="Q802" s="35"/>
      <c r="R802" s="35"/>
      <c r="S802" s="35"/>
      <c r="T802" s="35"/>
      <c r="U802" s="35"/>
      <c r="V802" s="35"/>
      <c r="W802" s="35"/>
      <c r="X802" s="35"/>
      <c r="Y802" s="35"/>
      <c r="Z802" s="35"/>
      <c r="AA802" s="35"/>
      <c r="AB802" s="35"/>
      <c r="AC802" s="35"/>
      <c r="AD802" s="35"/>
      <c r="AE802" s="35"/>
      <c r="AF802" s="35"/>
      <c r="AG802" s="35"/>
      <c r="AH802" s="35"/>
      <c r="AI802" s="35"/>
      <c r="AJ802" s="35"/>
      <c r="AK802" s="35"/>
      <c r="AL802" s="35"/>
      <c r="AM802" s="35"/>
      <c r="AN802" s="35"/>
      <c r="AO802" s="35"/>
      <c r="AP802" s="35"/>
      <c r="AQ802" s="35"/>
      <c r="AR802" s="35"/>
      <c r="AS802" s="35"/>
      <c r="AT802" s="35"/>
      <c r="AU802" s="35"/>
      <c r="AV802" s="35"/>
      <c r="AW802" s="35"/>
    </row>
    <row r="803" spans="1:49" s="46" customFormat="1" ht="15" x14ac:dyDescent="0.25">
      <c r="A803" s="35"/>
      <c r="B803" s="35"/>
      <c r="C803" s="35"/>
      <c r="D803" s="35"/>
      <c r="E803" s="35"/>
      <c r="F803" s="35"/>
      <c r="G803" s="35"/>
      <c r="H803" s="35"/>
      <c r="I803" s="35"/>
      <c r="J803" s="35"/>
      <c r="K803" s="35"/>
      <c r="L803" s="35"/>
      <c r="M803" s="35"/>
      <c r="N803" s="35"/>
      <c r="O803" s="35"/>
      <c r="P803" s="35"/>
      <c r="Q803" s="35"/>
      <c r="R803" s="35"/>
      <c r="S803" s="35"/>
      <c r="T803" s="35"/>
      <c r="U803" s="35"/>
      <c r="V803" s="35"/>
      <c r="W803" s="35"/>
      <c r="X803" s="35"/>
      <c r="Y803" s="35"/>
      <c r="Z803" s="35"/>
      <c r="AA803" s="35"/>
      <c r="AB803" s="35"/>
      <c r="AC803" s="35"/>
      <c r="AD803" s="35"/>
      <c r="AE803" s="35"/>
      <c r="AF803" s="35"/>
      <c r="AG803" s="35"/>
      <c r="AH803" s="35"/>
      <c r="AI803" s="35"/>
      <c r="AJ803" s="35"/>
      <c r="AK803" s="35"/>
      <c r="AL803" s="35"/>
      <c r="AM803" s="35"/>
      <c r="AN803" s="35"/>
      <c r="AO803" s="35"/>
      <c r="AP803" s="35"/>
      <c r="AQ803" s="35"/>
      <c r="AR803" s="35"/>
      <c r="AS803" s="35"/>
      <c r="AT803" s="35"/>
      <c r="AU803" s="35"/>
      <c r="AV803" s="35"/>
      <c r="AW803" s="35"/>
    </row>
    <row r="804" spans="1:49" s="35" customFormat="1" x14ac:dyDescent="0.2"/>
    <row r="805" spans="1:49" s="26" customFormat="1" ht="15" x14ac:dyDescent="0.25">
      <c r="A805" s="35"/>
      <c r="B805" s="35"/>
      <c r="C805" s="35"/>
      <c r="D805" s="35"/>
      <c r="E805" s="35"/>
      <c r="F805" s="35"/>
      <c r="G805" s="35"/>
      <c r="H805" s="35"/>
      <c r="I805" s="35"/>
      <c r="J805" s="35"/>
      <c r="K805" s="35"/>
      <c r="L805" s="35"/>
      <c r="M805" s="35"/>
      <c r="N805" s="35"/>
      <c r="O805" s="35"/>
      <c r="P805" s="35"/>
      <c r="Q805" s="35"/>
      <c r="R805" s="35"/>
      <c r="S805" s="35"/>
      <c r="T805" s="35"/>
      <c r="U805" s="35"/>
      <c r="V805" s="35"/>
      <c r="W805" s="35"/>
      <c r="X805" s="35"/>
      <c r="Y805" s="35"/>
      <c r="Z805" s="35"/>
      <c r="AA805" s="35"/>
      <c r="AB805" s="35"/>
      <c r="AC805" s="35"/>
      <c r="AD805" s="35"/>
      <c r="AE805" s="35"/>
      <c r="AF805" s="35"/>
      <c r="AG805" s="35"/>
      <c r="AH805" s="35"/>
      <c r="AI805" s="35"/>
      <c r="AJ805" s="35"/>
      <c r="AK805" s="35"/>
      <c r="AL805" s="35"/>
      <c r="AM805" s="35"/>
      <c r="AN805" s="35"/>
      <c r="AO805" s="35"/>
      <c r="AP805" s="35"/>
      <c r="AQ805" s="35"/>
      <c r="AR805" s="35"/>
      <c r="AS805" s="35"/>
      <c r="AT805" s="35"/>
      <c r="AU805" s="35"/>
      <c r="AV805" s="35"/>
      <c r="AW805" s="35"/>
    </row>
    <row r="806" spans="1:49" s="26" customFormat="1" ht="15" x14ac:dyDescent="0.25">
      <c r="A806" s="35"/>
      <c r="B806" s="35"/>
      <c r="C806" s="35"/>
      <c r="D806" s="35"/>
      <c r="E806" s="35"/>
      <c r="F806" s="35"/>
      <c r="G806" s="35"/>
      <c r="H806" s="35"/>
      <c r="I806" s="35"/>
      <c r="J806" s="35"/>
      <c r="K806" s="35"/>
      <c r="L806" s="35"/>
      <c r="M806" s="35"/>
      <c r="N806" s="35"/>
      <c r="O806" s="35"/>
      <c r="P806" s="35"/>
      <c r="Q806" s="35"/>
      <c r="R806" s="35"/>
      <c r="S806" s="35"/>
      <c r="T806" s="35"/>
      <c r="U806" s="35"/>
      <c r="V806" s="35"/>
      <c r="W806" s="35"/>
      <c r="X806" s="35"/>
      <c r="Y806" s="35"/>
      <c r="Z806" s="35"/>
      <c r="AA806" s="35"/>
      <c r="AB806" s="35"/>
      <c r="AC806" s="35"/>
      <c r="AD806" s="35"/>
      <c r="AE806" s="35"/>
      <c r="AF806" s="35"/>
      <c r="AG806" s="35"/>
      <c r="AH806" s="35"/>
      <c r="AI806" s="35"/>
      <c r="AJ806" s="35"/>
      <c r="AK806" s="35"/>
      <c r="AL806" s="35"/>
      <c r="AM806" s="35"/>
      <c r="AN806" s="35"/>
      <c r="AO806" s="35"/>
      <c r="AP806" s="35"/>
      <c r="AQ806" s="35"/>
      <c r="AR806" s="35"/>
      <c r="AS806" s="35"/>
      <c r="AT806" s="35"/>
      <c r="AU806" s="35"/>
      <c r="AV806" s="35"/>
      <c r="AW806" s="35"/>
    </row>
    <row r="807" spans="1:49" s="33" customFormat="1" ht="15" x14ac:dyDescent="0.25">
      <c r="A807" s="35"/>
      <c r="B807" s="35"/>
      <c r="C807" s="35"/>
      <c r="D807" s="35"/>
      <c r="E807" s="35"/>
      <c r="F807" s="35"/>
      <c r="G807" s="35"/>
      <c r="H807" s="35"/>
      <c r="I807" s="35"/>
      <c r="J807" s="35"/>
      <c r="K807" s="35"/>
      <c r="L807" s="35"/>
      <c r="M807" s="35"/>
      <c r="N807" s="35"/>
      <c r="O807" s="35"/>
      <c r="P807" s="35"/>
      <c r="Q807" s="35"/>
      <c r="R807" s="35"/>
      <c r="S807" s="35"/>
      <c r="T807" s="35"/>
      <c r="U807" s="35"/>
      <c r="V807" s="35"/>
      <c r="W807" s="35"/>
      <c r="X807" s="35"/>
      <c r="Y807" s="35"/>
      <c r="Z807" s="35"/>
      <c r="AA807" s="35"/>
      <c r="AB807" s="35"/>
      <c r="AC807" s="35"/>
      <c r="AD807" s="35"/>
      <c r="AE807" s="35"/>
      <c r="AF807" s="35"/>
      <c r="AG807" s="35"/>
      <c r="AH807" s="35"/>
      <c r="AI807" s="35"/>
      <c r="AJ807" s="35"/>
      <c r="AK807" s="35"/>
      <c r="AL807" s="35"/>
      <c r="AM807" s="35"/>
      <c r="AN807" s="35"/>
      <c r="AO807" s="35"/>
      <c r="AP807" s="35"/>
      <c r="AQ807" s="35"/>
      <c r="AR807" s="35"/>
      <c r="AS807" s="35"/>
      <c r="AT807" s="35"/>
      <c r="AU807" s="35"/>
      <c r="AV807" s="35"/>
      <c r="AW807" s="35"/>
    </row>
    <row r="808" spans="1:49" s="27" customFormat="1" ht="15.75" x14ac:dyDescent="0.2">
      <c r="A808" s="35"/>
      <c r="B808" s="35"/>
      <c r="C808" s="35"/>
      <c r="D808" s="35"/>
      <c r="E808" s="35"/>
      <c r="F808" s="35"/>
      <c r="G808" s="35"/>
      <c r="H808" s="35"/>
      <c r="I808" s="35"/>
      <c r="J808" s="35"/>
      <c r="K808" s="35"/>
      <c r="L808" s="35"/>
      <c r="M808" s="35"/>
      <c r="N808" s="35"/>
      <c r="O808" s="35"/>
      <c r="P808" s="35"/>
      <c r="Q808" s="35"/>
      <c r="R808" s="35"/>
      <c r="S808" s="35"/>
      <c r="T808" s="35"/>
      <c r="U808" s="35"/>
      <c r="V808" s="35"/>
      <c r="W808" s="35"/>
      <c r="X808" s="35"/>
      <c r="Y808" s="35"/>
      <c r="Z808" s="35"/>
      <c r="AA808" s="35"/>
      <c r="AB808" s="35"/>
      <c r="AC808" s="35"/>
      <c r="AD808" s="35"/>
      <c r="AE808" s="35"/>
      <c r="AF808" s="35"/>
      <c r="AG808" s="35"/>
      <c r="AH808" s="35"/>
      <c r="AI808" s="35"/>
      <c r="AJ808" s="35"/>
      <c r="AK808" s="35"/>
      <c r="AL808" s="35"/>
      <c r="AM808" s="35"/>
      <c r="AN808" s="35"/>
      <c r="AO808" s="35"/>
      <c r="AP808" s="35"/>
      <c r="AQ808" s="35"/>
      <c r="AR808" s="35"/>
      <c r="AS808" s="35"/>
      <c r="AT808" s="35"/>
      <c r="AU808" s="35"/>
      <c r="AV808" s="35"/>
      <c r="AW808" s="35"/>
    </row>
    <row r="809" spans="1:49" s="27" customFormat="1" ht="15.75" x14ac:dyDescent="0.2">
      <c r="A809" s="35"/>
      <c r="B809" s="35"/>
      <c r="C809" s="35"/>
      <c r="D809" s="35"/>
      <c r="E809" s="35"/>
      <c r="F809" s="35"/>
      <c r="G809" s="35"/>
      <c r="H809" s="35"/>
      <c r="I809" s="35"/>
      <c r="J809" s="35"/>
      <c r="K809" s="35"/>
      <c r="L809" s="35"/>
      <c r="M809" s="35"/>
      <c r="N809" s="35"/>
      <c r="O809" s="35"/>
      <c r="P809" s="35"/>
      <c r="Q809" s="35"/>
      <c r="R809" s="35"/>
      <c r="S809" s="35"/>
      <c r="T809" s="35"/>
      <c r="U809" s="35"/>
      <c r="V809" s="35"/>
      <c r="W809" s="35"/>
      <c r="X809" s="35"/>
      <c r="Y809" s="35"/>
      <c r="Z809" s="35"/>
      <c r="AA809" s="35"/>
      <c r="AB809" s="35"/>
      <c r="AC809" s="35"/>
      <c r="AD809" s="35"/>
      <c r="AE809" s="35"/>
      <c r="AF809" s="35"/>
      <c r="AG809" s="35"/>
      <c r="AH809" s="35"/>
      <c r="AI809" s="35"/>
      <c r="AJ809" s="35"/>
      <c r="AK809" s="35"/>
      <c r="AL809" s="35"/>
      <c r="AM809" s="35"/>
      <c r="AN809" s="35"/>
      <c r="AO809" s="35"/>
      <c r="AP809" s="35"/>
      <c r="AQ809" s="35"/>
      <c r="AR809" s="35"/>
      <c r="AS809" s="35"/>
      <c r="AT809" s="35"/>
      <c r="AU809" s="35"/>
      <c r="AV809" s="35"/>
      <c r="AW809" s="35"/>
    </row>
    <row r="810" spans="1:49" s="33" customFormat="1" ht="15" x14ac:dyDescent="0.25">
      <c r="A810" s="35"/>
      <c r="B810" s="35"/>
      <c r="C810" s="35"/>
      <c r="D810" s="35"/>
      <c r="E810" s="35"/>
      <c r="F810" s="35"/>
      <c r="G810" s="35"/>
      <c r="H810" s="35"/>
      <c r="I810" s="35"/>
      <c r="J810" s="35"/>
      <c r="K810" s="35"/>
      <c r="L810" s="35"/>
      <c r="M810" s="35"/>
      <c r="N810" s="35"/>
      <c r="O810" s="35"/>
      <c r="P810" s="35"/>
      <c r="Q810" s="35"/>
      <c r="R810" s="35"/>
      <c r="S810" s="35"/>
      <c r="T810" s="35"/>
      <c r="U810" s="35"/>
      <c r="V810" s="35"/>
      <c r="W810" s="35"/>
      <c r="X810" s="35"/>
      <c r="Y810" s="35"/>
      <c r="Z810" s="35"/>
      <c r="AA810" s="35"/>
      <c r="AB810" s="35"/>
      <c r="AC810" s="35"/>
      <c r="AD810" s="35"/>
      <c r="AE810" s="35"/>
      <c r="AF810" s="35"/>
      <c r="AG810" s="35"/>
      <c r="AH810" s="35"/>
      <c r="AI810" s="35"/>
      <c r="AJ810" s="35"/>
      <c r="AK810" s="35"/>
      <c r="AL810" s="35"/>
      <c r="AM810" s="35"/>
      <c r="AN810" s="35"/>
      <c r="AO810" s="35"/>
      <c r="AP810" s="35"/>
      <c r="AQ810" s="35"/>
      <c r="AR810" s="35"/>
      <c r="AS810" s="35"/>
      <c r="AT810" s="35"/>
      <c r="AU810" s="35"/>
      <c r="AV810" s="35"/>
      <c r="AW810" s="35"/>
    </row>
    <row r="811" spans="1:49" s="48" customFormat="1" ht="15.75" x14ac:dyDescent="0.2">
      <c r="A811" s="35"/>
      <c r="B811" s="35"/>
      <c r="C811" s="35"/>
      <c r="D811" s="35"/>
      <c r="E811" s="35"/>
      <c r="F811" s="35"/>
      <c r="G811" s="35"/>
      <c r="H811" s="35"/>
      <c r="I811" s="35"/>
      <c r="J811" s="35"/>
      <c r="K811" s="35"/>
      <c r="L811" s="35"/>
      <c r="M811" s="35"/>
      <c r="N811" s="35"/>
      <c r="O811" s="35"/>
      <c r="P811" s="35"/>
      <c r="Q811" s="35"/>
      <c r="R811" s="35"/>
      <c r="S811" s="35"/>
      <c r="T811" s="35"/>
      <c r="U811" s="35"/>
      <c r="V811" s="35"/>
      <c r="W811" s="35"/>
      <c r="X811" s="35"/>
      <c r="Y811" s="35"/>
      <c r="Z811" s="35"/>
      <c r="AA811" s="35"/>
      <c r="AB811" s="35"/>
      <c r="AC811" s="35"/>
      <c r="AD811" s="35"/>
      <c r="AE811" s="35"/>
      <c r="AF811" s="35"/>
      <c r="AG811" s="35"/>
      <c r="AH811" s="35"/>
      <c r="AI811" s="35"/>
      <c r="AJ811" s="35"/>
      <c r="AK811" s="35"/>
      <c r="AL811" s="35"/>
      <c r="AM811" s="35"/>
      <c r="AN811" s="35"/>
      <c r="AO811" s="35"/>
      <c r="AP811" s="35"/>
      <c r="AQ811" s="35"/>
      <c r="AR811" s="35"/>
      <c r="AS811" s="35"/>
      <c r="AT811" s="35"/>
      <c r="AU811" s="35"/>
      <c r="AV811" s="35"/>
      <c r="AW811" s="35"/>
    </row>
    <row r="812" spans="1:49" s="17" customFormat="1" ht="15" x14ac:dyDescent="0.25">
      <c r="A812" s="35"/>
      <c r="B812" s="35"/>
      <c r="C812" s="35"/>
      <c r="D812" s="35"/>
      <c r="E812" s="35"/>
      <c r="F812" s="35"/>
      <c r="G812" s="35"/>
      <c r="H812" s="35"/>
      <c r="I812" s="35"/>
      <c r="J812" s="35"/>
      <c r="K812" s="35"/>
      <c r="L812" s="35"/>
      <c r="M812" s="35"/>
      <c r="N812" s="35"/>
      <c r="O812" s="35"/>
      <c r="P812" s="35"/>
      <c r="Q812" s="35"/>
      <c r="R812" s="35"/>
      <c r="S812" s="35"/>
      <c r="T812" s="35"/>
      <c r="U812" s="35"/>
      <c r="V812" s="35"/>
      <c r="W812" s="35"/>
      <c r="X812" s="35"/>
      <c r="Y812" s="35"/>
      <c r="Z812" s="35"/>
      <c r="AA812" s="35"/>
      <c r="AB812" s="35"/>
      <c r="AC812" s="35"/>
      <c r="AD812" s="35"/>
      <c r="AE812" s="35"/>
      <c r="AF812" s="35"/>
      <c r="AG812" s="35"/>
      <c r="AH812" s="35"/>
      <c r="AI812" s="35"/>
      <c r="AJ812" s="35"/>
      <c r="AK812" s="35"/>
      <c r="AL812" s="35"/>
      <c r="AM812" s="35"/>
      <c r="AN812" s="35"/>
      <c r="AO812" s="35"/>
      <c r="AP812" s="35"/>
      <c r="AQ812" s="35"/>
      <c r="AR812" s="35"/>
      <c r="AS812" s="35"/>
      <c r="AT812" s="35"/>
      <c r="AU812" s="35"/>
      <c r="AV812" s="35"/>
      <c r="AW812" s="35"/>
    </row>
    <row r="813" spans="1:49" s="17" customFormat="1" ht="15" x14ac:dyDescent="0.25">
      <c r="A813" s="35"/>
      <c r="B813" s="35"/>
      <c r="C813" s="35"/>
      <c r="D813" s="35"/>
      <c r="E813" s="35"/>
      <c r="F813" s="35"/>
      <c r="G813" s="35"/>
      <c r="H813" s="35"/>
      <c r="I813" s="35"/>
      <c r="J813" s="35"/>
      <c r="K813" s="35"/>
      <c r="L813" s="35"/>
      <c r="M813" s="35"/>
      <c r="N813" s="35"/>
      <c r="O813" s="35"/>
      <c r="P813" s="35"/>
      <c r="Q813" s="35"/>
      <c r="R813" s="35"/>
      <c r="S813" s="35"/>
      <c r="T813" s="35"/>
      <c r="U813" s="35"/>
      <c r="V813" s="35"/>
      <c r="W813" s="35"/>
      <c r="X813" s="35"/>
      <c r="Y813" s="35"/>
      <c r="Z813" s="35"/>
      <c r="AA813" s="35"/>
      <c r="AB813" s="35"/>
      <c r="AC813" s="35"/>
      <c r="AD813" s="35"/>
      <c r="AE813" s="35"/>
      <c r="AF813" s="35"/>
      <c r="AG813" s="35"/>
      <c r="AH813" s="35"/>
      <c r="AI813" s="35"/>
      <c r="AJ813" s="35"/>
      <c r="AK813" s="35"/>
      <c r="AL813" s="35"/>
      <c r="AM813" s="35"/>
      <c r="AN813" s="35"/>
      <c r="AO813" s="35"/>
      <c r="AP813" s="35"/>
      <c r="AQ813" s="35"/>
      <c r="AR813" s="35"/>
      <c r="AS813" s="35"/>
      <c r="AT813" s="35"/>
      <c r="AU813" s="35"/>
      <c r="AV813" s="35"/>
      <c r="AW813" s="35"/>
    </row>
    <row r="814" spans="1:49" s="17" customFormat="1" ht="15" x14ac:dyDescent="0.25">
      <c r="A814" s="35"/>
      <c r="B814" s="35"/>
      <c r="C814" s="35"/>
      <c r="D814" s="35"/>
      <c r="E814" s="35"/>
      <c r="F814" s="35"/>
      <c r="G814" s="35"/>
      <c r="H814" s="35"/>
      <c r="I814" s="35"/>
      <c r="J814" s="35"/>
      <c r="K814" s="35"/>
      <c r="L814" s="35"/>
      <c r="M814" s="35"/>
      <c r="N814" s="35"/>
      <c r="O814" s="35"/>
      <c r="P814" s="35"/>
      <c r="Q814" s="35"/>
      <c r="R814" s="35"/>
      <c r="S814" s="35"/>
      <c r="T814" s="35"/>
      <c r="U814" s="35"/>
      <c r="V814" s="35"/>
      <c r="W814" s="35"/>
      <c r="X814" s="35"/>
      <c r="Y814" s="35"/>
      <c r="Z814" s="35"/>
      <c r="AA814" s="35"/>
      <c r="AB814" s="35"/>
      <c r="AC814" s="35"/>
      <c r="AD814" s="35"/>
      <c r="AE814" s="35"/>
      <c r="AF814" s="35"/>
      <c r="AG814" s="35"/>
      <c r="AH814" s="35"/>
      <c r="AI814" s="35"/>
      <c r="AJ814" s="35"/>
      <c r="AK814" s="35"/>
      <c r="AL814" s="35"/>
      <c r="AM814" s="35"/>
      <c r="AN814" s="35"/>
      <c r="AO814" s="35"/>
      <c r="AP814" s="35"/>
      <c r="AQ814" s="35"/>
      <c r="AR814" s="35"/>
      <c r="AS814" s="35"/>
      <c r="AT814" s="35"/>
      <c r="AU814" s="35"/>
      <c r="AV814" s="35"/>
      <c r="AW814" s="35"/>
    </row>
    <row r="815" spans="1:49" s="17" customFormat="1" ht="15" x14ac:dyDescent="0.25">
      <c r="A815" s="35"/>
      <c r="B815" s="35"/>
      <c r="C815" s="35"/>
      <c r="D815" s="35"/>
      <c r="E815" s="35"/>
      <c r="F815" s="35"/>
      <c r="G815" s="35"/>
      <c r="H815" s="35"/>
      <c r="I815" s="35"/>
      <c r="J815" s="35"/>
      <c r="K815" s="35"/>
      <c r="L815" s="35"/>
      <c r="M815" s="35"/>
      <c r="N815" s="35"/>
      <c r="O815" s="35"/>
      <c r="P815" s="35"/>
      <c r="Q815" s="35"/>
      <c r="R815" s="35"/>
      <c r="S815" s="35"/>
      <c r="T815" s="35"/>
      <c r="U815" s="35"/>
      <c r="V815" s="35"/>
      <c r="W815" s="35"/>
      <c r="X815" s="35"/>
      <c r="Y815" s="35"/>
      <c r="Z815" s="35"/>
      <c r="AA815" s="35"/>
      <c r="AB815" s="35"/>
      <c r="AC815" s="35"/>
      <c r="AD815" s="35"/>
      <c r="AE815" s="35"/>
      <c r="AF815" s="35"/>
      <c r="AG815" s="35"/>
      <c r="AH815" s="35"/>
      <c r="AI815" s="35"/>
      <c r="AJ815" s="35"/>
      <c r="AK815" s="35"/>
      <c r="AL815" s="35"/>
      <c r="AM815" s="35"/>
      <c r="AN815" s="35"/>
      <c r="AO815" s="35"/>
      <c r="AP815" s="35"/>
      <c r="AQ815" s="35"/>
      <c r="AR815" s="35"/>
      <c r="AS815" s="35"/>
      <c r="AT815" s="35"/>
      <c r="AU815" s="35"/>
      <c r="AV815" s="35"/>
      <c r="AW815" s="35"/>
    </row>
    <row r="816" spans="1:49" s="48" customFormat="1" ht="15.75" x14ac:dyDescent="0.2">
      <c r="A816" s="35"/>
      <c r="B816" s="35"/>
      <c r="C816" s="35"/>
      <c r="D816" s="35"/>
      <c r="E816" s="35"/>
      <c r="F816" s="35"/>
      <c r="G816" s="35"/>
      <c r="H816" s="35"/>
      <c r="I816" s="35"/>
      <c r="J816" s="35"/>
      <c r="K816" s="35"/>
      <c r="L816" s="35"/>
      <c r="M816" s="35"/>
      <c r="N816" s="35"/>
      <c r="O816" s="35"/>
      <c r="P816" s="35"/>
      <c r="Q816" s="35"/>
      <c r="R816" s="35"/>
      <c r="S816" s="35"/>
      <c r="T816" s="35"/>
      <c r="U816" s="35"/>
      <c r="V816" s="35"/>
      <c r="W816" s="35"/>
      <c r="X816" s="35"/>
      <c r="Y816" s="35"/>
      <c r="Z816" s="35"/>
      <c r="AA816" s="35"/>
      <c r="AB816" s="35"/>
      <c r="AC816" s="35"/>
      <c r="AD816" s="35"/>
      <c r="AE816" s="35"/>
      <c r="AF816" s="35"/>
      <c r="AG816" s="35"/>
      <c r="AH816" s="35"/>
      <c r="AI816" s="35"/>
      <c r="AJ816" s="35"/>
      <c r="AK816" s="35"/>
      <c r="AL816" s="35"/>
      <c r="AM816" s="35"/>
      <c r="AN816" s="35"/>
      <c r="AO816" s="35"/>
      <c r="AP816" s="35"/>
      <c r="AQ816" s="35"/>
      <c r="AR816" s="35"/>
      <c r="AS816" s="35"/>
      <c r="AT816" s="35"/>
      <c r="AU816" s="35"/>
      <c r="AV816" s="35"/>
      <c r="AW816" s="35"/>
    </row>
    <row r="817" spans="1:49" s="47" customFormat="1" ht="15.75" x14ac:dyDescent="0.2">
      <c r="A817" s="35"/>
      <c r="B817" s="35"/>
      <c r="C817" s="35"/>
      <c r="D817" s="35"/>
      <c r="E817" s="35"/>
      <c r="F817" s="35"/>
      <c r="G817" s="35"/>
      <c r="H817" s="35"/>
      <c r="I817" s="35"/>
      <c r="J817" s="35"/>
      <c r="K817" s="35"/>
      <c r="L817" s="35"/>
      <c r="M817" s="35"/>
      <c r="N817" s="35"/>
      <c r="O817" s="35"/>
      <c r="P817" s="35"/>
      <c r="Q817" s="35"/>
      <c r="R817" s="35"/>
      <c r="S817" s="35"/>
      <c r="T817" s="35"/>
      <c r="U817" s="35"/>
      <c r="V817" s="35"/>
      <c r="W817" s="35"/>
      <c r="X817" s="35"/>
      <c r="Y817" s="35"/>
      <c r="Z817" s="35"/>
      <c r="AA817" s="35"/>
      <c r="AB817" s="35"/>
      <c r="AC817" s="35"/>
      <c r="AD817" s="35"/>
      <c r="AE817" s="35"/>
      <c r="AF817" s="35"/>
      <c r="AG817" s="35"/>
      <c r="AH817" s="35"/>
      <c r="AI817" s="35"/>
      <c r="AJ817" s="35"/>
      <c r="AK817" s="35"/>
      <c r="AL817" s="35"/>
      <c r="AM817" s="35"/>
      <c r="AN817" s="35"/>
      <c r="AO817" s="35"/>
      <c r="AP817" s="35"/>
      <c r="AQ817" s="35"/>
      <c r="AR817" s="35"/>
      <c r="AS817" s="35"/>
      <c r="AT817" s="35"/>
      <c r="AU817" s="35"/>
      <c r="AV817" s="35"/>
      <c r="AW817" s="35"/>
    </row>
    <row r="818" spans="1:49" s="33" customFormat="1" ht="15" x14ac:dyDescent="0.25">
      <c r="A818" s="35"/>
      <c r="B818" s="35"/>
      <c r="C818" s="35"/>
      <c r="D818" s="35"/>
      <c r="E818" s="35"/>
      <c r="F818" s="35"/>
      <c r="G818" s="35"/>
      <c r="H818" s="35"/>
      <c r="I818" s="35"/>
      <c r="J818" s="35"/>
      <c r="K818" s="35"/>
      <c r="L818" s="35"/>
      <c r="M818" s="35"/>
      <c r="N818" s="35"/>
      <c r="O818" s="35"/>
      <c r="P818" s="35"/>
      <c r="Q818" s="35"/>
      <c r="R818" s="35"/>
      <c r="S818" s="35"/>
      <c r="T818" s="35"/>
      <c r="U818" s="35"/>
      <c r="V818" s="35"/>
      <c r="W818" s="35"/>
      <c r="X818" s="35"/>
      <c r="Y818" s="35"/>
      <c r="Z818" s="35"/>
      <c r="AA818" s="35"/>
      <c r="AB818" s="35"/>
      <c r="AC818" s="35"/>
      <c r="AD818" s="35"/>
      <c r="AE818" s="35"/>
      <c r="AF818" s="35"/>
      <c r="AG818" s="35"/>
      <c r="AH818" s="35"/>
      <c r="AI818" s="35"/>
      <c r="AJ818" s="35"/>
      <c r="AK818" s="35"/>
      <c r="AL818" s="35"/>
      <c r="AM818" s="35"/>
      <c r="AN818" s="35"/>
      <c r="AO818" s="35"/>
      <c r="AP818" s="35"/>
      <c r="AQ818" s="35"/>
      <c r="AR818" s="35"/>
      <c r="AS818" s="35"/>
      <c r="AT818" s="35"/>
      <c r="AU818" s="35"/>
      <c r="AV818" s="35"/>
      <c r="AW818" s="35"/>
    </row>
    <row r="819" spans="1:49" s="33" customFormat="1" ht="15" x14ac:dyDescent="0.25">
      <c r="A819" s="35"/>
      <c r="B819" s="35"/>
      <c r="C819" s="35"/>
      <c r="D819" s="35"/>
      <c r="E819" s="35"/>
      <c r="F819" s="35"/>
      <c r="G819" s="35"/>
      <c r="H819" s="35"/>
      <c r="I819" s="35"/>
      <c r="J819" s="35"/>
      <c r="K819" s="35"/>
      <c r="L819" s="35"/>
      <c r="M819" s="35"/>
      <c r="N819" s="35"/>
      <c r="O819" s="35"/>
      <c r="P819" s="35"/>
      <c r="Q819" s="35"/>
      <c r="R819" s="35"/>
      <c r="S819" s="35"/>
      <c r="T819" s="35"/>
      <c r="U819" s="35"/>
      <c r="V819" s="35"/>
      <c r="W819" s="35"/>
      <c r="X819" s="35"/>
      <c r="Y819" s="35"/>
      <c r="Z819" s="35"/>
      <c r="AA819" s="35"/>
      <c r="AB819" s="35"/>
      <c r="AC819" s="35"/>
      <c r="AD819" s="35"/>
      <c r="AE819" s="35"/>
      <c r="AF819" s="35"/>
      <c r="AG819" s="35"/>
      <c r="AH819" s="35"/>
      <c r="AI819" s="35"/>
      <c r="AJ819" s="35"/>
      <c r="AK819" s="35"/>
      <c r="AL819" s="35"/>
      <c r="AM819" s="35"/>
      <c r="AN819" s="35"/>
      <c r="AO819" s="35"/>
      <c r="AP819" s="35"/>
      <c r="AQ819" s="35"/>
      <c r="AR819" s="35"/>
      <c r="AS819" s="35"/>
      <c r="AT819" s="35"/>
      <c r="AU819" s="35"/>
      <c r="AV819" s="35"/>
      <c r="AW819" s="35"/>
    </row>
    <row r="820" spans="1:49" s="48" customFormat="1" ht="15.75" x14ac:dyDescent="0.2">
      <c r="A820" s="35"/>
      <c r="B820" s="35"/>
      <c r="C820" s="35"/>
      <c r="D820" s="35"/>
      <c r="E820" s="35"/>
      <c r="F820" s="35"/>
      <c r="G820" s="35"/>
      <c r="H820" s="35"/>
      <c r="I820" s="35"/>
      <c r="J820" s="35"/>
      <c r="K820" s="35"/>
      <c r="L820" s="35"/>
      <c r="M820" s="35"/>
      <c r="N820" s="35"/>
      <c r="O820" s="35"/>
      <c r="P820" s="35"/>
      <c r="Q820" s="35"/>
      <c r="R820" s="35"/>
      <c r="S820" s="35"/>
      <c r="T820" s="35"/>
      <c r="U820" s="35"/>
      <c r="V820" s="35"/>
      <c r="W820" s="35"/>
      <c r="X820" s="35"/>
      <c r="Y820" s="35"/>
      <c r="Z820" s="35"/>
      <c r="AA820" s="35"/>
      <c r="AB820" s="35"/>
      <c r="AC820" s="35"/>
      <c r="AD820" s="35"/>
      <c r="AE820" s="35"/>
      <c r="AF820" s="35"/>
      <c r="AG820" s="35"/>
      <c r="AH820" s="35"/>
      <c r="AI820" s="35"/>
      <c r="AJ820" s="35"/>
      <c r="AK820" s="35"/>
      <c r="AL820" s="35"/>
      <c r="AM820" s="35"/>
      <c r="AN820" s="35"/>
      <c r="AO820" s="35"/>
      <c r="AP820" s="35"/>
      <c r="AQ820" s="35"/>
      <c r="AR820" s="35"/>
      <c r="AS820" s="35"/>
      <c r="AT820" s="35"/>
      <c r="AU820" s="35"/>
      <c r="AV820" s="35"/>
      <c r="AW820" s="35"/>
    </row>
    <row r="821" spans="1:49" s="48" customFormat="1" ht="15.75" x14ac:dyDescent="0.2">
      <c r="A821" s="35"/>
      <c r="B821" s="35"/>
      <c r="C821" s="35"/>
      <c r="D821" s="35"/>
      <c r="E821" s="35"/>
      <c r="F821" s="35"/>
      <c r="G821" s="35"/>
      <c r="H821" s="35"/>
      <c r="I821" s="35"/>
      <c r="J821" s="35"/>
      <c r="K821" s="35"/>
      <c r="L821" s="35"/>
      <c r="M821" s="35"/>
      <c r="N821" s="35"/>
      <c r="O821" s="35"/>
      <c r="P821" s="35"/>
      <c r="Q821" s="35"/>
      <c r="R821" s="35"/>
      <c r="S821" s="35"/>
      <c r="T821" s="35"/>
      <c r="U821" s="35"/>
      <c r="V821" s="35"/>
      <c r="W821" s="35"/>
      <c r="X821" s="35"/>
      <c r="Y821" s="35"/>
      <c r="Z821" s="35"/>
      <c r="AA821" s="35"/>
      <c r="AB821" s="35"/>
      <c r="AC821" s="35"/>
      <c r="AD821" s="35"/>
      <c r="AE821" s="35"/>
      <c r="AF821" s="35"/>
      <c r="AG821" s="35"/>
      <c r="AH821" s="35"/>
      <c r="AI821" s="35"/>
      <c r="AJ821" s="35"/>
      <c r="AK821" s="35"/>
      <c r="AL821" s="35"/>
      <c r="AM821" s="35"/>
      <c r="AN821" s="35"/>
      <c r="AO821" s="35"/>
      <c r="AP821" s="35"/>
      <c r="AQ821" s="35"/>
      <c r="AR821" s="35"/>
      <c r="AS821" s="35"/>
      <c r="AT821" s="35"/>
      <c r="AU821" s="35"/>
      <c r="AV821" s="35"/>
      <c r="AW821" s="35"/>
    </row>
    <row r="822" spans="1:49" s="46" customFormat="1" ht="15" x14ac:dyDescent="0.25">
      <c r="A822" s="35"/>
      <c r="B822" s="35"/>
      <c r="C822" s="35"/>
      <c r="D822" s="35"/>
      <c r="E822" s="35"/>
      <c r="F822" s="35"/>
      <c r="G822" s="35"/>
      <c r="H822" s="35"/>
      <c r="I822" s="35"/>
      <c r="J822" s="35"/>
      <c r="K822" s="35"/>
      <c r="L822" s="35"/>
      <c r="M822" s="35"/>
      <c r="N822" s="35"/>
      <c r="O822" s="35"/>
      <c r="P822" s="35"/>
      <c r="Q822" s="35"/>
      <c r="R822" s="35"/>
      <c r="S822" s="35"/>
      <c r="T822" s="35"/>
      <c r="U822" s="35"/>
      <c r="V822" s="35"/>
      <c r="W822" s="35"/>
      <c r="X822" s="35"/>
      <c r="Y822" s="35"/>
      <c r="Z822" s="35"/>
      <c r="AA822" s="35"/>
      <c r="AB822" s="35"/>
      <c r="AC822" s="35"/>
      <c r="AD822" s="35"/>
      <c r="AE822" s="35"/>
      <c r="AF822" s="35"/>
      <c r="AG822" s="35"/>
      <c r="AH822" s="35"/>
      <c r="AI822" s="35"/>
      <c r="AJ822" s="35"/>
      <c r="AK822" s="35"/>
      <c r="AL822" s="35"/>
      <c r="AM822" s="35"/>
      <c r="AN822" s="35"/>
      <c r="AO822" s="35"/>
      <c r="AP822" s="35"/>
      <c r="AQ822" s="35"/>
      <c r="AR822" s="35"/>
      <c r="AS822" s="35"/>
      <c r="AT822" s="35"/>
      <c r="AU822" s="35"/>
      <c r="AV822" s="35"/>
      <c r="AW822" s="35"/>
    </row>
    <row r="823" spans="1:49" s="46" customFormat="1" ht="15" x14ac:dyDescent="0.25">
      <c r="A823" s="35"/>
      <c r="B823" s="35"/>
      <c r="C823" s="35"/>
      <c r="D823" s="35"/>
      <c r="E823" s="35"/>
      <c r="F823" s="35"/>
      <c r="G823" s="35"/>
      <c r="H823" s="35"/>
      <c r="I823" s="35"/>
      <c r="J823" s="35"/>
      <c r="K823" s="35"/>
      <c r="L823" s="35"/>
      <c r="M823" s="35"/>
      <c r="N823" s="35"/>
      <c r="O823" s="35"/>
      <c r="P823" s="35"/>
      <c r="Q823" s="35"/>
      <c r="R823" s="35"/>
      <c r="S823" s="35"/>
      <c r="T823" s="35"/>
      <c r="U823" s="35"/>
      <c r="V823" s="35"/>
      <c r="W823" s="35"/>
      <c r="X823" s="35"/>
      <c r="Y823" s="35"/>
      <c r="Z823" s="35"/>
      <c r="AA823" s="35"/>
      <c r="AB823" s="35"/>
      <c r="AC823" s="35"/>
      <c r="AD823" s="35"/>
      <c r="AE823" s="35"/>
      <c r="AF823" s="35"/>
      <c r="AG823" s="35"/>
      <c r="AH823" s="35"/>
      <c r="AI823" s="35"/>
      <c r="AJ823" s="35"/>
      <c r="AK823" s="35"/>
      <c r="AL823" s="35"/>
      <c r="AM823" s="35"/>
      <c r="AN823" s="35"/>
      <c r="AO823" s="35"/>
      <c r="AP823" s="35"/>
      <c r="AQ823" s="35"/>
      <c r="AR823" s="35"/>
      <c r="AS823" s="35"/>
      <c r="AT823" s="35"/>
      <c r="AU823" s="35"/>
      <c r="AV823" s="35"/>
      <c r="AW823" s="35"/>
    </row>
    <row r="824" spans="1:49" s="46" customFormat="1" ht="15" x14ac:dyDescent="0.25">
      <c r="A824" s="35"/>
      <c r="B824" s="35"/>
      <c r="C824" s="35"/>
      <c r="D824" s="35"/>
      <c r="E824" s="35"/>
      <c r="F824" s="35"/>
      <c r="G824" s="35"/>
      <c r="H824" s="35"/>
      <c r="I824" s="35"/>
      <c r="J824" s="35"/>
      <c r="K824" s="35"/>
      <c r="L824" s="35"/>
      <c r="M824" s="35"/>
      <c r="N824" s="35"/>
      <c r="O824" s="35"/>
      <c r="P824" s="35"/>
      <c r="Q824" s="35"/>
      <c r="R824" s="35"/>
      <c r="S824" s="35"/>
      <c r="T824" s="35"/>
      <c r="U824" s="35"/>
      <c r="V824" s="35"/>
      <c r="W824" s="35"/>
      <c r="X824" s="35"/>
      <c r="Y824" s="35"/>
      <c r="Z824" s="35"/>
      <c r="AA824" s="35"/>
      <c r="AB824" s="35"/>
      <c r="AC824" s="35"/>
      <c r="AD824" s="35"/>
      <c r="AE824" s="35"/>
      <c r="AF824" s="35"/>
      <c r="AG824" s="35"/>
      <c r="AH824" s="35"/>
      <c r="AI824" s="35"/>
      <c r="AJ824" s="35"/>
      <c r="AK824" s="35"/>
      <c r="AL824" s="35"/>
      <c r="AM824" s="35"/>
      <c r="AN824" s="35"/>
      <c r="AO824" s="35"/>
      <c r="AP824" s="35"/>
      <c r="AQ824" s="35"/>
      <c r="AR824" s="35"/>
      <c r="AS824" s="35"/>
      <c r="AT824" s="35"/>
      <c r="AU824" s="35"/>
      <c r="AV824" s="35"/>
      <c r="AW824" s="35"/>
    </row>
    <row r="825" spans="1:49" s="46" customFormat="1" ht="15" x14ac:dyDescent="0.25">
      <c r="A825" s="35"/>
      <c r="B825" s="35"/>
      <c r="C825" s="35"/>
      <c r="D825" s="35"/>
      <c r="E825" s="35"/>
      <c r="F825" s="35"/>
      <c r="G825" s="35"/>
      <c r="H825" s="35"/>
      <c r="I825" s="35"/>
      <c r="J825" s="35"/>
      <c r="K825" s="35"/>
      <c r="L825" s="35"/>
      <c r="M825" s="35"/>
      <c r="N825" s="35"/>
      <c r="O825" s="35"/>
      <c r="P825" s="35"/>
      <c r="Q825" s="35"/>
      <c r="R825" s="35"/>
      <c r="S825" s="35"/>
      <c r="T825" s="35"/>
      <c r="U825" s="35"/>
      <c r="V825" s="35"/>
      <c r="W825" s="35"/>
      <c r="X825" s="35"/>
      <c r="Y825" s="35"/>
      <c r="Z825" s="35"/>
      <c r="AA825" s="35"/>
      <c r="AB825" s="35"/>
      <c r="AC825" s="35"/>
      <c r="AD825" s="35"/>
      <c r="AE825" s="35"/>
      <c r="AF825" s="35"/>
      <c r="AG825" s="35"/>
      <c r="AH825" s="35"/>
      <c r="AI825" s="35"/>
      <c r="AJ825" s="35"/>
      <c r="AK825" s="35"/>
      <c r="AL825" s="35"/>
      <c r="AM825" s="35"/>
      <c r="AN825" s="35"/>
      <c r="AO825" s="35"/>
      <c r="AP825" s="35"/>
      <c r="AQ825" s="35"/>
      <c r="AR825" s="35"/>
      <c r="AS825" s="35"/>
      <c r="AT825" s="35"/>
      <c r="AU825" s="35"/>
      <c r="AV825" s="35"/>
      <c r="AW825" s="35"/>
    </row>
    <row r="826" spans="1:49" s="46" customFormat="1" ht="15" x14ac:dyDescent="0.25">
      <c r="A826" s="35"/>
      <c r="B826" s="35"/>
      <c r="C826" s="35"/>
      <c r="D826" s="35"/>
      <c r="E826" s="35"/>
      <c r="F826" s="35"/>
      <c r="G826" s="35"/>
      <c r="H826" s="35"/>
      <c r="I826" s="35"/>
      <c r="J826" s="35"/>
      <c r="K826" s="35"/>
      <c r="L826" s="35"/>
      <c r="M826" s="35"/>
      <c r="N826" s="35"/>
      <c r="O826" s="35"/>
      <c r="P826" s="35"/>
      <c r="Q826" s="35"/>
      <c r="R826" s="35"/>
      <c r="S826" s="35"/>
      <c r="T826" s="35"/>
      <c r="U826" s="35"/>
      <c r="V826" s="35"/>
      <c r="W826" s="35"/>
      <c r="X826" s="35"/>
      <c r="Y826" s="35"/>
      <c r="Z826" s="35"/>
      <c r="AA826" s="35"/>
      <c r="AB826" s="35"/>
      <c r="AC826" s="35"/>
      <c r="AD826" s="35"/>
      <c r="AE826" s="35"/>
      <c r="AF826" s="35"/>
      <c r="AG826" s="35"/>
      <c r="AH826" s="35"/>
      <c r="AI826" s="35"/>
      <c r="AJ826" s="35"/>
      <c r="AK826" s="35"/>
      <c r="AL826" s="35"/>
      <c r="AM826" s="35"/>
      <c r="AN826" s="35"/>
      <c r="AO826" s="35"/>
      <c r="AP826" s="35"/>
      <c r="AQ826" s="35"/>
      <c r="AR826" s="35"/>
      <c r="AS826" s="35"/>
      <c r="AT826" s="35"/>
      <c r="AU826" s="35"/>
      <c r="AV826" s="35"/>
      <c r="AW826" s="35"/>
    </row>
    <row r="827" spans="1:49" s="46" customFormat="1" ht="15" x14ac:dyDescent="0.25">
      <c r="A827" s="35"/>
      <c r="B827" s="35"/>
      <c r="C827" s="35"/>
      <c r="D827" s="35"/>
      <c r="E827" s="35"/>
      <c r="F827" s="35"/>
      <c r="G827" s="35"/>
      <c r="H827" s="35"/>
      <c r="I827" s="35"/>
      <c r="J827" s="35"/>
      <c r="K827" s="35"/>
      <c r="L827" s="35"/>
      <c r="M827" s="35"/>
      <c r="N827" s="35"/>
      <c r="O827" s="35"/>
      <c r="P827" s="35"/>
      <c r="Q827" s="35"/>
      <c r="R827" s="35"/>
      <c r="S827" s="35"/>
      <c r="T827" s="35"/>
      <c r="U827" s="35"/>
      <c r="V827" s="35"/>
      <c r="W827" s="35"/>
      <c r="X827" s="35"/>
      <c r="Y827" s="35"/>
      <c r="Z827" s="35"/>
      <c r="AA827" s="35"/>
      <c r="AB827" s="35"/>
      <c r="AC827" s="35"/>
      <c r="AD827" s="35"/>
      <c r="AE827" s="35"/>
      <c r="AF827" s="35"/>
      <c r="AG827" s="35"/>
      <c r="AH827" s="35"/>
      <c r="AI827" s="35"/>
      <c r="AJ827" s="35"/>
      <c r="AK827" s="35"/>
      <c r="AL827" s="35"/>
      <c r="AM827" s="35"/>
      <c r="AN827" s="35"/>
      <c r="AO827" s="35"/>
      <c r="AP827" s="35"/>
      <c r="AQ827" s="35"/>
      <c r="AR827" s="35"/>
      <c r="AS827" s="35"/>
      <c r="AT827" s="35"/>
      <c r="AU827" s="35"/>
      <c r="AV827" s="35"/>
      <c r="AW827" s="35"/>
    </row>
    <row r="828" spans="1:49" s="48" customFormat="1" ht="15.75" x14ac:dyDescent="0.2">
      <c r="A828" s="35"/>
      <c r="B828" s="35"/>
      <c r="C828" s="35"/>
      <c r="D828" s="35"/>
      <c r="E828" s="35"/>
      <c r="F828" s="35"/>
      <c r="G828" s="35"/>
      <c r="H828" s="35"/>
      <c r="I828" s="35"/>
      <c r="J828" s="35"/>
      <c r="K828" s="35"/>
      <c r="L828" s="35"/>
      <c r="M828" s="35"/>
      <c r="N828" s="35"/>
      <c r="O828" s="35"/>
      <c r="P828" s="35"/>
      <c r="Q828" s="35"/>
      <c r="R828" s="35"/>
      <c r="S828" s="35"/>
      <c r="T828" s="35"/>
      <c r="U828" s="35"/>
      <c r="V828" s="35"/>
      <c r="W828" s="35"/>
      <c r="X828" s="35"/>
      <c r="Y828" s="35"/>
      <c r="Z828" s="35"/>
      <c r="AA828" s="35"/>
      <c r="AB828" s="35"/>
      <c r="AC828" s="35"/>
      <c r="AD828" s="35"/>
      <c r="AE828" s="35"/>
      <c r="AF828" s="35"/>
      <c r="AG828" s="35"/>
      <c r="AH828" s="35"/>
      <c r="AI828" s="35"/>
      <c r="AJ828" s="35"/>
      <c r="AK828" s="35"/>
      <c r="AL828" s="35"/>
      <c r="AM828" s="35"/>
      <c r="AN828" s="35"/>
      <c r="AO828" s="35"/>
      <c r="AP828" s="35"/>
      <c r="AQ828" s="35"/>
      <c r="AR828" s="35"/>
      <c r="AS828" s="35"/>
      <c r="AT828" s="35"/>
      <c r="AU828" s="35"/>
      <c r="AV828" s="35"/>
      <c r="AW828" s="35"/>
    </row>
    <row r="829" spans="1:49" s="33" customFormat="1" ht="15" x14ac:dyDescent="0.25">
      <c r="A829" s="35"/>
      <c r="B829" s="35"/>
      <c r="C829" s="35"/>
      <c r="D829" s="35"/>
      <c r="E829" s="35"/>
      <c r="F829" s="35"/>
      <c r="G829" s="35"/>
      <c r="H829" s="35"/>
      <c r="I829" s="35"/>
      <c r="J829" s="35"/>
      <c r="K829" s="35"/>
      <c r="L829" s="35"/>
      <c r="M829" s="35"/>
      <c r="N829" s="35"/>
      <c r="O829" s="35"/>
      <c r="P829" s="35"/>
      <c r="Q829" s="35"/>
      <c r="R829" s="35"/>
      <c r="S829" s="35"/>
      <c r="T829" s="35"/>
      <c r="U829" s="35"/>
      <c r="V829" s="35"/>
      <c r="W829" s="35"/>
      <c r="X829" s="35"/>
      <c r="Y829" s="35"/>
      <c r="Z829" s="35"/>
      <c r="AA829" s="35"/>
      <c r="AB829" s="35"/>
      <c r="AC829" s="35"/>
      <c r="AD829" s="35"/>
      <c r="AE829" s="35"/>
      <c r="AF829" s="35"/>
      <c r="AG829" s="35"/>
      <c r="AH829" s="35"/>
      <c r="AI829" s="35"/>
      <c r="AJ829" s="35"/>
      <c r="AK829" s="35"/>
      <c r="AL829" s="35"/>
      <c r="AM829" s="35"/>
      <c r="AN829" s="35"/>
      <c r="AO829" s="35"/>
      <c r="AP829" s="35"/>
      <c r="AQ829" s="35"/>
      <c r="AR829" s="35"/>
      <c r="AS829" s="35"/>
      <c r="AT829" s="35"/>
      <c r="AU829" s="35"/>
      <c r="AV829" s="35"/>
      <c r="AW829" s="35"/>
    </row>
    <row r="830" spans="1:49" s="26" customFormat="1" ht="15" x14ac:dyDescent="0.25">
      <c r="A830" s="35"/>
      <c r="B830" s="35"/>
      <c r="C830" s="35"/>
      <c r="D830" s="35"/>
      <c r="E830" s="35"/>
      <c r="F830" s="35"/>
      <c r="G830" s="35"/>
      <c r="H830" s="35"/>
      <c r="I830" s="35"/>
      <c r="J830" s="35"/>
      <c r="K830" s="35"/>
      <c r="L830" s="35"/>
      <c r="M830" s="35"/>
      <c r="N830" s="35"/>
      <c r="O830" s="35"/>
      <c r="P830" s="35"/>
      <c r="Q830" s="35"/>
      <c r="R830" s="35"/>
      <c r="S830" s="35"/>
      <c r="T830" s="35"/>
      <c r="U830" s="35"/>
      <c r="V830" s="35"/>
      <c r="W830" s="35"/>
      <c r="X830" s="35"/>
      <c r="Y830" s="35"/>
      <c r="Z830" s="35"/>
      <c r="AA830" s="35"/>
      <c r="AB830" s="35"/>
      <c r="AC830" s="35"/>
      <c r="AD830" s="35"/>
      <c r="AE830" s="35"/>
      <c r="AF830" s="35"/>
      <c r="AG830" s="35"/>
      <c r="AH830" s="35"/>
      <c r="AI830" s="35"/>
      <c r="AJ830" s="35"/>
      <c r="AK830" s="35"/>
      <c r="AL830" s="35"/>
      <c r="AM830" s="35"/>
      <c r="AN830" s="35"/>
      <c r="AO830" s="35"/>
      <c r="AP830" s="35"/>
      <c r="AQ830" s="35"/>
      <c r="AR830" s="35"/>
      <c r="AS830" s="35"/>
      <c r="AT830" s="35"/>
      <c r="AU830" s="35"/>
      <c r="AV830" s="35"/>
      <c r="AW830" s="35"/>
    </row>
    <row r="831" spans="1:49" s="26" customFormat="1" ht="15" x14ac:dyDescent="0.25">
      <c r="A831" s="35"/>
      <c r="B831" s="35"/>
      <c r="C831" s="35"/>
      <c r="D831" s="35"/>
      <c r="E831" s="35"/>
      <c r="F831" s="35"/>
      <c r="G831" s="35"/>
      <c r="H831" s="35"/>
      <c r="I831" s="35"/>
      <c r="J831" s="35"/>
      <c r="K831" s="35"/>
      <c r="L831" s="35"/>
      <c r="M831" s="35"/>
      <c r="N831" s="35"/>
      <c r="O831" s="35"/>
      <c r="P831" s="35"/>
      <c r="Q831" s="35"/>
      <c r="R831" s="35"/>
      <c r="S831" s="35"/>
      <c r="T831" s="35"/>
      <c r="U831" s="35"/>
      <c r="V831" s="35"/>
      <c r="W831" s="35"/>
      <c r="X831" s="35"/>
      <c r="Y831" s="35"/>
      <c r="Z831" s="35"/>
      <c r="AA831" s="35"/>
      <c r="AB831" s="35"/>
      <c r="AC831" s="35"/>
      <c r="AD831" s="35"/>
      <c r="AE831" s="35"/>
      <c r="AF831" s="35"/>
      <c r="AG831" s="35"/>
      <c r="AH831" s="35"/>
      <c r="AI831" s="35"/>
      <c r="AJ831" s="35"/>
      <c r="AK831" s="35"/>
      <c r="AL831" s="35"/>
      <c r="AM831" s="35"/>
      <c r="AN831" s="35"/>
      <c r="AO831" s="35"/>
      <c r="AP831" s="35"/>
      <c r="AQ831" s="35"/>
      <c r="AR831" s="35"/>
      <c r="AS831" s="35"/>
      <c r="AT831" s="35"/>
      <c r="AU831" s="35"/>
      <c r="AV831" s="35"/>
      <c r="AW831" s="35"/>
    </row>
    <row r="832" spans="1:49" s="17" customFormat="1" ht="15" x14ac:dyDescent="0.25">
      <c r="A832" s="35"/>
      <c r="B832" s="35"/>
      <c r="C832" s="35"/>
      <c r="D832" s="35"/>
      <c r="E832" s="35"/>
      <c r="F832" s="35"/>
      <c r="G832" s="35"/>
      <c r="H832" s="35"/>
      <c r="I832" s="35"/>
      <c r="J832" s="35"/>
      <c r="K832" s="35"/>
      <c r="L832" s="35"/>
      <c r="M832" s="35"/>
      <c r="N832" s="35"/>
      <c r="O832" s="35"/>
      <c r="P832" s="35"/>
      <c r="Q832" s="35"/>
      <c r="R832" s="35"/>
      <c r="S832" s="35"/>
      <c r="T832" s="35"/>
      <c r="U832" s="35"/>
      <c r="V832" s="35"/>
      <c r="W832" s="35"/>
      <c r="X832" s="35"/>
      <c r="Y832" s="35"/>
      <c r="Z832" s="35"/>
      <c r="AA832" s="35"/>
      <c r="AB832" s="35"/>
      <c r="AC832" s="35"/>
      <c r="AD832" s="35"/>
      <c r="AE832" s="35"/>
      <c r="AF832" s="35"/>
      <c r="AG832" s="35"/>
      <c r="AH832" s="35"/>
      <c r="AI832" s="35"/>
      <c r="AJ832" s="35"/>
      <c r="AK832" s="35"/>
      <c r="AL832" s="35"/>
      <c r="AM832" s="35"/>
      <c r="AN832" s="35"/>
      <c r="AO832" s="35"/>
      <c r="AP832" s="35"/>
      <c r="AQ832" s="35"/>
      <c r="AR832" s="35"/>
      <c r="AS832" s="35"/>
      <c r="AT832" s="35"/>
      <c r="AU832" s="35"/>
      <c r="AV832" s="35"/>
      <c r="AW832" s="35"/>
    </row>
    <row r="833" spans="1:49" s="17" customFormat="1" ht="15" x14ac:dyDescent="0.25">
      <c r="A833" s="35"/>
      <c r="B833" s="35"/>
      <c r="C833" s="35"/>
      <c r="D833" s="35"/>
      <c r="E833" s="35"/>
      <c r="F833" s="35"/>
      <c r="G833" s="35"/>
      <c r="H833" s="35"/>
      <c r="I833" s="35"/>
      <c r="J833" s="35"/>
      <c r="K833" s="35"/>
      <c r="L833" s="35"/>
      <c r="M833" s="35"/>
      <c r="N833" s="35"/>
      <c r="O833" s="35"/>
      <c r="P833" s="35"/>
      <c r="Q833" s="35"/>
      <c r="R833" s="35"/>
      <c r="S833" s="35"/>
      <c r="T833" s="35"/>
      <c r="U833" s="35"/>
      <c r="V833" s="35"/>
      <c r="W833" s="35"/>
      <c r="X833" s="35"/>
      <c r="Y833" s="35"/>
      <c r="Z833" s="35"/>
      <c r="AA833" s="35"/>
      <c r="AB833" s="35"/>
      <c r="AC833" s="35"/>
      <c r="AD833" s="35"/>
      <c r="AE833" s="35"/>
      <c r="AF833" s="35"/>
      <c r="AG833" s="35"/>
      <c r="AH833" s="35"/>
      <c r="AI833" s="35"/>
      <c r="AJ833" s="35"/>
      <c r="AK833" s="35"/>
      <c r="AL833" s="35"/>
      <c r="AM833" s="35"/>
      <c r="AN833" s="35"/>
      <c r="AO833" s="35"/>
      <c r="AP833" s="35"/>
      <c r="AQ833" s="35"/>
      <c r="AR833" s="35"/>
      <c r="AS833" s="35"/>
      <c r="AT833" s="35"/>
      <c r="AU833" s="35"/>
      <c r="AV833" s="35"/>
      <c r="AW833" s="35"/>
    </row>
    <row r="834" spans="1:49" s="48" customFormat="1" ht="15.75" x14ac:dyDescent="0.2">
      <c r="A834" s="35"/>
      <c r="B834" s="35"/>
      <c r="C834" s="35"/>
      <c r="D834" s="35"/>
      <c r="E834" s="35"/>
      <c r="F834" s="35"/>
      <c r="G834" s="35"/>
      <c r="H834" s="35"/>
      <c r="I834" s="35"/>
      <c r="J834" s="35"/>
      <c r="K834" s="35"/>
      <c r="L834" s="35"/>
      <c r="M834" s="35"/>
      <c r="N834" s="35"/>
      <c r="O834" s="35"/>
      <c r="P834" s="35"/>
      <c r="Q834" s="35"/>
      <c r="R834" s="35"/>
      <c r="S834" s="35"/>
      <c r="T834" s="35"/>
      <c r="U834" s="35"/>
      <c r="V834" s="35"/>
      <c r="W834" s="35"/>
      <c r="X834" s="35"/>
      <c r="Y834" s="35"/>
      <c r="Z834" s="35"/>
      <c r="AA834" s="35"/>
      <c r="AB834" s="35"/>
      <c r="AC834" s="35"/>
      <c r="AD834" s="35"/>
      <c r="AE834" s="35"/>
      <c r="AF834" s="35"/>
      <c r="AG834" s="35"/>
      <c r="AH834" s="35"/>
      <c r="AI834" s="35"/>
      <c r="AJ834" s="35"/>
      <c r="AK834" s="35"/>
      <c r="AL834" s="35"/>
      <c r="AM834" s="35"/>
      <c r="AN834" s="35"/>
      <c r="AO834" s="35"/>
      <c r="AP834" s="35"/>
      <c r="AQ834" s="35"/>
      <c r="AR834" s="35"/>
      <c r="AS834" s="35"/>
      <c r="AT834" s="35"/>
      <c r="AU834" s="35"/>
      <c r="AV834" s="35"/>
      <c r="AW834" s="35"/>
    </row>
    <row r="835" spans="1:49" s="48" customFormat="1" ht="15.75" x14ac:dyDescent="0.2">
      <c r="A835" s="35"/>
      <c r="B835" s="35"/>
      <c r="C835" s="35"/>
      <c r="D835" s="35"/>
      <c r="E835" s="35"/>
      <c r="F835" s="35"/>
      <c r="G835" s="35"/>
      <c r="H835" s="35"/>
      <c r="I835" s="35"/>
      <c r="J835" s="35"/>
      <c r="K835" s="35"/>
      <c r="L835" s="35"/>
      <c r="M835" s="35"/>
      <c r="N835" s="35"/>
      <c r="O835" s="35"/>
      <c r="P835" s="35"/>
      <c r="Q835" s="35"/>
      <c r="R835" s="35"/>
      <c r="S835" s="35"/>
      <c r="T835" s="35"/>
      <c r="U835" s="35"/>
      <c r="V835" s="35"/>
      <c r="W835" s="35"/>
      <c r="X835" s="35"/>
      <c r="Y835" s="35"/>
      <c r="Z835" s="35"/>
      <c r="AA835" s="35"/>
      <c r="AB835" s="35"/>
      <c r="AC835" s="35"/>
      <c r="AD835" s="35"/>
      <c r="AE835" s="35"/>
      <c r="AF835" s="35"/>
      <c r="AG835" s="35"/>
      <c r="AH835" s="35"/>
      <c r="AI835" s="35"/>
      <c r="AJ835" s="35"/>
      <c r="AK835" s="35"/>
      <c r="AL835" s="35"/>
      <c r="AM835" s="35"/>
      <c r="AN835" s="35"/>
      <c r="AO835" s="35"/>
      <c r="AP835" s="35"/>
      <c r="AQ835" s="35"/>
      <c r="AR835" s="35"/>
      <c r="AS835" s="35"/>
      <c r="AT835" s="35"/>
      <c r="AU835" s="35"/>
      <c r="AV835" s="35"/>
      <c r="AW835" s="35"/>
    </row>
    <row r="836" spans="1:49" s="46" customFormat="1" ht="15" x14ac:dyDescent="0.25">
      <c r="A836" s="35"/>
      <c r="B836" s="35"/>
      <c r="C836" s="35"/>
      <c r="D836" s="35"/>
      <c r="E836" s="35"/>
      <c r="F836" s="35"/>
      <c r="G836" s="35"/>
      <c r="H836" s="35"/>
      <c r="I836" s="35"/>
      <c r="J836" s="35"/>
      <c r="K836" s="35"/>
      <c r="L836" s="35"/>
      <c r="M836" s="35"/>
      <c r="N836" s="35"/>
      <c r="O836" s="35"/>
      <c r="P836" s="35"/>
      <c r="Q836" s="35"/>
      <c r="R836" s="35"/>
      <c r="S836" s="35"/>
      <c r="T836" s="35"/>
      <c r="U836" s="35"/>
      <c r="V836" s="35"/>
      <c r="W836" s="35"/>
      <c r="X836" s="35"/>
      <c r="Y836" s="35"/>
      <c r="Z836" s="35"/>
      <c r="AA836" s="35"/>
      <c r="AB836" s="35"/>
      <c r="AC836" s="35"/>
      <c r="AD836" s="35"/>
      <c r="AE836" s="35"/>
      <c r="AF836" s="35"/>
      <c r="AG836" s="35"/>
      <c r="AH836" s="35"/>
      <c r="AI836" s="35"/>
      <c r="AJ836" s="35"/>
      <c r="AK836" s="35"/>
      <c r="AL836" s="35"/>
      <c r="AM836" s="35"/>
      <c r="AN836" s="35"/>
      <c r="AO836" s="35"/>
      <c r="AP836" s="35"/>
      <c r="AQ836" s="35"/>
      <c r="AR836" s="35"/>
      <c r="AS836" s="35"/>
      <c r="AT836" s="35"/>
      <c r="AU836" s="35"/>
      <c r="AV836" s="35"/>
      <c r="AW836" s="35"/>
    </row>
    <row r="837" spans="1:49" s="47" customFormat="1" ht="15.75" x14ac:dyDescent="0.2">
      <c r="A837" s="35"/>
      <c r="B837" s="35"/>
      <c r="C837" s="35"/>
      <c r="D837" s="35"/>
      <c r="E837" s="35"/>
      <c r="F837" s="35"/>
      <c r="G837" s="35"/>
      <c r="H837" s="35"/>
      <c r="I837" s="35"/>
      <c r="J837" s="35"/>
      <c r="K837" s="35"/>
      <c r="L837" s="35"/>
      <c r="M837" s="35"/>
      <c r="N837" s="35"/>
      <c r="O837" s="35"/>
      <c r="P837" s="35"/>
      <c r="Q837" s="35"/>
      <c r="R837" s="35"/>
      <c r="S837" s="35"/>
      <c r="T837" s="35"/>
      <c r="U837" s="35"/>
      <c r="V837" s="35"/>
      <c r="W837" s="35"/>
      <c r="X837" s="35"/>
      <c r="Y837" s="35"/>
      <c r="Z837" s="35"/>
      <c r="AA837" s="35"/>
      <c r="AB837" s="35"/>
      <c r="AC837" s="35"/>
      <c r="AD837" s="35"/>
      <c r="AE837" s="35"/>
      <c r="AF837" s="35"/>
      <c r="AG837" s="35"/>
      <c r="AH837" s="35"/>
      <c r="AI837" s="35"/>
      <c r="AJ837" s="35"/>
      <c r="AK837" s="35"/>
      <c r="AL837" s="35"/>
      <c r="AM837" s="35"/>
      <c r="AN837" s="35"/>
      <c r="AO837" s="35"/>
      <c r="AP837" s="35"/>
      <c r="AQ837" s="35"/>
      <c r="AR837" s="35"/>
      <c r="AS837" s="35"/>
      <c r="AT837" s="35"/>
      <c r="AU837" s="35"/>
      <c r="AV837" s="35"/>
      <c r="AW837" s="35"/>
    </row>
    <row r="838" spans="1:49" s="49" customFormat="1" x14ac:dyDescent="0.2">
      <c r="A838" s="35"/>
      <c r="B838" s="35"/>
      <c r="C838" s="35"/>
      <c r="D838" s="35"/>
      <c r="E838" s="35"/>
      <c r="F838" s="35"/>
      <c r="G838" s="35"/>
      <c r="H838" s="35"/>
      <c r="I838" s="35"/>
      <c r="J838" s="35"/>
      <c r="K838" s="35"/>
      <c r="L838" s="35"/>
      <c r="M838" s="35"/>
      <c r="N838" s="35"/>
      <c r="O838" s="35"/>
      <c r="P838" s="35"/>
      <c r="Q838" s="35"/>
      <c r="R838" s="35"/>
      <c r="S838" s="35"/>
      <c r="T838" s="35"/>
      <c r="U838" s="35"/>
      <c r="V838" s="35"/>
      <c r="W838" s="35"/>
      <c r="X838" s="35"/>
      <c r="Y838" s="35"/>
      <c r="Z838" s="35"/>
      <c r="AA838" s="35"/>
      <c r="AB838" s="35"/>
      <c r="AC838" s="35"/>
      <c r="AD838" s="35"/>
      <c r="AE838" s="35"/>
      <c r="AF838" s="35"/>
      <c r="AG838" s="35"/>
      <c r="AH838" s="35"/>
      <c r="AI838" s="35"/>
      <c r="AJ838" s="35"/>
      <c r="AK838" s="35"/>
      <c r="AL838" s="35"/>
      <c r="AM838" s="35"/>
      <c r="AN838" s="35"/>
      <c r="AO838" s="35"/>
      <c r="AP838" s="35"/>
      <c r="AQ838" s="35"/>
      <c r="AR838" s="35"/>
      <c r="AS838" s="35"/>
      <c r="AT838" s="35"/>
      <c r="AU838" s="35"/>
      <c r="AV838" s="35"/>
      <c r="AW838" s="35"/>
    </row>
    <row r="839" spans="1:49" s="27" customFormat="1" ht="15.75" x14ac:dyDescent="0.2">
      <c r="A839" s="35"/>
      <c r="B839" s="35"/>
      <c r="C839" s="35"/>
      <c r="D839" s="35"/>
      <c r="E839" s="35"/>
      <c r="F839" s="35"/>
      <c r="G839" s="35"/>
      <c r="H839" s="35"/>
      <c r="I839" s="35"/>
      <c r="J839" s="35"/>
      <c r="K839" s="35"/>
      <c r="L839" s="35"/>
      <c r="M839" s="35"/>
      <c r="N839" s="35"/>
      <c r="O839" s="35"/>
      <c r="P839" s="35"/>
      <c r="Q839" s="35"/>
      <c r="R839" s="35"/>
      <c r="S839" s="35"/>
      <c r="T839" s="35"/>
      <c r="U839" s="35"/>
      <c r="V839" s="35"/>
      <c r="W839" s="35"/>
      <c r="X839" s="35"/>
      <c r="Y839" s="35"/>
      <c r="Z839" s="35"/>
      <c r="AA839" s="35"/>
      <c r="AB839" s="35"/>
      <c r="AC839" s="35"/>
      <c r="AD839" s="35"/>
      <c r="AE839" s="35"/>
      <c r="AF839" s="35"/>
      <c r="AG839" s="35"/>
      <c r="AH839" s="35"/>
      <c r="AI839" s="35"/>
      <c r="AJ839" s="35"/>
      <c r="AK839" s="35"/>
      <c r="AL839" s="35"/>
      <c r="AM839" s="35"/>
      <c r="AN839" s="35"/>
      <c r="AO839" s="35"/>
      <c r="AP839" s="35"/>
      <c r="AQ839" s="35"/>
      <c r="AR839" s="35"/>
      <c r="AS839" s="35"/>
      <c r="AT839" s="35"/>
      <c r="AU839" s="35"/>
      <c r="AV839" s="35"/>
      <c r="AW839" s="35"/>
    </row>
    <row r="840" spans="1:49" s="27" customFormat="1" ht="15.75" x14ac:dyDescent="0.2">
      <c r="A840" s="35"/>
      <c r="B840" s="35"/>
      <c r="C840" s="35"/>
      <c r="D840" s="35"/>
      <c r="E840" s="35"/>
      <c r="F840" s="35"/>
      <c r="G840" s="35"/>
      <c r="H840" s="35"/>
      <c r="I840" s="35"/>
      <c r="J840" s="35"/>
      <c r="K840" s="35"/>
      <c r="L840" s="35"/>
      <c r="M840" s="35"/>
      <c r="N840" s="35"/>
      <c r="O840" s="35"/>
      <c r="P840" s="35"/>
      <c r="Q840" s="35"/>
      <c r="R840" s="35"/>
      <c r="S840" s="35"/>
      <c r="T840" s="35"/>
      <c r="U840" s="35"/>
      <c r="V840" s="35"/>
      <c r="W840" s="35"/>
      <c r="X840" s="35"/>
      <c r="Y840" s="35"/>
      <c r="Z840" s="35"/>
      <c r="AA840" s="35"/>
      <c r="AB840" s="35"/>
      <c r="AC840" s="35"/>
      <c r="AD840" s="35"/>
      <c r="AE840" s="35"/>
      <c r="AF840" s="35"/>
      <c r="AG840" s="35"/>
      <c r="AH840" s="35"/>
      <c r="AI840" s="35"/>
      <c r="AJ840" s="35"/>
      <c r="AK840" s="35"/>
      <c r="AL840" s="35"/>
      <c r="AM840" s="35"/>
      <c r="AN840" s="35"/>
      <c r="AO840" s="35"/>
      <c r="AP840" s="35"/>
      <c r="AQ840" s="35"/>
      <c r="AR840" s="35"/>
      <c r="AS840" s="35"/>
      <c r="AT840" s="35"/>
      <c r="AU840" s="35"/>
      <c r="AV840" s="35"/>
      <c r="AW840" s="35"/>
    </row>
    <row r="841" spans="1:49" s="27" customFormat="1" ht="15.75" x14ac:dyDescent="0.2">
      <c r="A841" s="35"/>
      <c r="B841" s="35"/>
      <c r="C841" s="35"/>
      <c r="D841" s="35"/>
      <c r="E841" s="35"/>
      <c r="F841" s="35"/>
      <c r="G841" s="35"/>
      <c r="H841" s="35"/>
      <c r="I841" s="35"/>
      <c r="J841" s="35"/>
      <c r="K841" s="35"/>
      <c r="L841" s="35"/>
      <c r="M841" s="35"/>
      <c r="N841" s="35"/>
      <c r="O841" s="35"/>
      <c r="P841" s="35"/>
      <c r="Q841" s="35"/>
      <c r="R841" s="35"/>
      <c r="S841" s="35"/>
      <c r="T841" s="35"/>
      <c r="U841" s="35"/>
      <c r="V841" s="35"/>
      <c r="W841" s="35"/>
      <c r="X841" s="35"/>
      <c r="Y841" s="35"/>
      <c r="Z841" s="35"/>
      <c r="AA841" s="35"/>
      <c r="AB841" s="35"/>
      <c r="AC841" s="35"/>
      <c r="AD841" s="35"/>
      <c r="AE841" s="35"/>
      <c r="AF841" s="35"/>
      <c r="AG841" s="35"/>
      <c r="AH841" s="35"/>
      <c r="AI841" s="35"/>
      <c r="AJ841" s="35"/>
      <c r="AK841" s="35"/>
      <c r="AL841" s="35"/>
      <c r="AM841" s="35"/>
      <c r="AN841" s="35"/>
      <c r="AO841" s="35"/>
      <c r="AP841" s="35"/>
      <c r="AQ841" s="35"/>
      <c r="AR841" s="35"/>
      <c r="AS841" s="35"/>
      <c r="AT841" s="35"/>
      <c r="AU841" s="35"/>
      <c r="AV841" s="35"/>
      <c r="AW841" s="35"/>
    </row>
    <row r="842" spans="1:49" s="27" customFormat="1" ht="15.75" x14ac:dyDescent="0.2">
      <c r="A842" s="35"/>
      <c r="B842" s="35"/>
      <c r="C842" s="35"/>
      <c r="D842" s="35"/>
      <c r="E842" s="35"/>
      <c r="F842" s="35"/>
      <c r="G842" s="35"/>
      <c r="H842" s="35"/>
      <c r="I842" s="35"/>
      <c r="J842" s="35"/>
      <c r="K842" s="35"/>
      <c r="L842" s="35"/>
      <c r="M842" s="35"/>
      <c r="N842" s="35"/>
      <c r="O842" s="35"/>
      <c r="P842" s="35"/>
      <c r="Q842" s="35"/>
      <c r="R842" s="35"/>
      <c r="S842" s="35"/>
      <c r="T842" s="35"/>
      <c r="U842" s="35"/>
      <c r="V842" s="35"/>
      <c r="W842" s="35"/>
      <c r="X842" s="35"/>
      <c r="Y842" s="35"/>
      <c r="Z842" s="35"/>
      <c r="AA842" s="35"/>
      <c r="AB842" s="35"/>
      <c r="AC842" s="35"/>
      <c r="AD842" s="35"/>
      <c r="AE842" s="35"/>
      <c r="AF842" s="35"/>
      <c r="AG842" s="35"/>
      <c r="AH842" s="35"/>
      <c r="AI842" s="35"/>
      <c r="AJ842" s="35"/>
      <c r="AK842" s="35"/>
      <c r="AL842" s="35"/>
      <c r="AM842" s="35"/>
      <c r="AN842" s="35"/>
      <c r="AO842" s="35"/>
      <c r="AP842" s="35"/>
      <c r="AQ842" s="35"/>
      <c r="AR842" s="35"/>
      <c r="AS842" s="35"/>
      <c r="AT842" s="35"/>
      <c r="AU842" s="35"/>
      <c r="AV842" s="35"/>
      <c r="AW842" s="35"/>
    </row>
    <row r="843" spans="1:49" s="27" customFormat="1" ht="15.75" x14ac:dyDescent="0.2">
      <c r="A843" s="35"/>
      <c r="B843" s="35"/>
      <c r="C843" s="35"/>
      <c r="D843" s="35"/>
      <c r="E843" s="35"/>
      <c r="F843" s="35"/>
      <c r="G843" s="35"/>
      <c r="H843" s="35"/>
      <c r="I843" s="35"/>
      <c r="J843" s="35"/>
      <c r="K843" s="35"/>
      <c r="L843" s="35"/>
      <c r="M843" s="35"/>
      <c r="N843" s="35"/>
      <c r="O843" s="35"/>
      <c r="P843" s="35"/>
      <c r="Q843" s="35"/>
      <c r="R843" s="35"/>
      <c r="S843" s="35"/>
      <c r="T843" s="35"/>
      <c r="U843" s="35"/>
      <c r="V843" s="35"/>
      <c r="W843" s="35"/>
      <c r="X843" s="35"/>
      <c r="Y843" s="35"/>
      <c r="Z843" s="35"/>
      <c r="AA843" s="35"/>
      <c r="AB843" s="35"/>
      <c r="AC843" s="35"/>
      <c r="AD843" s="35"/>
      <c r="AE843" s="35"/>
      <c r="AF843" s="35"/>
      <c r="AG843" s="35"/>
      <c r="AH843" s="35"/>
      <c r="AI843" s="35"/>
      <c r="AJ843" s="35"/>
      <c r="AK843" s="35"/>
      <c r="AL843" s="35"/>
      <c r="AM843" s="35"/>
      <c r="AN843" s="35"/>
      <c r="AO843" s="35"/>
      <c r="AP843" s="35"/>
      <c r="AQ843" s="35"/>
      <c r="AR843" s="35"/>
      <c r="AS843" s="35"/>
      <c r="AT843" s="35"/>
      <c r="AU843" s="35"/>
      <c r="AV843" s="35"/>
      <c r="AW843" s="35"/>
    </row>
    <row r="844" spans="1:49" s="27" customFormat="1" ht="15.75" x14ac:dyDescent="0.2">
      <c r="A844" s="35"/>
      <c r="B844" s="35"/>
      <c r="C844" s="35"/>
      <c r="D844" s="35"/>
      <c r="E844" s="35"/>
      <c r="F844" s="35"/>
      <c r="G844" s="35"/>
      <c r="H844" s="35"/>
      <c r="I844" s="35"/>
      <c r="J844" s="35"/>
      <c r="K844" s="35"/>
      <c r="L844" s="35"/>
      <c r="M844" s="35"/>
      <c r="N844" s="35"/>
      <c r="O844" s="35"/>
      <c r="P844" s="35"/>
      <c r="Q844" s="35"/>
      <c r="R844" s="35"/>
      <c r="S844" s="35"/>
      <c r="T844" s="35"/>
      <c r="U844" s="35"/>
      <c r="V844" s="35"/>
      <c r="W844" s="35"/>
      <c r="X844" s="35"/>
      <c r="Y844" s="35"/>
      <c r="Z844" s="35"/>
      <c r="AA844" s="35"/>
      <c r="AB844" s="35"/>
      <c r="AC844" s="35"/>
      <c r="AD844" s="35"/>
      <c r="AE844" s="35"/>
      <c r="AF844" s="35"/>
      <c r="AG844" s="35"/>
      <c r="AH844" s="35"/>
      <c r="AI844" s="35"/>
      <c r="AJ844" s="35"/>
      <c r="AK844" s="35"/>
      <c r="AL844" s="35"/>
      <c r="AM844" s="35"/>
      <c r="AN844" s="35"/>
      <c r="AO844" s="35"/>
      <c r="AP844" s="35"/>
      <c r="AQ844" s="35"/>
      <c r="AR844" s="35"/>
      <c r="AS844" s="35"/>
      <c r="AT844" s="35"/>
      <c r="AU844" s="35"/>
      <c r="AV844" s="35"/>
      <c r="AW844" s="35"/>
    </row>
    <row r="845" spans="1:49" s="17" customFormat="1" ht="15" x14ac:dyDescent="0.25">
      <c r="A845" s="35"/>
      <c r="B845" s="35"/>
      <c r="C845" s="35"/>
      <c r="D845" s="35"/>
      <c r="E845" s="35"/>
      <c r="F845" s="35"/>
      <c r="G845" s="35"/>
      <c r="H845" s="35"/>
      <c r="I845" s="35"/>
      <c r="J845" s="35"/>
      <c r="K845" s="35"/>
      <c r="L845" s="35"/>
      <c r="M845" s="35"/>
      <c r="N845" s="35"/>
      <c r="O845" s="35"/>
      <c r="P845" s="35"/>
      <c r="Q845" s="35"/>
      <c r="R845" s="35"/>
      <c r="S845" s="35"/>
      <c r="T845" s="35"/>
      <c r="U845" s="35"/>
      <c r="V845" s="35"/>
      <c r="W845" s="35"/>
      <c r="X845" s="35"/>
      <c r="Y845" s="35"/>
      <c r="Z845" s="35"/>
      <c r="AA845" s="35"/>
      <c r="AB845" s="35"/>
      <c r="AC845" s="35"/>
      <c r="AD845" s="35"/>
      <c r="AE845" s="35"/>
      <c r="AF845" s="35"/>
      <c r="AG845" s="35"/>
      <c r="AH845" s="35"/>
      <c r="AI845" s="35"/>
      <c r="AJ845" s="35"/>
      <c r="AK845" s="35"/>
      <c r="AL845" s="35"/>
      <c r="AM845" s="35"/>
      <c r="AN845" s="35"/>
      <c r="AO845" s="35"/>
      <c r="AP845" s="35"/>
      <c r="AQ845" s="35"/>
      <c r="AR845" s="35"/>
      <c r="AS845" s="35"/>
      <c r="AT845" s="35"/>
      <c r="AU845" s="35"/>
      <c r="AV845" s="35"/>
      <c r="AW845" s="35"/>
    </row>
    <row r="846" spans="1:49" s="48" customFormat="1" ht="15.75" x14ac:dyDescent="0.2">
      <c r="A846" s="35"/>
      <c r="B846" s="35"/>
      <c r="C846" s="35"/>
      <c r="D846" s="35"/>
      <c r="E846" s="35"/>
      <c r="F846" s="35"/>
      <c r="G846" s="35"/>
      <c r="H846" s="35"/>
      <c r="I846" s="35"/>
      <c r="J846" s="35"/>
      <c r="K846" s="35"/>
      <c r="L846" s="35"/>
      <c r="M846" s="35"/>
      <c r="N846" s="35"/>
      <c r="O846" s="35"/>
      <c r="P846" s="35"/>
      <c r="Q846" s="35"/>
      <c r="R846" s="35"/>
      <c r="S846" s="35"/>
      <c r="T846" s="35"/>
      <c r="U846" s="35"/>
      <c r="V846" s="35"/>
      <c r="W846" s="35"/>
      <c r="X846" s="35"/>
      <c r="Y846" s="35"/>
      <c r="Z846" s="35"/>
      <c r="AA846" s="35"/>
      <c r="AB846" s="35"/>
      <c r="AC846" s="35"/>
      <c r="AD846" s="35"/>
      <c r="AE846" s="35"/>
      <c r="AF846" s="35"/>
      <c r="AG846" s="35"/>
      <c r="AH846" s="35"/>
      <c r="AI846" s="35"/>
      <c r="AJ846" s="35"/>
      <c r="AK846" s="35"/>
      <c r="AL846" s="35"/>
      <c r="AM846" s="35"/>
      <c r="AN846" s="35"/>
      <c r="AO846" s="35"/>
      <c r="AP846" s="35"/>
      <c r="AQ846" s="35"/>
      <c r="AR846" s="35"/>
      <c r="AS846" s="35"/>
      <c r="AT846" s="35"/>
      <c r="AU846" s="35"/>
      <c r="AV846" s="35"/>
      <c r="AW846" s="35"/>
    </row>
    <row r="847" spans="1:49" s="31" customFormat="1" ht="15" x14ac:dyDescent="0.25">
      <c r="A847" s="35"/>
      <c r="B847" s="35"/>
      <c r="C847" s="35"/>
      <c r="D847" s="35"/>
      <c r="E847" s="35"/>
      <c r="F847" s="35"/>
      <c r="G847" s="35"/>
      <c r="H847" s="35"/>
      <c r="I847" s="35"/>
      <c r="J847" s="35"/>
      <c r="K847" s="35"/>
      <c r="L847" s="35"/>
      <c r="M847" s="35"/>
      <c r="N847" s="35"/>
      <c r="O847" s="35"/>
      <c r="P847" s="35"/>
      <c r="Q847" s="35"/>
      <c r="R847" s="35"/>
      <c r="S847" s="35"/>
      <c r="T847" s="35"/>
      <c r="U847" s="35"/>
      <c r="V847" s="35"/>
      <c r="W847" s="35"/>
      <c r="X847" s="35"/>
      <c r="Y847" s="35"/>
      <c r="Z847" s="35"/>
      <c r="AA847" s="35"/>
      <c r="AB847" s="35"/>
      <c r="AC847" s="35"/>
      <c r="AD847" s="35"/>
      <c r="AE847" s="35"/>
      <c r="AF847" s="35"/>
      <c r="AG847" s="35"/>
      <c r="AH847" s="35"/>
      <c r="AI847" s="35"/>
      <c r="AJ847" s="35"/>
      <c r="AK847" s="35"/>
      <c r="AL847" s="35"/>
      <c r="AM847" s="35"/>
      <c r="AN847" s="35"/>
      <c r="AO847" s="35"/>
      <c r="AP847" s="35"/>
      <c r="AQ847" s="35"/>
      <c r="AR847" s="35"/>
      <c r="AS847" s="35"/>
      <c r="AT847" s="35"/>
      <c r="AU847" s="35"/>
      <c r="AV847" s="35"/>
      <c r="AW847" s="35"/>
    </row>
    <row r="848" spans="1:49" s="35" customFormat="1" x14ac:dyDescent="0.2"/>
    <row r="849" spans="1:49" s="31" customFormat="1" ht="15" x14ac:dyDescent="0.25">
      <c r="A849" s="35"/>
      <c r="B849" s="35"/>
      <c r="C849" s="35"/>
      <c r="D849" s="35"/>
      <c r="E849" s="35"/>
      <c r="F849" s="35"/>
      <c r="G849" s="35"/>
      <c r="H849" s="35"/>
      <c r="I849" s="35"/>
      <c r="J849" s="35"/>
      <c r="K849" s="35"/>
      <c r="L849" s="35"/>
      <c r="M849" s="35"/>
      <c r="N849" s="35"/>
      <c r="O849" s="35"/>
      <c r="P849" s="35"/>
      <c r="Q849" s="35"/>
      <c r="R849" s="35"/>
      <c r="S849" s="35"/>
      <c r="T849" s="35"/>
      <c r="U849" s="35"/>
      <c r="V849" s="35"/>
      <c r="W849" s="35"/>
      <c r="X849" s="35"/>
      <c r="Y849" s="35"/>
      <c r="Z849" s="35"/>
      <c r="AA849" s="35"/>
      <c r="AB849" s="35"/>
      <c r="AC849" s="35"/>
      <c r="AD849" s="35"/>
      <c r="AE849" s="35"/>
      <c r="AF849" s="35"/>
      <c r="AG849" s="35"/>
      <c r="AH849" s="35"/>
      <c r="AI849" s="35"/>
      <c r="AJ849" s="35"/>
      <c r="AK849" s="35"/>
      <c r="AL849" s="35"/>
      <c r="AM849" s="35"/>
      <c r="AN849" s="35"/>
      <c r="AO849" s="35"/>
      <c r="AP849" s="35"/>
      <c r="AQ849" s="35"/>
      <c r="AR849" s="35"/>
      <c r="AS849" s="35"/>
      <c r="AT849" s="35"/>
      <c r="AU849" s="35"/>
      <c r="AV849" s="35"/>
      <c r="AW849" s="35"/>
    </row>
    <row r="850" spans="1:49" s="34" customFormat="1" ht="15" x14ac:dyDescent="0.25">
      <c r="A850" s="35"/>
      <c r="B850" s="35"/>
      <c r="C850" s="35"/>
      <c r="D850" s="35"/>
      <c r="E850" s="35"/>
      <c r="F850" s="35"/>
      <c r="G850" s="35"/>
      <c r="H850" s="35"/>
      <c r="I850" s="35"/>
      <c r="J850" s="35"/>
      <c r="K850" s="35"/>
      <c r="L850" s="35"/>
      <c r="M850" s="35"/>
      <c r="N850" s="35"/>
      <c r="O850" s="35"/>
      <c r="P850" s="35"/>
      <c r="Q850" s="35"/>
      <c r="R850" s="35"/>
      <c r="S850" s="35"/>
      <c r="T850" s="35"/>
      <c r="U850" s="35"/>
      <c r="V850" s="35"/>
      <c r="W850" s="35"/>
      <c r="X850" s="35"/>
      <c r="Y850" s="35"/>
      <c r="Z850" s="35"/>
      <c r="AA850" s="35"/>
      <c r="AB850" s="35"/>
      <c r="AC850" s="35"/>
      <c r="AD850" s="35"/>
      <c r="AE850" s="35"/>
      <c r="AF850" s="35"/>
      <c r="AG850" s="35"/>
      <c r="AH850" s="35"/>
      <c r="AI850" s="35"/>
      <c r="AJ850" s="35"/>
      <c r="AK850" s="35"/>
      <c r="AL850" s="35"/>
      <c r="AM850" s="35"/>
      <c r="AN850" s="35"/>
      <c r="AO850" s="35"/>
      <c r="AP850" s="35"/>
      <c r="AQ850" s="35"/>
      <c r="AR850" s="35"/>
      <c r="AS850" s="35"/>
      <c r="AT850" s="35"/>
      <c r="AU850" s="35"/>
      <c r="AV850" s="35"/>
      <c r="AW850" s="35"/>
    </row>
    <row r="851" spans="1:49" s="48" customFormat="1" ht="15.75" x14ac:dyDescent="0.2">
      <c r="A851" s="35"/>
      <c r="B851" s="35"/>
      <c r="C851" s="35"/>
      <c r="D851" s="35"/>
      <c r="E851" s="35"/>
      <c r="F851" s="35"/>
      <c r="G851" s="35"/>
      <c r="H851" s="35"/>
      <c r="I851" s="35"/>
      <c r="J851" s="35"/>
      <c r="K851" s="35"/>
      <c r="L851" s="35"/>
      <c r="M851" s="35"/>
      <c r="N851" s="35"/>
      <c r="O851" s="35"/>
      <c r="P851" s="35"/>
      <c r="Q851" s="35"/>
      <c r="R851" s="35"/>
      <c r="S851" s="35"/>
      <c r="T851" s="35"/>
      <c r="U851" s="35"/>
      <c r="V851" s="35"/>
      <c r="W851" s="35"/>
      <c r="X851" s="35"/>
      <c r="Y851" s="35"/>
      <c r="Z851" s="35"/>
      <c r="AA851" s="35"/>
      <c r="AB851" s="35"/>
      <c r="AC851" s="35"/>
      <c r="AD851" s="35"/>
      <c r="AE851" s="35"/>
      <c r="AF851" s="35"/>
      <c r="AG851" s="35"/>
      <c r="AH851" s="35"/>
      <c r="AI851" s="35"/>
      <c r="AJ851" s="35"/>
      <c r="AK851" s="35"/>
      <c r="AL851" s="35"/>
      <c r="AM851" s="35"/>
      <c r="AN851" s="35"/>
      <c r="AO851" s="35"/>
      <c r="AP851" s="35"/>
      <c r="AQ851" s="35"/>
      <c r="AR851" s="35"/>
      <c r="AS851" s="35"/>
      <c r="AT851" s="35"/>
      <c r="AU851" s="35"/>
      <c r="AV851" s="35"/>
      <c r="AW851" s="35"/>
    </row>
    <row r="852" spans="1:49" s="44" customFormat="1" x14ac:dyDescent="0.2">
      <c r="A852" s="35"/>
      <c r="B852" s="35"/>
      <c r="C852" s="35"/>
      <c r="D852" s="35"/>
      <c r="E852" s="35"/>
      <c r="F852" s="35"/>
      <c r="G852" s="35"/>
      <c r="H852" s="35"/>
      <c r="I852" s="35"/>
      <c r="J852" s="35"/>
      <c r="K852" s="35"/>
      <c r="L852" s="35"/>
      <c r="M852" s="35"/>
      <c r="N852" s="35"/>
      <c r="O852" s="35"/>
      <c r="P852" s="35"/>
      <c r="Q852" s="35"/>
      <c r="R852" s="35"/>
      <c r="S852" s="35"/>
      <c r="T852" s="35"/>
      <c r="U852" s="35"/>
      <c r="V852" s="35"/>
      <c r="W852" s="35"/>
      <c r="X852" s="35"/>
      <c r="Y852" s="35"/>
      <c r="Z852" s="35"/>
      <c r="AA852" s="35"/>
      <c r="AB852" s="35"/>
      <c r="AC852" s="35"/>
      <c r="AD852" s="35"/>
      <c r="AE852" s="35"/>
      <c r="AF852" s="35"/>
      <c r="AG852" s="35"/>
      <c r="AH852" s="35"/>
      <c r="AI852" s="35"/>
      <c r="AJ852" s="35"/>
      <c r="AK852" s="35"/>
      <c r="AL852" s="35"/>
      <c r="AM852" s="35"/>
      <c r="AN852" s="35"/>
      <c r="AO852" s="35"/>
      <c r="AP852" s="35"/>
      <c r="AQ852" s="35"/>
      <c r="AR852" s="35"/>
      <c r="AS852" s="35"/>
      <c r="AT852" s="35"/>
      <c r="AU852" s="35"/>
      <c r="AV852" s="35"/>
      <c r="AW852" s="35"/>
    </row>
    <row r="853" spans="1:49" s="31" customFormat="1" ht="15" x14ac:dyDescent="0.25">
      <c r="A853" s="35"/>
      <c r="B853" s="35"/>
      <c r="C853" s="35"/>
      <c r="D853" s="35"/>
      <c r="E853" s="35"/>
      <c r="F853" s="35"/>
      <c r="G853" s="35"/>
      <c r="H853" s="35"/>
      <c r="I853" s="35"/>
      <c r="J853" s="35"/>
      <c r="K853" s="35"/>
      <c r="L853" s="35"/>
      <c r="M853" s="35"/>
      <c r="N853" s="35"/>
      <c r="O853" s="35"/>
      <c r="P853" s="35"/>
      <c r="Q853" s="35"/>
      <c r="R853" s="35"/>
      <c r="S853" s="35"/>
      <c r="T853" s="35"/>
      <c r="U853" s="35"/>
      <c r="V853" s="35"/>
      <c r="W853" s="35"/>
      <c r="X853" s="35"/>
      <c r="Y853" s="35"/>
      <c r="Z853" s="35"/>
      <c r="AA853" s="35"/>
      <c r="AB853" s="35"/>
      <c r="AC853" s="35"/>
      <c r="AD853" s="35"/>
      <c r="AE853" s="35"/>
      <c r="AF853" s="35"/>
      <c r="AG853" s="35"/>
      <c r="AH853" s="35"/>
      <c r="AI853" s="35"/>
      <c r="AJ853" s="35"/>
      <c r="AK853" s="35"/>
      <c r="AL853" s="35"/>
      <c r="AM853" s="35"/>
      <c r="AN853" s="35"/>
      <c r="AO853" s="35"/>
      <c r="AP853" s="35"/>
      <c r="AQ853" s="35"/>
      <c r="AR853" s="35"/>
      <c r="AS853" s="35"/>
      <c r="AT853" s="35"/>
      <c r="AU853" s="35"/>
      <c r="AV853" s="35"/>
      <c r="AW853" s="35"/>
    </row>
    <row r="854" spans="1:49" s="26" customFormat="1" ht="15" x14ac:dyDescent="0.25">
      <c r="A854" s="35"/>
      <c r="B854" s="35"/>
      <c r="C854" s="35"/>
      <c r="D854" s="35"/>
      <c r="E854" s="35"/>
      <c r="F854" s="35"/>
      <c r="G854" s="35"/>
      <c r="H854" s="35"/>
      <c r="I854" s="35"/>
      <c r="J854" s="35"/>
      <c r="K854" s="35"/>
      <c r="L854" s="35"/>
      <c r="M854" s="35"/>
      <c r="N854" s="35"/>
      <c r="O854" s="35"/>
      <c r="P854" s="35"/>
      <c r="Q854" s="35"/>
      <c r="R854" s="35"/>
      <c r="S854" s="35"/>
      <c r="T854" s="35"/>
      <c r="U854" s="35"/>
      <c r="V854" s="35"/>
      <c r="W854" s="35"/>
      <c r="X854" s="35"/>
      <c r="Y854" s="35"/>
      <c r="Z854" s="35"/>
      <c r="AA854" s="35"/>
      <c r="AB854" s="35"/>
      <c r="AC854" s="35"/>
      <c r="AD854" s="35"/>
      <c r="AE854" s="35"/>
      <c r="AF854" s="35"/>
      <c r="AG854" s="35"/>
      <c r="AH854" s="35"/>
      <c r="AI854" s="35"/>
      <c r="AJ854" s="35"/>
      <c r="AK854" s="35"/>
      <c r="AL854" s="35"/>
      <c r="AM854" s="35"/>
      <c r="AN854" s="35"/>
      <c r="AO854" s="35"/>
      <c r="AP854" s="35"/>
      <c r="AQ854" s="35"/>
      <c r="AR854" s="35"/>
      <c r="AS854" s="35"/>
      <c r="AT854" s="35"/>
      <c r="AU854" s="35"/>
      <c r="AV854" s="35"/>
      <c r="AW854" s="35"/>
    </row>
    <row r="855" spans="1:49" s="26" customFormat="1" ht="15" x14ac:dyDescent="0.25">
      <c r="A855" s="35"/>
      <c r="B855" s="35"/>
      <c r="C855" s="35"/>
      <c r="D855" s="35"/>
      <c r="E855" s="35"/>
      <c r="F855" s="35"/>
      <c r="G855" s="35"/>
      <c r="H855" s="35"/>
      <c r="I855" s="35"/>
      <c r="J855" s="35"/>
      <c r="K855" s="35"/>
      <c r="L855" s="35"/>
      <c r="M855" s="35"/>
      <c r="N855" s="35"/>
      <c r="O855" s="35"/>
      <c r="P855" s="35"/>
      <c r="Q855" s="35"/>
      <c r="R855" s="35"/>
      <c r="S855" s="35"/>
      <c r="T855" s="35"/>
      <c r="U855" s="35"/>
      <c r="V855" s="35"/>
      <c r="W855" s="35"/>
      <c r="X855" s="35"/>
      <c r="Y855" s="35"/>
      <c r="Z855" s="35"/>
      <c r="AA855" s="35"/>
      <c r="AB855" s="35"/>
      <c r="AC855" s="35"/>
      <c r="AD855" s="35"/>
      <c r="AE855" s="35"/>
      <c r="AF855" s="35"/>
      <c r="AG855" s="35"/>
      <c r="AH855" s="35"/>
      <c r="AI855" s="35"/>
      <c r="AJ855" s="35"/>
      <c r="AK855" s="35"/>
      <c r="AL855" s="35"/>
      <c r="AM855" s="35"/>
      <c r="AN855" s="35"/>
      <c r="AO855" s="35"/>
      <c r="AP855" s="35"/>
      <c r="AQ855" s="35"/>
      <c r="AR855" s="35"/>
      <c r="AS855" s="35"/>
      <c r="AT855" s="35"/>
      <c r="AU855" s="35"/>
      <c r="AV855" s="35"/>
      <c r="AW855" s="35"/>
    </row>
    <row r="856" spans="1:49" s="48" customFormat="1" ht="15.75" x14ac:dyDescent="0.2">
      <c r="A856" s="35"/>
      <c r="B856" s="35"/>
      <c r="C856" s="35"/>
      <c r="D856" s="35"/>
      <c r="E856" s="35"/>
      <c r="F856" s="35"/>
      <c r="G856" s="35"/>
      <c r="H856" s="35"/>
      <c r="I856" s="35"/>
      <c r="J856" s="35"/>
      <c r="K856" s="35"/>
      <c r="L856" s="35"/>
      <c r="M856" s="35"/>
      <c r="N856" s="35"/>
      <c r="O856" s="35"/>
      <c r="P856" s="35"/>
      <c r="Q856" s="35"/>
      <c r="R856" s="35"/>
      <c r="S856" s="35"/>
      <c r="T856" s="35"/>
      <c r="U856" s="35"/>
      <c r="V856" s="35"/>
      <c r="W856" s="35"/>
      <c r="X856" s="35"/>
      <c r="Y856" s="35"/>
      <c r="Z856" s="35"/>
      <c r="AA856" s="35"/>
      <c r="AB856" s="35"/>
      <c r="AC856" s="35"/>
      <c r="AD856" s="35"/>
      <c r="AE856" s="35"/>
      <c r="AF856" s="35"/>
      <c r="AG856" s="35"/>
      <c r="AH856" s="35"/>
      <c r="AI856" s="35"/>
      <c r="AJ856" s="35"/>
      <c r="AK856" s="35"/>
      <c r="AL856" s="35"/>
      <c r="AM856" s="35"/>
      <c r="AN856" s="35"/>
      <c r="AO856" s="35"/>
      <c r="AP856" s="35"/>
      <c r="AQ856" s="35"/>
      <c r="AR856" s="35"/>
      <c r="AS856" s="35"/>
      <c r="AT856" s="35"/>
      <c r="AU856" s="35"/>
      <c r="AV856" s="35"/>
      <c r="AW856" s="35"/>
    </row>
    <row r="857" spans="1:49" s="26" customFormat="1" ht="15" x14ac:dyDescent="0.25">
      <c r="A857" s="35"/>
      <c r="B857" s="35"/>
      <c r="C857" s="35"/>
      <c r="D857" s="35"/>
      <c r="E857" s="35"/>
      <c r="F857" s="35"/>
      <c r="G857" s="35"/>
      <c r="H857" s="35"/>
      <c r="I857" s="35"/>
      <c r="J857" s="35"/>
      <c r="K857" s="35"/>
      <c r="L857" s="35"/>
      <c r="M857" s="35"/>
      <c r="N857" s="35"/>
      <c r="O857" s="35"/>
      <c r="P857" s="35"/>
      <c r="Q857" s="35"/>
      <c r="R857" s="35"/>
      <c r="S857" s="35"/>
      <c r="T857" s="35"/>
      <c r="U857" s="35"/>
      <c r="V857" s="35"/>
      <c r="W857" s="35"/>
      <c r="X857" s="35"/>
      <c r="Y857" s="35"/>
      <c r="Z857" s="35"/>
      <c r="AA857" s="35"/>
      <c r="AB857" s="35"/>
      <c r="AC857" s="35"/>
      <c r="AD857" s="35"/>
      <c r="AE857" s="35"/>
      <c r="AF857" s="35"/>
      <c r="AG857" s="35"/>
      <c r="AH857" s="35"/>
      <c r="AI857" s="35"/>
      <c r="AJ857" s="35"/>
      <c r="AK857" s="35"/>
      <c r="AL857" s="35"/>
      <c r="AM857" s="35"/>
      <c r="AN857" s="35"/>
      <c r="AO857" s="35"/>
      <c r="AP857" s="35"/>
      <c r="AQ857" s="35"/>
      <c r="AR857" s="35"/>
      <c r="AS857" s="35"/>
      <c r="AT857" s="35"/>
      <c r="AU857" s="35"/>
      <c r="AV857" s="35"/>
      <c r="AW857" s="35"/>
    </row>
    <row r="858" spans="1:49" s="48" customFormat="1" ht="15.75" x14ac:dyDescent="0.2">
      <c r="A858" s="35"/>
      <c r="B858" s="35"/>
      <c r="C858" s="35"/>
      <c r="D858" s="35"/>
      <c r="E858" s="35"/>
      <c r="F858" s="35"/>
      <c r="G858" s="35"/>
      <c r="H858" s="35"/>
      <c r="I858" s="35"/>
      <c r="J858" s="35"/>
      <c r="K858" s="35"/>
      <c r="L858" s="35"/>
      <c r="M858" s="35"/>
      <c r="N858" s="35"/>
      <c r="O858" s="35"/>
      <c r="P858" s="35"/>
      <c r="Q858" s="35"/>
      <c r="R858" s="35"/>
      <c r="S858" s="35"/>
      <c r="T858" s="35"/>
      <c r="U858" s="35"/>
      <c r="V858" s="35"/>
      <c r="W858" s="35"/>
      <c r="X858" s="35"/>
      <c r="Y858" s="35"/>
      <c r="Z858" s="35"/>
      <c r="AA858" s="35"/>
      <c r="AB858" s="35"/>
      <c r="AC858" s="35"/>
      <c r="AD858" s="35"/>
      <c r="AE858" s="35"/>
      <c r="AF858" s="35"/>
      <c r="AG858" s="35"/>
      <c r="AH858" s="35"/>
      <c r="AI858" s="35"/>
      <c r="AJ858" s="35"/>
      <c r="AK858" s="35"/>
      <c r="AL858" s="35"/>
      <c r="AM858" s="35"/>
      <c r="AN858" s="35"/>
      <c r="AO858" s="35"/>
      <c r="AP858" s="35"/>
      <c r="AQ858" s="35"/>
      <c r="AR858" s="35"/>
      <c r="AS858" s="35"/>
      <c r="AT858" s="35"/>
      <c r="AU858" s="35"/>
      <c r="AV858" s="35"/>
      <c r="AW858" s="35"/>
    </row>
    <row r="859" spans="1:49" s="48" customFormat="1" ht="15.75" x14ac:dyDescent="0.2">
      <c r="A859" s="35"/>
      <c r="B859" s="35"/>
      <c r="C859" s="35"/>
      <c r="D859" s="35"/>
      <c r="E859" s="35"/>
      <c r="F859" s="35"/>
      <c r="G859" s="35"/>
      <c r="H859" s="35"/>
      <c r="I859" s="35"/>
      <c r="J859" s="35"/>
      <c r="K859" s="35"/>
      <c r="L859" s="35"/>
      <c r="M859" s="35"/>
      <c r="N859" s="35"/>
      <c r="O859" s="35"/>
      <c r="P859" s="35"/>
      <c r="Q859" s="35"/>
      <c r="R859" s="35"/>
      <c r="S859" s="35"/>
      <c r="T859" s="35"/>
      <c r="U859" s="35"/>
      <c r="V859" s="35"/>
      <c r="W859" s="35"/>
      <c r="X859" s="35"/>
      <c r="Y859" s="35"/>
      <c r="Z859" s="35"/>
      <c r="AA859" s="35"/>
      <c r="AB859" s="35"/>
      <c r="AC859" s="35"/>
      <c r="AD859" s="35"/>
      <c r="AE859" s="35"/>
      <c r="AF859" s="35"/>
      <c r="AG859" s="35"/>
      <c r="AH859" s="35"/>
      <c r="AI859" s="35"/>
      <c r="AJ859" s="35"/>
      <c r="AK859" s="35"/>
      <c r="AL859" s="35"/>
      <c r="AM859" s="35"/>
      <c r="AN859" s="35"/>
      <c r="AO859" s="35"/>
      <c r="AP859" s="35"/>
      <c r="AQ859" s="35"/>
      <c r="AR859" s="35"/>
      <c r="AS859" s="35"/>
      <c r="AT859" s="35"/>
      <c r="AU859" s="35"/>
      <c r="AV859" s="35"/>
      <c r="AW859" s="35"/>
    </row>
    <row r="860" spans="1:49" s="48" customFormat="1" ht="15.75" x14ac:dyDescent="0.2">
      <c r="A860" s="35"/>
      <c r="B860" s="35"/>
      <c r="C860" s="35"/>
      <c r="D860" s="35"/>
      <c r="E860" s="35"/>
      <c r="F860" s="35"/>
      <c r="G860" s="35"/>
      <c r="H860" s="35"/>
      <c r="I860" s="35"/>
      <c r="J860" s="35"/>
      <c r="K860" s="35"/>
      <c r="L860" s="35"/>
      <c r="M860" s="35"/>
      <c r="N860" s="35"/>
      <c r="O860" s="35"/>
      <c r="P860" s="35"/>
      <c r="Q860" s="35"/>
      <c r="R860" s="35"/>
      <c r="S860" s="35"/>
      <c r="T860" s="35"/>
      <c r="U860" s="35"/>
      <c r="V860" s="35"/>
      <c r="W860" s="35"/>
      <c r="X860" s="35"/>
      <c r="Y860" s="35"/>
      <c r="Z860" s="35"/>
      <c r="AA860" s="35"/>
      <c r="AB860" s="35"/>
      <c r="AC860" s="35"/>
      <c r="AD860" s="35"/>
      <c r="AE860" s="35"/>
      <c r="AF860" s="35"/>
      <c r="AG860" s="35"/>
      <c r="AH860" s="35"/>
      <c r="AI860" s="35"/>
      <c r="AJ860" s="35"/>
      <c r="AK860" s="35"/>
      <c r="AL860" s="35"/>
      <c r="AM860" s="35"/>
      <c r="AN860" s="35"/>
      <c r="AO860" s="35"/>
      <c r="AP860" s="35"/>
      <c r="AQ860" s="35"/>
      <c r="AR860" s="35"/>
      <c r="AS860" s="35"/>
      <c r="AT860" s="35"/>
      <c r="AU860" s="35"/>
      <c r="AV860" s="35"/>
      <c r="AW860" s="35"/>
    </row>
    <row r="861" spans="1:49" s="48" customFormat="1" ht="15.75" x14ac:dyDescent="0.2">
      <c r="A861" s="35"/>
      <c r="B861" s="35"/>
      <c r="C861" s="35"/>
      <c r="D861" s="35"/>
      <c r="E861" s="35"/>
      <c r="F861" s="35"/>
      <c r="G861" s="35"/>
      <c r="H861" s="35"/>
      <c r="I861" s="35"/>
      <c r="J861" s="35"/>
      <c r="K861" s="35"/>
      <c r="L861" s="35"/>
      <c r="M861" s="35"/>
      <c r="N861" s="35"/>
      <c r="O861" s="35"/>
      <c r="P861" s="35"/>
      <c r="Q861" s="35"/>
      <c r="R861" s="35"/>
      <c r="S861" s="35"/>
      <c r="T861" s="35"/>
      <c r="U861" s="35"/>
      <c r="V861" s="35"/>
      <c r="W861" s="35"/>
      <c r="X861" s="35"/>
      <c r="Y861" s="35"/>
      <c r="Z861" s="35"/>
      <c r="AA861" s="35"/>
      <c r="AB861" s="35"/>
      <c r="AC861" s="35"/>
      <c r="AD861" s="35"/>
      <c r="AE861" s="35"/>
      <c r="AF861" s="35"/>
      <c r="AG861" s="35"/>
      <c r="AH861" s="35"/>
      <c r="AI861" s="35"/>
      <c r="AJ861" s="35"/>
      <c r="AK861" s="35"/>
      <c r="AL861" s="35"/>
      <c r="AM861" s="35"/>
      <c r="AN861" s="35"/>
      <c r="AO861" s="35"/>
      <c r="AP861" s="35"/>
      <c r="AQ861" s="35"/>
      <c r="AR861" s="35"/>
      <c r="AS861" s="35"/>
      <c r="AT861" s="35"/>
      <c r="AU861" s="35"/>
      <c r="AV861" s="35"/>
      <c r="AW861" s="35"/>
    </row>
    <row r="862" spans="1:49" s="33" customFormat="1" ht="15" x14ac:dyDescent="0.25">
      <c r="A862" s="35"/>
      <c r="B862" s="35"/>
      <c r="C862" s="35"/>
      <c r="D862" s="35"/>
      <c r="E862" s="35"/>
      <c r="F862" s="35"/>
      <c r="G862" s="35"/>
      <c r="H862" s="35"/>
      <c r="I862" s="35"/>
      <c r="J862" s="35"/>
      <c r="K862" s="35"/>
      <c r="L862" s="35"/>
      <c r="M862" s="35"/>
      <c r="N862" s="35"/>
      <c r="O862" s="35"/>
      <c r="P862" s="35"/>
      <c r="Q862" s="35"/>
      <c r="R862" s="35"/>
      <c r="S862" s="35"/>
      <c r="T862" s="35"/>
      <c r="U862" s="35"/>
      <c r="V862" s="35"/>
      <c r="W862" s="35"/>
      <c r="X862" s="35"/>
      <c r="Y862" s="35"/>
      <c r="Z862" s="35"/>
      <c r="AA862" s="35"/>
      <c r="AB862" s="35"/>
      <c r="AC862" s="35"/>
      <c r="AD862" s="35"/>
      <c r="AE862" s="35"/>
      <c r="AF862" s="35"/>
      <c r="AG862" s="35"/>
      <c r="AH862" s="35"/>
      <c r="AI862" s="35"/>
      <c r="AJ862" s="35"/>
      <c r="AK862" s="35"/>
      <c r="AL862" s="35"/>
      <c r="AM862" s="35"/>
      <c r="AN862" s="35"/>
      <c r="AO862" s="35"/>
      <c r="AP862" s="35"/>
      <c r="AQ862" s="35"/>
      <c r="AR862" s="35"/>
      <c r="AS862" s="35"/>
      <c r="AT862" s="35"/>
      <c r="AU862" s="35"/>
      <c r="AV862" s="35"/>
      <c r="AW862" s="35"/>
    </row>
    <row r="863" spans="1:49" s="33" customFormat="1" ht="15" x14ac:dyDescent="0.25">
      <c r="A863" s="35"/>
      <c r="B863" s="35"/>
      <c r="C863" s="35"/>
      <c r="D863" s="35"/>
      <c r="E863" s="35"/>
      <c r="F863" s="35"/>
      <c r="G863" s="35"/>
      <c r="H863" s="35"/>
      <c r="I863" s="35"/>
      <c r="J863" s="35"/>
      <c r="K863" s="35"/>
      <c r="L863" s="35"/>
      <c r="M863" s="35"/>
      <c r="N863" s="35"/>
      <c r="O863" s="35"/>
      <c r="P863" s="35"/>
      <c r="Q863" s="35"/>
      <c r="R863" s="35"/>
      <c r="S863" s="35"/>
      <c r="T863" s="35"/>
      <c r="U863" s="35"/>
      <c r="V863" s="35"/>
      <c r="W863" s="35"/>
      <c r="X863" s="35"/>
      <c r="Y863" s="35"/>
      <c r="Z863" s="35"/>
      <c r="AA863" s="35"/>
      <c r="AB863" s="35"/>
      <c r="AC863" s="35"/>
      <c r="AD863" s="35"/>
      <c r="AE863" s="35"/>
      <c r="AF863" s="35"/>
      <c r="AG863" s="35"/>
      <c r="AH863" s="35"/>
      <c r="AI863" s="35"/>
      <c r="AJ863" s="35"/>
      <c r="AK863" s="35"/>
      <c r="AL863" s="35"/>
      <c r="AM863" s="35"/>
      <c r="AN863" s="35"/>
      <c r="AO863" s="35"/>
      <c r="AP863" s="35"/>
      <c r="AQ863" s="35"/>
      <c r="AR863" s="35"/>
      <c r="AS863" s="35"/>
      <c r="AT863" s="35"/>
      <c r="AU863" s="35"/>
      <c r="AV863" s="35"/>
      <c r="AW863" s="35"/>
    </row>
    <row r="864" spans="1:49" s="48" customFormat="1" ht="15.75" x14ac:dyDescent="0.2">
      <c r="A864" s="35"/>
      <c r="B864" s="35"/>
      <c r="C864" s="35"/>
      <c r="D864" s="35"/>
      <c r="E864" s="35"/>
      <c r="F864" s="35"/>
      <c r="G864" s="35"/>
      <c r="H864" s="35"/>
      <c r="I864" s="35"/>
      <c r="J864" s="35"/>
      <c r="K864" s="35"/>
      <c r="L864" s="35"/>
      <c r="M864" s="35"/>
      <c r="N864" s="35"/>
      <c r="O864" s="35"/>
      <c r="P864" s="35"/>
      <c r="Q864" s="35"/>
      <c r="R864" s="35"/>
      <c r="S864" s="35"/>
      <c r="T864" s="35"/>
      <c r="U864" s="35"/>
      <c r="V864" s="35"/>
      <c r="W864" s="35"/>
      <c r="X864" s="35"/>
      <c r="Y864" s="35"/>
      <c r="Z864" s="35"/>
      <c r="AA864" s="35"/>
      <c r="AB864" s="35"/>
      <c r="AC864" s="35"/>
      <c r="AD864" s="35"/>
      <c r="AE864" s="35"/>
      <c r="AF864" s="35"/>
      <c r="AG864" s="35"/>
      <c r="AH864" s="35"/>
      <c r="AI864" s="35"/>
      <c r="AJ864" s="35"/>
      <c r="AK864" s="35"/>
      <c r="AL864" s="35"/>
      <c r="AM864" s="35"/>
      <c r="AN864" s="35"/>
      <c r="AO864" s="35"/>
      <c r="AP864" s="35"/>
      <c r="AQ864" s="35"/>
      <c r="AR864" s="35"/>
      <c r="AS864" s="35"/>
      <c r="AT864" s="35"/>
      <c r="AU864" s="35"/>
      <c r="AV864" s="35"/>
      <c r="AW864" s="35"/>
    </row>
    <row r="865" spans="1:49" s="33" customFormat="1" ht="15" x14ac:dyDescent="0.25">
      <c r="A865" s="35"/>
      <c r="B865" s="35"/>
      <c r="C865" s="35"/>
      <c r="D865" s="35"/>
      <c r="E865" s="35"/>
      <c r="F865" s="35"/>
      <c r="G865" s="35"/>
      <c r="H865" s="35"/>
      <c r="I865" s="35"/>
      <c r="J865" s="35"/>
      <c r="K865" s="35"/>
      <c r="L865" s="35"/>
      <c r="M865" s="35"/>
      <c r="N865" s="35"/>
      <c r="O865" s="35"/>
      <c r="P865" s="35"/>
      <c r="Q865" s="35"/>
      <c r="R865" s="35"/>
      <c r="S865" s="35"/>
      <c r="T865" s="35"/>
      <c r="U865" s="35"/>
      <c r="V865" s="35"/>
      <c r="W865" s="35"/>
      <c r="X865" s="35"/>
      <c r="Y865" s="35"/>
      <c r="Z865" s="35"/>
      <c r="AA865" s="35"/>
      <c r="AB865" s="35"/>
      <c r="AC865" s="35"/>
      <c r="AD865" s="35"/>
      <c r="AE865" s="35"/>
      <c r="AF865" s="35"/>
      <c r="AG865" s="35"/>
      <c r="AH865" s="35"/>
      <c r="AI865" s="35"/>
      <c r="AJ865" s="35"/>
      <c r="AK865" s="35"/>
      <c r="AL865" s="35"/>
      <c r="AM865" s="35"/>
      <c r="AN865" s="35"/>
      <c r="AO865" s="35"/>
      <c r="AP865" s="35"/>
      <c r="AQ865" s="35"/>
      <c r="AR865" s="35"/>
      <c r="AS865" s="35"/>
      <c r="AT865" s="35"/>
      <c r="AU865" s="35"/>
      <c r="AV865" s="35"/>
      <c r="AW865" s="35"/>
    </row>
    <row r="866" spans="1:49" s="33" customFormat="1" ht="15" x14ac:dyDescent="0.25">
      <c r="A866" s="35"/>
      <c r="B866" s="35"/>
      <c r="C866" s="35"/>
      <c r="D866" s="35"/>
      <c r="E866" s="35"/>
      <c r="F866" s="35"/>
      <c r="G866" s="35"/>
      <c r="H866" s="35"/>
      <c r="I866" s="35"/>
      <c r="J866" s="35"/>
      <c r="K866" s="35"/>
      <c r="L866" s="35"/>
      <c r="M866" s="35"/>
      <c r="N866" s="35"/>
      <c r="O866" s="35"/>
      <c r="P866" s="35"/>
      <c r="Q866" s="35"/>
      <c r="R866" s="35"/>
      <c r="S866" s="35"/>
      <c r="T866" s="35"/>
      <c r="U866" s="35"/>
      <c r="V866" s="35"/>
      <c r="W866" s="35"/>
      <c r="X866" s="35"/>
      <c r="Y866" s="35"/>
      <c r="Z866" s="35"/>
      <c r="AA866" s="35"/>
      <c r="AB866" s="35"/>
      <c r="AC866" s="35"/>
      <c r="AD866" s="35"/>
      <c r="AE866" s="35"/>
      <c r="AF866" s="35"/>
      <c r="AG866" s="35"/>
      <c r="AH866" s="35"/>
      <c r="AI866" s="35"/>
      <c r="AJ866" s="35"/>
      <c r="AK866" s="35"/>
      <c r="AL866" s="35"/>
      <c r="AM866" s="35"/>
      <c r="AN866" s="35"/>
      <c r="AO866" s="35"/>
      <c r="AP866" s="35"/>
      <c r="AQ866" s="35"/>
      <c r="AR866" s="35"/>
      <c r="AS866" s="35"/>
      <c r="AT866" s="35"/>
      <c r="AU866" s="35"/>
      <c r="AV866" s="35"/>
      <c r="AW866" s="35"/>
    </row>
    <row r="867" spans="1:49" s="33" customFormat="1" ht="15" x14ac:dyDescent="0.25">
      <c r="A867" s="35"/>
      <c r="B867" s="35"/>
      <c r="C867" s="35"/>
      <c r="D867" s="35"/>
      <c r="E867" s="35"/>
      <c r="F867" s="35"/>
      <c r="G867" s="35"/>
      <c r="H867" s="35"/>
      <c r="I867" s="35"/>
      <c r="J867" s="35"/>
      <c r="K867" s="35"/>
      <c r="L867" s="35"/>
      <c r="M867" s="35"/>
      <c r="N867" s="35"/>
      <c r="O867" s="35"/>
      <c r="P867" s="35"/>
      <c r="Q867" s="35"/>
      <c r="R867" s="35"/>
      <c r="S867" s="35"/>
      <c r="T867" s="35"/>
      <c r="U867" s="35"/>
      <c r="V867" s="35"/>
      <c r="W867" s="35"/>
      <c r="X867" s="35"/>
      <c r="Y867" s="35"/>
      <c r="Z867" s="35"/>
      <c r="AA867" s="35"/>
      <c r="AB867" s="35"/>
      <c r="AC867" s="35"/>
      <c r="AD867" s="35"/>
      <c r="AE867" s="35"/>
      <c r="AF867" s="35"/>
      <c r="AG867" s="35"/>
      <c r="AH867" s="35"/>
      <c r="AI867" s="35"/>
      <c r="AJ867" s="35"/>
      <c r="AK867" s="35"/>
      <c r="AL867" s="35"/>
      <c r="AM867" s="35"/>
      <c r="AN867" s="35"/>
      <c r="AO867" s="35"/>
      <c r="AP867" s="35"/>
      <c r="AQ867" s="35"/>
      <c r="AR867" s="35"/>
      <c r="AS867" s="35"/>
      <c r="AT867" s="35"/>
      <c r="AU867" s="35"/>
      <c r="AV867" s="35"/>
      <c r="AW867" s="35"/>
    </row>
    <row r="868" spans="1:49" s="48" customFormat="1" ht="15.75" x14ac:dyDescent="0.2">
      <c r="A868" s="35"/>
      <c r="B868" s="35"/>
      <c r="C868" s="35"/>
      <c r="D868" s="35"/>
      <c r="E868" s="35"/>
      <c r="F868" s="35"/>
      <c r="G868" s="35"/>
      <c r="H868" s="35"/>
      <c r="I868" s="35"/>
      <c r="J868" s="35"/>
      <c r="K868" s="35"/>
      <c r="L868" s="35"/>
      <c r="M868" s="35"/>
      <c r="N868" s="35"/>
      <c r="O868" s="35"/>
      <c r="P868" s="35"/>
      <c r="Q868" s="35"/>
      <c r="R868" s="35"/>
      <c r="S868" s="35"/>
      <c r="T868" s="35"/>
      <c r="U868" s="35"/>
      <c r="V868" s="35"/>
      <c r="W868" s="35"/>
      <c r="X868" s="35"/>
      <c r="Y868" s="35"/>
      <c r="Z868" s="35"/>
      <c r="AA868" s="35"/>
      <c r="AB868" s="35"/>
      <c r="AC868" s="35"/>
      <c r="AD868" s="35"/>
      <c r="AE868" s="35"/>
      <c r="AF868" s="35"/>
      <c r="AG868" s="35"/>
      <c r="AH868" s="35"/>
      <c r="AI868" s="35"/>
      <c r="AJ868" s="35"/>
      <c r="AK868" s="35"/>
      <c r="AL868" s="35"/>
      <c r="AM868" s="35"/>
      <c r="AN868" s="35"/>
      <c r="AO868" s="35"/>
      <c r="AP868" s="35"/>
      <c r="AQ868" s="35"/>
      <c r="AR868" s="35"/>
      <c r="AS868" s="35"/>
      <c r="AT868" s="35"/>
      <c r="AU868" s="35"/>
      <c r="AV868" s="35"/>
      <c r="AW868" s="35"/>
    </row>
    <row r="869" spans="1:49" s="33" customFormat="1" ht="15" x14ac:dyDescent="0.25">
      <c r="A869" s="35"/>
      <c r="B869" s="35"/>
      <c r="C869" s="35"/>
      <c r="D869" s="35"/>
      <c r="E869" s="35"/>
      <c r="F869" s="35"/>
      <c r="G869" s="35"/>
      <c r="H869" s="35"/>
      <c r="I869" s="35"/>
      <c r="J869" s="35"/>
      <c r="K869" s="35"/>
      <c r="L869" s="35"/>
      <c r="M869" s="35"/>
      <c r="N869" s="35"/>
      <c r="O869" s="35"/>
      <c r="P869" s="35"/>
      <c r="Q869" s="35"/>
      <c r="R869" s="35"/>
      <c r="S869" s="35"/>
      <c r="T869" s="35"/>
      <c r="U869" s="35"/>
      <c r="V869" s="35"/>
      <c r="W869" s="35"/>
      <c r="X869" s="35"/>
      <c r="Y869" s="35"/>
      <c r="Z869" s="35"/>
      <c r="AA869" s="35"/>
      <c r="AB869" s="35"/>
      <c r="AC869" s="35"/>
      <c r="AD869" s="35"/>
      <c r="AE869" s="35"/>
      <c r="AF869" s="35"/>
      <c r="AG869" s="35"/>
      <c r="AH869" s="35"/>
      <c r="AI869" s="35"/>
      <c r="AJ869" s="35"/>
      <c r="AK869" s="35"/>
      <c r="AL869" s="35"/>
      <c r="AM869" s="35"/>
      <c r="AN869" s="35"/>
      <c r="AO869" s="35"/>
      <c r="AP869" s="35"/>
      <c r="AQ869" s="35"/>
      <c r="AR869" s="35"/>
      <c r="AS869" s="35"/>
      <c r="AT869" s="35"/>
      <c r="AU869" s="35"/>
      <c r="AV869" s="35"/>
      <c r="AW869" s="35"/>
    </row>
    <row r="870" spans="1:49" s="47" customFormat="1" ht="15.75" x14ac:dyDescent="0.2">
      <c r="A870" s="35"/>
      <c r="B870" s="35"/>
      <c r="C870" s="35"/>
      <c r="D870" s="35"/>
      <c r="E870" s="35"/>
      <c r="F870" s="35"/>
      <c r="G870" s="35"/>
      <c r="H870" s="35"/>
      <c r="I870" s="35"/>
      <c r="J870" s="35"/>
      <c r="K870" s="35"/>
      <c r="L870" s="35"/>
      <c r="M870" s="35"/>
      <c r="N870" s="35"/>
      <c r="O870" s="35"/>
      <c r="P870" s="35"/>
      <c r="Q870" s="35"/>
      <c r="R870" s="35"/>
      <c r="S870" s="35"/>
      <c r="T870" s="35"/>
      <c r="U870" s="35"/>
      <c r="V870" s="35"/>
      <c r="W870" s="35"/>
      <c r="X870" s="35"/>
      <c r="Y870" s="35"/>
      <c r="Z870" s="35"/>
      <c r="AA870" s="35"/>
      <c r="AB870" s="35"/>
      <c r="AC870" s="35"/>
      <c r="AD870" s="35"/>
      <c r="AE870" s="35"/>
      <c r="AF870" s="35"/>
      <c r="AG870" s="35"/>
      <c r="AH870" s="35"/>
      <c r="AI870" s="35"/>
      <c r="AJ870" s="35"/>
      <c r="AK870" s="35"/>
      <c r="AL870" s="35"/>
      <c r="AM870" s="35"/>
      <c r="AN870" s="35"/>
      <c r="AO870" s="35"/>
      <c r="AP870" s="35"/>
      <c r="AQ870" s="35"/>
      <c r="AR870" s="35"/>
      <c r="AS870" s="35"/>
      <c r="AT870" s="35"/>
      <c r="AU870" s="35"/>
      <c r="AV870" s="35"/>
      <c r="AW870" s="35"/>
    </row>
    <row r="871" spans="1:49" s="48" customFormat="1" ht="15.75" x14ac:dyDescent="0.2">
      <c r="A871" s="35"/>
      <c r="B871" s="35"/>
      <c r="C871" s="35"/>
      <c r="D871" s="35"/>
      <c r="E871" s="35"/>
      <c r="F871" s="35"/>
      <c r="G871" s="35"/>
      <c r="H871" s="35"/>
      <c r="I871" s="35"/>
      <c r="J871" s="35"/>
      <c r="K871" s="35"/>
      <c r="L871" s="35"/>
      <c r="M871" s="35"/>
      <c r="N871" s="35"/>
      <c r="O871" s="35"/>
      <c r="P871" s="35"/>
      <c r="Q871" s="35"/>
      <c r="R871" s="35"/>
      <c r="S871" s="35"/>
      <c r="T871" s="35"/>
      <c r="U871" s="35"/>
      <c r="V871" s="35"/>
      <c r="W871" s="35"/>
      <c r="X871" s="35"/>
      <c r="Y871" s="35"/>
      <c r="Z871" s="35"/>
      <c r="AA871" s="35"/>
      <c r="AB871" s="35"/>
      <c r="AC871" s="35"/>
      <c r="AD871" s="35"/>
      <c r="AE871" s="35"/>
      <c r="AF871" s="35"/>
      <c r="AG871" s="35"/>
      <c r="AH871" s="35"/>
      <c r="AI871" s="35"/>
      <c r="AJ871" s="35"/>
      <c r="AK871" s="35"/>
      <c r="AL871" s="35"/>
      <c r="AM871" s="35"/>
      <c r="AN871" s="35"/>
      <c r="AO871" s="35"/>
      <c r="AP871" s="35"/>
      <c r="AQ871" s="35"/>
      <c r="AR871" s="35"/>
      <c r="AS871" s="35"/>
      <c r="AT871" s="35"/>
      <c r="AU871" s="35"/>
      <c r="AV871" s="35"/>
      <c r="AW871" s="35"/>
    </row>
    <row r="872" spans="1:49" s="50" customFormat="1" ht="15.75" x14ac:dyDescent="0.2">
      <c r="A872" s="35"/>
      <c r="B872" s="35"/>
      <c r="C872" s="35"/>
      <c r="D872" s="35"/>
      <c r="E872" s="35"/>
      <c r="F872" s="35"/>
      <c r="G872" s="35"/>
      <c r="H872" s="35"/>
      <c r="I872" s="35"/>
      <c r="J872" s="35"/>
      <c r="K872" s="35"/>
      <c r="L872" s="35"/>
      <c r="M872" s="35"/>
      <c r="N872" s="35"/>
      <c r="O872" s="35"/>
      <c r="P872" s="35"/>
      <c r="Q872" s="35"/>
      <c r="R872" s="35"/>
      <c r="S872" s="35"/>
      <c r="T872" s="35"/>
      <c r="U872" s="35"/>
      <c r="V872" s="35"/>
      <c r="W872" s="35"/>
      <c r="X872" s="35"/>
      <c r="Y872" s="35"/>
      <c r="Z872" s="35"/>
      <c r="AA872" s="35"/>
      <c r="AB872" s="35"/>
      <c r="AC872" s="35"/>
      <c r="AD872" s="35"/>
      <c r="AE872" s="35"/>
      <c r="AF872" s="35"/>
      <c r="AG872" s="35"/>
      <c r="AH872" s="35"/>
      <c r="AI872" s="35"/>
      <c r="AJ872" s="35"/>
      <c r="AK872" s="35"/>
      <c r="AL872" s="35"/>
      <c r="AM872" s="35"/>
      <c r="AN872" s="35"/>
      <c r="AO872" s="35"/>
      <c r="AP872" s="35"/>
      <c r="AQ872" s="35"/>
      <c r="AR872" s="35"/>
      <c r="AS872" s="35"/>
      <c r="AT872" s="35"/>
      <c r="AU872" s="35"/>
      <c r="AV872" s="35"/>
      <c r="AW872" s="35"/>
    </row>
    <row r="873" spans="1:49" s="46" customFormat="1" ht="15" x14ac:dyDescent="0.25">
      <c r="A873" s="35"/>
      <c r="B873" s="35"/>
      <c r="C873" s="35"/>
      <c r="D873" s="35"/>
      <c r="E873" s="35"/>
      <c r="F873" s="35"/>
      <c r="G873" s="35"/>
      <c r="H873" s="35"/>
      <c r="I873" s="35"/>
      <c r="J873" s="35"/>
      <c r="K873" s="35"/>
      <c r="L873" s="35"/>
      <c r="M873" s="35"/>
      <c r="N873" s="35"/>
      <c r="O873" s="35"/>
      <c r="P873" s="35"/>
      <c r="Q873" s="35"/>
      <c r="R873" s="35"/>
      <c r="S873" s="35"/>
      <c r="T873" s="35"/>
      <c r="U873" s="35"/>
      <c r="V873" s="35"/>
      <c r="W873" s="35"/>
      <c r="X873" s="35"/>
      <c r="Y873" s="35"/>
      <c r="Z873" s="35"/>
      <c r="AA873" s="35"/>
      <c r="AB873" s="35"/>
      <c r="AC873" s="35"/>
      <c r="AD873" s="35"/>
      <c r="AE873" s="35"/>
      <c r="AF873" s="35"/>
      <c r="AG873" s="35"/>
      <c r="AH873" s="35"/>
      <c r="AI873" s="35"/>
      <c r="AJ873" s="35"/>
      <c r="AK873" s="35"/>
      <c r="AL873" s="35"/>
      <c r="AM873" s="35"/>
      <c r="AN873" s="35"/>
      <c r="AO873" s="35"/>
      <c r="AP873" s="35"/>
      <c r="AQ873" s="35"/>
      <c r="AR873" s="35"/>
      <c r="AS873" s="35"/>
      <c r="AT873" s="35"/>
      <c r="AU873" s="35"/>
      <c r="AV873" s="35"/>
      <c r="AW873" s="35"/>
    </row>
    <row r="874" spans="1:49" s="34" customFormat="1" ht="15" x14ac:dyDescent="0.25">
      <c r="A874" s="35"/>
      <c r="B874" s="35"/>
      <c r="C874" s="35"/>
      <c r="D874" s="35"/>
      <c r="E874" s="35"/>
      <c r="F874" s="35"/>
      <c r="G874" s="35"/>
      <c r="H874" s="35"/>
      <c r="I874" s="35"/>
      <c r="J874" s="35"/>
      <c r="K874" s="35"/>
      <c r="L874" s="35"/>
      <c r="M874" s="35"/>
      <c r="N874" s="35"/>
      <c r="O874" s="35"/>
      <c r="P874" s="35"/>
      <c r="Q874" s="35"/>
      <c r="R874" s="35"/>
      <c r="S874" s="35"/>
      <c r="T874" s="35"/>
      <c r="U874" s="35"/>
      <c r="V874" s="35"/>
      <c r="W874" s="35"/>
      <c r="X874" s="35"/>
      <c r="Y874" s="35"/>
      <c r="Z874" s="35"/>
      <c r="AA874" s="35"/>
      <c r="AB874" s="35"/>
      <c r="AC874" s="35"/>
      <c r="AD874" s="35"/>
      <c r="AE874" s="35"/>
      <c r="AF874" s="35"/>
      <c r="AG874" s="35"/>
      <c r="AH874" s="35"/>
      <c r="AI874" s="35"/>
      <c r="AJ874" s="35"/>
      <c r="AK874" s="35"/>
      <c r="AL874" s="35"/>
      <c r="AM874" s="35"/>
      <c r="AN874" s="35"/>
      <c r="AO874" s="35"/>
      <c r="AP874" s="35"/>
      <c r="AQ874" s="35"/>
      <c r="AR874" s="35"/>
      <c r="AS874" s="35"/>
      <c r="AT874" s="35"/>
      <c r="AU874" s="35"/>
      <c r="AV874" s="35"/>
      <c r="AW874" s="35"/>
    </row>
    <row r="875" spans="1:49" s="34" customFormat="1" ht="15" x14ac:dyDescent="0.25">
      <c r="A875" s="35"/>
      <c r="B875" s="35"/>
      <c r="C875" s="35"/>
      <c r="D875" s="35"/>
      <c r="E875" s="35"/>
      <c r="F875" s="35"/>
      <c r="G875" s="35"/>
      <c r="H875" s="35"/>
      <c r="I875" s="35"/>
      <c r="J875" s="35"/>
      <c r="K875" s="35"/>
      <c r="L875" s="35"/>
      <c r="M875" s="35"/>
      <c r="N875" s="35"/>
      <c r="O875" s="35"/>
      <c r="P875" s="35"/>
      <c r="Q875" s="35"/>
      <c r="R875" s="35"/>
      <c r="S875" s="35"/>
      <c r="T875" s="35"/>
      <c r="U875" s="35"/>
      <c r="V875" s="35"/>
      <c r="W875" s="35"/>
      <c r="X875" s="35"/>
      <c r="Y875" s="35"/>
      <c r="Z875" s="35"/>
      <c r="AA875" s="35"/>
      <c r="AB875" s="35"/>
      <c r="AC875" s="35"/>
      <c r="AD875" s="35"/>
      <c r="AE875" s="35"/>
      <c r="AF875" s="35"/>
      <c r="AG875" s="35"/>
      <c r="AH875" s="35"/>
      <c r="AI875" s="35"/>
      <c r="AJ875" s="35"/>
      <c r="AK875" s="35"/>
      <c r="AL875" s="35"/>
      <c r="AM875" s="35"/>
      <c r="AN875" s="35"/>
      <c r="AO875" s="35"/>
      <c r="AP875" s="35"/>
      <c r="AQ875" s="35"/>
      <c r="AR875" s="35"/>
      <c r="AS875" s="35"/>
      <c r="AT875" s="35"/>
      <c r="AU875" s="35"/>
      <c r="AV875" s="35"/>
      <c r="AW875" s="35"/>
    </row>
    <row r="876" spans="1:49" s="52" customFormat="1" ht="15.75" x14ac:dyDescent="0.2">
      <c r="A876" s="35"/>
      <c r="B876" s="35"/>
      <c r="C876" s="35"/>
      <c r="D876" s="35"/>
      <c r="E876" s="35"/>
      <c r="F876" s="35"/>
      <c r="G876" s="35"/>
      <c r="H876" s="35"/>
      <c r="I876" s="35"/>
      <c r="J876" s="35"/>
      <c r="K876" s="35"/>
      <c r="L876" s="35"/>
      <c r="M876" s="35"/>
      <c r="N876" s="35"/>
      <c r="O876" s="35"/>
      <c r="P876" s="35"/>
      <c r="Q876" s="35"/>
      <c r="R876" s="35"/>
      <c r="S876" s="35"/>
      <c r="T876" s="35"/>
      <c r="U876" s="35"/>
      <c r="V876" s="35"/>
      <c r="W876" s="35"/>
      <c r="X876" s="35"/>
      <c r="Y876" s="35"/>
      <c r="Z876" s="35"/>
      <c r="AA876" s="35"/>
      <c r="AB876" s="35"/>
      <c r="AC876" s="35"/>
      <c r="AD876" s="35"/>
      <c r="AE876" s="35"/>
      <c r="AF876" s="35"/>
      <c r="AG876" s="35"/>
      <c r="AH876" s="35"/>
      <c r="AI876" s="35"/>
      <c r="AJ876" s="35"/>
      <c r="AK876" s="35"/>
      <c r="AL876" s="35"/>
      <c r="AM876" s="35"/>
      <c r="AN876" s="35"/>
      <c r="AO876" s="35"/>
      <c r="AP876" s="35"/>
      <c r="AQ876" s="35"/>
      <c r="AR876" s="35"/>
      <c r="AS876" s="35"/>
      <c r="AT876" s="35"/>
      <c r="AU876" s="35"/>
      <c r="AV876" s="35"/>
      <c r="AW876" s="35"/>
    </row>
    <row r="877" spans="1:49" s="34" customFormat="1" ht="15" x14ac:dyDescent="0.25">
      <c r="A877" s="35"/>
      <c r="B877" s="35"/>
      <c r="C877" s="35"/>
      <c r="D877" s="35"/>
      <c r="E877" s="35"/>
      <c r="F877" s="35"/>
      <c r="G877" s="35"/>
      <c r="H877" s="35"/>
      <c r="I877" s="35"/>
      <c r="J877" s="35"/>
      <c r="K877" s="35"/>
      <c r="L877" s="35"/>
      <c r="M877" s="35"/>
      <c r="N877" s="35"/>
      <c r="O877" s="35"/>
      <c r="P877" s="35"/>
      <c r="Q877" s="35"/>
      <c r="R877" s="35"/>
      <c r="S877" s="35"/>
      <c r="T877" s="35"/>
      <c r="U877" s="35"/>
      <c r="V877" s="35"/>
      <c r="W877" s="35"/>
      <c r="X877" s="35"/>
      <c r="Y877" s="35"/>
      <c r="Z877" s="35"/>
      <c r="AA877" s="35"/>
      <c r="AB877" s="35"/>
      <c r="AC877" s="35"/>
      <c r="AD877" s="35"/>
      <c r="AE877" s="35"/>
      <c r="AF877" s="35"/>
      <c r="AG877" s="35"/>
      <c r="AH877" s="35"/>
      <c r="AI877" s="35"/>
      <c r="AJ877" s="35"/>
      <c r="AK877" s="35"/>
      <c r="AL877" s="35"/>
      <c r="AM877" s="35"/>
      <c r="AN877" s="35"/>
      <c r="AO877" s="35"/>
      <c r="AP877" s="35"/>
      <c r="AQ877" s="35"/>
      <c r="AR877" s="35"/>
      <c r="AS877" s="35"/>
      <c r="AT877" s="35"/>
      <c r="AU877" s="35"/>
      <c r="AV877" s="35"/>
      <c r="AW877" s="35"/>
    </row>
    <row r="878" spans="1:49" s="46" customFormat="1" ht="15" x14ac:dyDescent="0.25">
      <c r="A878" s="35"/>
      <c r="B878" s="35"/>
      <c r="C878" s="35"/>
      <c r="D878" s="35"/>
      <c r="E878" s="35"/>
      <c r="F878" s="35"/>
      <c r="G878" s="35"/>
      <c r="H878" s="35"/>
      <c r="I878" s="35"/>
      <c r="J878" s="35"/>
      <c r="K878" s="35"/>
      <c r="L878" s="35"/>
      <c r="M878" s="35"/>
      <c r="N878" s="35"/>
      <c r="O878" s="35"/>
      <c r="P878" s="35"/>
      <c r="Q878" s="35"/>
      <c r="R878" s="35"/>
      <c r="S878" s="35"/>
      <c r="T878" s="35"/>
      <c r="U878" s="35"/>
      <c r="V878" s="35"/>
      <c r="W878" s="35"/>
      <c r="X878" s="35"/>
      <c r="Y878" s="35"/>
      <c r="Z878" s="35"/>
      <c r="AA878" s="35"/>
      <c r="AB878" s="35"/>
      <c r="AC878" s="35"/>
      <c r="AD878" s="35"/>
      <c r="AE878" s="35"/>
      <c r="AF878" s="35"/>
      <c r="AG878" s="35"/>
      <c r="AH878" s="35"/>
      <c r="AI878" s="35"/>
      <c r="AJ878" s="35"/>
      <c r="AK878" s="35"/>
      <c r="AL878" s="35"/>
      <c r="AM878" s="35"/>
      <c r="AN878" s="35"/>
      <c r="AO878" s="35"/>
      <c r="AP878" s="35"/>
      <c r="AQ878" s="35"/>
      <c r="AR878" s="35"/>
      <c r="AS878" s="35"/>
      <c r="AT878" s="35"/>
      <c r="AU878" s="35"/>
      <c r="AV878" s="35"/>
      <c r="AW878" s="35"/>
    </row>
    <row r="879" spans="1:49" s="52" customFormat="1" ht="15.75" x14ac:dyDescent="0.2">
      <c r="A879" s="35"/>
      <c r="B879" s="35"/>
      <c r="C879" s="35"/>
      <c r="D879" s="35"/>
      <c r="E879" s="35"/>
      <c r="F879" s="35"/>
      <c r="G879" s="35"/>
      <c r="H879" s="35"/>
      <c r="I879" s="35"/>
      <c r="J879" s="35"/>
      <c r="K879" s="35"/>
      <c r="L879" s="35"/>
      <c r="M879" s="35"/>
      <c r="N879" s="35"/>
      <c r="O879" s="35"/>
      <c r="P879" s="35"/>
      <c r="Q879" s="35"/>
      <c r="R879" s="35"/>
      <c r="S879" s="35"/>
      <c r="T879" s="35"/>
      <c r="U879" s="35"/>
      <c r="V879" s="35"/>
      <c r="W879" s="35"/>
      <c r="X879" s="35"/>
      <c r="Y879" s="35"/>
      <c r="Z879" s="35"/>
      <c r="AA879" s="35"/>
      <c r="AB879" s="35"/>
      <c r="AC879" s="35"/>
      <c r="AD879" s="35"/>
      <c r="AE879" s="35"/>
      <c r="AF879" s="35"/>
      <c r="AG879" s="35"/>
      <c r="AH879" s="35"/>
      <c r="AI879" s="35"/>
      <c r="AJ879" s="35"/>
      <c r="AK879" s="35"/>
      <c r="AL879" s="35"/>
      <c r="AM879" s="35"/>
      <c r="AN879" s="35"/>
      <c r="AO879" s="35"/>
      <c r="AP879" s="35"/>
      <c r="AQ879" s="35"/>
      <c r="AR879" s="35"/>
      <c r="AS879" s="35"/>
      <c r="AT879" s="35"/>
      <c r="AU879" s="35"/>
      <c r="AV879" s="35"/>
      <c r="AW879" s="35"/>
    </row>
    <row r="880" spans="1:49" s="31" customFormat="1" ht="15" x14ac:dyDescent="0.25">
      <c r="A880" s="35"/>
      <c r="B880" s="35"/>
      <c r="C880" s="35"/>
      <c r="D880" s="35"/>
      <c r="E880" s="35"/>
      <c r="F880" s="35"/>
      <c r="G880" s="35"/>
      <c r="H880" s="35"/>
      <c r="I880" s="35"/>
      <c r="J880" s="35"/>
      <c r="K880" s="35"/>
      <c r="L880" s="35"/>
      <c r="M880" s="35"/>
      <c r="N880" s="35"/>
      <c r="O880" s="35"/>
      <c r="P880" s="35"/>
      <c r="Q880" s="35"/>
      <c r="R880" s="35"/>
      <c r="S880" s="35"/>
      <c r="T880" s="35"/>
      <c r="U880" s="35"/>
      <c r="V880" s="35"/>
      <c r="W880" s="35"/>
      <c r="X880" s="35"/>
      <c r="Y880" s="35"/>
      <c r="Z880" s="35"/>
      <c r="AA880" s="35"/>
      <c r="AB880" s="35"/>
      <c r="AC880" s="35"/>
      <c r="AD880" s="35"/>
      <c r="AE880" s="35"/>
      <c r="AF880" s="35"/>
      <c r="AG880" s="35"/>
      <c r="AH880" s="35"/>
      <c r="AI880" s="35"/>
      <c r="AJ880" s="35"/>
      <c r="AK880" s="35"/>
      <c r="AL880" s="35"/>
      <c r="AM880" s="35"/>
      <c r="AN880" s="35"/>
      <c r="AO880" s="35"/>
      <c r="AP880" s="35"/>
      <c r="AQ880" s="35"/>
      <c r="AR880" s="35"/>
      <c r="AS880" s="35"/>
      <c r="AT880" s="35"/>
      <c r="AU880" s="35"/>
      <c r="AV880" s="35"/>
      <c r="AW880" s="35"/>
    </row>
    <row r="881" spans="1:49" s="31" customFormat="1" ht="15" x14ac:dyDescent="0.25">
      <c r="A881" s="35"/>
      <c r="B881" s="35"/>
      <c r="C881" s="35"/>
      <c r="D881" s="35"/>
      <c r="E881" s="35"/>
      <c r="F881" s="35"/>
      <c r="G881" s="35"/>
      <c r="H881" s="35"/>
      <c r="I881" s="35"/>
      <c r="J881" s="35"/>
      <c r="K881" s="35"/>
      <c r="L881" s="35"/>
      <c r="M881" s="35"/>
      <c r="N881" s="35"/>
      <c r="O881" s="35"/>
      <c r="P881" s="35"/>
      <c r="Q881" s="35"/>
      <c r="R881" s="35"/>
      <c r="S881" s="35"/>
      <c r="T881" s="35"/>
      <c r="U881" s="35"/>
      <c r="V881" s="35"/>
      <c r="W881" s="35"/>
      <c r="X881" s="35"/>
      <c r="Y881" s="35"/>
      <c r="Z881" s="35"/>
      <c r="AA881" s="35"/>
      <c r="AB881" s="35"/>
      <c r="AC881" s="35"/>
      <c r="AD881" s="35"/>
      <c r="AE881" s="35"/>
      <c r="AF881" s="35"/>
      <c r="AG881" s="35"/>
      <c r="AH881" s="35"/>
      <c r="AI881" s="35"/>
      <c r="AJ881" s="35"/>
      <c r="AK881" s="35"/>
      <c r="AL881" s="35"/>
      <c r="AM881" s="35"/>
      <c r="AN881" s="35"/>
      <c r="AO881" s="35"/>
      <c r="AP881" s="35"/>
      <c r="AQ881" s="35"/>
      <c r="AR881" s="35"/>
      <c r="AS881" s="35"/>
      <c r="AT881" s="35"/>
      <c r="AU881" s="35"/>
      <c r="AV881" s="35"/>
      <c r="AW881" s="35"/>
    </row>
    <row r="882" spans="1:49" s="17" customFormat="1" ht="15" x14ac:dyDescent="0.25">
      <c r="A882" s="35"/>
      <c r="B882" s="35"/>
      <c r="C882" s="35"/>
      <c r="D882" s="35"/>
      <c r="E882" s="35"/>
      <c r="F882" s="35"/>
      <c r="G882" s="35"/>
      <c r="H882" s="35"/>
      <c r="I882" s="35"/>
      <c r="J882" s="35"/>
      <c r="K882" s="35"/>
      <c r="L882" s="35"/>
      <c r="M882" s="35"/>
      <c r="N882" s="35"/>
      <c r="O882" s="35"/>
      <c r="P882" s="35"/>
      <c r="Q882" s="35"/>
      <c r="R882" s="35"/>
      <c r="S882" s="35"/>
      <c r="T882" s="35"/>
      <c r="U882" s="35"/>
      <c r="V882" s="35"/>
      <c r="W882" s="35"/>
      <c r="X882" s="35"/>
      <c r="Y882" s="35"/>
      <c r="Z882" s="35"/>
      <c r="AA882" s="35"/>
      <c r="AB882" s="35"/>
      <c r="AC882" s="35"/>
      <c r="AD882" s="35"/>
      <c r="AE882" s="35"/>
      <c r="AF882" s="35"/>
      <c r="AG882" s="35"/>
      <c r="AH882" s="35"/>
      <c r="AI882" s="35"/>
      <c r="AJ882" s="35"/>
      <c r="AK882" s="35"/>
      <c r="AL882" s="35"/>
      <c r="AM882" s="35"/>
      <c r="AN882" s="35"/>
      <c r="AO882" s="35"/>
      <c r="AP882" s="35"/>
      <c r="AQ882" s="35"/>
      <c r="AR882" s="35"/>
      <c r="AS882" s="35"/>
      <c r="AT882" s="35"/>
      <c r="AU882" s="35"/>
      <c r="AV882" s="35"/>
      <c r="AW882" s="35"/>
    </row>
    <row r="883" spans="1:49" s="35" customFormat="1" x14ac:dyDescent="0.2"/>
    <row r="884" spans="1:49" s="52" customFormat="1" ht="15.75" x14ac:dyDescent="0.2">
      <c r="A884" s="35"/>
      <c r="B884" s="35"/>
      <c r="C884" s="35"/>
      <c r="D884" s="35"/>
      <c r="E884" s="35"/>
      <c r="F884" s="35"/>
      <c r="G884" s="35"/>
      <c r="H884" s="35"/>
      <c r="I884" s="35"/>
      <c r="J884" s="35"/>
      <c r="K884" s="35"/>
      <c r="L884" s="35"/>
      <c r="M884" s="35"/>
      <c r="N884" s="35"/>
      <c r="O884" s="35"/>
      <c r="P884" s="35"/>
      <c r="Q884" s="35"/>
      <c r="R884" s="35"/>
      <c r="S884" s="35"/>
      <c r="T884" s="35"/>
      <c r="U884" s="35"/>
      <c r="V884" s="35"/>
      <c r="W884" s="35"/>
      <c r="X884" s="35"/>
      <c r="Y884" s="35"/>
      <c r="Z884" s="35"/>
      <c r="AA884" s="35"/>
      <c r="AB884" s="35"/>
      <c r="AC884" s="35"/>
      <c r="AD884" s="35"/>
      <c r="AE884" s="35"/>
      <c r="AF884" s="35"/>
      <c r="AG884" s="35"/>
      <c r="AH884" s="35"/>
      <c r="AI884" s="35"/>
      <c r="AJ884" s="35"/>
      <c r="AK884" s="35"/>
      <c r="AL884" s="35"/>
      <c r="AM884" s="35"/>
      <c r="AN884" s="35"/>
      <c r="AO884" s="35"/>
      <c r="AP884" s="35"/>
      <c r="AQ884" s="35"/>
      <c r="AR884" s="35"/>
      <c r="AS884" s="35"/>
      <c r="AT884" s="35"/>
      <c r="AU884" s="35"/>
      <c r="AV884" s="35"/>
      <c r="AW884" s="35"/>
    </row>
    <row r="885" spans="1:49" s="26" customFormat="1" ht="15" x14ac:dyDescent="0.25">
      <c r="A885" s="35"/>
      <c r="B885" s="35"/>
      <c r="C885" s="35"/>
      <c r="D885" s="35"/>
      <c r="E885" s="35"/>
      <c r="F885" s="35"/>
      <c r="G885" s="35"/>
      <c r="H885" s="35"/>
      <c r="I885" s="35"/>
      <c r="J885" s="35"/>
      <c r="K885" s="35"/>
      <c r="L885" s="35"/>
      <c r="M885" s="35"/>
      <c r="N885" s="35"/>
      <c r="O885" s="35"/>
      <c r="P885" s="35"/>
      <c r="Q885" s="35"/>
      <c r="R885" s="35"/>
      <c r="S885" s="35"/>
      <c r="T885" s="35"/>
      <c r="U885" s="35"/>
      <c r="V885" s="35"/>
      <c r="W885" s="35"/>
      <c r="X885" s="35"/>
      <c r="Y885" s="35"/>
      <c r="Z885" s="35"/>
      <c r="AA885" s="35"/>
      <c r="AB885" s="35"/>
      <c r="AC885" s="35"/>
      <c r="AD885" s="35"/>
      <c r="AE885" s="35"/>
      <c r="AF885" s="35"/>
      <c r="AG885" s="35"/>
      <c r="AH885" s="35"/>
      <c r="AI885" s="35"/>
      <c r="AJ885" s="35"/>
      <c r="AK885" s="35"/>
      <c r="AL885" s="35"/>
      <c r="AM885" s="35"/>
      <c r="AN885" s="35"/>
      <c r="AO885" s="35"/>
      <c r="AP885" s="35"/>
      <c r="AQ885" s="35"/>
      <c r="AR885" s="35"/>
      <c r="AS885" s="35"/>
      <c r="AT885" s="35"/>
      <c r="AU885" s="35"/>
      <c r="AV885" s="35"/>
      <c r="AW885" s="35"/>
    </row>
    <row r="886" spans="1:49" s="46" customFormat="1" ht="15" x14ac:dyDescent="0.25">
      <c r="A886" s="35"/>
      <c r="B886" s="35"/>
      <c r="C886" s="35"/>
      <c r="D886" s="35"/>
      <c r="E886" s="35"/>
      <c r="F886" s="35"/>
      <c r="G886" s="35"/>
      <c r="H886" s="35"/>
      <c r="I886" s="35"/>
      <c r="J886" s="35"/>
      <c r="K886" s="35"/>
      <c r="L886" s="35"/>
      <c r="M886" s="35"/>
      <c r="N886" s="35"/>
      <c r="O886" s="35"/>
      <c r="P886" s="35"/>
      <c r="Q886" s="35"/>
      <c r="R886" s="35"/>
      <c r="S886" s="35"/>
      <c r="T886" s="35"/>
      <c r="U886" s="35"/>
      <c r="V886" s="35"/>
      <c r="W886" s="35"/>
      <c r="X886" s="35"/>
      <c r="Y886" s="35"/>
      <c r="Z886" s="35"/>
      <c r="AA886" s="35"/>
      <c r="AB886" s="35"/>
      <c r="AC886" s="35"/>
      <c r="AD886" s="35"/>
      <c r="AE886" s="35"/>
      <c r="AF886" s="35"/>
      <c r="AG886" s="35"/>
      <c r="AH886" s="35"/>
      <c r="AI886" s="35"/>
      <c r="AJ886" s="35"/>
      <c r="AK886" s="35"/>
      <c r="AL886" s="35"/>
      <c r="AM886" s="35"/>
      <c r="AN886" s="35"/>
      <c r="AO886" s="35"/>
      <c r="AP886" s="35"/>
      <c r="AQ886" s="35"/>
      <c r="AR886" s="35"/>
      <c r="AS886" s="35"/>
      <c r="AT886" s="35"/>
      <c r="AU886" s="35"/>
      <c r="AV886" s="35"/>
      <c r="AW886" s="35"/>
    </row>
    <row r="887" spans="1:49" s="52" customFormat="1" ht="15.75" x14ac:dyDescent="0.2">
      <c r="A887" s="35"/>
      <c r="B887" s="35"/>
      <c r="C887" s="35"/>
      <c r="D887" s="35"/>
      <c r="E887" s="35"/>
      <c r="F887" s="35"/>
      <c r="G887" s="35"/>
      <c r="H887" s="35"/>
      <c r="I887" s="35"/>
      <c r="J887" s="35"/>
      <c r="K887" s="35"/>
      <c r="L887" s="35"/>
      <c r="M887" s="35"/>
      <c r="N887" s="35"/>
      <c r="O887" s="35"/>
      <c r="P887" s="35"/>
      <c r="Q887" s="35"/>
      <c r="R887" s="35"/>
      <c r="S887" s="35"/>
      <c r="T887" s="35"/>
      <c r="U887" s="35"/>
      <c r="V887" s="35"/>
      <c r="W887" s="35"/>
      <c r="X887" s="35"/>
      <c r="Y887" s="35"/>
      <c r="Z887" s="35"/>
      <c r="AA887" s="35"/>
      <c r="AB887" s="35"/>
      <c r="AC887" s="35"/>
      <c r="AD887" s="35"/>
      <c r="AE887" s="35"/>
      <c r="AF887" s="35"/>
      <c r="AG887" s="35"/>
      <c r="AH887" s="35"/>
      <c r="AI887" s="35"/>
      <c r="AJ887" s="35"/>
      <c r="AK887" s="35"/>
      <c r="AL887" s="35"/>
      <c r="AM887" s="35"/>
      <c r="AN887" s="35"/>
      <c r="AO887" s="35"/>
      <c r="AP887" s="35"/>
      <c r="AQ887" s="35"/>
      <c r="AR887" s="35"/>
      <c r="AS887" s="35"/>
      <c r="AT887" s="35"/>
      <c r="AU887" s="35"/>
      <c r="AV887" s="35"/>
      <c r="AW887" s="35"/>
    </row>
    <row r="888" spans="1:49" s="47" customFormat="1" ht="15.75" x14ac:dyDescent="0.2">
      <c r="A888" s="35"/>
      <c r="B888" s="35"/>
      <c r="C888" s="35"/>
      <c r="D888" s="35"/>
      <c r="E888" s="35"/>
      <c r="F888" s="35"/>
      <c r="G888" s="35"/>
      <c r="H888" s="35"/>
      <c r="I888" s="35"/>
      <c r="J888" s="35"/>
      <c r="K888" s="35"/>
      <c r="L888" s="35"/>
      <c r="M888" s="35"/>
      <c r="N888" s="35"/>
      <c r="O888" s="35"/>
      <c r="P888" s="35"/>
      <c r="Q888" s="35"/>
      <c r="R888" s="35"/>
      <c r="S888" s="35"/>
      <c r="T888" s="35"/>
      <c r="U888" s="35"/>
      <c r="V888" s="35"/>
      <c r="W888" s="35"/>
      <c r="X888" s="35"/>
      <c r="Y888" s="35"/>
      <c r="Z888" s="35"/>
      <c r="AA888" s="35"/>
      <c r="AB888" s="35"/>
      <c r="AC888" s="35"/>
      <c r="AD888" s="35"/>
      <c r="AE888" s="35"/>
      <c r="AF888" s="35"/>
      <c r="AG888" s="35"/>
      <c r="AH888" s="35"/>
      <c r="AI888" s="35"/>
      <c r="AJ888" s="35"/>
      <c r="AK888" s="35"/>
      <c r="AL888" s="35"/>
      <c r="AM888" s="35"/>
      <c r="AN888" s="35"/>
      <c r="AO888" s="35"/>
      <c r="AP888" s="35"/>
      <c r="AQ888" s="35"/>
      <c r="AR888" s="35"/>
      <c r="AS888" s="35"/>
      <c r="AT888" s="35"/>
      <c r="AU888" s="35"/>
      <c r="AV888" s="35"/>
      <c r="AW888" s="35"/>
    </row>
    <row r="889" spans="1:49" s="9" customFormat="1" ht="15.75" x14ac:dyDescent="0.2">
      <c r="A889" s="35"/>
      <c r="B889" s="35"/>
      <c r="C889" s="35"/>
      <c r="D889" s="35"/>
      <c r="E889" s="35"/>
      <c r="F889" s="35"/>
      <c r="G889" s="35"/>
      <c r="H889" s="35"/>
      <c r="I889" s="35"/>
      <c r="J889" s="35"/>
      <c r="K889" s="35"/>
      <c r="L889" s="35"/>
      <c r="M889" s="35"/>
      <c r="N889" s="35"/>
      <c r="O889" s="35"/>
      <c r="P889" s="35"/>
      <c r="Q889" s="35"/>
      <c r="R889" s="35"/>
      <c r="S889" s="35"/>
      <c r="T889" s="35"/>
      <c r="U889" s="35"/>
      <c r="V889" s="35"/>
      <c r="W889" s="35"/>
      <c r="X889" s="35"/>
      <c r="Y889" s="35"/>
      <c r="Z889" s="35"/>
      <c r="AA889" s="35"/>
      <c r="AB889" s="35"/>
      <c r="AC889" s="35"/>
      <c r="AD889" s="35"/>
      <c r="AE889" s="35"/>
      <c r="AF889" s="35"/>
      <c r="AG889" s="35"/>
      <c r="AH889" s="35"/>
      <c r="AI889" s="35"/>
      <c r="AJ889" s="35"/>
      <c r="AK889" s="35"/>
      <c r="AL889" s="35"/>
      <c r="AM889" s="35"/>
      <c r="AN889" s="35"/>
      <c r="AO889" s="35"/>
      <c r="AP889" s="35"/>
      <c r="AQ889" s="35"/>
      <c r="AR889" s="35"/>
      <c r="AS889" s="35"/>
      <c r="AT889" s="35"/>
      <c r="AU889" s="35"/>
      <c r="AV889" s="35"/>
      <c r="AW889" s="35"/>
    </row>
    <row r="890" spans="1:49" s="48" customFormat="1" ht="15.75" x14ac:dyDescent="0.2">
      <c r="A890" s="35"/>
      <c r="B890" s="35"/>
      <c r="C890" s="35"/>
      <c r="D890" s="35"/>
      <c r="E890" s="35"/>
      <c r="F890" s="35"/>
      <c r="G890" s="35"/>
      <c r="H890" s="35"/>
      <c r="I890" s="35"/>
      <c r="J890" s="35"/>
      <c r="K890" s="35"/>
      <c r="L890" s="35"/>
      <c r="M890" s="35"/>
      <c r="N890" s="35"/>
      <c r="O890" s="35"/>
      <c r="P890" s="35"/>
      <c r="Q890" s="35"/>
      <c r="R890" s="35"/>
      <c r="S890" s="35"/>
      <c r="T890" s="35"/>
      <c r="U890" s="35"/>
      <c r="V890" s="35"/>
      <c r="W890" s="35"/>
      <c r="X890" s="35"/>
      <c r="Y890" s="35"/>
      <c r="Z890" s="35"/>
      <c r="AA890" s="35"/>
      <c r="AB890" s="35"/>
      <c r="AC890" s="35"/>
      <c r="AD890" s="35"/>
      <c r="AE890" s="35"/>
      <c r="AF890" s="35"/>
      <c r="AG890" s="35"/>
      <c r="AH890" s="35"/>
      <c r="AI890" s="35"/>
      <c r="AJ890" s="35"/>
      <c r="AK890" s="35"/>
      <c r="AL890" s="35"/>
      <c r="AM890" s="35"/>
      <c r="AN890" s="35"/>
      <c r="AO890" s="35"/>
      <c r="AP890" s="35"/>
      <c r="AQ890" s="35"/>
      <c r="AR890" s="35"/>
      <c r="AS890" s="35"/>
      <c r="AT890" s="35"/>
      <c r="AU890" s="35"/>
      <c r="AV890" s="35"/>
      <c r="AW890" s="35"/>
    </row>
    <row r="891" spans="1:49" s="52" customFormat="1" ht="15.75" x14ac:dyDescent="0.2">
      <c r="A891" s="35"/>
      <c r="B891" s="35"/>
      <c r="C891" s="35"/>
      <c r="D891" s="35"/>
      <c r="E891" s="35"/>
      <c r="F891" s="35"/>
      <c r="G891" s="35"/>
      <c r="H891" s="35"/>
      <c r="I891" s="35"/>
      <c r="J891" s="35"/>
      <c r="K891" s="35"/>
      <c r="L891" s="35"/>
      <c r="M891" s="35"/>
      <c r="N891" s="35"/>
      <c r="O891" s="35"/>
      <c r="P891" s="35"/>
      <c r="Q891" s="35"/>
      <c r="R891" s="35"/>
      <c r="S891" s="35"/>
      <c r="T891" s="35"/>
      <c r="U891" s="35"/>
      <c r="V891" s="35"/>
      <c r="W891" s="35"/>
      <c r="X891" s="35"/>
      <c r="Y891" s="35"/>
      <c r="Z891" s="35"/>
      <c r="AA891" s="35"/>
      <c r="AB891" s="35"/>
      <c r="AC891" s="35"/>
      <c r="AD891" s="35"/>
      <c r="AE891" s="35"/>
      <c r="AF891" s="35"/>
      <c r="AG891" s="35"/>
      <c r="AH891" s="35"/>
      <c r="AI891" s="35"/>
      <c r="AJ891" s="35"/>
      <c r="AK891" s="35"/>
      <c r="AL891" s="35"/>
      <c r="AM891" s="35"/>
      <c r="AN891" s="35"/>
      <c r="AO891" s="35"/>
      <c r="AP891" s="35"/>
      <c r="AQ891" s="35"/>
      <c r="AR891" s="35"/>
      <c r="AS891" s="35"/>
      <c r="AT891" s="35"/>
      <c r="AU891" s="35"/>
      <c r="AV891" s="35"/>
      <c r="AW891" s="35"/>
    </row>
    <row r="892" spans="1:49" s="52" customFormat="1" ht="15.75" x14ac:dyDescent="0.2">
      <c r="A892" s="35"/>
      <c r="B892" s="35"/>
      <c r="C892" s="35"/>
      <c r="D892" s="35"/>
      <c r="E892" s="35"/>
      <c r="F892" s="35"/>
      <c r="G892" s="35"/>
      <c r="H892" s="35"/>
      <c r="I892" s="35"/>
      <c r="J892" s="35"/>
      <c r="K892" s="35"/>
      <c r="L892" s="35"/>
      <c r="M892" s="35"/>
      <c r="N892" s="35"/>
      <c r="O892" s="35"/>
      <c r="P892" s="35"/>
      <c r="Q892" s="35"/>
      <c r="R892" s="35"/>
      <c r="S892" s="35"/>
      <c r="T892" s="35"/>
      <c r="U892" s="35"/>
      <c r="V892" s="35"/>
      <c r="W892" s="35"/>
      <c r="X892" s="35"/>
      <c r="Y892" s="35"/>
      <c r="Z892" s="35"/>
      <c r="AA892" s="35"/>
      <c r="AB892" s="35"/>
      <c r="AC892" s="35"/>
      <c r="AD892" s="35"/>
      <c r="AE892" s="35"/>
      <c r="AF892" s="35"/>
      <c r="AG892" s="35"/>
      <c r="AH892" s="35"/>
      <c r="AI892" s="35"/>
      <c r="AJ892" s="35"/>
      <c r="AK892" s="35"/>
      <c r="AL892" s="35"/>
      <c r="AM892" s="35"/>
      <c r="AN892" s="35"/>
      <c r="AO892" s="35"/>
      <c r="AP892" s="35"/>
      <c r="AQ892" s="35"/>
      <c r="AR892" s="35"/>
      <c r="AS892" s="35"/>
      <c r="AT892" s="35"/>
      <c r="AU892" s="35"/>
      <c r="AV892" s="35"/>
      <c r="AW892" s="35"/>
    </row>
    <row r="893" spans="1:49" s="48" customFormat="1" ht="15.75" x14ac:dyDescent="0.2">
      <c r="A893" s="35"/>
      <c r="B893" s="35"/>
      <c r="C893" s="35"/>
      <c r="D893" s="35"/>
      <c r="E893" s="35"/>
      <c r="F893" s="35"/>
      <c r="G893" s="35"/>
      <c r="H893" s="35"/>
      <c r="I893" s="35"/>
      <c r="J893" s="35"/>
      <c r="K893" s="35"/>
      <c r="L893" s="35"/>
      <c r="M893" s="35"/>
      <c r="N893" s="35"/>
      <c r="O893" s="35"/>
      <c r="P893" s="35"/>
      <c r="Q893" s="35"/>
      <c r="R893" s="35"/>
      <c r="S893" s="35"/>
      <c r="T893" s="35"/>
      <c r="U893" s="35"/>
      <c r="V893" s="35"/>
      <c r="W893" s="35"/>
      <c r="X893" s="35"/>
      <c r="Y893" s="35"/>
      <c r="Z893" s="35"/>
      <c r="AA893" s="35"/>
      <c r="AB893" s="35"/>
      <c r="AC893" s="35"/>
      <c r="AD893" s="35"/>
      <c r="AE893" s="35"/>
      <c r="AF893" s="35"/>
      <c r="AG893" s="35"/>
      <c r="AH893" s="35"/>
      <c r="AI893" s="35"/>
      <c r="AJ893" s="35"/>
      <c r="AK893" s="35"/>
      <c r="AL893" s="35"/>
      <c r="AM893" s="35"/>
      <c r="AN893" s="35"/>
      <c r="AO893" s="35"/>
      <c r="AP893" s="35"/>
      <c r="AQ893" s="35"/>
      <c r="AR893" s="35"/>
      <c r="AS893" s="35"/>
      <c r="AT893" s="35"/>
      <c r="AU893" s="35"/>
      <c r="AV893" s="35"/>
      <c r="AW893" s="35"/>
    </row>
    <row r="894" spans="1:49" s="52" customFormat="1" ht="15.75" x14ac:dyDescent="0.2">
      <c r="A894" s="35"/>
      <c r="B894" s="35"/>
      <c r="C894" s="35"/>
      <c r="D894" s="35"/>
      <c r="E894" s="35"/>
      <c r="F894" s="35"/>
      <c r="G894" s="35"/>
      <c r="H894" s="35"/>
      <c r="I894" s="35"/>
      <c r="J894" s="35"/>
      <c r="K894" s="35"/>
      <c r="L894" s="35"/>
      <c r="M894" s="35"/>
      <c r="N894" s="35"/>
      <c r="O894" s="35"/>
      <c r="P894" s="35"/>
      <c r="Q894" s="35"/>
      <c r="R894" s="35"/>
      <c r="S894" s="35"/>
      <c r="T894" s="35"/>
      <c r="U894" s="35"/>
      <c r="V894" s="35"/>
      <c r="W894" s="35"/>
      <c r="X894" s="35"/>
      <c r="Y894" s="35"/>
      <c r="Z894" s="35"/>
      <c r="AA894" s="35"/>
      <c r="AB894" s="35"/>
      <c r="AC894" s="35"/>
      <c r="AD894" s="35"/>
      <c r="AE894" s="35"/>
      <c r="AF894" s="35"/>
      <c r="AG894" s="35"/>
      <c r="AH894" s="35"/>
      <c r="AI894" s="35"/>
      <c r="AJ894" s="35"/>
      <c r="AK894" s="35"/>
      <c r="AL894" s="35"/>
      <c r="AM894" s="35"/>
      <c r="AN894" s="35"/>
      <c r="AO894" s="35"/>
      <c r="AP894" s="35"/>
      <c r="AQ894" s="35"/>
      <c r="AR894" s="35"/>
      <c r="AS894" s="35"/>
      <c r="AT894" s="35"/>
      <c r="AU894" s="35"/>
      <c r="AV894" s="35"/>
      <c r="AW894" s="35"/>
    </row>
    <row r="895" spans="1:49" s="48" customFormat="1" ht="15.75" x14ac:dyDescent="0.2">
      <c r="A895" s="35"/>
      <c r="B895" s="35"/>
      <c r="C895" s="35"/>
      <c r="D895" s="35"/>
      <c r="E895" s="35"/>
      <c r="F895" s="35"/>
      <c r="G895" s="35"/>
      <c r="H895" s="35"/>
      <c r="I895" s="35"/>
      <c r="J895" s="35"/>
      <c r="K895" s="35"/>
      <c r="L895" s="35"/>
      <c r="M895" s="35"/>
      <c r="N895" s="35"/>
      <c r="O895" s="35"/>
      <c r="P895" s="35"/>
      <c r="Q895" s="35"/>
      <c r="R895" s="35"/>
      <c r="S895" s="35"/>
      <c r="T895" s="35"/>
      <c r="U895" s="35"/>
      <c r="V895" s="35"/>
      <c r="W895" s="35"/>
      <c r="X895" s="35"/>
      <c r="Y895" s="35"/>
      <c r="Z895" s="35"/>
      <c r="AA895" s="35"/>
      <c r="AB895" s="35"/>
      <c r="AC895" s="35"/>
      <c r="AD895" s="35"/>
      <c r="AE895" s="35"/>
      <c r="AF895" s="35"/>
      <c r="AG895" s="35"/>
      <c r="AH895" s="35"/>
      <c r="AI895" s="35"/>
      <c r="AJ895" s="35"/>
      <c r="AK895" s="35"/>
      <c r="AL895" s="35"/>
      <c r="AM895" s="35"/>
      <c r="AN895" s="35"/>
      <c r="AO895" s="35"/>
      <c r="AP895" s="35"/>
      <c r="AQ895" s="35"/>
      <c r="AR895" s="35"/>
      <c r="AS895" s="35"/>
      <c r="AT895" s="35"/>
      <c r="AU895" s="35"/>
      <c r="AV895" s="35"/>
      <c r="AW895" s="35"/>
    </row>
    <row r="896" spans="1:49" s="48" customFormat="1" ht="15.75" x14ac:dyDescent="0.2">
      <c r="A896" s="35"/>
      <c r="B896" s="35"/>
      <c r="C896" s="35"/>
      <c r="D896" s="35"/>
      <c r="E896" s="35"/>
      <c r="F896" s="35"/>
      <c r="G896" s="35"/>
      <c r="H896" s="35"/>
      <c r="I896" s="35"/>
      <c r="J896" s="35"/>
      <c r="K896" s="35"/>
      <c r="L896" s="35"/>
      <c r="M896" s="35"/>
      <c r="N896" s="35"/>
      <c r="O896" s="35"/>
      <c r="P896" s="35"/>
      <c r="Q896" s="35"/>
      <c r="R896" s="35"/>
      <c r="S896" s="35"/>
      <c r="T896" s="35"/>
      <c r="U896" s="35"/>
      <c r="V896" s="35"/>
      <c r="W896" s="35"/>
      <c r="X896" s="35"/>
      <c r="Y896" s="35"/>
      <c r="Z896" s="35"/>
      <c r="AA896" s="35"/>
      <c r="AB896" s="35"/>
      <c r="AC896" s="35"/>
      <c r="AD896" s="35"/>
      <c r="AE896" s="35"/>
      <c r="AF896" s="35"/>
      <c r="AG896" s="35"/>
      <c r="AH896" s="35"/>
      <c r="AI896" s="35"/>
      <c r="AJ896" s="35"/>
      <c r="AK896" s="35"/>
      <c r="AL896" s="35"/>
      <c r="AM896" s="35"/>
      <c r="AN896" s="35"/>
      <c r="AO896" s="35"/>
      <c r="AP896" s="35"/>
      <c r="AQ896" s="35"/>
      <c r="AR896" s="35"/>
      <c r="AS896" s="35"/>
      <c r="AT896" s="35"/>
      <c r="AU896" s="35"/>
      <c r="AV896" s="35"/>
      <c r="AW896" s="35"/>
    </row>
    <row r="897" spans="1:49" s="48" customFormat="1" ht="15.75" x14ac:dyDescent="0.2">
      <c r="A897" s="35"/>
      <c r="B897" s="35"/>
      <c r="C897" s="35"/>
      <c r="D897" s="35"/>
      <c r="E897" s="35"/>
      <c r="F897" s="35"/>
      <c r="G897" s="35"/>
      <c r="H897" s="35"/>
      <c r="I897" s="35"/>
      <c r="J897" s="35"/>
      <c r="K897" s="35"/>
      <c r="L897" s="35"/>
      <c r="M897" s="35"/>
      <c r="N897" s="35"/>
      <c r="O897" s="35"/>
      <c r="P897" s="35"/>
      <c r="Q897" s="35"/>
      <c r="R897" s="35"/>
      <c r="S897" s="35"/>
      <c r="T897" s="35"/>
      <c r="U897" s="35"/>
      <c r="V897" s="35"/>
      <c r="W897" s="35"/>
      <c r="X897" s="35"/>
      <c r="Y897" s="35"/>
      <c r="Z897" s="35"/>
      <c r="AA897" s="35"/>
      <c r="AB897" s="35"/>
      <c r="AC897" s="35"/>
      <c r="AD897" s="35"/>
      <c r="AE897" s="35"/>
      <c r="AF897" s="35"/>
      <c r="AG897" s="35"/>
      <c r="AH897" s="35"/>
      <c r="AI897" s="35"/>
      <c r="AJ897" s="35"/>
      <c r="AK897" s="35"/>
      <c r="AL897" s="35"/>
      <c r="AM897" s="35"/>
      <c r="AN897" s="35"/>
      <c r="AO897" s="35"/>
      <c r="AP897" s="35"/>
      <c r="AQ897" s="35"/>
      <c r="AR897" s="35"/>
      <c r="AS897" s="35"/>
      <c r="AT897" s="35"/>
      <c r="AU897" s="35"/>
      <c r="AV897" s="35"/>
      <c r="AW897" s="35"/>
    </row>
    <row r="898" spans="1:49" s="52" customFormat="1" ht="15.75" x14ac:dyDescent="0.2">
      <c r="A898" s="35"/>
      <c r="B898" s="35"/>
      <c r="C898" s="35"/>
      <c r="D898" s="35"/>
      <c r="E898" s="35"/>
      <c r="F898" s="35"/>
      <c r="G898" s="35"/>
      <c r="H898" s="35"/>
      <c r="I898" s="35"/>
      <c r="J898" s="35"/>
      <c r="K898" s="35"/>
      <c r="L898" s="35"/>
      <c r="M898" s="35"/>
      <c r="N898" s="35"/>
      <c r="O898" s="35"/>
      <c r="P898" s="35"/>
      <c r="Q898" s="35"/>
      <c r="R898" s="35"/>
      <c r="S898" s="35"/>
      <c r="T898" s="35"/>
      <c r="U898" s="35"/>
      <c r="V898" s="35"/>
      <c r="W898" s="35"/>
      <c r="X898" s="35"/>
      <c r="Y898" s="35"/>
      <c r="Z898" s="35"/>
      <c r="AA898" s="35"/>
      <c r="AB898" s="35"/>
      <c r="AC898" s="35"/>
      <c r="AD898" s="35"/>
      <c r="AE898" s="35"/>
      <c r="AF898" s="35"/>
      <c r="AG898" s="35"/>
      <c r="AH898" s="35"/>
      <c r="AI898" s="35"/>
      <c r="AJ898" s="35"/>
      <c r="AK898" s="35"/>
      <c r="AL898" s="35"/>
      <c r="AM898" s="35"/>
      <c r="AN898" s="35"/>
      <c r="AO898" s="35"/>
      <c r="AP898" s="35"/>
      <c r="AQ898" s="35"/>
      <c r="AR898" s="35"/>
      <c r="AS898" s="35"/>
      <c r="AT898" s="35"/>
      <c r="AU898" s="35"/>
      <c r="AV898" s="35"/>
      <c r="AW898" s="35"/>
    </row>
    <row r="899" spans="1:49" s="48" customFormat="1" ht="15.75" x14ac:dyDescent="0.2">
      <c r="A899" s="35"/>
      <c r="B899" s="35"/>
      <c r="C899" s="35"/>
      <c r="D899" s="35"/>
      <c r="E899" s="35"/>
      <c r="F899" s="35"/>
      <c r="G899" s="35"/>
      <c r="H899" s="35"/>
      <c r="I899" s="35"/>
      <c r="J899" s="35"/>
      <c r="K899" s="35"/>
      <c r="L899" s="35"/>
      <c r="M899" s="35"/>
      <c r="N899" s="35"/>
      <c r="O899" s="35"/>
      <c r="P899" s="35"/>
      <c r="Q899" s="35"/>
      <c r="R899" s="35"/>
      <c r="S899" s="35"/>
      <c r="T899" s="35"/>
      <c r="U899" s="35"/>
      <c r="V899" s="35"/>
      <c r="W899" s="35"/>
      <c r="X899" s="35"/>
      <c r="Y899" s="35"/>
      <c r="Z899" s="35"/>
      <c r="AA899" s="35"/>
      <c r="AB899" s="35"/>
      <c r="AC899" s="35"/>
      <c r="AD899" s="35"/>
      <c r="AE899" s="35"/>
      <c r="AF899" s="35"/>
      <c r="AG899" s="35"/>
      <c r="AH899" s="35"/>
      <c r="AI899" s="35"/>
      <c r="AJ899" s="35"/>
      <c r="AK899" s="35"/>
      <c r="AL899" s="35"/>
      <c r="AM899" s="35"/>
      <c r="AN899" s="35"/>
      <c r="AO899" s="35"/>
      <c r="AP899" s="35"/>
      <c r="AQ899" s="35"/>
      <c r="AR899" s="35"/>
      <c r="AS899" s="35"/>
      <c r="AT899" s="35"/>
      <c r="AU899" s="35"/>
      <c r="AV899" s="35"/>
      <c r="AW899" s="35"/>
    </row>
    <row r="900" spans="1:49" s="27" customFormat="1" ht="15.75" x14ac:dyDescent="0.2">
      <c r="A900" s="35"/>
      <c r="B900" s="35"/>
      <c r="C900" s="35"/>
      <c r="D900" s="35"/>
      <c r="E900" s="35"/>
      <c r="F900" s="35"/>
      <c r="G900" s="35"/>
      <c r="H900" s="35"/>
      <c r="I900" s="35"/>
      <c r="J900" s="35"/>
      <c r="K900" s="35"/>
      <c r="L900" s="35"/>
      <c r="M900" s="35"/>
      <c r="N900" s="35"/>
      <c r="O900" s="35"/>
      <c r="P900" s="35"/>
      <c r="Q900" s="35"/>
      <c r="R900" s="35"/>
      <c r="S900" s="35"/>
      <c r="T900" s="35"/>
      <c r="U900" s="35"/>
      <c r="V900" s="35"/>
      <c r="W900" s="35"/>
      <c r="X900" s="35"/>
      <c r="Y900" s="35"/>
      <c r="Z900" s="35"/>
      <c r="AA900" s="35"/>
      <c r="AB900" s="35"/>
      <c r="AC900" s="35"/>
      <c r="AD900" s="35"/>
      <c r="AE900" s="35"/>
      <c r="AF900" s="35"/>
      <c r="AG900" s="35"/>
      <c r="AH900" s="35"/>
      <c r="AI900" s="35"/>
      <c r="AJ900" s="35"/>
      <c r="AK900" s="35"/>
      <c r="AL900" s="35"/>
      <c r="AM900" s="35"/>
      <c r="AN900" s="35"/>
      <c r="AO900" s="35"/>
      <c r="AP900" s="35"/>
      <c r="AQ900" s="35"/>
      <c r="AR900" s="35"/>
      <c r="AS900" s="35"/>
      <c r="AT900" s="35"/>
      <c r="AU900" s="35"/>
      <c r="AV900" s="35"/>
      <c r="AW900" s="35"/>
    </row>
    <row r="901" spans="1:49" s="27" customFormat="1" ht="15.75" x14ac:dyDescent="0.2">
      <c r="A901" s="35"/>
      <c r="B901" s="35"/>
      <c r="C901" s="35"/>
      <c r="D901" s="35"/>
      <c r="E901" s="35"/>
      <c r="F901" s="35"/>
      <c r="G901" s="35"/>
      <c r="H901" s="35"/>
      <c r="I901" s="35"/>
      <c r="J901" s="35"/>
      <c r="K901" s="35"/>
      <c r="L901" s="35"/>
      <c r="M901" s="35"/>
      <c r="N901" s="35"/>
      <c r="O901" s="35"/>
      <c r="P901" s="35"/>
      <c r="Q901" s="35"/>
      <c r="R901" s="35"/>
      <c r="S901" s="35"/>
      <c r="T901" s="35"/>
      <c r="U901" s="35"/>
      <c r="V901" s="35"/>
      <c r="W901" s="35"/>
      <c r="X901" s="35"/>
      <c r="Y901" s="35"/>
      <c r="Z901" s="35"/>
      <c r="AA901" s="35"/>
      <c r="AB901" s="35"/>
      <c r="AC901" s="35"/>
      <c r="AD901" s="35"/>
      <c r="AE901" s="35"/>
      <c r="AF901" s="35"/>
      <c r="AG901" s="35"/>
      <c r="AH901" s="35"/>
      <c r="AI901" s="35"/>
      <c r="AJ901" s="35"/>
      <c r="AK901" s="35"/>
      <c r="AL901" s="35"/>
      <c r="AM901" s="35"/>
      <c r="AN901" s="35"/>
      <c r="AO901" s="35"/>
      <c r="AP901" s="35"/>
      <c r="AQ901" s="35"/>
      <c r="AR901" s="35"/>
      <c r="AS901" s="35"/>
      <c r="AT901" s="35"/>
      <c r="AU901" s="35"/>
      <c r="AV901" s="35"/>
      <c r="AW901" s="35"/>
    </row>
    <row r="902" spans="1:49" s="27" customFormat="1" ht="15.75" x14ac:dyDescent="0.2">
      <c r="A902" s="35"/>
      <c r="B902" s="35"/>
      <c r="C902" s="35"/>
      <c r="D902" s="35"/>
      <c r="E902" s="35"/>
      <c r="F902" s="35"/>
      <c r="G902" s="35"/>
      <c r="H902" s="35"/>
      <c r="I902" s="35"/>
      <c r="J902" s="35"/>
      <c r="K902" s="35"/>
      <c r="L902" s="35"/>
      <c r="M902" s="35"/>
      <c r="N902" s="35"/>
      <c r="O902" s="35"/>
      <c r="P902" s="35"/>
      <c r="Q902" s="35"/>
      <c r="R902" s="35"/>
      <c r="S902" s="35"/>
      <c r="T902" s="35"/>
      <c r="U902" s="35"/>
      <c r="V902" s="35"/>
      <c r="W902" s="35"/>
      <c r="X902" s="35"/>
      <c r="Y902" s="35"/>
      <c r="Z902" s="35"/>
      <c r="AA902" s="35"/>
      <c r="AB902" s="35"/>
      <c r="AC902" s="35"/>
      <c r="AD902" s="35"/>
      <c r="AE902" s="35"/>
      <c r="AF902" s="35"/>
      <c r="AG902" s="35"/>
      <c r="AH902" s="35"/>
      <c r="AI902" s="35"/>
      <c r="AJ902" s="35"/>
      <c r="AK902" s="35"/>
      <c r="AL902" s="35"/>
      <c r="AM902" s="35"/>
      <c r="AN902" s="35"/>
      <c r="AO902" s="35"/>
      <c r="AP902" s="35"/>
      <c r="AQ902" s="35"/>
      <c r="AR902" s="35"/>
      <c r="AS902" s="35"/>
      <c r="AT902" s="35"/>
      <c r="AU902" s="35"/>
      <c r="AV902" s="35"/>
      <c r="AW902" s="35"/>
    </row>
    <row r="903" spans="1:49" s="27" customFormat="1" ht="15.75" x14ac:dyDescent="0.2">
      <c r="A903" s="35"/>
      <c r="B903" s="35"/>
      <c r="C903" s="35"/>
      <c r="D903" s="35"/>
      <c r="E903" s="35"/>
      <c r="F903" s="35"/>
      <c r="G903" s="35"/>
      <c r="H903" s="35"/>
      <c r="I903" s="35"/>
      <c r="J903" s="35"/>
      <c r="K903" s="35"/>
      <c r="L903" s="35"/>
      <c r="M903" s="35"/>
      <c r="N903" s="35"/>
      <c r="O903" s="35"/>
      <c r="P903" s="35"/>
      <c r="Q903" s="35"/>
      <c r="R903" s="35"/>
      <c r="S903" s="35"/>
      <c r="T903" s="35"/>
      <c r="U903" s="35"/>
      <c r="V903" s="35"/>
      <c r="W903" s="35"/>
      <c r="X903" s="35"/>
      <c r="Y903" s="35"/>
      <c r="Z903" s="35"/>
      <c r="AA903" s="35"/>
      <c r="AB903" s="35"/>
      <c r="AC903" s="35"/>
      <c r="AD903" s="35"/>
      <c r="AE903" s="35"/>
      <c r="AF903" s="35"/>
      <c r="AG903" s="35"/>
      <c r="AH903" s="35"/>
      <c r="AI903" s="35"/>
      <c r="AJ903" s="35"/>
      <c r="AK903" s="35"/>
      <c r="AL903" s="35"/>
      <c r="AM903" s="35"/>
      <c r="AN903" s="35"/>
      <c r="AO903" s="35"/>
      <c r="AP903" s="35"/>
      <c r="AQ903" s="35"/>
      <c r="AR903" s="35"/>
      <c r="AS903" s="35"/>
      <c r="AT903" s="35"/>
      <c r="AU903" s="35"/>
      <c r="AV903" s="35"/>
      <c r="AW903" s="35"/>
    </row>
    <row r="904" spans="1:49" s="27" customFormat="1" ht="15.75" x14ac:dyDescent="0.2">
      <c r="A904" s="35"/>
      <c r="B904" s="35"/>
      <c r="C904" s="35"/>
      <c r="D904" s="35"/>
      <c r="E904" s="35"/>
      <c r="F904" s="35"/>
      <c r="G904" s="35"/>
      <c r="H904" s="35"/>
      <c r="I904" s="35"/>
      <c r="J904" s="35"/>
      <c r="K904" s="35"/>
      <c r="L904" s="35"/>
      <c r="M904" s="35"/>
      <c r="N904" s="35"/>
      <c r="O904" s="35"/>
      <c r="P904" s="35"/>
      <c r="Q904" s="35"/>
      <c r="R904" s="35"/>
      <c r="S904" s="35"/>
      <c r="T904" s="35"/>
      <c r="U904" s="35"/>
      <c r="V904" s="35"/>
      <c r="W904" s="35"/>
      <c r="X904" s="35"/>
      <c r="Y904" s="35"/>
      <c r="Z904" s="35"/>
      <c r="AA904" s="35"/>
      <c r="AB904" s="35"/>
      <c r="AC904" s="35"/>
      <c r="AD904" s="35"/>
      <c r="AE904" s="35"/>
      <c r="AF904" s="35"/>
      <c r="AG904" s="35"/>
      <c r="AH904" s="35"/>
      <c r="AI904" s="35"/>
      <c r="AJ904" s="35"/>
      <c r="AK904" s="35"/>
      <c r="AL904" s="35"/>
      <c r="AM904" s="35"/>
      <c r="AN904" s="35"/>
      <c r="AO904" s="35"/>
      <c r="AP904" s="35"/>
      <c r="AQ904" s="35"/>
      <c r="AR904" s="35"/>
      <c r="AS904" s="35"/>
      <c r="AT904" s="35"/>
      <c r="AU904" s="35"/>
      <c r="AV904" s="35"/>
      <c r="AW904" s="35"/>
    </row>
    <row r="905" spans="1:49" s="52" customFormat="1" ht="15.75" x14ac:dyDescent="0.2">
      <c r="A905" s="35"/>
      <c r="B905" s="35"/>
      <c r="C905" s="35"/>
      <c r="D905" s="35"/>
      <c r="E905" s="35"/>
      <c r="F905" s="35"/>
      <c r="G905" s="35"/>
      <c r="H905" s="35"/>
      <c r="I905" s="35"/>
      <c r="J905" s="35"/>
      <c r="K905" s="35"/>
      <c r="L905" s="35"/>
      <c r="M905" s="35"/>
      <c r="N905" s="35"/>
      <c r="O905" s="35"/>
      <c r="P905" s="35"/>
      <c r="Q905" s="35"/>
      <c r="R905" s="35"/>
      <c r="S905" s="35"/>
      <c r="T905" s="35"/>
      <c r="U905" s="35"/>
      <c r="V905" s="35"/>
      <c r="W905" s="35"/>
      <c r="X905" s="35"/>
      <c r="Y905" s="35"/>
      <c r="Z905" s="35"/>
      <c r="AA905" s="35"/>
      <c r="AB905" s="35"/>
      <c r="AC905" s="35"/>
      <c r="AD905" s="35"/>
      <c r="AE905" s="35"/>
      <c r="AF905" s="35"/>
      <c r="AG905" s="35"/>
      <c r="AH905" s="35"/>
      <c r="AI905" s="35"/>
      <c r="AJ905" s="35"/>
      <c r="AK905" s="35"/>
      <c r="AL905" s="35"/>
      <c r="AM905" s="35"/>
      <c r="AN905" s="35"/>
      <c r="AO905" s="35"/>
      <c r="AP905" s="35"/>
      <c r="AQ905" s="35"/>
      <c r="AR905" s="35"/>
      <c r="AS905" s="35"/>
      <c r="AT905" s="35"/>
      <c r="AU905" s="35"/>
      <c r="AV905" s="35"/>
      <c r="AW905" s="35"/>
    </row>
    <row r="906" spans="1:49" s="27" customFormat="1" ht="15.75" x14ac:dyDescent="0.2">
      <c r="A906" s="35"/>
      <c r="B906" s="35"/>
      <c r="C906" s="35"/>
      <c r="D906" s="35"/>
      <c r="E906" s="35"/>
      <c r="F906" s="35"/>
      <c r="G906" s="35"/>
      <c r="H906" s="35"/>
      <c r="I906" s="35"/>
      <c r="J906" s="35"/>
      <c r="K906" s="35"/>
      <c r="L906" s="35"/>
      <c r="M906" s="35"/>
      <c r="N906" s="35"/>
      <c r="O906" s="35"/>
      <c r="P906" s="35"/>
      <c r="Q906" s="35"/>
      <c r="R906" s="35"/>
      <c r="S906" s="35"/>
      <c r="T906" s="35"/>
      <c r="U906" s="35"/>
      <c r="V906" s="35"/>
      <c r="W906" s="35"/>
      <c r="X906" s="35"/>
      <c r="Y906" s="35"/>
      <c r="Z906" s="35"/>
      <c r="AA906" s="35"/>
      <c r="AB906" s="35"/>
      <c r="AC906" s="35"/>
      <c r="AD906" s="35"/>
      <c r="AE906" s="35"/>
      <c r="AF906" s="35"/>
      <c r="AG906" s="35"/>
      <c r="AH906" s="35"/>
      <c r="AI906" s="35"/>
      <c r="AJ906" s="35"/>
      <c r="AK906" s="35"/>
      <c r="AL906" s="35"/>
      <c r="AM906" s="35"/>
      <c r="AN906" s="35"/>
      <c r="AO906" s="35"/>
      <c r="AP906" s="35"/>
      <c r="AQ906" s="35"/>
      <c r="AR906" s="35"/>
      <c r="AS906" s="35"/>
      <c r="AT906" s="35"/>
      <c r="AU906" s="35"/>
      <c r="AV906" s="35"/>
      <c r="AW906" s="35"/>
    </row>
    <row r="907" spans="1:49" s="27" customFormat="1" ht="15.75" x14ac:dyDescent="0.2">
      <c r="A907" s="35"/>
      <c r="B907" s="35"/>
      <c r="C907" s="35"/>
      <c r="D907" s="35"/>
      <c r="E907" s="35"/>
      <c r="F907" s="35"/>
      <c r="G907" s="35"/>
      <c r="H907" s="35"/>
      <c r="I907" s="35"/>
      <c r="J907" s="35"/>
      <c r="K907" s="35"/>
      <c r="L907" s="35"/>
      <c r="M907" s="35"/>
      <c r="N907" s="35"/>
      <c r="O907" s="35"/>
      <c r="P907" s="35"/>
      <c r="Q907" s="35"/>
      <c r="R907" s="35"/>
      <c r="S907" s="35"/>
      <c r="T907" s="35"/>
      <c r="U907" s="35"/>
      <c r="V907" s="35"/>
      <c r="W907" s="35"/>
      <c r="X907" s="35"/>
      <c r="Y907" s="35"/>
      <c r="Z907" s="35"/>
      <c r="AA907" s="35"/>
      <c r="AB907" s="35"/>
      <c r="AC907" s="35"/>
      <c r="AD907" s="35"/>
      <c r="AE907" s="35"/>
      <c r="AF907" s="35"/>
      <c r="AG907" s="35"/>
      <c r="AH907" s="35"/>
      <c r="AI907" s="35"/>
      <c r="AJ907" s="35"/>
      <c r="AK907" s="35"/>
      <c r="AL907" s="35"/>
      <c r="AM907" s="35"/>
      <c r="AN907" s="35"/>
      <c r="AO907" s="35"/>
      <c r="AP907" s="35"/>
      <c r="AQ907" s="35"/>
      <c r="AR907" s="35"/>
      <c r="AS907" s="35"/>
      <c r="AT907" s="35"/>
      <c r="AU907" s="35"/>
      <c r="AV907" s="35"/>
      <c r="AW907" s="35"/>
    </row>
    <row r="908" spans="1:49" s="27" customFormat="1" ht="15.75" x14ac:dyDescent="0.2">
      <c r="A908" s="35"/>
      <c r="B908" s="35"/>
      <c r="C908" s="35"/>
      <c r="D908" s="35"/>
      <c r="E908" s="35"/>
      <c r="F908" s="35"/>
      <c r="G908" s="35"/>
      <c r="H908" s="35"/>
      <c r="I908" s="35"/>
      <c r="J908" s="35"/>
      <c r="K908" s="35"/>
      <c r="L908" s="35"/>
      <c r="M908" s="35"/>
      <c r="N908" s="35"/>
      <c r="O908" s="35"/>
      <c r="P908" s="35"/>
      <c r="Q908" s="35"/>
      <c r="R908" s="35"/>
      <c r="S908" s="35"/>
      <c r="T908" s="35"/>
      <c r="U908" s="35"/>
      <c r="V908" s="35"/>
      <c r="W908" s="35"/>
      <c r="X908" s="35"/>
      <c r="Y908" s="35"/>
      <c r="Z908" s="35"/>
      <c r="AA908" s="35"/>
      <c r="AB908" s="35"/>
      <c r="AC908" s="35"/>
      <c r="AD908" s="35"/>
      <c r="AE908" s="35"/>
      <c r="AF908" s="35"/>
      <c r="AG908" s="35"/>
      <c r="AH908" s="35"/>
      <c r="AI908" s="35"/>
      <c r="AJ908" s="35"/>
      <c r="AK908" s="35"/>
      <c r="AL908" s="35"/>
      <c r="AM908" s="35"/>
      <c r="AN908" s="35"/>
      <c r="AO908" s="35"/>
      <c r="AP908" s="35"/>
      <c r="AQ908" s="35"/>
      <c r="AR908" s="35"/>
      <c r="AS908" s="35"/>
      <c r="AT908" s="35"/>
      <c r="AU908" s="35"/>
      <c r="AV908" s="35"/>
      <c r="AW908" s="35"/>
    </row>
    <row r="909" spans="1:49" s="27" customFormat="1" ht="15.75" x14ac:dyDescent="0.2">
      <c r="A909" s="35"/>
      <c r="B909" s="35"/>
      <c r="C909" s="35"/>
      <c r="D909" s="35"/>
      <c r="E909" s="35"/>
      <c r="F909" s="35"/>
      <c r="G909" s="35"/>
      <c r="H909" s="35"/>
      <c r="I909" s="35"/>
      <c r="J909" s="35"/>
      <c r="K909" s="35"/>
      <c r="L909" s="35"/>
      <c r="M909" s="35"/>
      <c r="N909" s="35"/>
      <c r="O909" s="35"/>
      <c r="P909" s="35"/>
      <c r="Q909" s="35"/>
      <c r="R909" s="35"/>
      <c r="S909" s="35"/>
      <c r="T909" s="35"/>
      <c r="U909" s="35"/>
      <c r="V909" s="35"/>
      <c r="W909" s="35"/>
      <c r="X909" s="35"/>
      <c r="Y909" s="35"/>
      <c r="Z909" s="35"/>
      <c r="AA909" s="35"/>
      <c r="AB909" s="35"/>
      <c r="AC909" s="35"/>
      <c r="AD909" s="35"/>
      <c r="AE909" s="35"/>
      <c r="AF909" s="35"/>
      <c r="AG909" s="35"/>
      <c r="AH909" s="35"/>
      <c r="AI909" s="35"/>
      <c r="AJ909" s="35"/>
      <c r="AK909" s="35"/>
      <c r="AL909" s="35"/>
      <c r="AM909" s="35"/>
      <c r="AN909" s="35"/>
      <c r="AO909" s="35"/>
      <c r="AP909" s="35"/>
      <c r="AQ909" s="35"/>
      <c r="AR909" s="35"/>
      <c r="AS909" s="35"/>
      <c r="AT909" s="35"/>
      <c r="AU909" s="35"/>
      <c r="AV909" s="35"/>
      <c r="AW909" s="35"/>
    </row>
    <row r="910" spans="1:49" s="52" customFormat="1" ht="15.75" x14ac:dyDescent="0.2">
      <c r="A910" s="35"/>
      <c r="B910" s="35"/>
      <c r="C910" s="35"/>
      <c r="D910" s="35"/>
      <c r="E910" s="35"/>
      <c r="F910" s="35"/>
      <c r="G910" s="35"/>
      <c r="H910" s="35"/>
      <c r="I910" s="35"/>
      <c r="J910" s="35"/>
      <c r="K910" s="35"/>
      <c r="L910" s="35"/>
      <c r="M910" s="35"/>
      <c r="N910" s="35"/>
      <c r="O910" s="35"/>
      <c r="P910" s="35"/>
      <c r="Q910" s="35"/>
      <c r="R910" s="35"/>
      <c r="S910" s="35"/>
      <c r="T910" s="35"/>
      <c r="U910" s="35"/>
      <c r="V910" s="35"/>
      <c r="W910" s="35"/>
      <c r="X910" s="35"/>
      <c r="Y910" s="35"/>
      <c r="Z910" s="35"/>
      <c r="AA910" s="35"/>
      <c r="AB910" s="35"/>
      <c r="AC910" s="35"/>
      <c r="AD910" s="35"/>
      <c r="AE910" s="35"/>
      <c r="AF910" s="35"/>
      <c r="AG910" s="35"/>
      <c r="AH910" s="35"/>
      <c r="AI910" s="35"/>
      <c r="AJ910" s="35"/>
      <c r="AK910" s="35"/>
      <c r="AL910" s="35"/>
      <c r="AM910" s="35"/>
      <c r="AN910" s="35"/>
      <c r="AO910" s="35"/>
      <c r="AP910" s="35"/>
      <c r="AQ910" s="35"/>
      <c r="AR910" s="35"/>
      <c r="AS910" s="35"/>
      <c r="AT910" s="35"/>
      <c r="AU910" s="35"/>
      <c r="AV910" s="35"/>
      <c r="AW910" s="35"/>
    </row>
    <row r="911" spans="1:49" s="27" customFormat="1" ht="15.75" x14ac:dyDescent="0.2">
      <c r="A911" s="35"/>
      <c r="B911" s="35"/>
      <c r="C911" s="35"/>
      <c r="D911" s="35"/>
      <c r="E911" s="35"/>
      <c r="F911" s="35"/>
      <c r="G911" s="35"/>
      <c r="H911" s="35"/>
      <c r="I911" s="35"/>
      <c r="J911" s="35"/>
      <c r="K911" s="35"/>
      <c r="L911" s="35"/>
      <c r="M911" s="35"/>
      <c r="N911" s="35"/>
      <c r="O911" s="35"/>
      <c r="P911" s="35"/>
      <c r="Q911" s="35"/>
      <c r="R911" s="35"/>
      <c r="S911" s="35"/>
      <c r="T911" s="35"/>
      <c r="U911" s="35"/>
      <c r="V911" s="35"/>
      <c r="W911" s="35"/>
      <c r="X911" s="35"/>
      <c r="Y911" s="35"/>
      <c r="Z911" s="35"/>
      <c r="AA911" s="35"/>
      <c r="AB911" s="35"/>
      <c r="AC911" s="35"/>
      <c r="AD911" s="35"/>
      <c r="AE911" s="35"/>
      <c r="AF911" s="35"/>
      <c r="AG911" s="35"/>
      <c r="AH911" s="35"/>
      <c r="AI911" s="35"/>
      <c r="AJ911" s="35"/>
      <c r="AK911" s="35"/>
      <c r="AL911" s="35"/>
      <c r="AM911" s="35"/>
      <c r="AN911" s="35"/>
      <c r="AO911" s="35"/>
      <c r="AP911" s="35"/>
      <c r="AQ911" s="35"/>
      <c r="AR911" s="35"/>
      <c r="AS911" s="35"/>
      <c r="AT911" s="35"/>
      <c r="AU911" s="35"/>
      <c r="AV911" s="35"/>
      <c r="AW911" s="35"/>
    </row>
    <row r="912" spans="1:49" s="27" customFormat="1" ht="15.75" x14ac:dyDescent="0.2">
      <c r="A912" s="35"/>
      <c r="B912" s="35"/>
      <c r="C912" s="35"/>
      <c r="D912" s="35"/>
      <c r="E912" s="35"/>
      <c r="F912" s="35"/>
      <c r="G912" s="35"/>
      <c r="H912" s="35"/>
      <c r="I912" s="35"/>
      <c r="J912" s="35"/>
      <c r="K912" s="35"/>
      <c r="L912" s="35"/>
      <c r="M912" s="35"/>
      <c r="N912" s="35"/>
      <c r="O912" s="35"/>
      <c r="P912" s="35"/>
      <c r="Q912" s="35"/>
      <c r="R912" s="35"/>
      <c r="S912" s="35"/>
      <c r="T912" s="35"/>
      <c r="U912" s="35"/>
      <c r="V912" s="35"/>
      <c r="W912" s="35"/>
      <c r="X912" s="35"/>
      <c r="Y912" s="35"/>
      <c r="Z912" s="35"/>
      <c r="AA912" s="35"/>
      <c r="AB912" s="35"/>
      <c r="AC912" s="35"/>
      <c r="AD912" s="35"/>
      <c r="AE912" s="35"/>
      <c r="AF912" s="35"/>
      <c r="AG912" s="35"/>
      <c r="AH912" s="35"/>
      <c r="AI912" s="35"/>
      <c r="AJ912" s="35"/>
      <c r="AK912" s="35"/>
      <c r="AL912" s="35"/>
      <c r="AM912" s="35"/>
      <c r="AN912" s="35"/>
      <c r="AO912" s="35"/>
      <c r="AP912" s="35"/>
      <c r="AQ912" s="35"/>
      <c r="AR912" s="35"/>
      <c r="AS912" s="35"/>
      <c r="AT912" s="35"/>
      <c r="AU912" s="35"/>
      <c r="AV912" s="35"/>
      <c r="AW912" s="35"/>
    </row>
    <row r="913" spans="1:49" s="27" customFormat="1" ht="15.75" x14ac:dyDescent="0.2">
      <c r="A913" s="35"/>
      <c r="B913" s="35"/>
      <c r="C913" s="35"/>
      <c r="D913" s="35"/>
      <c r="E913" s="35"/>
      <c r="F913" s="35"/>
      <c r="G913" s="35"/>
      <c r="H913" s="35"/>
      <c r="I913" s="35"/>
      <c r="J913" s="35"/>
      <c r="K913" s="35"/>
      <c r="L913" s="35"/>
      <c r="M913" s="35"/>
      <c r="N913" s="35"/>
      <c r="O913" s="35"/>
      <c r="P913" s="35"/>
      <c r="Q913" s="35"/>
      <c r="R913" s="35"/>
      <c r="S913" s="35"/>
      <c r="T913" s="35"/>
      <c r="U913" s="35"/>
      <c r="V913" s="35"/>
      <c r="W913" s="35"/>
      <c r="X913" s="35"/>
      <c r="Y913" s="35"/>
      <c r="Z913" s="35"/>
      <c r="AA913" s="35"/>
      <c r="AB913" s="35"/>
      <c r="AC913" s="35"/>
      <c r="AD913" s="35"/>
      <c r="AE913" s="35"/>
      <c r="AF913" s="35"/>
      <c r="AG913" s="35"/>
      <c r="AH913" s="35"/>
      <c r="AI913" s="35"/>
      <c r="AJ913" s="35"/>
      <c r="AK913" s="35"/>
      <c r="AL913" s="35"/>
      <c r="AM913" s="35"/>
      <c r="AN913" s="35"/>
      <c r="AO913" s="35"/>
      <c r="AP913" s="35"/>
      <c r="AQ913" s="35"/>
      <c r="AR913" s="35"/>
      <c r="AS913" s="35"/>
      <c r="AT913" s="35"/>
      <c r="AU913" s="35"/>
      <c r="AV913" s="35"/>
      <c r="AW913" s="35"/>
    </row>
    <row r="914" spans="1:49" s="27" customFormat="1" ht="15.75" x14ac:dyDescent="0.2">
      <c r="A914" s="35"/>
      <c r="B914" s="35"/>
      <c r="C914" s="35"/>
      <c r="D914" s="35"/>
      <c r="E914" s="35"/>
      <c r="F914" s="35"/>
      <c r="G914" s="35"/>
      <c r="H914" s="35"/>
      <c r="I914" s="35"/>
      <c r="J914" s="35"/>
      <c r="K914" s="35"/>
      <c r="L914" s="35"/>
      <c r="M914" s="35"/>
      <c r="N914" s="35"/>
      <c r="O914" s="35"/>
      <c r="P914" s="35"/>
      <c r="Q914" s="35"/>
      <c r="R914" s="35"/>
      <c r="S914" s="35"/>
      <c r="T914" s="35"/>
      <c r="U914" s="35"/>
      <c r="V914" s="35"/>
      <c r="W914" s="35"/>
      <c r="X914" s="35"/>
      <c r="Y914" s="35"/>
      <c r="Z914" s="35"/>
      <c r="AA914" s="35"/>
      <c r="AB914" s="35"/>
      <c r="AC914" s="35"/>
      <c r="AD914" s="35"/>
      <c r="AE914" s="35"/>
      <c r="AF914" s="35"/>
      <c r="AG914" s="35"/>
      <c r="AH914" s="35"/>
      <c r="AI914" s="35"/>
      <c r="AJ914" s="35"/>
      <c r="AK914" s="35"/>
      <c r="AL914" s="35"/>
      <c r="AM914" s="35"/>
      <c r="AN914" s="35"/>
      <c r="AO914" s="35"/>
      <c r="AP914" s="35"/>
      <c r="AQ914" s="35"/>
      <c r="AR914" s="35"/>
      <c r="AS914" s="35"/>
      <c r="AT914" s="35"/>
      <c r="AU914" s="35"/>
      <c r="AV914" s="35"/>
      <c r="AW914" s="35"/>
    </row>
    <row r="1200" spans="1:49" s="47" customFormat="1" ht="15.75" x14ac:dyDescent="0.2">
      <c r="A1200" s="35"/>
      <c r="B1200" s="35"/>
      <c r="C1200" s="35"/>
      <c r="D1200" s="35"/>
      <c r="E1200" s="35"/>
      <c r="F1200" s="35"/>
      <c r="G1200" s="35"/>
      <c r="H1200" s="35"/>
      <c r="I1200" s="35"/>
      <c r="J1200" s="35"/>
      <c r="K1200" s="35"/>
      <c r="L1200" s="35"/>
      <c r="M1200" s="35"/>
      <c r="N1200" s="35"/>
      <c r="O1200" s="35"/>
      <c r="P1200" s="35"/>
      <c r="Q1200" s="35"/>
      <c r="R1200" s="35"/>
      <c r="S1200" s="35"/>
      <c r="T1200" s="35"/>
      <c r="U1200" s="35"/>
      <c r="V1200" s="35"/>
      <c r="W1200" s="35"/>
      <c r="X1200" s="35"/>
      <c r="Y1200" s="35"/>
      <c r="Z1200" s="35"/>
      <c r="AA1200" s="35"/>
      <c r="AB1200" s="35"/>
      <c r="AC1200" s="35"/>
      <c r="AD1200" s="35"/>
      <c r="AE1200" s="35"/>
      <c r="AF1200" s="35"/>
      <c r="AG1200" s="35"/>
      <c r="AH1200" s="35"/>
      <c r="AI1200" s="35"/>
      <c r="AJ1200" s="35"/>
      <c r="AK1200" s="35"/>
      <c r="AL1200" s="35"/>
      <c r="AM1200" s="35"/>
      <c r="AN1200" s="35"/>
      <c r="AO1200" s="35"/>
      <c r="AP1200" s="35"/>
      <c r="AQ1200" s="35"/>
      <c r="AR1200" s="35"/>
      <c r="AS1200" s="35"/>
      <c r="AT1200" s="35"/>
      <c r="AU1200" s="35"/>
      <c r="AV1200" s="35"/>
      <c r="AW1200" s="35"/>
    </row>
    <row r="1201" spans="1:49" s="47" customFormat="1" ht="15.75" x14ac:dyDescent="0.2">
      <c r="A1201" s="35"/>
      <c r="B1201" s="35"/>
      <c r="C1201" s="35"/>
      <c r="D1201" s="35"/>
      <c r="E1201" s="35"/>
      <c r="F1201" s="35"/>
      <c r="G1201" s="35"/>
      <c r="H1201" s="35"/>
      <c r="I1201" s="35"/>
      <c r="J1201" s="35"/>
      <c r="K1201" s="35"/>
      <c r="L1201" s="35"/>
      <c r="M1201" s="35"/>
      <c r="N1201" s="35"/>
      <c r="O1201" s="35"/>
      <c r="P1201" s="35"/>
      <c r="Q1201" s="35"/>
      <c r="R1201" s="35"/>
      <c r="S1201" s="35"/>
      <c r="T1201" s="35"/>
      <c r="U1201" s="35"/>
      <c r="V1201" s="35"/>
      <c r="W1201" s="35"/>
      <c r="X1201" s="35"/>
      <c r="Y1201" s="35"/>
      <c r="Z1201" s="35"/>
      <c r="AA1201" s="35"/>
      <c r="AB1201" s="35"/>
      <c r="AC1201" s="35"/>
      <c r="AD1201" s="35"/>
      <c r="AE1201" s="35"/>
      <c r="AF1201" s="35"/>
      <c r="AG1201" s="35"/>
      <c r="AH1201" s="35"/>
      <c r="AI1201" s="35"/>
      <c r="AJ1201" s="35"/>
      <c r="AK1201" s="35"/>
      <c r="AL1201" s="35"/>
      <c r="AM1201" s="35"/>
      <c r="AN1201" s="35"/>
      <c r="AO1201" s="35"/>
      <c r="AP1201" s="35"/>
      <c r="AQ1201" s="35"/>
      <c r="AR1201" s="35"/>
      <c r="AS1201" s="35"/>
      <c r="AT1201" s="35"/>
      <c r="AU1201" s="35"/>
      <c r="AV1201" s="35"/>
      <c r="AW1201" s="35"/>
    </row>
    <row r="1202" spans="1:49" s="47" customFormat="1" ht="15.75" x14ac:dyDescent="0.2">
      <c r="A1202" s="35"/>
      <c r="B1202" s="35"/>
      <c r="C1202" s="35"/>
      <c r="D1202" s="35"/>
      <c r="E1202" s="35"/>
      <c r="F1202" s="35"/>
      <c r="G1202" s="35"/>
      <c r="H1202" s="35"/>
      <c r="I1202" s="35"/>
      <c r="J1202" s="35"/>
      <c r="K1202" s="35"/>
      <c r="L1202" s="35"/>
      <c r="M1202" s="35"/>
      <c r="N1202" s="35"/>
      <c r="O1202" s="35"/>
      <c r="P1202" s="35"/>
      <c r="Q1202" s="35"/>
      <c r="R1202" s="35"/>
      <c r="S1202" s="35"/>
      <c r="T1202" s="35"/>
      <c r="U1202" s="35"/>
      <c r="V1202" s="35"/>
      <c r="W1202" s="35"/>
      <c r="X1202" s="35"/>
      <c r="Y1202" s="35"/>
      <c r="Z1202" s="35"/>
      <c r="AA1202" s="35"/>
      <c r="AB1202" s="35"/>
      <c r="AC1202" s="35"/>
      <c r="AD1202" s="35"/>
      <c r="AE1202" s="35"/>
      <c r="AF1202" s="35"/>
      <c r="AG1202" s="35"/>
      <c r="AH1202" s="35"/>
      <c r="AI1202" s="35"/>
      <c r="AJ1202" s="35"/>
      <c r="AK1202" s="35"/>
      <c r="AL1202" s="35"/>
      <c r="AM1202" s="35"/>
      <c r="AN1202" s="35"/>
      <c r="AO1202" s="35"/>
      <c r="AP1202" s="35"/>
      <c r="AQ1202" s="35"/>
      <c r="AR1202" s="35"/>
      <c r="AS1202" s="35"/>
      <c r="AT1202" s="35"/>
      <c r="AU1202" s="35"/>
      <c r="AV1202" s="35"/>
      <c r="AW1202" s="35"/>
    </row>
    <row r="1203" spans="1:49" s="47" customFormat="1" ht="15.75" x14ac:dyDescent="0.2">
      <c r="A1203" s="35"/>
      <c r="B1203" s="35"/>
      <c r="C1203" s="35"/>
      <c r="D1203" s="35"/>
      <c r="E1203" s="35"/>
      <c r="F1203" s="35"/>
      <c r="G1203" s="35"/>
      <c r="H1203" s="35"/>
      <c r="I1203" s="35"/>
      <c r="J1203" s="35"/>
      <c r="K1203" s="35"/>
      <c r="L1203" s="35"/>
      <c r="M1203" s="35"/>
      <c r="N1203" s="35"/>
      <c r="O1203" s="35"/>
      <c r="P1203" s="35"/>
      <c r="Q1203" s="35"/>
      <c r="R1203" s="35"/>
      <c r="S1203" s="35"/>
      <c r="T1203" s="35"/>
      <c r="U1203" s="35"/>
      <c r="V1203" s="35"/>
      <c r="W1203" s="35"/>
      <c r="X1203" s="35"/>
      <c r="Y1203" s="35"/>
      <c r="Z1203" s="35"/>
      <c r="AA1203" s="35"/>
      <c r="AB1203" s="35"/>
      <c r="AC1203" s="35"/>
      <c r="AD1203" s="35"/>
      <c r="AE1203" s="35"/>
      <c r="AF1203" s="35"/>
      <c r="AG1203" s="35"/>
      <c r="AH1203" s="35"/>
      <c r="AI1203" s="35"/>
      <c r="AJ1203" s="35"/>
      <c r="AK1203" s="35"/>
      <c r="AL1203" s="35"/>
      <c r="AM1203" s="35"/>
      <c r="AN1203" s="35"/>
      <c r="AO1203" s="35"/>
      <c r="AP1203" s="35"/>
      <c r="AQ1203" s="35"/>
      <c r="AR1203" s="35"/>
      <c r="AS1203" s="35"/>
      <c r="AT1203" s="35"/>
      <c r="AU1203" s="35"/>
      <c r="AV1203" s="35"/>
      <c r="AW1203" s="35"/>
    </row>
    <row r="1204" spans="1:49" s="47" customFormat="1" ht="15.75" x14ac:dyDescent="0.2">
      <c r="A1204" s="35"/>
      <c r="B1204" s="35"/>
      <c r="C1204" s="35"/>
      <c r="D1204" s="35"/>
      <c r="E1204" s="35"/>
      <c r="F1204" s="35"/>
      <c r="G1204" s="35"/>
      <c r="H1204" s="35"/>
      <c r="I1204" s="35"/>
      <c r="J1204" s="35"/>
      <c r="K1204" s="35"/>
      <c r="L1204" s="35"/>
      <c r="M1204" s="35"/>
      <c r="N1204" s="35"/>
      <c r="O1204" s="35"/>
      <c r="P1204" s="35"/>
      <c r="Q1204" s="35"/>
      <c r="R1204" s="35"/>
      <c r="S1204" s="35"/>
      <c r="T1204" s="35"/>
      <c r="U1204" s="35"/>
      <c r="V1204" s="35"/>
      <c r="W1204" s="35"/>
      <c r="X1204" s="35"/>
      <c r="Y1204" s="35"/>
      <c r="Z1204" s="35"/>
      <c r="AA1204" s="35"/>
      <c r="AB1204" s="35"/>
      <c r="AC1204" s="35"/>
      <c r="AD1204" s="35"/>
      <c r="AE1204" s="35"/>
      <c r="AF1204" s="35"/>
      <c r="AG1204" s="35"/>
      <c r="AH1204" s="35"/>
      <c r="AI1204" s="35"/>
      <c r="AJ1204" s="35"/>
      <c r="AK1204" s="35"/>
      <c r="AL1204" s="35"/>
      <c r="AM1204" s="35"/>
      <c r="AN1204" s="35"/>
      <c r="AO1204" s="35"/>
      <c r="AP1204" s="35"/>
      <c r="AQ1204" s="35"/>
      <c r="AR1204" s="35"/>
      <c r="AS1204" s="35"/>
      <c r="AT1204" s="35"/>
      <c r="AU1204" s="35"/>
      <c r="AV1204" s="35"/>
      <c r="AW1204" s="35"/>
    </row>
    <row r="1205" spans="1:49" s="47" customFormat="1" ht="15.75" x14ac:dyDescent="0.2">
      <c r="A1205" s="35"/>
      <c r="B1205" s="35"/>
      <c r="C1205" s="35"/>
      <c r="D1205" s="35"/>
      <c r="E1205" s="35"/>
      <c r="F1205" s="35"/>
      <c r="G1205" s="35"/>
      <c r="H1205" s="35"/>
      <c r="I1205" s="35"/>
      <c r="J1205" s="35"/>
      <c r="K1205" s="35"/>
      <c r="L1205" s="35"/>
      <c r="M1205" s="35"/>
      <c r="N1205" s="35"/>
      <c r="O1205" s="35"/>
      <c r="P1205" s="35"/>
      <c r="Q1205" s="35"/>
      <c r="R1205" s="35"/>
      <c r="S1205" s="35"/>
      <c r="T1205" s="35"/>
      <c r="U1205" s="35"/>
      <c r="V1205" s="35"/>
      <c r="W1205" s="35"/>
      <c r="X1205" s="35"/>
      <c r="Y1205" s="35"/>
      <c r="Z1205" s="35"/>
      <c r="AA1205" s="35"/>
      <c r="AB1205" s="35"/>
      <c r="AC1205" s="35"/>
      <c r="AD1205" s="35"/>
      <c r="AE1205" s="35"/>
      <c r="AF1205" s="35"/>
      <c r="AG1205" s="35"/>
      <c r="AH1205" s="35"/>
      <c r="AI1205" s="35"/>
      <c r="AJ1205" s="35"/>
      <c r="AK1205" s="35"/>
      <c r="AL1205" s="35"/>
      <c r="AM1205" s="35"/>
      <c r="AN1205" s="35"/>
      <c r="AO1205" s="35"/>
      <c r="AP1205" s="35"/>
      <c r="AQ1205" s="35"/>
      <c r="AR1205" s="35"/>
      <c r="AS1205" s="35"/>
      <c r="AT1205" s="35"/>
      <c r="AU1205" s="35"/>
      <c r="AV1205" s="35"/>
      <c r="AW1205" s="35"/>
    </row>
    <row r="1206" spans="1:49" s="47" customFormat="1" ht="15.75" x14ac:dyDescent="0.2">
      <c r="A1206" s="35"/>
      <c r="B1206" s="35"/>
      <c r="C1206" s="35"/>
      <c r="D1206" s="35"/>
      <c r="E1206" s="35"/>
      <c r="F1206" s="35"/>
      <c r="G1206" s="35"/>
      <c r="H1206" s="35"/>
      <c r="I1206" s="35"/>
      <c r="J1206" s="35"/>
      <c r="K1206" s="35"/>
      <c r="L1206" s="35"/>
      <c r="M1206" s="35"/>
      <c r="N1206" s="35"/>
      <c r="O1206" s="35"/>
      <c r="P1206" s="35"/>
      <c r="Q1206" s="35"/>
      <c r="R1206" s="35"/>
      <c r="S1206" s="35"/>
      <c r="T1206" s="35"/>
      <c r="U1206" s="35"/>
      <c r="V1206" s="35"/>
      <c r="W1206" s="35"/>
      <c r="X1206" s="35"/>
      <c r="Y1206" s="35"/>
      <c r="Z1206" s="35"/>
      <c r="AA1206" s="35"/>
      <c r="AB1206" s="35"/>
      <c r="AC1206" s="35"/>
      <c r="AD1206" s="35"/>
      <c r="AE1206" s="35"/>
      <c r="AF1206" s="35"/>
      <c r="AG1206" s="35"/>
      <c r="AH1206" s="35"/>
      <c r="AI1206" s="35"/>
      <c r="AJ1206" s="35"/>
      <c r="AK1206" s="35"/>
      <c r="AL1206" s="35"/>
      <c r="AM1206" s="35"/>
      <c r="AN1206" s="35"/>
      <c r="AO1206" s="35"/>
      <c r="AP1206" s="35"/>
      <c r="AQ1206" s="35"/>
      <c r="AR1206" s="35"/>
      <c r="AS1206" s="35"/>
      <c r="AT1206" s="35"/>
      <c r="AU1206" s="35"/>
      <c r="AV1206" s="35"/>
      <c r="AW1206" s="35"/>
    </row>
    <row r="1207" spans="1:49" s="47" customFormat="1" ht="15.75" x14ac:dyDescent="0.2">
      <c r="A1207" s="35"/>
      <c r="B1207" s="35"/>
      <c r="C1207" s="35"/>
      <c r="D1207" s="35"/>
      <c r="E1207" s="35"/>
      <c r="F1207" s="35"/>
      <c r="G1207" s="35"/>
      <c r="H1207" s="35"/>
      <c r="I1207" s="35"/>
      <c r="J1207" s="35"/>
      <c r="K1207" s="35"/>
      <c r="L1207" s="35"/>
      <c r="M1207" s="35"/>
      <c r="N1207" s="35"/>
      <c r="O1207" s="35"/>
      <c r="P1207" s="35"/>
      <c r="Q1207" s="35"/>
      <c r="R1207" s="35"/>
      <c r="S1207" s="35"/>
      <c r="T1207" s="35"/>
      <c r="U1207" s="35"/>
      <c r="V1207" s="35"/>
      <c r="W1207" s="35"/>
      <c r="X1207" s="35"/>
      <c r="Y1207" s="35"/>
      <c r="Z1207" s="35"/>
      <c r="AA1207" s="35"/>
      <c r="AB1207" s="35"/>
      <c r="AC1207" s="35"/>
      <c r="AD1207" s="35"/>
      <c r="AE1207" s="35"/>
      <c r="AF1207" s="35"/>
      <c r="AG1207" s="35"/>
      <c r="AH1207" s="35"/>
      <c r="AI1207" s="35"/>
      <c r="AJ1207" s="35"/>
      <c r="AK1207" s="35"/>
      <c r="AL1207" s="35"/>
      <c r="AM1207" s="35"/>
      <c r="AN1207" s="35"/>
      <c r="AO1207" s="35"/>
      <c r="AP1207" s="35"/>
      <c r="AQ1207" s="35"/>
      <c r="AR1207" s="35"/>
      <c r="AS1207" s="35"/>
      <c r="AT1207" s="35"/>
      <c r="AU1207" s="35"/>
      <c r="AV1207" s="35"/>
      <c r="AW1207" s="35"/>
    </row>
    <row r="1208" spans="1:49" s="47" customFormat="1" ht="15.75" x14ac:dyDescent="0.2">
      <c r="A1208" s="35"/>
      <c r="B1208" s="35"/>
      <c r="C1208" s="35"/>
      <c r="D1208" s="35"/>
      <c r="E1208" s="35"/>
      <c r="F1208" s="35"/>
      <c r="G1208" s="35"/>
      <c r="H1208" s="35"/>
      <c r="I1208" s="35"/>
      <c r="J1208" s="35"/>
      <c r="K1208" s="35"/>
      <c r="L1208" s="35"/>
      <c r="M1208" s="35"/>
      <c r="N1208" s="35"/>
      <c r="O1208" s="35"/>
      <c r="P1208" s="35"/>
      <c r="Q1208" s="35"/>
      <c r="R1208" s="35"/>
      <c r="S1208" s="35"/>
      <c r="T1208" s="35"/>
      <c r="U1208" s="35"/>
      <c r="V1208" s="35"/>
      <c r="W1208" s="35"/>
      <c r="X1208" s="35"/>
      <c r="Y1208" s="35"/>
      <c r="Z1208" s="35"/>
      <c r="AA1208" s="35"/>
      <c r="AB1208" s="35"/>
      <c r="AC1208" s="35"/>
      <c r="AD1208" s="35"/>
      <c r="AE1208" s="35"/>
      <c r="AF1208" s="35"/>
      <c r="AG1208" s="35"/>
      <c r="AH1208" s="35"/>
      <c r="AI1208" s="35"/>
      <c r="AJ1208" s="35"/>
      <c r="AK1208" s="35"/>
      <c r="AL1208" s="35"/>
      <c r="AM1208" s="35"/>
      <c r="AN1208" s="35"/>
      <c r="AO1208" s="35"/>
      <c r="AP1208" s="35"/>
      <c r="AQ1208" s="35"/>
      <c r="AR1208" s="35"/>
      <c r="AS1208" s="35"/>
      <c r="AT1208" s="35"/>
      <c r="AU1208" s="35"/>
      <c r="AV1208" s="35"/>
      <c r="AW1208" s="35"/>
    </row>
    <row r="1209" spans="1:49" s="47" customFormat="1" ht="15.75" x14ac:dyDescent="0.2">
      <c r="A1209" s="35"/>
      <c r="B1209" s="35"/>
      <c r="C1209" s="35"/>
      <c r="D1209" s="35"/>
      <c r="E1209" s="35"/>
      <c r="F1209" s="35"/>
      <c r="G1209" s="35"/>
      <c r="H1209" s="35"/>
      <c r="I1209" s="35"/>
      <c r="J1209" s="35"/>
      <c r="K1209" s="35"/>
      <c r="L1209" s="35"/>
      <c r="M1209" s="35"/>
      <c r="N1209" s="35"/>
      <c r="O1209" s="35"/>
      <c r="P1209" s="35"/>
      <c r="Q1209" s="35"/>
      <c r="R1209" s="35"/>
      <c r="S1209" s="35"/>
      <c r="T1209" s="35"/>
      <c r="U1209" s="35"/>
      <c r="V1209" s="35"/>
      <c r="W1209" s="35"/>
      <c r="X1209" s="35"/>
      <c r="Y1209" s="35"/>
      <c r="Z1209" s="35"/>
      <c r="AA1209" s="35"/>
      <c r="AB1209" s="35"/>
      <c r="AC1209" s="35"/>
      <c r="AD1209" s="35"/>
      <c r="AE1209" s="35"/>
      <c r="AF1209" s="35"/>
      <c r="AG1209" s="35"/>
      <c r="AH1209" s="35"/>
      <c r="AI1209" s="35"/>
      <c r="AJ1209" s="35"/>
      <c r="AK1209" s="35"/>
      <c r="AL1209" s="35"/>
      <c r="AM1209" s="35"/>
      <c r="AN1209" s="35"/>
      <c r="AO1209" s="35"/>
      <c r="AP1209" s="35"/>
      <c r="AQ1209" s="35"/>
      <c r="AR1209" s="35"/>
      <c r="AS1209" s="35"/>
      <c r="AT1209" s="35"/>
      <c r="AU1209" s="35"/>
      <c r="AV1209" s="35"/>
      <c r="AW1209" s="35"/>
    </row>
    <row r="1210" spans="1:49" s="47" customFormat="1" ht="15.75" x14ac:dyDescent="0.2">
      <c r="A1210" s="35"/>
      <c r="B1210" s="35"/>
      <c r="C1210" s="35"/>
      <c r="D1210" s="35"/>
      <c r="E1210" s="35"/>
      <c r="F1210" s="35"/>
      <c r="G1210" s="35"/>
      <c r="H1210" s="35"/>
      <c r="I1210" s="35"/>
      <c r="J1210" s="35"/>
      <c r="K1210" s="35"/>
      <c r="L1210" s="35"/>
      <c r="M1210" s="35"/>
      <c r="N1210" s="35"/>
      <c r="O1210" s="35"/>
      <c r="P1210" s="35"/>
      <c r="Q1210" s="35"/>
      <c r="R1210" s="35"/>
      <c r="S1210" s="35"/>
      <c r="T1210" s="35"/>
      <c r="U1210" s="35"/>
      <c r="V1210" s="35"/>
      <c r="W1210" s="35"/>
      <c r="X1210" s="35"/>
      <c r="Y1210" s="35"/>
      <c r="Z1210" s="35"/>
      <c r="AA1210" s="35"/>
      <c r="AB1210" s="35"/>
      <c r="AC1210" s="35"/>
      <c r="AD1210" s="35"/>
      <c r="AE1210" s="35"/>
      <c r="AF1210" s="35"/>
      <c r="AG1210" s="35"/>
      <c r="AH1210" s="35"/>
      <c r="AI1210" s="35"/>
      <c r="AJ1210" s="35"/>
      <c r="AK1210" s="35"/>
      <c r="AL1210" s="35"/>
      <c r="AM1210" s="35"/>
      <c r="AN1210" s="35"/>
      <c r="AO1210" s="35"/>
      <c r="AP1210" s="35"/>
      <c r="AQ1210" s="35"/>
      <c r="AR1210" s="35"/>
      <c r="AS1210" s="35"/>
      <c r="AT1210" s="35"/>
      <c r="AU1210" s="35"/>
      <c r="AV1210" s="35"/>
      <c r="AW1210" s="35"/>
    </row>
    <row r="1211" spans="1:49" s="47" customFormat="1" ht="15.75" x14ac:dyDescent="0.2">
      <c r="A1211" s="35"/>
      <c r="B1211" s="35"/>
      <c r="C1211" s="35"/>
      <c r="D1211" s="35"/>
      <c r="E1211" s="35"/>
      <c r="F1211" s="35"/>
      <c r="G1211" s="35"/>
      <c r="H1211" s="35"/>
      <c r="I1211" s="35"/>
      <c r="J1211" s="35"/>
      <c r="K1211" s="35"/>
      <c r="L1211" s="35"/>
      <c r="M1211" s="35"/>
      <c r="N1211" s="35"/>
      <c r="O1211" s="35"/>
      <c r="P1211" s="35"/>
      <c r="Q1211" s="35"/>
      <c r="R1211" s="35"/>
      <c r="S1211" s="35"/>
      <c r="T1211" s="35"/>
      <c r="U1211" s="35"/>
      <c r="V1211" s="35"/>
      <c r="W1211" s="35"/>
      <c r="X1211" s="35"/>
      <c r="Y1211" s="35"/>
      <c r="Z1211" s="35"/>
      <c r="AA1211" s="35"/>
      <c r="AB1211" s="35"/>
      <c r="AC1211" s="35"/>
      <c r="AD1211" s="35"/>
      <c r="AE1211" s="35"/>
      <c r="AF1211" s="35"/>
      <c r="AG1211" s="35"/>
      <c r="AH1211" s="35"/>
      <c r="AI1211" s="35"/>
      <c r="AJ1211" s="35"/>
      <c r="AK1211" s="35"/>
      <c r="AL1211" s="35"/>
      <c r="AM1211" s="35"/>
      <c r="AN1211" s="35"/>
      <c r="AO1211" s="35"/>
      <c r="AP1211" s="35"/>
      <c r="AQ1211" s="35"/>
      <c r="AR1211" s="35"/>
      <c r="AS1211" s="35"/>
      <c r="AT1211" s="35"/>
      <c r="AU1211" s="35"/>
      <c r="AV1211" s="35"/>
      <c r="AW1211" s="35"/>
    </row>
    <row r="1212" spans="1:49" s="47" customFormat="1" ht="15.75" x14ac:dyDescent="0.2">
      <c r="A1212" s="35"/>
      <c r="B1212" s="35"/>
      <c r="C1212" s="35"/>
      <c r="D1212" s="35"/>
      <c r="E1212" s="35"/>
      <c r="F1212" s="35"/>
      <c r="G1212" s="35"/>
      <c r="H1212" s="35"/>
      <c r="I1212" s="35"/>
      <c r="J1212" s="35"/>
      <c r="K1212" s="35"/>
      <c r="L1212" s="35"/>
      <c r="M1212" s="35"/>
      <c r="N1212" s="35"/>
      <c r="O1212" s="35"/>
      <c r="P1212" s="35"/>
      <c r="Q1212" s="35"/>
      <c r="R1212" s="35"/>
      <c r="S1212" s="35"/>
      <c r="T1212" s="35"/>
      <c r="U1212" s="35"/>
      <c r="V1212" s="35"/>
      <c r="W1212" s="35"/>
      <c r="X1212" s="35"/>
      <c r="Y1212" s="35"/>
      <c r="Z1212" s="35"/>
      <c r="AA1212" s="35"/>
      <c r="AB1212" s="35"/>
      <c r="AC1212" s="35"/>
      <c r="AD1212" s="35"/>
      <c r="AE1212" s="35"/>
      <c r="AF1212" s="35"/>
      <c r="AG1212" s="35"/>
      <c r="AH1212" s="35"/>
      <c r="AI1212" s="35"/>
      <c r="AJ1212" s="35"/>
      <c r="AK1212" s="35"/>
      <c r="AL1212" s="35"/>
      <c r="AM1212" s="35"/>
      <c r="AN1212" s="35"/>
      <c r="AO1212" s="35"/>
      <c r="AP1212" s="35"/>
      <c r="AQ1212" s="35"/>
      <c r="AR1212" s="35"/>
      <c r="AS1212" s="35"/>
      <c r="AT1212" s="35"/>
      <c r="AU1212" s="35"/>
      <c r="AV1212" s="35"/>
      <c r="AW1212" s="35"/>
    </row>
    <row r="1213" spans="1:49" s="47" customFormat="1" ht="15.75" x14ac:dyDescent="0.2">
      <c r="A1213" s="35"/>
      <c r="B1213" s="35"/>
      <c r="C1213" s="35"/>
      <c r="D1213" s="35"/>
      <c r="E1213" s="35"/>
      <c r="F1213" s="35"/>
      <c r="G1213" s="35"/>
      <c r="H1213" s="35"/>
      <c r="I1213" s="35"/>
      <c r="J1213" s="35"/>
      <c r="K1213" s="35"/>
      <c r="L1213" s="35"/>
      <c r="M1213" s="35"/>
      <c r="N1213" s="35"/>
      <c r="O1213" s="35"/>
      <c r="P1213" s="35"/>
      <c r="Q1213" s="35"/>
      <c r="R1213" s="35"/>
      <c r="S1213" s="35"/>
      <c r="T1213" s="35"/>
      <c r="U1213" s="35"/>
      <c r="V1213" s="35"/>
      <c r="W1213" s="35"/>
      <c r="X1213" s="35"/>
      <c r="Y1213" s="35"/>
      <c r="Z1213" s="35"/>
      <c r="AA1213" s="35"/>
      <c r="AB1213" s="35"/>
      <c r="AC1213" s="35"/>
      <c r="AD1213" s="35"/>
      <c r="AE1213" s="35"/>
      <c r="AF1213" s="35"/>
      <c r="AG1213" s="35"/>
      <c r="AH1213" s="35"/>
      <c r="AI1213" s="35"/>
      <c r="AJ1213" s="35"/>
      <c r="AK1213" s="35"/>
      <c r="AL1213" s="35"/>
      <c r="AM1213" s="35"/>
      <c r="AN1213" s="35"/>
      <c r="AO1213" s="35"/>
      <c r="AP1213" s="35"/>
      <c r="AQ1213" s="35"/>
      <c r="AR1213" s="35"/>
      <c r="AS1213" s="35"/>
      <c r="AT1213" s="35"/>
      <c r="AU1213" s="35"/>
      <c r="AV1213" s="35"/>
      <c r="AW1213" s="35"/>
    </row>
    <row r="1214" spans="1:49" s="47" customFormat="1" ht="15.75" x14ac:dyDescent="0.2">
      <c r="A1214" s="35"/>
      <c r="B1214" s="35"/>
      <c r="C1214" s="35"/>
      <c r="D1214" s="35"/>
      <c r="E1214" s="35"/>
      <c r="F1214" s="35"/>
      <c r="G1214" s="35"/>
      <c r="H1214" s="35"/>
      <c r="I1214" s="35"/>
      <c r="J1214" s="35"/>
      <c r="K1214" s="35"/>
      <c r="L1214" s="35"/>
      <c r="M1214" s="35"/>
      <c r="N1214" s="35"/>
      <c r="O1214" s="35"/>
      <c r="P1214" s="35"/>
      <c r="Q1214" s="35"/>
      <c r="R1214" s="35"/>
      <c r="S1214" s="35"/>
      <c r="T1214" s="35"/>
      <c r="U1214" s="35"/>
      <c r="V1214" s="35"/>
      <c r="W1214" s="35"/>
      <c r="X1214" s="35"/>
      <c r="Y1214" s="35"/>
      <c r="Z1214" s="35"/>
      <c r="AA1214" s="35"/>
      <c r="AB1214" s="35"/>
      <c r="AC1214" s="35"/>
      <c r="AD1214" s="35"/>
      <c r="AE1214" s="35"/>
      <c r="AF1214" s="35"/>
      <c r="AG1214" s="35"/>
      <c r="AH1214" s="35"/>
      <c r="AI1214" s="35"/>
      <c r="AJ1214" s="35"/>
      <c r="AK1214" s="35"/>
      <c r="AL1214" s="35"/>
      <c r="AM1214" s="35"/>
      <c r="AN1214" s="35"/>
      <c r="AO1214" s="35"/>
      <c r="AP1214" s="35"/>
      <c r="AQ1214" s="35"/>
      <c r="AR1214" s="35"/>
      <c r="AS1214" s="35"/>
      <c r="AT1214" s="35"/>
      <c r="AU1214" s="35"/>
      <c r="AV1214" s="35"/>
      <c r="AW1214" s="35"/>
    </row>
    <row r="1215" spans="1:49" s="47" customFormat="1" ht="15.75" x14ac:dyDescent="0.2">
      <c r="A1215" s="35"/>
      <c r="B1215" s="35"/>
      <c r="C1215" s="35"/>
      <c r="D1215" s="35"/>
      <c r="E1215" s="35"/>
      <c r="F1215" s="35"/>
      <c r="G1215" s="35"/>
      <c r="H1215" s="35"/>
      <c r="I1215" s="35"/>
      <c r="J1215" s="35"/>
      <c r="K1215" s="35"/>
      <c r="L1215" s="35"/>
      <c r="M1215" s="35"/>
      <c r="N1215" s="35"/>
      <c r="O1215" s="35"/>
      <c r="P1215" s="35"/>
      <c r="Q1215" s="35"/>
      <c r="R1215" s="35"/>
      <c r="S1215" s="35"/>
      <c r="T1215" s="35"/>
      <c r="U1215" s="35"/>
      <c r="V1215" s="35"/>
      <c r="W1215" s="35"/>
      <c r="X1215" s="35"/>
      <c r="Y1215" s="35"/>
      <c r="Z1215" s="35"/>
      <c r="AA1215" s="35"/>
      <c r="AB1215" s="35"/>
      <c r="AC1215" s="35"/>
      <c r="AD1215" s="35"/>
      <c r="AE1215" s="35"/>
      <c r="AF1215" s="35"/>
      <c r="AG1215" s="35"/>
      <c r="AH1215" s="35"/>
      <c r="AI1215" s="35"/>
      <c r="AJ1215" s="35"/>
      <c r="AK1215" s="35"/>
      <c r="AL1215" s="35"/>
      <c r="AM1215" s="35"/>
      <c r="AN1215" s="35"/>
      <c r="AO1215" s="35"/>
      <c r="AP1215" s="35"/>
      <c r="AQ1215" s="35"/>
      <c r="AR1215" s="35"/>
      <c r="AS1215" s="35"/>
      <c r="AT1215" s="35"/>
      <c r="AU1215" s="35"/>
      <c r="AV1215" s="35"/>
      <c r="AW1215" s="35"/>
    </row>
    <row r="1216" spans="1:49" s="47" customFormat="1" ht="15.75" x14ac:dyDescent="0.2">
      <c r="A1216" s="35"/>
      <c r="B1216" s="35"/>
      <c r="C1216" s="35"/>
      <c r="D1216" s="35"/>
      <c r="E1216" s="35"/>
      <c r="F1216" s="35"/>
      <c r="G1216" s="35"/>
      <c r="H1216" s="35"/>
      <c r="I1216" s="35"/>
      <c r="J1216" s="35"/>
      <c r="K1216" s="35"/>
      <c r="L1216" s="35"/>
      <c r="M1216" s="35"/>
      <c r="N1216" s="35"/>
      <c r="O1216" s="35"/>
      <c r="P1216" s="35"/>
      <c r="Q1216" s="35"/>
      <c r="R1216" s="35"/>
      <c r="S1216" s="35"/>
      <c r="T1216" s="35"/>
      <c r="U1216" s="35"/>
      <c r="V1216" s="35"/>
      <c r="W1216" s="35"/>
      <c r="X1216" s="35"/>
      <c r="Y1216" s="35"/>
      <c r="Z1216" s="35"/>
      <c r="AA1216" s="35"/>
      <c r="AB1216" s="35"/>
      <c r="AC1216" s="35"/>
      <c r="AD1216" s="35"/>
      <c r="AE1216" s="35"/>
      <c r="AF1216" s="35"/>
      <c r="AG1216" s="35"/>
      <c r="AH1216" s="35"/>
      <c r="AI1216" s="35"/>
      <c r="AJ1216" s="35"/>
      <c r="AK1216" s="35"/>
      <c r="AL1216" s="35"/>
      <c r="AM1216" s="35"/>
      <c r="AN1216" s="35"/>
      <c r="AO1216" s="35"/>
      <c r="AP1216" s="35"/>
      <c r="AQ1216" s="35"/>
      <c r="AR1216" s="35"/>
      <c r="AS1216" s="35"/>
      <c r="AT1216" s="35"/>
      <c r="AU1216" s="35"/>
      <c r="AV1216" s="35"/>
      <c r="AW1216" s="35"/>
    </row>
    <row r="1217" spans="1:49" s="47" customFormat="1" ht="15.75" x14ac:dyDescent="0.2">
      <c r="A1217" s="35"/>
      <c r="B1217" s="35"/>
      <c r="C1217" s="35"/>
      <c r="D1217" s="35"/>
      <c r="E1217" s="35"/>
      <c r="F1217" s="35"/>
      <c r="G1217" s="35"/>
      <c r="H1217" s="35"/>
      <c r="I1217" s="35"/>
      <c r="J1217" s="35"/>
      <c r="K1217" s="35"/>
      <c r="L1217" s="35"/>
      <c r="M1217" s="35"/>
      <c r="N1217" s="35"/>
      <c r="O1217" s="35"/>
      <c r="P1217" s="35"/>
      <c r="Q1217" s="35"/>
      <c r="R1217" s="35"/>
      <c r="S1217" s="35"/>
      <c r="T1217" s="35"/>
      <c r="U1217" s="35"/>
      <c r="V1217" s="35"/>
      <c r="W1217" s="35"/>
      <c r="X1217" s="35"/>
      <c r="Y1217" s="35"/>
      <c r="Z1217" s="35"/>
      <c r="AA1217" s="35"/>
      <c r="AB1217" s="35"/>
      <c r="AC1217" s="35"/>
      <c r="AD1217" s="35"/>
      <c r="AE1217" s="35"/>
      <c r="AF1217" s="35"/>
      <c r="AG1217" s="35"/>
      <c r="AH1217" s="35"/>
      <c r="AI1217" s="35"/>
      <c r="AJ1217" s="35"/>
      <c r="AK1217" s="35"/>
      <c r="AL1217" s="35"/>
      <c r="AM1217" s="35"/>
      <c r="AN1217" s="35"/>
      <c r="AO1217" s="35"/>
      <c r="AP1217" s="35"/>
      <c r="AQ1217" s="35"/>
      <c r="AR1217" s="35"/>
      <c r="AS1217" s="35"/>
      <c r="AT1217" s="35"/>
      <c r="AU1217" s="35"/>
      <c r="AV1217" s="35"/>
      <c r="AW1217" s="35"/>
    </row>
    <row r="1218" spans="1:49" s="47" customFormat="1" ht="15.75" x14ac:dyDescent="0.2">
      <c r="A1218" s="35"/>
      <c r="B1218" s="35"/>
      <c r="C1218" s="35"/>
      <c r="D1218" s="35"/>
      <c r="E1218" s="35"/>
      <c r="F1218" s="35"/>
      <c r="G1218" s="35"/>
      <c r="H1218" s="35"/>
      <c r="I1218" s="35"/>
      <c r="J1218" s="35"/>
      <c r="K1218" s="35"/>
      <c r="L1218" s="35"/>
      <c r="M1218" s="35"/>
      <c r="N1218" s="35"/>
      <c r="O1218" s="35"/>
      <c r="P1218" s="35"/>
      <c r="Q1218" s="35"/>
      <c r="R1218" s="35"/>
      <c r="S1218" s="35"/>
      <c r="T1218" s="35"/>
      <c r="U1218" s="35"/>
      <c r="V1218" s="35"/>
      <c r="W1218" s="35"/>
      <c r="X1218" s="35"/>
      <c r="Y1218" s="35"/>
      <c r="Z1218" s="35"/>
      <c r="AA1218" s="35"/>
      <c r="AB1218" s="35"/>
      <c r="AC1218" s="35"/>
      <c r="AD1218" s="35"/>
      <c r="AE1218" s="35"/>
      <c r="AF1218" s="35"/>
      <c r="AG1218" s="35"/>
      <c r="AH1218" s="35"/>
      <c r="AI1218" s="35"/>
      <c r="AJ1218" s="35"/>
      <c r="AK1218" s="35"/>
      <c r="AL1218" s="35"/>
      <c r="AM1218" s="35"/>
      <c r="AN1218" s="35"/>
      <c r="AO1218" s="35"/>
      <c r="AP1218" s="35"/>
      <c r="AQ1218" s="35"/>
      <c r="AR1218" s="35"/>
      <c r="AS1218" s="35"/>
      <c r="AT1218" s="35"/>
      <c r="AU1218" s="35"/>
      <c r="AV1218" s="35"/>
      <c r="AW1218" s="35"/>
    </row>
    <row r="1219" spans="1:49" s="47" customFormat="1" ht="15.75" x14ac:dyDescent="0.2">
      <c r="A1219" s="35"/>
      <c r="B1219" s="35"/>
      <c r="C1219" s="35"/>
      <c r="D1219" s="35"/>
      <c r="E1219" s="35"/>
      <c r="F1219" s="35"/>
      <c r="G1219" s="35"/>
      <c r="H1219" s="35"/>
      <c r="I1219" s="35"/>
      <c r="J1219" s="35"/>
      <c r="K1219" s="35"/>
      <c r="L1219" s="35"/>
      <c r="M1219" s="35"/>
      <c r="N1219" s="35"/>
      <c r="O1219" s="35"/>
      <c r="P1219" s="35"/>
      <c r="Q1219" s="35"/>
      <c r="R1219" s="35"/>
      <c r="S1219" s="35"/>
      <c r="T1219" s="35"/>
      <c r="U1219" s="35"/>
      <c r="V1219" s="35"/>
      <c r="W1219" s="35"/>
      <c r="X1219" s="35"/>
      <c r="Y1219" s="35"/>
      <c r="Z1219" s="35"/>
      <c r="AA1219" s="35"/>
      <c r="AB1219" s="35"/>
      <c r="AC1219" s="35"/>
      <c r="AD1219" s="35"/>
      <c r="AE1219" s="35"/>
      <c r="AF1219" s="35"/>
      <c r="AG1219" s="35"/>
      <c r="AH1219" s="35"/>
      <c r="AI1219" s="35"/>
      <c r="AJ1219" s="35"/>
      <c r="AK1219" s="35"/>
      <c r="AL1219" s="35"/>
      <c r="AM1219" s="35"/>
      <c r="AN1219" s="35"/>
      <c r="AO1219" s="35"/>
      <c r="AP1219" s="35"/>
      <c r="AQ1219" s="35"/>
      <c r="AR1219" s="35"/>
      <c r="AS1219" s="35"/>
      <c r="AT1219" s="35"/>
      <c r="AU1219" s="35"/>
      <c r="AV1219" s="35"/>
      <c r="AW1219" s="35"/>
    </row>
    <row r="1220" spans="1:49" s="47" customFormat="1" ht="15.75" x14ac:dyDescent="0.2">
      <c r="A1220" s="35"/>
      <c r="B1220" s="35"/>
      <c r="C1220" s="35"/>
      <c r="D1220" s="35"/>
      <c r="E1220" s="35"/>
      <c r="F1220" s="35"/>
      <c r="G1220" s="35"/>
      <c r="H1220" s="35"/>
      <c r="I1220" s="35"/>
      <c r="J1220" s="35"/>
      <c r="K1220" s="35"/>
      <c r="L1220" s="35"/>
      <c r="M1220" s="35"/>
      <c r="N1220" s="35"/>
      <c r="O1220" s="35"/>
      <c r="P1220" s="35"/>
      <c r="Q1220" s="35"/>
      <c r="R1220" s="35"/>
      <c r="S1220" s="35"/>
      <c r="T1220" s="35"/>
      <c r="U1220" s="35"/>
      <c r="V1220" s="35"/>
      <c r="W1220" s="35"/>
      <c r="X1220" s="35"/>
      <c r="Y1220" s="35"/>
      <c r="Z1220" s="35"/>
      <c r="AA1220" s="35"/>
      <c r="AB1220" s="35"/>
      <c r="AC1220" s="35"/>
      <c r="AD1220" s="35"/>
      <c r="AE1220" s="35"/>
      <c r="AF1220" s="35"/>
      <c r="AG1220" s="35"/>
      <c r="AH1220" s="35"/>
      <c r="AI1220" s="35"/>
      <c r="AJ1220" s="35"/>
      <c r="AK1220" s="35"/>
      <c r="AL1220" s="35"/>
      <c r="AM1220" s="35"/>
      <c r="AN1220" s="35"/>
      <c r="AO1220" s="35"/>
      <c r="AP1220" s="35"/>
      <c r="AQ1220" s="35"/>
      <c r="AR1220" s="35"/>
      <c r="AS1220" s="35"/>
      <c r="AT1220" s="35"/>
      <c r="AU1220" s="35"/>
      <c r="AV1220" s="35"/>
      <c r="AW1220" s="35"/>
    </row>
    <row r="1221" spans="1:49" s="47" customFormat="1" ht="15.75" x14ac:dyDescent="0.2">
      <c r="A1221" s="35"/>
      <c r="B1221" s="35"/>
      <c r="C1221" s="35"/>
      <c r="D1221" s="35"/>
      <c r="E1221" s="35"/>
      <c r="F1221" s="35"/>
      <c r="G1221" s="35"/>
      <c r="H1221" s="35"/>
      <c r="I1221" s="35"/>
      <c r="J1221" s="35"/>
      <c r="K1221" s="35"/>
      <c r="L1221" s="35"/>
      <c r="M1221" s="35"/>
      <c r="N1221" s="35"/>
      <c r="O1221" s="35"/>
      <c r="P1221" s="35"/>
      <c r="Q1221" s="35"/>
      <c r="R1221" s="35"/>
      <c r="S1221" s="35"/>
      <c r="T1221" s="35"/>
      <c r="U1221" s="35"/>
      <c r="V1221" s="35"/>
      <c r="W1221" s="35"/>
      <c r="X1221" s="35"/>
      <c r="Y1221" s="35"/>
      <c r="Z1221" s="35"/>
      <c r="AA1221" s="35"/>
      <c r="AB1221" s="35"/>
      <c r="AC1221" s="35"/>
      <c r="AD1221" s="35"/>
      <c r="AE1221" s="35"/>
      <c r="AF1221" s="35"/>
      <c r="AG1221" s="35"/>
      <c r="AH1221" s="35"/>
      <c r="AI1221" s="35"/>
      <c r="AJ1221" s="35"/>
      <c r="AK1221" s="35"/>
      <c r="AL1221" s="35"/>
      <c r="AM1221" s="35"/>
      <c r="AN1221" s="35"/>
      <c r="AO1221" s="35"/>
      <c r="AP1221" s="35"/>
      <c r="AQ1221" s="35"/>
      <c r="AR1221" s="35"/>
      <c r="AS1221" s="35"/>
      <c r="AT1221" s="35"/>
      <c r="AU1221" s="35"/>
      <c r="AV1221" s="35"/>
      <c r="AW1221" s="35"/>
    </row>
    <row r="1222" spans="1:49" s="47" customFormat="1" ht="15.75" x14ac:dyDescent="0.2">
      <c r="A1222" s="35"/>
      <c r="B1222" s="35"/>
      <c r="C1222" s="35"/>
      <c r="D1222" s="35"/>
      <c r="E1222" s="35"/>
      <c r="F1222" s="35"/>
      <c r="G1222" s="35"/>
      <c r="H1222" s="35"/>
      <c r="I1222" s="35"/>
      <c r="J1222" s="35"/>
      <c r="K1222" s="35"/>
      <c r="L1222" s="35"/>
      <c r="M1222" s="35"/>
      <c r="N1222" s="35"/>
      <c r="O1222" s="35"/>
      <c r="P1222" s="35"/>
      <c r="Q1222" s="35"/>
      <c r="R1222" s="35"/>
      <c r="S1222" s="35"/>
      <c r="T1222" s="35"/>
      <c r="U1222" s="35"/>
      <c r="V1222" s="35"/>
      <c r="W1222" s="35"/>
      <c r="X1222" s="35"/>
      <c r="Y1222" s="35"/>
      <c r="Z1222" s="35"/>
      <c r="AA1222" s="35"/>
      <c r="AB1222" s="35"/>
      <c r="AC1222" s="35"/>
      <c r="AD1222" s="35"/>
      <c r="AE1222" s="35"/>
      <c r="AF1222" s="35"/>
      <c r="AG1222" s="35"/>
      <c r="AH1222" s="35"/>
      <c r="AI1222" s="35"/>
      <c r="AJ1222" s="35"/>
      <c r="AK1222" s="35"/>
      <c r="AL1222" s="35"/>
      <c r="AM1222" s="35"/>
      <c r="AN1222" s="35"/>
      <c r="AO1222" s="35"/>
      <c r="AP1222" s="35"/>
      <c r="AQ1222" s="35"/>
      <c r="AR1222" s="35"/>
      <c r="AS1222" s="35"/>
      <c r="AT1222" s="35"/>
      <c r="AU1222" s="35"/>
      <c r="AV1222" s="35"/>
      <c r="AW1222" s="35"/>
    </row>
    <row r="1223" spans="1:49" s="47" customFormat="1" ht="15.75" x14ac:dyDescent="0.2">
      <c r="A1223" s="35"/>
      <c r="B1223" s="35"/>
      <c r="C1223" s="35"/>
      <c r="D1223" s="35"/>
      <c r="E1223" s="35"/>
      <c r="F1223" s="35"/>
      <c r="G1223" s="35"/>
      <c r="H1223" s="35"/>
      <c r="I1223" s="35"/>
      <c r="J1223" s="35"/>
      <c r="K1223" s="35"/>
      <c r="L1223" s="35"/>
      <c r="M1223" s="35"/>
      <c r="N1223" s="35"/>
      <c r="O1223" s="35"/>
      <c r="P1223" s="35"/>
      <c r="Q1223" s="35"/>
      <c r="R1223" s="35"/>
      <c r="S1223" s="35"/>
      <c r="T1223" s="35"/>
      <c r="U1223" s="35"/>
      <c r="V1223" s="35"/>
      <c r="W1223" s="35"/>
      <c r="X1223" s="35"/>
      <c r="Y1223" s="35"/>
      <c r="Z1223" s="35"/>
      <c r="AA1223" s="35"/>
      <c r="AB1223" s="35"/>
      <c r="AC1223" s="35"/>
      <c r="AD1223" s="35"/>
      <c r="AE1223" s="35"/>
      <c r="AF1223" s="35"/>
      <c r="AG1223" s="35"/>
      <c r="AH1223" s="35"/>
      <c r="AI1223" s="35"/>
      <c r="AJ1223" s="35"/>
      <c r="AK1223" s="35"/>
      <c r="AL1223" s="35"/>
      <c r="AM1223" s="35"/>
      <c r="AN1223" s="35"/>
      <c r="AO1223" s="35"/>
      <c r="AP1223" s="35"/>
      <c r="AQ1223" s="35"/>
      <c r="AR1223" s="35"/>
      <c r="AS1223" s="35"/>
      <c r="AT1223" s="35"/>
      <c r="AU1223" s="35"/>
      <c r="AV1223" s="35"/>
      <c r="AW1223" s="35"/>
    </row>
    <row r="1224" spans="1:49" s="47" customFormat="1" ht="15.75" x14ac:dyDescent="0.2">
      <c r="A1224" s="35"/>
      <c r="B1224" s="35"/>
      <c r="C1224" s="35"/>
      <c r="D1224" s="35"/>
      <c r="E1224" s="35"/>
      <c r="F1224" s="35"/>
      <c r="G1224" s="35"/>
      <c r="H1224" s="35"/>
      <c r="I1224" s="35"/>
      <c r="J1224" s="35"/>
      <c r="K1224" s="35"/>
      <c r="L1224" s="35"/>
      <c r="M1224" s="35"/>
      <c r="N1224" s="35"/>
      <c r="O1224" s="35"/>
      <c r="P1224" s="35"/>
      <c r="Q1224" s="35"/>
      <c r="R1224" s="35"/>
      <c r="S1224" s="35"/>
      <c r="T1224" s="35"/>
      <c r="U1224" s="35"/>
      <c r="V1224" s="35"/>
      <c r="W1224" s="35"/>
      <c r="X1224" s="35"/>
      <c r="Y1224" s="35"/>
      <c r="Z1224" s="35"/>
      <c r="AA1224" s="35"/>
      <c r="AB1224" s="35"/>
      <c r="AC1224" s="35"/>
      <c r="AD1224" s="35"/>
      <c r="AE1224" s="35"/>
      <c r="AF1224" s="35"/>
      <c r="AG1224" s="35"/>
      <c r="AH1224" s="35"/>
      <c r="AI1224" s="35"/>
      <c r="AJ1224" s="35"/>
      <c r="AK1224" s="35"/>
      <c r="AL1224" s="35"/>
      <c r="AM1224" s="35"/>
      <c r="AN1224" s="35"/>
      <c r="AO1224" s="35"/>
      <c r="AP1224" s="35"/>
      <c r="AQ1224" s="35"/>
      <c r="AR1224" s="35"/>
      <c r="AS1224" s="35"/>
      <c r="AT1224" s="35"/>
      <c r="AU1224" s="35"/>
      <c r="AV1224" s="35"/>
      <c r="AW1224" s="35"/>
    </row>
    <row r="1225" spans="1:49" s="47" customFormat="1" ht="15.75" x14ac:dyDescent="0.2">
      <c r="A1225" s="35"/>
      <c r="B1225" s="35"/>
      <c r="C1225" s="35"/>
      <c r="D1225" s="35"/>
      <c r="E1225" s="35"/>
      <c r="F1225" s="35"/>
      <c r="G1225" s="35"/>
      <c r="H1225" s="35"/>
      <c r="I1225" s="35"/>
      <c r="J1225" s="35"/>
      <c r="K1225" s="35"/>
      <c r="L1225" s="35"/>
      <c r="M1225" s="35"/>
      <c r="N1225" s="35"/>
      <c r="O1225" s="35"/>
      <c r="P1225" s="35"/>
      <c r="Q1225" s="35"/>
      <c r="R1225" s="35"/>
      <c r="S1225" s="35"/>
      <c r="T1225" s="35"/>
      <c r="U1225" s="35"/>
      <c r="V1225" s="35"/>
      <c r="W1225" s="35"/>
      <c r="X1225" s="35"/>
      <c r="Y1225" s="35"/>
      <c r="Z1225" s="35"/>
      <c r="AA1225" s="35"/>
      <c r="AB1225" s="35"/>
      <c r="AC1225" s="35"/>
      <c r="AD1225" s="35"/>
      <c r="AE1225" s="35"/>
      <c r="AF1225" s="35"/>
      <c r="AG1225" s="35"/>
      <c r="AH1225" s="35"/>
      <c r="AI1225" s="35"/>
      <c r="AJ1225" s="35"/>
      <c r="AK1225" s="35"/>
      <c r="AL1225" s="35"/>
      <c r="AM1225" s="35"/>
      <c r="AN1225" s="35"/>
      <c r="AO1225" s="35"/>
      <c r="AP1225" s="35"/>
      <c r="AQ1225" s="35"/>
      <c r="AR1225" s="35"/>
      <c r="AS1225" s="35"/>
      <c r="AT1225" s="35"/>
      <c r="AU1225" s="35"/>
      <c r="AV1225" s="35"/>
      <c r="AW1225" s="35"/>
    </row>
    <row r="1226" spans="1:49" s="47" customFormat="1" ht="15.75" x14ac:dyDescent="0.2">
      <c r="A1226" s="35"/>
      <c r="B1226" s="35"/>
      <c r="C1226" s="35"/>
      <c r="D1226" s="35"/>
      <c r="E1226" s="35"/>
      <c r="F1226" s="35"/>
      <c r="G1226" s="35"/>
      <c r="H1226" s="35"/>
      <c r="I1226" s="35"/>
      <c r="J1226" s="35"/>
      <c r="K1226" s="35"/>
      <c r="L1226" s="35"/>
      <c r="M1226" s="35"/>
      <c r="N1226" s="35"/>
      <c r="O1226" s="35"/>
      <c r="P1226" s="35"/>
      <c r="Q1226" s="35"/>
      <c r="R1226" s="35"/>
      <c r="S1226" s="35"/>
      <c r="T1226" s="35"/>
      <c r="U1226" s="35"/>
      <c r="V1226" s="35"/>
      <c r="W1226" s="35"/>
      <c r="X1226" s="35"/>
      <c r="Y1226" s="35"/>
      <c r="Z1226" s="35"/>
      <c r="AA1226" s="35"/>
      <c r="AB1226" s="35"/>
      <c r="AC1226" s="35"/>
      <c r="AD1226" s="35"/>
      <c r="AE1226" s="35"/>
      <c r="AF1226" s="35"/>
      <c r="AG1226" s="35"/>
      <c r="AH1226" s="35"/>
      <c r="AI1226" s="35"/>
      <c r="AJ1226" s="35"/>
      <c r="AK1226" s="35"/>
      <c r="AL1226" s="35"/>
      <c r="AM1226" s="35"/>
      <c r="AN1226" s="35"/>
      <c r="AO1226" s="35"/>
      <c r="AP1226" s="35"/>
      <c r="AQ1226" s="35"/>
      <c r="AR1226" s="35"/>
      <c r="AS1226" s="35"/>
      <c r="AT1226" s="35"/>
      <c r="AU1226" s="35"/>
      <c r="AV1226" s="35"/>
      <c r="AW1226" s="35"/>
    </row>
    <row r="1227" spans="1:49" s="47" customFormat="1" ht="15.75" x14ac:dyDescent="0.2">
      <c r="A1227" s="35"/>
      <c r="B1227" s="35"/>
      <c r="C1227" s="35"/>
      <c r="D1227" s="35"/>
      <c r="E1227" s="35"/>
      <c r="F1227" s="35"/>
      <c r="G1227" s="35"/>
      <c r="H1227" s="35"/>
      <c r="I1227" s="35"/>
      <c r="J1227" s="35"/>
      <c r="K1227" s="35"/>
      <c r="L1227" s="35"/>
      <c r="M1227" s="35"/>
      <c r="N1227" s="35"/>
      <c r="O1227" s="35"/>
      <c r="P1227" s="35"/>
      <c r="Q1227" s="35"/>
      <c r="R1227" s="35"/>
      <c r="S1227" s="35"/>
      <c r="T1227" s="35"/>
      <c r="U1227" s="35"/>
      <c r="V1227" s="35"/>
      <c r="W1227" s="35"/>
      <c r="X1227" s="35"/>
      <c r="Y1227" s="35"/>
      <c r="Z1227" s="35"/>
      <c r="AA1227" s="35"/>
      <c r="AB1227" s="35"/>
      <c r="AC1227" s="35"/>
      <c r="AD1227" s="35"/>
      <c r="AE1227" s="35"/>
      <c r="AF1227" s="35"/>
      <c r="AG1227" s="35"/>
      <c r="AH1227" s="35"/>
      <c r="AI1227" s="35"/>
      <c r="AJ1227" s="35"/>
      <c r="AK1227" s="35"/>
      <c r="AL1227" s="35"/>
      <c r="AM1227" s="35"/>
      <c r="AN1227" s="35"/>
      <c r="AO1227" s="35"/>
      <c r="AP1227" s="35"/>
      <c r="AQ1227" s="35"/>
      <c r="AR1227" s="35"/>
      <c r="AS1227" s="35"/>
      <c r="AT1227" s="35"/>
      <c r="AU1227" s="35"/>
      <c r="AV1227" s="35"/>
      <c r="AW1227" s="35"/>
    </row>
    <row r="1228" spans="1:49" s="47" customFormat="1" ht="15.75" x14ac:dyDescent="0.2">
      <c r="A1228" s="35"/>
      <c r="B1228" s="35"/>
      <c r="C1228" s="35"/>
      <c r="D1228" s="35"/>
      <c r="E1228" s="35"/>
      <c r="F1228" s="35"/>
      <c r="G1228" s="35"/>
      <c r="H1228" s="35"/>
      <c r="I1228" s="35"/>
      <c r="J1228" s="35"/>
      <c r="K1228" s="35"/>
      <c r="L1228" s="35"/>
      <c r="M1228" s="35"/>
      <c r="N1228" s="35"/>
      <c r="O1228" s="35"/>
      <c r="P1228" s="35"/>
      <c r="Q1228" s="35"/>
      <c r="R1228" s="35"/>
      <c r="S1228" s="35"/>
      <c r="T1228" s="35"/>
      <c r="U1228" s="35"/>
      <c r="V1228" s="35"/>
      <c r="W1228" s="35"/>
      <c r="X1228" s="35"/>
      <c r="Y1228" s="35"/>
      <c r="Z1228" s="35"/>
      <c r="AA1228" s="35"/>
      <c r="AB1228" s="35"/>
      <c r="AC1228" s="35"/>
      <c r="AD1228" s="35"/>
      <c r="AE1228" s="35"/>
      <c r="AF1228" s="35"/>
      <c r="AG1228" s="35"/>
      <c r="AH1228" s="35"/>
      <c r="AI1228" s="35"/>
      <c r="AJ1228" s="35"/>
      <c r="AK1228" s="35"/>
      <c r="AL1228" s="35"/>
      <c r="AM1228" s="35"/>
      <c r="AN1228" s="35"/>
      <c r="AO1228" s="35"/>
      <c r="AP1228" s="35"/>
      <c r="AQ1228" s="35"/>
      <c r="AR1228" s="35"/>
      <c r="AS1228" s="35"/>
      <c r="AT1228" s="35"/>
      <c r="AU1228" s="35"/>
      <c r="AV1228" s="35"/>
      <c r="AW1228" s="35"/>
    </row>
    <row r="1229" spans="1:49" s="47" customFormat="1" ht="15.75" x14ac:dyDescent="0.2">
      <c r="A1229" s="35"/>
      <c r="B1229" s="35"/>
      <c r="C1229" s="35"/>
      <c r="D1229" s="35"/>
      <c r="E1229" s="35"/>
      <c r="F1229" s="35"/>
      <c r="G1229" s="35"/>
      <c r="H1229" s="35"/>
      <c r="I1229" s="35"/>
      <c r="J1229" s="35"/>
      <c r="K1229" s="35"/>
      <c r="L1229" s="35"/>
      <c r="M1229" s="35"/>
      <c r="N1229" s="35"/>
      <c r="O1229" s="35"/>
      <c r="P1229" s="35"/>
      <c r="Q1229" s="35"/>
      <c r="R1229" s="35"/>
      <c r="S1229" s="35"/>
      <c r="T1229" s="35"/>
      <c r="U1229" s="35"/>
      <c r="V1229" s="35"/>
      <c r="W1229" s="35"/>
      <c r="X1229" s="35"/>
      <c r="Y1229" s="35"/>
      <c r="Z1229" s="35"/>
      <c r="AA1229" s="35"/>
      <c r="AB1229" s="35"/>
      <c r="AC1229" s="35"/>
      <c r="AD1229" s="35"/>
      <c r="AE1229" s="35"/>
      <c r="AF1229" s="35"/>
      <c r="AG1229" s="35"/>
      <c r="AH1229" s="35"/>
      <c r="AI1229" s="35"/>
      <c r="AJ1229" s="35"/>
      <c r="AK1229" s="35"/>
      <c r="AL1229" s="35"/>
      <c r="AM1229" s="35"/>
      <c r="AN1229" s="35"/>
      <c r="AO1229" s="35"/>
      <c r="AP1229" s="35"/>
      <c r="AQ1229" s="35"/>
      <c r="AR1229" s="35"/>
      <c r="AS1229" s="35"/>
      <c r="AT1229" s="35"/>
      <c r="AU1229" s="35"/>
      <c r="AV1229" s="35"/>
      <c r="AW1229" s="35"/>
    </row>
    <row r="1230" spans="1:49" s="47" customFormat="1" ht="15.75" x14ac:dyDescent="0.2">
      <c r="A1230" s="35"/>
      <c r="B1230" s="35"/>
      <c r="C1230" s="35"/>
      <c r="D1230" s="35"/>
      <c r="E1230" s="35"/>
      <c r="F1230" s="35"/>
      <c r="G1230" s="35"/>
      <c r="H1230" s="35"/>
      <c r="I1230" s="35"/>
      <c r="J1230" s="35"/>
      <c r="K1230" s="35"/>
      <c r="L1230" s="35"/>
      <c r="M1230" s="35"/>
      <c r="N1230" s="35"/>
      <c r="O1230" s="35"/>
      <c r="P1230" s="35"/>
      <c r="Q1230" s="35"/>
      <c r="R1230" s="35"/>
      <c r="S1230" s="35"/>
      <c r="T1230" s="35"/>
      <c r="U1230" s="35"/>
      <c r="V1230" s="35"/>
      <c r="W1230" s="35"/>
      <c r="X1230" s="35"/>
      <c r="Y1230" s="35"/>
      <c r="Z1230" s="35"/>
      <c r="AA1230" s="35"/>
      <c r="AB1230" s="35"/>
      <c r="AC1230" s="35"/>
      <c r="AD1230" s="35"/>
      <c r="AE1230" s="35"/>
      <c r="AF1230" s="35"/>
      <c r="AG1230" s="35"/>
      <c r="AH1230" s="35"/>
      <c r="AI1230" s="35"/>
      <c r="AJ1230" s="35"/>
      <c r="AK1230" s="35"/>
      <c r="AL1230" s="35"/>
      <c r="AM1230" s="35"/>
      <c r="AN1230" s="35"/>
      <c r="AO1230" s="35"/>
      <c r="AP1230" s="35"/>
      <c r="AQ1230" s="35"/>
      <c r="AR1230" s="35"/>
      <c r="AS1230" s="35"/>
      <c r="AT1230" s="35"/>
      <c r="AU1230" s="35"/>
      <c r="AV1230" s="35"/>
      <c r="AW1230" s="35"/>
    </row>
    <row r="1231" spans="1:49" s="47" customFormat="1" ht="15.75" x14ac:dyDescent="0.2">
      <c r="A1231" s="35"/>
      <c r="B1231" s="35"/>
      <c r="C1231" s="35"/>
      <c r="D1231" s="35"/>
      <c r="E1231" s="35"/>
      <c r="F1231" s="35"/>
      <c r="G1231" s="35"/>
      <c r="H1231" s="35"/>
      <c r="I1231" s="35"/>
      <c r="J1231" s="35"/>
      <c r="K1231" s="35"/>
      <c r="L1231" s="35"/>
      <c r="M1231" s="35"/>
      <c r="N1231" s="35"/>
      <c r="O1231" s="35"/>
      <c r="P1231" s="35"/>
      <c r="Q1231" s="35"/>
      <c r="R1231" s="35"/>
      <c r="S1231" s="35"/>
      <c r="T1231" s="35"/>
      <c r="U1231" s="35"/>
      <c r="V1231" s="35"/>
      <c r="W1231" s="35"/>
      <c r="X1231" s="35"/>
      <c r="Y1231" s="35"/>
      <c r="Z1231" s="35"/>
      <c r="AA1231" s="35"/>
      <c r="AB1231" s="35"/>
      <c r="AC1231" s="35"/>
      <c r="AD1231" s="35"/>
      <c r="AE1231" s="35"/>
      <c r="AF1231" s="35"/>
      <c r="AG1231" s="35"/>
      <c r="AH1231" s="35"/>
      <c r="AI1231" s="35"/>
      <c r="AJ1231" s="35"/>
      <c r="AK1231" s="35"/>
      <c r="AL1231" s="35"/>
      <c r="AM1231" s="35"/>
      <c r="AN1231" s="35"/>
      <c r="AO1231" s="35"/>
      <c r="AP1231" s="35"/>
      <c r="AQ1231" s="35"/>
      <c r="AR1231" s="35"/>
      <c r="AS1231" s="35"/>
      <c r="AT1231" s="35"/>
      <c r="AU1231" s="35"/>
      <c r="AV1231" s="35"/>
      <c r="AW1231" s="35"/>
    </row>
    <row r="1232" spans="1:49" s="47" customFormat="1" ht="15.75" x14ac:dyDescent="0.2">
      <c r="A1232" s="35"/>
      <c r="B1232" s="35"/>
      <c r="C1232" s="35"/>
      <c r="D1232" s="35"/>
      <c r="E1232" s="35"/>
      <c r="F1232" s="35"/>
      <c r="G1232" s="35"/>
      <c r="H1232" s="35"/>
      <c r="I1232" s="35"/>
      <c r="J1232" s="35"/>
      <c r="K1232" s="35"/>
      <c r="L1232" s="35"/>
      <c r="M1232" s="35"/>
      <c r="N1232" s="35"/>
      <c r="O1232" s="35"/>
      <c r="P1232" s="35"/>
      <c r="Q1232" s="35"/>
      <c r="R1232" s="35"/>
      <c r="S1232" s="35"/>
      <c r="T1232" s="35"/>
      <c r="U1232" s="35"/>
      <c r="V1232" s="35"/>
      <c r="W1232" s="35"/>
      <c r="X1232" s="35"/>
      <c r="Y1232" s="35"/>
      <c r="Z1232" s="35"/>
      <c r="AA1232" s="35"/>
      <c r="AB1232" s="35"/>
      <c r="AC1232" s="35"/>
      <c r="AD1232" s="35"/>
      <c r="AE1232" s="35"/>
      <c r="AF1232" s="35"/>
      <c r="AG1232" s="35"/>
      <c r="AH1232" s="35"/>
      <c r="AI1232" s="35"/>
      <c r="AJ1232" s="35"/>
      <c r="AK1232" s="35"/>
      <c r="AL1232" s="35"/>
      <c r="AM1232" s="35"/>
      <c r="AN1232" s="35"/>
      <c r="AO1232" s="35"/>
      <c r="AP1232" s="35"/>
      <c r="AQ1232" s="35"/>
      <c r="AR1232" s="35"/>
      <c r="AS1232" s="35"/>
      <c r="AT1232" s="35"/>
      <c r="AU1232" s="35"/>
      <c r="AV1232" s="35"/>
      <c r="AW1232" s="35"/>
    </row>
    <row r="1233" spans="1:49" s="47" customFormat="1" ht="15.75" x14ac:dyDescent="0.2">
      <c r="A1233" s="35"/>
      <c r="B1233" s="35"/>
      <c r="C1233" s="35"/>
      <c r="D1233" s="35"/>
      <c r="E1233" s="35"/>
      <c r="F1233" s="35"/>
      <c r="G1233" s="35"/>
      <c r="H1233" s="35"/>
      <c r="I1233" s="35"/>
      <c r="J1233" s="35"/>
      <c r="K1233" s="35"/>
      <c r="L1233" s="35"/>
      <c r="M1233" s="35"/>
      <c r="N1233" s="35"/>
      <c r="O1233" s="35"/>
      <c r="P1233" s="35"/>
      <c r="Q1233" s="35"/>
      <c r="R1233" s="35"/>
      <c r="S1233" s="35"/>
      <c r="T1233" s="35"/>
      <c r="U1233" s="35"/>
      <c r="V1233" s="35"/>
      <c r="W1233" s="35"/>
      <c r="X1233" s="35"/>
      <c r="Y1233" s="35"/>
      <c r="Z1233" s="35"/>
      <c r="AA1233" s="35"/>
      <c r="AB1233" s="35"/>
      <c r="AC1233" s="35"/>
      <c r="AD1233" s="35"/>
      <c r="AE1233" s="35"/>
      <c r="AF1233" s="35"/>
      <c r="AG1233" s="35"/>
      <c r="AH1233" s="35"/>
      <c r="AI1233" s="35"/>
      <c r="AJ1233" s="35"/>
      <c r="AK1233" s="35"/>
      <c r="AL1233" s="35"/>
      <c r="AM1233" s="35"/>
      <c r="AN1233" s="35"/>
      <c r="AO1233" s="35"/>
      <c r="AP1233" s="35"/>
      <c r="AQ1233" s="35"/>
      <c r="AR1233" s="35"/>
      <c r="AS1233" s="35"/>
      <c r="AT1233" s="35"/>
      <c r="AU1233" s="35"/>
      <c r="AV1233" s="35"/>
      <c r="AW1233" s="35"/>
    </row>
    <row r="1234" spans="1:49" s="47" customFormat="1" ht="15.75" x14ac:dyDescent="0.2">
      <c r="A1234" s="35"/>
      <c r="B1234" s="35"/>
      <c r="C1234" s="35"/>
      <c r="D1234" s="35"/>
      <c r="E1234" s="35"/>
      <c r="F1234" s="35"/>
      <c r="G1234" s="35"/>
      <c r="H1234" s="35"/>
      <c r="I1234" s="35"/>
      <c r="J1234" s="35"/>
      <c r="K1234" s="35"/>
      <c r="L1234" s="35"/>
      <c r="M1234" s="35"/>
      <c r="N1234" s="35"/>
      <c r="O1234" s="35"/>
      <c r="P1234" s="35"/>
      <c r="Q1234" s="35"/>
      <c r="R1234" s="35"/>
      <c r="S1234" s="35"/>
      <c r="T1234" s="35"/>
      <c r="U1234" s="35"/>
      <c r="V1234" s="35"/>
      <c r="W1234" s="35"/>
      <c r="X1234" s="35"/>
      <c r="Y1234" s="35"/>
      <c r="Z1234" s="35"/>
      <c r="AA1234" s="35"/>
      <c r="AB1234" s="35"/>
      <c r="AC1234" s="35"/>
      <c r="AD1234" s="35"/>
      <c r="AE1234" s="35"/>
      <c r="AF1234" s="35"/>
      <c r="AG1234" s="35"/>
      <c r="AH1234" s="35"/>
      <c r="AI1234" s="35"/>
      <c r="AJ1234" s="35"/>
      <c r="AK1234" s="35"/>
      <c r="AL1234" s="35"/>
      <c r="AM1234" s="35"/>
      <c r="AN1234" s="35"/>
      <c r="AO1234" s="35"/>
      <c r="AP1234" s="35"/>
      <c r="AQ1234" s="35"/>
      <c r="AR1234" s="35"/>
      <c r="AS1234" s="35"/>
      <c r="AT1234" s="35"/>
      <c r="AU1234" s="35"/>
      <c r="AV1234" s="35"/>
      <c r="AW1234" s="35"/>
    </row>
    <row r="1235" spans="1:49" s="47" customFormat="1" ht="15.75" x14ac:dyDescent="0.2">
      <c r="A1235" s="35"/>
      <c r="B1235" s="35"/>
      <c r="C1235" s="35"/>
      <c r="D1235" s="35"/>
      <c r="E1235" s="35"/>
      <c r="F1235" s="35"/>
      <c r="G1235" s="35"/>
      <c r="H1235" s="35"/>
      <c r="I1235" s="35"/>
      <c r="J1235" s="35"/>
      <c r="K1235" s="35"/>
      <c r="L1235" s="35"/>
      <c r="M1235" s="35"/>
      <c r="N1235" s="35"/>
      <c r="O1235" s="35"/>
      <c r="P1235" s="35"/>
      <c r="Q1235" s="35"/>
      <c r="R1235" s="35"/>
      <c r="S1235" s="35"/>
      <c r="T1235" s="35"/>
      <c r="U1235" s="35"/>
      <c r="V1235" s="35"/>
      <c r="W1235" s="35"/>
      <c r="X1235" s="35"/>
      <c r="Y1235" s="35"/>
      <c r="Z1235" s="35"/>
      <c r="AA1235" s="35"/>
      <c r="AB1235" s="35"/>
      <c r="AC1235" s="35"/>
      <c r="AD1235" s="35"/>
      <c r="AE1235" s="35"/>
      <c r="AF1235" s="35"/>
      <c r="AG1235" s="35"/>
      <c r="AH1235" s="35"/>
      <c r="AI1235" s="35"/>
      <c r="AJ1235" s="35"/>
      <c r="AK1235" s="35"/>
      <c r="AL1235" s="35"/>
      <c r="AM1235" s="35"/>
      <c r="AN1235" s="35"/>
      <c r="AO1235" s="35"/>
      <c r="AP1235" s="35"/>
      <c r="AQ1235" s="35"/>
      <c r="AR1235" s="35"/>
      <c r="AS1235" s="35"/>
      <c r="AT1235" s="35"/>
      <c r="AU1235" s="35"/>
      <c r="AV1235" s="35"/>
      <c r="AW1235" s="35"/>
    </row>
    <row r="1236" spans="1:49" s="47" customFormat="1" ht="15.75" x14ac:dyDescent="0.2">
      <c r="A1236" s="35"/>
      <c r="B1236" s="35"/>
      <c r="C1236" s="35"/>
      <c r="D1236" s="35"/>
      <c r="E1236" s="35"/>
      <c r="F1236" s="35"/>
      <c r="G1236" s="35"/>
      <c r="H1236" s="35"/>
      <c r="I1236" s="35"/>
      <c r="J1236" s="35"/>
      <c r="K1236" s="35"/>
      <c r="L1236" s="35"/>
      <c r="M1236" s="35"/>
      <c r="N1236" s="35"/>
      <c r="O1236" s="35"/>
      <c r="P1236" s="35"/>
      <c r="Q1236" s="35"/>
      <c r="R1236" s="35"/>
      <c r="S1236" s="35"/>
      <c r="T1236" s="35"/>
      <c r="U1236" s="35"/>
      <c r="V1236" s="35"/>
      <c r="W1236" s="35"/>
      <c r="X1236" s="35"/>
      <c r="Y1236" s="35"/>
      <c r="Z1236" s="35"/>
      <c r="AA1236" s="35"/>
      <c r="AB1236" s="35"/>
      <c r="AC1236" s="35"/>
      <c r="AD1236" s="35"/>
      <c r="AE1236" s="35"/>
      <c r="AF1236" s="35"/>
      <c r="AG1236" s="35"/>
      <c r="AH1236" s="35"/>
      <c r="AI1236" s="35"/>
      <c r="AJ1236" s="35"/>
      <c r="AK1236" s="35"/>
      <c r="AL1236" s="35"/>
      <c r="AM1236" s="35"/>
      <c r="AN1236" s="35"/>
      <c r="AO1236" s="35"/>
      <c r="AP1236" s="35"/>
      <c r="AQ1236" s="35"/>
      <c r="AR1236" s="35"/>
      <c r="AS1236" s="35"/>
      <c r="AT1236" s="35"/>
      <c r="AU1236" s="35"/>
      <c r="AV1236" s="35"/>
      <c r="AW1236" s="35"/>
    </row>
    <row r="1237" spans="1:49" s="47" customFormat="1" ht="15.75" x14ac:dyDescent="0.2">
      <c r="A1237" s="35"/>
      <c r="B1237" s="35"/>
      <c r="C1237" s="35"/>
      <c r="D1237" s="35"/>
      <c r="E1237" s="35"/>
      <c r="F1237" s="35"/>
      <c r="G1237" s="35"/>
      <c r="H1237" s="35"/>
      <c r="I1237" s="35"/>
      <c r="J1237" s="35"/>
      <c r="K1237" s="35"/>
      <c r="L1237" s="35"/>
      <c r="M1237" s="35"/>
      <c r="N1237" s="35"/>
      <c r="O1237" s="35"/>
      <c r="P1237" s="35"/>
      <c r="Q1237" s="35"/>
      <c r="R1237" s="35"/>
      <c r="S1237" s="35"/>
      <c r="T1237" s="35"/>
      <c r="U1237" s="35"/>
      <c r="V1237" s="35"/>
      <c r="W1237" s="35"/>
      <c r="X1237" s="35"/>
      <c r="Y1237" s="35"/>
      <c r="Z1237" s="35"/>
      <c r="AA1237" s="35"/>
      <c r="AB1237" s="35"/>
      <c r="AC1237" s="35"/>
      <c r="AD1237" s="35"/>
      <c r="AE1237" s="35"/>
      <c r="AF1237" s="35"/>
      <c r="AG1237" s="35"/>
      <c r="AH1237" s="35"/>
      <c r="AI1237" s="35"/>
      <c r="AJ1237" s="35"/>
      <c r="AK1237" s="35"/>
      <c r="AL1237" s="35"/>
      <c r="AM1237" s="35"/>
      <c r="AN1237" s="35"/>
      <c r="AO1237" s="35"/>
      <c r="AP1237" s="35"/>
      <c r="AQ1237" s="35"/>
      <c r="AR1237" s="35"/>
      <c r="AS1237" s="35"/>
      <c r="AT1237" s="35"/>
      <c r="AU1237" s="35"/>
      <c r="AV1237" s="35"/>
      <c r="AW1237" s="35"/>
    </row>
    <row r="1238" spans="1:49" s="47" customFormat="1" ht="15.75" x14ac:dyDescent="0.2">
      <c r="A1238" s="35"/>
      <c r="B1238" s="35"/>
      <c r="C1238" s="35"/>
      <c r="D1238" s="35"/>
      <c r="E1238" s="35"/>
      <c r="F1238" s="35"/>
      <c r="G1238" s="35"/>
      <c r="H1238" s="35"/>
      <c r="I1238" s="35"/>
      <c r="J1238" s="35"/>
      <c r="K1238" s="35"/>
      <c r="L1238" s="35"/>
      <c r="M1238" s="35"/>
      <c r="N1238" s="35"/>
      <c r="O1238" s="35"/>
      <c r="P1238" s="35"/>
      <c r="Q1238" s="35"/>
      <c r="R1238" s="35"/>
      <c r="S1238" s="35"/>
      <c r="T1238" s="35"/>
      <c r="U1238" s="35"/>
      <c r="V1238" s="35"/>
      <c r="W1238" s="35"/>
      <c r="X1238" s="35"/>
      <c r="Y1238" s="35"/>
      <c r="Z1238" s="35"/>
      <c r="AA1238" s="35"/>
      <c r="AB1238" s="35"/>
      <c r="AC1238" s="35"/>
      <c r="AD1238" s="35"/>
      <c r="AE1238" s="35"/>
      <c r="AF1238" s="35"/>
      <c r="AG1238" s="35"/>
      <c r="AH1238" s="35"/>
      <c r="AI1238" s="35"/>
      <c r="AJ1238" s="35"/>
      <c r="AK1238" s="35"/>
      <c r="AL1238" s="35"/>
      <c r="AM1238" s="35"/>
      <c r="AN1238" s="35"/>
      <c r="AO1238" s="35"/>
      <c r="AP1238" s="35"/>
      <c r="AQ1238" s="35"/>
      <c r="AR1238" s="35"/>
      <c r="AS1238" s="35"/>
      <c r="AT1238" s="35"/>
      <c r="AU1238" s="35"/>
      <c r="AV1238" s="35"/>
      <c r="AW1238" s="35"/>
    </row>
    <row r="1239" spans="1:49" s="47" customFormat="1" ht="15.75" x14ac:dyDescent="0.2">
      <c r="A1239" s="35"/>
      <c r="B1239" s="35"/>
      <c r="C1239" s="35"/>
      <c r="D1239" s="35"/>
      <c r="E1239" s="35"/>
      <c r="F1239" s="35"/>
      <c r="G1239" s="35"/>
      <c r="H1239" s="35"/>
      <c r="I1239" s="35"/>
      <c r="J1239" s="35"/>
      <c r="K1239" s="35"/>
      <c r="L1239" s="35"/>
      <c r="M1239" s="35"/>
      <c r="N1239" s="35"/>
      <c r="O1239" s="35"/>
      <c r="P1239" s="35"/>
      <c r="Q1239" s="35"/>
      <c r="R1239" s="35"/>
      <c r="S1239" s="35"/>
      <c r="T1239" s="35"/>
      <c r="U1239" s="35"/>
      <c r="V1239" s="35"/>
      <c r="W1239" s="35"/>
      <c r="X1239" s="35"/>
      <c r="Y1239" s="35"/>
      <c r="Z1239" s="35"/>
      <c r="AA1239" s="35"/>
      <c r="AB1239" s="35"/>
      <c r="AC1239" s="35"/>
      <c r="AD1239" s="35"/>
      <c r="AE1239" s="35"/>
      <c r="AF1239" s="35"/>
      <c r="AG1239" s="35"/>
      <c r="AH1239" s="35"/>
      <c r="AI1239" s="35"/>
      <c r="AJ1239" s="35"/>
      <c r="AK1239" s="35"/>
      <c r="AL1239" s="35"/>
      <c r="AM1239" s="35"/>
      <c r="AN1239" s="35"/>
      <c r="AO1239" s="35"/>
      <c r="AP1239" s="35"/>
      <c r="AQ1239" s="35"/>
      <c r="AR1239" s="35"/>
      <c r="AS1239" s="35"/>
      <c r="AT1239" s="35"/>
      <c r="AU1239" s="35"/>
      <c r="AV1239" s="35"/>
      <c r="AW1239" s="35"/>
    </row>
    <row r="1240" spans="1:49" s="47" customFormat="1" ht="15.75" x14ac:dyDescent="0.2">
      <c r="A1240" s="35"/>
      <c r="B1240" s="35"/>
      <c r="C1240" s="35"/>
      <c r="D1240" s="35"/>
      <c r="E1240" s="35"/>
      <c r="F1240" s="35"/>
      <c r="G1240" s="35"/>
      <c r="H1240" s="35"/>
      <c r="I1240" s="35"/>
      <c r="J1240" s="35"/>
      <c r="K1240" s="35"/>
      <c r="L1240" s="35"/>
      <c r="M1240" s="35"/>
      <c r="N1240" s="35"/>
      <c r="O1240" s="35"/>
      <c r="P1240" s="35"/>
      <c r="Q1240" s="35"/>
      <c r="R1240" s="35"/>
      <c r="S1240" s="35"/>
      <c r="T1240" s="35"/>
      <c r="U1240" s="35"/>
      <c r="V1240" s="35"/>
      <c r="W1240" s="35"/>
      <c r="X1240" s="35"/>
      <c r="Y1240" s="35"/>
      <c r="Z1240" s="35"/>
      <c r="AA1240" s="35"/>
      <c r="AB1240" s="35"/>
      <c r="AC1240" s="35"/>
      <c r="AD1240" s="35"/>
      <c r="AE1240" s="35"/>
      <c r="AF1240" s="35"/>
      <c r="AG1240" s="35"/>
      <c r="AH1240" s="35"/>
      <c r="AI1240" s="35"/>
      <c r="AJ1240" s="35"/>
      <c r="AK1240" s="35"/>
      <c r="AL1240" s="35"/>
      <c r="AM1240" s="35"/>
      <c r="AN1240" s="35"/>
      <c r="AO1240" s="35"/>
      <c r="AP1240" s="35"/>
      <c r="AQ1240" s="35"/>
      <c r="AR1240" s="35"/>
      <c r="AS1240" s="35"/>
      <c r="AT1240" s="35"/>
      <c r="AU1240" s="35"/>
      <c r="AV1240" s="35"/>
      <c r="AW1240" s="35"/>
    </row>
    <row r="1241" spans="1:49" s="47" customFormat="1" ht="15.75" x14ac:dyDescent="0.2">
      <c r="A1241" s="35"/>
      <c r="B1241" s="35"/>
      <c r="C1241" s="35"/>
      <c r="D1241" s="35"/>
      <c r="E1241" s="35"/>
      <c r="F1241" s="35"/>
      <c r="G1241" s="35"/>
      <c r="H1241" s="35"/>
      <c r="I1241" s="35"/>
      <c r="J1241" s="35"/>
      <c r="K1241" s="35"/>
      <c r="L1241" s="35"/>
      <c r="M1241" s="35"/>
      <c r="N1241" s="35"/>
      <c r="O1241" s="35"/>
      <c r="P1241" s="35"/>
      <c r="Q1241" s="35"/>
      <c r="R1241" s="35"/>
      <c r="S1241" s="35"/>
      <c r="T1241" s="35"/>
      <c r="U1241" s="35"/>
      <c r="V1241" s="35"/>
      <c r="W1241" s="35"/>
      <c r="X1241" s="35"/>
      <c r="Y1241" s="35"/>
      <c r="Z1241" s="35"/>
      <c r="AA1241" s="35"/>
      <c r="AB1241" s="35"/>
      <c r="AC1241" s="35"/>
      <c r="AD1241" s="35"/>
      <c r="AE1241" s="35"/>
      <c r="AF1241" s="35"/>
      <c r="AG1241" s="35"/>
      <c r="AH1241" s="35"/>
      <c r="AI1241" s="35"/>
      <c r="AJ1241" s="35"/>
      <c r="AK1241" s="35"/>
      <c r="AL1241" s="35"/>
      <c r="AM1241" s="35"/>
      <c r="AN1241" s="35"/>
      <c r="AO1241" s="35"/>
      <c r="AP1241" s="35"/>
      <c r="AQ1241" s="35"/>
      <c r="AR1241" s="35"/>
      <c r="AS1241" s="35"/>
      <c r="AT1241" s="35"/>
      <c r="AU1241" s="35"/>
      <c r="AV1241" s="35"/>
      <c r="AW1241" s="35"/>
    </row>
    <row r="1242" spans="1:49" s="47" customFormat="1" ht="15.75" x14ac:dyDescent="0.2">
      <c r="A1242" s="35"/>
      <c r="B1242" s="35"/>
      <c r="C1242" s="35"/>
      <c r="D1242" s="35"/>
      <c r="E1242" s="35"/>
      <c r="F1242" s="35"/>
      <c r="G1242" s="35"/>
      <c r="H1242" s="35"/>
      <c r="I1242" s="35"/>
      <c r="J1242" s="35"/>
      <c r="K1242" s="35"/>
      <c r="L1242" s="35"/>
      <c r="M1242" s="35"/>
      <c r="N1242" s="35"/>
      <c r="O1242" s="35"/>
      <c r="P1242" s="35"/>
      <c r="Q1242" s="35"/>
      <c r="R1242" s="35"/>
      <c r="S1242" s="35"/>
      <c r="T1242" s="35"/>
      <c r="U1242" s="35"/>
      <c r="V1242" s="35"/>
      <c r="W1242" s="35"/>
      <c r="X1242" s="35"/>
      <c r="Y1242" s="35"/>
      <c r="Z1242" s="35"/>
      <c r="AA1242" s="35"/>
      <c r="AB1242" s="35"/>
      <c r="AC1242" s="35"/>
      <c r="AD1242" s="35"/>
      <c r="AE1242" s="35"/>
      <c r="AF1242" s="35"/>
      <c r="AG1242" s="35"/>
      <c r="AH1242" s="35"/>
      <c r="AI1242" s="35"/>
      <c r="AJ1242" s="35"/>
      <c r="AK1242" s="35"/>
      <c r="AL1242" s="35"/>
      <c r="AM1242" s="35"/>
      <c r="AN1242" s="35"/>
      <c r="AO1242" s="35"/>
      <c r="AP1242" s="35"/>
      <c r="AQ1242" s="35"/>
      <c r="AR1242" s="35"/>
      <c r="AS1242" s="35"/>
      <c r="AT1242" s="35"/>
      <c r="AU1242" s="35"/>
      <c r="AV1242" s="35"/>
      <c r="AW1242" s="35"/>
    </row>
    <row r="1243" spans="1:49" s="47" customFormat="1" ht="15.75" x14ac:dyDescent="0.2">
      <c r="A1243" s="35"/>
      <c r="B1243" s="35"/>
      <c r="C1243" s="35"/>
      <c r="D1243" s="35"/>
      <c r="E1243" s="35"/>
      <c r="F1243" s="35"/>
      <c r="G1243" s="35"/>
      <c r="H1243" s="35"/>
      <c r="I1243" s="35"/>
      <c r="J1243" s="35"/>
      <c r="K1243" s="35"/>
      <c r="L1243" s="35"/>
      <c r="M1243" s="35"/>
      <c r="N1243" s="35"/>
      <c r="O1243" s="35"/>
      <c r="P1243" s="35"/>
      <c r="Q1243" s="35"/>
      <c r="R1243" s="35"/>
      <c r="S1243" s="35"/>
      <c r="T1243" s="35"/>
      <c r="U1243" s="35"/>
      <c r="V1243" s="35"/>
      <c r="W1243" s="35"/>
      <c r="X1243" s="35"/>
      <c r="Y1243" s="35"/>
      <c r="Z1243" s="35"/>
      <c r="AA1243" s="35"/>
      <c r="AB1243" s="35"/>
      <c r="AC1243" s="35"/>
      <c r="AD1243" s="35"/>
      <c r="AE1243" s="35"/>
      <c r="AF1243" s="35"/>
      <c r="AG1243" s="35"/>
      <c r="AH1243" s="35"/>
      <c r="AI1243" s="35"/>
      <c r="AJ1243" s="35"/>
      <c r="AK1243" s="35"/>
      <c r="AL1243" s="35"/>
      <c r="AM1243" s="35"/>
      <c r="AN1243" s="35"/>
      <c r="AO1243" s="35"/>
      <c r="AP1243" s="35"/>
      <c r="AQ1243" s="35"/>
      <c r="AR1243" s="35"/>
      <c r="AS1243" s="35"/>
      <c r="AT1243" s="35"/>
      <c r="AU1243" s="35"/>
      <c r="AV1243" s="35"/>
      <c r="AW1243" s="35"/>
    </row>
    <row r="1244" spans="1:49" s="47" customFormat="1" ht="15.75" x14ac:dyDescent="0.2">
      <c r="A1244" s="35"/>
      <c r="B1244" s="35"/>
      <c r="C1244" s="35"/>
      <c r="D1244" s="35"/>
      <c r="E1244" s="35"/>
      <c r="F1244" s="35"/>
      <c r="G1244" s="35"/>
      <c r="H1244" s="35"/>
      <c r="I1244" s="35"/>
      <c r="J1244" s="35"/>
      <c r="K1244" s="35"/>
      <c r="L1244" s="35"/>
      <c r="M1244" s="35"/>
      <c r="N1244" s="35"/>
      <c r="O1244" s="35"/>
      <c r="P1244" s="35"/>
      <c r="Q1244" s="35"/>
      <c r="R1244" s="35"/>
      <c r="S1244" s="35"/>
      <c r="T1244" s="35"/>
      <c r="U1244" s="35"/>
      <c r="V1244" s="35"/>
      <c r="W1244" s="35"/>
      <c r="X1244" s="35"/>
      <c r="Y1244" s="35"/>
      <c r="Z1244" s="35"/>
      <c r="AA1244" s="35"/>
      <c r="AB1244" s="35"/>
      <c r="AC1244" s="35"/>
      <c r="AD1244" s="35"/>
      <c r="AE1244" s="35"/>
      <c r="AF1244" s="35"/>
      <c r="AG1244" s="35"/>
      <c r="AH1244" s="35"/>
      <c r="AI1244" s="35"/>
      <c r="AJ1244" s="35"/>
      <c r="AK1244" s="35"/>
      <c r="AL1244" s="35"/>
      <c r="AM1244" s="35"/>
      <c r="AN1244" s="35"/>
      <c r="AO1244" s="35"/>
      <c r="AP1244" s="35"/>
      <c r="AQ1244" s="35"/>
      <c r="AR1244" s="35"/>
      <c r="AS1244" s="35"/>
      <c r="AT1244" s="35"/>
      <c r="AU1244" s="35"/>
      <c r="AV1244" s="35"/>
      <c r="AW1244" s="35"/>
    </row>
    <row r="1245" spans="1:49" s="47" customFormat="1" ht="15.75" x14ac:dyDescent="0.2">
      <c r="A1245" s="35"/>
      <c r="B1245" s="35"/>
      <c r="C1245" s="35"/>
      <c r="D1245" s="35"/>
      <c r="E1245" s="35"/>
      <c r="F1245" s="35"/>
      <c r="G1245" s="35"/>
      <c r="H1245" s="35"/>
      <c r="I1245" s="35"/>
      <c r="J1245" s="35"/>
      <c r="K1245" s="35"/>
      <c r="L1245" s="35"/>
      <c r="M1245" s="35"/>
      <c r="N1245" s="35"/>
      <c r="O1245" s="35"/>
      <c r="P1245" s="35"/>
      <c r="Q1245" s="35"/>
      <c r="R1245" s="35"/>
      <c r="S1245" s="35"/>
      <c r="T1245" s="35"/>
      <c r="U1245" s="35"/>
      <c r="V1245" s="35"/>
      <c r="W1245" s="35"/>
      <c r="X1245" s="35"/>
      <c r="Y1245" s="35"/>
      <c r="Z1245" s="35"/>
      <c r="AA1245" s="35"/>
      <c r="AB1245" s="35"/>
      <c r="AC1245" s="35"/>
      <c r="AD1245" s="35"/>
      <c r="AE1245" s="35"/>
      <c r="AF1245" s="35"/>
      <c r="AG1245" s="35"/>
      <c r="AH1245" s="35"/>
      <c r="AI1245" s="35"/>
      <c r="AJ1245" s="35"/>
      <c r="AK1245" s="35"/>
      <c r="AL1245" s="35"/>
      <c r="AM1245" s="35"/>
      <c r="AN1245" s="35"/>
      <c r="AO1245" s="35"/>
      <c r="AP1245" s="35"/>
      <c r="AQ1245" s="35"/>
      <c r="AR1245" s="35"/>
      <c r="AS1245" s="35"/>
      <c r="AT1245" s="35"/>
      <c r="AU1245" s="35"/>
      <c r="AV1245" s="35"/>
      <c r="AW1245" s="35"/>
    </row>
    <row r="1246" spans="1:49" s="47" customFormat="1" ht="15.75" x14ac:dyDescent="0.2">
      <c r="A1246" s="35"/>
      <c r="B1246" s="35"/>
      <c r="C1246" s="35"/>
      <c r="D1246" s="35"/>
      <c r="E1246" s="35"/>
      <c r="F1246" s="35"/>
      <c r="G1246" s="35"/>
      <c r="H1246" s="35"/>
      <c r="I1246" s="35"/>
      <c r="J1246" s="35"/>
      <c r="K1246" s="35"/>
      <c r="L1246" s="35"/>
      <c r="M1246" s="35"/>
      <c r="N1246" s="35"/>
      <c r="O1246" s="35"/>
      <c r="P1246" s="35"/>
      <c r="Q1246" s="35"/>
      <c r="R1246" s="35"/>
      <c r="S1246" s="35"/>
      <c r="T1246" s="35"/>
      <c r="U1246" s="35"/>
      <c r="V1246" s="35"/>
      <c r="W1246" s="35"/>
      <c r="X1246" s="35"/>
      <c r="Y1246" s="35"/>
      <c r="Z1246" s="35"/>
      <c r="AA1246" s="35"/>
      <c r="AB1246" s="35"/>
      <c r="AC1246" s="35"/>
      <c r="AD1246" s="35"/>
      <c r="AE1246" s="35"/>
      <c r="AF1246" s="35"/>
      <c r="AG1246" s="35"/>
      <c r="AH1246" s="35"/>
      <c r="AI1246" s="35"/>
      <c r="AJ1246" s="35"/>
      <c r="AK1246" s="35"/>
      <c r="AL1246" s="35"/>
      <c r="AM1246" s="35"/>
      <c r="AN1246" s="35"/>
      <c r="AO1246" s="35"/>
      <c r="AP1246" s="35"/>
      <c r="AQ1246" s="35"/>
      <c r="AR1246" s="35"/>
      <c r="AS1246" s="35"/>
      <c r="AT1246" s="35"/>
      <c r="AU1246" s="35"/>
      <c r="AV1246" s="35"/>
      <c r="AW1246" s="35"/>
    </row>
    <row r="1247" spans="1:49" s="47" customFormat="1" ht="15.75" x14ac:dyDescent="0.2">
      <c r="A1247" s="35"/>
      <c r="B1247" s="35"/>
      <c r="C1247" s="35"/>
      <c r="D1247" s="35"/>
      <c r="E1247" s="35"/>
      <c r="F1247" s="35"/>
      <c r="G1247" s="35"/>
      <c r="H1247" s="35"/>
      <c r="I1247" s="35"/>
      <c r="J1247" s="35"/>
      <c r="K1247" s="35"/>
      <c r="L1247" s="35"/>
      <c r="M1247" s="35"/>
      <c r="N1247" s="35"/>
      <c r="O1247" s="35"/>
      <c r="P1247" s="35"/>
      <c r="Q1247" s="35"/>
      <c r="R1247" s="35"/>
      <c r="S1247" s="35"/>
      <c r="T1247" s="35"/>
      <c r="U1247" s="35"/>
      <c r="V1247" s="35"/>
      <c r="W1247" s="35"/>
      <c r="X1247" s="35"/>
      <c r="Y1247" s="35"/>
      <c r="Z1247" s="35"/>
      <c r="AA1247" s="35"/>
      <c r="AB1247" s="35"/>
      <c r="AC1247" s="35"/>
      <c r="AD1247" s="35"/>
      <c r="AE1247" s="35"/>
      <c r="AF1247" s="35"/>
      <c r="AG1247" s="35"/>
      <c r="AH1247" s="35"/>
      <c r="AI1247" s="35"/>
      <c r="AJ1247" s="35"/>
      <c r="AK1247" s="35"/>
      <c r="AL1247" s="35"/>
      <c r="AM1247" s="35"/>
      <c r="AN1247" s="35"/>
      <c r="AO1247" s="35"/>
      <c r="AP1247" s="35"/>
      <c r="AQ1247" s="35"/>
      <c r="AR1247" s="35"/>
      <c r="AS1247" s="35"/>
      <c r="AT1247" s="35"/>
      <c r="AU1247" s="35"/>
      <c r="AV1247" s="35"/>
      <c r="AW1247" s="35"/>
    </row>
    <row r="1248" spans="1:49" s="47" customFormat="1" ht="15.75" x14ac:dyDescent="0.2">
      <c r="A1248" s="35"/>
      <c r="B1248" s="35"/>
      <c r="C1248" s="35"/>
      <c r="D1248" s="35"/>
      <c r="E1248" s="35"/>
      <c r="F1248" s="35"/>
      <c r="G1248" s="35"/>
      <c r="H1248" s="35"/>
      <c r="I1248" s="35"/>
      <c r="J1248" s="35"/>
      <c r="K1248" s="35"/>
      <c r="L1248" s="35"/>
      <c r="M1248" s="35"/>
      <c r="N1248" s="35"/>
      <c r="O1248" s="35"/>
      <c r="P1248" s="35"/>
      <c r="Q1248" s="35"/>
      <c r="R1248" s="35"/>
      <c r="S1248" s="35"/>
      <c r="T1248" s="35"/>
      <c r="U1248" s="35"/>
      <c r="V1248" s="35"/>
      <c r="W1248" s="35"/>
      <c r="X1248" s="35"/>
      <c r="Y1248" s="35"/>
      <c r="Z1248" s="35"/>
      <c r="AA1248" s="35"/>
      <c r="AB1248" s="35"/>
      <c r="AC1248" s="35"/>
      <c r="AD1248" s="35"/>
      <c r="AE1248" s="35"/>
      <c r="AF1248" s="35"/>
      <c r="AG1248" s="35"/>
      <c r="AH1248" s="35"/>
      <c r="AI1248" s="35"/>
      <c r="AJ1248" s="35"/>
      <c r="AK1248" s="35"/>
      <c r="AL1248" s="35"/>
      <c r="AM1248" s="35"/>
      <c r="AN1248" s="35"/>
      <c r="AO1248" s="35"/>
      <c r="AP1248" s="35"/>
      <c r="AQ1248" s="35"/>
      <c r="AR1248" s="35"/>
      <c r="AS1248" s="35"/>
      <c r="AT1248" s="35"/>
      <c r="AU1248" s="35"/>
      <c r="AV1248" s="35"/>
      <c r="AW1248" s="35"/>
    </row>
    <row r="1249" spans="1:49" s="47" customFormat="1" ht="15.75" x14ac:dyDescent="0.2">
      <c r="A1249" s="35"/>
      <c r="B1249" s="35"/>
      <c r="C1249" s="35"/>
      <c r="D1249" s="35"/>
      <c r="E1249" s="35"/>
      <c r="F1249" s="35"/>
      <c r="G1249" s="35"/>
      <c r="H1249" s="35"/>
      <c r="I1249" s="35"/>
      <c r="J1249" s="35"/>
      <c r="K1249" s="35"/>
      <c r="L1249" s="35"/>
      <c r="M1249" s="35"/>
      <c r="N1249" s="35"/>
      <c r="O1249" s="35"/>
      <c r="P1249" s="35"/>
      <c r="Q1249" s="35"/>
      <c r="R1249" s="35"/>
      <c r="S1249" s="35"/>
      <c r="T1249" s="35"/>
      <c r="U1249" s="35"/>
      <c r="V1249" s="35"/>
      <c r="W1249" s="35"/>
      <c r="X1249" s="35"/>
      <c r="Y1249" s="35"/>
      <c r="Z1249" s="35"/>
      <c r="AA1249" s="35"/>
      <c r="AB1249" s="35"/>
      <c r="AC1249" s="35"/>
      <c r="AD1249" s="35"/>
      <c r="AE1249" s="35"/>
      <c r="AF1249" s="35"/>
      <c r="AG1249" s="35"/>
      <c r="AH1249" s="35"/>
      <c r="AI1249" s="35"/>
      <c r="AJ1249" s="35"/>
      <c r="AK1249" s="35"/>
      <c r="AL1249" s="35"/>
      <c r="AM1249" s="35"/>
      <c r="AN1249" s="35"/>
      <c r="AO1249" s="35"/>
      <c r="AP1249" s="35"/>
      <c r="AQ1249" s="35"/>
      <c r="AR1249" s="35"/>
      <c r="AS1249" s="35"/>
      <c r="AT1249" s="35"/>
      <c r="AU1249" s="35"/>
      <c r="AV1249" s="35"/>
      <c r="AW1249" s="35"/>
    </row>
    <row r="1250" spans="1:49" s="47" customFormat="1" ht="15.75" x14ac:dyDescent="0.2">
      <c r="A1250" s="35"/>
      <c r="B1250" s="35"/>
      <c r="C1250" s="35"/>
      <c r="D1250" s="35"/>
      <c r="E1250" s="35"/>
      <c r="F1250" s="35"/>
      <c r="G1250" s="35"/>
      <c r="H1250" s="35"/>
      <c r="I1250" s="35"/>
      <c r="J1250" s="35"/>
      <c r="K1250" s="35"/>
      <c r="L1250" s="35"/>
      <c r="M1250" s="35"/>
      <c r="N1250" s="35"/>
      <c r="O1250" s="35"/>
      <c r="P1250" s="35"/>
      <c r="Q1250" s="35"/>
      <c r="R1250" s="35"/>
      <c r="S1250" s="35"/>
      <c r="T1250" s="35"/>
      <c r="U1250" s="35"/>
      <c r="V1250" s="35"/>
      <c r="W1250" s="35"/>
      <c r="X1250" s="35"/>
      <c r="Y1250" s="35"/>
      <c r="Z1250" s="35"/>
      <c r="AA1250" s="35"/>
      <c r="AB1250" s="35"/>
      <c r="AC1250" s="35"/>
      <c r="AD1250" s="35"/>
      <c r="AE1250" s="35"/>
      <c r="AF1250" s="35"/>
      <c r="AG1250" s="35"/>
      <c r="AH1250" s="35"/>
      <c r="AI1250" s="35"/>
      <c r="AJ1250" s="35"/>
      <c r="AK1250" s="35"/>
      <c r="AL1250" s="35"/>
      <c r="AM1250" s="35"/>
      <c r="AN1250" s="35"/>
      <c r="AO1250" s="35"/>
      <c r="AP1250" s="35"/>
      <c r="AQ1250" s="35"/>
      <c r="AR1250" s="35"/>
      <c r="AS1250" s="35"/>
      <c r="AT1250" s="35"/>
      <c r="AU1250" s="35"/>
      <c r="AV1250" s="35"/>
      <c r="AW1250" s="35"/>
    </row>
    <row r="1251" spans="1:49" s="47" customFormat="1" ht="15.75" x14ac:dyDescent="0.2">
      <c r="A1251" s="35"/>
      <c r="B1251" s="35"/>
      <c r="C1251" s="35"/>
      <c r="D1251" s="35"/>
      <c r="E1251" s="35"/>
      <c r="F1251" s="35"/>
      <c r="G1251" s="35"/>
      <c r="H1251" s="35"/>
      <c r="I1251" s="35"/>
      <c r="J1251" s="35"/>
      <c r="K1251" s="35"/>
      <c r="L1251" s="35"/>
      <c r="M1251" s="35"/>
      <c r="N1251" s="35"/>
      <c r="O1251" s="35"/>
      <c r="P1251" s="35"/>
      <c r="Q1251" s="35"/>
      <c r="R1251" s="35"/>
      <c r="S1251" s="35"/>
      <c r="T1251" s="35"/>
      <c r="U1251" s="35"/>
      <c r="V1251" s="35"/>
      <c r="W1251" s="35"/>
      <c r="X1251" s="35"/>
      <c r="Y1251" s="35"/>
      <c r="Z1251" s="35"/>
      <c r="AA1251" s="35"/>
      <c r="AB1251" s="35"/>
      <c r="AC1251" s="35"/>
      <c r="AD1251" s="35"/>
      <c r="AE1251" s="35"/>
      <c r="AF1251" s="35"/>
      <c r="AG1251" s="35"/>
      <c r="AH1251" s="35"/>
      <c r="AI1251" s="35"/>
      <c r="AJ1251" s="35"/>
      <c r="AK1251" s="35"/>
      <c r="AL1251" s="35"/>
      <c r="AM1251" s="35"/>
      <c r="AN1251" s="35"/>
      <c r="AO1251" s="35"/>
      <c r="AP1251" s="35"/>
      <c r="AQ1251" s="35"/>
      <c r="AR1251" s="35"/>
      <c r="AS1251" s="35"/>
      <c r="AT1251" s="35"/>
      <c r="AU1251" s="35"/>
      <c r="AV1251" s="35"/>
      <c r="AW1251" s="35"/>
    </row>
    <row r="1252" spans="1:49" s="47" customFormat="1" ht="15.75" x14ac:dyDescent="0.2">
      <c r="A1252" s="35"/>
      <c r="B1252" s="35"/>
      <c r="C1252" s="35"/>
      <c r="D1252" s="35"/>
      <c r="E1252" s="35"/>
      <c r="F1252" s="35"/>
      <c r="G1252" s="35"/>
      <c r="H1252" s="35"/>
      <c r="I1252" s="35"/>
      <c r="J1252" s="35"/>
      <c r="K1252" s="35"/>
      <c r="L1252" s="35"/>
      <c r="M1252" s="35"/>
      <c r="N1252" s="35"/>
      <c r="O1252" s="35"/>
      <c r="P1252" s="35"/>
      <c r="Q1252" s="35"/>
      <c r="R1252" s="35"/>
      <c r="S1252" s="35"/>
      <c r="T1252" s="35"/>
      <c r="U1252" s="35"/>
      <c r="V1252" s="35"/>
      <c r="W1252" s="35"/>
      <c r="X1252" s="35"/>
      <c r="Y1252" s="35"/>
      <c r="Z1252" s="35"/>
      <c r="AA1252" s="35"/>
      <c r="AB1252" s="35"/>
      <c r="AC1252" s="35"/>
      <c r="AD1252" s="35"/>
      <c r="AE1252" s="35"/>
      <c r="AF1252" s="35"/>
      <c r="AG1252" s="35"/>
      <c r="AH1252" s="35"/>
      <c r="AI1252" s="35"/>
      <c r="AJ1252" s="35"/>
      <c r="AK1252" s="35"/>
      <c r="AL1252" s="35"/>
      <c r="AM1252" s="35"/>
      <c r="AN1252" s="35"/>
      <c r="AO1252" s="35"/>
      <c r="AP1252" s="35"/>
      <c r="AQ1252" s="35"/>
      <c r="AR1252" s="35"/>
      <c r="AS1252" s="35"/>
      <c r="AT1252" s="35"/>
      <c r="AU1252" s="35"/>
      <c r="AV1252" s="35"/>
      <c r="AW1252" s="35"/>
    </row>
    <row r="1253" spans="1:49" s="47" customFormat="1" ht="15.75" x14ac:dyDescent="0.2">
      <c r="A1253" s="35"/>
      <c r="B1253" s="35"/>
      <c r="C1253" s="35"/>
      <c r="D1253" s="35"/>
      <c r="E1253" s="35"/>
      <c r="F1253" s="35"/>
      <c r="G1253" s="35"/>
      <c r="H1253" s="35"/>
      <c r="I1253" s="35"/>
      <c r="J1253" s="35"/>
      <c r="K1253" s="35"/>
      <c r="L1253" s="35"/>
      <c r="M1253" s="35"/>
      <c r="N1253" s="35"/>
      <c r="O1253" s="35"/>
      <c r="P1253" s="35"/>
      <c r="Q1253" s="35"/>
      <c r="R1253" s="35"/>
      <c r="S1253" s="35"/>
      <c r="T1253" s="35"/>
      <c r="U1253" s="35"/>
      <c r="V1253" s="35"/>
      <c r="W1253" s="35"/>
      <c r="X1253" s="35"/>
      <c r="Y1253" s="35"/>
      <c r="Z1253" s="35"/>
      <c r="AA1253" s="35"/>
      <c r="AB1253" s="35"/>
      <c r="AC1253" s="35"/>
      <c r="AD1253" s="35"/>
      <c r="AE1253" s="35"/>
      <c r="AF1253" s="35"/>
      <c r="AG1253" s="35"/>
      <c r="AH1253" s="35"/>
      <c r="AI1253" s="35"/>
      <c r="AJ1253" s="35"/>
      <c r="AK1253" s="35"/>
      <c r="AL1253" s="35"/>
      <c r="AM1253" s="35"/>
      <c r="AN1253" s="35"/>
      <c r="AO1253" s="35"/>
      <c r="AP1253" s="35"/>
      <c r="AQ1253" s="35"/>
      <c r="AR1253" s="35"/>
      <c r="AS1253" s="35"/>
      <c r="AT1253" s="35"/>
      <c r="AU1253" s="35"/>
      <c r="AV1253" s="35"/>
      <c r="AW1253" s="35"/>
    </row>
    <row r="1254" spans="1:49" s="47" customFormat="1" ht="15.75" x14ac:dyDescent="0.2">
      <c r="A1254" s="35"/>
      <c r="B1254" s="35"/>
      <c r="C1254" s="35"/>
      <c r="D1254" s="35"/>
      <c r="E1254" s="35"/>
      <c r="F1254" s="35"/>
      <c r="G1254" s="35"/>
      <c r="H1254" s="35"/>
      <c r="I1254" s="35"/>
      <c r="J1254" s="35"/>
      <c r="K1254" s="35"/>
      <c r="L1254" s="35"/>
      <c r="M1254" s="35"/>
      <c r="N1254" s="35"/>
      <c r="O1254" s="35"/>
      <c r="P1254" s="35"/>
      <c r="Q1254" s="35"/>
      <c r="R1254" s="35"/>
      <c r="S1254" s="35"/>
      <c r="T1254" s="35"/>
      <c r="U1254" s="35"/>
      <c r="V1254" s="35"/>
      <c r="W1254" s="35"/>
      <c r="X1254" s="35"/>
      <c r="Y1254" s="35"/>
      <c r="Z1254" s="35"/>
      <c r="AA1254" s="35"/>
      <c r="AB1254" s="35"/>
      <c r="AC1254" s="35"/>
      <c r="AD1254" s="35"/>
      <c r="AE1254" s="35"/>
      <c r="AF1254" s="35"/>
      <c r="AG1254" s="35"/>
      <c r="AH1254" s="35"/>
      <c r="AI1254" s="35"/>
      <c r="AJ1254" s="35"/>
      <c r="AK1254" s="35"/>
      <c r="AL1254" s="35"/>
      <c r="AM1254" s="35"/>
      <c r="AN1254" s="35"/>
      <c r="AO1254" s="35"/>
      <c r="AP1254" s="35"/>
      <c r="AQ1254" s="35"/>
      <c r="AR1254" s="35"/>
      <c r="AS1254" s="35"/>
      <c r="AT1254" s="35"/>
      <c r="AU1254" s="35"/>
      <c r="AV1254" s="35"/>
      <c r="AW1254" s="35"/>
    </row>
    <row r="1255" spans="1:49" s="47" customFormat="1" ht="15.75" x14ac:dyDescent="0.2">
      <c r="A1255" s="35"/>
      <c r="B1255" s="35"/>
      <c r="C1255" s="35"/>
      <c r="D1255" s="35"/>
      <c r="E1255" s="35"/>
      <c r="F1255" s="35"/>
      <c r="G1255" s="35"/>
      <c r="H1255" s="35"/>
      <c r="I1255" s="35"/>
      <c r="J1255" s="35"/>
      <c r="K1255" s="35"/>
      <c r="L1255" s="35"/>
      <c r="M1255" s="35"/>
      <c r="N1255" s="35"/>
      <c r="O1255" s="35"/>
      <c r="P1255" s="35"/>
      <c r="Q1255" s="35"/>
      <c r="R1255" s="35"/>
      <c r="S1255" s="35"/>
      <c r="T1255" s="35"/>
      <c r="U1255" s="35"/>
      <c r="V1255" s="35"/>
      <c r="W1255" s="35"/>
      <c r="X1255" s="35"/>
      <c r="Y1255" s="35"/>
      <c r="Z1255" s="35"/>
      <c r="AA1255" s="35"/>
      <c r="AB1255" s="35"/>
      <c r="AC1255" s="35"/>
      <c r="AD1255" s="35"/>
      <c r="AE1255" s="35"/>
      <c r="AF1255" s="35"/>
      <c r="AG1255" s="35"/>
      <c r="AH1255" s="35"/>
      <c r="AI1255" s="35"/>
      <c r="AJ1255" s="35"/>
      <c r="AK1255" s="35"/>
      <c r="AL1255" s="35"/>
      <c r="AM1255" s="35"/>
      <c r="AN1255" s="35"/>
      <c r="AO1255" s="35"/>
      <c r="AP1255" s="35"/>
      <c r="AQ1255" s="35"/>
      <c r="AR1255" s="35"/>
      <c r="AS1255" s="35"/>
      <c r="AT1255" s="35"/>
      <c r="AU1255" s="35"/>
      <c r="AV1255" s="35"/>
      <c r="AW1255" s="35"/>
    </row>
    <row r="1256" spans="1:49" s="47" customFormat="1" ht="15.75" x14ac:dyDescent="0.2">
      <c r="A1256" s="35"/>
      <c r="B1256" s="35"/>
      <c r="C1256" s="35"/>
      <c r="D1256" s="35"/>
      <c r="E1256" s="35"/>
      <c r="F1256" s="35"/>
      <c r="G1256" s="35"/>
      <c r="H1256" s="35"/>
      <c r="I1256" s="35"/>
      <c r="J1256" s="35"/>
      <c r="K1256" s="35"/>
      <c r="L1256" s="35"/>
      <c r="M1256" s="35"/>
      <c r="N1256" s="35"/>
      <c r="O1256" s="35"/>
      <c r="P1256" s="35"/>
      <c r="Q1256" s="35"/>
      <c r="R1256" s="35"/>
      <c r="S1256" s="35"/>
      <c r="T1256" s="35"/>
      <c r="U1256" s="35"/>
      <c r="V1256" s="35"/>
      <c r="W1256" s="35"/>
      <c r="X1256" s="35"/>
      <c r="Y1256" s="35"/>
      <c r="Z1256" s="35"/>
      <c r="AA1256" s="35"/>
      <c r="AB1256" s="35"/>
      <c r="AC1256" s="35"/>
      <c r="AD1256" s="35"/>
      <c r="AE1256" s="35"/>
      <c r="AF1256" s="35"/>
      <c r="AG1256" s="35"/>
      <c r="AH1256" s="35"/>
      <c r="AI1256" s="35"/>
      <c r="AJ1256" s="35"/>
      <c r="AK1256" s="35"/>
      <c r="AL1256" s="35"/>
      <c r="AM1256" s="35"/>
      <c r="AN1256" s="35"/>
      <c r="AO1256" s="35"/>
      <c r="AP1256" s="35"/>
      <c r="AQ1256" s="35"/>
      <c r="AR1256" s="35"/>
      <c r="AS1256" s="35"/>
      <c r="AT1256" s="35"/>
      <c r="AU1256" s="35"/>
      <c r="AV1256" s="35"/>
      <c r="AW1256" s="35"/>
    </row>
    <row r="1257" spans="1:49" s="47" customFormat="1" ht="15.75" x14ac:dyDescent="0.2">
      <c r="A1257" s="35"/>
      <c r="B1257" s="35"/>
      <c r="C1257" s="35"/>
      <c r="D1257" s="35"/>
      <c r="E1257" s="35"/>
      <c r="F1257" s="35"/>
      <c r="G1257" s="35"/>
      <c r="H1257" s="35"/>
      <c r="I1257" s="35"/>
      <c r="J1257" s="35"/>
      <c r="K1257" s="35"/>
      <c r="L1257" s="35"/>
      <c r="M1257" s="35"/>
      <c r="N1257" s="35"/>
      <c r="O1257" s="35"/>
      <c r="P1257" s="35"/>
      <c r="Q1257" s="35"/>
      <c r="R1257" s="35"/>
      <c r="S1257" s="35"/>
      <c r="T1257" s="35"/>
      <c r="U1257" s="35"/>
      <c r="V1257" s="35"/>
      <c r="W1257" s="35"/>
      <c r="X1257" s="35"/>
      <c r="Y1257" s="35"/>
      <c r="Z1257" s="35"/>
      <c r="AA1257" s="35"/>
      <c r="AB1257" s="35"/>
      <c r="AC1257" s="35"/>
      <c r="AD1257" s="35"/>
      <c r="AE1257" s="35"/>
      <c r="AF1257" s="35"/>
      <c r="AG1257" s="35"/>
      <c r="AH1257" s="35"/>
      <c r="AI1257" s="35"/>
      <c r="AJ1257" s="35"/>
      <c r="AK1257" s="35"/>
      <c r="AL1257" s="35"/>
      <c r="AM1257" s="35"/>
      <c r="AN1257" s="35"/>
      <c r="AO1257" s="35"/>
      <c r="AP1257" s="35"/>
      <c r="AQ1257" s="35"/>
      <c r="AR1257" s="35"/>
      <c r="AS1257" s="35"/>
      <c r="AT1257" s="35"/>
      <c r="AU1257" s="35"/>
      <c r="AV1257" s="35"/>
      <c r="AW1257" s="35"/>
    </row>
    <row r="1258" spans="1:49" s="47" customFormat="1" ht="15.75" x14ac:dyDescent="0.2">
      <c r="A1258" s="35"/>
      <c r="B1258" s="35"/>
      <c r="C1258" s="35"/>
      <c r="D1258" s="35"/>
      <c r="E1258" s="35"/>
      <c r="F1258" s="35"/>
      <c r="G1258" s="35"/>
      <c r="H1258" s="35"/>
      <c r="I1258" s="35"/>
      <c r="J1258" s="35"/>
      <c r="K1258" s="35"/>
      <c r="L1258" s="35"/>
      <c r="M1258" s="35"/>
      <c r="N1258" s="35"/>
      <c r="O1258" s="35"/>
      <c r="P1258" s="35"/>
      <c r="Q1258" s="35"/>
      <c r="R1258" s="35"/>
      <c r="S1258" s="35"/>
      <c r="T1258" s="35"/>
      <c r="U1258" s="35"/>
      <c r="V1258" s="35"/>
      <c r="W1258" s="35"/>
      <c r="X1258" s="35"/>
      <c r="Y1258" s="35"/>
      <c r="Z1258" s="35"/>
      <c r="AA1258" s="35"/>
      <c r="AB1258" s="35"/>
      <c r="AC1258" s="35"/>
      <c r="AD1258" s="35"/>
      <c r="AE1258" s="35"/>
      <c r="AF1258" s="35"/>
      <c r="AG1258" s="35"/>
      <c r="AH1258" s="35"/>
      <c r="AI1258" s="35"/>
      <c r="AJ1258" s="35"/>
      <c r="AK1258" s="35"/>
      <c r="AL1258" s="35"/>
      <c r="AM1258" s="35"/>
      <c r="AN1258" s="35"/>
      <c r="AO1258" s="35"/>
      <c r="AP1258" s="35"/>
      <c r="AQ1258" s="35"/>
      <c r="AR1258" s="35"/>
      <c r="AS1258" s="35"/>
      <c r="AT1258" s="35"/>
      <c r="AU1258" s="35"/>
      <c r="AV1258" s="35"/>
      <c r="AW1258" s="35"/>
    </row>
    <row r="1259" spans="1:49" s="47" customFormat="1" ht="15.75" x14ac:dyDescent="0.2">
      <c r="A1259" s="35"/>
      <c r="B1259" s="35"/>
      <c r="C1259" s="35"/>
      <c r="D1259" s="35"/>
      <c r="E1259" s="35"/>
      <c r="F1259" s="35"/>
      <c r="G1259" s="35"/>
      <c r="H1259" s="35"/>
      <c r="I1259" s="35"/>
      <c r="J1259" s="35"/>
      <c r="K1259" s="35"/>
      <c r="L1259" s="35"/>
      <c r="M1259" s="35"/>
      <c r="N1259" s="35"/>
      <c r="O1259" s="35"/>
      <c r="P1259" s="35"/>
      <c r="Q1259" s="35"/>
      <c r="R1259" s="35"/>
      <c r="S1259" s="35"/>
      <c r="T1259" s="35"/>
      <c r="U1259" s="35"/>
      <c r="V1259" s="35"/>
      <c r="W1259" s="35"/>
      <c r="X1259" s="35"/>
      <c r="Y1259" s="35"/>
      <c r="Z1259" s="35"/>
      <c r="AA1259" s="35"/>
      <c r="AB1259" s="35"/>
      <c r="AC1259" s="35"/>
      <c r="AD1259" s="35"/>
      <c r="AE1259" s="35"/>
      <c r="AF1259" s="35"/>
      <c r="AG1259" s="35"/>
      <c r="AH1259" s="35"/>
      <c r="AI1259" s="35"/>
      <c r="AJ1259" s="35"/>
      <c r="AK1259" s="35"/>
      <c r="AL1259" s="35"/>
      <c r="AM1259" s="35"/>
      <c r="AN1259" s="35"/>
      <c r="AO1259" s="35"/>
      <c r="AP1259" s="35"/>
      <c r="AQ1259" s="35"/>
      <c r="AR1259" s="35"/>
      <c r="AS1259" s="35"/>
      <c r="AT1259" s="35"/>
      <c r="AU1259" s="35"/>
      <c r="AV1259" s="35"/>
      <c r="AW1259" s="35"/>
    </row>
    <row r="1260" spans="1:49" s="47" customFormat="1" ht="15.75" x14ac:dyDescent="0.2">
      <c r="A1260" s="35"/>
      <c r="B1260" s="35"/>
      <c r="C1260" s="35"/>
      <c r="D1260" s="35"/>
      <c r="E1260" s="35"/>
      <c r="F1260" s="35"/>
      <c r="G1260" s="35"/>
      <c r="H1260" s="35"/>
      <c r="I1260" s="35"/>
      <c r="J1260" s="35"/>
      <c r="K1260" s="35"/>
      <c r="L1260" s="35"/>
      <c r="M1260" s="35"/>
      <c r="N1260" s="35"/>
      <c r="O1260" s="35"/>
      <c r="P1260" s="35"/>
      <c r="Q1260" s="35"/>
      <c r="R1260" s="35"/>
      <c r="S1260" s="35"/>
      <c r="T1260" s="35"/>
      <c r="U1260" s="35"/>
      <c r="V1260" s="35"/>
      <c r="W1260" s="35"/>
      <c r="X1260" s="35"/>
      <c r="Y1260" s="35"/>
      <c r="Z1260" s="35"/>
      <c r="AA1260" s="35"/>
      <c r="AB1260" s="35"/>
      <c r="AC1260" s="35"/>
      <c r="AD1260" s="35"/>
      <c r="AE1260" s="35"/>
      <c r="AF1260" s="35"/>
      <c r="AG1260" s="35"/>
      <c r="AH1260" s="35"/>
      <c r="AI1260" s="35"/>
      <c r="AJ1260" s="35"/>
      <c r="AK1260" s="35"/>
      <c r="AL1260" s="35"/>
      <c r="AM1260" s="35"/>
      <c r="AN1260" s="35"/>
      <c r="AO1260" s="35"/>
      <c r="AP1260" s="35"/>
      <c r="AQ1260" s="35"/>
      <c r="AR1260" s="35"/>
      <c r="AS1260" s="35"/>
      <c r="AT1260" s="35"/>
      <c r="AU1260" s="35"/>
      <c r="AV1260" s="35"/>
      <c r="AW1260" s="35"/>
    </row>
    <row r="1261" spans="1:49" s="47" customFormat="1" ht="15.75" x14ac:dyDescent="0.2">
      <c r="A1261" s="35"/>
      <c r="B1261" s="35"/>
      <c r="C1261" s="35"/>
      <c r="D1261" s="35"/>
      <c r="E1261" s="35"/>
      <c r="F1261" s="35"/>
      <c r="G1261" s="35"/>
      <c r="H1261" s="35"/>
      <c r="I1261" s="35"/>
      <c r="J1261" s="35"/>
      <c r="K1261" s="35"/>
      <c r="L1261" s="35"/>
      <c r="M1261" s="35"/>
      <c r="N1261" s="35"/>
      <c r="O1261" s="35"/>
      <c r="P1261" s="35"/>
      <c r="Q1261" s="35"/>
      <c r="R1261" s="35"/>
      <c r="S1261" s="35"/>
      <c r="T1261" s="35"/>
      <c r="U1261" s="35"/>
      <c r="V1261" s="35"/>
      <c r="W1261" s="35"/>
      <c r="X1261" s="35"/>
      <c r="Y1261" s="35"/>
      <c r="Z1261" s="35"/>
      <c r="AA1261" s="35"/>
      <c r="AB1261" s="35"/>
      <c r="AC1261" s="35"/>
      <c r="AD1261" s="35"/>
      <c r="AE1261" s="35"/>
      <c r="AF1261" s="35"/>
      <c r="AG1261" s="35"/>
      <c r="AH1261" s="35"/>
      <c r="AI1261" s="35"/>
      <c r="AJ1261" s="35"/>
      <c r="AK1261" s="35"/>
      <c r="AL1261" s="35"/>
      <c r="AM1261" s="35"/>
      <c r="AN1261" s="35"/>
      <c r="AO1261" s="35"/>
      <c r="AP1261" s="35"/>
      <c r="AQ1261" s="35"/>
      <c r="AR1261" s="35"/>
      <c r="AS1261" s="35"/>
      <c r="AT1261" s="35"/>
      <c r="AU1261" s="35"/>
      <c r="AV1261" s="35"/>
      <c r="AW1261" s="35"/>
    </row>
    <row r="1262" spans="1:49" s="47" customFormat="1" ht="15.75" x14ac:dyDescent="0.2">
      <c r="A1262" s="35"/>
      <c r="B1262" s="35"/>
      <c r="C1262" s="35"/>
      <c r="D1262" s="35"/>
      <c r="E1262" s="35"/>
      <c r="F1262" s="35"/>
      <c r="G1262" s="35"/>
      <c r="H1262" s="35"/>
      <c r="I1262" s="35"/>
      <c r="J1262" s="35"/>
      <c r="K1262" s="35"/>
      <c r="L1262" s="35"/>
      <c r="M1262" s="35"/>
      <c r="N1262" s="35"/>
      <c r="O1262" s="35"/>
      <c r="P1262" s="35"/>
      <c r="Q1262" s="35"/>
      <c r="R1262" s="35"/>
      <c r="S1262" s="35"/>
      <c r="T1262" s="35"/>
      <c r="U1262" s="35"/>
      <c r="V1262" s="35"/>
      <c r="W1262" s="35"/>
      <c r="X1262" s="35"/>
      <c r="Y1262" s="35"/>
      <c r="Z1262" s="35"/>
      <c r="AA1262" s="35"/>
      <c r="AB1262" s="35"/>
      <c r="AC1262" s="35"/>
      <c r="AD1262" s="35"/>
      <c r="AE1262" s="35"/>
      <c r="AF1262" s="35"/>
      <c r="AG1262" s="35"/>
      <c r="AH1262" s="35"/>
      <c r="AI1262" s="35"/>
      <c r="AJ1262" s="35"/>
      <c r="AK1262" s="35"/>
      <c r="AL1262" s="35"/>
      <c r="AM1262" s="35"/>
      <c r="AN1262" s="35"/>
      <c r="AO1262" s="35"/>
      <c r="AP1262" s="35"/>
      <c r="AQ1262" s="35"/>
      <c r="AR1262" s="35"/>
      <c r="AS1262" s="35"/>
      <c r="AT1262" s="35"/>
      <c r="AU1262" s="35"/>
      <c r="AV1262" s="35"/>
      <c r="AW1262" s="35"/>
    </row>
    <row r="1263" spans="1:49" s="47" customFormat="1" ht="15.75" x14ac:dyDescent="0.2">
      <c r="A1263" s="35"/>
      <c r="B1263" s="35"/>
      <c r="C1263" s="35"/>
      <c r="D1263" s="35"/>
      <c r="E1263" s="35"/>
      <c r="F1263" s="35"/>
      <c r="G1263" s="35"/>
      <c r="H1263" s="35"/>
      <c r="I1263" s="35"/>
      <c r="J1263" s="35"/>
      <c r="K1263" s="35"/>
      <c r="L1263" s="35"/>
      <c r="M1263" s="35"/>
      <c r="N1263" s="35"/>
      <c r="O1263" s="35"/>
      <c r="P1263" s="35"/>
      <c r="Q1263" s="35"/>
      <c r="R1263" s="35"/>
      <c r="S1263" s="35"/>
      <c r="T1263" s="35"/>
      <c r="U1263" s="35"/>
      <c r="V1263" s="35"/>
      <c r="W1263" s="35"/>
      <c r="X1263" s="35"/>
      <c r="Y1263" s="35"/>
      <c r="Z1263" s="35"/>
      <c r="AA1263" s="35"/>
      <c r="AB1263" s="35"/>
      <c r="AC1263" s="35"/>
      <c r="AD1263" s="35"/>
      <c r="AE1263" s="35"/>
      <c r="AF1263" s="35"/>
      <c r="AG1263" s="35"/>
      <c r="AH1263" s="35"/>
      <c r="AI1263" s="35"/>
      <c r="AJ1263" s="35"/>
      <c r="AK1263" s="35"/>
      <c r="AL1263" s="35"/>
      <c r="AM1263" s="35"/>
      <c r="AN1263" s="35"/>
      <c r="AO1263" s="35"/>
      <c r="AP1263" s="35"/>
      <c r="AQ1263" s="35"/>
      <c r="AR1263" s="35"/>
      <c r="AS1263" s="35"/>
      <c r="AT1263" s="35"/>
      <c r="AU1263" s="35"/>
      <c r="AV1263" s="35"/>
      <c r="AW1263" s="35"/>
    </row>
    <row r="1264" spans="1:49" s="47" customFormat="1" ht="15.75" x14ac:dyDescent="0.2">
      <c r="A1264" s="35"/>
      <c r="B1264" s="35"/>
      <c r="C1264" s="35"/>
      <c r="D1264" s="35"/>
      <c r="E1264" s="35"/>
      <c r="F1264" s="35"/>
      <c r="G1264" s="35"/>
      <c r="H1264" s="35"/>
      <c r="I1264" s="35"/>
      <c r="J1264" s="35"/>
      <c r="K1264" s="35"/>
      <c r="L1264" s="35"/>
      <c r="M1264" s="35"/>
      <c r="N1264" s="35"/>
      <c r="O1264" s="35"/>
      <c r="P1264" s="35"/>
      <c r="Q1264" s="35"/>
      <c r="R1264" s="35"/>
      <c r="S1264" s="35"/>
      <c r="T1264" s="35"/>
      <c r="U1264" s="35"/>
      <c r="V1264" s="35"/>
      <c r="W1264" s="35"/>
      <c r="X1264" s="35"/>
      <c r="Y1264" s="35"/>
      <c r="Z1264" s="35"/>
      <c r="AA1264" s="35"/>
      <c r="AB1264" s="35"/>
      <c r="AC1264" s="35"/>
      <c r="AD1264" s="35"/>
      <c r="AE1264" s="35"/>
      <c r="AF1264" s="35"/>
      <c r="AG1264" s="35"/>
      <c r="AH1264" s="35"/>
      <c r="AI1264" s="35"/>
      <c r="AJ1264" s="35"/>
      <c r="AK1264" s="35"/>
      <c r="AL1264" s="35"/>
      <c r="AM1264" s="35"/>
      <c r="AN1264" s="35"/>
      <c r="AO1264" s="35"/>
      <c r="AP1264" s="35"/>
      <c r="AQ1264" s="35"/>
      <c r="AR1264" s="35"/>
      <c r="AS1264" s="35"/>
      <c r="AT1264" s="35"/>
      <c r="AU1264" s="35"/>
      <c r="AV1264" s="35"/>
      <c r="AW1264" s="35"/>
    </row>
    <row r="1265" spans="1:49" s="47" customFormat="1" ht="15.75" x14ac:dyDescent="0.2">
      <c r="A1265" s="35"/>
      <c r="B1265" s="35"/>
      <c r="C1265" s="35"/>
      <c r="D1265" s="35"/>
      <c r="E1265" s="35"/>
      <c r="F1265" s="35"/>
      <c r="G1265" s="35"/>
      <c r="H1265" s="35"/>
      <c r="I1265" s="35"/>
      <c r="J1265" s="35"/>
      <c r="K1265" s="35"/>
      <c r="L1265" s="35"/>
      <c r="M1265" s="35"/>
      <c r="N1265" s="35"/>
      <c r="O1265" s="35"/>
      <c r="P1265" s="35"/>
      <c r="Q1265" s="35"/>
      <c r="R1265" s="35"/>
      <c r="S1265" s="35"/>
      <c r="T1265" s="35"/>
      <c r="U1265" s="35"/>
      <c r="V1265" s="35"/>
      <c r="W1265" s="35"/>
      <c r="X1265" s="35"/>
      <c r="Y1265" s="35"/>
      <c r="Z1265" s="35"/>
      <c r="AA1265" s="35"/>
      <c r="AB1265" s="35"/>
      <c r="AC1265" s="35"/>
      <c r="AD1265" s="35"/>
      <c r="AE1265" s="35"/>
      <c r="AF1265" s="35"/>
      <c r="AG1265" s="35"/>
      <c r="AH1265" s="35"/>
      <c r="AI1265" s="35"/>
      <c r="AJ1265" s="35"/>
      <c r="AK1265" s="35"/>
      <c r="AL1265" s="35"/>
      <c r="AM1265" s="35"/>
      <c r="AN1265" s="35"/>
      <c r="AO1265" s="35"/>
      <c r="AP1265" s="35"/>
      <c r="AQ1265" s="35"/>
      <c r="AR1265" s="35"/>
      <c r="AS1265" s="35"/>
      <c r="AT1265" s="35"/>
      <c r="AU1265" s="35"/>
      <c r="AV1265" s="35"/>
      <c r="AW1265" s="35"/>
    </row>
    <row r="1266" spans="1:49" s="47" customFormat="1" ht="15.75" x14ac:dyDescent="0.2">
      <c r="A1266" s="35"/>
      <c r="B1266" s="35"/>
      <c r="C1266" s="35"/>
      <c r="D1266" s="35"/>
      <c r="E1266" s="35"/>
      <c r="F1266" s="35"/>
      <c r="G1266" s="35"/>
      <c r="H1266" s="35"/>
      <c r="I1266" s="35"/>
      <c r="J1266" s="35"/>
      <c r="K1266" s="35"/>
      <c r="L1266" s="35"/>
      <c r="M1266" s="35"/>
      <c r="N1266" s="35"/>
      <c r="O1266" s="35"/>
      <c r="P1266" s="35"/>
      <c r="Q1266" s="35"/>
      <c r="R1266" s="35"/>
      <c r="S1266" s="35"/>
      <c r="T1266" s="35"/>
      <c r="U1266" s="35"/>
      <c r="V1266" s="35"/>
      <c r="W1266" s="35"/>
      <c r="X1266" s="35"/>
      <c r="Y1266" s="35"/>
      <c r="Z1266" s="35"/>
      <c r="AA1266" s="35"/>
      <c r="AB1266" s="35"/>
      <c r="AC1266" s="35"/>
      <c r="AD1266" s="35"/>
      <c r="AE1266" s="35"/>
      <c r="AF1266" s="35"/>
      <c r="AG1266" s="35"/>
      <c r="AH1266" s="35"/>
      <c r="AI1266" s="35"/>
      <c r="AJ1266" s="35"/>
      <c r="AK1266" s="35"/>
      <c r="AL1266" s="35"/>
      <c r="AM1266" s="35"/>
      <c r="AN1266" s="35"/>
      <c r="AO1266" s="35"/>
      <c r="AP1266" s="35"/>
      <c r="AQ1266" s="35"/>
      <c r="AR1266" s="35"/>
      <c r="AS1266" s="35"/>
      <c r="AT1266" s="35"/>
      <c r="AU1266" s="35"/>
      <c r="AV1266" s="35"/>
      <c r="AW1266" s="35"/>
    </row>
    <row r="1267" spans="1:49" s="47" customFormat="1" ht="15.75" x14ac:dyDescent="0.2">
      <c r="A1267" s="35"/>
      <c r="B1267" s="35"/>
      <c r="C1267" s="35"/>
      <c r="D1267" s="35"/>
      <c r="E1267" s="35"/>
      <c r="F1267" s="35"/>
      <c r="G1267" s="35"/>
      <c r="H1267" s="35"/>
      <c r="I1267" s="35"/>
      <c r="J1267" s="35"/>
      <c r="K1267" s="35"/>
      <c r="L1267" s="35"/>
      <c r="M1267" s="35"/>
      <c r="N1267" s="35"/>
      <c r="O1267" s="35"/>
      <c r="P1267" s="35"/>
      <c r="Q1267" s="35"/>
      <c r="R1267" s="35"/>
      <c r="S1267" s="35"/>
      <c r="T1267" s="35"/>
      <c r="U1267" s="35"/>
      <c r="V1267" s="35"/>
      <c r="W1267" s="35"/>
      <c r="X1267" s="35"/>
      <c r="Y1267" s="35"/>
      <c r="Z1267" s="35"/>
      <c r="AA1267" s="35"/>
      <c r="AB1267" s="35"/>
      <c r="AC1267" s="35"/>
      <c r="AD1267" s="35"/>
      <c r="AE1267" s="35"/>
      <c r="AF1267" s="35"/>
      <c r="AG1267" s="35"/>
      <c r="AH1267" s="35"/>
      <c r="AI1267" s="35"/>
      <c r="AJ1267" s="35"/>
      <c r="AK1267" s="35"/>
      <c r="AL1267" s="35"/>
      <c r="AM1267" s="35"/>
      <c r="AN1267" s="35"/>
      <c r="AO1267" s="35"/>
      <c r="AP1267" s="35"/>
      <c r="AQ1267" s="35"/>
      <c r="AR1267" s="35"/>
      <c r="AS1267" s="35"/>
      <c r="AT1267" s="35"/>
      <c r="AU1267" s="35"/>
      <c r="AV1267" s="35"/>
      <c r="AW1267" s="35"/>
    </row>
    <row r="1268" spans="1:49" s="47" customFormat="1" ht="15.75" x14ac:dyDescent="0.2">
      <c r="A1268" s="35"/>
      <c r="B1268" s="35"/>
      <c r="C1268" s="35"/>
      <c r="D1268" s="35"/>
      <c r="E1268" s="35"/>
      <c r="F1268" s="35"/>
      <c r="G1268" s="35"/>
      <c r="H1268" s="35"/>
      <c r="I1268" s="35"/>
      <c r="J1268" s="35"/>
      <c r="K1268" s="35"/>
      <c r="L1268" s="35"/>
      <c r="M1268" s="35"/>
      <c r="N1268" s="35"/>
      <c r="O1268" s="35"/>
      <c r="P1268" s="35"/>
      <c r="Q1268" s="35"/>
      <c r="R1268" s="35"/>
      <c r="S1268" s="35"/>
      <c r="T1268" s="35"/>
      <c r="U1268" s="35"/>
      <c r="V1268" s="35"/>
      <c r="W1268" s="35"/>
      <c r="X1268" s="35"/>
      <c r="Y1268" s="35"/>
      <c r="Z1268" s="35"/>
      <c r="AA1268" s="35"/>
      <c r="AB1268" s="35"/>
      <c r="AC1268" s="35"/>
      <c r="AD1268" s="35"/>
      <c r="AE1268" s="35"/>
      <c r="AF1268" s="35"/>
      <c r="AG1268" s="35"/>
      <c r="AH1268" s="35"/>
      <c r="AI1268" s="35"/>
      <c r="AJ1268" s="35"/>
      <c r="AK1268" s="35"/>
      <c r="AL1268" s="35"/>
      <c r="AM1268" s="35"/>
      <c r="AN1268" s="35"/>
      <c r="AO1268" s="35"/>
      <c r="AP1268" s="35"/>
      <c r="AQ1268" s="35"/>
      <c r="AR1268" s="35"/>
      <c r="AS1268" s="35"/>
      <c r="AT1268" s="35"/>
      <c r="AU1268" s="35"/>
      <c r="AV1268" s="35"/>
      <c r="AW1268" s="35"/>
    </row>
    <row r="1269" spans="1:49" s="47" customFormat="1" ht="15.75" x14ac:dyDescent="0.2">
      <c r="A1269" s="35"/>
      <c r="B1269" s="35"/>
      <c r="C1269" s="35"/>
      <c r="D1269" s="35"/>
      <c r="E1269" s="35"/>
      <c r="F1269" s="35"/>
      <c r="G1269" s="35"/>
      <c r="H1269" s="35"/>
      <c r="I1269" s="35"/>
      <c r="J1269" s="35"/>
      <c r="K1269" s="35"/>
      <c r="L1269" s="35"/>
      <c r="M1269" s="35"/>
      <c r="N1269" s="35"/>
      <c r="O1269" s="35"/>
      <c r="P1269" s="35"/>
      <c r="Q1269" s="35"/>
      <c r="R1269" s="35"/>
      <c r="S1269" s="35"/>
      <c r="T1269" s="35"/>
      <c r="U1269" s="35"/>
      <c r="V1269" s="35"/>
      <c r="W1269" s="35"/>
      <c r="X1269" s="35"/>
      <c r="Y1269" s="35"/>
      <c r="Z1269" s="35"/>
      <c r="AA1269" s="35"/>
      <c r="AB1269" s="35"/>
      <c r="AC1269" s="35"/>
      <c r="AD1269" s="35"/>
      <c r="AE1269" s="35"/>
      <c r="AF1269" s="35"/>
      <c r="AG1269" s="35"/>
      <c r="AH1269" s="35"/>
      <c r="AI1269" s="35"/>
      <c r="AJ1269" s="35"/>
      <c r="AK1269" s="35"/>
      <c r="AL1269" s="35"/>
      <c r="AM1269" s="35"/>
      <c r="AN1269" s="35"/>
      <c r="AO1269" s="35"/>
      <c r="AP1269" s="35"/>
      <c r="AQ1269" s="35"/>
      <c r="AR1269" s="35"/>
      <c r="AS1269" s="35"/>
      <c r="AT1269" s="35"/>
      <c r="AU1269" s="35"/>
      <c r="AV1269" s="35"/>
      <c r="AW1269" s="35"/>
    </row>
    <row r="1270" spans="1:49" s="47" customFormat="1" ht="15.75" x14ac:dyDescent="0.2">
      <c r="A1270" s="35"/>
      <c r="B1270" s="35"/>
      <c r="C1270" s="35"/>
      <c r="D1270" s="35"/>
      <c r="E1270" s="35"/>
      <c r="F1270" s="35"/>
      <c r="G1270" s="35"/>
      <c r="H1270" s="35"/>
      <c r="I1270" s="35"/>
      <c r="J1270" s="35"/>
      <c r="K1270" s="35"/>
      <c r="L1270" s="35"/>
      <c r="M1270" s="35"/>
      <c r="N1270" s="35"/>
      <c r="O1270" s="35"/>
      <c r="P1270" s="35"/>
      <c r="Q1270" s="35"/>
      <c r="R1270" s="35"/>
      <c r="S1270" s="35"/>
      <c r="T1270" s="35"/>
      <c r="U1270" s="35"/>
      <c r="V1270" s="35"/>
      <c r="W1270" s="35"/>
      <c r="X1270" s="35"/>
      <c r="Y1270" s="35"/>
      <c r="Z1270" s="35"/>
      <c r="AA1270" s="35"/>
      <c r="AB1270" s="35"/>
      <c r="AC1270" s="35"/>
      <c r="AD1270" s="35"/>
      <c r="AE1270" s="35"/>
      <c r="AF1270" s="35"/>
      <c r="AG1270" s="35"/>
      <c r="AH1270" s="35"/>
      <c r="AI1270" s="35"/>
      <c r="AJ1270" s="35"/>
      <c r="AK1270" s="35"/>
      <c r="AL1270" s="35"/>
      <c r="AM1270" s="35"/>
      <c r="AN1270" s="35"/>
      <c r="AO1270" s="35"/>
      <c r="AP1270" s="35"/>
      <c r="AQ1270" s="35"/>
      <c r="AR1270" s="35"/>
      <c r="AS1270" s="35"/>
      <c r="AT1270" s="35"/>
      <c r="AU1270" s="35"/>
      <c r="AV1270" s="35"/>
      <c r="AW1270" s="35"/>
    </row>
    <row r="1271" spans="1:49" s="47" customFormat="1" ht="15.75" x14ac:dyDescent="0.2">
      <c r="A1271" s="35"/>
      <c r="B1271" s="35"/>
      <c r="C1271" s="35"/>
      <c r="D1271" s="35"/>
      <c r="E1271" s="35"/>
      <c r="F1271" s="35"/>
      <c r="G1271" s="35"/>
      <c r="H1271" s="35"/>
      <c r="I1271" s="35"/>
      <c r="J1271" s="35"/>
      <c r="K1271" s="35"/>
      <c r="L1271" s="35"/>
      <c r="M1271" s="35"/>
      <c r="N1271" s="35"/>
      <c r="O1271" s="35"/>
      <c r="P1271" s="35"/>
      <c r="Q1271" s="35"/>
      <c r="R1271" s="35"/>
      <c r="S1271" s="35"/>
      <c r="T1271" s="35"/>
      <c r="U1271" s="35"/>
      <c r="V1271" s="35"/>
      <c r="W1271" s="35"/>
      <c r="X1271" s="35"/>
      <c r="Y1271" s="35"/>
      <c r="Z1271" s="35"/>
      <c r="AA1271" s="35"/>
      <c r="AB1271" s="35"/>
      <c r="AC1271" s="35"/>
      <c r="AD1271" s="35"/>
      <c r="AE1271" s="35"/>
      <c r="AF1271" s="35"/>
      <c r="AG1271" s="35"/>
      <c r="AH1271" s="35"/>
      <c r="AI1271" s="35"/>
      <c r="AJ1271" s="35"/>
      <c r="AK1271" s="35"/>
      <c r="AL1271" s="35"/>
      <c r="AM1271" s="35"/>
      <c r="AN1271" s="35"/>
      <c r="AO1271" s="35"/>
      <c r="AP1271" s="35"/>
      <c r="AQ1271" s="35"/>
      <c r="AR1271" s="35"/>
      <c r="AS1271" s="35"/>
      <c r="AT1271" s="35"/>
      <c r="AU1271" s="35"/>
      <c r="AV1271" s="35"/>
      <c r="AW1271" s="35"/>
    </row>
    <row r="1272" spans="1:49" s="47" customFormat="1" ht="15.75" x14ac:dyDescent="0.2">
      <c r="A1272" s="35"/>
      <c r="B1272" s="35"/>
      <c r="C1272" s="35"/>
      <c r="D1272" s="35"/>
      <c r="E1272" s="35"/>
      <c r="F1272" s="35"/>
      <c r="G1272" s="35"/>
      <c r="H1272" s="35"/>
      <c r="I1272" s="35"/>
      <c r="J1272" s="35"/>
      <c r="K1272" s="35"/>
      <c r="L1272" s="35"/>
      <c r="M1272" s="35"/>
      <c r="N1272" s="35"/>
      <c r="O1272" s="35"/>
      <c r="P1272" s="35"/>
      <c r="Q1272" s="35"/>
      <c r="R1272" s="35"/>
      <c r="S1272" s="35"/>
      <c r="T1272" s="35"/>
      <c r="U1272" s="35"/>
      <c r="V1272" s="35"/>
      <c r="W1272" s="35"/>
      <c r="X1272" s="35"/>
      <c r="Y1272" s="35"/>
      <c r="Z1272" s="35"/>
      <c r="AA1272" s="35"/>
      <c r="AB1272" s="35"/>
      <c r="AC1272" s="35"/>
      <c r="AD1272" s="35"/>
      <c r="AE1272" s="35"/>
      <c r="AF1272" s="35"/>
      <c r="AG1272" s="35"/>
      <c r="AH1272" s="35"/>
      <c r="AI1272" s="35"/>
      <c r="AJ1272" s="35"/>
      <c r="AK1272" s="35"/>
      <c r="AL1272" s="35"/>
      <c r="AM1272" s="35"/>
      <c r="AN1272" s="35"/>
      <c r="AO1272" s="35"/>
      <c r="AP1272" s="35"/>
      <c r="AQ1272" s="35"/>
      <c r="AR1272" s="35"/>
      <c r="AS1272" s="35"/>
      <c r="AT1272" s="35"/>
      <c r="AU1272" s="35"/>
      <c r="AV1272" s="35"/>
      <c r="AW1272" s="35"/>
    </row>
    <row r="1273" spans="1:49" s="47" customFormat="1" ht="15.75" x14ac:dyDescent="0.2">
      <c r="A1273" s="35"/>
      <c r="B1273" s="35"/>
      <c r="C1273" s="35"/>
      <c r="D1273" s="35"/>
      <c r="E1273" s="35"/>
      <c r="F1273" s="35"/>
      <c r="G1273" s="35"/>
      <c r="H1273" s="35"/>
      <c r="I1273" s="35"/>
      <c r="J1273" s="35"/>
      <c r="K1273" s="35"/>
      <c r="L1273" s="35"/>
      <c r="M1273" s="35"/>
      <c r="N1273" s="35"/>
      <c r="O1273" s="35"/>
      <c r="P1273" s="35"/>
      <c r="Q1273" s="35"/>
      <c r="R1273" s="35"/>
      <c r="S1273" s="35"/>
      <c r="T1273" s="35"/>
      <c r="U1273" s="35"/>
      <c r="V1273" s="35"/>
      <c r="W1273" s="35"/>
      <c r="X1273" s="35"/>
      <c r="Y1273" s="35"/>
      <c r="Z1273" s="35"/>
      <c r="AA1273" s="35"/>
      <c r="AB1273" s="35"/>
      <c r="AC1273" s="35"/>
      <c r="AD1273" s="35"/>
      <c r="AE1273" s="35"/>
      <c r="AF1273" s="35"/>
      <c r="AG1273" s="35"/>
      <c r="AH1273" s="35"/>
      <c r="AI1273" s="35"/>
      <c r="AJ1273" s="35"/>
      <c r="AK1273" s="35"/>
      <c r="AL1273" s="35"/>
      <c r="AM1273" s="35"/>
      <c r="AN1273" s="35"/>
      <c r="AO1273" s="35"/>
      <c r="AP1273" s="35"/>
      <c r="AQ1273" s="35"/>
      <c r="AR1273" s="35"/>
      <c r="AS1273" s="35"/>
      <c r="AT1273" s="35"/>
      <c r="AU1273" s="35"/>
      <c r="AV1273" s="35"/>
      <c r="AW1273" s="35"/>
    </row>
    <row r="1274" spans="1:49" s="47" customFormat="1" ht="15.75" x14ac:dyDescent="0.2">
      <c r="A1274" s="35"/>
      <c r="B1274" s="35"/>
      <c r="C1274" s="35"/>
      <c r="D1274" s="35"/>
      <c r="E1274" s="35"/>
      <c r="F1274" s="35"/>
      <c r="G1274" s="35"/>
      <c r="H1274" s="35"/>
      <c r="I1274" s="35"/>
      <c r="J1274" s="35"/>
      <c r="K1274" s="35"/>
      <c r="L1274" s="35"/>
      <c r="M1274" s="35"/>
      <c r="N1274" s="35"/>
      <c r="O1274" s="35"/>
      <c r="P1274" s="35"/>
      <c r="Q1274" s="35"/>
      <c r="R1274" s="35"/>
      <c r="S1274" s="35"/>
      <c r="T1274" s="35"/>
      <c r="U1274" s="35"/>
      <c r="V1274" s="35"/>
      <c r="W1274" s="35"/>
      <c r="X1274" s="35"/>
      <c r="Y1274" s="35"/>
      <c r="Z1274" s="35"/>
      <c r="AA1274" s="35"/>
      <c r="AB1274" s="35"/>
      <c r="AC1274" s="35"/>
      <c r="AD1274" s="35"/>
      <c r="AE1274" s="35"/>
      <c r="AF1274" s="35"/>
      <c r="AG1274" s="35"/>
      <c r="AH1274" s="35"/>
      <c r="AI1274" s="35"/>
      <c r="AJ1274" s="35"/>
      <c r="AK1274" s="35"/>
      <c r="AL1274" s="35"/>
      <c r="AM1274" s="35"/>
      <c r="AN1274" s="35"/>
      <c r="AO1274" s="35"/>
      <c r="AP1274" s="35"/>
      <c r="AQ1274" s="35"/>
      <c r="AR1274" s="35"/>
      <c r="AS1274" s="35"/>
      <c r="AT1274" s="35"/>
      <c r="AU1274" s="35"/>
      <c r="AV1274" s="35"/>
      <c r="AW1274" s="35"/>
    </row>
    <row r="1275" spans="1:49" s="47" customFormat="1" ht="15.75" x14ac:dyDescent="0.2">
      <c r="A1275" s="35"/>
      <c r="B1275" s="35"/>
      <c r="C1275" s="35"/>
      <c r="D1275" s="35"/>
      <c r="E1275" s="35"/>
      <c r="F1275" s="35"/>
      <c r="G1275" s="35"/>
      <c r="H1275" s="35"/>
      <c r="I1275" s="35"/>
      <c r="J1275" s="35"/>
      <c r="K1275" s="35"/>
      <c r="L1275" s="35"/>
      <c r="M1275" s="35"/>
      <c r="N1275" s="35"/>
      <c r="O1275" s="35"/>
      <c r="P1275" s="35"/>
      <c r="Q1275" s="35"/>
      <c r="R1275" s="35"/>
      <c r="S1275" s="35"/>
      <c r="T1275" s="35"/>
      <c r="U1275" s="35"/>
      <c r="V1275" s="35"/>
      <c r="W1275" s="35"/>
      <c r="X1275" s="35"/>
      <c r="Y1275" s="35"/>
      <c r="Z1275" s="35"/>
      <c r="AA1275" s="35"/>
      <c r="AB1275" s="35"/>
      <c r="AC1275" s="35"/>
      <c r="AD1275" s="35"/>
      <c r="AE1275" s="35"/>
      <c r="AF1275" s="35"/>
      <c r="AG1275" s="35"/>
      <c r="AH1275" s="35"/>
      <c r="AI1275" s="35"/>
      <c r="AJ1275" s="35"/>
      <c r="AK1275" s="35"/>
      <c r="AL1275" s="35"/>
      <c r="AM1275" s="35"/>
      <c r="AN1275" s="35"/>
      <c r="AO1275" s="35"/>
      <c r="AP1275" s="35"/>
      <c r="AQ1275" s="35"/>
      <c r="AR1275" s="35"/>
      <c r="AS1275" s="35"/>
      <c r="AT1275" s="35"/>
      <c r="AU1275" s="35"/>
      <c r="AV1275" s="35"/>
      <c r="AW1275" s="35"/>
    </row>
    <row r="1276" spans="1:49" s="47" customFormat="1" ht="15.75" x14ac:dyDescent="0.2">
      <c r="A1276" s="35"/>
      <c r="B1276" s="35"/>
      <c r="C1276" s="35"/>
      <c r="D1276" s="35"/>
      <c r="E1276" s="35"/>
      <c r="F1276" s="35"/>
      <c r="G1276" s="35"/>
      <c r="H1276" s="35"/>
      <c r="I1276" s="35"/>
      <c r="J1276" s="35"/>
      <c r="K1276" s="35"/>
      <c r="L1276" s="35"/>
      <c r="M1276" s="35"/>
      <c r="N1276" s="35"/>
      <c r="O1276" s="35"/>
      <c r="P1276" s="35"/>
      <c r="Q1276" s="35"/>
      <c r="R1276" s="35"/>
      <c r="S1276" s="35"/>
      <c r="T1276" s="35"/>
      <c r="U1276" s="35"/>
      <c r="V1276" s="35"/>
      <c r="W1276" s="35"/>
      <c r="X1276" s="35"/>
      <c r="Y1276" s="35"/>
      <c r="Z1276" s="35"/>
      <c r="AA1276" s="35"/>
      <c r="AB1276" s="35"/>
      <c r="AC1276" s="35"/>
      <c r="AD1276" s="35"/>
      <c r="AE1276" s="35"/>
      <c r="AF1276" s="35"/>
      <c r="AG1276" s="35"/>
      <c r="AH1276" s="35"/>
      <c r="AI1276" s="35"/>
      <c r="AJ1276" s="35"/>
      <c r="AK1276" s="35"/>
      <c r="AL1276" s="35"/>
      <c r="AM1276" s="35"/>
      <c r="AN1276" s="35"/>
      <c r="AO1276" s="35"/>
      <c r="AP1276" s="35"/>
      <c r="AQ1276" s="35"/>
      <c r="AR1276" s="35"/>
      <c r="AS1276" s="35"/>
      <c r="AT1276" s="35"/>
      <c r="AU1276" s="35"/>
      <c r="AV1276" s="35"/>
      <c r="AW1276" s="35"/>
    </row>
    <row r="1277" spans="1:49" s="47" customFormat="1" ht="15.75" x14ac:dyDescent="0.2">
      <c r="A1277" s="35"/>
      <c r="B1277" s="35"/>
      <c r="C1277" s="35"/>
      <c r="D1277" s="35"/>
      <c r="E1277" s="35"/>
      <c r="F1277" s="35"/>
      <c r="G1277" s="35"/>
      <c r="H1277" s="35"/>
      <c r="I1277" s="35"/>
      <c r="J1277" s="35"/>
      <c r="K1277" s="35"/>
      <c r="L1277" s="35"/>
      <c r="M1277" s="35"/>
      <c r="N1277" s="35"/>
      <c r="O1277" s="35"/>
      <c r="P1277" s="35"/>
      <c r="Q1277" s="35"/>
      <c r="R1277" s="35"/>
      <c r="S1277" s="35"/>
      <c r="T1277" s="35"/>
      <c r="U1277" s="35"/>
      <c r="V1277" s="35"/>
      <c r="W1277" s="35"/>
      <c r="X1277" s="35"/>
      <c r="Y1277" s="35"/>
      <c r="Z1277" s="35"/>
      <c r="AA1277" s="35"/>
      <c r="AB1277" s="35"/>
      <c r="AC1277" s="35"/>
      <c r="AD1277" s="35"/>
      <c r="AE1277" s="35"/>
      <c r="AF1277" s="35"/>
      <c r="AG1277" s="35"/>
      <c r="AH1277" s="35"/>
      <c r="AI1277" s="35"/>
      <c r="AJ1277" s="35"/>
      <c r="AK1277" s="35"/>
      <c r="AL1277" s="35"/>
      <c r="AM1277" s="35"/>
      <c r="AN1277" s="35"/>
      <c r="AO1277" s="35"/>
      <c r="AP1277" s="35"/>
      <c r="AQ1277" s="35"/>
      <c r="AR1277" s="35"/>
      <c r="AS1277" s="35"/>
      <c r="AT1277" s="35"/>
      <c r="AU1277" s="35"/>
      <c r="AV1277" s="35"/>
      <c r="AW1277" s="35"/>
    </row>
    <row r="1278" spans="1:49" s="47" customFormat="1" ht="15.75" x14ac:dyDescent="0.2">
      <c r="A1278" s="35"/>
      <c r="B1278" s="35"/>
      <c r="C1278" s="35"/>
      <c r="D1278" s="35"/>
      <c r="E1278" s="35"/>
      <c r="F1278" s="35"/>
      <c r="G1278" s="35"/>
      <c r="H1278" s="35"/>
      <c r="I1278" s="35"/>
      <c r="J1278" s="35"/>
      <c r="K1278" s="35"/>
      <c r="L1278" s="35"/>
      <c r="M1278" s="35"/>
      <c r="N1278" s="35"/>
      <c r="O1278" s="35"/>
      <c r="P1278" s="35"/>
      <c r="Q1278" s="35"/>
      <c r="R1278" s="35"/>
      <c r="S1278" s="35"/>
      <c r="T1278" s="35"/>
      <c r="U1278" s="35"/>
      <c r="V1278" s="35"/>
      <c r="W1278" s="35"/>
      <c r="X1278" s="35"/>
      <c r="Y1278" s="35"/>
      <c r="Z1278" s="35"/>
      <c r="AA1278" s="35"/>
      <c r="AB1278" s="35"/>
      <c r="AC1278" s="35"/>
      <c r="AD1278" s="35"/>
      <c r="AE1278" s="35"/>
      <c r="AF1278" s="35"/>
      <c r="AG1278" s="35"/>
      <c r="AH1278" s="35"/>
      <c r="AI1278" s="35"/>
      <c r="AJ1278" s="35"/>
      <c r="AK1278" s="35"/>
      <c r="AL1278" s="35"/>
      <c r="AM1278" s="35"/>
      <c r="AN1278" s="35"/>
      <c r="AO1278" s="35"/>
      <c r="AP1278" s="35"/>
      <c r="AQ1278" s="35"/>
      <c r="AR1278" s="35"/>
      <c r="AS1278" s="35"/>
      <c r="AT1278" s="35"/>
      <c r="AU1278" s="35"/>
      <c r="AV1278" s="35"/>
      <c r="AW1278" s="35"/>
    </row>
    <row r="1279" spans="1:49" s="47" customFormat="1" ht="15.75" x14ac:dyDescent="0.2">
      <c r="A1279" s="35"/>
      <c r="B1279" s="35"/>
      <c r="C1279" s="35"/>
      <c r="D1279" s="35"/>
      <c r="E1279" s="35"/>
      <c r="F1279" s="35"/>
      <c r="G1279" s="35"/>
      <c r="H1279" s="35"/>
      <c r="I1279" s="35"/>
      <c r="J1279" s="35"/>
      <c r="K1279" s="35"/>
      <c r="L1279" s="35"/>
      <c r="M1279" s="35"/>
      <c r="N1279" s="35"/>
      <c r="O1279" s="35"/>
      <c r="P1279" s="35"/>
      <c r="Q1279" s="35"/>
      <c r="R1279" s="35"/>
      <c r="S1279" s="35"/>
      <c r="T1279" s="35"/>
      <c r="U1279" s="35"/>
      <c r="V1279" s="35"/>
      <c r="W1279" s="35"/>
      <c r="X1279" s="35"/>
      <c r="Y1279" s="35"/>
      <c r="Z1279" s="35"/>
      <c r="AA1279" s="35"/>
      <c r="AB1279" s="35"/>
      <c r="AC1279" s="35"/>
      <c r="AD1279" s="35"/>
      <c r="AE1279" s="35"/>
      <c r="AF1279" s="35"/>
      <c r="AG1279" s="35"/>
      <c r="AH1279" s="35"/>
      <c r="AI1279" s="35"/>
      <c r="AJ1279" s="35"/>
      <c r="AK1279" s="35"/>
      <c r="AL1279" s="35"/>
      <c r="AM1279" s="35"/>
      <c r="AN1279" s="35"/>
      <c r="AO1279" s="35"/>
      <c r="AP1279" s="35"/>
      <c r="AQ1279" s="35"/>
      <c r="AR1279" s="35"/>
      <c r="AS1279" s="35"/>
      <c r="AT1279" s="35"/>
      <c r="AU1279" s="35"/>
      <c r="AV1279" s="35"/>
      <c r="AW1279" s="35"/>
    </row>
    <row r="1280" spans="1:49" s="47" customFormat="1" ht="15.75" x14ac:dyDescent="0.2">
      <c r="A1280" s="35"/>
      <c r="B1280" s="35"/>
      <c r="C1280" s="35"/>
      <c r="D1280" s="35"/>
      <c r="E1280" s="35"/>
      <c r="F1280" s="35"/>
      <c r="G1280" s="35"/>
      <c r="H1280" s="35"/>
      <c r="I1280" s="35"/>
      <c r="J1280" s="35"/>
      <c r="K1280" s="35"/>
      <c r="L1280" s="35"/>
      <c r="M1280" s="35"/>
      <c r="N1280" s="35"/>
      <c r="O1280" s="35"/>
      <c r="P1280" s="35"/>
      <c r="Q1280" s="35"/>
      <c r="R1280" s="35"/>
      <c r="S1280" s="35"/>
      <c r="T1280" s="35"/>
      <c r="U1280" s="35"/>
      <c r="V1280" s="35"/>
      <c r="W1280" s="35"/>
      <c r="X1280" s="35"/>
      <c r="Y1280" s="35"/>
      <c r="Z1280" s="35"/>
      <c r="AA1280" s="35"/>
      <c r="AB1280" s="35"/>
      <c r="AC1280" s="35"/>
      <c r="AD1280" s="35"/>
      <c r="AE1280" s="35"/>
      <c r="AF1280" s="35"/>
      <c r="AG1280" s="35"/>
      <c r="AH1280" s="35"/>
      <c r="AI1280" s="35"/>
      <c r="AJ1280" s="35"/>
      <c r="AK1280" s="35"/>
      <c r="AL1280" s="35"/>
      <c r="AM1280" s="35"/>
      <c r="AN1280" s="35"/>
      <c r="AO1280" s="35"/>
      <c r="AP1280" s="35"/>
      <c r="AQ1280" s="35"/>
      <c r="AR1280" s="35"/>
      <c r="AS1280" s="35"/>
      <c r="AT1280" s="35"/>
      <c r="AU1280" s="35"/>
      <c r="AV1280" s="35"/>
      <c r="AW1280" s="35"/>
    </row>
    <row r="1281" spans="1:49" s="47" customFormat="1" ht="15.75" x14ac:dyDescent="0.2">
      <c r="A1281" s="35"/>
      <c r="B1281" s="35"/>
      <c r="C1281" s="35"/>
      <c r="D1281" s="35"/>
      <c r="E1281" s="35"/>
      <c r="F1281" s="35"/>
      <c r="G1281" s="35"/>
      <c r="H1281" s="35"/>
      <c r="I1281" s="35"/>
      <c r="J1281" s="35"/>
      <c r="K1281" s="35"/>
      <c r="L1281" s="35"/>
      <c r="M1281" s="35"/>
      <c r="N1281" s="35"/>
      <c r="O1281" s="35"/>
      <c r="P1281" s="35"/>
      <c r="Q1281" s="35"/>
      <c r="R1281" s="35"/>
      <c r="S1281" s="35"/>
      <c r="T1281" s="35"/>
      <c r="U1281" s="35"/>
      <c r="V1281" s="35"/>
      <c r="W1281" s="35"/>
      <c r="X1281" s="35"/>
      <c r="Y1281" s="35"/>
      <c r="Z1281" s="35"/>
      <c r="AA1281" s="35"/>
      <c r="AB1281" s="35"/>
      <c r="AC1281" s="35"/>
      <c r="AD1281" s="35"/>
      <c r="AE1281" s="35"/>
      <c r="AF1281" s="35"/>
      <c r="AG1281" s="35"/>
      <c r="AH1281" s="35"/>
      <c r="AI1281" s="35"/>
      <c r="AJ1281" s="35"/>
      <c r="AK1281" s="35"/>
      <c r="AL1281" s="35"/>
      <c r="AM1281" s="35"/>
      <c r="AN1281" s="35"/>
      <c r="AO1281" s="35"/>
      <c r="AP1281" s="35"/>
      <c r="AQ1281" s="35"/>
      <c r="AR1281" s="35"/>
      <c r="AS1281" s="35"/>
      <c r="AT1281" s="35"/>
      <c r="AU1281" s="35"/>
      <c r="AV1281" s="35"/>
      <c r="AW1281" s="35"/>
    </row>
    <row r="1282" spans="1:49" s="47" customFormat="1" ht="15.75" x14ac:dyDescent="0.2">
      <c r="A1282" s="35"/>
      <c r="B1282" s="35"/>
      <c r="C1282" s="35"/>
      <c r="D1282" s="35"/>
      <c r="E1282" s="35"/>
      <c r="F1282" s="35"/>
      <c r="G1282" s="35"/>
      <c r="H1282" s="35"/>
      <c r="I1282" s="35"/>
      <c r="J1282" s="35"/>
      <c r="K1282" s="35"/>
      <c r="L1282" s="35"/>
      <c r="M1282" s="35"/>
      <c r="N1282" s="35"/>
      <c r="O1282" s="35"/>
      <c r="P1282" s="35"/>
      <c r="Q1282" s="35"/>
      <c r="R1282" s="35"/>
      <c r="S1282" s="35"/>
      <c r="T1282" s="35"/>
      <c r="U1282" s="35"/>
      <c r="V1282" s="35"/>
      <c r="W1282" s="35"/>
      <c r="X1282" s="35"/>
      <c r="Y1282" s="35"/>
      <c r="Z1282" s="35"/>
      <c r="AA1282" s="35"/>
      <c r="AB1282" s="35"/>
      <c r="AC1282" s="35"/>
      <c r="AD1282" s="35"/>
      <c r="AE1282" s="35"/>
      <c r="AF1282" s="35"/>
      <c r="AG1282" s="35"/>
      <c r="AH1282" s="35"/>
      <c r="AI1282" s="35"/>
      <c r="AJ1282" s="35"/>
      <c r="AK1282" s="35"/>
      <c r="AL1282" s="35"/>
      <c r="AM1282" s="35"/>
      <c r="AN1282" s="35"/>
      <c r="AO1282" s="35"/>
      <c r="AP1282" s="35"/>
      <c r="AQ1282" s="35"/>
      <c r="AR1282" s="35"/>
      <c r="AS1282" s="35"/>
      <c r="AT1282" s="35"/>
      <c r="AU1282" s="35"/>
      <c r="AV1282" s="35"/>
      <c r="AW1282" s="35"/>
    </row>
    <row r="1283" spans="1:49" s="47" customFormat="1" ht="15.75" x14ac:dyDescent="0.2">
      <c r="A1283" s="35"/>
      <c r="B1283" s="35"/>
      <c r="C1283" s="35"/>
      <c r="D1283" s="35"/>
      <c r="E1283" s="35"/>
      <c r="F1283" s="35"/>
      <c r="G1283" s="35"/>
      <c r="H1283" s="35"/>
      <c r="I1283" s="35"/>
      <c r="J1283" s="35"/>
      <c r="K1283" s="35"/>
      <c r="L1283" s="35"/>
      <c r="M1283" s="35"/>
      <c r="N1283" s="35"/>
      <c r="O1283" s="35"/>
      <c r="P1283" s="35"/>
      <c r="Q1283" s="35"/>
      <c r="R1283" s="35"/>
      <c r="S1283" s="35"/>
      <c r="T1283" s="35"/>
      <c r="U1283" s="35"/>
      <c r="V1283" s="35"/>
      <c r="W1283" s="35"/>
      <c r="X1283" s="35"/>
      <c r="Y1283" s="35"/>
      <c r="Z1283" s="35"/>
      <c r="AA1283" s="35"/>
      <c r="AB1283" s="35"/>
      <c r="AC1283" s="35"/>
      <c r="AD1283" s="35"/>
      <c r="AE1283" s="35"/>
      <c r="AF1283" s="35"/>
      <c r="AG1283" s="35"/>
      <c r="AH1283" s="35"/>
      <c r="AI1283" s="35"/>
      <c r="AJ1283" s="35"/>
      <c r="AK1283" s="35"/>
      <c r="AL1283" s="35"/>
      <c r="AM1283" s="35"/>
      <c r="AN1283" s="35"/>
      <c r="AO1283" s="35"/>
      <c r="AP1283" s="35"/>
      <c r="AQ1283" s="35"/>
      <c r="AR1283" s="35"/>
      <c r="AS1283" s="35"/>
      <c r="AT1283" s="35"/>
      <c r="AU1283" s="35"/>
      <c r="AV1283" s="35"/>
      <c r="AW1283" s="35"/>
    </row>
    <row r="1284" spans="1:49" s="47" customFormat="1" ht="15.75" x14ac:dyDescent="0.2">
      <c r="A1284" s="35"/>
      <c r="B1284" s="35"/>
      <c r="C1284" s="35"/>
      <c r="D1284" s="35"/>
      <c r="E1284" s="35"/>
      <c r="F1284" s="35"/>
      <c r="G1284" s="35"/>
      <c r="H1284" s="35"/>
      <c r="I1284" s="35"/>
      <c r="J1284" s="35"/>
      <c r="K1284" s="35"/>
      <c r="L1284" s="35"/>
      <c r="M1284" s="35"/>
      <c r="N1284" s="35"/>
      <c r="O1284" s="35"/>
      <c r="P1284" s="35"/>
      <c r="Q1284" s="35"/>
      <c r="R1284" s="35"/>
      <c r="S1284" s="35"/>
      <c r="T1284" s="35"/>
      <c r="U1284" s="35"/>
      <c r="V1284" s="35"/>
      <c r="W1284" s="35"/>
      <c r="X1284" s="35"/>
      <c r="Y1284" s="35"/>
      <c r="Z1284" s="35"/>
      <c r="AA1284" s="35"/>
      <c r="AB1284" s="35"/>
      <c r="AC1284" s="35"/>
      <c r="AD1284" s="35"/>
      <c r="AE1284" s="35"/>
      <c r="AF1284" s="35"/>
      <c r="AG1284" s="35"/>
      <c r="AH1284" s="35"/>
      <c r="AI1284" s="35"/>
      <c r="AJ1284" s="35"/>
      <c r="AK1284" s="35"/>
      <c r="AL1284" s="35"/>
      <c r="AM1284" s="35"/>
      <c r="AN1284" s="35"/>
      <c r="AO1284" s="35"/>
      <c r="AP1284" s="35"/>
      <c r="AQ1284" s="35"/>
      <c r="AR1284" s="35"/>
      <c r="AS1284" s="35"/>
      <c r="AT1284" s="35"/>
      <c r="AU1284" s="35"/>
      <c r="AV1284" s="35"/>
      <c r="AW1284" s="35"/>
    </row>
    <row r="1285" spans="1:49" s="47" customFormat="1" ht="15.75" x14ac:dyDescent="0.2">
      <c r="A1285" s="35"/>
      <c r="B1285" s="35"/>
      <c r="C1285" s="35"/>
      <c r="D1285" s="35"/>
      <c r="E1285" s="35"/>
      <c r="F1285" s="35"/>
      <c r="G1285" s="35"/>
      <c r="H1285" s="35"/>
      <c r="I1285" s="35"/>
      <c r="J1285" s="35"/>
      <c r="K1285" s="35"/>
      <c r="L1285" s="35"/>
      <c r="M1285" s="35"/>
      <c r="N1285" s="35"/>
      <c r="O1285" s="35"/>
      <c r="P1285" s="35"/>
      <c r="Q1285" s="35"/>
      <c r="R1285" s="35"/>
      <c r="S1285" s="35"/>
      <c r="T1285" s="35"/>
      <c r="U1285" s="35"/>
      <c r="V1285" s="35"/>
      <c r="W1285" s="35"/>
      <c r="X1285" s="35"/>
      <c r="Y1285" s="35"/>
      <c r="Z1285" s="35"/>
      <c r="AA1285" s="35"/>
      <c r="AB1285" s="35"/>
      <c r="AC1285" s="35"/>
      <c r="AD1285" s="35"/>
      <c r="AE1285" s="35"/>
      <c r="AF1285" s="35"/>
      <c r="AG1285" s="35"/>
      <c r="AH1285" s="35"/>
      <c r="AI1285" s="35"/>
      <c r="AJ1285" s="35"/>
      <c r="AK1285" s="35"/>
      <c r="AL1285" s="35"/>
      <c r="AM1285" s="35"/>
      <c r="AN1285" s="35"/>
      <c r="AO1285" s="35"/>
      <c r="AP1285" s="35"/>
      <c r="AQ1285" s="35"/>
      <c r="AR1285" s="35"/>
      <c r="AS1285" s="35"/>
      <c r="AT1285" s="35"/>
      <c r="AU1285" s="35"/>
      <c r="AV1285" s="35"/>
      <c r="AW1285" s="35"/>
    </row>
    <row r="1286" spans="1:49" s="47" customFormat="1" ht="15.75" x14ac:dyDescent="0.2">
      <c r="A1286" s="35"/>
      <c r="B1286" s="35"/>
      <c r="C1286" s="35"/>
      <c r="D1286" s="35"/>
      <c r="E1286" s="35"/>
      <c r="F1286" s="35"/>
      <c r="G1286" s="35"/>
      <c r="H1286" s="35"/>
      <c r="I1286" s="35"/>
      <c r="J1286" s="35"/>
      <c r="K1286" s="35"/>
      <c r="L1286" s="35"/>
      <c r="M1286" s="35"/>
      <c r="N1286" s="35"/>
      <c r="O1286" s="35"/>
      <c r="P1286" s="35"/>
      <c r="Q1286" s="35"/>
      <c r="R1286" s="35"/>
      <c r="S1286" s="35"/>
      <c r="T1286" s="35"/>
      <c r="U1286" s="35"/>
      <c r="V1286" s="35"/>
      <c r="W1286" s="35"/>
      <c r="X1286" s="35"/>
      <c r="Y1286" s="35"/>
      <c r="Z1286" s="35"/>
      <c r="AA1286" s="35"/>
      <c r="AB1286" s="35"/>
      <c r="AC1286" s="35"/>
      <c r="AD1286" s="35"/>
      <c r="AE1286" s="35"/>
      <c r="AF1286" s="35"/>
      <c r="AG1286" s="35"/>
      <c r="AH1286" s="35"/>
      <c r="AI1286" s="35"/>
      <c r="AJ1286" s="35"/>
      <c r="AK1286" s="35"/>
      <c r="AL1286" s="35"/>
      <c r="AM1286" s="35"/>
      <c r="AN1286" s="35"/>
      <c r="AO1286" s="35"/>
      <c r="AP1286" s="35"/>
      <c r="AQ1286" s="35"/>
      <c r="AR1286" s="35"/>
      <c r="AS1286" s="35"/>
      <c r="AT1286" s="35"/>
      <c r="AU1286" s="35"/>
      <c r="AV1286" s="35"/>
      <c r="AW1286" s="35"/>
    </row>
    <row r="1287" spans="1:49" s="47" customFormat="1" ht="15.75" x14ac:dyDescent="0.2">
      <c r="A1287" s="35"/>
      <c r="B1287" s="35"/>
      <c r="C1287" s="35"/>
      <c r="D1287" s="35"/>
      <c r="E1287" s="35"/>
      <c r="F1287" s="35"/>
      <c r="G1287" s="35"/>
      <c r="H1287" s="35"/>
      <c r="I1287" s="35"/>
      <c r="J1287" s="35"/>
      <c r="K1287" s="35"/>
      <c r="L1287" s="35"/>
      <c r="M1287" s="35"/>
      <c r="N1287" s="35"/>
      <c r="O1287" s="35"/>
      <c r="P1287" s="35"/>
      <c r="Q1287" s="35"/>
      <c r="R1287" s="35"/>
      <c r="S1287" s="35"/>
      <c r="T1287" s="35"/>
      <c r="U1287" s="35"/>
      <c r="V1287" s="35"/>
      <c r="W1287" s="35"/>
      <c r="X1287" s="35"/>
      <c r="Y1287" s="35"/>
      <c r="Z1287" s="35"/>
      <c r="AA1287" s="35"/>
      <c r="AB1287" s="35"/>
      <c r="AC1287" s="35"/>
      <c r="AD1287" s="35"/>
      <c r="AE1287" s="35"/>
      <c r="AF1287" s="35"/>
      <c r="AG1287" s="35"/>
      <c r="AH1287" s="35"/>
      <c r="AI1287" s="35"/>
      <c r="AJ1287" s="35"/>
      <c r="AK1287" s="35"/>
      <c r="AL1287" s="35"/>
      <c r="AM1287" s="35"/>
      <c r="AN1287" s="35"/>
      <c r="AO1287" s="35"/>
      <c r="AP1287" s="35"/>
      <c r="AQ1287" s="35"/>
      <c r="AR1287" s="35"/>
      <c r="AS1287" s="35"/>
      <c r="AT1287" s="35"/>
      <c r="AU1287" s="35"/>
      <c r="AV1287" s="35"/>
      <c r="AW1287" s="35"/>
    </row>
    <row r="1288" spans="1:49" s="47" customFormat="1" ht="15.75" x14ac:dyDescent="0.2">
      <c r="A1288" s="35"/>
      <c r="B1288" s="35"/>
      <c r="C1288" s="35"/>
      <c r="D1288" s="35"/>
      <c r="E1288" s="35"/>
      <c r="F1288" s="35"/>
      <c r="G1288" s="35"/>
      <c r="H1288" s="35"/>
      <c r="I1288" s="35"/>
      <c r="J1288" s="35"/>
      <c r="K1288" s="35"/>
      <c r="L1288" s="35"/>
      <c r="M1288" s="35"/>
      <c r="N1288" s="35"/>
      <c r="O1288" s="35"/>
      <c r="P1288" s="35"/>
      <c r="Q1288" s="35"/>
      <c r="R1288" s="35"/>
      <c r="S1288" s="35"/>
      <c r="T1288" s="35"/>
      <c r="U1288" s="35"/>
      <c r="V1288" s="35"/>
      <c r="W1288" s="35"/>
      <c r="X1288" s="35"/>
      <c r="Y1288" s="35"/>
      <c r="Z1288" s="35"/>
      <c r="AA1288" s="35"/>
      <c r="AB1288" s="35"/>
      <c r="AC1288" s="35"/>
      <c r="AD1288" s="35"/>
      <c r="AE1288" s="35"/>
      <c r="AF1288" s="35"/>
      <c r="AG1288" s="35"/>
      <c r="AH1288" s="35"/>
      <c r="AI1288" s="35"/>
      <c r="AJ1288" s="35"/>
      <c r="AK1288" s="35"/>
      <c r="AL1288" s="35"/>
      <c r="AM1288" s="35"/>
      <c r="AN1288" s="35"/>
      <c r="AO1288" s="35"/>
      <c r="AP1288" s="35"/>
      <c r="AQ1288" s="35"/>
      <c r="AR1288" s="35"/>
      <c r="AS1288" s="35"/>
      <c r="AT1288" s="35"/>
      <c r="AU1288" s="35"/>
      <c r="AV1288" s="35"/>
      <c r="AW1288" s="35"/>
    </row>
    <row r="1289" spans="1:49" s="47" customFormat="1" ht="15.75" x14ac:dyDescent="0.2">
      <c r="A1289" s="35"/>
      <c r="B1289" s="35"/>
      <c r="C1289" s="35"/>
      <c r="D1289" s="35"/>
      <c r="E1289" s="35"/>
      <c r="F1289" s="35"/>
      <c r="G1289" s="35"/>
      <c r="H1289" s="35"/>
      <c r="I1289" s="35"/>
      <c r="J1289" s="35"/>
      <c r="K1289" s="35"/>
      <c r="L1289" s="35"/>
      <c r="M1289" s="35"/>
      <c r="N1289" s="35"/>
      <c r="O1289" s="35"/>
      <c r="P1289" s="35"/>
      <c r="Q1289" s="35"/>
      <c r="R1289" s="35"/>
      <c r="S1289" s="35"/>
      <c r="T1289" s="35"/>
      <c r="U1289" s="35"/>
      <c r="V1289" s="35"/>
      <c r="W1289" s="35"/>
      <c r="X1289" s="35"/>
      <c r="Y1289" s="35"/>
      <c r="Z1289" s="35"/>
      <c r="AA1289" s="35"/>
      <c r="AB1289" s="35"/>
      <c r="AC1289" s="35"/>
      <c r="AD1289" s="35"/>
      <c r="AE1289" s="35"/>
      <c r="AF1289" s="35"/>
      <c r="AG1289" s="35"/>
      <c r="AH1289" s="35"/>
      <c r="AI1289" s="35"/>
      <c r="AJ1289" s="35"/>
      <c r="AK1289" s="35"/>
      <c r="AL1289" s="35"/>
      <c r="AM1289" s="35"/>
      <c r="AN1289" s="35"/>
      <c r="AO1289" s="35"/>
      <c r="AP1289" s="35"/>
      <c r="AQ1289" s="35"/>
      <c r="AR1289" s="35"/>
      <c r="AS1289" s="35"/>
      <c r="AT1289" s="35"/>
      <c r="AU1289" s="35"/>
      <c r="AV1289" s="35"/>
      <c r="AW1289" s="35"/>
    </row>
    <row r="1290" spans="1:49" s="47" customFormat="1" ht="15.75" x14ac:dyDescent="0.2">
      <c r="A1290" s="35"/>
      <c r="B1290" s="35"/>
      <c r="C1290" s="35"/>
      <c r="D1290" s="35"/>
      <c r="E1290" s="35"/>
      <c r="F1290" s="35"/>
      <c r="G1290" s="35"/>
      <c r="H1290" s="35"/>
      <c r="I1290" s="35"/>
      <c r="J1290" s="35"/>
      <c r="K1290" s="35"/>
      <c r="L1290" s="35"/>
      <c r="M1290" s="35"/>
      <c r="N1290" s="35"/>
      <c r="O1290" s="35"/>
      <c r="P1290" s="35"/>
      <c r="Q1290" s="35"/>
      <c r="R1290" s="35"/>
      <c r="S1290" s="35"/>
      <c r="T1290" s="35"/>
      <c r="U1290" s="35"/>
      <c r="V1290" s="35"/>
      <c r="W1290" s="35"/>
      <c r="X1290" s="35"/>
      <c r="Y1290" s="35"/>
      <c r="Z1290" s="35"/>
      <c r="AA1290" s="35"/>
      <c r="AB1290" s="35"/>
      <c r="AC1290" s="35"/>
      <c r="AD1290" s="35"/>
      <c r="AE1290" s="35"/>
      <c r="AF1290" s="35"/>
      <c r="AG1290" s="35"/>
      <c r="AH1290" s="35"/>
      <c r="AI1290" s="35"/>
      <c r="AJ1290" s="35"/>
      <c r="AK1290" s="35"/>
      <c r="AL1290" s="35"/>
      <c r="AM1290" s="35"/>
      <c r="AN1290" s="35"/>
      <c r="AO1290" s="35"/>
      <c r="AP1290" s="35"/>
      <c r="AQ1290" s="35"/>
      <c r="AR1290" s="35"/>
      <c r="AS1290" s="35"/>
      <c r="AT1290" s="35"/>
      <c r="AU1290" s="35"/>
      <c r="AV1290" s="35"/>
      <c r="AW1290" s="35"/>
    </row>
    <row r="1291" spans="1:49" s="47" customFormat="1" ht="15.75" x14ac:dyDescent="0.2">
      <c r="A1291" s="35"/>
      <c r="B1291" s="35"/>
      <c r="C1291" s="35"/>
      <c r="D1291" s="35"/>
      <c r="E1291" s="35"/>
      <c r="F1291" s="35"/>
      <c r="G1291" s="35"/>
      <c r="H1291" s="35"/>
      <c r="I1291" s="35"/>
      <c r="J1291" s="35"/>
      <c r="K1291" s="35"/>
      <c r="L1291" s="35"/>
      <c r="M1291" s="35"/>
      <c r="N1291" s="35"/>
      <c r="O1291" s="35"/>
      <c r="P1291" s="35"/>
      <c r="Q1291" s="35"/>
      <c r="R1291" s="35"/>
      <c r="S1291" s="35"/>
      <c r="T1291" s="35"/>
      <c r="U1291" s="35"/>
      <c r="V1291" s="35"/>
      <c r="W1291" s="35"/>
      <c r="X1291" s="35"/>
      <c r="Y1291" s="35"/>
      <c r="Z1291" s="35"/>
      <c r="AA1291" s="35"/>
      <c r="AB1291" s="35"/>
      <c r="AC1291" s="35"/>
      <c r="AD1291" s="35"/>
      <c r="AE1291" s="35"/>
      <c r="AF1291" s="35"/>
      <c r="AG1291" s="35"/>
      <c r="AH1291" s="35"/>
      <c r="AI1291" s="35"/>
      <c r="AJ1291" s="35"/>
      <c r="AK1291" s="35"/>
      <c r="AL1291" s="35"/>
      <c r="AM1291" s="35"/>
      <c r="AN1291" s="35"/>
      <c r="AO1291" s="35"/>
      <c r="AP1291" s="35"/>
      <c r="AQ1291" s="35"/>
      <c r="AR1291" s="35"/>
      <c r="AS1291" s="35"/>
      <c r="AT1291" s="35"/>
      <c r="AU1291" s="35"/>
      <c r="AV1291" s="35"/>
      <c r="AW1291" s="35"/>
    </row>
    <row r="1292" spans="1:49" s="47" customFormat="1" ht="15.75" x14ac:dyDescent="0.2">
      <c r="A1292" s="35"/>
      <c r="B1292" s="35"/>
      <c r="C1292" s="35"/>
      <c r="D1292" s="35"/>
      <c r="E1292" s="35"/>
      <c r="F1292" s="35"/>
      <c r="G1292" s="35"/>
      <c r="H1292" s="35"/>
      <c r="I1292" s="35"/>
      <c r="J1292" s="35"/>
      <c r="K1292" s="35"/>
      <c r="L1292" s="35"/>
      <c r="M1292" s="35"/>
      <c r="N1292" s="35"/>
      <c r="O1292" s="35"/>
      <c r="P1292" s="35"/>
      <c r="Q1292" s="35"/>
      <c r="R1292" s="35"/>
      <c r="S1292" s="35"/>
      <c r="T1292" s="35"/>
      <c r="U1292" s="35"/>
      <c r="V1292" s="35"/>
      <c r="W1292" s="35"/>
      <c r="X1292" s="35"/>
      <c r="Y1292" s="35"/>
      <c r="Z1292" s="35"/>
      <c r="AA1292" s="35"/>
      <c r="AB1292" s="35"/>
      <c r="AC1292" s="35"/>
      <c r="AD1292" s="35"/>
      <c r="AE1292" s="35"/>
      <c r="AF1292" s="35"/>
      <c r="AG1292" s="35"/>
      <c r="AH1292" s="35"/>
      <c r="AI1292" s="35"/>
      <c r="AJ1292" s="35"/>
      <c r="AK1292" s="35"/>
      <c r="AL1292" s="35"/>
      <c r="AM1292" s="35"/>
      <c r="AN1292" s="35"/>
      <c r="AO1292" s="35"/>
      <c r="AP1292" s="35"/>
      <c r="AQ1292" s="35"/>
      <c r="AR1292" s="35"/>
      <c r="AS1292" s="35"/>
      <c r="AT1292" s="35"/>
      <c r="AU1292" s="35"/>
      <c r="AV1292" s="35"/>
      <c r="AW1292" s="35"/>
    </row>
    <row r="1293" spans="1:49" s="47" customFormat="1" ht="15.75" x14ac:dyDescent="0.2">
      <c r="A1293" s="35"/>
      <c r="B1293" s="35"/>
      <c r="C1293" s="35"/>
      <c r="D1293" s="35"/>
      <c r="E1293" s="35"/>
      <c r="F1293" s="35"/>
      <c r="G1293" s="35"/>
      <c r="H1293" s="35"/>
      <c r="I1293" s="35"/>
      <c r="J1293" s="35"/>
      <c r="K1293" s="35"/>
      <c r="L1293" s="35"/>
      <c r="M1293" s="35"/>
      <c r="N1293" s="35"/>
      <c r="O1293" s="35"/>
      <c r="P1293" s="35"/>
      <c r="Q1293" s="35"/>
      <c r="R1293" s="35"/>
      <c r="S1293" s="35"/>
      <c r="T1293" s="35"/>
      <c r="U1293" s="35"/>
      <c r="V1293" s="35"/>
      <c r="W1293" s="35"/>
      <c r="X1293" s="35"/>
      <c r="Y1293" s="35"/>
      <c r="Z1293" s="35"/>
      <c r="AA1293" s="35"/>
      <c r="AB1293" s="35"/>
      <c r="AC1293" s="35"/>
      <c r="AD1293" s="35"/>
      <c r="AE1293" s="35"/>
      <c r="AF1293" s="35"/>
      <c r="AG1293" s="35"/>
      <c r="AH1293" s="35"/>
      <c r="AI1293" s="35"/>
      <c r="AJ1293" s="35"/>
      <c r="AK1293" s="35"/>
      <c r="AL1293" s="35"/>
      <c r="AM1293" s="35"/>
      <c r="AN1293" s="35"/>
      <c r="AO1293" s="35"/>
      <c r="AP1293" s="35"/>
      <c r="AQ1293" s="35"/>
      <c r="AR1293" s="35"/>
      <c r="AS1293" s="35"/>
      <c r="AT1293" s="35"/>
      <c r="AU1293" s="35"/>
      <c r="AV1293" s="35"/>
      <c r="AW1293" s="35"/>
    </row>
    <row r="1294" spans="1:49" s="47" customFormat="1" ht="15.75" x14ac:dyDescent="0.2">
      <c r="A1294" s="35"/>
      <c r="B1294" s="35"/>
      <c r="C1294" s="35"/>
      <c r="D1294" s="35"/>
      <c r="E1294" s="35"/>
      <c r="F1294" s="35"/>
      <c r="G1294" s="35"/>
      <c r="H1294" s="35"/>
      <c r="I1294" s="35"/>
      <c r="J1294" s="35"/>
      <c r="K1294" s="35"/>
      <c r="L1294" s="35"/>
      <c r="M1294" s="35"/>
      <c r="N1294" s="35"/>
      <c r="O1294" s="35"/>
      <c r="P1294" s="35"/>
      <c r="Q1294" s="35"/>
      <c r="R1294" s="35"/>
      <c r="S1294" s="35"/>
      <c r="T1294" s="35"/>
      <c r="U1294" s="35"/>
      <c r="V1294" s="35"/>
      <c r="W1294" s="35"/>
      <c r="X1294" s="35"/>
      <c r="Y1294" s="35"/>
      <c r="Z1294" s="35"/>
      <c r="AA1294" s="35"/>
      <c r="AB1294" s="35"/>
      <c r="AC1294" s="35"/>
      <c r="AD1294" s="35"/>
      <c r="AE1294" s="35"/>
      <c r="AF1294" s="35"/>
      <c r="AG1294" s="35"/>
      <c r="AH1294" s="35"/>
      <c r="AI1294" s="35"/>
      <c r="AJ1294" s="35"/>
      <c r="AK1294" s="35"/>
      <c r="AL1294" s="35"/>
      <c r="AM1294" s="35"/>
      <c r="AN1294" s="35"/>
      <c r="AO1294" s="35"/>
      <c r="AP1294" s="35"/>
      <c r="AQ1294" s="35"/>
      <c r="AR1294" s="35"/>
      <c r="AS1294" s="35"/>
      <c r="AT1294" s="35"/>
      <c r="AU1294" s="35"/>
      <c r="AV1294" s="35"/>
      <c r="AW1294" s="35"/>
    </row>
    <row r="1295" spans="1:49" s="47" customFormat="1" ht="15.75" x14ac:dyDescent="0.2">
      <c r="A1295" s="35"/>
      <c r="B1295" s="35"/>
      <c r="C1295" s="35"/>
      <c r="D1295" s="35"/>
      <c r="E1295" s="35"/>
      <c r="F1295" s="35"/>
      <c r="G1295" s="35"/>
      <c r="H1295" s="35"/>
      <c r="I1295" s="35"/>
      <c r="J1295" s="35"/>
      <c r="K1295" s="35"/>
      <c r="L1295" s="35"/>
      <c r="M1295" s="35"/>
      <c r="N1295" s="35"/>
      <c r="O1295" s="35"/>
      <c r="P1295" s="35"/>
      <c r="Q1295" s="35"/>
      <c r="R1295" s="35"/>
      <c r="S1295" s="35"/>
      <c r="T1295" s="35"/>
      <c r="U1295" s="35"/>
      <c r="V1295" s="35"/>
      <c r="W1295" s="35"/>
      <c r="X1295" s="35"/>
      <c r="Y1295" s="35"/>
      <c r="Z1295" s="35"/>
      <c r="AA1295" s="35"/>
      <c r="AB1295" s="35"/>
      <c r="AC1295" s="35"/>
      <c r="AD1295" s="35"/>
      <c r="AE1295" s="35"/>
      <c r="AF1295" s="35"/>
      <c r="AG1295" s="35"/>
      <c r="AH1295" s="35"/>
      <c r="AI1295" s="35"/>
      <c r="AJ1295" s="35"/>
      <c r="AK1295" s="35"/>
      <c r="AL1295" s="35"/>
      <c r="AM1295" s="35"/>
      <c r="AN1295" s="35"/>
      <c r="AO1295" s="35"/>
      <c r="AP1295" s="35"/>
      <c r="AQ1295" s="35"/>
      <c r="AR1295" s="35"/>
      <c r="AS1295" s="35"/>
      <c r="AT1295" s="35"/>
      <c r="AU1295" s="35"/>
      <c r="AV1295" s="35"/>
      <c r="AW1295" s="35"/>
    </row>
    <row r="1296" spans="1:49" s="47" customFormat="1" ht="15.75" x14ac:dyDescent="0.2">
      <c r="A1296" s="35"/>
      <c r="B1296" s="35"/>
      <c r="C1296" s="35"/>
      <c r="D1296" s="35"/>
      <c r="E1296" s="35"/>
      <c r="F1296" s="35"/>
      <c r="G1296" s="35"/>
      <c r="H1296" s="35"/>
      <c r="I1296" s="35"/>
      <c r="J1296" s="35"/>
      <c r="K1296" s="35"/>
      <c r="L1296" s="35"/>
      <c r="M1296" s="35"/>
      <c r="N1296" s="35"/>
      <c r="O1296" s="35"/>
      <c r="P1296" s="35"/>
      <c r="Q1296" s="35"/>
      <c r="R1296" s="35"/>
      <c r="S1296" s="35"/>
      <c r="T1296" s="35"/>
      <c r="U1296" s="35"/>
      <c r="V1296" s="35"/>
      <c r="W1296" s="35"/>
      <c r="X1296" s="35"/>
      <c r="Y1296" s="35"/>
      <c r="Z1296" s="35"/>
      <c r="AA1296" s="35"/>
      <c r="AB1296" s="35"/>
      <c r="AC1296" s="35"/>
      <c r="AD1296" s="35"/>
      <c r="AE1296" s="35"/>
      <c r="AF1296" s="35"/>
      <c r="AG1296" s="35"/>
      <c r="AH1296" s="35"/>
      <c r="AI1296" s="35"/>
      <c r="AJ1296" s="35"/>
      <c r="AK1296" s="35"/>
      <c r="AL1296" s="35"/>
      <c r="AM1296" s="35"/>
      <c r="AN1296" s="35"/>
      <c r="AO1296" s="35"/>
      <c r="AP1296" s="35"/>
      <c r="AQ1296" s="35"/>
      <c r="AR1296" s="35"/>
      <c r="AS1296" s="35"/>
      <c r="AT1296" s="35"/>
      <c r="AU1296" s="35"/>
      <c r="AV1296" s="35"/>
      <c r="AW1296" s="35"/>
    </row>
    <row r="1297" spans="1:49" s="47" customFormat="1" ht="15.75" x14ac:dyDescent="0.2">
      <c r="A1297" s="35"/>
      <c r="B1297" s="35"/>
      <c r="C1297" s="35"/>
      <c r="D1297" s="35"/>
      <c r="E1297" s="35"/>
      <c r="F1297" s="35"/>
      <c r="G1297" s="35"/>
      <c r="H1297" s="35"/>
      <c r="I1297" s="35"/>
      <c r="J1297" s="35"/>
      <c r="K1297" s="35"/>
      <c r="L1297" s="35"/>
      <c r="M1297" s="35"/>
      <c r="N1297" s="35"/>
      <c r="O1297" s="35"/>
      <c r="P1297" s="35"/>
      <c r="Q1297" s="35"/>
      <c r="R1297" s="35"/>
      <c r="S1297" s="35"/>
      <c r="T1297" s="35"/>
      <c r="U1297" s="35"/>
      <c r="V1297" s="35"/>
      <c r="W1297" s="35"/>
      <c r="X1297" s="35"/>
      <c r="Y1297" s="35"/>
      <c r="Z1297" s="35"/>
      <c r="AA1297" s="35"/>
      <c r="AB1297" s="35"/>
      <c r="AC1297" s="35"/>
      <c r="AD1297" s="35"/>
      <c r="AE1297" s="35"/>
      <c r="AF1297" s="35"/>
      <c r="AG1297" s="35"/>
      <c r="AH1297" s="35"/>
      <c r="AI1297" s="35"/>
      <c r="AJ1297" s="35"/>
      <c r="AK1297" s="35"/>
      <c r="AL1297" s="35"/>
      <c r="AM1297" s="35"/>
      <c r="AN1297" s="35"/>
      <c r="AO1297" s="35"/>
      <c r="AP1297" s="35"/>
      <c r="AQ1297" s="35"/>
      <c r="AR1297" s="35"/>
      <c r="AS1297" s="35"/>
      <c r="AT1297" s="35"/>
      <c r="AU1297" s="35"/>
      <c r="AV1297" s="35"/>
      <c r="AW1297" s="35"/>
    </row>
    <row r="1298" spans="1:49" s="47" customFormat="1" ht="15.75" x14ac:dyDescent="0.2">
      <c r="A1298" s="35"/>
      <c r="B1298" s="35"/>
      <c r="C1298" s="35"/>
      <c r="D1298" s="35"/>
      <c r="E1298" s="35"/>
      <c r="F1298" s="35"/>
      <c r="G1298" s="35"/>
      <c r="H1298" s="35"/>
      <c r="I1298" s="35"/>
      <c r="J1298" s="35"/>
      <c r="K1298" s="35"/>
      <c r="L1298" s="35"/>
      <c r="M1298" s="35"/>
      <c r="N1298" s="35"/>
      <c r="O1298" s="35"/>
      <c r="P1298" s="35"/>
      <c r="Q1298" s="35"/>
      <c r="R1298" s="35"/>
      <c r="S1298" s="35"/>
      <c r="T1298" s="35"/>
      <c r="U1298" s="35"/>
      <c r="V1298" s="35"/>
      <c r="W1298" s="35"/>
      <c r="X1298" s="35"/>
      <c r="Y1298" s="35"/>
      <c r="Z1298" s="35"/>
      <c r="AA1298" s="35"/>
      <c r="AB1298" s="35"/>
      <c r="AC1298" s="35"/>
      <c r="AD1298" s="35"/>
      <c r="AE1298" s="35"/>
      <c r="AF1298" s="35"/>
      <c r="AG1298" s="35"/>
      <c r="AH1298" s="35"/>
      <c r="AI1298" s="35"/>
      <c r="AJ1298" s="35"/>
      <c r="AK1298" s="35"/>
      <c r="AL1298" s="35"/>
      <c r="AM1298" s="35"/>
      <c r="AN1298" s="35"/>
      <c r="AO1298" s="35"/>
      <c r="AP1298" s="35"/>
      <c r="AQ1298" s="35"/>
      <c r="AR1298" s="35"/>
      <c r="AS1298" s="35"/>
      <c r="AT1298" s="35"/>
      <c r="AU1298" s="35"/>
      <c r="AV1298" s="35"/>
      <c r="AW1298" s="35"/>
    </row>
    <row r="1299" spans="1:49" s="47" customFormat="1" ht="15.75" x14ac:dyDescent="0.2">
      <c r="A1299" s="35"/>
      <c r="B1299" s="35"/>
      <c r="C1299" s="35"/>
      <c r="D1299" s="35"/>
      <c r="E1299" s="35"/>
      <c r="F1299" s="35"/>
      <c r="G1299" s="35"/>
      <c r="H1299" s="35"/>
      <c r="I1299" s="35"/>
      <c r="J1299" s="35"/>
      <c r="K1299" s="35"/>
      <c r="L1299" s="35"/>
      <c r="M1299" s="35"/>
      <c r="N1299" s="35"/>
      <c r="O1299" s="35"/>
      <c r="P1299" s="35"/>
      <c r="Q1299" s="35"/>
      <c r="R1299" s="35"/>
      <c r="S1299" s="35"/>
      <c r="T1299" s="35"/>
      <c r="U1299" s="35"/>
      <c r="V1299" s="35"/>
      <c r="W1299" s="35"/>
      <c r="X1299" s="35"/>
      <c r="Y1299" s="35"/>
      <c r="Z1299" s="35"/>
      <c r="AA1299" s="35"/>
      <c r="AB1299" s="35"/>
      <c r="AC1299" s="35"/>
      <c r="AD1299" s="35"/>
      <c r="AE1299" s="35"/>
      <c r="AF1299" s="35"/>
      <c r="AG1299" s="35"/>
      <c r="AH1299" s="35"/>
      <c r="AI1299" s="35"/>
      <c r="AJ1299" s="35"/>
      <c r="AK1299" s="35"/>
      <c r="AL1299" s="35"/>
      <c r="AM1299" s="35"/>
      <c r="AN1299" s="35"/>
      <c r="AO1299" s="35"/>
      <c r="AP1299" s="35"/>
      <c r="AQ1299" s="35"/>
      <c r="AR1299" s="35"/>
      <c r="AS1299" s="35"/>
      <c r="AT1299" s="35"/>
      <c r="AU1299" s="35"/>
      <c r="AV1299" s="35"/>
      <c r="AW1299" s="35"/>
    </row>
    <row r="1300" spans="1:49" s="47" customFormat="1" ht="15.75" x14ac:dyDescent="0.2">
      <c r="A1300" s="35"/>
      <c r="B1300" s="35"/>
      <c r="C1300" s="35"/>
      <c r="D1300" s="35"/>
      <c r="E1300" s="35"/>
      <c r="F1300" s="35"/>
      <c r="G1300" s="35"/>
      <c r="H1300" s="35"/>
      <c r="I1300" s="35"/>
      <c r="J1300" s="35"/>
      <c r="K1300" s="35"/>
      <c r="L1300" s="35"/>
      <c r="M1300" s="35"/>
      <c r="N1300" s="35"/>
      <c r="O1300" s="35"/>
      <c r="P1300" s="35"/>
      <c r="Q1300" s="35"/>
      <c r="R1300" s="35"/>
      <c r="S1300" s="35"/>
      <c r="T1300" s="35"/>
      <c r="U1300" s="35"/>
      <c r="V1300" s="35"/>
      <c r="W1300" s="35"/>
      <c r="X1300" s="35"/>
      <c r="Y1300" s="35"/>
      <c r="Z1300" s="35"/>
      <c r="AA1300" s="35"/>
      <c r="AB1300" s="35"/>
      <c r="AC1300" s="35"/>
      <c r="AD1300" s="35"/>
      <c r="AE1300" s="35"/>
      <c r="AF1300" s="35"/>
      <c r="AG1300" s="35"/>
      <c r="AH1300" s="35"/>
      <c r="AI1300" s="35"/>
      <c r="AJ1300" s="35"/>
      <c r="AK1300" s="35"/>
      <c r="AL1300" s="35"/>
      <c r="AM1300" s="35"/>
      <c r="AN1300" s="35"/>
      <c r="AO1300" s="35"/>
      <c r="AP1300" s="35"/>
      <c r="AQ1300" s="35"/>
      <c r="AR1300" s="35"/>
      <c r="AS1300" s="35"/>
      <c r="AT1300" s="35"/>
      <c r="AU1300" s="35"/>
      <c r="AV1300" s="35"/>
      <c r="AW1300" s="35"/>
    </row>
    <row r="1301" spans="1:49" s="47" customFormat="1" ht="15.75" x14ac:dyDescent="0.2">
      <c r="A1301" s="35"/>
      <c r="B1301" s="35"/>
      <c r="C1301" s="35"/>
      <c r="D1301" s="35"/>
      <c r="E1301" s="35"/>
      <c r="F1301" s="35"/>
      <c r="G1301" s="35"/>
      <c r="H1301" s="35"/>
      <c r="I1301" s="35"/>
      <c r="J1301" s="35"/>
      <c r="K1301" s="35"/>
      <c r="L1301" s="35"/>
      <c r="M1301" s="35"/>
      <c r="N1301" s="35"/>
      <c r="O1301" s="35"/>
      <c r="P1301" s="35"/>
      <c r="Q1301" s="35"/>
      <c r="R1301" s="35"/>
      <c r="S1301" s="35"/>
      <c r="T1301" s="35"/>
      <c r="U1301" s="35"/>
      <c r="V1301" s="35"/>
      <c r="W1301" s="35"/>
      <c r="X1301" s="35"/>
      <c r="Y1301" s="35"/>
      <c r="Z1301" s="35"/>
      <c r="AA1301" s="35"/>
      <c r="AB1301" s="35"/>
      <c r="AC1301" s="35"/>
      <c r="AD1301" s="35"/>
      <c r="AE1301" s="35"/>
      <c r="AF1301" s="35"/>
      <c r="AG1301" s="35"/>
      <c r="AH1301" s="35"/>
      <c r="AI1301" s="35"/>
      <c r="AJ1301" s="35"/>
      <c r="AK1301" s="35"/>
      <c r="AL1301" s="35"/>
      <c r="AM1301" s="35"/>
      <c r="AN1301" s="35"/>
      <c r="AO1301" s="35"/>
      <c r="AP1301" s="35"/>
      <c r="AQ1301" s="35"/>
      <c r="AR1301" s="35"/>
      <c r="AS1301" s="35"/>
      <c r="AT1301" s="35"/>
      <c r="AU1301" s="35"/>
      <c r="AV1301" s="35"/>
      <c r="AW1301" s="35"/>
    </row>
    <row r="1302" spans="1:49" s="47" customFormat="1" ht="15.75" x14ac:dyDescent="0.2">
      <c r="A1302" s="35"/>
      <c r="B1302" s="35"/>
      <c r="C1302" s="35"/>
      <c r="D1302" s="35"/>
      <c r="E1302" s="35"/>
      <c r="F1302" s="35"/>
      <c r="G1302" s="35"/>
      <c r="H1302" s="35"/>
      <c r="I1302" s="35"/>
      <c r="J1302" s="35"/>
      <c r="K1302" s="35"/>
      <c r="L1302" s="35"/>
      <c r="M1302" s="35"/>
      <c r="N1302" s="35"/>
      <c r="O1302" s="35"/>
      <c r="P1302" s="35"/>
      <c r="Q1302" s="35"/>
      <c r="R1302" s="35"/>
      <c r="S1302" s="35"/>
      <c r="T1302" s="35"/>
      <c r="U1302" s="35"/>
      <c r="V1302" s="35"/>
      <c r="W1302" s="35"/>
      <c r="X1302" s="35"/>
      <c r="Y1302" s="35"/>
      <c r="Z1302" s="35"/>
      <c r="AA1302" s="35"/>
      <c r="AB1302" s="35"/>
      <c r="AC1302" s="35"/>
      <c r="AD1302" s="35"/>
      <c r="AE1302" s="35"/>
      <c r="AF1302" s="35"/>
      <c r="AG1302" s="35"/>
      <c r="AH1302" s="35"/>
      <c r="AI1302" s="35"/>
      <c r="AJ1302" s="35"/>
      <c r="AK1302" s="35"/>
      <c r="AL1302" s="35"/>
      <c r="AM1302" s="35"/>
      <c r="AN1302" s="35"/>
      <c r="AO1302" s="35"/>
      <c r="AP1302" s="35"/>
      <c r="AQ1302" s="35"/>
      <c r="AR1302" s="35"/>
      <c r="AS1302" s="35"/>
      <c r="AT1302" s="35"/>
      <c r="AU1302" s="35"/>
      <c r="AV1302" s="35"/>
      <c r="AW1302" s="35"/>
    </row>
    <row r="1303" spans="1:49" s="47" customFormat="1" ht="15.75" x14ac:dyDescent="0.2">
      <c r="A1303" s="35"/>
      <c r="B1303" s="35"/>
      <c r="C1303" s="35"/>
      <c r="D1303" s="35"/>
      <c r="E1303" s="35"/>
      <c r="F1303" s="35"/>
      <c r="G1303" s="35"/>
      <c r="H1303" s="35"/>
      <c r="I1303" s="35"/>
      <c r="J1303" s="35"/>
      <c r="K1303" s="35"/>
      <c r="L1303" s="35"/>
      <c r="M1303" s="35"/>
      <c r="N1303" s="35"/>
      <c r="O1303" s="35"/>
      <c r="P1303" s="35"/>
      <c r="Q1303" s="35"/>
      <c r="R1303" s="35"/>
      <c r="S1303" s="35"/>
      <c r="T1303" s="35"/>
      <c r="U1303" s="35"/>
      <c r="V1303" s="35"/>
      <c r="W1303" s="35"/>
      <c r="X1303" s="35"/>
      <c r="Y1303" s="35"/>
      <c r="Z1303" s="35"/>
      <c r="AA1303" s="35"/>
      <c r="AB1303" s="35"/>
      <c r="AC1303" s="35"/>
      <c r="AD1303" s="35"/>
      <c r="AE1303" s="35"/>
      <c r="AF1303" s="35"/>
      <c r="AG1303" s="35"/>
      <c r="AH1303" s="35"/>
      <c r="AI1303" s="35"/>
      <c r="AJ1303" s="35"/>
      <c r="AK1303" s="35"/>
      <c r="AL1303" s="35"/>
      <c r="AM1303" s="35"/>
      <c r="AN1303" s="35"/>
      <c r="AO1303" s="35"/>
      <c r="AP1303" s="35"/>
      <c r="AQ1303" s="35"/>
      <c r="AR1303" s="35"/>
      <c r="AS1303" s="35"/>
      <c r="AT1303" s="35"/>
      <c r="AU1303" s="35"/>
      <c r="AV1303" s="35"/>
      <c r="AW1303" s="35"/>
    </row>
    <row r="1304" spans="1:49" s="47" customFormat="1" ht="15.75" x14ac:dyDescent="0.2">
      <c r="A1304" s="35"/>
      <c r="B1304" s="35"/>
      <c r="C1304" s="35"/>
      <c r="D1304" s="35"/>
      <c r="E1304" s="35"/>
      <c r="F1304" s="35"/>
      <c r="G1304" s="35"/>
      <c r="H1304" s="35"/>
      <c r="I1304" s="35"/>
      <c r="J1304" s="35"/>
      <c r="K1304" s="35"/>
      <c r="L1304" s="35"/>
      <c r="M1304" s="35"/>
      <c r="N1304" s="35"/>
      <c r="O1304" s="35"/>
      <c r="P1304" s="35"/>
      <c r="Q1304" s="35"/>
      <c r="R1304" s="35"/>
      <c r="S1304" s="35"/>
      <c r="T1304" s="35"/>
      <c r="U1304" s="35"/>
      <c r="V1304" s="35"/>
      <c r="W1304" s="35"/>
      <c r="X1304" s="35"/>
      <c r="Y1304" s="35"/>
      <c r="Z1304" s="35"/>
      <c r="AA1304" s="35"/>
      <c r="AB1304" s="35"/>
      <c r="AC1304" s="35"/>
      <c r="AD1304" s="35"/>
      <c r="AE1304" s="35"/>
      <c r="AF1304" s="35"/>
      <c r="AG1304" s="35"/>
      <c r="AH1304" s="35"/>
      <c r="AI1304" s="35"/>
      <c r="AJ1304" s="35"/>
      <c r="AK1304" s="35"/>
      <c r="AL1304" s="35"/>
      <c r="AM1304" s="35"/>
      <c r="AN1304" s="35"/>
      <c r="AO1304" s="35"/>
      <c r="AP1304" s="35"/>
      <c r="AQ1304" s="35"/>
      <c r="AR1304" s="35"/>
      <c r="AS1304" s="35"/>
      <c r="AT1304" s="35"/>
      <c r="AU1304" s="35"/>
      <c r="AV1304" s="35"/>
      <c r="AW1304" s="35"/>
    </row>
    <row r="1305" spans="1:49" s="47" customFormat="1" ht="15.75" x14ac:dyDescent="0.2">
      <c r="A1305" s="35"/>
      <c r="B1305" s="35"/>
      <c r="C1305" s="35"/>
      <c r="D1305" s="35"/>
      <c r="E1305" s="35"/>
      <c r="F1305" s="35"/>
      <c r="G1305" s="35"/>
      <c r="H1305" s="35"/>
      <c r="I1305" s="35"/>
      <c r="J1305" s="35"/>
      <c r="K1305" s="35"/>
      <c r="L1305" s="35"/>
      <c r="M1305" s="35"/>
      <c r="N1305" s="35"/>
      <c r="O1305" s="35"/>
      <c r="P1305" s="35"/>
      <c r="Q1305" s="35"/>
      <c r="R1305" s="35"/>
      <c r="S1305" s="35"/>
      <c r="T1305" s="35"/>
      <c r="U1305" s="35"/>
      <c r="V1305" s="35"/>
      <c r="W1305" s="35"/>
      <c r="X1305" s="35"/>
      <c r="Y1305" s="35"/>
      <c r="Z1305" s="35"/>
      <c r="AA1305" s="35"/>
      <c r="AB1305" s="35"/>
      <c r="AC1305" s="35"/>
      <c r="AD1305" s="35"/>
      <c r="AE1305" s="35"/>
      <c r="AF1305" s="35"/>
      <c r="AG1305" s="35"/>
      <c r="AH1305" s="35"/>
      <c r="AI1305" s="35"/>
      <c r="AJ1305" s="35"/>
      <c r="AK1305" s="35"/>
      <c r="AL1305" s="35"/>
      <c r="AM1305" s="35"/>
      <c r="AN1305" s="35"/>
      <c r="AO1305" s="35"/>
      <c r="AP1305" s="35"/>
      <c r="AQ1305" s="35"/>
      <c r="AR1305" s="35"/>
      <c r="AS1305" s="35"/>
      <c r="AT1305" s="35"/>
      <c r="AU1305" s="35"/>
      <c r="AV1305" s="35"/>
      <c r="AW1305" s="35"/>
    </row>
    <row r="1306" spans="1:49" s="47" customFormat="1" ht="15.75" x14ac:dyDescent="0.2">
      <c r="A1306" s="35"/>
      <c r="B1306" s="35"/>
      <c r="C1306" s="35"/>
      <c r="D1306" s="35"/>
      <c r="E1306" s="35"/>
      <c r="F1306" s="35"/>
      <c r="G1306" s="35"/>
      <c r="H1306" s="35"/>
      <c r="I1306" s="35"/>
      <c r="J1306" s="35"/>
      <c r="K1306" s="35"/>
      <c r="L1306" s="35"/>
      <c r="M1306" s="35"/>
      <c r="N1306" s="35"/>
      <c r="O1306" s="35"/>
      <c r="P1306" s="35"/>
      <c r="Q1306" s="35"/>
      <c r="R1306" s="35"/>
      <c r="S1306" s="35"/>
      <c r="T1306" s="35"/>
      <c r="U1306" s="35"/>
      <c r="V1306" s="35"/>
      <c r="W1306" s="35"/>
      <c r="X1306" s="35"/>
      <c r="Y1306" s="35"/>
      <c r="Z1306" s="35"/>
      <c r="AA1306" s="35"/>
      <c r="AB1306" s="35"/>
      <c r="AC1306" s="35"/>
      <c r="AD1306" s="35"/>
      <c r="AE1306" s="35"/>
      <c r="AF1306" s="35"/>
      <c r="AG1306" s="35"/>
      <c r="AH1306" s="35"/>
      <c r="AI1306" s="35"/>
      <c r="AJ1306" s="35"/>
      <c r="AK1306" s="35"/>
      <c r="AL1306" s="35"/>
      <c r="AM1306" s="35"/>
      <c r="AN1306" s="35"/>
      <c r="AO1306" s="35"/>
      <c r="AP1306" s="35"/>
      <c r="AQ1306" s="35"/>
      <c r="AR1306" s="35"/>
      <c r="AS1306" s="35"/>
      <c r="AT1306" s="35"/>
      <c r="AU1306" s="35"/>
      <c r="AV1306" s="35"/>
      <c r="AW1306" s="35"/>
    </row>
    <row r="1307" spans="1:49" s="47" customFormat="1" ht="15.75" x14ac:dyDescent="0.2">
      <c r="A1307" s="35"/>
      <c r="B1307" s="35"/>
      <c r="C1307" s="35"/>
      <c r="D1307" s="35"/>
      <c r="E1307" s="35"/>
      <c r="F1307" s="35"/>
      <c r="G1307" s="35"/>
      <c r="H1307" s="35"/>
      <c r="I1307" s="35"/>
      <c r="J1307" s="35"/>
      <c r="K1307" s="35"/>
      <c r="L1307" s="35"/>
      <c r="M1307" s="35"/>
      <c r="N1307" s="35"/>
      <c r="O1307" s="35"/>
      <c r="P1307" s="35"/>
      <c r="Q1307" s="35"/>
      <c r="R1307" s="35"/>
      <c r="S1307" s="35"/>
      <c r="T1307" s="35"/>
      <c r="U1307" s="35"/>
      <c r="V1307" s="35"/>
      <c r="W1307" s="35"/>
      <c r="X1307" s="35"/>
      <c r="Y1307" s="35"/>
      <c r="Z1307" s="35"/>
      <c r="AA1307" s="35"/>
      <c r="AB1307" s="35"/>
      <c r="AC1307" s="35"/>
      <c r="AD1307" s="35"/>
      <c r="AE1307" s="35"/>
      <c r="AF1307" s="35"/>
      <c r="AG1307" s="35"/>
      <c r="AH1307" s="35"/>
      <c r="AI1307" s="35"/>
      <c r="AJ1307" s="35"/>
      <c r="AK1307" s="35"/>
      <c r="AL1307" s="35"/>
      <c r="AM1307" s="35"/>
      <c r="AN1307" s="35"/>
      <c r="AO1307" s="35"/>
      <c r="AP1307" s="35"/>
      <c r="AQ1307" s="35"/>
      <c r="AR1307" s="35"/>
      <c r="AS1307" s="35"/>
      <c r="AT1307" s="35"/>
      <c r="AU1307" s="35"/>
      <c r="AV1307" s="35"/>
      <c r="AW1307" s="35"/>
    </row>
    <row r="1308" spans="1:49" s="47" customFormat="1" ht="15.75" x14ac:dyDescent="0.2">
      <c r="A1308" s="35"/>
      <c r="B1308" s="35"/>
      <c r="C1308" s="35"/>
      <c r="D1308" s="35"/>
      <c r="E1308" s="35"/>
      <c r="F1308" s="35"/>
      <c r="G1308" s="35"/>
      <c r="H1308" s="35"/>
      <c r="I1308" s="35"/>
      <c r="J1308" s="35"/>
      <c r="K1308" s="35"/>
      <c r="L1308" s="35"/>
      <c r="M1308" s="35"/>
      <c r="N1308" s="35"/>
      <c r="O1308" s="35"/>
      <c r="P1308" s="35"/>
      <c r="Q1308" s="35"/>
      <c r="R1308" s="35"/>
      <c r="S1308" s="35"/>
      <c r="T1308" s="35"/>
      <c r="U1308" s="35"/>
      <c r="V1308" s="35"/>
      <c r="W1308" s="35"/>
      <c r="X1308" s="35"/>
      <c r="Y1308" s="35"/>
      <c r="Z1308" s="35"/>
      <c r="AA1308" s="35"/>
      <c r="AB1308" s="35"/>
      <c r="AC1308" s="35"/>
      <c r="AD1308" s="35"/>
      <c r="AE1308" s="35"/>
      <c r="AF1308" s="35"/>
      <c r="AG1308" s="35"/>
      <c r="AH1308" s="35"/>
      <c r="AI1308" s="35"/>
      <c r="AJ1308" s="35"/>
      <c r="AK1308" s="35"/>
      <c r="AL1308" s="35"/>
      <c r="AM1308" s="35"/>
      <c r="AN1308" s="35"/>
      <c r="AO1308" s="35"/>
      <c r="AP1308" s="35"/>
      <c r="AQ1308" s="35"/>
      <c r="AR1308" s="35"/>
      <c r="AS1308" s="35"/>
      <c r="AT1308" s="35"/>
      <c r="AU1308" s="35"/>
      <c r="AV1308" s="35"/>
      <c r="AW1308" s="35"/>
    </row>
    <row r="1309" spans="1:49" s="47" customFormat="1" ht="15.75" x14ac:dyDescent="0.2">
      <c r="A1309" s="35"/>
      <c r="B1309" s="35"/>
      <c r="C1309" s="35"/>
      <c r="D1309" s="35"/>
      <c r="E1309" s="35"/>
      <c r="F1309" s="35"/>
      <c r="G1309" s="35"/>
      <c r="H1309" s="35"/>
      <c r="I1309" s="35"/>
      <c r="J1309" s="35"/>
      <c r="K1309" s="35"/>
      <c r="L1309" s="35"/>
      <c r="M1309" s="35"/>
      <c r="N1309" s="35"/>
      <c r="O1309" s="35"/>
      <c r="P1309" s="35"/>
      <c r="Q1309" s="35"/>
      <c r="R1309" s="35"/>
      <c r="S1309" s="35"/>
      <c r="T1309" s="35"/>
      <c r="U1309" s="35"/>
      <c r="V1309" s="35"/>
      <c r="W1309" s="35"/>
      <c r="X1309" s="35"/>
      <c r="Y1309" s="35"/>
      <c r="Z1309" s="35"/>
      <c r="AA1309" s="35"/>
      <c r="AB1309" s="35"/>
      <c r="AC1309" s="35"/>
      <c r="AD1309" s="35"/>
      <c r="AE1309" s="35"/>
      <c r="AF1309" s="35"/>
      <c r="AG1309" s="35"/>
      <c r="AH1309" s="35"/>
      <c r="AI1309" s="35"/>
      <c r="AJ1309" s="35"/>
      <c r="AK1309" s="35"/>
      <c r="AL1309" s="35"/>
      <c r="AM1309" s="35"/>
      <c r="AN1309" s="35"/>
      <c r="AO1309" s="35"/>
      <c r="AP1309" s="35"/>
      <c r="AQ1309" s="35"/>
      <c r="AR1309" s="35"/>
      <c r="AS1309" s="35"/>
      <c r="AT1309" s="35"/>
      <c r="AU1309" s="35"/>
      <c r="AV1309" s="35"/>
      <c r="AW1309" s="35"/>
    </row>
    <row r="1310" spans="1:49" s="47" customFormat="1" ht="15.75" x14ac:dyDescent="0.2">
      <c r="A1310" s="35"/>
      <c r="B1310" s="35"/>
      <c r="C1310" s="35"/>
      <c r="D1310" s="35"/>
      <c r="E1310" s="35"/>
      <c r="F1310" s="35"/>
      <c r="G1310" s="35"/>
      <c r="H1310" s="35"/>
      <c r="I1310" s="35"/>
      <c r="J1310" s="35"/>
      <c r="K1310" s="35"/>
      <c r="L1310" s="35"/>
      <c r="M1310" s="35"/>
      <c r="N1310" s="35"/>
      <c r="O1310" s="35"/>
      <c r="P1310" s="35"/>
      <c r="Q1310" s="35"/>
      <c r="R1310" s="35"/>
      <c r="S1310" s="35"/>
      <c r="T1310" s="35"/>
      <c r="U1310" s="35"/>
      <c r="V1310" s="35"/>
      <c r="W1310" s="35"/>
      <c r="X1310" s="35"/>
      <c r="Y1310" s="35"/>
      <c r="Z1310" s="35"/>
      <c r="AA1310" s="35"/>
      <c r="AB1310" s="35"/>
      <c r="AC1310" s="35"/>
      <c r="AD1310" s="35"/>
      <c r="AE1310" s="35"/>
      <c r="AF1310" s="35"/>
      <c r="AG1310" s="35"/>
      <c r="AH1310" s="35"/>
      <c r="AI1310" s="35"/>
      <c r="AJ1310" s="35"/>
      <c r="AK1310" s="35"/>
      <c r="AL1310" s="35"/>
      <c r="AM1310" s="35"/>
      <c r="AN1310" s="35"/>
      <c r="AO1310" s="35"/>
      <c r="AP1310" s="35"/>
      <c r="AQ1310" s="35"/>
      <c r="AR1310" s="35"/>
      <c r="AS1310" s="35"/>
      <c r="AT1310" s="35"/>
      <c r="AU1310" s="35"/>
      <c r="AV1310" s="35"/>
      <c r="AW1310" s="35"/>
    </row>
    <row r="1311" spans="1:49" s="47" customFormat="1" ht="15.75" x14ac:dyDescent="0.2">
      <c r="A1311" s="35"/>
      <c r="B1311" s="35"/>
      <c r="C1311" s="35"/>
      <c r="D1311" s="35"/>
      <c r="E1311" s="35"/>
      <c r="F1311" s="35"/>
      <c r="G1311" s="35"/>
      <c r="H1311" s="35"/>
      <c r="I1311" s="35"/>
      <c r="J1311" s="35"/>
      <c r="K1311" s="35"/>
      <c r="L1311" s="35"/>
      <c r="M1311" s="35"/>
      <c r="N1311" s="35"/>
      <c r="O1311" s="35"/>
      <c r="P1311" s="35"/>
      <c r="Q1311" s="35"/>
      <c r="R1311" s="35"/>
      <c r="S1311" s="35"/>
      <c r="T1311" s="35"/>
      <c r="U1311" s="35"/>
      <c r="V1311" s="35"/>
      <c r="W1311" s="35"/>
      <c r="X1311" s="35"/>
      <c r="Y1311" s="35"/>
      <c r="Z1311" s="35"/>
      <c r="AA1311" s="35"/>
      <c r="AB1311" s="35"/>
      <c r="AC1311" s="35"/>
      <c r="AD1311" s="35"/>
      <c r="AE1311" s="35"/>
      <c r="AF1311" s="35"/>
      <c r="AG1311" s="35"/>
      <c r="AH1311" s="35"/>
      <c r="AI1311" s="35"/>
      <c r="AJ1311" s="35"/>
      <c r="AK1311" s="35"/>
      <c r="AL1311" s="35"/>
      <c r="AM1311" s="35"/>
      <c r="AN1311" s="35"/>
      <c r="AO1311" s="35"/>
      <c r="AP1311" s="35"/>
      <c r="AQ1311" s="35"/>
      <c r="AR1311" s="35"/>
      <c r="AS1311" s="35"/>
      <c r="AT1311" s="35"/>
      <c r="AU1311" s="35"/>
      <c r="AV1311" s="35"/>
      <c r="AW1311" s="35"/>
    </row>
    <row r="1312" spans="1:49" s="47" customFormat="1" ht="15.75" x14ac:dyDescent="0.2">
      <c r="A1312" s="35"/>
      <c r="B1312" s="35"/>
      <c r="C1312" s="35"/>
      <c r="D1312" s="35"/>
      <c r="E1312" s="35"/>
      <c r="F1312" s="35"/>
      <c r="G1312" s="35"/>
      <c r="H1312" s="35"/>
      <c r="I1312" s="35"/>
      <c r="J1312" s="35"/>
      <c r="K1312" s="35"/>
      <c r="L1312" s="35"/>
      <c r="M1312" s="35"/>
      <c r="N1312" s="35"/>
      <c r="O1312" s="35"/>
      <c r="P1312" s="35"/>
      <c r="Q1312" s="35"/>
      <c r="R1312" s="35"/>
      <c r="S1312" s="35"/>
      <c r="T1312" s="35"/>
      <c r="U1312" s="35"/>
      <c r="V1312" s="35"/>
      <c r="W1312" s="35"/>
      <c r="X1312" s="35"/>
      <c r="Y1312" s="35"/>
      <c r="Z1312" s="35"/>
      <c r="AA1312" s="35"/>
      <c r="AB1312" s="35"/>
      <c r="AC1312" s="35"/>
      <c r="AD1312" s="35"/>
      <c r="AE1312" s="35"/>
      <c r="AF1312" s="35"/>
      <c r="AG1312" s="35"/>
      <c r="AH1312" s="35"/>
      <c r="AI1312" s="35"/>
      <c r="AJ1312" s="35"/>
      <c r="AK1312" s="35"/>
      <c r="AL1312" s="35"/>
      <c r="AM1312" s="35"/>
      <c r="AN1312" s="35"/>
      <c r="AO1312" s="35"/>
      <c r="AP1312" s="35"/>
      <c r="AQ1312" s="35"/>
      <c r="AR1312" s="35"/>
      <c r="AS1312" s="35"/>
      <c r="AT1312" s="35"/>
      <c r="AU1312" s="35"/>
      <c r="AV1312" s="35"/>
      <c r="AW1312" s="35"/>
    </row>
    <row r="1313" spans="1:49" s="47" customFormat="1" ht="15.75" x14ac:dyDescent="0.2">
      <c r="A1313" s="35"/>
      <c r="B1313" s="35"/>
      <c r="C1313" s="35"/>
      <c r="D1313" s="35"/>
      <c r="E1313" s="35"/>
      <c r="F1313" s="35"/>
      <c r="G1313" s="35"/>
      <c r="H1313" s="35"/>
      <c r="I1313" s="35"/>
      <c r="J1313" s="35"/>
      <c r="K1313" s="35"/>
      <c r="L1313" s="35"/>
      <c r="M1313" s="35"/>
      <c r="N1313" s="35"/>
      <c r="O1313" s="35"/>
      <c r="P1313" s="35"/>
      <c r="Q1313" s="35"/>
      <c r="R1313" s="35"/>
      <c r="S1313" s="35"/>
      <c r="T1313" s="35"/>
      <c r="U1313" s="35"/>
      <c r="V1313" s="35"/>
      <c r="W1313" s="35"/>
      <c r="X1313" s="35"/>
      <c r="Y1313" s="35"/>
      <c r="Z1313" s="35"/>
      <c r="AA1313" s="35"/>
      <c r="AB1313" s="35"/>
      <c r="AC1313" s="35"/>
      <c r="AD1313" s="35"/>
      <c r="AE1313" s="35"/>
      <c r="AF1313" s="35"/>
      <c r="AG1313" s="35"/>
      <c r="AH1313" s="35"/>
      <c r="AI1313" s="35"/>
      <c r="AJ1313" s="35"/>
      <c r="AK1313" s="35"/>
      <c r="AL1313" s="35"/>
      <c r="AM1313" s="35"/>
      <c r="AN1313" s="35"/>
      <c r="AO1313" s="35"/>
      <c r="AP1313" s="35"/>
      <c r="AQ1313" s="35"/>
      <c r="AR1313" s="35"/>
      <c r="AS1313" s="35"/>
      <c r="AT1313" s="35"/>
      <c r="AU1313" s="35"/>
      <c r="AV1313" s="35"/>
      <c r="AW1313" s="35"/>
    </row>
    <row r="1314" spans="1:49" s="47" customFormat="1" ht="15.75" x14ac:dyDescent="0.2">
      <c r="A1314" s="35"/>
      <c r="B1314" s="35"/>
      <c r="C1314" s="35"/>
      <c r="D1314" s="35"/>
      <c r="E1314" s="35"/>
      <c r="F1314" s="35"/>
      <c r="G1314" s="35"/>
      <c r="H1314" s="35"/>
      <c r="I1314" s="35"/>
      <c r="J1314" s="35"/>
      <c r="K1314" s="35"/>
      <c r="L1314" s="35"/>
      <c r="M1314" s="35"/>
      <c r="N1314" s="35"/>
      <c r="O1314" s="35"/>
      <c r="P1314" s="35"/>
      <c r="Q1314" s="35"/>
      <c r="R1314" s="35"/>
      <c r="S1314" s="35"/>
      <c r="T1314" s="35"/>
      <c r="U1314" s="35"/>
      <c r="V1314" s="35"/>
      <c r="W1314" s="35"/>
      <c r="X1314" s="35"/>
      <c r="Y1314" s="35"/>
      <c r="Z1314" s="35"/>
      <c r="AA1314" s="35"/>
      <c r="AB1314" s="35"/>
      <c r="AC1314" s="35"/>
      <c r="AD1314" s="35"/>
      <c r="AE1314" s="35"/>
      <c r="AF1314" s="35"/>
      <c r="AG1314" s="35"/>
      <c r="AH1314" s="35"/>
      <c r="AI1314" s="35"/>
      <c r="AJ1314" s="35"/>
      <c r="AK1314" s="35"/>
      <c r="AL1314" s="35"/>
      <c r="AM1314" s="35"/>
      <c r="AN1314" s="35"/>
      <c r="AO1314" s="35"/>
      <c r="AP1314" s="35"/>
      <c r="AQ1314" s="35"/>
      <c r="AR1314" s="35"/>
      <c r="AS1314" s="35"/>
      <c r="AT1314" s="35"/>
      <c r="AU1314" s="35"/>
      <c r="AV1314" s="35"/>
      <c r="AW1314" s="35"/>
    </row>
    <row r="1315" spans="1:49" s="47" customFormat="1" ht="15.75" x14ac:dyDescent="0.2">
      <c r="A1315" s="35"/>
      <c r="B1315" s="35"/>
      <c r="C1315" s="35"/>
      <c r="D1315" s="35"/>
      <c r="E1315" s="35"/>
      <c r="F1315" s="35"/>
      <c r="G1315" s="35"/>
      <c r="H1315" s="35"/>
      <c r="I1315" s="35"/>
      <c r="J1315" s="35"/>
      <c r="K1315" s="35"/>
      <c r="L1315" s="35"/>
      <c r="M1315" s="35"/>
      <c r="N1315" s="35"/>
      <c r="O1315" s="35"/>
      <c r="P1315" s="35"/>
      <c r="Q1315" s="35"/>
      <c r="R1315" s="35"/>
      <c r="S1315" s="35"/>
      <c r="T1315" s="35"/>
      <c r="U1315" s="35"/>
      <c r="V1315" s="35"/>
      <c r="W1315" s="35"/>
      <c r="X1315" s="35"/>
      <c r="Y1315" s="35"/>
      <c r="Z1315" s="35"/>
      <c r="AA1315" s="35"/>
      <c r="AB1315" s="35"/>
      <c r="AC1315" s="35"/>
      <c r="AD1315" s="35"/>
      <c r="AE1315" s="35"/>
      <c r="AF1315" s="35"/>
      <c r="AG1315" s="35"/>
      <c r="AH1315" s="35"/>
      <c r="AI1315" s="35"/>
      <c r="AJ1315" s="35"/>
      <c r="AK1315" s="35"/>
      <c r="AL1315" s="35"/>
      <c r="AM1315" s="35"/>
      <c r="AN1315" s="35"/>
      <c r="AO1315" s="35"/>
      <c r="AP1315" s="35"/>
      <c r="AQ1315" s="35"/>
      <c r="AR1315" s="35"/>
      <c r="AS1315" s="35"/>
      <c r="AT1315" s="35"/>
      <c r="AU1315" s="35"/>
      <c r="AV1315" s="35"/>
      <c r="AW1315" s="35"/>
    </row>
    <row r="1316" spans="1:49" s="47" customFormat="1" ht="15.75" x14ac:dyDescent="0.2">
      <c r="A1316" s="35"/>
      <c r="B1316" s="35"/>
      <c r="C1316" s="35"/>
      <c r="D1316" s="35"/>
      <c r="E1316" s="35"/>
      <c r="F1316" s="35"/>
      <c r="G1316" s="35"/>
      <c r="H1316" s="35"/>
      <c r="I1316" s="35"/>
      <c r="J1316" s="35"/>
      <c r="K1316" s="35"/>
      <c r="L1316" s="35"/>
      <c r="M1316" s="35"/>
      <c r="N1316" s="35"/>
      <c r="O1316" s="35"/>
      <c r="P1316" s="35"/>
      <c r="Q1316" s="35"/>
      <c r="R1316" s="35"/>
      <c r="S1316" s="35"/>
      <c r="T1316" s="35"/>
      <c r="U1316" s="35"/>
      <c r="V1316" s="35"/>
      <c r="W1316" s="35"/>
      <c r="X1316" s="35"/>
      <c r="Y1316" s="35"/>
      <c r="Z1316" s="35"/>
      <c r="AA1316" s="35"/>
      <c r="AB1316" s="35"/>
      <c r="AC1316" s="35"/>
      <c r="AD1316" s="35"/>
      <c r="AE1316" s="35"/>
      <c r="AF1316" s="35"/>
      <c r="AG1316" s="35"/>
      <c r="AH1316" s="35"/>
      <c r="AI1316" s="35"/>
      <c r="AJ1316" s="35"/>
      <c r="AK1316" s="35"/>
      <c r="AL1316" s="35"/>
      <c r="AM1316" s="35"/>
      <c r="AN1316" s="35"/>
      <c r="AO1316" s="35"/>
      <c r="AP1316" s="35"/>
      <c r="AQ1316" s="35"/>
      <c r="AR1316" s="35"/>
      <c r="AS1316" s="35"/>
      <c r="AT1316" s="35"/>
      <c r="AU1316" s="35"/>
      <c r="AV1316" s="35"/>
      <c r="AW1316" s="35"/>
    </row>
    <row r="1317" spans="1:49" s="47" customFormat="1" ht="15.75" x14ac:dyDescent="0.2">
      <c r="A1317" s="35"/>
      <c r="B1317" s="35"/>
      <c r="C1317" s="35"/>
      <c r="D1317" s="35"/>
      <c r="E1317" s="35"/>
      <c r="F1317" s="35"/>
      <c r="G1317" s="35"/>
      <c r="H1317" s="35"/>
      <c r="I1317" s="35"/>
      <c r="J1317" s="35"/>
      <c r="K1317" s="35"/>
      <c r="L1317" s="35"/>
      <c r="M1317" s="35"/>
      <c r="N1317" s="35"/>
      <c r="O1317" s="35"/>
      <c r="P1317" s="35"/>
      <c r="Q1317" s="35"/>
      <c r="R1317" s="35"/>
      <c r="S1317" s="35"/>
      <c r="T1317" s="35"/>
      <c r="U1317" s="35"/>
      <c r="V1317" s="35"/>
      <c r="W1317" s="35"/>
      <c r="X1317" s="35"/>
      <c r="Y1317" s="35"/>
      <c r="Z1317" s="35"/>
      <c r="AA1317" s="35"/>
      <c r="AB1317" s="35"/>
      <c r="AC1317" s="35"/>
      <c r="AD1317" s="35"/>
      <c r="AE1317" s="35"/>
      <c r="AF1317" s="35"/>
      <c r="AG1317" s="35"/>
      <c r="AH1317" s="35"/>
      <c r="AI1317" s="35"/>
      <c r="AJ1317" s="35"/>
      <c r="AK1317" s="35"/>
      <c r="AL1317" s="35"/>
      <c r="AM1317" s="35"/>
      <c r="AN1317" s="35"/>
      <c r="AO1317" s="35"/>
      <c r="AP1317" s="35"/>
      <c r="AQ1317" s="35"/>
      <c r="AR1317" s="35"/>
      <c r="AS1317" s="35"/>
      <c r="AT1317" s="35"/>
      <c r="AU1317" s="35"/>
      <c r="AV1317" s="35"/>
      <c r="AW1317" s="35"/>
    </row>
    <row r="1318" spans="1:49" s="47" customFormat="1" ht="15.75" x14ac:dyDescent="0.2">
      <c r="A1318" s="35"/>
      <c r="B1318" s="35"/>
      <c r="C1318" s="35"/>
      <c r="D1318" s="35"/>
      <c r="E1318" s="35"/>
      <c r="F1318" s="35"/>
      <c r="G1318" s="35"/>
      <c r="H1318" s="35"/>
      <c r="I1318" s="35"/>
      <c r="J1318" s="35"/>
      <c r="K1318" s="35"/>
      <c r="L1318" s="35"/>
      <c r="M1318" s="35"/>
      <c r="N1318" s="35"/>
      <c r="O1318" s="35"/>
      <c r="P1318" s="35"/>
      <c r="Q1318" s="35"/>
      <c r="R1318" s="35"/>
      <c r="S1318" s="35"/>
      <c r="T1318" s="35"/>
      <c r="U1318" s="35"/>
      <c r="V1318" s="35"/>
      <c r="W1318" s="35"/>
      <c r="X1318" s="35"/>
      <c r="Y1318" s="35"/>
      <c r="Z1318" s="35"/>
      <c r="AA1318" s="35"/>
      <c r="AB1318" s="35"/>
      <c r="AC1318" s="35"/>
      <c r="AD1318" s="35"/>
      <c r="AE1318" s="35"/>
      <c r="AF1318" s="35"/>
      <c r="AG1318" s="35"/>
      <c r="AH1318" s="35"/>
      <c r="AI1318" s="35"/>
      <c r="AJ1318" s="35"/>
      <c r="AK1318" s="35"/>
      <c r="AL1318" s="35"/>
      <c r="AM1318" s="35"/>
      <c r="AN1318" s="35"/>
      <c r="AO1318" s="35"/>
      <c r="AP1318" s="35"/>
      <c r="AQ1318" s="35"/>
      <c r="AR1318" s="35"/>
      <c r="AS1318" s="35"/>
      <c r="AT1318" s="35"/>
      <c r="AU1318" s="35"/>
      <c r="AV1318" s="35"/>
      <c r="AW1318" s="35"/>
    </row>
    <row r="1319" spans="1:49" s="47" customFormat="1" ht="15.75" x14ac:dyDescent="0.2">
      <c r="A1319" s="35"/>
      <c r="B1319" s="35"/>
      <c r="C1319" s="35"/>
      <c r="D1319" s="35"/>
      <c r="E1319" s="35"/>
      <c r="F1319" s="35"/>
      <c r="G1319" s="35"/>
      <c r="H1319" s="35"/>
      <c r="I1319" s="35"/>
      <c r="J1319" s="35"/>
      <c r="K1319" s="35"/>
      <c r="L1319" s="35"/>
      <c r="M1319" s="35"/>
      <c r="N1319" s="35"/>
      <c r="O1319" s="35"/>
      <c r="P1319" s="35"/>
      <c r="Q1319" s="35"/>
      <c r="R1319" s="35"/>
      <c r="S1319" s="35"/>
      <c r="T1319" s="35"/>
      <c r="U1319" s="35"/>
      <c r="V1319" s="35"/>
      <c r="W1319" s="35"/>
      <c r="X1319" s="35"/>
      <c r="Y1319" s="35"/>
      <c r="Z1319" s="35"/>
      <c r="AA1319" s="35"/>
      <c r="AB1319" s="35"/>
      <c r="AC1319" s="35"/>
      <c r="AD1319" s="35"/>
      <c r="AE1319" s="35"/>
      <c r="AF1319" s="35"/>
      <c r="AG1319" s="35"/>
      <c r="AH1319" s="35"/>
      <c r="AI1319" s="35"/>
      <c r="AJ1319" s="35"/>
      <c r="AK1319" s="35"/>
      <c r="AL1319" s="35"/>
      <c r="AM1319" s="35"/>
      <c r="AN1319" s="35"/>
      <c r="AO1319" s="35"/>
      <c r="AP1319" s="35"/>
      <c r="AQ1319" s="35"/>
      <c r="AR1319" s="35"/>
      <c r="AS1319" s="35"/>
      <c r="AT1319" s="35"/>
      <c r="AU1319" s="35"/>
      <c r="AV1319" s="35"/>
      <c r="AW1319" s="35"/>
    </row>
    <row r="1320" spans="1:49" s="47" customFormat="1" ht="15.75" x14ac:dyDescent="0.2">
      <c r="A1320" s="35"/>
      <c r="B1320" s="35"/>
      <c r="C1320" s="35"/>
      <c r="D1320" s="35"/>
      <c r="E1320" s="35"/>
      <c r="F1320" s="35"/>
      <c r="G1320" s="35"/>
      <c r="H1320" s="35"/>
      <c r="I1320" s="35"/>
      <c r="J1320" s="35"/>
      <c r="K1320" s="35"/>
      <c r="L1320" s="35"/>
      <c r="M1320" s="35"/>
      <c r="N1320" s="35"/>
      <c r="O1320" s="35"/>
      <c r="P1320" s="35"/>
      <c r="Q1320" s="35"/>
      <c r="R1320" s="35"/>
      <c r="S1320" s="35"/>
      <c r="T1320" s="35"/>
      <c r="U1320" s="35"/>
      <c r="V1320" s="35"/>
      <c r="W1320" s="35"/>
      <c r="X1320" s="35"/>
      <c r="Y1320" s="35"/>
      <c r="Z1320" s="35"/>
      <c r="AA1320" s="35"/>
      <c r="AB1320" s="35"/>
      <c r="AC1320" s="35"/>
      <c r="AD1320" s="35"/>
      <c r="AE1320" s="35"/>
      <c r="AF1320" s="35"/>
      <c r="AG1320" s="35"/>
      <c r="AH1320" s="35"/>
      <c r="AI1320" s="35"/>
      <c r="AJ1320" s="35"/>
      <c r="AK1320" s="35"/>
      <c r="AL1320" s="35"/>
      <c r="AM1320" s="35"/>
      <c r="AN1320" s="35"/>
      <c r="AO1320" s="35"/>
      <c r="AP1320" s="35"/>
      <c r="AQ1320" s="35"/>
      <c r="AR1320" s="35"/>
      <c r="AS1320" s="35"/>
      <c r="AT1320" s="35"/>
      <c r="AU1320" s="35"/>
      <c r="AV1320" s="35"/>
      <c r="AW1320" s="35"/>
    </row>
    <row r="1599" spans="1:49" s="47" customFormat="1" ht="15.75" x14ac:dyDescent="0.2">
      <c r="A1599" s="35"/>
      <c r="B1599" s="35"/>
      <c r="C1599" s="35"/>
      <c r="D1599" s="35"/>
      <c r="E1599" s="35"/>
      <c r="F1599" s="35"/>
      <c r="G1599" s="35"/>
      <c r="H1599" s="35"/>
      <c r="I1599" s="35"/>
      <c r="J1599" s="35"/>
      <c r="K1599" s="35"/>
      <c r="L1599" s="35"/>
      <c r="M1599" s="35"/>
      <c r="N1599" s="35"/>
      <c r="O1599" s="35"/>
      <c r="P1599" s="35"/>
      <c r="Q1599" s="35"/>
      <c r="R1599" s="35"/>
      <c r="S1599" s="35"/>
      <c r="T1599" s="35"/>
      <c r="U1599" s="35"/>
      <c r="V1599" s="35"/>
      <c r="W1599" s="35"/>
      <c r="X1599" s="35"/>
      <c r="Y1599" s="35"/>
      <c r="Z1599" s="35"/>
      <c r="AA1599" s="35"/>
      <c r="AB1599" s="35"/>
      <c r="AC1599" s="35"/>
      <c r="AD1599" s="35"/>
      <c r="AE1599" s="35"/>
      <c r="AF1599" s="35"/>
      <c r="AG1599" s="35"/>
      <c r="AH1599" s="35"/>
      <c r="AI1599" s="35"/>
      <c r="AJ1599" s="35"/>
      <c r="AK1599" s="35"/>
      <c r="AL1599" s="35"/>
      <c r="AM1599" s="35"/>
      <c r="AN1599" s="35"/>
      <c r="AO1599" s="35"/>
      <c r="AP1599" s="35"/>
      <c r="AQ1599" s="35"/>
      <c r="AR1599" s="35"/>
      <c r="AS1599" s="35"/>
      <c r="AT1599" s="35"/>
      <c r="AU1599" s="35"/>
      <c r="AV1599" s="35"/>
      <c r="AW1599" s="35"/>
    </row>
    <row r="1600" spans="1:49" s="47" customFormat="1" ht="15.75" x14ac:dyDescent="0.2">
      <c r="A1600" s="35"/>
      <c r="B1600" s="35"/>
      <c r="C1600" s="35"/>
      <c r="D1600" s="35"/>
      <c r="E1600" s="35"/>
      <c r="F1600" s="35"/>
      <c r="G1600" s="35"/>
      <c r="H1600" s="35"/>
      <c r="I1600" s="35"/>
      <c r="J1600" s="35"/>
      <c r="K1600" s="35"/>
      <c r="L1600" s="35"/>
      <c r="M1600" s="35"/>
      <c r="N1600" s="35"/>
      <c r="O1600" s="35"/>
      <c r="P1600" s="35"/>
      <c r="Q1600" s="35"/>
      <c r="R1600" s="35"/>
      <c r="S1600" s="35"/>
      <c r="T1600" s="35"/>
      <c r="U1600" s="35"/>
      <c r="V1600" s="35"/>
      <c r="W1600" s="35"/>
      <c r="X1600" s="35"/>
      <c r="Y1600" s="35"/>
      <c r="Z1600" s="35"/>
      <c r="AA1600" s="35"/>
      <c r="AB1600" s="35"/>
      <c r="AC1600" s="35"/>
      <c r="AD1600" s="35"/>
      <c r="AE1600" s="35"/>
      <c r="AF1600" s="35"/>
      <c r="AG1600" s="35"/>
      <c r="AH1600" s="35"/>
      <c r="AI1600" s="35"/>
      <c r="AJ1600" s="35"/>
      <c r="AK1600" s="35"/>
      <c r="AL1600" s="35"/>
      <c r="AM1600" s="35"/>
      <c r="AN1600" s="35"/>
      <c r="AO1600" s="35"/>
      <c r="AP1600" s="35"/>
      <c r="AQ1600" s="35"/>
      <c r="AR1600" s="35"/>
      <c r="AS1600" s="35"/>
      <c r="AT1600" s="35"/>
      <c r="AU1600" s="35"/>
      <c r="AV1600" s="35"/>
      <c r="AW1600" s="35"/>
    </row>
    <row r="1601" spans="1:49" s="47" customFormat="1" ht="15.75" x14ac:dyDescent="0.2">
      <c r="A1601" s="35"/>
      <c r="B1601" s="35"/>
      <c r="C1601" s="35"/>
      <c r="D1601" s="35"/>
      <c r="E1601" s="35"/>
      <c r="F1601" s="35"/>
      <c r="G1601" s="35"/>
      <c r="H1601" s="35"/>
      <c r="I1601" s="35"/>
      <c r="J1601" s="35"/>
      <c r="K1601" s="35"/>
      <c r="L1601" s="35"/>
      <c r="M1601" s="35"/>
      <c r="N1601" s="35"/>
      <c r="O1601" s="35"/>
      <c r="P1601" s="35"/>
      <c r="Q1601" s="35"/>
      <c r="R1601" s="35"/>
      <c r="S1601" s="35"/>
      <c r="T1601" s="35"/>
      <c r="U1601" s="35"/>
      <c r="V1601" s="35"/>
      <c r="W1601" s="35"/>
      <c r="X1601" s="35"/>
      <c r="Y1601" s="35"/>
      <c r="Z1601" s="35"/>
      <c r="AA1601" s="35"/>
      <c r="AB1601" s="35"/>
      <c r="AC1601" s="35"/>
      <c r="AD1601" s="35"/>
      <c r="AE1601" s="35"/>
      <c r="AF1601" s="35"/>
      <c r="AG1601" s="35"/>
      <c r="AH1601" s="35"/>
      <c r="AI1601" s="35"/>
      <c r="AJ1601" s="35"/>
      <c r="AK1601" s="35"/>
      <c r="AL1601" s="35"/>
      <c r="AM1601" s="35"/>
      <c r="AN1601" s="35"/>
      <c r="AO1601" s="35"/>
      <c r="AP1601" s="35"/>
      <c r="AQ1601" s="35"/>
      <c r="AR1601" s="35"/>
      <c r="AS1601" s="35"/>
      <c r="AT1601" s="35"/>
      <c r="AU1601" s="35"/>
      <c r="AV1601" s="35"/>
      <c r="AW1601" s="35"/>
    </row>
    <row r="1602" spans="1:49" s="47" customFormat="1" ht="15.75" x14ac:dyDescent="0.2">
      <c r="A1602" s="35"/>
      <c r="B1602" s="35"/>
      <c r="C1602" s="35"/>
      <c r="D1602" s="35"/>
      <c r="E1602" s="35"/>
      <c r="F1602" s="35"/>
      <c r="G1602" s="35"/>
      <c r="H1602" s="35"/>
      <c r="I1602" s="35"/>
      <c r="J1602" s="35"/>
      <c r="K1602" s="35"/>
      <c r="L1602" s="35"/>
      <c r="M1602" s="35"/>
      <c r="N1602" s="35"/>
      <c r="O1602" s="35"/>
      <c r="P1602" s="35"/>
      <c r="Q1602" s="35"/>
      <c r="R1602" s="35"/>
      <c r="S1602" s="35"/>
      <c r="T1602" s="35"/>
      <c r="U1602" s="35"/>
      <c r="V1602" s="35"/>
      <c r="W1602" s="35"/>
      <c r="X1602" s="35"/>
      <c r="Y1602" s="35"/>
      <c r="Z1602" s="35"/>
      <c r="AA1602" s="35"/>
      <c r="AB1602" s="35"/>
      <c r="AC1602" s="35"/>
      <c r="AD1602" s="35"/>
      <c r="AE1602" s="35"/>
      <c r="AF1602" s="35"/>
      <c r="AG1602" s="35"/>
      <c r="AH1602" s="35"/>
      <c r="AI1602" s="35"/>
      <c r="AJ1602" s="35"/>
      <c r="AK1602" s="35"/>
      <c r="AL1602" s="35"/>
      <c r="AM1602" s="35"/>
      <c r="AN1602" s="35"/>
      <c r="AO1602" s="35"/>
      <c r="AP1602" s="35"/>
      <c r="AQ1602" s="35"/>
      <c r="AR1602" s="35"/>
      <c r="AS1602" s="35"/>
      <c r="AT1602" s="35"/>
      <c r="AU1602" s="35"/>
      <c r="AV1602" s="35"/>
      <c r="AW1602" s="35"/>
    </row>
    <row r="1603" spans="1:49" s="47" customFormat="1" ht="15.75" x14ac:dyDescent="0.2">
      <c r="A1603" s="35"/>
      <c r="B1603" s="35"/>
      <c r="C1603" s="35"/>
      <c r="D1603" s="35"/>
      <c r="E1603" s="35"/>
      <c r="F1603" s="35"/>
      <c r="G1603" s="35"/>
      <c r="H1603" s="35"/>
      <c r="I1603" s="35"/>
      <c r="J1603" s="35"/>
      <c r="K1603" s="35"/>
      <c r="L1603" s="35"/>
      <c r="M1603" s="35"/>
      <c r="N1603" s="35"/>
      <c r="O1603" s="35"/>
      <c r="P1603" s="35"/>
      <c r="Q1603" s="35"/>
      <c r="R1603" s="35"/>
      <c r="S1603" s="35"/>
      <c r="T1603" s="35"/>
      <c r="U1603" s="35"/>
      <c r="V1603" s="35"/>
      <c r="W1603" s="35"/>
      <c r="X1603" s="35"/>
      <c r="Y1603" s="35"/>
      <c r="Z1603" s="35"/>
      <c r="AA1603" s="35"/>
      <c r="AB1603" s="35"/>
      <c r="AC1603" s="35"/>
      <c r="AD1603" s="35"/>
      <c r="AE1603" s="35"/>
      <c r="AF1603" s="35"/>
      <c r="AG1603" s="35"/>
      <c r="AH1603" s="35"/>
      <c r="AI1603" s="35"/>
      <c r="AJ1603" s="35"/>
      <c r="AK1603" s="35"/>
      <c r="AL1603" s="35"/>
      <c r="AM1603" s="35"/>
      <c r="AN1603" s="35"/>
      <c r="AO1603" s="35"/>
      <c r="AP1603" s="35"/>
      <c r="AQ1603" s="35"/>
      <c r="AR1603" s="35"/>
      <c r="AS1603" s="35"/>
      <c r="AT1603" s="35"/>
      <c r="AU1603" s="35"/>
      <c r="AV1603" s="35"/>
      <c r="AW1603" s="35"/>
    </row>
    <row r="1604" spans="1:49" s="47" customFormat="1" ht="15.75" x14ac:dyDescent="0.2">
      <c r="A1604" s="35"/>
      <c r="B1604" s="35"/>
      <c r="C1604" s="35"/>
      <c r="D1604" s="35"/>
      <c r="E1604" s="35"/>
      <c r="F1604" s="35"/>
      <c r="G1604" s="35"/>
      <c r="H1604" s="35"/>
      <c r="I1604" s="35"/>
      <c r="J1604" s="35"/>
      <c r="K1604" s="35"/>
      <c r="L1604" s="35"/>
      <c r="M1604" s="35"/>
      <c r="N1604" s="35"/>
      <c r="O1604" s="35"/>
      <c r="P1604" s="35"/>
      <c r="Q1604" s="35"/>
      <c r="R1604" s="35"/>
      <c r="S1604" s="35"/>
      <c r="T1604" s="35"/>
      <c r="U1604" s="35"/>
      <c r="V1604" s="35"/>
      <c r="W1604" s="35"/>
      <c r="X1604" s="35"/>
      <c r="Y1604" s="35"/>
      <c r="Z1604" s="35"/>
      <c r="AA1604" s="35"/>
      <c r="AB1604" s="35"/>
      <c r="AC1604" s="35"/>
      <c r="AD1604" s="35"/>
      <c r="AE1604" s="35"/>
      <c r="AF1604" s="35"/>
      <c r="AG1604" s="35"/>
      <c r="AH1604" s="35"/>
      <c r="AI1604" s="35"/>
      <c r="AJ1604" s="35"/>
      <c r="AK1604" s="35"/>
      <c r="AL1604" s="35"/>
      <c r="AM1604" s="35"/>
      <c r="AN1604" s="35"/>
      <c r="AO1604" s="35"/>
      <c r="AP1604" s="35"/>
      <c r="AQ1604" s="35"/>
      <c r="AR1604" s="35"/>
      <c r="AS1604" s="35"/>
      <c r="AT1604" s="35"/>
      <c r="AU1604" s="35"/>
      <c r="AV1604" s="35"/>
      <c r="AW1604" s="35"/>
    </row>
    <row r="1605" spans="1:49" s="50" customFormat="1" ht="15.75" x14ac:dyDescent="0.2">
      <c r="A1605" s="35"/>
      <c r="B1605" s="35"/>
      <c r="C1605" s="35"/>
      <c r="D1605" s="35"/>
      <c r="E1605" s="35"/>
      <c r="F1605" s="35"/>
      <c r="G1605" s="35"/>
      <c r="H1605" s="35"/>
      <c r="I1605" s="35"/>
      <c r="J1605" s="35"/>
      <c r="K1605" s="35"/>
      <c r="L1605" s="35"/>
      <c r="M1605" s="35"/>
      <c r="N1605" s="35"/>
      <c r="O1605" s="35"/>
      <c r="P1605" s="35"/>
      <c r="Q1605" s="35"/>
      <c r="R1605" s="35"/>
      <c r="S1605" s="35"/>
      <c r="T1605" s="35"/>
      <c r="U1605" s="35"/>
      <c r="V1605" s="35"/>
      <c r="W1605" s="35"/>
      <c r="X1605" s="35"/>
      <c r="Y1605" s="35"/>
      <c r="Z1605" s="35"/>
      <c r="AA1605" s="35"/>
      <c r="AB1605" s="35"/>
      <c r="AC1605" s="35"/>
      <c r="AD1605" s="35"/>
      <c r="AE1605" s="35"/>
      <c r="AF1605" s="35"/>
      <c r="AG1605" s="35"/>
      <c r="AH1605" s="35"/>
      <c r="AI1605" s="35"/>
      <c r="AJ1605" s="35"/>
      <c r="AK1605" s="35"/>
      <c r="AL1605" s="35"/>
      <c r="AM1605" s="35"/>
      <c r="AN1605" s="35"/>
      <c r="AO1605" s="35"/>
      <c r="AP1605" s="35"/>
      <c r="AQ1605" s="35"/>
      <c r="AR1605" s="35"/>
      <c r="AS1605" s="35"/>
      <c r="AT1605" s="35"/>
      <c r="AU1605" s="35"/>
      <c r="AV1605" s="35"/>
      <c r="AW1605" s="35"/>
    </row>
    <row r="1606" spans="1:49" s="47" customFormat="1" ht="15.75" x14ac:dyDescent="0.2">
      <c r="A1606" s="35"/>
      <c r="B1606" s="35"/>
      <c r="C1606" s="35"/>
      <c r="D1606" s="35"/>
      <c r="E1606" s="35"/>
      <c r="F1606" s="35"/>
      <c r="G1606" s="35"/>
      <c r="H1606" s="35"/>
      <c r="I1606" s="35"/>
      <c r="J1606" s="35"/>
      <c r="K1606" s="35"/>
      <c r="L1606" s="35"/>
      <c r="M1606" s="35"/>
      <c r="N1606" s="35"/>
      <c r="O1606" s="35"/>
      <c r="P1606" s="35"/>
      <c r="Q1606" s="35"/>
      <c r="R1606" s="35"/>
      <c r="S1606" s="35"/>
      <c r="T1606" s="35"/>
      <c r="U1606" s="35"/>
      <c r="V1606" s="35"/>
      <c r="W1606" s="35"/>
      <c r="X1606" s="35"/>
      <c r="Y1606" s="35"/>
      <c r="Z1606" s="35"/>
      <c r="AA1606" s="35"/>
      <c r="AB1606" s="35"/>
      <c r="AC1606" s="35"/>
      <c r="AD1606" s="35"/>
      <c r="AE1606" s="35"/>
      <c r="AF1606" s="35"/>
      <c r="AG1606" s="35"/>
      <c r="AH1606" s="35"/>
      <c r="AI1606" s="35"/>
      <c r="AJ1606" s="35"/>
      <c r="AK1606" s="35"/>
      <c r="AL1606" s="35"/>
      <c r="AM1606" s="35"/>
      <c r="AN1606" s="35"/>
      <c r="AO1606" s="35"/>
      <c r="AP1606" s="35"/>
      <c r="AQ1606" s="35"/>
      <c r="AR1606" s="35"/>
      <c r="AS1606" s="35"/>
      <c r="AT1606" s="35"/>
      <c r="AU1606" s="35"/>
      <c r="AV1606" s="35"/>
      <c r="AW1606" s="35"/>
    </row>
    <row r="1607" spans="1:49" s="47" customFormat="1" ht="15.75" x14ac:dyDescent="0.2">
      <c r="A1607" s="35"/>
      <c r="B1607" s="35"/>
      <c r="C1607" s="35"/>
      <c r="D1607" s="35"/>
      <c r="E1607" s="35"/>
      <c r="F1607" s="35"/>
      <c r="G1607" s="35"/>
      <c r="H1607" s="35"/>
      <c r="I1607" s="35"/>
      <c r="J1607" s="35"/>
      <c r="K1607" s="35"/>
      <c r="L1607" s="35"/>
      <c r="M1607" s="35"/>
      <c r="N1607" s="35"/>
      <c r="O1607" s="35"/>
      <c r="P1607" s="35"/>
      <c r="Q1607" s="35"/>
      <c r="R1607" s="35"/>
      <c r="S1607" s="35"/>
      <c r="T1607" s="35"/>
      <c r="U1607" s="35"/>
      <c r="V1607" s="35"/>
      <c r="W1607" s="35"/>
      <c r="X1607" s="35"/>
      <c r="Y1607" s="35"/>
      <c r="Z1607" s="35"/>
      <c r="AA1607" s="35"/>
      <c r="AB1607" s="35"/>
      <c r="AC1607" s="35"/>
      <c r="AD1607" s="35"/>
      <c r="AE1607" s="35"/>
      <c r="AF1607" s="35"/>
      <c r="AG1607" s="35"/>
      <c r="AH1607" s="35"/>
      <c r="AI1607" s="35"/>
      <c r="AJ1607" s="35"/>
      <c r="AK1607" s="35"/>
      <c r="AL1607" s="35"/>
      <c r="AM1607" s="35"/>
      <c r="AN1607" s="35"/>
      <c r="AO1607" s="35"/>
      <c r="AP1607" s="35"/>
      <c r="AQ1607" s="35"/>
      <c r="AR1607" s="35"/>
      <c r="AS1607" s="35"/>
      <c r="AT1607" s="35"/>
      <c r="AU1607" s="35"/>
      <c r="AV1607" s="35"/>
      <c r="AW1607" s="35"/>
    </row>
    <row r="1608" spans="1:49" s="50" customFormat="1" ht="15.75" x14ac:dyDescent="0.2">
      <c r="A1608" s="35"/>
      <c r="B1608" s="35"/>
      <c r="C1608" s="35"/>
      <c r="D1608" s="35"/>
      <c r="E1608" s="35"/>
      <c r="F1608" s="35"/>
      <c r="G1608" s="35"/>
      <c r="H1608" s="35"/>
      <c r="I1608" s="35"/>
      <c r="J1608" s="35"/>
      <c r="K1608" s="35"/>
      <c r="L1608" s="35"/>
      <c r="M1608" s="35"/>
      <c r="N1608" s="35"/>
      <c r="O1608" s="35"/>
      <c r="P1608" s="35"/>
      <c r="Q1608" s="35"/>
      <c r="R1608" s="35"/>
      <c r="S1608" s="35"/>
      <c r="T1608" s="35"/>
      <c r="U1608" s="35"/>
      <c r="V1608" s="35"/>
      <c r="W1608" s="35"/>
      <c r="X1608" s="35"/>
      <c r="Y1608" s="35"/>
      <c r="Z1608" s="35"/>
      <c r="AA1608" s="35"/>
      <c r="AB1608" s="35"/>
      <c r="AC1608" s="35"/>
      <c r="AD1608" s="35"/>
      <c r="AE1608" s="35"/>
      <c r="AF1608" s="35"/>
      <c r="AG1608" s="35"/>
      <c r="AH1608" s="35"/>
      <c r="AI1608" s="35"/>
      <c r="AJ1608" s="35"/>
      <c r="AK1608" s="35"/>
      <c r="AL1608" s="35"/>
      <c r="AM1608" s="35"/>
      <c r="AN1608" s="35"/>
      <c r="AO1608" s="35"/>
      <c r="AP1608" s="35"/>
      <c r="AQ1608" s="35"/>
      <c r="AR1608" s="35"/>
      <c r="AS1608" s="35"/>
      <c r="AT1608" s="35"/>
      <c r="AU1608" s="35"/>
      <c r="AV1608" s="35"/>
      <c r="AW1608" s="35"/>
    </row>
    <row r="1609" spans="1:49" s="50" customFormat="1" ht="15.75" x14ac:dyDescent="0.2">
      <c r="A1609" s="35"/>
      <c r="B1609" s="35"/>
      <c r="C1609" s="35"/>
      <c r="D1609" s="35"/>
      <c r="E1609" s="35"/>
      <c r="F1609" s="35"/>
      <c r="G1609" s="35"/>
      <c r="H1609" s="35"/>
      <c r="I1609" s="35"/>
      <c r="J1609" s="35"/>
      <c r="K1609" s="35"/>
      <c r="L1609" s="35"/>
      <c r="M1609" s="35"/>
      <c r="N1609" s="35"/>
      <c r="O1609" s="35"/>
      <c r="P1609" s="35"/>
      <c r="Q1609" s="35"/>
      <c r="R1609" s="35"/>
      <c r="S1609" s="35"/>
      <c r="T1609" s="35"/>
      <c r="U1609" s="35"/>
      <c r="V1609" s="35"/>
      <c r="W1609" s="35"/>
      <c r="X1609" s="35"/>
      <c r="Y1609" s="35"/>
      <c r="Z1609" s="35"/>
      <c r="AA1609" s="35"/>
      <c r="AB1609" s="35"/>
      <c r="AC1609" s="35"/>
      <c r="AD1609" s="35"/>
      <c r="AE1609" s="35"/>
      <c r="AF1609" s="35"/>
      <c r="AG1609" s="35"/>
      <c r="AH1609" s="35"/>
      <c r="AI1609" s="35"/>
      <c r="AJ1609" s="35"/>
      <c r="AK1609" s="35"/>
      <c r="AL1609" s="35"/>
      <c r="AM1609" s="35"/>
      <c r="AN1609" s="35"/>
      <c r="AO1609" s="35"/>
      <c r="AP1609" s="35"/>
      <c r="AQ1609" s="35"/>
      <c r="AR1609" s="35"/>
      <c r="AS1609" s="35"/>
      <c r="AT1609" s="35"/>
      <c r="AU1609" s="35"/>
      <c r="AV1609" s="35"/>
      <c r="AW1609" s="35"/>
    </row>
    <row r="1610" spans="1:49" s="50" customFormat="1" ht="15.75" x14ac:dyDescent="0.2">
      <c r="A1610" s="35"/>
      <c r="B1610" s="35"/>
      <c r="C1610" s="35"/>
      <c r="D1610" s="35"/>
      <c r="E1610" s="35"/>
      <c r="F1610" s="35"/>
      <c r="G1610" s="35"/>
      <c r="H1610" s="35"/>
      <c r="I1610" s="35"/>
      <c r="J1610" s="35"/>
      <c r="K1610" s="35"/>
      <c r="L1610" s="35"/>
      <c r="M1610" s="35"/>
      <c r="N1610" s="35"/>
      <c r="O1610" s="35"/>
      <c r="P1610" s="35"/>
      <c r="Q1610" s="35"/>
      <c r="R1610" s="35"/>
      <c r="S1610" s="35"/>
      <c r="T1610" s="35"/>
      <c r="U1610" s="35"/>
      <c r="V1610" s="35"/>
      <c r="W1610" s="35"/>
      <c r="X1610" s="35"/>
      <c r="Y1610" s="35"/>
      <c r="Z1610" s="35"/>
      <c r="AA1610" s="35"/>
      <c r="AB1610" s="35"/>
      <c r="AC1610" s="35"/>
      <c r="AD1610" s="35"/>
      <c r="AE1610" s="35"/>
      <c r="AF1610" s="35"/>
      <c r="AG1610" s="35"/>
      <c r="AH1610" s="35"/>
      <c r="AI1610" s="35"/>
      <c r="AJ1610" s="35"/>
      <c r="AK1610" s="35"/>
      <c r="AL1610" s="35"/>
      <c r="AM1610" s="35"/>
      <c r="AN1610" s="35"/>
      <c r="AO1610" s="35"/>
      <c r="AP1610" s="35"/>
      <c r="AQ1610" s="35"/>
      <c r="AR1610" s="35"/>
      <c r="AS1610" s="35"/>
      <c r="AT1610" s="35"/>
      <c r="AU1610" s="35"/>
      <c r="AV1610" s="35"/>
      <c r="AW1610" s="35"/>
    </row>
    <row r="1611" spans="1:49" s="50" customFormat="1" ht="15.75" x14ac:dyDescent="0.2">
      <c r="A1611" s="35"/>
      <c r="B1611" s="35"/>
      <c r="C1611" s="35"/>
      <c r="D1611" s="35"/>
      <c r="E1611" s="35"/>
      <c r="F1611" s="35"/>
      <c r="G1611" s="35"/>
      <c r="H1611" s="35"/>
      <c r="I1611" s="35"/>
      <c r="J1611" s="35"/>
      <c r="K1611" s="35"/>
      <c r="L1611" s="35"/>
      <c r="M1611" s="35"/>
      <c r="N1611" s="35"/>
      <c r="O1611" s="35"/>
      <c r="P1611" s="35"/>
      <c r="Q1611" s="35"/>
      <c r="R1611" s="35"/>
      <c r="S1611" s="35"/>
      <c r="T1611" s="35"/>
      <c r="U1611" s="35"/>
      <c r="V1611" s="35"/>
      <c r="W1611" s="35"/>
      <c r="X1611" s="35"/>
      <c r="Y1611" s="35"/>
      <c r="Z1611" s="35"/>
      <c r="AA1611" s="35"/>
      <c r="AB1611" s="35"/>
      <c r="AC1611" s="35"/>
      <c r="AD1611" s="35"/>
      <c r="AE1611" s="35"/>
      <c r="AF1611" s="35"/>
      <c r="AG1611" s="35"/>
      <c r="AH1611" s="35"/>
      <c r="AI1611" s="35"/>
      <c r="AJ1611" s="35"/>
      <c r="AK1611" s="35"/>
      <c r="AL1611" s="35"/>
      <c r="AM1611" s="35"/>
      <c r="AN1611" s="35"/>
      <c r="AO1611" s="35"/>
      <c r="AP1611" s="35"/>
      <c r="AQ1611" s="35"/>
      <c r="AR1611" s="35"/>
      <c r="AS1611" s="35"/>
      <c r="AT1611" s="35"/>
      <c r="AU1611" s="35"/>
      <c r="AV1611" s="35"/>
      <c r="AW1611" s="35"/>
    </row>
    <row r="1612" spans="1:49" s="50" customFormat="1" ht="15.75" x14ac:dyDescent="0.2">
      <c r="A1612" s="35"/>
      <c r="B1612" s="35"/>
      <c r="C1612" s="35"/>
      <c r="D1612" s="35"/>
      <c r="E1612" s="35"/>
      <c r="F1612" s="35"/>
      <c r="G1612" s="35"/>
      <c r="H1612" s="35"/>
      <c r="I1612" s="35"/>
      <c r="J1612" s="35"/>
      <c r="K1612" s="35"/>
      <c r="L1612" s="35"/>
      <c r="M1612" s="35"/>
      <c r="N1612" s="35"/>
      <c r="O1612" s="35"/>
      <c r="P1612" s="35"/>
      <c r="Q1612" s="35"/>
      <c r="R1612" s="35"/>
      <c r="S1612" s="35"/>
      <c r="T1612" s="35"/>
      <c r="U1612" s="35"/>
      <c r="V1612" s="35"/>
      <c r="W1612" s="35"/>
      <c r="X1612" s="35"/>
      <c r="Y1612" s="35"/>
      <c r="Z1612" s="35"/>
      <c r="AA1612" s="35"/>
      <c r="AB1612" s="35"/>
      <c r="AC1612" s="35"/>
      <c r="AD1612" s="35"/>
      <c r="AE1612" s="35"/>
      <c r="AF1612" s="35"/>
      <c r="AG1612" s="35"/>
      <c r="AH1612" s="35"/>
      <c r="AI1612" s="35"/>
      <c r="AJ1612" s="35"/>
      <c r="AK1612" s="35"/>
      <c r="AL1612" s="35"/>
      <c r="AM1612" s="35"/>
      <c r="AN1612" s="35"/>
      <c r="AO1612" s="35"/>
      <c r="AP1612" s="35"/>
      <c r="AQ1612" s="35"/>
      <c r="AR1612" s="35"/>
      <c r="AS1612" s="35"/>
      <c r="AT1612" s="35"/>
      <c r="AU1612" s="35"/>
      <c r="AV1612" s="35"/>
      <c r="AW1612" s="35"/>
    </row>
    <row r="1613" spans="1:49" s="50" customFormat="1" ht="15.75" x14ac:dyDescent="0.2">
      <c r="A1613" s="35"/>
      <c r="B1613" s="35"/>
      <c r="C1613" s="35"/>
      <c r="D1613" s="35"/>
      <c r="E1613" s="35"/>
      <c r="F1613" s="35"/>
      <c r="G1613" s="35"/>
      <c r="H1613" s="35"/>
      <c r="I1613" s="35"/>
      <c r="J1613" s="35"/>
      <c r="K1613" s="35"/>
      <c r="L1613" s="35"/>
      <c r="M1613" s="35"/>
      <c r="N1613" s="35"/>
      <c r="O1613" s="35"/>
      <c r="P1613" s="35"/>
      <c r="Q1613" s="35"/>
      <c r="R1613" s="35"/>
      <c r="S1613" s="35"/>
      <c r="T1613" s="35"/>
      <c r="U1613" s="35"/>
      <c r="V1613" s="35"/>
      <c r="W1613" s="35"/>
      <c r="X1613" s="35"/>
      <c r="Y1613" s="35"/>
      <c r="Z1613" s="35"/>
      <c r="AA1613" s="35"/>
      <c r="AB1613" s="35"/>
      <c r="AC1613" s="35"/>
      <c r="AD1613" s="35"/>
      <c r="AE1613" s="35"/>
      <c r="AF1613" s="35"/>
      <c r="AG1613" s="35"/>
      <c r="AH1613" s="35"/>
      <c r="AI1613" s="35"/>
      <c r="AJ1613" s="35"/>
      <c r="AK1613" s="35"/>
      <c r="AL1613" s="35"/>
      <c r="AM1613" s="35"/>
      <c r="AN1613" s="35"/>
      <c r="AO1613" s="35"/>
      <c r="AP1613" s="35"/>
      <c r="AQ1613" s="35"/>
      <c r="AR1613" s="35"/>
      <c r="AS1613" s="35"/>
      <c r="AT1613" s="35"/>
      <c r="AU1613" s="35"/>
      <c r="AV1613" s="35"/>
      <c r="AW1613" s="35"/>
    </row>
    <row r="1614" spans="1:49" s="50" customFormat="1" ht="15.75" x14ac:dyDescent="0.2">
      <c r="A1614" s="35"/>
      <c r="B1614" s="35"/>
      <c r="C1614" s="35"/>
      <c r="D1614" s="35"/>
      <c r="E1614" s="35"/>
      <c r="F1614" s="35"/>
      <c r="G1614" s="35"/>
      <c r="H1614" s="35"/>
      <c r="I1614" s="35"/>
      <c r="J1614" s="35"/>
      <c r="K1614" s="35"/>
      <c r="L1614" s="35"/>
      <c r="M1614" s="35"/>
      <c r="N1614" s="35"/>
      <c r="O1614" s="35"/>
      <c r="P1614" s="35"/>
      <c r="Q1614" s="35"/>
      <c r="R1614" s="35"/>
      <c r="S1614" s="35"/>
      <c r="T1614" s="35"/>
      <c r="U1614" s="35"/>
      <c r="V1614" s="35"/>
      <c r="W1614" s="35"/>
      <c r="X1614" s="35"/>
      <c r="Y1614" s="35"/>
      <c r="Z1614" s="35"/>
      <c r="AA1614" s="35"/>
      <c r="AB1614" s="35"/>
      <c r="AC1614" s="35"/>
      <c r="AD1614" s="35"/>
      <c r="AE1614" s="35"/>
      <c r="AF1614" s="35"/>
      <c r="AG1614" s="35"/>
      <c r="AH1614" s="35"/>
      <c r="AI1614" s="35"/>
      <c r="AJ1614" s="35"/>
      <c r="AK1614" s="35"/>
      <c r="AL1614" s="35"/>
      <c r="AM1614" s="35"/>
      <c r="AN1614" s="35"/>
      <c r="AO1614" s="35"/>
      <c r="AP1614" s="35"/>
      <c r="AQ1614" s="35"/>
      <c r="AR1614" s="35"/>
      <c r="AS1614" s="35"/>
      <c r="AT1614" s="35"/>
      <c r="AU1614" s="35"/>
      <c r="AV1614" s="35"/>
      <c r="AW1614" s="35"/>
    </row>
    <row r="1615" spans="1:49" s="47" customFormat="1" ht="15.75" x14ac:dyDescent="0.2">
      <c r="A1615" s="35"/>
      <c r="B1615" s="35"/>
      <c r="C1615" s="35"/>
      <c r="D1615" s="35"/>
      <c r="E1615" s="35"/>
      <c r="F1615" s="35"/>
      <c r="G1615" s="35"/>
      <c r="H1615" s="35"/>
      <c r="I1615" s="35"/>
      <c r="J1615" s="35"/>
      <c r="K1615" s="35"/>
      <c r="L1615" s="35"/>
      <c r="M1615" s="35"/>
      <c r="N1615" s="35"/>
      <c r="O1615" s="35"/>
      <c r="P1615" s="35"/>
      <c r="Q1615" s="35"/>
      <c r="R1615" s="35"/>
      <c r="S1615" s="35"/>
      <c r="T1615" s="35"/>
      <c r="U1615" s="35"/>
      <c r="V1615" s="35"/>
      <c r="W1615" s="35"/>
      <c r="X1615" s="35"/>
      <c r="Y1615" s="35"/>
      <c r="Z1615" s="35"/>
      <c r="AA1615" s="35"/>
      <c r="AB1615" s="35"/>
      <c r="AC1615" s="35"/>
      <c r="AD1615" s="35"/>
      <c r="AE1615" s="35"/>
      <c r="AF1615" s="35"/>
      <c r="AG1615" s="35"/>
      <c r="AH1615" s="35"/>
      <c r="AI1615" s="35"/>
      <c r="AJ1615" s="35"/>
      <c r="AK1615" s="35"/>
      <c r="AL1615" s="35"/>
      <c r="AM1615" s="35"/>
      <c r="AN1615" s="35"/>
      <c r="AO1615" s="35"/>
      <c r="AP1615" s="35"/>
      <c r="AQ1615" s="35"/>
      <c r="AR1615" s="35"/>
      <c r="AS1615" s="35"/>
      <c r="AT1615" s="35"/>
      <c r="AU1615" s="35"/>
      <c r="AV1615" s="35"/>
      <c r="AW1615" s="35"/>
    </row>
    <row r="1616" spans="1:49" s="50" customFormat="1" ht="15.75" x14ac:dyDescent="0.2">
      <c r="A1616" s="35"/>
      <c r="B1616" s="35"/>
      <c r="C1616" s="35"/>
      <c r="D1616" s="35"/>
      <c r="E1616" s="35"/>
      <c r="F1616" s="35"/>
      <c r="G1616" s="35"/>
      <c r="H1616" s="35"/>
      <c r="I1616" s="35"/>
      <c r="J1616" s="35"/>
      <c r="K1616" s="35"/>
      <c r="L1616" s="35"/>
      <c r="M1616" s="35"/>
      <c r="N1616" s="35"/>
      <c r="O1616" s="35"/>
      <c r="P1616" s="35"/>
      <c r="Q1616" s="35"/>
      <c r="R1616" s="35"/>
      <c r="S1616" s="35"/>
      <c r="T1616" s="35"/>
      <c r="U1616" s="35"/>
      <c r="V1616" s="35"/>
      <c r="W1616" s="35"/>
      <c r="X1616" s="35"/>
      <c r="Y1616" s="35"/>
      <c r="Z1616" s="35"/>
      <c r="AA1616" s="35"/>
      <c r="AB1616" s="35"/>
      <c r="AC1616" s="35"/>
      <c r="AD1616" s="35"/>
      <c r="AE1616" s="35"/>
      <c r="AF1616" s="35"/>
      <c r="AG1616" s="35"/>
      <c r="AH1616" s="35"/>
      <c r="AI1616" s="35"/>
      <c r="AJ1616" s="35"/>
      <c r="AK1616" s="35"/>
      <c r="AL1616" s="35"/>
      <c r="AM1616" s="35"/>
      <c r="AN1616" s="35"/>
      <c r="AO1616" s="35"/>
      <c r="AP1616" s="35"/>
      <c r="AQ1616" s="35"/>
      <c r="AR1616" s="35"/>
      <c r="AS1616" s="35"/>
      <c r="AT1616" s="35"/>
      <c r="AU1616" s="35"/>
      <c r="AV1616" s="35"/>
      <c r="AW1616" s="35"/>
    </row>
    <row r="1617" spans="1:49" s="50" customFormat="1" ht="15.75" x14ac:dyDescent="0.2">
      <c r="A1617" s="35"/>
      <c r="B1617" s="35"/>
      <c r="C1617" s="35"/>
      <c r="D1617" s="35"/>
      <c r="E1617" s="35"/>
      <c r="F1617" s="35"/>
      <c r="G1617" s="35"/>
      <c r="H1617" s="35"/>
      <c r="I1617" s="35"/>
      <c r="J1617" s="35"/>
      <c r="K1617" s="35"/>
      <c r="L1617" s="35"/>
      <c r="M1617" s="35"/>
      <c r="N1617" s="35"/>
      <c r="O1617" s="35"/>
      <c r="P1617" s="35"/>
      <c r="Q1617" s="35"/>
      <c r="R1617" s="35"/>
      <c r="S1617" s="35"/>
      <c r="T1617" s="35"/>
      <c r="U1617" s="35"/>
      <c r="V1617" s="35"/>
      <c r="W1617" s="35"/>
      <c r="X1617" s="35"/>
      <c r="Y1617" s="35"/>
      <c r="Z1617" s="35"/>
      <c r="AA1617" s="35"/>
      <c r="AB1617" s="35"/>
      <c r="AC1617" s="35"/>
      <c r="AD1617" s="35"/>
      <c r="AE1617" s="35"/>
      <c r="AF1617" s="35"/>
      <c r="AG1617" s="35"/>
      <c r="AH1617" s="35"/>
      <c r="AI1617" s="35"/>
      <c r="AJ1617" s="35"/>
      <c r="AK1617" s="35"/>
      <c r="AL1617" s="35"/>
      <c r="AM1617" s="35"/>
      <c r="AN1617" s="35"/>
      <c r="AO1617" s="35"/>
      <c r="AP1617" s="35"/>
      <c r="AQ1617" s="35"/>
      <c r="AR1617" s="35"/>
      <c r="AS1617" s="35"/>
      <c r="AT1617" s="35"/>
      <c r="AU1617" s="35"/>
      <c r="AV1617" s="35"/>
      <c r="AW1617" s="35"/>
    </row>
    <row r="1618" spans="1:49" s="50" customFormat="1" ht="15.75" x14ac:dyDescent="0.2">
      <c r="A1618" s="35"/>
      <c r="B1618" s="35"/>
      <c r="C1618" s="35"/>
      <c r="D1618" s="35"/>
      <c r="E1618" s="35"/>
      <c r="F1618" s="35"/>
      <c r="G1618" s="35"/>
      <c r="H1618" s="35"/>
      <c r="I1618" s="35"/>
      <c r="J1618" s="35"/>
      <c r="K1618" s="35"/>
      <c r="L1618" s="35"/>
      <c r="M1618" s="35"/>
      <c r="N1618" s="35"/>
      <c r="O1618" s="35"/>
      <c r="P1618" s="35"/>
      <c r="Q1618" s="35"/>
      <c r="R1618" s="35"/>
      <c r="S1618" s="35"/>
      <c r="T1618" s="35"/>
      <c r="U1618" s="35"/>
      <c r="V1618" s="35"/>
      <c r="W1618" s="35"/>
      <c r="X1618" s="35"/>
      <c r="Y1618" s="35"/>
      <c r="Z1618" s="35"/>
      <c r="AA1618" s="35"/>
      <c r="AB1618" s="35"/>
      <c r="AC1618" s="35"/>
      <c r="AD1618" s="35"/>
      <c r="AE1618" s="35"/>
      <c r="AF1618" s="35"/>
      <c r="AG1618" s="35"/>
      <c r="AH1618" s="35"/>
      <c r="AI1618" s="35"/>
      <c r="AJ1618" s="35"/>
      <c r="AK1618" s="35"/>
      <c r="AL1618" s="35"/>
      <c r="AM1618" s="35"/>
      <c r="AN1618" s="35"/>
      <c r="AO1618" s="35"/>
      <c r="AP1618" s="35"/>
      <c r="AQ1618" s="35"/>
      <c r="AR1618" s="35"/>
      <c r="AS1618" s="35"/>
      <c r="AT1618" s="35"/>
      <c r="AU1618" s="35"/>
      <c r="AV1618" s="35"/>
      <c r="AW1618" s="35"/>
    </row>
    <row r="1619" spans="1:49" s="50" customFormat="1" ht="15.75" x14ac:dyDescent="0.2">
      <c r="A1619" s="35"/>
      <c r="B1619" s="35"/>
      <c r="C1619" s="35"/>
      <c r="D1619" s="35"/>
      <c r="E1619" s="35"/>
      <c r="F1619" s="35"/>
      <c r="G1619" s="35"/>
      <c r="H1619" s="35"/>
      <c r="I1619" s="35"/>
      <c r="J1619" s="35"/>
      <c r="K1619" s="35"/>
      <c r="L1619" s="35"/>
      <c r="M1619" s="35"/>
      <c r="N1619" s="35"/>
      <c r="O1619" s="35"/>
      <c r="P1619" s="35"/>
      <c r="Q1619" s="35"/>
      <c r="R1619" s="35"/>
      <c r="S1619" s="35"/>
      <c r="T1619" s="35"/>
      <c r="U1619" s="35"/>
      <c r="V1619" s="35"/>
      <c r="W1619" s="35"/>
      <c r="X1619" s="35"/>
      <c r="Y1619" s="35"/>
      <c r="Z1619" s="35"/>
      <c r="AA1619" s="35"/>
      <c r="AB1619" s="35"/>
      <c r="AC1619" s="35"/>
      <c r="AD1619" s="35"/>
      <c r="AE1619" s="35"/>
      <c r="AF1619" s="35"/>
      <c r="AG1619" s="35"/>
      <c r="AH1619" s="35"/>
      <c r="AI1619" s="35"/>
      <c r="AJ1619" s="35"/>
      <c r="AK1619" s="35"/>
      <c r="AL1619" s="35"/>
      <c r="AM1619" s="35"/>
      <c r="AN1619" s="35"/>
      <c r="AO1619" s="35"/>
      <c r="AP1619" s="35"/>
      <c r="AQ1619" s="35"/>
      <c r="AR1619" s="35"/>
      <c r="AS1619" s="35"/>
      <c r="AT1619" s="35"/>
      <c r="AU1619" s="35"/>
      <c r="AV1619" s="35"/>
      <c r="AW1619" s="35"/>
    </row>
    <row r="1620" spans="1:49" s="50" customFormat="1" ht="15.75" x14ac:dyDescent="0.2">
      <c r="A1620" s="35"/>
      <c r="B1620" s="35"/>
      <c r="C1620" s="35"/>
      <c r="D1620" s="35"/>
      <c r="E1620" s="35"/>
      <c r="F1620" s="35"/>
      <c r="G1620" s="35"/>
      <c r="H1620" s="35"/>
      <c r="I1620" s="35"/>
      <c r="J1620" s="35"/>
      <c r="K1620" s="35"/>
      <c r="L1620" s="35"/>
      <c r="M1620" s="35"/>
      <c r="N1620" s="35"/>
      <c r="O1620" s="35"/>
      <c r="P1620" s="35"/>
      <c r="Q1620" s="35"/>
      <c r="R1620" s="35"/>
      <c r="S1620" s="35"/>
      <c r="T1620" s="35"/>
      <c r="U1620" s="35"/>
      <c r="V1620" s="35"/>
      <c r="W1620" s="35"/>
      <c r="X1620" s="35"/>
      <c r="Y1620" s="35"/>
      <c r="Z1620" s="35"/>
      <c r="AA1620" s="35"/>
      <c r="AB1620" s="35"/>
      <c r="AC1620" s="35"/>
      <c r="AD1620" s="35"/>
      <c r="AE1620" s="35"/>
      <c r="AF1620" s="35"/>
      <c r="AG1620" s="35"/>
      <c r="AH1620" s="35"/>
      <c r="AI1620" s="35"/>
      <c r="AJ1620" s="35"/>
      <c r="AK1620" s="35"/>
      <c r="AL1620" s="35"/>
      <c r="AM1620" s="35"/>
      <c r="AN1620" s="35"/>
      <c r="AO1620" s="35"/>
      <c r="AP1620" s="35"/>
      <c r="AQ1620" s="35"/>
      <c r="AR1620" s="35"/>
      <c r="AS1620" s="35"/>
      <c r="AT1620" s="35"/>
      <c r="AU1620" s="35"/>
      <c r="AV1620" s="35"/>
      <c r="AW1620" s="35"/>
    </row>
    <row r="1621" spans="1:49" s="50" customFormat="1" ht="15.75" x14ac:dyDescent="0.2">
      <c r="A1621" s="35"/>
      <c r="B1621" s="35"/>
      <c r="C1621" s="35"/>
      <c r="D1621" s="35"/>
      <c r="E1621" s="35"/>
      <c r="F1621" s="35"/>
      <c r="G1621" s="35"/>
      <c r="H1621" s="35"/>
      <c r="I1621" s="35"/>
      <c r="J1621" s="35"/>
      <c r="K1621" s="35"/>
      <c r="L1621" s="35"/>
      <c r="M1621" s="35"/>
      <c r="N1621" s="35"/>
      <c r="O1621" s="35"/>
      <c r="P1621" s="35"/>
      <c r="Q1621" s="35"/>
      <c r="R1621" s="35"/>
      <c r="S1621" s="35"/>
      <c r="T1621" s="35"/>
      <c r="U1621" s="35"/>
      <c r="V1621" s="35"/>
      <c r="W1621" s="35"/>
      <c r="X1621" s="35"/>
      <c r="Y1621" s="35"/>
      <c r="Z1621" s="35"/>
      <c r="AA1621" s="35"/>
      <c r="AB1621" s="35"/>
      <c r="AC1621" s="35"/>
      <c r="AD1621" s="35"/>
      <c r="AE1621" s="35"/>
      <c r="AF1621" s="35"/>
      <c r="AG1621" s="35"/>
      <c r="AH1621" s="35"/>
      <c r="AI1621" s="35"/>
      <c r="AJ1621" s="35"/>
      <c r="AK1621" s="35"/>
      <c r="AL1621" s="35"/>
      <c r="AM1621" s="35"/>
      <c r="AN1621" s="35"/>
      <c r="AO1621" s="35"/>
      <c r="AP1621" s="35"/>
      <c r="AQ1621" s="35"/>
      <c r="AR1621" s="35"/>
      <c r="AS1621" s="35"/>
      <c r="AT1621" s="35"/>
      <c r="AU1621" s="35"/>
      <c r="AV1621" s="35"/>
      <c r="AW1621" s="35"/>
    </row>
    <row r="1622" spans="1:49" s="50" customFormat="1" ht="15.75" x14ac:dyDescent="0.2">
      <c r="A1622" s="35"/>
      <c r="B1622" s="35"/>
      <c r="C1622" s="35"/>
      <c r="D1622" s="35"/>
      <c r="E1622" s="35"/>
      <c r="F1622" s="35"/>
      <c r="G1622" s="35"/>
      <c r="H1622" s="35"/>
      <c r="I1622" s="35"/>
      <c r="J1622" s="35"/>
      <c r="K1622" s="35"/>
      <c r="L1622" s="35"/>
      <c r="M1622" s="35"/>
      <c r="N1622" s="35"/>
      <c r="O1622" s="35"/>
      <c r="P1622" s="35"/>
      <c r="Q1622" s="35"/>
      <c r="R1622" s="35"/>
      <c r="S1622" s="35"/>
      <c r="T1622" s="35"/>
      <c r="U1622" s="35"/>
      <c r="V1622" s="35"/>
      <c r="W1622" s="35"/>
      <c r="X1622" s="35"/>
      <c r="Y1622" s="35"/>
      <c r="Z1622" s="35"/>
      <c r="AA1622" s="35"/>
      <c r="AB1622" s="35"/>
      <c r="AC1622" s="35"/>
      <c r="AD1622" s="35"/>
      <c r="AE1622" s="35"/>
      <c r="AF1622" s="35"/>
      <c r="AG1622" s="35"/>
      <c r="AH1622" s="35"/>
      <c r="AI1622" s="35"/>
      <c r="AJ1622" s="35"/>
      <c r="AK1622" s="35"/>
      <c r="AL1622" s="35"/>
      <c r="AM1622" s="35"/>
      <c r="AN1622" s="35"/>
      <c r="AO1622" s="35"/>
      <c r="AP1622" s="35"/>
      <c r="AQ1622" s="35"/>
      <c r="AR1622" s="35"/>
      <c r="AS1622" s="35"/>
      <c r="AT1622" s="35"/>
      <c r="AU1622" s="35"/>
      <c r="AV1622" s="35"/>
      <c r="AW1622" s="35"/>
    </row>
    <row r="1623" spans="1:49" s="47" customFormat="1" ht="15.75" x14ac:dyDescent="0.2">
      <c r="A1623" s="35"/>
      <c r="B1623" s="35"/>
      <c r="C1623" s="35"/>
      <c r="D1623" s="35"/>
      <c r="E1623" s="35"/>
      <c r="F1623" s="35"/>
      <c r="G1623" s="35"/>
      <c r="H1623" s="35"/>
      <c r="I1623" s="35"/>
      <c r="J1623" s="35"/>
      <c r="K1623" s="35"/>
      <c r="L1623" s="35"/>
      <c r="M1623" s="35"/>
      <c r="N1623" s="35"/>
      <c r="O1623" s="35"/>
      <c r="P1623" s="35"/>
      <c r="Q1623" s="35"/>
      <c r="R1623" s="35"/>
      <c r="S1623" s="35"/>
      <c r="T1623" s="35"/>
      <c r="U1623" s="35"/>
      <c r="V1623" s="35"/>
      <c r="W1623" s="35"/>
      <c r="X1623" s="35"/>
      <c r="Y1623" s="35"/>
      <c r="Z1623" s="35"/>
      <c r="AA1623" s="35"/>
      <c r="AB1623" s="35"/>
      <c r="AC1623" s="35"/>
      <c r="AD1623" s="35"/>
      <c r="AE1623" s="35"/>
      <c r="AF1623" s="35"/>
      <c r="AG1623" s="35"/>
      <c r="AH1623" s="35"/>
      <c r="AI1623" s="35"/>
      <c r="AJ1623" s="35"/>
      <c r="AK1623" s="35"/>
      <c r="AL1623" s="35"/>
      <c r="AM1623" s="35"/>
      <c r="AN1623" s="35"/>
      <c r="AO1623" s="35"/>
      <c r="AP1623" s="35"/>
      <c r="AQ1623" s="35"/>
      <c r="AR1623" s="35"/>
      <c r="AS1623" s="35"/>
      <c r="AT1623" s="35"/>
      <c r="AU1623" s="35"/>
      <c r="AV1623" s="35"/>
      <c r="AW1623" s="35"/>
    </row>
    <row r="1624" spans="1:49" s="50" customFormat="1" ht="15.75" x14ac:dyDescent="0.2">
      <c r="A1624" s="35"/>
      <c r="B1624" s="35"/>
      <c r="C1624" s="35"/>
      <c r="D1624" s="35"/>
      <c r="E1624" s="35"/>
      <c r="F1624" s="35"/>
      <c r="G1624" s="35"/>
      <c r="H1624" s="35"/>
      <c r="I1624" s="35"/>
      <c r="J1624" s="35"/>
      <c r="K1624" s="35"/>
      <c r="L1624" s="35"/>
      <c r="M1624" s="35"/>
      <c r="N1624" s="35"/>
      <c r="O1624" s="35"/>
      <c r="P1624" s="35"/>
      <c r="Q1624" s="35"/>
      <c r="R1624" s="35"/>
      <c r="S1624" s="35"/>
      <c r="T1624" s="35"/>
      <c r="U1624" s="35"/>
      <c r="V1624" s="35"/>
      <c r="W1624" s="35"/>
      <c r="X1624" s="35"/>
      <c r="Y1624" s="35"/>
      <c r="Z1624" s="35"/>
      <c r="AA1624" s="35"/>
      <c r="AB1624" s="35"/>
      <c r="AC1624" s="35"/>
      <c r="AD1624" s="35"/>
      <c r="AE1624" s="35"/>
      <c r="AF1624" s="35"/>
      <c r="AG1624" s="35"/>
      <c r="AH1624" s="35"/>
      <c r="AI1624" s="35"/>
      <c r="AJ1624" s="35"/>
      <c r="AK1624" s="35"/>
      <c r="AL1624" s="35"/>
      <c r="AM1624" s="35"/>
      <c r="AN1624" s="35"/>
      <c r="AO1624" s="35"/>
      <c r="AP1624" s="35"/>
      <c r="AQ1624" s="35"/>
      <c r="AR1624" s="35"/>
      <c r="AS1624" s="35"/>
      <c r="AT1624" s="35"/>
      <c r="AU1624" s="35"/>
      <c r="AV1624" s="35"/>
      <c r="AW1624" s="35"/>
    </row>
    <row r="1625" spans="1:49" s="50" customFormat="1" ht="15.75" x14ac:dyDescent="0.2">
      <c r="A1625" s="35"/>
      <c r="B1625" s="35"/>
      <c r="C1625" s="35"/>
      <c r="D1625" s="35"/>
      <c r="E1625" s="35"/>
      <c r="F1625" s="35"/>
      <c r="G1625" s="35"/>
      <c r="H1625" s="35"/>
      <c r="I1625" s="35"/>
      <c r="J1625" s="35"/>
      <c r="K1625" s="35"/>
      <c r="L1625" s="35"/>
      <c r="M1625" s="35"/>
      <c r="N1625" s="35"/>
      <c r="O1625" s="35"/>
      <c r="P1625" s="35"/>
      <c r="Q1625" s="35"/>
      <c r="R1625" s="35"/>
      <c r="S1625" s="35"/>
      <c r="T1625" s="35"/>
      <c r="U1625" s="35"/>
      <c r="V1625" s="35"/>
      <c r="W1625" s="35"/>
      <c r="X1625" s="35"/>
      <c r="Y1625" s="35"/>
      <c r="Z1625" s="35"/>
      <c r="AA1625" s="35"/>
      <c r="AB1625" s="35"/>
      <c r="AC1625" s="35"/>
      <c r="AD1625" s="35"/>
      <c r="AE1625" s="35"/>
      <c r="AF1625" s="35"/>
      <c r="AG1625" s="35"/>
      <c r="AH1625" s="35"/>
      <c r="AI1625" s="35"/>
      <c r="AJ1625" s="35"/>
      <c r="AK1625" s="35"/>
      <c r="AL1625" s="35"/>
      <c r="AM1625" s="35"/>
      <c r="AN1625" s="35"/>
      <c r="AO1625" s="35"/>
      <c r="AP1625" s="35"/>
      <c r="AQ1625" s="35"/>
      <c r="AR1625" s="35"/>
      <c r="AS1625" s="35"/>
      <c r="AT1625" s="35"/>
      <c r="AU1625" s="35"/>
      <c r="AV1625" s="35"/>
      <c r="AW1625" s="35"/>
    </row>
    <row r="1626" spans="1:49" s="50" customFormat="1" ht="15.75" x14ac:dyDescent="0.2">
      <c r="A1626" s="35"/>
      <c r="B1626" s="35"/>
      <c r="C1626" s="35"/>
      <c r="D1626" s="35"/>
      <c r="E1626" s="35"/>
      <c r="F1626" s="35"/>
      <c r="G1626" s="35"/>
      <c r="H1626" s="35"/>
      <c r="I1626" s="35"/>
      <c r="J1626" s="35"/>
      <c r="K1626" s="35"/>
      <c r="L1626" s="35"/>
      <c r="M1626" s="35"/>
      <c r="N1626" s="35"/>
      <c r="O1626" s="35"/>
      <c r="P1626" s="35"/>
      <c r="Q1626" s="35"/>
      <c r="R1626" s="35"/>
      <c r="S1626" s="35"/>
      <c r="T1626" s="35"/>
      <c r="U1626" s="35"/>
      <c r="V1626" s="35"/>
      <c r="W1626" s="35"/>
      <c r="X1626" s="35"/>
      <c r="Y1626" s="35"/>
      <c r="Z1626" s="35"/>
      <c r="AA1626" s="35"/>
      <c r="AB1626" s="35"/>
      <c r="AC1626" s="35"/>
      <c r="AD1626" s="35"/>
      <c r="AE1626" s="35"/>
      <c r="AF1626" s="35"/>
      <c r="AG1626" s="35"/>
      <c r="AH1626" s="35"/>
      <c r="AI1626" s="35"/>
      <c r="AJ1626" s="35"/>
      <c r="AK1626" s="35"/>
      <c r="AL1626" s="35"/>
      <c r="AM1626" s="35"/>
      <c r="AN1626" s="35"/>
      <c r="AO1626" s="35"/>
      <c r="AP1626" s="35"/>
      <c r="AQ1626" s="35"/>
      <c r="AR1626" s="35"/>
      <c r="AS1626" s="35"/>
      <c r="AT1626" s="35"/>
      <c r="AU1626" s="35"/>
      <c r="AV1626" s="35"/>
      <c r="AW1626" s="35"/>
    </row>
    <row r="1627" spans="1:49" s="50" customFormat="1" ht="15.75" x14ac:dyDescent="0.2">
      <c r="A1627" s="35"/>
      <c r="B1627" s="35"/>
      <c r="C1627" s="35"/>
      <c r="D1627" s="35"/>
      <c r="E1627" s="35"/>
      <c r="F1627" s="35"/>
      <c r="G1627" s="35"/>
      <c r="H1627" s="35"/>
      <c r="I1627" s="35"/>
      <c r="J1627" s="35"/>
      <c r="K1627" s="35"/>
      <c r="L1627" s="35"/>
      <c r="M1627" s="35"/>
      <c r="N1627" s="35"/>
      <c r="O1627" s="35"/>
      <c r="P1627" s="35"/>
      <c r="Q1627" s="35"/>
      <c r="R1627" s="35"/>
      <c r="S1627" s="35"/>
      <c r="T1627" s="35"/>
      <c r="U1627" s="35"/>
      <c r="V1627" s="35"/>
      <c r="W1627" s="35"/>
      <c r="X1627" s="35"/>
      <c r="Y1627" s="35"/>
      <c r="Z1627" s="35"/>
      <c r="AA1627" s="35"/>
      <c r="AB1627" s="35"/>
      <c r="AC1627" s="35"/>
      <c r="AD1627" s="35"/>
      <c r="AE1627" s="35"/>
      <c r="AF1627" s="35"/>
      <c r="AG1627" s="35"/>
      <c r="AH1627" s="35"/>
      <c r="AI1627" s="35"/>
      <c r="AJ1627" s="35"/>
      <c r="AK1627" s="35"/>
      <c r="AL1627" s="35"/>
      <c r="AM1627" s="35"/>
      <c r="AN1627" s="35"/>
      <c r="AO1627" s="35"/>
      <c r="AP1627" s="35"/>
      <c r="AQ1627" s="35"/>
      <c r="AR1627" s="35"/>
      <c r="AS1627" s="35"/>
      <c r="AT1627" s="35"/>
      <c r="AU1627" s="35"/>
      <c r="AV1627" s="35"/>
      <c r="AW1627" s="35"/>
    </row>
    <row r="1628" spans="1:49" s="50" customFormat="1" ht="15.75" x14ac:dyDescent="0.2">
      <c r="A1628" s="35"/>
      <c r="B1628" s="35"/>
      <c r="C1628" s="35"/>
      <c r="D1628" s="35"/>
      <c r="E1628" s="35"/>
      <c r="F1628" s="35"/>
      <c r="G1628" s="35"/>
      <c r="H1628" s="35"/>
      <c r="I1628" s="35"/>
      <c r="J1628" s="35"/>
      <c r="K1628" s="35"/>
      <c r="L1628" s="35"/>
      <c r="M1628" s="35"/>
      <c r="N1628" s="35"/>
      <c r="O1628" s="35"/>
      <c r="P1628" s="35"/>
      <c r="Q1628" s="35"/>
      <c r="R1628" s="35"/>
      <c r="S1628" s="35"/>
      <c r="T1628" s="35"/>
      <c r="U1628" s="35"/>
      <c r="V1628" s="35"/>
      <c r="W1628" s="35"/>
      <c r="X1628" s="35"/>
      <c r="Y1628" s="35"/>
      <c r="Z1628" s="35"/>
      <c r="AA1628" s="35"/>
      <c r="AB1628" s="35"/>
      <c r="AC1628" s="35"/>
      <c r="AD1628" s="35"/>
      <c r="AE1628" s="35"/>
      <c r="AF1628" s="35"/>
      <c r="AG1628" s="35"/>
      <c r="AH1628" s="35"/>
      <c r="AI1628" s="35"/>
      <c r="AJ1628" s="35"/>
      <c r="AK1628" s="35"/>
      <c r="AL1628" s="35"/>
      <c r="AM1628" s="35"/>
      <c r="AN1628" s="35"/>
      <c r="AO1628" s="35"/>
      <c r="AP1628" s="35"/>
      <c r="AQ1628" s="35"/>
      <c r="AR1628" s="35"/>
      <c r="AS1628" s="35"/>
      <c r="AT1628" s="35"/>
      <c r="AU1628" s="35"/>
      <c r="AV1628" s="35"/>
      <c r="AW1628" s="35"/>
    </row>
    <row r="1629" spans="1:49" s="50" customFormat="1" ht="15.75" x14ac:dyDescent="0.2">
      <c r="A1629" s="35"/>
      <c r="B1629" s="35"/>
      <c r="C1629" s="35"/>
      <c r="D1629" s="35"/>
      <c r="E1629" s="35"/>
      <c r="F1629" s="35"/>
      <c r="G1629" s="35"/>
      <c r="H1629" s="35"/>
      <c r="I1629" s="35"/>
      <c r="J1629" s="35"/>
      <c r="K1629" s="35"/>
      <c r="L1629" s="35"/>
      <c r="M1629" s="35"/>
      <c r="N1629" s="35"/>
      <c r="O1629" s="35"/>
      <c r="P1629" s="35"/>
      <c r="Q1629" s="35"/>
      <c r="R1629" s="35"/>
      <c r="S1629" s="35"/>
      <c r="T1629" s="35"/>
      <c r="U1629" s="35"/>
      <c r="V1629" s="35"/>
      <c r="W1629" s="35"/>
      <c r="X1629" s="35"/>
      <c r="Y1629" s="35"/>
      <c r="Z1629" s="35"/>
      <c r="AA1629" s="35"/>
      <c r="AB1629" s="35"/>
      <c r="AC1629" s="35"/>
      <c r="AD1629" s="35"/>
      <c r="AE1629" s="35"/>
      <c r="AF1629" s="35"/>
      <c r="AG1629" s="35"/>
      <c r="AH1629" s="35"/>
      <c r="AI1629" s="35"/>
      <c r="AJ1629" s="35"/>
      <c r="AK1629" s="35"/>
      <c r="AL1629" s="35"/>
      <c r="AM1629" s="35"/>
      <c r="AN1629" s="35"/>
      <c r="AO1629" s="35"/>
      <c r="AP1629" s="35"/>
      <c r="AQ1629" s="35"/>
      <c r="AR1629" s="35"/>
      <c r="AS1629" s="35"/>
      <c r="AT1629" s="35"/>
      <c r="AU1629" s="35"/>
      <c r="AV1629" s="35"/>
      <c r="AW1629" s="35"/>
    </row>
    <row r="1630" spans="1:49" s="50" customFormat="1" ht="15.75" x14ac:dyDescent="0.2">
      <c r="A1630" s="35"/>
      <c r="B1630" s="35"/>
      <c r="C1630" s="35"/>
      <c r="D1630" s="35"/>
      <c r="E1630" s="35"/>
      <c r="F1630" s="35"/>
      <c r="G1630" s="35"/>
      <c r="H1630" s="35"/>
      <c r="I1630" s="35"/>
      <c r="J1630" s="35"/>
      <c r="K1630" s="35"/>
      <c r="L1630" s="35"/>
      <c r="M1630" s="35"/>
      <c r="N1630" s="35"/>
      <c r="O1630" s="35"/>
      <c r="P1630" s="35"/>
      <c r="Q1630" s="35"/>
      <c r="R1630" s="35"/>
      <c r="S1630" s="35"/>
      <c r="T1630" s="35"/>
      <c r="U1630" s="35"/>
      <c r="V1630" s="35"/>
      <c r="W1630" s="35"/>
      <c r="X1630" s="35"/>
      <c r="Y1630" s="35"/>
      <c r="Z1630" s="35"/>
      <c r="AA1630" s="35"/>
      <c r="AB1630" s="35"/>
      <c r="AC1630" s="35"/>
      <c r="AD1630" s="35"/>
      <c r="AE1630" s="35"/>
      <c r="AF1630" s="35"/>
      <c r="AG1630" s="35"/>
      <c r="AH1630" s="35"/>
      <c r="AI1630" s="35"/>
      <c r="AJ1630" s="35"/>
      <c r="AK1630" s="35"/>
      <c r="AL1630" s="35"/>
      <c r="AM1630" s="35"/>
      <c r="AN1630" s="35"/>
      <c r="AO1630" s="35"/>
      <c r="AP1630" s="35"/>
      <c r="AQ1630" s="35"/>
      <c r="AR1630" s="35"/>
      <c r="AS1630" s="35"/>
      <c r="AT1630" s="35"/>
      <c r="AU1630" s="35"/>
      <c r="AV1630" s="35"/>
      <c r="AW1630" s="35"/>
    </row>
    <row r="1631" spans="1:49" s="50" customFormat="1" ht="15.75" x14ac:dyDescent="0.2">
      <c r="A1631" s="35"/>
      <c r="B1631" s="35"/>
      <c r="C1631" s="35"/>
      <c r="D1631" s="35"/>
      <c r="E1631" s="35"/>
      <c r="F1631" s="35"/>
      <c r="G1631" s="35"/>
      <c r="H1631" s="35"/>
      <c r="I1631" s="35"/>
      <c r="J1631" s="35"/>
      <c r="K1631" s="35"/>
      <c r="L1631" s="35"/>
      <c r="M1631" s="35"/>
      <c r="N1631" s="35"/>
      <c r="O1631" s="35"/>
      <c r="P1631" s="35"/>
      <c r="Q1631" s="35"/>
      <c r="R1631" s="35"/>
      <c r="S1631" s="35"/>
      <c r="T1631" s="35"/>
      <c r="U1631" s="35"/>
      <c r="V1631" s="35"/>
      <c r="W1631" s="35"/>
      <c r="X1631" s="35"/>
      <c r="Y1631" s="35"/>
      <c r="Z1631" s="35"/>
      <c r="AA1631" s="35"/>
      <c r="AB1631" s="35"/>
      <c r="AC1631" s="35"/>
      <c r="AD1631" s="35"/>
      <c r="AE1631" s="35"/>
      <c r="AF1631" s="35"/>
      <c r="AG1631" s="35"/>
      <c r="AH1631" s="35"/>
      <c r="AI1631" s="35"/>
      <c r="AJ1631" s="35"/>
      <c r="AK1631" s="35"/>
      <c r="AL1631" s="35"/>
      <c r="AM1631" s="35"/>
      <c r="AN1631" s="35"/>
      <c r="AO1631" s="35"/>
      <c r="AP1631" s="35"/>
      <c r="AQ1631" s="35"/>
      <c r="AR1631" s="35"/>
      <c r="AS1631" s="35"/>
      <c r="AT1631" s="35"/>
      <c r="AU1631" s="35"/>
      <c r="AV1631" s="35"/>
      <c r="AW1631" s="35"/>
    </row>
    <row r="1632" spans="1:49" s="50" customFormat="1" ht="15.75" x14ac:dyDescent="0.2">
      <c r="A1632" s="35"/>
      <c r="B1632" s="35"/>
      <c r="C1632" s="35"/>
      <c r="D1632" s="35"/>
      <c r="E1632" s="35"/>
      <c r="F1632" s="35"/>
      <c r="G1632" s="35"/>
      <c r="H1632" s="35"/>
      <c r="I1632" s="35"/>
      <c r="J1632" s="35"/>
      <c r="K1632" s="35"/>
      <c r="L1632" s="35"/>
      <c r="M1632" s="35"/>
      <c r="N1632" s="35"/>
      <c r="O1632" s="35"/>
      <c r="P1632" s="35"/>
      <c r="Q1632" s="35"/>
      <c r="R1632" s="35"/>
      <c r="S1632" s="35"/>
      <c r="T1632" s="35"/>
      <c r="U1632" s="35"/>
      <c r="V1632" s="35"/>
      <c r="W1632" s="35"/>
      <c r="X1632" s="35"/>
      <c r="Y1632" s="35"/>
      <c r="Z1632" s="35"/>
      <c r="AA1632" s="35"/>
      <c r="AB1632" s="35"/>
      <c r="AC1632" s="35"/>
      <c r="AD1632" s="35"/>
      <c r="AE1632" s="35"/>
      <c r="AF1632" s="35"/>
      <c r="AG1632" s="35"/>
      <c r="AH1632" s="35"/>
      <c r="AI1632" s="35"/>
      <c r="AJ1632" s="35"/>
      <c r="AK1632" s="35"/>
      <c r="AL1632" s="35"/>
      <c r="AM1632" s="35"/>
      <c r="AN1632" s="35"/>
      <c r="AO1632" s="35"/>
      <c r="AP1632" s="35"/>
      <c r="AQ1632" s="35"/>
      <c r="AR1632" s="35"/>
      <c r="AS1632" s="35"/>
      <c r="AT1632" s="35"/>
      <c r="AU1632" s="35"/>
      <c r="AV1632" s="35"/>
      <c r="AW1632" s="35"/>
    </row>
    <row r="1633" spans="1:49" s="50" customFormat="1" ht="15.75" x14ac:dyDescent="0.2">
      <c r="A1633" s="35"/>
      <c r="B1633" s="35"/>
      <c r="C1633" s="35"/>
      <c r="D1633" s="35"/>
      <c r="E1633" s="35"/>
      <c r="F1633" s="35"/>
      <c r="G1633" s="35"/>
      <c r="H1633" s="35"/>
      <c r="I1633" s="35"/>
      <c r="J1633" s="35"/>
      <c r="K1633" s="35"/>
      <c r="L1633" s="35"/>
      <c r="M1633" s="35"/>
      <c r="N1633" s="35"/>
      <c r="O1633" s="35"/>
      <c r="P1633" s="35"/>
      <c r="Q1633" s="35"/>
      <c r="R1633" s="35"/>
      <c r="S1633" s="35"/>
      <c r="T1633" s="35"/>
      <c r="U1633" s="35"/>
      <c r="V1633" s="35"/>
      <c r="W1633" s="35"/>
      <c r="X1633" s="35"/>
      <c r="Y1633" s="35"/>
      <c r="Z1633" s="35"/>
      <c r="AA1633" s="35"/>
      <c r="AB1633" s="35"/>
      <c r="AC1633" s="35"/>
      <c r="AD1633" s="35"/>
      <c r="AE1633" s="35"/>
      <c r="AF1633" s="35"/>
      <c r="AG1633" s="35"/>
      <c r="AH1633" s="35"/>
      <c r="AI1633" s="35"/>
      <c r="AJ1633" s="35"/>
      <c r="AK1633" s="35"/>
      <c r="AL1633" s="35"/>
      <c r="AM1633" s="35"/>
      <c r="AN1633" s="35"/>
      <c r="AO1633" s="35"/>
      <c r="AP1633" s="35"/>
      <c r="AQ1633" s="35"/>
      <c r="AR1633" s="35"/>
      <c r="AS1633" s="35"/>
      <c r="AT1633" s="35"/>
      <c r="AU1633" s="35"/>
      <c r="AV1633" s="35"/>
      <c r="AW1633" s="35"/>
    </row>
    <row r="1634" spans="1:49" s="50" customFormat="1" ht="15.75" x14ac:dyDescent="0.2">
      <c r="A1634" s="35"/>
      <c r="B1634" s="35"/>
      <c r="C1634" s="35"/>
      <c r="D1634" s="35"/>
      <c r="E1634" s="35"/>
      <c r="F1634" s="35"/>
      <c r="G1634" s="35"/>
      <c r="H1634" s="35"/>
      <c r="I1634" s="35"/>
      <c r="J1634" s="35"/>
      <c r="K1634" s="35"/>
      <c r="L1634" s="35"/>
      <c r="M1634" s="35"/>
      <c r="N1634" s="35"/>
      <c r="O1634" s="35"/>
      <c r="P1634" s="35"/>
      <c r="Q1634" s="35"/>
      <c r="R1634" s="35"/>
      <c r="S1634" s="35"/>
      <c r="T1634" s="35"/>
      <c r="U1634" s="35"/>
      <c r="V1634" s="35"/>
      <c r="W1634" s="35"/>
      <c r="X1634" s="35"/>
      <c r="Y1634" s="35"/>
      <c r="Z1634" s="35"/>
      <c r="AA1634" s="35"/>
      <c r="AB1634" s="35"/>
      <c r="AC1634" s="35"/>
      <c r="AD1634" s="35"/>
      <c r="AE1634" s="35"/>
      <c r="AF1634" s="35"/>
      <c r="AG1634" s="35"/>
      <c r="AH1634" s="35"/>
      <c r="AI1634" s="35"/>
      <c r="AJ1634" s="35"/>
      <c r="AK1634" s="35"/>
      <c r="AL1634" s="35"/>
      <c r="AM1634" s="35"/>
      <c r="AN1634" s="35"/>
      <c r="AO1634" s="35"/>
      <c r="AP1634" s="35"/>
      <c r="AQ1634" s="35"/>
      <c r="AR1634" s="35"/>
      <c r="AS1634" s="35"/>
      <c r="AT1634" s="35"/>
      <c r="AU1634" s="35"/>
      <c r="AV1634" s="35"/>
      <c r="AW1634" s="35"/>
    </row>
    <row r="1635" spans="1:49" s="50" customFormat="1" ht="15.75" x14ac:dyDescent="0.2">
      <c r="A1635" s="35"/>
      <c r="B1635" s="35"/>
      <c r="C1635" s="35"/>
      <c r="D1635" s="35"/>
      <c r="E1635" s="35"/>
      <c r="F1635" s="35"/>
      <c r="G1635" s="35"/>
      <c r="H1635" s="35"/>
      <c r="I1635" s="35"/>
      <c r="J1635" s="35"/>
      <c r="K1635" s="35"/>
      <c r="L1635" s="35"/>
      <c r="M1635" s="35"/>
      <c r="N1635" s="35"/>
      <c r="O1635" s="35"/>
      <c r="P1635" s="35"/>
      <c r="Q1635" s="35"/>
      <c r="R1635" s="35"/>
      <c r="S1635" s="35"/>
      <c r="T1635" s="35"/>
      <c r="U1635" s="35"/>
      <c r="V1635" s="35"/>
      <c r="W1635" s="35"/>
      <c r="X1635" s="35"/>
      <c r="Y1635" s="35"/>
      <c r="Z1635" s="35"/>
      <c r="AA1635" s="35"/>
      <c r="AB1635" s="35"/>
      <c r="AC1635" s="35"/>
      <c r="AD1635" s="35"/>
      <c r="AE1635" s="35"/>
      <c r="AF1635" s="35"/>
      <c r="AG1635" s="35"/>
      <c r="AH1635" s="35"/>
      <c r="AI1635" s="35"/>
      <c r="AJ1635" s="35"/>
      <c r="AK1635" s="35"/>
      <c r="AL1635" s="35"/>
      <c r="AM1635" s="35"/>
      <c r="AN1635" s="35"/>
      <c r="AO1635" s="35"/>
      <c r="AP1635" s="35"/>
      <c r="AQ1635" s="35"/>
      <c r="AR1635" s="35"/>
      <c r="AS1635" s="35"/>
      <c r="AT1635" s="35"/>
      <c r="AU1635" s="35"/>
      <c r="AV1635" s="35"/>
      <c r="AW1635" s="35"/>
    </row>
    <row r="1636" spans="1:49" s="50" customFormat="1" ht="15.75" x14ac:dyDescent="0.2">
      <c r="A1636" s="35"/>
      <c r="B1636" s="35"/>
      <c r="C1636" s="35"/>
      <c r="D1636" s="35"/>
      <c r="E1636" s="35"/>
      <c r="F1636" s="35"/>
      <c r="G1636" s="35"/>
      <c r="H1636" s="35"/>
      <c r="I1636" s="35"/>
      <c r="J1636" s="35"/>
      <c r="K1636" s="35"/>
      <c r="L1636" s="35"/>
      <c r="M1636" s="35"/>
      <c r="N1636" s="35"/>
      <c r="O1636" s="35"/>
      <c r="P1636" s="35"/>
      <c r="Q1636" s="35"/>
      <c r="R1636" s="35"/>
      <c r="S1636" s="35"/>
      <c r="T1636" s="35"/>
      <c r="U1636" s="35"/>
      <c r="V1636" s="35"/>
      <c r="W1636" s="35"/>
      <c r="X1636" s="35"/>
      <c r="Y1636" s="35"/>
      <c r="Z1636" s="35"/>
      <c r="AA1636" s="35"/>
      <c r="AB1636" s="35"/>
      <c r="AC1636" s="35"/>
      <c r="AD1636" s="35"/>
      <c r="AE1636" s="35"/>
      <c r="AF1636" s="35"/>
      <c r="AG1636" s="35"/>
      <c r="AH1636" s="35"/>
      <c r="AI1636" s="35"/>
      <c r="AJ1636" s="35"/>
      <c r="AK1636" s="35"/>
      <c r="AL1636" s="35"/>
      <c r="AM1636" s="35"/>
      <c r="AN1636" s="35"/>
      <c r="AO1636" s="35"/>
      <c r="AP1636" s="35"/>
      <c r="AQ1636" s="35"/>
      <c r="AR1636" s="35"/>
      <c r="AS1636" s="35"/>
      <c r="AT1636" s="35"/>
      <c r="AU1636" s="35"/>
      <c r="AV1636" s="35"/>
      <c r="AW1636" s="35"/>
    </row>
    <row r="1637" spans="1:49" s="50" customFormat="1" ht="15.75" x14ac:dyDescent="0.2">
      <c r="A1637" s="35"/>
      <c r="B1637" s="35"/>
      <c r="C1637" s="35"/>
      <c r="D1637" s="35"/>
      <c r="E1637" s="35"/>
      <c r="F1637" s="35"/>
      <c r="G1637" s="35"/>
      <c r="H1637" s="35"/>
      <c r="I1637" s="35"/>
      <c r="J1637" s="35"/>
      <c r="K1637" s="35"/>
      <c r="L1637" s="35"/>
      <c r="M1637" s="35"/>
      <c r="N1637" s="35"/>
      <c r="O1637" s="35"/>
      <c r="P1637" s="35"/>
      <c r="Q1637" s="35"/>
      <c r="R1637" s="35"/>
      <c r="S1637" s="35"/>
      <c r="T1637" s="35"/>
      <c r="U1637" s="35"/>
      <c r="V1637" s="35"/>
      <c r="W1637" s="35"/>
      <c r="X1637" s="35"/>
      <c r="Y1637" s="35"/>
      <c r="Z1637" s="35"/>
      <c r="AA1637" s="35"/>
      <c r="AB1637" s="35"/>
      <c r="AC1637" s="35"/>
      <c r="AD1637" s="35"/>
      <c r="AE1637" s="35"/>
      <c r="AF1637" s="35"/>
      <c r="AG1637" s="35"/>
      <c r="AH1637" s="35"/>
      <c r="AI1637" s="35"/>
      <c r="AJ1637" s="35"/>
      <c r="AK1637" s="35"/>
      <c r="AL1637" s="35"/>
      <c r="AM1637" s="35"/>
      <c r="AN1637" s="35"/>
      <c r="AO1637" s="35"/>
      <c r="AP1637" s="35"/>
      <c r="AQ1637" s="35"/>
      <c r="AR1637" s="35"/>
      <c r="AS1637" s="35"/>
      <c r="AT1637" s="35"/>
      <c r="AU1637" s="35"/>
      <c r="AV1637" s="35"/>
      <c r="AW1637" s="35"/>
    </row>
    <row r="1638" spans="1:49" s="47" customFormat="1" ht="15.75" x14ac:dyDescent="0.2">
      <c r="A1638" s="35"/>
      <c r="B1638" s="35"/>
      <c r="C1638" s="35"/>
      <c r="D1638" s="35"/>
      <c r="E1638" s="35"/>
      <c r="F1638" s="35"/>
      <c r="G1638" s="35"/>
      <c r="H1638" s="35"/>
      <c r="I1638" s="35"/>
      <c r="J1638" s="35"/>
      <c r="K1638" s="35"/>
      <c r="L1638" s="35"/>
      <c r="M1638" s="35"/>
      <c r="N1638" s="35"/>
      <c r="O1638" s="35"/>
      <c r="P1638" s="35"/>
      <c r="Q1638" s="35"/>
      <c r="R1638" s="35"/>
      <c r="S1638" s="35"/>
      <c r="T1638" s="35"/>
      <c r="U1638" s="35"/>
      <c r="V1638" s="35"/>
      <c r="W1638" s="35"/>
      <c r="X1638" s="35"/>
      <c r="Y1638" s="35"/>
      <c r="Z1638" s="35"/>
      <c r="AA1638" s="35"/>
      <c r="AB1638" s="35"/>
      <c r="AC1638" s="35"/>
      <c r="AD1638" s="35"/>
      <c r="AE1638" s="35"/>
      <c r="AF1638" s="35"/>
      <c r="AG1638" s="35"/>
      <c r="AH1638" s="35"/>
      <c r="AI1638" s="35"/>
      <c r="AJ1638" s="35"/>
      <c r="AK1638" s="35"/>
      <c r="AL1638" s="35"/>
      <c r="AM1638" s="35"/>
      <c r="AN1638" s="35"/>
      <c r="AO1638" s="35"/>
      <c r="AP1638" s="35"/>
      <c r="AQ1638" s="35"/>
      <c r="AR1638" s="35"/>
      <c r="AS1638" s="35"/>
      <c r="AT1638" s="35"/>
      <c r="AU1638" s="35"/>
      <c r="AV1638" s="35"/>
      <c r="AW1638" s="35"/>
    </row>
    <row r="1639" spans="1:49" s="50" customFormat="1" ht="15.75" x14ac:dyDescent="0.2">
      <c r="A1639" s="35"/>
      <c r="B1639" s="35"/>
      <c r="C1639" s="35"/>
      <c r="D1639" s="35"/>
      <c r="E1639" s="35"/>
      <c r="F1639" s="35"/>
      <c r="G1639" s="35"/>
      <c r="H1639" s="35"/>
      <c r="I1639" s="35"/>
      <c r="J1639" s="35"/>
      <c r="K1639" s="35"/>
      <c r="L1639" s="35"/>
      <c r="M1639" s="35"/>
      <c r="N1639" s="35"/>
      <c r="O1639" s="35"/>
      <c r="P1639" s="35"/>
      <c r="Q1639" s="35"/>
      <c r="R1639" s="35"/>
      <c r="S1639" s="35"/>
      <c r="T1639" s="35"/>
      <c r="U1639" s="35"/>
      <c r="V1639" s="35"/>
      <c r="W1639" s="35"/>
      <c r="X1639" s="35"/>
      <c r="Y1639" s="35"/>
      <c r="Z1639" s="35"/>
      <c r="AA1639" s="35"/>
      <c r="AB1639" s="35"/>
      <c r="AC1639" s="35"/>
      <c r="AD1639" s="35"/>
      <c r="AE1639" s="35"/>
      <c r="AF1639" s="35"/>
      <c r="AG1639" s="35"/>
      <c r="AH1639" s="35"/>
      <c r="AI1639" s="35"/>
      <c r="AJ1639" s="35"/>
      <c r="AK1639" s="35"/>
      <c r="AL1639" s="35"/>
      <c r="AM1639" s="35"/>
      <c r="AN1639" s="35"/>
      <c r="AO1639" s="35"/>
      <c r="AP1639" s="35"/>
      <c r="AQ1639" s="35"/>
      <c r="AR1639" s="35"/>
      <c r="AS1639" s="35"/>
      <c r="AT1639" s="35"/>
      <c r="AU1639" s="35"/>
      <c r="AV1639" s="35"/>
      <c r="AW1639" s="35"/>
    </row>
    <row r="1640" spans="1:49" s="50" customFormat="1" ht="15.75" x14ac:dyDescent="0.2">
      <c r="A1640" s="35"/>
      <c r="B1640" s="35"/>
      <c r="C1640" s="35"/>
      <c r="D1640" s="35"/>
      <c r="E1640" s="35"/>
      <c r="F1640" s="35"/>
      <c r="G1640" s="35"/>
      <c r="H1640" s="35"/>
      <c r="I1640" s="35"/>
      <c r="J1640" s="35"/>
      <c r="K1640" s="35"/>
      <c r="L1640" s="35"/>
      <c r="M1640" s="35"/>
      <c r="N1640" s="35"/>
      <c r="O1640" s="35"/>
      <c r="P1640" s="35"/>
      <c r="Q1640" s="35"/>
      <c r="R1640" s="35"/>
      <c r="S1640" s="35"/>
      <c r="T1640" s="35"/>
      <c r="U1640" s="35"/>
      <c r="V1640" s="35"/>
      <c r="W1640" s="35"/>
      <c r="X1640" s="35"/>
      <c r="Y1640" s="35"/>
      <c r="Z1640" s="35"/>
      <c r="AA1640" s="35"/>
      <c r="AB1640" s="35"/>
      <c r="AC1640" s="35"/>
      <c r="AD1640" s="35"/>
      <c r="AE1640" s="35"/>
      <c r="AF1640" s="35"/>
      <c r="AG1640" s="35"/>
      <c r="AH1640" s="35"/>
      <c r="AI1640" s="35"/>
      <c r="AJ1640" s="35"/>
      <c r="AK1640" s="35"/>
      <c r="AL1640" s="35"/>
      <c r="AM1640" s="35"/>
      <c r="AN1640" s="35"/>
      <c r="AO1640" s="35"/>
      <c r="AP1640" s="35"/>
      <c r="AQ1640" s="35"/>
      <c r="AR1640" s="35"/>
      <c r="AS1640" s="35"/>
      <c r="AT1640" s="35"/>
      <c r="AU1640" s="35"/>
      <c r="AV1640" s="35"/>
      <c r="AW1640" s="35"/>
    </row>
    <row r="1641" spans="1:49" s="50" customFormat="1" ht="15.75" x14ac:dyDescent="0.2">
      <c r="A1641" s="35"/>
      <c r="B1641" s="35"/>
      <c r="C1641" s="35"/>
      <c r="D1641" s="35"/>
      <c r="E1641" s="35"/>
      <c r="F1641" s="35"/>
      <c r="G1641" s="35"/>
      <c r="H1641" s="35"/>
      <c r="I1641" s="35"/>
      <c r="J1641" s="35"/>
      <c r="K1641" s="35"/>
      <c r="L1641" s="35"/>
      <c r="M1641" s="35"/>
      <c r="N1641" s="35"/>
      <c r="O1641" s="35"/>
      <c r="P1641" s="35"/>
      <c r="Q1641" s="35"/>
      <c r="R1641" s="35"/>
      <c r="S1641" s="35"/>
      <c r="T1641" s="35"/>
      <c r="U1641" s="35"/>
      <c r="V1641" s="35"/>
      <c r="W1641" s="35"/>
      <c r="X1641" s="35"/>
      <c r="Y1641" s="35"/>
      <c r="Z1641" s="35"/>
      <c r="AA1641" s="35"/>
      <c r="AB1641" s="35"/>
      <c r="AC1641" s="35"/>
      <c r="AD1641" s="35"/>
      <c r="AE1641" s="35"/>
      <c r="AF1641" s="35"/>
      <c r="AG1641" s="35"/>
      <c r="AH1641" s="35"/>
      <c r="AI1641" s="35"/>
      <c r="AJ1641" s="35"/>
      <c r="AK1641" s="35"/>
      <c r="AL1641" s="35"/>
      <c r="AM1641" s="35"/>
      <c r="AN1641" s="35"/>
      <c r="AO1641" s="35"/>
      <c r="AP1641" s="35"/>
      <c r="AQ1641" s="35"/>
      <c r="AR1641" s="35"/>
      <c r="AS1641" s="35"/>
      <c r="AT1641" s="35"/>
      <c r="AU1641" s="35"/>
      <c r="AV1641" s="35"/>
      <c r="AW1641" s="35"/>
    </row>
    <row r="1642" spans="1:49" s="50" customFormat="1" ht="15.75" x14ac:dyDescent="0.2">
      <c r="A1642" s="35"/>
      <c r="B1642" s="35"/>
      <c r="C1642" s="35"/>
      <c r="D1642" s="35"/>
      <c r="E1642" s="35"/>
      <c r="F1642" s="35"/>
      <c r="G1642" s="35"/>
      <c r="H1642" s="35"/>
      <c r="I1642" s="35"/>
      <c r="J1642" s="35"/>
      <c r="K1642" s="35"/>
      <c r="L1642" s="35"/>
      <c r="M1642" s="35"/>
      <c r="N1642" s="35"/>
      <c r="O1642" s="35"/>
      <c r="P1642" s="35"/>
      <c r="Q1642" s="35"/>
      <c r="R1642" s="35"/>
      <c r="S1642" s="35"/>
      <c r="T1642" s="35"/>
      <c r="U1642" s="35"/>
      <c r="V1642" s="35"/>
      <c r="W1642" s="35"/>
      <c r="X1642" s="35"/>
      <c r="Y1642" s="35"/>
      <c r="Z1642" s="35"/>
      <c r="AA1642" s="35"/>
      <c r="AB1642" s="35"/>
      <c r="AC1642" s="35"/>
      <c r="AD1642" s="35"/>
      <c r="AE1642" s="35"/>
      <c r="AF1642" s="35"/>
      <c r="AG1642" s="35"/>
      <c r="AH1642" s="35"/>
      <c r="AI1642" s="35"/>
      <c r="AJ1642" s="35"/>
      <c r="AK1642" s="35"/>
      <c r="AL1642" s="35"/>
      <c r="AM1642" s="35"/>
      <c r="AN1642" s="35"/>
      <c r="AO1642" s="35"/>
      <c r="AP1642" s="35"/>
      <c r="AQ1642" s="35"/>
      <c r="AR1642" s="35"/>
      <c r="AS1642" s="35"/>
      <c r="AT1642" s="35"/>
      <c r="AU1642" s="35"/>
      <c r="AV1642" s="35"/>
      <c r="AW1642" s="35"/>
    </row>
    <row r="1643" spans="1:49" s="50" customFormat="1" ht="15.75" x14ac:dyDescent="0.2">
      <c r="A1643" s="35"/>
      <c r="B1643" s="35"/>
      <c r="C1643" s="35"/>
      <c r="D1643" s="35"/>
      <c r="E1643" s="35"/>
      <c r="F1643" s="35"/>
      <c r="G1643" s="35"/>
      <c r="H1643" s="35"/>
      <c r="I1643" s="35"/>
      <c r="J1643" s="35"/>
      <c r="K1643" s="35"/>
      <c r="L1643" s="35"/>
      <c r="M1643" s="35"/>
      <c r="N1643" s="35"/>
      <c r="O1643" s="35"/>
      <c r="P1643" s="35"/>
      <c r="Q1643" s="35"/>
      <c r="R1643" s="35"/>
      <c r="S1643" s="35"/>
      <c r="T1643" s="35"/>
      <c r="U1643" s="35"/>
      <c r="V1643" s="35"/>
      <c r="W1643" s="35"/>
      <c r="X1643" s="35"/>
      <c r="Y1643" s="35"/>
      <c r="Z1643" s="35"/>
      <c r="AA1643" s="35"/>
      <c r="AB1643" s="35"/>
      <c r="AC1643" s="35"/>
      <c r="AD1643" s="35"/>
      <c r="AE1643" s="35"/>
      <c r="AF1643" s="35"/>
      <c r="AG1643" s="35"/>
      <c r="AH1643" s="35"/>
      <c r="AI1643" s="35"/>
      <c r="AJ1643" s="35"/>
      <c r="AK1643" s="35"/>
      <c r="AL1643" s="35"/>
      <c r="AM1643" s="35"/>
      <c r="AN1643" s="35"/>
      <c r="AO1643" s="35"/>
      <c r="AP1643" s="35"/>
      <c r="AQ1643" s="35"/>
      <c r="AR1643" s="35"/>
      <c r="AS1643" s="35"/>
      <c r="AT1643" s="35"/>
      <c r="AU1643" s="35"/>
      <c r="AV1643" s="35"/>
      <c r="AW1643" s="35"/>
    </row>
    <row r="1644" spans="1:49" s="50" customFormat="1" ht="15.75" x14ac:dyDescent="0.2">
      <c r="A1644" s="35"/>
      <c r="B1644" s="35"/>
      <c r="C1644" s="35"/>
      <c r="D1644" s="35"/>
      <c r="E1644" s="35"/>
      <c r="F1644" s="35"/>
      <c r="G1644" s="35"/>
      <c r="H1644" s="35"/>
      <c r="I1644" s="35"/>
      <c r="J1644" s="35"/>
      <c r="K1644" s="35"/>
      <c r="L1644" s="35"/>
      <c r="M1644" s="35"/>
      <c r="N1644" s="35"/>
      <c r="O1644" s="35"/>
      <c r="P1644" s="35"/>
      <c r="Q1644" s="35"/>
      <c r="R1644" s="35"/>
      <c r="S1644" s="35"/>
      <c r="T1644" s="35"/>
      <c r="U1644" s="35"/>
      <c r="V1644" s="35"/>
      <c r="W1644" s="35"/>
      <c r="X1644" s="35"/>
      <c r="Y1644" s="35"/>
      <c r="Z1644" s="35"/>
      <c r="AA1644" s="35"/>
      <c r="AB1644" s="35"/>
      <c r="AC1644" s="35"/>
      <c r="AD1644" s="35"/>
      <c r="AE1644" s="35"/>
      <c r="AF1644" s="35"/>
      <c r="AG1644" s="35"/>
      <c r="AH1644" s="35"/>
      <c r="AI1644" s="35"/>
      <c r="AJ1644" s="35"/>
      <c r="AK1644" s="35"/>
      <c r="AL1644" s="35"/>
      <c r="AM1644" s="35"/>
      <c r="AN1644" s="35"/>
      <c r="AO1644" s="35"/>
      <c r="AP1644" s="35"/>
      <c r="AQ1644" s="35"/>
      <c r="AR1644" s="35"/>
      <c r="AS1644" s="35"/>
      <c r="AT1644" s="35"/>
      <c r="AU1644" s="35"/>
      <c r="AV1644" s="35"/>
      <c r="AW1644" s="35"/>
    </row>
    <row r="1645" spans="1:49" s="47" customFormat="1" ht="15.75" x14ac:dyDescent="0.2">
      <c r="A1645" s="35"/>
      <c r="B1645" s="35"/>
      <c r="C1645" s="35"/>
      <c r="D1645" s="35"/>
      <c r="E1645" s="35"/>
      <c r="F1645" s="35"/>
      <c r="G1645" s="35"/>
      <c r="H1645" s="35"/>
      <c r="I1645" s="35"/>
      <c r="J1645" s="35"/>
      <c r="K1645" s="35"/>
      <c r="L1645" s="35"/>
      <c r="M1645" s="35"/>
      <c r="N1645" s="35"/>
      <c r="O1645" s="35"/>
      <c r="P1645" s="35"/>
      <c r="Q1645" s="35"/>
      <c r="R1645" s="35"/>
      <c r="S1645" s="35"/>
      <c r="T1645" s="35"/>
      <c r="U1645" s="35"/>
      <c r="V1645" s="35"/>
      <c r="W1645" s="35"/>
      <c r="X1645" s="35"/>
      <c r="Y1645" s="35"/>
      <c r="Z1645" s="35"/>
      <c r="AA1645" s="35"/>
      <c r="AB1645" s="35"/>
      <c r="AC1645" s="35"/>
      <c r="AD1645" s="35"/>
      <c r="AE1645" s="35"/>
      <c r="AF1645" s="35"/>
      <c r="AG1645" s="35"/>
      <c r="AH1645" s="35"/>
      <c r="AI1645" s="35"/>
      <c r="AJ1645" s="35"/>
      <c r="AK1645" s="35"/>
      <c r="AL1645" s="35"/>
      <c r="AM1645" s="35"/>
      <c r="AN1645" s="35"/>
      <c r="AO1645" s="35"/>
      <c r="AP1645" s="35"/>
      <c r="AQ1645" s="35"/>
      <c r="AR1645" s="35"/>
      <c r="AS1645" s="35"/>
      <c r="AT1645" s="35"/>
      <c r="AU1645" s="35"/>
      <c r="AV1645" s="35"/>
      <c r="AW1645" s="35"/>
    </row>
    <row r="1646" spans="1:49" s="50" customFormat="1" ht="15.75" x14ac:dyDescent="0.2">
      <c r="A1646" s="35"/>
      <c r="B1646" s="35"/>
      <c r="C1646" s="35"/>
      <c r="D1646" s="35"/>
      <c r="E1646" s="35"/>
      <c r="F1646" s="35"/>
      <c r="G1646" s="35"/>
      <c r="H1646" s="35"/>
      <c r="I1646" s="35"/>
      <c r="J1646" s="35"/>
      <c r="K1646" s="35"/>
      <c r="L1646" s="35"/>
      <c r="M1646" s="35"/>
      <c r="N1646" s="35"/>
      <c r="O1646" s="35"/>
      <c r="P1646" s="35"/>
      <c r="Q1646" s="35"/>
      <c r="R1646" s="35"/>
      <c r="S1646" s="35"/>
      <c r="T1646" s="35"/>
      <c r="U1646" s="35"/>
      <c r="V1646" s="35"/>
      <c r="W1646" s="35"/>
      <c r="X1646" s="35"/>
      <c r="Y1646" s="35"/>
      <c r="Z1646" s="35"/>
      <c r="AA1646" s="35"/>
      <c r="AB1646" s="35"/>
      <c r="AC1646" s="35"/>
      <c r="AD1646" s="35"/>
      <c r="AE1646" s="35"/>
      <c r="AF1646" s="35"/>
      <c r="AG1646" s="35"/>
      <c r="AH1646" s="35"/>
      <c r="AI1646" s="35"/>
      <c r="AJ1646" s="35"/>
      <c r="AK1646" s="35"/>
      <c r="AL1646" s="35"/>
      <c r="AM1646" s="35"/>
      <c r="AN1646" s="35"/>
      <c r="AO1646" s="35"/>
      <c r="AP1646" s="35"/>
      <c r="AQ1646" s="35"/>
      <c r="AR1646" s="35"/>
      <c r="AS1646" s="35"/>
      <c r="AT1646" s="35"/>
      <c r="AU1646" s="35"/>
      <c r="AV1646" s="35"/>
      <c r="AW1646" s="35"/>
    </row>
    <row r="1647" spans="1:49" s="50" customFormat="1" ht="15.75" x14ac:dyDescent="0.2">
      <c r="A1647" s="35"/>
      <c r="B1647" s="35"/>
      <c r="C1647" s="35"/>
      <c r="D1647" s="35"/>
      <c r="E1647" s="35"/>
      <c r="F1647" s="35"/>
      <c r="G1647" s="35"/>
      <c r="H1647" s="35"/>
      <c r="I1647" s="35"/>
      <c r="J1647" s="35"/>
      <c r="K1647" s="35"/>
      <c r="L1647" s="35"/>
      <c r="M1647" s="35"/>
      <c r="N1647" s="35"/>
      <c r="O1647" s="35"/>
      <c r="P1647" s="35"/>
      <c r="Q1647" s="35"/>
      <c r="R1647" s="35"/>
      <c r="S1647" s="35"/>
      <c r="T1647" s="35"/>
      <c r="U1647" s="35"/>
      <c r="V1647" s="35"/>
      <c r="W1647" s="35"/>
      <c r="X1647" s="35"/>
      <c r="Y1647" s="35"/>
      <c r="Z1647" s="35"/>
      <c r="AA1647" s="35"/>
      <c r="AB1647" s="35"/>
      <c r="AC1647" s="35"/>
      <c r="AD1647" s="35"/>
      <c r="AE1647" s="35"/>
      <c r="AF1647" s="35"/>
      <c r="AG1647" s="35"/>
      <c r="AH1647" s="35"/>
      <c r="AI1647" s="35"/>
      <c r="AJ1647" s="35"/>
      <c r="AK1647" s="35"/>
      <c r="AL1647" s="35"/>
      <c r="AM1647" s="35"/>
      <c r="AN1647" s="35"/>
      <c r="AO1647" s="35"/>
      <c r="AP1647" s="35"/>
      <c r="AQ1647" s="35"/>
      <c r="AR1647" s="35"/>
      <c r="AS1647" s="35"/>
      <c r="AT1647" s="35"/>
      <c r="AU1647" s="35"/>
      <c r="AV1647" s="35"/>
      <c r="AW1647" s="35"/>
    </row>
    <row r="1648" spans="1:49" s="50" customFormat="1" ht="15.75" x14ac:dyDescent="0.2">
      <c r="A1648" s="35"/>
      <c r="B1648" s="35"/>
      <c r="C1648" s="35"/>
      <c r="D1648" s="35"/>
      <c r="E1648" s="35"/>
      <c r="F1648" s="35"/>
      <c r="G1648" s="35"/>
      <c r="H1648" s="35"/>
      <c r="I1648" s="35"/>
      <c r="J1648" s="35"/>
      <c r="K1648" s="35"/>
      <c r="L1648" s="35"/>
      <c r="M1648" s="35"/>
      <c r="N1648" s="35"/>
      <c r="O1648" s="35"/>
      <c r="P1648" s="35"/>
      <c r="Q1648" s="35"/>
      <c r="R1648" s="35"/>
      <c r="S1648" s="35"/>
      <c r="T1648" s="35"/>
      <c r="U1648" s="35"/>
      <c r="V1648" s="35"/>
      <c r="W1648" s="35"/>
      <c r="X1648" s="35"/>
      <c r="Y1648" s="35"/>
      <c r="Z1648" s="35"/>
      <c r="AA1648" s="35"/>
      <c r="AB1648" s="35"/>
      <c r="AC1648" s="35"/>
      <c r="AD1648" s="35"/>
      <c r="AE1648" s="35"/>
      <c r="AF1648" s="35"/>
      <c r="AG1648" s="35"/>
      <c r="AH1648" s="35"/>
      <c r="AI1648" s="35"/>
      <c r="AJ1648" s="35"/>
      <c r="AK1648" s="35"/>
      <c r="AL1648" s="35"/>
      <c r="AM1648" s="35"/>
      <c r="AN1648" s="35"/>
      <c r="AO1648" s="35"/>
      <c r="AP1648" s="35"/>
      <c r="AQ1648" s="35"/>
      <c r="AR1648" s="35"/>
      <c r="AS1648" s="35"/>
      <c r="AT1648" s="35"/>
      <c r="AU1648" s="35"/>
      <c r="AV1648" s="35"/>
      <c r="AW1648" s="35"/>
    </row>
    <row r="1649" spans="1:49" s="47" customFormat="1" ht="15.75" x14ac:dyDescent="0.2">
      <c r="A1649" s="35"/>
      <c r="B1649" s="35"/>
      <c r="C1649" s="35"/>
      <c r="D1649" s="35"/>
      <c r="E1649" s="35"/>
      <c r="F1649" s="35"/>
      <c r="G1649" s="35"/>
      <c r="H1649" s="35"/>
      <c r="I1649" s="35"/>
      <c r="J1649" s="35"/>
      <c r="K1649" s="35"/>
      <c r="L1649" s="35"/>
      <c r="M1649" s="35"/>
      <c r="N1649" s="35"/>
      <c r="O1649" s="35"/>
      <c r="P1649" s="35"/>
      <c r="Q1649" s="35"/>
      <c r="R1649" s="35"/>
      <c r="S1649" s="35"/>
      <c r="T1649" s="35"/>
      <c r="U1649" s="35"/>
      <c r="V1649" s="35"/>
      <c r="W1649" s="35"/>
      <c r="X1649" s="35"/>
      <c r="Y1649" s="35"/>
      <c r="Z1649" s="35"/>
      <c r="AA1649" s="35"/>
      <c r="AB1649" s="35"/>
      <c r="AC1649" s="35"/>
      <c r="AD1649" s="35"/>
      <c r="AE1649" s="35"/>
      <c r="AF1649" s="35"/>
      <c r="AG1649" s="35"/>
      <c r="AH1649" s="35"/>
      <c r="AI1649" s="35"/>
      <c r="AJ1649" s="35"/>
      <c r="AK1649" s="35"/>
      <c r="AL1649" s="35"/>
      <c r="AM1649" s="35"/>
      <c r="AN1649" s="35"/>
      <c r="AO1649" s="35"/>
      <c r="AP1649" s="35"/>
      <c r="AQ1649" s="35"/>
      <c r="AR1649" s="35"/>
      <c r="AS1649" s="35"/>
      <c r="AT1649" s="35"/>
      <c r="AU1649" s="35"/>
      <c r="AV1649" s="35"/>
      <c r="AW1649" s="35"/>
    </row>
    <row r="1650" spans="1:49" s="50" customFormat="1" ht="15.75" x14ac:dyDescent="0.2">
      <c r="A1650" s="35"/>
      <c r="B1650" s="35"/>
      <c r="C1650" s="35"/>
      <c r="D1650" s="35"/>
      <c r="E1650" s="35"/>
      <c r="F1650" s="35"/>
      <c r="G1650" s="35"/>
      <c r="H1650" s="35"/>
      <c r="I1650" s="35"/>
      <c r="J1650" s="35"/>
      <c r="K1650" s="35"/>
      <c r="L1650" s="35"/>
      <c r="M1650" s="35"/>
      <c r="N1650" s="35"/>
      <c r="O1650" s="35"/>
      <c r="P1650" s="35"/>
      <c r="Q1650" s="35"/>
      <c r="R1650" s="35"/>
      <c r="S1650" s="35"/>
      <c r="T1650" s="35"/>
      <c r="U1650" s="35"/>
      <c r="V1650" s="35"/>
      <c r="W1650" s="35"/>
      <c r="X1650" s="35"/>
      <c r="Y1650" s="35"/>
      <c r="Z1650" s="35"/>
      <c r="AA1650" s="35"/>
      <c r="AB1650" s="35"/>
      <c r="AC1650" s="35"/>
      <c r="AD1650" s="35"/>
      <c r="AE1650" s="35"/>
      <c r="AF1650" s="35"/>
      <c r="AG1650" s="35"/>
      <c r="AH1650" s="35"/>
      <c r="AI1650" s="35"/>
      <c r="AJ1650" s="35"/>
      <c r="AK1650" s="35"/>
      <c r="AL1650" s="35"/>
      <c r="AM1650" s="35"/>
      <c r="AN1650" s="35"/>
      <c r="AO1650" s="35"/>
      <c r="AP1650" s="35"/>
      <c r="AQ1650" s="35"/>
      <c r="AR1650" s="35"/>
      <c r="AS1650" s="35"/>
      <c r="AT1650" s="35"/>
      <c r="AU1650" s="35"/>
      <c r="AV1650" s="35"/>
      <c r="AW1650" s="35"/>
    </row>
    <row r="1651" spans="1:49" s="50" customFormat="1" ht="15.75" x14ac:dyDescent="0.2">
      <c r="A1651" s="35"/>
      <c r="B1651" s="35"/>
      <c r="C1651" s="35"/>
      <c r="D1651" s="35"/>
      <c r="E1651" s="35"/>
      <c r="F1651" s="35"/>
      <c r="G1651" s="35"/>
      <c r="H1651" s="35"/>
      <c r="I1651" s="35"/>
      <c r="J1651" s="35"/>
      <c r="K1651" s="35"/>
      <c r="L1651" s="35"/>
      <c r="M1651" s="35"/>
      <c r="N1651" s="35"/>
      <c r="O1651" s="35"/>
      <c r="P1651" s="35"/>
      <c r="Q1651" s="35"/>
      <c r="R1651" s="35"/>
      <c r="S1651" s="35"/>
      <c r="T1651" s="35"/>
      <c r="U1651" s="35"/>
      <c r="V1651" s="35"/>
      <c r="W1651" s="35"/>
      <c r="X1651" s="35"/>
      <c r="Y1651" s="35"/>
      <c r="Z1651" s="35"/>
      <c r="AA1651" s="35"/>
      <c r="AB1651" s="35"/>
      <c r="AC1651" s="35"/>
      <c r="AD1651" s="35"/>
      <c r="AE1651" s="35"/>
      <c r="AF1651" s="35"/>
      <c r="AG1651" s="35"/>
      <c r="AH1651" s="35"/>
      <c r="AI1651" s="35"/>
      <c r="AJ1651" s="35"/>
      <c r="AK1651" s="35"/>
      <c r="AL1651" s="35"/>
      <c r="AM1651" s="35"/>
      <c r="AN1651" s="35"/>
      <c r="AO1651" s="35"/>
      <c r="AP1651" s="35"/>
      <c r="AQ1651" s="35"/>
      <c r="AR1651" s="35"/>
      <c r="AS1651" s="35"/>
      <c r="AT1651" s="35"/>
      <c r="AU1651" s="35"/>
      <c r="AV1651" s="35"/>
      <c r="AW1651" s="35"/>
    </row>
    <row r="1652" spans="1:49" s="50" customFormat="1" ht="15.75" x14ac:dyDescent="0.2">
      <c r="A1652" s="35"/>
      <c r="B1652" s="35"/>
      <c r="C1652" s="35"/>
      <c r="D1652" s="35"/>
      <c r="E1652" s="35"/>
      <c r="F1652" s="35"/>
      <c r="G1652" s="35"/>
      <c r="H1652" s="35"/>
      <c r="I1652" s="35"/>
      <c r="J1652" s="35"/>
      <c r="K1652" s="35"/>
      <c r="L1652" s="35"/>
      <c r="M1652" s="35"/>
      <c r="N1652" s="35"/>
      <c r="O1652" s="35"/>
      <c r="P1652" s="35"/>
      <c r="Q1652" s="35"/>
      <c r="R1652" s="35"/>
      <c r="S1652" s="35"/>
      <c r="T1652" s="35"/>
      <c r="U1652" s="35"/>
      <c r="V1652" s="35"/>
      <c r="W1652" s="35"/>
      <c r="X1652" s="35"/>
      <c r="Y1652" s="35"/>
      <c r="Z1652" s="35"/>
      <c r="AA1652" s="35"/>
      <c r="AB1652" s="35"/>
      <c r="AC1652" s="35"/>
      <c r="AD1652" s="35"/>
      <c r="AE1652" s="35"/>
      <c r="AF1652" s="35"/>
      <c r="AG1652" s="35"/>
      <c r="AH1652" s="35"/>
      <c r="AI1652" s="35"/>
      <c r="AJ1652" s="35"/>
      <c r="AK1652" s="35"/>
      <c r="AL1652" s="35"/>
      <c r="AM1652" s="35"/>
      <c r="AN1652" s="35"/>
      <c r="AO1652" s="35"/>
      <c r="AP1652" s="35"/>
      <c r="AQ1652" s="35"/>
      <c r="AR1652" s="35"/>
      <c r="AS1652" s="35"/>
      <c r="AT1652" s="35"/>
      <c r="AU1652" s="35"/>
      <c r="AV1652" s="35"/>
      <c r="AW1652" s="35"/>
    </row>
    <row r="1653" spans="1:49" s="47" customFormat="1" ht="15.75" x14ac:dyDescent="0.2">
      <c r="A1653" s="35"/>
      <c r="B1653" s="35"/>
      <c r="C1653" s="35"/>
      <c r="D1653" s="35"/>
      <c r="E1653" s="35"/>
      <c r="F1653" s="35"/>
      <c r="G1653" s="35"/>
      <c r="H1653" s="35"/>
      <c r="I1653" s="35"/>
      <c r="J1653" s="35"/>
      <c r="K1653" s="35"/>
      <c r="L1653" s="35"/>
      <c r="M1653" s="35"/>
      <c r="N1653" s="35"/>
      <c r="O1653" s="35"/>
      <c r="P1653" s="35"/>
      <c r="Q1653" s="35"/>
      <c r="R1653" s="35"/>
      <c r="S1653" s="35"/>
      <c r="T1653" s="35"/>
      <c r="U1653" s="35"/>
      <c r="V1653" s="35"/>
      <c r="W1653" s="35"/>
      <c r="X1653" s="35"/>
      <c r="Y1653" s="35"/>
      <c r="Z1653" s="35"/>
      <c r="AA1653" s="35"/>
      <c r="AB1653" s="35"/>
      <c r="AC1653" s="35"/>
      <c r="AD1653" s="35"/>
      <c r="AE1653" s="35"/>
      <c r="AF1653" s="35"/>
      <c r="AG1653" s="35"/>
      <c r="AH1653" s="35"/>
      <c r="AI1653" s="35"/>
      <c r="AJ1653" s="35"/>
      <c r="AK1653" s="35"/>
      <c r="AL1653" s="35"/>
      <c r="AM1653" s="35"/>
      <c r="AN1653" s="35"/>
      <c r="AO1653" s="35"/>
      <c r="AP1653" s="35"/>
      <c r="AQ1653" s="35"/>
      <c r="AR1653" s="35"/>
      <c r="AS1653" s="35"/>
      <c r="AT1653" s="35"/>
      <c r="AU1653" s="35"/>
      <c r="AV1653" s="35"/>
      <c r="AW1653" s="35"/>
    </row>
    <row r="1654" spans="1:49" s="50" customFormat="1" ht="15.75" x14ac:dyDescent="0.2">
      <c r="A1654" s="35"/>
      <c r="B1654" s="35"/>
      <c r="C1654" s="35"/>
      <c r="D1654" s="35"/>
      <c r="E1654" s="35"/>
      <c r="F1654" s="35"/>
      <c r="G1654" s="35"/>
      <c r="H1654" s="35"/>
      <c r="I1654" s="35"/>
      <c r="J1654" s="35"/>
      <c r="K1654" s="35"/>
      <c r="L1654" s="35"/>
      <c r="M1654" s="35"/>
      <c r="N1654" s="35"/>
      <c r="O1654" s="35"/>
      <c r="P1654" s="35"/>
      <c r="Q1654" s="35"/>
      <c r="R1654" s="35"/>
      <c r="S1654" s="35"/>
      <c r="T1654" s="35"/>
      <c r="U1654" s="35"/>
      <c r="V1654" s="35"/>
      <c r="W1654" s="35"/>
      <c r="X1654" s="35"/>
      <c r="Y1654" s="35"/>
      <c r="Z1654" s="35"/>
      <c r="AA1654" s="35"/>
      <c r="AB1654" s="35"/>
      <c r="AC1654" s="35"/>
      <c r="AD1654" s="35"/>
      <c r="AE1654" s="35"/>
      <c r="AF1654" s="35"/>
      <c r="AG1654" s="35"/>
      <c r="AH1654" s="35"/>
      <c r="AI1654" s="35"/>
      <c r="AJ1654" s="35"/>
      <c r="AK1654" s="35"/>
      <c r="AL1654" s="35"/>
      <c r="AM1654" s="35"/>
      <c r="AN1654" s="35"/>
      <c r="AO1654" s="35"/>
      <c r="AP1654" s="35"/>
      <c r="AQ1654" s="35"/>
      <c r="AR1654" s="35"/>
      <c r="AS1654" s="35"/>
      <c r="AT1654" s="35"/>
      <c r="AU1654" s="35"/>
      <c r="AV1654" s="35"/>
      <c r="AW1654" s="35"/>
    </row>
    <row r="1655" spans="1:49" s="47" customFormat="1" ht="15.75" x14ac:dyDescent="0.2">
      <c r="A1655" s="35"/>
      <c r="B1655" s="35"/>
      <c r="C1655" s="35"/>
      <c r="D1655" s="35"/>
      <c r="E1655" s="35"/>
      <c r="F1655" s="35"/>
      <c r="G1655" s="35"/>
      <c r="H1655" s="35"/>
      <c r="I1655" s="35"/>
      <c r="J1655" s="35"/>
      <c r="K1655" s="35"/>
      <c r="L1655" s="35"/>
      <c r="M1655" s="35"/>
      <c r="N1655" s="35"/>
      <c r="O1655" s="35"/>
      <c r="P1655" s="35"/>
      <c r="Q1655" s="35"/>
      <c r="R1655" s="35"/>
      <c r="S1655" s="35"/>
      <c r="T1655" s="35"/>
      <c r="U1655" s="35"/>
      <c r="V1655" s="35"/>
      <c r="W1655" s="35"/>
      <c r="X1655" s="35"/>
      <c r="Y1655" s="35"/>
      <c r="Z1655" s="35"/>
      <c r="AA1655" s="35"/>
      <c r="AB1655" s="35"/>
      <c r="AC1655" s="35"/>
      <c r="AD1655" s="35"/>
      <c r="AE1655" s="35"/>
      <c r="AF1655" s="35"/>
      <c r="AG1655" s="35"/>
      <c r="AH1655" s="35"/>
      <c r="AI1655" s="35"/>
      <c r="AJ1655" s="35"/>
      <c r="AK1655" s="35"/>
      <c r="AL1655" s="35"/>
      <c r="AM1655" s="35"/>
      <c r="AN1655" s="35"/>
      <c r="AO1655" s="35"/>
      <c r="AP1655" s="35"/>
      <c r="AQ1655" s="35"/>
      <c r="AR1655" s="35"/>
      <c r="AS1655" s="35"/>
      <c r="AT1655" s="35"/>
      <c r="AU1655" s="35"/>
      <c r="AV1655" s="35"/>
      <c r="AW1655" s="35"/>
    </row>
    <row r="1656" spans="1:49" s="47" customFormat="1" ht="15.75" x14ac:dyDescent="0.2">
      <c r="A1656" s="35"/>
      <c r="B1656" s="35"/>
      <c r="C1656" s="35"/>
      <c r="D1656" s="35"/>
      <c r="E1656" s="35"/>
      <c r="F1656" s="35"/>
      <c r="G1656" s="35"/>
      <c r="H1656" s="35"/>
      <c r="I1656" s="35"/>
      <c r="J1656" s="35"/>
      <c r="K1656" s="35"/>
      <c r="L1656" s="35"/>
      <c r="M1656" s="35"/>
      <c r="N1656" s="35"/>
      <c r="O1656" s="35"/>
      <c r="P1656" s="35"/>
      <c r="Q1656" s="35"/>
      <c r="R1656" s="35"/>
      <c r="S1656" s="35"/>
      <c r="T1656" s="35"/>
      <c r="U1656" s="35"/>
      <c r="V1656" s="35"/>
      <c r="W1656" s="35"/>
      <c r="X1656" s="35"/>
      <c r="Y1656" s="35"/>
      <c r="Z1656" s="35"/>
      <c r="AA1656" s="35"/>
      <c r="AB1656" s="35"/>
      <c r="AC1656" s="35"/>
      <c r="AD1656" s="35"/>
      <c r="AE1656" s="35"/>
      <c r="AF1656" s="35"/>
      <c r="AG1656" s="35"/>
      <c r="AH1656" s="35"/>
      <c r="AI1656" s="35"/>
      <c r="AJ1656" s="35"/>
      <c r="AK1656" s="35"/>
      <c r="AL1656" s="35"/>
      <c r="AM1656" s="35"/>
      <c r="AN1656" s="35"/>
      <c r="AO1656" s="35"/>
      <c r="AP1656" s="35"/>
      <c r="AQ1656" s="35"/>
      <c r="AR1656" s="35"/>
      <c r="AS1656" s="35"/>
      <c r="AT1656" s="35"/>
      <c r="AU1656" s="35"/>
      <c r="AV1656" s="35"/>
      <c r="AW1656" s="35"/>
    </row>
    <row r="1657" spans="1:49" s="50" customFormat="1" ht="15.75" x14ac:dyDescent="0.2">
      <c r="A1657" s="35"/>
      <c r="B1657" s="35"/>
      <c r="C1657" s="35"/>
      <c r="D1657" s="35"/>
      <c r="E1657" s="35"/>
      <c r="F1657" s="35"/>
      <c r="G1657" s="35"/>
      <c r="H1657" s="35"/>
      <c r="I1657" s="35"/>
      <c r="J1657" s="35"/>
      <c r="K1657" s="35"/>
      <c r="L1657" s="35"/>
      <c r="M1657" s="35"/>
      <c r="N1657" s="35"/>
      <c r="O1657" s="35"/>
      <c r="P1657" s="35"/>
      <c r="Q1657" s="35"/>
      <c r="R1657" s="35"/>
      <c r="S1657" s="35"/>
      <c r="T1657" s="35"/>
      <c r="U1657" s="35"/>
      <c r="V1657" s="35"/>
      <c r="W1657" s="35"/>
      <c r="X1657" s="35"/>
      <c r="Y1657" s="35"/>
      <c r="Z1657" s="35"/>
      <c r="AA1657" s="35"/>
      <c r="AB1657" s="35"/>
      <c r="AC1657" s="35"/>
      <c r="AD1657" s="35"/>
      <c r="AE1657" s="35"/>
      <c r="AF1657" s="35"/>
      <c r="AG1657" s="35"/>
      <c r="AH1657" s="35"/>
      <c r="AI1657" s="35"/>
      <c r="AJ1657" s="35"/>
      <c r="AK1657" s="35"/>
      <c r="AL1657" s="35"/>
      <c r="AM1657" s="35"/>
      <c r="AN1657" s="35"/>
      <c r="AO1657" s="35"/>
      <c r="AP1657" s="35"/>
      <c r="AQ1657" s="35"/>
      <c r="AR1657" s="35"/>
      <c r="AS1657" s="35"/>
      <c r="AT1657" s="35"/>
      <c r="AU1657" s="35"/>
      <c r="AV1657" s="35"/>
      <c r="AW1657" s="35"/>
    </row>
    <row r="1658" spans="1:49" s="50" customFormat="1" ht="15.75" x14ac:dyDescent="0.2">
      <c r="A1658" s="35"/>
      <c r="B1658" s="35"/>
      <c r="C1658" s="35"/>
      <c r="D1658" s="35"/>
      <c r="E1658" s="35"/>
      <c r="F1658" s="35"/>
      <c r="G1658" s="35"/>
      <c r="H1658" s="35"/>
      <c r="I1658" s="35"/>
      <c r="J1658" s="35"/>
      <c r="K1658" s="35"/>
      <c r="L1658" s="35"/>
      <c r="M1658" s="35"/>
      <c r="N1658" s="35"/>
      <c r="O1658" s="35"/>
      <c r="P1658" s="35"/>
      <c r="Q1658" s="35"/>
      <c r="R1658" s="35"/>
      <c r="S1658" s="35"/>
      <c r="T1658" s="35"/>
      <c r="U1658" s="35"/>
      <c r="V1658" s="35"/>
      <c r="W1658" s="35"/>
      <c r="X1658" s="35"/>
      <c r="Y1658" s="35"/>
      <c r="Z1658" s="35"/>
      <c r="AA1658" s="35"/>
      <c r="AB1658" s="35"/>
      <c r="AC1658" s="35"/>
      <c r="AD1658" s="35"/>
      <c r="AE1658" s="35"/>
      <c r="AF1658" s="35"/>
      <c r="AG1658" s="35"/>
      <c r="AH1658" s="35"/>
      <c r="AI1658" s="35"/>
      <c r="AJ1658" s="35"/>
      <c r="AK1658" s="35"/>
      <c r="AL1658" s="35"/>
      <c r="AM1658" s="35"/>
      <c r="AN1658" s="35"/>
      <c r="AO1658" s="35"/>
      <c r="AP1658" s="35"/>
      <c r="AQ1658" s="35"/>
      <c r="AR1658" s="35"/>
      <c r="AS1658" s="35"/>
      <c r="AT1658" s="35"/>
      <c r="AU1658" s="35"/>
      <c r="AV1658" s="35"/>
      <c r="AW1658" s="35"/>
    </row>
    <row r="1659" spans="1:49" s="50" customFormat="1" ht="15.75" x14ac:dyDescent="0.2">
      <c r="A1659" s="35"/>
      <c r="B1659" s="35"/>
      <c r="C1659" s="35"/>
      <c r="D1659" s="35"/>
      <c r="E1659" s="35"/>
      <c r="F1659" s="35"/>
      <c r="G1659" s="35"/>
      <c r="H1659" s="35"/>
      <c r="I1659" s="35"/>
      <c r="J1659" s="35"/>
      <c r="K1659" s="35"/>
      <c r="L1659" s="35"/>
      <c r="M1659" s="35"/>
      <c r="N1659" s="35"/>
      <c r="O1659" s="35"/>
      <c r="P1659" s="35"/>
      <c r="Q1659" s="35"/>
      <c r="R1659" s="35"/>
      <c r="S1659" s="35"/>
      <c r="T1659" s="35"/>
      <c r="U1659" s="35"/>
      <c r="V1659" s="35"/>
      <c r="W1659" s="35"/>
      <c r="X1659" s="35"/>
      <c r="Y1659" s="35"/>
      <c r="Z1659" s="35"/>
      <c r="AA1659" s="35"/>
      <c r="AB1659" s="35"/>
      <c r="AC1659" s="35"/>
      <c r="AD1659" s="35"/>
      <c r="AE1659" s="35"/>
      <c r="AF1659" s="35"/>
      <c r="AG1659" s="35"/>
      <c r="AH1659" s="35"/>
      <c r="AI1659" s="35"/>
      <c r="AJ1659" s="35"/>
      <c r="AK1659" s="35"/>
      <c r="AL1659" s="35"/>
      <c r="AM1659" s="35"/>
      <c r="AN1659" s="35"/>
      <c r="AO1659" s="35"/>
      <c r="AP1659" s="35"/>
      <c r="AQ1659" s="35"/>
      <c r="AR1659" s="35"/>
      <c r="AS1659" s="35"/>
      <c r="AT1659" s="35"/>
      <c r="AU1659" s="35"/>
      <c r="AV1659" s="35"/>
      <c r="AW1659" s="35"/>
    </row>
    <row r="1660" spans="1:49" s="47" customFormat="1" ht="15.75" x14ac:dyDescent="0.2">
      <c r="A1660" s="35"/>
      <c r="B1660" s="35"/>
      <c r="C1660" s="35"/>
      <c r="D1660" s="35"/>
      <c r="E1660" s="35"/>
      <c r="F1660" s="35"/>
      <c r="G1660" s="35"/>
      <c r="H1660" s="35"/>
      <c r="I1660" s="35"/>
      <c r="J1660" s="35"/>
      <c r="K1660" s="35"/>
      <c r="L1660" s="35"/>
      <c r="M1660" s="35"/>
      <c r="N1660" s="35"/>
      <c r="O1660" s="35"/>
      <c r="P1660" s="35"/>
      <c r="Q1660" s="35"/>
      <c r="R1660" s="35"/>
      <c r="S1660" s="35"/>
      <c r="T1660" s="35"/>
      <c r="U1660" s="35"/>
      <c r="V1660" s="35"/>
      <c r="W1660" s="35"/>
      <c r="X1660" s="35"/>
      <c r="Y1660" s="35"/>
      <c r="Z1660" s="35"/>
      <c r="AA1660" s="35"/>
      <c r="AB1660" s="35"/>
      <c r="AC1660" s="35"/>
      <c r="AD1660" s="35"/>
      <c r="AE1660" s="35"/>
      <c r="AF1660" s="35"/>
      <c r="AG1660" s="35"/>
      <c r="AH1660" s="35"/>
      <c r="AI1660" s="35"/>
      <c r="AJ1660" s="35"/>
      <c r="AK1660" s="35"/>
      <c r="AL1660" s="35"/>
      <c r="AM1660" s="35"/>
      <c r="AN1660" s="35"/>
      <c r="AO1660" s="35"/>
      <c r="AP1660" s="35"/>
      <c r="AQ1660" s="35"/>
      <c r="AR1660" s="35"/>
      <c r="AS1660" s="35"/>
      <c r="AT1660" s="35"/>
      <c r="AU1660" s="35"/>
      <c r="AV1660" s="35"/>
      <c r="AW1660" s="35"/>
    </row>
    <row r="1661" spans="1:49" s="50" customFormat="1" ht="15.75" x14ac:dyDescent="0.2">
      <c r="A1661" s="35"/>
      <c r="B1661" s="35"/>
      <c r="C1661" s="35"/>
      <c r="D1661" s="35"/>
      <c r="E1661" s="35"/>
      <c r="F1661" s="35"/>
      <c r="G1661" s="35"/>
      <c r="H1661" s="35"/>
      <c r="I1661" s="35"/>
      <c r="J1661" s="35"/>
      <c r="K1661" s="35"/>
      <c r="L1661" s="35"/>
      <c r="M1661" s="35"/>
      <c r="N1661" s="35"/>
      <c r="O1661" s="35"/>
      <c r="P1661" s="35"/>
      <c r="Q1661" s="35"/>
      <c r="R1661" s="35"/>
      <c r="S1661" s="35"/>
      <c r="T1661" s="35"/>
      <c r="U1661" s="35"/>
      <c r="V1661" s="35"/>
      <c r="W1661" s="35"/>
      <c r="X1661" s="35"/>
      <c r="Y1661" s="35"/>
      <c r="Z1661" s="35"/>
      <c r="AA1661" s="35"/>
      <c r="AB1661" s="35"/>
      <c r="AC1661" s="35"/>
      <c r="AD1661" s="35"/>
      <c r="AE1661" s="35"/>
      <c r="AF1661" s="35"/>
      <c r="AG1661" s="35"/>
      <c r="AH1661" s="35"/>
      <c r="AI1661" s="35"/>
      <c r="AJ1661" s="35"/>
      <c r="AK1661" s="35"/>
      <c r="AL1661" s="35"/>
      <c r="AM1661" s="35"/>
      <c r="AN1661" s="35"/>
      <c r="AO1661" s="35"/>
      <c r="AP1661" s="35"/>
      <c r="AQ1661" s="35"/>
      <c r="AR1661" s="35"/>
      <c r="AS1661" s="35"/>
      <c r="AT1661" s="35"/>
      <c r="AU1661" s="35"/>
      <c r="AV1661" s="35"/>
      <c r="AW1661" s="35"/>
    </row>
    <row r="1662" spans="1:49" s="50" customFormat="1" ht="15.75" x14ac:dyDescent="0.2">
      <c r="A1662" s="35"/>
      <c r="B1662" s="35"/>
      <c r="C1662" s="35"/>
      <c r="D1662" s="35"/>
      <c r="E1662" s="35"/>
      <c r="F1662" s="35"/>
      <c r="G1662" s="35"/>
      <c r="H1662" s="35"/>
      <c r="I1662" s="35"/>
      <c r="J1662" s="35"/>
      <c r="K1662" s="35"/>
      <c r="L1662" s="35"/>
      <c r="M1662" s="35"/>
      <c r="N1662" s="35"/>
      <c r="O1662" s="35"/>
      <c r="P1662" s="35"/>
      <c r="Q1662" s="35"/>
      <c r="R1662" s="35"/>
      <c r="S1662" s="35"/>
      <c r="T1662" s="35"/>
      <c r="U1662" s="35"/>
      <c r="V1662" s="35"/>
      <c r="W1662" s="35"/>
      <c r="X1662" s="35"/>
      <c r="Y1662" s="35"/>
      <c r="Z1662" s="35"/>
      <c r="AA1662" s="35"/>
      <c r="AB1662" s="35"/>
      <c r="AC1662" s="35"/>
      <c r="AD1662" s="35"/>
      <c r="AE1662" s="35"/>
      <c r="AF1662" s="35"/>
      <c r="AG1662" s="35"/>
      <c r="AH1662" s="35"/>
      <c r="AI1662" s="35"/>
      <c r="AJ1662" s="35"/>
      <c r="AK1662" s="35"/>
      <c r="AL1662" s="35"/>
      <c r="AM1662" s="35"/>
      <c r="AN1662" s="35"/>
      <c r="AO1662" s="35"/>
      <c r="AP1662" s="35"/>
      <c r="AQ1662" s="35"/>
      <c r="AR1662" s="35"/>
      <c r="AS1662" s="35"/>
      <c r="AT1662" s="35"/>
      <c r="AU1662" s="35"/>
      <c r="AV1662" s="35"/>
      <c r="AW1662" s="35"/>
    </row>
    <row r="1663" spans="1:49" s="47" customFormat="1" ht="15.75" x14ac:dyDescent="0.2">
      <c r="A1663" s="35"/>
      <c r="B1663" s="35"/>
      <c r="C1663" s="35"/>
      <c r="D1663" s="35"/>
      <c r="E1663" s="35"/>
      <c r="F1663" s="35"/>
      <c r="G1663" s="35"/>
      <c r="H1663" s="35"/>
      <c r="I1663" s="35"/>
      <c r="J1663" s="35"/>
      <c r="K1663" s="35"/>
      <c r="L1663" s="35"/>
      <c r="M1663" s="35"/>
      <c r="N1663" s="35"/>
      <c r="O1663" s="35"/>
      <c r="P1663" s="35"/>
      <c r="Q1663" s="35"/>
      <c r="R1663" s="35"/>
      <c r="S1663" s="35"/>
      <c r="T1663" s="35"/>
      <c r="U1663" s="35"/>
      <c r="V1663" s="35"/>
      <c r="W1663" s="35"/>
      <c r="X1663" s="35"/>
      <c r="Y1663" s="35"/>
      <c r="Z1663" s="35"/>
      <c r="AA1663" s="35"/>
      <c r="AB1663" s="35"/>
      <c r="AC1663" s="35"/>
      <c r="AD1663" s="35"/>
      <c r="AE1663" s="35"/>
      <c r="AF1663" s="35"/>
      <c r="AG1663" s="35"/>
      <c r="AH1663" s="35"/>
      <c r="AI1663" s="35"/>
      <c r="AJ1663" s="35"/>
      <c r="AK1663" s="35"/>
      <c r="AL1663" s="35"/>
      <c r="AM1663" s="35"/>
      <c r="AN1663" s="35"/>
      <c r="AO1663" s="35"/>
      <c r="AP1663" s="35"/>
      <c r="AQ1663" s="35"/>
      <c r="AR1663" s="35"/>
      <c r="AS1663" s="35"/>
      <c r="AT1663" s="35"/>
      <c r="AU1663" s="35"/>
      <c r="AV1663" s="35"/>
      <c r="AW1663" s="35"/>
    </row>
    <row r="1664" spans="1:49" s="50" customFormat="1" ht="15.75" x14ac:dyDescent="0.2">
      <c r="A1664" s="35"/>
      <c r="B1664" s="35"/>
      <c r="C1664" s="35"/>
      <c r="D1664" s="35"/>
      <c r="E1664" s="35"/>
      <c r="F1664" s="35"/>
      <c r="G1664" s="35"/>
      <c r="H1664" s="35"/>
      <c r="I1664" s="35"/>
      <c r="J1664" s="35"/>
      <c r="K1664" s="35"/>
      <c r="L1664" s="35"/>
      <c r="M1664" s="35"/>
      <c r="N1664" s="35"/>
      <c r="O1664" s="35"/>
      <c r="P1664" s="35"/>
      <c r="Q1664" s="35"/>
      <c r="R1664" s="35"/>
      <c r="S1664" s="35"/>
      <c r="T1664" s="35"/>
      <c r="U1664" s="35"/>
      <c r="V1664" s="35"/>
      <c r="W1664" s="35"/>
      <c r="X1664" s="35"/>
      <c r="Y1664" s="35"/>
      <c r="Z1664" s="35"/>
      <c r="AA1664" s="35"/>
      <c r="AB1664" s="35"/>
      <c r="AC1664" s="35"/>
      <c r="AD1664" s="35"/>
      <c r="AE1664" s="35"/>
      <c r="AF1664" s="35"/>
      <c r="AG1664" s="35"/>
      <c r="AH1664" s="35"/>
      <c r="AI1664" s="35"/>
      <c r="AJ1664" s="35"/>
      <c r="AK1664" s="35"/>
      <c r="AL1664" s="35"/>
      <c r="AM1664" s="35"/>
      <c r="AN1664" s="35"/>
      <c r="AO1664" s="35"/>
      <c r="AP1664" s="35"/>
      <c r="AQ1664" s="35"/>
      <c r="AR1664" s="35"/>
      <c r="AS1664" s="35"/>
      <c r="AT1664" s="35"/>
      <c r="AU1664" s="35"/>
      <c r="AV1664" s="35"/>
      <c r="AW1664" s="35"/>
    </row>
    <row r="1665" spans="1:49" s="47" customFormat="1" ht="15.75" x14ac:dyDescent="0.2">
      <c r="A1665" s="35"/>
      <c r="B1665" s="35"/>
      <c r="C1665" s="35"/>
      <c r="D1665" s="35"/>
      <c r="E1665" s="35"/>
      <c r="F1665" s="35"/>
      <c r="G1665" s="35"/>
      <c r="H1665" s="35"/>
      <c r="I1665" s="35"/>
      <c r="J1665" s="35"/>
      <c r="K1665" s="35"/>
      <c r="L1665" s="35"/>
      <c r="M1665" s="35"/>
      <c r="N1665" s="35"/>
      <c r="O1665" s="35"/>
      <c r="P1665" s="35"/>
      <c r="Q1665" s="35"/>
      <c r="R1665" s="35"/>
      <c r="S1665" s="35"/>
      <c r="T1665" s="35"/>
      <c r="U1665" s="35"/>
      <c r="V1665" s="35"/>
      <c r="W1665" s="35"/>
      <c r="X1665" s="35"/>
      <c r="Y1665" s="35"/>
      <c r="Z1665" s="35"/>
      <c r="AA1665" s="35"/>
      <c r="AB1665" s="35"/>
      <c r="AC1665" s="35"/>
      <c r="AD1665" s="35"/>
      <c r="AE1665" s="35"/>
      <c r="AF1665" s="35"/>
      <c r="AG1665" s="35"/>
      <c r="AH1665" s="35"/>
      <c r="AI1665" s="35"/>
      <c r="AJ1665" s="35"/>
      <c r="AK1665" s="35"/>
      <c r="AL1665" s="35"/>
      <c r="AM1665" s="35"/>
      <c r="AN1665" s="35"/>
      <c r="AO1665" s="35"/>
      <c r="AP1665" s="35"/>
      <c r="AQ1665" s="35"/>
      <c r="AR1665" s="35"/>
      <c r="AS1665" s="35"/>
      <c r="AT1665" s="35"/>
      <c r="AU1665" s="35"/>
      <c r="AV1665" s="35"/>
      <c r="AW1665" s="35"/>
    </row>
    <row r="1666" spans="1:49" s="50" customFormat="1" ht="15.75" x14ac:dyDescent="0.2">
      <c r="A1666" s="35"/>
      <c r="B1666" s="35"/>
      <c r="C1666" s="35"/>
      <c r="D1666" s="35"/>
      <c r="E1666" s="35"/>
      <c r="F1666" s="35"/>
      <c r="G1666" s="35"/>
      <c r="H1666" s="35"/>
      <c r="I1666" s="35"/>
      <c r="J1666" s="35"/>
      <c r="K1666" s="35"/>
      <c r="L1666" s="35"/>
      <c r="M1666" s="35"/>
      <c r="N1666" s="35"/>
      <c r="O1666" s="35"/>
      <c r="P1666" s="35"/>
      <c r="Q1666" s="35"/>
      <c r="R1666" s="35"/>
      <c r="S1666" s="35"/>
      <c r="T1666" s="35"/>
      <c r="U1666" s="35"/>
      <c r="V1666" s="35"/>
      <c r="W1666" s="35"/>
      <c r="X1666" s="35"/>
      <c r="Y1666" s="35"/>
      <c r="Z1666" s="35"/>
      <c r="AA1666" s="35"/>
      <c r="AB1666" s="35"/>
      <c r="AC1666" s="35"/>
      <c r="AD1666" s="35"/>
      <c r="AE1666" s="35"/>
      <c r="AF1666" s="35"/>
      <c r="AG1666" s="35"/>
      <c r="AH1666" s="35"/>
      <c r="AI1666" s="35"/>
      <c r="AJ1666" s="35"/>
      <c r="AK1666" s="35"/>
      <c r="AL1666" s="35"/>
      <c r="AM1666" s="35"/>
      <c r="AN1666" s="35"/>
      <c r="AO1666" s="35"/>
      <c r="AP1666" s="35"/>
      <c r="AQ1666" s="35"/>
      <c r="AR1666" s="35"/>
      <c r="AS1666" s="35"/>
      <c r="AT1666" s="35"/>
      <c r="AU1666" s="35"/>
      <c r="AV1666" s="35"/>
      <c r="AW1666" s="35"/>
    </row>
    <row r="1667" spans="1:49" s="50" customFormat="1" ht="15.75" x14ac:dyDescent="0.2">
      <c r="A1667" s="35"/>
      <c r="B1667" s="35"/>
      <c r="C1667" s="35"/>
      <c r="D1667" s="35"/>
      <c r="E1667" s="35"/>
      <c r="F1667" s="35"/>
      <c r="G1667" s="35"/>
      <c r="H1667" s="35"/>
      <c r="I1667" s="35"/>
      <c r="J1667" s="35"/>
      <c r="K1667" s="35"/>
      <c r="L1667" s="35"/>
      <c r="M1667" s="35"/>
      <c r="N1667" s="35"/>
      <c r="O1667" s="35"/>
      <c r="P1667" s="35"/>
      <c r="Q1667" s="35"/>
      <c r="R1667" s="35"/>
      <c r="S1667" s="35"/>
      <c r="T1667" s="35"/>
      <c r="U1667" s="35"/>
      <c r="V1667" s="35"/>
      <c r="W1667" s="35"/>
      <c r="X1667" s="35"/>
      <c r="Y1667" s="35"/>
      <c r="Z1667" s="35"/>
      <c r="AA1667" s="35"/>
      <c r="AB1667" s="35"/>
      <c r="AC1667" s="35"/>
      <c r="AD1667" s="35"/>
      <c r="AE1667" s="35"/>
      <c r="AF1667" s="35"/>
      <c r="AG1667" s="35"/>
      <c r="AH1667" s="35"/>
      <c r="AI1667" s="35"/>
      <c r="AJ1667" s="35"/>
      <c r="AK1667" s="35"/>
      <c r="AL1667" s="35"/>
      <c r="AM1667" s="35"/>
      <c r="AN1667" s="35"/>
      <c r="AO1667" s="35"/>
      <c r="AP1667" s="35"/>
      <c r="AQ1667" s="35"/>
      <c r="AR1667" s="35"/>
      <c r="AS1667" s="35"/>
      <c r="AT1667" s="35"/>
      <c r="AU1667" s="35"/>
      <c r="AV1667" s="35"/>
      <c r="AW1667" s="35"/>
    </row>
    <row r="1668" spans="1:49" s="50" customFormat="1" ht="15.75" x14ac:dyDescent="0.2">
      <c r="A1668" s="35"/>
      <c r="B1668" s="35"/>
      <c r="C1668" s="35"/>
      <c r="D1668" s="35"/>
      <c r="E1668" s="35"/>
      <c r="F1668" s="35"/>
      <c r="G1668" s="35"/>
      <c r="H1668" s="35"/>
      <c r="I1668" s="35"/>
      <c r="J1668" s="35"/>
      <c r="K1668" s="35"/>
      <c r="L1668" s="35"/>
      <c r="M1668" s="35"/>
      <c r="N1668" s="35"/>
      <c r="O1668" s="35"/>
      <c r="P1668" s="35"/>
      <c r="Q1668" s="35"/>
      <c r="R1668" s="35"/>
      <c r="S1668" s="35"/>
      <c r="T1668" s="35"/>
      <c r="U1668" s="35"/>
      <c r="V1668" s="35"/>
      <c r="W1668" s="35"/>
      <c r="X1668" s="35"/>
      <c r="Y1668" s="35"/>
      <c r="Z1668" s="35"/>
      <c r="AA1668" s="35"/>
      <c r="AB1668" s="35"/>
      <c r="AC1668" s="35"/>
      <c r="AD1668" s="35"/>
      <c r="AE1668" s="35"/>
      <c r="AF1668" s="35"/>
      <c r="AG1668" s="35"/>
      <c r="AH1668" s="35"/>
      <c r="AI1668" s="35"/>
      <c r="AJ1668" s="35"/>
      <c r="AK1668" s="35"/>
      <c r="AL1668" s="35"/>
      <c r="AM1668" s="35"/>
      <c r="AN1668" s="35"/>
      <c r="AO1668" s="35"/>
      <c r="AP1668" s="35"/>
      <c r="AQ1668" s="35"/>
      <c r="AR1668" s="35"/>
      <c r="AS1668" s="35"/>
      <c r="AT1668" s="35"/>
      <c r="AU1668" s="35"/>
      <c r="AV1668" s="35"/>
      <c r="AW1668" s="35"/>
    </row>
    <row r="1669" spans="1:49" s="47" customFormat="1" ht="15.75" x14ac:dyDescent="0.2">
      <c r="A1669" s="35"/>
      <c r="B1669" s="35"/>
      <c r="C1669" s="35"/>
      <c r="D1669" s="35"/>
      <c r="E1669" s="35"/>
      <c r="F1669" s="35"/>
      <c r="G1669" s="35"/>
      <c r="H1669" s="35"/>
      <c r="I1669" s="35"/>
      <c r="J1669" s="35"/>
      <c r="K1669" s="35"/>
      <c r="L1669" s="35"/>
      <c r="M1669" s="35"/>
      <c r="N1669" s="35"/>
      <c r="O1669" s="35"/>
      <c r="P1669" s="35"/>
      <c r="Q1669" s="35"/>
      <c r="R1669" s="35"/>
      <c r="S1669" s="35"/>
      <c r="T1669" s="35"/>
      <c r="U1669" s="35"/>
      <c r="V1669" s="35"/>
      <c r="W1669" s="35"/>
      <c r="X1669" s="35"/>
      <c r="Y1669" s="35"/>
      <c r="Z1669" s="35"/>
      <c r="AA1669" s="35"/>
      <c r="AB1669" s="35"/>
      <c r="AC1669" s="35"/>
      <c r="AD1669" s="35"/>
      <c r="AE1669" s="35"/>
      <c r="AF1669" s="35"/>
      <c r="AG1669" s="35"/>
      <c r="AH1669" s="35"/>
      <c r="AI1669" s="35"/>
      <c r="AJ1669" s="35"/>
      <c r="AK1669" s="35"/>
      <c r="AL1669" s="35"/>
      <c r="AM1669" s="35"/>
      <c r="AN1669" s="35"/>
      <c r="AO1669" s="35"/>
      <c r="AP1669" s="35"/>
      <c r="AQ1669" s="35"/>
      <c r="AR1669" s="35"/>
      <c r="AS1669" s="35"/>
      <c r="AT1669" s="35"/>
      <c r="AU1669" s="35"/>
      <c r="AV1669" s="35"/>
      <c r="AW1669" s="35"/>
    </row>
    <row r="1670" spans="1:49" s="47" customFormat="1" ht="15.75" x14ac:dyDescent="0.2">
      <c r="A1670" s="35"/>
      <c r="B1670" s="35"/>
      <c r="C1670" s="35"/>
      <c r="D1670" s="35"/>
      <c r="E1670" s="35"/>
      <c r="F1670" s="35"/>
      <c r="G1670" s="35"/>
      <c r="H1670" s="35"/>
      <c r="I1670" s="35"/>
      <c r="J1670" s="35"/>
      <c r="K1670" s="35"/>
      <c r="L1670" s="35"/>
      <c r="M1670" s="35"/>
      <c r="N1670" s="35"/>
      <c r="O1670" s="35"/>
      <c r="P1670" s="35"/>
      <c r="Q1670" s="35"/>
      <c r="R1670" s="35"/>
      <c r="S1670" s="35"/>
      <c r="T1670" s="35"/>
      <c r="U1670" s="35"/>
      <c r="V1670" s="35"/>
      <c r="W1670" s="35"/>
      <c r="X1670" s="35"/>
      <c r="Y1670" s="35"/>
      <c r="Z1670" s="35"/>
      <c r="AA1670" s="35"/>
      <c r="AB1670" s="35"/>
      <c r="AC1670" s="35"/>
      <c r="AD1670" s="35"/>
      <c r="AE1670" s="35"/>
      <c r="AF1670" s="35"/>
      <c r="AG1670" s="35"/>
      <c r="AH1670" s="35"/>
      <c r="AI1670" s="35"/>
      <c r="AJ1670" s="35"/>
      <c r="AK1670" s="35"/>
      <c r="AL1670" s="35"/>
      <c r="AM1670" s="35"/>
      <c r="AN1670" s="35"/>
      <c r="AO1670" s="35"/>
      <c r="AP1670" s="35"/>
      <c r="AQ1670" s="35"/>
      <c r="AR1670" s="35"/>
      <c r="AS1670" s="35"/>
      <c r="AT1670" s="35"/>
      <c r="AU1670" s="35"/>
      <c r="AV1670" s="35"/>
      <c r="AW1670" s="35"/>
    </row>
    <row r="1671" spans="1:49" s="50" customFormat="1" ht="15.75" x14ac:dyDescent="0.2">
      <c r="A1671" s="35"/>
      <c r="B1671" s="35"/>
      <c r="C1671" s="35"/>
      <c r="D1671" s="35"/>
      <c r="E1671" s="35"/>
      <c r="F1671" s="35"/>
      <c r="G1671" s="35"/>
      <c r="H1671" s="35"/>
      <c r="I1671" s="35"/>
      <c r="J1671" s="35"/>
      <c r="K1671" s="35"/>
      <c r="L1671" s="35"/>
      <c r="M1671" s="35"/>
      <c r="N1671" s="35"/>
      <c r="O1671" s="35"/>
      <c r="P1671" s="35"/>
      <c r="Q1671" s="35"/>
      <c r="R1671" s="35"/>
      <c r="S1671" s="35"/>
      <c r="T1671" s="35"/>
      <c r="U1671" s="35"/>
      <c r="V1671" s="35"/>
      <c r="W1671" s="35"/>
      <c r="X1671" s="35"/>
      <c r="Y1671" s="35"/>
      <c r="Z1671" s="35"/>
      <c r="AA1671" s="35"/>
      <c r="AB1671" s="35"/>
      <c r="AC1671" s="35"/>
      <c r="AD1671" s="35"/>
      <c r="AE1671" s="35"/>
      <c r="AF1671" s="35"/>
      <c r="AG1671" s="35"/>
      <c r="AH1671" s="35"/>
      <c r="AI1671" s="35"/>
      <c r="AJ1671" s="35"/>
      <c r="AK1671" s="35"/>
      <c r="AL1671" s="35"/>
      <c r="AM1671" s="35"/>
      <c r="AN1671" s="35"/>
      <c r="AO1671" s="35"/>
      <c r="AP1671" s="35"/>
      <c r="AQ1671" s="35"/>
      <c r="AR1671" s="35"/>
      <c r="AS1671" s="35"/>
      <c r="AT1671" s="35"/>
      <c r="AU1671" s="35"/>
      <c r="AV1671" s="35"/>
      <c r="AW1671" s="35"/>
    </row>
    <row r="1672" spans="1:49" s="50" customFormat="1" ht="15.75" x14ac:dyDescent="0.2">
      <c r="A1672" s="35"/>
      <c r="B1672" s="35"/>
      <c r="C1672" s="35"/>
      <c r="D1672" s="35"/>
      <c r="E1672" s="35"/>
      <c r="F1672" s="35"/>
      <c r="G1672" s="35"/>
      <c r="H1672" s="35"/>
      <c r="I1672" s="35"/>
      <c r="J1672" s="35"/>
      <c r="K1672" s="35"/>
      <c r="L1672" s="35"/>
      <c r="M1672" s="35"/>
      <c r="N1672" s="35"/>
      <c r="O1672" s="35"/>
      <c r="P1672" s="35"/>
      <c r="Q1672" s="35"/>
      <c r="R1672" s="35"/>
      <c r="S1672" s="35"/>
      <c r="T1672" s="35"/>
      <c r="U1672" s="35"/>
      <c r="V1672" s="35"/>
      <c r="W1672" s="35"/>
      <c r="X1672" s="35"/>
      <c r="Y1672" s="35"/>
      <c r="Z1672" s="35"/>
      <c r="AA1672" s="35"/>
      <c r="AB1672" s="35"/>
      <c r="AC1672" s="35"/>
      <c r="AD1672" s="35"/>
      <c r="AE1672" s="35"/>
      <c r="AF1672" s="35"/>
      <c r="AG1672" s="35"/>
      <c r="AH1672" s="35"/>
      <c r="AI1672" s="35"/>
      <c r="AJ1672" s="35"/>
      <c r="AK1672" s="35"/>
      <c r="AL1672" s="35"/>
      <c r="AM1672" s="35"/>
      <c r="AN1672" s="35"/>
      <c r="AO1672" s="35"/>
      <c r="AP1672" s="35"/>
      <c r="AQ1672" s="35"/>
      <c r="AR1672" s="35"/>
      <c r="AS1672" s="35"/>
      <c r="AT1672" s="35"/>
      <c r="AU1672" s="35"/>
      <c r="AV1672" s="35"/>
      <c r="AW1672" s="35"/>
    </row>
    <row r="1673" spans="1:49" s="47" customFormat="1" ht="15.75" x14ac:dyDescent="0.2">
      <c r="A1673" s="35"/>
      <c r="B1673" s="35"/>
      <c r="C1673" s="35"/>
      <c r="D1673" s="35"/>
      <c r="E1673" s="35"/>
      <c r="F1673" s="35"/>
      <c r="G1673" s="35"/>
      <c r="H1673" s="35"/>
      <c r="I1673" s="35"/>
      <c r="J1673" s="35"/>
      <c r="K1673" s="35"/>
      <c r="L1673" s="35"/>
      <c r="M1673" s="35"/>
      <c r="N1673" s="35"/>
      <c r="O1673" s="35"/>
      <c r="P1673" s="35"/>
      <c r="Q1673" s="35"/>
      <c r="R1673" s="35"/>
      <c r="S1673" s="35"/>
      <c r="T1673" s="35"/>
      <c r="U1673" s="35"/>
      <c r="V1673" s="35"/>
      <c r="W1673" s="35"/>
      <c r="X1673" s="35"/>
      <c r="Y1673" s="35"/>
      <c r="Z1673" s="35"/>
      <c r="AA1673" s="35"/>
      <c r="AB1673" s="35"/>
      <c r="AC1673" s="35"/>
      <c r="AD1673" s="35"/>
      <c r="AE1673" s="35"/>
      <c r="AF1673" s="35"/>
      <c r="AG1673" s="35"/>
      <c r="AH1673" s="35"/>
      <c r="AI1673" s="35"/>
      <c r="AJ1673" s="35"/>
      <c r="AK1673" s="35"/>
      <c r="AL1673" s="35"/>
      <c r="AM1673" s="35"/>
      <c r="AN1673" s="35"/>
      <c r="AO1673" s="35"/>
      <c r="AP1673" s="35"/>
      <c r="AQ1673" s="35"/>
      <c r="AR1673" s="35"/>
      <c r="AS1673" s="35"/>
      <c r="AT1673" s="35"/>
      <c r="AU1673" s="35"/>
      <c r="AV1673" s="35"/>
      <c r="AW1673" s="35"/>
    </row>
    <row r="1674" spans="1:49" s="50" customFormat="1" ht="15.75" x14ac:dyDescent="0.2">
      <c r="A1674" s="35"/>
      <c r="B1674" s="35"/>
      <c r="C1674" s="35"/>
      <c r="D1674" s="35"/>
      <c r="E1674" s="35"/>
      <c r="F1674" s="35"/>
      <c r="G1674" s="35"/>
      <c r="H1674" s="35"/>
      <c r="I1674" s="35"/>
      <c r="J1674" s="35"/>
      <c r="K1674" s="35"/>
      <c r="L1674" s="35"/>
      <c r="M1674" s="35"/>
      <c r="N1674" s="35"/>
      <c r="O1674" s="35"/>
      <c r="P1674" s="35"/>
      <c r="Q1674" s="35"/>
      <c r="R1674" s="35"/>
      <c r="S1674" s="35"/>
      <c r="T1674" s="35"/>
      <c r="U1674" s="35"/>
      <c r="V1674" s="35"/>
      <c r="W1674" s="35"/>
      <c r="X1674" s="35"/>
      <c r="Y1674" s="35"/>
      <c r="Z1674" s="35"/>
      <c r="AA1674" s="35"/>
      <c r="AB1674" s="35"/>
      <c r="AC1674" s="35"/>
      <c r="AD1674" s="35"/>
      <c r="AE1674" s="35"/>
      <c r="AF1674" s="35"/>
      <c r="AG1674" s="35"/>
      <c r="AH1674" s="35"/>
      <c r="AI1674" s="35"/>
      <c r="AJ1674" s="35"/>
      <c r="AK1674" s="35"/>
      <c r="AL1674" s="35"/>
      <c r="AM1674" s="35"/>
      <c r="AN1674" s="35"/>
      <c r="AO1674" s="35"/>
      <c r="AP1674" s="35"/>
      <c r="AQ1674" s="35"/>
      <c r="AR1674" s="35"/>
      <c r="AS1674" s="35"/>
      <c r="AT1674" s="35"/>
      <c r="AU1674" s="35"/>
      <c r="AV1674" s="35"/>
      <c r="AW1674" s="35"/>
    </row>
    <row r="1675" spans="1:49" s="47" customFormat="1" ht="15.75" x14ac:dyDescent="0.2">
      <c r="A1675" s="35"/>
      <c r="B1675" s="35"/>
      <c r="C1675" s="35"/>
      <c r="D1675" s="35"/>
      <c r="E1675" s="35"/>
      <c r="F1675" s="35"/>
      <c r="G1675" s="35"/>
      <c r="H1675" s="35"/>
      <c r="I1675" s="35"/>
      <c r="J1675" s="35"/>
      <c r="K1675" s="35"/>
      <c r="L1675" s="35"/>
      <c r="M1675" s="35"/>
      <c r="N1675" s="35"/>
      <c r="O1675" s="35"/>
      <c r="P1675" s="35"/>
      <c r="Q1675" s="35"/>
      <c r="R1675" s="35"/>
      <c r="S1675" s="35"/>
      <c r="T1675" s="35"/>
      <c r="U1675" s="35"/>
      <c r="V1675" s="35"/>
      <c r="W1675" s="35"/>
      <c r="X1675" s="35"/>
      <c r="Y1675" s="35"/>
      <c r="Z1675" s="35"/>
      <c r="AA1675" s="35"/>
      <c r="AB1675" s="35"/>
      <c r="AC1675" s="35"/>
      <c r="AD1675" s="35"/>
      <c r="AE1675" s="35"/>
      <c r="AF1675" s="35"/>
      <c r="AG1675" s="35"/>
      <c r="AH1675" s="35"/>
      <c r="AI1675" s="35"/>
      <c r="AJ1675" s="35"/>
      <c r="AK1675" s="35"/>
      <c r="AL1675" s="35"/>
      <c r="AM1675" s="35"/>
      <c r="AN1675" s="35"/>
      <c r="AO1675" s="35"/>
      <c r="AP1675" s="35"/>
      <c r="AQ1675" s="35"/>
      <c r="AR1675" s="35"/>
      <c r="AS1675" s="35"/>
      <c r="AT1675" s="35"/>
      <c r="AU1675" s="35"/>
      <c r="AV1675" s="35"/>
      <c r="AW1675" s="35"/>
    </row>
    <row r="1676" spans="1:49" s="47" customFormat="1" ht="15.75" x14ac:dyDescent="0.2">
      <c r="A1676" s="35"/>
      <c r="B1676" s="35"/>
      <c r="C1676" s="35"/>
      <c r="D1676" s="35"/>
      <c r="E1676" s="35"/>
      <c r="F1676" s="35"/>
      <c r="G1676" s="35"/>
      <c r="H1676" s="35"/>
      <c r="I1676" s="35"/>
      <c r="J1676" s="35"/>
      <c r="K1676" s="35"/>
      <c r="L1676" s="35"/>
      <c r="M1676" s="35"/>
      <c r="N1676" s="35"/>
      <c r="O1676" s="35"/>
      <c r="P1676" s="35"/>
      <c r="Q1676" s="35"/>
      <c r="R1676" s="35"/>
      <c r="S1676" s="35"/>
      <c r="T1676" s="35"/>
      <c r="U1676" s="35"/>
      <c r="V1676" s="35"/>
      <c r="W1676" s="35"/>
      <c r="X1676" s="35"/>
      <c r="Y1676" s="35"/>
      <c r="Z1676" s="35"/>
      <c r="AA1676" s="35"/>
      <c r="AB1676" s="35"/>
      <c r="AC1676" s="35"/>
      <c r="AD1676" s="35"/>
      <c r="AE1676" s="35"/>
      <c r="AF1676" s="35"/>
      <c r="AG1676" s="35"/>
      <c r="AH1676" s="35"/>
      <c r="AI1676" s="35"/>
      <c r="AJ1676" s="35"/>
      <c r="AK1676" s="35"/>
      <c r="AL1676" s="35"/>
      <c r="AM1676" s="35"/>
      <c r="AN1676" s="35"/>
      <c r="AO1676" s="35"/>
      <c r="AP1676" s="35"/>
      <c r="AQ1676" s="35"/>
      <c r="AR1676" s="35"/>
      <c r="AS1676" s="35"/>
      <c r="AT1676" s="35"/>
      <c r="AU1676" s="35"/>
      <c r="AV1676" s="35"/>
      <c r="AW1676" s="35"/>
    </row>
    <row r="1677" spans="1:49" s="47" customFormat="1" ht="15.75" x14ac:dyDescent="0.2">
      <c r="A1677" s="35"/>
      <c r="B1677" s="35"/>
      <c r="C1677" s="35"/>
      <c r="D1677" s="35"/>
      <c r="E1677" s="35"/>
      <c r="F1677" s="35"/>
      <c r="G1677" s="35"/>
      <c r="H1677" s="35"/>
      <c r="I1677" s="35"/>
      <c r="J1677" s="35"/>
      <c r="K1677" s="35"/>
      <c r="L1677" s="35"/>
      <c r="M1677" s="35"/>
      <c r="N1677" s="35"/>
      <c r="O1677" s="35"/>
      <c r="P1677" s="35"/>
      <c r="Q1677" s="35"/>
      <c r="R1677" s="35"/>
      <c r="S1677" s="35"/>
      <c r="T1677" s="35"/>
      <c r="U1677" s="35"/>
      <c r="V1677" s="35"/>
      <c r="W1677" s="35"/>
      <c r="X1677" s="35"/>
      <c r="Y1677" s="35"/>
      <c r="Z1677" s="35"/>
      <c r="AA1677" s="35"/>
      <c r="AB1677" s="35"/>
      <c r="AC1677" s="35"/>
      <c r="AD1677" s="35"/>
      <c r="AE1677" s="35"/>
      <c r="AF1677" s="35"/>
      <c r="AG1677" s="35"/>
      <c r="AH1677" s="35"/>
      <c r="AI1677" s="35"/>
      <c r="AJ1677" s="35"/>
      <c r="AK1677" s="35"/>
      <c r="AL1677" s="35"/>
      <c r="AM1677" s="35"/>
      <c r="AN1677" s="35"/>
      <c r="AO1677" s="35"/>
      <c r="AP1677" s="35"/>
      <c r="AQ1677" s="35"/>
      <c r="AR1677" s="35"/>
      <c r="AS1677" s="35"/>
      <c r="AT1677" s="35"/>
      <c r="AU1677" s="35"/>
      <c r="AV1677" s="35"/>
      <c r="AW1677" s="35"/>
    </row>
    <row r="1678" spans="1:49" s="47" customFormat="1" ht="15.75" x14ac:dyDescent="0.2">
      <c r="A1678" s="35"/>
      <c r="B1678" s="35"/>
      <c r="C1678" s="35"/>
      <c r="D1678" s="35"/>
      <c r="E1678" s="35"/>
      <c r="F1678" s="35"/>
      <c r="G1678" s="35"/>
      <c r="H1678" s="35"/>
      <c r="I1678" s="35"/>
      <c r="J1678" s="35"/>
      <c r="K1678" s="35"/>
      <c r="L1678" s="35"/>
      <c r="M1678" s="35"/>
      <c r="N1678" s="35"/>
      <c r="O1678" s="35"/>
      <c r="P1678" s="35"/>
      <c r="Q1678" s="35"/>
      <c r="R1678" s="35"/>
      <c r="S1678" s="35"/>
      <c r="T1678" s="35"/>
      <c r="U1678" s="35"/>
      <c r="V1678" s="35"/>
      <c r="W1678" s="35"/>
      <c r="X1678" s="35"/>
      <c r="Y1678" s="35"/>
      <c r="Z1678" s="35"/>
      <c r="AA1678" s="35"/>
      <c r="AB1678" s="35"/>
      <c r="AC1678" s="35"/>
      <c r="AD1678" s="35"/>
      <c r="AE1678" s="35"/>
      <c r="AF1678" s="35"/>
      <c r="AG1678" s="35"/>
      <c r="AH1678" s="35"/>
      <c r="AI1678" s="35"/>
      <c r="AJ1678" s="35"/>
      <c r="AK1678" s="35"/>
      <c r="AL1678" s="35"/>
      <c r="AM1678" s="35"/>
      <c r="AN1678" s="35"/>
      <c r="AO1678" s="35"/>
      <c r="AP1678" s="35"/>
      <c r="AQ1678" s="35"/>
      <c r="AR1678" s="35"/>
      <c r="AS1678" s="35"/>
      <c r="AT1678" s="35"/>
      <c r="AU1678" s="35"/>
      <c r="AV1678" s="35"/>
      <c r="AW1678" s="35"/>
    </row>
    <row r="1679" spans="1:49" s="47" customFormat="1" ht="15.75" x14ac:dyDescent="0.2">
      <c r="A1679" s="35"/>
      <c r="B1679" s="35"/>
      <c r="C1679" s="35"/>
      <c r="D1679" s="35"/>
      <c r="E1679" s="35"/>
      <c r="F1679" s="35"/>
      <c r="G1679" s="35"/>
      <c r="H1679" s="35"/>
      <c r="I1679" s="35"/>
      <c r="J1679" s="35"/>
      <c r="K1679" s="35"/>
      <c r="L1679" s="35"/>
      <c r="M1679" s="35"/>
      <c r="N1679" s="35"/>
      <c r="O1679" s="35"/>
      <c r="P1679" s="35"/>
      <c r="Q1679" s="35"/>
      <c r="R1679" s="35"/>
      <c r="S1679" s="35"/>
      <c r="T1679" s="35"/>
      <c r="U1679" s="35"/>
      <c r="V1679" s="35"/>
      <c r="W1679" s="35"/>
      <c r="X1679" s="35"/>
      <c r="Y1679" s="35"/>
      <c r="Z1679" s="35"/>
      <c r="AA1679" s="35"/>
      <c r="AB1679" s="35"/>
      <c r="AC1679" s="35"/>
      <c r="AD1679" s="35"/>
      <c r="AE1679" s="35"/>
      <c r="AF1679" s="35"/>
      <c r="AG1679" s="35"/>
      <c r="AH1679" s="35"/>
      <c r="AI1679" s="35"/>
      <c r="AJ1679" s="35"/>
      <c r="AK1679" s="35"/>
      <c r="AL1679" s="35"/>
      <c r="AM1679" s="35"/>
      <c r="AN1679" s="35"/>
      <c r="AO1679" s="35"/>
      <c r="AP1679" s="35"/>
      <c r="AQ1679" s="35"/>
      <c r="AR1679" s="35"/>
      <c r="AS1679" s="35"/>
      <c r="AT1679" s="35"/>
      <c r="AU1679" s="35"/>
      <c r="AV1679" s="35"/>
      <c r="AW1679" s="35"/>
    </row>
    <row r="1680" spans="1:49" s="47" customFormat="1" ht="15.75" x14ac:dyDescent="0.2">
      <c r="A1680" s="35"/>
      <c r="B1680" s="35"/>
      <c r="C1680" s="35"/>
      <c r="D1680" s="35"/>
      <c r="E1680" s="35"/>
      <c r="F1680" s="35"/>
      <c r="G1680" s="35"/>
      <c r="H1680" s="35"/>
      <c r="I1680" s="35"/>
      <c r="J1680" s="35"/>
      <c r="K1680" s="35"/>
      <c r="L1680" s="35"/>
      <c r="M1680" s="35"/>
      <c r="N1680" s="35"/>
      <c r="O1680" s="35"/>
      <c r="P1680" s="35"/>
      <c r="Q1680" s="35"/>
      <c r="R1680" s="35"/>
      <c r="S1680" s="35"/>
      <c r="T1680" s="35"/>
      <c r="U1680" s="35"/>
      <c r="V1680" s="35"/>
      <c r="W1680" s="35"/>
      <c r="X1680" s="35"/>
      <c r="Y1680" s="35"/>
      <c r="Z1680" s="35"/>
      <c r="AA1680" s="35"/>
      <c r="AB1680" s="35"/>
      <c r="AC1680" s="35"/>
      <c r="AD1680" s="35"/>
      <c r="AE1680" s="35"/>
      <c r="AF1680" s="35"/>
      <c r="AG1680" s="35"/>
      <c r="AH1680" s="35"/>
      <c r="AI1680" s="35"/>
      <c r="AJ1680" s="35"/>
      <c r="AK1680" s="35"/>
      <c r="AL1680" s="35"/>
      <c r="AM1680" s="35"/>
      <c r="AN1680" s="35"/>
      <c r="AO1680" s="35"/>
      <c r="AP1680" s="35"/>
      <c r="AQ1680" s="35"/>
      <c r="AR1680" s="35"/>
      <c r="AS1680" s="35"/>
      <c r="AT1680" s="35"/>
      <c r="AU1680" s="35"/>
      <c r="AV1680" s="35"/>
      <c r="AW1680" s="35"/>
    </row>
    <row r="1681" spans="1:49" s="47" customFormat="1" ht="15.75" x14ac:dyDescent="0.2">
      <c r="A1681" s="35"/>
      <c r="B1681" s="35"/>
      <c r="C1681" s="35"/>
      <c r="D1681" s="35"/>
      <c r="E1681" s="35"/>
      <c r="F1681" s="35"/>
      <c r="G1681" s="35"/>
      <c r="H1681" s="35"/>
      <c r="I1681" s="35"/>
      <c r="J1681" s="35"/>
      <c r="K1681" s="35"/>
      <c r="L1681" s="35"/>
      <c r="M1681" s="35"/>
      <c r="N1681" s="35"/>
      <c r="O1681" s="35"/>
      <c r="P1681" s="35"/>
      <c r="Q1681" s="35"/>
      <c r="R1681" s="35"/>
      <c r="S1681" s="35"/>
      <c r="T1681" s="35"/>
      <c r="U1681" s="35"/>
      <c r="V1681" s="35"/>
      <c r="W1681" s="35"/>
      <c r="X1681" s="35"/>
      <c r="Y1681" s="35"/>
      <c r="Z1681" s="35"/>
      <c r="AA1681" s="35"/>
      <c r="AB1681" s="35"/>
      <c r="AC1681" s="35"/>
      <c r="AD1681" s="35"/>
      <c r="AE1681" s="35"/>
      <c r="AF1681" s="35"/>
      <c r="AG1681" s="35"/>
      <c r="AH1681" s="35"/>
      <c r="AI1681" s="35"/>
      <c r="AJ1681" s="35"/>
      <c r="AK1681" s="35"/>
      <c r="AL1681" s="35"/>
      <c r="AM1681" s="35"/>
      <c r="AN1681" s="35"/>
      <c r="AO1681" s="35"/>
      <c r="AP1681" s="35"/>
      <c r="AQ1681" s="35"/>
      <c r="AR1681" s="35"/>
      <c r="AS1681" s="35"/>
      <c r="AT1681" s="35"/>
      <c r="AU1681" s="35"/>
      <c r="AV1681" s="35"/>
      <c r="AW1681" s="35"/>
    </row>
    <row r="1682" spans="1:49" s="47" customFormat="1" ht="15.75" x14ac:dyDescent="0.2">
      <c r="A1682" s="35"/>
      <c r="B1682" s="35"/>
      <c r="C1682" s="35"/>
      <c r="D1682" s="35"/>
      <c r="E1682" s="35"/>
      <c r="F1682" s="35"/>
      <c r="G1682" s="35"/>
      <c r="H1682" s="35"/>
      <c r="I1682" s="35"/>
      <c r="J1682" s="35"/>
      <c r="K1682" s="35"/>
      <c r="L1682" s="35"/>
      <c r="M1682" s="35"/>
      <c r="N1682" s="35"/>
      <c r="O1682" s="35"/>
      <c r="P1682" s="35"/>
      <c r="Q1682" s="35"/>
      <c r="R1682" s="35"/>
      <c r="S1682" s="35"/>
      <c r="T1682" s="35"/>
      <c r="U1682" s="35"/>
      <c r="V1682" s="35"/>
      <c r="W1682" s="35"/>
      <c r="X1682" s="35"/>
      <c r="Y1682" s="35"/>
      <c r="Z1682" s="35"/>
      <c r="AA1682" s="35"/>
      <c r="AB1682" s="35"/>
      <c r="AC1682" s="35"/>
      <c r="AD1682" s="35"/>
      <c r="AE1682" s="35"/>
      <c r="AF1682" s="35"/>
      <c r="AG1682" s="35"/>
      <c r="AH1682" s="35"/>
      <c r="AI1682" s="35"/>
      <c r="AJ1682" s="35"/>
      <c r="AK1682" s="35"/>
      <c r="AL1682" s="35"/>
      <c r="AM1682" s="35"/>
      <c r="AN1682" s="35"/>
      <c r="AO1682" s="35"/>
      <c r="AP1682" s="35"/>
      <c r="AQ1682" s="35"/>
      <c r="AR1682" s="35"/>
      <c r="AS1682" s="35"/>
      <c r="AT1682" s="35"/>
      <c r="AU1682" s="35"/>
      <c r="AV1682" s="35"/>
      <c r="AW1682" s="35"/>
    </row>
    <row r="1683" spans="1:49" s="47" customFormat="1" ht="15.75" x14ac:dyDescent="0.2">
      <c r="A1683" s="35"/>
      <c r="B1683" s="35"/>
      <c r="C1683" s="35"/>
      <c r="D1683" s="35"/>
      <c r="E1683" s="35"/>
      <c r="F1683" s="35"/>
      <c r="G1683" s="35"/>
      <c r="H1683" s="35"/>
      <c r="I1683" s="35"/>
      <c r="J1683" s="35"/>
      <c r="K1683" s="35"/>
      <c r="L1683" s="35"/>
      <c r="M1683" s="35"/>
      <c r="N1683" s="35"/>
      <c r="O1683" s="35"/>
      <c r="P1683" s="35"/>
      <c r="Q1683" s="35"/>
      <c r="R1683" s="35"/>
      <c r="S1683" s="35"/>
      <c r="T1683" s="35"/>
      <c r="U1683" s="35"/>
      <c r="V1683" s="35"/>
      <c r="W1683" s="35"/>
      <c r="X1683" s="35"/>
      <c r="Y1683" s="35"/>
      <c r="Z1683" s="35"/>
      <c r="AA1683" s="35"/>
      <c r="AB1683" s="35"/>
      <c r="AC1683" s="35"/>
      <c r="AD1683" s="35"/>
      <c r="AE1683" s="35"/>
      <c r="AF1683" s="35"/>
      <c r="AG1683" s="35"/>
      <c r="AH1683" s="35"/>
      <c r="AI1683" s="35"/>
      <c r="AJ1683" s="35"/>
      <c r="AK1683" s="35"/>
      <c r="AL1683" s="35"/>
      <c r="AM1683" s="35"/>
      <c r="AN1683" s="35"/>
      <c r="AO1683" s="35"/>
      <c r="AP1683" s="35"/>
      <c r="AQ1683" s="35"/>
      <c r="AR1683" s="35"/>
      <c r="AS1683" s="35"/>
      <c r="AT1683" s="35"/>
      <c r="AU1683" s="35"/>
      <c r="AV1683" s="35"/>
      <c r="AW1683" s="35"/>
    </row>
    <row r="1684" spans="1:49" s="47" customFormat="1" ht="15.75" x14ac:dyDescent="0.2">
      <c r="A1684" s="35"/>
      <c r="B1684" s="35"/>
      <c r="C1684" s="35"/>
      <c r="D1684" s="35"/>
      <c r="E1684" s="35"/>
      <c r="F1684" s="35"/>
      <c r="G1684" s="35"/>
      <c r="H1684" s="35"/>
      <c r="I1684" s="35"/>
      <c r="J1684" s="35"/>
      <c r="K1684" s="35"/>
      <c r="L1684" s="35"/>
      <c r="M1684" s="35"/>
      <c r="N1684" s="35"/>
      <c r="O1684" s="35"/>
      <c r="P1684" s="35"/>
      <c r="Q1684" s="35"/>
      <c r="R1684" s="35"/>
      <c r="S1684" s="35"/>
      <c r="T1684" s="35"/>
      <c r="U1684" s="35"/>
      <c r="V1684" s="35"/>
      <c r="W1684" s="35"/>
      <c r="X1684" s="35"/>
      <c r="Y1684" s="35"/>
      <c r="Z1684" s="35"/>
      <c r="AA1684" s="35"/>
      <c r="AB1684" s="35"/>
      <c r="AC1684" s="35"/>
      <c r="AD1684" s="35"/>
      <c r="AE1684" s="35"/>
      <c r="AF1684" s="35"/>
      <c r="AG1684" s="35"/>
      <c r="AH1684" s="35"/>
      <c r="AI1684" s="35"/>
      <c r="AJ1684" s="35"/>
      <c r="AK1684" s="35"/>
      <c r="AL1684" s="35"/>
      <c r="AM1684" s="35"/>
      <c r="AN1684" s="35"/>
      <c r="AO1684" s="35"/>
      <c r="AP1684" s="35"/>
      <c r="AQ1684" s="35"/>
      <c r="AR1684" s="35"/>
      <c r="AS1684" s="35"/>
      <c r="AT1684" s="35"/>
      <c r="AU1684" s="35"/>
      <c r="AV1684" s="35"/>
      <c r="AW1684" s="35"/>
    </row>
    <row r="1685" spans="1:49" s="47" customFormat="1" ht="15.75" x14ac:dyDescent="0.2">
      <c r="A1685" s="35"/>
      <c r="B1685" s="35"/>
      <c r="C1685" s="35"/>
      <c r="D1685" s="35"/>
      <c r="E1685" s="35"/>
      <c r="F1685" s="35"/>
      <c r="G1685" s="35"/>
      <c r="H1685" s="35"/>
      <c r="I1685" s="35"/>
      <c r="J1685" s="35"/>
      <c r="K1685" s="35"/>
      <c r="L1685" s="35"/>
      <c r="M1685" s="35"/>
      <c r="N1685" s="35"/>
      <c r="O1685" s="35"/>
      <c r="P1685" s="35"/>
      <c r="Q1685" s="35"/>
      <c r="R1685" s="35"/>
      <c r="S1685" s="35"/>
      <c r="T1685" s="35"/>
      <c r="U1685" s="35"/>
      <c r="V1685" s="35"/>
      <c r="W1685" s="35"/>
      <c r="X1685" s="35"/>
      <c r="Y1685" s="35"/>
      <c r="Z1685" s="35"/>
      <c r="AA1685" s="35"/>
      <c r="AB1685" s="35"/>
      <c r="AC1685" s="35"/>
      <c r="AD1685" s="35"/>
      <c r="AE1685" s="35"/>
      <c r="AF1685" s="35"/>
      <c r="AG1685" s="35"/>
      <c r="AH1685" s="35"/>
      <c r="AI1685" s="35"/>
      <c r="AJ1685" s="35"/>
      <c r="AK1685" s="35"/>
      <c r="AL1685" s="35"/>
      <c r="AM1685" s="35"/>
      <c r="AN1685" s="35"/>
      <c r="AO1685" s="35"/>
      <c r="AP1685" s="35"/>
      <c r="AQ1685" s="35"/>
      <c r="AR1685" s="35"/>
      <c r="AS1685" s="35"/>
      <c r="AT1685" s="35"/>
      <c r="AU1685" s="35"/>
      <c r="AV1685" s="35"/>
      <c r="AW1685" s="35"/>
    </row>
    <row r="1686" spans="1:49" s="47" customFormat="1" ht="15.75" x14ac:dyDescent="0.2">
      <c r="A1686" s="35"/>
      <c r="B1686" s="35"/>
      <c r="C1686" s="35"/>
      <c r="D1686" s="35"/>
      <c r="E1686" s="35"/>
      <c r="F1686" s="35"/>
      <c r="G1686" s="35"/>
      <c r="H1686" s="35"/>
      <c r="I1686" s="35"/>
      <c r="J1686" s="35"/>
      <c r="K1686" s="35"/>
      <c r="L1686" s="35"/>
      <c r="M1686" s="35"/>
      <c r="N1686" s="35"/>
      <c r="O1686" s="35"/>
      <c r="P1686" s="35"/>
      <c r="Q1686" s="35"/>
      <c r="R1686" s="35"/>
      <c r="S1686" s="35"/>
      <c r="T1686" s="35"/>
      <c r="U1686" s="35"/>
      <c r="V1686" s="35"/>
      <c r="W1686" s="35"/>
      <c r="X1686" s="35"/>
      <c r="Y1686" s="35"/>
      <c r="Z1686" s="35"/>
      <c r="AA1686" s="35"/>
      <c r="AB1686" s="35"/>
      <c r="AC1686" s="35"/>
      <c r="AD1686" s="35"/>
      <c r="AE1686" s="35"/>
      <c r="AF1686" s="35"/>
      <c r="AG1686" s="35"/>
      <c r="AH1686" s="35"/>
      <c r="AI1686" s="35"/>
      <c r="AJ1686" s="35"/>
      <c r="AK1686" s="35"/>
      <c r="AL1686" s="35"/>
      <c r="AM1686" s="35"/>
      <c r="AN1686" s="35"/>
      <c r="AO1686" s="35"/>
      <c r="AP1686" s="35"/>
      <c r="AQ1686" s="35"/>
      <c r="AR1686" s="35"/>
      <c r="AS1686" s="35"/>
      <c r="AT1686" s="35"/>
      <c r="AU1686" s="35"/>
      <c r="AV1686" s="35"/>
      <c r="AW1686" s="35"/>
    </row>
    <row r="1687" spans="1:49" s="47" customFormat="1" ht="15.75" x14ac:dyDescent="0.2">
      <c r="A1687" s="35"/>
      <c r="B1687" s="35"/>
      <c r="C1687" s="35"/>
      <c r="D1687" s="35"/>
      <c r="E1687" s="35"/>
      <c r="F1687" s="35"/>
      <c r="G1687" s="35"/>
      <c r="H1687" s="35"/>
      <c r="I1687" s="35"/>
      <c r="J1687" s="35"/>
      <c r="K1687" s="35"/>
      <c r="L1687" s="35"/>
      <c r="M1687" s="35"/>
      <c r="N1687" s="35"/>
      <c r="O1687" s="35"/>
      <c r="P1687" s="35"/>
      <c r="Q1687" s="35"/>
      <c r="R1687" s="35"/>
      <c r="S1687" s="35"/>
      <c r="T1687" s="35"/>
      <c r="U1687" s="35"/>
      <c r="V1687" s="35"/>
      <c r="W1687" s="35"/>
      <c r="X1687" s="35"/>
      <c r="Y1687" s="35"/>
      <c r="Z1687" s="35"/>
      <c r="AA1687" s="35"/>
      <c r="AB1687" s="35"/>
      <c r="AC1687" s="35"/>
      <c r="AD1687" s="35"/>
      <c r="AE1687" s="35"/>
      <c r="AF1687" s="35"/>
      <c r="AG1687" s="35"/>
      <c r="AH1687" s="35"/>
      <c r="AI1687" s="35"/>
      <c r="AJ1687" s="35"/>
      <c r="AK1687" s="35"/>
      <c r="AL1687" s="35"/>
      <c r="AM1687" s="35"/>
      <c r="AN1687" s="35"/>
      <c r="AO1687" s="35"/>
      <c r="AP1687" s="35"/>
      <c r="AQ1687" s="35"/>
      <c r="AR1687" s="35"/>
      <c r="AS1687" s="35"/>
      <c r="AT1687" s="35"/>
      <c r="AU1687" s="35"/>
      <c r="AV1687" s="35"/>
      <c r="AW1687" s="35"/>
    </row>
    <row r="1688" spans="1:49" s="47" customFormat="1" ht="15.75" x14ac:dyDescent="0.2">
      <c r="A1688" s="35"/>
      <c r="B1688" s="35"/>
      <c r="C1688" s="35"/>
      <c r="D1688" s="35"/>
      <c r="E1688" s="35"/>
      <c r="F1688" s="35"/>
      <c r="G1688" s="35"/>
      <c r="H1688" s="35"/>
      <c r="I1688" s="35"/>
      <c r="J1688" s="35"/>
      <c r="K1688" s="35"/>
      <c r="L1688" s="35"/>
      <c r="M1688" s="35"/>
      <c r="N1688" s="35"/>
      <c r="O1688" s="35"/>
      <c r="P1688" s="35"/>
      <c r="Q1688" s="35"/>
      <c r="R1688" s="35"/>
      <c r="S1688" s="35"/>
      <c r="T1688" s="35"/>
      <c r="U1688" s="35"/>
      <c r="V1688" s="35"/>
      <c r="W1688" s="35"/>
      <c r="X1688" s="35"/>
      <c r="Y1688" s="35"/>
      <c r="Z1688" s="35"/>
      <c r="AA1688" s="35"/>
      <c r="AB1688" s="35"/>
      <c r="AC1688" s="35"/>
      <c r="AD1688" s="35"/>
      <c r="AE1688" s="35"/>
      <c r="AF1688" s="35"/>
      <c r="AG1688" s="35"/>
      <c r="AH1688" s="35"/>
      <c r="AI1688" s="35"/>
      <c r="AJ1688" s="35"/>
      <c r="AK1688" s="35"/>
      <c r="AL1688" s="35"/>
      <c r="AM1688" s="35"/>
      <c r="AN1688" s="35"/>
      <c r="AO1688" s="35"/>
      <c r="AP1688" s="35"/>
      <c r="AQ1688" s="35"/>
      <c r="AR1688" s="35"/>
      <c r="AS1688" s="35"/>
      <c r="AT1688" s="35"/>
      <c r="AU1688" s="35"/>
      <c r="AV1688" s="35"/>
      <c r="AW1688" s="35"/>
    </row>
    <row r="1689" spans="1:49" s="47" customFormat="1" ht="15.75" x14ac:dyDescent="0.2">
      <c r="A1689" s="35"/>
      <c r="B1689" s="35"/>
      <c r="C1689" s="35"/>
      <c r="D1689" s="35"/>
      <c r="E1689" s="35"/>
      <c r="F1689" s="35"/>
      <c r="G1689" s="35"/>
      <c r="H1689" s="35"/>
      <c r="I1689" s="35"/>
      <c r="J1689" s="35"/>
      <c r="K1689" s="35"/>
      <c r="L1689" s="35"/>
      <c r="M1689" s="35"/>
      <c r="N1689" s="35"/>
      <c r="O1689" s="35"/>
      <c r="P1689" s="35"/>
      <c r="Q1689" s="35"/>
      <c r="R1689" s="35"/>
      <c r="S1689" s="35"/>
      <c r="T1689" s="35"/>
      <c r="U1689" s="35"/>
      <c r="V1689" s="35"/>
      <c r="W1689" s="35"/>
      <c r="X1689" s="35"/>
      <c r="Y1689" s="35"/>
      <c r="Z1689" s="35"/>
      <c r="AA1689" s="35"/>
      <c r="AB1689" s="35"/>
      <c r="AC1689" s="35"/>
      <c r="AD1689" s="35"/>
      <c r="AE1689" s="35"/>
      <c r="AF1689" s="35"/>
      <c r="AG1689" s="35"/>
      <c r="AH1689" s="35"/>
      <c r="AI1689" s="35"/>
      <c r="AJ1689" s="35"/>
      <c r="AK1689" s="35"/>
      <c r="AL1689" s="35"/>
      <c r="AM1689" s="35"/>
      <c r="AN1689" s="35"/>
      <c r="AO1689" s="35"/>
      <c r="AP1689" s="35"/>
      <c r="AQ1689" s="35"/>
      <c r="AR1689" s="35"/>
      <c r="AS1689" s="35"/>
      <c r="AT1689" s="35"/>
      <c r="AU1689" s="35"/>
      <c r="AV1689" s="35"/>
      <c r="AW1689" s="35"/>
    </row>
    <row r="1690" spans="1:49" s="47" customFormat="1" ht="15.75" x14ac:dyDescent="0.2">
      <c r="A1690" s="35"/>
      <c r="B1690" s="35"/>
      <c r="C1690" s="35"/>
      <c r="D1690" s="35"/>
      <c r="E1690" s="35"/>
      <c r="F1690" s="35"/>
      <c r="G1690" s="35"/>
      <c r="H1690" s="35"/>
      <c r="I1690" s="35"/>
      <c r="J1690" s="35"/>
      <c r="K1690" s="35"/>
      <c r="L1690" s="35"/>
      <c r="M1690" s="35"/>
      <c r="N1690" s="35"/>
      <c r="O1690" s="35"/>
      <c r="P1690" s="35"/>
      <c r="Q1690" s="35"/>
      <c r="R1690" s="35"/>
      <c r="S1690" s="35"/>
      <c r="T1690" s="35"/>
      <c r="U1690" s="35"/>
      <c r="V1690" s="35"/>
      <c r="W1690" s="35"/>
      <c r="X1690" s="35"/>
      <c r="Y1690" s="35"/>
      <c r="Z1690" s="35"/>
      <c r="AA1690" s="35"/>
      <c r="AB1690" s="35"/>
      <c r="AC1690" s="35"/>
      <c r="AD1690" s="35"/>
      <c r="AE1690" s="35"/>
      <c r="AF1690" s="35"/>
      <c r="AG1690" s="35"/>
      <c r="AH1690" s="35"/>
      <c r="AI1690" s="35"/>
      <c r="AJ1690" s="35"/>
      <c r="AK1690" s="35"/>
      <c r="AL1690" s="35"/>
      <c r="AM1690" s="35"/>
      <c r="AN1690" s="35"/>
      <c r="AO1690" s="35"/>
      <c r="AP1690" s="35"/>
      <c r="AQ1690" s="35"/>
      <c r="AR1690" s="35"/>
      <c r="AS1690" s="35"/>
      <c r="AT1690" s="35"/>
      <c r="AU1690" s="35"/>
      <c r="AV1690" s="35"/>
      <c r="AW1690" s="35"/>
    </row>
    <row r="1998" spans="1:49" s="48" customFormat="1" ht="15.75" x14ac:dyDescent="0.2">
      <c r="A1998" s="35"/>
      <c r="B1998" s="35"/>
      <c r="C1998" s="35"/>
      <c r="D1998" s="35"/>
      <c r="E1998" s="35"/>
      <c r="F1998" s="35"/>
      <c r="G1998" s="35"/>
      <c r="H1998" s="35"/>
      <c r="I1998" s="35"/>
      <c r="J1998" s="35"/>
      <c r="K1998" s="35"/>
      <c r="L1998" s="35"/>
      <c r="M1998" s="35"/>
      <c r="N1998" s="35"/>
      <c r="O1998" s="35"/>
      <c r="P1998" s="35"/>
      <c r="Q1998" s="35"/>
      <c r="R1998" s="35"/>
      <c r="S1998" s="35"/>
      <c r="T1998" s="35"/>
      <c r="U1998" s="35"/>
      <c r="V1998" s="35"/>
      <c r="W1998" s="35"/>
      <c r="X1998" s="35"/>
      <c r="Y1998" s="35"/>
      <c r="Z1998" s="35"/>
      <c r="AA1998" s="35"/>
      <c r="AB1998" s="35"/>
      <c r="AC1998" s="35"/>
      <c r="AD1998" s="35"/>
      <c r="AE1998" s="35"/>
      <c r="AF1998" s="35"/>
      <c r="AG1998" s="35"/>
      <c r="AH1998" s="35"/>
      <c r="AI1998" s="35"/>
      <c r="AJ1998" s="35"/>
      <c r="AK1998" s="35"/>
      <c r="AL1998" s="35"/>
      <c r="AM1998" s="35"/>
      <c r="AN1998" s="35"/>
      <c r="AO1998" s="35"/>
      <c r="AP1998" s="35"/>
      <c r="AQ1998" s="35"/>
      <c r="AR1998" s="35"/>
      <c r="AS1998" s="35"/>
      <c r="AT1998" s="35"/>
      <c r="AU1998" s="35"/>
      <c r="AV1998" s="35"/>
      <c r="AW1998" s="35"/>
    </row>
    <row r="1999" spans="1:49" s="48" customFormat="1" ht="15.75" x14ac:dyDescent="0.2">
      <c r="A1999" s="35"/>
      <c r="B1999" s="35"/>
      <c r="C1999" s="35"/>
      <c r="D1999" s="35"/>
      <c r="E1999" s="35"/>
      <c r="F1999" s="35"/>
      <c r="G1999" s="35"/>
      <c r="H1999" s="35"/>
      <c r="I1999" s="35"/>
      <c r="J1999" s="35"/>
      <c r="K1999" s="35"/>
      <c r="L1999" s="35"/>
      <c r="M1999" s="35"/>
      <c r="N1999" s="35"/>
      <c r="O1999" s="35"/>
      <c r="P1999" s="35"/>
      <c r="Q1999" s="35"/>
      <c r="R1999" s="35"/>
      <c r="S1999" s="35"/>
      <c r="T1999" s="35"/>
      <c r="U1999" s="35"/>
      <c r="V1999" s="35"/>
      <c r="W1999" s="35"/>
      <c r="X1999" s="35"/>
      <c r="Y1999" s="35"/>
      <c r="Z1999" s="35"/>
      <c r="AA1999" s="35"/>
      <c r="AB1999" s="35"/>
      <c r="AC1999" s="35"/>
      <c r="AD1999" s="35"/>
      <c r="AE1999" s="35"/>
      <c r="AF1999" s="35"/>
      <c r="AG1999" s="35"/>
      <c r="AH1999" s="35"/>
      <c r="AI1999" s="35"/>
      <c r="AJ1999" s="35"/>
      <c r="AK1999" s="35"/>
      <c r="AL1999" s="35"/>
      <c r="AM1999" s="35"/>
      <c r="AN1999" s="35"/>
      <c r="AO1999" s="35"/>
      <c r="AP1999" s="35"/>
      <c r="AQ1999" s="35"/>
      <c r="AR1999" s="35"/>
      <c r="AS1999" s="35"/>
      <c r="AT1999" s="35"/>
      <c r="AU1999" s="35"/>
      <c r="AV1999" s="35"/>
      <c r="AW1999" s="35"/>
    </row>
    <row r="2000" spans="1:49" s="47" customFormat="1" ht="15.75" x14ac:dyDescent="0.2">
      <c r="A2000" s="35"/>
      <c r="B2000" s="35"/>
      <c r="C2000" s="35"/>
      <c r="D2000" s="35"/>
      <c r="E2000" s="35"/>
      <c r="F2000" s="35"/>
      <c r="G2000" s="35"/>
      <c r="H2000" s="35"/>
      <c r="I2000" s="35"/>
      <c r="J2000" s="35"/>
      <c r="K2000" s="35"/>
      <c r="L2000" s="35"/>
      <c r="M2000" s="35"/>
      <c r="N2000" s="35"/>
      <c r="O2000" s="35"/>
      <c r="P2000" s="35"/>
      <c r="Q2000" s="35"/>
      <c r="R2000" s="35"/>
      <c r="S2000" s="35"/>
      <c r="T2000" s="35"/>
      <c r="U2000" s="35"/>
      <c r="V2000" s="35"/>
      <c r="W2000" s="35"/>
      <c r="X2000" s="35"/>
      <c r="Y2000" s="35"/>
      <c r="Z2000" s="35"/>
      <c r="AA2000" s="35"/>
      <c r="AB2000" s="35"/>
      <c r="AC2000" s="35"/>
      <c r="AD2000" s="35"/>
      <c r="AE2000" s="35"/>
      <c r="AF2000" s="35"/>
      <c r="AG2000" s="35"/>
      <c r="AH2000" s="35"/>
      <c r="AI2000" s="35"/>
      <c r="AJ2000" s="35"/>
      <c r="AK2000" s="35"/>
      <c r="AL2000" s="35"/>
      <c r="AM2000" s="35"/>
      <c r="AN2000" s="35"/>
      <c r="AO2000" s="35"/>
      <c r="AP2000" s="35"/>
      <c r="AQ2000" s="35"/>
      <c r="AR2000" s="35"/>
      <c r="AS2000" s="35"/>
      <c r="AT2000" s="35"/>
      <c r="AU2000" s="35"/>
      <c r="AV2000" s="35"/>
      <c r="AW2000" s="35"/>
    </row>
    <row r="2001" spans="1:49" s="48" customFormat="1" ht="15.75" x14ac:dyDescent="0.2">
      <c r="A2001" s="35"/>
      <c r="B2001" s="35"/>
      <c r="C2001" s="35"/>
      <c r="D2001" s="35"/>
      <c r="E2001" s="35"/>
      <c r="F2001" s="35"/>
      <c r="G2001" s="35"/>
      <c r="H2001" s="35"/>
      <c r="I2001" s="35"/>
      <c r="J2001" s="35"/>
      <c r="K2001" s="35"/>
      <c r="L2001" s="35"/>
      <c r="M2001" s="35"/>
      <c r="N2001" s="35"/>
      <c r="O2001" s="35"/>
      <c r="P2001" s="35"/>
      <c r="Q2001" s="35"/>
      <c r="R2001" s="35"/>
      <c r="S2001" s="35"/>
      <c r="T2001" s="35"/>
      <c r="U2001" s="35"/>
      <c r="V2001" s="35"/>
      <c r="W2001" s="35"/>
      <c r="X2001" s="35"/>
      <c r="Y2001" s="35"/>
      <c r="Z2001" s="35"/>
      <c r="AA2001" s="35"/>
      <c r="AB2001" s="35"/>
      <c r="AC2001" s="35"/>
      <c r="AD2001" s="35"/>
      <c r="AE2001" s="35"/>
      <c r="AF2001" s="35"/>
      <c r="AG2001" s="35"/>
      <c r="AH2001" s="35"/>
      <c r="AI2001" s="35"/>
      <c r="AJ2001" s="35"/>
      <c r="AK2001" s="35"/>
      <c r="AL2001" s="35"/>
      <c r="AM2001" s="35"/>
      <c r="AN2001" s="35"/>
      <c r="AO2001" s="35"/>
      <c r="AP2001" s="35"/>
      <c r="AQ2001" s="35"/>
      <c r="AR2001" s="35"/>
      <c r="AS2001" s="35"/>
      <c r="AT2001" s="35"/>
      <c r="AU2001" s="35"/>
      <c r="AV2001" s="35"/>
      <c r="AW2001" s="35"/>
    </row>
    <row r="2002" spans="1:49" s="48" customFormat="1" ht="15.75" x14ac:dyDescent="0.2">
      <c r="A2002" s="35"/>
      <c r="B2002" s="35"/>
      <c r="C2002" s="35"/>
      <c r="D2002" s="35"/>
      <c r="E2002" s="35"/>
      <c r="F2002" s="35"/>
      <c r="G2002" s="35"/>
      <c r="H2002" s="35"/>
      <c r="I2002" s="35"/>
      <c r="J2002" s="35"/>
      <c r="K2002" s="35"/>
      <c r="L2002" s="35"/>
      <c r="M2002" s="35"/>
      <c r="N2002" s="35"/>
      <c r="O2002" s="35"/>
      <c r="P2002" s="35"/>
      <c r="Q2002" s="35"/>
      <c r="R2002" s="35"/>
      <c r="S2002" s="35"/>
      <c r="T2002" s="35"/>
      <c r="U2002" s="35"/>
      <c r="V2002" s="35"/>
      <c r="W2002" s="35"/>
      <c r="X2002" s="35"/>
      <c r="Y2002" s="35"/>
      <c r="Z2002" s="35"/>
      <c r="AA2002" s="35"/>
      <c r="AB2002" s="35"/>
      <c r="AC2002" s="35"/>
      <c r="AD2002" s="35"/>
      <c r="AE2002" s="35"/>
      <c r="AF2002" s="35"/>
      <c r="AG2002" s="35"/>
      <c r="AH2002" s="35"/>
      <c r="AI2002" s="35"/>
      <c r="AJ2002" s="35"/>
      <c r="AK2002" s="35"/>
      <c r="AL2002" s="35"/>
      <c r="AM2002" s="35"/>
      <c r="AN2002" s="35"/>
      <c r="AO2002" s="35"/>
      <c r="AP2002" s="35"/>
      <c r="AQ2002" s="35"/>
      <c r="AR2002" s="35"/>
      <c r="AS2002" s="35"/>
      <c r="AT2002" s="35"/>
      <c r="AU2002" s="35"/>
      <c r="AV2002" s="35"/>
      <c r="AW2002" s="35"/>
    </row>
    <row r="2003" spans="1:49" s="48" customFormat="1" ht="15.75" x14ac:dyDescent="0.2">
      <c r="A2003" s="35"/>
      <c r="B2003" s="35"/>
      <c r="C2003" s="35"/>
      <c r="D2003" s="35"/>
      <c r="E2003" s="35"/>
      <c r="F2003" s="35"/>
      <c r="G2003" s="35"/>
      <c r="H2003" s="35"/>
      <c r="I2003" s="35"/>
      <c r="J2003" s="35"/>
      <c r="K2003" s="35"/>
      <c r="L2003" s="35"/>
      <c r="M2003" s="35"/>
      <c r="N2003" s="35"/>
      <c r="O2003" s="35"/>
      <c r="P2003" s="35"/>
      <c r="Q2003" s="35"/>
      <c r="R2003" s="35"/>
      <c r="S2003" s="35"/>
      <c r="T2003" s="35"/>
      <c r="U2003" s="35"/>
      <c r="V2003" s="35"/>
      <c r="W2003" s="35"/>
      <c r="X2003" s="35"/>
      <c r="Y2003" s="35"/>
      <c r="Z2003" s="35"/>
      <c r="AA2003" s="35"/>
      <c r="AB2003" s="35"/>
      <c r="AC2003" s="35"/>
      <c r="AD2003" s="35"/>
      <c r="AE2003" s="35"/>
      <c r="AF2003" s="35"/>
      <c r="AG2003" s="35"/>
      <c r="AH2003" s="35"/>
      <c r="AI2003" s="35"/>
      <c r="AJ2003" s="35"/>
      <c r="AK2003" s="35"/>
      <c r="AL2003" s="35"/>
      <c r="AM2003" s="35"/>
      <c r="AN2003" s="35"/>
      <c r="AO2003" s="35"/>
      <c r="AP2003" s="35"/>
      <c r="AQ2003" s="35"/>
      <c r="AR2003" s="35"/>
      <c r="AS2003" s="35"/>
      <c r="AT2003" s="35"/>
      <c r="AU2003" s="35"/>
      <c r="AV2003" s="35"/>
      <c r="AW2003" s="35"/>
    </row>
    <row r="2004" spans="1:49" s="48" customFormat="1" ht="15.75" x14ac:dyDescent="0.2">
      <c r="A2004" s="35"/>
      <c r="B2004" s="35"/>
      <c r="C2004" s="35"/>
      <c r="D2004" s="35"/>
      <c r="E2004" s="35"/>
      <c r="F2004" s="35"/>
      <c r="G2004" s="35"/>
      <c r="H2004" s="35"/>
      <c r="I2004" s="35"/>
      <c r="J2004" s="35"/>
      <c r="K2004" s="35"/>
      <c r="L2004" s="35"/>
      <c r="M2004" s="35"/>
      <c r="N2004" s="35"/>
      <c r="O2004" s="35"/>
      <c r="P2004" s="35"/>
      <c r="Q2004" s="35"/>
      <c r="R2004" s="35"/>
      <c r="S2004" s="35"/>
      <c r="T2004" s="35"/>
      <c r="U2004" s="35"/>
      <c r="V2004" s="35"/>
      <c r="W2004" s="35"/>
      <c r="X2004" s="35"/>
      <c r="Y2004" s="35"/>
      <c r="Z2004" s="35"/>
      <c r="AA2004" s="35"/>
      <c r="AB2004" s="35"/>
      <c r="AC2004" s="35"/>
      <c r="AD2004" s="35"/>
      <c r="AE2004" s="35"/>
      <c r="AF2004" s="35"/>
      <c r="AG2004" s="35"/>
      <c r="AH2004" s="35"/>
      <c r="AI2004" s="35"/>
      <c r="AJ2004" s="35"/>
      <c r="AK2004" s="35"/>
      <c r="AL2004" s="35"/>
      <c r="AM2004" s="35"/>
      <c r="AN2004" s="35"/>
      <c r="AO2004" s="35"/>
      <c r="AP2004" s="35"/>
      <c r="AQ2004" s="35"/>
      <c r="AR2004" s="35"/>
      <c r="AS2004" s="35"/>
      <c r="AT2004" s="35"/>
      <c r="AU2004" s="35"/>
      <c r="AV2004" s="35"/>
      <c r="AW2004" s="35"/>
    </row>
    <row r="2005" spans="1:49" s="48" customFormat="1" ht="15.75" x14ac:dyDescent="0.2">
      <c r="A2005" s="35"/>
      <c r="B2005" s="35"/>
      <c r="C2005" s="35"/>
      <c r="D2005" s="35"/>
      <c r="E2005" s="35"/>
      <c r="F2005" s="35"/>
      <c r="G2005" s="35"/>
      <c r="H2005" s="35"/>
      <c r="I2005" s="35"/>
      <c r="J2005" s="35"/>
      <c r="K2005" s="35"/>
      <c r="L2005" s="35"/>
      <c r="M2005" s="35"/>
      <c r="N2005" s="35"/>
      <c r="O2005" s="35"/>
      <c r="P2005" s="35"/>
      <c r="Q2005" s="35"/>
      <c r="R2005" s="35"/>
      <c r="S2005" s="35"/>
      <c r="T2005" s="35"/>
      <c r="U2005" s="35"/>
      <c r="V2005" s="35"/>
      <c r="W2005" s="35"/>
      <c r="X2005" s="35"/>
      <c r="Y2005" s="35"/>
      <c r="Z2005" s="35"/>
      <c r="AA2005" s="35"/>
      <c r="AB2005" s="35"/>
      <c r="AC2005" s="35"/>
      <c r="AD2005" s="35"/>
      <c r="AE2005" s="35"/>
      <c r="AF2005" s="35"/>
      <c r="AG2005" s="35"/>
      <c r="AH2005" s="35"/>
      <c r="AI2005" s="35"/>
      <c r="AJ2005" s="35"/>
      <c r="AK2005" s="35"/>
      <c r="AL2005" s="35"/>
      <c r="AM2005" s="35"/>
      <c r="AN2005" s="35"/>
      <c r="AO2005" s="35"/>
      <c r="AP2005" s="35"/>
      <c r="AQ2005" s="35"/>
      <c r="AR2005" s="35"/>
      <c r="AS2005" s="35"/>
      <c r="AT2005" s="35"/>
      <c r="AU2005" s="35"/>
      <c r="AV2005" s="35"/>
      <c r="AW2005" s="35"/>
    </row>
    <row r="2006" spans="1:49" s="47" customFormat="1" ht="15.75" x14ac:dyDescent="0.2">
      <c r="A2006" s="35"/>
      <c r="B2006" s="35"/>
      <c r="C2006" s="35"/>
      <c r="D2006" s="35"/>
      <c r="E2006" s="35"/>
      <c r="F2006" s="35"/>
      <c r="G2006" s="35"/>
      <c r="H2006" s="35"/>
      <c r="I2006" s="35"/>
      <c r="J2006" s="35"/>
      <c r="K2006" s="35"/>
      <c r="L2006" s="35"/>
      <c r="M2006" s="35"/>
      <c r="N2006" s="35"/>
      <c r="O2006" s="35"/>
      <c r="P2006" s="35"/>
      <c r="Q2006" s="35"/>
      <c r="R2006" s="35"/>
      <c r="S2006" s="35"/>
      <c r="T2006" s="35"/>
      <c r="U2006" s="35"/>
      <c r="V2006" s="35"/>
      <c r="W2006" s="35"/>
      <c r="X2006" s="35"/>
      <c r="Y2006" s="35"/>
      <c r="Z2006" s="35"/>
      <c r="AA2006" s="35"/>
      <c r="AB2006" s="35"/>
      <c r="AC2006" s="35"/>
      <c r="AD2006" s="35"/>
      <c r="AE2006" s="35"/>
      <c r="AF2006" s="35"/>
      <c r="AG2006" s="35"/>
      <c r="AH2006" s="35"/>
      <c r="AI2006" s="35"/>
      <c r="AJ2006" s="35"/>
      <c r="AK2006" s="35"/>
      <c r="AL2006" s="35"/>
      <c r="AM2006" s="35"/>
      <c r="AN2006" s="35"/>
      <c r="AO2006" s="35"/>
      <c r="AP2006" s="35"/>
      <c r="AQ2006" s="35"/>
      <c r="AR2006" s="35"/>
      <c r="AS2006" s="35"/>
      <c r="AT2006" s="35"/>
      <c r="AU2006" s="35"/>
      <c r="AV2006" s="35"/>
      <c r="AW2006" s="35"/>
    </row>
    <row r="2007" spans="1:49" s="47" customFormat="1" ht="15.75" x14ac:dyDescent="0.2">
      <c r="A2007" s="35"/>
      <c r="B2007" s="35"/>
      <c r="C2007" s="35"/>
      <c r="D2007" s="35"/>
      <c r="E2007" s="35"/>
      <c r="F2007" s="35"/>
      <c r="G2007" s="35"/>
      <c r="H2007" s="35"/>
      <c r="I2007" s="35"/>
      <c r="J2007" s="35"/>
      <c r="K2007" s="35"/>
      <c r="L2007" s="35"/>
      <c r="M2007" s="35"/>
      <c r="N2007" s="35"/>
      <c r="O2007" s="35"/>
      <c r="P2007" s="35"/>
      <c r="Q2007" s="35"/>
      <c r="R2007" s="35"/>
      <c r="S2007" s="35"/>
      <c r="T2007" s="35"/>
      <c r="U2007" s="35"/>
      <c r="V2007" s="35"/>
      <c r="W2007" s="35"/>
      <c r="X2007" s="35"/>
      <c r="Y2007" s="35"/>
      <c r="Z2007" s="35"/>
      <c r="AA2007" s="35"/>
      <c r="AB2007" s="35"/>
      <c r="AC2007" s="35"/>
      <c r="AD2007" s="35"/>
      <c r="AE2007" s="35"/>
      <c r="AF2007" s="35"/>
      <c r="AG2007" s="35"/>
      <c r="AH2007" s="35"/>
      <c r="AI2007" s="35"/>
      <c r="AJ2007" s="35"/>
      <c r="AK2007" s="35"/>
      <c r="AL2007" s="35"/>
      <c r="AM2007" s="35"/>
      <c r="AN2007" s="35"/>
      <c r="AO2007" s="35"/>
      <c r="AP2007" s="35"/>
      <c r="AQ2007" s="35"/>
      <c r="AR2007" s="35"/>
      <c r="AS2007" s="35"/>
      <c r="AT2007" s="35"/>
      <c r="AU2007" s="35"/>
      <c r="AV2007" s="35"/>
      <c r="AW2007" s="35"/>
    </row>
    <row r="2008" spans="1:49" s="48" customFormat="1" ht="15.75" x14ac:dyDescent="0.2">
      <c r="A2008" s="35"/>
      <c r="B2008" s="35"/>
      <c r="C2008" s="35"/>
      <c r="D2008" s="35"/>
      <c r="E2008" s="35"/>
      <c r="F2008" s="35"/>
      <c r="G2008" s="35"/>
      <c r="H2008" s="35"/>
      <c r="I2008" s="35"/>
      <c r="J2008" s="35"/>
      <c r="K2008" s="35"/>
      <c r="L2008" s="35"/>
      <c r="M2008" s="35"/>
      <c r="N2008" s="35"/>
      <c r="O2008" s="35"/>
      <c r="P2008" s="35"/>
      <c r="Q2008" s="35"/>
      <c r="R2008" s="35"/>
      <c r="S2008" s="35"/>
      <c r="T2008" s="35"/>
      <c r="U2008" s="35"/>
      <c r="V2008" s="35"/>
      <c r="W2008" s="35"/>
      <c r="X2008" s="35"/>
      <c r="Y2008" s="35"/>
      <c r="Z2008" s="35"/>
      <c r="AA2008" s="35"/>
      <c r="AB2008" s="35"/>
      <c r="AC2008" s="35"/>
      <c r="AD2008" s="35"/>
      <c r="AE2008" s="35"/>
      <c r="AF2008" s="35"/>
      <c r="AG2008" s="35"/>
      <c r="AH2008" s="35"/>
      <c r="AI2008" s="35"/>
      <c r="AJ2008" s="35"/>
      <c r="AK2008" s="35"/>
      <c r="AL2008" s="35"/>
      <c r="AM2008" s="35"/>
      <c r="AN2008" s="35"/>
      <c r="AO2008" s="35"/>
      <c r="AP2008" s="35"/>
      <c r="AQ2008" s="35"/>
      <c r="AR2008" s="35"/>
      <c r="AS2008" s="35"/>
      <c r="AT2008" s="35"/>
      <c r="AU2008" s="35"/>
      <c r="AV2008" s="35"/>
      <c r="AW2008" s="35"/>
    </row>
    <row r="2009" spans="1:49" s="47" customFormat="1" ht="15.75" x14ac:dyDescent="0.2">
      <c r="A2009" s="35"/>
      <c r="B2009" s="35"/>
      <c r="C2009" s="35"/>
      <c r="D2009" s="35"/>
      <c r="E2009" s="35"/>
      <c r="F2009" s="35"/>
      <c r="G2009" s="35"/>
      <c r="H2009" s="35"/>
      <c r="I2009" s="35"/>
      <c r="J2009" s="35"/>
      <c r="K2009" s="35"/>
      <c r="L2009" s="35"/>
      <c r="M2009" s="35"/>
      <c r="N2009" s="35"/>
      <c r="O2009" s="35"/>
      <c r="P2009" s="35"/>
      <c r="Q2009" s="35"/>
      <c r="R2009" s="35"/>
      <c r="S2009" s="35"/>
      <c r="T2009" s="35"/>
      <c r="U2009" s="35"/>
      <c r="V2009" s="35"/>
      <c r="W2009" s="35"/>
      <c r="X2009" s="35"/>
      <c r="Y2009" s="35"/>
      <c r="Z2009" s="35"/>
      <c r="AA2009" s="35"/>
      <c r="AB2009" s="35"/>
      <c r="AC2009" s="35"/>
      <c r="AD2009" s="35"/>
      <c r="AE2009" s="35"/>
      <c r="AF2009" s="35"/>
      <c r="AG2009" s="35"/>
      <c r="AH2009" s="35"/>
      <c r="AI2009" s="35"/>
      <c r="AJ2009" s="35"/>
      <c r="AK2009" s="35"/>
      <c r="AL2009" s="35"/>
      <c r="AM2009" s="35"/>
      <c r="AN2009" s="35"/>
      <c r="AO2009" s="35"/>
      <c r="AP2009" s="35"/>
      <c r="AQ2009" s="35"/>
      <c r="AR2009" s="35"/>
      <c r="AS2009" s="35"/>
      <c r="AT2009" s="35"/>
      <c r="AU2009" s="35"/>
      <c r="AV2009" s="35"/>
      <c r="AW2009" s="35"/>
    </row>
    <row r="2010" spans="1:49" s="47" customFormat="1" ht="15.75" x14ac:dyDescent="0.2">
      <c r="A2010" s="35"/>
      <c r="B2010" s="35"/>
      <c r="C2010" s="35"/>
      <c r="D2010" s="35"/>
      <c r="E2010" s="35"/>
      <c r="F2010" s="35"/>
      <c r="G2010" s="35"/>
      <c r="H2010" s="35"/>
      <c r="I2010" s="35"/>
      <c r="J2010" s="35"/>
      <c r="K2010" s="35"/>
      <c r="L2010" s="35"/>
      <c r="M2010" s="35"/>
      <c r="N2010" s="35"/>
      <c r="O2010" s="35"/>
      <c r="P2010" s="35"/>
      <c r="Q2010" s="35"/>
      <c r="R2010" s="35"/>
      <c r="S2010" s="35"/>
      <c r="T2010" s="35"/>
      <c r="U2010" s="35"/>
      <c r="V2010" s="35"/>
      <c r="W2010" s="35"/>
      <c r="X2010" s="35"/>
      <c r="Y2010" s="35"/>
      <c r="Z2010" s="35"/>
      <c r="AA2010" s="35"/>
      <c r="AB2010" s="35"/>
      <c r="AC2010" s="35"/>
      <c r="AD2010" s="35"/>
      <c r="AE2010" s="35"/>
      <c r="AF2010" s="35"/>
      <c r="AG2010" s="35"/>
      <c r="AH2010" s="35"/>
      <c r="AI2010" s="35"/>
      <c r="AJ2010" s="35"/>
      <c r="AK2010" s="35"/>
      <c r="AL2010" s="35"/>
      <c r="AM2010" s="35"/>
      <c r="AN2010" s="35"/>
      <c r="AO2010" s="35"/>
      <c r="AP2010" s="35"/>
      <c r="AQ2010" s="35"/>
      <c r="AR2010" s="35"/>
      <c r="AS2010" s="35"/>
      <c r="AT2010" s="35"/>
      <c r="AU2010" s="35"/>
      <c r="AV2010" s="35"/>
      <c r="AW2010" s="35"/>
    </row>
    <row r="2011" spans="1:49" s="47" customFormat="1" ht="15.75" x14ac:dyDescent="0.2">
      <c r="A2011" s="35"/>
      <c r="B2011" s="35"/>
      <c r="C2011" s="35"/>
      <c r="D2011" s="35"/>
      <c r="E2011" s="35"/>
      <c r="F2011" s="35"/>
      <c r="G2011" s="35"/>
      <c r="H2011" s="35"/>
      <c r="I2011" s="35"/>
      <c r="J2011" s="35"/>
      <c r="K2011" s="35"/>
      <c r="L2011" s="35"/>
      <c r="M2011" s="35"/>
      <c r="N2011" s="35"/>
      <c r="O2011" s="35"/>
      <c r="P2011" s="35"/>
      <c r="Q2011" s="35"/>
      <c r="R2011" s="35"/>
      <c r="S2011" s="35"/>
      <c r="T2011" s="35"/>
      <c r="U2011" s="35"/>
      <c r="V2011" s="35"/>
      <c r="W2011" s="35"/>
      <c r="X2011" s="35"/>
      <c r="Y2011" s="35"/>
      <c r="Z2011" s="35"/>
      <c r="AA2011" s="35"/>
      <c r="AB2011" s="35"/>
      <c r="AC2011" s="35"/>
      <c r="AD2011" s="35"/>
      <c r="AE2011" s="35"/>
      <c r="AF2011" s="35"/>
      <c r="AG2011" s="35"/>
      <c r="AH2011" s="35"/>
      <c r="AI2011" s="35"/>
      <c r="AJ2011" s="35"/>
      <c r="AK2011" s="35"/>
      <c r="AL2011" s="35"/>
      <c r="AM2011" s="35"/>
      <c r="AN2011" s="35"/>
      <c r="AO2011" s="35"/>
      <c r="AP2011" s="35"/>
      <c r="AQ2011" s="35"/>
      <c r="AR2011" s="35"/>
      <c r="AS2011" s="35"/>
      <c r="AT2011" s="35"/>
      <c r="AU2011" s="35"/>
      <c r="AV2011" s="35"/>
      <c r="AW2011" s="35"/>
    </row>
    <row r="2012" spans="1:49" s="27" customFormat="1" ht="15.75" x14ac:dyDescent="0.2">
      <c r="A2012" s="35"/>
      <c r="B2012" s="35"/>
      <c r="C2012" s="35"/>
      <c r="D2012" s="35"/>
      <c r="E2012" s="35"/>
      <c r="F2012" s="35"/>
      <c r="G2012" s="35"/>
      <c r="H2012" s="35"/>
      <c r="I2012" s="35"/>
      <c r="J2012" s="35"/>
      <c r="K2012" s="35"/>
      <c r="L2012" s="35"/>
      <c r="M2012" s="35"/>
      <c r="N2012" s="35"/>
      <c r="O2012" s="35"/>
      <c r="P2012" s="35"/>
      <c r="Q2012" s="35"/>
      <c r="R2012" s="35"/>
      <c r="S2012" s="35"/>
      <c r="T2012" s="35"/>
      <c r="U2012" s="35"/>
      <c r="V2012" s="35"/>
      <c r="W2012" s="35"/>
      <c r="X2012" s="35"/>
      <c r="Y2012" s="35"/>
      <c r="Z2012" s="35"/>
      <c r="AA2012" s="35"/>
      <c r="AB2012" s="35"/>
      <c r="AC2012" s="35"/>
      <c r="AD2012" s="35"/>
      <c r="AE2012" s="35"/>
      <c r="AF2012" s="35"/>
      <c r="AG2012" s="35"/>
      <c r="AH2012" s="35"/>
      <c r="AI2012" s="35"/>
      <c r="AJ2012" s="35"/>
      <c r="AK2012" s="35"/>
      <c r="AL2012" s="35"/>
      <c r="AM2012" s="35"/>
      <c r="AN2012" s="35"/>
      <c r="AO2012" s="35"/>
      <c r="AP2012" s="35"/>
      <c r="AQ2012" s="35"/>
      <c r="AR2012" s="35"/>
      <c r="AS2012" s="35"/>
      <c r="AT2012" s="35"/>
      <c r="AU2012" s="35"/>
      <c r="AV2012" s="35"/>
      <c r="AW2012" s="35"/>
    </row>
    <row r="2013" spans="1:49" s="48" customFormat="1" ht="15.75" x14ac:dyDescent="0.2">
      <c r="A2013" s="35"/>
      <c r="B2013" s="35"/>
      <c r="C2013" s="35"/>
      <c r="D2013" s="35"/>
      <c r="E2013" s="35"/>
      <c r="F2013" s="35"/>
      <c r="G2013" s="35"/>
      <c r="H2013" s="35"/>
      <c r="I2013" s="35"/>
      <c r="J2013" s="35"/>
      <c r="K2013" s="35"/>
      <c r="L2013" s="35"/>
      <c r="M2013" s="35"/>
      <c r="N2013" s="35"/>
      <c r="O2013" s="35"/>
      <c r="P2013" s="35"/>
      <c r="Q2013" s="35"/>
      <c r="R2013" s="35"/>
      <c r="S2013" s="35"/>
      <c r="T2013" s="35"/>
      <c r="U2013" s="35"/>
      <c r="V2013" s="35"/>
      <c r="W2013" s="35"/>
      <c r="X2013" s="35"/>
      <c r="Y2013" s="35"/>
      <c r="Z2013" s="35"/>
      <c r="AA2013" s="35"/>
      <c r="AB2013" s="35"/>
      <c r="AC2013" s="35"/>
      <c r="AD2013" s="35"/>
      <c r="AE2013" s="35"/>
      <c r="AF2013" s="35"/>
      <c r="AG2013" s="35"/>
      <c r="AH2013" s="35"/>
      <c r="AI2013" s="35"/>
      <c r="AJ2013" s="35"/>
      <c r="AK2013" s="35"/>
      <c r="AL2013" s="35"/>
      <c r="AM2013" s="35"/>
      <c r="AN2013" s="35"/>
      <c r="AO2013" s="35"/>
      <c r="AP2013" s="35"/>
      <c r="AQ2013" s="35"/>
      <c r="AR2013" s="35"/>
      <c r="AS2013" s="35"/>
      <c r="AT2013" s="35"/>
      <c r="AU2013" s="35"/>
      <c r="AV2013" s="35"/>
      <c r="AW2013" s="35"/>
    </row>
    <row r="2014" spans="1:49" s="48" customFormat="1" ht="15.75" x14ac:dyDescent="0.2">
      <c r="A2014" s="35"/>
      <c r="B2014" s="35"/>
      <c r="C2014" s="35"/>
      <c r="D2014" s="35"/>
      <c r="E2014" s="35"/>
      <c r="F2014" s="35"/>
      <c r="G2014" s="35"/>
      <c r="H2014" s="35"/>
      <c r="I2014" s="35"/>
      <c r="J2014" s="35"/>
      <c r="K2014" s="35"/>
      <c r="L2014" s="35"/>
      <c r="M2014" s="35"/>
      <c r="N2014" s="35"/>
      <c r="O2014" s="35"/>
      <c r="P2014" s="35"/>
      <c r="Q2014" s="35"/>
      <c r="R2014" s="35"/>
      <c r="S2014" s="35"/>
      <c r="T2014" s="35"/>
      <c r="U2014" s="35"/>
      <c r="V2014" s="35"/>
      <c r="W2014" s="35"/>
      <c r="X2014" s="35"/>
      <c r="Y2014" s="35"/>
      <c r="Z2014" s="35"/>
      <c r="AA2014" s="35"/>
      <c r="AB2014" s="35"/>
      <c r="AC2014" s="35"/>
      <c r="AD2014" s="35"/>
      <c r="AE2014" s="35"/>
      <c r="AF2014" s="35"/>
      <c r="AG2014" s="35"/>
      <c r="AH2014" s="35"/>
      <c r="AI2014" s="35"/>
      <c r="AJ2014" s="35"/>
      <c r="AK2014" s="35"/>
      <c r="AL2014" s="35"/>
      <c r="AM2014" s="35"/>
      <c r="AN2014" s="35"/>
      <c r="AO2014" s="35"/>
      <c r="AP2014" s="35"/>
      <c r="AQ2014" s="35"/>
      <c r="AR2014" s="35"/>
      <c r="AS2014" s="35"/>
      <c r="AT2014" s="35"/>
      <c r="AU2014" s="35"/>
      <c r="AV2014" s="35"/>
      <c r="AW2014" s="35"/>
    </row>
    <row r="2015" spans="1:49" s="27" customFormat="1" ht="15.75" x14ac:dyDescent="0.2">
      <c r="A2015" s="35"/>
      <c r="B2015" s="35"/>
      <c r="C2015" s="35"/>
      <c r="D2015" s="35"/>
      <c r="E2015" s="35"/>
      <c r="F2015" s="35"/>
      <c r="G2015" s="35"/>
      <c r="H2015" s="35"/>
      <c r="I2015" s="35"/>
      <c r="J2015" s="35"/>
      <c r="K2015" s="35"/>
      <c r="L2015" s="35"/>
      <c r="M2015" s="35"/>
      <c r="N2015" s="35"/>
      <c r="O2015" s="35"/>
      <c r="P2015" s="35"/>
      <c r="Q2015" s="35"/>
      <c r="R2015" s="35"/>
      <c r="S2015" s="35"/>
      <c r="T2015" s="35"/>
      <c r="U2015" s="35"/>
      <c r="V2015" s="35"/>
      <c r="W2015" s="35"/>
      <c r="X2015" s="35"/>
      <c r="Y2015" s="35"/>
      <c r="Z2015" s="35"/>
      <c r="AA2015" s="35"/>
      <c r="AB2015" s="35"/>
      <c r="AC2015" s="35"/>
      <c r="AD2015" s="35"/>
      <c r="AE2015" s="35"/>
      <c r="AF2015" s="35"/>
      <c r="AG2015" s="35"/>
      <c r="AH2015" s="35"/>
      <c r="AI2015" s="35"/>
      <c r="AJ2015" s="35"/>
      <c r="AK2015" s="35"/>
      <c r="AL2015" s="35"/>
      <c r="AM2015" s="35"/>
      <c r="AN2015" s="35"/>
      <c r="AO2015" s="35"/>
      <c r="AP2015" s="35"/>
      <c r="AQ2015" s="35"/>
      <c r="AR2015" s="35"/>
      <c r="AS2015" s="35"/>
      <c r="AT2015" s="35"/>
      <c r="AU2015" s="35"/>
      <c r="AV2015" s="35"/>
      <c r="AW2015" s="35"/>
    </row>
    <row r="2016" spans="1:49" s="48" customFormat="1" ht="15.75" x14ac:dyDescent="0.2">
      <c r="A2016" s="35"/>
      <c r="B2016" s="35"/>
      <c r="C2016" s="35"/>
      <c r="D2016" s="35"/>
      <c r="E2016" s="35"/>
      <c r="F2016" s="35"/>
      <c r="G2016" s="35"/>
      <c r="H2016" s="35"/>
      <c r="I2016" s="35"/>
      <c r="J2016" s="35"/>
      <c r="K2016" s="35"/>
      <c r="L2016" s="35"/>
      <c r="M2016" s="35"/>
      <c r="N2016" s="35"/>
      <c r="O2016" s="35"/>
      <c r="P2016" s="35"/>
      <c r="Q2016" s="35"/>
      <c r="R2016" s="35"/>
      <c r="S2016" s="35"/>
      <c r="T2016" s="35"/>
      <c r="U2016" s="35"/>
      <c r="V2016" s="35"/>
      <c r="W2016" s="35"/>
      <c r="X2016" s="35"/>
      <c r="Y2016" s="35"/>
      <c r="Z2016" s="35"/>
      <c r="AA2016" s="35"/>
      <c r="AB2016" s="35"/>
      <c r="AC2016" s="35"/>
      <c r="AD2016" s="35"/>
      <c r="AE2016" s="35"/>
      <c r="AF2016" s="35"/>
      <c r="AG2016" s="35"/>
      <c r="AH2016" s="35"/>
      <c r="AI2016" s="35"/>
      <c r="AJ2016" s="35"/>
      <c r="AK2016" s="35"/>
      <c r="AL2016" s="35"/>
      <c r="AM2016" s="35"/>
      <c r="AN2016" s="35"/>
      <c r="AO2016" s="35"/>
      <c r="AP2016" s="35"/>
      <c r="AQ2016" s="35"/>
      <c r="AR2016" s="35"/>
      <c r="AS2016" s="35"/>
      <c r="AT2016" s="35"/>
      <c r="AU2016" s="35"/>
      <c r="AV2016" s="35"/>
      <c r="AW2016" s="35"/>
    </row>
    <row r="2017" spans="1:49" s="48" customFormat="1" ht="15.75" x14ac:dyDescent="0.2">
      <c r="A2017" s="35"/>
      <c r="B2017" s="35"/>
      <c r="C2017" s="35"/>
      <c r="D2017" s="35"/>
      <c r="E2017" s="35"/>
      <c r="F2017" s="35"/>
      <c r="G2017" s="35"/>
      <c r="H2017" s="35"/>
      <c r="I2017" s="35"/>
      <c r="J2017" s="35"/>
      <c r="K2017" s="35"/>
      <c r="L2017" s="35"/>
      <c r="M2017" s="35"/>
      <c r="N2017" s="35"/>
      <c r="O2017" s="35"/>
      <c r="P2017" s="35"/>
      <c r="Q2017" s="35"/>
      <c r="R2017" s="35"/>
      <c r="S2017" s="35"/>
      <c r="T2017" s="35"/>
      <c r="U2017" s="35"/>
      <c r="V2017" s="35"/>
      <c r="W2017" s="35"/>
      <c r="X2017" s="35"/>
      <c r="Y2017" s="35"/>
      <c r="Z2017" s="35"/>
      <c r="AA2017" s="35"/>
      <c r="AB2017" s="35"/>
      <c r="AC2017" s="35"/>
      <c r="AD2017" s="35"/>
      <c r="AE2017" s="35"/>
      <c r="AF2017" s="35"/>
      <c r="AG2017" s="35"/>
      <c r="AH2017" s="35"/>
      <c r="AI2017" s="35"/>
      <c r="AJ2017" s="35"/>
      <c r="AK2017" s="35"/>
      <c r="AL2017" s="35"/>
      <c r="AM2017" s="35"/>
      <c r="AN2017" s="35"/>
      <c r="AO2017" s="35"/>
      <c r="AP2017" s="35"/>
      <c r="AQ2017" s="35"/>
      <c r="AR2017" s="35"/>
      <c r="AS2017" s="35"/>
      <c r="AT2017" s="35"/>
      <c r="AU2017" s="35"/>
      <c r="AV2017" s="35"/>
      <c r="AW2017" s="35"/>
    </row>
    <row r="2018" spans="1:49" s="48" customFormat="1" ht="15.75" x14ac:dyDescent="0.2">
      <c r="A2018" s="35"/>
      <c r="B2018" s="35"/>
      <c r="C2018" s="35"/>
      <c r="D2018" s="35"/>
      <c r="E2018" s="35"/>
      <c r="F2018" s="35"/>
      <c r="G2018" s="35"/>
      <c r="H2018" s="35"/>
      <c r="I2018" s="35"/>
      <c r="J2018" s="35"/>
      <c r="K2018" s="35"/>
      <c r="L2018" s="35"/>
      <c r="M2018" s="35"/>
      <c r="N2018" s="35"/>
      <c r="O2018" s="35"/>
      <c r="P2018" s="35"/>
      <c r="Q2018" s="35"/>
      <c r="R2018" s="35"/>
      <c r="S2018" s="35"/>
      <c r="T2018" s="35"/>
      <c r="U2018" s="35"/>
      <c r="V2018" s="35"/>
      <c r="W2018" s="35"/>
      <c r="X2018" s="35"/>
      <c r="Y2018" s="35"/>
      <c r="Z2018" s="35"/>
      <c r="AA2018" s="35"/>
      <c r="AB2018" s="35"/>
      <c r="AC2018" s="35"/>
      <c r="AD2018" s="35"/>
      <c r="AE2018" s="35"/>
      <c r="AF2018" s="35"/>
      <c r="AG2018" s="35"/>
      <c r="AH2018" s="35"/>
      <c r="AI2018" s="35"/>
      <c r="AJ2018" s="35"/>
      <c r="AK2018" s="35"/>
      <c r="AL2018" s="35"/>
      <c r="AM2018" s="35"/>
      <c r="AN2018" s="35"/>
      <c r="AO2018" s="35"/>
      <c r="AP2018" s="35"/>
      <c r="AQ2018" s="35"/>
      <c r="AR2018" s="35"/>
      <c r="AS2018" s="35"/>
      <c r="AT2018" s="35"/>
      <c r="AU2018" s="35"/>
      <c r="AV2018" s="35"/>
      <c r="AW2018" s="35"/>
    </row>
    <row r="2019" spans="1:49" s="48" customFormat="1" ht="15.75" x14ac:dyDescent="0.2">
      <c r="A2019" s="35"/>
      <c r="B2019" s="35"/>
      <c r="C2019" s="35"/>
      <c r="D2019" s="35"/>
      <c r="E2019" s="35"/>
      <c r="F2019" s="35"/>
      <c r="G2019" s="35"/>
      <c r="H2019" s="35"/>
      <c r="I2019" s="35"/>
      <c r="J2019" s="35"/>
      <c r="K2019" s="35"/>
      <c r="L2019" s="35"/>
      <c r="M2019" s="35"/>
      <c r="N2019" s="35"/>
      <c r="O2019" s="35"/>
      <c r="P2019" s="35"/>
      <c r="Q2019" s="35"/>
      <c r="R2019" s="35"/>
      <c r="S2019" s="35"/>
      <c r="T2019" s="35"/>
      <c r="U2019" s="35"/>
      <c r="V2019" s="35"/>
      <c r="W2019" s="35"/>
      <c r="X2019" s="35"/>
      <c r="Y2019" s="35"/>
      <c r="Z2019" s="35"/>
      <c r="AA2019" s="35"/>
      <c r="AB2019" s="35"/>
      <c r="AC2019" s="35"/>
      <c r="AD2019" s="35"/>
      <c r="AE2019" s="35"/>
      <c r="AF2019" s="35"/>
      <c r="AG2019" s="35"/>
      <c r="AH2019" s="35"/>
      <c r="AI2019" s="35"/>
      <c r="AJ2019" s="35"/>
      <c r="AK2019" s="35"/>
      <c r="AL2019" s="35"/>
      <c r="AM2019" s="35"/>
      <c r="AN2019" s="35"/>
      <c r="AO2019" s="35"/>
      <c r="AP2019" s="35"/>
      <c r="AQ2019" s="35"/>
      <c r="AR2019" s="35"/>
      <c r="AS2019" s="35"/>
      <c r="AT2019" s="35"/>
      <c r="AU2019" s="35"/>
      <c r="AV2019" s="35"/>
      <c r="AW2019" s="35"/>
    </row>
    <row r="2020" spans="1:49" s="48" customFormat="1" ht="15.75" x14ac:dyDescent="0.2">
      <c r="A2020" s="35"/>
      <c r="B2020" s="35"/>
      <c r="C2020" s="35"/>
      <c r="D2020" s="35"/>
      <c r="E2020" s="35"/>
      <c r="F2020" s="35"/>
      <c r="G2020" s="35"/>
      <c r="H2020" s="35"/>
      <c r="I2020" s="35"/>
      <c r="J2020" s="35"/>
      <c r="K2020" s="35"/>
      <c r="L2020" s="35"/>
      <c r="M2020" s="35"/>
      <c r="N2020" s="35"/>
      <c r="O2020" s="35"/>
      <c r="P2020" s="35"/>
      <c r="Q2020" s="35"/>
      <c r="R2020" s="35"/>
      <c r="S2020" s="35"/>
      <c r="T2020" s="35"/>
      <c r="U2020" s="35"/>
      <c r="V2020" s="35"/>
      <c r="W2020" s="35"/>
      <c r="X2020" s="35"/>
      <c r="Y2020" s="35"/>
      <c r="Z2020" s="35"/>
      <c r="AA2020" s="35"/>
      <c r="AB2020" s="35"/>
      <c r="AC2020" s="35"/>
      <c r="AD2020" s="35"/>
      <c r="AE2020" s="35"/>
      <c r="AF2020" s="35"/>
      <c r="AG2020" s="35"/>
      <c r="AH2020" s="35"/>
      <c r="AI2020" s="35"/>
      <c r="AJ2020" s="35"/>
      <c r="AK2020" s="35"/>
      <c r="AL2020" s="35"/>
      <c r="AM2020" s="35"/>
      <c r="AN2020" s="35"/>
      <c r="AO2020" s="35"/>
      <c r="AP2020" s="35"/>
      <c r="AQ2020" s="35"/>
      <c r="AR2020" s="35"/>
      <c r="AS2020" s="35"/>
      <c r="AT2020" s="35"/>
      <c r="AU2020" s="35"/>
      <c r="AV2020" s="35"/>
      <c r="AW2020" s="35"/>
    </row>
    <row r="2021" spans="1:49" s="48" customFormat="1" ht="15.75" x14ac:dyDescent="0.2">
      <c r="A2021" s="35"/>
      <c r="B2021" s="35"/>
      <c r="C2021" s="35"/>
      <c r="D2021" s="35"/>
      <c r="E2021" s="35"/>
      <c r="F2021" s="35"/>
      <c r="G2021" s="35"/>
      <c r="H2021" s="35"/>
      <c r="I2021" s="35"/>
      <c r="J2021" s="35"/>
      <c r="K2021" s="35"/>
      <c r="L2021" s="35"/>
      <c r="M2021" s="35"/>
      <c r="N2021" s="35"/>
      <c r="O2021" s="35"/>
      <c r="P2021" s="35"/>
      <c r="Q2021" s="35"/>
      <c r="R2021" s="35"/>
      <c r="S2021" s="35"/>
      <c r="T2021" s="35"/>
      <c r="U2021" s="35"/>
      <c r="V2021" s="35"/>
      <c r="W2021" s="35"/>
      <c r="X2021" s="35"/>
      <c r="Y2021" s="35"/>
      <c r="Z2021" s="35"/>
      <c r="AA2021" s="35"/>
      <c r="AB2021" s="35"/>
      <c r="AC2021" s="35"/>
      <c r="AD2021" s="35"/>
      <c r="AE2021" s="35"/>
      <c r="AF2021" s="35"/>
      <c r="AG2021" s="35"/>
      <c r="AH2021" s="35"/>
      <c r="AI2021" s="35"/>
      <c r="AJ2021" s="35"/>
      <c r="AK2021" s="35"/>
      <c r="AL2021" s="35"/>
      <c r="AM2021" s="35"/>
      <c r="AN2021" s="35"/>
      <c r="AO2021" s="35"/>
      <c r="AP2021" s="35"/>
      <c r="AQ2021" s="35"/>
      <c r="AR2021" s="35"/>
      <c r="AS2021" s="35"/>
      <c r="AT2021" s="35"/>
      <c r="AU2021" s="35"/>
      <c r="AV2021" s="35"/>
      <c r="AW2021" s="35"/>
    </row>
    <row r="2022" spans="1:49" s="48" customFormat="1" ht="15.75" x14ac:dyDescent="0.2">
      <c r="A2022" s="35"/>
      <c r="B2022" s="35"/>
      <c r="C2022" s="35"/>
      <c r="D2022" s="35"/>
      <c r="E2022" s="35"/>
      <c r="F2022" s="35"/>
      <c r="G2022" s="35"/>
      <c r="H2022" s="35"/>
      <c r="I2022" s="35"/>
      <c r="J2022" s="35"/>
      <c r="K2022" s="35"/>
      <c r="L2022" s="35"/>
      <c r="M2022" s="35"/>
      <c r="N2022" s="35"/>
      <c r="O2022" s="35"/>
      <c r="P2022" s="35"/>
      <c r="Q2022" s="35"/>
      <c r="R2022" s="35"/>
      <c r="S2022" s="35"/>
      <c r="T2022" s="35"/>
      <c r="U2022" s="35"/>
      <c r="V2022" s="35"/>
      <c r="W2022" s="35"/>
      <c r="X2022" s="35"/>
      <c r="Y2022" s="35"/>
      <c r="Z2022" s="35"/>
      <c r="AA2022" s="35"/>
      <c r="AB2022" s="35"/>
      <c r="AC2022" s="35"/>
      <c r="AD2022" s="35"/>
      <c r="AE2022" s="35"/>
      <c r="AF2022" s="35"/>
      <c r="AG2022" s="35"/>
      <c r="AH2022" s="35"/>
      <c r="AI2022" s="35"/>
      <c r="AJ2022" s="35"/>
      <c r="AK2022" s="35"/>
      <c r="AL2022" s="35"/>
      <c r="AM2022" s="35"/>
      <c r="AN2022" s="35"/>
      <c r="AO2022" s="35"/>
      <c r="AP2022" s="35"/>
      <c r="AQ2022" s="35"/>
      <c r="AR2022" s="35"/>
      <c r="AS2022" s="35"/>
      <c r="AT2022" s="35"/>
      <c r="AU2022" s="35"/>
      <c r="AV2022" s="35"/>
      <c r="AW2022" s="35"/>
    </row>
    <row r="2023" spans="1:49" s="48" customFormat="1" ht="15.75" x14ac:dyDescent="0.2">
      <c r="A2023" s="35"/>
      <c r="B2023" s="35"/>
      <c r="C2023" s="35"/>
      <c r="D2023" s="35"/>
      <c r="E2023" s="35"/>
      <c r="F2023" s="35"/>
      <c r="G2023" s="35"/>
      <c r="H2023" s="35"/>
      <c r="I2023" s="35"/>
      <c r="J2023" s="35"/>
      <c r="K2023" s="35"/>
      <c r="L2023" s="35"/>
      <c r="M2023" s="35"/>
      <c r="N2023" s="35"/>
      <c r="O2023" s="35"/>
      <c r="P2023" s="35"/>
      <c r="Q2023" s="35"/>
      <c r="R2023" s="35"/>
      <c r="S2023" s="35"/>
      <c r="T2023" s="35"/>
      <c r="U2023" s="35"/>
      <c r="V2023" s="35"/>
      <c r="W2023" s="35"/>
      <c r="X2023" s="35"/>
      <c r="Y2023" s="35"/>
      <c r="Z2023" s="35"/>
      <c r="AA2023" s="35"/>
      <c r="AB2023" s="35"/>
      <c r="AC2023" s="35"/>
      <c r="AD2023" s="35"/>
      <c r="AE2023" s="35"/>
      <c r="AF2023" s="35"/>
      <c r="AG2023" s="35"/>
      <c r="AH2023" s="35"/>
      <c r="AI2023" s="35"/>
      <c r="AJ2023" s="35"/>
      <c r="AK2023" s="35"/>
      <c r="AL2023" s="35"/>
      <c r="AM2023" s="35"/>
      <c r="AN2023" s="35"/>
      <c r="AO2023" s="35"/>
      <c r="AP2023" s="35"/>
      <c r="AQ2023" s="35"/>
      <c r="AR2023" s="35"/>
      <c r="AS2023" s="35"/>
      <c r="AT2023" s="35"/>
      <c r="AU2023" s="35"/>
      <c r="AV2023" s="35"/>
      <c r="AW2023" s="35"/>
    </row>
    <row r="2024" spans="1:49" s="27" customFormat="1" ht="15.75" x14ac:dyDescent="0.2">
      <c r="A2024" s="35"/>
      <c r="B2024" s="35"/>
      <c r="C2024" s="35"/>
      <c r="D2024" s="35"/>
      <c r="E2024" s="35"/>
      <c r="F2024" s="35"/>
      <c r="G2024" s="35"/>
      <c r="H2024" s="35"/>
      <c r="I2024" s="35"/>
      <c r="J2024" s="35"/>
      <c r="K2024" s="35"/>
      <c r="L2024" s="35"/>
      <c r="M2024" s="35"/>
      <c r="N2024" s="35"/>
      <c r="O2024" s="35"/>
      <c r="P2024" s="35"/>
      <c r="Q2024" s="35"/>
      <c r="R2024" s="35"/>
      <c r="S2024" s="35"/>
      <c r="T2024" s="35"/>
      <c r="U2024" s="35"/>
      <c r="V2024" s="35"/>
      <c r="W2024" s="35"/>
      <c r="X2024" s="35"/>
      <c r="Y2024" s="35"/>
      <c r="Z2024" s="35"/>
      <c r="AA2024" s="35"/>
      <c r="AB2024" s="35"/>
      <c r="AC2024" s="35"/>
      <c r="AD2024" s="35"/>
      <c r="AE2024" s="35"/>
      <c r="AF2024" s="35"/>
      <c r="AG2024" s="35"/>
      <c r="AH2024" s="35"/>
      <c r="AI2024" s="35"/>
      <c r="AJ2024" s="35"/>
      <c r="AK2024" s="35"/>
      <c r="AL2024" s="35"/>
      <c r="AM2024" s="35"/>
      <c r="AN2024" s="35"/>
      <c r="AO2024" s="35"/>
      <c r="AP2024" s="35"/>
      <c r="AQ2024" s="35"/>
      <c r="AR2024" s="35"/>
      <c r="AS2024" s="35"/>
      <c r="AT2024" s="35"/>
      <c r="AU2024" s="35"/>
      <c r="AV2024" s="35"/>
      <c r="AW2024" s="35"/>
    </row>
    <row r="2025" spans="1:49" s="48" customFormat="1" ht="15.75" x14ac:dyDescent="0.2">
      <c r="A2025" s="35"/>
      <c r="B2025" s="35"/>
      <c r="C2025" s="35"/>
      <c r="D2025" s="35"/>
      <c r="E2025" s="35"/>
      <c r="F2025" s="35"/>
      <c r="G2025" s="35"/>
      <c r="H2025" s="35"/>
      <c r="I2025" s="35"/>
      <c r="J2025" s="35"/>
      <c r="K2025" s="35"/>
      <c r="L2025" s="35"/>
      <c r="M2025" s="35"/>
      <c r="N2025" s="35"/>
      <c r="O2025" s="35"/>
      <c r="P2025" s="35"/>
      <c r="Q2025" s="35"/>
      <c r="R2025" s="35"/>
      <c r="S2025" s="35"/>
      <c r="T2025" s="35"/>
      <c r="U2025" s="35"/>
      <c r="V2025" s="35"/>
      <c r="W2025" s="35"/>
      <c r="X2025" s="35"/>
      <c r="Y2025" s="35"/>
      <c r="Z2025" s="35"/>
      <c r="AA2025" s="35"/>
      <c r="AB2025" s="35"/>
      <c r="AC2025" s="35"/>
      <c r="AD2025" s="35"/>
      <c r="AE2025" s="35"/>
      <c r="AF2025" s="35"/>
      <c r="AG2025" s="35"/>
      <c r="AH2025" s="35"/>
      <c r="AI2025" s="35"/>
      <c r="AJ2025" s="35"/>
      <c r="AK2025" s="35"/>
      <c r="AL2025" s="35"/>
      <c r="AM2025" s="35"/>
      <c r="AN2025" s="35"/>
      <c r="AO2025" s="35"/>
      <c r="AP2025" s="35"/>
      <c r="AQ2025" s="35"/>
      <c r="AR2025" s="35"/>
      <c r="AS2025" s="35"/>
      <c r="AT2025" s="35"/>
      <c r="AU2025" s="35"/>
      <c r="AV2025" s="35"/>
      <c r="AW2025" s="35"/>
    </row>
    <row r="2026" spans="1:49" s="48" customFormat="1" ht="15.75" x14ac:dyDescent="0.2">
      <c r="A2026" s="35"/>
      <c r="B2026" s="35"/>
      <c r="C2026" s="35"/>
      <c r="D2026" s="35"/>
      <c r="E2026" s="35"/>
      <c r="F2026" s="35"/>
      <c r="G2026" s="35"/>
      <c r="H2026" s="35"/>
      <c r="I2026" s="35"/>
      <c r="J2026" s="35"/>
      <c r="K2026" s="35"/>
      <c r="L2026" s="35"/>
      <c r="M2026" s="35"/>
      <c r="N2026" s="35"/>
      <c r="O2026" s="35"/>
      <c r="P2026" s="35"/>
      <c r="Q2026" s="35"/>
      <c r="R2026" s="35"/>
      <c r="S2026" s="35"/>
      <c r="T2026" s="35"/>
      <c r="U2026" s="35"/>
      <c r="V2026" s="35"/>
      <c r="W2026" s="35"/>
      <c r="X2026" s="35"/>
      <c r="Y2026" s="35"/>
      <c r="Z2026" s="35"/>
      <c r="AA2026" s="35"/>
      <c r="AB2026" s="35"/>
      <c r="AC2026" s="35"/>
      <c r="AD2026" s="35"/>
      <c r="AE2026" s="35"/>
      <c r="AF2026" s="35"/>
      <c r="AG2026" s="35"/>
      <c r="AH2026" s="35"/>
      <c r="AI2026" s="35"/>
      <c r="AJ2026" s="35"/>
      <c r="AK2026" s="35"/>
      <c r="AL2026" s="35"/>
      <c r="AM2026" s="35"/>
      <c r="AN2026" s="35"/>
      <c r="AO2026" s="35"/>
      <c r="AP2026" s="35"/>
      <c r="AQ2026" s="35"/>
      <c r="AR2026" s="35"/>
      <c r="AS2026" s="35"/>
      <c r="AT2026" s="35"/>
      <c r="AU2026" s="35"/>
      <c r="AV2026" s="35"/>
      <c r="AW2026" s="35"/>
    </row>
    <row r="2027" spans="1:49" s="48" customFormat="1" ht="15.75" x14ac:dyDescent="0.2">
      <c r="A2027" s="35"/>
      <c r="B2027" s="35"/>
      <c r="C2027" s="35"/>
      <c r="D2027" s="35"/>
      <c r="E2027" s="35"/>
      <c r="F2027" s="35"/>
      <c r="G2027" s="35"/>
      <c r="H2027" s="35"/>
      <c r="I2027" s="35"/>
      <c r="J2027" s="35"/>
      <c r="K2027" s="35"/>
      <c r="L2027" s="35"/>
      <c r="M2027" s="35"/>
      <c r="N2027" s="35"/>
      <c r="O2027" s="35"/>
      <c r="P2027" s="35"/>
      <c r="Q2027" s="35"/>
      <c r="R2027" s="35"/>
      <c r="S2027" s="35"/>
      <c r="T2027" s="35"/>
      <c r="U2027" s="35"/>
      <c r="V2027" s="35"/>
      <c r="W2027" s="35"/>
      <c r="X2027" s="35"/>
      <c r="Y2027" s="35"/>
      <c r="Z2027" s="35"/>
      <c r="AA2027" s="35"/>
      <c r="AB2027" s="35"/>
      <c r="AC2027" s="35"/>
      <c r="AD2027" s="35"/>
      <c r="AE2027" s="35"/>
      <c r="AF2027" s="35"/>
      <c r="AG2027" s="35"/>
      <c r="AH2027" s="35"/>
      <c r="AI2027" s="35"/>
      <c r="AJ2027" s="35"/>
      <c r="AK2027" s="35"/>
      <c r="AL2027" s="35"/>
      <c r="AM2027" s="35"/>
      <c r="AN2027" s="35"/>
      <c r="AO2027" s="35"/>
      <c r="AP2027" s="35"/>
      <c r="AQ2027" s="35"/>
      <c r="AR2027" s="35"/>
      <c r="AS2027" s="35"/>
      <c r="AT2027" s="35"/>
      <c r="AU2027" s="35"/>
      <c r="AV2027" s="35"/>
      <c r="AW2027" s="35"/>
    </row>
    <row r="2028" spans="1:49" s="46" customFormat="1" ht="15" x14ac:dyDescent="0.25">
      <c r="A2028" s="35"/>
      <c r="B2028" s="35"/>
      <c r="C2028" s="35"/>
      <c r="D2028" s="35"/>
      <c r="E2028" s="35"/>
      <c r="F2028" s="35"/>
      <c r="G2028" s="35"/>
      <c r="H2028" s="35"/>
      <c r="I2028" s="35"/>
      <c r="J2028" s="35"/>
      <c r="K2028" s="35"/>
      <c r="L2028" s="35"/>
      <c r="M2028" s="35"/>
      <c r="N2028" s="35"/>
      <c r="O2028" s="35"/>
      <c r="P2028" s="35"/>
      <c r="Q2028" s="35"/>
      <c r="R2028" s="35"/>
      <c r="S2028" s="35"/>
      <c r="T2028" s="35"/>
      <c r="U2028" s="35"/>
      <c r="V2028" s="35"/>
      <c r="W2028" s="35"/>
      <c r="X2028" s="35"/>
      <c r="Y2028" s="35"/>
      <c r="Z2028" s="35"/>
      <c r="AA2028" s="35"/>
      <c r="AB2028" s="35"/>
      <c r="AC2028" s="35"/>
      <c r="AD2028" s="35"/>
      <c r="AE2028" s="35"/>
      <c r="AF2028" s="35"/>
      <c r="AG2028" s="35"/>
      <c r="AH2028" s="35"/>
      <c r="AI2028" s="35"/>
      <c r="AJ2028" s="35"/>
      <c r="AK2028" s="35"/>
      <c r="AL2028" s="35"/>
      <c r="AM2028" s="35"/>
      <c r="AN2028" s="35"/>
      <c r="AO2028" s="35"/>
      <c r="AP2028" s="35"/>
      <c r="AQ2028" s="35"/>
      <c r="AR2028" s="35"/>
      <c r="AS2028" s="35"/>
      <c r="AT2028" s="35"/>
      <c r="AU2028" s="35"/>
      <c r="AV2028" s="35"/>
      <c r="AW2028" s="35"/>
    </row>
    <row r="2029" spans="1:49" s="48" customFormat="1" ht="15.75" x14ac:dyDescent="0.2">
      <c r="A2029" s="35"/>
      <c r="B2029" s="35"/>
      <c r="C2029" s="35"/>
      <c r="D2029" s="35"/>
      <c r="E2029" s="35"/>
      <c r="F2029" s="35"/>
      <c r="G2029" s="35"/>
      <c r="H2029" s="35"/>
      <c r="I2029" s="35"/>
      <c r="J2029" s="35"/>
      <c r="K2029" s="35"/>
      <c r="L2029" s="35"/>
      <c r="M2029" s="35"/>
      <c r="N2029" s="35"/>
      <c r="O2029" s="35"/>
      <c r="P2029" s="35"/>
      <c r="Q2029" s="35"/>
      <c r="R2029" s="35"/>
      <c r="S2029" s="35"/>
      <c r="T2029" s="35"/>
      <c r="U2029" s="35"/>
      <c r="V2029" s="35"/>
      <c r="W2029" s="35"/>
      <c r="X2029" s="35"/>
      <c r="Y2029" s="35"/>
      <c r="Z2029" s="35"/>
      <c r="AA2029" s="35"/>
      <c r="AB2029" s="35"/>
      <c r="AC2029" s="35"/>
      <c r="AD2029" s="35"/>
      <c r="AE2029" s="35"/>
      <c r="AF2029" s="35"/>
      <c r="AG2029" s="35"/>
      <c r="AH2029" s="35"/>
      <c r="AI2029" s="35"/>
      <c r="AJ2029" s="35"/>
      <c r="AK2029" s="35"/>
      <c r="AL2029" s="35"/>
      <c r="AM2029" s="35"/>
      <c r="AN2029" s="35"/>
      <c r="AO2029" s="35"/>
      <c r="AP2029" s="35"/>
      <c r="AQ2029" s="35"/>
      <c r="AR2029" s="35"/>
      <c r="AS2029" s="35"/>
      <c r="AT2029" s="35"/>
      <c r="AU2029" s="35"/>
      <c r="AV2029" s="35"/>
      <c r="AW2029" s="35"/>
    </row>
    <row r="2030" spans="1:49" s="48" customFormat="1" ht="15.75" x14ac:dyDescent="0.2">
      <c r="A2030" s="35"/>
      <c r="B2030" s="35"/>
      <c r="C2030" s="35"/>
      <c r="D2030" s="35"/>
      <c r="E2030" s="35"/>
      <c r="F2030" s="35"/>
      <c r="G2030" s="35"/>
      <c r="H2030" s="35"/>
      <c r="I2030" s="35"/>
      <c r="J2030" s="35"/>
      <c r="K2030" s="35"/>
      <c r="L2030" s="35"/>
      <c r="M2030" s="35"/>
      <c r="N2030" s="35"/>
      <c r="O2030" s="35"/>
      <c r="P2030" s="35"/>
      <c r="Q2030" s="35"/>
      <c r="R2030" s="35"/>
      <c r="S2030" s="35"/>
      <c r="T2030" s="35"/>
      <c r="U2030" s="35"/>
      <c r="V2030" s="35"/>
      <c r="W2030" s="35"/>
      <c r="X2030" s="35"/>
      <c r="Y2030" s="35"/>
      <c r="Z2030" s="35"/>
      <c r="AA2030" s="35"/>
      <c r="AB2030" s="35"/>
      <c r="AC2030" s="35"/>
      <c r="AD2030" s="35"/>
      <c r="AE2030" s="35"/>
      <c r="AF2030" s="35"/>
      <c r="AG2030" s="35"/>
      <c r="AH2030" s="35"/>
      <c r="AI2030" s="35"/>
      <c r="AJ2030" s="35"/>
      <c r="AK2030" s="35"/>
      <c r="AL2030" s="35"/>
      <c r="AM2030" s="35"/>
      <c r="AN2030" s="35"/>
      <c r="AO2030" s="35"/>
      <c r="AP2030" s="35"/>
      <c r="AQ2030" s="35"/>
      <c r="AR2030" s="35"/>
      <c r="AS2030" s="35"/>
      <c r="AT2030" s="35"/>
      <c r="AU2030" s="35"/>
      <c r="AV2030" s="35"/>
      <c r="AW2030" s="35"/>
    </row>
    <row r="2031" spans="1:49" s="46" customFormat="1" ht="15" x14ac:dyDescent="0.25">
      <c r="A2031" s="35"/>
      <c r="B2031" s="35"/>
      <c r="C2031" s="35"/>
      <c r="D2031" s="35"/>
      <c r="E2031" s="35"/>
      <c r="F2031" s="35"/>
      <c r="G2031" s="35"/>
      <c r="H2031" s="35"/>
      <c r="I2031" s="35"/>
      <c r="J2031" s="35"/>
      <c r="K2031" s="35"/>
      <c r="L2031" s="35"/>
      <c r="M2031" s="35"/>
      <c r="N2031" s="35"/>
      <c r="O2031" s="35"/>
      <c r="P2031" s="35"/>
      <c r="Q2031" s="35"/>
      <c r="R2031" s="35"/>
      <c r="S2031" s="35"/>
      <c r="T2031" s="35"/>
      <c r="U2031" s="35"/>
      <c r="V2031" s="35"/>
      <c r="W2031" s="35"/>
      <c r="X2031" s="35"/>
      <c r="Y2031" s="35"/>
      <c r="Z2031" s="35"/>
      <c r="AA2031" s="35"/>
      <c r="AB2031" s="35"/>
      <c r="AC2031" s="35"/>
      <c r="AD2031" s="35"/>
      <c r="AE2031" s="35"/>
      <c r="AF2031" s="35"/>
      <c r="AG2031" s="35"/>
      <c r="AH2031" s="35"/>
      <c r="AI2031" s="35"/>
      <c r="AJ2031" s="35"/>
      <c r="AK2031" s="35"/>
      <c r="AL2031" s="35"/>
      <c r="AM2031" s="35"/>
      <c r="AN2031" s="35"/>
      <c r="AO2031" s="35"/>
      <c r="AP2031" s="35"/>
      <c r="AQ2031" s="35"/>
      <c r="AR2031" s="35"/>
      <c r="AS2031" s="35"/>
      <c r="AT2031" s="35"/>
      <c r="AU2031" s="35"/>
      <c r="AV2031" s="35"/>
      <c r="AW2031" s="35"/>
    </row>
    <row r="2032" spans="1:49" s="48" customFormat="1" ht="15.75" x14ac:dyDescent="0.2">
      <c r="A2032" s="35"/>
      <c r="B2032" s="35"/>
      <c r="C2032" s="35"/>
      <c r="D2032" s="35"/>
      <c r="E2032" s="35"/>
      <c r="F2032" s="35"/>
      <c r="G2032" s="35"/>
      <c r="H2032" s="35"/>
      <c r="I2032" s="35"/>
      <c r="J2032" s="35"/>
      <c r="K2032" s="35"/>
      <c r="L2032" s="35"/>
      <c r="M2032" s="35"/>
      <c r="N2032" s="35"/>
      <c r="O2032" s="35"/>
      <c r="P2032" s="35"/>
      <c r="Q2032" s="35"/>
      <c r="R2032" s="35"/>
      <c r="S2032" s="35"/>
      <c r="T2032" s="35"/>
      <c r="U2032" s="35"/>
      <c r="V2032" s="35"/>
      <c r="W2032" s="35"/>
      <c r="X2032" s="35"/>
      <c r="Y2032" s="35"/>
      <c r="Z2032" s="35"/>
      <c r="AA2032" s="35"/>
      <c r="AB2032" s="35"/>
      <c r="AC2032" s="35"/>
      <c r="AD2032" s="35"/>
      <c r="AE2032" s="35"/>
      <c r="AF2032" s="35"/>
      <c r="AG2032" s="35"/>
      <c r="AH2032" s="35"/>
      <c r="AI2032" s="35"/>
      <c r="AJ2032" s="35"/>
      <c r="AK2032" s="35"/>
      <c r="AL2032" s="35"/>
      <c r="AM2032" s="35"/>
      <c r="AN2032" s="35"/>
      <c r="AO2032" s="35"/>
      <c r="AP2032" s="35"/>
      <c r="AQ2032" s="35"/>
      <c r="AR2032" s="35"/>
      <c r="AS2032" s="35"/>
      <c r="AT2032" s="35"/>
      <c r="AU2032" s="35"/>
      <c r="AV2032" s="35"/>
      <c r="AW2032" s="35"/>
    </row>
    <row r="2033" spans="1:49" s="48" customFormat="1" ht="15.75" x14ac:dyDescent="0.2">
      <c r="A2033" s="35"/>
      <c r="B2033" s="35"/>
      <c r="C2033" s="35"/>
      <c r="D2033" s="35"/>
      <c r="E2033" s="35"/>
      <c r="F2033" s="35"/>
      <c r="G2033" s="35"/>
      <c r="H2033" s="35"/>
      <c r="I2033" s="35"/>
      <c r="J2033" s="35"/>
      <c r="K2033" s="35"/>
      <c r="L2033" s="35"/>
      <c r="M2033" s="35"/>
      <c r="N2033" s="35"/>
      <c r="O2033" s="35"/>
      <c r="P2033" s="35"/>
      <c r="Q2033" s="35"/>
      <c r="R2033" s="35"/>
      <c r="S2033" s="35"/>
      <c r="T2033" s="35"/>
      <c r="U2033" s="35"/>
      <c r="V2033" s="35"/>
      <c r="W2033" s="35"/>
      <c r="X2033" s="35"/>
      <c r="Y2033" s="35"/>
      <c r="Z2033" s="35"/>
      <c r="AA2033" s="35"/>
      <c r="AB2033" s="35"/>
      <c r="AC2033" s="35"/>
      <c r="AD2033" s="35"/>
      <c r="AE2033" s="35"/>
      <c r="AF2033" s="35"/>
      <c r="AG2033" s="35"/>
      <c r="AH2033" s="35"/>
      <c r="AI2033" s="35"/>
      <c r="AJ2033" s="35"/>
      <c r="AK2033" s="35"/>
      <c r="AL2033" s="35"/>
      <c r="AM2033" s="35"/>
      <c r="AN2033" s="35"/>
      <c r="AO2033" s="35"/>
      <c r="AP2033" s="35"/>
      <c r="AQ2033" s="35"/>
      <c r="AR2033" s="35"/>
      <c r="AS2033" s="35"/>
      <c r="AT2033" s="35"/>
      <c r="AU2033" s="35"/>
      <c r="AV2033" s="35"/>
      <c r="AW2033" s="35"/>
    </row>
    <row r="2034" spans="1:49" s="48" customFormat="1" ht="15.75" x14ac:dyDescent="0.2">
      <c r="A2034" s="35"/>
      <c r="B2034" s="35"/>
      <c r="C2034" s="35"/>
      <c r="D2034" s="35"/>
      <c r="E2034" s="35"/>
      <c r="F2034" s="35"/>
      <c r="G2034" s="35"/>
      <c r="H2034" s="35"/>
      <c r="I2034" s="35"/>
      <c r="J2034" s="35"/>
      <c r="K2034" s="35"/>
      <c r="L2034" s="35"/>
      <c r="M2034" s="35"/>
      <c r="N2034" s="35"/>
      <c r="O2034" s="35"/>
      <c r="P2034" s="35"/>
      <c r="Q2034" s="35"/>
      <c r="R2034" s="35"/>
      <c r="S2034" s="35"/>
      <c r="T2034" s="35"/>
      <c r="U2034" s="35"/>
      <c r="V2034" s="35"/>
      <c r="W2034" s="35"/>
      <c r="X2034" s="35"/>
      <c r="Y2034" s="35"/>
      <c r="Z2034" s="35"/>
      <c r="AA2034" s="35"/>
      <c r="AB2034" s="35"/>
      <c r="AC2034" s="35"/>
      <c r="AD2034" s="35"/>
      <c r="AE2034" s="35"/>
      <c r="AF2034" s="35"/>
      <c r="AG2034" s="35"/>
      <c r="AH2034" s="35"/>
      <c r="AI2034" s="35"/>
      <c r="AJ2034" s="35"/>
      <c r="AK2034" s="35"/>
      <c r="AL2034" s="35"/>
      <c r="AM2034" s="35"/>
      <c r="AN2034" s="35"/>
      <c r="AO2034" s="35"/>
      <c r="AP2034" s="35"/>
      <c r="AQ2034" s="35"/>
      <c r="AR2034" s="35"/>
      <c r="AS2034" s="35"/>
      <c r="AT2034" s="35"/>
      <c r="AU2034" s="35"/>
      <c r="AV2034" s="35"/>
      <c r="AW2034" s="35"/>
    </row>
    <row r="2035" spans="1:49" s="48" customFormat="1" ht="15.75" x14ac:dyDescent="0.2">
      <c r="A2035" s="35"/>
      <c r="B2035" s="35"/>
      <c r="C2035" s="35"/>
      <c r="D2035" s="35"/>
      <c r="E2035" s="35"/>
      <c r="F2035" s="35"/>
      <c r="G2035" s="35"/>
      <c r="H2035" s="35"/>
      <c r="I2035" s="35"/>
      <c r="J2035" s="35"/>
      <c r="K2035" s="35"/>
      <c r="L2035" s="35"/>
      <c r="M2035" s="35"/>
      <c r="N2035" s="35"/>
      <c r="O2035" s="35"/>
      <c r="P2035" s="35"/>
      <c r="Q2035" s="35"/>
      <c r="R2035" s="35"/>
      <c r="S2035" s="35"/>
      <c r="T2035" s="35"/>
      <c r="U2035" s="35"/>
      <c r="V2035" s="35"/>
      <c r="W2035" s="35"/>
      <c r="X2035" s="35"/>
      <c r="Y2035" s="35"/>
      <c r="Z2035" s="35"/>
      <c r="AA2035" s="35"/>
      <c r="AB2035" s="35"/>
      <c r="AC2035" s="35"/>
      <c r="AD2035" s="35"/>
      <c r="AE2035" s="35"/>
      <c r="AF2035" s="35"/>
      <c r="AG2035" s="35"/>
      <c r="AH2035" s="35"/>
      <c r="AI2035" s="35"/>
      <c r="AJ2035" s="35"/>
      <c r="AK2035" s="35"/>
      <c r="AL2035" s="35"/>
      <c r="AM2035" s="35"/>
      <c r="AN2035" s="35"/>
      <c r="AO2035" s="35"/>
      <c r="AP2035" s="35"/>
      <c r="AQ2035" s="35"/>
      <c r="AR2035" s="35"/>
      <c r="AS2035" s="35"/>
      <c r="AT2035" s="35"/>
      <c r="AU2035" s="35"/>
      <c r="AV2035" s="35"/>
      <c r="AW2035" s="35"/>
    </row>
    <row r="2036" spans="1:49" s="48" customFormat="1" ht="15.75" x14ac:dyDescent="0.2">
      <c r="A2036" s="35"/>
      <c r="B2036" s="35"/>
      <c r="C2036" s="35"/>
      <c r="D2036" s="35"/>
      <c r="E2036" s="35"/>
      <c r="F2036" s="35"/>
      <c r="G2036" s="35"/>
      <c r="H2036" s="35"/>
      <c r="I2036" s="35"/>
      <c r="J2036" s="35"/>
      <c r="K2036" s="35"/>
      <c r="L2036" s="35"/>
      <c r="M2036" s="35"/>
      <c r="N2036" s="35"/>
      <c r="O2036" s="35"/>
      <c r="P2036" s="35"/>
      <c r="Q2036" s="35"/>
      <c r="R2036" s="35"/>
      <c r="S2036" s="35"/>
      <c r="T2036" s="35"/>
      <c r="U2036" s="35"/>
      <c r="V2036" s="35"/>
      <c r="W2036" s="35"/>
      <c r="X2036" s="35"/>
      <c r="Y2036" s="35"/>
      <c r="Z2036" s="35"/>
      <c r="AA2036" s="35"/>
      <c r="AB2036" s="35"/>
      <c r="AC2036" s="35"/>
      <c r="AD2036" s="35"/>
      <c r="AE2036" s="35"/>
      <c r="AF2036" s="35"/>
      <c r="AG2036" s="35"/>
      <c r="AH2036" s="35"/>
      <c r="AI2036" s="35"/>
      <c r="AJ2036" s="35"/>
      <c r="AK2036" s="35"/>
      <c r="AL2036" s="35"/>
      <c r="AM2036" s="35"/>
      <c r="AN2036" s="35"/>
      <c r="AO2036" s="35"/>
      <c r="AP2036" s="35"/>
      <c r="AQ2036" s="35"/>
      <c r="AR2036" s="35"/>
      <c r="AS2036" s="35"/>
      <c r="AT2036" s="35"/>
      <c r="AU2036" s="35"/>
      <c r="AV2036" s="35"/>
      <c r="AW2036" s="35"/>
    </row>
    <row r="2037" spans="1:49" s="31" customFormat="1" ht="15" x14ac:dyDescent="0.25">
      <c r="A2037" s="35"/>
      <c r="B2037" s="35"/>
      <c r="C2037" s="35"/>
      <c r="D2037" s="35"/>
      <c r="E2037" s="35"/>
      <c r="F2037" s="35"/>
      <c r="G2037" s="35"/>
      <c r="H2037" s="35"/>
      <c r="I2037" s="35"/>
      <c r="J2037" s="35"/>
      <c r="K2037" s="35"/>
      <c r="L2037" s="35"/>
      <c r="M2037" s="35"/>
      <c r="N2037" s="35"/>
      <c r="O2037" s="35"/>
      <c r="P2037" s="35"/>
      <c r="Q2037" s="35"/>
      <c r="R2037" s="35"/>
      <c r="S2037" s="35"/>
      <c r="T2037" s="35"/>
      <c r="U2037" s="35"/>
      <c r="V2037" s="35"/>
      <c r="W2037" s="35"/>
      <c r="X2037" s="35"/>
      <c r="Y2037" s="35"/>
      <c r="Z2037" s="35"/>
      <c r="AA2037" s="35"/>
      <c r="AB2037" s="35"/>
      <c r="AC2037" s="35"/>
      <c r="AD2037" s="35"/>
      <c r="AE2037" s="35"/>
      <c r="AF2037" s="35"/>
      <c r="AG2037" s="35"/>
      <c r="AH2037" s="35"/>
      <c r="AI2037" s="35"/>
      <c r="AJ2037" s="35"/>
      <c r="AK2037" s="35"/>
      <c r="AL2037" s="35"/>
      <c r="AM2037" s="35"/>
      <c r="AN2037" s="35"/>
      <c r="AO2037" s="35"/>
      <c r="AP2037" s="35"/>
      <c r="AQ2037" s="35"/>
      <c r="AR2037" s="35"/>
      <c r="AS2037" s="35"/>
      <c r="AT2037" s="35"/>
      <c r="AU2037" s="35"/>
      <c r="AV2037" s="35"/>
      <c r="AW2037" s="35"/>
    </row>
    <row r="2038" spans="1:49" s="48" customFormat="1" ht="15.75" x14ac:dyDescent="0.2">
      <c r="A2038" s="35"/>
      <c r="B2038" s="35"/>
      <c r="C2038" s="35"/>
      <c r="D2038" s="35"/>
      <c r="E2038" s="35"/>
      <c r="F2038" s="35"/>
      <c r="G2038" s="35"/>
      <c r="H2038" s="35"/>
      <c r="I2038" s="35"/>
      <c r="J2038" s="35"/>
      <c r="K2038" s="35"/>
      <c r="L2038" s="35"/>
      <c r="M2038" s="35"/>
      <c r="N2038" s="35"/>
      <c r="O2038" s="35"/>
      <c r="P2038" s="35"/>
      <c r="Q2038" s="35"/>
      <c r="R2038" s="35"/>
      <c r="S2038" s="35"/>
      <c r="T2038" s="35"/>
      <c r="U2038" s="35"/>
      <c r="V2038" s="35"/>
      <c r="W2038" s="35"/>
      <c r="X2038" s="35"/>
      <c r="Y2038" s="35"/>
      <c r="Z2038" s="35"/>
      <c r="AA2038" s="35"/>
      <c r="AB2038" s="35"/>
      <c r="AC2038" s="35"/>
      <c r="AD2038" s="35"/>
      <c r="AE2038" s="35"/>
      <c r="AF2038" s="35"/>
      <c r="AG2038" s="35"/>
      <c r="AH2038" s="35"/>
      <c r="AI2038" s="35"/>
      <c r="AJ2038" s="35"/>
      <c r="AK2038" s="35"/>
      <c r="AL2038" s="35"/>
      <c r="AM2038" s="35"/>
      <c r="AN2038" s="35"/>
      <c r="AO2038" s="35"/>
      <c r="AP2038" s="35"/>
      <c r="AQ2038" s="35"/>
      <c r="AR2038" s="35"/>
      <c r="AS2038" s="35"/>
      <c r="AT2038" s="35"/>
      <c r="AU2038" s="35"/>
      <c r="AV2038" s="35"/>
      <c r="AW2038" s="35"/>
    </row>
    <row r="2039" spans="1:49" s="48" customFormat="1" ht="15.75" x14ac:dyDescent="0.2">
      <c r="A2039" s="35"/>
      <c r="B2039" s="35"/>
      <c r="C2039" s="35"/>
      <c r="D2039" s="35"/>
      <c r="E2039" s="35"/>
      <c r="F2039" s="35"/>
      <c r="G2039" s="35"/>
      <c r="H2039" s="35"/>
      <c r="I2039" s="35"/>
      <c r="J2039" s="35"/>
      <c r="K2039" s="35"/>
      <c r="L2039" s="35"/>
      <c r="M2039" s="35"/>
      <c r="N2039" s="35"/>
      <c r="O2039" s="35"/>
      <c r="P2039" s="35"/>
      <c r="Q2039" s="35"/>
      <c r="R2039" s="35"/>
      <c r="S2039" s="35"/>
      <c r="T2039" s="35"/>
      <c r="U2039" s="35"/>
      <c r="V2039" s="35"/>
      <c r="W2039" s="35"/>
      <c r="X2039" s="35"/>
      <c r="Y2039" s="35"/>
      <c r="Z2039" s="35"/>
      <c r="AA2039" s="35"/>
      <c r="AB2039" s="35"/>
      <c r="AC2039" s="35"/>
      <c r="AD2039" s="35"/>
      <c r="AE2039" s="35"/>
      <c r="AF2039" s="35"/>
      <c r="AG2039" s="35"/>
      <c r="AH2039" s="35"/>
      <c r="AI2039" s="35"/>
      <c r="AJ2039" s="35"/>
      <c r="AK2039" s="35"/>
      <c r="AL2039" s="35"/>
      <c r="AM2039" s="35"/>
      <c r="AN2039" s="35"/>
      <c r="AO2039" s="35"/>
      <c r="AP2039" s="35"/>
      <c r="AQ2039" s="35"/>
      <c r="AR2039" s="35"/>
      <c r="AS2039" s="35"/>
      <c r="AT2039" s="35"/>
      <c r="AU2039" s="35"/>
      <c r="AV2039" s="35"/>
      <c r="AW2039" s="35"/>
    </row>
    <row r="2040" spans="1:49" s="48" customFormat="1" ht="15.75" x14ac:dyDescent="0.2">
      <c r="A2040" s="35"/>
      <c r="B2040" s="35"/>
      <c r="C2040" s="35"/>
      <c r="D2040" s="35"/>
      <c r="E2040" s="35"/>
      <c r="F2040" s="35"/>
      <c r="G2040" s="35"/>
      <c r="H2040" s="35"/>
      <c r="I2040" s="35"/>
      <c r="J2040" s="35"/>
      <c r="K2040" s="35"/>
      <c r="L2040" s="35"/>
      <c r="M2040" s="35"/>
      <c r="N2040" s="35"/>
      <c r="O2040" s="35"/>
      <c r="P2040" s="35"/>
      <c r="Q2040" s="35"/>
      <c r="R2040" s="35"/>
      <c r="S2040" s="35"/>
      <c r="T2040" s="35"/>
      <c r="U2040" s="35"/>
      <c r="V2040" s="35"/>
      <c r="W2040" s="35"/>
      <c r="X2040" s="35"/>
      <c r="Y2040" s="35"/>
      <c r="Z2040" s="35"/>
      <c r="AA2040" s="35"/>
      <c r="AB2040" s="35"/>
      <c r="AC2040" s="35"/>
      <c r="AD2040" s="35"/>
      <c r="AE2040" s="35"/>
      <c r="AF2040" s="35"/>
      <c r="AG2040" s="35"/>
      <c r="AH2040" s="35"/>
      <c r="AI2040" s="35"/>
      <c r="AJ2040" s="35"/>
      <c r="AK2040" s="35"/>
      <c r="AL2040" s="35"/>
      <c r="AM2040" s="35"/>
      <c r="AN2040" s="35"/>
      <c r="AO2040" s="35"/>
      <c r="AP2040" s="35"/>
      <c r="AQ2040" s="35"/>
      <c r="AR2040" s="35"/>
      <c r="AS2040" s="35"/>
      <c r="AT2040" s="35"/>
      <c r="AU2040" s="35"/>
      <c r="AV2040" s="35"/>
      <c r="AW2040" s="35"/>
    </row>
    <row r="2041" spans="1:49" s="31" customFormat="1" ht="15" x14ac:dyDescent="0.25">
      <c r="A2041" s="35"/>
      <c r="B2041" s="35"/>
      <c r="C2041" s="35"/>
      <c r="D2041" s="35"/>
      <c r="E2041" s="35"/>
      <c r="F2041" s="35"/>
      <c r="G2041" s="35"/>
      <c r="H2041" s="35"/>
      <c r="I2041" s="35"/>
      <c r="J2041" s="35"/>
      <c r="K2041" s="35"/>
      <c r="L2041" s="35"/>
      <c r="M2041" s="35"/>
      <c r="N2041" s="35"/>
      <c r="O2041" s="35"/>
      <c r="P2041" s="35"/>
      <c r="Q2041" s="35"/>
      <c r="R2041" s="35"/>
      <c r="S2041" s="35"/>
      <c r="T2041" s="35"/>
      <c r="U2041" s="35"/>
      <c r="V2041" s="35"/>
      <c r="W2041" s="35"/>
      <c r="X2041" s="35"/>
      <c r="Y2041" s="35"/>
      <c r="Z2041" s="35"/>
      <c r="AA2041" s="35"/>
      <c r="AB2041" s="35"/>
      <c r="AC2041" s="35"/>
      <c r="AD2041" s="35"/>
      <c r="AE2041" s="35"/>
      <c r="AF2041" s="35"/>
      <c r="AG2041" s="35"/>
      <c r="AH2041" s="35"/>
      <c r="AI2041" s="35"/>
      <c r="AJ2041" s="35"/>
      <c r="AK2041" s="35"/>
      <c r="AL2041" s="35"/>
      <c r="AM2041" s="35"/>
      <c r="AN2041" s="35"/>
      <c r="AO2041" s="35"/>
      <c r="AP2041" s="35"/>
      <c r="AQ2041" s="35"/>
      <c r="AR2041" s="35"/>
      <c r="AS2041" s="35"/>
      <c r="AT2041" s="35"/>
      <c r="AU2041" s="35"/>
      <c r="AV2041" s="35"/>
      <c r="AW2041" s="35"/>
    </row>
    <row r="2042" spans="1:49" s="48" customFormat="1" ht="15.75" x14ac:dyDescent="0.2">
      <c r="A2042" s="35"/>
      <c r="B2042" s="35"/>
      <c r="C2042" s="35"/>
      <c r="D2042" s="35"/>
      <c r="E2042" s="35"/>
      <c r="F2042" s="35"/>
      <c r="G2042" s="35"/>
      <c r="H2042" s="35"/>
      <c r="I2042" s="35"/>
      <c r="J2042" s="35"/>
      <c r="K2042" s="35"/>
      <c r="L2042" s="35"/>
      <c r="M2042" s="35"/>
      <c r="N2042" s="35"/>
      <c r="O2042" s="35"/>
      <c r="P2042" s="35"/>
      <c r="Q2042" s="35"/>
      <c r="R2042" s="35"/>
      <c r="S2042" s="35"/>
      <c r="T2042" s="35"/>
      <c r="U2042" s="35"/>
      <c r="V2042" s="35"/>
      <c r="W2042" s="35"/>
      <c r="X2042" s="35"/>
      <c r="Y2042" s="35"/>
      <c r="Z2042" s="35"/>
      <c r="AA2042" s="35"/>
      <c r="AB2042" s="35"/>
      <c r="AC2042" s="35"/>
      <c r="AD2042" s="35"/>
      <c r="AE2042" s="35"/>
      <c r="AF2042" s="35"/>
      <c r="AG2042" s="35"/>
      <c r="AH2042" s="35"/>
      <c r="AI2042" s="35"/>
      <c r="AJ2042" s="35"/>
      <c r="AK2042" s="35"/>
      <c r="AL2042" s="35"/>
      <c r="AM2042" s="35"/>
      <c r="AN2042" s="35"/>
      <c r="AO2042" s="35"/>
      <c r="AP2042" s="35"/>
      <c r="AQ2042" s="35"/>
      <c r="AR2042" s="35"/>
      <c r="AS2042" s="35"/>
      <c r="AT2042" s="35"/>
      <c r="AU2042" s="35"/>
      <c r="AV2042" s="35"/>
      <c r="AW2042" s="35"/>
    </row>
    <row r="2043" spans="1:49" s="48" customFormat="1" ht="15.75" x14ac:dyDescent="0.2">
      <c r="A2043" s="35"/>
      <c r="B2043" s="35"/>
      <c r="C2043" s="35"/>
      <c r="D2043" s="35"/>
      <c r="E2043" s="35"/>
      <c r="F2043" s="35"/>
      <c r="G2043" s="35"/>
      <c r="H2043" s="35"/>
      <c r="I2043" s="35"/>
      <c r="J2043" s="35"/>
      <c r="K2043" s="35"/>
      <c r="L2043" s="35"/>
      <c r="M2043" s="35"/>
      <c r="N2043" s="35"/>
      <c r="O2043" s="35"/>
      <c r="P2043" s="35"/>
      <c r="Q2043" s="35"/>
      <c r="R2043" s="35"/>
      <c r="S2043" s="35"/>
      <c r="T2043" s="35"/>
      <c r="U2043" s="35"/>
      <c r="V2043" s="35"/>
      <c r="W2043" s="35"/>
      <c r="X2043" s="35"/>
      <c r="Y2043" s="35"/>
      <c r="Z2043" s="35"/>
      <c r="AA2043" s="35"/>
      <c r="AB2043" s="35"/>
      <c r="AC2043" s="35"/>
      <c r="AD2043" s="35"/>
      <c r="AE2043" s="35"/>
      <c r="AF2043" s="35"/>
      <c r="AG2043" s="35"/>
      <c r="AH2043" s="35"/>
      <c r="AI2043" s="35"/>
      <c r="AJ2043" s="35"/>
      <c r="AK2043" s="35"/>
      <c r="AL2043" s="35"/>
      <c r="AM2043" s="35"/>
      <c r="AN2043" s="35"/>
      <c r="AO2043" s="35"/>
      <c r="AP2043" s="35"/>
      <c r="AQ2043" s="35"/>
      <c r="AR2043" s="35"/>
      <c r="AS2043" s="35"/>
      <c r="AT2043" s="35"/>
      <c r="AU2043" s="35"/>
      <c r="AV2043" s="35"/>
      <c r="AW2043" s="35"/>
    </row>
    <row r="2044" spans="1:49" s="26" customFormat="1" ht="15" x14ac:dyDescent="0.25">
      <c r="A2044" s="35"/>
      <c r="B2044" s="35"/>
      <c r="C2044" s="35"/>
      <c r="D2044" s="35"/>
      <c r="E2044" s="35"/>
      <c r="F2044" s="35"/>
      <c r="G2044" s="35"/>
      <c r="H2044" s="35"/>
      <c r="I2044" s="35"/>
      <c r="J2044" s="35"/>
      <c r="K2044" s="35"/>
      <c r="L2044" s="35"/>
      <c r="M2044" s="35"/>
      <c r="N2044" s="35"/>
      <c r="O2044" s="35"/>
      <c r="P2044" s="35"/>
      <c r="Q2044" s="35"/>
      <c r="R2044" s="35"/>
      <c r="S2044" s="35"/>
      <c r="T2044" s="35"/>
      <c r="U2044" s="35"/>
      <c r="V2044" s="35"/>
      <c r="W2044" s="35"/>
      <c r="X2044" s="35"/>
      <c r="Y2044" s="35"/>
      <c r="Z2044" s="35"/>
      <c r="AA2044" s="35"/>
      <c r="AB2044" s="35"/>
      <c r="AC2044" s="35"/>
      <c r="AD2044" s="35"/>
      <c r="AE2044" s="35"/>
      <c r="AF2044" s="35"/>
      <c r="AG2044" s="35"/>
      <c r="AH2044" s="35"/>
      <c r="AI2044" s="35"/>
      <c r="AJ2044" s="35"/>
      <c r="AK2044" s="35"/>
      <c r="AL2044" s="35"/>
      <c r="AM2044" s="35"/>
      <c r="AN2044" s="35"/>
      <c r="AO2044" s="35"/>
      <c r="AP2044" s="35"/>
      <c r="AQ2044" s="35"/>
      <c r="AR2044" s="35"/>
      <c r="AS2044" s="35"/>
      <c r="AT2044" s="35"/>
      <c r="AU2044" s="35"/>
      <c r="AV2044" s="35"/>
      <c r="AW2044" s="35"/>
    </row>
    <row r="2045" spans="1:49" s="48" customFormat="1" ht="15.75" x14ac:dyDescent="0.2">
      <c r="A2045" s="35"/>
      <c r="B2045" s="35"/>
      <c r="C2045" s="35"/>
      <c r="D2045" s="35"/>
      <c r="E2045" s="35"/>
      <c r="F2045" s="35"/>
      <c r="G2045" s="35"/>
      <c r="H2045" s="35"/>
      <c r="I2045" s="35"/>
      <c r="J2045" s="35"/>
      <c r="K2045" s="35"/>
      <c r="L2045" s="35"/>
      <c r="M2045" s="35"/>
      <c r="N2045" s="35"/>
      <c r="O2045" s="35"/>
      <c r="P2045" s="35"/>
      <c r="Q2045" s="35"/>
      <c r="R2045" s="35"/>
      <c r="S2045" s="35"/>
      <c r="T2045" s="35"/>
      <c r="U2045" s="35"/>
      <c r="V2045" s="35"/>
      <c r="W2045" s="35"/>
      <c r="X2045" s="35"/>
      <c r="Y2045" s="35"/>
      <c r="Z2045" s="35"/>
      <c r="AA2045" s="35"/>
      <c r="AB2045" s="35"/>
      <c r="AC2045" s="35"/>
      <c r="AD2045" s="35"/>
      <c r="AE2045" s="35"/>
      <c r="AF2045" s="35"/>
      <c r="AG2045" s="35"/>
      <c r="AH2045" s="35"/>
      <c r="AI2045" s="35"/>
      <c r="AJ2045" s="35"/>
      <c r="AK2045" s="35"/>
      <c r="AL2045" s="35"/>
      <c r="AM2045" s="35"/>
      <c r="AN2045" s="35"/>
      <c r="AO2045" s="35"/>
      <c r="AP2045" s="35"/>
      <c r="AQ2045" s="35"/>
      <c r="AR2045" s="35"/>
      <c r="AS2045" s="35"/>
      <c r="AT2045" s="35"/>
      <c r="AU2045" s="35"/>
      <c r="AV2045" s="35"/>
      <c r="AW2045" s="35"/>
    </row>
    <row r="2046" spans="1:49" s="48" customFormat="1" ht="15.75" x14ac:dyDescent="0.2">
      <c r="A2046" s="35"/>
      <c r="B2046" s="35"/>
      <c r="C2046" s="35"/>
      <c r="D2046" s="35"/>
      <c r="E2046" s="35"/>
      <c r="F2046" s="35"/>
      <c r="G2046" s="35"/>
      <c r="H2046" s="35"/>
      <c r="I2046" s="35"/>
      <c r="J2046" s="35"/>
      <c r="K2046" s="35"/>
      <c r="L2046" s="35"/>
      <c r="M2046" s="35"/>
      <c r="N2046" s="35"/>
      <c r="O2046" s="35"/>
      <c r="P2046" s="35"/>
      <c r="Q2046" s="35"/>
      <c r="R2046" s="35"/>
      <c r="S2046" s="35"/>
      <c r="T2046" s="35"/>
      <c r="U2046" s="35"/>
      <c r="V2046" s="35"/>
      <c r="W2046" s="35"/>
      <c r="X2046" s="35"/>
      <c r="Y2046" s="35"/>
      <c r="Z2046" s="35"/>
      <c r="AA2046" s="35"/>
      <c r="AB2046" s="35"/>
      <c r="AC2046" s="35"/>
      <c r="AD2046" s="35"/>
      <c r="AE2046" s="35"/>
      <c r="AF2046" s="35"/>
      <c r="AG2046" s="35"/>
      <c r="AH2046" s="35"/>
      <c r="AI2046" s="35"/>
      <c r="AJ2046" s="35"/>
      <c r="AK2046" s="35"/>
      <c r="AL2046" s="35"/>
      <c r="AM2046" s="35"/>
      <c r="AN2046" s="35"/>
      <c r="AO2046" s="35"/>
      <c r="AP2046" s="35"/>
      <c r="AQ2046" s="35"/>
      <c r="AR2046" s="35"/>
      <c r="AS2046" s="35"/>
      <c r="AT2046" s="35"/>
      <c r="AU2046" s="35"/>
      <c r="AV2046" s="35"/>
      <c r="AW2046" s="35"/>
    </row>
    <row r="2047" spans="1:49" s="48" customFormat="1" ht="15.75" x14ac:dyDescent="0.2">
      <c r="A2047" s="35"/>
      <c r="B2047" s="35"/>
      <c r="C2047" s="35"/>
      <c r="D2047" s="35"/>
      <c r="E2047" s="35"/>
      <c r="F2047" s="35"/>
      <c r="G2047" s="35"/>
      <c r="H2047" s="35"/>
      <c r="I2047" s="35"/>
      <c r="J2047" s="35"/>
      <c r="K2047" s="35"/>
      <c r="L2047" s="35"/>
      <c r="M2047" s="35"/>
      <c r="N2047" s="35"/>
      <c r="O2047" s="35"/>
      <c r="P2047" s="35"/>
      <c r="Q2047" s="35"/>
      <c r="R2047" s="35"/>
      <c r="S2047" s="35"/>
      <c r="T2047" s="35"/>
      <c r="U2047" s="35"/>
      <c r="V2047" s="35"/>
      <c r="W2047" s="35"/>
      <c r="X2047" s="35"/>
      <c r="Y2047" s="35"/>
      <c r="Z2047" s="35"/>
      <c r="AA2047" s="35"/>
      <c r="AB2047" s="35"/>
      <c r="AC2047" s="35"/>
      <c r="AD2047" s="35"/>
      <c r="AE2047" s="35"/>
      <c r="AF2047" s="35"/>
      <c r="AG2047" s="35"/>
      <c r="AH2047" s="35"/>
      <c r="AI2047" s="35"/>
      <c r="AJ2047" s="35"/>
      <c r="AK2047" s="35"/>
      <c r="AL2047" s="35"/>
      <c r="AM2047" s="35"/>
      <c r="AN2047" s="35"/>
      <c r="AO2047" s="35"/>
      <c r="AP2047" s="35"/>
      <c r="AQ2047" s="35"/>
      <c r="AR2047" s="35"/>
      <c r="AS2047" s="35"/>
      <c r="AT2047" s="35"/>
      <c r="AU2047" s="35"/>
      <c r="AV2047" s="35"/>
      <c r="AW2047" s="35"/>
    </row>
    <row r="2048" spans="1:49" s="48" customFormat="1" ht="15.75" x14ac:dyDescent="0.2">
      <c r="A2048" s="35"/>
      <c r="B2048" s="35"/>
      <c r="C2048" s="35"/>
      <c r="D2048" s="35"/>
      <c r="E2048" s="35"/>
      <c r="F2048" s="35"/>
      <c r="G2048" s="35"/>
      <c r="H2048" s="35"/>
      <c r="I2048" s="35"/>
      <c r="J2048" s="35"/>
      <c r="K2048" s="35"/>
      <c r="L2048" s="35"/>
      <c r="M2048" s="35"/>
      <c r="N2048" s="35"/>
      <c r="O2048" s="35"/>
      <c r="P2048" s="35"/>
      <c r="Q2048" s="35"/>
      <c r="R2048" s="35"/>
      <c r="S2048" s="35"/>
      <c r="T2048" s="35"/>
      <c r="U2048" s="35"/>
      <c r="V2048" s="35"/>
      <c r="W2048" s="35"/>
      <c r="X2048" s="35"/>
      <c r="Y2048" s="35"/>
      <c r="Z2048" s="35"/>
      <c r="AA2048" s="35"/>
      <c r="AB2048" s="35"/>
      <c r="AC2048" s="35"/>
      <c r="AD2048" s="35"/>
      <c r="AE2048" s="35"/>
      <c r="AF2048" s="35"/>
      <c r="AG2048" s="35"/>
      <c r="AH2048" s="35"/>
      <c r="AI2048" s="35"/>
      <c r="AJ2048" s="35"/>
      <c r="AK2048" s="35"/>
      <c r="AL2048" s="35"/>
      <c r="AM2048" s="35"/>
      <c r="AN2048" s="35"/>
      <c r="AO2048" s="35"/>
      <c r="AP2048" s="35"/>
      <c r="AQ2048" s="35"/>
      <c r="AR2048" s="35"/>
      <c r="AS2048" s="35"/>
      <c r="AT2048" s="35"/>
      <c r="AU2048" s="35"/>
      <c r="AV2048" s="35"/>
      <c r="AW2048" s="35"/>
    </row>
    <row r="2049" spans="1:49" s="48" customFormat="1" ht="15.75" x14ac:dyDescent="0.2">
      <c r="A2049" s="35"/>
      <c r="B2049" s="35"/>
      <c r="C2049" s="35"/>
      <c r="D2049" s="35"/>
      <c r="E2049" s="35"/>
      <c r="F2049" s="35"/>
      <c r="G2049" s="35"/>
      <c r="H2049" s="35"/>
      <c r="I2049" s="35"/>
      <c r="J2049" s="35"/>
      <c r="K2049" s="35"/>
      <c r="L2049" s="35"/>
      <c r="M2049" s="35"/>
      <c r="N2049" s="35"/>
      <c r="O2049" s="35"/>
      <c r="P2049" s="35"/>
      <c r="Q2049" s="35"/>
      <c r="R2049" s="35"/>
      <c r="S2049" s="35"/>
      <c r="T2049" s="35"/>
      <c r="U2049" s="35"/>
      <c r="V2049" s="35"/>
      <c r="W2049" s="35"/>
      <c r="X2049" s="35"/>
      <c r="Y2049" s="35"/>
      <c r="Z2049" s="35"/>
      <c r="AA2049" s="35"/>
      <c r="AB2049" s="35"/>
      <c r="AC2049" s="35"/>
      <c r="AD2049" s="35"/>
      <c r="AE2049" s="35"/>
      <c r="AF2049" s="35"/>
      <c r="AG2049" s="35"/>
      <c r="AH2049" s="35"/>
      <c r="AI2049" s="35"/>
      <c r="AJ2049" s="35"/>
      <c r="AK2049" s="35"/>
      <c r="AL2049" s="35"/>
      <c r="AM2049" s="35"/>
      <c r="AN2049" s="35"/>
      <c r="AO2049" s="35"/>
      <c r="AP2049" s="35"/>
      <c r="AQ2049" s="35"/>
      <c r="AR2049" s="35"/>
      <c r="AS2049" s="35"/>
      <c r="AT2049" s="35"/>
      <c r="AU2049" s="35"/>
      <c r="AV2049" s="35"/>
      <c r="AW2049" s="35"/>
    </row>
    <row r="2050" spans="1:49" s="48" customFormat="1" ht="15.75" x14ac:dyDescent="0.2">
      <c r="A2050" s="35"/>
      <c r="B2050" s="35"/>
      <c r="C2050" s="35"/>
      <c r="D2050" s="35"/>
      <c r="E2050" s="35"/>
      <c r="F2050" s="35"/>
      <c r="G2050" s="35"/>
      <c r="H2050" s="35"/>
      <c r="I2050" s="35"/>
      <c r="J2050" s="35"/>
      <c r="K2050" s="35"/>
      <c r="L2050" s="35"/>
      <c r="M2050" s="35"/>
      <c r="N2050" s="35"/>
      <c r="O2050" s="35"/>
      <c r="P2050" s="35"/>
      <c r="Q2050" s="35"/>
      <c r="R2050" s="35"/>
      <c r="S2050" s="35"/>
      <c r="T2050" s="35"/>
      <c r="U2050" s="35"/>
      <c r="V2050" s="35"/>
      <c r="W2050" s="35"/>
      <c r="X2050" s="35"/>
      <c r="Y2050" s="35"/>
      <c r="Z2050" s="35"/>
      <c r="AA2050" s="35"/>
      <c r="AB2050" s="35"/>
      <c r="AC2050" s="35"/>
      <c r="AD2050" s="35"/>
      <c r="AE2050" s="35"/>
      <c r="AF2050" s="35"/>
      <c r="AG2050" s="35"/>
      <c r="AH2050" s="35"/>
      <c r="AI2050" s="35"/>
      <c r="AJ2050" s="35"/>
      <c r="AK2050" s="35"/>
      <c r="AL2050" s="35"/>
      <c r="AM2050" s="35"/>
      <c r="AN2050" s="35"/>
      <c r="AO2050" s="35"/>
      <c r="AP2050" s="35"/>
      <c r="AQ2050" s="35"/>
      <c r="AR2050" s="35"/>
      <c r="AS2050" s="35"/>
      <c r="AT2050" s="35"/>
      <c r="AU2050" s="35"/>
      <c r="AV2050" s="35"/>
      <c r="AW2050" s="35"/>
    </row>
    <row r="2051" spans="1:49" s="48" customFormat="1" ht="15.75" x14ac:dyDescent="0.2">
      <c r="A2051" s="35"/>
      <c r="B2051" s="35"/>
      <c r="C2051" s="35"/>
      <c r="D2051" s="35"/>
      <c r="E2051" s="35"/>
      <c r="F2051" s="35"/>
      <c r="G2051" s="35"/>
      <c r="H2051" s="35"/>
      <c r="I2051" s="35"/>
      <c r="J2051" s="35"/>
      <c r="K2051" s="35"/>
      <c r="L2051" s="35"/>
      <c r="M2051" s="35"/>
      <c r="N2051" s="35"/>
      <c r="O2051" s="35"/>
      <c r="P2051" s="35"/>
      <c r="Q2051" s="35"/>
      <c r="R2051" s="35"/>
      <c r="S2051" s="35"/>
      <c r="T2051" s="35"/>
      <c r="U2051" s="35"/>
      <c r="V2051" s="35"/>
      <c r="W2051" s="35"/>
      <c r="X2051" s="35"/>
      <c r="Y2051" s="35"/>
      <c r="Z2051" s="35"/>
      <c r="AA2051" s="35"/>
      <c r="AB2051" s="35"/>
      <c r="AC2051" s="35"/>
      <c r="AD2051" s="35"/>
      <c r="AE2051" s="35"/>
      <c r="AF2051" s="35"/>
      <c r="AG2051" s="35"/>
      <c r="AH2051" s="35"/>
      <c r="AI2051" s="35"/>
      <c r="AJ2051" s="35"/>
      <c r="AK2051" s="35"/>
      <c r="AL2051" s="35"/>
      <c r="AM2051" s="35"/>
      <c r="AN2051" s="35"/>
      <c r="AO2051" s="35"/>
      <c r="AP2051" s="35"/>
      <c r="AQ2051" s="35"/>
      <c r="AR2051" s="35"/>
      <c r="AS2051" s="35"/>
      <c r="AT2051" s="35"/>
      <c r="AU2051" s="35"/>
      <c r="AV2051" s="35"/>
      <c r="AW2051" s="35"/>
    </row>
    <row r="2052" spans="1:49" s="48" customFormat="1" ht="15.75" x14ac:dyDescent="0.2">
      <c r="A2052" s="35"/>
      <c r="B2052" s="35"/>
      <c r="C2052" s="35"/>
      <c r="D2052" s="35"/>
      <c r="E2052" s="35"/>
      <c r="F2052" s="35"/>
      <c r="G2052" s="35"/>
      <c r="H2052" s="35"/>
      <c r="I2052" s="35"/>
      <c r="J2052" s="35"/>
      <c r="K2052" s="35"/>
      <c r="L2052" s="35"/>
      <c r="M2052" s="35"/>
      <c r="N2052" s="35"/>
      <c r="O2052" s="35"/>
      <c r="P2052" s="35"/>
      <c r="Q2052" s="35"/>
      <c r="R2052" s="35"/>
      <c r="S2052" s="35"/>
      <c r="T2052" s="35"/>
      <c r="U2052" s="35"/>
      <c r="V2052" s="35"/>
      <c r="W2052" s="35"/>
      <c r="X2052" s="35"/>
      <c r="Y2052" s="35"/>
      <c r="Z2052" s="35"/>
      <c r="AA2052" s="35"/>
      <c r="AB2052" s="35"/>
      <c r="AC2052" s="35"/>
      <c r="AD2052" s="35"/>
      <c r="AE2052" s="35"/>
      <c r="AF2052" s="35"/>
      <c r="AG2052" s="35"/>
      <c r="AH2052" s="35"/>
      <c r="AI2052" s="35"/>
      <c r="AJ2052" s="35"/>
      <c r="AK2052" s="35"/>
      <c r="AL2052" s="35"/>
      <c r="AM2052" s="35"/>
      <c r="AN2052" s="35"/>
      <c r="AO2052" s="35"/>
      <c r="AP2052" s="35"/>
      <c r="AQ2052" s="35"/>
      <c r="AR2052" s="35"/>
      <c r="AS2052" s="35"/>
      <c r="AT2052" s="35"/>
      <c r="AU2052" s="35"/>
      <c r="AV2052" s="35"/>
      <c r="AW2052" s="35"/>
    </row>
    <row r="2053" spans="1:49" s="48" customFormat="1" ht="15.75" x14ac:dyDescent="0.2">
      <c r="A2053" s="35"/>
      <c r="B2053" s="35"/>
      <c r="C2053" s="35"/>
      <c r="D2053" s="35"/>
      <c r="E2053" s="35"/>
      <c r="F2053" s="35"/>
      <c r="G2053" s="35"/>
      <c r="H2053" s="35"/>
      <c r="I2053" s="35"/>
      <c r="J2053" s="35"/>
      <c r="K2053" s="35"/>
      <c r="L2053" s="35"/>
      <c r="M2053" s="35"/>
      <c r="N2053" s="35"/>
      <c r="O2053" s="35"/>
      <c r="P2053" s="35"/>
      <c r="Q2053" s="35"/>
      <c r="R2053" s="35"/>
      <c r="S2053" s="35"/>
      <c r="T2053" s="35"/>
      <c r="U2053" s="35"/>
      <c r="V2053" s="35"/>
      <c r="W2053" s="35"/>
      <c r="X2053" s="35"/>
      <c r="Y2053" s="35"/>
      <c r="Z2053" s="35"/>
      <c r="AA2053" s="35"/>
      <c r="AB2053" s="35"/>
      <c r="AC2053" s="35"/>
      <c r="AD2053" s="35"/>
      <c r="AE2053" s="35"/>
      <c r="AF2053" s="35"/>
      <c r="AG2053" s="35"/>
      <c r="AH2053" s="35"/>
      <c r="AI2053" s="35"/>
      <c r="AJ2053" s="35"/>
      <c r="AK2053" s="35"/>
      <c r="AL2053" s="35"/>
      <c r="AM2053" s="35"/>
      <c r="AN2053" s="35"/>
      <c r="AO2053" s="35"/>
      <c r="AP2053" s="35"/>
      <c r="AQ2053" s="35"/>
      <c r="AR2053" s="35"/>
      <c r="AS2053" s="35"/>
      <c r="AT2053" s="35"/>
      <c r="AU2053" s="35"/>
      <c r="AV2053" s="35"/>
      <c r="AW2053" s="35"/>
    </row>
    <row r="2054" spans="1:49" s="48" customFormat="1" ht="15.75" x14ac:dyDescent="0.2">
      <c r="A2054" s="35"/>
      <c r="B2054" s="35"/>
      <c r="C2054" s="35"/>
      <c r="D2054" s="35"/>
      <c r="E2054" s="35"/>
      <c r="F2054" s="35"/>
      <c r="G2054" s="35"/>
      <c r="H2054" s="35"/>
      <c r="I2054" s="35"/>
      <c r="J2054" s="35"/>
      <c r="K2054" s="35"/>
      <c r="L2054" s="35"/>
      <c r="M2054" s="35"/>
      <c r="N2054" s="35"/>
      <c r="O2054" s="35"/>
      <c r="P2054" s="35"/>
      <c r="Q2054" s="35"/>
      <c r="R2054" s="35"/>
      <c r="S2054" s="35"/>
      <c r="T2054" s="35"/>
      <c r="U2054" s="35"/>
      <c r="V2054" s="35"/>
      <c r="W2054" s="35"/>
      <c r="X2054" s="35"/>
      <c r="Y2054" s="35"/>
      <c r="Z2054" s="35"/>
      <c r="AA2054" s="35"/>
      <c r="AB2054" s="35"/>
      <c r="AC2054" s="35"/>
      <c r="AD2054" s="35"/>
      <c r="AE2054" s="35"/>
      <c r="AF2054" s="35"/>
      <c r="AG2054" s="35"/>
      <c r="AH2054" s="35"/>
      <c r="AI2054" s="35"/>
      <c r="AJ2054" s="35"/>
      <c r="AK2054" s="35"/>
      <c r="AL2054" s="35"/>
      <c r="AM2054" s="35"/>
      <c r="AN2054" s="35"/>
      <c r="AO2054" s="35"/>
      <c r="AP2054" s="35"/>
      <c r="AQ2054" s="35"/>
      <c r="AR2054" s="35"/>
      <c r="AS2054" s="35"/>
      <c r="AT2054" s="35"/>
      <c r="AU2054" s="35"/>
      <c r="AV2054" s="35"/>
      <c r="AW2054" s="35"/>
    </row>
    <row r="2055" spans="1:49" s="48" customFormat="1" ht="15.75" x14ac:dyDescent="0.2">
      <c r="A2055" s="35"/>
      <c r="B2055" s="35"/>
      <c r="C2055" s="35"/>
      <c r="D2055" s="35"/>
      <c r="E2055" s="35"/>
      <c r="F2055" s="35"/>
      <c r="G2055" s="35"/>
      <c r="H2055" s="35"/>
      <c r="I2055" s="35"/>
      <c r="J2055" s="35"/>
      <c r="K2055" s="35"/>
      <c r="L2055" s="35"/>
      <c r="M2055" s="35"/>
      <c r="N2055" s="35"/>
      <c r="O2055" s="35"/>
      <c r="P2055" s="35"/>
      <c r="Q2055" s="35"/>
      <c r="R2055" s="35"/>
      <c r="S2055" s="35"/>
      <c r="T2055" s="35"/>
      <c r="U2055" s="35"/>
      <c r="V2055" s="35"/>
      <c r="W2055" s="35"/>
      <c r="X2055" s="35"/>
      <c r="Y2055" s="35"/>
      <c r="Z2055" s="35"/>
      <c r="AA2055" s="35"/>
      <c r="AB2055" s="35"/>
      <c r="AC2055" s="35"/>
      <c r="AD2055" s="35"/>
      <c r="AE2055" s="35"/>
      <c r="AF2055" s="35"/>
      <c r="AG2055" s="35"/>
      <c r="AH2055" s="35"/>
      <c r="AI2055" s="35"/>
      <c r="AJ2055" s="35"/>
      <c r="AK2055" s="35"/>
      <c r="AL2055" s="35"/>
      <c r="AM2055" s="35"/>
      <c r="AN2055" s="35"/>
      <c r="AO2055" s="35"/>
      <c r="AP2055" s="35"/>
      <c r="AQ2055" s="35"/>
      <c r="AR2055" s="35"/>
      <c r="AS2055" s="35"/>
      <c r="AT2055" s="35"/>
      <c r="AU2055" s="35"/>
      <c r="AV2055" s="35"/>
      <c r="AW2055" s="35"/>
    </row>
    <row r="2056" spans="1:49" s="26" customFormat="1" ht="15" x14ac:dyDescent="0.25">
      <c r="A2056" s="35"/>
      <c r="B2056" s="35"/>
      <c r="C2056" s="35"/>
      <c r="D2056" s="35"/>
      <c r="E2056" s="35"/>
      <c r="F2056" s="35"/>
      <c r="G2056" s="35"/>
      <c r="H2056" s="35"/>
      <c r="I2056" s="35"/>
      <c r="J2056" s="35"/>
      <c r="K2056" s="35"/>
      <c r="L2056" s="35"/>
      <c r="M2056" s="35"/>
      <c r="N2056" s="35"/>
      <c r="O2056" s="35"/>
      <c r="P2056" s="35"/>
      <c r="Q2056" s="35"/>
      <c r="R2056" s="35"/>
      <c r="S2056" s="35"/>
      <c r="T2056" s="35"/>
      <c r="U2056" s="35"/>
      <c r="V2056" s="35"/>
      <c r="W2056" s="35"/>
      <c r="X2056" s="35"/>
      <c r="Y2056" s="35"/>
      <c r="Z2056" s="35"/>
      <c r="AA2056" s="35"/>
      <c r="AB2056" s="35"/>
      <c r="AC2056" s="35"/>
      <c r="AD2056" s="35"/>
      <c r="AE2056" s="35"/>
      <c r="AF2056" s="35"/>
      <c r="AG2056" s="35"/>
      <c r="AH2056" s="35"/>
      <c r="AI2056" s="35"/>
      <c r="AJ2056" s="35"/>
      <c r="AK2056" s="35"/>
      <c r="AL2056" s="35"/>
      <c r="AM2056" s="35"/>
      <c r="AN2056" s="35"/>
      <c r="AO2056" s="35"/>
      <c r="AP2056" s="35"/>
      <c r="AQ2056" s="35"/>
      <c r="AR2056" s="35"/>
      <c r="AS2056" s="35"/>
      <c r="AT2056" s="35"/>
      <c r="AU2056" s="35"/>
      <c r="AV2056" s="35"/>
      <c r="AW2056" s="35"/>
    </row>
    <row r="2057" spans="1:49" s="48" customFormat="1" ht="15.75" x14ac:dyDescent="0.2">
      <c r="A2057" s="35"/>
      <c r="B2057" s="35"/>
      <c r="C2057" s="35"/>
      <c r="D2057" s="35"/>
      <c r="E2057" s="35"/>
      <c r="F2057" s="35"/>
      <c r="G2057" s="35"/>
      <c r="H2057" s="35"/>
      <c r="I2057" s="35"/>
      <c r="J2057" s="35"/>
      <c r="K2057" s="35"/>
      <c r="L2057" s="35"/>
      <c r="M2057" s="35"/>
      <c r="N2057" s="35"/>
      <c r="O2057" s="35"/>
      <c r="P2057" s="35"/>
      <c r="Q2057" s="35"/>
      <c r="R2057" s="35"/>
      <c r="S2057" s="35"/>
      <c r="T2057" s="35"/>
      <c r="U2057" s="35"/>
      <c r="V2057" s="35"/>
      <c r="W2057" s="35"/>
      <c r="X2057" s="35"/>
      <c r="Y2057" s="35"/>
      <c r="Z2057" s="35"/>
      <c r="AA2057" s="35"/>
      <c r="AB2057" s="35"/>
      <c r="AC2057" s="35"/>
      <c r="AD2057" s="35"/>
      <c r="AE2057" s="35"/>
      <c r="AF2057" s="35"/>
      <c r="AG2057" s="35"/>
      <c r="AH2057" s="35"/>
      <c r="AI2057" s="35"/>
      <c r="AJ2057" s="35"/>
      <c r="AK2057" s="35"/>
      <c r="AL2057" s="35"/>
      <c r="AM2057" s="35"/>
      <c r="AN2057" s="35"/>
      <c r="AO2057" s="35"/>
      <c r="AP2057" s="35"/>
      <c r="AQ2057" s="35"/>
      <c r="AR2057" s="35"/>
      <c r="AS2057" s="35"/>
      <c r="AT2057" s="35"/>
      <c r="AU2057" s="35"/>
      <c r="AV2057" s="35"/>
      <c r="AW2057" s="35"/>
    </row>
    <row r="2058" spans="1:49" s="48" customFormat="1" ht="15.75" x14ac:dyDescent="0.2">
      <c r="A2058" s="35"/>
      <c r="B2058" s="35"/>
      <c r="C2058" s="35"/>
      <c r="D2058" s="35"/>
      <c r="E2058" s="35"/>
      <c r="F2058" s="35"/>
      <c r="G2058" s="35"/>
      <c r="H2058" s="35"/>
      <c r="I2058" s="35"/>
      <c r="J2058" s="35"/>
      <c r="K2058" s="35"/>
      <c r="L2058" s="35"/>
      <c r="M2058" s="35"/>
      <c r="N2058" s="35"/>
      <c r="O2058" s="35"/>
      <c r="P2058" s="35"/>
      <c r="Q2058" s="35"/>
      <c r="R2058" s="35"/>
      <c r="S2058" s="35"/>
      <c r="T2058" s="35"/>
      <c r="U2058" s="35"/>
      <c r="V2058" s="35"/>
      <c r="W2058" s="35"/>
      <c r="X2058" s="35"/>
      <c r="Y2058" s="35"/>
      <c r="Z2058" s="35"/>
      <c r="AA2058" s="35"/>
      <c r="AB2058" s="35"/>
      <c r="AC2058" s="35"/>
      <c r="AD2058" s="35"/>
      <c r="AE2058" s="35"/>
      <c r="AF2058" s="35"/>
      <c r="AG2058" s="35"/>
      <c r="AH2058" s="35"/>
      <c r="AI2058" s="35"/>
      <c r="AJ2058" s="35"/>
      <c r="AK2058" s="35"/>
      <c r="AL2058" s="35"/>
      <c r="AM2058" s="35"/>
      <c r="AN2058" s="35"/>
      <c r="AO2058" s="35"/>
      <c r="AP2058" s="35"/>
      <c r="AQ2058" s="35"/>
      <c r="AR2058" s="35"/>
      <c r="AS2058" s="35"/>
      <c r="AT2058" s="35"/>
      <c r="AU2058" s="35"/>
      <c r="AV2058" s="35"/>
      <c r="AW2058" s="35"/>
    </row>
    <row r="2059" spans="1:49" s="48" customFormat="1" ht="15.75" x14ac:dyDescent="0.2">
      <c r="A2059" s="35"/>
      <c r="B2059" s="35"/>
      <c r="C2059" s="35"/>
      <c r="D2059" s="35"/>
      <c r="E2059" s="35"/>
      <c r="F2059" s="35"/>
      <c r="G2059" s="35"/>
      <c r="H2059" s="35"/>
      <c r="I2059" s="35"/>
      <c r="J2059" s="35"/>
      <c r="K2059" s="35"/>
      <c r="L2059" s="35"/>
      <c r="M2059" s="35"/>
      <c r="N2059" s="35"/>
      <c r="O2059" s="35"/>
      <c r="P2059" s="35"/>
      <c r="Q2059" s="35"/>
      <c r="R2059" s="35"/>
      <c r="S2059" s="35"/>
      <c r="T2059" s="35"/>
      <c r="U2059" s="35"/>
      <c r="V2059" s="35"/>
      <c r="W2059" s="35"/>
      <c r="X2059" s="35"/>
      <c r="Y2059" s="35"/>
      <c r="Z2059" s="35"/>
      <c r="AA2059" s="35"/>
      <c r="AB2059" s="35"/>
      <c r="AC2059" s="35"/>
      <c r="AD2059" s="35"/>
      <c r="AE2059" s="35"/>
      <c r="AF2059" s="35"/>
      <c r="AG2059" s="35"/>
      <c r="AH2059" s="35"/>
      <c r="AI2059" s="35"/>
      <c r="AJ2059" s="35"/>
      <c r="AK2059" s="35"/>
      <c r="AL2059" s="35"/>
      <c r="AM2059" s="35"/>
      <c r="AN2059" s="35"/>
      <c r="AO2059" s="35"/>
      <c r="AP2059" s="35"/>
      <c r="AQ2059" s="35"/>
      <c r="AR2059" s="35"/>
      <c r="AS2059" s="35"/>
      <c r="AT2059" s="35"/>
      <c r="AU2059" s="35"/>
      <c r="AV2059" s="35"/>
      <c r="AW2059" s="35"/>
    </row>
    <row r="2060" spans="1:49" s="48" customFormat="1" ht="15.75" x14ac:dyDescent="0.2">
      <c r="A2060" s="35"/>
      <c r="B2060" s="35"/>
      <c r="C2060" s="35"/>
      <c r="D2060" s="35"/>
      <c r="E2060" s="35"/>
      <c r="F2060" s="35"/>
      <c r="G2060" s="35"/>
      <c r="H2060" s="35"/>
      <c r="I2060" s="35"/>
      <c r="J2060" s="35"/>
      <c r="K2060" s="35"/>
      <c r="L2060" s="35"/>
      <c r="M2060" s="35"/>
      <c r="N2060" s="35"/>
      <c r="O2060" s="35"/>
      <c r="P2060" s="35"/>
      <c r="Q2060" s="35"/>
      <c r="R2060" s="35"/>
      <c r="S2060" s="35"/>
      <c r="T2060" s="35"/>
      <c r="U2060" s="35"/>
      <c r="V2060" s="35"/>
      <c r="W2060" s="35"/>
      <c r="X2060" s="35"/>
      <c r="Y2060" s="35"/>
      <c r="Z2060" s="35"/>
      <c r="AA2060" s="35"/>
      <c r="AB2060" s="35"/>
      <c r="AC2060" s="35"/>
      <c r="AD2060" s="35"/>
      <c r="AE2060" s="35"/>
      <c r="AF2060" s="35"/>
      <c r="AG2060" s="35"/>
      <c r="AH2060" s="35"/>
      <c r="AI2060" s="35"/>
      <c r="AJ2060" s="35"/>
      <c r="AK2060" s="35"/>
      <c r="AL2060" s="35"/>
      <c r="AM2060" s="35"/>
      <c r="AN2060" s="35"/>
      <c r="AO2060" s="35"/>
      <c r="AP2060" s="35"/>
      <c r="AQ2060" s="35"/>
      <c r="AR2060" s="35"/>
      <c r="AS2060" s="35"/>
      <c r="AT2060" s="35"/>
      <c r="AU2060" s="35"/>
      <c r="AV2060" s="35"/>
      <c r="AW2060" s="35"/>
    </row>
    <row r="2061" spans="1:49" s="48" customFormat="1" ht="15.75" x14ac:dyDescent="0.2">
      <c r="A2061" s="35"/>
      <c r="B2061" s="35"/>
      <c r="C2061" s="35"/>
      <c r="D2061" s="35"/>
      <c r="E2061" s="35"/>
      <c r="F2061" s="35"/>
      <c r="G2061" s="35"/>
      <c r="H2061" s="35"/>
      <c r="I2061" s="35"/>
      <c r="J2061" s="35"/>
      <c r="K2061" s="35"/>
      <c r="L2061" s="35"/>
      <c r="M2061" s="35"/>
      <c r="N2061" s="35"/>
      <c r="O2061" s="35"/>
      <c r="P2061" s="35"/>
      <c r="Q2061" s="35"/>
      <c r="R2061" s="35"/>
      <c r="S2061" s="35"/>
      <c r="T2061" s="35"/>
      <c r="U2061" s="35"/>
      <c r="V2061" s="35"/>
      <c r="W2061" s="35"/>
      <c r="X2061" s="35"/>
      <c r="Y2061" s="35"/>
      <c r="Z2061" s="35"/>
      <c r="AA2061" s="35"/>
      <c r="AB2061" s="35"/>
      <c r="AC2061" s="35"/>
      <c r="AD2061" s="35"/>
      <c r="AE2061" s="35"/>
      <c r="AF2061" s="35"/>
      <c r="AG2061" s="35"/>
      <c r="AH2061" s="35"/>
      <c r="AI2061" s="35"/>
      <c r="AJ2061" s="35"/>
      <c r="AK2061" s="35"/>
      <c r="AL2061" s="35"/>
      <c r="AM2061" s="35"/>
      <c r="AN2061" s="35"/>
      <c r="AO2061" s="35"/>
      <c r="AP2061" s="35"/>
      <c r="AQ2061" s="35"/>
      <c r="AR2061" s="35"/>
      <c r="AS2061" s="35"/>
      <c r="AT2061" s="35"/>
      <c r="AU2061" s="35"/>
      <c r="AV2061" s="35"/>
      <c r="AW2061" s="35"/>
    </row>
    <row r="2062" spans="1:49" s="48" customFormat="1" ht="15.75" x14ac:dyDescent="0.2">
      <c r="A2062" s="35"/>
      <c r="B2062" s="35"/>
      <c r="C2062" s="35"/>
      <c r="D2062" s="35"/>
      <c r="E2062" s="35"/>
      <c r="F2062" s="35"/>
      <c r="G2062" s="35"/>
      <c r="H2062" s="35"/>
      <c r="I2062" s="35"/>
      <c r="J2062" s="35"/>
      <c r="K2062" s="35"/>
      <c r="L2062" s="35"/>
      <c r="M2062" s="35"/>
      <c r="N2062" s="35"/>
      <c r="O2062" s="35"/>
      <c r="P2062" s="35"/>
      <c r="Q2062" s="35"/>
      <c r="R2062" s="35"/>
      <c r="S2062" s="35"/>
      <c r="T2062" s="35"/>
      <c r="U2062" s="35"/>
      <c r="V2062" s="35"/>
      <c r="W2062" s="35"/>
      <c r="X2062" s="35"/>
      <c r="Y2062" s="35"/>
      <c r="Z2062" s="35"/>
      <c r="AA2062" s="35"/>
      <c r="AB2062" s="35"/>
      <c r="AC2062" s="35"/>
      <c r="AD2062" s="35"/>
      <c r="AE2062" s="35"/>
      <c r="AF2062" s="35"/>
      <c r="AG2062" s="35"/>
      <c r="AH2062" s="35"/>
      <c r="AI2062" s="35"/>
      <c r="AJ2062" s="35"/>
      <c r="AK2062" s="35"/>
      <c r="AL2062" s="35"/>
      <c r="AM2062" s="35"/>
      <c r="AN2062" s="35"/>
      <c r="AO2062" s="35"/>
      <c r="AP2062" s="35"/>
      <c r="AQ2062" s="35"/>
      <c r="AR2062" s="35"/>
      <c r="AS2062" s="35"/>
      <c r="AT2062" s="35"/>
      <c r="AU2062" s="35"/>
      <c r="AV2062" s="35"/>
      <c r="AW2062" s="35"/>
    </row>
    <row r="2063" spans="1:49" s="48" customFormat="1" ht="15.75" x14ac:dyDescent="0.2">
      <c r="A2063" s="35"/>
      <c r="B2063" s="35"/>
      <c r="C2063" s="35"/>
      <c r="D2063" s="35"/>
      <c r="E2063" s="35"/>
      <c r="F2063" s="35"/>
      <c r="G2063" s="35"/>
      <c r="H2063" s="35"/>
      <c r="I2063" s="35"/>
      <c r="J2063" s="35"/>
      <c r="K2063" s="35"/>
      <c r="L2063" s="35"/>
      <c r="M2063" s="35"/>
      <c r="N2063" s="35"/>
      <c r="O2063" s="35"/>
      <c r="P2063" s="35"/>
      <c r="Q2063" s="35"/>
      <c r="R2063" s="35"/>
      <c r="S2063" s="35"/>
      <c r="T2063" s="35"/>
      <c r="U2063" s="35"/>
      <c r="V2063" s="35"/>
      <c r="W2063" s="35"/>
      <c r="X2063" s="35"/>
      <c r="Y2063" s="35"/>
      <c r="Z2063" s="35"/>
      <c r="AA2063" s="35"/>
      <c r="AB2063" s="35"/>
      <c r="AC2063" s="35"/>
      <c r="AD2063" s="35"/>
      <c r="AE2063" s="35"/>
      <c r="AF2063" s="35"/>
      <c r="AG2063" s="35"/>
      <c r="AH2063" s="35"/>
      <c r="AI2063" s="35"/>
      <c r="AJ2063" s="35"/>
      <c r="AK2063" s="35"/>
      <c r="AL2063" s="35"/>
      <c r="AM2063" s="35"/>
      <c r="AN2063" s="35"/>
      <c r="AO2063" s="35"/>
      <c r="AP2063" s="35"/>
      <c r="AQ2063" s="35"/>
      <c r="AR2063" s="35"/>
      <c r="AS2063" s="35"/>
      <c r="AT2063" s="35"/>
      <c r="AU2063" s="35"/>
      <c r="AV2063" s="35"/>
      <c r="AW2063" s="35"/>
    </row>
    <row r="2064" spans="1:49" s="26" customFormat="1" ht="15" x14ac:dyDescent="0.25">
      <c r="A2064" s="35"/>
      <c r="B2064" s="35"/>
      <c r="C2064" s="35"/>
      <c r="D2064" s="35"/>
      <c r="E2064" s="35"/>
      <c r="F2064" s="35"/>
      <c r="G2064" s="35"/>
      <c r="H2064" s="35"/>
      <c r="I2064" s="35"/>
      <c r="J2064" s="35"/>
      <c r="K2064" s="35"/>
      <c r="L2064" s="35"/>
      <c r="M2064" s="35"/>
      <c r="N2064" s="35"/>
      <c r="O2064" s="35"/>
      <c r="P2064" s="35"/>
      <c r="Q2064" s="35"/>
      <c r="R2064" s="35"/>
      <c r="S2064" s="35"/>
      <c r="T2064" s="35"/>
      <c r="U2064" s="35"/>
      <c r="V2064" s="35"/>
      <c r="W2064" s="35"/>
      <c r="X2064" s="35"/>
      <c r="Y2064" s="35"/>
      <c r="Z2064" s="35"/>
      <c r="AA2064" s="35"/>
      <c r="AB2064" s="35"/>
      <c r="AC2064" s="35"/>
      <c r="AD2064" s="35"/>
      <c r="AE2064" s="35"/>
      <c r="AF2064" s="35"/>
      <c r="AG2064" s="35"/>
      <c r="AH2064" s="35"/>
      <c r="AI2064" s="35"/>
      <c r="AJ2064" s="35"/>
      <c r="AK2064" s="35"/>
      <c r="AL2064" s="35"/>
      <c r="AM2064" s="35"/>
      <c r="AN2064" s="35"/>
      <c r="AO2064" s="35"/>
      <c r="AP2064" s="35"/>
      <c r="AQ2064" s="35"/>
      <c r="AR2064" s="35"/>
      <c r="AS2064" s="35"/>
      <c r="AT2064" s="35"/>
      <c r="AU2064" s="35"/>
      <c r="AV2064" s="35"/>
      <c r="AW2064" s="35"/>
    </row>
    <row r="2065" spans="1:49" s="48" customFormat="1" ht="15.75" x14ac:dyDescent="0.2">
      <c r="A2065" s="35"/>
      <c r="B2065" s="35"/>
      <c r="C2065" s="35"/>
      <c r="D2065" s="35"/>
      <c r="E2065" s="35"/>
      <c r="F2065" s="35"/>
      <c r="G2065" s="35"/>
      <c r="H2065" s="35"/>
      <c r="I2065" s="35"/>
      <c r="J2065" s="35"/>
      <c r="K2065" s="35"/>
      <c r="L2065" s="35"/>
      <c r="M2065" s="35"/>
      <c r="N2065" s="35"/>
      <c r="O2065" s="35"/>
      <c r="P2065" s="35"/>
      <c r="Q2065" s="35"/>
      <c r="R2065" s="35"/>
      <c r="S2065" s="35"/>
      <c r="T2065" s="35"/>
      <c r="U2065" s="35"/>
      <c r="V2065" s="35"/>
      <c r="W2065" s="35"/>
      <c r="X2065" s="35"/>
      <c r="Y2065" s="35"/>
      <c r="Z2065" s="35"/>
      <c r="AA2065" s="35"/>
      <c r="AB2065" s="35"/>
      <c r="AC2065" s="35"/>
      <c r="AD2065" s="35"/>
      <c r="AE2065" s="35"/>
      <c r="AF2065" s="35"/>
      <c r="AG2065" s="35"/>
      <c r="AH2065" s="35"/>
      <c r="AI2065" s="35"/>
      <c r="AJ2065" s="35"/>
      <c r="AK2065" s="35"/>
      <c r="AL2065" s="35"/>
      <c r="AM2065" s="35"/>
      <c r="AN2065" s="35"/>
      <c r="AO2065" s="35"/>
      <c r="AP2065" s="35"/>
      <c r="AQ2065" s="35"/>
      <c r="AR2065" s="35"/>
      <c r="AS2065" s="35"/>
      <c r="AT2065" s="35"/>
      <c r="AU2065" s="35"/>
      <c r="AV2065" s="35"/>
      <c r="AW2065" s="35"/>
    </row>
    <row r="2066" spans="1:49" s="48" customFormat="1" ht="15.75" x14ac:dyDescent="0.2">
      <c r="A2066" s="35"/>
      <c r="B2066" s="35"/>
      <c r="C2066" s="35"/>
      <c r="D2066" s="35"/>
      <c r="E2066" s="35"/>
      <c r="F2066" s="35"/>
      <c r="G2066" s="35"/>
      <c r="H2066" s="35"/>
      <c r="I2066" s="35"/>
      <c r="J2066" s="35"/>
      <c r="K2066" s="35"/>
      <c r="L2066" s="35"/>
      <c r="M2066" s="35"/>
      <c r="N2066" s="35"/>
      <c r="O2066" s="35"/>
      <c r="P2066" s="35"/>
      <c r="Q2066" s="35"/>
      <c r="R2066" s="35"/>
      <c r="S2066" s="35"/>
      <c r="T2066" s="35"/>
      <c r="U2066" s="35"/>
      <c r="V2066" s="35"/>
      <c r="W2066" s="35"/>
      <c r="X2066" s="35"/>
      <c r="Y2066" s="35"/>
      <c r="Z2066" s="35"/>
      <c r="AA2066" s="35"/>
      <c r="AB2066" s="35"/>
      <c r="AC2066" s="35"/>
      <c r="AD2066" s="35"/>
      <c r="AE2066" s="35"/>
      <c r="AF2066" s="35"/>
      <c r="AG2066" s="35"/>
      <c r="AH2066" s="35"/>
      <c r="AI2066" s="35"/>
      <c r="AJ2066" s="35"/>
      <c r="AK2066" s="35"/>
      <c r="AL2066" s="35"/>
      <c r="AM2066" s="35"/>
      <c r="AN2066" s="35"/>
      <c r="AO2066" s="35"/>
      <c r="AP2066" s="35"/>
      <c r="AQ2066" s="35"/>
      <c r="AR2066" s="35"/>
      <c r="AS2066" s="35"/>
      <c r="AT2066" s="35"/>
      <c r="AU2066" s="35"/>
      <c r="AV2066" s="35"/>
      <c r="AW2066" s="35"/>
    </row>
    <row r="2067" spans="1:49" s="48" customFormat="1" ht="15.75" x14ac:dyDescent="0.2">
      <c r="A2067" s="35"/>
      <c r="B2067" s="35"/>
      <c r="C2067" s="35"/>
      <c r="D2067" s="35"/>
      <c r="E2067" s="35"/>
      <c r="F2067" s="35"/>
      <c r="G2067" s="35"/>
      <c r="H2067" s="35"/>
      <c r="I2067" s="35"/>
      <c r="J2067" s="35"/>
      <c r="K2067" s="35"/>
      <c r="L2067" s="35"/>
      <c r="M2067" s="35"/>
      <c r="N2067" s="35"/>
      <c r="O2067" s="35"/>
      <c r="P2067" s="35"/>
      <c r="Q2067" s="35"/>
      <c r="R2067" s="35"/>
      <c r="S2067" s="35"/>
      <c r="T2067" s="35"/>
      <c r="U2067" s="35"/>
      <c r="V2067" s="35"/>
      <c r="W2067" s="35"/>
      <c r="X2067" s="35"/>
      <c r="Y2067" s="35"/>
      <c r="Z2067" s="35"/>
      <c r="AA2067" s="35"/>
      <c r="AB2067" s="35"/>
      <c r="AC2067" s="35"/>
      <c r="AD2067" s="35"/>
      <c r="AE2067" s="35"/>
      <c r="AF2067" s="35"/>
      <c r="AG2067" s="35"/>
      <c r="AH2067" s="35"/>
      <c r="AI2067" s="35"/>
      <c r="AJ2067" s="35"/>
      <c r="AK2067" s="35"/>
      <c r="AL2067" s="35"/>
      <c r="AM2067" s="35"/>
      <c r="AN2067" s="35"/>
      <c r="AO2067" s="35"/>
      <c r="AP2067" s="35"/>
      <c r="AQ2067" s="35"/>
      <c r="AR2067" s="35"/>
      <c r="AS2067" s="35"/>
      <c r="AT2067" s="35"/>
      <c r="AU2067" s="35"/>
      <c r="AV2067" s="35"/>
      <c r="AW2067" s="35"/>
    </row>
    <row r="2068" spans="1:49" s="48" customFormat="1" ht="15.75" x14ac:dyDescent="0.2">
      <c r="A2068" s="35"/>
      <c r="B2068" s="35"/>
      <c r="C2068" s="35"/>
      <c r="D2068" s="35"/>
      <c r="E2068" s="35"/>
      <c r="F2068" s="35"/>
      <c r="G2068" s="35"/>
      <c r="H2068" s="35"/>
      <c r="I2068" s="35"/>
      <c r="J2068" s="35"/>
      <c r="K2068" s="35"/>
      <c r="L2068" s="35"/>
      <c r="M2068" s="35"/>
      <c r="N2068" s="35"/>
      <c r="O2068" s="35"/>
      <c r="P2068" s="35"/>
      <c r="Q2068" s="35"/>
      <c r="R2068" s="35"/>
      <c r="S2068" s="35"/>
      <c r="T2068" s="35"/>
      <c r="U2068" s="35"/>
      <c r="V2068" s="35"/>
      <c r="W2068" s="35"/>
      <c r="X2068" s="35"/>
      <c r="Y2068" s="35"/>
      <c r="Z2068" s="35"/>
      <c r="AA2068" s="35"/>
      <c r="AB2068" s="35"/>
      <c r="AC2068" s="35"/>
      <c r="AD2068" s="35"/>
      <c r="AE2068" s="35"/>
      <c r="AF2068" s="35"/>
      <c r="AG2068" s="35"/>
      <c r="AH2068" s="35"/>
      <c r="AI2068" s="35"/>
      <c r="AJ2068" s="35"/>
      <c r="AK2068" s="35"/>
      <c r="AL2068" s="35"/>
      <c r="AM2068" s="35"/>
      <c r="AN2068" s="35"/>
      <c r="AO2068" s="35"/>
      <c r="AP2068" s="35"/>
      <c r="AQ2068" s="35"/>
      <c r="AR2068" s="35"/>
      <c r="AS2068" s="35"/>
      <c r="AT2068" s="35"/>
      <c r="AU2068" s="35"/>
      <c r="AV2068" s="35"/>
      <c r="AW2068" s="35"/>
    </row>
    <row r="2069" spans="1:49" s="48" customFormat="1" ht="15.75" x14ac:dyDescent="0.2">
      <c r="A2069" s="35"/>
      <c r="B2069" s="35"/>
      <c r="C2069" s="35"/>
      <c r="D2069" s="35"/>
      <c r="E2069" s="35"/>
      <c r="F2069" s="35"/>
      <c r="G2069" s="35"/>
      <c r="H2069" s="35"/>
      <c r="I2069" s="35"/>
      <c r="J2069" s="35"/>
      <c r="K2069" s="35"/>
      <c r="L2069" s="35"/>
      <c r="M2069" s="35"/>
      <c r="N2069" s="35"/>
      <c r="O2069" s="35"/>
      <c r="P2069" s="35"/>
      <c r="Q2069" s="35"/>
      <c r="R2069" s="35"/>
      <c r="S2069" s="35"/>
      <c r="T2069" s="35"/>
      <c r="U2069" s="35"/>
      <c r="V2069" s="35"/>
      <c r="W2069" s="35"/>
      <c r="X2069" s="35"/>
      <c r="Y2069" s="35"/>
      <c r="Z2069" s="35"/>
      <c r="AA2069" s="35"/>
      <c r="AB2069" s="35"/>
      <c r="AC2069" s="35"/>
      <c r="AD2069" s="35"/>
      <c r="AE2069" s="35"/>
      <c r="AF2069" s="35"/>
      <c r="AG2069" s="35"/>
      <c r="AH2069" s="35"/>
      <c r="AI2069" s="35"/>
      <c r="AJ2069" s="35"/>
      <c r="AK2069" s="35"/>
      <c r="AL2069" s="35"/>
      <c r="AM2069" s="35"/>
      <c r="AN2069" s="35"/>
      <c r="AO2069" s="35"/>
      <c r="AP2069" s="35"/>
      <c r="AQ2069" s="35"/>
      <c r="AR2069" s="35"/>
      <c r="AS2069" s="35"/>
      <c r="AT2069" s="35"/>
      <c r="AU2069" s="35"/>
      <c r="AV2069" s="35"/>
      <c r="AW2069" s="35"/>
    </row>
    <row r="2070" spans="1:49" s="48" customFormat="1" ht="15.75" x14ac:dyDescent="0.2">
      <c r="A2070" s="35"/>
      <c r="B2070" s="35"/>
      <c r="C2070" s="35"/>
      <c r="D2070" s="35"/>
      <c r="E2070" s="35"/>
      <c r="F2070" s="35"/>
      <c r="G2070" s="35"/>
      <c r="H2070" s="35"/>
      <c r="I2070" s="35"/>
      <c r="J2070" s="35"/>
      <c r="K2070" s="35"/>
      <c r="L2070" s="35"/>
      <c r="M2070" s="35"/>
      <c r="N2070" s="35"/>
      <c r="O2070" s="35"/>
      <c r="P2070" s="35"/>
      <c r="Q2070" s="35"/>
      <c r="R2070" s="35"/>
      <c r="S2070" s="35"/>
      <c r="T2070" s="35"/>
      <c r="U2070" s="35"/>
      <c r="V2070" s="35"/>
      <c r="W2070" s="35"/>
      <c r="X2070" s="35"/>
      <c r="Y2070" s="35"/>
      <c r="Z2070" s="35"/>
      <c r="AA2070" s="35"/>
      <c r="AB2070" s="35"/>
      <c r="AC2070" s="35"/>
      <c r="AD2070" s="35"/>
      <c r="AE2070" s="35"/>
      <c r="AF2070" s="35"/>
      <c r="AG2070" s="35"/>
      <c r="AH2070" s="35"/>
      <c r="AI2070" s="35"/>
      <c r="AJ2070" s="35"/>
      <c r="AK2070" s="35"/>
      <c r="AL2070" s="35"/>
      <c r="AM2070" s="35"/>
      <c r="AN2070" s="35"/>
      <c r="AO2070" s="35"/>
      <c r="AP2070" s="35"/>
      <c r="AQ2070" s="35"/>
      <c r="AR2070" s="35"/>
      <c r="AS2070" s="35"/>
      <c r="AT2070" s="35"/>
      <c r="AU2070" s="35"/>
      <c r="AV2070" s="35"/>
      <c r="AW2070" s="35"/>
    </row>
    <row r="2071" spans="1:49" s="48" customFormat="1" ht="15.75" x14ac:dyDescent="0.2">
      <c r="A2071" s="35"/>
      <c r="B2071" s="35"/>
      <c r="C2071" s="35"/>
      <c r="D2071" s="35"/>
      <c r="E2071" s="35"/>
      <c r="F2071" s="35"/>
      <c r="G2071" s="35"/>
      <c r="H2071" s="35"/>
      <c r="I2071" s="35"/>
      <c r="J2071" s="35"/>
      <c r="K2071" s="35"/>
      <c r="L2071" s="35"/>
      <c r="M2071" s="35"/>
      <c r="N2071" s="35"/>
      <c r="O2071" s="35"/>
      <c r="P2071" s="35"/>
      <c r="Q2071" s="35"/>
      <c r="R2071" s="35"/>
      <c r="S2071" s="35"/>
      <c r="T2071" s="35"/>
      <c r="U2071" s="35"/>
      <c r="V2071" s="35"/>
      <c r="W2071" s="35"/>
      <c r="X2071" s="35"/>
      <c r="Y2071" s="35"/>
      <c r="Z2071" s="35"/>
      <c r="AA2071" s="35"/>
      <c r="AB2071" s="35"/>
      <c r="AC2071" s="35"/>
      <c r="AD2071" s="35"/>
      <c r="AE2071" s="35"/>
      <c r="AF2071" s="35"/>
      <c r="AG2071" s="35"/>
      <c r="AH2071" s="35"/>
      <c r="AI2071" s="35"/>
      <c r="AJ2071" s="35"/>
      <c r="AK2071" s="35"/>
      <c r="AL2071" s="35"/>
      <c r="AM2071" s="35"/>
      <c r="AN2071" s="35"/>
      <c r="AO2071" s="35"/>
      <c r="AP2071" s="35"/>
      <c r="AQ2071" s="35"/>
      <c r="AR2071" s="35"/>
      <c r="AS2071" s="35"/>
      <c r="AT2071" s="35"/>
      <c r="AU2071" s="35"/>
      <c r="AV2071" s="35"/>
      <c r="AW2071" s="35"/>
    </row>
    <row r="2072" spans="1:49" s="48" customFormat="1" ht="15.75" x14ac:dyDescent="0.2">
      <c r="A2072" s="35"/>
      <c r="B2072" s="35"/>
      <c r="C2072" s="35"/>
      <c r="D2072" s="35"/>
      <c r="E2072" s="35"/>
      <c r="F2072" s="35"/>
      <c r="G2072" s="35"/>
      <c r="H2072" s="35"/>
      <c r="I2072" s="35"/>
      <c r="J2072" s="35"/>
      <c r="K2072" s="35"/>
      <c r="L2072" s="35"/>
      <c r="M2072" s="35"/>
      <c r="N2072" s="35"/>
      <c r="O2072" s="35"/>
      <c r="P2072" s="35"/>
      <c r="Q2072" s="35"/>
      <c r="R2072" s="35"/>
      <c r="S2072" s="35"/>
      <c r="T2072" s="35"/>
      <c r="U2072" s="35"/>
      <c r="V2072" s="35"/>
      <c r="W2072" s="35"/>
      <c r="X2072" s="35"/>
      <c r="Y2072" s="35"/>
      <c r="Z2072" s="35"/>
      <c r="AA2072" s="35"/>
      <c r="AB2072" s="35"/>
      <c r="AC2072" s="35"/>
      <c r="AD2072" s="35"/>
      <c r="AE2072" s="35"/>
      <c r="AF2072" s="35"/>
      <c r="AG2072" s="35"/>
      <c r="AH2072" s="35"/>
      <c r="AI2072" s="35"/>
      <c r="AJ2072" s="35"/>
      <c r="AK2072" s="35"/>
      <c r="AL2072" s="35"/>
      <c r="AM2072" s="35"/>
      <c r="AN2072" s="35"/>
      <c r="AO2072" s="35"/>
      <c r="AP2072" s="35"/>
      <c r="AQ2072" s="35"/>
      <c r="AR2072" s="35"/>
      <c r="AS2072" s="35"/>
      <c r="AT2072" s="35"/>
      <c r="AU2072" s="35"/>
      <c r="AV2072" s="35"/>
      <c r="AW2072" s="35"/>
    </row>
    <row r="2073" spans="1:49" s="26" customFormat="1" ht="15" x14ac:dyDescent="0.25">
      <c r="A2073" s="35"/>
      <c r="B2073" s="35"/>
      <c r="C2073" s="35"/>
      <c r="D2073" s="35"/>
      <c r="E2073" s="35"/>
      <c r="F2073" s="35"/>
      <c r="G2073" s="35"/>
      <c r="H2073" s="35"/>
      <c r="I2073" s="35"/>
      <c r="J2073" s="35"/>
      <c r="K2073" s="35"/>
      <c r="L2073" s="35"/>
      <c r="M2073" s="35"/>
      <c r="N2073" s="35"/>
      <c r="O2073" s="35"/>
      <c r="P2073" s="35"/>
      <c r="Q2073" s="35"/>
      <c r="R2073" s="35"/>
      <c r="S2073" s="35"/>
      <c r="T2073" s="35"/>
      <c r="U2073" s="35"/>
      <c r="V2073" s="35"/>
      <c r="W2073" s="35"/>
      <c r="X2073" s="35"/>
      <c r="Y2073" s="35"/>
      <c r="Z2073" s="35"/>
      <c r="AA2073" s="35"/>
      <c r="AB2073" s="35"/>
      <c r="AC2073" s="35"/>
      <c r="AD2073" s="35"/>
      <c r="AE2073" s="35"/>
      <c r="AF2073" s="35"/>
      <c r="AG2073" s="35"/>
      <c r="AH2073" s="35"/>
      <c r="AI2073" s="35"/>
      <c r="AJ2073" s="35"/>
      <c r="AK2073" s="35"/>
      <c r="AL2073" s="35"/>
      <c r="AM2073" s="35"/>
      <c r="AN2073" s="35"/>
      <c r="AO2073" s="35"/>
      <c r="AP2073" s="35"/>
      <c r="AQ2073" s="35"/>
      <c r="AR2073" s="35"/>
      <c r="AS2073" s="35"/>
      <c r="AT2073" s="35"/>
      <c r="AU2073" s="35"/>
      <c r="AV2073" s="35"/>
      <c r="AW2073" s="35"/>
    </row>
    <row r="2074" spans="1:49" s="48" customFormat="1" ht="15.75" x14ac:dyDescent="0.2">
      <c r="A2074" s="35"/>
      <c r="B2074" s="35"/>
      <c r="C2074" s="35"/>
      <c r="D2074" s="35"/>
      <c r="E2074" s="35"/>
      <c r="F2074" s="35"/>
      <c r="G2074" s="35"/>
      <c r="H2074" s="35"/>
      <c r="I2074" s="35"/>
      <c r="J2074" s="35"/>
      <c r="K2074" s="35"/>
      <c r="L2074" s="35"/>
      <c r="M2074" s="35"/>
      <c r="N2074" s="35"/>
      <c r="O2074" s="35"/>
      <c r="P2074" s="35"/>
      <c r="Q2074" s="35"/>
      <c r="R2074" s="35"/>
      <c r="S2074" s="35"/>
      <c r="T2074" s="35"/>
      <c r="U2074" s="35"/>
      <c r="V2074" s="35"/>
      <c r="W2074" s="35"/>
      <c r="X2074" s="35"/>
      <c r="Y2074" s="35"/>
      <c r="Z2074" s="35"/>
      <c r="AA2074" s="35"/>
      <c r="AB2074" s="35"/>
      <c r="AC2074" s="35"/>
      <c r="AD2074" s="35"/>
      <c r="AE2074" s="35"/>
      <c r="AF2074" s="35"/>
      <c r="AG2074" s="35"/>
      <c r="AH2074" s="35"/>
      <c r="AI2074" s="35"/>
      <c r="AJ2074" s="35"/>
      <c r="AK2074" s="35"/>
      <c r="AL2074" s="35"/>
      <c r="AM2074" s="35"/>
      <c r="AN2074" s="35"/>
      <c r="AO2074" s="35"/>
      <c r="AP2074" s="35"/>
      <c r="AQ2074" s="35"/>
      <c r="AR2074" s="35"/>
      <c r="AS2074" s="35"/>
      <c r="AT2074" s="35"/>
      <c r="AU2074" s="35"/>
      <c r="AV2074" s="35"/>
      <c r="AW2074" s="35"/>
    </row>
    <row r="2075" spans="1:49" s="26" customFormat="1" ht="15" x14ac:dyDescent="0.25">
      <c r="A2075" s="35"/>
      <c r="B2075" s="35"/>
      <c r="C2075" s="35"/>
      <c r="D2075" s="35"/>
      <c r="E2075" s="35"/>
      <c r="F2075" s="35"/>
      <c r="G2075" s="35"/>
      <c r="H2075" s="35"/>
      <c r="I2075" s="35"/>
      <c r="J2075" s="35"/>
      <c r="K2075" s="35"/>
      <c r="L2075" s="35"/>
      <c r="M2075" s="35"/>
      <c r="N2075" s="35"/>
      <c r="O2075" s="35"/>
      <c r="P2075" s="35"/>
      <c r="Q2075" s="35"/>
      <c r="R2075" s="35"/>
      <c r="S2075" s="35"/>
      <c r="T2075" s="35"/>
      <c r="U2075" s="35"/>
      <c r="V2075" s="35"/>
      <c r="W2075" s="35"/>
      <c r="X2075" s="35"/>
      <c r="Y2075" s="35"/>
      <c r="Z2075" s="35"/>
      <c r="AA2075" s="35"/>
      <c r="AB2075" s="35"/>
      <c r="AC2075" s="35"/>
      <c r="AD2075" s="35"/>
      <c r="AE2075" s="35"/>
      <c r="AF2075" s="35"/>
      <c r="AG2075" s="35"/>
      <c r="AH2075" s="35"/>
      <c r="AI2075" s="35"/>
      <c r="AJ2075" s="35"/>
      <c r="AK2075" s="35"/>
      <c r="AL2075" s="35"/>
      <c r="AM2075" s="35"/>
      <c r="AN2075" s="35"/>
      <c r="AO2075" s="35"/>
      <c r="AP2075" s="35"/>
      <c r="AQ2075" s="35"/>
      <c r="AR2075" s="35"/>
      <c r="AS2075" s="35"/>
      <c r="AT2075" s="35"/>
      <c r="AU2075" s="35"/>
      <c r="AV2075" s="35"/>
      <c r="AW2075" s="35"/>
    </row>
    <row r="2076" spans="1:49" s="48" customFormat="1" ht="15.75" x14ac:dyDescent="0.2">
      <c r="A2076" s="35"/>
      <c r="B2076" s="35"/>
      <c r="C2076" s="35"/>
      <c r="D2076" s="35"/>
      <c r="E2076" s="35"/>
      <c r="F2076" s="35"/>
      <c r="G2076" s="35"/>
      <c r="H2076" s="35"/>
      <c r="I2076" s="35"/>
      <c r="J2076" s="35"/>
      <c r="K2076" s="35"/>
      <c r="L2076" s="35"/>
      <c r="M2076" s="35"/>
      <c r="N2076" s="35"/>
      <c r="O2076" s="35"/>
      <c r="P2076" s="35"/>
      <c r="Q2076" s="35"/>
      <c r="R2076" s="35"/>
      <c r="S2076" s="35"/>
      <c r="T2076" s="35"/>
      <c r="U2076" s="35"/>
      <c r="V2076" s="35"/>
      <c r="W2076" s="35"/>
      <c r="X2076" s="35"/>
      <c r="Y2076" s="35"/>
      <c r="Z2076" s="35"/>
      <c r="AA2076" s="35"/>
      <c r="AB2076" s="35"/>
      <c r="AC2076" s="35"/>
      <c r="AD2076" s="35"/>
      <c r="AE2076" s="35"/>
      <c r="AF2076" s="35"/>
      <c r="AG2076" s="35"/>
      <c r="AH2076" s="35"/>
      <c r="AI2076" s="35"/>
      <c r="AJ2076" s="35"/>
      <c r="AK2076" s="35"/>
      <c r="AL2076" s="35"/>
      <c r="AM2076" s="35"/>
      <c r="AN2076" s="35"/>
      <c r="AO2076" s="35"/>
      <c r="AP2076" s="35"/>
      <c r="AQ2076" s="35"/>
      <c r="AR2076" s="35"/>
      <c r="AS2076" s="35"/>
      <c r="AT2076" s="35"/>
      <c r="AU2076" s="35"/>
      <c r="AV2076" s="35"/>
      <c r="AW2076" s="35"/>
    </row>
    <row r="2077" spans="1:49" s="48" customFormat="1" ht="15.75" x14ac:dyDescent="0.2">
      <c r="A2077" s="35"/>
      <c r="B2077" s="35"/>
      <c r="C2077" s="35"/>
      <c r="D2077" s="35"/>
      <c r="E2077" s="35"/>
      <c r="F2077" s="35"/>
      <c r="G2077" s="35"/>
      <c r="H2077" s="35"/>
      <c r="I2077" s="35"/>
      <c r="J2077" s="35"/>
      <c r="K2077" s="35"/>
      <c r="L2077" s="35"/>
      <c r="M2077" s="35"/>
      <c r="N2077" s="35"/>
      <c r="O2077" s="35"/>
      <c r="P2077" s="35"/>
      <c r="Q2077" s="35"/>
      <c r="R2077" s="35"/>
      <c r="S2077" s="35"/>
      <c r="T2077" s="35"/>
      <c r="U2077" s="35"/>
      <c r="V2077" s="35"/>
      <c r="W2077" s="35"/>
      <c r="X2077" s="35"/>
      <c r="Y2077" s="35"/>
      <c r="Z2077" s="35"/>
      <c r="AA2077" s="35"/>
      <c r="AB2077" s="35"/>
      <c r="AC2077" s="35"/>
      <c r="AD2077" s="35"/>
      <c r="AE2077" s="35"/>
      <c r="AF2077" s="35"/>
      <c r="AG2077" s="35"/>
      <c r="AH2077" s="35"/>
      <c r="AI2077" s="35"/>
      <c r="AJ2077" s="35"/>
      <c r="AK2077" s="35"/>
      <c r="AL2077" s="35"/>
      <c r="AM2077" s="35"/>
      <c r="AN2077" s="35"/>
      <c r="AO2077" s="35"/>
      <c r="AP2077" s="35"/>
      <c r="AQ2077" s="35"/>
      <c r="AR2077" s="35"/>
      <c r="AS2077" s="35"/>
      <c r="AT2077" s="35"/>
      <c r="AU2077" s="35"/>
      <c r="AV2077" s="35"/>
      <c r="AW2077" s="35"/>
    </row>
    <row r="2078" spans="1:49" s="54" customFormat="1" ht="15.75" x14ac:dyDescent="0.2">
      <c r="A2078" s="35"/>
      <c r="B2078" s="35"/>
      <c r="C2078" s="35"/>
      <c r="D2078" s="35"/>
      <c r="E2078" s="35"/>
      <c r="F2078" s="35"/>
      <c r="G2078" s="35"/>
      <c r="H2078" s="35"/>
      <c r="I2078" s="35"/>
      <c r="J2078" s="35"/>
      <c r="K2078" s="35"/>
      <c r="L2078" s="35"/>
      <c r="M2078" s="35"/>
      <c r="N2078" s="35"/>
      <c r="O2078" s="35"/>
      <c r="P2078" s="35"/>
      <c r="Q2078" s="35"/>
      <c r="R2078" s="35"/>
      <c r="S2078" s="35"/>
      <c r="T2078" s="35"/>
      <c r="U2078" s="35"/>
      <c r="V2078" s="35"/>
      <c r="W2078" s="35"/>
      <c r="X2078" s="35"/>
      <c r="Y2078" s="35"/>
      <c r="Z2078" s="35"/>
      <c r="AA2078" s="35"/>
      <c r="AB2078" s="35"/>
      <c r="AC2078" s="35"/>
      <c r="AD2078" s="35"/>
      <c r="AE2078" s="35"/>
      <c r="AF2078" s="35"/>
      <c r="AG2078" s="35"/>
      <c r="AH2078" s="35"/>
      <c r="AI2078" s="35"/>
      <c r="AJ2078" s="35"/>
      <c r="AK2078" s="35"/>
      <c r="AL2078" s="35"/>
      <c r="AM2078" s="35"/>
      <c r="AN2078" s="35"/>
      <c r="AO2078" s="35"/>
      <c r="AP2078" s="35"/>
      <c r="AQ2078" s="35"/>
      <c r="AR2078" s="35"/>
      <c r="AS2078" s="35"/>
      <c r="AT2078" s="35"/>
      <c r="AU2078" s="35"/>
      <c r="AV2078" s="35"/>
      <c r="AW2078" s="35"/>
    </row>
    <row r="2079" spans="1:49" s="54" customFormat="1" ht="15.75" x14ac:dyDescent="0.2">
      <c r="A2079" s="35"/>
      <c r="B2079" s="35"/>
      <c r="C2079" s="35"/>
      <c r="D2079" s="35"/>
      <c r="E2079" s="35"/>
      <c r="F2079" s="35"/>
      <c r="G2079" s="35"/>
      <c r="H2079" s="35"/>
      <c r="I2079" s="35"/>
      <c r="J2079" s="35"/>
      <c r="K2079" s="35"/>
      <c r="L2079" s="35"/>
      <c r="M2079" s="35"/>
      <c r="N2079" s="35"/>
      <c r="O2079" s="35"/>
      <c r="P2079" s="35"/>
      <c r="Q2079" s="35"/>
      <c r="R2079" s="35"/>
      <c r="S2079" s="35"/>
      <c r="T2079" s="35"/>
      <c r="U2079" s="35"/>
      <c r="V2079" s="35"/>
      <c r="W2079" s="35"/>
      <c r="X2079" s="35"/>
      <c r="Y2079" s="35"/>
      <c r="Z2079" s="35"/>
      <c r="AA2079" s="35"/>
      <c r="AB2079" s="35"/>
      <c r="AC2079" s="35"/>
      <c r="AD2079" s="35"/>
      <c r="AE2079" s="35"/>
      <c r="AF2079" s="35"/>
      <c r="AG2079" s="35"/>
      <c r="AH2079" s="35"/>
      <c r="AI2079" s="35"/>
      <c r="AJ2079" s="35"/>
      <c r="AK2079" s="35"/>
      <c r="AL2079" s="35"/>
      <c r="AM2079" s="35"/>
      <c r="AN2079" s="35"/>
      <c r="AO2079" s="35"/>
      <c r="AP2079" s="35"/>
      <c r="AQ2079" s="35"/>
      <c r="AR2079" s="35"/>
      <c r="AS2079" s="35"/>
      <c r="AT2079" s="35"/>
      <c r="AU2079" s="35"/>
      <c r="AV2079" s="35"/>
      <c r="AW2079" s="35"/>
    </row>
    <row r="2080" spans="1:49" s="47" customFormat="1" ht="15.75" x14ac:dyDescent="0.2">
      <c r="A2080" s="35"/>
      <c r="B2080" s="35"/>
      <c r="C2080" s="35"/>
      <c r="D2080" s="35"/>
      <c r="E2080" s="35"/>
      <c r="F2080" s="35"/>
      <c r="G2080" s="35"/>
      <c r="H2080" s="35"/>
      <c r="I2080" s="35"/>
      <c r="J2080" s="35"/>
      <c r="K2080" s="35"/>
      <c r="L2080" s="35"/>
      <c r="M2080" s="35"/>
      <c r="N2080" s="35"/>
      <c r="O2080" s="35"/>
      <c r="P2080" s="35"/>
      <c r="Q2080" s="35"/>
      <c r="R2080" s="35"/>
      <c r="S2080" s="35"/>
      <c r="T2080" s="35"/>
      <c r="U2080" s="35"/>
      <c r="V2080" s="35"/>
      <c r="W2080" s="35"/>
      <c r="X2080" s="35"/>
      <c r="Y2080" s="35"/>
      <c r="Z2080" s="35"/>
      <c r="AA2080" s="35"/>
      <c r="AB2080" s="35"/>
      <c r="AC2080" s="35"/>
      <c r="AD2080" s="35"/>
      <c r="AE2080" s="35"/>
      <c r="AF2080" s="35"/>
      <c r="AG2080" s="35"/>
      <c r="AH2080" s="35"/>
      <c r="AI2080" s="35"/>
      <c r="AJ2080" s="35"/>
      <c r="AK2080" s="35"/>
      <c r="AL2080" s="35"/>
      <c r="AM2080" s="35"/>
      <c r="AN2080" s="35"/>
      <c r="AO2080" s="35"/>
      <c r="AP2080" s="35"/>
      <c r="AQ2080" s="35"/>
      <c r="AR2080" s="35"/>
      <c r="AS2080" s="35"/>
      <c r="AT2080" s="35"/>
      <c r="AU2080" s="35"/>
      <c r="AV2080" s="35"/>
      <c r="AW2080" s="35"/>
    </row>
    <row r="2081" spans="1:49" s="48" customFormat="1" ht="15.75" x14ac:dyDescent="0.2">
      <c r="A2081" s="35"/>
      <c r="B2081" s="35"/>
      <c r="C2081" s="35"/>
      <c r="D2081" s="35"/>
      <c r="E2081" s="35"/>
      <c r="F2081" s="35"/>
      <c r="G2081" s="35"/>
      <c r="H2081" s="35"/>
      <c r="I2081" s="35"/>
      <c r="J2081" s="35"/>
      <c r="K2081" s="35"/>
      <c r="L2081" s="35"/>
      <c r="M2081" s="35"/>
      <c r="N2081" s="35"/>
      <c r="O2081" s="35"/>
      <c r="P2081" s="35"/>
      <c r="Q2081" s="35"/>
      <c r="R2081" s="35"/>
      <c r="S2081" s="35"/>
      <c r="T2081" s="35"/>
      <c r="U2081" s="35"/>
      <c r="V2081" s="35"/>
      <c r="W2081" s="35"/>
      <c r="X2081" s="35"/>
      <c r="Y2081" s="35"/>
      <c r="Z2081" s="35"/>
      <c r="AA2081" s="35"/>
      <c r="AB2081" s="35"/>
      <c r="AC2081" s="35"/>
      <c r="AD2081" s="35"/>
      <c r="AE2081" s="35"/>
      <c r="AF2081" s="35"/>
      <c r="AG2081" s="35"/>
      <c r="AH2081" s="35"/>
      <c r="AI2081" s="35"/>
      <c r="AJ2081" s="35"/>
      <c r="AK2081" s="35"/>
      <c r="AL2081" s="35"/>
      <c r="AM2081" s="35"/>
      <c r="AN2081" s="35"/>
      <c r="AO2081" s="35"/>
      <c r="AP2081" s="35"/>
      <c r="AQ2081" s="35"/>
      <c r="AR2081" s="35"/>
      <c r="AS2081" s="35"/>
      <c r="AT2081" s="35"/>
      <c r="AU2081" s="35"/>
      <c r="AV2081" s="35"/>
      <c r="AW2081" s="35"/>
    </row>
    <row r="2082" spans="1:49" s="48" customFormat="1" ht="15.75" x14ac:dyDescent="0.2">
      <c r="A2082" s="35"/>
      <c r="B2082" s="35"/>
      <c r="C2082" s="35"/>
      <c r="D2082" s="35"/>
      <c r="E2082" s="35"/>
      <c r="F2082" s="35"/>
      <c r="G2082" s="35"/>
      <c r="H2082" s="35"/>
      <c r="I2082" s="35"/>
      <c r="J2082" s="35"/>
      <c r="K2082" s="35"/>
      <c r="L2082" s="35"/>
      <c r="M2082" s="35"/>
      <c r="N2082" s="35"/>
      <c r="O2082" s="35"/>
      <c r="P2082" s="35"/>
      <c r="Q2082" s="35"/>
      <c r="R2082" s="35"/>
      <c r="S2082" s="35"/>
      <c r="T2082" s="35"/>
      <c r="U2082" s="35"/>
      <c r="V2082" s="35"/>
      <c r="W2082" s="35"/>
      <c r="X2082" s="35"/>
      <c r="Y2082" s="35"/>
      <c r="Z2082" s="35"/>
      <c r="AA2082" s="35"/>
      <c r="AB2082" s="35"/>
      <c r="AC2082" s="35"/>
      <c r="AD2082" s="35"/>
      <c r="AE2082" s="35"/>
      <c r="AF2082" s="35"/>
      <c r="AG2082" s="35"/>
      <c r="AH2082" s="35"/>
      <c r="AI2082" s="35"/>
      <c r="AJ2082" s="35"/>
      <c r="AK2082" s="35"/>
      <c r="AL2082" s="35"/>
      <c r="AM2082" s="35"/>
      <c r="AN2082" s="35"/>
      <c r="AO2082" s="35"/>
      <c r="AP2082" s="35"/>
      <c r="AQ2082" s="35"/>
      <c r="AR2082" s="35"/>
      <c r="AS2082" s="35"/>
      <c r="AT2082" s="35"/>
      <c r="AU2082" s="35"/>
      <c r="AV2082" s="35"/>
      <c r="AW2082" s="35"/>
    </row>
    <row r="2083" spans="1:49" s="48" customFormat="1" ht="15.75" x14ac:dyDescent="0.2">
      <c r="A2083" s="35"/>
      <c r="B2083" s="35"/>
      <c r="C2083" s="35"/>
      <c r="D2083" s="35"/>
      <c r="E2083" s="35"/>
      <c r="F2083" s="35"/>
      <c r="G2083" s="35"/>
      <c r="H2083" s="35"/>
      <c r="I2083" s="35"/>
      <c r="J2083" s="35"/>
      <c r="K2083" s="35"/>
      <c r="L2083" s="35"/>
      <c r="M2083" s="35"/>
      <c r="N2083" s="35"/>
      <c r="O2083" s="35"/>
      <c r="P2083" s="35"/>
      <c r="Q2083" s="35"/>
      <c r="R2083" s="35"/>
      <c r="S2083" s="35"/>
      <c r="T2083" s="35"/>
      <c r="U2083" s="35"/>
      <c r="V2083" s="35"/>
      <c r="W2083" s="35"/>
      <c r="X2083" s="35"/>
      <c r="Y2083" s="35"/>
      <c r="Z2083" s="35"/>
      <c r="AA2083" s="35"/>
      <c r="AB2083" s="35"/>
      <c r="AC2083" s="35"/>
      <c r="AD2083" s="35"/>
      <c r="AE2083" s="35"/>
      <c r="AF2083" s="35"/>
      <c r="AG2083" s="35"/>
      <c r="AH2083" s="35"/>
      <c r="AI2083" s="35"/>
      <c r="AJ2083" s="35"/>
      <c r="AK2083" s="35"/>
      <c r="AL2083" s="35"/>
      <c r="AM2083" s="35"/>
      <c r="AN2083" s="35"/>
      <c r="AO2083" s="35"/>
      <c r="AP2083" s="35"/>
      <c r="AQ2083" s="35"/>
      <c r="AR2083" s="35"/>
      <c r="AS2083" s="35"/>
      <c r="AT2083" s="35"/>
      <c r="AU2083" s="35"/>
      <c r="AV2083" s="35"/>
      <c r="AW2083" s="35"/>
    </row>
    <row r="2084" spans="1:49" s="48" customFormat="1" ht="15.75" x14ac:dyDescent="0.2">
      <c r="A2084" s="35"/>
      <c r="B2084" s="35"/>
      <c r="C2084" s="35"/>
      <c r="D2084" s="35"/>
      <c r="E2084" s="35"/>
      <c r="F2084" s="35"/>
      <c r="G2084" s="35"/>
      <c r="H2084" s="35"/>
      <c r="I2084" s="35"/>
      <c r="J2084" s="35"/>
      <c r="K2084" s="35"/>
      <c r="L2084" s="35"/>
      <c r="M2084" s="35"/>
      <c r="N2084" s="35"/>
      <c r="O2084" s="35"/>
      <c r="P2084" s="35"/>
      <c r="Q2084" s="35"/>
      <c r="R2084" s="35"/>
      <c r="S2084" s="35"/>
      <c r="T2084" s="35"/>
      <c r="U2084" s="35"/>
      <c r="V2084" s="35"/>
      <c r="W2084" s="35"/>
      <c r="X2084" s="35"/>
      <c r="Y2084" s="35"/>
      <c r="Z2084" s="35"/>
      <c r="AA2084" s="35"/>
      <c r="AB2084" s="35"/>
      <c r="AC2084" s="35"/>
      <c r="AD2084" s="35"/>
      <c r="AE2084" s="35"/>
      <c r="AF2084" s="35"/>
      <c r="AG2084" s="35"/>
      <c r="AH2084" s="35"/>
      <c r="AI2084" s="35"/>
      <c r="AJ2084" s="35"/>
      <c r="AK2084" s="35"/>
      <c r="AL2084" s="35"/>
      <c r="AM2084" s="35"/>
      <c r="AN2084" s="35"/>
      <c r="AO2084" s="35"/>
      <c r="AP2084" s="35"/>
      <c r="AQ2084" s="35"/>
      <c r="AR2084" s="35"/>
      <c r="AS2084" s="35"/>
      <c r="AT2084" s="35"/>
      <c r="AU2084" s="35"/>
      <c r="AV2084" s="35"/>
      <c r="AW2084" s="35"/>
    </row>
    <row r="2397" spans="1:49" s="26" customFormat="1" ht="15" x14ac:dyDescent="0.25">
      <c r="A2397" s="35"/>
      <c r="B2397" s="35"/>
      <c r="C2397" s="35"/>
      <c r="D2397" s="35"/>
      <c r="E2397" s="35"/>
      <c r="F2397" s="35"/>
      <c r="G2397" s="35"/>
      <c r="H2397" s="35"/>
      <c r="I2397" s="35"/>
      <c r="J2397" s="35"/>
      <c r="K2397" s="35"/>
      <c r="L2397" s="35"/>
      <c r="M2397" s="35"/>
      <c r="N2397" s="35"/>
      <c r="O2397" s="35"/>
      <c r="P2397" s="35"/>
      <c r="Q2397" s="35"/>
      <c r="R2397" s="35"/>
      <c r="S2397" s="35"/>
      <c r="T2397" s="35"/>
      <c r="U2397" s="35"/>
      <c r="V2397" s="35"/>
      <c r="W2397" s="35"/>
      <c r="X2397" s="35"/>
      <c r="Y2397" s="35"/>
      <c r="Z2397" s="35"/>
      <c r="AA2397" s="35"/>
      <c r="AB2397" s="35"/>
      <c r="AC2397" s="35"/>
      <c r="AD2397" s="35"/>
      <c r="AE2397" s="35"/>
      <c r="AF2397" s="35"/>
      <c r="AG2397" s="35"/>
      <c r="AH2397" s="35"/>
      <c r="AI2397" s="35"/>
      <c r="AJ2397" s="35"/>
      <c r="AK2397" s="35"/>
      <c r="AL2397" s="35"/>
      <c r="AM2397" s="35"/>
      <c r="AN2397" s="35"/>
      <c r="AO2397" s="35"/>
      <c r="AP2397" s="35"/>
      <c r="AQ2397" s="35"/>
      <c r="AR2397" s="35"/>
      <c r="AS2397" s="35"/>
      <c r="AT2397" s="35"/>
      <c r="AU2397" s="35"/>
      <c r="AV2397" s="35"/>
      <c r="AW2397" s="35"/>
    </row>
    <row r="2398" spans="1:49" s="26" customFormat="1" ht="15" x14ac:dyDescent="0.25">
      <c r="A2398" s="35"/>
      <c r="B2398" s="35"/>
      <c r="C2398" s="35"/>
      <c r="D2398" s="35"/>
      <c r="E2398" s="35"/>
      <c r="F2398" s="35"/>
      <c r="G2398" s="35"/>
      <c r="H2398" s="35"/>
      <c r="I2398" s="35"/>
      <c r="J2398" s="35"/>
      <c r="K2398" s="35"/>
      <c r="L2398" s="35"/>
      <c r="M2398" s="35"/>
      <c r="N2398" s="35"/>
      <c r="O2398" s="35"/>
      <c r="P2398" s="35"/>
      <c r="Q2398" s="35"/>
      <c r="R2398" s="35"/>
      <c r="S2398" s="35"/>
      <c r="T2398" s="35"/>
      <c r="U2398" s="35"/>
      <c r="V2398" s="35"/>
      <c r="W2398" s="35"/>
      <c r="X2398" s="35"/>
      <c r="Y2398" s="35"/>
      <c r="Z2398" s="35"/>
      <c r="AA2398" s="35"/>
      <c r="AB2398" s="35"/>
      <c r="AC2398" s="35"/>
      <c r="AD2398" s="35"/>
      <c r="AE2398" s="35"/>
      <c r="AF2398" s="35"/>
      <c r="AG2398" s="35"/>
      <c r="AH2398" s="35"/>
      <c r="AI2398" s="35"/>
      <c r="AJ2398" s="35"/>
      <c r="AK2398" s="35"/>
      <c r="AL2398" s="35"/>
      <c r="AM2398" s="35"/>
      <c r="AN2398" s="35"/>
      <c r="AO2398" s="35"/>
      <c r="AP2398" s="35"/>
      <c r="AQ2398" s="35"/>
      <c r="AR2398" s="35"/>
      <c r="AS2398" s="35"/>
      <c r="AT2398" s="35"/>
      <c r="AU2398" s="35"/>
      <c r="AV2398" s="35"/>
      <c r="AW2398" s="35"/>
    </row>
    <row r="2399" spans="1:49" s="17" customFormat="1" ht="15" x14ac:dyDescent="0.25">
      <c r="A2399" s="35"/>
      <c r="B2399" s="35"/>
      <c r="C2399" s="35"/>
      <c r="D2399" s="35"/>
      <c r="E2399" s="35"/>
      <c r="F2399" s="35"/>
      <c r="G2399" s="35"/>
      <c r="H2399" s="35"/>
      <c r="I2399" s="35"/>
      <c r="J2399" s="35"/>
      <c r="K2399" s="35"/>
      <c r="L2399" s="35"/>
      <c r="M2399" s="35"/>
      <c r="N2399" s="35"/>
      <c r="O2399" s="35"/>
      <c r="P2399" s="35"/>
      <c r="Q2399" s="35"/>
      <c r="R2399" s="35"/>
      <c r="S2399" s="35"/>
      <c r="T2399" s="35"/>
      <c r="U2399" s="35"/>
      <c r="V2399" s="35"/>
      <c r="W2399" s="35"/>
      <c r="X2399" s="35"/>
      <c r="Y2399" s="35"/>
      <c r="Z2399" s="35"/>
      <c r="AA2399" s="35"/>
      <c r="AB2399" s="35"/>
      <c r="AC2399" s="35"/>
      <c r="AD2399" s="35"/>
      <c r="AE2399" s="35"/>
      <c r="AF2399" s="35"/>
      <c r="AG2399" s="35"/>
      <c r="AH2399" s="35"/>
      <c r="AI2399" s="35"/>
      <c r="AJ2399" s="35"/>
      <c r="AK2399" s="35"/>
      <c r="AL2399" s="35"/>
      <c r="AM2399" s="35"/>
      <c r="AN2399" s="35"/>
      <c r="AO2399" s="35"/>
      <c r="AP2399" s="35"/>
      <c r="AQ2399" s="35"/>
      <c r="AR2399" s="35"/>
      <c r="AS2399" s="35"/>
      <c r="AT2399" s="35"/>
      <c r="AU2399" s="35"/>
      <c r="AV2399" s="35"/>
      <c r="AW2399" s="35"/>
    </row>
    <row r="2400" spans="1:49" s="26" customFormat="1" ht="15" x14ac:dyDescent="0.25">
      <c r="A2400" s="35"/>
      <c r="B2400" s="35"/>
      <c r="C2400" s="35"/>
      <c r="D2400" s="35"/>
      <c r="E2400" s="35"/>
      <c r="F2400" s="35"/>
      <c r="G2400" s="35"/>
      <c r="H2400" s="35"/>
      <c r="I2400" s="35"/>
      <c r="J2400" s="35"/>
      <c r="K2400" s="35"/>
      <c r="L2400" s="35"/>
      <c r="M2400" s="35"/>
      <c r="N2400" s="35"/>
      <c r="O2400" s="35"/>
      <c r="P2400" s="35"/>
      <c r="Q2400" s="35"/>
      <c r="R2400" s="35"/>
      <c r="S2400" s="35"/>
      <c r="T2400" s="35"/>
      <c r="U2400" s="35"/>
      <c r="V2400" s="35"/>
      <c r="W2400" s="35"/>
      <c r="X2400" s="35"/>
      <c r="Y2400" s="35"/>
      <c r="Z2400" s="35"/>
      <c r="AA2400" s="35"/>
      <c r="AB2400" s="35"/>
      <c r="AC2400" s="35"/>
      <c r="AD2400" s="35"/>
      <c r="AE2400" s="35"/>
      <c r="AF2400" s="35"/>
      <c r="AG2400" s="35"/>
      <c r="AH2400" s="35"/>
      <c r="AI2400" s="35"/>
      <c r="AJ2400" s="35"/>
      <c r="AK2400" s="35"/>
      <c r="AL2400" s="35"/>
      <c r="AM2400" s="35"/>
      <c r="AN2400" s="35"/>
      <c r="AO2400" s="35"/>
      <c r="AP2400" s="35"/>
      <c r="AQ2400" s="35"/>
      <c r="AR2400" s="35"/>
      <c r="AS2400" s="35"/>
      <c r="AT2400" s="35"/>
      <c r="AU2400" s="35"/>
      <c r="AV2400" s="35"/>
      <c r="AW2400" s="35"/>
    </row>
    <row r="2401" spans="1:49" s="26" customFormat="1" ht="15" x14ac:dyDescent="0.25">
      <c r="A2401" s="35"/>
      <c r="B2401" s="35"/>
      <c r="C2401" s="35"/>
      <c r="D2401" s="35"/>
      <c r="E2401" s="35"/>
      <c r="F2401" s="35"/>
      <c r="G2401" s="35"/>
      <c r="H2401" s="35"/>
      <c r="I2401" s="35"/>
      <c r="J2401" s="35"/>
      <c r="K2401" s="35"/>
      <c r="L2401" s="35"/>
      <c r="M2401" s="35"/>
      <c r="N2401" s="35"/>
      <c r="O2401" s="35"/>
      <c r="P2401" s="35"/>
      <c r="Q2401" s="35"/>
      <c r="R2401" s="35"/>
      <c r="S2401" s="35"/>
      <c r="T2401" s="35"/>
      <c r="U2401" s="35"/>
      <c r="V2401" s="35"/>
      <c r="W2401" s="35"/>
      <c r="X2401" s="35"/>
      <c r="Y2401" s="35"/>
      <c r="Z2401" s="35"/>
      <c r="AA2401" s="35"/>
      <c r="AB2401" s="35"/>
      <c r="AC2401" s="35"/>
      <c r="AD2401" s="35"/>
      <c r="AE2401" s="35"/>
      <c r="AF2401" s="35"/>
      <c r="AG2401" s="35"/>
      <c r="AH2401" s="35"/>
      <c r="AI2401" s="35"/>
      <c r="AJ2401" s="35"/>
      <c r="AK2401" s="35"/>
      <c r="AL2401" s="35"/>
      <c r="AM2401" s="35"/>
      <c r="AN2401" s="35"/>
      <c r="AO2401" s="35"/>
      <c r="AP2401" s="35"/>
      <c r="AQ2401" s="35"/>
      <c r="AR2401" s="35"/>
      <c r="AS2401" s="35"/>
      <c r="AT2401" s="35"/>
      <c r="AU2401" s="35"/>
      <c r="AV2401" s="35"/>
      <c r="AW2401" s="35"/>
    </row>
    <row r="2402" spans="1:49" s="26" customFormat="1" ht="15" x14ac:dyDescent="0.25">
      <c r="A2402" s="35"/>
      <c r="B2402" s="35"/>
      <c r="C2402" s="35"/>
      <c r="D2402" s="35"/>
      <c r="E2402" s="35"/>
      <c r="F2402" s="35"/>
      <c r="G2402" s="35"/>
      <c r="H2402" s="35"/>
      <c r="I2402" s="35"/>
      <c r="J2402" s="35"/>
      <c r="K2402" s="35"/>
      <c r="L2402" s="35"/>
      <c r="M2402" s="35"/>
      <c r="N2402" s="35"/>
      <c r="O2402" s="35"/>
      <c r="P2402" s="35"/>
      <c r="Q2402" s="35"/>
      <c r="R2402" s="35"/>
      <c r="S2402" s="35"/>
      <c r="T2402" s="35"/>
      <c r="U2402" s="35"/>
      <c r="V2402" s="35"/>
      <c r="W2402" s="35"/>
      <c r="X2402" s="35"/>
      <c r="Y2402" s="35"/>
      <c r="Z2402" s="35"/>
      <c r="AA2402" s="35"/>
      <c r="AB2402" s="35"/>
      <c r="AC2402" s="35"/>
      <c r="AD2402" s="35"/>
      <c r="AE2402" s="35"/>
      <c r="AF2402" s="35"/>
      <c r="AG2402" s="35"/>
      <c r="AH2402" s="35"/>
      <c r="AI2402" s="35"/>
      <c r="AJ2402" s="35"/>
      <c r="AK2402" s="35"/>
      <c r="AL2402" s="35"/>
      <c r="AM2402" s="35"/>
      <c r="AN2402" s="35"/>
      <c r="AO2402" s="35"/>
      <c r="AP2402" s="35"/>
      <c r="AQ2402" s="35"/>
      <c r="AR2402" s="35"/>
      <c r="AS2402" s="35"/>
      <c r="AT2402" s="35"/>
      <c r="AU2402" s="35"/>
      <c r="AV2402" s="35"/>
      <c r="AW2402" s="35"/>
    </row>
    <row r="2403" spans="1:49" s="26" customFormat="1" ht="15" x14ac:dyDescent="0.25">
      <c r="A2403" s="35"/>
      <c r="B2403" s="35"/>
      <c r="C2403" s="35"/>
      <c r="D2403" s="35"/>
      <c r="E2403" s="35"/>
      <c r="F2403" s="35"/>
      <c r="G2403" s="35"/>
      <c r="H2403" s="35"/>
      <c r="I2403" s="35"/>
      <c r="J2403" s="35"/>
      <c r="K2403" s="35"/>
      <c r="L2403" s="35"/>
      <c r="M2403" s="35"/>
      <c r="N2403" s="35"/>
      <c r="O2403" s="35"/>
      <c r="P2403" s="35"/>
      <c r="Q2403" s="35"/>
      <c r="R2403" s="35"/>
      <c r="S2403" s="35"/>
      <c r="T2403" s="35"/>
      <c r="U2403" s="35"/>
      <c r="V2403" s="35"/>
      <c r="W2403" s="35"/>
      <c r="X2403" s="35"/>
      <c r="Y2403" s="35"/>
      <c r="Z2403" s="35"/>
      <c r="AA2403" s="35"/>
      <c r="AB2403" s="35"/>
      <c r="AC2403" s="35"/>
      <c r="AD2403" s="35"/>
      <c r="AE2403" s="35"/>
      <c r="AF2403" s="35"/>
      <c r="AG2403" s="35"/>
      <c r="AH2403" s="35"/>
      <c r="AI2403" s="35"/>
      <c r="AJ2403" s="35"/>
      <c r="AK2403" s="35"/>
      <c r="AL2403" s="35"/>
      <c r="AM2403" s="35"/>
      <c r="AN2403" s="35"/>
      <c r="AO2403" s="35"/>
      <c r="AP2403" s="35"/>
      <c r="AQ2403" s="35"/>
      <c r="AR2403" s="35"/>
      <c r="AS2403" s="35"/>
      <c r="AT2403" s="35"/>
      <c r="AU2403" s="35"/>
      <c r="AV2403" s="35"/>
      <c r="AW2403" s="35"/>
    </row>
    <row r="2404" spans="1:49" s="26" customFormat="1" ht="15" x14ac:dyDescent="0.25">
      <c r="A2404" s="35"/>
      <c r="B2404" s="35"/>
      <c r="C2404" s="35"/>
      <c r="D2404" s="35"/>
      <c r="E2404" s="35"/>
      <c r="F2404" s="35"/>
      <c r="G2404" s="35"/>
      <c r="H2404" s="35"/>
      <c r="I2404" s="35"/>
      <c r="J2404" s="35"/>
      <c r="K2404" s="35"/>
      <c r="L2404" s="35"/>
      <c r="M2404" s="35"/>
      <c r="N2404" s="35"/>
      <c r="O2404" s="35"/>
      <c r="P2404" s="35"/>
      <c r="Q2404" s="35"/>
      <c r="R2404" s="35"/>
      <c r="S2404" s="35"/>
      <c r="T2404" s="35"/>
      <c r="U2404" s="35"/>
      <c r="V2404" s="35"/>
      <c r="W2404" s="35"/>
      <c r="X2404" s="35"/>
      <c r="Y2404" s="35"/>
      <c r="Z2404" s="35"/>
      <c r="AA2404" s="35"/>
      <c r="AB2404" s="35"/>
      <c r="AC2404" s="35"/>
      <c r="AD2404" s="35"/>
      <c r="AE2404" s="35"/>
      <c r="AF2404" s="35"/>
      <c r="AG2404" s="35"/>
      <c r="AH2404" s="35"/>
      <c r="AI2404" s="35"/>
      <c r="AJ2404" s="35"/>
      <c r="AK2404" s="35"/>
      <c r="AL2404" s="35"/>
      <c r="AM2404" s="35"/>
      <c r="AN2404" s="35"/>
      <c r="AO2404" s="35"/>
      <c r="AP2404" s="35"/>
      <c r="AQ2404" s="35"/>
      <c r="AR2404" s="35"/>
      <c r="AS2404" s="35"/>
      <c r="AT2404" s="35"/>
      <c r="AU2404" s="35"/>
      <c r="AV2404" s="35"/>
      <c r="AW2404" s="35"/>
    </row>
    <row r="2405" spans="1:49" s="26" customFormat="1" ht="15" x14ac:dyDescent="0.25">
      <c r="A2405" s="35"/>
      <c r="B2405" s="35"/>
      <c r="C2405" s="35"/>
      <c r="D2405" s="35"/>
      <c r="E2405" s="35"/>
      <c r="F2405" s="35"/>
      <c r="G2405" s="35"/>
      <c r="H2405" s="35"/>
      <c r="I2405" s="35"/>
      <c r="J2405" s="35"/>
      <c r="K2405" s="35"/>
      <c r="L2405" s="35"/>
      <c r="M2405" s="35"/>
      <c r="N2405" s="35"/>
      <c r="O2405" s="35"/>
      <c r="P2405" s="35"/>
      <c r="Q2405" s="35"/>
      <c r="R2405" s="35"/>
      <c r="S2405" s="35"/>
      <c r="T2405" s="35"/>
      <c r="U2405" s="35"/>
      <c r="V2405" s="35"/>
      <c r="W2405" s="35"/>
      <c r="X2405" s="35"/>
      <c r="Y2405" s="35"/>
      <c r="Z2405" s="35"/>
      <c r="AA2405" s="35"/>
      <c r="AB2405" s="35"/>
      <c r="AC2405" s="35"/>
      <c r="AD2405" s="35"/>
      <c r="AE2405" s="35"/>
      <c r="AF2405" s="35"/>
      <c r="AG2405" s="35"/>
      <c r="AH2405" s="35"/>
      <c r="AI2405" s="35"/>
      <c r="AJ2405" s="35"/>
      <c r="AK2405" s="35"/>
      <c r="AL2405" s="35"/>
      <c r="AM2405" s="35"/>
      <c r="AN2405" s="35"/>
      <c r="AO2405" s="35"/>
      <c r="AP2405" s="35"/>
      <c r="AQ2405" s="35"/>
      <c r="AR2405" s="35"/>
      <c r="AS2405" s="35"/>
      <c r="AT2405" s="35"/>
      <c r="AU2405" s="35"/>
      <c r="AV2405" s="35"/>
      <c r="AW2405" s="35"/>
    </row>
    <row r="2406" spans="1:49" s="26" customFormat="1" ht="15" x14ac:dyDescent="0.25">
      <c r="A2406" s="35"/>
      <c r="B2406" s="35"/>
      <c r="C2406" s="35"/>
      <c r="D2406" s="35"/>
      <c r="E2406" s="35"/>
      <c r="F2406" s="35"/>
      <c r="G2406" s="35"/>
      <c r="H2406" s="35"/>
      <c r="I2406" s="35"/>
      <c r="J2406" s="35"/>
      <c r="K2406" s="35"/>
      <c r="L2406" s="35"/>
      <c r="M2406" s="35"/>
      <c r="N2406" s="35"/>
      <c r="O2406" s="35"/>
      <c r="P2406" s="35"/>
      <c r="Q2406" s="35"/>
      <c r="R2406" s="35"/>
      <c r="S2406" s="35"/>
      <c r="T2406" s="35"/>
      <c r="U2406" s="35"/>
      <c r="V2406" s="35"/>
      <c r="W2406" s="35"/>
      <c r="X2406" s="35"/>
      <c r="Y2406" s="35"/>
      <c r="Z2406" s="35"/>
      <c r="AA2406" s="35"/>
      <c r="AB2406" s="35"/>
      <c r="AC2406" s="35"/>
      <c r="AD2406" s="35"/>
      <c r="AE2406" s="35"/>
      <c r="AF2406" s="35"/>
      <c r="AG2406" s="35"/>
      <c r="AH2406" s="35"/>
      <c r="AI2406" s="35"/>
      <c r="AJ2406" s="35"/>
      <c r="AK2406" s="35"/>
      <c r="AL2406" s="35"/>
      <c r="AM2406" s="35"/>
      <c r="AN2406" s="35"/>
      <c r="AO2406" s="35"/>
      <c r="AP2406" s="35"/>
      <c r="AQ2406" s="35"/>
      <c r="AR2406" s="35"/>
      <c r="AS2406" s="35"/>
      <c r="AT2406" s="35"/>
      <c r="AU2406" s="35"/>
      <c r="AV2406" s="35"/>
      <c r="AW2406" s="35"/>
    </row>
    <row r="2407" spans="1:49" s="26" customFormat="1" ht="15" x14ac:dyDescent="0.25">
      <c r="A2407" s="35"/>
      <c r="B2407" s="35"/>
      <c r="C2407" s="35"/>
      <c r="D2407" s="35"/>
      <c r="E2407" s="35"/>
      <c r="F2407" s="35"/>
      <c r="G2407" s="35"/>
      <c r="H2407" s="35"/>
      <c r="I2407" s="35"/>
      <c r="J2407" s="35"/>
      <c r="K2407" s="35"/>
      <c r="L2407" s="35"/>
      <c r="M2407" s="35"/>
      <c r="N2407" s="35"/>
      <c r="O2407" s="35"/>
      <c r="P2407" s="35"/>
      <c r="Q2407" s="35"/>
      <c r="R2407" s="35"/>
      <c r="S2407" s="35"/>
      <c r="T2407" s="35"/>
      <c r="U2407" s="35"/>
      <c r="V2407" s="35"/>
      <c r="W2407" s="35"/>
      <c r="X2407" s="35"/>
      <c r="Y2407" s="35"/>
      <c r="Z2407" s="35"/>
      <c r="AA2407" s="35"/>
      <c r="AB2407" s="35"/>
      <c r="AC2407" s="35"/>
      <c r="AD2407" s="35"/>
      <c r="AE2407" s="35"/>
      <c r="AF2407" s="35"/>
      <c r="AG2407" s="35"/>
      <c r="AH2407" s="35"/>
      <c r="AI2407" s="35"/>
      <c r="AJ2407" s="35"/>
      <c r="AK2407" s="35"/>
      <c r="AL2407" s="35"/>
      <c r="AM2407" s="35"/>
      <c r="AN2407" s="35"/>
      <c r="AO2407" s="35"/>
      <c r="AP2407" s="35"/>
      <c r="AQ2407" s="35"/>
      <c r="AR2407" s="35"/>
      <c r="AS2407" s="35"/>
      <c r="AT2407" s="35"/>
      <c r="AU2407" s="35"/>
      <c r="AV2407" s="35"/>
      <c r="AW2407" s="35"/>
    </row>
    <row r="2408" spans="1:49" s="26" customFormat="1" ht="15" x14ac:dyDescent="0.25">
      <c r="A2408" s="35"/>
      <c r="B2408" s="35"/>
      <c r="C2408" s="35"/>
      <c r="D2408" s="35"/>
      <c r="E2408" s="35"/>
      <c r="F2408" s="35"/>
      <c r="G2408" s="35"/>
      <c r="H2408" s="35"/>
      <c r="I2408" s="35"/>
      <c r="J2408" s="35"/>
      <c r="K2408" s="35"/>
      <c r="L2408" s="35"/>
      <c r="M2408" s="35"/>
      <c r="N2408" s="35"/>
      <c r="O2408" s="35"/>
      <c r="P2408" s="35"/>
      <c r="Q2408" s="35"/>
      <c r="R2408" s="35"/>
      <c r="S2408" s="35"/>
      <c r="T2408" s="35"/>
      <c r="U2408" s="35"/>
      <c r="V2408" s="35"/>
      <c r="W2408" s="35"/>
      <c r="X2408" s="35"/>
      <c r="Y2408" s="35"/>
      <c r="Z2408" s="35"/>
      <c r="AA2408" s="35"/>
      <c r="AB2408" s="35"/>
      <c r="AC2408" s="35"/>
      <c r="AD2408" s="35"/>
      <c r="AE2408" s="35"/>
      <c r="AF2408" s="35"/>
      <c r="AG2408" s="35"/>
      <c r="AH2408" s="35"/>
      <c r="AI2408" s="35"/>
      <c r="AJ2408" s="35"/>
      <c r="AK2408" s="35"/>
      <c r="AL2408" s="35"/>
      <c r="AM2408" s="35"/>
      <c r="AN2408" s="35"/>
      <c r="AO2408" s="35"/>
      <c r="AP2408" s="35"/>
      <c r="AQ2408" s="35"/>
      <c r="AR2408" s="35"/>
      <c r="AS2408" s="35"/>
      <c r="AT2408" s="35"/>
      <c r="AU2408" s="35"/>
      <c r="AV2408" s="35"/>
      <c r="AW2408" s="35"/>
    </row>
    <row r="2409" spans="1:49" s="26" customFormat="1" ht="15" x14ac:dyDescent="0.25">
      <c r="A2409" s="35"/>
      <c r="B2409" s="35"/>
      <c r="C2409" s="35"/>
      <c r="D2409" s="35"/>
      <c r="E2409" s="35"/>
      <c r="F2409" s="35"/>
      <c r="G2409" s="35"/>
      <c r="H2409" s="35"/>
      <c r="I2409" s="35"/>
      <c r="J2409" s="35"/>
      <c r="K2409" s="35"/>
      <c r="L2409" s="35"/>
      <c r="M2409" s="35"/>
      <c r="N2409" s="35"/>
      <c r="O2409" s="35"/>
      <c r="P2409" s="35"/>
      <c r="Q2409" s="35"/>
      <c r="R2409" s="35"/>
      <c r="S2409" s="35"/>
      <c r="T2409" s="35"/>
      <c r="U2409" s="35"/>
      <c r="V2409" s="35"/>
      <c r="W2409" s="35"/>
      <c r="X2409" s="35"/>
      <c r="Y2409" s="35"/>
      <c r="Z2409" s="35"/>
      <c r="AA2409" s="35"/>
      <c r="AB2409" s="35"/>
      <c r="AC2409" s="35"/>
      <c r="AD2409" s="35"/>
      <c r="AE2409" s="35"/>
      <c r="AF2409" s="35"/>
      <c r="AG2409" s="35"/>
      <c r="AH2409" s="35"/>
      <c r="AI2409" s="35"/>
      <c r="AJ2409" s="35"/>
      <c r="AK2409" s="35"/>
      <c r="AL2409" s="35"/>
      <c r="AM2409" s="35"/>
      <c r="AN2409" s="35"/>
      <c r="AO2409" s="35"/>
      <c r="AP2409" s="35"/>
      <c r="AQ2409" s="35"/>
      <c r="AR2409" s="35"/>
      <c r="AS2409" s="35"/>
      <c r="AT2409" s="35"/>
      <c r="AU2409" s="35"/>
      <c r="AV2409" s="35"/>
      <c r="AW2409" s="35"/>
    </row>
    <row r="2410" spans="1:49" s="26" customFormat="1" ht="15" x14ac:dyDescent="0.25">
      <c r="A2410" s="35"/>
      <c r="B2410" s="35"/>
      <c r="C2410" s="35"/>
      <c r="D2410" s="35"/>
      <c r="E2410" s="35"/>
      <c r="F2410" s="35"/>
      <c r="G2410" s="35"/>
      <c r="H2410" s="35"/>
      <c r="I2410" s="35"/>
      <c r="J2410" s="35"/>
      <c r="K2410" s="35"/>
      <c r="L2410" s="35"/>
      <c r="M2410" s="35"/>
      <c r="N2410" s="35"/>
      <c r="O2410" s="35"/>
      <c r="P2410" s="35"/>
      <c r="Q2410" s="35"/>
      <c r="R2410" s="35"/>
      <c r="S2410" s="35"/>
      <c r="T2410" s="35"/>
      <c r="U2410" s="35"/>
      <c r="V2410" s="35"/>
      <c r="W2410" s="35"/>
      <c r="X2410" s="35"/>
      <c r="Y2410" s="35"/>
      <c r="Z2410" s="35"/>
      <c r="AA2410" s="35"/>
      <c r="AB2410" s="35"/>
      <c r="AC2410" s="35"/>
      <c r="AD2410" s="35"/>
      <c r="AE2410" s="35"/>
      <c r="AF2410" s="35"/>
      <c r="AG2410" s="35"/>
      <c r="AH2410" s="35"/>
      <c r="AI2410" s="35"/>
      <c r="AJ2410" s="35"/>
      <c r="AK2410" s="35"/>
      <c r="AL2410" s="35"/>
      <c r="AM2410" s="35"/>
      <c r="AN2410" s="35"/>
      <c r="AO2410" s="35"/>
      <c r="AP2410" s="35"/>
      <c r="AQ2410" s="35"/>
      <c r="AR2410" s="35"/>
      <c r="AS2410" s="35"/>
      <c r="AT2410" s="35"/>
      <c r="AU2410" s="35"/>
      <c r="AV2410" s="35"/>
      <c r="AW2410" s="35"/>
    </row>
    <row r="2411" spans="1:49" s="26" customFormat="1" ht="15" x14ac:dyDescent="0.25">
      <c r="A2411" s="35"/>
      <c r="B2411" s="35"/>
      <c r="C2411" s="35"/>
      <c r="D2411" s="35"/>
      <c r="E2411" s="35"/>
      <c r="F2411" s="35"/>
      <c r="G2411" s="35"/>
      <c r="H2411" s="35"/>
      <c r="I2411" s="35"/>
      <c r="J2411" s="35"/>
      <c r="K2411" s="35"/>
      <c r="L2411" s="35"/>
      <c r="M2411" s="35"/>
      <c r="N2411" s="35"/>
      <c r="O2411" s="35"/>
      <c r="P2411" s="35"/>
      <c r="Q2411" s="35"/>
      <c r="R2411" s="35"/>
      <c r="S2411" s="35"/>
      <c r="T2411" s="35"/>
      <c r="U2411" s="35"/>
      <c r="V2411" s="35"/>
      <c r="W2411" s="35"/>
      <c r="X2411" s="35"/>
      <c r="Y2411" s="35"/>
      <c r="Z2411" s="35"/>
      <c r="AA2411" s="35"/>
      <c r="AB2411" s="35"/>
      <c r="AC2411" s="35"/>
      <c r="AD2411" s="35"/>
      <c r="AE2411" s="35"/>
      <c r="AF2411" s="35"/>
      <c r="AG2411" s="35"/>
      <c r="AH2411" s="35"/>
      <c r="AI2411" s="35"/>
      <c r="AJ2411" s="35"/>
      <c r="AK2411" s="35"/>
      <c r="AL2411" s="35"/>
      <c r="AM2411" s="35"/>
      <c r="AN2411" s="35"/>
      <c r="AO2411" s="35"/>
      <c r="AP2411" s="35"/>
      <c r="AQ2411" s="35"/>
      <c r="AR2411" s="35"/>
      <c r="AS2411" s="35"/>
      <c r="AT2411" s="35"/>
      <c r="AU2411" s="35"/>
      <c r="AV2411" s="35"/>
      <c r="AW2411" s="35"/>
    </row>
    <row r="2412" spans="1:49" s="26" customFormat="1" ht="15" x14ac:dyDescent="0.25">
      <c r="A2412" s="35"/>
      <c r="B2412" s="35"/>
      <c r="C2412" s="35"/>
      <c r="D2412" s="35"/>
      <c r="E2412" s="35"/>
      <c r="F2412" s="35"/>
      <c r="G2412" s="35"/>
      <c r="H2412" s="35"/>
      <c r="I2412" s="35"/>
      <c r="J2412" s="35"/>
      <c r="K2412" s="35"/>
      <c r="L2412" s="35"/>
      <c r="M2412" s="35"/>
      <c r="N2412" s="35"/>
      <c r="O2412" s="35"/>
      <c r="P2412" s="35"/>
      <c r="Q2412" s="35"/>
      <c r="R2412" s="35"/>
      <c r="S2412" s="35"/>
      <c r="T2412" s="35"/>
      <c r="U2412" s="35"/>
      <c r="V2412" s="35"/>
      <c r="W2412" s="35"/>
      <c r="X2412" s="35"/>
      <c r="Y2412" s="35"/>
      <c r="Z2412" s="35"/>
      <c r="AA2412" s="35"/>
      <c r="AB2412" s="35"/>
      <c r="AC2412" s="35"/>
      <c r="AD2412" s="35"/>
      <c r="AE2412" s="35"/>
      <c r="AF2412" s="35"/>
      <c r="AG2412" s="35"/>
      <c r="AH2412" s="35"/>
      <c r="AI2412" s="35"/>
      <c r="AJ2412" s="35"/>
      <c r="AK2412" s="35"/>
      <c r="AL2412" s="35"/>
      <c r="AM2412" s="35"/>
      <c r="AN2412" s="35"/>
      <c r="AO2412" s="35"/>
      <c r="AP2412" s="35"/>
      <c r="AQ2412" s="35"/>
      <c r="AR2412" s="35"/>
      <c r="AS2412" s="35"/>
      <c r="AT2412" s="35"/>
      <c r="AU2412" s="35"/>
      <c r="AV2412" s="35"/>
      <c r="AW2412" s="35"/>
    </row>
    <row r="2413" spans="1:49" s="26" customFormat="1" ht="15" x14ac:dyDescent="0.25">
      <c r="A2413" s="35"/>
      <c r="B2413" s="35"/>
      <c r="C2413" s="35"/>
      <c r="D2413" s="35"/>
      <c r="E2413" s="35"/>
      <c r="F2413" s="35"/>
      <c r="G2413" s="35"/>
      <c r="H2413" s="35"/>
      <c r="I2413" s="35"/>
      <c r="J2413" s="35"/>
      <c r="K2413" s="35"/>
      <c r="L2413" s="35"/>
      <c r="M2413" s="35"/>
      <c r="N2413" s="35"/>
      <c r="O2413" s="35"/>
      <c r="P2413" s="35"/>
      <c r="Q2413" s="35"/>
      <c r="R2413" s="35"/>
      <c r="S2413" s="35"/>
      <c r="T2413" s="35"/>
      <c r="U2413" s="35"/>
      <c r="V2413" s="35"/>
      <c r="W2413" s="35"/>
      <c r="X2413" s="35"/>
      <c r="Y2413" s="35"/>
      <c r="Z2413" s="35"/>
      <c r="AA2413" s="35"/>
      <c r="AB2413" s="35"/>
      <c r="AC2413" s="35"/>
      <c r="AD2413" s="35"/>
      <c r="AE2413" s="35"/>
      <c r="AF2413" s="35"/>
      <c r="AG2413" s="35"/>
      <c r="AH2413" s="35"/>
      <c r="AI2413" s="35"/>
      <c r="AJ2413" s="35"/>
      <c r="AK2413" s="35"/>
      <c r="AL2413" s="35"/>
      <c r="AM2413" s="35"/>
      <c r="AN2413" s="35"/>
      <c r="AO2413" s="35"/>
      <c r="AP2413" s="35"/>
      <c r="AQ2413" s="35"/>
      <c r="AR2413" s="35"/>
      <c r="AS2413" s="35"/>
      <c r="AT2413" s="35"/>
      <c r="AU2413" s="35"/>
      <c r="AV2413" s="35"/>
      <c r="AW2413" s="35"/>
    </row>
    <row r="2414" spans="1:49" s="26" customFormat="1" ht="15" x14ac:dyDescent="0.25">
      <c r="A2414" s="35"/>
      <c r="B2414" s="35"/>
      <c r="C2414" s="35"/>
      <c r="D2414" s="35"/>
      <c r="E2414" s="35"/>
      <c r="F2414" s="35"/>
      <c r="G2414" s="35"/>
      <c r="H2414" s="35"/>
      <c r="I2414" s="35"/>
      <c r="J2414" s="35"/>
      <c r="K2414" s="35"/>
      <c r="L2414" s="35"/>
      <c r="M2414" s="35"/>
      <c r="N2414" s="35"/>
      <c r="O2414" s="35"/>
      <c r="P2414" s="35"/>
      <c r="Q2414" s="35"/>
      <c r="R2414" s="35"/>
      <c r="S2414" s="35"/>
      <c r="T2414" s="35"/>
      <c r="U2414" s="35"/>
      <c r="V2414" s="35"/>
      <c r="W2414" s="35"/>
      <c r="X2414" s="35"/>
      <c r="Y2414" s="35"/>
      <c r="Z2414" s="35"/>
      <c r="AA2414" s="35"/>
      <c r="AB2414" s="35"/>
      <c r="AC2414" s="35"/>
      <c r="AD2414" s="35"/>
      <c r="AE2414" s="35"/>
      <c r="AF2414" s="35"/>
      <c r="AG2414" s="35"/>
      <c r="AH2414" s="35"/>
      <c r="AI2414" s="35"/>
      <c r="AJ2414" s="35"/>
      <c r="AK2414" s="35"/>
      <c r="AL2414" s="35"/>
      <c r="AM2414" s="35"/>
      <c r="AN2414" s="35"/>
      <c r="AO2414" s="35"/>
      <c r="AP2414" s="35"/>
      <c r="AQ2414" s="35"/>
      <c r="AR2414" s="35"/>
      <c r="AS2414" s="35"/>
      <c r="AT2414" s="35"/>
      <c r="AU2414" s="35"/>
      <c r="AV2414" s="35"/>
      <c r="AW2414" s="35"/>
    </row>
    <row r="2415" spans="1:49" s="26" customFormat="1" ht="15" x14ac:dyDescent="0.25">
      <c r="A2415" s="35"/>
      <c r="B2415" s="35"/>
      <c r="C2415" s="35"/>
      <c r="D2415" s="35"/>
      <c r="E2415" s="35"/>
      <c r="F2415" s="35"/>
      <c r="G2415" s="35"/>
      <c r="H2415" s="35"/>
      <c r="I2415" s="35"/>
      <c r="J2415" s="35"/>
      <c r="K2415" s="35"/>
      <c r="L2415" s="35"/>
      <c r="M2415" s="35"/>
      <c r="N2415" s="35"/>
      <c r="O2415" s="35"/>
      <c r="P2415" s="35"/>
      <c r="Q2415" s="35"/>
      <c r="R2415" s="35"/>
      <c r="S2415" s="35"/>
      <c r="T2415" s="35"/>
      <c r="U2415" s="35"/>
      <c r="V2415" s="35"/>
      <c r="W2415" s="35"/>
      <c r="X2415" s="35"/>
      <c r="Y2415" s="35"/>
      <c r="Z2415" s="35"/>
      <c r="AA2415" s="35"/>
      <c r="AB2415" s="35"/>
      <c r="AC2415" s="35"/>
      <c r="AD2415" s="35"/>
      <c r="AE2415" s="35"/>
      <c r="AF2415" s="35"/>
      <c r="AG2415" s="35"/>
      <c r="AH2415" s="35"/>
      <c r="AI2415" s="35"/>
      <c r="AJ2415" s="35"/>
      <c r="AK2415" s="35"/>
      <c r="AL2415" s="35"/>
      <c r="AM2415" s="35"/>
      <c r="AN2415" s="35"/>
      <c r="AO2415" s="35"/>
      <c r="AP2415" s="35"/>
      <c r="AQ2415" s="35"/>
      <c r="AR2415" s="35"/>
      <c r="AS2415" s="35"/>
      <c r="AT2415" s="35"/>
      <c r="AU2415" s="35"/>
      <c r="AV2415" s="35"/>
      <c r="AW2415" s="35"/>
    </row>
    <row r="2416" spans="1:49" s="26" customFormat="1" ht="15" x14ac:dyDescent="0.25">
      <c r="A2416" s="35"/>
      <c r="B2416" s="35"/>
      <c r="C2416" s="35"/>
      <c r="D2416" s="35"/>
      <c r="E2416" s="35"/>
      <c r="F2416" s="35"/>
      <c r="G2416" s="35"/>
      <c r="H2416" s="35"/>
      <c r="I2416" s="35"/>
      <c r="J2416" s="35"/>
      <c r="K2416" s="35"/>
      <c r="L2416" s="35"/>
      <c r="M2416" s="35"/>
      <c r="N2416" s="35"/>
      <c r="O2416" s="35"/>
      <c r="P2416" s="35"/>
      <c r="Q2416" s="35"/>
      <c r="R2416" s="35"/>
      <c r="S2416" s="35"/>
      <c r="T2416" s="35"/>
      <c r="U2416" s="35"/>
      <c r="V2416" s="35"/>
      <c r="W2416" s="35"/>
      <c r="X2416" s="35"/>
      <c r="Y2416" s="35"/>
      <c r="Z2416" s="35"/>
      <c r="AA2416" s="35"/>
      <c r="AB2416" s="35"/>
      <c r="AC2416" s="35"/>
      <c r="AD2416" s="35"/>
      <c r="AE2416" s="35"/>
      <c r="AF2416" s="35"/>
      <c r="AG2416" s="35"/>
      <c r="AH2416" s="35"/>
      <c r="AI2416" s="35"/>
      <c r="AJ2416" s="35"/>
      <c r="AK2416" s="35"/>
      <c r="AL2416" s="35"/>
      <c r="AM2416" s="35"/>
      <c r="AN2416" s="35"/>
      <c r="AO2416" s="35"/>
      <c r="AP2416" s="35"/>
      <c r="AQ2416" s="35"/>
      <c r="AR2416" s="35"/>
      <c r="AS2416" s="35"/>
      <c r="AT2416" s="35"/>
      <c r="AU2416" s="35"/>
      <c r="AV2416" s="35"/>
      <c r="AW2416" s="35"/>
    </row>
    <row r="2417" spans="1:49" s="26" customFormat="1" ht="15" x14ac:dyDescent="0.25">
      <c r="A2417" s="35"/>
      <c r="B2417" s="35"/>
      <c r="C2417" s="35"/>
      <c r="D2417" s="35"/>
      <c r="E2417" s="35"/>
      <c r="F2417" s="35"/>
      <c r="G2417" s="35"/>
      <c r="H2417" s="35"/>
      <c r="I2417" s="35"/>
      <c r="J2417" s="35"/>
      <c r="K2417" s="35"/>
      <c r="L2417" s="35"/>
      <c r="M2417" s="35"/>
      <c r="N2417" s="35"/>
      <c r="O2417" s="35"/>
      <c r="P2417" s="35"/>
      <c r="Q2417" s="35"/>
      <c r="R2417" s="35"/>
      <c r="S2417" s="35"/>
      <c r="T2417" s="35"/>
      <c r="U2417" s="35"/>
      <c r="V2417" s="35"/>
      <c r="W2417" s="35"/>
      <c r="X2417" s="35"/>
      <c r="Y2417" s="35"/>
      <c r="Z2417" s="35"/>
      <c r="AA2417" s="35"/>
      <c r="AB2417" s="35"/>
      <c r="AC2417" s="35"/>
      <c r="AD2417" s="35"/>
      <c r="AE2417" s="35"/>
      <c r="AF2417" s="35"/>
      <c r="AG2417" s="35"/>
      <c r="AH2417" s="35"/>
      <c r="AI2417" s="35"/>
      <c r="AJ2417" s="35"/>
      <c r="AK2417" s="35"/>
      <c r="AL2417" s="35"/>
      <c r="AM2417" s="35"/>
      <c r="AN2417" s="35"/>
      <c r="AO2417" s="35"/>
      <c r="AP2417" s="35"/>
      <c r="AQ2417" s="35"/>
      <c r="AR2417" s="35"/>
      <c r="AS2417" s="35"/>
      <c r="AT2417" s="35"/>
      <c r="AU2417" s="35"/>
      <c r="AV2417" s="35"/>
      <c r="AW2417" s="35"/>
    </row>
    <row r="2418" spans="1:49" s="26" customFormat="1" ht="15" x14ac:dyDescent="0.25">
      <c r="A2418" s="35"/>
      <c r="B2418" s="35"/>
      <c r="C2418" s="35"/>
      <c r="D2418" s="35"/>
      <c r="E2418" s="35"/>
      <c r="F2418" s="35"/>
      <c r="G2418" s="35"/>
      <c r="H2418" s="35"/>
      <c r="I2418" s="35"/>
      <c r="J2418" s="35"/>
      <c r="K2418" s="35"/>
      <c r="L2418" s="35"/>
      <c r="M2418" s="35"/>
      <c r="N2418" s="35"/>
      <c r="O2418" s="35"/>
      <c r="P2418" s="35"/>
      <c r="Q2418" s="35"/>
      <c r="R2418" s="35"/>
      <c r="S2418" s="35"/>
      <c r="T2418" s="35"/>
      <c r="U2418" s="35"/>
      <c r="V2418" s="35"/>
      <c r="W2418" s="35"/>
      <c r="X2418" s="35"/>
      <c r="Y2418" s="35"/>
      <c r="Z2418" s="35"/>
      <c r="AA2418" s="35"/>
      <c r="AB2418" s="35"/>
      <c r="AC2418" s="35"/>
      <c r="AD2418" s="35"/>
      <c r="AE2418" s="35"/>
      <c r="AF2418" s="35"/>
      <c r="AG2418" s="35"/>
      <c r="AH2418" s="35"/>
      <c r="AI2418" s="35"/>
      <c r="AJ2418" s="35"/>
      <c r="AK2418" s="35"/>
      <c r="AL2418" s="35"/>
      <c r="AM2418" s="35"/>
      <c r="AN2418" s="35"/>
      <c r="AO2418" s="35"/>
      <c r="AP2418" s="35"/>
      <c r="AQ2418" s="35"/>
      <c r="AR2418" s="35"/>
      <c r="AS2418" s="35"/>
      <c r="AT2418" s="35"/>
      <c r="AU2418" s="35"/>
      <c r="AV2418" s="35"/>
      <c r="AW2418" s="35"/>
    </row>
    <row r="2419" spans="1:49" s="26" customFormat="1" ht="15" x14ac:dyDescent="0.25">
      <c r="A2419" s="35"/>
      <c r="B2419" s="35"/>
      <c r="C2419" s="35"/>
      <c r="D2419" s="35"/>
      <c r="E2419" s="35"/>
      <c r="F2419" s="35"/>
      <c r="G2419" s="35"/>
      <c r="H2419" s="35"/>
      <c r="I2419" s="35"/>
      <c r="J2419" s="35"/>
      <c r="K2419" s="35"/>
      <c r="L2419" s="35"/>
      <c r="M2419" s="35"/>
      <c r="N2419" s="35"/>
      <c r="O2419" s="35"/>
      <c r="P2419" s="35"/>
      <c r="Q2419" s="35"/>
      <c r="R2419" s="35"/>
      <c r="S2419" s="35"/>
      <c r="T2419" s="35"/>
      <c r="U2419" s="35"/>
      <c r="V2419" s="35"/>
      <c r="W2419" s="35"/>
      <c r="X2419" s="35"/>
      <c r="Y2419" s="35"/>
      <c r="Z2419" s="35"/>
      <c r="AA2419" s="35"/>
      <c r="AB2419" s="35"/>
      <c r="AC2419" s="35"/>
      <c r="AD2419" s="35"/>
      <c r="AE2419" s="35"/>
      <c r="AF2419" s="35"/>
      <c r="AG2419" s="35"/>
      <c r="AH2419" s="35"/>
      <c r="AI2419" s="35"/>
      <c r="AJ2419" s="35"/>
      <c r="AK2419" s="35"/>
      <c r="AL2419" s="35"/>
      <c r="AM2419" s="35"/>
      <c r="AN2419" s="35"/>
      <c r="AO2419" s="35"/>
      <c r="AP2419" s="35"/>
      <c r="AQ2419" s="35"/>
      <c r="AR2419" s="35"/>
      <c r="AS2419" s="35"/>
      <c r="AT2419" s="35"/>
      <c r="AU2419" s="35"/>
      <c r="AV2419" s="35"/>
      <c r="AW2419" s="35"/>
    </row>
    <row r="2420" spans="1:49" s="26" customFormat="1" ht="15" x14ac:dyDescent="0.25">
      <c r="A2420" s="35"/>
      <c r="B2420" s="35"/>
      <c r="C2420" s="35"/>
      <c r="D2420" s="35"/>
      <c r="E2420" s="35"/>
      <c r="F2420" s="35"/>
      <c r="G2420" s="35"/>
      <c r="H2420" s="35"/>
      <c r="I2420" s="35"/>
      <c r="J2420" s="35"/>
      <c r="K2420" s="35"/>
      <c r="L2420" s="35"/>
      <c r="M2420" s="35"/>
      <c r="N2420" s="35"/>
      <c r="O2420" s="35"/>
      <c r="P2420" s="35"/>
      <c r="Q2420" s="35"/>
      <c r="R2420" s="35"/>
      <c r="S2420" s="35"/>
      <c r="T2420" s="35"/>
      <c r="U2420" s="35"/>
      <c r="V2420" s="35"/>
      <c r="W2420" s="35"/>
      <c r="X2420" s="35"/>
      <c r="Y2420" s="35"/>
      <c r="Z2420" s="35"/>
      <c r="AA2420" s="35"/>
      <c r="AB2420" s="35"/>
      <c r="AC2420" s="35"/>
      <c r="AD2420" s="35"/>
      <c r="AE2420" s="35"/>
      <c r="AF2420" s="35"/>
      <c r="AG2420" s="35"/>
      <c r="AH2420" s="35"/>
      <c r="AI2420" s="35"/>
      <c r="AJ2420" s="35"/>
      <c r="AK2420" s="35"/>
      <c r="AL2420" s="35"/>
      <c r="AM2420" s="35"/>
      <c r="AN2420" s="35"/>
      <c r="AO2420" s="35"/>
      <c r="AP2420" s="35"/>
      <c r="AQ2420" s="35"/>
      <c r="AR2420" s="35"/>
      <c r="AS2420" s="35"/>
      <c r="AT2420" s="35"/>
      <c r="AU2420" s="35"/>
      <c r="AV2420" s="35"/>
      <c r="AW2420" s="35"/>
    </row>
    <row r="2421" spans="1:49" s="26" customFormat="1" ht="15" x14ac:dyDescent="0.25">
      <c r="A2421" s="35"/>
      <c r="B2421" s="35"/>
      <c r="C2421" s="35"/>
      <c r="D2421" s="35"/>
      <c r="E2421" s="35"/>
      <c r="F2421" s="35"/>
      <c r="G2421" s="35"/>
      <c r="H2421" s="35"/>
      <c r="I2421" s="35"/>
      <c r="J2421" s="35"/>
      <c r="K2421" s="35"/>
      <c r="L2421" s="35"/>
      <c r="M2421" s="35"/>
      <c r="N2421" s="35"/>
      <c r="O2421" s="35"/>
      <c r="P2421" s="35"/>
      <c r="Q2421" s="35"/>
      <c r="R2421" s="35"/>
      <c r="S2421" s="35"/>
      <c r="T2421" s="35"/>
      <c r="U2421" s="35"/>
      <c r="V2421" s="35"/>
      <c r="W2421" s="35"/>
      <c r="X2421" s="35"/>
      <c r="Y2421" s="35"/>
      <c r="Z2421" s="35"/>
      <c r="AA2421" s="35"/>
      <c r="AB2421" s="35"/>
      <c r="AC2421" s="35"/>
      <c r="AD2421" s="35"/>
      <c r="AE2421" s="35"/>
      <c r="AF2421" s="35"/>
      <c r="AG2421" s="35"/>
      <c r="AH2421" s="35"/>
      <c r="AI2421" s="35"/>
      <c r="AJ2421" s="35"/>
      <c r="AK2421" s="35"/>
      <c r="AL2421" s="35"/>
      <c r="AM2421" s="35"/>
      <c r="AN2421" s="35"/>
      <c r="AO2421" s="35"/>
      <c r="AP2421" s="35"/>
      <c r="AQ2421" s="35"/>
      <c r="AR2421" s="35"/>
      <c r="AS2421" s="35"/>
      <c r="AT2421" s="35"/>
      <c r="AU2421" s="35"/>
      <c r="AV2421" s="35"/>
      <c r="AW2421" s="35"/>
    </row>
    <row r="2422" spans="1:49" s="26" customFormat="1" ht="15" x14ac:dyDescent="0.25">
      <c r="A2422" s="35"/>
      <c r="B2422" s="35"/>
      <c r="C2422" s="35"/>
      <c r="D2422" s="35"/>
      <c r="E2422" s="35"/>
      <c r="F2422" s="35"/>
      <c r="G2422" s="35"/>
      <c r="H2422" s="35"/>
      <c r="I2422" s="35"/>
      <c r="J2422" s="35"/>
      <c r="K2422" s="35"/>
      <c r="L2422" s="35"/>
      <c r="M2422" s="35"/>
      <c r="N2422" s="35"/>
      <c r="O2422" s="35"/>
      <c r="P2422" s="35"/>
      <c r="Q2422" s="35"/>
      <c r="R2422" s="35"/>
      <c r="S2422" s="35"/>
      <c r="T2422" s="35"/>
      <c r="U2422" s="35"/>
      <c r="V2422" s="35"/>
      <c r="W2422" s="35"/>
      <c r="X2422" s="35"/>
      <c r="Y2422" s="35"/>
      <c r="Z2422" s="35"/>
      <c r="AA2422" s="35"/>
      <c r="AB2422" s="35"/>
      <c r="AC2422" s="35"/>
      <c r="AD2422" s="35"/>
      <c r="AE2422" s="35"/>
      <c r="AF2422" s="35"/>
      <c r="AG2422" s="35"/>
      <c r="AH2422" s="35"/>
      <c r="AI2422" s="35"/>
      <c r="AJ2422" s="35"/>
      <c r="AK2422" s="35"/>
      <c r="AL2422" s="35"/>
      <c r="AM2422" s="35"/>
      <c r="AN2422" s="35"/>
      <c r="AO2422" s="35"/>
      <c r="AP2422" s="35"/>
      <c r="AQ2422" s="35"/>
      <c r="AR2422" s="35"/>
      <c r="AS2422" s="35"/>
      <c r="AT2422" s="35"/>
      <c r="AU2422" s="35"/>
      <c r="AV2422" s="35"/>
      <c r="AW2422" s="35"/>
    </row>
    <row r="2423" spans="1:49" s="26" customFormat="1" ht="15" x14ac:dyDescent="0.25">
      <c r="A2423" s="35"/>
      <c r="B2423" s="35"/>
      <c r="C2423" s="35"/>
      <c r="D2423" s="35"/>
      <c r="E2423" s="35"/>
      <c r="F2423" s="35"/>
      <c r="G2423" s="35"/>
      <c r="H2423" s="35"/>
      <c r="I2423" s="35"/>
      <c r="J2423" s="35"/>
      <c r="K2423" s="35"/>
      <c r="L2423" s="35"/>
      <c r="M2423" s="35"/>
      <c r="N2423" s="35"/>
      <c r="O2423" s="35"/>
      <c r="P2423" s="35"/>
      <c r="Q2423" s="35"/>
      <c r="R2423" s="35"/>
      <c r="S2423" s="35"/>
      <c r="T2423" s="35"/>
      <c r="U2423" s="35"/>
      <c r="V2423" s="35"/>
      <c r="W2423" s="35"/>
      <c r="X2423" s="35"/>
      <c r="Y2423" s="35"/>
      <c r="Z2423" s="35"/>
      <c r="AA2423" s="35"/>
      <c r="AB2423" s="35"/>
      <c r="AC2423" s="35"/>
      <c r="AD2423" s="35"/>
      <c r="AE2423" s="35"/>
      <c r="AF2423" s="35"/>
      <c r="AG2423" s="35"/>
      <c r="AH2423" s="35"/>
      <c r="AI2423" s="35"/>
      <c r="AJ2423" s="35"/>
      <c r="AK2423" s="35"/>
      <c r="AL2423" s="35"/>
      <c r="AM2423" s="35"/>
      <c r="AN2423" s="35"/>
      <c r="AO2423" s="35"/>
      <c r="AP2423" s="35"/>
      <c r="AQ2423" s="35"/>
      <c r="AR2423" s="35"/>
      <c r="AS2423" s="35"/>
      <c r="AT2423" s="35"/>
      <c r="AU2423" s="35"/>
      <c r="AV2423" s="35"/>
      <c r="AW2423" s="35"/>
    </row>
    <row r="2424" spans="1:49" s="26" customFormat="1" ht="15" x14ac:dyDescent="0.25">
      <c r="A2424" s="35"/>
      <c r="B2424" s="35"/>
      <c r="C2424" s="35"/>
      <c r="D2424" s="35"/>
      <c r="E2424" s="35"/>
      <c r="F2424" s="35"/>
      <c r="G2424" s="35"/>
      <c r="H2424" s="35"/>
      <c r="I2424" s="35"/>
      <c r="J2424" s="35"/>
      <c r="K2424" s="35"/>
      <c r="L2424" s="35"/>
      <c r="M2424" s="35"/>
      <c r="N2424" s="35"/>
      <c r="O2424" s="35"/>
      <c r="P2424" s="35"/>
      <c r="Q2424" s="35"/>
      <c r="R2424" s="35"/>
      <c r="S2424" s="35"/>
      <c r="T2424" s="35"/>
      <c r="U2424" s="35"/>
      <c r="V2424" s="35"/>
      <c r="W2424" s="35"/>
      <c r="X2424" s="35"/>
      <c r="Y2424" s="35"/>
      <c r="Z2424" s="35"/>
      <c r="AA2424" s="35"/>
      <c r="AB2424" s="35"/>
      <c r="AC2424" s="35"/>
      <c r="AD2424" s="35"/>
      <c r="AE2424" s="35"/>
      <c r="AF2424" s="35"/>
      <c r="AG2424" s="35"/>
      <c r="AH2424" s="35"/>
      <c r="AI2424" s="35"/>
      <c r="AJ2424" s="35"/>
      <c r="AK2424" s="35"/>
      <c r="AL2424" s="35"/>
      <c r="AM2424" s="35"/>
      <c r="AN2424" s="35"/>
      <c r="AO2424" s="35"/>
      <c r="AP2424" s="35"/>
      <c r="AQ2424" s="35"/>
      <c r="AR2424" s="35"/>
      <c r="AS2424" s="35"/>
      <c r="AT2424" s="35"/>
      <c r="AU2424" s="35"/>
      <c r="AV2424" s="35"/>
      <c r="AW2424" s="35"/>
    </row>
    <row r="2425" spans="1:49" s="26" customFormat="1" ht="15" x14ac:dyDescent="0.25">
      <c r="A2425" s="35"/>
      <c r="B2425" s="35"/>
      <c r="C2425" s="35"/>
      <c r="D2425" s="35"/>
      <c r="E2425" s="35"/>
      <c r="F2425" s="35"/>
      <c r="G2425" s="35"/>
      <c r="H2425" s="35"/>
      <c r="I2425" s="35"/>
      <c r="J2425" s="35"/>
      <c r="K2425" s="35"/>
      <c r="L2425" s="35"/>
      <c r="M2425" s="35"/>
      <c r="N2425" s="35"/>
      <c r="O2425" s="35"/>
      <c r="P2425" s="35"/>
      <c r="Q2425" s="35"/>
      <c r="R2425" s="35"/>
      <c r="S2425" s="35"/>
      <c r="T2425" s="35"/>
      <c r="U2425" s="35"/>
      <c r="V2425" s="35"/>
      <c r="W2425" s="35"/>
      <c r="X2425" s="35"/>
      <c r="Y2425" s="35"/>
      <c r="Z2425" s="35"/>
      <c r="AA2425" s="35"/>
      <c r="AB2425" s="35"/>
      <c r="AC2425" s="35"/>
      <c r="AD2425" s="35"/>
      <c r="AE2425" s="35"/>
      <c r="AF2425" s="35"/>
      <c r="AG2425" s="35"/>
      <c r="AH2425" s="35"/>
      <c r="AI2425" s="35"/>
      <c r="AJ2425" s="35"/>
      <c r="AK2425" s="35"/>
      <c r="AL2425" s="35"/>
      <c r="AM2425" s="35"/>
      <c r="AN2425" s="35"/>
      <c r="AO2425" s="35"/>
      <c r="AP2425" s="35"/>
      <c r="AQ2425" s="35"/>
      <c r="AR2425" s="35"/>
      <c r="AS2425" s="35"/>
      <c r="AT2425" s="35"/>
      <c r="AU2425" s="35"/>
      <c r="AV2425" s="35"/>
      <c r="AW2425" s="35"/>
    </row>
    <row r="2426" spans="1:49" s="26" customFormat="1" ht="15" x14ac:dyDescent="0.25">
      <c r="A2426" s="35"/>
      <c r="B2426" s="35"/>
      <c r="C2426" s="35"/>
      <c r="D2426" s="35"/>
      <c r="E2426" s="35"/>
      <c r="F2426" s="35"/>
      <c r="G2426" s="35"/>
      <c r="H2426" s="35"/>
      <c r="I2426" s="35"/>
      <c r="J2426" s="35"/>
      <c r="K2426" s="35"/>
      <c r="L2426" s="35"/>
      <c r="M2426" s="35"/>
      <c r="N2426" s="35"/>
      <c r="O2426" s="35"/>
      <c r="P2426" s="35"/>
      <c r="Q2426" s="35"/>
      <c r="R2426" s="35"/>
      <c r="S2426" s="35"/>
      <c r="T2426" s="35"/>
      <c r="U2426" s="35"/>
      <c r="V2426" s="35"/>
      <c r="W2426" s="35"/>
      <c r="X2426" s="35"/>
      <c r="Y2426" s="35"/>
      <c r="Z2426" s="35"/>
      <c r="AA2426" s="35"/>
      <c r="AB2426" s="35"/>
      <c r="AC2426" s="35"/>
      <c r="AD2426" s="35"/>
      <c r="AE2426" s="35"/>
      <c r="AF2426" s="35"/>
      <c r="AG2426" s="35"/>
      <c r="AH2426" s="35"/>
      <c r="AI2426" s="35"/>
      <c r="AJ2426" s="35"/>
      <c r="AK2426" s="35"/>
      <c r="AL2426" s="35"/>
      <c r="AM2426" s="35"/>
      <c r="AN2426" s="35"/>
      <c r="AO2426" s="35"/>
      <c r="AP2426" s="35"/>
      <c r="AQ2426" s="35"/>
      <c r="AR2426" s="35"/>
      <c r="AS2426" s="35"/>
      <c r="AT2426" s="35"/>
      <c r="AU2426" s="35"/>
      <c r="AV2426" s="35"/>
      <c r="AW2426" s="35"/>
    </row>
    <row r="2427" spans="1:49" s="26" customFormat="1" ht="15" x14ac:dyDescent="0.25">
      <c r="A2427" s="35"/>
      <c r="B2427" s="35"/>
      <c r="C2427" s="35"/>
      <c r="D2427" s="35"/>
      <c r="E2427" s="35"/>
      <c r="F2427" s="35"/>
      <c r="G2427" s="35"/>
      <c r="H2427" s="35"/>
      <c r="I2427" s="35"/>
      <c r="J2427" s="35"/>
      <c r="K2427" s="35"/>
      <c r="L2427" s="35"/>
      <c r="M2427" s="35"/>
      <c r="N2427" s="35"/>
      <c r="O2427" s="35"/>
      <c r="P2427" s="35"/>
      <c r="Q2427" s="35"/>
      <c r="R2427" s="35"/>
      <c r="S2427" s="35"/>
      <c r="T2427" s="35"/>
      <c r="U2427" s="35"/>
      <c r="V2427" s="35"/>
      <c r="W2427" s="35"/>
      <c r="X2427" s="35"/>
      <c r="Y2427" s="35"/>
      <c r="Z2427" s="35"/>
      <c r="AA2427" s="35"/>
      <c r="AB2427" s="35"/>
      <c r="AC2427" s="35"/>
      <c r="AD2427" s="35"/>
      <c r="AE2427" s="35"/>
      <c r="AF2427" s="35"/>
      <c r="AG2427" s="35"/>
      <c r="AH2427" s="35"/>
      <c r="AI2427" s="35"/>
      <c r="AJ2427" s="35"/>
      <c r="AK2427" s="35"/>
      <c r="AL2427" s="35"/>
      <c r="AM2427" s="35"/>
      <c r="AN2427" s="35"/>
      <c r="AO2427" s="35"/>
      <c r="AP2427" s="35"/>
      <c r="AQ2427" s="35"/>
      <c r="AR2427" s="35"/>
      <c r="AS2427" s="35"/>
      <c r="AT2427" s="35"/>
      <c r="AU2427" s="35"/>
      <c r="AV2427" s="35"/>
      <c r="AW2427" s="35"/>
    </row>
    <row r="2428" spans="1:49" s="26" customFormat="1" ht="15" x14ac:dyDescent="0.25">
      <c r="A2428" s="35"/>
      <c r="B2428" s="35"/>
      <c r="C2428" s="35"/>
      <c r="D2428" s="35"/>
      <c r="E2428" s="35"/>
      <c r="F2428" s="35"/>
      <c r="G2428" s="35"/>
      <c r="H2428" s="35"/>
      <c r="I2428" s="35"/>
      <c r="J2428" s="35"/>
      <c r="K2428" s="35"/>
      <c r="L2428" s="35"/>
      <c r="M2428" s="35"/>
      <c r="N2428" s="35"/>
      <c r="O2428" s="35"/>
      <c r="P2428" s="35"/>
      <c r="Q2428" s="35"/>
      <c r="R2428" s="35"/>
      <c r="S2428" s="35"/>
      <c r="T2428" s="35"/>
      <c r="U2428" s="35"/>
      <c r="V2428" s="35"/>
      <c r="W2428" s="35"/>
      <c r="X2428" s="35"/>
      <c r="Y2428" s="35"/>
      <c r="Z2428" s="35"/>
      <c r="AA2428" s="35"/>
      <c r="AB2428" s="35"/>
      <c r="AC2428" s="35"/>
      <c r="AD2428" s="35"/>
      <c r="AE2428" s="35"/>
      <c r="AF2428" s="35"/>
      <c r="AG2428" s="35"/>
      <c r="AH2428" s="35"/>
      <c r="AI2428" s="35"/>
      <c r="AJ2428" s="35"/>
      <c r="AK2428" s="35"/>
      <c r="AL2428" s="35"/>
      <c r="AM2428" s="35"/>
      <c r="AN2428" s="35"/>
      <c r="AO2428" s="35"/>
      <c r="AP2428" s="35"/>
      <c r="AQ2428" s="35"/>
      <c r="AR2428" s="35"/>
      <c r="AS2428" s="35"/>
      <c r="AT2428" s="35"/>
      <c r="AU2428" s="35"/>
      <c r="AV2428" s="35"/>
      <c r="AW2428" s="35"/>
    </row>
    <row r="2429" spans="1:49" s="26" customFormat="1" ht="15" x14ac:dyDescent="0.25">
      <c r="A2429" s="35"/>
      <c r="B2429" s="35"/>
      <c r="C2429" s="35"/>
      <c r="D2429" s="35"/>
      <c r="E2429" s="35"/>
      <c r="F2429" s="35"/>
      <c r="G2429" s="35"/>
      <c r="H2429" s="35"/>
      <c r="I2429" s="35"/>
      <c r="J2429" s="35"/>
      <c r="K2429" s="35"/>
      <c r="L2429" s="35"/>
      <c r="M2429" s="35"/>
      <c r="N2429" s="35"/>
      <c r="O2429" s="35"/>
      <c r="P2429" s="35"/>
      <c r="Q2429" s="35"/>
      <c r="R2429" s="35"/>
      <c r="S2429" s="35"/>
      <c r="T2429" s="35"/>
      <c r="U2429" s="35"/>
      <c r="V2429" s="35"/>
      <c r="W2429" s="35"/>
      <c r="X2429" s="35"/>
      <c r="Y2429" s="35"/>
      <c r="Z2429" s="35"/>
      <c r="AA2429" s="35"/>
      <c r="AB2429" s="35"/>
      <c r="AC2429" s="35"/>
      <c r="AD2429" s="35"/>
      <c r="AE2429" s="35"/>
      <c r="AF2429" s="35"/>
      <c r="AG2429" s="35"/>
      <c r="AH2429" s="35"/>
      <c r="AI2429" s="35"/>
      <c r="AJ2429" s="35"/>
      <c r="AK2429" s="35"/>
      <c r="AL2429" s="35"/>
      <c r="AM2429" s="35"/>
      <c r="AN2429" s="35"/>
      <c r="AO2429" s="35"/>
      <c r="AP2429" s="35"/>
      <c r="AQ2429" s="35"/>
      <c r="AR2429" s="35"/>
      <c r="AS2429" s="35"/>
      <c r="AT2429" s="35"/>
      <c r="AU2429" s="35"/>
      <c r="AV2429" s="35"/>
      <c r="AW2429" s="35"/>
    </row>
    <row r="2430" spans="1:49" s="26" customFormat="1" ht="15" x14ac:dyDescent="0.25">
      <c r="A2430" s="35"/>
      <c r="B2430" s="35"/>
      <c r="C2430" s="35"/>
      <c r="D2430" s="35"/>
      <c r="E2430" s="35"/>
      <c r="F2430" s="35"/>
      <c r="G2430" s="35"/>
      <c r="H2430" s="35"/>
      <c r="I2430" s="35"/>
      <c r="J2430" s="35"/>
      <c r="K2430" s="35"/>
      <c r="L2430" s="35"/>
      <c r="M2430" s="35"/>
      <c r="N2430" s="35"/>
      <c r="O2430" s="35"/>
      <c r="P2430" s="35"/>
      <c r="Q2430" s="35"/>
      <c r="R2430" s="35"/>
      <c r="S2430" s="35"/>
      <c r="T2430" s="35"/>
      <c r="U2430" s="35"/>
      <c r="V2430" s="35"/>
      <c r="W2430" s="35"/>
      <c r="X2430" s="35"/>
      <c r="Y2430" s="35"/>
      <c r="Z2430" s="35"/>
      <c r="AA2430" s="35"/>
      <c r="AB2430" s="35"/>
      <c r="AC2430" s="35"/>
      <c r="AD2430" s="35"/>
      <c r="AE2430" s="35"/>
      <c r="AF2430" s="35"/>
      <c r="AG2430" s="35"/>
      <c r="AH2430" s="35"/>
      <c r="AI2430" s="35"/>
      <c r="AJ2430" s="35"/>
      <c r="AK2430" s="35"/>
      <c r="AL2430" s="35"/>
      <c r="AM2430" s="35"/>
      <c r="AN2430" s="35"/>
      <c r="AO2430" s="35"/>
      <c r="AP2430" s="35"/>
      <c r="AQ2430" s="35"/>
      <c r="AR2430" s="35"/>
      <c r="AS2430" s="35"/>
      <c r="AT2430" s="35"/>
      <c r="AU2430" s="35"/>
      <c r="AV2430" s="35"/>
      <c r="AW2430" s="35"/>
    </row>
    <row r="2431" spans="1:49" s="26" customFormat="1" ht="15" x14ac:dyDescent="0.25">
      <c r="A2431" s="35"/>
      <c r="B2431" s="35"/>
      <c r="C2431" s="35"/>
      <c r="D2431" s="35"/>
      <c r="E2431" s="35"/>
      <c r="F2431" s="35"/>
      <c r="G2431" s="35"/>
      <c r="H2431" s="35"/>
      <c r="I2431" s="35"/>
      <c r="J2431" s="35"/>
      <c r="K2431" s="35"/>
      <c r="L2431" s="35"/>
      <c r="M2431" s="35"/>
      <c r="N2431" s="35"/>
      <c r="O2431" s="35"/>
      <c r="P2431" s="35"/>
      <c r="Q2431" s="35"/>
      <c r="R2431" s="35"/>
      <c r="S2431" s="35"/>
      <c r="T2431" s="35"/>
      <c r="U2431" s="35"/>
      <c r="V2431" s="35"/>
      <c r="W2431" s="35"/>
      <c r="X2431" s="35"/>
      <c r="Y2431" s="35"/>
      <c r="Z2431" s="35"/>
      <c r="AA2431" s="35"/>
      <c r="AB2431" s="35"/>
      <c r="AC2431" s="35"/>
      <c r="AD2431" s="35"/>
      <c r="AE2431" s="35"/>
      <c r="AF2431" s="35"/>
      <c r="AG2431" s="35"/>
      <c r="AH2431" s="35"/>
      <c r="AI2431" s="35"/>
      <c r="AJ2431" s="35"/>
      <c r="AK2431" s="35"/>
      <c r="AL2431" s="35"/>
      <c r="AM2431" s="35"/>
      <c r="AN2431" s="35"/>
      <c r="AO2431" s="35"/>
      <c r="AP2431" s="35"/>
      <c r="AQ2431" s="35"/>
      <c r="AR2431" s="35"/>
      <c r="AS2431" s="35"/>
      <c r="AT2431" s="35"/>
      <c r="AU2431" s="35"/>
      <c r="AV2431" s="35"/>
      <c r="AW2431" s="35"/>
    </row>
    <row r="2432" spans="1:49" s="26" customFormat="1" ht="15" x14ac:dyDescent="0.25">
      <c r="A2432" s="35"/>
      <c r="B2432" s="35"/>
      <c r="C2432" s="35"/>
      <c r="D2432" s="35"/>
      <c r="E2432" s="35"/>
      <c r="F2432" s="35"/>
      <c r="G2432" s="35"/>
      <c r="H2432" s="35"/>
      <c r="I2432" s="35"/>
      <c r="J2432" s="35"/>
      <c r="K2432" s="35"/>
      <c r="L2432" s="35"/>
      <c r="M2432" s="35"/>
      <c r="N2432" s="35"/>
      <c r="O2432" s="35"/>
      <c r="P2432" s="35"/>
      <c r="Q2432" s="35"/>
      <c r="R2432" s="35"/>
      <c r="S2432" s="35"/>
      <c r="T2432" s="35"/>
      <c r="U2432" s="35"/>
      <c r="V2432" s="35"/>
      <c r="W2432" s="35"/>
      <c r="X2432" s="35"/>
      <c r="Y2432" s="35"/>
      <c r="Z2432" s="35"/>
      <c r="AA2432" s="35"/>
      <c r="AB2432" s="35"/>
      <c r="AC2432" s="35"/>
      <c r="AD2432" s="35"/>
      <c r="AE2432" s="35"/>
      <c r="AF2432" s="35"/>
      <c r="AG2432" s="35"/>
      <c r="AH2432" s="35"/>
      <c r="AI2432" s="35"/>
      <c r="AJ2432" s="35"/>
      <c r="AK2432" s="35"/>
      <c r="AL2432" s="35"/>
      <c r="AM2432" s="35"/>
      <c r="AN2432" s="35"/>
      <c r="AO2432" s="35"/>
      <c r="AP2432" s="35"/>
      <c r="AQ2432" s="35"/>
      <c r="AR2432" s="35"/>
      <c r="AS2432" s="35"/>
      <c r="AT2432" s="35"/>
      <c r="AU2432" s="35"/>
      <c r="AV2432" s="35"/>
      <c r="AW2432" s="35"/>
    </row>
    <row r="2433" spans="1:49" s="26" customFormat="1" ht="15" x14ac:dyDescent="0.25">
      <c r="A2433" s="35"/>
      <c r="B2433" s="35"/>
      <c r="C2433" s="35"/>
      <c r="D2433" s="35"/>
      <c r="E2433" s="35"/>
      <c r="F2433" s="35"/>
      <c r="G2433" s="35"/>
      <c r="H2433" s="35"/>
      <c r="I2433" s="35"/>
      <c r="J2433" s="35"/>
      <c r="K2433" s="35"/>
      <c r="L2433" s="35"/>
      <c r="M2433" s="35"/>
      <c r="N2433" s="35"/>
      <c r="O2433" s="35"/>
      <c r="P2433" s="35"/>
      <c r="Q2433" s="35"/>
      <c r="R2433" s="35"/>
      <c r="S2433" s="35"/>
      <c r="T2433" s="35"/>
      <c r="U2433" s="35"/>
      <c r="V2433" s="35"/>
      <c r="W2433" s="35"/>
      <c r="X2433" s="35"/>
      <c r="Y2433" s="35"/>
      <c r="Z2433" s="35"/>
      <c r="AA2433" s="35"/>
      <c r="AB2433" s="35"/>
      <c r="AC2433" s="35"/>
      <c r="AD2433" s="35"/>
      <c r="AE2433" s="35"/>
      <c r="AF2433" s="35"/>
      <c r="AG2433" s="35"/>
      <c r="AH2433" s="35"/>
      <c r="AI2433" s="35"/>
      <c r="AJ2433" s="35"/>
      <c r="AK2433" s="35"/>
      <c r="AL2433" s="35"/>
      <c r="AM2433" s="35"/>
      <c r="AN2433" s="35"/>
      <c r="AO2433" s="35"/>
      <c r="AP2433" s="35"/>
      <c r="AQ2433" s="35"/>
      <c r="AR2433" s="35"/>
      <c r="AS2433" s="35"/>
      <c r="AT2433" s="35"/>
      <c r="AU2433" s="35"/>
      <c r="AV2433" s="35"/>
      <c r="AW2433" s="35"/>
    </row>
    <row r="2434" spans="1:49" s="26" customFormat="1" ht="15" x14ac:dyDescent="0.25">
      <c r="A2434" s="35"/>
      <c r="B2434" s="35"/>
      <c r="C2434" s="35"/>
      <c r="D2434" s="35"/>
      <c r="E2434" s="35"/>
      <c r="F2434" s="35"/>
      <c r="G2434" s="35"/>
      <c r="H2434" s="35"/>
      <c r="I2434" s="35"/>
      <c r="J2434" s="35"/>
      <c r="K2434" s="35"/>
      <c r="L2434" s="35"/>
      <c r="M2434" s="35"/>
      <c r="N2434" s="35"/>
      <c r="O2434" s="35"/>
      <c r="P2434" s="35"/>
      <c r="Q2434" s="35"/>
      <c r="R2434" s="35"/>
      <c r="S2434" s="35"/>
      <c r="T2434" s="35"/>
      <c r="U2434" s="35"/>
      <c r="V2434" s="35"/>
      <c r="W2434" s="35"/>
      <c r="X2434" s="35"/>
      <c r="Y2434" s="35"/>
      <c r="Z2434" s="35"/>
      <c r="AA2434" s="35"/>
      <c r="AB2434" s="35"/>
      <c r="AC2434" s="35"/>
      <c r="AD2434" s="35"/>
      <c r="AE2434" s="35"/>
      <c r="AF2434" s="35"/>
      <c r="AG2434" s="35"/>
      <c r="AH2434" s="35"/>
      <c r="AI2434" s="35"/>
      <c r="AJ2434" s="35"/>
      <c r="AK2434" s="35"/>
      <c r="AL2434" s="35"/>
      <c r="AM2434" s="35"/>
      <c r="AN2434" s="35"/>
      <c r="AO2434" s="35"/>
      <c r="AP2434" s="35"/>
      <c r="AQ2434" s="35"/>
      <c r="AR2434" s="35"/>
      <c r="AS2434" s="35"/>
      <c r="AT2434" s="35"/>
      <c r="AU2434" s="35"/>
      <c r="AV2434" s="35"/>
      <c r="AW2434" s="35"/>
    </row>
    <row r="2435" spans="1:49" s="26" customFormat="1" ht="15" x14ac:dyDescent="0.25">
      <c r="A2435" s="35"/>
      <c r="B2435" s="35"/>
      <c r="C2435" s="35"/>
      <c r="D2435" s="35"/>
      <c r="E2435" s="35"/>
      <c r="F2435" s="35"/>
      <c r="G2435" s="35"/>
      <c r="H2435" s="35"/>
      <c r="I2435" s="35"/>
      <c r="J2435" s="35"/>
      <c r="K2435" s="35"/>
      <c r="L2435" s="35"/>
      <c r="M2435" s="35"/>
      <c r="N2435" s="35"/>
      <c r="O2435" s="35"/>
      <c r="P2435" s="35"/>
      <c r="Q2435" s="35"/>
      <c r="R2435" s="35"/>
      <c r="S2435" s="35"/>
      <c r="T2435" s="35"/>
      <c r="U2435" s="35"/>
      <c r="V2435" s="35"/>
      <c r="W2435" s="35"/>
      <c r="X2435" s="35"/>
      <c r="Y2435" s="35"/>
      <c r="Z2435" s="35"/>
      <c r="AA2435" s="35"/>
      <c r="AB2435" s="35"/>
      <c r="AC2435" s="35"/>
      <c r="AD2435" s="35"/>
      <c r="AE2435" s="35"/>
      <c r="AF2435" s="35"/>
      <c r="AG2435" s="35"/>
      <c r="AH2435" s="35"/>
      <c r="AI2435" s="35"/>
      <c r="AJ2435" s="35"/>
      <c r="AK2435" s="35"/>
      <c r="AL2435" s="35"/>
      <c r="AM2435" s="35"/>
      <c r="AN2435" s="35"/>
      <c r="AO2435" s="35"/>
      <c r="AP2435" s="35"/>
      <c r="AQ2435" s="35"/>
      <c r="AR2435" s="35"/>
      <c r="AS2435" s="35"/>
      <c r="AT2435" s="35"/>
      <c r="AU2435" s="35"/>
      <c r="AV2435" s="35"/>
      <c r="AW2435" s="35"/>
    </row>
    <row r="2436" spans="1:49" s="26" customFormat="1" ht="15" x14ac:dyDescent="0.25">
      <c r="A2436" s="35"/>
      <c r="B2436" s="35"/>
      <c r="C2436" s="35"/>
      <c r="D2436" s="35"/>
      <c r="E2436" s="35"/>
      <c r="F2436" s="35"/>
      <c r="G2436" s="35"/>
      <c r="H2436" s="35"/>
      <c r="I2436" s="35"/>
      <c r="J2436" s="35"/>
      <c r="K2436" s="35"/>
      <c r="L2436" s="35"/>
      <c r="M2436" s="35"/>
      <c r="N2436" s="35"/>
      <c r="O2436" s="35"/>
      <c r="P2436" s="35"/>
      <c r="Q2436" s="35"/>
      <c r="R2436" s="35"/>
      <c r="S2436" s="35"/>
      <c r="T2436" s="35"/>
      <c r="U2436" s="35"/>
      <c r="V2436" s="35"/>
      <c r="W2436" s="35"/>
      <c r="X2436" s="35"/>
      <c r="Y2436" s="35"/>
      <c r="Z2436" s="35"/>
      <c r="AA2436" s="35"/>
      <c r="AB2436" s="35"/>
      <c r="AC2436" s="35"/>
      <c r="AD2436" s="35"/>
      <c r="AE2436" s="35"/>
      <c r="AF2436" s="35"/>
      <c r="AG2436" s="35"/>
      <c r="AH2436" s="35"/>
      <c r="AI2436" s="35"/>
      <c r="AJ2436" s="35"/>
      <c r="AK2436" s="35"/>
      <c r="AL2436" s="35"/>
      <c r="AM2436" s="35"/>
      <c r="AN2436" s="35"/>
      <c r="AO2436" s="35"/>
      <c r="AP2436" s="35"/>
      <c r="AQ2436" s="35"/>
      <c r="AR2436" s="35"/>
      <c r="AS2436" s="35"/>
      <c r="AT2436" s="35"/>
      <c r="AU2436" s="35"/>
      <c r="AV2436" s="35"/>
      <c r="AW2436" s="35"/>
    </row>
    <row r="2437" spans="1:49" s="26" customFormat="1" ht="15" x14ac:dyDescent="0.25">
      <c r="A2437" s="35"/>
      <c r="B2437" s="35"/>
      <c r="C2437" s="35"/>
      <c r="D2437" s="35"/>
      <c r="E2437" s="35"/>
      <c r="F2437" s="35"/>
      <c r="G2437" s="35"/>
      <c r="H2437" s="35"/>
      <c r="I2437" s="35"/>
      <c r="J2437" s="35"/>
      <c r="K2437" s="35"/>
      <c r="L2437" s="35"/>
      <c r="M2437" s="35"/>
      <c r="N2437" s="35"/>
      <c r="O2437" s="35"/>
      <c r="P2437" s="35"/>
      <c r="Q2437" s="35"/>
      <c r="R2437" s="35"/>
      <c r="S2437" s="35"/>
      <c r="T2437" s="35"/>
      <c r="U2437" s="35"/>
      <c r="V2437" s="35"/>
      <c r="W2437" s="35"/>
      <c r="X2437" s="35"/>
      <c r="Y2437" s="35"/>
      <c r="Z2437" s="35"/>
      <c r="AA2437" s="35"/>
      <c r="AB2437" s="35"/>
      <c r="AC2437" s="35"/>
      <c r="AD2437" s="35"/>
      <c r="AE2437" s="35"/>
      <c r="AF2437" s="35"/>
      <c r="AG2437" s="35"/>
      <c r="AH2437" s="35"/>
      <c r="AI2437" s="35"/>
      <c r="AJ2437" s="35"/>
      <c r="AK2437" s="35"/>
      <c r="AL2437" s="35"/>
      <c r="AM2437" s="35"/>
      <c r="AN2437" s="35"/>
      <c r="AO2437" s="35"/>
      <c r="AP2437" s="35"/>
      <c r="AQ2437" s="35"/>
      <c r="AR2437" s="35"/>
      <c r="AS2437" s="35"/>
      <c r="AT2437" s="35"/>
      <c r="AU2437" s="35"/>
      <c r="AV2437" s="35"/>
      <c r="AW2437" s="35"/>
    </row>
    <row r="2438" spans="1:49" s="26" customFormat="1" ht="15" x14ac:dyDescent="0.25">
      <c r="A2438" s="35"/>
      <c r="B2438" s="35"/>
      <c r="C2438" s="35"/>
      <c r="D2438" s="35"/>
      <c r="E2438" s="35"/>
      <c r="F2438" s="35"/>
      <c r="G2438" s="35"/>
      <c r="H2438" s="35"/>
      <c r="I2438" s="35"/>
      <c r="J2438" s="35"/>
      <c r="K2438" s="35"/>
      <c r="L2438" s="35"/>
      <c r="M2438" s="35"/>
      <c r="N2438" s="35"/>
      <c r="O2438" s="35"/>
      <c r="P2438" s="35"/>
      <c r="Q2438" s="35"/>
      <c r="R2438" s="35"/>
      <c r="S2438" s="35"/>
      <c r="T2438" s="35"/>
      <c r="U2438" s="35"/>
      <c r="V2438" s="35"/>
      <c r="W2438" s="35"/>
      <c r="X2438" s="35"/>
      <c r="Y2438" s="35"/>
      <c r="Z2438" s="35"/>
      <c r="AA2438" s="35"/>
      <c r="AB2438" s="35"/>
      <c r="AC2438" s="35"/>
      <c r="AD2438" s="35"/>
      <c r="AE2438" s="35"/>
      <c r="AF2438" s="35"/>
      <c r="AG2438" s="35"/>
      <c r="AH2438" s="35"/>
      <c r="AI2438" s="35"/>
      <c r="AJ2438" s="35"/>
      <c r="AK2438" s="35"/>
      <c r="AL2438" s="35"/>
      <c r="AM2438" s="35"/>
      <c r="AN2438" s="35"/>
      <c r="AO2438" s="35"/>
      <c r="AP2438" s="35"/>
      <c r="AQ2438" s="35"/>
      <c r="AR2438" s="35"/>
      <c r="AS2438" s="35"/>
      <c r="AT2438" s="35"/>
      <c r="AU2438" s="35"/>
      <c r="AV2438" s="35"/>
      <c r="AW2438" s="35"/>
    </row>
    <row r="2439" spans="1:49" s="26" customFormat="1" ht="15" x14ac:dyDescent="0.25">
      <c r="A2439" s="35"/>
      <c r="B2439" s="35"/>
      <c r="C2439" s="35"/>
      <c r="D2439" s="35"/>
      <c r="E2439" s="35"/>
      <c r="F2439" s="35"/>
      <c r="G2439" s="35"/>
      <c r="H2439" s="35"/>
      <c r="I2439" s="35"/>
      <c r="J2439" s="35"/>
      <c r="K2439" s="35"/>
      <c r="L2439" s="35"/>
      <c r="M2439" s="35"/>
      <c r="N2439" s="35"/>
      <c r="O2439" s="35"/>
      <c r="P2439" s="35"/>
      <c r="Q2439" s="35"/>
      <c r="R2439" s="35"/>
      <c r="S2439" s="35"/>
      <c r="T2439" s="35"/>
      <c r="U2439" s="35"/>
      <c r="V2439" s="35"/>
      <c r="W2439" s="35"/>
      <c r="X2439" s="35"/>
      <c r="Y2439" s="35"/>
      <c r="Z2439" s="35"/>
      <c r="AA2439" s="35"/>
      <c r="AB2439" s="35"/>
      <c r="AC2439" s="35"/>
      <c r="AD2439" s="35"/>
      <c r="AE2439" s="35"/>
      <c r="AF2439" s="35"/>
      <c r="AG2439" s="35"/>
      <c r="AH2439" s="35"/>
      <c r="AI2439" s="35"/>
      <c r="AJ2439" s="35"/>
      <c r="AK2439" s="35"/>
      <c r="AL2439" s="35"/>
      <c r="AM2439" s="35"/>
      <c r="AN2439" s="35"/>
      <c r="AO2439" s="35"/>
      <c r="AP2439" s="35"/>
      <c r="AQ2439" s="35"/>
      <c r="AR2439" s="35"/>
      <c r="AS2439" s="35"/>
      <c r="AT2439" s="35"/>
      <c r="AU2439" s="35"/>
      <c r="AV2439" s="35"/>
      <c r="AW2439" s="35"/>
    </row>
    <row r="2440" spans="1:49" s="26" customFormat="1" ht="15" x14ac:dyDescent="0.25">
      <c r="A2440" s="35"/>
      <c r="B2440" s="35"/>
      <c r="C2440" s="35"/>
      <c r="D2440" s="35"/>
      <c r="E2440" s="35"/>
      <c r="F2440" s="35"/>
      <c r="G2440" s="35"/>
      <c r="H2440" s="35"/>
      <c r="I2440" s="35"/>
      <c r="J2440" s="35"/>
      <c r="K2440" s="35"/>
      <c r="L2440" s="35"/>
      <c r="M2440" s="35"/>
      <c r="N2440" s="35"/>
      <c r="O2440" s="35"/>
      <c r="P2440" s="35"/>
      <c r="Q2440" s="35"/>
      <c r="R2440" s="35"/>
      <c r="S2440" s="35"/>
      <c r="T2440" s="35"/>
      <c r="U2440" s="35"/>
      <c r="V2440" s="35"/>
      <c r="W2440" s="35"/>
      <c r="X2440" s="35"/>
      <c r="Y2440" s="35"/>
      <c r="Z2440" s="35"/>
      <c r="AA2440" s="35"/>
      <c r="AB2440" s="35"/>
      <c r="AC2440" s="35"/>
      <c r="AD2440" s="35"/>
      <c r="AE2440" s="35"/>
      <c r="AF2440" s="35"/>
      <c r="AG2440" s="35"/>
      <c r="AH2440" s="35"/>
      <c r="AI2440" s="35"/>
      <c r="AJ2440" s="35"/>
      <c r="AK2440" s="35"/>
      <c r="AL2440" s="35"/>
      <c r="AM2440" s="35"/>
      <c r="AN2440" s="35"/>
      <c r="AO2440" s="35"/>
      <c r="AP2440" s="35"/>
      <c r="AQ2440" s="35"/>
      <c r="AR2440" s="35"/>
      <c r="AS2440" s="35"/>
      <c r="AT2440" s="35"/>
      <c r="AU2440" s="35"/>
      <c r="AV2440" s="35"/>
      <c r="AW2440" s="35"/>
    </row>
    <row r="2441" spans="1:49" s="26" customFormat="1" ht="15" x14ac:dyDescent="0.25">
      <c r="A2441" s="35"/>
      <c r="B2441" s="35"/>
      <c r="C2441" s="35"/>
      <c r="D2441" s="35"/>
      <c r="E2441" s="35"/>
      <c r="F2441" s="35"/>
      <c r="G2441" s="35"/>
      <c r="H2441" s="35"/>
      <c r="I2441" s="35"/>
      <c r="J2441" s="35"/>
      <c r="K2441" s="35"/>
      <c r="L2441" s="35"/>
      <c r="M2441" s="35"/>
      <c r="N2441" s="35"/>
      <c r="O2441" s="35"/>
      <c r="P2441" s="35"/>
      <c r="Q2441" s="35"/>
      <c r="R2441" s="35"/>
      <c r="S2441" s="35"/>
      <c r="T2441" s="35"/>
      <c r="U2441" s="35"/>
      <c r="V2441" s="35"/>
      <c r="W2441" s="35"/>
      <c r="X2441" s="35"/>
      <c r="Y2441" s="35"/>
      <c r="Z2441" s="35"/>
      <c r="AA2441" s="35"/>
      <c r="AB2441" s="35"/>
      <c r="AC2441" s="35"/>
      <c r="AD2441" s="35"/>
      <c r="AE2441" s="35"/>
      <c r="AF2441" s="35"/>
      <c r="AG2441" s="35"/>
      <c r="AH2441" s="35"/>
      <c r="AI2441" s="35"/>
      <c r="AJ2441" s="35"/>
      <c r="AK2441" s="35"/>
      <c r="AL2441" s="35"/>
      <c r="AM2441" s="35"/>
      <c r="AN2441" s="35"/>
      <c r="AO2441" s="35"/>
      <c r="AP2441" s="35"/>
      <c r="AQ2441" s="35"/>
      <c r="AR2441" s="35"/>
      <c r="AS2441" s="35"/>
      <c r="AT2441" s="35"/>
      <c r="AU2441" s="35"/>
      <c r="AV2441" s="35"/>
      <c r="AW2441" s="35"/>
    </row>
    <row r="2442" spans="1:49" s="26" customFormat="1" ht="15" x14ac:dyDescent="0.25">
      <c r="A2442" s="35"/>
      <c r="B2442" s="35"/>
      <c r="C2442" s="35"/>
      <c r="D2442" s="35"/>
      <c r="E2442" s="35"/>
      <c r="F2442" s="35"/>
      <c r="G2442" s="35"/>
      <c r="H2442" s="35"/>
      <c r="I2442" s="35"/>
      <c r="J2442" s="35"/>
      <c r="K2442" s="35"/>
      <c r="L2442" s="35"/>
      <c r="M2442" s="35"/>
      <c r="N2442" s="35"/>
      <c r="O2442" s="35"/>
      <c r="P2442" s="35"/>
      <c r="Q2442" s="35"/>
      <c r="R2442" s="35"/>
      <c r="S2442" s="35"/>
      <c r="T2442" s="35"/>
      <c r="U2442" s="35"/>
      <c r="V2442" s="35"/>
      <c r="W2442" s="35"/>
      <c r="X2442" s="35"/>
      <c r="Y2442" s="35"/>
      <c r="Z2442" s="35"/>
      <c r="AA2442" s="35"/>
      <c r="AB2442" s="35"/>
      <c r="AC2442" s="35"/>
      <c r="AD2442" s="35"/>
      <c r="AE2442" s="35"/>
      <c r="AF2442" s="35"/>
      <c r="AG2442" s="35"/>
      <c r="AH2442" s="35"/>
      <c r="AI2442" s="35"/>
      <c r="AJ2442" s="35"/>
      <c r="AK2442" s="35"/>
      <c r="AL2442" s="35"/>
      <c r="AM2442" s="35"/>
      <c r="AN2442" s="35"/>
      <c r="AO2442" s="35"/>
      <c r="AP2442" s="35"/>
      <c r="AQ2442" s="35"/>
      <c r="AR2442" s="35"/>
      <c r="AS2442" s="35"/>
      <c r="AT2442" s="35"/>
      <c r="AU2442" s="35"/>
      <c r="AV2442" s="35"/>
      <c r="AW2442" s="35"/>
    </row>
    <row r="2443" spans="1:49" s="26" customFormat="1" ht="15" x14ac:dyDescent="0.25">
      <c r="A2443" s="35"/>
      <c r="B2443" s="35"/>
      <c r="C2443" s="35"/>
      <c r="D2443" s="35"/>
      <c r="E2443" s="35"/>
      <c r="F2443" s="35"/>
      <c r="G2443" s="35"/>
      <c r="H2443" s="35"/>
      <c r="I2443" s="35"/>
      <c r="J2443" s="35"/>
      <c r="K2443" s="35"/>
      <c r="L2443" s="35"/>
      <c r="M2443" s="35"/>
      <c r="N2443" s="35"/>
      <c r="O2443" s="35"/>
      <c r="P2443" s="35"/>
      <c r="Q2443" s="35"/>
      <c r="R2443" s="35"/>
      <c r="S2443" s="35"/>
      <c r="T2443" s="35"/>
      <c r="U2443" s="35"/>
      <c r="V2443" s="35"/>
      <c r="W2443" s="35"/>
      <c r="X2443" s="35"/>
      <c r="Y2443" s="35"/>
      <c r="Z2443" s="35"/>
      <c r="AA2443" s="35"/>
      <c r="AB2443" s="35"/>
      <c r="AC2443" s="35"/>
      <c r="AD2443" s="35"/>
      <c r="AE2443" s="35"/>
      <c r="AF2443" s="35"/>
      <c r="AG2443" s="35"/>
      <c r="AH2443" s="35"/>
      <c r="AI2443" s="35"/>
      <c r="AJ2443" s="35"/>
      <c r="AK2443" s="35"/>
      <c r="AL2443" s="35"/>
      <c r="AM2443" s="35"/>
      <c r="AN2443" s="35"/>
      <c r="AO2443" s="35"/>
      <c r="AP2443" s="35"/>
      <c r="AQ2443" s="35"/>
      <c r="AR2443" s="35"/>
      <c r="AS2443" s="35"/>
      <c r="AT2443" s="35"/>
      <c r="AU2443" s="35"/>
      <c r="AV2443" s="35"/>
      <c r="AW2443" s="35"/>
    </row>
    <row r="2444" spans="1:49" s="26" customFormat="1" ht="15" x14ac:dyDescent="0.25">
      <c r="A2444" s="35"/>
      <c r="B2444" s="35"/>
      <c r="C2444" s="35"/>
      <c r="D2444" s="35"/>
      <c r="E2444" s="35"/>
      <c r="F2444" s="35"/>
      <c r="G2444" s="35"/>
      <c r="H2444" s="35"/>
      <c r="I2444" s="35"/>
      <c r="J2444" s="35"/>
      <c r="K2444" s="35"/>
      <c r="L2444" s="35"/>
      <c r="M2444" s="35"/>
      <c r="N2444" s="35"/>
      <c r="O2444" s="35"/>
      <c r="P2444" s="35"/>
      <c r="Q2444" s="35"/>
      <c r="R2444" s="35"/>
      <c r="S2444" s="35"/>
      <c r="T2444" s="35"/>
      <c r="U2444" s="35"/>
      <c r="V2444" s="35"/>
      <c r="W2444" s="35"/>
      <c r="X2444" s="35"/>
      <c r="Y2444" s="35"/>
      <c r="Z2444" s="35"/>
      <c r="AA2444" s="35"/>
      <c r="AB2444" s="35"/>
      <c r="AC2444" s="35"/>
      <c r="AD2444" s="35"/>
      <c r="AE2444" s="35"/>
      <c r="AF2444" s="35"/>
      <c r="AG2444" s="35"/>
      <c r="AH2444" s="35"/>
      <c r="AI2444" s="35"/>
      <c r="AJ2444" s="35"/>
      <c r="AK2444" s="35"/>
      <c r="AL2444" s="35"/>
      <c r="AM2444" s="35"/>
      <c r="AN2444" s="35"/>
      <c r="AO2444" s="35"/>
      <c r="AP2444" s="35"/>
      <c r="AQ2444" s="35"/>
      <c r="AR2444" s="35"/>
      <c r="AS2444" s="35"/>
      <c r="AT2444" s="35"/>
      <c r="AU2444" s="35"/>
      <c r="AV2444" s="35"/>
      <c r="AW2444" s="35"/>
    </row>
    <row r="2445" spans="1:49" s="26" customFormat="1" ht="15" x14ac:dyDescent="0.25">
      <c r="A2445" s="35"/>
      <c r="B2445" s="35"/>
      <c r="C2445" s="35"/>
      <c r="D2445" s="35"/>
      <c r="E2445" s="35"/>
      <c r="F2445" s="35"/>
      <c r="G2445" s="35"/>
      <c r="H2445" s="35"/>
      <c r="I2445" s="35"/>
      <c r="J2445" s="35"/>
      <c r="K2445" s="35"/>
      <c r="L2445" s="35"/>
      <c r="M2445" s="35"/>
      <c r="N2445" s="35"/>
      <c r="O2445" s="35"/>
      <c r="P2445" s="35"/>
      <c r="Q2445" s="35"/>
      <c r="R2445" s="35"/>
      <c r="S2445" s="35"/>
      <c r="T2445" s="35"/>
      <c r="U2445" s="35"/>
      <c r="V2445" s="35"/>
      <c r="W2445" s="35"/>
      <c r="X2445" s="35"/>
      <c r="Y2445" s="35"/>
      <c r="Z2445" s="35"/>
      <c r="AA2445" s="35"/>
      <c r="AB2445" s="35"/>
      <c r="AC2445" s="35"/>
      <c r="AD2445" s="35"/>
      <c r="AE2445" s="35"/>
      <c r="AF2445" s="35"/>
      <c r="AG2445" s="35"/>
      <c r="AH2445" s="35"/>
      <c r="AI2445" s="35"/>
      <c r="AJ2445" s="35"/>
      <c r="AK2445" s="35"/>
      <c r="AL2445" s="35"/>
      <c r="AM2445" s="35"/>
      <c r="AN2445" s="35"/>
      <c r="AO2445" s="35"/>
      <c r="AP2445" s="35"/>
      <c r="AQ2445" s="35"/>
      <c r="AR2445" s="35"/>
      <c r="AS2445" s="35"/>
      <c r="AT2445" s="35"/>
      <c r="AU2445" s="35"/>
      <c r="AV2445" s="35"/>
      <c r="AW2445" s="35"/>
    </row>
    <row r="2446" spans="1:49" s="26" customFormat="1" ht="15" x14ac:dyDescent="0.25">
      <c r="A2446" s="35"/>
      <c r="B2446" s="35"/>
      <c r="C2446" s="35"/>
      <c r="D2446" s="35"/>
      <c r="E2446" s="35"/>
      <c r="F2446" s="35"/>
      <c r="G2446" s="35"/>
      <c r="H2446" s="35"/>
      <c r="I2446" s="35"/>
      <c r="J2446" s="35"/>
      <c r="K2446" s="35"/>
      <c r="L2446" s="35"/>
      <c r="M2446" s="35"/>
      <c r="N2446" s="35"/>
      <c r="O2446" s="35"/>
      <c r="P2446" s="35"/>
      <c r="Q2446" s="35"/>
      <c r="R2446" s="35"/>
      <c r="S2446" s="35"/>
      <c r="T2446" s="35"/>
      <c r="U2446" s="35"/>
      <c r="V2446" s="35"/>
      <c r="W2446" s="35"/>
      <c r="X2446" s="35"/>
      <c r="Y2446" s="35"/>
      <c r="Z2446" s="35"/>
      <c r="AA2446" s="35"/>
      <c r="AB2446" s="35"/>
      <c r="AC2446" s="35"/>
      <c r="AD2446" s="35"/>
      <c r="AE2446" s="35"/>
      <c r="AF2446" s="35"/>
      <c r="AG2446" s="35"/>
      <c r="AH2446" s="35"/>
      <c r="AI2446" s="35"/>
      <c r="AJ2446" s="35"/>
      <c r="AK2446" s="35"/>
      <c r="AL2446" s="35"/>
      <c r="AM2446" s="35"/>
      <c r="AN2446" s="35"/>
      <c r="AO2446" s="35"/>
      <c r="AP2446" s="35"/>
      <c r="AQ2446" s="35"/>
      <c r="AR2446" s="35"/>
      <c r="AS2446" s="35"/>
      <c r="AT2446" s="35"/>
      <c r="AU2446" s="35"/>
      <c r="AV2446" s="35"/>
      <c r="AW2446" s="35"/>
    </row>
    <row r="2447" spans="1:49" s="26" customFormat="1" ht="15" x14ac:dyDescent="0.25">
      <c r="A2447" s="35"/>
      <c r="B2447" s="35"/>
      <c r="C2447" s="35"/>
      <c r="D2447" s="35"/>
      <c r="E2447" s="35"/>
      <c r="F2447" s="35"/>
      <c r="G2447" s="35"/>
      <c r="H2447" s="35"/>
      <c r="I2447" s="35"/>
      <c r="J2447" s="35"/>
      <c r="K2447" s="35"/>
      <c r="L2447" s="35"/>
      <c r="M2447" s="35"/>
      <c r="N2447" s="35"/>
      <c r="O2447" s="35"/>
      <c r="P2447" s="35"/>
      <c r="Q2447" s="35"/>
      <c r="R2447" s="35"/>
      <c r="S2447" s="35"/>
      <c r="T2447" s="35"/>
      <c r="U2447" s="35"/>
      <c r="V2447" s="35"/>
      <c r="W2447" s="35"/>
      <c r="X2447" s="35"/>
      <c r="Y2447" s="35"/>
      <c r="Z2447" s="35"/>
      <c r="AA2447" s="35"/>
      <c r="AB2447" s="35"/>
      <c r="AC2447" s="35"/>
      <c r="AD2447" s="35"/>
      <c r="AE2447" s="35"/>
      <c r="AF2447" s="35"/>
      <c r="AG2447" s="35"/>
      <c r="AH2447" s="35"/>
      <c r="AI2447" s="35"/>
      <c r="AJ2447" s="35"/>
      <c r="AK2447" s="35"/>
      <c r="AL2447" s="35"/>
      <c r="AM2447" s="35"/>
      <c r="AN2447" s="35"/>
      <c r="AO2447" s="35"/>
      <c r="AP2447" s="35"/>
      <c r="AQ2447" s="35"/>
      <c r="AR2447" s="35"/>
      <c r="AS2447" s="35"/>
      <c r="AT2447" s="35"/>
      <c r="AU2447" s="35"/>
      <c r="AV2447" s="35"/>
      <c r="AW2447" s="35"/>
    </row>
    <row r="2448" spans="1:49" s="26" customFormat="1" ht="15" x14ac:dyDescent="0.25">
      <c r="A2448" s="35"/>
      <c r="B2448" s="35"/>
      <c r="C2448" s="35"/>
      <c r="D2448" s="35"/>
      <c r="E2448" s="35"/>
      <c r="F2448" s="35"/>
      <c r="G2448" s="35"/>
      <c r="H2448" s="35"/>
      <c r="I2448" s="35"/>
      <c r="J2448" s="35"/>
      <c r="K2448" s="35"/>
      <c r="L2448" s="35"/>
      <c r="M2448" s="35"/>
      <c r="N2448" s="35"/>
      <c r="O2448" s="35"/>
      <c r="P2448" s="35"/>
      <c r="Q2448" s="35"/>
      <c r="R2448" s="35"/>
      <c r="S2448" s="35"/>
      <c r="T2448" s="35"/>
      <c r="U2448" s="35"/>
      <c r="V2448" s="35"/>
      <c r="W2448" s="35"/>
      <c r="X2448" s="35"/>
      <c r="Y2448" s="35"/>
      <c r="Z2448" s="35"/>
      <c r="AA2448" s="35"/>
      <c r="AB2448" s="35"/>
      <c r="AC2448" s="35"/>
      <c r="AD2448" s="35"/>
      <c r="AE2448" s="35"/>
      <c r="AF2448" s="35"/>
      <c r="AG2448" s="35"/>
      <c r="AH2448" s="35"/>
      <c r="AI2448" s="35"/>
      <c r="AJ2448" s="35"/>
      <c r="AK2448" s="35"/>
      <c r="AL2448" s="35"/>
      <c r="AM2448" s="35"/>
      <c r="AN2448" s="35"/>
      <c r="AO2448" s="35"/>
      <c r="AP2448" s="35"/>
      <c r="AQ2448" s="35"/>
      <c r="AR2448" s="35"/>
      <c r="AS2448" s="35"/>
      <c r="AT2448" s="35"/>
      <c r="AU2448" s="35"/>
      <c r="AV2448" s="35"/>
      <c r="AW2448" s="35"/>
    </row>
    <row r="2449" spans="1:49" s="26" customFormat="1" ht="15" x14ac:dyDescent="0.25">
      <c r="A2449" s="35"/>
      <c r="B2449" s="35"/>
      <c r="C2449" s="35"/>
      <c r="D2449" s="35"/>
      <c r="E2449" s="35"/>
      <c r="F2449" s="35"/>
      <c r="G2449" s="35"/>
      <c r="H2449" s="35"/>
      <c r="I2449" s="35"/>
      <c r="J2449" s="35"/>
      <c r="K2449" s="35"/>
      <c r="L2449" s="35"/>
      <c r="M2449" s="35"/>
      <c r="N2449" s="35"/>
      <c r="O2449" s="35"/>
      <c r="P2449" s="35"/>
      <c r="Q2449" s="35"/>
      <c r="R2449" s="35"/>
      <c r="S2449" s="35"/>
      <c r="T2449" s="35"/>
      <c r="U2449" s="35"/>
      <c r="V2449" s="35"/>
      <c r="W2449" s="35"/>
      <c r="X2449" s="35"/>
      <c r="Y2449" s="35"/>
      <c r="Z2449" s="35"/>
      <c r="AA2449" s="35"/>
      <c r="AB2449" s="35"/>
      <c r="AC2449" s="35"/>
      <c r="AD2449" s="35"/>
      <c r="AE2449" s="35"/>
      <c r="AF2449" s="35"/>
      <c r="AG2449" s="35"/>
      <c r="AH2449" s="35"/>
      <c r="AI2449" s="35"/>
      <c r="AJ2449" s="35"/>
      <c r="AK2449" s="35"/>
      <c r="AL2449" s="35"/>
      <c r="AM2449" s="35"/>
      <c r="AN2449" s="35"/>
      <c r="AO2449" s="35"/>
      <c r="AP2449" s="35"/>
      <c r="AQ2449" s="35"/>
      <c r="AR2449" s="35"/>
      <c r="AS2449" s="35"/>
      <c r="AT2449" s="35"/>
      <c r="AU2449" s="35"/>
      <c r="AV2449" s="35"/>
      <c r="AW2449" s="35"/>
    </row>
    <row r="2450" spans="1:49" s="26" customFormat="1" ht="15" x14ac:dyDescent="0.25">
      <c r="A2450" s="35"/>
      <c r="B2450" s="35"/>
      <c r="C2450" s="35"/>
      <c r="D2450" s="35"/>
      <c r="E2450" s="35"/>
      <c r="F2450" s="35"/>
      <c r="G2450" s="35"/>
      <c r="H2450" s="35"/>
      <c r="I2450" s="35"/>
      <c r="J2450" s="35"/>
      <c r="K2450" s="35"/>
      <c r="L2450" s="35"/>
      <c r="M2450" s="35"/>
      <c r="N2450" s="35"/>
      <c r="O2450" s="35"/>
      <c r="P2450" s="35"/>
      <c r="Q2450" s="35"/>
      <c r="R2450" s="35"/>
      <c r="S2450" s="35"/>
      <c r="T2450" s="35"/>
      <c r="U2450" s="35"/>
      <c r="V2450" s="35"/>
      <c r="W2450" s="35"/>
      <c r="X2450" s="35"/>
      <c r="Y2450" s="35"/>
      <c r="Z2450" s="35"/>
      <c r="AA2450" s="35"/>
      <c r="AB2450" s="35"/>
      <c r="AC2450" s="35"/>
      <c r="AD2450" s="35"/>
      <c r="AE2450" s="35"/>
      <c r="AF2450" s="35"/>
      <c r="AG2450" s="35"/>
      <c r="AH2450" s="35"/>
      <c r="AI2450" s="35"/>
      <c r="AJ2450" s="35"/>
      <c r="AK2450" s="35"/>
      <c r="AL2450" s="35"/>
      <c r="AM2450" s="35"/>
      <c r="AN2450" s="35"/>
      <c r="AO2450" s="35"/>
      <c r="AP2450" s="35"/>
      <c r="AQ2450" s="35"/>
      <c r="AR2450" s="35"/>
      <c r="AS2450" s="35"/>
      <c r="AT2450" s="35"/>
      <c r="AU2450" s="35"/>
      <c r="AV2450" s="35"/>
      <c r="AW2450" s="35"/>
    </row>
    <row r="2451" spans="1:49" s="26" customFormat="1" ht="15" x14ac:dyDescent="0.25">
      <c r="A2451" s="35"/>
      <c r="B2451" s="35"/>
      <c r="C2451" s="35"/>
      <c r="D2451" s="35"/>
      <c r="E2451" s="35"/>
      <c r="F2451" s="35"/>
      <c r="G2451" s="35"/>
      <c r="H2451" s="35"/>
      <c r="I2451" s="35"/>
      <c r="J2451" s="35"/>
      <c r="K2451" s="35"/>
      <c r="L2451" s="35"/>
      <c r="M2451" s="35"/>
      <c r="N2451" s="35"/>
      <c r="O2451" s="35"/>
      <c r="P2451" s="35"/>
      <c r="Q2451" s="35"/>
      <c r="R2451" s="35"/>
      <c r="S2451" s="35"/>
      <c r="T2451" s="35"/>
      <c r="U2451" s="35"/>
      <c r="V2451" s="35"/>
      <c r="W2451" s="35"/>
      <c r="X2451" s="35"/>
      <c r="Y2451" s="35"/>
      <c r="Z2451" s="35"/>
      <c r="AA2451" s="35"/>
      <c r="AB2451" s="35"/>
      <c r="AC2451" s="35"/>
      <c r="AD2451" s="35"/>
      <c r="AE2451" s="35"/>
      <c r="AF2451" s="35"/>
      <c r="AG2451" s="35"/>
      <c r="AH2451" s="35"/>
      <c r="AI2451" s="35"/>
      <c r="AJ2451" s="35"/>
      <c r="AK2451" s="35"/>
      <c r="AL2451" s="35"/>
      <c r="AM2451" s="35"/>
      <c r="AN2451" s="35"/>
      <c r="AO2451" s="35"/>
      <c r="AP2451" s="35"/>
      <c r="AQ2451" s="35"/>
      <c r="AR2451" s="35"/>
      <c r="AS2451" s="35"/>
      <c r="AT2451" s="35"/>
      <c r="AU2451" s="35"/>
      <c r="AV2451" s="35"/>
      <c r="AW2451" s="35"/>
    </row>
    <row r="2452" spans="1:49" s="26" customFormat="1" ht="15" x14ac:dyDescent="0.25">
      <c r="A2452" s="35"/>
      <c r="B2452" s="35"/>
      <c r="C2452" s="35"/>
      <c r="D2452" s="35"/>
      <c r="E2452" s="35"/>
      <c r="F2452" s="35"/>
      <c r="G2452" s="35"/>
      <c r="H2452" s="35"/>
      <c r="I2452" s="35"/>
      <c r="J2452" s="35"/>
      <c r="K2452" s="35"/>
      <c r="L2452" s="35"/>
      <c r="M2452" s="35"/>
      <c r="N2452" s="35"/>
      <c r="O2452" s="35"/>
      <c r="P2452" s="35"/>
      <c r="Q2452" s="35"/>
      <c r="R2452" s="35"/>
      <c r="S2452" s="35"/>
      <c r="T2452" s="35"/>
      <c r="U2452" s="35"/>
      <c r="V2452" s="35"/>
      <c r="W2452" s="35"/>
      <c r="X2452" s="35"/>
      <c r="Y2452" s="35"/>
      <c r="Z2452" s="35"/>
      <c r="AA2452" s="35"/>
      <c r="AB2452" s="35"/>
      <c r="AC2452" s="35"/>
      <c r="AD2452" s="35"/>
      <c r="AE2452" s="35"/>
      <c r="AF2452" s="35"/>
      <c r="AG2452" s="35"/>
      <c r="AH2452" s="35"/>
      <c r="AI2452" s="35"/>
      <c r="AJ2452" s="35"/>
      <c r="AK2452" s="35"/>
      <c r="AL2452" s="35"/>
      <c r="AM2452" s="35"/>
      <c r="AN2452" s="35"/>
      <c r="AO2452" s="35"/>
      <c r="AP2452" s="35"/>
      <c r="AQ2452" s="35"/>
      <c r="AR2452" s="35"/>
      <c r="AS2452" s="35"/>
      <c r="AT2452" s="35"/>
      <c r="AU2452" s="35"/>
      <c r="AV2452" s="35"/>
      <c r="AW2452" s="35"/>
    </row>
    <row r="2453" spans="1:49" s="26" customFormat="1" ht="15" x14ac:dyDescent="0.25">
      <c r="A2453" s="35"/>
      <c r="B2453" s="35"/>
      <c r="C2453" s="35"/>
      <c r="D2453" s="35"/>
      <c r="E2453" s="35"/>
      <c r="F2453" s="35"/>
      <c r="G2453" s="35"/>
      <c r="H2453" s="35"/>
      <c r="I2453" s="35"/>
      <c r="J2453" s="35"/>
      <c r="K2453" s="35"/>
      <c r="L2453" s="35"/>
      <c r="M2453" s="35"/>
      <c r="N2453" s="35"/>
      <c r="O2453" s="35"/>
      <c r="P2453" s="35"/>
      <c r="Q2453" s="35"/>
      <c r="R2453" s="35"/>
      <c r="S2453" s="35"/>
      <c r="T2453" s="35"/>
      <c r="U2453" s="35"/>
      <c r="V2453" s="35"/>
      <c r="W2453" s="35"/>
      <c r="X2453" s="35"/>
      <c r="Y2453" s="35"/>
      <c r="Z2453" s="35"/>
      <c r="AA2453" s="35"/>
      <c r="AB2453" s="35"/>
      <c r="AC2453" s="35"/>
      <c r="AD2453" s="35"/>
      <c r="AE2453" s="35"/>
      <c r="AF2453" s="35"/>
      <c r="AG2453" s="35"/>
      <c r="AH2453" s="35"/>
      <c r="AI2453" s="35"/>
      <c r="AJ2453" s="35"/>
      <c r="AK2453" s="35"/>
      <c r="AL2453" s="35"/>
      <c r="AM2453" s="35"/>
      <c r="AN2453" s="35"/>
      <c r="AO2453" s="35"/>
      <c r="AP2453" s="35"/>
      <c r="AQ2453" s="35"/>
      <c r="AR2453" s="35"/>
      <c r="AS2453" s="35"/>
      <c r="AT2453" s="35"/>
      <c r="AU2453" s="35"/>
      <c r="AV2453" s="35"/>
      <c r="AW2453" s="35"/>
    </row>
    <row r="2454" spans="1:49" s="26" customFormat="1" ht="15" x14ac:dyDescent="0.25">
      <c r="A2454" s="35"/>
      <c r="B2454" s="35"/>
      <c r="C2454" s="35"/>
      <c r="D2454" s="35"/>
      <c r="E2454" s="35"/>
      <c r="F2454" s="35"/>
      <c r="G2454" s="35"/>
      <c r="H2454" s="35"/>
      <c r="I2454" s="35"/>
      <c r="J2454" s="35"/>
      <c r="K2454" s="35"/>
      <c r="L2454" s="35"/>
      <c r="M2454" s="35"/>
      <c r="N2454" s="35"/>
      <c r="O2454" s="35"/>
      <c r="P2454" s="35"/>
      <c r="Q2454" s="35"/>
      <c r="R2454" s="35"/>
      <c r="S2454" s="35"/>
      <c r="T2454" s="35"/>
      <c r="U2454" s="35"/>
      <c r="V2454" s="35"/>
      <c r="W2454" s="35"/>
      <c r="X2454" s="35"/>
      <c r="Y2454" s="35"/>
      <c r="Z2454" s="35"/>
      <c r="AA2454" s="35"/>
      <c r="AB2454" s="35"/>
      <c r="AC2454" s="35"/>
      <c r="AD2454" s="35"/>
      <c r="AE2454" s="35"/>
      <c r="AF2454" s="35"/>
      <c r="AG2454" s="35"/>
      <c r="AH2454" s="35"/>
      <c r="AI2454" s="35"/>
      <c r="AJ2454" s="35"/>
      <c r="AK2454" s="35"/>
      <c r="AL2454" s="35"/>
      <c r="AM2454" s="35"/>
      <c r="AN2454" s="35"/>
      <c r="AO2454" s="35"/>
      <c r="AP2454" s="35"/>
      <c r="AQ2454" s="35"/>
      <c r="AR2454" s="35"/>
      <c r="AS2454" s="35"/>
      <c r="AT2454" s="35"/>
      <c r="AU2454" s="35"/>
      <c r="AV2454" s="35"/>
      <c r="AW2454" s="35"/>
    </row>
    <row r="2455" spans="1:49" s="26" customFormat="1" ht="15" x14ac:dyDescent="0.25">
      <c r="A2455" s="35"/>
      <c r="B2455" s="35"/>
      <c r="C2455" s="35"/>
      <c r="D2455" s="35"/>
      <c r="E2455" s="35"/>
      <c r="F2455" s="35"/>
      <c r="G2455" s="35"/>
      <c r="H2455" s="35"/>
      <c r="I2455" s="35"/>
      <c r="J2455" s="35"/>
      <c r="K2455" s="35"/>
      <c r="L2455" s="35"/>
      <c r="M2455" s="35"/>
      <c r="N2455" s="35"/>
      <c r="O2455" s="35"/>
      <c r="P2455" s="35"/>
      <c r="Q2455" s="35"/>
      <c r="R2455" s="35"/>
      <c r="S2455" s="35"/>
      <c r="T2455" s="35"/>
      <c r="U2455" s="35"/>
      <c r="V2455" s="35"/>
      <c r="W2455" s="35"/>
      <c r="X2455" s="35"/>
      <c r="Y2455" s="35"/>
      <c r="Z2455" s="35"/>
      <c r="AA2455" s="35"/>
      <c r="AB2455" s="35"/>
      <c r="AC2455" s="35"/>
      <c r="AD2455" s="35"/>
      <c r="AE2455" s="35"/>
      <c r="AF2455" s="35"/>
      <c r="AG2455" s="35"/>
      <c r="AH2455" s="35"/>
      <c r="AI2455" s="35"/>
      <c r="AJ2455" s="35"/>
      <c r="AK2455" s="35"/>
      <c r="AL2455" s="35"/>
      <c r="AM2455" s="35"/>
      <c r="AN2455" s="35"/>
      <c r="AO2455" s="35"/>
      <c r="AP2455" s="35"/>
      <c r="AQ2455" s="35"/>
      <c r="AR2455" s="35"/>
      <c r="AS2455" s="35"/>
      <c r="AT2455" s="35"/>
      <c r="AU2455" s="35"/>
      <c r="AV2455" s="35"/>
      <c r="AW2455" s="35"/>
    </row>
    <row r="2456" spans="1:49" s="26" customFormat="1" ht="15" x14ac:dyDescent="0.25">
      <c r="A2456" s="35"/>
      <c r="B2456" s="35"/>
      <c r="C2456" s="35"/>
      <c r="D2456" s="35"/>
      <c r="E2456" s="35"/>
      <c r="F2456" s="35"/>
      <c r="G2456" s="35"/>
      <c r="H2456" s="35"/>
      <c r="I2456" s="35"/>
      <c r="J2456" s="35"/>
      <c r="K2456" s="35"/>
      <c r="L2456" s="35"/>
      <c r="M2456" s="35"/>
      <c r="N2456" s="35"/>
      <c r="O2456" s="35"/>
      <c r="P2456" s="35"/>
      <c r="Q2456" s="35"/>
      <c r="R2456" s="35"/>
      <c r="S2456" s="35"/>
      <c r="T2456" s="35"/>
      <c r="U2456" s="35"/>
      <c r="V2456" s="35"/>
      <c r="W2456" s="35"/>
      <c r="X2456" s="35"/>
      <c r="Y2456" s="35"/>
      <c r="Z2456" s="35"/>
      <c r="AA2456" s="35"/>
      <c r="AB2456" s="35"/>
      <c r="AC2456" s="35"/>
      <c r="AD2456" s="35"/>
      <c r="AE2456" s="35"/>
      <c r="AF2456" s="35"/>
      <c r="AG2456" s="35"/>
      <c r="AH2456" s="35"/>
      <c r="AI2456" s="35"/>
      <c r="AJ2456" s="35"/>
      <c r="AK2456" s="35"/>
      <c r="AL2456" s="35"/>
      <c r="AM2456" s="35"/>
      <c r="AN2456" s="35"/>
      <c r="AO2456" s="35"/>
      <c r="AP2456" s="35"/>
      <c r="AQ2456" s="35"/>
      <c r="AR2456" s="35"/>
      <c r="AS2456" s="35"/>
      <c r="AT2456" s="35"/>
      <c r="AU2456" s="35"/>
      <c r="AV2456" s="35"/>
      <c r="AW2456" s="35"/>
    </row>
    <row r="2457" spans="1:49" s="26" customFormat="1" ht="15" x14ac:dyDescent="0.25">
      <c r="A2457" s="35"/>
      <c r="B2457" s="35"/>
      <c r="C2457" s="35"/>
      <c r="D2457" s="35"/>
      <c r="E2457" s="35"/>
      <c r="F2457" s="35"/>
      <c r="G2457" s="35"/>
      <c r="H2457" s="35"/>
      <c r="I2457" s="35"/>
      <c r="J2457" s="35"/>
      <c r="K2457" s="35"/>
      <c r="L2457" s="35"/>
      <c r="M2457" s="35"/>
      <c r="N2457" s="35"/>
      <c r="O2457" s="35"/>
      <c r="P2457" s="35"/>
      <c r="Q2457" s="35"/>
      <c r="R2457" s="35"/>
      <c r="S2457" s="35"/>
      <c r="T2457" s="35"/>
      <c r="U2457" s="35"/>
      <c r="V2457" s="35"/>
      <c r="W2457" s="35"/>
      <c r="X2457" s="35"/>
      <c r="Y2457" s="35"/>
      <c r="Z2457" s="35"/>
      <c r="AA2457" s="35"/>
      <c r="AB2457" s="35"/>
      <c r="AC2457" s="35"/>
      <c r="AD2457" s="35"/>
      <c r="AE2457" s="35"/>
      <c r="AF2457" s="35"/>
      <c r="AG2457" s="35"/>
      <c r="AH2457" s="35"/>
      <c r="AI2457" s="35"/>
      <c r="AJ2457" s="35"/>
      <c r="AK2457" s="35"/>
      <c r="AL2457" s="35"/>
      <c r="AM2457" s="35"/>
      <c r="AN2457" s="35"/>
      <c r="AO2457" s="35"/>
      <c r="AP2457" s="35"/>
      <c r="AQ2457" s="35"/>
      <c r="AR2457" s="35"/>
      <c r="AS2457" s="35"/>
      <c r="AT2457" s="35"/>
      <c r="AU2457" s="35"/>
      <c r="AV2457" s="35"/>
      <c r="AW2457" s="35"/>
    </row>
    <row r="2458" spans="1:49" s="26" customFormat="1" ht="15" x14ac:dyDescent="0.25">
      <c r="A2458" s="35"/>
      <c r="B2458" s="35"/>
      <c r="C2458" s="35"/>
      <c r="D2458" s="35"/>
      <c r="E2458" s="35"/>
      <c r="F2458" s="35"/>
      <c r="G2458" s="35"/>
      <c r="H2458" s="35"/>
      <c r="I2458" s="35"/>
      <c r="J2458" s="35"/>
      <c r="K2458" s="35"/>
      <c r="L2458" s="35"/>
      <c r="M2458" s="35"/>
      <c r="N2458" s="35"/>
      <c r="O2458" s="35"/>
      <c r="P2458" s="35"/>
      <c r="Q2458" s="35"/>
      <c r="R2458" s="35"/>
      <c r="S2458" s="35"/>
      <c r="T2458" s="35"/>
      <c r="U2458" s="35"/>
      <c r="V2458" s="35"/>
      <c r="W2458" s="35"/>
      <c r="X2458" s="35"/>
      <c r="Y2458" s="35"/>
      <c r="Z2458" s="35"/>
      <c r="AA2458" s="35"/>
      <c r="AB2458" s="35"/>
      <c r="AC2458" s="35"/>
      <c r="AD2458" s="35"/>
      <c r="AE2458" s="35"/>
      <c r="AF2458" s="35"/>
      <c r="AG2458" s="35"/>
      <c r="AH2458" s="35"/>
      <c r="AI2458" s="35"/>
      <c r="AJ2458" s="35"/>
      <c r="AK2458" s="35"/>
      <c r="AL2458" s="35"/>
      <c r="AM2458" s="35"/>
      <c r="AN2458" s="35"/>
      <c r="AO2458" s="35"/>
      <c r="AP2458" s="35"/>
      <c r="AQ2458" s="35"/>
      <c r="AR2458" s="35"/>
      <c r="AS2458" s="35"/>
      <c r="AT2458" s="35"/>
      <c r="AU2458" s="35"/>
      <c r="AV2458" s="35"/>
      <c r="AW2458" s="35"/>
    </row>
    <row r="2459" spans="1:49" s="26" customFormat="1" ht="15" x14ac:dyDescent="0.25">
      <c r="A2459" s="35"/>
      <c r="B2459" s="35"/>
      <c r="C2459" s="35"/>
      <c r="D2459" s="35"/>
      <c r="E2459" s="35"/>
      <c r="F2459" s="35"/>
      <c r="G2459" s="35"/>
      <c r="H2459" s="35"/>
      <c r="I2459" s="35"/>
      <c r="J2459" s="35"/>
      <c r="K2459" s="35"/>
      <c r="L2459" s="35"/>
      <c r="M2459" s="35"/>
      <c r="N2459" s="35"/>
      <c r="O2459" s="35"/>
      <c r="P2459" s="35"/>
      <c r="Q2459" s="35"/>
      <c r="R2459" s="35"/>
      <c r="S2459" s="35"/>
      <c r="T2459" s="35"/>
      <c r="U2459" s="35"/>
      <c r="V2459" s="35"/>
      <c r="W2459" s="35"/>
      <c r="X2459" s="35"/>
      <c r="Y2459" s="35"/>
      <c r="Z2459" s="35"/>
      <c r="AA2459" s="35"/>
      <c r="AB2459" s="35"/>
      <c r="AC2459" s="35"/>
      <c r="AD2459" s="35"/>
      <c r="AE2459" s="35"/>
      <c r="AF2459" s="35"/>
      <c r="AG2459" s="35"/>
      <c r="AH2459" s="35"/>
      <c r="AI2459" s="35"/>
      <c r="AJ2459" s="35"/>
      <c r="AK2459" s="35"/>
      <c r="AL2459" s="35"/>
      <c r="AM2459" s="35"/>
      <c r="AN2459" s="35"/>
      <c r="AO2459" s="35"/>
      <c r="AP2459" s="35"/>
      <c r="AQ2459" s="35"/>
      <c r="AR2459" s="35"/>
      <c r="AS2459" s="35"/>
      <c r="AT2459" s="35"/>
      <c r="AU2459" s="35"/>
      <c r="AV2459" s="35"/>
      <c r="AW2459" s="35"/>
    </row>
    <row r="2460" spans="1:49" s="26" customFormat="1" ht="15" x14ac:dyDescent="0.25">
      <c r="A2460" s="35"/>
      <c r="B2460" s="35"/>
      <c r="C2460" s="35"/>
      <c r="D2460" s="35"/>
      <c r="E2460" s="35"/>
      <c r="F2460" s="35"/>
      <c r="G2460" s="35"/>
      <c r="H2460" s="35"/>
      <c r="I2460" s="35"/>
      <c r="J2460" s="35"/>
      <c r="K2460" s="35"/>
      <c r="L2460" s="35"/>
      <c r="M2460" s="35"/>
      <c r="N2460" s="35"/>
      <c r="O2460" s="35"/>
      <c r="P2460" s="35"/>
      <c r="Q2460" s="35"/>
      <c r="R2460" s="35"/>
      <c r="S2460" s="35"/>
      <c r="T2460" s="35"/>
      <c r="U2460" s="35"/>
      <c r="V2460" s="35"/>
      <c r="W2460" s="35"/>
      <c r="X2460" s="35"/>
      <c r="Y2460" s="35"/>
      <c r="Z2460" s="35"/>
      <c r="AA2460" s="35"/>
      <c r="AB2460" s="35"/>
      <c r="AC2460" s="35"/>
      <c r="AD2460" s="35"/>
      <c r="AE2460" s="35"/>
      <c r="AF2460" s="35"/>
      <c r="AG2460" s="35"/>
      <c r="AH2460" s="35"/>
      <c r="AI2460" s="35"/>
      <c r="AJ2460" s="35"/>
      <c r="AK2460" s="35"/>
      <c r="AL2460" s="35"/>
      <c r="AM2460" s="35"/>
      <c r="AN2460" s="35"/>
      <c r="AO2460" s="35"/>
      <c r="AP2460" s="35"/>
      <c r="AQ2460" s="35"/>
      <c r="AR2460" s="35"/>
      <c r="AS2460" s="35"/>
      <c r="AT2460" s="35"/>
      <c r="AU2460" s="35"/>
      <c r="AV2460" s="35"/>
      <c r="AW2460" s="35"/>
    </row>
    <row r="2461" spans="1:49" s="26" customFormat="1" ht="15" x14ac:dyDescent="0.25">
      <c r="A2461" s="35"/>
      <c r="B2461" s="35"/>
      <c r="C2461" s="35"/>
      <c r="D2461" s="35"/>
      <c r="E2461" s="35"/>
      <c r="F2461" s="35"/>
      <c r="G2461" s="35"/>
      <c r="H2461" s="35"/>
      <c r="I2461" s="35"/>
      <c r="J2461" s="35"/>
      <c r="K2461" s="35"/>
      <c r="L2461" s="35"/>
      <c r="M2461" s="35"/>
      <c r="N2461" s="35"/>
      <c r="O2461" s="35"/>
      <c r="P2461" s="35"/>
      <c r="Q2461" s="35"/>
      <c r="R2461" s="35"/>
      <c r="S2461" s="35"/>
      <c r="T2461" s="35"/>
      <c r="U2461" s="35"/>
      <c r="V2461" s="35"/>
      <c r="W2461" s="35"/>
      <c r="X2461" s="35"/>
      <c r="Y2461" s="35"/>
      <c r="Z2461" s="35"/>
      <c r="AA2461" s="35"/>
      <c r="AB2461" s="35"/>
      <c r="AC2461" s="35"/>
      <c r="AD2461" s="35"/>
      <c r="AE2461" s="35"/>
      <c r="AF2461" s="35"/>
      <c r="AG2461" s="35"/>
      <c r="AH2461" s="35"/>
      <c r="AI2461" s="35"/>
      <c r="AJ2461" s="35"/>
      <c r="AK2461" s="35"/>
      <c r="AL2461" s="35"/>
      <c r="AM2461" s="35"/>
      <c r="AN2461" s="35"/>
      <c r="AO2461" s="35"/>
      <c r="AP2461" s="35"/>
      <c r="AQ2461" s="35"/>
      <c r="AR2461" s="35"/>
      <c r="AS2461" s="35"/>
      <c r="AT2461" s="35"/>
      <c r="AU2461" s="35"/>
      <c r="AV2461" s="35"/>
      <c r="AW2461" s="35"/>
    </row>
    <row r="2462" spans="1:49" s="26" customFormat="1" ht="15" x14ac:dyDescent="0.25">
      <c r="A2462" s="35"/>
      <c r="B2462" s="35"/>
      <c r="C2462" s="35"/>
      <c r="D2462" s="35"/>
      <c r="E2462" s="35"/>
      <c r="F2462" s="35"/>
      <c r="G2462" s="35"/>
      <c r="H2462" s="35"/>
      <c r="I2462" s="35"/>
      <c r="J2462" s="35"/>
      <c r="K2462" s="35"/>
      <c r="L2462" s="35"/>
      <c r="M2462" s="35"/>
      <c r="N2462" s="35"/>
      <c r="O2462" s="35"/>
      <c r="P2462" s="35"/>
      <c r="Q2462" s="35"/>
      <c r="R2462" s="35"/>
      <c r="S2462" s="35"/>
      <c r="T2462" s="35"/>
      <c r="U2462" s="35"/>
      <c r="V2462" s="35"/>
      <c r="W2462" s="35"/>
      <c r="X2462" s="35"/>
      <c r="Y2462" s="35"/>
      <c r="Z2462" s="35"/>
      <c r="AA2462" s="35"/>
      <c r="AB2462" s="35"/>
      <c r="AC2462" s="35"/>
      <c r="AD2462" s="35"/>
      <c r="AE2462" s="35"/>
      <c r="AF2462" s="35"/>
      <c r="AG2462" s="35"/>
      <c r="AH2462" s="35"/>
      <c r="AI2462" s="35"/>
      <c r="AJ2462" s="35"/>
      <c r="AK2462" s="35"/>
      <c r="AL2462" s="35"/>
      <c r="AM2462" s="35"/>
      <c r="AN2462" s="35"/>
      <c r="AO2462" s="35"/>
      <c r="AP2462" s="35"/>
      <c r="AQ2462" s="35"/>
      <c r="AR2462" s="35"/>
      <c r="AS2462" s="35"/>
      <c r="AT2462" s="35"/>
      <c r="AU2462" s="35"/>
      <c r="AV2462" s="35"/>
      <c r="AW2462" s="35"/>
    </row>
    <row r="2463" spans="1:49" s="26" customFormat="1" ht="15" x14ac:dyDescent="0.25">
      <c r="A2463" s="35"/>
      <c r="B2463" s="35"/>
      <c r="C2463" s="35"/>
      <c r="D2463" s="35"/>
      <c r="E2463" s="35"/>
      <c r="F2463" s="35"/>
      <c r="G2463" s="35"/>
      <c r="H2463" s="35"/>
      <c r="I2463" s="35"/>
      <c r="J2463" s="35"/>
      <c r="K2463" s="35"/>
      <c r="L2463" s="35"/>
      <c r="M2463" s="35"/>
      <c r="N2463" s="35"/>
      <c r="O2463" s="35"/>
      <c r="P2463" s="35"/>
      <c r="Q2463" s="35"/>
      <c r="R2463" s="35"/>
      <c r="S2463" s="35"/>
      <c r="T2463" s="35"/>
      <c r="U2463" s="35"/>
      <c r="V2463" s="35"/>
      <c r="W2463" s="35"/>
      <c r="X2463" s="35"/>
      <c r="Y2463" s="35"/>
      <c r="Z2463" s="35"/>
      <c r="AA2463" s="35"/>
      <c r="AB2463" s="35"/>
      <c r="AC2463" s="35"/>
      <c r="AD2463" s="35"/>
      <c r="AE2463" s="35"/>
      <c r="AF2463" s="35"/>
      <c r="AG2463" s="35"/>
      <c r="AH2463" s="35"/>
      <c r="AI2463" s="35"/>
      <c r="AJ2463" s="35"/>
      <c r="AK2463" s="35"/>
      <c r="AL2463" s="35"/>
      <c r="AM2463" s="35"/>
      <c r="AN2463" s="35"/>
      <c r="AO2463" s="35"/>
      <c r="AP2463" s="35"/>
      <c r="AQ2463" s="35"/>
      <c r="AR2463" s="35"/>
      <c r="AS2463" s="35"/>
      <c r="AT2463" s="35"/>
      <c r="AU2463" s="35"/>
      <c r="AV2463" s="35"/>
      <c r="AW2463" s="35"/>
    </row>
    <row r="2464" spans="1:49" s="26" customFormat="1" ht="15" x14ac:dyDescent="0.25">
      <c r="A2464" s="35"/>
      <c r="B2464" s="35"/>
      <c r="C2464" s="35"/>
      <c r="D2464" s="35"/>
      <c r="E2464" s="35"/>
      <c r="F2464" s="35"/>
      <c r="G2464" s="35"/>
      <c r="H2464" s="35"/>
      <c r="I2464" s="35"/>
      <c r="J2464" s="35"/>
      <c r="K2464" s="35"/>
      <c r="L2464" s="35"/>
      <c r="M2464" s="35"/>
      <c r="N2464" s="35"/>
      <c r="O2464" s="35"/>
      <c r="P2464" s="35"/>
      <c r="Q2464" s="35"/>
      <c r="R2464" s="35"/>
      <c r="S2464" s="35"/>
      <c r="T2464" s="35"/>
      <c r="U2464" s="35"/>
      <c r="V2464" s="35"/>
      <c r="W2464" s="35"/>
      <c r="X2464" s="35"/>
      <c r="Y2464" s="35"/>
      <c r="Z2464" s="35"/>
      <c r="AA2464" s="35"/>
      <c r="AB2464" s="35"/>
      <c r="AC2464" s="35"/>
      <c r="AD2464" s="35"/>
      <c r="AE2464" s="35"/>
      <c r="AF2464" s="35"/>
      <c r="AG2464" s="35"/>
      <c r="AH2464" s="35"/>
      <c r="AI2464" s="35"/>
      <c r="AJ2464" s="35"/>
      <c r="AK2464" s="35"/>
      <c r="AL2464" s="35"/>
      <c r="AM2464" s="35"/>
      <c r="AN2464" s="35"/>
      <c r="AO2464" s="35"/>
      <c r="AP2464" s="35"/>
      <c r="AQ2464" s="35"/>
      <c r="AR2464" s="35"/>
      <c r="AS2464" s="35"/>
      <c r="AT2464" s="35"/>
      <c r="AU2464" s="35"/>
      <c r="AV2464" s="35"/>
      <c r="AW2464" s="35"/>
    </row>
    <row r="2465" spans="1:49" s="26" customFormat="1" ht="15" x14ac:dyDescent="0.25">
      <c r="A2465" s="35"/>
      <c r="B2465" s="35"/>
      <c r="C2465" s="35"/>
      <c r="D2465" s="35"/>
      <c r="E2465" s="35"/>
      <c r="F2465" s="35"/>
      <c r="G2465" s="35"/>
      <c r="H2465" s="35"/>
      <c r="I2465" s="35"/>
      <c r="J2465" s="35"/>
      <c r="K2465" s="35"/>
      <c r="L2465" s="35"/>
      <c r="M2465" s="35"/>
      <c r="N2465" s="35"/>
      <c r="O2465" s="35"/>
      <c r="P2465" s="35"/>
      <c r="Q2465" s="35"/>
      <c r="R2465" s="35"/>
      <c r="S2465" s="35"/>
      <c r="T2465" s="35"/>
      <c r="U2465" s="35"/>
      <c r="V2465" s="35"/>
      <c r="W2465" s="35"/>
      <c r="X2465" s="35"/>
      <c r="Y2465" s="35"/>
      <c r="Z2465" s="35"/>
      <c r="AA2465" s="35"/>
      <c r="AB2465" s="35"/>
      <c r="AC2465" s="35"/>
      <c r="AD2465" s="35"/>
      <c r="AE2465" s="35"/>
      <c r="AF2465" s="35"/>
      <c r="AG2465" s="35"/>
      <c r="AH2465" s="35"/>
      <c r="AI2465" s="35"/>
      <c r="AJ2465" s="35"/>
      <c r="AK2465" s="35"/>
      <c r="AL2465" s="35"/>
      <c r="AM2465" s="35"/>
      <c r="AN2465" s="35"/>
      <c r="AO2465" s="35"/>
      <c r="AP2465" s="35"/>
      <c r="AQ2465" s="35"/>
      <c r="AR2465" s="35"/>
      <c r="AS2465" s="35"/>
      <c r="AT2465" s="35"/>
      <c r="AU2465" s="35"/>
      <c r="AV2465" s="35"/>
      <c r="AW2465" s="35"/>
    </row>
    <row r="2466" spans="1:49" s="26" customFormat="1" ht="15" x14ac:dyDescent="0.25">
      <c r="A2466" s="35"/>
      <c r="B2466" s="35"/>
      <c r="C2466" s="35"/>
      <c r="D2466" s="35"/>
      <c r="E2466" s="35"/>
      <c r="F2466" s="35"/>
      <c r="G2466" s="35"/>
      <c r="H2466" s="35"/>
      <c r="I2466" s="35"/>
      <c r="J2466" s="35"/>
      <c r="K2466" s="35"/>
      <c r="L2466" s="35"/>
      <c r="M2466" s="35"/>
      <c r="N2466" s="35"/>
      <c r="O2466" s="35"/>
      <c r="P2466" s="35"/>
      <c r="Q2466" s="35"/>
      <c r="R2466" s="35"/>
      <c r="S2466" s="35"/>
      <c r="T2466" s="35"/>
      <c r="U2466" s="35"/>
      <c r="V2466" s="35"/>
      <c r="W2466" s="35"/>
      <c r="X2466" s="35"/>
      <c r="Y2466" s="35"/>
      <c r="Z2466" s="35"/>
      <c r="AA2466" s="35"/>
      <c r="AB2466" s="35"/>
      <c r="AC2466" s="35"/>
      <c r="AD2466" s="35"/>
      <c r="AE2466" s="35"/>
      <c r="AF2466" s="35"/>
      <c r="AG2466" s="35"/>
      <c r="AH2466" s="35"/>
      <c r="AI2466" s="35"/>
      <c r="AJ2466" s="35"/>
      <c r="AK2466" s="35"/>
      <c r="AL2466" s="35"/>
      <c r="AM2466" s="35"/>
      <c r="AN2466" s="35"/>
      <c r="AO2466" s="35"/>
      <c r="AP2466" s="35"/>
      <c r="AQ2466" s="35"/>
      <c r="AR2466" s="35"/>
      <c r="AS2466" s="35"/>
      <c r="AT2466" s="35"/>
      <c r="AU2466" s="35"/>
      <c r="AV2466" s="35"/>
      <c r="AW2466" s="35"/>
    </row>
    <row r="2467" spans="1:49" s="26" customFormat="1" ht="15" x14ac:dyDescent="0.25">
      <c r="A2467" s="35"/>
      <c r="B2467" s="35"/>
      <c r="C2467" s="35"/>
      <c r="D2467" s="35"/>
      <c r="E2467" s="35"/>
      <c r="F2467" s="35"/>
      <c r="G2467" s="35"/>
      <c r="H2467" s="35"/>
      <c r="I2467" s="35"/>
      <c r="J2467" s="35"/>
      <c r="K2467" s="35"/>
      <c r="L2467" s="35"/>
      <c r="M2467" s="35"/>
      <c r="N2467" s="35"/>
      <c r="O2467" s="35"/>
      <c r="P2467" s="35"/>
      <c r="Q2467" s="35"/>
      <c r="R2467" s="35"/>
      <c r="S2467" s="35"/>
      <c r="T2467" s="35"/>
      <c r="U2467" s="35"/>
      <c r="V2467" s="35"/>
      <c r="W2467" s="35"/>
      <c r="X2467" s="35"/>
      <c r="Y2467" s="35"/>
      <c r="Z2467" s="35"/>
      <c r="AA2467" s="35"/>
      <c r="AB2467" s="35"/>
      <c r="AC2467" s="35"/>
      <c r="AD2467" s="35"/>
      <c r="AE2467" s="35"/>
      <c r="AF2467" s="35"/>
      <c r="AG2467" s="35"/>
      <c r="AH2467" s="35"/>
      <c r="AI2467" s="35"/>
      <c r="AJ2467" s="35"/>
      <c r="AK2467" s="35"/>
      <c r="AL2467" s="35"/>
      <c r="AM2467" s="35"/>
      <c r="AN2467" s="35"/>
      <c r="AO2467" s="35"/>
      <c r="AP2467" s="35"/>
      <c r="AQ2467" s="35"/>
      <c r="AR2467" s="35"/>
      <c r="AS2467" s="35"/>
      <c r="AT2467" s="35"/>
      <c r="AU2467" s="35"/>
      <c r="AV2467" s="35"/>
      <c r="AW2467" s="35"/>
    </row>
    <row r="2468" spans="1:49" s="26" customFormat="1" ht="15" x14ac:dyDescent="0.25">
      <c r="A2468" s="35"/>
      <c r="B2468" s="35"/>
      <c r="C2468" s="35"/>
      <c r="D2468" s="35"/>
      <c r="E2468" s="35"/>
      <c r="F2468" s="35"/>
      <c r="G2468" s="35"/>
      <c r="H2468" s="35"/>
      <c r="I2468" s="35"/>
      <c r="J2468" s="35"/>
      <c r="K2468" s="35"/>
      <c r="L2468" s="35"/>
      <c r="M2468" s="35"/>
      <c r="N2468" s="35"/>
      <c r="O2468" s="35"/>
      <c r="P2468" s="35"/>
      <c r="Q2468" s="35"/>
      <c r="R2468" s="35"/>
      <c r="S2468" s="35"/>
      <c r="T2468" s="35"/>
      <c r="U2468" s="35"/>
      <c r="V2468" s="35"/>
      <c r="W2468" s="35"/>
      <c r="X2468" s="35"/>
      <c r="Y2468" s="35"/>
      <c r="Z2468" s="35"/>
      <c r="AA2468" s="35"/>
      <c r="AB2468" s="35"/>
      <c r="AC2468" s="35"/>
      <c r="AD2468" s="35"/>
      <c r="AE2468" s="35"/>
      <c r="AF2468" s="35"/>
      <c r="AG2468" s="35"/>
      <c r="AH2468" s="35"/>
      <c r="AI2468" s="35"/>
      <c r="AJ2468" s="35"/>
      <c r="AK2468" s="35"/>
      <c r="AL2468" s="35"/>
      <c r="AM2468" s="35"/>
      <c r="AN2468" s="35"/>
      <c r="AO2468" s="35"/>
      <c r="AP2468" s="35"/>
      <c r="AQ2468" s="35"/>
      <c r="AR2468" s="35"/>
      <c r="AS2468" s="35"/>
      <c r="AT2468" s="35"/>
      <c r="AU2468" s="35"/>
      <c r="AV2468" s="35"/>
      <c r="AW2468" s="35"/>
    </row>
    <row r="2469" spans="1:49" s="26" customFormat="1" ht="15" x14ac:dyDescent="0.25">
      <c r="A2469" s="35"/>
      <c r="B2469" s="35"/>
      <c r="C2469" s="35"/>
      <c r="D2469" s="35"/>
      <c r="E2469" s="35"/>
      <c r="F2469" s="35"/>
      <c r="G2469" s="35"/>
      <c r="H2469" s="35"/>
      <c r="I2469" s="35"/>
      <c r="J2469" s="35"/>
      <c r="K2469" s="35"/>
      <c r="L2469" s="35"/>
      <c r="M2469" s="35"/>
      <c r="N2469" s="35"/>
      <c r="O2469" s="35"/>
      <c r="P2469" s="35"/>
      <c r="Q2469" s="35"/>
      <c r="R2469" s="35"/>
      <c r="S2469" s="35"/>
      <c r="T2469" s="35"/>
      <c r="U2469" s="35"/>
      <c r="V2469" s="35"/>
      <c r="W2469" s="35"/>
      <c r="X2469" s="35"/>
      <c r="Y2469" s="35"/>
      <c r="Z2469" s="35"/>
      <c r="AA2469" s="35"/>
      <c r="AB2469" s="35"/>
      <c r="AC2469" s="35"/>
      <c r="AD2469" s="35"/>
      <c r="AE2469" s="35"/>
      <c r="AF2469" s="35"/>
      <c r="AG2469" s="35"/>
      <c r="AH2469" s="35"/>
      <c r="AI2469" s="35"/>
      <c r="AJ2469" s="35"/>
      <c r="AK2469" s="35"/>
      <c r="AL2469" s="35"/>
      <c r="AM2469" s="35"/>
      <c r="AN2469" s="35"/>
      <c r="AO2469" s="35"/>
      <c r="AP2469" s="35"/>
      <c r="AQ2469" s="35"/>
      <c r="AR2469" s="35"/>
      <c r="AS2469" s="35"/>
      <c r="AT2469" s="35"/>
      <c r="AU2469" s="35"/>
      <c r="AV2469" s="35"/>
      <c r="AW2469" s="35"/>
    </row>
    <row r="2470" spans="1:49" s="26" customFormat="1" ht="15" x14ac:dyDescent="0.25">
      <c r="A2470" s="35"/>
      <c r="B2470" s="35"/>
      <c r="C2470" s="35"/>
      <c r="D2470" s="35"/>
      <c r="E2470" s="35"/>
      <c r="F2470" s="35"/>
      <c r="G2470" s="35"/>
      <c r="H2470" s="35"/>
      <c r="I2470" s="35"/>
      <c r="J2470" s="35"/>
      <c r="K2470" s="35"/>
      <c r="L2470" s="35"/>
      <c r="M2470" s="35"/>
      <c r="N2470" s="35"/>
      <c r="O2470" s="35"/>
      <c r="P2470" s="35"/>
      <c r="Q2470" s="35"/>
      <c r="R2470" s="35"/>
      <c r="S2470" s="35"/>
      <c r="T2470" s="35"/>
      <c r="U2470" s="35"/>
      <c r="V2470" s="35"/>
      <c r="W2470" s="35"/>
      <c r="X2470" s="35"/>
      <c r="Y2470" s="35"/>
      <c r="Z2470" s="35"/>
      <c r="AA2470" s="35"/>
      <c r="AB2470" s="35"/>
      <c r="AC2470" s="35"/>
      <c r="AD2470" s="35"/>
      <c r="AE2470" s="35"/>
      <c r="AF2470" s="35"/>
      <c r="AG2470" s="35"/>
      <c r="AH2470" s="35"/>
      <c r="AI2470" s="35"/>
      <c r="AJ2470" s="35"/>
      <c r="AK2470" s="35"/>
      <c r="AL2470" s="35"/>
      <c r="AM2470" s="35"/>
      <c r="AN2470" s="35"/>
      <c r="AO2470" s="35"/>
      <c r="AP2470" s="35"/>
      <c r="AQ2470" s="35"/>
      <c r="AR2470" s="35"/>
      <c r="AS2470" s="35"/>
      <c r="AT2470" s="35"/>
      <c r="AU2470" s="35"/>
      <c r="AV2470" s="35"/>
      <c r="AW2470" s="35"/>
    </row>
    <row r="2471" spans="1:49" s="26" customFormat="1" ht="15" x14ac:dyDescent="0.25">
      <c r="A2471" s="35"/>
      <c r="B2471" s="35"/>
      <c r="C2471" s="35"/>
      <c r="D2471" s="35"/>
      <c r="E2471" s="35"/>
      <c r="F2471" s="35"/>
      <c r="G2471" s="35"/>
      <c r="H2471" s="35"/>
      <c r="I2471" s="35"/>
      <c r="J2471" s="35"/>
      <c r="K2471" s="35"/>
      <c r="L2471" s="35"/>
      <c r="M2471" s="35"/>
      <c r="N2471" s="35"/>
      <c r="O2471" s="35"/>
      <c r="P2471" s="35"/>
      <c r="Q2471" s="35"/>
      <c r="R2471" s="35"/>
      <c r="S2471" s="35"/>
      <c r="T2471" s="35"/>
      <c r="U2471" s="35"/>
      <c r="V2471" s="35"/>
      <c r="W2471" s="35"/>
      <c r="X2471" s="35"/>
      <c r="Y2471" s="35"/>
      <c r="Z2471" s="35"/>
      <c r="AA2471" s="35"/>
      <c r="AB2471" s="35"/>
      <c r="AC2471" s="35"/>
      <c r="AD2471" s="35"/>
      <c r="AE2471" s="35"/>
      <c r="AF2471" s="35"/>
      <c r="AG2471" s="35"/>
      <c r="AH2471" s="35"/>
      <c r="AI2471" s="35"/>
      <c r="AJ2471" s="35"/>
      <c r="AK2471" s="35"/>
      <c r="AL2471" s="35"/>
      <c r="AM2471" s="35"/>
      <c r="AN2471" s="35"/>
      <c r="AO2471" s="35"/>
      <c r="AP2471" s="35"/>
      <c r="AQ2471" s="35"/>
      <c r="AR2471" s="35"/>
      <c r="AS2471" s="35"/>
      <c r="AT2471" s="35"/>
      <c r="AU2471" s="35"/>
      <c r="AV2471" s="35"/>
      <c r="AW2471" s="35"/>
    </row>
    <row r="2472" spans="1:49" s="26" customFormat="1" ht="15" x14ac:dyDescent="0.25">
      <c r="A2472" s="35"/>
      <c r="B2472" s="35"/>
      <c r="C2472" s="35"/>
      <c r="D2472" s="35"/>
      <c r="E2472" s="35"/>
      <c r="F2472" s="35"/>
      <c r="G2472" s="35"/>
      <c r="H2472" s="35"/>
      <c r="I2472" s="35"/>
      <c r="J2472" s="35"/>
      <c r="K2472" s="35"/>
      <c r="L2472" s="35"/>
      <c r="M2472" s="35"/>
      <c r="N2472" s="35"/>
      <c r="O2472" s="35"/>
      <c r="P2472" s="35"/>
      <c r="Q2472" s="35"/>
      <c r="R2472" s="35"/>
      <c r="S2472" s="35"/>
      <c r="T2472" s="35"/>
      <c r="U2472" s="35"/>
      <c r="V2472" s="35"/>
      <c r="W2472" s="35"/>
      <c r="X2472" s="35"/>
      <c r="Y2472" s="35"/>
      <c r="Z2472" s="35"/>
      <c r="AA2472" s="35"/>
      <c r="AB2472" s="35"/>
      <c r="AC2472" s="35"/>
      <c r="AD2472" s="35"/>
      <c r="AE2472" s="35"/>
      <c r="AF2472" s="35"/>
      <c r="AG2472" s="35"/>
      <c r="AH2472" s="35"/>
      <c r="AI2472" s="35"/>
      <c r="AJ2472" s="35"/>
      <c r="AK2472" s="35"/>
      <c r="AL2472" s="35"/>
      <c r="AM2472" s="35"/>
      <c r="AN2472" s="35"/>
      <c r="AO2472" s="35"/>
      <c r="AP2472" s="35"/>
      <c r="AQ2472" s="35"/>
      <c r="AR2472" s="35"/>
      <c r="AS2472" s="35"/>
      <c r="AT2472" s="35"/>
      <c r="AU2472" s="35"/>
      <c r="AV2472" s="35"/>
      <c r="AW2472" s="35"/>
    </row>
    <row r="2473" spans="1:49" s="26" customFormat="1" ht="15" x14ac:dyDescent="0.25">
      <c r="A2473" s="35"/>
      <c r="B2473" s="35"/>
      <c r="C2473" s="35"/>
      <c r="D2473" s="35"/>
      <c r="E2473" s="35"/>
      <c r="F2473" s="35"/>
      <c r="G2473" s="35"/>
      <c r="H2473" s="35"/>
      <c r="I2473" s="35"/>
      <c r="J2473" s="35"/>
      <c r="K2473" s="35"/>
      <c r="L2473" s="35"/>
      <c r="M2473" s="35"/>
      <c r="N2473" s="35"/>
      <c r="O2473" s="35"/>
      <c r="P2473" s="35"/>
      <c r="Q2473" s="35"/>
      <c r="R2473" s="35"/>
      <c r="S2473" s="35"/>
      <c r="T2473" s="35"/>
      <c r="U2473" s="35"/>
      <c r="V2473" s="35"/>
      <c r="W2473" s="35"/>
      <c r="X2473" s="35"/>
      <c r="Y2473" s="35"/>
      <c r="Z2473" s="35"/>
      <c r="AA2473" s="35"/>
      <c r="AB2473" s="35"/>
      <c r="AC2473" s="35"/>
      <c r="AD2473" s="35"/>
      <c r="AE2473" s="35"/>
      <c r="AF2473" s="35"/>
      <c r="AG2473" s="35"/>
      <c r="AH2473" s="35"/>
      <c r="AI2473" s="35"/>
      <c r="AJ2473" s="35"/>
      <c r="AK2473" s="35"/>
      <c r="AL2473" s="35"/>
      <c r="AM2473" s="35"/>
      <c r="AN2473" s="35"/>
      <c r="AO2473" s="35"/>
      <c r="AP2473" s="35"/>
      <c r="AQ2473" s="35"/>
      <c r="AR2473" s="35"/>
      <c r="AS2473" s="35"/>
      <c r="AT2473" s="35"/>
      <c r="AU2473" s="35"/>
      <c r="AV2473" s="35"/>
      <c r="AW2473" s="35"/>
    </row>
    <row r="2474" spans="1:49" s="26" customFormat="1" ht="15" x14ac:dyDescent="0.25">
      <c r="A2474" s="35"/>
      <c r="B2474" s="35"/>
      <c r="C2474" s="35"/>
      <c r="D2474" s="35"/>
      <c r="E2474" s="35"/>
      <c r="F2474" s="35"/>
      <c r="G2474" s="35"/>
      <c r="H2474" s="35"/>
      <c r="I2474" s="35"/>
      <c r="J2474" s="35"/>
      <c r="K2474" s="35"/>
      <c r="L2474" s="35"/>
      <c r="M2474" s="35"/>
      <c r="N2474" s="35"/>
      <c r="O2474" s="35"/>
      <c r="P2474" s="35"/>
      <c r="Q2474" s="35"/>
      <c r="R2474" s="35"/>
      <c r="S2474" s="35"/>
      <c r="T2474" s="35"/>
      <c r="U2474" s="35"/>
      <c r="V2474" s="35"/>
      <c r="W2474" s="35"/>
      <c r="X2474" s="35"/>
      <c r="Y2474" s="35"/>
      <c r="Z2474" s="35"/>
      <c r="AA2474" s="35"/>
      <c r="AB2474" s="35"/>
      <c r="AC2474" s="35"/>
      <c r="AD2474" s="35"/>
      <c r="AE2474" s="35"/>
      <c r="AF2474" s="35"/>
      <c r="AG2474" s="35"/>
      <c r="AH2474" s="35"/>
      <c r="AI2474" s="35"/>
      <c r="AJ2474" s="35"/>
      <c r="AK2474" s="35"/>
      <c r="AL2474" s="35"/>
      <c r="AM2474" s="35"/>
      <c r="AN2474" s="35"/>
      <c r="AO2474" s="35"/>
      <c r="AP2474" s="35"/>
      <c r="AQ2474" s="35"/>
      <c r="AR2474" s="35"/>
      <c r="AS2474" s="35"/>
      <c r="AT2474" s="35"/>
      <c r="AU2474" s="35"/>
      <c r="AV2474" s="35"/>
      <c r="AW2474" s="35"/>
    </row>
    <row r="2475" spans="1:49" s="26" customFormat="1" ht="15" x14ac:dyDescent="0.25">
      <c r="A2475" s="35"/>
      <c r="B2475" s="35"/>
      <c r="C2475" s="35"/>
      <c r="D2475" s="35"/>
      <c r="E2475" s="35"/>
      <c r="F2475" s="35"/>
      <c r="G2475" s="35"/>
      <c r="H2475" s="35"/>
      <c r="I2475" s="35"/>
      <c r="J2475" s="35"/>
      <c r="K2475" s="35"/>
      <c r="L2475" s="35"/>
      <c r="M2475" s="35"/>
      <c r="N2475" s="35"/>
      <c r="O2475" s="35"/>
      <c r="P2475" s="35"/>
      <c r="Q2475" s="35"/>
      <c r="R2475" s="35"/>
      <c r="S2475" s="35"/>
      <c r="T2475" s="35"/>
      <c r="U2475" s="35"/>
      <c r="V2475" s="35"/>
      <c r="W2475" s="35"/>
      <c r="X2475" s="35"/>
      <c r="Y2475" s="35"/>
      <c r="Z2475" s="35"/>
      <c r="AA2475" s="35"/>
      <c r="AB2475" s="35"/>
      <c r="AC2475" s="35"/>
      <c r="AD2475" s="35"/>
      <c r="AE2475" s="35"/>
      <c r="AF2475" s="35"/>
      <c r="AG2475" s="35"/>
      <c r="AH2475" s="35"/>
      <c r="AI2475" s="35"/>
      <c r="AJ2475" s="35"/>
      <c r="AK2475" s="35"/>
      <c r="AL2475" s="35"/>
      <c r="AM2475" s="35"/>
      <c r="AN2475" s="35"/>
      <c r="AO2475" s="35"/>
      <c r="AP2475" s="35"/>
      <c r="AQ2475" s="35"/>
      <c r="AR2475" s="35"/>
      <c r="AS2475" s="35"/>
      <c r="AT2475" s="35"/>
      <c r="AU2475" s="35"/>
      <c r="AV2475" s="35"/>
      <c r="AW2475" s="35"/>
    </row>
    <row r="2476" spans="1:49" s="26" customFormat="1" ht="15" x14ac:dyDescent="0.25">
      <c r="A2476" s="35"/>
      <c r="B2476" s="35"/>
      <c r="C2476" s="35"/>
      <c r="D2476" s="35"/>
      <c r="E2476" s="35"/>
      <c r="F2476" s="35"/>
      <c r="G2476" s="35"/>
      <c r="H2476" s="35"/>
      <c r="I2476" s="35"/>
      <c r="J2476" s="35"/>
      <c r="K2476" s="35"/>
      <c r="L2476" s="35"/>
      <c r="M2476" s="35"/>
      <c r="N2476" s="35"/>
      <c r="O2476" s="35"/>
      <c r="P2476" s="35"/>
      <c r="Q2476" s="35"/>
      <c r="R2476" s="35"/>
      <c r="S2476" s="35"/>
      <c r="T2476" s="35"/>
      <c r="U2476" s="35"/>
      <c r="V2476" s="35"/>
      <c r="W2476" s="35"/>
      <c r="X2476" s="35"/>
      <c r="Y2476" s="35"/>
      <c r="Z2476" s="35"/>
      <c r="AA2476" s="35"/>
      <c r="AB2476" s="35"/>
      <c r="AC2476" s="35"/>
      <c r="AD2476" s="35"/>
      <c r="AE2476" s="35"/>
      <c r="AF2476" s="35"/>
      <c r="AG2476" s="35"/>
      <c r="AH2476" s="35"/>
      <c r="AI2476" s="35"/>
      <c r="AJ2476" s="35"/>
      <c r="AK2476" s="35"/>
      <c r="AL2476" s="35"/>
      <c r="AM2476" s="35"/>
      <c r="AN2476" s="35"/>
      <c r="AO2476" s="35"/>
      <c r="AP2476" s="35"/>
      <c r="AQ2476" s="35"/>
      <c r="AR2476" s="35"/>
      <c r="AS2476" s="35"/>
      <c r="AT2476" s="35"/>
      <c r="AU2476" s="35"/>
      <c r="AV2476" s="35"/>
      <c r="AW2476" s="35"/>
    </row>
  </sheetData>
  <sortState xmlns:xlrd2="http://schemas.microsoft.com/office/spreadsheetml/2017/richdata2" ref="A2:AW2795">
    <sortCondition ref="A2:A2795"/>
    <sortCondition ref="B2:B2795"/>
    <sortCondition ref="E2:E2795"/>
  </sortState>
  <conditionalFormatting sqref="AD1">
    <cfRule type="cellIs" dxfId="15" priority="16" operator="equal">
      <formula>"NO"</formula>
    </cfRule>
  </conditionalFormatting>
  <conditionalFormatting sqref="AD2:AD106">
    <cfRule type="cellIs" dxfId="14" priority="15" operator="equal">
      <formula>"NO"</formula>
    </cfRule>
  </conditionalFormatting>
  <conditionalFormatting sqref="E2:F106">
    <cfRule type="timePeriod" dxfId="13" priority="14" timePeriod="lastWeek">
      <formula>AND(TODAY()-ROUNDDOWN(E2,0)&gt;=(WEEKDAY(TODAY())),TODAY()-ROUNDDOWN(E2,0)&lt;(WEEKDAY(TODAY())+7))</formula>
    </cfRule>
  </conditionalFormatting>
  <conditionalFormatting sqref="AD401:AD508">
    <cfRule type="cellIs" dxfId="12" priority="13" operator="equal">
      <formula>"NO"</formula>
    </cfRule>
  </conditionalFormatting>
  <conditionalFormatting sqref="E401:F508">
    <cfRule type="timePeriod" dxfId="11" priority="12" timePeriod="lastWeek">
      <formula>AND(TODAY()-ROUNDDOWN(E401,0)&gt;=(WEEKDAY(TODAY())),TODAY()-ROUNDDOWN(E401,0)&lt;(WEEKDAY(TODAY())+7))</formula>
    </cfRule>
  </conditionalFormatting>
  <conditionalFormatting sqref="AD801:AD914">
    <cfRule type="cellIs" dxfId="10" priority="11" operator="equal">
      <formula>"NO"</formula>
    </cfRule>
  </conditionalFormatting>
  <conditionalFormatting sqref="E803:F803 E805:F816 E818:F834 E862:F869 E873:F882 E885:F887">
    <cfRule type="timePeriod" dxfId="9" priority="10" timePeriod="lastWeek">
      <formula>AND(TODAY()-ROUNDDOWN(E803,0)&gt;=(WEEKDAY(TODAY())),TODAY()-ROUNDDOWN(E803,0)&lt;(WEEKDAY(TODAY())+7))</formula>
    </cfRule>
  </conditionalFormatting>
  <conditionalFormatting sqref="E836:F836">
    <cfRule type="timePeriod" dxfId="8" priority="9" timePeriod="lastWeek">
      <formula>AND(TODAY()-ROUNDDOWN(E836,0)&gt;=(WEEKDAY(TODAY())),TODAY()-ROUNDDOWN(E836,0)&lt;(WEEKDAY(TODAY())+7))</formula>
    </cfRule>
  </conditionalFormatting>
  <conditionalFormatting sqref="E845:F847 E853:F857">
    <cfRule type="timePeriod" dxfId="7" priority="8" timePeriod="lastWeek">
      <formula>AND(TODAY()-ROUNDDOWN(E845,0)&gt;=(WEEKDAY(TODAY())),TODAY()-ROUNDDOWN(E845,0)&lt;(WEEKDAY(TODAY())+7))</formula>
    </cfRule>
  </conditionalFormatting>
  <conditionalFormatting sqref="E849:F851">
    <cfRule type="timePeriod" dxfId="6" priority="7" timePeriod="lastWeek">
      <formula>AND(TODAY()-ROUNDDOWN(E849,0)&gt;=(WEEKDAY(TODAY())),TODAY()-ROUNDDOWN(E849,0)&lt;(WEEKDAY(TODAY())+7))</formula>
    </cfRule>
  </conditionalFormatting>
  <conditionalFormatting sqref="AD1200:AD1320">
    <cfRule type="cellIs" dxfId="5" priority="6" operator="equal">
      <formula>"NO"</formula>
    </cfRule>
  </conditionalFormatting>
  <conditionalFormatting sqref="AD1599:AD1690">
    <cfRule type="cellIs" dxfId="4" priority="5" operator="equal">
      <formula>"NO"</formula>
    </cfRule>
  </conditionalFormatting>
  <conditionalFormatting sqref="AD1998:AD2084">
    <cfRule type="cellIs" dxfId="3" priority="4" operator="equal">
      <formula>"NO"</formula>
    </cfRule>
  </conditionalFormatting>
  <conditionalFormatting sqref="E2028:F2028 E2031:F2031 E2037:F2037 E2041:F2041 E2044:F2044 E2056:F2056 E2064:F2064 E2075:F2075 E2073:F2073">
    <cfRule type="timePeriod" dxfId="2" priority="3" timePeriod="lastWeek">
      <formula>AND(TODAY()-ROUNDDOWN(E2028,0)&gt;=(WEEKDAY(TODAY())),TODAY()-ROUNDDOWN(E2028,0)&lt;(WEEKDAY(TODAY())+7))</formula>
    </cfRule>
  </conditionalFormatting>
  <conditionalFormatting sqref="AD2397:AD2476">
    <cfRule type="cellIs" dxfId="1" priority="2" operator="equal">
      <formula>"NO"</formula>
    </cfRule>
  </conditionalFormatting>
  <conditionalFormatting sqref="E2397:F2476">
    <cfRule type="timePeriod" dxfId="0" priority="1" timePeriod="lastWeek">
      <formula>AND(TODAY()-ROUNDDOWN(E2397,0)&gt;=(WEEKDAY(TODAY())),TODAY()-ROUNDDOWN(E2397,0)&lt;(WEEKDAY(TODAY())+7))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B45F5B-A1DD-4E93-B088-3AA7D65A2008}">
  <sheetPr codeName="Sheet1"/>
  <dimension ref="A1:AW2795"/>
  <sheetViews>
    <sheetView topLeftCell="B1" zoomScale="55" zoomScaleNormal="55" workbookViewId="0">
      <selection sqref="A1:XFD1048576"/>
    </sheetView>
  </sheetViews>
  <sheetFormatPr defaultColWidth="0" defaultRowHeight="12.75" x14ac:dyDescent="0.2"/>
  <cols>
    <col min="2" max="2" width="14.85546875" customWidth="1"/>
    <col min="4" max="4" width="17.5703125" customWidth="1"/>
    <col min="5" max="5" width="17.28515625" customWidth="1"/>
    <col min="6" max="6" width="18.7109375" customWidth="1"/>
    <col min="7" max="7" width="16" customWidth="1"/>
    <col min="8" max="8" width="63.7109375" customWidth="1"/>
    <col min="9" max="9" width="48.42578125" customWidth="1"/>
    <col min="10" max="10" width="12.85546875" customWidth="1"/>
    <col min="11" max="11" width="16.42578125" customWidth="1"/>
    <col min="14" max="14" width="9.140625" customWidth="1"/>
    <col min="17" max="18" width="19.5703125" customWidth="1"/>
    <col min="30" max="30" width="19" customWidth="1"/>
  </cols>
  <sheetData>
    <row r="1" spans="1:49" s="8" customFormat="1" ht="33.950000000000003" customHeight="1" x14ac:dyDescent="0.25">
      <c r="A1" s="1" t="s">
        <v>10</v>
      </c>
      <c r="B1" s="2" t="s">
        <v>0</v>
      </c>
      <c r="C1" s="2" t="s">
        <v>1</v>
      </c>
      <c r="D1" s="1" t="s">
        <v>2</v>
      </c>
      <c r="E1" s="3" t="s">
        <v>3</v>
      </c>
      <c r="F1" s="3" t="s">
        <v>4</v>
      </c>
      <c r="G1" s="3" t="s">
        <v>5</v>
      </c>
      <c r="H1" s="1" t="s">
        <v>27</v>
      </c>
      <c r="I1" s="3" t="s">
        <v>11</v>
      </c>
      <c r="J1" s="1" t="s">
        <v>6</v>
      </c>
      <c r="K1" s="1" t="s">
        <v>26</v>
      </c>
      <c r="L1" s="4" t="s">
        <v>12</v>
      </c>
      <c r="M1" s="4" t="s">
        <v>13</v>
      </c>
      <c r="N1" s="1" t="s">
        <v>7</v>
      </c>
      <c r="O1" s="4" t="s">
        <v>14</v>
      </c>
      <c r="P1" s="6" t="s">
        <v>15</v>
      </c>
      <c r="Q1" s="1" t="s">
        <v>16</v>
      </c>
      <c r="R1" s="6" t="s">
        <v>8</v>
      </c>
      <c r="S1" s="1" t="s">
        <v>17</v>
      </c>
      <c r="T1" s="6" t="s">
        <v>18</v>
      </c>
      <c r="U1" s="5" t="s">
        <v>28</v>
      </c>
      <c r="V1" s="6" t="s">
        <v>19</v>
      </c>
      <c r="W1" s="1" t="s">
        <v>20</v>
      </c>
      <c r="X1" s="1" t="s">
        <v>21</v>
      </c>
      <c r="Y1" s="1" t="s">
        <v>22</v>
      </c>
      <c r="Z1" s="1" t="s">
        <v>9</v>
      </c>
      <c r="AA1" s="1" t="s">
        <v>23</v>
      </c>
      <c r="AB1" s="1" t="s">
        <v>24</v>
      </c>
      <c r="AC1" s="1" t="s">
        <v>25</v>
      </c>
      <c r="AD1" s="7" t="str">
        <f>IF(N1="PRG","",IF(I1&gt;=E1,IF(I1&lt;=F1,"","NO"),"NO"))</f>
        <v>NO</v>
      </c>
    </row>
    <row r="2" spans="1:49" s="17" customFormat="1" ht="35.1" customHeight="1" x14ac:dyDescent="0.25">
      <c r="A2" s="9" t="s">
        <v>29</v>
      </c>
      <c r="B2" s="10">
        <v>46048</v>
      </c>
      <c r="C2" s="10">
        <v>46048</v>
      </c>
      <c r="D2" s="11" t="s">
        <v>30</v>
      </c>
      <c r="E2" s="12">
        <v>0</v>
      </c>
      <c r="F2" s="12">
        <v>0.25</v>
      </c>
      <c r="G2" s="12">
        <v>0.25</v>
      </c>
      <c r="H2" s="9" t="s">
        <v>31</v>
      </c>
      <c r="I2" s="13"/>
      <c r="J2" s="9" t="s">
        <v>32</v>
      </c>
      <c r="K2" s="9" t="s">
        <v>31</v>
      </c>
      <c r="L2" s="14">
        <v>1</v>
      </c>
      <c r="M2" s="14">
        <v>1</v>
      </c>
      <c r="N2" s="9" t="s">
        <v>33</v>
      </c>
      <c r="O2" s="9"/>
      <c r="P2" s="15">
        <v>0</v>
      </c>
      <c r="Q2" s="14"/>
      <c r="R2" s="15">
        <v>0</v>
      </c>
      <c r="S2" s="9">
        <v>46054</v>
      </c>
      <c r="T2" s="16">
        <v>0</v>
      </c>
      <c r="U2" s="14">
        <v>1</v>
      </c>
      <c r="V2" s="16">
        <v>0</v>
      </c>
      <c r="W2" s="9" t="s">
        <v>34</v>
      </c>
      <c r="X2" s="9" t="s">
        <v>35</v>
      </c>
      <c r="Y2" s="9" t="s">
        <v>36</v>
      </c>
      <c r="Z2" s="9" t="s">
        <v>9</v>
      </c>
      <c r="AA2" s="9" t="s">
        <v>37</v>
      </c>
      <c r="AB2" s="9" t="s">
        <v>37</v>
      </c>
      <c r="AC2" s="9" t="s">
        <v>38</v>
      </c>
      <c r="AD2" s="7" t="str">
        <f t="shared" ref="AD2:AD65" si="0">IF(N2="PRG","",IF(I2&gt;=E2,IF(I2&lt;=F2,"","NO"),"NO"))</f>
        <v/>
      </c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</row>
    <row r="3" spans="1:49" s="17" customFormat="1" ht="35.1" customHeight="1" x14ac:dyDescent="0.25">
      <c r="A3" s="9" t="s">
        <v>39</v>
      </c>
      <c r="B3" s="10">
        <v>46048</v>
      </c>
      <c r="C3" s="10">
        <v>46048</v>
      </c>
      <c r="D3" s="11" t="s">
        <v>30</v>
      </c>
      <c r="E3" s="12">
        <v>0.25</v>
      </c>
      <c r="F3" s="12">
        <v>0.29166666666666669</v>
      </c>
      <c r="G3" s="12">
        <v>4.1666666666666664E-2</v>
      </c>
      <c r="H3" s="9" t="s">
        <v>40</v>
      </c>
      <c r="I3" s="13"/>
      <c r="J3" s="9" t="s">
        <v>41</v>
      </c>
      <c r="K3" s="9"/>
      <c r="L3" s="14">
        <v>1</v>
      </c>
      <c r="M3" s="14">
        <v>1</v>
      </c>
      <c r="N3" s="9" t="s">
        <v>33</v>
      </c>
      <c r="O3" s="9"/>
      <c r="P3" s="15">
        <v>0</v>
      </c>
      <c r="Q3" s="14"/>
      <c r="R3" s="15">
        <v>0</v>
      </c>
      <c r="S3" s="9">
        <v>46054</v>
      </c>
      <c r="T3" s="15">
        <v>0</v>
      </c>
      <c r="U3" s="14">
        <v>2</v>
      </c>
      <c r="V3" s="15">
        <v>0</v>
      </c>
      <c r="W3" s="9" t="s">
        <v>34</v>
      </c>
      <c r="X3" s="9" t="s">
        <v>42</v>
      </c>
      <c r="Y3" s="9" t="s">
        <v>36</v>
      </c>
      <c r="Z3" s="9" t="s">
        <v>43</v>
      </c>
      <c r="AA3" s="9" t="s">
        <v>37</v>
      </c>
      <c r="AB3" s="9" t="s">
        <v>37</v>
      </c>
      <c r="AC3" s="9" t="s">
        <v>38</v>
      </c>
      <c r="AD3" s="7" t="str">
        <f t="shared" si="0"/>
        <v/>
      </c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</row>
    <row r="4" spans="1:49" s="17" customFormat="1" ht="35.1" customHeight="1" x14ac:dyDescent="0.25">
      <c r="A4" s="18" t="s">
        <v>51</v>
      </c>
      <c r="B4" s="19">
        <v>46048</v>
      </c>
      <c r="C4" s="19">
        <v>46048</v>
      </c>
      <c r="D4" s="18" t="s">
        <v>30</v>
      </c>
      <c r="E4" s="20">
        <v>0.25</v>
      </c>
      <c r="F4" s="20">
        <v>0.29166666666666669</v>
      </c>
      <c r="G4" s="20">
        <v>3.4722222222222218E-4</v>
      </c>
      <c r="H4" s="18" t="s">
        <v>52</v>
      </c>
      <c r="I4" s="21">
        <v>0.28394675925925927</v>
      </c>
      <c r="J4" s="18" t="s">
        <v>41</v>
      </c>
      <c r="K4" s="18" t="s">
        <v>40</v>
      </c>
      <c r="L4" s="22">
        <v>1</v>
      </c>
      <c r="M4" s="22">
        <v>70365</v>
      </c>
      <c r="N4" s="18" t="s">
        <v>53</v>
      </c>
      <c r="O4" s="22" t="s">
        <v>54</v>
      </c>
      <c r="P4" s="23">
        <v>40</v>
      </c>
      <c r="Q4" s="22"/>
      <c r="R4" s="23">
        <v>40</v>
      </c>
      <c r="S4" s="24">
        <v>46054</v>
      </c>
      <c r="T4" s="23">
        <v>6</v>
      </c>
      <c r="U4" s="25">
        <v>4</v>
      </c>
      <c r="V4" s="23">
        <v>34</v>
      </c>
      <c r="W4" s="18" t="s">
        <v>47</v>
      </c>
      <c r="X4" s="18" t="s">
        <v>48</v>
      </c>
      <c r="Y4" s="18" t="s">
        <v>36</v>
      </c>
      <c r="Z4" s="18" t="s">
        <v>9</v>
      </c>
      <c r="AA4" s="18" t="s">
        <v>49</v>
      </c>
      <c r="AB4" s="18" t="s">
        <v>55</v>
      </c>
      <c r="AC4" s="18" t="s">
        <v>38</v>
      </c>
      <c r="AD4" s="7" t="str">
        <f t="shared" si="0"/>
        <v/>
      </c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</row>
    <row r="5" spans="1:49" s="17" customFormat="1" ht="35.1" customHeight="1" x14ac:dyDescent="0.25">
      <c r="A5" s="9" t="s">
        <v>65</v>
      </c>
      <c r="B5" s="10">
        <v>46048</v>
      </c>
      <c r="C5" s="10">
        <v>46048</v>
      </c>
      <c r="D5" s="11" t="s">
        <v>30</v>
      </c>
      <c r="E5" s="12">
        <v>0.29166666666666669</v>
      </c>
      <c r="F5" s="12">
        <v>0.3125</v>
      </c>
      <c r="G5" s="12">
        <v>2.0833333333333332E-2</v>
      </c>
      <c r="H5" s="9" t="s">
        <v>66</v>
      </c>
      <c r="I5" s="13" t="s">
        <v>67</v>
      </c>
      <c r="J5" s="9" t="s">
        <v>41</v>
      </c>
      <c r="K5" s="9"/>
      <c r="L5" s="14">
        <v>1</v>
      </c>
      <c r="M5" s="14">
        <v>1</v>
      </c>
      <c r="N5" s="9" t="s">
        <v>33</v>
      </c>
      <c r="O5" s="9"/>
      <c r="P5" s="16">
        <v>0</v>
      </c>
      <c r="Q5" s="14"/>
      <c r="R5" s="16">
        <v>0</v>
      </c>
      <c r="S5" s="9">
        <v>46054</v>
      </c>
      <c r="T5" s="16">
        <v>0</v>
      </c>
      <c r="U5" s="14">
        <v>2</v>
      </c>
      <c r="V5" s="16">
        <v>0</v>
      </c>
      <c r="W5" s="9" t="s">
        <v>34</v>
      </c>
      <c r="X5" s="9" t="s">
        <v>42</v>
      </c>
      <c r="Y5" s="9" t="s">
        <v>36</v>
      </c>
      <c r="Z5" s="9" t="s">
        <v>43</v>
      </c>
      <c r="AA5" s="9" t="s">
        <v>37</v>
      </c>
      <c r="AB5" s="9" t="s">
        <v>37</v>
      </c>
      <c r="AC5" s="9" t="s">
        <v>38</v>
      </c>
      <c r="AD5" s="7" t="str">
        <f t="shared" si="0"/>
        <v/>
      </c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</row>
    <row r="6" spans="1:49" s="17" customFormat="1" ht="35.1" customHeight="1" x14ac:dyDescent="0.25">
      <c r="A6" s="18" t="s">
        <v>159</v>
      </c>
      <c r="B6" s="19">
        <v>46048</v>
      </c>
      <c r="C6" s="19">
        <v>46048</v>
      </c>
      <c r="D6" s="18" t="s">
        <v>30</v>
      </c>
      <c r="E6" s="20">
        <v>0.25</v>
      </c>
      <c r="F6" s="20">
        <v>0.99930555555555556</v>
      </c>
      <c r="G6" s="28">
        <v>1.7361111111111109E-4</v>
      </c>
      <c r="H6" s="29" t="s">
        <v>160</v>
      </c>
      <c r="I6" s="21">
        <v>0.29648148148148151</v>
      </c>
      <c r="J6" s="18" t="s">
        <v>41</v>
      </c>
      <c r="K6" s="18" t="s">
        <v>65</v>
      </c>
      <c r="L6" s="22">
        <v>1</v>
      </c>
      <c r="M6" s="22">
        <v>71016</v>
      </c>
      <c r="N6" s="18" t="s">
        <v>46</v>
      </c>
      <c r="O6" s="22" t="s">
        <v>161</v>
      </c>
      <c r="P6" s="23">
        <v>0</v>
      </c>
      <c r="Q6" s="22"/>
      <c r="R6" s="23">
        <v>0</v>
      </c>
      <c r="S6" s="24">
        <v>46054</v>
      </c>
      <c r="T6" s="23">
        <v>0</v>
      </c>
      <c r="U6" s="25">
        <v>4</v>
      </c>
      <c r="V6" s="23">
        <v>0</v>
      </c>
      <c r="W6" s="18" t="s">
        <v>47</v>
      </c>
      <c r="X6" s="18" t="s">
        <v>48</v>
      </c>
      <c r="Y6" s="18" t="s">
        <v>36</v>
      </c>
      <c r="Z6" s="18" t="s">
        <v>9</v>
      </c>
      <c r="AA6" s="18" t="s">
        <v>49</v>
      </c>
      <c r="AB6" s="18" t="s">
        <v>162</v>
      </c>
      <c r="AC6" s="18" t="s">
        <v>38</v>
      </c>
      <c r="AD6" s="7" t="str">
        <f t="shared" si="0"/>
        <v/>
      </c>
      <c r="AE6" s="26"/>
      <c r="AF6" s="26"/>
      <c r="AG6" s="26"/>
      <c r="AH6" s="26"/>
      <c r="AI6" s="27"/>
      <c r="AJ6" s="27"/>
      <c r="AK6" s="27"/>
      <c r="AL6" s="27"/>
      <c r="AM6" s="27"/>
      <c r="AN6" s="27"/>
      <c r="AO6" s="27"/>
      <c r="AP6" s="27"/>
      <c r="AQ6" s="27"/>
      <c r="AR6" s="27"/>
      <c r="AS6" s="27"/>
      <c r="AT6" s="27"/>
      <c r="AU6" s="27"/>
      <c r="AV6" s="27"/>
      <c r="AW6" s="27"/>
    </row>
    <row r="7" spans="1:49" s="17" customFormat="1" ht="35.1" customHeight="1" x14ac:dyDescent="0.25">
      <c r="A7" s="18" t="s">
        <v>159</v>
      </c>
      <c r="B7" s="19">
        <v>46048</v>
      </c>
      <c r="C7" s="19">
        <v>46048</v>
      </c>
      <c r="D7" s="18" t="s">
        <v>30</v>
      </c>
      <c r="E7" s="20">
        <v>0.25</v>
      </c>
      <c r="F7" s="20">
        <v>0.99930555555555556</v>
      </c>
      <c r="G7" s="28">
        <v>1.7361111111111109E-4</v>
      </c>
      <c r="H7" s="29" t="s">
        <v>163</v>
      </c>
      <c r="I7" s="21">
        <v>0.29769675925925926</v>
      </c>
      <c r="J7" s="18" t="s">
        <v>41</v>
      </c>
      <c r="K7" s="18" t="s">
        <v>65</v>
      </c>
      <c r="L7" s="22">
        <v>1</v>
      </c>
      <c r="M7" s="22">
        <v>71016</v>
      </c>
      <c r="N7" s="18" t="s">
        <v>46</v>
      </c>
      <c r="O7" s="22" t="s">
        <v>161</v>
      </c>
      <c r="P7" s="23">
        <v>0</v>
      </c>
      <c r="Q7" s="22"/>
      <c r="R7" s="23">
        <v>0</v>
      </c>
      <c r="S7" s="24">
        <v>46054</v>
      </c>
      <c r="T7" s="23">
        <v>0</v>
      </c>
      <c r="U7" s="25">
        <v>4</v>
      </c>
      <c r="V7" s="23">
        <v>0</v>
      </c>
      <c r="W7" s="18" t="s">
        <v>47</v>
      </c>
      <c r="X7" s="18" t="s">
        <v>48</v>
      </c>
      <c r="Y7" s="18" t="s">
        <v>36</v>
      </c>
      <c r="Z7" s="18" t="s">
        <v>9</v>
      </c>
      <c r="AA7" s="18" t="s">
        <v>49</v>
      </c>
      <c r="AB7" s="18" t="s">
        <v>162</v>
      </c>
      <c r="AC7" s="18" t="s">
        <v>38</v>
      </c>
      <c r="AD7" s="7" t="str">
        <f t="shared" si="0"/>
        <v/>
      </c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</row>
    <row r="8" spans="1:49" s="17" customFormat="1" ht="35.1" customHeight="1" x14ac:dyDescent="0.25">
      <c r="A8" s="9" t="s">
        <v>65</v>
      </c>
      <c r="B8" s="10">
        <v>46048</v>
      </c>
      <c r="C8" s="10">
        <v>46048</v>
      </c>
      <c r="D8" s="11" t="s">
        <v>30</v>
      </c>
      <c r="E8" s="12">
        <v>0.3125</v>
      </c>
      <c r="F8" s="12">
        <v>0.33333333333333331</v>
      </c>
      <c r="G8" s="12">
        <v>2.0833333333333332E-2</v>
      </c>
      <c r="H8" s="9" t="s">
        <v>66</v>
      </c>
      <c r="I8" s="13" t="s">
        <v>67</v>
      </c>
      <c r="J8" s="9" t="s">
        <v>41</v>
      </c>
      <c r="K8" s="9"/>
      <c r="L8" s="14">
        <v>1</v>
      </c>
      <c r="M8" s="14">
        <v>1</v>
      </c>
      <c r="N8" s="9" t="s">
        <v>33</v>
      </c>
      <c r="O8" s="9"/>
      <c r="P8" s="16">
        <v>0</v>
      </c>
      <c r="Q8" s="14"/>
      <c r="R8" s="16">
        <v>0</v>
      </c>
      <c r="S8" s="9">
        <v>46054</v>
      </c>
      <c r="T8" s="16">
        <v>0</v>
      </c>
      <c r="U8" s="14">
        <v>2</v>
      </c>
      <c r="V8" s="16">
        <v>0</v>
      </c>
      <c r="W8" s="9" t="s">
        <v>34</v>
      </c>
      <c r="X8" s="9" t="s">
        <v>42</v>
      </c>
      <c r="Y8" s="9" t="s">
        <v>36</v>
      </c>
      <c r="Z8" s="9" t="s">
        <v>43</v>
      </c>
      <c r="AA8" s="9" t="s">
        <v>37</v>
      </c>
      <c r="AB8" s="9" t="s">
        <v>37</v>
      </c>
      <c r="AC8" s="9" t="s">
        <v>38</v>
      </c>
      <c r="AD8" s="7" t="str">
        <f t="shared" si="0"/>
        <v/>
      </c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</row>
    <row r="9" spans="1:49" s="17" customFormat="1" ht="35.1" customHeight="1" x14ac:dyDescent="0.25">
      <c r="A9" s="9" t="s">
        <v>68</v>
      </c>
      <c r="B9" s="10">
        <v>46048</v>
      </c>
      <c r="C9" s="10">
        <v>46048</v>
      </c>
      <c r="D9" s="11" t="s">
        <v>30</v>
      </c>
      <c r="E9" s="12">
        <v>0.33333333333333331</v>
      </c>
      <c r="F9" s="12">
        <v>0.375</v>
      </c>
      <c r="G9" s="12">
        <v>4.1666666666666664E-2</v>
      </c>
      <c r="H9" s="9" t="s">
        <v>69</v>
      </c>
      <c r="I9" s="13"/>
      <c r="J9" s="9" t="s">
        <v>70</v>
      </c>
      <c r="K9" s="9"/>
      <c r="L9" s="14">
        <v>1</v>
      </c>
      <c r="M9" s="14">
        <v>1</v>
      </c>
      <c r="N9" s="9" t="s">
        <v>33</v>
      </c>
      <c r="O9" s="9"/>
      <c r="P9" s="16">
        <v>0</v>
      </c>
      <c r="Q9" s="14"/>
      <c r="R9" s="16">
        <v>0</v>
      </c>
      <c r="S9" s="9">
        <v>46054</v>
      </c>
      <c r="T9" s="16">
        <v>0</v>
      </c>
      <c r="U9" s="14">
        <v>2</v>
      </c>
      <c r="V9" s="16">
        <v>0</v>
      </c>
      <c r="W9" s="9" t="s">
        <v>34</v>
      </c>
      <c r="X9" s="9" t="s">
        <v>42</v>
      </c>
      <c r="Y9" s="9" t="s">
        <v>36</v>
      </c>
      <c r="Z9" s="9" t="s">
        <v>43</v>
      </c>
      <c r="AA9" s="9" t="s">
        <v>37</v>
      </c>
      <c r="AB9" s="9" t="s">
        <v>37</v>
      </c>
      <c r="AC9" s="9" t="s">
        <v>38</v>
      </c>
      <c r="AD9" s="7" t="str">
        <f t="shared" si="0"/>
        <v/>
      </c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</row>
    <row r="10" spans="1:49" s="17" customFormat="1" ht="35.1" customHeight="1" x14ac:dyDescent="0.25">
      <c r="A10" s="18" t="s">
        <v>159</v>
      </c>
      <c r="B10" s="19">
        <v>46048</v>
      </c>
      <c r="C10" s="19">
        <v>46048</v>
      </c>
      <c r="D10" s="18" t="s">
        <v>30</v>
      </c>
      <c r="E10" s="20">
        <v>0.33333333333333331</v>
      </c>
      <c r="F10" s="20">
        <v>0.375</v>
      </c>
      <c r="G10" s="28">
        <v>1.7361111111111109E-4</v>
      </c>
      <c r="H10" s="29" t="s">
        <v>160</v>
      </c>
      <c r="I10" s="21">
        <v>0.35842592592592593</v>
      </c>
      <c r="J10" s="18" t="s">
        <v>70</v>
      </c>
      <c r="K10" s="18" t="s">
        <v>69</v>
      </c>
      <c r="L10" s="22">
        <v>1</v>
      </c>
      <c r="M10" s="22">
        <v>71018</v>
      </c>
      <c r="N10" s="18" t="s">
        <v>53</v>
      </c>
      <c r="O10" s="22" t="s">
        <v>161</v>
      </c>
      <c r="P10" s="23">
        <v>15</v>
      </c>
      <c r="Q10" s="22"/>
      <c r="R10" s="23">
        <v>15</v>
      </c>
      <c r="S10" s="24">
        <v>46054</v>
      </c>
      <c r="T10" s="23">
        <v>2.25</v>
      </c>
      <c r="U10" s="25">
        <v>4</v>
      </c>
      <c r="V10" s="23">
        <v>12.75</v>
      </c>
      <c r="W10" s="18" t="s">
        <v>47</v>
      </c>
      <c r="X10" s="18" t="s">
        <v>48</v>
      </c>
      <c r="Y10" s="18" t="s">
        <v>36</v>
      </c>
      <c r="Z10" s="18" t="s">
        <v>9</v>
      </c>
      <c r="AA10" s="18" t="s">
        <v>49</v>
      </c>
      <c r="AB10" s="18" t="s">
        <v>162</v>
      </c>
      <c r="AC10" s="18" t="s">
        <v>38</v>
      </c>
      <c r="AD10" s="7" t="str">
        <f t="shared" si="0"/>
        <v/>
      </c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</row>
    <row r="11" spans="1:49" s="17" customFormat="1" ht="35.1" customHeight="1" x14ac:dyDescent="0.25">
      <c r="A11" s="18" t="s">
        <v>159</v>
      </c>
      <c r="B11" s="19">
        <v>46048</v>
      </c>
      <c r="C11" s="19">
        <v>46048</v>
      </c>
      <c r="D11" s="18" t="s">
        <v>30</v>
      </c>
      <c r="E11" s="20">
        <v>0.33333333333333331</v>
      </c>
      <c r="F11" s="20">
        <v>0.375</v>
      </c>
      <c r="G11" s="28">
        <v>1.7361111111111109E-4</v>
      </c>
      <c r="H11" s="29" t="s">
        <v>163</v>
      </c>
      <c r="I11" s="21">
        <v>0.35998842592592589</v>
      </c>
      <c r="J11" s="18" t="s">
        <v>70</v>
      </c>
      <c r="K11" s="18" t="s">
        <v>69</v>
      </c>
      <c r="L11" s="22">
        <v>1</v>
      </c>
      <c r="M11" s="22">
        <v>71018</v>
      </c>
      <c r="N11" s="18" t="s">
        <v>53</v>
      </c>
      <c r="O11" s="22" t="s">
        <v>161</v>
      </c>
      <c r="P11" s="23">
        <v>15</v>
      </c>
      <c r="Q11" s="22"/>
      <c r="R11" s="23">
        <v>15</v>
      </c>
      <c r="S11" s="24">
        <v>46054</v>
      </c>
      <c r="T11" s="23">
        <v>2.25</v>
      </c>
      <c r="U11" s="25">
        <v>4</v>
      </c>
      <c r="V11" s="23">
        <v>12.75</v>
      </c>
      <c r="W11" s="18" t="s">
        <v>47</v>
      </c>
      <c r="X11" s="18" t="s">
        <v>48</v>
      </c>
      <c r="Y11" s="18" t="s">
        <v>36</v>
      </c>
      <c r="Z11" s="18" t="s">
        <v>9</v>
      </c>
      <c r="AA11" s="18" t="s">
        <v>49</v>
      </c>
      <c r="AB11" s="18" t="s">
        <v>162</v>
      </c>
      <c r="AC11" s="18" t="s">
        <v>38</v>
      </c>
      <c r="AD11" s="7" t="str">
        <f t="shared" si="0"/>
        <v/>
      </c>
      <c r="AI11" s="30"/>
      <c r="AJ11" s="30"/>
      <c r="AK11" s="30"/>
      <c r="AL11" s="30"/>
      <c r="AM11" s="30"/>
      <c r="AN11" s="30"/>
      <c r="AO11" s="30"/>
      <c r="AP11" s="30"/>
      <c r="AQ11" s="30"/>
      <c r="AR11" s="30"/>
      <c r="AS11" s="30"/>
      <c r="AT11" s="30"/>
      <c r="AU11" s="30"/>
      <c r="AV11" s="30"/>
      <c r="AW11" s="30"/>
    </row>
    <row r="12" spans="1:49" s="17" customFormat="1" ht="35.1" customHeight="1" x14ac:dyDescent="0.25">
      <c r="A12" s="9" t="s">
        <v>68</v>
      </c>
      <c r="B12" s="10">
        <v>46048</v>
      </c>
      <c r="C12" s="10">
        <v>46048</v>
      </c>
      <c r="D12" s="11" t="s">
        <v>30</v>
      </c>
      <c r="E12" s="12">
        <v>0.375</v>
      </c>
      <c r="F12" s="12">
        <v>0.41666666666666669</v>
      </c>
      <c r="G12" s="12">
        <v>4.1666666666666664E-2</v>
      </c>
      <c r="H12" s="9" t="s">
        <v>71</v>
      </c>
      <c r="I12" s="13"/>
      <c r="J12" s="9" t="s">
        <v>70</v>
      </c>
      <c r="K12" s="9"/>
      <c r="L12" s="14">
        <v>1</v>
      </c>
      <c r="M12" s="14">
        <v>1</v>
      </c>
      <c r="N12" s="9" t="s">
        <v>33</v>
      </c>
      <c r="O12" s="9"/>
      <c r="P12" s="16">
        <v>0</v>
      </c>
      <c r="Q12" s="14"/>
      <c r="R12" s="16">
        <v>0</v>
      </c>
      <c r="S12" s="9">
        <v>46054</v>
      </c>
      <c r="T12" s="16">
        <v>0</v>
      </c>
      <c r="U12" s="14">
        <v>2</v>
      </c>
      <c r="V12" s="16">
        <v>0</v>
      </c>
      <c r="W12" s="9" t="s">
        <v>34</v>
      </c>
      <c r="X12" s="9" t="s">
        <v>42</v>
      </c>
      <c r="Y12" s="9" t="s">
        <v>36</v>
      </c>
      <c r="Z12" s="9" t="s">
        <v>43</v>
      </c>
      <c r="AA12" s="9" t="s">
        <v>37</v>
      </c>
      <c r="AB12" s="9" t="s">
        <v>37</v>
      </c>
      <c r="AC12" s="9" t="s">
        <v>38</v>
      </c>
      <c r="AD12" s="7" t="str">
        <f t="shared" si="0"/>
        <v/>
      </c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</row>
    <row r="13" spans="1:49" s="17" customFormat="1" ht="35.1" customHeight="1" x14ac:dyDescent="0.25">
      <c r="A13" s="9" t="s">
        <v>72</v>
      </c>
      <c r="B13" s="10">
        <v>46048</v>
      </c>
      <c r="C13" s="10">
        <v>46048</v>
      </c>
      <c r="D13" s="11" t="s">
        <v>30</v>
      </c>
      <c r="E13" s="12">
        <v>0.41666666666666669</v>
      </c>
      <c r="F13" s="12">
        <v>0.45833333333333331</v>
      </c>
      <c r="G13" s="12">
        <v>4.1666666666666664E-2</v>
      </c>
      <c r="H13" s="9" t="s">
        <v>73</v>
      </c>
      <c r="I13" s="13"/>
      <c r="J13" s="9" t="s">
        <v>74</v>
      </c>
      <c r="K13" s="9"/>
      <c r="L13" s="14">
        <v>1</v>
      </c>
      <c r="M13" s="14">
        <v>1</v>
      </c>
      <c r="N13" s="9" t="s">
        <v>33</v>
      </c>
      <c r="O13" s="9"/>
      <c r="P13" s="16">
        <v>0</v>
      </c>
      <c r="Q13" s="14"/>
      <c r="R13" s="16">
        <v>0</v>
      </c>
      <c r="S13" s="9">
        <v>46054</v>
      </c>
      <c r="T13" s="16">
        <v>0</v>
      </c>
      <c r="U13" s="14">
        <v>2</v>
      </c>
      <c r="V13" s="16">
        <v>0</v>
      </c>
      <c r="W13" s="9" t="s">
        <v>34</v>
      </c>
      <c r="X13" s="9" t="s">
        <v>42</v>
      </c>
      <c r="Y13" s="9" t="s">
        <v>36</v>
      </c>
      <c r="Z13" s="9" t="s">
        <v>43</v>
      </c>
      <c r="AA13" s="9" t="s">
        <v>37</v>
      </c>
      <c r="AB13" s="9" t="s">
        <v>37</v>
      </c>
      <c r="AC13" s="9" t="s">
        <v>38</v>
      </c>
      <c r="AD13" s="7" t="str">
        <f t="shared" si="0"/>
        <v/>
      </c>
      <c r="AE13" s="26"/>
      <c r="AF13" s="26"/>
      <c r="AG13" s="26"/>
      <c r="AH13" s="26"/>
      <c r="AI13" s="27"/>
      <c r="AJ13" s="27"/>
      <c r="AK13" s="27"/>
      <c r="AL13" s="27"/>
      <c r="AM13" s="27"/>
      <c r="AN13" s="27"/>
      <c r="AO13" s="27"/>
      <c r="AP13" s="27"/>
      <c r="AQ13" s="27"/>
      <c r="AR13" s="27"/>
      <c r="AS13" s="27"/>
      <c r="AT13" s="27"/>
      <c r="AU13" s="27"/>
      <c r="AV13" s="27"/>
      <c r="AW13" s="27"/>
    </row>
    <row r="14" spans="1:49" s="17" customFormat="1" ht="35.1" customHeight="1" x14ac:dyDescent="0.25">
      <c r="A14" s="9" t="s">
        <v>75</v>
      </c>
      <c r="B14" s="10">
        <v>46048</v>
      </c>
      <c r="C14" s="10">
        <v>46048</v>
      </c>
      <c r="D14" s="11" t="s">
        <v>30</v>
      </c>
      <c r="E14" s="12">
        <v>0.45833333333333331</v>
      </c>
      <c r="F14" s="12">
        <v>0.47916666666666669</v>
      </c>
      <c r="G14" s="12">
        <v>2.0833333333333332E-2</v>
      </c>
      <c r="H14" s="9" t="s">
        <v>76</v>
      </c>
      <c r="I14" s="13" t="s">
        <v>77</v>
      </c>
      <c r="J14" s="9" t="s">
        <v>74</v>
      </c>
      <c r="K14" s="9"/>
      <c r="L14" s="14">
        <v>1</v>
      </c>
      <c r="M14" s="14">
        <v>1</v>
      </c>
      <c r="N14" s="9" t="s">
        <v>33</v>
      </c>
      <c r="O14" s="9"/>
      <c r="P14" s="16">
        <v>0</v>
      </c>
      <c r="Q14" s="14"/>
      <c r="R14" s="16">
        <v>0</v>
      </c>
      <c r="S14" s="9">
        <v>46054</v>
      </c>
      <c r="T14" s="16">
        <v>0</v>
      </c>
      <c r="U14" s="14">
        <v>2</v>
      </c>
      <c r="V14" s="16">
        <v>0</v>
      </c>
      <c r="W14" s="9" t="s">
        <v>34</v>
      </c>
      <c r="X14" s="9" t="s">
        <v>42</v>
      </c>
      <c r="Y14" s="9" t="s">
        <v>36</v>
      </c>
      <c r="Z14" s="9" t="s">
        <v>43</v>
      </c>
      <c r="AA14" s="9" t="s">
        <v>37</v>
      </c>
      <c r="AB14" s="9" t="s">
        <v>37</v>
      </c>
      <c r="AC14" s="9" t="s">
        <v>38</v>
      </c>
      <c r="AD14" s="7" t="str">
        <f t="shared" si="0"/>
        <v/>
      </c>
      <c r="AE14" s="26"/>
      <c r="AF14" s="26"/>
      <c r="AG14" s="26"/>
      <c r="AH14" s="26"/>
      <c r="AI14" s="27"/>
      <c r="AJ14" s="27"/>
      <c r="AK14" s="27"/>
      <c r="AL14" s="27"/>
      <c r="AM14" s="27"/>
      <c r="AN14" s="27"/>
      <c r="AO14" s="27"/>
      <c r="AP14" s="27"/>
      <c r="AQ14" s="27"/>
      <c r="AR14" s="27"/>
      <c r="AS14" s="27"/>
      <c r="AT14" s="27"/>
      <c r="AU14" s="27"/>
      <c r="AV14" s="27"/>
      <c r="AW14" s="27"/>
    </row>
    <row r="15" spans="1:49" s="17" customFormat="1" ht="35.1" customHeight="1" x14ac:dyDescent="0.25">
      <c r="A15" s="18" t="s">
        <v>78</v>
      </c>
      <c r="B15" s="19">
        <v>46048</v>
      </c>
      <c r="C15" s="19">
        <v>46048</v>
      </c>
      <c r="D15" s="18" t="s">
        <v>30</v>
      </c>
      <c r="E15" s="20">
        <v>0.45833333333333331</v>
      </c>
      <c r="F15" s="20">
        <v>0.52083333333333337</v>
      </c>
      <c r="G15" s="20">
        <v>1.7361111111111109E-4</v>
      </c>
      <c r="H15" s="18" t="s">
        <v>91</v>
      </c>
      <c r="I15" s="21">
        <v>0.4629050925925926</v>
      </c>
      <c r="J15" s="18" t="s">
        <v>80</v>
      </c>
      <c r="K15" s="18" t="s">
        <v>76</v>
      </c>
      <c r="L15" s="22">
        <v>1</v>
      </c>
      <c r="M15" s="22">
        <v>64953</v>
      </c>
      <c r="N15" s="18" t="s">
        <v>53</v>
      </c>
      <c r="O15" s="22"/>
      <c r="P15" s="23">
        <v>20</v>
      </c>
      <c r="Q15" s="22"/>
      <c r="R15" s="23">
        <v>20</v>
      </c>
      <c r="S15" s="24">
        <v>46054</v>
      </c>
      <c r="T15" s="23">
        <v>0</v>
      </c>
      <c r="U15" s="25">
        <v>4</v>
      </c>
      <c r="V15" s="23">
        <v>20</v>
      </c>
      <c r="W15" s="18" t="s">
        <v>47</v>
      </c>
      <c r="X15" s="18" t="s">
        <v>48</v>
      </c>
      <c r="Y15" s="18" t="s">
        <v>36</v>
      </c>
      <c r="Z15" s="18" t="s">
        <v>9</v>
      </c>
      <c r="AA15" s="18" t="s">
        <v>49</v>
      </c>
      <c r="AB15" s="18" t="s">
        <v>81</v>
      </c>
      <c r="AC15" s="18" t="s">
        <v>38</v>
      </c>
      <c r="AD15" s="7" t="str">
        <f t="shared" si="0"/>
        <v/>
      </c>
      <c r="AE15" s="26"/>
      <c r="AF15" s="26"/>
      <c r="AG15" s="26"/>
      <c r="AH15" s="26"/>
      <c r="AI15" s="26"/>
      <c r="AJ15" s="26"/>
      <c r="AK15" s="26"/>
      <c r="AL15" s="26"/>
      <c r="AM15" s="26"/>
      <c r="AN15" s="26"/>
      <c r="AO15" s="26"/>
      <c r="AP15" s="26"/>
      <c r="AQ15" s="26"/>
      <c r="AR15" s="26"/>
      <c r="AS15" s="26"/>
      <c r="AT15" s="26"/>
      <c r="AU15" s="26"/>
      <c r="AV15" s="26"/>
      <c r="AW15" s="26"/>
    </row>
    <row r="16" spans="1:49" s="17" customFormat="1" ht="35.1" customHeight="1" x14ac:dyDescent="0.25">
      <c r="A16" s="18" t="s">
        <v>44</v>
      </c>
      <c r="B16" s="19">
        <v>46048</v>
      </c>
      <c r="C16" s="19">
        <v>46048</v>
      </c>
      <c r="D16" s="18" t="s">
        <v>30</v>
      </c>
      <c r="E16" s="20">
        <v>0.45833333333333331</v>
      </c>
      <c r="F16" s="20">
        <v>0.5</v>
      </c>
      <c r="G16" s="20">
        <v>3.4722222222222218E-4</v>
      </c>
      <c r="H16" s="18" t="s">
        <v>92</v>
      </c>
      <c r="I16" s="21">
        <v>0.46307870370370369</v>
      </c>
      <c r="J16" s="18" t="s">
        <v>80</v>
      </c>
      <c r="K16" s="18" t="s">
        <v>76</v>
      </c>
      <c r="L16" s="22">
        <v>1</v>
      </c>
      <c r="M16" s="22">
        <v>70998</v>
      </c>
      <c r="N16" s="18" t="s">
        <v>53</v>
      </c>
      <c r="O16" s="22" t="str">
        <f>AC16</f>
        <v>CVC</v>
      </c>
      <c r="P16" s="23">
        <v>58.82</v>
      </c>
      <c r="Q16" s="22"/>
      <c r="R16" s="23">
        <v>58.82</v>
      </c>
      <c r="S16" s="24">
        <v>46054</v>
      </c>
      <c r="T16" s="23">
        <v>4.4115000000000002</v>
      </c>
      <c r="U16" s="25">
        <v>4</v>
      </c>
      <c r="V16" s="23">
        <v>54.408500000000004</v>
      </c>
      <c r="W16" s="18" t="s">
        <v>47</v>
      </c>
      <c r="X16" s="18" t="s">
        <v>48</v>
      </c>
      <c r="Y16" s="18" t="s">
        <v>36</v>
      </c>
      <c r="Z16" s="18" t="s">
        <v>9</v>
      </c>
      <c r="AA16" s="18" t="s">
        <v>49</v>
      </c>
      <c r="AB16" s="18" t="s">
        <v>50</v>
      </c>
      <c r="AC16" s="18" t="s">
        <v>38</v>
      </c>
      <c r="AD16" s="7" t="str">
        <f t="shared" si="0"/>
        <v/>
      </c>
      <c r="AE16" s="26"/>
      <c r="AF16" s="26"/>
      <c r="AG16" s="26"/>
      <c r="AH16" s="26"/>
      <c r="AI16" s="26"/>
      <c r="AJ16" s="26"/>
      <c r="AK16" s="26"/>
      <c r="AL16" s="26"/>
      <c r="AM16" s="26"/>
      <c r="AN16" s="26"/>
      <c r="AO16" s="26"/>
      <c r="AP16" s="26"/>
      <c r="AQ16" s="26"/>
      <c r="AR16" s="26"/>
      <c r="AS16" s="26"/>
      <c r="AT16" s="26"/>
      <c r="AU16" s="26"/>
      <c r="AV16" s="26"/>
      <c r="AW16" s="26"/>
    </row>
    <row r="17" spans="1:49" s="17" customFormat="1" ht="35.1" customHeight="1" x14ac:dyDescent="0.25">
      <c r="A17" s="18" t="s">
        <v>87</v>
      </c>
      <c r="B17" s="19">
        <v>46048</v>
      </c>
      <c r="C17" s="19">
        <v>46048</v>
      </c>
      <c r="D17" s="18" t="s">
        <v>30</v>
      </c>
      <c r="E17" s="20">
        <v>0.45833333333333331</v>
      </c>
      <c r="F17" s="20">
        <v>0.54166666666666663</v>
      </c>
      <c r="G17" s="20">
        <v>3.4722222222222218E-4</v>
      </c>
      <c r="H17" s="18" t="s">
        <v>88</v>
      </c>
      <c r="I17" s="21">
        <v>0.46342592592592591</v>
      </c>
      <c r="J17" s="18" t="s">
        <v>80</v>
      </c>
      <c r="K17" s="18" t="s">
        <v>76</v>
      </c>
      <c r="L17" s="22">
        <v>1</v>
      </c>
      <c r="M17" s="22">
        <v>69607</v>
      </c>
      <c r="N17" s="18" t="s">
        <v>53</v>
      </c>
      <c r="O17" s="22" t="s">
        <v>89</v>
      </c>
      <c r="P17" s="23">
        <v>40</v>
      </c>
      <c r="Q17" s="22"/>
      <c r="R17" s="23">
        <v>40</v>
      </c>
      <c r="S17" s="24">
        <v>46048</v>
      </c>
      <c r="T17" s="23">
        <v>0</v>
      </c>
      <c r="U17" s="25">
        <v>4</v>
      </c>
      <c r="V17" s="23">
        <v>40</v>
      </c>
      <c r="W17" s="18" t="s">
        <v>47</v>
      </c>
      <c r="X17" s="18" t="s">
        <v>48</v>
      </c>
      <c r="Y17" s="18" t="s">
        <v>58</v>
      </c>
      <c r="Z17" s="18" t="s">
        <v>43</v>
      </c>
      <c r="AA17" s="18" t="s">
        <v>49</v>
      </c>
      <c r="AB17" s="18" t="s">
        <v>90</v>
      </c>
      <c r="AC17" s="18" t="s">
        <v>38</v>
      </c>
      <c r="AD17" s="7" t="str">
        <f t="shared" si="0"/>
        <v/>
      </c>
      <c r="AE17" s="26"/>
      <c r="AF17" s="26"/>
      <c r="AG17" s="26"/>
      <c r="AH17" s="26"/>
      <c r="AI17" s="26"/>
      <c r="AJ17" s="26"/>
      <c r="AK17" s="26"/>
      <c r="AL17" s="26"/>
      <c r="AM17" s="26"/>
      <c r="AN17" s="26"/>
      <c r="AO17" s="26"/>
      <c r="AP17" s="26"/>
      <c r="AQ17" s="26"/>
      <c r="AR17" s="26"/>
      <c r="AS17" s="26"/>
      <c r="AT17" s="26"/>
      <c r="AU17" s="26"/>
      <c r="AV17" s="26"/>
      <c r="AW17" s="26"/>
    </row>
    <row r="18" spans="1:49" s="17" customFormat="1" ht="35.1" customHeight="1" x14ac:dyDescent="0.25">
      <c r="A18" s="18" t="s">
        <v>82</v>
      </c>
      <c r="B18" s="19">
        <v>46048</v>
      </c>
      <c r="C18" s="19">
        <v>46048</v>
      </c>
      <c r="D18" s="18" t="s">
        <v>30</v>
      </c>
      <c r="E18" s="20">
        <v>0.45833333333333331</v>
      </c>
      <c r="F18" s="20">
        <v>0.5</v>
      </c>
      <c r="G18" s="20">
        <v>3.4722222222222218E-4</v>
      </c>
      <c r="H18" s="18" t="s">
        <v>83</v>
      </c>
      <c r="I18" s="21">
        <v>0.46377314814814813</v>
      </c>
      <c r="J18" s="18" t="s">
        <v>80</v>
      </c>
      <c r="K18" s="18" t="s">
        <v>76</v>
      </c>
      <c r="L18" s="22">
        <v>1</v>
      </c>
      <c r="M18" s="22">
        <v>70166</v>
      </c>
      <c r="N18" s="18" t="s">
        <v>53</v>
      </c>
      <c r="O18" s="22" t="s">
        <v>84</v>
      </c>
      <c r="P18" s="23">
        <v>35</v>
      </c>
      <c r="Q18" s="22"/>
      <c r="R18" s="23">
        <v>35</v>
      </c>
      <c r="S18" s="24">
        <v>46048</v>
      </c>
      <c r="T18" s="23">
        <v>0</v>
      </c>
      <c r="U18" s="25">
        <v>4</v>
      </c>
      <c r="V18" s="23">
        <v>35</v>
      </c>
      <c r="W18" s="18" t="s">
        <v>47</v>
      </c>
      <c r="X18" s="18" t="s">
        <v>48</v>
      </c>
      <c r="Y18" s="18" t="s">
        <v>58</v>
      </c>
      <c r="Z18" s="18" t="s">
        <v>43</v>
      </c>
      <c r="AA18" s="18" t="s">
        <v>49</v>
      </c>
      <c r="AB18" s="18" t="s">
        <v>85</v>
      </c>
      <c r="AC18" s="18" t="s">
        <v>38</v>
      </c>
      <c r="AD18" s="7" t="str">
        <f t="shared" si="0"/>
        <v/>
      </c>
      <c r="AE18" s="26"/>
      <c r="AF18" s="26"/>
      <c r="AG18" s="26"/>
      <c r="AH18" s="26"/>
      <c r="AI18" s="26"/>
      <c r="AJ18" s="26"/>
      <c r="AK18" s="26"/>
      <c r="AL18" s="26"/>
      <c r="AM18" s="26"/>
      <c r="AN18" s="26"/>
      <c r="AO18" s="26"/>
      <c r="AP18" s="26"/>
      <c r="AQ18" s="26"/>
      <c r="AR18" s="26"/>
      <c r="AS18" s="26"/>
      <c r="AT18" s="26"/>
      <c r="AU18" s="26"/>
      <c r="AV18" s="26"/>
      <c r="AW18" s="26"/>
    </row>
    <row r="19" spans="1:49" s="17" customFormat="1" ht="35.1" customHeight="1" x14ac:dyDescent="0.25">
      <c r="A19" s="18" t="s">
        <v>93</v>
      </c>
      <c r="B19" s="19">
        <v>46048</v>
      </c>
      <c r="C19" s="19">
        <v>46048</v>
      </c>
      <c r="D19" s="18" t="s">
        <v>30</v>
      </c>
      <c r="E19" s="20">
        <v>0.45833333333333331</v>
      </c>
      <c r="F19" s="20">
        <v>0.54166666666666663</v>
      </c>
      <c r="G19" s="28">
        <v>1.7361111111111109E-4</v>
      </c>
      <c r="H19" s="29" t="s">
        <v>94</v>
      </c>
      <c r="I19" s="21">
        <v>0.46778935185185183</v>
      </c>
      <c r="J19" s="18" t="s">
        <v>80</v>
      </c>
      <c r="K19" s="18" t="s">
        <v>76</v>
      </c>
      <c r="L19" s="22">
        <v>1</v>
      </c>
      <c r="M19" s="22">
        <v>69570</v>
      </c>
      <c r="N19" s="18" t="s">
        <v>53</v>
      </c>
      <c r="O19" s="22" t="s">
        <v>95</v>
      </c>
      <c r="P19" s="23">
        <v>0</v>
      </c>
      <c r="Q19" s="22"/>
      <c r="R19" s="23">
        <v>19.042139037433099</v>
      </c>
      <c r="S19" s="24">
        <v>46054</v>
      </c>
      <c r="T19" s="23">
        <v>0</v>
      </c>
      <c r="U19" s="25">
        <v>4</v>
      </c>
      <c r="V19" s="23">
        <v>0</v>
      </c>
      <c r="W19" s="18" t="s">
        <v>47</v>
      </c>
      <c r="X19" s="18" t="s">
        <v>48</v>
      </c>
      <c r="Y19" s="18" t="s">
        <v>36</v>
      </c>
      <c r="Z19" s="18" t="s">
        <v>9</v>
      </c>
      <c r="AA19" s="18" t="s">
        <v>49</v>
      </c>
      <c r="AB19" s="18" t="s">
        <v>96</v>
      </c>
      <c r="AC19" s="18" t="s">
        <v>38</v>
      </c>
      <c r="AD19" s="7" t="str">
        <f t="shared" si="0"/>
        <v/>
      </c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</row>
    <row r="20" spans="1:49" s="17" customFormat="1" ht="35.1" customHeight="1" x14ac:dyDescent="0.25">
      <c r="A20" s="18" t="s">
        <v>78</v>
      </c>
      <c r="B20" s="19">
        <v>46048</v>
      </c>
      <c r="C20" s="19">
        <v>46048</v>
      </c>
      <c r="D20" s="18" t="s">
        <v>30</v>
      </c>
      <c r="E20" s="20">
        <v>0.45833333333333331</v>
      </c>
      <c r="F20" s="20">
        <v>0.54166666666666663</v>
      </c>
      <c r="G20" s="20">
        <v>3.4722222222222218E-4</v>
      </c>
      <c r="H20" s="18" t="s">
        <v>79</v>
      </c>
      <c r="I20" s="21">
        <v>0.46796296296296297</v>
      </c>
      <c r="J20" s="18" t="s">
        <v>80</v>
      </c>
      <c r="K20" s="18" t="s">
        <v>76</v>
      </c>
      <c r="L20" s="22">
        <v>1</v>
      </c>
      <c r="M20" s="22">
        <v>64952</v>
      </c>
      <c r="N20" s="18" t="s">
        <v>46</v>
      </c>
      <c r="O20" s="22"/>
      <c r="P20" s="23">
        <v>0</v>
      </c>
      <c r="Q20" s="22"/>
      <c r="R20" s="23">
        <v>0</v>
      </c>
      <c r="S20" s="24">
        <v>46054</v>
      </c>
      <c r="T20" s="23">
        <v>0</v>
      </c>
      <c r="U20" s="25">
        <v>4</v>
      </c>
      <c r="V20" s="23">
        <v>0</v>
      </c>
      <c r="W20" s="18" t="s">
        <v>47</v>
      </c>
      <c r="X20" s="18" t="s">
        <v>48</v>
      </c>
      <c r="Y20" s="18" t="s">
        <v>36</v>
      </c>
      <c r="Z20" s="18" t="s">
        <v>9</v>
      </c>
      <c r="AA20" s="18" t="s">
        <v>49</v>
      </c>
      <c r="AB20" s="18" t="s">
        <v>81</v>
      </c>
      <c r="AC20" s="18" t="s">
        <v>38</v>
      </c>
      <c r="AD20" s="7" t="str">
        <f t="shared" si="0"/>
        <v/>
      </c>
      <c r="AE20" s="26"/>
      <c r="AF20" s="26"/>
      <c r="AG20" s="26"/>
      <c r="AH20" s="26"/>
      <c r="AI20" s="27"/>
      <c r="AJ20" s="27"/>
      <c r="AK20" s="27"/>
      <c r="AL20" s="27"/>
      <c r="AM20" s="27"/>
      <c r="AN20" s="27"/>
      <c r="AO20" s="27"/>
      <c r="AP20" s="27"/>
      <c r="AQ20" s="27"/>
      <c r="AR20" s="27"/>
      <c r="AS20" s="27"/>
      <c r="AT20" s="27"/>
      <c r="AU20" s="27"/>
      <c r="AV20" s="27"/>
      <c r="AW20" s="27"/>
    </row>
    <row r="21" spans="1:49" s="17" customFormat="1" ht="35.1" customHeight="1" x14ac:dyDescent="0.25">
      <c r="A21" s="18" t="s">
        <v>82</v>
      </c>
      <c r="B21" s="19">
        <v>46048</v>
      </c>
      <c r="C21" s="19">
        <v>46048</v>
      </c>
      <c r="D21" s="18" t="s">
        <v>30</v>
      </c>
      <c r="E21" s="20">
        <v>0.45833333333333331</v>
      </c>
      <c r="F21" s="20">
        <v>0.54166666666666663</v>
      </c>
      <c r="G21" s="20">
        <v>3.4722222222222218E-4</v>
      </c>
      <c r="H21" s="18" t="s">
        <v>83</v>
      </c>
      <c r="I21" s="21">
        <v>0.46796296296296297</v>
      </c>
      <c r="J21" s="18" t="s">
        <v>80</v>
      </c>
      <c r="K21" s="18" t="s">
        <v>76</v>
      </c>
      <c r="L21" s="22">
        <v>1</v>
      </c>
      <c r="M21" s="22">
        <v>70168</v>
      </c>
      <c r="N21" s="18" t="s">
        <v>46</v>
      </c>
      <c r="O21" s="22" t="s">
        <v>84</v>
      </c>
      <c r="P21" s="23">
        <v>0</v>
      </c>
      <c r="Q21" s="22"/>
      <c r="R21" s="23">
        <v>0</v>
      </c>
      <c r="S21" s="24">
        <v>46048</v>
      </c>
      <c r="T21" s="23">
        <v>0</v>
      </c>
      <c r="U21" s="25">
        <v>4</v>
      </c>
      <c r="V21" s="23">
        <v>0</v>
      </c>
      <c r="W21" s="18" t="s">
        <v>47</v>
      </c>
      <c r="X21" s="18" t="s">
        <v>48</v>
      </c>
      <c r="Y21" s="18" t="s">
        <v>58</v>
      </c>
      <c r="Z21" s="18" t="s">
        <v>43</v>
      </c>
      <c r="AA21" s="18" t="s">
        <v>49</v>
      </c>
      <c r="AB21" s="18" t="s">
        <v>85</v>
      </c>
      <c r="AC21" s="18" t="s">
        <v>38</v>
      </c>
      <c r="AD21" s="7" t="str">
        <f t="shared" si="0"/>
        <v/>
      </c>
      <c r="AE21" s="26"/>
      <c r="AF21" s="26"/>
      <c r="AG21" s="26"/>
      <c r="AH21" s="26"/>
      <c r="AI21" s="27"/>
      <c r="AJ21" s="27"/>
      <c r="AK21" s="27"/>
      <c r="AL21" s="27"/>
      <c r="AM21" s="27"/>
      <c r="AN21" s="27"/>
      <c r="AO21" s="27"/>
      <c r="AP21" s="27"/>
      <c r="AQ21" s="27"/>
      <c r="AR21" s="27"/>
      <c r="AS21" s="27"/>
      <c r="AT21" s="27"/>
      <c r="AU21" s="27"/>
      <c r="AV21" s="27"/>
      <c r="AW21" s="27"/>
    </row>
    <row r="22" spans="1:49" s="17" customFormat="1" ht="35.1" customHeight="1" x14ac:dyDescent="0.25">
      <c r="A22" s="18" t="s">
        <v>82</v>
      </c>
      <c r="B22" s="19">
        <v>46048</v>
      </c>
      <c r="C22" s="19">
        <v>46048</v>
      </c>
      <c r="D22" s="18" t="s">
        <v>30</v>
      </c>
      <c r="E22" s="20">
        <v>0.45833333333333331</v>
      </c>
      <c r="F22" s="20">
        <v>0.5</v>
      </c>
      <c r="G22" s="20">
        <v>3.4722222222222218E-4</v>
      </c>
      <c r="H22" s="18" t="s">
        <v>83</v>
      </c>
      <c r="I22" s="21">
        <v>0.46900462962962963</v>
      </c>
      <c r="J22" s="18" t="s">
        <v>80</v>
      </c>
      <c r="K22" s="18" t="s">
        <v>76</v>
      </c>
      <c r="L22" s="22">
        <v>1</v>
      </c>
      <c r="M22" s="22">
        <v>70166</v>
      </c>
      <c r="N22" s="18" t="s">
        <v>53</v>
      </c>
      <c r="O22" s="22" t="s">
        <v>84</v>
      </c>
      <c r="P22" s="23">
        <v>35</v>
      </c>
      <c r="Q22" s="22"/>
      <c r="R22" s="23">
        <v>35</v>
      </c>
      <c r="S22" s="24">
        <v>46048</v>
      </c>
      <c r="T22" s="23">
        <v>0</v>
      </c>
      <c r="U22" s="25">
        <v>4</v>
      </c>
      <c r="V22" s="23">
        <v>35</v>
      </c>
      <c r="W22" s="18" t="s">
        <v>47</v>
      </c>
      <c r="X22" s="18" t="s">
        <v>48</v>
      </c>
      <c r="Y22" s="18" t="s">
        <v>58</v>
      </c>
      <c r="Z22" s="18" t="s">
        <v>43</v>
      </c>
      <c r="AA22" s="18" t="s">
        <v>49</v>
      </c>
      <c r="AB22" s="18" t="s">
        <v>85</v>
      </c>
      <c r="AC22" s="18" t="s">
        <v>38</v>
      </c>
      <c r="AD22" s="7" t="str">
        <f t="shared" si="0"/>
        <v/>
      </c>
      <c r="AE22" s="26"/>
      <c r="AF22" s="26"/>
      <c r="AG22" s="26"/>
      <c r="AH22" s="26"/>
      <c r="AI22" s="27"/>
      <c r="AJ22" s="27"/>
      <c r="AK22" s="27"/>
      <c r="AL22" s="27"/>
      <c r="AM22" s="27"/>
      <c r="AN22" s="27"/>
      <c r="AO22" s="27"/>
      <c r="AP22" s="27"/>
      <c r="AQ22" s="27"/>
      <c r="AR22" s="27"/>
      <c r="AS22" s="27"/>
      <c r="AT22" s="27"/>
      <c r="AU22" s="27"/>
      <c r="AV22" s="27"/>
      <c r="AW22" s="27"/>
    </row>
    <row r="23" spans="1:49" s="17" customFormat="1" ht="35.1" customHeight="1" x14ac:dyDescent="0.25">
      <c r="A23" s="18" t="s">
        <v>93</v>
      </c>
      <c r="B23" s="19">
        <v>46048</v>
      </c>
      <c r="C23" s="19">
        <v>46048</v>
      </c>
      <c r="D23" s="18" t="s">
        <v>30</v>
      </c>
      <c r="E23" s="20">
        <v>0.45833333333333331</v>
      </c>
      <c r="F23" s="20">
        <v>0.54166666666666663</v>
      </c>
      <c r="G23" s="28">
        <v>1.7361111111111109E-4</v>
      </c>
      <c r="H23" s="29" t="s">
        <v>97</v>
      </c>
      <c r="I23" s="21">
        <v>0.46935185185185185</v>
      </c>
      <c r="J23" s="18" t="s">
        <v>80</v>
      </c>
      <c r="K23" s="18" t="s">
        <v>76</v>
      </c>
      <c r="L23" s="22">
        <v>1</v>
      </c>
      <c r="M23" s="22">
        <v>69570</v>
      </c>
      <c r="N23" s="18" t="s">
        <v>53</v>
      </c>
      <c r="O23" s="22" t="s">
        <v>95</v>
      </c>
      <c r="P23" s="23">
        <v>0</v>
      </c>
      <c r="Q23" s="22"/>
      <c r="R23" s="23">
        <v>19.042139037433099</v>
      </c>
      <c r="S23" s="24">
        <v>46054</v>
      </c>
      <c r="T23" s="23">
        <v>0</v>
      </c>
      <c r="U23" s="25">
        <v>4</v>
      </c>
      <c r="V23" s="23">
        <v>0</v>
      </c>
      <c r="W23" s="18" t="s">
        <v>47</v>
      </c>
      <c r="X23" s="18" t="s">
        <v>48</v>
      </c>
      <c r="Y23" s="18" t="s">
        <v>36</v>
      </c>
      <c r="Z23" s="18" t="s">
        <v>9</v>
      </c>
      <c r="AA23" s="18" t="s">
        <v>49</v>
      </c>
      <c r="AB23" s="18" t="s">
        <v>96</v>
      </c>
      <c r="AC23" s="18" t="s">
        <v>38</v>
      </c>
      <c r="AD23" s="7" t="str">
        <f t="shared" si="0"/>
        <v/>
      </c>
      <c r="AE23" s="26"/>
      <c r="AF23" s="26"/>
      <c r="AG23" s="26"/>
      <c r="AH23" s="26"/>
      <c r="AI23" s="27"/>
      <c r="AJ23" s="27"/>
      <c r="AK23" s="27"/>
      <c r="AL23" s="27"/>
      <c r="AM23" s="27"/>
      <c r="AN23" s="27"/>
      <c r="AO23" s="27"/>
      <c r="AP23" s="27"/>
      <c r="AQ23" s="27"/>
      <c r="AR23" s="27"/>
      <c r="AS23" s="27"/>
      <c r="AT23" s="27"/>
      <c r="AU23" s="27"/>
      <c r="AV23" s="27"/>
      <c r="AW23" s="27"/>
    </row>
    <row r="24" spans="1:49" s="17" customFormat="1" ht="35.1" customHeight="1" x14ac:dyDescent="0.25">
      <c r="A24" s="18" t="s">
        <v>82</v>
      </c>
      <c r="B24" s="19">
        <v>46048</v>
      </c>
      <c r="C24" s="19">
        <v>46048</v>
      </c>
      <c r="D24" s="18" t="s">
        <v>30</v>
      </c>
      <c r="E24" s="20">
        <v>0.45833333333333331</v>
      </c>
      <c r="F24" s="20">
        <v>0.5</v>
      </c>
      <c r="G24" s="20">
        <v>3.4722222222222218E-4</v>
      </c>
      <c r="H24" s="18" t="s">
        <v>83</v>
      </c>
      <c r="I24" s="21">
        <v>0.47819444444444442</v>
      </c>
      <c r="J24" s="18" t="s">
        <v>80</v>
      </c>
      <c r="K24" s="18" t="s">
        <v>76</v>
      </c>
      <c r="L24" s="22">
        <v>1</v>
      </c>
      <c r="M24" s="22">
        <v>70166</v>
      </c>
      <c r="N24" s="18" t="s">
        <v>53</v>
      </c>
      <c r="O24" s="22" t="s">
        <v>84</v>
      </c>
      <c r="P24" s="23">
        <v>35</v>
      </c>
      <c r="Q24" s="22"/>
      <c r="R24" s="23">
        <v>35</v>
      </c>
      <c r="S24" s="24">
        <v>46048</v>
      </c>
      <c r="T24" s="23">
        <v>0</v>
      </c>
      <c r="U24" s="25">
        <v>4</v>
      </c>
      <c r="V24" s="23">
        <v>35</v>
      </c>
      <c r="W24" s="18" t="s">
        <v>47</v>
      </c>
      <c r="X24" s="18" t="s">
        <v>48</v>
      </c>
      <c r="Y24" s="18" t="s">
        <v>58</v>
      </c>
      <c r="Z24" s="18" t="s">
        <v>43</v>
      </c>
      <c r="AA24" s="18" t="s">
        <v>49</v>
      </c>
      <c r="AB24" s="18" t="s">
        <v>85</v>
      </c>
      <c r="AC24" s="18" t="s">
        <v>38</v>
      </c>
      <c r="AD24" s="7" t="str">
        <f t="shared" si="0"/>
        <v/>
      </c>
      <c r="AI24" s="30"/>
      <c r="AJ24" s="30"/>
      <c r="AK24" s="30"/>
      <c r="AL24" s="30"/>
      <c r="AM24" s="30"/>
      <c r="AN24" s="30"/>
      <c r="AO24" s="30"/>
      <c r="AP24" s="30"/>
      <c r="AQ24" s="30"/>
      <c r="AR24" s="30"/>
      <c r="AS24" s="30"/>
      <c r="AT24" s="30"/>
      <c r="AU24" s="30"/>
      <c r="AV24" s="30"/>
      <c r="AW24" s="30"/>
    </row>
    <row r="25" spans="1:49" s="17" customFormat="1" ht="35.1" customHeight="1" x14ac:dyDescent="0.25">
      <c r="A25" s="18" t="s">
        <v>78</v>
      </c>
      <c r="B25" s="19">
        <v>46048</v>
      </c>
      <c r="C25" s="19">
        <v>46048</v>
      </c>
      <c r="D25" s="18" t="s">
        <v>30</v>
      </c>
      <c r="E25" s="20">
        <v>0.45833333333333331</v>
      </c>
      <c r="F25" s="20">
        <v>0.54166666666666663</v>
      </c>
      <c r="G25" s="20">
        <v>1.7361111111111109E-4</v>
      </c>
      <c r="H25" s="18" t="s">
        <v>86</v>
      </c>
      <c r="I25" s="21">
        <v>0.47854166666666664</v>
      </c>
      <c r="J25" s="18" t="s">
        <v>80</v>
      </c>
      <c r="K25" s="18" t="s">
        <v>76</v>
      </c>
      <c r="L25" s="22">
        <v>1</v>
      </c>
      <c r="M25" s="22">
        <v>64954</v>
      </c>
      <c r="N25" s="18" t="s">
        <v>46</v>
      </c>
      <c r="O25" s="22"/>
      <c r="P25" s="23">
        <v>0</v>
      </c>
      <c r="Q25" s="22"/>
      <c r="R25" s="23">
        <v>0</v>
      </c>
      <c r="S25" s="24">
        <v>46054</v>
      </c>
      <c r="T25" s="23">
        <v>0</v>
      </c>
      <c r="U25" s="25">
        <v>4</v>
      </c>
      <c r="V25" s="23">
        <v>0</v>
      </c>
      <c r="W25" s="18" t="s">
        <v>47</v>
      </c>
      <c r="X25" s="18" t="s">
        <v>48</v>
      </c>
      <c r="Y25" s="18" t="s">
        <v>36</v>
      </c>
      <c r="Z25" s="18" t="s">
        <v>9</v>
      </c>
      <c r="AA25" s="18" t="s">
        <v>49</v>
      </c>
      <c r="AB25" s="18" t="s">
        <v>81</v>
      </c>
      <c r="AC25" s="18" t="s">
        <v>38</v>
      </c>
      <c r="AD25" s="7" t="str">
        <f t="shared" si="0"/>
        <v/>
      </c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</row>
    <row r="26" spans="1:49" s="17" customFormat="1" ht="35.1" customHeight="1" x14ac:dyDescent="0.25">
      <c r="A26" s="9" t="s">
        <v>75</v>
      </c>
      <c r="B26" s="10">
        <v>46048</v>
      </c>
      <c r="C26" s="10">
        <v>46048</v>
      </c>
      <c r="D26" s="11" t="s">
        <v>30</v>
      </c>
      <c r="E26" s="12">
        <v>0.47916666666666669</v>
      </c>
      <c r="F26" s="12">
        <v>0.5</v>
      </c>
      <c r="G26" s="12">
        <v>2.0833333333333332E-2</v>
      </c>
      <c r="H26" s="9" t="s">
        <v>99</v>
      </c>
      <c r="I26" s="13"/>
      <c r="J26" s="9" t="s">
        <v>80</v>
      </c>
      <c r="K26" s="9"/>
      <c r="L26" s="14">
        <v>1</v>
      </c>
      <c r="M26" s="14">
        <v>1</v>
      </c>
      <c r="N26" s="9" t="s">
        <v>33</v>
      </c>
      <c r="O26" s="9"/>
      <c r="P26" s="16">
        <v>0</v>
      </c>
      <c r="Q26" s="14"/>
      <c r="R26" s="16">
        <v>0</v>
      </c>
      <c r="S26" s="9">
        <v>46054</v>
      </c>
      <c r="T26" s="16">
        <v>0</v>
      </c>
      <c r="U26" s="14">
        <v>2</v>
      </c>
      <c r="V26" s="16">
        <v>0</v>
      </c>
      <c r="W26" s="9" t="s">
        <v>34</v>
      </c>
      <c r="X26" s="9" t="s">
        <v>42</v>
      </c>
      <c r="Y26" s="9" t="s">
        <v>36</v>
      </c>
      <c r="Z26" s="9" t="s">
        <v>43</v>
      </c>
      <c r="AA26" s="9" t="s">
        <v>37</v>
      </c>
      <c r="AB26" s="9" t="s">
        <v>37</v>
      </c>
      <c r="AC26" s="9" t="s">
        <v>38</v>
      </c>
      <c r="AD26" s="7" t="str">
        <f t="shared" si="0"/>
        <v/>
      </c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</row>
    <row r="27" spans="1:49" s="17" customFormat="1" ht="35.1" customHeight="1" x14ac:dyDescent="0.25">
      <c r="A27" s="18" t="s">
        <v>78</v>
      </c>
      <c r="B27" s="19">
        <v>46048</v>
      </c>
      <c r="C27" s="19">
        <v>46048</v>
      </c>
      <c r="D27" s="18" t="s">
        <v>30</v>
      </c>
      <c r="E27" s="20">
        <v>0.45833333333333331</v>
      </c>
      <c r="F27" s="20">
        <v>0.52083333333333337</v>
      </c>
      <c r="G27" s="20">
        <v>1.7361111111111109E-4</v>
      </c>
      <c r="H27" s="18" t="s">
        <v>91</v>
      </c>
      <c r="I27" s="21">
        <v>0.48171296296296295</v>
      </c>
      <c r="J27" s="18" t="s">
        <v>80</v>
      </c>
      <c r="K27" s="18" t="s">
        <v>150</v>
      </c>
      <c r="L27" s="22">
        <v>1</v>
      </c>
      <c r="M27" s="22">
        <v>64953</v>
      </c>
      <c r="N27" s="18" t="s">
        <v>53</v>
      </c>
      <c r="O27" s="22"/>
      <c r="P27" s="23">
        <v>20</v>
      </c>
      <c r="Q27" s="22"/>
      <c r="R27" s="23">
        <v>20</v>
      </c>
      <c r="S27" s="24">
        <v>46054</v>
      </c>
      <c r="T27" s="23">
        <v>0</v>
      </c>
      <c r="U27" s="25">
        <v>4</v>
      </c>
      <c r="V27" s="23">
        <v>20</v>
      </c>
      <c r="W27" s="18" t="s">
        <v>47</v>
      </c>
      <c r="X27" s="18" t="s">
        <v>48</v>
      </c>
      <c r="Y27" s="18" t="s">
        <v>36</v>
      </c>
      <c r="Z27" s="18" t="s">
        <v>9</v>
      </c>
      <c r="AA27" s="18" t="s">
        <v>49</v>
      </c>
      <c r="AB27" s="18" t="s">
        <v>81</v>
      </c>
      <c r="AC27" s="18" t="s">
        <v>38</v>
      </c>
      <c r="AD27" s="7" t="str">
        <f t="shared" si="0"/>
        <v/>
      </c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</row>
    <row r="28" spans="1:49" s="17" customFormat="1" ht="35.1" customHeight="1" x14ac:dyDescent="0.25">
      <c r="A28" s="18" t="s">
        <v>87</v>
      </c>
      <c r="B28" s="19">
        <v>46048</v>
      </c>
      <c r="C28" s="19">
        <v>46048</v>
      </c>
      <c r="D28" s="18" t="s">
        <v>30</v>
      </c>
      <c r="E28" s="20">
        <v>0.45833333333333331</v>
      </c>
      <c r="F28" s="20">
        <v>0.54166666666666663</v>
      </c>
      <c r="G28" s="20">
        <v>3.4722222222222218E-4</v>
      </c>
      <c r="H28" s="18" t="s">
        <v>88</v>
      </c>
      <c r="I28" s="21">
        <v>0.48188657407407409</v>
      </c>
      <c r="J28" s="18" t="s">
        <v>80</v>
      </c>
      <c r="K28" s="18" t="s">
        <v>150</v>
      </c>
      <c r="L28" s="22">
        <v>1</v>
      </c>
      <c r="M28" s="22">
        <v>69609</v>
      </c>
      <c r="N28" s="18" t="s">
        <v>46</v>
      </c>
      <c r="O28" s="22" t="s">
        <v>89</v>
      </c>
      <c r="P28" s="23">
        <v>0</v>
      </c>
      <c r="Q28" s="22"/>
      <c r="R28" s="23">
        <v>0</v>
      </c>
      <c r="S28" s="24">
        <v>46048</v>
      </c>
      <c r="T28" s="23">
        <v>0</v>
      </c>
      <c r="U28" s="25">
        <v>4</v>
      </c>
      <c r="V28" s="23">
        <v>0</v>
      </c>
      <c r="W28" s="18" t="s">
        <v>47</v>
      </c>
      <c r="X28" s="18" t="s">
        <v>48</v>
      </c>
      <c r="Y28" s="18" t="s">
        <v>58</v>
      </c>
      <c r="Z28" s="18" t="s">
        <v>43</v>
      </c>
      <c r="AA28" s="18" t="s">
        <v>49</v>
      </c>
      <c r="AB28" s="18" t="s">
        <v>90</v>
      </c>
      <c r="AC28" s="18" t="s">
        <v>38</v>
      </c>
      <c r="AD28" s="7" t="str">
        <f t="shared" si="0"/>
        <v/>
      </c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</row>
    <row r="29" spans="1:49" s="17" customFormat="1" ht="35.1" customHeight="1" x14ac:dyDescent="0.25">
      <c r="A29" s="18" t="s">
        <v>82</v>
      </c>
      <c r="B29" s="19">
        <v>46048</v>
      </c>
      <c r="C29" s="19">
        <v>46048</v>
      </c>
      <c r="D29" s="18" t="s">
        <v>30</v>
      </c>
      <c r="E29" s="20">
        <v>0.45833333333333331</v>
      </c>
      <c r="F29" s="20">
        <v>0.5</v>
      </c>
      <c r="G29" s="20">
        <v>3.4722222222222218E-4</v>
      </c>
      <c r="H29" s="18" t="s">
        <v>83</v>
      </c>
      <c r="I29" s="21">
        <v>0.48223379629629631</v>
      </c>
      <c r="J29" s="18" t="s">
        <v>80</v>
      </c>
      <c r="K29" s="18" t="s">
        <v>150</v>
      </c>
      <c r="L29" s="22">
        <v>1</v>
      </c>
      <c r="M29" s="22">
        <v>70166</v>
      </c>
      <c r="N29" s="18" t="s">
        <v>53</v>
      </c>
      <c r="O29" s="22" t="s">
        <v>84</v>
      </c>
      <c r="P29" s="23">
        <v>35</v>
      </c>
      <c r="Q29" s="22"/>
      <c r="R29" s="23">
        <v>35</v>
      </c>
      <c r="S29" s="24">
        <v>46048</v>
      </c>
      <c r="T29" s="23">
        <v>0</v>
      </c>
      <c r="U29" s="25">
        <v>4</v>
      </c>
      <c r="V29" s="23">
        <v>35</v>
      </c>
      <c r="W29" s="18" t="s">
        <v>47</v>
      </c>
      <c r="X29" s="18" t="s">
        <v>48</v>
      </c>
      <c r="Y29" s="18" t="s">
        <v>58</v>
      </c>
      <c r="Z29" s="18" t="s">
        <v>43</v>
      </c>
      <c r="AA29" s="18" t="s">
        <v>49</v>
      </c>
      <c r="AB29" s="18" t="s">
        <v>85</v>
      </c>
      <c r="AC29" s="18" t="s">
        <v>38</v>
      </c>
      <c r="AD29" s="7" t="str">
        <f t="shared" si="0"/>
        <v/>
      </c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</row>
    <row r="30" spans="1:49" s="17" customFormat="1" ht="35.1" customHeight="1" x14ac:dyDescent="0.25">
      <c r="A30" s="18" t="s">
        <v>93</v>
      </c>
      <c r="B30" s="19">
        <v>46048</v>
      </c>
      <c r="C30" s="19">
        <v>46048</v>
      </c>
      <c r="D30" s="18" t="s">
        <v>30</v>
      </c>
      <c r="E30" s="20">
        <v>0.45833333333333331</v>
      </c>
      <c r="F30" s="20">
        <v>0.54166666666666663</v>
      </c>
      <c r="G30" s="28">
        <v>1.7361111111111109E-4</v>
      </c>
      <c r="H30" s="29" t="s">
        <v>98</v>
      </c>
      <c r="I30" s="21">
        <v>0.48804398148148148</v>
      </c>
      <c r="J30" s="18" t="s">
        <v>80</v>
      </c>
      <c r="K30" s="18" t="s">
        <v>150</v>
      </c>
      <c r="L30" s="22">
        <v>1</v>
      </c>
      <c r="M30" s="22">
        <v>69570</v>
      </c>
      <c r="N30" s="18" t="s">
        <v>53</v>
      </c>
      <c r="O30" s="22" t="s">
        <v>95</v>
      </c>
      <c r="P30" s="23">
        <v>0</v>
      </c>
      <c r="Q30" s="22"/>
      <c r="R30" s="23">
        <v>19.042139037433099</v>
      </c>
      <c r="S30" s="24">
        <v>46054</v>
      </c>
      <c r="T30" s="23">
        <v>0</v>
      </c>
      <c r="U30" s="25">
        <v>4</v>
      </c>
      <c r="V30" s="23">
        <v>0</v>
      </c>
      <c r="W30" s="18" t="s">
        <v>47</v>
      </c>
      <c r="X30" s="18" t="s">
        <v>48</v>
      </c>
      <c r="Y30" s="18" t="s">
        <v>36</v>
      </c>
      <c r="Z30" s="18" t="s">
        <v>9</v>
      </c>
      <c r="AA30" s="18" t="s">
        <v>49</v>
      </c>
      <c r="AB30" s="18" t="s">
        <v>96</v>
      </c>
      <c r="AC30" s="18" t="s">
        <v>38</v>
      </c>
      <c r="AD30" s="7" t="str">
        <f t="shared" si="0"/>
        <v/>
      </c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</row>
    <row r="31" spans="1:49" s="17" customFormat="1" ht="35.1" customHeight="1" x14ac:dyDescent="0.25">
      <c r="A31" s="18" t="s">
        <v>93</v>
      </c>
      <c r="B31" s="19">
        <v>46048</v>
      </c>
      <c r="C31" s="19">
        <v>46048</v>
      </c>
      <c r="D31" s="18" t="s">
        <v>30</v>
      </c>
      <c r="E31" s="20">
        <v>0.45833333333333331</v>
      </c>
      <c r="F31" s="20">
        <v>0.54166666666666663</v>
      </c>
      <c r="G31" s="28">
        <v>1.7361111111111109E-4</v>
      </c>
      <c r="H31" s="29" t="s">
        <v>97</v>
      </c>
      <c r="I31" s="21">
        <v>0.49030092592592595</v>
      </c>
      <c r="J31" s="18" t="s">
        <v>80</v>
      </c>
      <c r="K31" s="18" t="s">
        <v>150</v>
      </c>
      <c r="L31" s="22">
        <v>1</v>
      </c>
      <c r="M31" s="22">
        <v>69570</v>
      </c>
      <c r="N31" s="18" t="s">
        <v>53</v>
      </c>
      <c r="O31" s="22" t="s">
        <v>95</v>
      </c>
      <c r="P31" s="23">
        <v>0</v>
      </c>
      <c r="Q31" s="22"/>
      <c r="R31" s="23">
        <v>19.042139037433099</v>
      </c>
      <c r="S31" s="24">
        <v>46054</v>
      </c>
      <c r="T31" s="23">
        <v>0</v>
      </c>
      <c r="U31" s="25">
        <v>4</v>
      </c>
      <c r="V31" s="23">
        <v>0</v>
      </c>
      <c r="W31" s="18" t="s">
        <v>47</v>
      </c>
      <c r="X31" s="18" t="s">
        <v>48</v>
      </c>
      <c r="Y31" s="18" t="s">
        <v>36</v>
      </c>
      <c r="Z31" s="18" t="s">
        <v>9</v>
      </c>
      <c r="AA31" s="18" t="s">
        <v>49</v>
      </c>
      <c r="AB31" s="18" t="s">
        <v>96</v>
      </c>
      <c r="AC31" s="18" t="s">
        <v>38</v>
      </c>
      <c r="AD31" s="7" t="str">
        <f t="shared" si="0"/>
        <v/>
      </c>
      <c r="AE31" s="31"/>
      <c r="AF31" s="31"/>
      <c r="AG31" s="31"/>
      <c r="AH31" s="31"/>
      <c r="AI31" s="30"/>
      <c r="AJ31" s="30"/>
      <c r="AK31" s="30"/>
      <c r="AL31" s="30"/>
      <c r="AM31" s="30"/>
      <c r="AN31" s="30"/>
      <c r="AO31" s="30"/>
      <c r="AP31" s="30"/>
      <c r="AQ31" s="30"/>
      <c r="AR31" s="30"/>
      <c r="AS31" s="30"/>
      <c r="AT31" s="30"/>
      <c r="AU31" s="30"/>
      <c r="AV31" s="30"/>
      <c r="AW31" s="30"/>
    </row>
    <row r="32" spans="1:49" s="17" customFormat="1" ht="35.1" customHeight="1" x14ac:dyDescent="0.25">
      <c r="A32" s="18" t="s">
        <v>78</v>
      </c>
      <c r="B32" s="19">
        <v>46048</v>
      </c>
      <c r="C32" s="19">
        <v>46048</v>
      </c>
      <c r="D32" s="18" t="s">
        <v>30</v>
      </c>
      <c r="E32" s="20">
        <v>0.45833333333333331</v>
      </c>
      <c r="F32" s="20">
        <v>0.54166666666666663</v>
      </c>
      <c r="G32" s="20">
        <v>3.4722222222222218E-4</v>
      </c>
      <c r="H32" s="18" t="s">
        <v>79</v>
      </c>
      <c r="I32" s="21">
        <v>0.49659722222222225</v>
      </c>
      <c r="J32" s="18" t="s">
        <v>80</v>
      </c>
      <c r="K32" s="18" t="s">
        <v>150</v>
      </c>
      <c r="L32" s="22">
        <v>1</v>
      </c>
      <c r="M32" s="22">
        <v>64952</v>
      </c>
      <c r="N32" s="18" t="s">
        <v>46</v>
      </c>
      <c r="O32" s="22"/>
      <c r="P32" s="23">
        <v>0</v>
      </c>
      <c r="Q32" s="22"/>
      <c r="R32" s="23">
        <v>0</v>
      </c>
      <c r="S32" s="24">
        <v>46054</v>
      </c>
      <c r="T32" s="23">
        <v>0</v>
      </c>
      <c r="U32" s="25">
        <v>4</v>
      </c>
      <c r="V32" s="23">
        <v>0</v>
      </c>
      <c r="W32" s="18" t="s">
        <v>47</v>
      </c>
      <c r="X32" s="18" t="s">
        <v>48</v>
      </c>
      <c r="Y32" s="18" t="s">
        <v>36</v>
      </c>
      <c r="Z32" s="18" t="s">
        <v>9</v>
      </c>
      <c r="AA32" s="18" t="s">
        <v>49</v>
      </c>
      <c r="AB32" s="18" t="s">
        <v>81</v>
      </c>
      <c r="AC32" s="18" t="s">
        <v>38</v>
      </c>
      <c r="AD32" s="7" t="str">
        <f t="shared" si="0"/>
        <v/>
      </c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</row>
    <row r="33" spans="1:49" s="17" customFormat="1" ht="35.1" customHeight="1" x14ac:dyDescent="0.25">
      <c r="A33" s="9" t="s">
        <v>100</v>
      </c>
      <c r="B33" s="10">
        <v>46048</v>
      </c>
      <c r="C33" s="10">
        <v>46048</v>
      </c>
      <c r="D33" s="11" t="s">
        <v>30</v>
      </c>
      <c r="E33" s="12">
        <v>0.5</v>
      </c>
      <c r="F33" s="12">
        <v>0.54166666666666663</v>
      </c>
      <c r="G33" s="12">
        <v>4.1666666666666664E-2</v>
      </c>
      <c r="H33" s="9" t="s">
        <v>101</v>
      </c>
      <c r="I33" s="13"/>
      <c r="J33" s="9" t="s">
        <v>80</v>
      </c>
      <c r="K33" s="9"/>
      <c r="L33" s="14">
        <v>1</v>
      </c>
      <c r="M33" s="14">
        <v>1</v>
      </c>
      <c r="N33" s="9" t="s">
        <v>33</v>
      </c>
      <c r="O33" s="9"/>
      <c r="P33" s="16">
        <v>0</v>
      </c>
      <c r="Q33" s="14"/>
      <c r="R33" s="16">
        <v>0</v>
      </c>
      <c r="S33" s="9">
        <v>46054</v>
      </c>
      <c r="T33" s="16">
        <v>0</v>
      </c>
      <c r="U33" s="14">
        <v>2</v>
      </c>
      <c r="V33" s="16">
        <v>0</v>
      </c>
      <c r="W33" s="9" t="s">
        <v>34</v>
      </c>
      <c r="X33" s="9" t="s">
        <v>42</v>
      </c>
      <c r="Y33" s="9" t="s">
        <v>36</v>
      </c>
      <c r="Z33" s="9" t="s">
        <v>43</v>
      </c>
      <c r="AA33" s="9" t="s">
        <v>37</v>
      </c>
      <c r="AB33" s="9" t="s">
        <v>37</v>
      </c>
      <c r="AC33" s="9" t="s">
        <v>38</v>
      </c>
      <c r="AD33" s="7" t="str">
        <f t="shared" si="0"/>
        <v/>
      </c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</row>
    <row r="34" spans="1:49" s="17" customFormat="1" ht="35.1" customHeight="1" x14ac:dyDescent="0.25">
      <c r="A34" s="18" t="s">
        <v>78</v>
      </c>
      <c r="B34" s="19">
        <v>46048</v>
      </c>
      <c r="C34" s="19">
        <v>46048</v>
      </c>
      <c r="D34" s="18" t="s">
        <v>30</v>
      </c>
      <c r="E34" s="20">
        <v>0.45833333333333331</v>
      </c>
      <c r="F34" s="20">
        <v>0.52083333333333337</v>
      </c>
      <c r="G34" s="20">
        <v>1.7361111111111109E-4</v>
      </c>
      <c r="H34" s="18" t="s">
        <v>86</v>
      </c>
      <c r="I34" s="21">
        <v>0.50528935185185186</v>
      </c>
      <c r="J34" s="18" t="s">
        <v>80</v>
      </c>
      <c r="K34" s="18" t="s">
        <v>151</v>
      </c>
      <c r="L34" s="22">
        <v>1</v>
      </c>
      <c r="M34" s="22">
        <v>64953</v>
      </c>
      <c r="N34" s="18" t="s">
        <v>53</v>
      </c>
      <c r="O34" s="22"/>
      <c r="P34" s="23">
        <v>20</v>
      </c>
      <c r="Q34" s="22"/>
      <c r="R34" s="23">
        <v>20</v>
      </c>
      <c r="S34" s="24">
        <v>46054</v>
      </c>
      <c r="T34" s="23">
        <v>0</v>
      </c>
      <c r="U34" s="25">
        <v>4</v>
      </c>
      <c r="V34" s="23">
        <v>20</v>
      </c>
      <c r="W34" s="18" t="s">
        <v>47</v>
      </c>
      <c r="X34" s="18" t="s">
        <v>48</v>
      </c>
      <c r="Y34" s="18" t="s">
        <v>36</v>
      </c>
      <c r="Z34" s="18" t="s">
        <v>9</v>
      </c>
      <c r="AA34" s="18" t="s">
        <v>49</v>
      </c>
      <c r="AB34" s="18" t="s">
        <v>81</v>
      </c>
      <c r="AC34" s="18" t="s">
        <v>38</v>
      </c>
      <c r="AD34" s="7" t="str">
        <f t="shared" si="0"/>
        <v/>
      </c>
      <c r="AI34" s="30"/>
      <c r="AJ34" s="30"/>
      <c r="AK34" s="30"/>
      <c r="AL34" s="30"/>
      <c r="AM34" s="30"/>
      <c r="AN34" s="30"/>
      <c r="AO34" s="30"/>
      <c r="AP34" s="30"/>
      <c r="AQ34" s="30"/>
      <c r="AR34" s="30"/>
      <c r="AS34" s="30"/>
      <c r="AT34" s="30"/>
      <c r="AU34" s="30"/>
      <c r="AV34" s="30"/>
      <c r="AW34" s="30"/>
    </row>
    <row r="35" spans="1:49" s="17" customFormat="1" ht="35.1" customHeight="1" x14ac:dyDescent="0.25">
      <c r="A35" s="18" t="s">
        <v>82</v>
      </c>
      <c r="B35" s="19">
        <v>46048</v>
      </c>
      <c r="C35" s="19">
        <v>46048</v>
      </c>
      <c r="D35" s="18" t="s">
        <v>30</v>
      </c>
      <c r="E35" s="20">
        <v>0.5</v>
      </c>
      <c r="F35" s="20">
        <v>0.54166666666666663</v>
      </c>
      <c r="G35" s="20">
        <v>3.4722222222222218E-4</v>
      </c>
      <c r="H35" s="18" t="s">
        <v>83</v>
      </c>
      <c r="I35" s="21">
        <v>0.505462962962963</v>
      </c>
      <c r="J35" s="18" t="s">
        <v>80</v>
      </c>
      <c r="K35" s="18" t="s">
        <v>151</v>
      </c>
      <c r="L35" s="22">
        <v>1</v>
      </c>
      <c r="M35" s="22">
        <v>70167</v>
      </c>
      <c r="N35" s="18" t="s">
        <v>53</v>
      </c>
      <c r="O35" s="22" t="s">
        <v>84</v>
      </c>
      <c r="P35" s="23">
        <v>35</v>
      </c>
      <c r="Q35" s="22"/>
      <c r="R35" s="23">
        <v>35</v>
      </c>
      <c r="S35" s="24">
        <v>46048</v>
      </c>
      <c r="T35" s="23">
        <v>0</v>
      </c>
      <c r="U35" s="25">
        <v>4</v>
      </c>
      <c r="V35" s="23">
        <v>35</v>
      </c>
      <c r="W35" s="18" t="s">
        <v>47</v>
      </c>
      <c r="X35" s="18" t="s">
        <v>48</v>
      </c>
      <c r="Y35" s="18" t="s">
        <v>58</v>
      </c>
      <c r="Z35" s="18" t="s">
        <v>43</v>
      </c>
      <c r="AA35" s="18" t="s">
        <v>49</v>
      </c>
      <c r="AB35" s="18" t="s">
        <v>85</v>
      </c>
      <c r="AC35" s="18" t="s">
        <v>38</v>
      </c>
      <c r="AD35" s="7" t="str">
        <f t="shared" si="0"/>
        <v/>
      </c>
      <c r="AE35" s="26"/>
      <c r="AF35" s="26"/>
      <c r="AG35" s="26"/>
      <c r="AH35" s="26"/>
      <c r="AI35" s="27"/>
      <c r="AJ35" s="27"/>
      <c r="AK35" s="27"/>
      <c r="AL35" s="27"/>
      <c r="AM35" s="27"/>
      <c r="AN35" s="27"/>
      <c r="AO35" s="27"/>
      <c r="AP35" s="27"/>
      <c r="AQ35" s="27"/>
      <c r="AR35" s="27"/>
      <c r="AS35" s="27"/>
      <c r="AT35" s="27"/>
      <c r="AU35" s="27"/>
      <c r="AV35" s="27"/>
      <c r="AW35" s="27"/>
    </row>
    <row r="36" spans="1:49" s="17" customFormat="1" ht="35.1" customHeight="1" x14ac:dyDescent="0.25">
      <c r="A36" s="18" t="s">
        <v>93</v>
      </c>
      <c r="B36" s="19">
        <v>46048</v>
      </c>
      <c r="C36" s="19">
        <v>46048</v>
      </c>
      <c r="D36" s="18" t="s">
        <v>30</v>
      </c>
      <c r="E36" s="20">
        <v>0.45833333333333331</v>
      </c>
      <c r="F36" s="20">
        <v>0.54166666666666663</v>
      </c>
      <c r="G36" s="28">
        <v>1.7361111111111109E-4</v>
      </c>
      <c r="H36" s="29" t="s">
        <v>94</v>
      </c>
      <c r="I36" s="21">
        <v>0.5119097222222222</v>
      </c>
      <c r="J36" s="18" t="s">
        <v>80</v>
      </c>
      <c r="K36" s="18" t="s">
        <v>151</v>
      </c>
      <c r="L36" s="22">
        <v>1</v>
      </c>
      <c r="M36" s="22">
        <v>69570</v>
      </c>
      <c r="N36" s="18" t="s">
        <v>53</v>
      </c>
      <c r="O36" s="22" t="s">
        <v>95</v>
      </c>
      <c r="P36" s="23">
        <v>0</v>
      </c>
      <c r="Q36" s="22"/>
      <c r="R36" s="23">
        <v>19.042139037433099</v>
      </c>
      <c r="S36" s="24">
        <v>46054</v>
      </c>
      <c r="T36" s="23">
        <v>0</v>
      </c>
      <c r="U36" s="25">
        <v>4</v>
      </c>
      <c r="V36" s="23">
        <v>0</v>
      </c>
      <c r="W36" s="18" t="s">
        <v>47</v>
      </c>
      <c r="X36" s="18" t="s">
        <v>48</v>
      </c>
      <c r="Y36" s="18" t="s">
        <v>36</v>
      </c>
      <c r="Z36" s="18" t="s">
        <v>9</v>
      </c>
      <c r="AA36" s="18" t="s">
        <v>49</v>
      </c>
      <c r="AB36" s="18" t="s">
        <v>96</v>
      </c>
      <c r="AC36" s="18" t="s">
        <v>38</v>
      </c>
      <c r="AD36" s="7" t="str">
        <f t="shared" si="0"/>
        <v/>
      </c>
      <c r="AE36" s="31"/>
      <c r="AF36" s="31"/>
      <c r="AG36" s="31"/>
      <c r="AH36" s="31"/>
      <c r="AI36" s="30"/>
      <c r="AJ36" s="30"/>
      <c r="AK36" s="30"/>
      <c r="AL36" s="30"/>
      <c r="AM36" s="30"/>
      <c r="AN36" s="30"/>
      <c r="AO36" s="30"/>
      <c r="AP36" s="30"/>
      <c r="AQ36" s="30"/>
      <c r="AR36" s="30"/>
      <c r="AS36" s="30"/>
      <c r="AT36" s="30"/>
      <c r="AU36" s="30"/>
      <c r="AV36" s="30"/>
      <c r="AW36" s="30"/>
    </row>
    <row r="37" spans="1:49" s="17" customFormat="1" ht="35.1" customHeight="1" x14ac:dyDescent="0.25">
      <c r="A37" s="18" t="s">
        <v>87</v>
      </c>
      <c r="B37" s="19">
        <v>46048</v>
      </c>
      <c r="C37" s="19">
        <v>46048</v>
      </c>
      <c r="D37" s="18" t="s">
        <v>30</v>
      </c>
      <c r="E37" s="20">
        <v>0.45833333333333331</v>
      </c>
      <c r="F37" s="20">
        <v>0.54166666666666663</v>
      </c>
      <c r="G37" s="20">
        <v>3.4722222222222218E-4</v>
      </c>
      <c r="H37" s="18" t="s">
        <v>88</v>
      </c>
      <c r="I37" s="21">
        <v>0.51208333333333333</v>
      </c>
      <c r="J37" s="18" t="s">
        <v>80</v>
      </c>
      <c r="K37" s="18" t="s">
        <v>151</v>
      </c>
      <c r="L37" s="22">
        <v>1</v>
      </c>
      <c r="M37" s="22">
        <v>69607</v>
      </c>
      <c r="N37" s="18" t="s">
        <v>53</v>
      </c>
      <c r="O37" s="22" t="s">
        <v>89</v>
      </c>
      <c r="P37" s="23">
        <v>40</v>
      </c>
      <c r="Q37" s="22"/>
      <c r="R37" s="23">
        <v>40</v>
      </c>
      <c r="S37" s="24">
        <v>46048</v>
      </c>
      <c r="T37" s="23">
        <v>0</v>
      </c>
      <c r="U37" s="25">
        <v>4</v>
      </c>
      <c r="V37" s="23">
        <v>40</v>
      </c>
      <c r="W37" s="18" t="s">
        <v>47</v>
      </c>
      <c r="X37" s="18" t="s">
        <v>48</v>
      </c>
      <c r="Y37" s="18" t="s">
        <v>58</v>
      </c>
      <c r="Z37" s="18" t="s">
        <v>43</v>
      </c>
      <c r="AA37" s="18" t="s">
        <v>49</v>
      </c>
      <c r="AB37" s="18" t="s">
        <v>90</v>
      </c>
      <c r="AC37" s="18" t="s">
        <v>38</v>
      </c>
      <c r="AD37" s="7" t="str">
        <f t="shared" si="0"/>
        <v/>
      </c>
      <c r="AE37" s="26"/>
      <c r="AF37" s="26"/>
      <c r="AG37" s="26"/>
      <c r="AH37" s="26"/>
      <c r="AI37" s="27"/>
      <c r="AJ37" s="27"/>
      <c r="AK37" s="27"/>
      <c r="AL37" s="27"/>
      <c r="AM37" s="27"/>
      <c r="AN37" s="27"/>
      <c r="AO37" s="27"/>
      <c r="AP37" s="27"/>
      <c r="AQ37" s="27"/>
      <c r="AR37" s="27"/>
      <c r="AS37" s="27"/>
      <c r="AT37" s="27"/>
      <c r="AU37" s="27"/>
      <c r="AV37" s="27"/>
      <c r="AW37" s="27"/>
    </row>
    <row r="38" spans="1:49" s="17" customFormat="1" ht="35.1" customHeight="1" x14ac:dyDescent="0.25">
      <c r="A38" s="18" t="s">
        <v>78</v>
      </c>
      <c r="B38" s="19">
        <v>46048</v>
      </c>
      <c r="C38" s="19">
        <v>46048</v>
      </c>
      <c r="D38" s="18" t="s">
        <v>30</v>
      </c>
      <c r="E38" s="20">
        <v>0.45833333333333331</v>
      </c>
      <c r="F38" s="20">
        <v>0.54166666666666663</v>
      </c>
      <c r="G38" s="20">
        <v>3.4722222222222218E-4</v>
      </c>
      <c r="H38" s="18" t="s">
        <v>79</v>
      </c>
      <c r="I38" s="21">
        <v>0.5124305555555555</v>
      </c>
      <c r="J38" s="18" t="s">
        <v>80</v>
      </c>
      <c r="K38" s="18" t="s">
        <v>151</v>
      </c>
      <c r="L38" s="22">
        <v>1</v>
      </c>
      <c r="M38" s="22">
        <v>64952</v>
      </c>
      <c r="N38" s="18" t="s">
        <v>46</v>
      </c>
      <c r="O38" s="22"/>
      <c r="P38" s="23">
        <v>0</v>
      </c>
      <c r="Q38" s="22"/>
      <c r="R38" s="23">
        <v>0</v>
      </c>
      <c r="S38" s="24">
        <v>46054</v>
      </c>
      <c r="T38" s="23">
        <v>0</v>
      </c>
      <c r="U38" s="25">
        <v>4</v>
      </c>
      <c r="V38" s="23">
        <v>0</v>
      </c>
      <c r="W38" s="18" t="s">
        <v>47</v>
      </c>
      <c r="X38" s="18" t="s">
        <v>48</v>
      </c>
      <c r="Y38" s="18" t="s">
        <v>36</v>
      </c>
      <c r="Z38" s="18" t="s">
        <v>9</v>
      </c>
      <c r="AA38" s="18" t="s">
        <v>49</v>
      </c>
      <c r="AB38" s="18" t="s">
        <v>81</v>
      </c>
      <c r="AC38" s="18" t="s">
        <v>38</v>
      </c>
      <c r="AD38" s="7" t="str">
        <f t="shared" si="0"/>
        <v/>
      </c>
      <c r="AE38" s="32"/>
      <c r="AF38" s="32"/>
      <c r="AG38" s="32"/>
      <c r="AH38" s="32"/>
      <c r="AI38" s="30"/>
      <c r="AJ38" s="30"/>
      <c r="AK38" s="30"/>
      <c r="AL38" s="30"/>
      <c r="AM38" s="30"/>
      <c r="AN38" s="30"/>
      <c r="AO38" s="30"/>
      <c r="AP38" s="30"/>
      <c r="AQ38" s="30"/>
      <c r="AR38" s="30"/>
      <c r="AS38" s="30"/>
      <c r="AT38" s="30"/>
      <c r="AU38" s="30"/>
      <c r="AV38" s="30"/>
      <c r="AW38" s="30"/>
    </row>
    <row r="39" spans="1:49" s="17" customFormat="1" ht="35.1" customHeight="1" x14ac:dyDescent="0.25">
      <c r="A39" s="18" t="s">
        <v>82</v>
      </c>
      <c r="B39" s="19">
        <v>46048</v>
      </c>
      <c r="C39" s="19">
        <v>46048</v>
      </c>
      <c r="D39" s="18" t="s">
        <v>30</v>
      </c>
      <c r="E39" s="20">
        <v>0.5</v>
      </c>
      <c r="F39" s="20">
        <v>0.54166666666666663</v>
      </c>
      <c r="G39" s="20">
        <v>3.4722222222222218E-4</v>
      </c>
      <c r="H39" s="18" t="s">
        <v>83</v>
      </c>
      <c r="I39" s="21">
        <v>0.51295138888888892</v>
      </c>
      <c r="J39" s="18" t="s">
        <v>80</v>
      </c>
      <c r="K39" s="18" t="s">
        <v>151</v>
      </c>
      <c r="L39" s="22">
        <v>1</v>
      </c>
      <c r="M39" s="22">
        <v>70167</v>
      </c>
      <c r="N39" s="18" t="s">
        <v>53</v>
      </c>
      <c r="O39" s="22" t="s">
        <v>84</v>
      </c>
      <c r="P39" s="23">
        <v>35</v>
      </c>
      <c r="Q39" s="22"/>
      <c r="R39" s="23">
        <v>35</v>
      </c>
      <c r="S39" s="24">
        <v>46048</v>
      </c>
      <c r="T39" s="23">
        <v>0</v>
      </c>
      <c r="U39" s="25">
        <v>4</v>
      </c>
      <c r="V39" s="23">
        <v>35</v>
      </c>
      <c r="W39" s="18" t="s">
        <v>47</v>
      </c>
      <c r="X39" s="18" t="s">
        <v>48</v>
      </c>
      <c r="Y39" s="18" t="s">
        <v>58</v>
      </c>
      <c r="Z39" s="18" t="s">
        <v>43</v>
      </c>
      <c r="AA39" s="18" t="s">
        <v>49</v>
      </c>
      <c r="AB39" s="18" t="s">
        <v>85</v>
      </c>
      <c r="AC39" s="18" t="s">
        <v>38</v>
      </c>
      <c r="AD39" s="7" t="str">
        <f t="shared" si="0"/>
        <v/>
      </c>
      <c r="AE39" s="26"/>
      <c r="AF39" s="26"/>
      <c r="AG39" s="26"/>
      <c r="AH39" s="26"/>
      <c r="AI39" s="27"/>
      <c r="AJ39" s="27"/>
      <c r="AK39" s="27"/>
      <c r="AL39" s="27"/>
      <c r="AM39" s="27"/>
      <c r="AN39" s="27"/>
      <c r="AO39" s="27"/>
      <c r="AP39" s="27"/>
      <c r="AQ39" s="27"/>
      <c r="AR39" s="27"/>
      <c r="AS39" s="27"/>
      <c r="AT39" s="27"/>
      <c r="AU39" s="27"/>
      <c r="AV39" s="27"/>
      <c r="AW39" s="27"/>
    </row>
    <row r="40" spans="1:49" s="17" customFormat="1" ht="35.1" customHeight="1" x14ac:dyDescent="0.25">
      <c r="A40" s="18" t="s">
        <v>93</v>
      </c>
      <c r="B40" s="19">
        <v>46048</v>
      </c>
      <c r="C40" s="19">
        <v>46048</v>
      </c>
      <c r="D40" s="18" t="s">
        <v>30</v>
      </c>
      <c r="E40" s="20">
        <v>0.45833333333333331</v>
      </c>
      <c r="F40" s="20">
        <v>0.54166666666666663</v>
      </c>
      <c r="G40" s="28">
        <v>1.7361111111111109E-4</v>
      </c>
      <c r="H40" s="29" t="s">
        <v>97</v>
      </c>
      <c r="I40" s="21">
        <v>0.51364583333333336</v>
      </c>
      <c r="J40" s="18" t="s">
        <v>80</v>
      </c>
      <c r="K40" s="18" t="s">
        <v>151</v>
      </c>
      <c r="L40" s="22">
        <v>1</v>
      </c>
      <c r="M40" s="22">
        <v>69570</v>
      </c>
      <c r="N40" s="18" t="s">
        <v>53</v>
      </c>
      <c r="O40" s="22" t="s">
        <v>95</v>
      </c>
      <c r="P40" s="23">
        <v>0</v>
      </c>
      <c r="Q40" s="22"/>
      <c r="R40" s="23">
        <v>19.042139037433099</v>
      </c>
      <c r="S40" s="24">
        <v>46054</v>
      </c>
      <c r="T40" s="23">
        <v>0</v>
      </c>
      <c r="U40" s="25">
        <v>4</v>
      </c>
      <c r="V40" s="23">
        <v>0</v>
      </c>
      <c r="W40" s="18" t="s">
        <v>47</v>
      </c>
      <c r="X40" s="18" t="s">
        <v>48</v>
      </c>
      <c r="Y40" s="18" t="s">
        <v>36</v>
      </c>
      <c r="Z40" s="18" t="s">
        <v>9</v>
      </c>
      <c r="AA40" s="18" t="s">
        <v>49</v>
      </c>
      <c r="AB40" s="18" t="s">
        <v>96</v>
      </c>
      <c r="AC40" s="18" t="s">
        <v>38</v>
      </c>
      <c r="AD40" s="7" t="str">
        <f t="shared" si="0"/>
        <v/>
      </c>
      <c r="AI40" s="30"/>
      <c r="AJ40" s="30"/>
      <c r="AK40" s="30"/>
      <c r="AL40" s="30"/>
      <c r="AM40" s="30"/>
      <c r="AN40" s="30"/>
      <c r="AO40" s="30"/>
      <c r="AP40" s="30"/>
      <c r="AQ40" s="30"/>
      <c r="AR40" s="30"/>
      <c r="AS40" s="30"/>
      <c r="AT40" s="30"/>
      <c r="AU40" s="30"/>
      <c r="AV40" s="30"/>
      <c r="AW40" s="30"/>
    </row>
    <row r="41" spans="1:49" s="17" customFormat="1" ht="35.1" customHeight="1" x14ac:dyDescent="0.25">
      <c r="A41" s="18" t="s">
        <v>82</v>
      </c>
      <c r="B41" s="19">
        <v>46048</v>
      </c>
      <c r="C41" s="19">
        <v>46048</v>
      </c>
      <c r="D41" s="18" t="s">
        <v>30</v>
      </c>
      <c r="E41" s="20">
        <v>0.5</v>
      </c>
      <c r="F41" s="20">
        <v>0.54166666666666663</v>
      </c>
      <c r="G41" s="20">
        <v>3.4722222222222218E-4</v>
      </c>
      <c r="H41" s="18" t="s">
        <v>83</v>
      </c>
      <c r="I41" s="21">
        <v>0.51876157407407408</v>
      </c>
      <c r="J41" s="18" t="s">
        <v>80</v>
      </c>
      <c r="K41" s="18" t="s">
        <v>151</v>
      </c>
      <c r="L41" s="22">
        <v>1</v>
      </c>
      <c r="M41" s="22">
        <v>70167</v>
      </c>
      <c r="N41" s="18" t="s">
        <v>53</v>
      </c>
      <c r="O41" s="22" t="s">
        <v>84</v>
      </c>
      <c r="P41" s="23">
        <v>35</v>
      </c>
      <c r="Q41" s="22"/>
      <c r="R41" s="23">
        <v>35</v>
      </c>
      <c r="S41" s="24">
        <v>46048</v>
      </c>
      <c r="T41" s="23">
        <v>0</v>
      </c>
      <c r="U41" s="25">
        <v>4</v>
      </c>
      <c r="V41" s="23">
        <v>35</v>
      </c>
      <c r="W41" s="18" t="s">
        <v>47</v>
      </c>
      <c r="X41" s="18" t="s">
        <v>48</v>
      </c>
      <c r="Y41" s="18" t="s">
        <v>58</v>
      </c>
      <c r="Z41" s="18" t="s">
        <v>43</v>
      </c>
      <c r="AA41" s="18" t="s">
        <v>49</v>
      </c>
      <c r="AB41" s="18" t="s">
        <v>85</v>
      </c>
      <c r="AC41" s="18" t="s">
        <v>38</v>
      </c>
      <c r="AD41" s="7" t="str">
        <f t="shared" si="0"/>
        <v/>
      </c>
      <c r="AE41" s="26"/>
      <c r="AF41" s="26"/>
      <c r="AG41" s="26"/>
      <c r="AH41" s="26"/>
      <c r="AI41" s="27"/>
      <c r="AJ41" s="27"/>
      <c r="AK41" s="27"/>
      <c r="AL41" s="27"/>
      <c r="AM41" s="27"/>
      <c r="AN41" s="27"/>
      <c r="AO41" s="27"/>
      <c r="AP41" s="27"/>
      <c r="AQ41" s="27"/>
      <c r="AR41" s="27"/>
      <c r="AS41" s="27"/>
      <c r="AT41" s="27"/>
      <c r="AU41" s="27"/>
      <c r="AV41" s="27"/>
      <c r="AW41" s="27"/>
    </row>
    <row r="42" spans="1:49" s="17" customFormat="1" ht="35.1" customHeight="1" x14ac:dyDescent="0.25">
      <c r="A42" s="18" t="s">
        <v>82</v>
      </c>
      <c r="B42" s="19">
        <v>46048</v>
      </c>
      <c r="C42" s="19">
        <v>46048</v>
      </c>
      <c r="D42" s="18" t="s">
        <v>30</v>
      </c>
      <c r="E42" s="20">
        <v>0.5</v>
      </c>
      <c r="F42" s="20">
        <v>0.54166666666666663</v>
      </c>
      <c r="G42" s="20">
        <v>3.4722222222222218E-4</v>
      </c>
      <c r="H42" s="18" t="s">
        <v>83</v>
      </c>
      <c r="I42" s="21">
        <v>0.5282175925925926</v>
      </c>
      <c r="J42" s="18" t="s">
        <v>80</v>
      </c>
      <c r="K42" s="18" t="s">
        <v>151</v>
      </c>
      <c r="L42" s="22">
        <v>1</v>
      </c>
      <c r="M42" s="22">
        <v>70167</v>
      </c>
      <c r="N42" s="18" t="s">
        <v>53</v>
      </c>
      <c r="O42" s="22" t="s">
        <v>84</v>
      </c>
      <c r="P42" s="23">
        <v>35</v>
      </c>
      <c r="Q42" s="22"/>
      <c r="R42" s="23">
        <v>35</v>
      </c>
      <c r="S42" s="24">
        <v>46048</v>
      </c>
      <c r="T42" s="23">
        <v>0</v>
      </c>
      <c r="U42" s="25">
        <v>4</v>
      </c>
      <c r="V42" s="23">
        <v>35</v>
      </c>
      <c r="W42" s="18" t="s">
        <v>47</v>
      </c>
      <c r="X42" s="18" t="s">
        <v>48</v>
      </c>
      <c r="Y42" s="18" t="s">
        <v>58</v>
      </c>
      <c r="Z42" s="18" t="s">
        <v>43</v>
      </c>
      <c r="AA42" s="18" t="s">
        <v>49</v>
      </c>
      <c r="AB42" s="18" t="s">
        <v>85</v>
      </c>
      <c r="AC42" s="18" t="s">
        <v>38</v>
      </c>
      <c r="AD42" s="7" t="str">
        <f t="shared" si="0"/>
        <v/>
      </c>
      <c r="AI42" s="30"/>
      <c r="AJ42" s="30"/>
      <c r="AK42" s="30"/>
      <c r="AL42" s="30"/>
      <c r="AM42" s="30"/>
      <c r="AN42" s="30"/>
      <c r="AO42" s="30"/>
      <c r="AP42" s="30"/>
      <c r="AQ42" s="30"/>
      <c r="AR42" s="30"/>
      <c r="AS42" s="30"/>
      <c r="AT42" s="30"/>
      <c r="AU42" s="30"/>
      <c r="AV42" s="30"/>
      <c r="AW42" s="30"/>
    </row>
    <row r="43" spans="1:49" s="17" customFormat="1" ht="35.1" customHeight="1" x14ac:dyDescent="0.25">
      <c r="A43" s="18" t="s">
        <v>51</v>
      </c>
      <c r="B43" s="19">
        <v>46048</v>
      </c>
      <c r="C43" s="19">
        <v>46048</v>
      </c>
      <c r="D43" s="18" t="s">
        <v>30</v>
      </c>
      <c r="E43" s="20">
        <v>0.5</v>
      </c>
      <c r="F43" s="20">
        <v>0.54166666666666663</v>
      </c>
      <c r="G43" s="20">
        <v>3.4722222222222218E-4</v>
      </c>
      <c r="H43" s="18" t="s">
        <v>102</v>
      </c>
      <c r="I43" s="21">
        <v>0.53425925925925921</v>
      </c>
      <c r="J43" s="18" t="s">
        <v>80</v>
      </c>
      <c r="K43" s="18" t="s">
        <v>151</v>
      </c>
      <c r="L43" s="22">
        <v>1</v>
      </c>
      <c r="M43" s="22">
        <v>70362</v>
      </c>
      <c r="N43" s="18" t="s">
        <v>53</v>
      </c>
      <c r="O43" s="22" t="s">
        <v>54</v>
      </c>
      <c r="P43" s="23">
        <v>50</v>
      </c>
      <c r="Q43" s="22"/>
      <c r="R43" s="23">
        <v>50</v>
      </c>
      <c r="S43" s="24">
        <v>46054</v>
      </c>
      <c r="T43" s="23">
        <v>7.5</v>
      </c>
      <c r="U43" s="25">
        <v>4</v>
      </c>
      <c r="V43" s="23">
        <v>42.5</v>
      </c>
      <c r="W43" s="18" t="s">
        <v>47</v>
      </c>
      <c r="X43" s="18" t="s">
        <v>48</v>
      </c>
      <c r="Y43" s="18" t="s">
        <v>36</v>
      </c>
      <c r="Z43" s="18" t="s">
        <v>9</v>
      </c>
      <c r="AA43" s="18" t="s">
        <v>49</v>
      </c>
      <c r="AB43" s="18" t="s">
        <v>55</v>
      </c>
      <c r="AC43" s="18" t="s">
        <v>38</v>
      </c>
      <c r="AD43" s="7" t="str">
        <f t="shared" si="0"/>
        <v/>
      </c>
      <c r="AE43" s="33"/>
      <c r="AF43" s="33"/>
      <c r="AG43" s="33"/>
      <c r="AH43" s="33"/>
      <c r="AI43" s="30"/>
      <c r="AJ43" s="30"/>
      <c r="AK43" s="30"/>
      <c r="AL43" s="30"/>
      <c r="AM43" s="30"/>
      <c r="AN43" s="30"/>
      <c r="AO43" s="30"/>
      <c r="AP43" s="30"/>
      <c r="AQ43" s="30"/>
      <c r="AR43" s="30"/>
      <c r="AS43" s="30"/>
      <c r="AT43" s="30"/>
      <c r="AU43" s="30"/>
      <c r="AV43" s="30"/>
      <c r="AW43" s="30"/>
    </row>
    <row r="44" spans="1:49" s="17" customFormat="1" ht="35.1" customHeight="1" x14ac:dyDescent="0.25">
      <c r="A44" s="18" t="s">
        <v>82</v>
      </c>
      <c r="B44" s="19">
        <v>46048</v>
      </c>
      <c r="C44" s="19">
        <v>46048</v>
      </c>
      <c r="D44" s="18" t="s">
        <v>30</v>
      </c>
      <c r="E44" s="20">
        <v>0.45833333333333331</v>
      </c>
      <c r="F44" s="20">
        <v>0.54166666666666663</v>
      </c>
      <c r="G44" s="20">
        <v>3.4722222222222218E-4</v>
      </c>
      <c r="H44" s="18" t="s">
        <v>83</v>
      </c>
      <c r="I44" s="21">
        <v>0.53460648148148149</v>
      </c>
      <c r="J44" s="18" t="s">
        <v>80</v>
      </c>
      <c r="K44" s="18" t="s">
        <v>151</v>
      </c>
      <c r="L44" s="22">
        <v>1</v>
      </c>
      <c r="M44" s="22">
        <v>70168</v>
      </c>
      <c r="N44" s="18" t="s">
        <v>46</v>
      </c>
      <c r="O44" s="22" t="s">
        <v>84</v>
      </c>
      <c r="P44" s="23">
        <v>0</v>
      </c>
      <c r="Q44" s="22"/>
      <c r="R44" s="23">
        <v>0</v>
      </c>
      <c r="S44" s="24">
        <v>46048</v>
      </c>
      <c r="T44" s="23">
        <v>0</v>
      </c>
      <c r="U44" s="25">
        <v>4</v>
      </c>
      <c r="V44" s="23">
        <v>0</v>
      </c>
      <c r="W44" s="18" t="s">
        <v>47</v>
      </c>
      <c r="X44" s="18" t="s">
        <v>48</v>
      </c>
      <c r="Y44" s="18" t="s">
        <v>58</v>
      </c>
      <c r="Z44" s="18" t="s">
        <v>43</v>
      </c>
      <c r="AA44" s="18" t="s">
        <v>49</v>
      </c>
      <c r="AB44" s="18" t="s">
        <v>85</v>
      </c>
      <c r="AC44" s="18" t="s">
        <v>38</v>
      </c>
      <c r="AD44" s="7" t="str">
        <f t="shared" si="0"/>
        <v/>
      </c>
      <c r="AE44" s="26"/>
      <c r="AF44" s="26"/>
      <c r="AG44" s="26"/>
      <c r="AH44" s="26"/>
      <c r="AI44" s="27"/>
      <c r="AJ44" s="27"/>
      <c r="AK44" s="27"/>
      <c r="AL44" s="27"/>
      <c r="AM44" s="27"/>
      <c r="AN44" s="27"/>
      <c r="AO44" s="27"/>
      <c r="AP44" s="27"/>
      <c r="AQ44" s="27"/>
      <c r="AR44" s="27"/>
      <c r="AS44" s="27"/>
      <c r="AT44" s="27"/>
      <c r="AU44" s="27"/>
      <c r="AV44" s="27"/>
      <c r="AW44" s="27"/>
    </row>
    <row r="45" spans="1:49" s="17" customFormat="1" ht="35.1" customHeight="1" x14ac:dyDescent="0.25">
      <c r="A45" s="18" t="s">
        <v>78</v>
      </c>
      <c r="B45" s="19">
        <v>46048</v>
      </c>
      <c r="C45" s="19">
        <v>46048</v>
      </c>
      <c r="D45" s="18" t="s">
        <v>30</v>
      </c>
      <c r="E45" s="20">
        <v>0.45833333333333331</v>
      </c>
      <c r="F45" s="20">
        <v>0.54166666666666663</v>
      </c>
      <c r="G45" s="20">
        <v>3.4722222222222218E-4</v>
      </c>
      <c r="H45" s="18" t="s">
        <v>79</v>
      </c>
      <c r="I45" s="21">
        <v>0.54074074074074074</v>
      </c>
      <c r="J45" s="18" t="s">
        <v>80</v>
      </c>
      <c r="K45" s="18" t="s">
        <v>151</v>
      </c>
      <c r="L45" s="22">
        <v>1</v>
      </c>
      <c r="M45" s="22">
        <v>64952</v>
      </c>
      <c r="N45" s="18" t="s">
        <v>46</v>
      </c>
      <c r="O45" s="22"/>
      <c r="P45" s="23">
        <v>0</v>
      </c>
      <c r="Q45" s="22"/>
      <c r="R45" s="23">
        <v>0</v>
      </c>
      <c r="S45" s="24">
        <v>46054</v>
      </c>
      <c r="T45" s="23">
        <v>0</v>
      </c>
      <c r="U45" s="25">
        <v>4</v>
      </c>
      <c r="V45" s="23">
        <v>0</v>
      </c>
      <c r="W45" s="18" t="s">
        <v>47</v>
      </c>
      <c r="X45" s="18" t="s">
        <v>48</v>
      </c>
      <c r="Y45" s="18" t="s">
        <v>36</v>
      </c>
      <c r="Z45" s="18" t="s">
        <v>9</v>
      </c>
      <c r="AA45" s="18" t="s">
        <v>49</v>
      </c>
      <c r="AB45" s="18" t="s">
        <v>81</v>
      </c>
      <c r="AC45" s="18" t="s">
        <v>38</v>
      </c>
      <c r="AD45" s="7" t="str">
        <f t="shared" si="0"/>
        <v/>
      </c>
      <c r="AE45" s="26"/>
      <c r="AF45" s="26"/>
      <c r="AG45" s="26"/>
      <c r="AH45" s="26"/>
      <c r="AI45" s="27"/>
      <c r="AJ45" s="27"/>
      <c r="AK45" s="27"/>
      <c r="AL45" s="27"/>
      <c r="AM45" s="27"/>
      <c r="AN45" s="27"/>
      <c r="AO45" s="27"/>
      <c r="AP45" s="27"/>
      <c r="AQ45" s="27"/>
      <c r="AR45" s="27"/>
      <c r="AS45" s="27"/>
      <c r="AT45" s="27"/>
      <c r="AU45" s="27"/>
      <c r="AV45" s="27"/>
      <c r="AW45" s="27"/>
    </row>
    <row r="46" spans="1:49" s="17" customFormat="1" ht="35.1" customHeight="1" x14ac:dyDescent="0.25">
      <c r="A46" s="9" t="s">
        <v>103</v>
      </c>
      <c r="B46" s="10">
        <v>46048</v>
      </c>
      <c r="C46" s="10">
        <v>46048</v>
      </c>
      <c r="D46" s="11" t="s">
        <v>30</v>
      </c>
      <c r="E46" s="12">
        <v>0.54166666666666663</v>
      </c>
      <c r="F46" s="12">
        <v>0.5625</v>
      </c>
      <c r="G46" s="12">
        <v>2.0833333333333332E-2</v>
      </c>
      <c r="H46" s="9" t="s">
        <v>104</v>
      </c>
      <c r="I46" s="13"/>
      <c r="J46" s="9" t="s">
        <v>105</v>
      </c>
      <c r="K46" s="9"/>
      <c r="L46" s="14">
        <v>1</v>
      </c>
      <c r="M46" s="14">
        <v>1</v>
      </c>
      <c r="N46" s="9" t="s">
        <v>33</v>
      </c>
      <c r="O46" s="9"/>
      <c r="P46" s="16">
        <v>0</v>
      </c>
      <c r="Q46" s="14"/>
      <c r="R46" s="16">
        <v>0</v>
      </c>
      <c r="S46" s="9">
        <v>46054</v>
      </c>
      <c r="T46" s="16">
        <v>0</v>
      </c>
      <c r="U46" s="14">
        <v>2</v>
      </c>
      <c r="V46" s="16">
        <v>0</v>
      </c>
      <c r="W46" s="9" t="s">
        <v>34</v>
      </c>
      <c r="X46" s="9" t="s">
        <v>42</v>
      </c>
      <c r="Y46" s="9" t="s">
        <v>36</v>
      </c>
      <c r="Z46" s="9" t="s">
        <v>43</v>
      </c>
      <c r="AA46" s="9" t="s">
        <v>37</v>
      </c>
      <c r="AB46" s="9" t="s">
        <v>37</v>
      </c>
      <c r="AC46" s="9" t="s">
        <v>38</v>
      </c>
      <c r="AD46" s="7" t="str">
        <f t="shared" si="0"/>
        <v/>
      </c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</row>
    <row r="47" spans="1:49" s="17" customFormat="1" ht="35.1" customHeight="1" x14ac:dyDescent="0.25">
      <c r="A47" s="18" t="s">
        <v>106</v>
      </c>
      <c r="B47" s="19">
        <v>46048</v>
      </c>
      <c r="C47" s="19">
        <v>46048</v>
      </c>
      <c r="D47" s="18" t="s">
        <v>30</v>
      </c>
      <c r="E47" s="20">
        <v>0.54166666666666663</v>
      </c>
      <c r="F47" s="20">
        <v>0.66666666666666663</v>
      </c>
      <c r="G47" s="20">
        <v>3.4722222222222218E-4</v>
      </c>
      <c r="H47" s="18" t="s">
        <v>107</v>
      </c>
      <c r="I47" s="21">
        <v>0.54800925925925925</v>
      </c>
      <c r="J47" s="18" t="s">
        <v>105</v>
      </c>
      <c r="K47" s="18" t="s">
        <v>152</v>
      </c>
      <c r="L47" s="22">
        <v>1</v>
      </c>
      <c r="M47" s="22">
        <v>58165</v>
      </c>
      <c r="N47" s="18" t="s">
        <v>53</v>
      </c>
      <c r="O47" s="22" t="s">
        <v>108</v>
      </c>
      <c r="P47" s="23">
        <v>42.352941176470587</v>
      </c>
      <c r="Q47" s="22"/>
      <c r="R47" s="23">
        <v>42.352941176470587</v>
      </c>
      <c r="S47" s="24">
        <v>46054</v>
      </c>
      <c r="T47" s="23">
        <v>6.3529411764705879</v>
      </c>
      <c r="U47" s="25">
        <v>4</v>
      </c>
      <c r="V47" s="23">
        <v>36</v>
      </c>
      <c r="W47" s="18" t="s">
        <v>34</v>
      </c>
      <c r="X47" s="18" t="s">
        <v>48</v>
      </c>
      <c r="Y47" s="18" t="s">
        <v>36</v>
      </c>
      <c r="Z47" s="18" t="s">
        <v>9</v>
      </c>
      <c r="AA47" s="18" t="s">
        <v>49</v>
      </c>
      <c r="AB47" s="18" t="s">
        <v>109</v>
      </c>
      <c r="AC47" s="18" t="s">
        <v>38</v>
      </c>
      <c r="AD47" s="7" t="str">
        <f t="shared" si="0"/>
        <v/>
      </c>
      <c r="AE47" s="26"/>
      <c r="AF47" s="26"/>
      <c r="AG47" s="26"/>
      <c r="AH47" s="26"/>
      <c r="AI47" s="27"/>
      <c r="AJ47" s="27"/>
      <c r="AK47" s="27"/>
      <c r="AL47" s="27"/>
      <c r="AM47" s="27"/>
      <c r="AN47" s="27"/>
      <c r="AO47" s="27"/>
      <c r="AP47" s="27"/>
      <c r="AQ47" s="27"/>
      <c r="AR47" s="27"/>
      <c r="AS47" s="27"/>
      <c r="AT47" s="27"/>
      <c r="AU47" s="27"/>
      <c r="AV47" s="27"/>
      <c r="AW47" s="27"/>
    </row>
    <row r="48" spans="1:49" s="17" customFormat="1" ht="35.1" customHeight="1" x14ac:dyDescent="0.25">
      <c r="A48" s="9" t="s">
        <v>103</v>
      </c>
      <c r="B48" s="10">
        <v>46048</v>
      </c>
      <c r="C48" s="10">
        <v>46048</v>
      </c>
      <c r="D48" s="11" t="s">
        <v>30</v>
      </c>
      <c r="E48" s="12">
        <v>0.5625</v>
      </c>
      <c r="F48" s="12">
        <v>0.58333333333333337</v>
      </c>
      <c r="G48" s="12">
        <v>2.0833333333333332E-2</v>
      </c>
      <c r="H48" s="9" t="s">
        <v>112</v>
      </c>
      <c r="I48" s="13"/>
      <c r="J48" s="9" t="s">
        <v>105</v>
      </c>
      <c r="K48" s="9"/>
      <c r="L48" s="14">
        <v>1</v>
      </c>
      <c r="M48" s="14">
        <v>1</v>
      </c>
      <c r="N48" s="9" t="s">
        <v>33</v>
      </c>
      <c r="O48" s="9"/>
      <c r="P48" s="16">
        <v>0</v>
      </c>
      <c r="Q48" s="14"/>
      <c r="R48" s="16">
        <v>0</v>
      </c>
      <c r="S48" s="9">
        <v>46054</v>
      </c>
      <c r="T48" s="16">
        <v>0</v>
      </c>
      <c r="U48" s="14">
        <v>2</v>
      </c>
      <c r="V48" s="16">
        <v>0</v>
      </c>
      <c r="W48" s="9" t="s">
        <v>34</v>
      </c>
      <c r="X48" s="9" t="s">
        <v>42</v>
      </c>
      <c r="Y48" s="9" t="s">
        <v>36</v>
      </c>
      <c r="Z48" s="9" t="s">
        <v>43</v>
      </c>
      <c r="AA48" s="9" t="s">
        <v>37</v>
      </c>
      <c r="AB48" s="9" t="s">
        <v>37</v>
      </c>
      <c r="AC48" s="9" t="s">
        <v>38</v>
      </c>
      <c r="AD48" s="7" t="str">
        <f t="shared" si="0"/>
        <v/>
      </c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</row>
    <row r="49" spans="1:49" s="17" customFormat="1" ht="35.1" customHeight="1" x14ac:dyDescent="0.25">
      <c r="A49" s="18" t="s">
        <v>159</v>
      </c>
      <c r="B49" s="19">
        <v>46048</v>
      </c>
      <c r="C49" s="19">
        <v>46048</v>
      </c>
      <c r="D49" s="18" t="s">
        <v>30</v>
      </c>
      <c r="E49" s="20">
        <v>0.54166666666666663</v>
      </c>
      <c r="F49" s="20">
        <v>0.66666666666666663</v>
      </c>
      <c r="G49" s="28">
        <v>1.7361111111111109E-4</v>
      </c>
      <c r="H49" s="29" t="s">
        <v>160</v>
      </c>
      <c r="I49" s="21">
        <v>0.5680439814814815</v>
      </c>
      <c r="J49" s="18" t="s">
        <v>105</v>
      </c>
      <c r="K49" s="18" t="s">
        <v>153</v>
      </c>
      <c r="L49" s="22">
        <v>1</v>
      </c>
      <c r="M49" s="22">
        <v>71006</v>
      </c>
      <c r="N49" s="18" t="s">
        <v>53</v>
      </c>
      <c r="O49" s="22" t="s">
        <v>161</v>
      </c>
      <c r="P49" s="23">
        <v>15</v>
      </c>
      <c r="Q49" s="22"/>
      <c r="R49" s="23">
        <v>15</v>
      </c>
      <c r="S49" s="24">
        <v>46054</v>
      </c>
      <c r="T49" s="23">
        <v>2.25</v>
      </c>
      <c r="U49" s="25">
        <v>4</v>
      </c>
      <c r="V49" s="23">
        <v>12.75</v>
      </c>
      <c r="W49" s="18" t="s">
        <v>47</v>
      </c>
      <c r="X49" s="18" t="s">
        <v>48</v>
      </c>
      <c r="Y49" s="18" t="s">
        <v>36</v>
      </c>
      <c r="Z49" s="18" t="s">
        <v>9</v>
      </c>
      <c r="AA49" s="18" t="s">
        <v>49</v>
      </c>
      <c r="AB49" s="18" t="s">
        <v>162</v>
      </c>
      <c r="AC49" s="18" t="s">
        <v>38</v>
      </c>
      <c r="AD49" s="7" t="str">
        <f t="shared" si="0"/>
        <v/>
      </c>
      <c r="AE49" s="26"/>
      <c r="AF49" s="26"/>
      <c r="AG49" s="26"/>
      <c r="AH49" s="26"/>
      <c r="AI49" s="27"/>
      <c r="AJ49" s="27"/>
      <c r="AK49" s="27"/>
      <c r="AL49" s="27"/>
      <c r="AM49" s="27"/>
      <c r="AN49" s="27"/>
      <c r="AO49" s="27"/>
      <c r="AP49" s="27"/>
      <c r="AQ49" s="27"/>
      <c r="AR49" s="27"/>
      <c r="AS49" s="27"/>
      <c r="AT49" s="27"/>
      <c r="AU49" s="27"/>
      <c r="AV49" s="27"/>
      <c r="AW49" s="27"/>
    </row>
    <row r="50" spans="1:49" s="17" customFormat="1" ht="35.1" customHeight="1" x14ac:dyDescent="0.25">
      <c r="A50" s="18" t="s">
        <v>159</v>
      </c>
      <c r="B50" s="19">
        <v>46048</v>
      </c>
      <c r="C50" s="19">
        <v>46048</v>
      </c>
      <c r="D50" s="18" t="s">
        <v>30</v>
      </c>
      <c r="E50" s="20">
        <v>0.54166666666666663</v>
      </c>
      <c r="F50" s="20">
        <v>0.66666666666666663</v>
      </c>
      <c r="G50" s="28">
        <v>1.7361111111111109E-4</v>
      </c>
      <c r="H50" s="29" t="s">
        <v>163</v>
      </c>
      <c r="I50" s="21">
        <v>0.56943287037037038</v>
      </c>
      <c r="J50" s="18" t="s">
        <v>105</v>
      </c>
      <c r="K50" s="18" t="s">
        <v>153</v>
      </c>
      <c r="L50" s="22">
        <v>1</v>
      </c>
      <c r="M50" s="22">
        <v>71006</v>
      </c>
      <c r="N50" s="18" t="s">
        <v>53</v>
      </c>
      <c r="O50" s="22" t="s">
        <v>161</v>
      </c>
      <c r="P50" s="23">
        <v>15</v>
      </c>
      <c r="Q50" s="22"/>
      <c r="R50" s="23">
        <v>15</v>
      </c>
      <c r="S50" s="24">
        <v>46054</v>
      </c>
      <c r="T50" s="23">
        <v>2.25</v>
      </c>
      <c r="U50" s="25">
        <v>4</v>
      </c>
      <c r="V50" s="23">
        <v>12.75</v>
      </c>
      <c r="W50" s="18" t="s">
        <v>47</v>
      </c>
      <c r="X50" s="18" t="s">
        <v>48</v>
      </c>
      <c r="Y50" s="18" t="s">
        <v>36</v>
      </c>
      <c r="Z50" s="18" t="s">
        <v>9</v>
      </c>
      <c r="AA50" s="18" t="s">
        <v>49</v>
      </c>
      <c r="AB50" s="18" t="s">
        <v>162</v>
      </c>
      <c r="AC50" s="18" t="s">
        <v>38</v>
      </c>
      <c r="AD50" s="7" t="str">
        <f t="shared" si="0"/>
        <v/>
      </c>
      <c r="AE50" s="26"/>
      <c r="AF50" s="26"/>
      <c r="AG50" s="26"/>
      <c r="AH50" s="26"/>
      <c r="AI50" s="26"/>
      <c r="AJ50" s="26"/>
      <c r="AK50" s="26"/>
      <c r="AL50" s="26"/>
      <c r="AM50" s="26"/>
      <c r="AN50" s="26"/>
      <c r="AO50" s="26"/>
      <c r="AP50" s="26"/>
      <c r="AQ50" s="26"/>
      <c r="AR50" s="26"/>
      <c r="AS50" s="26"/>
      <c r="AT50" s="26"/>
      <c r="AU50" s="26"/>
      <c r="AV50" s="26"/>
      <c r="AW50" s="26"/>
    </row>
    <row r="51" spans="1:49" s="17" customFormat="1" ht="35.1" customHeight="1" x14ac:dyDescent="0.25">
      <c r="A51" s="18" t="s">
        <v>106</v>
      </c>
      <c r="B51" s="19">
        <v>46048</v>
      </c>
      <c r="C51" s="19">
        <v>46048</v>
      </c>
      <c r="D51" s="18" t="s">
        <v>30</v>
      </c>
      <c r="E51" s="20">
        <v>0.54166666666666663</v>
      </c>
      <c r="F51" s="20">
        <v>0.66666666666666663</v>
      </c>
      <c r="G51" s="20">
        <v>3.4722222222222218E-4</v>
      </c>
      <c r="H51" s="18" t="s">
        <v>107</v>
      </c>
      <c r="I51" s="21">
        <v>0.57579861111111108</v>
      </c>
      <c r="J51" s="18" t="s">
        <v>105</v>
      </c>
      <c r="K51" s="18" t="s">
        <v>153</v>
      </c>
      <c r="L51" s="22">
        <v>1</v>
      </c>
      <c r="M51" s="22">
        <v>58165</v>
      </c>
      <c r="N51" s="18" t="s">
        <v>53</v>
      </c>
      <c r="O51" s="22" t="s">
        <v>108</v>
      </c>
      <c r="P51" s="23">
        <v>42.352941176470587</v>
      </c>
      <c r="Q51" s="22"/>
      <c r="R51" s="23">
        <v>42.352941176470587</v>
      </c>
      <c r="S51" s="24">
        <v>46054</v>
      </c>
      <c r="T51" s="23">
        <v>6.3529411764705879</v>
      </c>
      <c r="U51" s="25">
        <v>4</v>
      </c>
      <c r="V51" s="23">
        <v>36</v>
      </c>
      <c r="W51" s="18" t="s">
        <v>34</v>
      </c>
      <c r="X51" s="18" t="s">
        <v>48</v>
      </c>
      <c r="Y51" s="18" t="s">
        <v>36</v>
      </c>
      <c r="Z51" s="18" t="s">
        <v>9</v>
      </c>
      <c r="AA51" s="18" t="s">
        <v>49</v>
      </c>
      <c r="AB51" s="18" t="s">
        <v>109</v>
      </c>
      <c r="AC51" s="18" t="s">
        <v>38</v>
      </c>
      <c r="AD51" s="7" t="str">
        <f t="shared" si="0"/>
        <v/>
      </c>
      <c r="AE51" s="26"/>
      <c r="AF51" s="26"/>
      <c r="AG51" s="26"/>
      <c r="AH51" s="26"/>
      <c r="AI51" s="26"/>
      <c r="AJ51" s="26"/>
      <c r="AK51" s="26"/>
      <c r="AL51" s="26"/>
      <c r="AM51" s="26"/>
      <c r="AN51" s="26"/>
      <c r="AO51" s="26"/>
      <c r="AP51" s="26"/>
      <c r="AQ51" s="26"/>
      <c r="AR51" s="26"/>
      <c r="AS51" s="26"/>
      <c r="AT51" s="26"/>
      <c r="AU51" s="26"/>
      <c r="AV51" s="26"/>
      <c r="AW51" s="26"/>
    </row>
    <row r="52" spans="1:49" ht="44.25" customHeight="1" x14ac:dyDescent="0.2">
      <c r="A52" s="36" t="s">
        <v>113</v>
      </c>
      <c r="B52" s="37">
        <v>46048</v>
      </c>
      <c r="C52" s="37">
        <v>46048</v>
      </c>
      <c r="D52" s="38" t="s">
        <v>30</v>
      </c>
      <c r="E52" s="39">
        <v>0.58333333333333337</v>
      </c>
      <c r="F52" s="39">
        <v>0.625</v>
      </c>
      <c r="G52" s="39">
        <v>4.1666666666666664E-2</v>
      </c>
      <c r="H52" s="36" t="s">
        <v>114</v>
      </c>
      <c r="I52" s="40"/>
      <c r="J52" s="36" t="s">
        <v>115</v>
      </c>
      <c r="K52" s="36"/>
      <c r="L52" s="41">
        <v>1</v>
      </c>
      <c r="M52" s="41">
        <v>1</v>
      </c>
      <c r="N52" s="36" t="s">
        <v>33</v>
      </c>
      <c r="O52" s="36"/>
      <c r="P52" s="42">
        <v>0</v>
      </c>
      <c r="Q52" s="41"/>
      <c r="R52" s="42">
        <v>0</v>
      </c>
      <c r="S52" s="36">
        <v>46054</v>
      </c>
      <c r="T52" s="42">
        <v>0</v>
      </c>
      <c r="U52" s="41">
        <v>2</v>
      </c>
      <c r="V52" s="42">
        <v>0</v>
      </c>
      <c r="W52" s="36" t="s">
        <v>34</v>
      </c>
      <c r="X52" s="36" t="s">
        <v>42</v>
      </c>
      <c r="Y52" s="36" t="s">
        <v>36</v>
      </c>
      <c r="Z52" s="36" t="s">
        <v>43</v>
      </c>
      <c r="AA52" s="36" t="s">
        <v>37</v>
      </c>
      <c r="AB52" s="36" t="s">
        <v>37</v>
      </c>
      <c r="AC52" s="36" t="s">
        <v>38</v>
      </c>
      <c r="AD52" s="7" t="str">
        <f t="shared" si="0"/>
        <v/>
      </c>
    </row>
    <row r="53" spans="1:49" s="17" customFormat="1" ht="35.1" customHeight="1" x14ac:dyDescent="0.25">
      <c r="A53" s="18" t="s">
        <v>106</v>
      </c>
      <c r="B53" s="19">
        <v>46048</v>
      </c>
      <c r="C53" s="19">
        <v>46048</v>
      </c>
      <c r="D53" s="18" t="s">
        <v>30</v>
      </c>
      <c r="E53" s="20">
        <v>0.54166666666666663</v>
      </c>
      <c r="F53" s="20">
        <v>0.66666666666666663</v>
      </c>
      <c r="G53" s="20">
        <v>3.4722222222222218E-4</v>
      </c>
      <c r="H53" s="18" t="s">
        <v>107</v>
      </c>
      <c r="I53" s="21">
        <v>0.59</v>
      </c>
      <c r="J53" s="18" t="s">
        <v>105</v>
      </c>
      <c r="K53" s="18" t="s">
        <v>154</v>
      </c>
      <c r="L53" s="22">
        <v>1</v>
      </c>
      <c r="M53" s="22">
        <v>58165</v>
      </c>
      <c r="N53" s="18" t="s">
        <v>53</v>
      </c>
      <c r="O53" s="22" t="s">
        <v>108</v>
      </c>
      <c r="P53" s="23">
        <v>42.352941176470587</v>
      </c>
      <c r="Q53" s="22"/>
      <c r="R53" s="23">
        <v>42.352941176470587</v>
      </c>
      <c r="S53" s="24">
        <v>46054</v>
      </c>
      <c r="T53" s="23">
        <v>6.3529411764705879</v>
      </c>
      <c r="U53" s="25">
        <v>4</v>
      </c>
      <c r="V53" s="23">
        <v>36</v>
      </c>
      <c r="W53" s="18" t="s">
        <v>34</v>
      </c>
      <c r="X53" s="18" t="s">
        <v>48</v>
      </c>
      <c r="Y53" s="18" t="s">
        <v>36</v>
      </c>
      <c r="Z53" s="18" t="s">
        <v>9</v>
      </c>
      <c r="AA53" s="18" t="s">
        <v>49</v>
      </c>
      <c r="AB53" s="18" t="s">
        <v>109</v>
      </c>
      <c r="AC53" s="18" t="s">
        <v>38</v>
      </c>
      <c r="AD53" s="7" t="str">
        <f t="shared" si="0"/>
        <v/>
      </c>
      <c r="AE53" s="26"/>
      <c r="AF53" s="26"/>
      <c r="AG53" s="26"/>
      <c r="AH53" s="26"/>
      <c r="AI53" s="27"/>
      <c r="AJ53" s="27"/>
      <c r="AK53" s="27"/>
      <c r="AL53" s="27"/>
      <c r="AM53" s="27"/>
      <c r="AN53" s="27"/>
      <c r="AO53" s="27"/>
      <c r="AP53" s="27"/>
      <c r="AQ53" s="27"/>
      <c r="AR53" s="27"/>
      <c r="AS53" s="27"/>
      <c r="AT53" s="27"/>
      <c r="AU53" s="27"/>
      <c r="AV53" s="27"/>
      <c r="AW53" s="27"/>
    </row>
    <row r="54" spans="1:49" s="17" customFormat="1" ht="35.1" customHeight="1" x14ac:dyDescent="0.25">
      <c r="A54" s="18" t="s">
        <v>159</v>
      </c>
      <c r="B54" s="19">
        <v>46048</v>
      </c>
      <c r="C54" s="19">
        <v>46048</v>
      </c>
      <c r="D54" s="18" t="s">
        <v>30</v>
      </c>
      <c r="E54" s="20">
        <v>0.58333333333333337</v>
      </c>
      <c r="F54" s="20">
        <v>0.66666666666666663</v>
      </c>
      <c r="G54" s="28">
        <v>1.7361111111111109E-4</v>
      </c>
      <c r="H54" s="29" t="s">
        <v>164</v>
      </c>
      <c r="I54" s="21">
        <v>0.58982638888888894</v>
      </c>
      <c r="J54" s="18" t="s">
        <v>105</v>
      </c>
      <c r="K54" s="18" t="s">
        <v>154</v>
      </c>
      <c r="L54" s="22">
        <v>1</v>
      </c>
      <c r="M54" s="22">
        <v>71009</v>
      </c>
      <c r="N54" s="18" t="s">
        <v>53</v>
      </c>
      <c r="O54" s="22" t="s">
        <v>161</v>
      </c>
      <c r="P54" s="23">
        <v>15</v>
      </c>
      <c r="Q54" s="22"/>
      <c r="R54" s="23">
        <v>15</v>
      </c>
      <c r="S54" s="24">
        <v>46054</v>
      </c>
      <c r="T54" s="23">
        <v>2.25</v>
      </c>
      <c r="U54" s="25">
        <v>4</v>
      </c>
      <c r="V54" s="23">
        <v>12.75</v>
      </c>
      <c r="W54" s="18" t="s">
        <v>47</v>
      </c>
      <c r="X54" s="18" t="s">
        <v>48</v>
      </c>
      <c r="Y54" s="18" t="s">
        <v>36</v>
      </c>
      <c r="Z54" s="18" t="s">
        <v>9</v>
      </c>
      <c r="AA54" s="18" t="s">
        <v>49</v>
      </c>
      <c r="AB54" s="18" t="s">
        <v>162</v>
      </c>
      <c r="AC54" s="18" t="s">
        <v>38</v>
      </c>
      <c r="AD54" s="7" t="str">
        <f t="shared" si="0"/>
        <v/>
      </c>
      <c r="AE54" s="33"/>
      <c r="AF54" s="33"/>
      <c r="AG54" s="33"/>
      <c r="AH54" s="33"/>
      <c r="AI54" s="30"/>
      <c r="AJ54" s="30"/>
      <c r="AK54" s="30"/>
      <c r="AL54" s="30"/>
      <c r="AM54" s="30"/>
      <c r="AN54" s="30"/>
      <c r="AO54" s="30"/>
      <c r="AP54" s="30"/>
      <c r="AQ54" s="30"/>
      <c r="AR54" s="30"/>
      <c r="AS54" s="30"/>
      <c r="AT54" s="30"/>
      <c r="AU54" s="30"/>
      <c r="AV54" s="30"/>
      <c r="AW54" s="30"/>
    </row>
    <row r="55" spans="1:49" s="17" customFormat="1" ht="35.1" customHeight="1" x14ac:dyDescent="0.25">
      <c r="A55" s="18" t="s">
        <v>159</v>
      </c>
      <c r="B55" s="19">
        <v>46048</v>
      </c>
      <c r="C55" s="19">
        <v>46048</v>
      </c>
      <c r="D55" s="18" t="s">
        <v>30</v>
      </c>
      <c r="E55" s="20">
        <v>0.58333333333333337</v>
      </c>
      <c r="F55" s="20">
        <v>0.66666666666666663</v>
      </c>
      <c r="G55" s="28">
        <v>1.7361111111111109E-4</v>
      </c>
      <c r="H55" s="29" t="s">
        <v>165</v>
      </c>
      <c r="I55" s="21">
        <v>0.59121527777777783</v>
      </c>
      <c r="J55" s="18" t="s">
        <v>105</v>
      </c>
      <c r="K55" s="18" t="s">
        <v>154</v>
      </c>
      <c r="L55" s="22">
        <v>1</v>
      </c>
      <c r="M55" s="22">
        <v>71009</v>
      </c>
      <c r="N55" s="18" t="s">
        <v>53</v>
      </c>
      <c r="O55" s="22" t="s">
        <v>161</v>
      </c>
      <c r="P55" s="23">
        <v>15</v>
      </c>
      <c r="Q55" s="22"/>
      <c r="R55" s="23">
        <v>15</v>
      </c>
      <c r="S55" s="24">
        <v>46054</v>
      </c>
      <c r="T55" s="23">
        <v>2.25</v>
      </c>
      <c r="U55" s="25">
        <v>4</v>
      </c>
      <c r="V55" s="23">
        <v>12.75</v>
      </c>
      <c r="W55" s="18" t="s">
        <v>47</v>
      </c>
      <c r="X55" s="18" t="s">
        <v>48</v>
      </c>
      <c r="Y55" s="18" t="s">
        <v>36</v>
      </c>
      <c r="Z55" s="18" t="s">
        <v>9</v>
      </c>
      <c r="AA55" s="18" t="s">
        <v>49</v>
      </c>
      <c r="AB55" s="18" t="s">
        <v>162</v>
      </c>
      <c r="AC55" s="18" t="s">
        <v>38</v>
      </c>
      <c r="AD55" s="7" t="str">
        <f t="shared" si="0"/>
        <v/>
      </c>
      <c r="AE55" s="26"/>
      <c r="AF55" s="26"/>
      <c r="AG55" s="26"/>
      <c r="AH55" s="26"/>
      <c r="AI55" s="27"/>
      <c r="AJ55" s="27"/>
      <c r="AK55" s="27"/>
      <c r="AL55" s="27"/>
      <c r="AM55" s="27"/>
      <c r="AN55" s="27"/>
      <c r="AO55" s="27"/>
      <c r="AP55" s="27"/>
      <c r="AQ55" s="27"/>
      <c r="AR55" s="27"/>
      <c r="AS55" s="27"/>
      <c r="AT55" s="27"/>
      <c r="AU55" s="27"/>
      <c r="AV55" s="27"/>
      <c r="AW55" s="27"/>
    </row>
    <row r="56" spans="1:49" s="17" customFormat="1" ht="35.1" customHeight="1" x14ac:dyDescent="0.25">
      <c r="A56" s="18" t="s">
        <v>106</v>
      </c>
      <c r="B56" s="19">
        <v>46048</v>
      </c>
      <c r="C56" s="19">
        <v>46048</v>
      </c>
      <c r="D56" s="18" t="s">
        <v>30</v>
      </c>
      <c r="E56" s="20">
        <v>0.54166666666666663</v>
      </c>
      <c r="F56" s="20">
        <v>0.66666666666666663</v>
      </c>
      <c r="G56" s="20">
        <v>3.4722222222222218E-4</v>
      </c>
      <c r="H56" s="18" t="s">
        <v>107</v>
      </c>
      <c r="I56" s="21">
        <v>0.62299768518518517</v>
      </c>
      <c r="J56" s="18" t="s">
        <v>105</v>
      </c>
      <c r="K56" s="18" t="s">
        <v>154</v>
      </c>
      <c r="L56" s="22">
        <v>1</v>
      </c>
      <c r="M56" s="22">
        <v>58165</v>
      </c>
      <c r="N56" s="18" t="s">
        <v>53</v>
      </c>
      <c r="O56" s="22" t="s">
        <v>108</v>
      </c>
      <c r="P56" s="23">
        <v>42.352941176470587</v>
      </c>
      <c r="Q56" s="22"/>
      <c r="R56" s="23">
        <v>42.352941176470587</v>
      </c>
      <c r="S56" s="24">
        <v>46054</v>
      </c>
      <c r="T56" s="23">
        <v>6.3529411764705879</v>
      </c>
      <c r="U56" s="25">
        <v>4</v>
      </c>
      <c r="V56" s="23">
        <v>36</v>
      </c>
      <c r="W56" s="18" t="s">
        <v>34</v>
      </c>
      <c r="X56" s="18" t="s">
        <v>48</v>
      </c>
      <c r="Y56" s="18" t="s">
        <v>36</v>
      </c>
      <c r="Z56" s="18" t="s">
        <v>9</v>
      </c>
      <c r="AA56" s="18" t="s">
        <v>49</v>
      </c>
      <c r="AB56" s="18" t="s">
        <v>109</v>
      </c>
      <c r="AC56" s="18" t="s">
        <v>38</v>
      </c>
      <c r="AD56" s="7" t="str">
        <f t="shared" si="0"/>
        <v/>
      </c>
      <c r="AE56" s="26"/>
      <c r="AF56" s="26"/>
      <c r="AG56" s="26"/>
      <c r="AH56" s="26"/>
      <c r="AI56" s="27"/>
      <c r="AJ56" s="27"/>
      <c r="AK56" s="27"/>
      <c r="AL56" s="27"/>
      <c r="AM56" s="27"/>
      <c r="AN56" s="27"/>
      <c r="AO56" s="27"/>
      <c r="AP56" s="27"/>
      <c r="AQ56" s="27"/>
      <c r="AR56" s="27"/>
      <c r="AS56" s="27"/>
      <c r="AT56" s="27"/>
      <c r="AU56" s="27"/>
      <c r="AV56" s="27"/>
      <c r="AW56" s="27"/>
    </row>
    <row r="57" spans="1:49" s="34" customFormat="1" ht="35.1" customHeight="1" x14ac:dyDescent="0.25">
      <c r="A57" s="9" t="s">
        <v>113</v>
      </c>
      <c r="B57" s="10">
        <v>46048</v>
      </c>
      <c r="C57" s="10">
        <v>46048</v>
      </c>
      <c r="D57" s="11" t="s">
        <v>30</v>
      </c>
      <c r="E57" s="12">
        <v>0.625</v>
      </c>
      <c r="F57" s="12">
        <v>0.64583333333333337</v>
      </c>
      <c r="G57" s="12">
        <v>2.0833333333333332E-2</v>
      </c>
      <c r="H57" s="9" t="s">
        <v>116</v>
      </c>
      <c r="I57" s="13"/>
      <c r="J57" s="9" t="s">
        <v>115</v>
      </c>
      <c r="K57" s="9"/>
      <c r="L57" s="14">
        <v>1</v>
      </c>
      <c r="M57" s="14">
        <v>1</v>
      </c>
      <c r="N57" s="9" t="s">
        <v>33</v>
      </c>
      <c r="O57" s="9"/>
      <c r="P57" s="16">
        <v>0</v>
      </c>
      <c r="Q57" s="14"/>
      <c r="R57" s="16">
        <v>0</v>
      </c>
      <c r="S57" s="9">
        <v>46054</v>
      </c>
      <c r="T57" s="16">
        <v>0</v>
      </c>
      <c r="U57" s="14">
        <v>2</v>
      </c>
      <c r="V57" s="16">
        <v>0</v>
      </c>
      <c r="W57" s="9" t="s">
        <v>34</v>
      </c>
      <c r="X57" s="9" t="s">
        <v>42</v>
      </c>
      <c r="Y57" s="9" t="s">
        <v>36</v>
      </c>
      <c r="Z57" s="9" t="s">
        <v>43</v>
      </c>
      <c r="AA57" s="9" t="s">
        <v>37</v>
      </c>
      <c r="AB57" s="9" t="s">
        <v>37</v>
      </c>
      <c r="AC57" s="9" t="s">
        <v>38</v>
      </c>
      <c r="AD57" s="7" t="str">
        <f t="shared" si="0"/>
        <v/>
      </c>
      <c r="AE57" s="26"/>
      <c r="AF57" s="26"/>
      <c r="AG57" s="26"/>
      <c r="AH57" s="26"/>
      <c r="AI57" s="26"/>
      <c r="AJ57" s="26"/>
      <c r="AK57" s="26"/>
      <c r="AL57" s="26"/>
      <c r="AM57" s="26"/>
      <c r="AN57" s="26"/>
      <c r="AO57" s="26"/>
      <c r="AP57" s="26"/>
      <c r="AQ57" s="26"/>
      <c r="AR57" s="26"/>
      <c r="AS57" s="26"/>
      <c r="AT57" s="26"/>
      <c r="AU57" s="26"/>
      <c r="AV57" s="26"/>
      <c r="AW57" s="26"/>
    </row>
    <row r="58" spans="1:49" s="17" customFormat="1" ht="35.1" customHeight="1" x14ac:dyDescent="0.25">
      <c r="A58" s="18" t="s">
        <v>56</v>
      </c>
      <c r="B58" s="19">
        <v>46048</v>
      </c>
      <c r="C58" s="19">
        <v>46048</v>
      </c>
      <c r="D58" s="18" t="s">
        <v>30</v>
      </c>
      <c r="E58" s="20">
        <v>0.54166666666666663</v>
      </c>
      <c r="F58" s="20">
        <v>0.66666666666666663</v>
      </c>
      <c r="G58" s="28">
        <v>1.7361111111111112E-4</v>
      </c>
      <c r="H58" s="29" t="s">
        <v>110</v>
      </c>
      <c r="I58" s="21">
        <v>0.62932870370370375</v>
      </c>
      <c r="J58" s="18" t="s">
        <v>105</v>
      </c>
      <c r="K58" s="18" t="s">
        <v>154</v>
      </c>
      <c r="L58" s="22">
        <v>1</v>
      </c>
      <c r="M58" s="22">
        <v>69830</v>
      </c>
      <c r="N58" s="18" t="s">
        <v>53</v>
      </c>
      <c r="O58" s="22"/>
      <c r="P58" s="23">
        <v>22</v>
      </c>
      <c r="Q58" s="22"/>
      <c r="R58" s="23">
        <v>22</v>
      </c>
      <c r="S58" s="24">
        <v>46048</v>
      </c>
      <c r="T58" s="23">
        <v>0</v>
      </c>
      <c r="U58" s="25">
        <v>4</v>
      </c>
      <c r="V58" s="23">
        <v>22</v>
      </c>
      <c r="W58" s="18" t="s">
        <v>34</v>
      </c>
      <c r="X58" s="18" t="s">
        <v>48</v>
      </c>
      <c r="Y58" s="18" t="s">
        <v>58</v>
      </c>
      <c r="Z58" s="18" t="s">
        <v>43</v>
      </c>
      <c r="AA58" s="18" t="s">
        <v>49</v>
      </c>
      <c r="AB58" s="18" t="s">
        <v>59</v>
      </c>
      <c r="AC58" s="18" t="s">
        <v>38</v>
      </c>
      <c r="AD58" s="7" t="str">
        <f t="shared" si="0"/>
        <v/>
      </c>
      <c r="AE58" s="31"/>
      <c r="AF58" s="31"/>
      <c r="AG58" s="31"/>
      <c r="AH58" s="31"/>
      <c r="AI58" s="30"/>
      <c r="AJ58" s="30"/>
      <c r="AK58" s="30"/>
      <c r="AL58" s="30"/>
      <c r="AM58" s="30"/>
      <c r="AN58" s="30"/>
      <c r="AO58" s="30"/>
      <c r="AP58" s="30"/>
      <c r="AQ58" s="30"/>
      <c r="AR58" s="30"/>
      <c r="AS58" s="30"/>
      <c r="AT58" s="30"/>
      <c r="AU58" s="30"/>
      <c r="AV58" s="30"/>
      <c r="AW58" s="30"/>
    </row>
    <row r="59" spans="1:49" s="17" customFormat="1" ht="35.1" customHeight="1" x14ac:dyDescent="0.25">
      <c r="A59" s="18" t="s">
        <v>56</v>
      </c>
      <c r="B59" s="19">
        <v>46048</v>
      </c>
      <c r="C59" s="19">
        <v>46048</v>
      </c>
      <c r="D59" s="18" t="s">
        <v>30</v>
      </c>
      <c r="E59" s="20">
        <v>0.54166666666666663</v>
      </c>
      <c r="F59" s="20">
        <v>0.66666666666666663</v>
      </c>
      <c r="G59" s="28">
        <v>1.7361111111111112E-4</v>
      </c>
      <c r="H59" s="29" t="s">
        <v>111</v>
      </c>
      <c r="I59" s="21">
        <v>0.63089120370370366</v>
      </c>
      <c r="J59" s="18" t="s">
        <v>105</v>
      </c>
      <c r="K59" s="18" t="s">
        <v>154</v>
      </c>
      <c r="L59" s="22">
        <v>1</v>
      </c>
      <c r="M59" s="22">
        <v>69830</v>
      </c>
      <c r="N59" s="18" t="s">
        <v>53</v>
      </c>
      <c r="O59" s="22"/>
      <c r="P59" s="23">
        <v>0</v>
      </c>
      <c r="Q59" s="22"/>
      <c r="R59" s="23">
        <v>0</v>
      </c>
      <c r="S59" s="24">
        <v>46048</v>
      </c>
      <c r="T59" s="23">
        <v>0</v>
      </c>
      <c r="U59" s="25">
        <v>4</v>
      </c>
      <c r="V59" s="23">
        <v>0</v>
      </c>
      <c r="W59" s="18" t="s">
        <v>34</v>
      </c>
      <c r="X59" s="18" t="s">
        <v>48</v>
      </c>
      <c r="Y59" s="18" t="s">
        <v>58</v>
      </c>
      <c r="Z59" s="18" t="s">
        <v>43</v>
      </c>
      <c r="AA59" s="18" t="s">
        <v>49</v>
      </c>
      <c r="AB59" s="18" t="s">
        <v>59</v>
      </c>
      <c r="AC59" s="18" t="s">
        <v>38</v>
      </c>
      <c r="AD59" s="7" t="str">
        <f t="shared" si="0"/>
        <v/>
      </c>
      <c r="AE59" s="26"/>
      <c r="AF59" s="26"/>
      <c r="AG59" s="26"/>
      <c r="AH59" s="26"/>
      <c r="AI59" s="26"/>
      <c r="AJ59" s="26"/>
      <c r="AK59" s="26"/>
      <c r="AL59" s="26"/>
      <c r="AM59" s="26"/>
      <c r="AN59" s="26"/>
      <c r="AO59" s="26"/>
      <c r="AP59" s="26"/>
      <c r="AQ59" s="26"/>
      <c r="AR59" s="26"/>
      <c r="AS59" s="26"/>
      <c r="AT59" s="26"/>
      <c r="AU59" s="26"/>
      <c r="AV59" s="26"/>
      <c r="AW59" s="26"/>
    </row>
    <row r="60" spans="1:49" s="17" customFormat="1" ht="35.1" customHeight="1" x14ac:dyDescent="0.25">
      <c r="A60" s="18" t="s">
        <v>106</v>
      </c>
      <c r="B60" s="19">
        <v>46048</v>
      </c>
      <c r="C60" s="19">
        <v>46048</v>
      </c>
      <c r="D60" s="18" t="s">
        <v>30</v>
      </c>
      <c r="E60" s="20">
        <v>0.54166666666666663</v>
      </c>
      <c r="F60" s="20">
        <v>0.66666666666666663</v>
      </c>
      <c r="G60" s="20">
        <v>3.4722222222222218E-4</v>
      </c>
      <c r="H60" s="18" t="s">
        <v>107</v>
      </c>
      <c r="I60" s="21">
        <v>0.6365277777777778</v>
      </c>
      <c r="J60" s="18" t="s">
        <v>105</v>
      </c>
      <c r="K60" s="18" t="s">
        <v>154</v>
      </c>
      <c r="L60" s="22">
        <v>1</v>
      </c>
      <c r="M60" s="22">
        <v>58167</v>
      </c>
      <c r="N60" s="18" t="s">
        <v>46</v>
      </c>
      <c r="O60" s="22" t="s">
        <v>108</v>
      </c>
      <c r="P60" s="23">
        <v>0</v>
      </c>
      <c r="Q60" s="22"/>
      <c r="R60" s="23">
        <v>0</v>
      </c>
      <c r="S60" s="24">
        <v>46054</v>
      </c>
      <c r="T60" s="23">
        <v>0</v>
      </c>
      <c r="U60" s="25">
        <v>4</v>
      </c>
      <c r="V60" s="23">
        <v>0</v>
      </c>
      <c r="W60" s="18" t="s">
        <v>34</v>
      </c>
      <c r="X60" s="18" t="s">
        <v>48</v>
      </c>
      <c r="Y60" s="18" t="s">
        <v>36</v>
      </c>
      <c r="Z60" s="18" t="s">
        <v>9</v>
      </c>
      <c r="AA60" s="18" t="s">
        <v>49</v>
      </c>
      <c r="AB60" s="18" t="s">
        <v>109</v>
      </c>
      <c r="AC60" s="18" t="s">
        <v>38</v>
      </c>
      <c r="AD60" s="7" t="str">
        <f t="shared" si="0"/>
        <v/>
      </c>
      <c r="AE60" s="26"/>
      <c r="AF60" s="26"/>
      <c r="AG60" s="26"/>
      <c r="AH60" s="26"/>
      <c r="AI60" s="26"/>
      <c r="AJ60" s="26"/>
      <c r="AK60" s="26"/>
      <c r="AL60" s="26"/>
      <c r="AM60" s="26"/>
      <c r="AN60" s="26"/>
      <c r="AO60" s="26"/>
      <c r="AP60" s="26"/>
      <c r="AQ60" s="26"/>
      <c r="AR60" s="26"/>
      <c r="AS60" s="26"/>
      <c r="AT60" s="26"/>
      <c r="AU60" s="26"/>
      <c r="AV60" s="26"/>
      <c r="AW60" s="26"/>
    </row>
    <row r="61" spans="1:49" s="34" customFormat="1" ht="35.1" customHeight="1" x14ac:dyDescent="0.25">
      <c r="A61" s="9" t="s">
        <v>113</v>
      </c>
      <c r="B61" s="10">
        <v>46048</v>
      </c>
      <c r="C61" s="10">
        <v>46048</v>
      </c>
      <c r="D61" s="11" t="s">
        <v>30</v>
      </c>
      <c r="E61" s="12">
        <v>0.64583333333333337</v>
      </c>
      <c r="F61" s="12">
        <v>0.66666666666666663</v>
      </c>
      <c r="G61" s="12">
        <v>2.0833333333333332E-2</v>
      </c>
      <c r="H61" s="9" t="s">
        <v>117</v>
      </c>
      <c r="I61" s="13"/>
      <c r="J61" s="9" t="s">
        <v>115</v>
      </c>
      <c r="K61" s="9"/>
      <c r="L61" s="14">
        <v>1</v>
      </c>
      <c r="M61" s="14">
        <v>1</v>
      </c>
      <c r="N61" s="9" t="s">
        <v>33</v>
      </c>
      <c r="O61" s="9"/>
      <c r="P61" s="16">
        <v>0</v>
      </c>
      <c r="Q61" s="14"/>
      <c r="R61" s="16">
        <v>0</v>
      </c>
      <c r="S61" s="9">
        <v>46054</v>
      </c>
      <c r="T61" s="16">
        <v>0</v>
      </c>
      <c r="U61" s="14">
        <v>2</v>
      </c>
      <c r="V61" s="16">
        <v>0</v>
      </c>
      <c r="W61" s="9" t="s">
        <v>34</v>
      </c>
      <c r="X61" s="9" t="s">
        <v>42</v>
      </c>
      <c r="Y61" s="9" t="s">
        <v>36</v>
      </c>
      <c r="Z61" s="9" t="s">
        <v>43</v>
      </c>
      <c r="AA61" s="9" t="s">
        <v>37</v>
      </c>
      <c r="AB61" s="9" t="s">
        <v>37</v>
      </c>
      <c r="AC61" s="9" t="s">
        <v>38</v>
      </c>
      <c r="AD61" s="7" t="str">
        <f t="shared" si="0"/>
        <v/>
      </c>
      <c r="AE61" s="26"/>
      <c r="AF61" s="26"/>
      <c r="AG61" s="26"/>
      <c r="AH61" s="26"/>
      <c r="AI61" s="26"/>
      <c r="AJ61" s="26"/>
      <c r="AK61" s="26"/>
      <c r="AL61" s="26"/>
      <c r="AM61" s="26"/>
      <c r="AN61" s="26"/>
      <c r="AO61" s="26"/>
      <c r="AP61" s="26"/>
      <c r="AQ61" s="26"/>
      <c r="AR61" s="26"/>
      <c r="AS61" s="26"/>
      <c r="AT61" s="26"/>
      <c r="AU61" s="26"/>
      <c r="AV61" s="26"/>
      <c r="AW61" s="26"/>
    </row>
    <row r="62" spans="1:49" s="17" customFormat="1" ht="35.1" customHeight="1" x14ac:dyDescent="0.25">
      <c r="A62" s="18" t="s">
        <v>106</v>
      </c>
      <c r="B62" s="19">
        <v>46048</v>
      </c>
      <c r="C62" s="19">
        <v>46048</v>
      </c>
      <c r="D62" s="18" t="s">
        <v>30</v>
      </c>
      <c r="E62" s="20">
        <v>0.54166666666666663</v>
      </c>
      <c r="F62" s="20">
        <v>0.66666666666666663</v>
      </c>
      <c r="G62" s="20">
        <v>3.4722222222222218E-4</v>
      </c>
      <c r="H62" s="18" t="s">
        <v>107</v>
      </c>
      <c r="I62" s="21">
        <v>0.65031249999999996</v>
      </c>
      <c r="J62" s="18" t="s">
        <v>105</v>
      </c>
      <c r="K62" s="18" t="s">
        <v>154</v>
      </c>
      <c r="L62" s="22">
        <v>1</v>
      </c>
      <c r="M62" s="22">
        <v>58165</v>
      </c>
      <c r="N62" s="18" t="s">
        <v>53</v>
      </c>
      <c r="O62" s="22" t="s">
        <v>108</v>
      </c>
      <c r="P62" s="23">
        <v>42.352941176470587</v>
      </c>
      <c r="Q62" s="22"/>
      <c r="R62" s="23">
        <v>42.352941176470587</v>
      </c>
      <c r="S62" s="24">
        <v>46054</v>
      </c>
      <c r="T62" s="23">
        <v>6.3529411764705879</v>
      </c>
      <c r="U62" s="25">
        <v>4</v>
      </c>
      <c r="V62" s="23">
        <v>36</v>
      </c>
      <c r="W62" s="18" t="s">
        <v>34</v>
      </c>
      <c r="X62" s="18" t="s">
        <v>48</v>
      </c>
      <c r="Y62" s="18" t="s">
        <v>36</v>
      </c>
      <c r="Z62" s="18" t="s">
        <v>9</v>
      </c>
      <c r="AA62" s="18" t="s">
        <v>49</v>
      </c>
      <c r="AB62" s="18" t="s">
        <v>109</v>
      </c>
      <c r="AC62" s="18" t="s">
        <v>38</v>
      </c>
      <c r="AD62" s="7" t="str">
        <f t="shared" si="0"/>
        <v/>
      </c>
      <c r="AE62" s="26"/>
      <c r="AF62" s="26"/>
      <c r="AG62" s="26"/>
      <c r="AH62" s="26"/>
      <c r="AI62" s="26"/>
      <c r="AJ62" s="26"/>
      <c r="AK62" s="26"/>
      <c r="AL62" s="26"/>
      <c r="AM62" s="26"/>
      <c r="AN62" s="26"/>
      <c r="AO62" s="26"/>
      <c r="AP62" s="26"/>
      <c r="AQ62" s="26"/>
      <c r="AR62" s="26"/>
      <c r="AS62" s="26"/>
      <c r="AT62" s="26"/>
      <c r="AU62" s="26"/>
      <c r="AV62" s="26"/>
      <c r="AW62" s="26"/>
    </row>
    <row r="63" spans="1:49" s="17" customFormat="1" ht="35.1" customHeight="1" x14ac:dyDescent="0.25">
      <c r="A63" s="18" t="s">
        <v>106</v>
      </c>
      <c r="B63" s="19">
        <v>46048</v>
      </c>
      <c r="C63" s="19">
        <v>46048</v>
      </c>
      <c r="D63" s="18" t="s">
        <v>30</v>
      </c>
      <c r="E63" s="20">
        <v>0.54166666666666663</v>
      </c>
      <c r="F63" s="20">
        <v>0.66666666666666663</v>
      </c>
      <c r="G63" s="20">
        <v>3.4722222222222218E-4</v>
      </c>
      <c r="H63" s="18" t="s">
        <v>107</v>
      </c>
      <c r="I63" s="21">
        <v>0.66597222222222219</v>
      </c>
      <c r="J63" s="18" t="s">
        <v>105</v>
      </c>
      <c r="K63" s="18" t="s">
        <v>154</v>
      </c>
      <c r="L63" s="22">
        <v>1</v>
      </c>
      <c r="M63" s="22">
        <v>58165</v>
      </c>
      <c r="N63" s="18" t="s">
        <v>53</v>
      </c>
      <c r="O63" s="22" t="s">
        <v>108</v>
      </c>
      <c r="P63" s="23">
        <v>42.352941176470587</v>
      </c>
      <c r="Q63" s="22"/>
      <c r="R63" s="23">
        <v>42.352941176470587</v>
      </c>
      <c r="S63" s="24">
        <v>46054</v>
      </c>
      <c r="T63" s="23">
        <v>6.3529411764705879</v>
      </c>
      <c r="U63" s="25">
        <v>4</v>
      </c>
      <c r="V63" s="23">
        <v>36</v>
      </c>
      <c r="W63" s="18" t="s">
        <v>34</v>
      </c>
      <c r="X63" s="18" t="s">
        <v>48</v>
      </c>
      <c r="Y63" s="18" t="s">
        <v>36</v>
      </c>
      <c r="Z63" s="18" t="s">
        <v>9</v>
      </c>
      <c r="AA63" s="18" t="s">
        <v>49</v>
      </c>
      <c r="AB63" s="18" t="s">
        <v>109</v>
      </c>
      <c r="AC63" s="18" t="s">
        <v>38</v>
      </c>
      <c r="AD63" s="7" t="str">
        <f t="shared" si="0"/>
        <v/>
      </c>
      <c r="AE63" s="33"/>
      <c r="AF63" s="33"/>
      <c r="AG63" s="33"/>
      <c r="AH63" s="33"/>
      <c r="AI63" s="30"/>
      <c r="AJ63" s="30"/>
      <c r="AK63" s="30"/>
      <c r="AL63" s="30"/>
      <c r="AM63" s="30"/>
      <c r="AN63" s="30"/>
      <c r="AO63" s="30"/>
      <c r="AP63" s="30"/>
      <c r="AQ63" s="30"/>
      <c r="AR63" s="30"/>
      <c r="AS63" s="30"/>
      <c r="AT63" s="30"/>
      <c r="AU63" s="30"/>
      <c r="AV63" s="30"/>
      <c r="AW63" s="30"/>
    </row>
    <row r="64" spans="1:49" s="34" customFormat="1" ht="35.1" customHeight="1" x14ac:dyDescent="0.25">
      <c r="A64" s="9" t="s">
        <v>118</v>
      </c>
      <c r="B64" s="10">
        <v>46048</v>
      </c>
      <c r="C64" s="10">
        <v>46048</v>
      </c>
      <c r="D64" s="11" t="s">
        <v>30</v>
      </c>
      <c r="E64" s="12">
        <v>0.66666666666666663</v>
      </c>
      <c r="F64" s="12">
        <v>0.6875</v>
      </c>
      <c r="G64" s="12">
        <v>2.0833333333333332E-2</v>
      </c>
      <c r="H64" s="9" t="s">
        <v>119</v>
      </c>
      <c r="I64" s="13"/>
      <c r="J64" s="9" t="s">
        <v>120</v>
      </c>
      <c r="K64" s="9"/>
      <c r="L64" s="14">
        <v>1</v>
      </c>
      <c r="M64" s="14">
        <v>1</v>
      </c>
      <c r="N64" s="9" t="s">
        <v>33</v>
      </c>
      <c r="O64" s="9"/>
      <c r="P64" s="16">
        <v>0</v>
      </c>
      <c r="Q64" s="14"/>
      <c r="R64" s="16">
        <v>0</v>
      </c>
      <c r="S64" s="9">
        <v>46054</v>
      </c>
      <c r="T64" s="16">
        <v>0</v>
      </c>
      <c r="U64" s="14">
        <v>2</v>
      </c>
      <c r="V64" s="16">
        <v>0</v>
      </c>
      <c r="W64" s="9" t="s">
        <v>34</v>
      </c>
      <c r="X64" s="9" t="s">
        <v>42</v>
      </c>
      <c r="Y64" s="9" t="s">
        <v>36</v>
      </c>
      <c r="Z64" s="9" t="s">
        <v>43</v>
      </c>
      <c r="AA64" s="9" t="s">
        <v>37</v>
      </c>
      <c r="AB64" s="9" t="s">
        <v>37</v>
      </c>
      <c r="AC64" s="9" t="s">
        <v>38</v>
      </c>
      <c r="AD64" s="7" t="str">
        <f t="shared" si="0"/>
        <v/>
      </c>
      <c r="AE64" s="26"/>
      <c r="AF64" s="26"/>
      <c r="AG64" s="26"/>
      <c r="AH64" s="26"/>
      <c r="AI64" s="26"/>
      <c r="AJ64" s="26"/>
      <c r="AK64" s="26"/>
      <c r="AL64" s="26"/>
      <c r="AM64" s="26"/>
      <c r="AN64" s="26"/>
      <c r="AO64" s="26"/>
      <c r="AP64" s="26"/>
      <c r="AQ64" s="26"/>
      <c r="AR64" s="26"/>
      <c r="AS64" s="26"/>
      <c r="AT64" s="26"/>
      <c r="AU64" s="26"/>
      <c r="AV64" s="26"/>
      <c r="AW64" s="26"/>
    </row>
    <row r="65" spans="1:49" s="17" customFormat="1" ht="35.1" customHeight="1" x14ac:dyDescent="0.25">
      <c r="A65" s="18" t="s">
        <v>159</v>
      </c>
      <c r="B65" s="19">
        <v>46048</v>
      </c>
      <c r="C65" s="19">
        <v>46048</v>
      </c>
      <c r="D65" s="18" t="s">
        <v>30</v>
      </c>
      <c r="E65" s="20">
        <v>0.66666666666666663</v>
      </c>
      <c r="F65" s="20">
        <v>0.79166666666666663</v>
      </c>
      <c r="G65" s="28">
        <v>1.7361111111111109E-4</v>
      </c>
      <c r="H65" s="29" t="s">
        <v>160</v>
      </c>
      <c r="I65" s="21">
        <v>0.68062500000000004</v>
      </c>
      <c r="J65" s="18" t="s">
        <v>120</v>
      </c>
      <c r="K65" s="18" t="s">
        <v>119</v>
      </c>
      <c r="L65" s="22">
        <v>1</v>
      </c>
      <c r="M65" s="22">
        <v>71003</v>
      </c>
      <c r="N65" s="18" t="s">
        <v>53</v>
      </c>
      <c r="O65" s="22" t="s">
        <v>161</v>
      </c>
      <c r="P65" s="23">
        <v>15</v>
      </c>
      <c r="Q65" s="22"/>
      <c r="R65" s="23">
        <v>15</v>
      </c>
      <c r="S65" s="24">
        <v>46054</v>
      </c>
      <c r="T65" s="23">
        <v>2.25</v>
      </c>
      <c r="U65" s="25">
        <v>4</v>
      </c>
      <c r="V65" s="23">
        <v>12.75</v>
      </c>
      <c r="W65" s="18" t="s">
        <v>47</v>
      </c>
      <c r="X65" s="18" t="s">
        <v>48</v>
      </c>
      <c r="Y65" s="18" t="s">
        <v>36</v>
      </c>
      <c r="Z65" s="18" t="s">
        <v>9</v>
      </c>
      <c r="AA65" s="18" t="s">
        <v>49</v>
      </c>
      <c r="AB65" s="18" t="s">
        <v>162</v>
      </c>
      <c r="AC65" s="18" t="s">
        <v>38</v>
      </c>
      <c r="AD65" s="7" t="str">
        <f t="shared" si="0"/>
        <v/>
      </c>
      <c r="AE65" s="26"/>
      <c r="AF65" s="26"/>
      <c r="AG65" s="26"/>
      <c r="AH65" s="26"/>
      <c r="AI65" s="26"/>
      <c r="AJ65" s="26"/>
      <c r="AK65" s="26"/>
      <c r="AL65" s="26"/>
      <c r="AM65" s="26"/>
      <c r="AN65" s="26"/>
      <c r="AO65" s="26"/>
      <c r="AP65" s="26"/>
      <c r="AQ65" s="26"/>
      <c r="AR65" s="26"/>
      <c r="AS65" s="26"/>
      <c r="AT65" s="26"/>
      <c r="AU65" s="26"/>
      <c r="AV65" s="26"/>
      <c r="AW65" s="26"/>
    </row>
    <row r="66" spans="1:49" s="17" customFormat="1" ht="35.1" customHeight="1" x14ac:dyDescent="0.25">
      <c r="A66" s="18" t="s">
        <v>159</v>
      </c>
      <c r="B66" s="19">
        <v>46048</v>
      </c>
      <c r="C66" s="19">
        <v>46048</v>
      </c>
      <c r="D66" s="18" t="s">
        <v>30</v>
      </c>
      <c r="E66" s="20">
        <v>0.66666666666666663</v>
      </c>
      <c r="F66" s="20">
        <v>0.79166666666666663</v>
      </c>
      <c r="G66" s="28">
        <v>1.7361111111111109E-4</v>
      </c>
      <c r="H66" s="29" t="s">
        <v>163</v>
      </c>
      <c r="I66" s="21">
        <v>0.68201388888888892</v>
      </c>
      <c r="J66" s="18" t="s">
        <v>120</v>
      </c>
      <c r="K66" s="18" t="s">
        <v>119</v>
      </c>
      <c r="L66" s="22">
        <v>1</v>
      </c>
      <c r="M66" s="22">
        <v>71003</v>
      </c>
      <c r="N66" s="18" t="s">
        <v>53</v>
      </c>
      <c r="O66" s="22" t="s">
        <v>161</v>
      </c>
      <c r="P66" s="23">
        <v>15</v>
      </c>
      <c r="Q66" s="22"/>
      <c r="R66" s="23">
        <v>15</v>
      </c>
      <c r="S66" s="24">
        <v>46054</v>
      </c>
      <c r="T66" s="23">
        <v>2.25</v>
      </c>
      <c r="U66" s="25">
        <v>4</v>
      </c>
      <c r="V66" s="23">
        <v>12.75</v>
      </c>
      <c r="W66" s="18" t="s">
        <v>47</v>
      </c>
      <c r="X66" s="18" t="s">
        <v>48</v>
      </c>
      <c r="Y66" s="18" t="s">
        <v>36</v>
      </c>
      <c r="Z66" s="18" t="s">
        <v>9</v>
      </c>
      <c r="AA66" s="18" t="s">
        <v>49</v>
      </c>
      <c r="AB66" s="18" t="s">
        <v>162</v>
      </c>
      <c r="AC66" s="18" t="s">
        <v>38</v>
      </c>
      <c r="AD66" s="7" t="str">
        <f t="shared" ref="AD66:AD106" si="1">IF(N66="PRG","",IF(I66&gt;=E66,IF(I66&lt;=F66,"","NO"),"NO"))</f>
        <v/>
      </c>
      <c r="AE66" s="26"/>
      <c r="AF66" s="26"/>
      <c r="AG66" s="26"/>
      <c r="AH66" s="26"/>
      <c r="AI66" s="27"/>
      <c r="AJ66" s="27"/>
      <c r="AK66" s="27"/>
      <c r="AL66" s="27"/>
      <c r="AM66" s="27"/>
      <c r="AN66" s="27"/>
      <c r="AO66" s="27"/>
      <c r="AP66" s="27"/>
      <c r="AQ66" s="27"/>
      <c r="AR66" s="27"/>
      <c r="AS66" s="27"/>
      <c r="AT66" s="27"/>
      <c r="AU66" s="27"/>
      <c r="AV66" s="27"/>
      <c r="AW66" s="27"/>
    </row>
    <row r="67" spans="1:49" s="34" customFormat="1" ht="35.1" customHeight="1" x14ac:dyDescent="0.25">
      <c r="A67" s="9" t="s">
        <v>123</v>
      </c>
      <c r="B67" s="10">
        <v>46048</v>
      </c>
      <c r="C67" s="10">
        <v>46048</v>
      </c>
      <c r="D67" s="11" t="s">
        <v>30</v>
      </c>
      <c r="E67" s="12">
        <v>0.6875</v>
      </c>
      <c r="F67" s="12">
        <v>0.70833333333333337</v>
      </c>
      <c r="G67" s="12">
        <v>2.0833333333333332E-2</v>
      </c>
      <c r="H67" s="9" t="s">
        <v>124</v>
      </c>
      <c r="I67" s="13"/>
      <c r="J67" s="9" t="s">
        <v>120</v>
      </c>
      <c r="K67" s="9"/>
      <c r="L67" s="14">
        <v>1</v>
      </c>
      <c r="M67" s="14">
        <v>1</v>
      </c>
      <c r="N67" s="9" t="s">
        <v>33</v>
      </c>
      <c r="O67" s="9"/>
      <c r="P67" s="16">
        <v>0</v>
      </c>
      <c r="Q67" s="14"/>
      <c r="R67" s="16">
        <v>0</v>
      </c>
      <c r="S67" s="9">
        <v>46054</v>
      </c>
      <c r="T67" s="16">
        <v>0</v>
      </c>
      <c r="U67" s="14">
        <v>2</v>
      </c>
      <c r="V67" s="16">
        <v>0</v>
      </c>
      <c r="W67" s="9" t="s">
        <v>34</v>
      </c>
      <c r="X67" s="9" t="s">
        <v>42</v>
      </c>
      <c r="Y67" s="9" t="s">
        <v>36</v>
      </c>
      <c r="Z67" s="9" t="s">
        <v>43</v>
      </c>
      <c r="AA67" s="9" t="s">
        <v>37</v>
      </c>
      <c r="AB67" s="9" t="s">
        <v>37</v>
      </c>
      <c r="AC67" s="9" t="s">
        <v>38</v>
      </c>
      <c r="AD67" s="7" t="str">
        <f t="shared" si="1"/>
        <v/>
      </c>
      <c r="AE67" s="26"/>
      <c r="AF67" s="26"/>
      <c r="AG67" s="26"/>
      <c r="AH67" s="26"/>
      <c r="AI67" s="26"/>
      <c r="AJ67" s="26"/>
      <c r="AK67" s="26"/>
      <c r="AL67" s="26"/>
      <c r="AM67" s="26"/>
      <c r="AN67" s="26"/>
      <c r="AO67" s="26"/>
      <c r="AP67" s="26"/>
      <c r="AQ67" s="26"/>
      <c r="AR67" s="26"/>
      <c r="AS67" s="26"/>
      <c r="AT67" s="26"/>
      <c r="AU67" s="26"/>
      <c r="AV67" s="26"/>
      <c r="AW67" s="26"/>
    </row>
    <row r="68" spans="1:49" s="34" customFormat="1" ht="35.1" customHeight="1" x14ac:dyDescent="0.25">
      <c r="A68" s="9" t="s">
        <v>118</v>
      </c>
      <c r="B68" s="10">
        <v>46048</v>
      </c>
      <c r="C68" s="10">
        <v>46048</v>
      </c>
      <c r="D68" s="11" t="s">
        <v>30</v>
      </c>
      <c r="E68" s="12">
        <v>0.70833333333333337</v>
      </c>
      <c r="F68" s="12">
        <v>0.75</v>
      </c>
      <c r="G68" s="12">
        <v>4.1666666666666664E-2</v>
      </c>
      <c r="H68" s="9" t="s">
        <v>125</v>
      </c>
      <c r="I68" s="13"/>
      <c r="J68" s="9" t="s">
        <v>120</v>
      </c>
      <c r="K68" s="9"/>
      <c r="L68" s="14">
        <v>1</v>
      </c>
      <c r="M68" s="14">
        <v>1</v>
      </c>
      <c r="N68" s="9" t="s">
        <v>33</v>
      </c>
      <c r="O68" s="9"/>
      <c r="P68" s="16">
        <v>0</v>
      </c>
      <c r="Q68" s="14"/>
      <c r="R68" s="16">
        <v>0</v>
      </c>
      <c r="S68" s="9">
        <v>46054</v>
      </c>
      <c r="T68" s="16">
        <v>0</v>
      </c>
      <c r="U68" s="14">
        <v>2</v>
      </c>
      <c r="V68" s="16">
        <v>0</v>
      </c>
      <c r="W68" s="9" t="s">
        <v>34</v>
      </c>
      <c r="X68" s="9" t="s">
        <v>42</v>
      </c>
      <c r="Y68" s="9" t="s">
        <v>36</v>
      </c>
      <c r="Z68" s="9" t="s">
        <v>43</v>
      </c>
      <c r="AA68" s="9" t="s">
        <v>37</v>
      </c>
      <c r="AB68" s="9" t="s">
        <v>37</v>
      </c>
      <c r="AC68" s="9" t="s">
        <v>38</v>
      </c>
      <c r="AD68" s="7" t="str">
        <f t="shared" si="1"/>
        <v/>
      </c>
      <c r="AE68" s="26"/>
      <c r="AF68" s="26"/>
      <c r="AG68" s="26"/>
      <c r="AH68" s="26"/>
      <c r="AI68" s="26"/>
      <c r="AJ68" s="26"/>
      <c r="AK68" s="26"/>
      <c r="AL68" s="26"/>
      <c r="AM68" s="26"/>
      <c r="AN68" s="26"/>
      <c r="AO68" s="26"/>
      <c r="AP68" s="26"/>
      <c r="AQ68" s="26"/>
      <c r="AR68" s="26"/>
      <c r="AS68" s="26"/>
      <c r="AT68" s="26"/>
      <c r="AU68" s="26"/>
      <c r="AV68" s="26"/>
      <c r="AW68" s="26"/>
    </row>
    <row r="69" spans="1:49" s="17" customFormat="1" ht="35.1" customHeight="1" x14ac:dyDescent="0.25">
      <c r="A69" s="18" t="s">
        <v>159</v>
      </c>
      <c r="B69" s="19">
        <v>46048</v>
      </c>
      <c r="C69" s="19">
        <v>46048</v>
      </c>
      <c r="D69" s="18" t="s">
        <v>30</v>
      </c>
      <c r="E69" s="20">
        <v>0.66666666666666663</v>
      </c>
      <c r="F69" s="20">
        <v>0.79166666666666663</v>
      </c>
      <c r="G69" s="28">
        <v>1.7361111111111109E-4</v>
      </c>
      <c r="H69" s="29" t="s">
        <v>160</v>
      </c>
      <c r="I69" s="21">
        <v>0.73372685185185194</v>
      </c>
      <c r="J69" s="18" t="s">
        <v>120</v>
      </c>
      <c r="K69" s="18" t="s">
        <v>125</v>
      </c>
      <c r="L69" s="22">
        <v>1</v>
      </c>
      <c r="M69" s="22">
        <v>71004</v>
      </c>
      <c r="N69" s="18" t="s">
        <v>46</v>
      </c>
      <c r="O69" s="22" t="s">
        <v>161</v>
      </c>
      <c r="P69" s="23">
        <v>0</v>
      </c>
      <c r="Q69" s="22"/>
      <c r="R69" s="23">
        <v>0</v>
      </c>
      <c r="S69" s="24">
        <v>46054</v>
      </c>
      <c r="T69" s="23">
        <v>0</v>
      </c>
      <c r="U69" s="25">
        <v>4</v>
      </c>
      <c r="V69" s="23">
        <v>0</v>
      </c>
      <c r="W69" s="18" t="s">
        <v>47</v>
      </c>
      <c r="X69" s="18" t="s">
        <v>48</v>
      </c>
      <c r="Y69" s="18" t="s">
        <v>36</v>
      </c>
      <c r="Z69" s="18" t="s">
        <v>9</v>
      </c>
      <c r="AA69" s="18" t="s">
        <v>49</v>
      </c>
      <c r="AB69" s="18" t="s">
        <v>162</v>
      </c>
      <c r="AC69" s="18" t="s">
        <v>38</v>
      </c>
      <c r="AD69" s="7" t="str">
        <f t="shared" si="1"/>
        <v/>
      </c>
      <c r="AE69" s="26"/>
      <c r="AF69" s="26"/>
      <c r="AG69" s="26"/>
      <c r="AH69" s="26"/>
      <c r="AI69" s="26"/>
      <c r="AJ69" s="26"/>
      <c r="AK69" s="26"/>
      <c r="AL69" s="26"/>
      <c r="AM69" s="26"/>
      <c r="AN69" s="26"/>
      <c r="AO69" s="26"/>
      <c r="AP69" s="26"/>
      <c r="AQ69" s="26"/>
      <c r="AR69" s="26"/>
      <c r="AS69" s="26"/>
      <c r="AT69" s="26"/>
      <c r="AU69" s="26"/>
      <c r="AV69" s="26"/>
      <c r="AW69" s="26"/>
    </row>
    <row r="70" spans="1:49" s="17" customFormat="1" ht="35.1" customHeight="1" x14ac:dyDescent="0.25">
      <c r="A70" s="18" t="s">
        <v>159</v>
      </c>
      <c r="B70" s="19">
        <v>46048</v>
      </c>
      <c r="C70" s="19">
        <v>46048</v>
      </c>
      <c r="D70" s="18" t="s">
        <v>30</v>
      </c>
      <c r="E70" s="20">
        <v>0.66666666666666663</v>
      </c>
      <c r="F70" s="20">
        <v>0.79166666666666663</v>
      </c>
      <c r="G70" s="28">
        <v>1.7361111111111109E-4</v>
      </c>
      <c r="H70" s="29" t="s">
        <v>163</v>
      </c>
      <c r="I70" s="21">
        <v>0.7359837962962964</v>
      </c>
      <c r="J70" s="18" t="s">
        <v>120</v>
      </c>
      <c r="K70" s="18" t="s">
        <v>125</v>
      </c>
      <c r="L70" s="22">
        <v>1</v>
      </c>
      <c r="M70" s="22">
        <v>71004</v>
      </c>
      <c r="N70" s="18" t="s">
        <v>46</v>
      </c>
      <c r="O70" s="22" t="s">
        <v>161</v>
      </c>
      <c r="P70" s="23">
        <v>0</v>
      </c>
      <c r="Q70" s="22"/>
      <c r="R70" s="23">
        <v>0</v>
      </c>
      <c r="S70" s="24">
        <v>46054</v>
      </c>
      <c r="T70" s="23">
        <v>0</v>
      </c>
      <c r="U70" s="25">
        <v>4</v>
      </c>
      <c r="V70" s="23">
        <v>0</v>
      </c>
      <c r="W70" s="18" t="s">
        <v>47</v>
      </c>
      <c r="X70" s="18" t="s">
        <v>48</v>
      </c>
      <c r="Y70" s="18" t="s">
        <v>36</v>
      </c>
      <c r="Z70" s="18" t="s">
        <v>9</v>
      </c>
      <c r="AA70" s="18" t="s">
        <v>49</v>
      </c>
      <c r="AB70" s="18" t="s">
        <v>162</v>
      </c>
      <c r="AC70" s="18" t="s">
        <v>38</v>
      </c>
      <c r="AD70" s="7" t="str">
        <f t="shared" si="1"/>
        <v/>
      </c>
      <c r="AE70" s="26"/>
      <c r="AF70" s="26"/>
      <c r="AG70" s="26"/>
      <c r="AH70" s="26"/>
      <c r="AI70" s="26"/>
      <c r="AJ70" s="26"/>
      <c r="AK70" s="26"/>
      <c r="AL70" s="26"/>
      <c r="AM70" s="26"/>
      <c r="AN70" s="26"/>
      <c r="AO70" s="26"/>
      <c r="AP70" s="26"/>
      <c r="AQ70" s="26"/>
      <c r="AR70" s="26"/>
      <c r="AS70" s="26"/>
      <c r="AT70" s="26"/>
      <c r="AU70" s="26"/>
      <c r="AV70" s="26"/>
      <c r="AW70" s="26"/>
    </row>
    <row r="71" spans="1:49" s="34" customFormat="1" ht="35.1" customHeight="1" x14ac:dyDescent="0.25">
      <c r="A71" s="9" t="s">
        <v>123</v>
      </c>
      <c r="B71" s="10">
        <v>46048</v>
      </c>
      <c r="C71" s="10">
        <v>46048</v>
      </c>
      <c r="D71" s="11" t="s">
        <v>30</v>
      </c>
      <c r="E71" s="12">
        <v>0.75</v>
      </c>
      <c r="F71" s="12">
        <v>0.77083333333333337</v>
      </c>
      <c r="G71" s="12">
        <v>2.0833333333333332E-2</v>
      </c>
      <c r="H71" s="9" t="s">
        <v>126</v>
      </c>
      <c r="I71" s="13"/>
      <c r="J71" s="9" t="s">
        <v>120</v>
      </c>
      <c r="K71" s="9"/>
      <c r="L71" s="14">
        <v>1</v>
      </c>
      <c r="M71" s="14">
        <v>1</v>
      </c>
      <c r="N71" s="9" t="s">
        <v>33</v>
      </c>
      <c r="O71" s="9"/>
      <c r="P71" s="16">
        <v>0</v>
      </c>
      <c r="Q71" s="14"/>
      <c r="R71" s="16">
        <v>0</v>
      </c>
      <c r="S71" s="9">
        <v>46054</v>
      </c>
      <c r="T71" s="16">
        <v>0</v>
      </c>
      <c r="U71" s="14">
        <v>2</v>
      </c>
      <c r="V71" s="16">
        <v>0</v>
      </c>
      <c r="W71" s="9" t="s">
        <v>34</v>
      </c>
      <c r="X71" s="9" t="s">
        <v>42</v>
      </c>
      <c r="Y71" s="9" t="s">
        <v>36</v>
      </c>
      <c r="Z71" s="9" t="s">
        <v>43</v>
      </c>
      <c r="AA71" s="9" t="s">
        <v>37</v>
      </c>
      <c r="AB71" s="9" t="s">
        <v>37</v>
      </c>
      <c r="AC71" s="9" t="s">
        <v>38</v>
      </c>
      <c r="AD71" s="7" t="str">
        <f t="shared" si="1"/>
        <v/>
      </c>
      <c r="AE71" s="26"/>
      <c r="AF71" s="26"/>
      <c r="AG71" s="26"/>
      <c r="AH71" s="26"/>
      <c r="AI71" s="26"/>
      <c r="AJ71" s="26"/>
      <c r="AK71" s="26"/>
      <c r="AL71" s="26"/>
      <c r="AM71" s="26"/>
      <c r="AN71" s="26"/>
      <c r="AO71" s="26"/>
      <c r="AP71" s="26"/>
      <c r="AQ71" s="26"/>
      <c r="AR71" s="26"/>
      <c r="AS71" s="26"/>
      <c r="AT71" s="26"/>
      <c r="AU71" s="26"/>
      <c r="AV71" s="26"/>
      <c r="AW71" s="26"/>
    </row>
    <row r="72" spans="1:49" s="34" customFormat="1" ht="35.1" customHeight="1" x14ac:dyDescent="0.25">
      <c r="A72" s="9" t="s">
        <v>123</v>
      </c>
      <c r="B72" s="10">
        <v>46048</v>
      </c>
      <c r="C72" s="10">
        <v>46048</v>
      </c>
      <c r="D72" s="11" t="s">
        <v>30</v>
      </c>
      <c r="E72" s="12">
        <v>0.77083333333333337</v>
      </c>
      <c r="F72" s="12">
        <v>0.79166666666666663</v>
      </c>
      <c r="G72" s="12">
        <v>2.0833333333333332E-2</v>
      </c>
      <c r="H72" s="9" t="s">
        <v>124</v>
      </c>
      <c r="I72" s="13"/>
      <c r="J72" s="9" t="s">
        <v>120</v>
      </c>
      <c r="K72" s="9"/>
      <c r="L72" s="14">
        <v>1</v>
      </c>
      <c r="M72" s="14">
        <v>1</v>
      </c>
      <c r="N72" s="9" t="s">
        <v>33</v>
      </c>
      <c r="O72" s="9"/>
      <c r="P72" s="16">
        <v>0</v>
      </c>
      <c r="Q72" s="14"/>
      <c r="R72" s="16">
        <v>0</v>
      </c>
      <c r="S72" s="9">
        <v>46054</v>
      </c>
      <c r="T72" s="16">
        <v>0</v>
      </c>
      <c r="U72" s="14">
        <v>2</v>
      </c>
      <c r="V72" s="16">
        <v>0</v>
      </c>
      <c r="W72" s="9" t="s">
        <v>34</v>
      </c>
      <c r="X72" s="9" t="s">
        <v>42</v>
      </c>
      <c r="Y72" s="9" t="s">
        <v>36</v>
      </c>
      <c r="Z72" s="9" t="s">
        <v>43</v>
      </c>
      <c r="AA72" s="9" t="s">
        <v>37</v>
      </c>
      <c r="AB72" s="9" t="s">
        <v>37</v>
      </c>
      <c r="AC72" s="9" t="s">
        <v>38</v>
      </c>
      <c r="AD72" s="7" t="str">
        <f t="shared" si="1"/>
        <v/>
      </c>
      <c r="AE72" s="26"/>
      <c r="AF72" s="26"/>
      <c r="AG72" s="26"/>
      <c r="AH72" s="26"/>
      <c r="AI72" s="26"/>
      <c r="AJ72" s="26"/>
      <c r="AK72" s="26"/>
      <c r="AL72" s="26"/>
      <c r="AM72" s="26"/>
      <c r="AN72" s="26"/>
      <c r="AO72" s="26"/>
      <c r="AP72" s="26"/>
      <c r="AQ72" s="26"/>
      <c r="AR72" s="26"/>
      <c r="AS72" s="26"/>
      <c r="AT72" s="26"/>
      <c r="AU72" s="26"/>
      <c r="AV72" s="26"/>
      <c r="AW72" s="26"/>
    </row>
    <row r="73" spans="1:49" s="17" customFormat="1" ht="35.1" customHeight="1" x14ac:dyDescent="0.25">
      <c r="A73" s="18" t="s">
        <v>127</v>
      </c>
      <c r="B73" s="19">
        <v>46048</v>
      </c>
      <c r="C73" s="19">
        <v>46048</v>
      </c>
      <c r="D73" s="18" t="s">
        <v>30</v>
      </c>
      <c r="E73" s="20">
        <v>0.77083333333333337</v>
      </c>
      <c r="F73" s="20">
        <v>0.79166666666666663</v>
      </c>
      <c r="G73" s="20">
        <v>3.4722222222222218E-4</v>
      </c>
      <c r="H73" s="18" t="s">
        <v>128</v>
      </c>
      <c r="I73" s="21">
        <v>0.78142361111111114</v>
      </c>
      <c r="J73" s="18" t="s">
        <v>120</v>
      </c>
      <c r="K73" s="18" t="s">
        <v>155</v>
      </c>
      <c r="L73" s="22">
        <v>1</v>
      </c>
      <c r="M73" s="22">
        <v>69749</v>
      </c>
      <c r="N73" s="18" t="s">
        <v>53</v>
      </c>
      <c r="O73" s="22" t="s">
        <v>129</v>
      </c>
      <c r="P73" s="23">
        <v>65</v>
      </c>
      <c r="Q73" s="22"/>
      <c r="R73" s="23">
        <v>65</v>
      </c>
      <c r="S73" s="24">
        <v>46054</v>
      </c>
      <c r="T73" s="23">
        <v>9.75</v>
      </c>
      <c r="U73" s="25">
        <v>4</v>
      </c>
      <c r="V73" s="23">
        <v>55.25</v>
      </c>
      <c r="W73" s="18" t="s">
        <v>47</v>
      </c>
      <c r="X73" s="18" t="s">
        <v>48</v>
      </c>
      <c r="Y73" s="18" t="s">
        <v>36</v>
      </c>
      <c r="Z73" s="18" t="s">
        <v>9</v>
      </c>
      <c r="AA73" s="18" t="s">
        <v>49</v>
      </c>
      <c r="AB73" s="18" t="s">
        <v>130</v>
      </c>
      <c r="AC73" s="18" t="s">
        <v>38</v>
      </c>
      <c r="AD73" s="7" t="str">
        <f t="shared" si="1"/>
        <v/>
      </c>
      <c r="AE73" s="26"/>
      <c r="AF73" s="26"/>
      <c r="AG73" s="26"/>
      <c r="AH73" s="26"/>
      <c r="AI73" s="26"/>
      <c r="AJ73" s="26"/>
      <c r="AK73" s="26"/>
      <c r="AL73" s="26"/>
      <c r="AM73" s="26"/>
      <c r="AN73" s="26"/>
      <c r="AO73" s="26"/>
      <c r="AP73" s="26"/>
      <c r="AQ73" s="26"/>
      <c r="AR73" s="26"/>
      <c r="AS73" s="26"/>
      <c r="AT73" s="26"/>
      <c r="AU73" s="26"/>
      <c r="AV73" s="26"/>
      <c r="AW73" s="26"/>
    </row>
    <row r="74" spans="1:49" s="17" customFormat="1" ht="35.1" customHeight="1" x14ac:dyDescent="0.25">
      <c r="A74" s="18" t="s">
        <v>56</v>
      </c>
      <c r="B74" s="19">
        <v>46048</v>
      </c>
      <c r="C74" s="19">
        <v>46048</v>
      </c>
      <c r="D74" s="18" t="s">
        <v>30</v>
      </c>
      <c r="E74" s="20">
        <v>0.66666666666666663</v>
      </c>
      <c r="F74" s="20">
        <v>0.79166666666666663</v>
      </c>
      <c r="G74" s="28">
        <v>1.7361111111111112E-4</v>
      </c>
      <c r="H74" s="29" t="s">
        <v>121</v>
      </c>
      <c r="I74" s="21">
        <v>0.78684027777777776</v>
      </c>
      <c r="J74" s="18" t="s">
        <v>120</v>
      </c>
      <c r="K74" s="18" t="s">
        <v>155</v>
      </c>
      <c r="L74" s="22">
        <v>1</v>
      </c>
      <c r="M74" s="22">
        <v>69828</v>
      </c>
      <c r="N74" s="18" t="s">
        <v>53</v>
      </c>
      <c r="O74" s="22"/>
      <c r="P74" s="23">
        <v>28</v>
      </c>
      <c r="Q74" s="22"/>
      <c r="R74" s="23">
        <v>28</v>
      </c>
      <c r="S74" s="24">
        <v>46048</v>
      </c>
      <c r="T74" s="23">
        <v>0</v>
      </c>
      <c r="U74" s="25">
        <v>4</v>
      </c>
      <c r="V74" s="23">
        <v>28</v>
      </c>
      <c r="W74" s="18" t="s">
        <v>34</v>
      </c>
      <c r="X74" s="18" t="s">
        <v>48</v>
      </c>
      <c r="Y74" s="18" t="s">
        <v>58</v>
      </c>
      <c r="Z74" s="18" t="s">
        <v>43</v>
      </c>
      <c r="AA74" s="18" t="s">
        <v>49</v>
      </c>
      <c r="AB74" s="18" t="s">
        <v>59</v>
      </c>
      <c r="AC74" s="18" t="s">
        <v>38</v>
      </c>
      <c r="AD74" s="7" t="str">
        <f t="shared" si="1"/>
        <v/>
      </c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</row>
    <row r="75" spans="1:49" s="17" customFormat="1" ht="35.1" customHeight="1" x14ac:dyDescent="0.25">
      <c r="A75" s="18" t="s">
        <v>56</v>
      </c>
      <c r="B75" s="19">
        <v>46048</v>
      </c>
      <c r="C75" s="19">
        <v>46048</v>
      </c>
      <c r="D75" s="18" t="s">
        <v>30</v>
      </c>
      <c r="E75" s="20">
        <v>0.66666666666666663</v>
      </c>
      <c r="F75" s="20">
        <v>0.79166666666666663</v>
      </c>
      <c r="G75" s="28">
        <v>1.7361111111111112E-4</v>
      </c>
      <c r="H75" s="29" t="s">
        <v>122</v>
      </c>
      <c r="I75" s="21">
        <v>0.78840277777777779</v>
      </c>
      <c r="J75" s="18" t="s">
        <v>120</v>
      </c>
      <c r="K75" s="18" t="s">
        <v>155</v>
      </c>
      <c r="L75" s="22">
        <v>1</v>
      </c>
      <c r="M75" s="22">
        <v>69828</v>
      </c>
      <c r="N75" s="18" t="s">
        <v>53</v>
      </c>
      <c r="O75" s="22"/>
      <c r="P75" s="23">
        <v>0</v>
      </c>
      <c r="Q75" s="22"/>
      <c r="R75" s="23">
        <v>0</v>
      </c>
      <c r="S75" s="24">
        <v>46048</v>
      </c>
      <c r="T75" s="23">
        <v>0</v>
      </c>
      <c r="U75" s="25">
        <v>4</v>
      </c>
      <c r="V75" s="23">
        <v>0</v>
      </c>
      <c r="W75" s="18" t="s">
        <v>34</v>
      </c>
      <c r="X75" s="18" t="s">
        <v>48</v>
      </c>
      <c r="Y75" s="18" t="s">
        <v>58</v>
      </c>
      <c r="Z75" s="18" t="s">
        <v>43</v>
      </c>
      <c r="AA75" s="18" t="s">
        <v>49</v>
      </c>
      <c r="AB75" s="18" t="s">
        <v>59</v>
      </c>
      <c r="AC75" s="18" t="s">
        <v>38</v>
      </c>
      <c r="AD75" s="7" t="str">
        <f t="shared" si="1"/>
        <v/>
      </c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</row>
    <row r="76" spans="1:49" s="34" customFormat="1" ht="35.1" customHeight="1" x14ac:dyDescent="0.25">
      <c r="A76" s="9" t="s">
        <v>39</v>
      </c>
      <c r="B76" s="10">
        <v>46048</v>
      </c>
      <c r="C76" s="10">
        <v>46048</v>
      </c>
      <c r="D76" s="11" t="s">
        <v>30</v>
      </c>
      <c r="E76" s="12">
        <v>0.79166666666666663</v>
      </c>
      <c r="F76" s="12">
        <v>0.8125</v>
      </c>
      <c r="G76" s="12">
        <v>2.0833333333333332E-2</v>
      </c>
      <c r="H76" s="9" t="s">
        <v>131</v>
      </c>
      <c r="I76" s="13"/>
      <c r="J76" s="9" t="s">
        <v>132</v>
      </c>
      <c r="K76" s="9"/>
      <c r="L76" s="14">
        <v>1</v>
      </c>
      <c r="M76" s="14">
        <v>1</v>
      </c>
      <c r="N76" s="9" t="s">
        <v>33</v>
      </c>
      <c r="O76" s="9"/>
      <c r="P76" s="16">
        <v>0</v>
      </c>
      <c r="Q76" s="14"/>
      <c r="R76" s="16">
        <v>0</v>
      </c>
      <c r="S76" s="9">
        <v>46054</v>
      </c>
      <c r="T76" s="16">
        <v>0</v>
      </c>
      <c r="U76" s="14">
        <v>2</v>
      </c>
      <c r="V76" s="16">
        <v>0</v>
      </c>
      <c r="W76" s="9" t="s">
        <v>34</v>
      </c>
      <c r="X76" s="9" t="s">
        <v>42</v>
      </c>
      <c r="Y76" s="9" t="s">
        <v>36</v>
      </c>
      <c r="Z76" s="9" t="s">
        <v>43</v>
      </c>
      <c r="AA76" s="9" t="s">
        <v>37</v>
      </c>
      <c r="AB76" s="9" t="s">
        <v>37</v>
      </c>
      <c r="AC76" s="9" t="s">
        <v>38</v>
      </c>
      <c r="AD76" s="7" t="str">
        <f t="shared" si="1"/>
        <v/>
      </c>
      <c r="AE76" s="26"/>
      <c r="AF76" s="26"/>
      <c r="AG76" s="26"/>
      <c r="AH76" s="26"/>
      <c r="AI76" s="26"/>
      <c r="AJ76" s="26"/>
      <c r="AK76" s="26"/>
      <c r="AL76" s="26"/>
      <c r="AM76" s="26"/>
      <c r="AN76" s="26"/>
      <c r="AO76" s="26"/>
      <c r="AP76" s="26"/>
      <c r="AQ76" s="26"/>
      <c r="AR76" s="26"/>
      <c r="AS76" s="26"/>
      <c r="AT76" s="26"/>
      <c r="AU76" s="26"/>
      <c r="AV76" s="26"/>
      <c r="AW76" s="26"/>
    </row>
    <row r="77" spans="1:49" s="17" customFormat="1" ht="35.1" customHeight="1" x14ac:dyDescent="0.25">
      <c r="A77" s="18" t="s">
        <v>56</v>
      </c>
      <c r="B77" s="19">
        <v>46048</v>
      </c>
      <c r="C77" s="19">
        <v>46048</v>
      </c>
      <c r="D77" s="18" t="s">
        <v>30</v>
      </c>
      <c r="E77" s="20">
        <v>0.25</v>
      </c>
      <c r="F77" s="20">
        <v>0.99930555555555556</v>
      </c>
      <c r="G77" s="28">
        <v>1.7361111111111112E-4</v>
      </c>
      <c r="H77" s="29" t="s">
        <v>57</v>
      </c>
      <c r="I77" s="21">
        <v>0.79724537037037035</v>
      </c>
      <c r="J77" s="18" t="s">
        <v>41</v>
      </c>
      <c r="K77" s="18" t="s">
        <v>131</v>
      </c>
      <c r="L77" s="22">
        <v>1</v>
      </c>
      <c r="M77" s="22">
        <v>69827</v>
      </c>
      <c r="N77" s="18" t="s">
        <v>53</v>
      </c>
      <c r="O77" s="22"/>
      <c r="P77" s="23">
        <v>23</v>
      </c>
      <c r="Q77" s="22"/>
      <c r="R77" s="23">
        <v>23</v>
      </c>
      <c r="S77" s="24">
        <v>46048</v>
      </c>
      <c r="T77" s="23">
        <v>0</v>
      </c>
      <c r="U77" s="25">
        <v>4</v>
      </c>
      <c r="V77" s="23">
        <v>23</v>
      </c>
      <c r="W77" s="18" t="s">
        <v>34</v>
      </c>
      <c r="X77" s="18" t="s">
        <v>48</v>
      </c>
      <c r="Y77" s="18" t="s">
        <v>58</v>
      </c>
      <c r="Z77" s="18" t="s">
        <v>43</v>
      </c>
      <c r="AA77" s="18" t="s">
        <v>49</v>
      </c>
      <c r="AB77" s="18" t="s">
        <v>59</v>
      </c>
      <c r="AC77" s="18" t="s">
        <v>38</v>
      </c>
      <c r="AD77" s="7" t="str">
        <f t="shared" si="1"/>
        <v/>
      </c>
      <c r="AE77" s="26"/>
      <c r="AF77" s="26"/>
      <c r="AG77" s="26"/>
      <c r="AH77" s="26"/>
      <c r="AI77" s="26"/>
      <c r="AJ77" s="26"/>
      <c r="AK77" s="26"/>
      <c r="AL77" s="26"/>
      <c r="AM77" s="26"/>
      <c r="AN77" s="26"/>
      <c r="AO77" s="26"/>
      <c r="AP77" s="26"/>
      <c r="AQ77" s="26"/>
      <c r="AR77" s="26"/>
      <c r="AS77" s="26"/>
      <c r="AT77" s="26"/>
      <c r="AU77" s="26"/>
      <c r="AV77" s="26"/>
      <c r="AW77" s="26"/>
    </row>
    <row r="78" spans="1:49" s="17" customFormat="1" ht="35.1" customHeight="1" x14ac:dyDescent="0.25">
      <c r="A78" s="18" t="s">
        <v>56</v>
      </c>
      <c r="B78" s="19">
        <v>46048</v>
      </c>
      <c r="C78" s="19">
        <v>46048</v>
      </c>
      <c r="D78" s="18" t="s">
        <v>30</v>
      </c>
      <c r="E78" s="20">
        <v>0.25</v>
      </c>
      <c r="F78" s="20">
        <v>0.99930555555555556</v>
      </c>
      <c r="G78" s="28">
        <v>1.7361111111111112E-4</v>
      </c>
      <c r="H78" s="29" t="s">
        <v>60</v>
      </c>
      <c r="I78" s="21">
        <v>0.7979398148148148</v>
      </c>
      <c r="J78" s="18" t="s">
        <v>41</v>
      </c>
      <c r="K78" s="18" t="s">
        <v>131</v>
      </c>
      <c r="L78" s="22">
        <v>1</v>
      </c>
      <c r="M78" s="22">
        <v>69827</v>
      </c>
      <c r="N78" s="18" t="s">
        <v>53</v>
      </c>
      <c r="O78" s="22"/>
      <c r="P78" s="23">
        <v>0</v>
      </c>
      <c r="Q78" s="22"/>
      <c r="R78" s="23">
        <v>0</v>
      </c>
      <c r="S78" s="24">
        <v>46048</v>
      </c>
      <c r="T78" s="23">
        <v>0</v>
      </c>
      <c r="U78" s="25">
        <v>4</v>
      </c>
      <c r="V78" s="23">
        <v>0</v>
      </c>
      <c r="W78" s="18" t="s">
        <v>34</v>
      </c>
      <c r="X78" s="18" t="s">
        <v>48</v>
      </c>
      <c r="Y78" s="18" t="s">
        <v>58</v>
      </c>
      <c r="Z78" s="18" t="s">
        <v>43</v>
      </c>
      <c r="AA78" s="18" t="s">
        <v>49</v>
      </c>
      <c r="AB78" s="18" t="s">
        <v>59</v>
      </c>
      <c r="AC78" s="18" t="s">
        <v>38</v>
      </c>
      <c r="AD78" s="7" t="str">
        <f t="shared" si="1"/>
        <v/>
      </c>
      <c r="AE78" s="26"/>
      <c r="AF78" s="26"/>
      <c r="AG78" s="26"/>
      <c r="AH78" s="26"/>
      <c r="AI78" s="26"/>
      <c r="AJ78" s="26"/>
      <c r="AK78" s="26"/>
      <c r="AL78" s="26"/>
      <c r="AM78" s="26"/>
      <c r="AN78" s="26"/>
      <c r="AO78" s="26"/>
      <c r="AP78" s="26"/>
      <c r="AQ78" s="26"/>
      <c r="AR78" s="26"/>
      <c r="AS78" s="26"/>
      <c r="AT78" s="26"/>
      <c r="AU78" s="26"/>
      <c r="AV78" s="26"/>
      <c r="AW78" s="26"/>
    </row>
    <row r="79" spans="1:49" s="17" customFormat="1" ht="35.1" customHeight="1" x14ac:dyDescent="0.25">
      <c r="A79" s="18" t="s">
        <v>78</v>
      </c>
      <c r="B79" s="19">
        <v>46048</v>
      </c>
      <c r="C79" s="19">
        <v>46048</v>
      </c>
      <c r="D79" s="18" t="s">
        <v>30</v>
      </c>
      <c r="E79" s="20">
        <v>0.79166666666666663</v>
      </c>
      <c r="F79" s="20">
        <v>0.99930555555555556</v>
      </c>
      <c r="G79" s="20">
        <v>1.7361111111111109E-4</v>
      </c>
      <c r="H79" s="18" t="s">
        <v>140</v>
      </c>
      <c r="I79" s="21">
        <v>0.79741898148148149</v>
      </c>
      <c r="J79" s="18" t="s">
        <v>132</v>
      </c>
      <c r="K79" s="18" t="s">
        <v>131</v>
      </c>
      <c r="L79" s="22">
        <v>1</v>
      </c>
      <c r="M79" s="22">
        <v>64941</v>
      </c>
      <c r="N79" s="18" t="s">
        <v>53</v>
      </c>
      <c r="O79" s="22"/>
      <c r="P79" s="23">
        <v>50</v>
      </c>
      <c r="Q79" s="22"/>
      <c r="R79" s="23">
        <v>50</v>
      </c>
      <c r="S79" s="24">
        <v>46054</v>
      </c>
      <c r="T79" s="23">
        <v>0</v>
      </c>
      <c r="U79" s="25">
        <v>4</v>
      </c>
      <c r="V79" s="23">
        <v>50</v>
      </c>
      <c r="W79" s="18" t="s">
        <v>47</v>
      </c>
      <c r="X79" s="18" t="s">
        <v>48</v>
      </c>
      <c r="Y79" s="18" t="s">
        <v>36</v>
      </c>
      <c r="Z79" s="18" t="s">
        <v>9</v>
      </c>
      <c r="AA79" s="18" t="s">
        <v>49</v>
      </c>
      <c r="AB79" s="18" t="s">
        <v>134</v>
      </c>
      <c r="AC79" s="18" t="s">
        <v>38</v>
      </c>
      <c r="AD79" s="7" t="str">
        <f t="shared" si="1"/>
        <v/>
      </c>
      <c r="AE79" s="26"/>
      <c r="AF79" s="26"/>
      <c r="AG79" s="26"/>
      <c r="AH79" s="26"/>
      <c r="AI79" s="26"/>
      <c r="AJ79" s="26"/>
      <c r="AK79" s="26"/>
      <c r="AL79" s="26"/>
      <c r="AM79" s="26"/>
      <c r="AN79" s="26"/>
      <c r="AO79" s="26"/>
      <c r="AP79" s="26"/>
      <c r="AQ79" s="26"/>
      <c r="AR79" s="26"/>
      <c r="AS79" s="26"/>
      <c r="AT79" s="26"/>
      <c r="AU79" s="26"/>
      <c r="AV79" s="26"/>
      <c r="AW79" s="26"/>
    </row>
    <row r="80" spans="1:49" s="17" customFormat="1" ht="35.1" customHeight="1" x14ac:dyDescent="0.25">
      <c r="A80" s="18" t="s">
        <v>159</v>
      </c>
      <c r="B80" s="19">
        <v>46048</v>
      </c>
      <c r="C80" s="19">
        <v>46048</v>
      </c>
      <c r="D80" s="18" t="s">
        <v>30</v>
      </c>
      <c r="E80" s="20">
        <v>0.25</v>
      </c>
      <c r="F80" s="20">
        <v>0.875</v>
      </c>
      <c r="G80" s="28">
        <v>1.7361111111111109E-4</v>
      </c>
      <c r="H80" s="29" t="s">
        <v>160</v>
      </c>
      <c r="I80" s="21">
        <v>0.80342592592592588</v>
      </c>
      <c r="J80" s="18" t="s">
        <v>41</v>
      </c>
      <c r="K80" s="18" t="s">
        <v>131</v>
      </c>
      <c r="L80" s="22">
        <v>1</v>
      </c>
      <c r="M80" s="22">
        <v>71013</v>
      </c>
      <c r="N80" s="18" t="s">
        <v>53</v>
      </c>
      <c r="O80" s="22" t="s">
        <v>161</v>
      </c>
      <c r="P80" s="23">
        <v>15</v>
      </c>
      <c r="Q80" s="22"/>
      <c r="R80" s="23">
        <v>15</v>
      </c>
      <c r="S80" s="24">
        <v>46054</v>
      </c>
      <c r="T80" s="23">
        <v>2.25</v>
      </c>
      <c r="U80" s="25">
        <v>4</v>
      </c>
      <c r="V80" s="23">
        <v>12.75</v>
      </c>
      <c r="W80" s="18" t="s">
        <v>47</v>
      </c>
      <c r="X80" s="18" t="s">
        <v>48</v>
      </c>
      <c r="Y80" s="18" t="s">
        <v>36</v>
      </c>
      <c r="Z80" s="18" t="s">
        <v>9</v>
      </c>
      <c r="AA80" s="18" t="s">
        <v>49</v>
      </c>
      <c r="AB80" s="18" t="s">
        <v>162</v>
      </c>
      <c r="AC80" s="18" t="s">
        <v>38</v>
      </c>
      <c r="AD80" s="7" t="str">
        <f t="shared" si="1"/>
        <v/>
      </c>
      <c r="AI80" s="30"/>
      <c r="AJ80" s="30"/>
      <c r="AK80" s="30"/>
      <c r="AL80" s="30"/>
      <c r="AM80" s="30"/>
      <c r="AN80" s="30"/>
      <c r="AO80" s="30"/>
      <c r="AP80" s="30"/>
      <c r="AQ80" s="30"/>
      <c r="AR80" s="30"/>
      <c r="AS80" s="30"/>
      <c r="AT80" s="30"/>
      <c r="AU80" s="30"/>
      <c r="AV80" s="30"/>
      <c r="AW80" s="30"/>
    </row>
    <row r="81" spans="1:49" s="17" customFormat="1" ht="35.1" customHeight="1" x14ac:dyDescent="0.25">
      <c r="A81" s="18" t="s">
        <v>159</v>
      </c>
      <c r="B81" s="19">
        <v>46048</v>
      </c>
      <c r="C81" s="19">
        <v>46048</v>
      </c>
      <c r="D81" s="18" t="s">
        <v>30</v>
      </c>
      <c r="E81" s="20">
        <v>0.25</v>
      </c>
      <c r="F81" s="20">
        <v>0.875</v>
      </c>
      <c r="G81" s="28">
        <v>1.7361111111111109E-4</v>
      </c>
      <c r="H81" s="29" t="s">
        <v>163</v>
      </c>
      <c r="I81" s="21">
        <v>0.8046875</v>
      </c>
      <c r="J81" s="18" t="s">
        <v>41</v>
      </c>
      <c r="K81" s="18" t="s">
        <v>131</v>
      </c>
      <c r="L81" s="22">
        <v>1</v>
      </c>
      <c r="M81" s="22">
        <v>71013</v>
      </c>
      <c r="N81" s="18" t="s">
        <v>53</v>
      </c>
      <c r="O81" s="22" t="s">
        <v>161</v>
      </c>
      <c r="P81" s="23">
        <v>15</v>
      </c>
      <c r="Q81" s="22"/>
      <c r="R81" s="23">
        <v>15</v>
      </c>
      <c r="S81" s="24">
        <v>46054</v>
      </c>
      <c r="T81" s="23">
        <v>2.25</v>
      </c>
      <c r="U81" s="25">
        <v>4</v>
      </c>
      <c r="V81" s="23">
        <v>12.75</v>
      </c>
      <c r="W81" s="18" t="s">
        <v>47</v>
      </c>
      <c r="X81" s="18" t="s">
        <v>48</v>
      </c>
      <c r="Y81" s="18" t="s">
        <v>36</v>
      </c>
      <c r="Z81" s="18" t="s">
        <v>9</v>
      </c>
      <c r="AA81" s="18" t="s">
        <v>49</v>
      </c>
      <c r="AB81" s="18" t="s">
        <v>162</v>
      </c>
      <c r="AC81" s="18" t="s">
        <v>38</v>
      </c>
      <c r="AD81" s="7" t="str">
        <f t="shared" si="1"/>
        <v/>
      </c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</row>
    <row r="82" spans="1:49" s="17" customFormat="1" ht="35.1" customHeight="1" x14ac:dyDescent="0.25">
      <c r="A82" s="18" t="s">
        <v>127</v>
      </c>
      <c r="B82" s="19">
        <v>46048</v>
      </c>
      <c r="C82" s="19">
        <v>46048</v>
      </c>
      <c r="D82" s="18" t="s">
        <v>30</v>
      </c>
      <c r="E82" s="20">
        <v>0.79166666666666663</v>
      </c>
      <c r="F82" s="20">
        <v>0.83333333333333337</v>
      </c>
      <c r="G82" s="20">
        <v>3.4722222222222218E-4</v>
      </c>
      <c r="H82" s="18" t="s">
        <v>141</v>
      </c>
      <c r="I82" s="21">
        <v>0.81104166666666666</v>
      </c>
      <c r="J82" s="18" t="s">
        <v>132</v>
      </c>
      <c r="K82" s="18" t="s">
        <v>131</v>
      </c>
      <c r="L82" s="22">
        <v>1</v>
      </c>
      <c r="M82" s="22">
        <v>69750</v>
      </c>
      <c r="N82" s="18" t="s">
        <v>53</v>
      </c>
      <c r="O82" s="22" t="s">
        <v>129</v>
      </c>
      <c r="P82" s="23">
        <v>65</v>
      </c>
      <c r="Q82" s="22"/>
      <c r="R82" s="23">
        <v>65</v>
      </c>
      <c r="S82" s="24">
        <v>46054</v>
      </c>
      <c r="T82" s="23">
        <v>9.75</v>
      </c>
      <c r="U82" s="25">
        <v>4</v>
      </c>
      <c r="V82" s="23">
        <v>55.25</v>
      </c>
      <c r="W82" s="18" t="s">
        <v>47</v>
      </c>
      <c r="X82" s="18" t="s">
        <v>48</v>
      </c>
      <c r="Y82" s="18" t="s">
        <v>36</v>
      </c>
      <c r="Z82" s="18" t="s">
        <v>9</v>
      </c>
      <c r="AA82" s="18" t="s">
        <v>49</v>
      </c>
      <c r="AB82" s="18" t="s">
        <v>130</v>
      </c>
      <c r="AC82" s="18" t="s">
        <v>38</v>
      </c>
      <c r="AD82" s="7" t="str">
        <f t="shared" si="1"/>
        <v/>
      </c>
      <c r="AE82" s="26"/>
      <c r="AF82" s="26"/>
      <c r="AG82" s="26"/>
      <c r="AH82" s="26"/>
      <c r="AI82" s="27"/>
      <c r="AJ82" s="27"/>
      <c r="AK82" s="27"/>
      <c r="AL82" s="27"/>
      <c r="AM82" s="27"/>
      <c r="AN82" s="27"/>
      <c r="AO82" s="27"/>
      <c r="AP82" s="27"/>
      <c r="AQ82" s="27"/>
      <c r="AR82" s="27"/>
      <c r="AS82" s="27"/>
      <c r="AT82" s="27"/>
      <c r="AU82" s="27"/>
      <c r="AV82" s="27"/>
      <c r="AW82" s="27"/>
    </row>
    <row r="83" spans="1:49" s="17" customFormat="1" ht="35.1" customHeight="1" x14ac:dyDescent="0.25">
      <c r="A83" s="18" t="s">
        <v>44</v>
      </c>
      <c r="B83" s="19">
        <v>46048</v>
      </c>
      <c r="C83" s="19">
        <v>46048</v>
      </c>
      <c r="D83" s="18" t="s">
        <v>30</v>
      </c>
      <c r="E83" s="20">
        <v>0.79166666666666663</v>
      </c>
      <c r="F83" s="20">
        <v>0.83333333333333337</v>
      </c>
      <c r="G83" s="20">
        <v>3.4722222222222218E-4</v>
      </c>
      <c r="H83" s="18" t="s">
        <v>45</v>
      </c>
      <c r="I83" s="21">
        <v>0.81138888888888894</v>
      </c>
      <c r="J83" s="18" t="s">
        <v>132</v>
      </c>
      <c r="K83" s="18" t="s">
        <v>131</v>
      </c>
      <c r="L83" s="22">
        <v>1</v>
      </c>
      <c r="M83" s="22">
        <v>70979</v>
      </c>
      <c r="N83" s="18" t="s">
        <v>53</v>
      </c>
      <c r="O83" s="22" t="str">
        <f>AC83</f>
        <v>CVC</v>
      </c>
      <c r="P83" s="23">
        <v>58.82</v>
      </c>
      <c r="Q83" s="22"/>
      <c r="R83" s="23">
        <v>58.82</v>
      </c>
      <c r="S83" s="24">
        <v>46054</v>
      </c>
      <c r="T83" s="23">
        <v>4.4115000000000002</v>
      </c>
      <c r="U83" s="25">
        <v>4</v>
      </c>
      <c r="V83" s="23">
        <v>54.408500000000004</v>
      </c>
      <c r="W83" s="18" t="s">
        <v>47</v>
      </c>
      <c r="X83" s="18" t="s">
        <v>48</v>
      </c>
      <c r="Y83" s="18" t="s">
        <v>36</v>
      </c>
      <c r="Z83" s="18" t="s">
        <v>9</v>
      </c>
      <c r="AA83" s="18" t="s">
        <v>49</v>
      </c>
      <c r="AB83" s="18" t="s">
        <v>50</v>
      </c>
      <c r="AC83" s="18" t="s">
        <v>38</v>
      </c>
      <c r="AD83" s="7" t="str">
        <f t="shared" si="1"/>
        <v/>
      </c>
      <c r="AE83" s="26"/>
      <c r="AF83" s="26"/>
      <c r="AG83" s="26"/>
      <c r="AH83" s="26"/>
      <c r="AI83" s="27"/>
      <c r="AJ83" s="27"/>
      <c r="AK83" s="27"/>
      <c r="AL83" s="27"/>
      <c r="AM83" s="27"/>
      <c r="AN83" s="27"/>
      <c r="AO83" s="27"/>
      <c r="AP83" s="27"/>
      <c r="AQ83" s="27"/>
      <c r="AR83" s="27"/>
      <c r="AS83" s="27"/>
      <c r="AT83" s="27"/>
      <c r="AU83" s="27"/>
      <c r="AV83" s="27"/>
      <c r="AW83" s="27"/>
    </row>
    <row r="84" spans="1:49" s="34" customFormat="1" ht="35.1" customHeight="1" x14ac:dyDescent="0.25">
      <c r="A84" s="9" t="s">
        <v>39</v>
      </c>
      <c r="B84" s="10">
        <v>46048</v>
      </c>
      <c r="C84" s="10">
        <v>46048</v>
      </c>
      <c r="D84" s="11" t="s">
        <v>30</v>
      </c>
      <c r="E84" s="12">
        <v>0.8125</v>
      </c>
      <c r="F84" s="12">
        <v>0.83333333333333337</v>
      </c>
      <c r="G84" s="12">
        <v>2.0833333333333332E-2</v>
      </c>
      <c r="H84" s="9" t="s">
        <v>143</v>
      </c>
      <c r="I84" s="13"/>
      <c r="J84" s="9" t="s">
        <v>132</v>
      </c>
      <c r="K84" s="9"/>
      <c r="L84" s="14">
        <v>1</v>
      </c>
      <c r="M84" s="14">
        <v>1</v>
      </c>
      <c r="N84" s="9" t="s">
        <v>33</v>
      </c>
      <c r="O84" s="9"/>
      <c r="P84" s="16">
        <v>0</v>
      </c>
      <c r="Q84" s="14"/>
      <c r="R84" s="16">
        <v>0</v>
      </c>
      <c r="S84" s="9">
        <v>46054</v>
      </c>
      <c r="T84" s="16">
        <v>0</v>
      </c>
      <c r="U84" s="14">
        <v>2</v>
      </c>
      <c r="V84" s="16">
        <v>0</v>
      </c>
      <c r="W84" s="9" t="s">
        <v>34</v>
      </c>
      <c r="X84" s="9" t="s">
        <v>42</v>
      </c>
      <c r="Y84" s="9" t="s">
        <v>36</v>
      </c>
      <c r="Z84" s="9" t="s">
        <v>43</v>
      </c>
      <c r="AA84" s="9" t="s">
        <v>37</v>
      </c>
      <c r="AB84" s="9" t="s">
        <v>37</v>
      </c>
      <c r="AC84" s="9" t="s">
        <v>38</v>
      </c>
      <c r="AD84" s="7" t="str">
        <f t="shared" si="1"/>
        <v/>
      </c>
      <c r="AE84" s="26"/>
      <c r="AF84" s="26"/>
      <c r="AG84" s="26"/>
      <c r="AH84" s="26"/>
      <c r="AI84" s="26"/>
      <c r="AJ84" s="26"/>
      <c r="AK84" s="26"/>
      <c r="AL84" s="26"/>
      <c r="AM84" s="26"/>
      <c r="AN84" s="26"/>
      <c r="AO84" s="26"/>
      <c r="AP84" s="26"/>
      <c r="AQ84" s="26"/>
      <c r="AR84" s="26"/>
      <c r="AS84" s="26"/>
      <c r="AT84" s="26"/>
      <c r="AU84" s="26"/>
      <c r="AV84" s="26"/>
      <c r="AW84" s="26"/>
    </row>
    <row r="85" spans="1:49" s="17" customFormat="1" ht="35.1" customHeight="1" x14ac:dyDescent="0.25">
      <c r="A85" s="18" t="s">
        <v>78</v>
      </c>
      <c r="B85" s="19">
        <v>46048</v>
      </c>
      <c r="C85" s="19">
        <v>46048</v>
      </c>
      <c r="D85" s="18" t="s">
        <v>30</v>
      </c>
      <c r="E85" s="20">
        <v>0.79166666666666663</v>
      </c>
      <c r="F85" s="20">
        <v>0.99930555555555556</v>
      </c>
      <c r="G85" s="20">
        <v>1.7361111111111109E-4</v>
      </c>
      <c r="H85" s="18" t="s">
        <v>142</v>
      </c>
      <c r="I85" s="21">
        <v>0.82355324074074077</v>
      </c>
      <c r="J85" s="18" t="s">
        <v>132</v>
      </c>
      <c r="K85" s="18" t="s">
        <v>156</v>
      </c>
      <c r="L85" s="22">
        <v>1</v>
      </c>
      <c r="M85" s="22">
        <v>64941</v>
      </c>
      <c r="N85" s="18" t="s">
        <v>53</v>
      </c>
      <c r="O85" s="22"/>
      <c r="P85" s="23">
        <v>50</v>
      </c>
      <c r="Q85" s="22"/>
      <c r="R85" s="23">
        <v>50</v>
      </c>
      <c r="S85" s="24">
        <v>46054</v>
      </c>
      <c r="T85" s="23">
        <v>0</v>
      </c>
      <c r="U85" s="25">
        <v>4</v>
      </c>
      <c r="V85" s="23">
        <v>50</v>
      </c>
      <c r="W85" s="18" t="s">
        <v>47</v>
      </c>
      <c r="X85" s="18" t="s">
        <v>48</v>
      </c>
      <c r="Y85" s="18" t="s">
        <v>36</v>
      </c>
      <c r="Z85" s="18" t="s">
        <v>9</v>
      </c>
      <c r="AA85" s="18" t="s">
        <v>49</v>
      </c>
      <c r="AB85" s="18" t="s">
        <v>134</v>
      </c>
      <c r="AC85" s="18" t="s">
        <v>38</v>
      </c>
      <c r="AD85" s="7" t="str">
        <f t="shared" si="1"/>
        <v/>
      </c>
      <c r="AE85" s="26"/>
      <c r="AF85" s="26"/>
      <c r="AG85" s="26"/>
      <c r="AH85" s="26"/>
      <c r="AI85" s="27"/>
      <c r="AJ85" s="27"/>
      <c r="AK85" s="27"/>
      <c r="AL85" s="27"/>
      <c r="AM85" s="27"/>
      <c r="AN85" s="27"/>
      <c r="AO85" s="27"/>
      <c r="AP85" s="27"/>
      <c r="AQ85" s="27"/>
      <c r="AR85" s="27"/>
      <c r="AS85" s="27"/>
      <c r="AT85" s="27"/>
      <c r="AU85" s="27"/>
      <c r="AV85" s="27"/>
      <c r="AW85" s="27"/>
    </row>
    <row r="86" spans="1:49" s="17" customFormat="1" ht="35.1" customHeight="1" x14ac:dyDescent="0.25">
      <c r="A86" s="18" t="s">
        <v>44</v>
      </c>
      <c r="B86" s="19">
        <v>46048</v>
      </c>
      <c r="C86" s="19">
        <v>46048</v>
      </c>
      <c r="D86" s="18" t="s">
        <v>30</v>
      </c>
      <c r="E86" s="20">
        <v>0.25</v>
      </c>
      <c r="F86" s="20">
        <v>0.99930555555555556</v>
      </c>
      <c r="G86" s="20">
        <v>3.4722222222222218E-4</v>
      </c>
      <c r="H86" s="18" t="s">
        <v>45</v>
      </c>
      <c r="I86" s="21">
        <v>0.83253472222222225</v>
      </c>
      <c r="J86" s="18" t="s">
        <v>41</v>
      </c>
      <c r="K86" s="18" t="s">
        <v>156</v>
      </c>
      <c r="L86" s="22">
        <v>1</v>
      </c>
      <c r="M86" s="22">
        <v>70983</v>
      </c>
      <c r="N86" s="18" t="s">
        <v>46</v>
      </c>
      <c r="O86" s="22" t="str">
        <f>AC86</f>
        <v>CVC</v>
      </c>
      <c r="P86" s="23">
        <v>0</v>
      </c>
      <c r="Q86" s="22"/>
      <c r="R86" s="23">
        <v>0</v>
      </c>
      <c r="S86" s="24">
        <v>46054</v>
      </c>
      <c r="T86" s="23">
        <v>0</v>
      </c>
      <c r="U86" s="25">
        <v>4</v>
      </c>
      <c r="V86" s="23">
        <v>0</v>
      </c>
      <c r="W86" s="18" t="s">
        <v>47</v>
      </c>
      <c r="X86" s="18" t="s">
        <v>48</v>
      </c>
      <c r="Y86" s="18" t="s">
        <v>36</v>
      </c>
      <c r="Z86" s="18" t="s">
        <v>9</v>
      </c>
      <c r="AA86" s="18" t="s">
        <v>49</v>
      </c>
      <c r="AB86" s="18" t="s">
        <v>50</v>
      </c>
      <c r="AC86" s="18" t="s">
        <v>38</v>
      </c>
      <c r="AD86" s="7" t="str">
        <f t="shared" si="1"/>
        <v/>
      </c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</row>
    <row r="87" spans="1:49" s="34" customFormat="1" ht="35.1" customHeight="1" x14ac:dyDescent="0.25">
      <c r="A87" s="9" t="s">
        <v>144</v>
      </c>
      <c r="B87" s="10">
        <v>46048</v>
      </c>
      <c r="C87" s="10">
        <v>46048</v>
      </c>
      <c r="D87" s="11" t="s">
        <v>30</v>
      </c>
      <c r="E87" s="12">
        <v>0.83333333333333337</v>
      </c>
      <c r="F87" s="12">
        <v>0.875</v>
      </c>
      <c r="G87" s="12">
        <v>4.1666666666666664E-2</v>
      </c>
      <c r="H87" s="9" t="s">
        <v>145</v>
      </c>
      <c r="I87" s="13"/>
      <c r="J87" s="9" t="s">
        <v>41</v>
      </c>
      <c r="K87" s="9"/>
      <c r="L87" s="14">
        <v>1</v>
      </c>
      <c r="M87" s="14">
        <v>1</v>
      </c>
      <c r="N87" s="9" t="s">
        <v>33</v>
      </c>
      <c r="O87" s="9"/>
      <c r="P87" s="16">
        <v>0</v>
      </c>
      <c r="Q87" s="14"/>
      <c r="R87" s="16">
        <v>0</v>
      </c>
      <c r="S87" s="9">
        <v>46054</v>
      </c>
      <c r="T87" s="16">
        <v>0</v>
      </c>
      <c r="U87" s="14">
        <v>2</v>
      </c>
      <c r="V87" s="16">
        <v>0</v>
      </c>
      <c r="W87" s="9" t="s">
        <v>34</v>
      </c>
      <c r="X87" s="9" t="s">
        <v>42</v>
      </c>
      <c r="Y87" s="9" t="s">
        <v>36</v>
      </c>
      <c r="Z87" s="9" t="s">
        <v>43</v>
      </c>
      <c r="AA87" s="9" t="s">
        <v>37</v>
      </c>
      <c r="AB87" s="9" t="s">
        <v>37</v>
      </c>
      <c r="AC87" s="9" t="s">
        <v>38</v>
      </c>
      <c r="AD87" s="7" t="str">
        <f t="shared" si="1"/>
        <v/>
      </c>
      <c r="AE87" s="26"/>
      <c r="AF87" s="26"/>
      <c r="AG87" s="26"/>
      <c r="AH87" s="26"/>
      <c r="AI87" s="26"/>
      <c r="AJ87" s="26"/>
      <c r="AK87" s="26"/>
      <c r="AL87" s="26"/>
      <c r="AM87" s="26"/>
      <c r="AN87" s="26"/>
      <c r="AO87" s="26"/>
      <c r="AP87" s="26"/>
      <c r="AQ87" s="26"/>
      <c r="AR87" s="26"/>
      <c r="AS87" s="26"/>
      <c r="AT87" s="26"/>
      <c r="AU87" s="26"/>
      <c r="AV87" s="26"/>
      <c r="AW87" s="26"/>
    </row>
    <row r="88" spans="1:49" s="17" customFormat="1" ht="35.1" customHeight="1" x14ac:dyDescent="0.25">
      <c r="A88" s="18" t="s">
        <v>78</v>
      </c>
      <c r="B88" s="19">
        <v>46048</v>
      </c>
      <c r="C88" s="19">
        <v>46048</v>
      </c>
      <c r="D88" s="18" t="s">
        <v>30</v>
      </c>
      <c r="E88" s="20">
        <v>0.79166666666666663</v>
      </c>
      <c r="F88" s="20">
        <v>0.99930555555555556</v>
      </c>
      <c r="G88" s="20">
        <v>3.4722222222222218E-4</v>
      </c>
      <c r="H88" s="18" t="s">
        <v>133</v>
      </c>
      <c r="I88" s="21">
        <v>0.84701388888888884</v>
      </c>
      <c r="J88" s="18" t="s">
        <v>41</v>
      </c>
      <c r="K88" s="18" t="s">
        <v>157</v>
      </c>
      <c r="L88" s="22">
        <v>1</v>
      </c>
      <c r="M88" s="22">
        <v>64937</v>
      </c>
      <c r="N88" s="18" t="s">
        <v>46</v>
      </c>
      <c r="O88" s="22"/>
      <c r="P88" s="23">
        <v>0</v>
      </c>
      <c r="Q88" s="22"/>
      <c r="R88" s="23">
        <v>0</v>
      </c>
      <c r="S88" s="24">
        <v>46054</v>
      </c>
      <c r="T88" s="23">
        <v>0</v>
      </c>
      <c r="U88" s="25">
        <v>4</v>
      </c>
      <c r="V88" s="23">
        <v>0</v>
      </c>
      <c r="W88" s="18" t="s">
        <v>47</v>
      </c>
      <c r="X88" s="18" t="s">
        <v>48</v>
      </c>
      <c r="Y88" s="18" t="s">
        <v>36</v>
      </c>
      <c r="Z88" s="18" t="s">
        <v>9</v>
      </c>
      <c r="AA88" s="18" t="s">
        <v>49</v>
      </c>
      <c r="AB88" s="18" t="s">
        <v>134</v>
      </c>
      <c r="AC88" s="18" t="s">
        <v>38</v>
      </c>
      <c r="AD88" s="7" t="str">
        <f t="shared" si="1"/>
        <v/>
      </c>
      <c r="AE88" s="26"/>
      <c r="AF88" s="26"/>
      <c r="AG88" s="26"/>
      <c r="AH88" s="26"/>
      <c r="AI88" s="27"/>
      <c r="AJ88" s="27"/>
      <c r="AK88" s="27"/>
      <c r="AL88" s="27"/>
      <c r="AM88" s="27"/>
      <c r="AN88" s="27"/>
      <c r="AO88" s="27"/>
      <c r="AP88" s="27"/>
      <c r="AQ88" s="27"/>
      <c r="AR88" s="27"/>
      <c r="AS88" s="27"/>
      <c r="AT88" s="27"/>
      <c r="AU88" s="27"/>
      <c r="AV88" s="27"/>
      <c r="AW88" s="27"/>
    </row>
    <row r="89" spans="1:49" s="17" customFormat="1" ht="35.1" customHeight="1" x14ac:dyDescent="0.25">
      <c r="A89" s="18" t="s">
        <v>93</v>
      </c>
      <c r="B89" s="19">
        <v>46048</v>
      </c>
      <c r="C89" s="19">
        <v>46048</v>
      </c>
      <c r="D89" s="18" t="s">
        <v>30</v>
      </c>
      <c r="E89" s="20">
        <v>0.79166666666666663</v>
      </c>
      <c r="F89" s="20">
        <v>0.99930555555555556</v>
      </c>
      <c r="G89" s="28">
        <v>1.7361111111111109E-4</v>
      </c>
      <c r="H89" s="29" t="s">
        <v>135</v>
      </c>
      <c r="I89" s="21">
        <v>0.85790509259259262</v>
      </c>
      <c r="J89" s="18" t="s">
        <v>136</v>
      </c>
      <c r="K89" s="18" t="s">
        <v>157</v>
      </c>
      <c r="L89" s="22">
        <v>1</v>
      </c>
      <c r="M89" s="22">
        <v>69566</v>
      </c>
      <c r="N89" s="18" t="s">
        <v>53</v>
      </c>
      <c r="O89" s="22" t="s">
        <v>137</v>
      </c>
      <c r="P89" s="23">
        <v>0</v>
      </c>
      <c r="Q89" s="22"/>
      <c r="R89" s="23">
        <v>16.531831119544499</v>
      </c>
      <c r="S89" s="24">
        <v>46054</v>
      </c>
      <c r="T89" s="23">
        <v>0</v>
      </c>
      <c r="U89" s="25">
        <v>4</v>
      </c>
      <c r="V89" s="23">
        <v>0</v>
      </c>
      <c r="W89" s="18" t="s">
        <v>47</v>
      </c>
      <c r="X89" s="18" t="s">
        <v>48</v>
      </c>
      <c r="Y89" s="18" t="s">
        <v>36</v>
      </c>
      <c r="Z89" s="18" t="s">
        <v>9</v>
      </c>
      <c r="AA89" s="18" t="s">
        <v>49</v>
      </c>
      <c r="AB89" s="18" t="s">
        <v>138</v>
      </c>
      <c r="AC89" s="18" t="s">
        <v>38</v>
      </c>
      <c r="AD89" s="7" t="str">
        <f t="shared" si="1"/>
        <v/>
      </c>
      <c r="AE89" s="26"/>
      <c r="AF89" s="26"/>
      <c r="AG89" s="26"/>
      <c r="AH89" s="26"/>
      <c r="AI89" s="27"/>
      <c r="AJ89" s="27"/>
      <c r="AK89" s="27"/>
      <c r="AL89" s="27"/>
      <c r="AM89" s="27"/>
      <c r="AN89" s="27"/>
      <c r="AO89" s="27"/>
      <c r="AP89" s="27"/>
      <c r="AQ89" s="27"/>
      <c r="AR89" s="27"/>
      <c r="AS89" s="27"/>
      <c r="AT89" s="27"/>
      <c r="AU89" s="27"/>
      <c r="AV89" s="27"/>
      <c r="AW89" s="27"/>
    </row>
    <row r="90" spans="1:49" s="17" customFormat="1" ht="35.1" customHeight="1" x14ac:dyDescent="0.25">
      <c r="A90" s="18" t="s">
        <v>93</v>
      </c>
      <c r="B90" s="19">
        <v>46048</v>
      </c>
      <c r="C90" s="19">
        <v>46048</v>
      </c>
      <c r="D90" s="18" t="s">
        <v>30</v>
      </c>
      <c r="E90" s="20">
        <v>0.79166666666666663</v>
      </c>
      <c r="F90" s="20">
        <v>0.99930555555555556</v>
      </c>
      <c r="G90" s="28">
        <v>1.7361111111111109E-4</v>
      </c>
      <c r="H90" s="29" t="s">
        <v>139</v>
      </c>
      <c r="I90" s="21">
        <v>0.85946759259259264</v>
      </c>
      <c r="J90" s="18" t="s">
        <v>136</v>
      </c>
      <c r="K90" s="18" t="s">
        <v>157</v>
      </c>
      <c r="L90" s="22">
        <v>1</v>
      </c>
      <c r="M90" s="22">
        <v>69566</v>
      </c>
      <c r="N90" s="18" t="s">
        <v>53</v>
      </c>
      <c r="O90" s="22" t="s">
        <v>137</v>
      </c>
      <c r="P90" s="23">
        <v>0</v>
      </c>
      <c r="Q90" s="22"/>
      <c r="R90" s="23">
        <v>16.531831119544499</v>
      </c>
      <c r="S90" s="24">
        <v>46054</v>
      </c>
      <c r="T90" s="23">
        <v>0</v>
      </c>
      <c r="U90" s="25">
        <v>4</v>
      </c>
      <c r="V90" s="23">
        <v>0</v>
      </c>
      <c r="W90" s="18" t="s">
        <v>47</v>
      </c>
      <c r="X90" s="18" t="s">
        <v>48</v>
      </c>
      <c r="Y90" s="18" t="s">
        <v>36</v>
      </c>
      <c r="Z90" s="18" t="s">
        <v>9</v>
      </c>
      <c r="AA90" s="18" t="s">
        <v>49</v>
      </c>
      <c r="AB90" s="18" t="s">
        <v>138</v>
      </c>
      <c r="AC90" s="18" t="s">
        <v>38</v>
      </c>
      <c r="AD90" s="7" t="str">
        <f t="shared" si="1"/>
        <v/>
      </c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</row>
    <row r="91" spans="1:49" s="17" customFormat="1" ht="35.1" customHeight="1" x14ac:dyDescent="0.25">
      <c r="A91" s="18" t="s">
        <v>51</v>
      </c>
      <c r="B91" s="19">
        <v>46048</v>
      </c>
      <c r="C91" s="19">
        <v>46048</v>
      </c>
      <c r="D91" s="18" t="s">
        <v>30</v>
      </c>
      <c r="E91" s="20">
        <v>0.83333333333333337</v>
      </c>
      <c r="F91" s="20">
        <v>0.875</v>
      </c>
      <c r="G91" s="20">
        <v>3.4722222222222218E-4</v>
      </c>
      <c r="H91" s="18" t="s">
        <v>52</v>
      </c>
      <c r="I91" s="21">
        <v>0.86719907407407404</v>
      </c>
      <c r="J91" s="18" t="s">
        <v>41</v>
      </c>
      <c r="K91" s="18" t="s">
        <v>157</v>
      </c>
      <c r="L91" s="22">
        <v>1</v>
      </c>
      <c r="M91" s="22">
        <v>70366</v>
      </c>
      <c r="N91" s="18" t="s">
        <v>53</v>
      </c>
      <c r="O91" s="22" t="s">
        <v>54</v>
      </c>
      <c r="P91" s="23">
        <v>60</v>
      </c>
      <c r="Q91" s="22"/>
      <c r="R91" s="23">
        <v>60</v>
      </c>
      <c r="S91" s="24">
        <v>46054</v>
      </c>
      <c r="T91" s="23">
        <v>9</v>
      </c>
      <c r="U91" s="25">
        <v>4</v>
      </c>
      <c r="V91" s="23">
        <v>51</v>
      </c>
      <c r="W91" s="18" t="s">
        <v>47</v>
      </c>
      <c r="X91" s="18" t="s">
        <v>48</v>
      </c>
      <c r="Y91" s="18" t="s">
        <v>36</v>
      </c>
      <c r="Z91" s="18" t="s">
        <v>9</v>
      </c>
      <c r="AA91" s="18" t="s">
        <v>49</v>
      </c>
      <c r="AB91" s="18" t="s">
        <v>55</v>
      </c>
      <c r="AC91" s="18" t="s">
        <v>38</v>
      </c>
      <c r="AD91" s="7" t="str">
        <f t="shared" si="1"/>
        <v/>
      </c>
      <c r="AE91" s="33"/>
      <c r="AF91" s="33"/>
      <c r="AG91" s="33"/>
      <c r="AH91" s="33"/>
      <c r="AI91" s="30"/>
      <c r="AJ91" s="30"/>
      <c r="AK91" s="30"/>
      <c r="AL91" s="30"/>
      <c r="AM91" s="30"/>
      <c r="AN91" s="30"/>
      <c r="AO91" s="30"/>
      <c r="AP91" s="30"/>
      <c r="AQ91" s="30"/>
      <c r="AR91" s="30"/>
      <c r="AS91" s="30"/>
      <c r="AT91" s="30"/>
      <c r="AU91" s="30"/>
      <c r="AV91" s="30"/>
      <c r="AW91" s="30"/>
    </row>
    <row r="92" spans="1:49" s="34" customFormat="1" ht="35.1" customHeight="1" x14ac:dyDescent="0.25">
      <c r="A92" s="9" t="s">
        <v>146</v>
      </c>
      <c r="B92" s="10">
        <v>46048</v>
      </c>
      <c r="C92" s="10">
        <v>46048</v>
      </c>
      <c r="D92" s="11" t="s">
        <v>30</v>
      </c>
      <c r="E92" s="12">
        <v>0.875</v>
      </c>
      <c r="F92" s="12">
        <v>0.91666666666666663</v>
      </c>
      <c r="G92" s="12">
        <v>4.1666666666666664E-2</v>
      </c>
      <c r="H92" s="9" t="s">
        <v>147</v>
      </c>
      <c r="I92" s="13"/>
      <c r="J92" s="9" t="s">
        <v>41</v>
      </c>
      <c r="K92" s="9"/>
      <c r="L92" s="14">
        <v>1</v>
      </c>
      <c r="M92" s="14">
        <v>1</v>
      </c>
      <c r="N92" s="9" t="s">
        <v>33</v>
      </c>
      <c r="O92" s="9"/>
      <c r="P92" s="16">
        <v>0</v>
      </c>
      <c r="Q92" s="14"/>
      <c r="R92" s="16">
        <v>0</v>
      </c>
      <c r="S92" s="9">
        <v>46054</v>
      </c>
      <c r="T92" s="16">
        <v>0</v>
      </c>
      <c r="U92" s="14">
        <v>2</v>
      </c>
      <c r="V92" s="16">
        <v>0</v>
      </c>
      <c r="W92" s="9" t="s">
        <v>34</v>
      </c>
      <c r="X92" s="9" t="s">
        <v>42</v>
      </c>
      <c r="Y92" s="9" t="s">
        <v>36</v>
      </c>
      <c r="Z92" s="9" t="s">
        <v>43</v>
      </c>
      <c r="AA92" s="9" t="s">
        <v>37</v>
      </c>
      <c r="AB92" s="9" t="s">
        <v>37</v>
      </c>
      <c r="AC92" s="9" t="s">
        <v>38</v>
      </c>
      <c r="AD92" s="7" t="str">
        <f t="shared" si="1"/>
        <v/>
      </c>
      <c r="AE92" s="26"/>
      <c r="AF92" s="26"/>
      <c r="AG92" s="26"/>
      <c r="AH92" s="26"/>
      <c r="AI92" s="26"/>
      <c r="AJ92" s="26"/>
      <c r="AK92" s="26"/>
      <c r="AL92" s="26"/>
      <c r="AM92" s="26"/>
      <c r="AN92" s="26"/>
      <c r="AO92" s="26"/>
      <c r="AP92" s="26"/>
      <c r="AQ92" s="26"/>
      <c r="AR92" s="26"/>
      <c r="AS92" s="26"/>
      <c r="AT92" s="26"/>
      <c r="AU92" s="26"/>
      <c r="AV92" s="26"/>
      <c r="AW92" s="26"/>
    </row>
    <row r="93" spans="1:49" s="17" customFormat="1" ht="35.1" customHeight="1" x14ac:dyDescent="0.25">
      <c r="A93" s="18" t="s">
        <v>51</v>
      </c>
      <c r="B93" s="19">
        <v>46048</v>
      </c>
      <c r="C93" s="19">
        <v>46048</v>
      </c>
      <c r="D93" s="18" t="s">
        <v>30</v>
      </c>
      <c r="E93" s="20">
        <v>0.875</v>
      </c>
      <c r="F93" s="20">
        <v>0.91666666666666663</v>
      </c>
      <c r="G93" s="20">
        <v>3.4722222222222218E-4</v>
      </c>
      <c r="H93" s="18" t="s">
        <v>52</v>
      </c>
      <c r="I93" s="21">
        <v>0.88656250000000003</v>
      </c>
      <c r="J93" s="18" t="s">
        <v>41</v>
      </c>
      <c r="K93" s="18" t="s">
        <v>147</v>
      </c>
      <c r="L93" s="22">
        <v>1</v>
      </c>
      <c r="M93" s="22">
        <v>70367</v>
      </c>
      <c r="N93" s="18" t="s">
        <v>53</v>
      </c>
      <c r="O93" s="22" t="s">
        <v>54</v>
      </c>
      <c r="P93" s="23">
        <v>60</v>
      </c>
      <c r="Q93" s="22"/>
      <c r="R93" s="23">
        <v>60</v>
      </c>
      <c r="S93" s="24">
        <v>46054</v>
      </c>
      <c r="T93" s="23">
        <v>9</v>
      </c>
      <c r="U93" s="25">
        <v>4</v>
      </c>
      <c r="V93" s="23">
        <v>51</v>
      </c>
      <c r="W93" s="18" t="s">
        <v>47</v>
      </c>
      <c r="X93" s="18" t="s">
        <v>48</v>
      </c>
      <c r="Y93" s="18" t="s">
        <v>36</v>
      </c>
      <c r="Z93" s="18" t="s">
        <v>9</v>
      </c>
      <c r="AA93" s="18" t="s">
        <v>49</v>
      </c>
      <c r="AB93" s="18" t="s">
        <v>55</v>
      </c>
      <c r="AC93" s="18" t="s">
        <v>38</v>
      </c>
      <c r="AD93" s="7" t="str">
        <f t="shared" si="1"/>
        <v/>
      </c>
      <c r="AE93" s="33"/>
      <c r="AF93" s="33"/>
      <c r="AG93" s="33"/>
      <c r="AH93" s="33"/>
      <c r="AI93" s="30"/>
      <c r="AJ93" s="30"/>
      <c r="AK93" s="30"/>
      <c r="AL93" s="30"/>
      <c r="AM93" s="30"/>
      <c r="AN93" s="30"/>
      <c r="AO93" s="30"/>
      <c r="AP93" s="30"/>
      <c r="AQ93" s="30"/>
      <c r="AR93" s="30"/>
      <c r="AS93" s="30"/>
      <c r="AT93" s="30"/>
      <c r="AU93" s="30"/>
      <c r="AV93" s="30"/>
      <c r="AW93" s="30"/>
    </row>
    <row r="94" spans="1:49" s="17" customFormat="1" ht="35.1" customHeight="1" x14ac:dyDescent="0.25">
      <c r="A94" s="18" t="s">
        <v>61</v>
      </c>
      <c r="B94" s="19">
        <v>46048</v>
      </c>
      <c r="C94" s="19">
        <v>46048</v>
      </c>
      <c r="D94" s="18" t="s">
        <v>30</v>
      </c>
      <c r="E94" s="20">
        <v>0.25</v>
      </c>
      <c r="F94" s="20">
        <v>0.99930555555555556</v>
      </c>
      <c r="G94" s="20">
        <v>3.4722222222222218E-4</v>
      </c>
      <c r="H94" s="18" t="s">
        <v>62</v>
      </c>
      <c r="I94" s="21">
        <v>0.89225694444444448</v>
      </c>
      <c r="J94" s="18" t="s">
        <v>41</v>
      </c>
      <c r="K94" s="18" t="s">
        <v>147</v>
      </c>
      <c r="L94" s="22">
        <v>1</v>
      </c>
      <c r="M94" s="22">
        <v>64407</v>
      </c>
      <c r="N94" s="18" t="s">
        <v>53</v>
      </c>
      <c r="O94" s="22" t="s">
        <v>63</v>
      </c>
      <c r="P94" s="23">
        <v>30</v>
      </c>
      <c r="Q94" s="22"/>
      <c r="R94" s="23">
        <v>30</v>
      </c>
      <c r="S94" s="24">
        <v>46054</v>
      </c>
      <c r="T94" s="23">
        <v>4.5</v>
      </c>
      <c r="U94" s="25">
        <v>4</v>
      </c>
      <c r="V94" s="23">
        <v>25.5</v>
      </c>
      <c r="W94" s="18" t="s">
        <v>47</v>
      </c>
      <c r="X94" s="18" t="s">
        <v>48</v>
      </c>
      <c r="Y94" s="18" t="s">
        <v>36</v>
      </c>
      <c r="Z94" s="18" t="s">
        <v>9</v>
      </c>
      <c r="AA94" s="18" t="s">
        <v>49</v>
      </c>
      <c r="AB94" s="18" t="s">
        <v>64</v>
      </c>
      <c r="AC94" s="18" t="s">
        <v>38</v>
      </c>
      <c r="AD94" s="7" t="str">
        <f t="shared" si="1"/>
        <v/>
      </c>
      <c r="AE94" s="26"/>
      <c r="AF94" s="26"/>
      <c r="AG94" s="26"/>
      <c r="AH94" s="26"/>
      <c r="AI94" s="27"/>
      <c r="AJ94" s="27"/>
      <c r="AK94" s="27"/>
      <c r="AL94" s="27"/>
      <c r="AM94" s="27"/>
      <c r="AN94" s="27"/>
      <c r="AO94" s="27"/>
      <c r="AP94" s="27"/>
      <c r="AQ94" s="27"/>
      <c r="AR94" s="27"/>
      <c r="AS94" s="27"/>
      <c r="AT94" s="27"/>
      <c r="AU94" s="27"/>
      <c r="AV94" s="27"/>
      <c r="AW94" s="27"/>
    </row>
    <row r="95" spans="1:49" s="17" customFormat="1" ht="35.1" customHeight="1" x14ac:dyDescent="0.25">
      <c r="A95" s="18" t="s">
        <v>93</v>
      </c>
      <c r="B95" s="19">
        <v>46048</v>
      </c>
      <c r="C95" s="19">
        <v>46048</v>
      </c>
      <c r="D95" s="18" t="s">
        <v>30</v>
      </c>
      <c r="E95" s="20">
        <v>0.79166666666666663</v>
      </c>
      <c r="F95" s="20">
        <v>0.99930555555555556</v>
      </c>
      <c r="G95" s="28">
        <v>1.7361111111111109E-4</v>
      </c>
      <c r="H95" s="29" t="s">
        <v>135</v>
      </c>
      <c r="I95" s="21">
        <v>0.9054861111111111</v>
      </c>
      <c r="J95" s="18" t="s">
        <v>136</v>
      </c>
      <c r="K95" s="18" t="s">
        <v>147</v>
      </c>
      <c r="L95" s="22">
        <v>1</v>
      </c>
      <c r="M95" s="22">
        <v>69567</v>
      </c>
      <c r="N95" s="18" t="s">
        <v>46</v>
      </c>
      <c r="O95" s="22" t="s">
        <v>137</v>
      </c>
      <c r="P95" s="23">
        <v>0</v>
      </c>
      <c r="Q95" s="22"/>
      <c r="R95" s="23">
        <v>0</v>
      </c>
      <c r="S95" s="24">
        <v>46054</v>
      </c>
      <c r="T95" s="23">
        <v>0</v>
      </c>
      <c r="U95" s="25">
        <v>4</v>
      </c>
      <c r="V95" s="23">
        <v>0</v>
      </c>
      <c r="W95" s="18" t="s">
        <v>47</v>
      </c>
      <c r="X95" s="18" t="s">
        <v>48</v>
      </c>
      <c r="Y95" s="18" t="s">
        <v>36</v>
      </c>
      <c r="Z95" s="18" t="s">
        <v>9</v>
      </c>
      <c r="AA95" s="18" t="s">
        <v>49</v>
      </c>
      <c r="AB95" s="18" t="s">
        <v>138</v>
      </c>
      <c r="AC95" s="18" t="s">
        <v>38</v>
      </c>
      <c r="AD95" s="7" t="str">
        <f t="shared" si="1"/>
        <v/>
      </c>
      <c r="AE95" s="33"/>
      <c r="AF95" s="33"/>
      <c r="AG95" s="33"/>
      <c r="AH95" s="33"/>
      <c r="AI95" s="30"/>
      <c r="AJ95" s="30"/>
      <c r="AK95" s="30"/>
      <c r="AL95" s="30"/>
      <c r="AM95" s="30"/>
      <c r="AN95" s="30"/>
      <c r="AO95" s="30"/>
      <c r="AP95" s="30"/>
      <c r="AQ95" s="30"/>
      <c r="AR95" s="30"/>
      <c r="AS95" s="30"/>
      <c r="AT95" s="30"/>
      <c r="AU95" s="30"/>
      <c r="AV95" s="30"/>
      <c r="AW95" s="30"/>
    </row>
    <row r="96" spans="1:49" s="17" customFormat="1" ht="35.1" customHeight="1" x14ac:dyDescent="0.25">
      <c r="A96" s="18" t="s">
        <v>93</v>
      </c>
      <c r="B96" s="19">
        <v>46048</v>
      </c>
      <c r="C96" s="19">
        <v>46048</v>
      </c>
      <c r="D96" s="18" t="s">
        <v>30</v>
      </c>
      <c r="E96" s="20">
        <v>0.79166666666666663</v>
      </c>
      <c r="F96" s="20">
        <v>0.99930555555555556</v>
      </c>
      <c r="G96" s="28">
        <v>1.7361111111111109E-4</v>
      </c>
      <c r="H96" s="29" t="s">
        <v>139</v>
      </c>
      <c r="I96" s="21">
        <v>0.90652777777777782</v>
      </c>
      <c r="J96" s="18" t="s">
        <v>136</v>
      </c>
      <c r="K96" s="18" t="s">
        <v>147</v>
      </c>
      <c r="L96" s="22">
        <v>1</v>
      </c>
      <c r="M96" s="22">
        <v>69567</v>
      </c>
      <c r="N96" s="18" t="s">
        <v>46</v>
      </c>
      <c r="O96" s="22" t="s">
        <v>137</v>
      </c>
      <c r="P96" s="23">
        <v>0</v>
      </c>
      <c r="Q96" s="22"/>
      <c r="R96" s="23">
        <v>0</v>
      </c>
      <c r="S96" s="24">
        <v>46054</v>
      </c>
      <c r="T96" s="23">
        <v>0</v>
      </c>
      <c r="U96" s="25">
        <v>4</v>
      </c>
      <c r="V96" s="23">
        <v>0</v>
      </c>
      <c r="W96" s="18" t="s">
        <v>47</v>
      </c>
      <c r="X96" s="18" t="s">
        <v>48</v>
      </c>
      <c r="Y96" s="18" t="s">
        <v>36</v>
      </c>
      <c r="Z96" s="18" t="s">
        <v>9</v>
      </c>
      <c r="AA96" s="18" t="s">
        <v>49</v>
      </c>
      <c r="AB96" s="18" t="s">
        <v>138</v>
      </c>
      <c r="AC96" s="18" t="s">
        <v>38</v>
      </c>
      <c r="AD96" s="7" t="str">
        <f t="shared" si="1"/>
        <v/>
      </c>
      <c r="AE96" s="33"/>
      <c r="AF96" s="33"/>
      <c r="AG96" s="33"/>
      <c r="AH96" s="33"/>
      <c r="AI96" s="30"/>
      <c r="AJ96" s="30"/>
      <c r="AK96" s="30"/>
      <c r="AL96" s="30"/>
      <c r="AM96" s="30"/>
      <c r="AN96" s="30"/>
      <c r="AO96" s="30"/>
      <c r="AP96" s="30"/>
      <c r="AQ96" s="30"/>
      <c r="AR96" s="30"/>
      <c r="AS96" s="30"/>
      <c r="AT96" s="30"/>
      <c r="AU96" s="30"/>
      <c r="AV96" s="30"/>
      <c r="AW96" s="30"/>
    </row>
    <row r="97" spans="1:49" s="34" customFormat="1" ht="35.1" customHeight="1" x14ac:dyDescent="0.25">
      <c r="A97" s="9" t="s">
        <v>146</v>
      </c>
      <c r="B97" s="10">
        <v>46048</v>
      </c>
      <c r="C97" s="10">
        <v>46048</v>
      </c>
      <c r="D97" s="11" t="s">
        <v>30</v>
      </c>
      <c r="E97" s="12">
        <v>0.91666666666666663</v>
      </c>
      <c r="F97" s="12">
        <v>0.97916666666666663</v>
      </c>
      <c r="G97" s="12">
        <v>6.25E-2</v>
      </c>
      <c r="H97" s="9" t="s">
        <v>148</v>
      </c>
      <c r="I97" s="13"/>
      <c r="J97" s="9" t="s">
        <v>41</v>
      </c>
      <c r="K97" s="9"/>
      <c r="L97" s="14">
        <v>1</v>
      </c>
      <c r="M97" s="14">
        <v>1</v>
      </c>
      <c r="N97" s="9" t="s">
        <v>33</v>
      </c>
      <c r="O97" s="9"/>
      <c r="P97" s="16">
        <v>0</v>
      </c>
      <c r="Q97" s="14"/>
      <c r="R97" s="16">
        <v>0</v>
      </c>
      <c r="S97" s="9">
        <v>46054</v>
      </c>
      <c r="T97" s="16">
        <v>0</v>
      </c>
      <c r="U97" s="14">
        <v>2</v>
      </c>
      <c r="V97" s="16">
        <v>0</v>
      </c>
      <c r="W97" s="9" t="s">
        <v>34</v>
      </c>
      <c r="X97" s="9" t="s">
        <v>42</v>
      </c>
      <c r="Y97" s="9" t="s">
        <v>36</v>
      </c>
      <c r="Z97" s="9" t="s">
        <v>43</v>
      </c>
      <c r="AA97" s="9" t="s">
        <v>37</v>
      </c>
      <c r="AB97" s="9" t="s">
        <v>37</v>
      </c>
      <c r="AC97" s="9" t="s">
        <v>38</v>
      </c>
      <c r="AD97" s="7" t="str">
        <f t="shared" si="1"/>
        <v/>
      </c>
      <c r="AE97" s="26"/>
      <c r="AF97" s="26"/>
      <c r="AG97" s="26"/>
      <c r="AH97" s="26"/>
      <c r="AI97" s="26"/>
      <c r="AJ97" s="26"/>
      <c r="AK97" s="26"/>
      <c r="AL97" s="26"/>
      <c r="AM97" s="26"/>
      <c r="AN97" s="26"/>
      <c r="AO97" s="26"/>
      <c r="AP97" s="26"/>
      <c r="AQ97" s="26"/>
      <c r="AR97" s="26"/>
      <c r="AS97" s="26"/>
      <c r="AT97" s="26"/>
      <c r="AU97" s="26"/>
      <c r="AV97" s="26"/>
      <c r="AW97" s="26"/>
    </row>
    <row r="98" spans="1:49" s="17" customFormat="1" ht="35.1" customHeight="1" x14ac:dyDescent="0.25">
      <c r="A98" s="18" t="s">
        <v>93</v>
      </c>
      <c r="B98" s="19">
        <v>46048</v>
      </c>
      <c r="C98" s="19">
        <v>46048</v>
      </c>
      <c r="D98" s="18" t="s">
        <v>30</v>
      </c>
      <c r="E98" s="20">
        <v>0.79166666666666663</v>
      </c>
      <c r="F98" s="20">
        <v>0.99930555555555556</v>
      </c>
      <c r="G98" s="28">
        <v>1.7361111111111109E-4</v>
      </c>
      <c r="H98" s="29" t="s">
        <v>135</v>
      </c>
      <c r="I98" s="21">
        <v>0.9537268518518518</v>
      </c>
      <c r="J98" s="18" t="s">
        <v>136</v>
      </c>
      <c r="K98" s="18" t="s">
        <v>158</v>
      </c>
      <c r="L98" s="22">
        <v>1</v>
      </c>
      <c r="M98" s="22">
        <v>69566</v>
      </c>
      <c r="N98" s="18" t="s">
        <v>53</v>
      </c>
      <c r="O98" s="22" t="s">
        <v>137</v>
      </c>
      <c r="P98" s="23">
        <v>0</v>
      </c>
      <c r="Q98" s="22"/>
      <c r="R98" s="23">
        <v>16.531831119544499</v>
      </c>
      <c r="S98" s="24">
        <v>46054</v>
      </c>
      <c r="T98" s="23">
        <v>0</v>
      </c>
      <c r="U98" s="25">
        <v>4</v>
      </c>
      <c r="V98" s="23">
        <v>0</v>
      </c>
      <c r="W98" s="18" t="s">
        <v>47</v>
      </c>
      <c r="X98" s="18" t="s">
        <v>48</v>
      </c>
      <c r="Y98" s="18" t="s">
        <v>36</v>
      </c>
      <c r="Z98" s="18" t="s">
        <v>9</v>
      </c>
      <c r="AA98" s="18" t="s">
        <v>49</v>
      </c>
      <c r="AB98" s="18" t="s">
        <v>138</v>
      </c>
      <c r="AC98" s="18" t="s">
        <v>38</v>
      </c>
      <c r="AD98" s="7" t="str">
        <f t="shared" si="1"/>
        <v/>
      </c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</row>
    <row r="99" spans="1:49" s="17" customFormat="1" ht="35.1" customHeight="1" x14ac:dyDescent="0.25">
      <c r="A99" s="18" t="s">
        <v>93</v>
      </c>
      <c r="B99" s="19">
        <v>46048</v>
      </c>
      <c r="C99" s="19">
        <v>46048</v>
      </c>
      <c r="D99" s="18" t="s">
        <v>30</v>
      </c>
      <c r="E99" s="20">
        <v>0.79166666666666663</v>
      </c>
      <c r="F99" s="20">
        <v>0.99930555555555556</v>
      </c>
      <c r="G99" s="28">
        <v>1.7361111111111109E-4</v>
      </c>
      <c r="H99" s="29" t="s">
        <v>139</v>
      </c>
      <c r="I99" s="21">
        <v>0.95442129629629635</v>
      </c>
      <c r="J99" s="18" t="s">
        <v>136</v>
      </c>
      <c r="K99" s="18" t="s">
        <v>158</v>
      </c>
      <c r="L99" s="22">
        <v>1</v>
      </c>
      <c r="M99" s="22">
        <v>69566</v>
      </c>
      <c r="N99" s="18" t="s">
        <v>53</v>
      </c>
      <c r="O99" s="22" t="s">
        <v>137</v>
      </c>
      <c r="P99" s="23">
        <v>0</v>
      </c>
      <c r="Q99" s="22"/>
      <c r="R99" s="23">
        <v>16.531831119544499</v>
      </c>
      <c r="S99" s="24">
        <v>46054</v>
      </c>
      <c r="T99" s="23">
        <v>0</v>
      </c>
      <c r="U99" s="25">
        <v>4</v>
      </c>
      <c r="V99" s="23">
        <v>0</v>
      </c>
      <c r="W99" s="18" t="s">
        <v>47</v>
      </c>
      <c r="X99" s="18" t="s">
        <v>48</v>
      </c>
      <c r="Y99" s="18" t="s">
        <v>36</v>
      </c>
      <c r="Z99" s="18" t="s">
        <v>9</v>
      </c>
      <c r="AA99" s="18" t="s">
        <v>49</v>
      </c>
      <c r="AB99" s="18" t="s">
        <v>138</v>
      </c>
      <c r="AC99" s="18" t="s">
        <v>38</v>
      </c>
      <c r="AD99" s="7" t="str">
        <f t="shared" si="1"/>
        <v/>
      </c>
      <c r="AE99" s="33"/>
      <c r="AF99" s="33"/>
      <c r="AG99" s="33"/>
      <c r="AH99" s="33"/>
      <c r="AI99" s="30"/>
      <c r="AJ99" s="30"/>
      <c r="AK99" s="30"/>
      <c r="AL99" s="30"/>
      <c r="AM99" s="30"/>
      <c r="AN99" s="30"/>
      <c r="AO99" s="30"/>
      <c r="AP99" s="30"/>
      <c r="AQ99" s="30"/>
      <c r="AR99" s="30"/>
      <c r="AS99" s="30"/>
      <c r="AT99" s="30"/>
      <c r="AU99" s="30"/>
      <c r="AV99" s="30"/>
      <c r="AW99" s="30"/>
    </row>
    <row r="100" spans="1:49" s="17" customFormat="1" ht="35.1" customHeight="1" x14ac:dyDescent="0.25">
      <c r="A100" s="18" t="s">
        <v>93</v>
      </c>
      <c r="B100" s="19">
        <v>46048</v>
      </c>
      <c r="C100" s="19">
        <v>46048</v>
      </c>
      <c r="D100" s="18" t="s">
        <v>30</v>
      </c>
      <c r="E100" s="20">
        <v>0.79166666666666663</v>
      </c>
      <c r="F100" s="20">
        <v>0.99930555555555556</v>
      </c>
      <c r="G100" s="28">
        <v>1.7361111111111109E-4</v>
      </c>
      <c r="H100" s="29" t="s">
        <v>135</v>
      </c>
      <c r="I100" s="21">
        <v>0.97679398148148144</v>
      </c>
      <c r="J100" s="18" t="s">
        <v>136</v>
      </c>
      <c r="K100" s="18" t="s">
        <v>158</v>
      </c>
      <c r="L100" s="22">
        <v>1</v>
      </c>
      <c r="M100" s="22">
        <v>69566</v>
      </c>
      <c r="N100" s="18" t="s">
        <v>53</v>
      </c>
      <c r="O100" s="22" t="s">
        <v>137</v>
      </c>
      <c r="P100" s="23">
        <v>0</v>
      </c>
      <c r="Q100" s="22"/>
      <c r="R100" s="23">
        <v>16.531831119544499</v>
      </c>
      <c r="S100" s="24">
        <v>46054</v>
      </c>
      <c r="T100" s="23">
        <v>0</v>
      </c>
      <c r="U100" s="25">
        <v>4</v>
      </c>
      <c r="V100" s="23">
        <v>0</v>
      </c>
      <c r="W100" s="18" t="s">
        <v>47</v>
      </c>
      <c r="X100" s="18" t="s">
        <v>48</v>
      </c>
      <c r="Y100" s="18" t="s">
        <v>36</v>
      </c>
      <c r="Z100" s="18" t="s">
        <v>9</v>
      </c>
      <c r="AA100" s="18" t="s">
        <v>49</v>
      </c>
      <c r="AB100" s="18" t="s">
        <v>138</v>
      </c>
      <c r="AC100" s="18" t="s">
        <v>38</v>
      </c>
      <c r="AD100" s="7" t="str">
        <f t="shared" si="1"/>
        <v/>
      </c>
      <c r="AE100" s="26"/>
      <c r="AF100" s="26"/>
      <c r="AG100" s="26"/>
      <c r="AH100" s="26"/>
      <c r="AI100" s="27"/>
      <c r="AJ100" s="27"/>
      <c r="AK100" s="27"/>
      <c r="AL100" s="27"/>
      <c r="AM100" s="27"/>
      <c r="AN100" s="27"/>
      <c r="AO100" s="27"/>
      <c r="AP100" s="27"/>
      <c r="AQ100" s="27"/>
      <c r="AR100" s="27"/>
      <c r="AS100" s="27"/>
      <c r="AT100" s="27"/>
      <c r="AU100" s="27"/>
      <c r="AV100" s="27"/>
      <c r="AW100" s="27"/>
    </row>
    <row r="101" spans="1:49" s="17" customFormat="1" ht="35.1" customHeight="1" x14ac:dyDescent="0.25">
      <c r="A101" s="18" t="s">
        <v>93</v>
      </c>
      <c r="B101" s="19">
        <v>46048</v>
      </c>
      <c r="C101" s="19">
        <v>46048</v>
      </c>
      <c r="D101" s="18" t="s">
        <v>30</v>
      </c>
      <c r="E101" s="20">
        <v>0.79166666666666663</v>
      </c>
      <c r="F101" s="20">
        <v>0.99930555555555556</v>
      </c>
      <c r="G101" s="28">
        <v>1.7361111111111109E-4</v>
      </c>
      <c r="H101" s="29" t="s">
        <v>139</v>
      </c>
      <c r="I101" s="21">
        <v>0.9773263888888889</v>
      </c>
      <c r="J101" s="18" t="s">
        <v>136</v>
      </c>
      <c r="K101" s="18" t="s">
        <v>158</v>
      </c>
      <c r="L101" s="22">
        <v>1</v>
      </c>
      <c r="M101" s="22">
        <v>69566</v>
      </c>
      <c r="N101" s="18" t="s">
        <v>53</v>
      </c>
      <c r="O101" s="22" t="s">
        <v>137</v>
      </c>
      <c r="P101" s="23">
        <v>0</v>
      </c>
      <c r="Q101" s="22"/>
      <c r="R101" s="23">
        <v>16.531831119544499</v>
      </c>
      <c r="S101" s="24">
        <v>46054</v>
      </c>
      <c r="T101" s="23">
        <v>0</v>
      </c>
      <c r="U101" s="25">
        <v>4</v>
      </c>
      <c r="V101" s="23">
        <v>0</v>
      </c>
      <c r="W101" s="18" t="s">
        <v>47</v>
      </c>
      <c r="X101" s="18" t="s">
        <v>48</v>
      </c>
      <c r="Y101" s="18" t="s">
        <v>36</v>
      </c>
      <c r="Z101" s="18" t="s">
        <v>9</v>
      </c>
      <c r="AA101" s="18" t="s">
        <v>49</v>
      </c>
      <c r="AB101" s="18" t="s">
        <v>138</v>
      </c>
      <c r="AC101" s="18" t="s">
        <v>38</v>
      </c>
      <c r="AD101" s="7" t="str">
        <f t="shared" si="1"/>
        <v/>
      </c>
      <c r="AE101" s="26"/>
      <c r="AF101" s="26"/>
      <c r="AG101" s="26"/>
      <c r="AH101" s="26"/>
      <c r="AI101" s="27"/>
      <c r="AJ101" s="27"/>
      <c r="AK101" s="27"/>
      <c r="AL101" s="27"/>
      <c r="AM101" s="27"/>
      <c r="AN101" s="27"/>
      <c r="AO101" s="27"/>
      <c r="AP101" s="27"/>
      <c r="AQ101" s="27"/>
      <c r="AR101" s="27"/>
      <c r="AS101" s="27"/>
      <c r="AT101" s="27"/>
      <c r="AU101" s="27"/>
      <c r="AV101" s="27"/>
      <c r="AW101" s="27"/>
    </row>
    <row r="102" spans="1:49" s="17" customFormat="1" ht="35.1" customHeight="1" x14ac:dyDescent="0.25">
      <c r="A102" s="18" t="s">
        <v>93</v>
      </c>
      <c r="B102" s="19">
        <v>46048</v>
      </c>
      <c r="C102" s="19">
        <v>46048</v>
      </c>
      <c r="D102" s="18" t="s">
        <v>30</v>
      </c>
      <c r="E102" s="20">
        <v>0.79166666666666663</v>
      </c>
      <c r="F102" s="20">
        <v>0.99930555555555556</v>
      </c>
      <c r="G102" s="28">
        <v>1.7361111111111109E-4</v>
      </c>
      <c r="H102" s="29" t="s">
        <v>135</v>
      </c>
      <c r="I102" s="21">
        <v>0.97821759259259256</v>
      </c>
      <c r="J102" s="18" t="s">
        <v>136</v>
      </c>
      <c r="K102" s="18" t="s">
        <v>158</v>
      </c>
      <c r="L102" s="22">
        <v>1</v>
      </c>
      <c r="M102" s="22">
        <v>69567</v>
      </c>
      <c r="N102" s="18" t="s">
        <v>46</v>
      </c>
      <c r="O102" s="22" t="s">
        <v>137</v>
      </c>
      <c r="P102" s="23">
        <v>0</v>
      </c>
      <c r="Q102" s="22"/>
      <c r="R102" s="23">
        <v>0</v>
      </c>
      <c r="S102" s="24">
        <v>46054</v>
      </c>
      <c r="T102" s="23">
        <v>0</v>
      </c>
      <c r="U102" s="25">
        <v>4</v>
      </c>
      <c r="V102" s="23">
        <v>0</v>
      </c>
      <c r="W102" s="18" t="s">
        <v>47</v>
      </c>
      <c r="X102" s="18" t="s">
        <v>48</v>
      </c>
      <c r="Y102" s="18" t="s">
        <v>36</v>
      </c>
      <c r="Z102" s="18" t="s">
        <v>9</v>
      </c>
      <c r="AA102" s="18" t="s">
        <v>49</v>
      </c>
      <c r="AB102" s="18" t="s">
        <v>138</v>
      </c>
      <c r="AC102" s="18" t="s">
        <v>38</v>
      </c>
      <c r="AD102" s="7" t="str">
        <f t="shared" si="1"/>
        <v/>
      </c>
      <c r="AI102" s="30"/>
      <c r="AJ102" s="30"/>
      <c r="AK102" s="30"/>
      <c r="AL102" s="30"/>
      <c r="AM102" s="30"/>
      <c r="AN102" s="30"/>
      <c r="AO102" s="30"/>
      <c r="AP102" s="30"/>
      <c r="AQ102" s="30"/>
      <c r="AR102" s="30"/>
      <c r="AS102" s="30"/>
      <c r="AT102" s="30"/>
      <c r="AU102" s="30"/>
      <c r="AV102" s="30"/>
      <c r="AW102" s="30"/>
    </row>
    <row r="103" spans="1:49" s="17" customFormat="1" ht="35.1" customHeight="1" x14ac:dyDescent="0.25">
      <c r="A103" s="18" t="s">
        <v>93</v>
      </c>
      <c r="B103" s="19">
        <v>46048</v>
      </c>
      <c r="C103" s="19">
        <v>46048</v>
      </c>
      <c r="D103" s="18" t="s">
        <v>30</v>
      </c>
      <c r="E103" s="20">
        <v>0.79166666666666663</v>
      </c>
      <c r="F103" s="20">
        <v>0.99930555555555556</v>
      </c>
      <c r="G103" s="28">
        <v>1.7361111111111109E-4</v>
      </c>
      <c r="H103" s="29" t="s">
        <v>139</v>
      </c>
      <c r="I103" s="21">
        <v>0.97875000000000001</v>
      </c>
      <c r="J103" s="18" t="s">
        <v>136</v>
      </c>
      <c r="K103" s="18" t="s">
        <v>158</v>
      </c>
      <c r="L103" s="22">
        <v>1</v>
      </c>
      <c r="M103" s="22">
        <v>69567</v>
      </c>
      <c r="N103" s="18" t="s">
        <v>46</v>
      </c>
      <c r="O103" s="22" t="s">
        <v>137</v>
      </c>
      <c r="P103" s="23">
        <v>0</v>
      </c>
      <c r="Q103" s="22"/>
      <c r="R103" s="23">
        <v>0</v>
      </c>
      <c r="S103" s="24">
        <v>46054</v>
      </c>
      <c r="T103" s="23">
        <v>0</v>
      </c>
      <c r="U103" s="25">
        <v>4</v>
      </c>
      <c r="V103" s="23">
        <v>0</v>
      </c>
      <c r="W103" s="18" t="s">
        <v>47</v>
      </c>
      <c r="X103" s="18" t="s">
        <v>48</v>
      </c>
      <c r="Y103" s="18" t="s">
        <v>36</v>
      </c>
      <c r="Z103" s="18" t="s">
        <v>9</v>
      </c>
      <c r="AA103" s="18" t="s">
        <v>49</v>
      </c>
      <c r="AB103" s="18" t="s">
        <v>138</v>
      </c>
      <c r="AC103" s="18" t="s">
        <v>38</v>
      </c>
      <c r="AD103" s="7" t="str">
        <f t="shared" si="1"/>
        <v/>
      </c>
      <c r="AE103" s="26"/>
      <c r="AF103" s="26"/>
      <c r="AG103" s="26"/>
      <c r="AH103" s="26"/>
      <c r="AI103" s="27"/>
      <c r="AJ103" s="27"/>
      <c r="AK103" s="27"/>
      <c r="AL103" s="27"/>
      <c r="AM103" s="27"/>
      <c r="AN103" s="27"/>
      <c r="AO103" s="27"/>
      <c r="AP103" s="27"/>
      <c r="AQ103" s="27"/>
      <c r="AR103" s="27"/>
      <c r="AS103" s="27"/>
      <c r="AT103" s="27"/>
      <c r="AU103" s="27"/>
      <c r="AV103" s="27"/>
      <c r="AW103" s="27"/>
    </row>
    <row r="104" spans="1:49" s="34" customFormat="1" ht="35.1" customHeight="1" x14ac:dyDescent="0.25">
      <c r="A104" s="9" t="s">
        <v>39</v>
      </c>
      <c r="B104" s="10">
        <v>46048</v>
      </c>
      <c r="C104" s="10">
        <v>46048</v>
      </c>
      <c r="D104" s="11" t="s">
        <v>30</v>
      </c>
      <c r="E104" s="12">
        <v>0.97916666666666663</v>
      </c>
      <c r="F104" s="12">
        <v>1</v>
      </c>
      <c r="G104" s="12">
        <v>2.0833333333333332E-2</v>
      </c>
      <c r="H104" s="9" t="s">
        <v>149</v>
      </c>
      <c r="I104" s="13"/>
      <c r="J104" s="9" t="s">
        <v>132</v>
      </c>
      <c r="K104" s="9"/>
      <c r="L104" s="14">
        <v>1</v>
      </c>
      <c r="M104" s="14">
        <v>1</v>
      </c>
      <c r="N104" s="9" t="s">
        <v>33</v>
      </c>
      <c r="O104" s="9"/>
      <c r="P104" s="16">
        <v>0</v>
      </c>
      <c r="Q104" s="14"/>
      <c r="R104" s="16">
        <v>0</v>
      </c>
      <c r="S104" s="9">
        <v>46054</v>
      </c>
      <c r="T104" s="16">
        <v>0</v>
      </c>
      <c r="U104" s="14">
        <v>2</v>
      </c>
      <c r="V104" s="16">
        <v>0</v>
      </c>
      <c r="W104" s="9" t="s">
        <v>34</v>
      </c>
      <c r="X104" s="9" t="s">
        <v>42</v>
      </c>
      <c r="Y104" s="9" t="s">
        <v>36</v>
      </c>
      <c r="Z104" s="9" t="s">
        <v>43</v>
      </c>
      <c r="AA104" s="9" t="s">
        <v>37</v>
      </c>
      <c r="AB104" s="9" t="s">
        <v>37</v>
      </c>
      <c r="AC104" s="9" t="s">
        <v>38</v>
      </c>
      <c r="AD104" s="7" t="str">
        <f t="shared" si="1"/>
        <v/>
      </c>
      <c r="AE104" s="26"/>
      <c r="AF104" s="26"/>
      <c r="AG104" s="26"/>
      <c r="AH104" s="26"/>
      <c r="AI104" s="26"/>
      <c r="AJ104" s="26"/>
      <c r="AK104" s="26"/>
      <c r="AL104" s="26"/>
      <c r="AM104" s="26"/>
      <c r="AN104" s="26"/>
      <c r="AO104" s="26"/>
      <c r="AP104" s="26"/>
      <c r="AQ104" s="26"/>
      <c r="AR104" s="26"/>
      <c r="AS104" s="26"/>
      <c r="AT104" s="26"/>
      <c r="AU104" s="26"/>
      <c r="AV104" s="26"/>
      <c r="AW104" s="26"/>
    </row>
    <row r="105" spans="1:49" s="17" customFormat="1" ht="35.1" customHeight="1" x14ac:dyDescent="0.25">
      <c r="A105" s="18" t="s">
        <v>78</v>
      </c>
      <c r="B105" s="19">
        <v>46048</v>
      </c>
      <c r="C105" s="19">
        <v>46048</v>
      </c>
      <c r="D105" s="18" t="s">
        <v>30</v>
      </c>
      <c r="E105" s="20">
        <v>0.79166666666666663</v>
      </c>
      <c r="F105" s="20">
        <v>0.99930555555555556</v>
      </c>
      <c r="G105" s="20">
        <v>3.4722222222222218E-4</v>
      </c>
      <c r="H105" s="18" t="s">
        <v>133</v>
      </c>
      <c r="I105" s="21">
        <v>0.99903935185185189</v>
      </c>
      <c r="J105" s="18" t="s">
        <v>132</v>
      </c>
      <c r="K105" s="18" t="s">
        <v>149</v>
      </c>
      <c r="L105" s="22">
        <v>1</v>
      </c>
      <c r="M105" s="22">
        <v>64932</v>
      </c>
      <c r="N105" s="18" t="s">
        <v>53</v>
      </c>
      <c r="O105" s="22"/>
      <c r="P105" s="23">
        <v>30</v>
      </c>
      <c r="Q105" s="22"/>
      <c r="R105" s="23">
        <v>30</v>
      </c>
      <c r="S105" s="24">
        <v>46054</v>
      </c>
      <c r="T105" s="23">
        <v>0</v>
      </c>
      <c r="U105" s="25">
        <v>4</v>
      </c>
      <c r="V105" s="23">
        <v>30</v>
      </c>
      <c r="W105" s="18" t="s">
        <v>47</v>
      </c>
      <c r="X105" s="18" t="s">
        <v>48</v>
      </c>
      <c r="Y105" s="18" t="s">
        <v>36</v>
      </c>
      <c r="Z105" s="18" t="s">
        <v>9</v>
      </c>
      <c r="AA105" s="18" t="s">
        <v>49</v>
      </c>
      <c r="AB105" s="18" t="s">
        <v>134</v>
      </c>
      <c r="AC105" s="18" t="s">
        <v>38</v>
      </c>
      <c r="AD105" s="7" t="str">
        <f t="shared" si="1"/>
        <v/>
      </c>
      <c r="AE105" s="34"/>
      <c r="AF105" s="34"/>
      <c r="AG105" s="34"/>
      <c r="AH105" s="34"/>
      <c r="AI105" s="30"/>
      <c r="AJ105" s="30"/>
      <c r="AK105" s="30"/>
      <c r="AL105" s="30"/>
      <c r="AM105" s="30"/>
      <c r="AN105" s="30"/>
      <c r="AO105" s="30"/>
      <c r="AP105" s="30"/>
      <c r="AQ105" s="30"/>
      <c r="AR105" s="30"/>
      <c r="AS105" s="30"/>
      <c r="AT105" s="30"/>
      <c r="AU105" s="30"/>
      <c r="AV105" s="30"/>
      <c r="AW105" s="30"/>
    </row>
    <row r="106" spans="1:49" s="34" customFormat="1" ht="35.1" customHeight="1" x14ac:dyDescent="0.25">
      <c r="A106" s="35"/>
      <c r="B106" s="35"/>
      <c r="C106" s="35"/>
      <c r="D106" s="35"/>
      <c r="E106" s="35"/>
      <c r="F106" s="35"/>
      <c r="G106" s="35"/>
      <c r="H106" s="35"/>
      <c r="I106" s="35"/>
      <c r="J106" s="35"/>
      <c r="K106" s="35"/>
      <c r="L106" s="35"/>
      <c r="M106" s="35"/>
      <c r="N106" s="35"/>
      <c r="O106" s="35"/>
      <c r="P106" s="35"/>
      <c r="Q106" s="35"/>
      <c r="R106" s="35"/>
      <c r="S106" s="35"/>
      <c r="T106" s="35"/>
      <c r="U106" s="35"/>
      <c r="V106" s="35"/>
      <c r="W106" s="35"/>
      <c r="X106" s="35"/>
      <c r="Y106" s="35"/>
      <c r="Z106" s="35"/>
      <c r="AA106" s="35"/>
      <c r="AB106" s="35"/>
      <c r="AC106" s="35"/>
      <c r="AD106" s="7" t="str">
        <f t="shared" si="1"/>
        <v/>
      </c>
      <c r="AE106" s="26"/>
      <c r="AF106" s="26"/>
      <c r="AG106" s="26"/>
      <c r="AH106" s="26"/>
      <c r="AI106" s="26"/>
      <c r="AJ106" s="26"/>
      <c r="AK106" s="26"/>
      <c r="AL106" s="26"/>
      <c r="AM106" s="26"/>
      <c r="AN106" s="26"/>
      <c r="AO106" s="26"/>
      <c r="AP106" s="26"/>
      <c r="AQ106" s="26"/>
      <c r="AR106" s="26"/>
      <c r="AS106" s="26"/>
      <c r="AT106" s="26"/>
      <c r="AU106" s="26"/>
      <c r="AV106" s="26"/>
      <c r="AW106" s="26"/>
    </row>
    <row r="107" spans="1:49" ht="44.25" customHeight="1" x14ac:dyDescent="0.2"/>
    <row r="108" spans="1:49" ht="44.25" customHeight="1" x14ac:dyDescent="0.2"/>
    <row r="109" spans="1:49" ht="44.25" customHeight="1" x14ac:dyDescent="0.2"/>
    <row r="110" spans="1:49" ht="44.25" customHeight="1" x14ac:dyDescent="0.2"/>
    <row r="111" spans="1:49" ht="44.25" customHeight="1" x14ac:dyDescent="0.2"/>
    <row r="112" spans="1:49" ht="44.25" customHeight="1" x14ac:dyDescent="0.2"/>
    <row r="113" customFormat="1" ht="44.25" customHeight="1" x14ac:dyDescent="0.2"/>
    <row r="114" customFormat="1" ht="44.25" customHeight="1" x14ac:dyDescent="0.2"/>
    <row r="115" customFormat="1" ht="44.25" customHeight="1" x14ac:dyDescent="0.2"/>
    <row r="116" customFormat="1" ht="44.25" customHeight="1" x14ac:dyDescent="0.2"/>
    <row r="117" customFormat="1" ht="44.25" customHeight="1" x14ac:dyDescent="0.2"/>
    <row r="118" customFormat="1" ht="44.25" customHeight="1" x14ac:dyDescent="0.2"/>
    <row r="119" customFormat="1" ht="44.25" customHeight="1" x14ac:dyDescent="0.2"/>
    <row r="120" customFormat="1" ht="44.25" customHeight="1" x14ac:dyDescent="0.2"/>
    <row r="121" customFormat="1" ht="44.25" customHeight="1" x14ac:dyDescent="0.2"/>
    <row r="122" customFormat="1" ht="44.25" customHeight="1" x14ac:dyDescent="0.2"/>
    <row r="123" customFormat="1" ht="44.25" customHeight="1" x14ac:dyDescent="0.2"/>
    <row r="124" customFormat="1" ht="44.25" customHeight="1" x14ac:dyDescent="0.2"/>
    <row r="125" customFormat="1" ht="44.25" customHeight="1" x14ac:dyDescent="0.2"/>
    <row r="126" customFormat="1" ht="44.25" customHeight="1" x14ac:dyDescent="0.2"/>
    <row r="127" customFormat="1" ht="44.25" customHeight="1" x14ac:dyDescent="0.2"/>
    <row r="128" customFormat="1" ht="44.25" customHeight="1" x14ac:dyDescent="0.2"/>
    <row r="129" customFormat="1" ht="44.25" customHeight="1" x14ac:dyDescent="0.2"/>
    <row r="130" customFormat="1" ht="44.25" customHeight="1" x14ac:dyDescent="0.2"/>
    <row r="131" customFormat="1" ht="44.25" customHeight="1" x14ac:dyDescent="0.2"/>
    <row r="132" customFormat="1" ht="44.25" customHeight="1" x14ac:dyDescent="0.2"/>
    <row r="133" customFormat="1" ht="44.25" customHeight="1" x14ac:dyDescent="0.2"/>
    <row r="134" customFormat="1" ht="44.25" customHeight="1" x14ac:dyDescent="0.2"/>
    <row r="135" customFormat="1" ht="44.25" customHeight="1" x14ac:dyDescent="0.2"/>
    <row r="136" customFormat="1" ht="44.25" customHeight="1" x14ac:dyDescent="0.2"/>
    <row r="137" customFormat="1" ht="44.25" customHeight="1" x14ac:dyDescent="0.2"/>
    <row r="138" customFormat="1" ht="44.25" customHeight="1" x14ac:dyDescent="0.2"/>
    <row r="139" customFormat="1" ht="44.25" customHeight="1" x14ac:dyDescent="0.2"/>
    <row r="140" customFormat="1" ht="44.25" customHeight="1" x14ac:dyDescent="0.2"/>
    <row r="141" customFormat="1" ht="44.25" customHeight="1" x14ac:dyDescent="0.2"/>
    <row r="142" customFormat="1" ht="44.25" customHeight="1" x14ac:dyDescent="0.2"/>
    <row r="143" customFormat="1" ht="44.25" customHeight="1" x14ac:dyDescent="0.2"/>
    <row r="144" customFormat="1" ht="44.25" customHeight="1" x14ac:dyDescent="0.2"/>
    <row r="145" customFormat="1" ht="44.25" customHeight="1" x14ac:dyDescent="0.2"/>
    <row r="146" customFormat="1" ht="44.25" customHeight="1" x14ac:dyDescent="0.2"/>
    <row r="147" customFormat="1" ht="44.25" customHeight="1" x14ac:dyDescent="0.2"/>
    <row r="148" customFormat="1" ht="44.25" customHeight="1" x14ac:dyDescent="0.2"/>
    <row r="149" customFormat="1" ht="44.25" customHeight="1" x14ac:dyDescent="0.2"/>
    <row r="150" customFormat="1" ht="44.25" customHeight="1" x14ac:dyDescent="0.2"/>
    <row r="151" customFormat="1" ht="44.25" customHeight="1" x14ac:dyDescent="0.2"/>
    <row r="152" customFormat="1" ht="44.25" customHeight="1" x14ac:dyDescent="0.2"/>
    <row r="153" customFormat="1" ht="44.25" customHeight="1" x14ac:dyDescent="0.2"/>
    <row r="154" customFormat="1" ht="44.25" customHeight="1" x14ac:dyDescent="0.2"/>
    <row r="155" customFormat="1" ht="44.25" customHeight="1" x14ac:dyDescent="0.2"/>
    <row r="156" customFormat="1" ht="44.25" customHeight="1" x14ac:dyDescent="0.2"/>
    <row r="157" customFormat="1" ht="44.25" customHeight="1" x14ac:dyDescent="0.2"/>
    <row r="158" customFormat="1" ht="44.25" customHeight="1" x14ac:dyDescent="0.2"/>
    <row r="159" customFormat="1" ht="44.25" customHeight="1" x14ac:dyDescent="0.2"/>
    <row r="160" customFormat="1" ht="44.25" customHeight="1" x14ac:dyDescent="0.2"/>
    <row r="161" customFormat="1" ht="44.25" customHeight="1" x14ac:dyDescent="0.2"/>
    <row r="162" customFormat="1" ht="44.25" customHeight="1" x14ac:dyDescent="0.2"/>
    <row r="163" customFormat="1" ht="44.25" customHeight="1" x14ac:dyDescent="0.2"/>
    <row r="164" customFormat="1" ht="44.25" customHeight="1" x14ac:dyDescent="0.2"/>
    <row r="165" customFormat="1" ht="44.25" customHeight="1" x14ac:dyDescent="0.2"/>
    <row r="166" customFormat="1" ht="44.25" customHeight="1" x14ac:dyDescent="0.2"/>
    <row r="167" customFormat="1" ht="44.25" customHeight="1" x14ac:dyDescent="0.2"/>
    <row r="168" customFormat="1" ht="44.25" customHeight="1" x14ac:dyDescent="0.2"/>
    <row r="169" customFormat="1" ht="44.25" customHeight="1" x14ac:dyDescent="0.2"/>
    <row r="170" customFormat="1" ht="44.25" customHeight="1" x14ac:dyDescent="0.2"/>
    <row r="171" customFormat="1" ht="44.25" customHeight="1" x14ac:dyDescent="0.2"/>
    <row r="172" customFormat="1" ht="44.25" customHeight="1" x14ac:dyDescent="0.2"/>
    <row r="173" customFormat="1" ht="44.25" customHeight="1" x14ac:dyDescent="0.2"/>
    <row r="174" customFormat="1" ht="44.25" customHeight="1" x14ac:dyDescent="0.2"/>
    <row r="175" customFormat="1" ht="44.25" customHeight="1" x14ac:dyDescent="0.2"/>
    <row r="176" customFormat="1" ht="44.25" customHeight="1" x14ac:dyDescent="0.2"/>
    <row r="177" customFormat="1" ht="44.25" customHeight="1" x14ac:dyDescent="0.2"/>
    <row r="178" customFormat="1" ht="44.25" customHeight="1" x14ac:dyDescent="0.2"/>
    <row r="179" customFormat="1" ht="44.25" customHeight="1" x14ac:dyDescent="0.2"/>
    <row r="180" customFormat="1" ht="44.25" customHeight="1" x14ac:dyDescent="0.2"/>
    <row r="181" customFormat="1" ht="44.25" customHeight="1" x14ac:dyDescent="0.2"/>
    <row r="182" customFormat="1" ht="44.25" customHeight="1" x14ac:dyDescent="0.2"/>
    <row r="183" customFormat="1" ht="44.25" customHeight="1" x14ac:dyDescent="0.2"/>
    <row r="184" customFormat="1" ht="44.25" customHeight="1" x14ac:dyDescent="0.2"/>
    <row r="185" customFormat="1" ht="44.25" customHeight="1" x14ac:dyDescent="0.2"/>
    <row r="186" customFormat="1" ht="44.25" customHeight="1" x14ac:dyDescent="0.2"/>
    <row r="187" customFormat="1" ht="44.25" customHeight="1" x14ac:dyDescent="0.2"/>
    <row r="188" customFormat="1" ht="44.25" customHeight="1" x14ac:dyDescent="0.2"/>
    <row r="189" customFormat="1" ht="44.25" customHeight="1" x14ac:dyDescent="0.2"/>
    <row r="190" customFormat="1" ht="44.25" customHeight="1" x14ac:dyDescent="0.2"/>
    <row r="191" customFormat="1" ht="44.25" customHeight="1" x14ac:dyDescent="0.2"/>
    <row r="192" customFormat="1" ht="44.25" customHeight="1" x14ac:dyDescent="0.2"/>
    <row r="193" customFormat="1" ht="44.25" customHeight="1" x14ac:dyDescent="0.2"/>
    <row r="194" customFormat="1" ht="44.25" customHeight="1" x14ac:dyDescent="0.2"/>
    <row r="195" customFormat="1" ht="44.25" customHeight="1" x14ac:dyDescent="0.2"/>
    <row r="196" customFormat="1" ht="44.25" customHeight="1" x14ac:dyDescent="0.2"/>
    <row r="197" customFormat="1" ht="44.25" customHeight="1" x14ac:dyDescent="0.2"/>
    <row r="198" customFormat="1" ht="44.25" customHeight="1" x14ac:dyDescent="0.2"/>
    <row r="199" customFormat="1" ht="44.25" customHeight="1" x14ac:dyDescent="0.2"/>
    <row r="200" customFormat="1" ht="44.25" customHeight="1" x14ac:dyDescent="0.2"/>
    <row r="201" customFormat="1" ht="44.25" customHeight="1" x14ac:dyDescent="0.2"/>
    <row r="202" customFormat="1" ht="44.25" customHeight="1" x14ac:dyDescent="0.2"/>
    <row r="203" customFormat="1" ht="44.25" customHeight="1" x14ac:dyDescent="0.2"/>
    <row r="204" customFormat="1" ht="44.25" customHeight="1" x14ac:dyDescent="0.2"/>
    <row r="205" customFormat="1" ht="44.25" customHeight="1" x14ac:dyDescent="0.2"/>
    <row r="206" customFormat="1" ht="44.25" customHeight="1" x14ac:dyDescent="0.2"/>
    <row r="207" customFormat="1" ht="44.25" customHeight="1" x14ac:dyDescent="0.2"/>
    <row r="208" customFormat="1" ht="44.25" customHeight="1" x14ac:dyDescent="0.2"/>
    <row r="209" customFormat="1" ht="44.25" customHeight="1" x14ac:dyDescent="0.2"/>
    <row r="210" customFormat="1" ht="44.25" customHeight="1" x14ac:dyDescent="0.2"/>
    <row r="211" customFormat="1" ht="44.25" customHeight="1" x14ac:dyDescent="0.2"/>
    <row r="212" customFormat="1" ht="44.25" customHeight="1" x14ac:dyDescent="0.2"/>
    <row r="213" customFormat="1" ht="44.25" customHeight="1" x14ac:dyDescent="0.2"/>
    <row r="214" customFormat="1" ht="44.25" customHeight="1" x14ac:dyDescent="0.2"/>
    <row r="215" customFormat="1" ht="44.25" customHeight="1" x14ac:dyDescent="0.2"/>
    <row r="216" customFormat="1" ht="44.25" customHeight="1" x14ac:dyDescent="0.2"/>
    <row r="217" customFormat="1" ht="44.25" customHeight="1" x14ac:dyDescent="0.2"/>
    <row r="218" customFormat="1" ht="44.25" customHeight="1" x14ac:dyDescent="0.2"/>
    <row r="219" customFormat="1" ht="44.25" customHeight="1" x14ac:dyDescent="0.2"/>
    <row r="220" customFormat="1" ht="44.25" customHeight="1" x14ac:dyDescent="0.2"/>
    <row r="221" customFormat="1" ht="44.25" customHeight="1" x14ac:dyDescent="0.2"/>
    <row r="222" customFormat="1" ht="44.25" customHeight="1" x14ac:dyDescent="0.2"/>
    <row r="223" customFormat="1" ht="44.25" customHeight="1" x14ac:dyDescent="0.2"/>
    <row r="224" customFormat="1" ht="44.25" customHeight="1" x14ac:dyDescent="0.2"/>
    <row r="225" customFormat="1" ht="44.25" customHeight="1" x14ac:dyDescent="0.2"/>
    <row r="226" customFormat="1" ht="44.25" customHeight="1" x14ac:dyDescent="0.2"/>
    <row r="227" customFormat="1" ht="44.25" customHeight="1" x14ac:dyDescent="0.2"/>
    <row r="228" customFormat="1" ht="44.25" customHeight="1" x14ac:dyDescent="0.2"/>
    <row r="229" customFormat="1" ht="44.25" customHeight="1" x14ac:dyDescent="0.2"/>
    <row r="230" customFormat="1" ht="44.25" customHeight="1" x14ac:dyDescent="0.2"/>
    <row r="231" customFormat="1" ht="44.25" customHeight="1" x14ac:dyDescent="0.2"/>
    <row r="232" customFormat="1" ht="44.25" customHeight="1" x14ac:dyDescent="0.2"/>
    <row r="233" customFormat="1" ht="44.25" customHeight="1" x14ac:dyDescent="0.2"/>
    <row r="234" customFormat="1" ht="44.25" customHeight="1" x14ac:dyDescent="0.2"/>
    <row r="235" customFormat="1" ht="44.25" customHeight="1" x14ac:dyDescent="0.2"/>
    <row r="236" customFormat="1" ht="44.25" customHeight="1" x14ac:dyDescent="0.2"/>
    <row r="237" customFormat="1" ht="44.25" customHeight="1" x14ac:dyDescent="0.2"/>
    <row r="238" customFormat="1" ht="44.25" customHeight="1" x14ac:dyDescent="0.2"/>
    <row r="239" customFormat="1" ht="44.25" customHeight="1" x14ac:dyDescent="0.2"/>
    <row r="240" customFormat="1" ht="44.25" customHeight="1" x14ac:dyDescent="0.2"/>
    <row r="241" customFormat="1" ht="44.25" customHeight="1" x14ac:dyDescent="0.2"/>
    <row r="242" customFormat="1" ht="44.25" customHeight="1" x14ac:dyDescent="0.2"/>
    <row r="243" customFormat="1" ht="44.25" customHeight="1" x14ac:dyDescent="0.2"/>
    <row r="244" customFormat="1" ht="44.25" customHeight="1" x14ac:dyDescent="0.2"/>
    <row r="245" customFormat="1" ht="44.25" customHeight="1" x14ac:dyDescent="0.2"/>
    <row r="246" customFormat="1" ht="44.25" customHeight="1" x14ac:dyDescent="0.2"/>
    <row r="247" customFormat="1" ht="44.25" customHeight="1" x14ac:dyDescent="0.2"/>
    <row r="248" customFormat="1" ht="44.25" customHeight="1" x14ac:dyDescent="0.2"/>
    <row r="249" customFormat="1" ht="44.25" customHeight="1" x14ac:dyDescent="0.2"/>
    <row r="250" customFormat="1" ht="44.25" customHeight="1" x14ac:dyDescent="0.2"/>
    <row r="251" customFormat="1" ht="44.25" customHeight="1" x14ac:dyDescent="0.2"/>
    <row r="252" customFormat="1" ht="44.25" customHeight="1" x14ac:dyDescent="0.2"/>
    <row r="253" customFormat="1" ht="44.25" customHeight="1" x14ac:dyDescent="0.2"/>
    <row r="254" customFormat="1" ht="44.25" customHeight="1" x14ac:dyDescent="0.2"/>
    <row r="255" customFormat="1" ht="44.25" customHeight="1" x14ac:dyDescent="0.2"/>
    <row r="256" customFormat="1" ht="44.25" customHeight="1" x14ac:dyDescent="0.2"/>
    <row r="257" customFormat="1" ht="44.25" customHeight="1" x14ac:dyDescent="0.2"/>
    <row r="258" customFormat="1" ht="44.25" customHeight="1" x14ac:dyDescent="0.2"/>
    <row r="259" customFormat="1" ht="44.25" customHeight="1" x14ac:dyDescent="0.2"/>
    <row r="260" customFormat="1" ht="44.25" customHeight="1" x14ac:dyDescent="0.2"/>
    <row r="261" customFormat="1" ht="44.25" customHeight="1" x14ac:dyDescent="0.2"/>
    <row r="262" customFormat="1" ht="44.25" customHeight="1" x14ac:dyDescent="0.2"/>
    <row r="263" customFormat="1" ht="44.25" customHeight="1" x14ac:dyDescent="0.2"/>
    <row r="264" customFormat="1" ht="44.25" customHeight="1" x14ac:dyDescent="0.2"/>
    <row r="265" customFormat="1" ht="44.25" customHeight="1" x14ac:dyDescent="0.2"/>
    <row r="266" customFormat="1" ht="44.25" customHeight="1" x14ac:dyDescent="0.2"/>
    <row r="267" customFormat="1" ht="44.25" customHeight="1" x14ac:dyDescent="0.2"/>
    <row r="268" customFormat="1" ht="44.25" customHeight="1" x14ac:dyDescent="0.2"/>
    <row r="269" customFormat="1" ht="44.25" customHeight="1" x14ac:dyDescent="0.2"/>
    <row r="270" customFormat="1" ht="44.25" customHeight="1" x14ac:dyDescent="0.2"/>
    <row r="271" customFormat="1" ht="44.25" customHeight="1" x14ac:dyDescent="0.2"/>
    <row r="272" customFormat="1" ht="44.25" customHeight="1" x14ac:dyDescent="0.2"/>
    <row r="273" customFormat="1" ht="44.25" customHeight="1" x14ac:dyDescent="0.2"/>
    <row r="274" customFormat="1" ht="44.25" customHeight="1" x14ac:dyDescent="0.2"/>
    <row r="275" customFormat="1" ht="44.25" customHeight="1" x14ac:dyDescent="0.2"/>
    <row r="276" customFormat="1" ht="44.25" customHeight="1" x14ac:dyDescent="0.2"/>
    <row r="277" customFormat="1" ht="44.25" customHeight="1" x14ac:dyDescent="0.2"/>
    <row r="278" customFormat="1" ht="44.25" customHeight="1" x14ac:dyDescent="0.2"/>
    <row r="279" customFormat="1" ht="44.25" customHeight="1" x14ac:dyDescent="0.2"/>
    <row r="280" customFormat="1" ht="44.25" customHeight="1" x14ac:dyDescent="0.2"/>
    <row r="281" customFormat="1" ht="44.25" customHeight="1" x14ac:dyDescent="0.2"/>
    <row r="282" customFormat="1" ht="44.25" customHeight="1" x14ac:dyDescent="0.2"/>
    <row r="283" customFormat="1" ht="44.25" customHeight="1" x14ac:dyDescent="0.2"/>
    <row r="284" customFormat="1" ht="44.25" customHeight="1" x14ac:dyDescent="0.2"/>
    <row r="285" customFormat="1" ht="44.25" customHeight="1" x14ac:dyDescent="0.2"/>
    <row r="286" customFormat="1" ht="44.25" customHeight="1" x14ac:dyDescent="0.2"/>
    <row r="287" customFormat="1" ht="44.25" customHeight="1" x14ac:dyDescent="0.2"/>
    <row r="288" customFormat="1" ht="44.25" customHeight="1" x14ac:dyDescent="0.2"/>
    <row r="289" customFormat="1" ht="44.25" customHeight="1" x14ac:dyDescent="0.2"/>
    <row r="290" customFormat="1" ht="44.25" customHeight="1" x14ac:dyDescent="0.2"/>
    <row r="291" customFormat="1" ht="44.25" customHeight="1" x14ac:dyDescent="0.2"/>
    <row r="292" customFormat="1" ht="44.25" customHeight="1" x14ac:dyDescent="0.2"/>
    <row r="293" customFormat="1" ht="44.25" customHeight="1" x14ac:dyDescent="0.2"/>
    <row r="294" customFormat="1" ht="44.25" customHeight="1" x14ac:dyDescent="0.2"/>
    <row r="295" customFormat="1" ht="44.25" customHeight="1" x14ac:dyDescent="0.2"/>
    <row r="296" customFormat="1" ht="44.25" customHeight="1" x14ac:dyDescent="0.2"/>
    <row r="297" customFormat="1" ht="44.25" customHeight="1" x14ac:dyDescent="0.2"/>
    <row r="298" customFormat="1" ht="44.25" customHeight="1" x14ac:dyDescent="0.2"/>
    <row r="299" customFormat="1" ht="44.25" customHeight="1" x14ac:dyDescent="0.2"/>
    <row r="300" customFormat="1" ht="44.25" customHeight="1" x14ac:dyDescent="0.2"/>
    <row r="301" customFormat="1" ht="44.25" customHeight="1" x14ac:dyDescent="0.2"/>
    <row r="302" customFormat="1" ht="44.25" customHeight="1" x14ac:dyDescent="0.2"/>
    <row r="303" customFormat="1" ht="44.25" customHeight="1" x14ac:dyDescent="0.2"/>
    <row r="304" customFormat="1" ht="44.25" customHeight="1" x14ac:dyDescent="0.2"/>
    <row r="305" customFormat="1" ht="44.25" customHeight="1" x14ac:dyDescent="0.2"/>
    <row r="306" customFormat="1" ht="44.25" customHeight="1" x14ac:dyDescent="0.2"/>
    <row r="307" customFormat="1" ht="44.25" customHeight="1" x14ac:dyDescent="0.2"/>
    <row r="308" customFormat="1" ht="44.25" customHeight="1" x14ac:dyDescent="0.2"/>
    <row r="309" customFormat="1" ht="44.25" customHeight="1" x14ac:dyDescent="0.2"/>
    <row r="310" customFormat="1" ht="44.25" customHeight="1" x14ac:dyDescent="0.2"/>
    <row r="311" customFormat="1" ht="44.25" customHeight="1" x14ac:dyDescent="0.2"/>
    <row r="312" customFormat="1" ht="44.25" customHeight="1" x14ac:dyDescent="0.2"/>
    <row r="313" customFormat="1" ht="44.25" customHeight="1" x14ac:dyDescent="0.2"/>
    <row r="314" customFormat="1" ht="44.25" customHeight="1" x14ac:dyDescent="0.2"/>
    <row r="315" customFormat="1" ht="44.25" customHeight="1" x14ac:dyDescent="0.2"/>
    <row r="316" customFormat="1" ht="44.25" customHeight="1" x14ac:dyDescent="0.2"/>
    <row r="317" customFormat="1" ht="44.25" customHeight="1" x14ac:dyDescent="0.2"/>
    <row r="318" customFormat="1" ht="44.25" customHeight="1" x14ac:dyDescent="0.2"/>
    <row r="319" customFormat="1" ht="44.25" customHeight="1" x14ac:dyDescent="0.2"/>
    <row r="320" customFormat="1" ht="44.25" customHeight="1" x14ac:dyDescent="0.2"/>
    <row r="321" customFormat="1" ht="44.25" customHeight="1" x14ac:dyDescent="0.2"/>
    <row r="322" customFormat="1" ht="44.25" customHeight="1" x14ac:dyDescent="0.2"/>
    <row r="323" customFormat="1" ht="44.25" customHeight="1" x14ac:dyDescent="0.2"/>
    <row r="324" customFormat="1" ht="44.25" customHeight="1" x14ac:dyDescent="0.2"/>
    <row r="325" customFormat="1" x14ac:dyDescent="0.2"/>
    <row r="326" customFormat="1" x14ac:dyDescent="0.2"/>
    <row r="327" customFormat="1" x14ac:dyDescent="0.2"/>
    <row r="328" customFormat="1" x14ac:dyDescent="0.2"/>
    <row r="329" customFormat="1" x14ac:dyDescent="0.2"/>
    <row r="330" customFormat="1" x14ac:dyDescent="0.2"/>
    <row r="331" customFormat="1" x14ac:dyDescent="0.2"/>
    <row r="332" customFormat="1" x14ac:dyDescent="0.2"/>
    <row r="333" customFormat="1" x14ac:dyDescent="0.2"/>
    <row r="334" customFormat="1" x14ac:dyDescent="0.2"/>
    <row r="335" customFormat="1" x14ac:dyDescent="0.2"/>
    <row r="336" customFormat="1" x14ac:dyDescent="0.2"/>
    <row r="337" customFormat="1" x14ac:dyDescent="0.2"/>
    <row r="338" customFormat="1" x14ac:dyDescent="0.2"/>
    <row r="339" customFormat="1" x14ac:dyDescent="0.2"/>
    <row r="340" customFormat="1" x14ac:dyDescent="0.2"/>
    <row r="341" customFormat="1" x14ac:dyDescent="0.2"/>
    <row r="342" customFormat="1" x14ac:dyDescent="0.2"/>
    <row r="343" customFormat="1" x14ac:dyDescent="0.2"/>
    <row r="344" customFormat="1" x14ac:dyDescent="0.2"/>
    <row r="345" customFormat="1" x14ac:dyDescent="0.2"/>
    <row r="346" customFormat="1" x14ac:dyDescent="0.2"/>
    <row r="347" customFormat="1" x14ac:dyDescent="0.2"/>
    <row r="348" customFormat="1" x14ac:dyDescent="0.2"/>
    <row r="349" customFormat="1" x14ac:dyDescent="0.2"/>
    <row r="350" customFormat="1" x14ac:dyDescent="0.2"/>
    <row r="351" customFormat="1" x14ac:dyDescent="0.2"/>
    <row r="352" customFormat="1" x14ac:dyDescent="0.2"/>
    <row r="353" customFormat="1" x14ac:dyDescent="0.2"/>
    <row r="354" customFormat="1" x14ac:dyDescent="0.2"/>
    <row r="355" customFormat="1" x14ac:dyDescent="0.2"/>
    <row r="356" customFormat="1" x14ac:dyDescent="0.2"/>
    <row r="357" customFormat="1" x14ac:dyDescent="0.2"/>
    <row r="358" customFormat="1" x14ac:dyDescent="0.2"/>
    <row r="359" customFormat="1" x14ac:dyDescent="0.2"/>
    <row r="360" customFormat="1" x14ac:dyDescent="0.2"/>
    <row r="361" customFormat="1" x14ac:dyDescent="0.2"/>
    <row r="362" customFormat="1" x14ac:dyDescent="0.2"/>
    <row r="363" customFormat="1" x14ac:dyDescent="0.2"/>
    <row r="364" customFormat="1" x14ac:dyDescent="0.2"/>
    <row r="365" customFormat="1" x14ac:dyDescent="0.2"/>
    <row r="366" customFormat="1" x14ac:dyDescent="0.2"/>
    <row r="367" customFormat="1" x14ac:dyDescent="0.2"/>
    <row r="368" customFormat="1" x14ac:dyDescent="0.2"/>
    <row r="369" customFormat="1" x14ac:dyDescent="0.2"/>
    <row r="370" customFormat="1" x14ac:dyDescent="0.2"/>
    <row r="371" customFormat="1" x14ac:dyDescent="0.2"/>
    <row r="372" customFormat="1" x14ac:dyDescent="0.2"/>
    <row r="373" customFormat="1" x14ac:dyDescent="0.2"/>
    <row r="374" customFormat="1" x14ac:dyDescent="0.2"/>
    <row r="375" customFormat="1" x14ac:dyDescent="0.2"/>
    <row r="376" customFormat="1" x14ac:dyDescent="0.2"/>
    <row r="377" customFormat="1" x14ac:dyDescent="0.2"/>
    <row r="378" customFormat="1" x14ac:dyDescent="0.2"/>
    <row r="379" customFormat="1" x14ac:dyDescent="0.2"/>
    <row r="380" customFormat="1" x14ac:dyDescent="0.2"/>
    <row r="381" customFormat="1" x14ac:dyDescent="0.2"/>
    <row r="382" customFormat="1" x14ac:dyDescent="0.2"/>
    <row r="383" customFormat="1" x14ac:dyDescent="0.2"/>
    <row r="384" customFormat="1" x14ac:dyDescent="0.2"/>
    <row r="385" customFormat="1" x14ac:dyDescent="0.2"/>
    <row r="386" customFormat="1" x14ac:dyDescent="0.2"/>
    <row r="387" customFormat="1" x14ac:dyDescent="0.2"/>
    <row r="388" customFormat="1" x14ac:dyDescent="0.2"/>
    <row r="389" customFormat="1" x14ac:dyDescent="0.2"/>
    <row r="390" customFormat="1" x14ac:dyDescent="0.2"/>
    <row r="391" customFormat="1" x14ac:dyDescent="0.2"/>
    <row r="392" customFormat="1" x14ac:dyDescent="0.2"/>
    <row r="393" customFormat="1" x14ac:dyDescent="0.2"/>
    <row r="394" customFormat="1" x14ac:dyDescent="0.2"/>
    <row r="395" customFormat="1" x14ac:dyDescent="0.2"/>
    <row r="396" customFormat="1" x14ac:dyDescent="0.2"/>
    <row r="397" customFormat="1" x14ac:dyDescent="0.2"/>
    <row r="398" customFormat="1" x14ac:dyDescent="0.2"/>
    <row r="399" customFormat="1" x14ac:dyDescent="0.2"/>
    <row r="400" customFormat="1" x14ac:dyDescent="0.2"/>
    <row r="401" customFormat="1" x14ac:dyDescent="0.2"/>
    <row r="402" customFormat="1" x14ac:dyDescent="0.2"/>
    <row r="403" customFormat="1" x14ac:dyDescent="0.2"/>
    <row r="404" customFormat="1" x14ac:dyDescent="0.2"/>
    <row r="405" customFormat="1" x14ac:dyDescent="0.2"/>
    <row r="406" customFormat="1" x14ac:dyDescent="0.2"/>
    <row r="407" customFormat="1" x14ac:dyDescent="0.2"/>
    <row r="408" customFormat="1" x14ac:dyDescent="0.2"/>
    <row r="409" customFormat="1" x14ac:dyDescent="0.2"/>
    <row r="410" customFormat="1" x14ac:dyDescent="0.2"/>
    <row r="411" customFormat="1" x14ac:dyDescent="0.2"/>
    <row r="412" customFormat="1" x14ac:dyDescent="0.2"/>
    <row r="413" customFormat="1" x14ac:dyDescent="0.2"/>
    <row r="414" customFormat="1" x14ac:dyDescent="0.2"/>
    <row r="415" customFormat="1" x14ac:dyDescent="0.2"/>
    <row r="416" customFormat="1" x14ac:dyDescent="0.2"/>
    <row r="417" customFormat="1" x14ac:dyDescent="0.2"/>
    <row r="418" customFormat="1" x14ac:dyDescent="0.2"/>
    <row r="419" customFormat="1" x14ac:dyDescent="0.2"/>
    <row r="420" customFormat="1" x14ac:dyDescent="0.2"/>
    <row r="421" customFormat="1" x14ac:dyDescent="0.2"/>
    <row r="422" customFormat="1" x14ac:dyDescent="0.2"/>
    <row r="423" customFormat="1" x14ac:dyDescent="0.2"/>
    <row r="424" customFormat="1" x14ac:dyDescent="0.2"/>
    <row r="425" customFormat="1" x14ac:dyDescent="0.2"/>
    <row r="426" customFormat="1" x14ac:dyDescent="0.2"/>
    <row r="427" customFormat="1" x14ac:dyDescent="0.2"/>
    <row r="428" customFormat="1" x14ac:dyDescent="0.2"/>
    <row r="429" customFormat="1" x14ac:dyDescent="0.2"/>
    <row r="430" customFormat="1" x14ac:dyDescent="0.2"/>
    <row r="431" customFormat="1" x14ac:dyDescent="0.2"/>
    <row r="432" customFormat="1" x14ac:dyDescent="0.2"/>
    <row r="433" customFormat="1" x14ac:dyDescent="0.2"/>
    <row r="434" customFormat="1" x14ac:dyDescent="0.2"/>
    <row r="435" customFormat="1" x14ac:dyDescent="0.2"/>
    <row r="436" customFormat="1" x14ac:dyDescent="0.2"/>
    <row r="437" customFormat="1" x14ac:dyDescent="0.2"/>
    <row r="438" customFormat="1" x14ac:dyDescent="0.2"/>
    <row r="439" customFormat="1" x14ac:dyDescent="0.2"/>
    <row r="440" customFormat="1" x14ac:dyDescent="0.2"/>
    <row r="441" customFormat="1" x14ac:dyDescent="0.2"/>
    <row r="442" customFormat="1" x14ac:dyDescent="0.2"/>
    <row r="443" customFormat="1" x14ac:dyDescent="0.2"/>
    <row r="444" customFormat="1" x14ac:dyDescent="0.2"/>
    <row r="445" customFormat="1" x14ac:dyDescent="0.2"/>
    <row r="446" customFormat="1" x14ac:dyDescent="0.2"/>
    <row r="447" customFormat="1" x14ac:dyDescent="0.2"/>
    <row r="448" customFormat="1" x14ac:dyDescent="0.2"/>
    <row r="449" customFormat="1" x14ac:dyDescent="0.2"/>
    <row r="450" customFormat="1" x14ac:dyDescent="0.2"/>
    <row r="451" customFormat="1" x14ac:dyDescent="0.2"/>
    <row r="452" customFormat="1" x14ac:dyDescent="0.2"/>
    <row r="453" customFormat="1" x14ac:dyDescent="0.2"/>
    <row r="454" customFormat="1" x14ac:dyDescent="0.2"/>
    <row r="455" customFormat="1" x14ac:dyDescent="0.2"/>
    <row r="456" customFormat="1" x14ac:dyDescent="0.2"/>
    <row r="457" customFormat="1" x14ac:dyDescent="0.2"/>
    <row r="458" customFormat="1" x14ac:dyDescent="0.2"/>
    <row r="459" customFormat="1" x14ac:dyDescent="0.2"/>
    <row r="460" customFormat="1" x14ac:dyDescent="0.2"/>
    <row r="461" customFormat="1" x14ac:dyDescent="0.2"/>
    <row r="462" customFormat="1" x14ac:dyDescent="0.2"/>
    <row r="463" customFormat="1" x14ac:dyDescent="0.2"/>
    <row r="464" customFormat="1" x14ac:dyDescent="0.2"/>
    <row r="465" customFormat="1" x14ac:dyDescent="0.2"/>
    <row r="466" customFormat="1" x14ac:dyDescent="0.2"/>
    <row r="467" customFormat="1" x14ac:dyDescent="0.2"/>
    <row r="468" customFormat="1" x14ac:dyDescent="0.2"/>
    <row r="469" customFormat="1" x14ac:dyDescent="0.2"/>
    <row r="470" customFormat="1" x14ac:dyDescent="0.2"/>
    <row r="471" customFormat="1" x14ac:dyDescent="0.2"/>
    <row r="472" customFormat="1" x14ac:dyDescent="0.2"/>
    <row r="473" customFormat="1" x14ac:dyDescent="0.2"/>
    <row r="474" customFormat="1" x14ac:dyDescent="0.2"/>
    <row r="475" customFormat="1" x14ac:dyDescent="0.2"/>
    <row r="476" customFormat="1" x14ac:dyDescent="0.2"/>
    <row r="477" customFormat="1" x14ac:dyDescent="0.2"/>
    <row r="478" customFormat="1" x14ac:dyDescent="0.2"/>
    <row r="479" customFormat="1" x14ac:dyDescent="0.2"/>
    <row r="480" customFormat="1" x14ac:dyDescent="0.2"/>
    <row r="481" customFormat="1" x14ac:dyDescent="0.2"/>
    <row r="482" customFormat="1" x14ac:dyDescent="0.2"/>
    <row r="483" customFormat="1" x14ac:dyDescent="0.2"/>
    <row r="484" customFormat="1" x14ac:dyDescent="0.2"/>
    <row r="485" customFormat="1" x14ac:dyDescent="0.2"/>
    <row r="486" customFormat="1" x14ac:dyDescent="0.2"/>
    <row r="487" customFormat="1" x14ac:dyDescent="0.2"/>
    <row r="488" customFormat="1" x14ac:dyDescent="0.2"/>
    <row r="489" customFormat="1" x14ac:dyDescent="0.2"/>
    <row r="490" customFormat="1" x14ac:dyDescent="0.2"/>
    <row r="491" customFormat="1" x14ac:dyDescent="0.2"/>
    <row r="492" customFormat="1" x14ac:dyDescent="0.2"/>
    <row r="493" customFormat="1" x14ac:dyDescent="0.2"/>
    <row r="494" customFormat="1" x14ac:dyDescent="0.2"/>
    <row r="495" customFormat="1" x14ac:dyDescent="0.2"/>
    <row r="496" customFormat="1" x14ac:dyDescent="0.2"/>
    <row r="497" customFormat="1" x14ac:dyDescent="0.2"/>
    <row r="498" customFormat="1" x14ac:dyDescent="0.2"/>
    <row r="499" customFormat="1" x14ac:dyDescent="0.2"/>
    <row r="500" customFormat="1" x14ac:dyDescent="0.2"/>
    <row r="501" customFormat="1" x14ac:dyDescent="0.2"/>
    <row r="502" customFormat="1" x14ac:dyDescent="0.2"/>
    <row r="503" customFormat="1" x14ac:dyDescent="0.2"/>
    <row r="504" customFormat="1" x14ac:dyDescent="0.2"/>
    <row r="505" customFormat="1" x14ac:dyDescent="0.2"/>
    <row r="506" customFormat="1" x14ac:dyDescent="0.2"/>
    <row r="507" customFormat="1" x14ac:dyDescent="0.2"/>
    <row r="508" customFormat="1" x14ac:dyDescent="0.2"/>
    <row r="509" customFormat="1" x14ac:dyDescent="0.2"/>
    <row r="510" customFormat="1" x14ac:dyDescent="0.2"/>
    <row r="511" customFormat="1" x14ac:dyDescent="0.2"/>
    <row r="512" customFormat="1" x14ac:dyDescent="0.2"/>
    <row r="513" customFormat="1" x14ac:dyDescent="0.2"/>
    <row r="514" customFormat="1" x14ac:dyDescent="0.2"/>
    <row r="515" customFormat="1" x14ac:dyDescent="0.2"/>
    <row r="516" customFormat="1" x14ac:dyDescent="0.2"/>
    <row r="517" customFormat="1" x14ac:dyDescent="0.2"/>
    <row r="518" customFormat="1" x14ac:dyDescent="0.2"/>
    <row r="519" customFormat="1" x14ac:dyDescent="0.2"/>
    <row r="520" customFormat="1" x14ac:dyDescent="0.2"/>
    <row r="521" customFormat="1" x14ac:dyDescent="0.2"/>
    <row r="522" customFormat="1" x14ac:dyDescent="0.2"/>
    <row r="523" customFormat="1" x14ac:dyDescent="0.2"/>
    <row r="524" customFormat="1" x14ac:dyDescent="0.2"/>
    <row r="525" customFormat="1" x14ac:dyDescent="0.2"/>
    <row r="526" customFormat="1" x14ac:dyDescent="0.2"/>
    <row r="527" customFormat="1" x14ac:dyDescent="0.2"/>
    <row r="528" customFormat="1" x14ac:dyDescent="0.2"/>
    <row r="529" customFormat="1" x14ac:dyDescent="0.2"/>
    <row r="530" customFormat="1" x14ac:dyDescent="0.2"/>
    <row r="531" customFormat="1" x14ac:dyDescent="0.2"/>
    <row r="532" customFormat="1" x14ac:dyDescent="0.2"/>
    <row r="533" customFormat="1" x14ac:dyDescent="0.2"/>
    <row r="534" customFormat="1" x14ac:dyDescent="0.2"/>
    <row r="535" customFormat="1" x14ac:dyDescent="0.2"/>
    <row r="536" customFormat="1" x14ac:dyDescent="0.2"/>
    <row r="537" customFormat="1" x14ac:dyDescent="0.2"/>
    <row r="538" customFormat="1" x14ac:dyDescent="0.2"/>
    <row r="539" customFormat="1" x14ac:dyDescent="0.2"/>
    <row r="540" customFormat="1" x14ac:dyDescent="0.2"/>
    <row r="541" customFormat="1" x14ac:dyDescent="0.2"/>
    <row r="542" customFormat="1" x14ac:dyDescent="0.2"/>
    <row r="543" customFormat="1" x14ac:dyDescent="0.2"/>
    <row r="544" customFormat="1" x14ac:dyDescent="0.2"/>
    <row r="545" customFormat="1" x14ac:dyDescent="0.2"/>
    <row r="546" customFormat="1" x14ac:dyDescent="0.2"/>
    <row r="547" customFormat="1" x14ac:dyDescent="0.2"/>
    <row r="548" customFormat="1" x14ac:dyDescent="0.2"/>
    <row r="549" customFormat="1" x14ac:dyDescent="0.2"/>
    <row r="550" customFormat="1" x14ac:dyDescent="0.2"/>
    <row r="551" customFormat="1" x14ac:dyDescent="0.2"/>
    <row r="552" customFormat="1" x14ac:dyDescent="0.2"/>
    <row r="553" customFormat="1" x14ac:dyDescent="0.2"/>
    <row r="554" customFormat="1" x14ac:dyDescent="0.2"/>
    <row r="555" customFormat="1" x14ac:dyDescent="0.2"/>
    <row r="556" customFormat="1" x14ac:dyDescent="0.2"/>
    <row r="557" customFormat="1" x14ac:dyDescent="0.2"/>
    <row r="558" customFormat="1" x14ac:dyDescent="0.2"/>
    <row r="559" customFormat="1" x14ac:dyDescent="0.2"/>
    <row r="560" customFormat="1" x14ac:dyDescent="0.2"/>
    <row r="561" customFormat="1" x14ac:dyDescent="0.2"/>
    <row r="562" customFormat="1" x14ac:dyDescent="0.2"/>
    <row r="563" customFormat="1" x14ac:dyDescent="0.2"/>
    <row r="564" customFormat="1" x14ac:dyDescent="0.2"/>
    <row r="565" customFormat="1" x14ac:dyDescent="0.2"/>
    <row r="566" customFormat="1" x14ac:dyDescent="0.2"/>
    <row r="567" customFormat="1" x14ac:dyDescent="0.2"/>
    <row r="568" customFormat="1" x14ac:dyDescent="0.2"/>
    <row r="569" customFormat="1" x14ac:dyDescent="0.2"/>
    <row r="570" customFormat="1" x14ac:dyDescent="0.2"/>
    <row r="571" customFormat="1" x14ac:dyDescent="0.2"/>
    <row r="572" customFormat="1" x14ac:dyDescent="0.2"/>
    <row r="573" customFormat="1" x14ac:dyDescent="0.2"/>
    <row r="574" customFormat="1" x14ac:dyDescent="0.2"/>
    <row r="575" customFormat="1" x14ac:dyDescent="0.2"/>
    <row r="576" customFormat="1" x14ac:dyDescent="0.2"/>
    <row r="577" customFormat="1" x14ac:dyDescent="0.2"/>
    <row r="578" customFormat="1" x14ac:dyDescent="0.2"/>
    <row r="579" customFormat="1" x14ac:dyDescent="0.2"/>
    <row r="580" customFormat="1" x14ac:dyDescent="0.2"/>
    <row r="581" customFormat="1" x14ac:dyDescent="0.2"/>
    <row r="582" customFormat="1" x14ac:dyDescent="0.2"/>
    <row r="583" customFormat="1" x14ac:dyDescent="0.2"/>
    <row r="584" customFormat="1" x14ac:dyDescent="0.2"/>
    <row r="585" customFormat="1" x14ac:dyDescent="0.2"/>
    <row r="586" customFormat="1" x14ac:dyDescent="0.2"/>
    <row r="587" customFormat="1" x14ac:dyDescent="0.2"/>
    <row r="588" customFormat="1" x14ac:dyDescent="0.2"/>
    <row r="589" customFormat="1" x14ac:dyDescent="0.2"/>
    <row r="590" customFormat="1" x14ac:dyDescent="0.2"/>
    <row r="591" customFormat="1" x14ac:dyDescent="0.2"/>
    <row r="592" customFormat="1" x14ac:dyDescent="0.2"/>
    <row r="593" customFormat="1" x14ac:dyDescent="0.2"/>
    <row r="594" customFormat="1" x14ac:dyDescent="0.2"/>
    <row r="595" customFormat="1" x14ac:dyDescent="0.2"/>
    <row r="596" customFormat="1" x14ac:dyDescent="0.2"/>
    <row r="597" customFormat="1" x14ac:dyDescent="0.2"/>
    <row r="598" customFormat="1" x14ac:dyDescent="0.2"/>
    <row r="599" customFormat="1" x14ac:dyDescent="0.2"/>
    <row r="600" customFormat="1" x14ac:dyDescent="0.2"/>
    <row r="601" customFormat="1" x14ac:dyDescent="0.2"/>
    <row r="602" customFormat="1" x14ac:dyDescent="0.2"/>
    <row r="603" customFormat="1" x14ac:dyDescent="0.2"/>
    <row r="604" customFormat="1" x14ac:dyDescent="0.2"/>
    <row r="605" customFormat="1" x14ac:dyDescent="0.2"/>
    <row r="606" customFormat="1" x14ac:dyDescent="0.2"/>
    <row r="607" customFormat="1" x14ac:dyDescent="0.2"/>
    <row r="608" customFormat="1" x14ac:dyDescent="0.2"/>
    <row r="609" customFormat="1" x14ac:dyDescent="0.2"/>
    <row r="610" customFormat="1" x14ac:dyDescent="0.2"/>
    <row r="611" customFormat="1" x14ac:dyDescent="0.2"/>
    <row r="612" customFormat="1" x14ac:dyDescent="0.2"/>
    <row r="613" customFormat="1" x14ac:dyDescent="0.2"/>
    <row r="614" customFormat="1" x14ac:dyDescent="0.2"/>
    <row r="615" customFormat="1" x14ac:dyDescent="0.2"/>
    <row r="616" customFormat="1" x14ac:dyDescent="0.2"/>
    <row r="617" customFormat="1" x14ac:dyDescent="0.2"/>
    <row r="618" customFormat="1" x14ac:dyDescent="0.2"/>
    <row r="619" customFormat="1" x14ac:dyDescent="0.2"/>
    <row r="620" customFormat="1" x14ac:dyDescent="0.2"/>
    <row r="621" customFormat="1" x14ac:dyDescent="0.2"/>
    <row r="622" customFormat="1" x14ac:dyDescent="0.2"/>
    <row r="623" customFormat="1" x14ac:dyDescent="0.2"/>
    <row r="624" customFormat="1" x14ac:dyDescent="0.2"/>
    <row r="625" customFormat="1" x14ac:dyDescent="0.2"/>
    <row r="626" customFormat="1" x14ac:dyDescent="0.2"/>
    <row r="627" customFormat="1" x14ac:dyDescent="0.2"/>
    <row r="628" customFormat="1" x14ac:dyDescent="0.2"/>
    <row r="629" customFormat="1" x14ac:dyDescent="0.2"/>
    <row r="630" customFormat="1" x14ac:dyDescent="0.2"/>
    <row r="631" customFormat="1" x14ac:dyDescent="0.2"/>
    <row r="632" customFormat="1" x14ac:dyDescent="0.2"/>
    <row r="633" customFormat="1" x14ac:dyDescent="0.2"/>
    <row r="634" customFormat="1" x14ac:dyDescent="0.2"/>
    <row r="635" customFormat="1" x14ac:dyDescent="0.2"/>
    <row r="636" customFormat="1" x14ac:dyDescent="0.2"/>
    <row r="637" customFormat="1" x14ac:dyDescent="0.2"/>
    <row r="638" customFormat="1" x14ac:dyDescent="0.2"/>
    <row r="639" customFormat="1" x14ac:dyDescent="0.2"/>
    <row r="640" customFormat="1" x14ac:dyDescent="0.2"/>
    <row r="641" customFormat="1" x14ac:dyDescent="0.2"/>
    <row r="642" customFormat="1" x14ac:dyDescent="0.2"/>
    <row r="643" customFormat="1" x14ac:dyDescent="0.2"/>
    <row r="644" customFormat="1" x14ac:dyDescent="0.2"/>
    <row r="645" customFormat="1" x14ac:dyDescent="0.2"/>
    <row r="646" customFormat="1" x14ac:dyDescent="0.2"/>
    <row r="647" customFormat="1" x14ac:dyDescent="0.2"/>
    <row r="648" customFormat="1" x14ac:dyDescent="0.2"/>
    <row r="649" customFormat="1" x14ac:dyDescent="0.2"/>
    <row r="650" customFormat="1" x14ac:dyDescent="0.2"/>
    <row r="651" customFormat="1" x14ac:dyDescent="0.2"/>
    <row r="652" customFormat="1" x14ac:dyDescent="0.2"/>
    <row r="653" customFormat="1" x14ac:dyDescent="0.2"/>
    <row r="654" customFormat="1" x14ac:dyDescent="0.2"/>
    <row r="655" customFormat="1" x14ac:dyDescent="0.2"/>
    <row r="656" customFormat="1" x14ac:dyDescent="0.2"/>
    <row r="657" customFormat="1" x14ac:dyDescent="0.2"/>
    <row r="658" customFormat="1" x14ac:dyDescent="0.2"/>
    <row r="659" customFormat="1" x14ac:dyDescent="0.2"/>
    <row r="660" customFormat="1" x14ac:dyDescent="0.2"/>
    <row r="661" customFormat="1" x14ac:dyDescent="0.2"/>
    <row r="662" customFormat="1" x14ac:dyDescent="0.2"/>
    <row r="663" customFormat="1" x14ac:dyDescent="0.2"/>
    <row r="664" customFormat="1" x14ac:dyDescent="0.2"/>
    <row r="665" customFormat="1" x14ac:dyDescent="0.2"/>
    <row r="666" customFormat="1" x14ac:dyDescent="0.2"/>
    <row r="667" customFormat="1" x14ac:dyDescent="0.2"/>
    <row r="668" customFormat="1" x14ac:dyDescent="0.2"/>
    <row r="669" customFormat="1" x14ac:dyDescent="0.2"/>
    <row r="670" customFormat="1" x14ac:dyDescent="0.2"/>
    <row r="671" customFormat="1" x14ac:dyDescent="0.2"/>
    <row r="672" customFormat="1" x14ac:dyDescent="0.2"/>
    <row r="673" customFormat="1" x14ac:dyDescent="0.2"/>
    <row r="674" customFormat="1" x14ac:dyDescent="0.2"/>
    <row r="675" customFormat="1" x14ac:dyDescent="0.2"/>
    <row r="676" customFormat="1" x14ac:dyDescent="0.2"/>
    <row r="677" customFormat="1" x14ac:dyDescent="0.2"/>
    <row r="678" customFormat="1" x14ac:dyDescent="0.2"/>
    <row r="679" customFormat="1" x14ac:dyDescent="0.2"/>
    <row r="680" customFormat="1" x14ac:dyDescent="0.2"/>
    <row r="681" customFormat="1" x14ac:dyDescent="0.2"/>
    <row r="682" customFormat="1" x14ac:dyDescent="0.2"/>
    <row r="683" customFormat="1" x14ac:dyDescent="0.2"/>
    <row r="684" customFormat="1" x14ac:dyDescent="0.2"/>
    <row r="685" customFormat="1" x14ac:dyDescent="0.2"/>
    <row r="686" customFormat="1" x14ac:dyDescent="0.2"/>
    <row r="687" customFormat="1" x14ac:dyDescent="0.2"/>
    <row r="688" customFormat="1" x14ac:dyDescent="0.2"/>
    <row r="689" customFormat="1" x14ac:dyDescent="0.2"/>
    <row r="690" customFormat="1" x14ac:dyDescent="0.2"/>
    <row r="691" customFormat="1" x14ac:dyDescent="0.2"/>
    <row r="692" customFormat="1" x14ac:dyDescent="0.2"/>
    <row r="693" customFormat="1" x14ac:dyDescent="0.2"/>
    <row r="694" customFormat="1" x14ac:dyDescent="0.2"/>
    <row r="695" customFormat="1" x14ac:dyDescent="0.2"/>
    <row r="696" customFormat="1" x14ac:dyDescent="0.2"/>
    <row r="697" customFormat="1" x14ac:dyDescent="0.2"/>
    <row r="698" customFormat="1" x14ac:dyDescent="0.2"/>
    <row r="699" customFormat="1" x14ac:dyDescent="0.2"/>
    <row r="700" customFormat="1" x14ac:dyDescent="0.2"/>
    <row r="701" customFormat="1" x14ac:dyDescent="0.2"/>
    <row r="702" customFormat="1" x14ac:dyDescent="0.2"/>
    <row r="703" customFormat="1" x14ac:dyDescent="0.2"/>
    <row r="704" customFormat="1" x14ac:dyDescent="0.2"/>
    <row r="705" customFormat="1" x14ac:dyDescent="0.2"/>
    <row r="706" customFormat="1" x14ac:dyDescent="0.2"/>
    <row r="707" customFormat="1" x14ac:dyDescent="0.2"/>
    <row r="708" customFormat="1" x14ac:dyDescent="0.2"/>
    <row r="709" customFormat="1" x14ac:dyDescent="0.2"/>
    <row r="710" customFormat="1" x14ac:dyDescent="0.2"/>
    <row r="711" customFormat="1" x14ac:dyDescent="0.2"/>
    <row r="712" customFormat="1" x14ac:dyDescent="0.2"/>
    <row r="713" customFormat="1" x14ac:dyDescent="0.2"/>
    <row r="714" customFormat="1" x14ac:dyDescent="0.2"/>
    <row r="715" customFormat="1" x14ac:dyDescent="0.2"/>
    <row r="716" customFormat="1" x14ac:dyDescent="0.2"/>
    <row r="717" customFormat="1" x14ac:dyDescent="0.2"/>
    <row r="718" customFormat="1" x14ac:dyDescent="0.2"/>
    <row r="719" customFormat="1" x14ac:dyDescent="0.2"/>
    <row r="720" customFormat="1" x14ac:dyDescent="0.2"/>
    <row r="721" customFormat="1" x14ac:dyDescent="0.2"/>
    <row r="722" customFormat="1" x14ac:dyDescent="0.2"/>
    <row r="723" customFormat="1" x14ac:dyDescent="0.2"/>
    <row r="724" customFormat="1" x14ac:dyDescent="0.2"/>
    <row r="725" customFormat="1" x14ac:dyDescent="0.2"/>
    <row r="726" customFormat="1" x14ac:dyDescent="0.2"/>
    <row r="727" customFormat="1" x14ac:dyDescent="0.2"/>
    <row r="728" customFormat="1" x14ac:dyDescent="0.2"/>
    <row r="729" customFormat="1" x14ac:dyDescent="0.2"/>
    <row r="730" customFormat="1" x14ac:dyDescent="0.2"/>
    <row r="731" customFormat="1" x14ac:dyDescent="0.2"/>
    <row r="732" customFormat="1" x14ac:dyDescent="0.2"/>
    <row r="733" customFormat="1" x14ac:dyDescent="0.2"/>
    <row r="734" customFormat="1" x14ac:dyDescent="0.2"/>
    <row r="735" customFormat="1" x14ac:dyDescent="0.2"/>
    <row r="736" customFormat="1" x14ac:dyDescent="0.2"/>
    <row r="737" customFormat="1" x14ac:dyDescent="0.2"/>
    <row r="738" customFormat="1" x14ac:dyDescent="0.2"/>
    <row r="739" customFormat="1" x14ac:dyDescent="0.2"/>
    <row r="740" customFormat="1" x14ac:dyDescent="0.2"/>
    <row r="741" customFormat="1" x14ac:dyDescent="0.2"/>
    <row r="742" customFormat="1" x14ac:dyDescent="0.2"/>
    <row r="743" customFormat="1" x14ac:dyDescent="0.2"/>
    <row r="744" customFormat="1" x14ac:dyDescent="0.2"/>
    <row r="745" customFormat="1" x14ac:dyDescent="0.2"/>
    <row r="746" customFormat="1" x14ac:dyDescent="0.2"/>
    <row r="747" customFormat="1" x14ac:dyDescent="0.2"/>
    <row r="748" customFormat="1" x14ac:dyDescent="0.2"/>
    <row r="749" customFormat="1" x14ac:dyDescent="0.2"/>
    <row r="750" customFormat="1" x14ac:dyDescent="0.2"/>
    <row r="751" customFormat="1" x14ac:dyDescent="0.2"/>
    <row r="752" customFormat="1" x14ac:dyDescent="0.2"/>
    <row r="753" customFormat="1" x14ac:dyDescent="0.2"/>
    <row r="754" customFormat="1" x14ac:dyDescent="0.2"/>
    <row r="755" customFormat="1" x14ac:dyDescent="0.2"/>
    <row r="756" customFormat="1" x14ac:dyDescent="0.2"/>
    <row r="757" customFormat="1" x14ac:dyDescent="0.2"/>
    <row r="758" customFormat="1" x14ac:dyDescent="0.2"/>
    <row r="759" customFormat="1" x14ac:dyDescent="0.2"/>
    <row r="760" customFormat="1" x14ac:dyDescent="0.2"/>
    <row r="761" customFormat="1" x14ac:dyDescent="0.2"/>
    <row r="762" customFormat="1" x14ac:dyDescent="0.2"/>
    <row r="763" customFormat="1" x14ac:dyDescent="0.2"/>
    <row r="764" customFormat="1" x14ac:dyDescent="0.2"/>
    <row r="765" customFormat="1" x14ac:dyDescent="0.2"/>
    <row r="766" customFormat="1" x14ac:dyDescent="0.2"/>
    <row r="767" customFormat="1" x14ac:dyDescent="0.2"/>
    <row r="768" customFormat="1" x14ac:dyDescent="0.2"/>
    <row r="769" customFormat="1" x14ac:dyDescent="0.2"/>
    <row r="770" customFormat="1" x14ac:dyDescent="0.2"/>
    <row r="771" customFormat="1" x14ac:dyDescent="0.2"/>
    <row r="772" customFormat="1" x14ac:dyDescent="0.2"/>
    <row r="773" customFormat="1" x14ac:dyDescent="0.2"/>
    <row r="774" customFormat="1" x14ac:dyDescent="0.2"/>
    <row r="775" customFormat="1" x14ac:dyDescent="0.2"/>
    <row r="776" customFormat="1" x14ac:dyDescent="0.2"/>
    <row r="777" customFormat="1" x14ac:dyDescent="0.2"/>
    <row r="778" customFormat="1" x14ac:dyDescent="0.2"/>
    <row r="779" customFormat="1" x14ac:dyDescent="0.2"/>
    <row r="780" customFormat="1" x14ac:dyDescent="0.2"/>
    <row r="781" customFormat="1" x14ac:dyDescent="0.2"/>
    <row r="782" customFormat="1" x14ac:dyDescent="0.2"/>
    <row r="783" customFormat="1" x14ac:dyDescent="0.2"/>
    <row r="784" customFormat="1" x14ac:dyDescent="0.2"/>
    <row r="785" customFormat="1" x14ac:dyDescent="0.2"/>
    <row r="786" customFormat="1" x14ac:dyDescent="0.2"/>
    <row r="787" customFormat="1" x14ac:dyDescent="0.2"/>
    <row r="788" customFormat="1" x14ac:dyDescent="0.2"/>
    <row r="789" customFormat="1" x14ac:dyDescent="0.2"/>
    <row r="790" customFormat="1" x14ac:dyDescent="0.2"/>
    <row r="791" customFormat="1" x14ac:dyDescent="0.2"/>
    <row r="792" customFormat="1" x14ac:dyDescent="0.2"/>
    <row r="793" customFormat="1" x14ac:dyDescent="0.2"/>
    <row r="794" customFormat="1" x14ac:dyDescent="0.2"/>
    <row r="795" customFormat="1" x14ac:dyDescent="0.2"/>
    <row r="796" customFormat="1" x14ac:dyDescent="0.2"/>
    <row r="797" customFormat="1" x14ac:dyDescent="0.2"/>
    <row r="798" customFormat="1" x14ac:dyDescent="0.2"/>
    <row r="799" customFormat="1" x14ac:dyDescent="0.2"/>
    <row r="800" customFormat="1" x14ac:dyDescent="0.2"/>
    <row r="801" customFormat="1" x14ac:dyDescent="0.2"/>
    <row r="802" customFormat="1" x14ac:dyDescent="0.2"/>
    <row r="803" customFormat="1" x14ac:dyDescent="0.2"/>
    <row r="804" customFormat="1" x14ac:dyDescent="0.2"/>
    <row r="805" customFormat="1" x14ac:dyDescent="0.2"/>
    <row r="806" customFormat="1" x14ac:dyDescent="0.2"/>
    <row r="807" customFormat="1" x14ac:dyDescent="0.2"/>
    <row r="808" customFormat="1" x14ac:dyDescent="0.2"/>
    <row r="809" customFormat="1" x14ac:dyDescent="0.2"/>
    <row r="810" customFormat="1" x14ac:dyDescent="0.2"/>
    <row r="811" customFormat="1" x14ac:dyDescent="0.2"/>
    <row r="812" customFormat="1" x14ac:dyDescent="0.2"/>
    <row r="813" customFormat="1" x14ac:dyDescent="0.2"/>
    <row r="814" customFormat="1" x14ac:dyDescent="0.2"/>
    <row r="815" customFormat="1" x14ac:dyDescent="0.2"/>
    <row r="816" customFormat="1" x14ac:dyDescent="0.2"/>
    <row r="817" customFormat="1" x14ac:dyDescent="0.2"/>
    <row r="818" customFormat="1" x14ac:dyDescent="0.2"/>
    <row r="819" customFormat="1" x14ac:dyDescent="0.2"/>
    <row r="820" customFormat="1" x14ac:dyDescent="0.2"/>
    <row r="821" customFormat="1" x14ac:dyDescent="0.2"/>
    <row r="822" customFormat="1" x14ac:dyDescent="0.2"/>
    <row r="823" customFormat="1" x14ac:dyDescent="0.2"/>
    <row r="824" customFormat="1" x14ac:dyDescent="0.2"/>
    <row r="825" customFormat="1" x14ac:dyDescent="0.2"/>
    <row r="826" customFormat="1" x14ac:dyDescent="0.2"/>
    <row r="827" customFormat="1" x14ac:dyDescent="0.2"/>
    <row r="828" customFormat="1" x14ac:dyDescent="0.2"/>
    <row r="829" customFormat="1" x14ac:dyDescent="0.2"/>
    <row r="830" customFormat="1" x14ac:dyDescent="0.2"/>
    <row r="831" customFormat="1" x14ac:dyDescent="0.2"/>
    <row r="832" customFormat="1" x14ac:dyDescent="0.2"/>
    <row r="833" customFormat="1" x14ac:dyDescent="0.2"/>
    <row r="834" customFormat="1" x14ac:dyDescent="0.2"/>
    <row r="835" customFormat="1" x14ac:dyDescent="0.2"/>
    <row r="836" customFormat="1" x14ac:dyDescent="0.2"/>
    <row r="837" customFormat="1" x14ac:dyDescent="0.2"/>
    <row r="838" customFormat="1" x14ac:dyDescent="0.2"/>
    <row r="839" customFormat="1" x14ac:dyDescent="0.2"/>
    <row r="840" customFormat="1" x14ac:dyDescent="0.2"/>
    <row r="841" customFormat="1" x14ac:dyDescent="0.2"/>
    <row r="842" customFormat="1" x14ac:dyDescent="0.2"/>
    <row r="843" customFormat="1" x14ac:dyDescent="0.2"/>
    <row r="844" customFormat="1" x14ac:dyDescent="0.2"/>
    <row r="845" customFormat="1" x14ac:dyDescent="0.2"/>
    <row r="846" customFormat="1" x14ac:dyDescent="0.2"/>
    <row r="847" customFormat="1" x14ac:dyDescent="0.2"/>
    <row r="848" customFormat="1" x14ac:dyDescent="0.2"/>
    <row r="849" customFormat="1" x14ac:dyDescent="0.2"/>
    <row r="850" customFormat="1" x14ac:dyDescent="0.2"/>
    <row r="851" customFormat="1" x14ac:dyDescent="0.2"/>
    <row r="852" customFormat="1" x14ac:dyDescent="0.2"/>
    <row r="853" customFormat="1" x14ac:dyDescent="0.2"/>
    <row r="854" customFormat="1" x14ac:dyDescent="0.2"/>
    <row r="855" customFormat="1" x14ac:dyDescent="0.2"/>
    <row r="856" customFormat="1" x14ac:dyDescent="0.2"/>
    <row r="857" customFormat="1" x14ac:dyDescent="0.2"/>
    <row r="858" customFormat="1" x14ac:dyDescent="0.2"/>
    <row r="859" customFormat="1" x14ac:dyDescent="0.2"/>
    <row r="860" customFormat="1" x14ac:dyDescent="0.2"/>
    <row r="861" customFormat="1" x14ac:dyDescent="0.2"/>
    <row r="862" customFormat="1" x14ac:dyDescent="0.2"/>
    <row r="863" customFormat="1" x14ac:dyDescent="0.2"/>
    <row r="864" customFormat="1" x14ac:dyDescent="0.2"/>
    <row r="865" customFormat="1" x14ac:dyDescent="0.2"/>
    <row r="866" customFormat="1" x14ac:dyDescent="0.2"/>
    <row r="867" customFormat="1" x14ac:dyDescent="0.2"/>
    <row r="868" customFormat="1" x14ac:dyDescent="0.2"/>
    <row r="869" customFormat="1" x14ac:dyDescent="0.2"/>
    <row r="870" customFormat="1" x14ac:dyDescent="0.2"/>
    <row r="871" customFormat="1" x14ac:dyDescent="0.2"/>
    <row r="872" customFormat="1" x14ac:dyDescent="0.2"/>
    <row r="873" customFormat="1" x14ac:dyDescent="0.2"/>
    <row r="874" customFormat="1" x14ac:dyDescent="0.2"/>
    <row r="875" customFormat="1" x14ac:dyDescent="0.2"/>
    <row r="876" customFormat="1" x14ac:dyDescent="0.2"/>
    <row r="877" customFormat="1" x14ac:dyDescent="0.2"/>
    <row r="878" customFormat="1" x14ac:dyDescent="0.2"/>
    <row r="879" customFormat="1" x14ac:dyDescent="0.2"/>
    <row r="880" customFormat="1" x14ac:dyDescent="0.2"/>
    <row r="881" customFormat="1" x14ac:dyDescent="0.2"/>
    <row r="882" customFormat="1" x14ac:dyDescent="0.2"/>
    <row r="883" customFormat="1" x14ac:dyDescent="0.2"/>
    <row r="884" customFormat="1" x14ac:dyDescent="0.2"/>
    <row r="885" customFormat="1" x14ac:dyDescent="0.2"/>
    <row r="886" customFormat="1" x14ac:dyDescent="0.2"/>
    <row r="887" customFormat="1" x14ac:dyDescent="0.2"/>
    <row r="888" customFormat="1" x14ac:dyDescent="0.2"/>
    <row r="889" customFormat="1" x14ac:dyDescent="0.2"/>
    <row r="890" customFormat="1" x14ac:dyDescent="0.2"/>
    <row r="891" customFormat="1" x14ac:dyDescent="0.2"/>
    <row r="892" customFormat="1" x14ac:dyDescent="0.2"/>
    <row r="893" customFormat="1" x14ac:dyDescent="0.2"/>
    <row r="894" customFormat="1" x14ac:dyDescent="0.2"/>
    <row r="895" customFormat="1" x14ac:dyDescent="0.2"/>
    <row r="896" customFormat="1" x14ac:dyDescent="0.2"/>
    <row r="897" customFormat="1" x14ac:dyDescent="0.2"/>
    <row r="898" customFormat="1" x14ac:dyDescent="0.2"/>
    <row r="899" customFormat="1" x14ac:dyDescent="0.2"/>
    <row r="900" customFormat="1" x14ac:dyDescent="0.2"/>
    <row r="901" customFormat="1" x14ac:dyDescent="0.2"/>
    <row r="902" customFormat="1" x14ac:dyDescent="0.2"/>
    <row r="903" customFormat="1" x14ac:dyDescent="0.2"/>
    <row r="904" customFormat="1" x14ac:dyDescent="0.2"/>
    <row r="905" customFormat="1" x14ac:dyDescent="0.2"/>
    <row r="906" customFormat="1" x14ac:dyDescent="0.2"/>
    <row r="907" customFormat="1" x14ac:dyDescent="0.2"/>
    <row r="908" customFormat="1" x14ac:dyDescent="0.2"/>
    <row r="909" customFormat="1" x14ac:dyDescent="0.2"/>
    <row r="910" customFormat="1" x14ac:dyDescent="0.2"/>
    <row r="911" customFormat="1" x14ac:dyDescent="0.2"/>
    <row r="912" customFormat="1" x14ac:dyDescent="0.2"/>
    <row r="913" customFormat="1" x14ac:dyDescent="0.2"/>
    <row r="914" customFormat="1" x14ac:dyDescent="0.2"/>
    <row r="915" customFormat="1" x14ac:dyDescent="0.2"/>
    <row r="916" customFormat="1" x14ac:dyDescent="0.2"/>
    <row r="917" customFormat="1" x14ac:dyDescent="0.2"/>
    <row r="918" customFormat="1" x14ac:dyDescent="0.2"/>
    <row r="919" customFormat="1" x14ac:dyDescent="0.2"/>
    <row r="920" customFormat="1" x14ac:dyDescent="0.2"/>
    <row r="921" customFormat="1" x14ac:dyDescent="0.2"/>
    <row r="922" customFormat="1" x14ac:dyDescent="0.2"/>
    <row r="923" customFormat="1" x14ac:dyDescent="0.2"/>
    <row r="924" customFormat="1" x14ac:dyDescent="0.2"/>
    <row r="925" customFormat="1" x14ac:dyDescent="0.2"/>
    <row r="926" customFormat="1" x14ac:dyDescent="0.2"/>
    <row r="927" customFormat="1" x14ac:dyDescent="0.2"/>
    <row r="928" customFormat="1" x14ac:dyDescent="0.2"/>
    <row r="929" customFormat="1" x14ac:dyDescent="0.2"/>
    <row r="930" customFormat="1" x14ac:dyDescent="0.2"/>
    <row r="931" customFormat="1" x14ac:dyDescent="0.2"/>
    <row r="932" customFormat="1" x14ac:dyDescent="0.2"/>
    <row r="933" customFormat="1" x14ac:dyDescent="0.2"/>
    <row r="934" customFormat="1" x14ac:dyDescent="0.2"/>
    <row r="935" customFormat="1" x14ac:dyDescent="0.2"/>
    <row r="936" customFormat="1" x14ac:dyDescent="0.2"/>
    <row r="937" customFormat="1" x14ac:dyDescent="0.2"/>
    <row r="938" customFormat="1" x14ac:dyDescent="0.2"/>
    <row r="939" customFormat="1" x14ac:dyDescent="0.2"/>
    <row r="940" customFormat="1" x14ac:dyDescent="0.2"/>
    <row r="941" customFormat="1" x14ac:dyDescent="0.2"/>
    <row r="942" customFormat="1" x14ac:dyDescent="0.2"/>
    <row r="943" customFormat="1" x14ac:dyDescent="0.2"/>
    <row r="944" customFormat="1" x14ac:dyDescent="0.2"/>
    <row r="945" customFormat="1" x14ac:dyDescent="0.2"/>
    <row r="946" customFormat="1" x14ac:dyDescent="0.2"/>
    <row r="947" customFormat="1" x14ac:dyDescent="0.2"/>
    <row r="948" customFormat="1" x14ac:dyDescent="0.2"/>
    <row r="949" customFormat="1" x14ac:dyDescent="0.2"/>
    <row r="950" customFormat="1" x14ac:dyDescent="0.2"/>
    <row r="951" customFormat="1" x14ac:dyDescent="0.2"/>
    <row r="952" customFormat="1" x14ac:dyDescent="0.2"/>
    <row r="953" customFormat="1" x14ac:dyDescent="0.2"/>
    <row r="954" customFormat="1" x14ac:dyDescent="0.2"/>
    <row r="955" customFormat="1" x14ac:dyDescent="0.2"/>
    <row r="956" customFormat="1" x14ac:dyDescent="0.2"/>
    <row r="957" customFormat="1" x14ac:dyDescent="0.2"/>
    <row r="958" customFormat="1" x14ac:dyDescent="0.2"/>
    <row r="959" customFormat="1" x14ac:dyDescent="0.2"/>
    <row r="960" customFormat="1" x14ac:dyDescent="0.2"/>
    <row r="961" customFormat="1" x14ac:dyDescent="0.2"/>
    <row r="962" customFormat="1" x14ac:dyDescent="0.2"/>
    <row r="963" customFormat="1" x14ac:dyDescent="0.2"/>
    <row r="964" customFormat="1" x14ac:dyDescent="0.2"/>
    <row r="965" customFormat="1" x14ac:dyDescent="0.2"/>
    <row r="966" customFormat="1" x14ac:dyDescent="0.2"/>
    <row r="967" customFormat="1" x14ac:dyDescent="0.2"/>
    <row r="968" customFormat="1" x14ac:dyDescent="0.2"/>
    <row r="969" customFormat="1" x14ac:dyDescent="0.2"/>
    <row r="970" customFormat="1" x14ac:dyDescent="0.2"/>
    <row r="971" customFormat="1" x14ac:dyDescent="0.2"/>
    <row r="972" customFormat="1" x14ac:dyDescent="0.2"/>
    <row r="973" customFormat="1" x14ac:dyDescent="0.2"/>
    <row r="974" customFormat="1" x14ac:dyDescent="0.2"/>
    <row r="975" customFormat="1" x14ac:dyDescent="0.2"/>
    <row r="976" customFormat="1" x14ac:dyDescent="0.2"/>
    <row r="977" customFormat="1" x14ac:dyDescent="0.2"/>
    <row r="978" customFormat="1" x14ac:dyDescent="0.2"/>
    <row r="979" customFormat="1" x14ac:dyDescent="0.2"/>
    <row r="980" customFormat="1" x14ac:dyDescent="0.2"/>
    <row r="981" customFormat="1" x14ac:dyDescent="0.2"/>
    <row r="982" customFormat="1" x14ac:dyDescent="0.2"/>
    <row r="983" customFormat="1" x14ac:dyDescent="0.2"/>
    <row r="984" customFormat="1" x14ac:dyDescent="0.2"/>
    <row r="985" customFormat="1" x14ac:dyDescent="0.2"/>
    <row r="986" customFormat="1" x14ac:dyDescent="0.2"/>
    <row r="987" customFormat="1" x14ac:dyDescent="0.2"/>
    <row r="988" customFormat="1" x14ac:dyDescent="0.2"/>
    <row r="989" customFormat="1" x14ac:dyDescent="0.2"/>
    <row r="990" customFormat="1" x14ac:dyDescent="0.2"/>
    <row r="991" customFormat="1" x14ac:dyDescent="0.2"/>
    <row r="992" customFormat="1" x14ac:dyDescent="0.2"/>
    <row r="993" customFormat="1" x14ac:dyDescent="0.2"/>
    <row r="994" customFormat="1" x14ac:dyDescent="0.2"/>
    <row r="995" customFormat="1" x14ac:dyDescent="0.2"/>
    <row r="996" customFormat="1" x14ac:dyDescent="0.2"/>
    <row r="997" customFormat="1" x14ac:dyDescent="0.2"/>
    <row r="998" customFormat="1" x14ac:dyDescent="0.2"/>
    <row r="999" customFormat="1" x14ac:dyDescent="0.2"/>
    <row r="1000" customFormat="1" x14ac:dyDescent="0.2"/>
    <row r="1001" customFormat="1" x14ac:dyDescent="0.2"/>
    <row r="1002" customFormat="1" x14ac:dyDescent="0.2"/>
    <row r="1003" customFormat="1" x14ac:dyDescent="0.2"/>
    <row r="1004" customFormat="1" x14ac:dyDescent="0.2"/>
    <row r="1005" customFormat="1" x14ac:dyDescent="0.2"/>
    <row r="1006" customFormat="1" x14ac:dyDescent="0.2"/>
    <row r="1007" customFormat="1" x14ac:dyDescent="0.2"/>
    <row r="1008" customFormat="1" x14ac:dyDescent="0.2"/>
    <row r="1009" customFormat="1" x14ac:dyDescent="0.2"/>
    <row r="1010" customFormat="1" x14ac:dyDescent="0.2"/>
    <row r="1011" customFormat="1" x14ac:dyDescent="0.2"/>
    <row r="1012" customFormat="1" x14ac:dyDescent="0.2"/>
    <row r="1013" customFormat="1" x14ac:dyDescent="0.2"/>
    <row r="1014" customFormat="1" x14ac:dyDescent="0.2"/>
    <row r="1015" customFormat="1" x14ac:dyDescent="0.2"/>
    <row r="1016" customFormat="1" x14ac:dyDescent="0.2"/>
    <row r="1017" customFormat="1" x14ac:dyDescent="0.2"/>
    <row r="1018" customFormat="1" x14ac:dyDescent="0.2"/>
    <row r="1019" customFormat="1" x14ac:dyDescent="0.2"/>
    <row r="1020" customFormat="1" x14ac:dyDescent="0.2"/>
    <row r="1021" customFormat="1" x14ac:dyDescent="0.2"/>
    <row r="1022" customFormat="1" x14ac:dyDescent="0.2"/>
    <row r="1023" customFormat="1" x14ac:dyDescent="0.2"/>
    <row r="1024" customFormat="1" x14ac:dyDescent="0.2"/>
    <row r="1025" customFormat="1" x14ac:dyDescent="0.2"/>
    <row r="1026" customFormat="1" x14ac:dyDescent="0.2"/>
    <row r="1027" customFormat="1" x14ac:dyDescent="0.2"/>
    <row r="1028" customFormat="1" x14ac:dyDescent="0.2"/>
    <row r="1029" customFormat="1" x14ac:dyDescent="0.2"/>
    <row r="1030" customFormat="1" x14ac:dyDescent="0.2"/>
    <row r="1031" customFormat="1" x14ac:dyDescent="0.2"/>
    <row r="1032" customFormat="1" x14ac:dyDescent="0.2"/>
    <row r="1033" customFormat="1" x14ac:dyDescent="0.2"/>
    <row r="1034" customFormat="1" x14ac:dyDescent="0.2"/>
    <row r="1035" customFormat="1" x14ac:dyDescent="0.2"/>
    <row r="1036" customFormat="1" x14ac:dyDescent="0.2"/>
    <row r="1037" customFormat="1" x14ac:dyDescent="0.2"/>
    <row r="1038" customFormat="1" x14ac:dyDescent="0.2"/>
    <row r="1039" customFormat="1" x14ac:dyDescent="0.2"/>
    <row r="1040" customFormat="1" x14ac:dyDescent="0.2"/>
    <row r="1041" customFormat="1" x14ac:dyDescent="0.2"/>
    <row r="1042" customFormat="1" x14ac:dyDescent="0.2"/>
    <row r="1043" customFormat="1" x14ac:dyDescent="0.2"/>
    <row r="1044" customFormat="1" x14ac:dyDescent="0.2"/>
    <row r="1045" customFormat="1" x14ac:dyDescent="0.2"/>
    <row r="1046" customFormat="1" x14ac:dyDescent="0.2"/>
    <row r="1047" customFormat="1" x14ac:dyDescent="0.2"/>
    <row r="1048" customFormat="1" x14ac:dyDescent="0.2"/>
    <row r="1049" customFormat="1" x14ac:dyDescent="0.2"/>
    <row r="1050" customFormat="1" x14ac:dyDescent="0.2"/>
    <row r="1051" customFormat="1" x14ac:dyDescent="0.2"/>
    <row r="1052" customFormat="1" x14ac:dyDescent="0.2"/>
    <row r="1053" customFormat="1" x14ac:dyDescent="0.2"/>
    <row r="1054" customFormat="1" x14ac:dyDescent="0.2"/>
    <row r="1055" customFormat="1" x14ac:dyDescent="0.2"/>
    <row r="1056" customFormat="1" x14ac:dyDescent="0.2"/>
    <row r="1057" customFormat="1" x14ac:dyDescent="0.2"/>
    <row r="1058" customFormat="1" x14ac:dyDescent="0.2"/>
    <row r="1059" customFormat="1" x14ac:dyDescent="0.2"/>
    <row r="1060" customFormat="1" x14ac:dyDescent="0.2"/>
    <row r="1061" customFormat="1" x14ac:dyDescent="0.2"/>
    <row r="1062" customFormat="1" x14ac:dyDescent="0.2"/>
    <row r="1063" customFormat="1" x14ac:dyDescent="0.2"/>
    <row r="1064" customFormat="1" x14ac:dyDescent="0.2"/>
    <row r="1065" customFormat="1" x14ac:dyDescent="0.2"/>
    <row r="1066" customFormat="1" x14ac:dyDescent="0.2"/>
    <row r="1067" customFormat="1" x14ac:dyDescent="0.2"/>
    <row r="1068" customFormat="1" x14ac:dyDescent="0.2"/>
    <row r="1069" customFormat="1" x14ac:dyDescent="0.2"/>
    <row r="1070" customFormat="1" x14ac:dyDescent="0.2"/>
    <row r="1071" customFormat="1" x14ac:dyDescent="0.2"/>
    <row r="1072" customFormat="1" x14ac:dyDescent="0.2"/>
    <row r="1073" customFormat="1" x14ac:dyDescent="0.2"/>
    <row r="1074" customFormat="1" x14ac:dyDescent="0.2"/>
    <row r="1075" customFormat="1" x14ac:dyDescent="0.2"/>
    <row r="1076" customFormat="1" x14ac:dyDescent="0.2"/>
    <row r="1077" customFormat="1" x14ac:dyDescent="0.2"/>
    <row r="1078" customFormat="1" x14ac:dyDescent="0.2"/>
    <row r="1079" customFormat="1" x14ac:dyDescent="0.2"/>
    <row r="1080" customFormat="1" x14ac:dyDescent="0.2"/>
    <row r="1081" customFormat="1" x14ac:dyDescent="0.2"/>
    <row r="1082" customFormat="1" x14ac:dyDescent="0.2"/>
    <row r="1083" customFormat="1" x14ac:dyDescent="0.2"/>
    <row r="1084" customFormat="1" x14ac:dyDescent="0.2"/>
    <row r="1085" customFormat="1" x14ac:dyDescent="0.2"/>
    <row r="1086" customFormat="1" x14ac:dyDescent="0.2"/>
    <row r="1087" customFormat="1" x14ac:dyDescent="0.2"/>
    <row r="1088" customFormat="1" x14ac:dyDescent="0.2"/>
    <row r="1089" customFormat="1" x14ac:dyDescent="0.2"/>
    <row r="1090" customFormat="1" x14ac:dyDescent="0.2"/>
    <row r="1091" customFormat="1" x14ac:dyDescent="0.2"/>
    <row r="1092" customFormat="1" x14ac:dyDescent="0.2"/>
    <row r="1093" customFormat="1" x14ac:dyDescent="0.2"/>
    <row r="1094" customFormat="1" x14ac:dyDescent="0.2"/>
    <row r="1095" customFormat="1" x14ac:dyDescent="0.2"/>
    <row r="1096" customFormat="1" x14ac:dyDescent="0.2"/>
    <row r="1097" customFormat="1" x14ac:dyDescent="0.2"/>
    <row r="1098" customFormat="1" x14ac:dyDescent="0.2"/>
    <row r="1099" customFormat="1" x14ac:dyDescent="0.2"/>
    <row r="1100" customFormat="1" x14ac:dyDescent="0.2"/>
    <row r="1101" customFormat="1" x14ac:dyDescent="0.2"/>
    <row r="1102" customFormat="1" x14ac:dyDescent="0.2"/>
    <row r="1103" customFormat="1" x14ac:dyDescent="0.2"/>
    <row r="1104" customFormat="1" x14ac:dyDescent="0.2"/>
    <row r="1105" customFormat="1" x14ac:dyDescent="0.2"/>
    <row r="1106" customFormat="1" x14ac:dyDescent="0.2"/>
    <row r="1107" customFormat="1" x14ac:dyDescent="0.2"/>
    <row r="1108" customFormat="1" x14ac:dyDescent="0.2"/>
    <row r="1109" customFormat="1" x14ac:dyDescent="0.2"/>
    <row r="1110" customFormat="1" x14ac:dyDescent="0.2"/>
    <row r="1111" customFormat="1" x14ac:dyDescent="0.2"/>
    <row r="1112" customFormat="1" x14ac:dyDescent="0.2"/>
    <row r="1113" customFormat="1" x14ac:dyDescent="0.2"/>
    <row r="1114" customFormat="1" x14ac:dyDescent="0.2"/>
    <row r="1115" customFormat="1" x14ac:dyDescent="0.2"/>
    <row r="1116" customFormat="1" x14ac:dyDescent="0.2"/>
    <row r="1117" customFormat="1" x14ac:dyDescent="0.2"/>
    <row r="1118" customFormat="1" x14ac:dyDescent="0.2"/>
    <row r="1119" customFormat="1" x14ac:dyDescent="0.2"/>
    <row r="1120" customFormat="1" x14ac:dyDescent="0.2"/>
    <row r="1121" customFormat="1" x14ac:dyDescent="0.2"/>
    <row r="1122" customFormat="1" x14ac:dyDescent="0.2"/>
    <row r="1123" customFormat="1" x14ac:dyDescent="0.2"/>
    <row r="1124" customFormat="1" x14ac:dyDescent="0.2"/>
    <row r="1125" customFormat="1" x14ac:dyDescent="0.2"/>
    <row r="1126" customFormat="1" x14ac:dyDescent="0.2"/>
    <row r="1127" customFormat="1" x14ac:dyDescent="0.2"/>
    <row r="1128" customFormat="1" x14ac:dyDescent="0.2"/>
    <row r="1129" customFormat="1" x14ac:dyDescent="0.2"/>
    <row r="1130" customFormat="1" x14ac:dyDescent="0.2"/>
    <row r="1131" customFormat="1" x14ac:dyDescent="0.2"/>
    <row r="1132" customFormat="1" x14ac:dyDescent="0.2"/>
    <row r="1133" customFormat="1" x14ac:dyDescent="0.2"/>
    <row r="1134" customFormat="1" x14ac:dyDescent="0.2"/>
    <row r="1135" customFormat="1" x14ac:dyDescent="0.2"/>
    <row r="1136" customFormat="1" x14ac:dyDescent="0.2"/>
    <row r="1137" customFormat="1" x14ac:dyDescent="0.2"/>
    <row r="1138" customFormat="1" x14ac:dyDescent="0.2"/>
    <row r="1139" customFormat="1" x14ac:dyDescent="0.2"/>
    <row r="1140" customFormat="1" x14ac:dyDescent="0.2"/>
    <row r="1141" customFormat="1" x14ac:dyDescent="0.2"/>
    <row r="1142" customFormat="1" x14ac:dyDescent="0.2"/>
    <row r="1143" customFormat="1" x14ac:dyDescent="0.2"/>
    <row r="1144" customFormat="1" x14ac:dyDescent="0.2"/>
    <row r="1145" customFormat="1" x14ac:dyDescent="0.2"/>
    <row r="1146" customFormat="1" x14ac:dyDescent="0.2"/>
    <row r="1147" customFormat="1" x14ac:dyDescent="0.2"/>
    <row r="1148" customFormat="1" x14ac:dyDescent="0.2"/>
    <row r="1149" customFormat="1" x14ac:dyDescent="0.2"/>
    <row r="1150" customFormat="1" x14ac:dyDescent="0.2"/>
    <row r="1151" customFormat="1" x14ac:dyDescent="0.2"/>
    <row r="1152" customFormat="1" x14ac:dyDescent="0.2"/>
    <row r="1153" customFormat="1" x14ac:dyDescent="0.2"/>
    <row r="1154" customFormat="1" x14ac:dyDescent="0.2"/>
    <row r="1155" customFormat="1" x14ac:dyDescent="0.2"/>
    <row r="1156" customFormat="1" x14ac:dyDescent="0.2"/>
    <row r="1157" customFormat="1" x14ac:dyDescent="0.2"/>
    <row r="1158" customFormat="1" x14ac:dyDescent="0.2"/>
    <row r="1159" customFormat="1" x14ac:dyDescent="0.2"/>
    <row r="1160" customFormat="1" x14ac:dyDescent="0.2"/>
    <row r="1161" customFormat="1" x14ac:dyDescent="0.2"/>
    <row r="1162" customFormat="1" x14ac:dyDescent="0.2"/>
    <row r="1163" customFormat="1" x14ac:dyDescent="0.2"/>
    <row r="1164" customFormat="1" x14ac:dyDescent="0.2"/>
    <row r="1165" customFormat="1" x14ac:dyDescent="0.2"/>
    <row r="1166" customFormat="1" x14ac:dyDescent="0.2"/>
    <row r="1167" customFormat="1" x14ac:dyDescent="0.2"/>
    <row r="1168" customFormat="1" x14ac:dyDescent="0.2"/>
    <row r="1169" customFormat="1" x14ac:dyDescent="0.2"/>
    <row r="1170" customFormat="1" x14ac:dyDescent="0.2"/>
    <row r="1171" customFormat="1" x14ac:dyDescent="0.2"/>
    <row r="1172" customFormat="1" x14ac:dyDescent="0.2"/>
    <row r="1173" customFormat="1" x14ac:dyDescent="0.2"/>
    <row r="1174" customFormat="1" x14ac:dyDescent="0.2"/>
    <row r="1175" customFormat="1" x14ac:dyDescent="0.2"/>
    <row r="1176" customFormat="1" x14ac:dyDescent="0.2"/>
    <row r="1177" customFormat="1" x14ac:dyDescent="0.2"/>
    <row r="1178" customFormat="1" x14ac:dyDescent="0.2"/>
    <row r="1179" customFormat="1" x14ac:dyDescent="0.2"/>
    <row r="1180" customFormat="1" x14ac:dyDescent="0.2"/>
    <row r="1181" customFormat="1" x14ac:dyDescent="0.2"/>
    <row r="1182" customFormat="1" x14ac:dyDescent="0.2"/>
    <row r="1183" customFormat="1" x14ac:dyDescent="0.2"/>
    <row r="1184" customFormat="1" x14ac:dyDescent="0.2"/>
    <row r="1185" customFormat="1" x14ac:dyDescent="0.2"/>
    <row r="1186" customFormat="1" x14ac:dyDescent="0.2"/>
    <row r="1187" customFormat="1" x14ac:dyDescent="0.2"/>
    <row r="1188" customFormat="1" x14ac:dyDescent="0.2"/>
    <row r="1189" customFormat="1" x14ac:dyDescent="0.2"/>
    <row r="1190" customFormat="1" x14ac:dyDescent="0.2"/>
    <row r="1191" customFormat="1" x14ac:dyDescent="0.2"/>
    <row r="1192" customFormat="1" x14ac:dyDescent="0.2"/>
    <row r="1193" customFormat="1" x14ac:dyDescent="0.2"/>
    <row r="1194" customFormat="1" x14ac:dyDescent="0.2"/>
    <row r="1195" customFormat="1" x14ac:dyDescent="0.2"/>
    <row r="1196" customFormat="1" x14ac:dyDescent="0.2"/>
    <row r="1197" customFormat="1" x14ac:dyDescent="0.2"/>
    <row r="1198" customFormat="1" x14ac:dyDescent="0.2"/>
    <row r="1199" customFormat="1" x14ac:dyDescent="0.2"/>
    <row r="1200" customFormat="1" x14ac:dyDescent="0.2"/>
    <row r="1201" customFormat="1" x14ac:dyDescent="0.2"/>
    <row r="1202" customFormat="1" x14ac:dyDescent="0.2"/>
    <row r="1203" customFormat="1" x14ac:dyDescent="0.2"/>
    <row r="1204" customFormat="1" x14ac:dyDescent="0.2"/>
    <row r="1205" customFormat="1" x14ac:dyDescent="0.2"/>
    <row r="1206" customFormat="1" x14ac:dyDescent="0.2"/>
    <row r="1207" customFormat="1" x14ac:dyDescent="0.2"/>
    <row r="1208" customFormat="1" x14ac:dyDescent="0.2"/>
    <row r="1209" customFormat="1" x14ac:dyDescent="0.2"/>
    <row r="1210" customFormat="1" x14ac:dyDescent="0.2"/>
    <row r="1211" customFormat="1" x14ac:dyDescent="0.2"/>
    <row r="1212" customFormat="1" x14ac:dyDescent="0.2"/>
    <row r="1213" customFormat="1" x14ac:dyDescent="0.2"/>
    <row r="1214" customFormat="1" x14ac:dyDescent="0.2"/>
    <row r="1215" customFormat="1" x14ac:dyDescent="0.2"/>
    <row r="1216" customFormat="1" x14ac:dyDescent="0.2"/>
    <row r="1217" customFormat="1" x14ac:dyDescent="0.2"/>
    <row r="1218" customFormat="1" x14ac:dyDescent="0.2"/>
    <row r="1219" customFormat="1" x14ac:dyDescent="0.2"/>
    <row r="1220" customFormat="1" x14ac:dyDescent="0.2"/>
    <row r="1221" customFormat="1" x14ac:dyDescent="0.2"/>
    <row r="1222" customFormat="1" x14ac:dyDescent="0.2"/>
    <row r="1223" customFormat="1" x14ac:dyDescent="0.2"/>
    <row r="1224" customFormat="1" x14ac:dyDescent="0.2"/>
    <row r="1225" customFormat="1" x14ac:dyDescent="0.2"/>
    <row r="1226" customFormat="1" x14ac:dyDescent="0.2"/>
    <row r="1227" customFormat="1" x14ac:dyDescent="0.2"/>
    <row r="1228" customFormat="1" x14ac:dyDescent="0.2"/>
    <row r="1229" customFormat="1" x14ac:dyDescent="0.2"/>
    <row r="1230" customFormat="1" x14ac:dyDescent="0.2"/>
    <row r="1231" customFormat="1" x14ac:dyDescent="0.2"/>
    <row r="1232" customFormat="1" x14ac:dyDescent="0.2"/>
    <row r="1233" customFormat="1" x14ac:dyDescent="0.2"/>
    <row r="1234" customFormat="1" x14ac:dyDescent="0.2"/>
    <row r="1235" customFormat="1" x14ac:dyDescent="0.2"/>
    <row r="1236" customFormat="1" x14ac:dyDescent="0.2"/>
    <row r="1237" customFormat="1" x14ac:dyDescent="0.2"/>
    <row r="1238" customFormat="1" x14ac:dyDescent="0.2"/>
    <row r="1239" customFormat="1" x14ac:dyDescent="0.2"/>
    <row r="1240" customFormat="1" x14ac:dyDescent="0.2"/>
    <row r="1241" customFormat="1" x14ac:dyDescent="0.2"/>
    <row r="1242" customFormat="1" x14ac:dyDescent="0.2"/>
    <row r="1243" customFormat="1" x14ac:dyDescent="0.2"/>
    <row r="1244" customFormat="1" x14ac:dyDescent="0.2"/>
    <row r="1245" customFormat="1" x14ac:dyDescent="0.2"/>
    <row r="1246" customFormat="1" x14ac:dyDescent="0.2"/>
    <row r="1247" customFormat="1" x14ac:dyDescent="0.2"/>
    <row r="1248" customFormat="1" x14ac:dyDescent="0.2"/>
    <row r="1249" customFormat="1" x14ac:dyDescent="0.2"/>
    <row r="1250" customFormat="1" x14ac:dyDescent="0.2"/>
    <row r="1251" customFormat="1" x14ac:dyDescent="0.2"/>
    <row r="1252" customFormat="1" x14ac:dyDescent="0.2"/>
    <row r="1253" customFormat="1" x14ac:dyDescent="0.2"/>
    <row r="1254" customFormat="1" x14ac:dyDescent="0.2"/>
    <row r="1255" customFormat="1" x14ac:dyDescent="0.2"/>
    <row r="1256" customFormat="1" x14ac:dyDescent="0.2"/>
    <row r="1257" customFormat="1" x14ac:dyDescent="0.2"/>
    <row r="1258" customFormat="1" x14ac:dyDescent="0.2"/>
    <row r="1259" customFormat="1" x14ac:dyDescent="0.2"/>
    <row r="1260" customFormat="1" x14ac:dyDescent="0.2"/>
    <row r="1261" customFormat="1" x14ac:dyDescent="0.2"/>
    <row r="1262" customFormat="1" x14ac:dyDescent="0.2"/>
    <row r="1263" customFormat="1" x14ac:dyDescent="0.2"/>
    <row r="1264" customFormat="1" x14ac:dyDescent="0.2"/>
    <row r="1265" customFormat="1" x14ac:dyDescent="0.2"/>
    <row r="1266" customFormat="1" x14ac:dyDescent="0.2"/>
    <row r="1267" customFormat="1" x14ac:dyDescent="0.2"/>
    <row r="1268" customFormat="1" x14ac:dyDescent="0.2"/>
    <row r="1269" customFormat="1" x14ac:dyDescent="0.2"/>
    <row r="1270" customFormat="1" x14ac:dyDescent="0.2"/>
    <row r="1271" customFormat="1" x14ac:dyDescent="0.2"/>
    <row r="1272" customFormat="1" x14ac:dyDescent="0.2"/>
    <row r="1273" customFormat="1" x14ac:dyDescent="0.2"/>
    <row r="1274" customFormat="1" x14ac:dyDescent="0.2"/>
    <row r="1275" customFormat="1" x14ac:dyDescent="0.2"/>
    <row r="1276" customFormat="1" x14ac:dyDescent="0.2"/>
    <row r="1277" customFormat="1" x14ac:dyDescent="0.2"/>
    <row r="1278" customFormat="1" x14ac:dyDescent="0.2"/>
    <row r="1279" customFormat="1" x14ac:dyDescent="0.2"/>
    <row r="1280" customFormat="1" x14ac:dyDescent="0.2"/>
    <row r="1281" customFormat="1" x14ac:dyDescent="0.2"/>
    <row r="1282" customFormat="1" x14ac:dyDescent="0.2"/>
    <row r="1283" customFormat="1" x14ac:dyDescent="0.2"/>
    <row r="1284" customFormat="1" x14ac:dyDescent="0.2"/>
    <row r="1285" customFormat="1" x14ac:dyDescent="0.2"/>
    <row r="1286" customFormat="1" x14ac:dyDescent="0.2"/>
    <row r="1287" customFormat="1" x14ac:dyDescent="0.2"/>
    <row r="1288" customFormat="1" x14ac:dyDescent="0.2"/>
    <row r="1289" customFormat="1" x14ac:dyDescent="0.2"/>
    <row r="1290" customFormat="1" x14ac:dyDescent="0.2"/>
    <row r="1291" customFormat="1" x14ac:dyDescent="0.2"/>
    <row r="1292" customFormat="1" x14ac:dyDescent="0.2"/>
    <row r="1293" customFormat="1" x14ac:dyDescent="0.2"/>
    <row r="1294" customFormat="1" x14ac:dyDescent="0.2"/>
    <row r="1295" customFormat="1" x14ac:dyDescent="0.2"/>
    <row r="1296" customFormat="1" x14ac:dyDescent="0.2"/>
    <row r="1297" customFormat="1" x14ac:dyDescent="0.2"/>
    <row r="1298" customFormat="1" x14ac:dyDescent="0.2"/>
    <row r="1299" customFormat="1" x14ac:dyDescent="0.2"/>
    <row r="1300" customFormat="1" x14ac:dyDescent="0.2"/>
    <row r="1301" customFormat="1" x14ac:dyDescent="0.2"/>
    <row r="1302" customFormat="1" x14ac:dyDescent="0.2"/>
    <row r="1303" customFormat="1" x14ac:dyDescent="0.2"/>
    <row r="1304" customFormat="1" x14ac:dyDescent="0.2"/>
    <row r="1305" customFormat="1" x14ac:dyDescent="0.2"/>
    <row r="1306" customFormat="1" x14ac:dyDescent="0.2"/>
    <row r="1307" customFormat="1" x14ac:dyDescent="0.2"/>
    <row r="1308" customFormat="1" x14ac:dyDescent="0.2"/>
    <row r="1309" customFormat="1" x14ac:dyDescent="0.2"/>
    <row r="1310" customFormat="1" x14ac:dyDescent="0.2"/>
    <row r="1311" customFormat="1" x14ac:dyDescent="0.2"/>
    <row r="1312" customFormat="1" x14ac:dyDescent="0.2"/>
    <row r="1313" customFormat="1" x14ac:dyDescent="0.2"/>
    <row r="1314" customFormat="1" x14ac:dyDescent="0.2"/>
    <row r="1315" customFormat="1" x14ac:dyDescent="0.2"/>
    <row r="1316" customFormat="1" x14ac:dyDescent="0.2"/>
    <row r="1317" customFormat="1" x14ac:dyDescent="0.2"/>
    <row r="1318" customFormat="1" x14ac:dyDescent="0.2"/>
    <row r="1319" customFormat="1" x14ac:dyDescent="0.2"/>
    <row r="1320" customFormat="1" x14ac:dyDescent="0.2"/>
    <row r="1321" customFormat="1" x14ac:dyDescent="0.2"/>
    <row r="1322" customFormat="1" x14ac:dyDescent="0.2"/>
    <row r="1323" customFormat="1" x14ac:dyDescent="0.2"/>
    <row r="1324" customFormat="1" x14ac:dyDescent="0.2"/>
    <row r="1325" customFormat="1" x14ac:dyDescent="0.2"/>
    <row r="1326" customFormat="1" x14ac:dyDescent="0.2"/>
    <row r="1327" customFormat="1" x14ac:dyDescent="0.2"/>
    <row r="1328" customFormat="1" x14ac:dyDescent="0.2"/>
    <row r="1329" customFormat="1" x14ac:dyDescent="0.2"/>
    <row r="1330" customFormat="1" x14ac:dyDescent="0.2"/>
    <row r="1331" customFormat="1" x14ac:dyDescent="0.2"/>
    <row r="1332" customFormat="1" x14ac:dyDescent="0.2"/>
    <row r="1333" customFormat="1" x14ac:dyDescent="0.2"/>
    <row r="1334" customFormat="1" x14ac:dyDescent="0.2"/>
    <row r="1335" customFormat="1" x14ac:dyDescent="0.2"/>
    <row r="1336" customFormat="1" x14ac:dyDescent="0.2"/>
    <row r="1337" customFormat="1" x14ac:dyDescent="0.2"/>
    <row r="1338" customFormat="1" x14ac:dyDescent="0.2"/>
    <row r="1339" customFormat="1" x14ac:dyDescent="0.2"/>
    <row r="1340" customFormat="1" x14ac:dyDescent="0.2"/>
    <row r="1341" customFormat="1" x14ac:dyDescent="0.2"/>
    <row r="1342" customFormat="1" x14ac:dyDescent="0.2"/>
    <row r="1343" customFormat="1" x14ac:dyDescent="0.2"/>
    <row r="1344" customFormat="1" x14ac:dyDescent="0.2"/>
    <row r="1345" customFormat="1" x14ac:dyDescent="0.2"/>
    <row r="1346" customFormat="1" x14ac:dyDescent="0.2"/>
    <row r="1347" customFormat="1" x14ac:dyDescent="0.2"/>
    <row r="1348" customFormat="1" x14ac:dyDescent="0.2"/>
    <row r="1349" customFormat="1" x14ac:dyDescent="0.2"/>
    <row r="1350" customFormat="1" x14ac:dyDescent="0.2"/>
    <row r="1351" customFormat="1" x14ac:dyDescent="0.2"/>
    <row r="1352" customFormat="1" x14ac:dyDescent="0.2"/>
    <row r="1353" customFormat="1" x14ac:dyDescent="0.2"/>
    <row r="1354" customFormat="1" x14ac:dyDescent="0.2"/>
    <row r="1355" customFormat="1" x14ac:dyDescent="0.2"/>
    <row r="1356" customFormat="1" x14ac:dyDescent="0.2"/>
    <row r="1357" customFormat="1" x14ac:dyDescent="0.2"/>
    <row r="1358" customFormat="1" x14ac:dyDescent="0.2"/>
    <row r="1359" customFormat="1" x14ac:dyDescent="0.2"/>
    <row r="1360" customFormat="1" x14ac:dyDescent="0.2"/>
    <row r="1361" customFormat="1" x14ac:dyDescent="0.2"/>
    <row r="1362" customFormat="1" x14ac:dyDescent="0.2"/>
    <row r="1363" customFormat="1" x14ac:dyDescent="0.2"/>
    <row r="1364" customFormat="1" x14ac:dyDescent="0.2"/>
    <row r="1365" customFormat="1" x14ac:dyDescent="0.2"/>
    <row r="1366" customFormat="1" x14ac:dyDescent="0.2"/>
    <row r="1367" customFormat="1" x14ac:dyDescent="0.2"/>
    <row r="1368" customFormat="1" x14ac:dyDescent="0.2"/>
    <row r="1369" customFormat="1" x14ac:dyDescent="0.2"/>
    <row r="1370" customFormat="1" x14ac:dyDescent="0.2"/>
    <row r="1371" customFormat="1" x14ac:dyDescent="0.2"/>
    <row r="1372" customFormat="1" x14ac:dyDescent="0.2"/>
    <row r="1373" customFormat="1" x14ac:dyDescent="0.2"/>
    <row r="1374" customFormat="1" x14ac:dyDescent="0.2"/>
    <row r="1375" customFormat="1" x14ac:dyDescent="0.2"/>
    <row r="1376" customFormat="1" x14ac:dyDescent="0.2"/>
    <row r="1377" customFormat="1" x14ac:dyDescent="0.2"/>
    <row r="1378" customFormat="1" x14ac:dyDescent="0.2"/>
    <row r="1379" customFormat="1" x14ac:dyDescent="0.2"/>
    <row r="1380" customFormat="1" x14ac:dyDescent="0.2"/>
    <row r="1381" customFormat="1" x14ac:dyDescent="0.2"/>
    <row r="1382" customFormat="1" x14ac:dyDescent="0.2"/>
    <row r="1383" customFormat="1" x14ac:dyDescent="0.2"/>
    <row r="1384" customFormat="1" x14ac:dyDescent="0.2"/>
    <row r="1385" customFormat="1" x14ac:dyDescent="0.2"/>
    <row r="1386" customFormat="1" x14ac:dyDescent="0.2"/>
    <row r="1387" customFormat="1" x14ac:dyDescent="0.2"/>
    <row r="1388" customFormat="1" x14ac:dyDescent="0.2"/>
    <row r="1389" customFormat="1" x14ac:dyDescent="0.2"/>
    <row r="1390" customFormat="1" x14ac:dyDescent="0.2"/>
    <row r="1391" customFormat="1" x14ac:dyDescent="0.2"/>
    <row r="1392" customFormat="1" x14ac:dyDescent="0.2"/>
    <row r="1393" customFormat="1" x14ac:dyDescent="0.2"/>
    <row r="1394" customFormat="1" x14ac:dyDescent="0.2"/>
    <row r="1395" customFormat="1" x14ac:dyDescent="0.2"/>
    <row r="1396" customFormat="1" x14ac:dyDescent="0.2"/>
    <row r="1397" customFormat="1" x14ac:dyDescent="0.2"/>
    <row r="1398" customFormat="1" x14ac:dyDescent="0.2"/>
    <row r="1399" customFormat="1" x14ac:dyDescent="0.2"/>
    <row r="1400" customFormat="1" x14ac:dyDescent="0.2"/>
    <row r="1401" customFormat="1" x14ac:dyDescent="0.2"/>
    <row r="1402" customFormat="1" x14ac:dyDescent="0.2"/>
    <row r="1403" customFormat="1" x14ac:dyDescent="0.2"/>
    <row r="1404" customFormat="1" x14ac:dyDescent="0.2"/>
    <row r="1405" customFormat="1" x14ac:dyDescent="0.2"/>
    <row r="1406" customFormat="1" x14ac:dyDescent="0.2"/>
    <row r="1407" customFormat="1" x14ac:dyDescent="0.2"/>
    <row r="1408" customFormat="1" x14ac:dyDescent="0.2"/>
    <row r="1409" customFormat="1" x14ac:dyDescent="0.2"/>
    <row r="1410" customFormat="1" x14ac:dyDescent="0.2"/>
    <row r="1411" customFormat="1" x14ac:dyDescent="0.2"/>
    <row r="1412" customFormat="1" x14ac:dyDescent="0.2"/>
    <row r="1413" customFormat="1" x14ac:dyDescent="0.2"/>
    <row r="1414" customFormat="1" x14ac:dyDescent="0.2"/>
    <row r="1415" customFormat="1" x14ac:dyDescent="0.2"/>
    <row r="1416" customFormat="1" x14ac:dyDescent="0.2"/>
    <row r="1417" customFormat="1" x14ac:dyDescent="0.2"/>
    <row r="1418" customFormat="1" x14ac:dyDescent="0.2"/>
    <row r="1419" customFormat="1" x14ac:dyDescent="0.2"/>
    <row r="1420" customFormat="1" x14ac:dyDescent="0.2"/>
    <row r="1421" customFormat="1" x14ac:dyDescent="0.2"/>
    <row r="1422" customFormat="1" x14ac:dyDescent="0.2"/>
    <row r="1423" customFormat="1" x14ac:dyDescent="0.2"/>
    <row r="1424" customFormat="1" x14ac:dyDescent="0.2"/>
    <row r="1425" customFormat="1" x14ac:dyDescent="0.2"/>
    <row r="1426" customFormat="1" x14ac:dyDescent="0.2"/>
    <row r="1427" customFormat="1" x14ac:dyDescent="0.2"/>
    <row r="1428" customFormat="1" x14ac:dyDescent="0.2"/>
    <row r="1429" customFormat="1" x14ac:dyDescent="0.2"/>
    <row r="1430" customFormat="1" x14ac:dyDescent="0.2"/>
    <row r="1431" customFormat="1" x14ac:dyDescent="0.2"/>
    <row r="1432" customFormat="1" x14ac:dyDescent="0.2"/>
    <row r="1433" customFormat="1" x14ac:dyDescent="0.2"/>
    <row r="1434" customFormat="1" x14ac:dyDescent="0.2"/>
    <row r="1435" customFormat="1" x14ac:dyDescent="0.2"/>
    <row r="1436" customFormat="1" x14ac:dyDescent="0.2"/>
    <row r="1437" customFormat="1" x14ac:dyDescent="0.2"/>
    <row r="1438" customFormat="1" x14ac:dyDescent="0.2"/>
    <row r="1439" customFormat="1" x14ac:dyDescent="0.2"/>
    <row r="1440" customFormat="1" x14ac:dyDescent="0.2"/>
    <row r="1441" customFormat="1" x14ac:dyDescent="0.2"/>
    <row r="1442" customFormat="1" x14ac:dyDescent="0.2"/>
    <row r="1443" customFormat="1" x14ac:dyDescent="0.2"/>
    <row r="1444" customFormat="1" x14ac:dyDescent="0.2"/>
    <row r="1445" customFormat="1" x14ac:dyDescent="0.2"/>
    <row r="1446" customFormat="1" x14ac:dyDescent="0.2"/>
    <row r="1447" customFormat="1" x14ac:dyDescent="0.2"/>
    <row r="1448" customFormat="1" x14ac:dyDescent="0.2"/>
    <row r="1449" customFormat="1" x14ac:dyDescent="0.2"/>
    <row r="1450" customFormat="1" x14ac:dyDescent="0.2"/>
    <row r="1451" customFormat="1" x14ac:dyDescent="0.2"/>
    <row r="1452" customFormat="1" x14ac:dyDescent="0.2"/>
    <row r="1453" customFormat="1" x14ac:dyDescent="0.2"/>
    <row r="1454" customFormat="1" x14ac:dyDescent="0.2"/>
    <row r="1455" customFormat="1" x14ac:dyDescent="0.2"/>
    <row r="1456" customFormat="1" x14ac:dyDescent="0.2"/>
    <row r="1457" customFormat="1" x14ac:dyDescent="0.2"/>
    <row r="1458" customFormat="1" x14ac:dyDescent="0.2"/>
    <row r="1459" customFormat="1" x14ac:dyDescent="0.2"/>
    <row r="1460" customFormat="1" x14ac:dyDescent="0.2"/>
    <row r="1461" customFormat="1" x14ac:dyDescent="0.2"/>
    <row r="1462" customFormat="1" x14ac:dyDescent="0.2"/>
    <row r="1463" customFormat="1" x14ac:dyDescent="0.2"/>
    <row r="1464" customFormat="1" x14ac:dyDescent="0.2"/>
    <row r="1465" customFormat="1" x14ac:dyDescent="0.2"/>
    <row r="1466" customFormat="1" x14ac:dyDescent="0.2"/>
    <row r="1467" customFormat="1" x14ac:dyDescent="0.2"/>
    <row r="1468" customFormat="1" x14ac:dyDescent="0.2"/>
    <row r="1469" customFormat="1" x14ac:dyDescent="0.2"/>
    <row r="1470" customFormat="1" x14ac:dyDescent="0.2"/>
    <row r="1471" customFormat="1" x14ac:dyDescent="0.2"/>
    <row r="1472" customFormat="1" x14ac:dyDescent="0.2"/>
    <row r="1473" customFormat="1" x14ac:dyDescent="0.2"/>
    <row r="1474" customFormat="1" x14ac:dyDescent="0.2"/>
    <row r="1475" customFormat="1" x14ac:dyDescent="0.2"/>
    <row r="1476" customFormat="1" x14ac:dyDescent="0.2"/>
    <row r="1477" customFormat="1" x14ac:dyDescent="0.2"/>
    <row r="1478" customFormat="1" x14ac:dyDescent="0.2"/>
    <row r="1479" customFormat="1" x14ac:dyDescent="0.2"/>
    <row r="1480" customFormat="1" x14ac:dyDescent="0.2"/>
    <row r="1481" customFormat="1" x14ac:dyDescent="0.2"/>
    <row r="1482" customFormat="1" x14ac:dyDescent="0.2"/>
    <row r="1483" customFormat="1" x14ac:dyDescent="0.2"/>
    <row r="1484" customFormat="1" x14ac:dyDescent="0.2"/>
    <row r="1485" customFormat="1" x14ac:dyDescent="0.2"/>
    <row r="1486" customFormat="1" x14ac:dyDescent="0.2"/>
    <row r="1487" customFormat="1" x14ac:dyDescent="0.2"/>
    <row r="1488" customFormat="1" x14ac:dyDescent="0.2"/>
    <row r="1489" customFormat="1" x14ac:dyDescent="0.2"/>
    <row r="1490" customFormat="1" x14ac:dyDescent="0.2"/>
    <row r="1491" customFormat="1" x14ac:dyDescent="0.2"/>
    <row r="1492" customFormat="1" x14ac:dyDescent="0.2"/>
    <row r="1493" customFormat="1" x14ac:dyDescent="0.2"/>
    <row r="1494" customFormat="1" x14ac:dyDescent="0.2"/>
    <row r="1495" customFormat="1" x14ac:dyDescent="0.2"/>
    <row r="1496" customFormat="1" x14ac:dyDescent="0.2"/>
    <row r="1497" customFormat="1" x14ac:dyDescent="0.2"/>
    <row r="1498" customFormat="1" x14ac:dyDescent="0.2"/>
    <row r="1499" customFormat="1" x14ac:dyDescent="0.2"/>
    <row r="1500" customFormat="1" x14ac:dyDescent="0.2"/>
    <row r="1501" customFormat="1" x14ac:dyDescent="0.2"/>
    <row r="1502" customFormat="1" x14ac:dyDescent="0.2"/>
    <row r="1503" customFormat="1" x14ac:dyDescent="0.2"/>
    <row r="1504" customFormat="1" x14ac:dyDescent="0.2"/>
    <row r="1505" customFormat="1" x14ac:dyDescent="0.2"/>
    <row r="1506" customFormat="1" x14ac:dyDescent="0.2"/>
    <row r="1507" customFormat="1" x14ac:dyDescent="0.2"/>
    <row r="1508" customFormat="1" x14ac:dyDescent="0.2"/>
    <row r="1509" customFormat="1" x14ac:dyDescent="0.2"/>
    <row r="1510" customFormat="1" x14ac:dyDescent="0.2"/>
    <row r="1511" customFormat="1" x14ac:dyDescent="0.2"/>
    <row r="1512" customFormat="1" x14ac:dyDescent="0.2"/>
    <row r="1513" customFormat="1" x14ac:dyDescent="0.2"/>
    <row r="1514" customFormat="1" x14ac:dyDescent="0.2"/>
    <row r="1515" customFormat="1" x14ac:dyDescent="0.2"/>
    <row r="1516" customFormat="1" x14ac:dyDescent="0.2"/>
    <row r="1517" customFormat="1" x14ac:dyDescent="0.2"/>
    <row r="1518" customFormat="1" x14ac:dyDescent="0.2"/>
    <row r="1519" customFormat="1" x14ac:dyDescent="0.2"/>
    <row r="1520" customFormat="1" x14ac:dyDescent="0.2"/>
    <row r="1521" customFormat="1" x14ac:dyDescent="0.2"/>
    <row r="1522" customFormat="1" x14ac:dyDescent="0.2"/>
    <row r="1523" customFormat="1" x14ac:dyDescent="0.2"/>
    <row r="1524" customFormat="1" x14ac:dyDescent="0.2"/>
    <row r="1525" customFormat="1" x14ac:dyDescent="0.2"/>
    <row r="1526" customFormat="1" x14ac:dyDescent="0.2"/>
    <row r="1527" customFormat="1" x14ac:dyDescent="0.2"/>
    <row r="1528" customFormat="1" x14ac:dyDescent="0.2"/>
    <row r="1529" customFormat="1" x14ac:dyDescent="0.2"/>
    <row r="1530" customFormat="1" x14ac:dyDescent="0.2"/>
    <row r="1531" customFormat="1" x14ac:dyDescent="0.2"/>
    <row r="1532" customFormat="1" x14ac:dyDescent="0.2"/>
    <row r="1533" customFormat="1" x14ac:dyDescent="0.2"/>
    <row r="1534" customFormat="1" x14ac:dyDescent="0.2"/>
    <row r="1535" customFormat="1" x14ac:dyDescent="0.2"/>
    <row r="1536" customFormat="1" x14ac:dyDescent="0.2"/>
    <row r="1537" customFormat="1" x14ac:dyDescent="0.2"/>
    <row r="1538" customFormat="1" x14ac:dyDescent="0.2"/>
    <row r="1539" customFormat="1" x14ac:dyDescent="0.2"/>
    <row r="1540" customFormat="1" x14ac:dyDescent="0.2"/>
    <row r="1541" customFormat="1" x14ac:dyDescent="0.2"/>
    <row r="1542" customFormat="1" x14ac:dyDescent="0.2"/>
    <row r="1543" customFormat="1" x14ac:dyDescent="0.2"/>
    <row r="1544" customFormat="1" x14ac:dyDescent="0.2"/>
    <row r="1545" customFormat="1" x14ac:dyDescent="0.2"/>
    <row r="1546" customFormat="1" x14ac:dyDescent="0.2"/>
    <row r="1547" customFormat="1" x14ac:dyDescent="0.2"/>
    <row r="1548" customFormat="1" x14ac:dyDescent="0.2"/>
    <row r="1549" customFormat="1" x14ac:dyDescent="0.2"/>
    <row r="1550" customFormat="1" x14ac:dyDescent="0.2"/>
    <row r="1551" customFormat="1" x14ac:dyDescent="0.2"/>
    <row r="1552" customFormat="1" x14ac:dyDescent="0.2"/>
    <row r="1553" customFormat="1" x14ac:dyDescent="0.2"/>
    <row r="1554" customFormat="1" x14ac:dyDescent="0.2"/>
    <row r="1555" customFormat="1" x14ac:dyDescent="0.2"/>
    <row r="1556" customFormat="1" x14ac:dyDescent="0.2"/>
    <row r="1557" customFormat="1" x14ac:dyDescent="0.2"/>
    <row r="1558" customFormat="1" x14ac:dyDescent="0.2"/>
    <row r="1559" customFormat="1" x14ac:dyDescent="0.2"/>
    <row r="1560" customFormat="1" x14ac:dyDescent="0.2"/>
    <row r="1561" customFormat="1" x14ac:dyDescent="0.2"/>
    <row r="1562" customFormat="1" x14ac:dyDescent="0.2"/>
    <row r="1563" customFormat="1" x14ac:dyDescent="0.2"/>
    <row r="1564" customFormat="1" x14ac:dyDescent="0.2"/>
    <row r="1565" customFormat="1" x14ac:dyDescent="0.2"/>
    <row r="1566" customFormat="1" x14ac:dyDescent="0.2"/>
    <row r="1567" customFormat="1" x14ac:dyDescent="0.2"/>
    <row r="1568" customFormat="1" x14ac:dyDescent="0.2"/>
    <row r="1569" customFormat="1" x14ac:dyDescent="0.2"/>
    <row r="1570" customFormat="1" x14ac:dyDescent="0.2"/>
    <row r="1571" customFormat="1" x14ac:dyDescent="0.2"/>
    <row r="1572" customFormat="1" x14ac:dyDescent="0.2"/>
    <row r="1573" customFormat="1" x14ac:dyDescent="0.2"/>
    <row r="1574" customFormat="1" x14ac:dyDescent="0.2"/>
    <row r="1575" customFormat="1" x14ac:dyDescent="0.2"/>
    <row r="1576" customFormat="1" x14ac:dyDescent="0.2"/>
    <row r="1577" customFormat="1" x14ac:dyDescent="0.2"/>
    <row r="1578" customFormat="1" x14ac:dyDescent="0.2"/>
    <row r="1579" customFormat="1" x14ac:dyDescent="0.2"/>
    <row r="1580" customFormat="1" x14ac:dyDescent="0.2"/>
    <row r="1581" customFormat="1" x14ac:dyDescent="0.2"/>
    <row r="1582" customFormat="1" x14ac:dyDescent="0.2"/>
    <row r="1583" customFormat="1" x14ac:dyDescent="0.2"/>
    <row r="1584" customFormat="1" x14ac:dyDescent="0.2"/>
    <row r="1585" customFormat="1" x14ac:dyDescent="0.2"/>
    <row r="1586" customFormat="1" x14ac:dyDescent="0.2"/>
    <row r="1587" customFormat="1" x14ac:dyDescent="0.2"/>
    <row r="1588" customFormat="1" x14ac:dyDescent="0.2"/>
    <row r="1589" customFormat="1" x14ac:dyDescent="0.2"/>
    <row r="1590" customFormat="1" x14ac:dyDescent="0.2"/>
    <row r="1591" customFormat="1" x14ac:dyDescent="0.2"/>
    <row r="1592" customFormat="1" x14ac:dyDescent="0.2"/>
    <row r="1593" customFormat="1" x14ac:dyDescent="0.2"/>
    <row r="1594" customFormat="1" x14ac:dyDescent="0.2"/>
    <row r="1595" customFormat="1" x14ac:dyDescent="0.2"/>
    <row r="1596" customFormat="1" x14ac:dyDescent="0.2"/>
    <row r="1597" customFormat="1" x14ac:dyDescent="0.2"/>
    <row r="1598" customFormat="1" x14ac:dyDescent="0.2"/>
    <row r="1599" customFormat="1" x14ac:dyDescent="0.2"/>
    <row r="1600" customFormat="1" x14ac:dyDescent="0.2"/>
    <row r="1601" customFormat="1" x14ac:dyDescent="0.2"/>
    <row r="1602" customFormat="1" x14ac:dyDescent="0.2"/>
    <row r="1603" customFormat="1" x14ac:dyDescent="0.2"/>
    <row r="1604" customFormat="1" x14ac:dyDescent="0.2"/>
    <row r="1605" customFormat="1" x14ac:dyDescent="0.2"/>
    <row r="1606" customFormat="1" x14ac:dyDescent="0.2"/>
    <row r="1607" customFormat="1" x14ac:dyDescent="0.2"/>
    <row r="1608" customFormat="1" x14ac:dyDescent="0.2"/>
    <row r="1609" customFormat="1" x14ac:dyDescent="0.2"/>
    <row r="1610" customFormat="1" x14ac:dyDescent="0.2"/>
    <row r="1611" customFormat="1" x14ac:dyDescent="0.2"/>
    <row r="1612" customFormat="1" x14ac:dyDescent="0.2"/>
    <row r="1613" customFormat="1" x14ac:dyDescent="0.2"/>
    <row r="1614" customFormat="1" x14ac:dyDescent="0.2"/>
    <row r="1615" customFormat="1" x14ac:dyDescent="0.2"/>
    <row r="1616" customFormat="1" x14ac:dyDescent="0.2"/>
    <row r="1617" customFormat="1" x14ac:dyDescent="0.2"/>
    <row r="1618" customFormat="1" x14ac:dyDescent="0.2"/>
    <row r="1619" customFormat="1" x14ac:dyDescent="0.2"/>
    <row r="1620" customFormat="1" x14ac:dyDescent="0.2"/>
    <row r="1621" customFormat="1" x14ac:dyDescent="0.2"/>
    <row r="1622" customFormat="1" x14ac:dyDescent="0.2"/>
    <row r="1623" customFormat="1" x14ac:dyDescent="0.2"/>
    <row r="1624" customFormat="1" x14ac:dyDescent="0.2"/>
    <row r="1625" customFormat="1" x14ac:dyDescent="0.2"/>
    <row r="1626" customFormat="1" x14ac:dyDescent="0.2"/>
    <row r="1627" customFormat="1" x14ac:dyDescent="0.2"/>
    <row r="1628" customFormat="1" x14ac:dyDescent="0.2"/>
    <row r="1629" customFormat="1" x14ac:dyDescent="0.2"/>
    <row r="1630" customFormat="1" x14ac:dyDescent="0.2"/>
    <row r="1631" customFormat="1" x14ac:dyDescent="0.2"/>
    <row r="1632" customFormat="1" x14ac:dyDescent="0.2"/>
    <row r="1633" customFormat="1" x14ac:dyDescent="0.2"/>
    <row r="1634" customFormat="1" x14ac:dyDescent="0.2"/>
    <row r="1635" customFormat="1" x14ac:dyDescent="0.2"/>
    <row r="1636" customFormat="1" x14ac:dyDescent="0.2"/>
    <row r="1637" customFormat="1" x14ac:dyDescent="0.2"/>
    <row r="1638" customFormat="1" x14ac:dyDescent="0.2"/>
    <row r="1639" customFormat="1" x14ac:dyDescent="0.2"/>
    <row r="1640" customFormat="1" x14ac:dyDescent="0.2"/>
    <row r="1641" customFormat="1" x14ac:dyDescent="0.2"/>
    <row r="1642" customFormat="1" x14ac:dyDescent="0.2"/>
    <row r="1643" customFormat="1" x14ac:dyDescent="0.2"/>
    <row r="1644" customFormat="1" x14ac:dyDescent="0.2"/>
    <row r="1645" customFormat="1" x14ac:dyDescent="0.2"/>
    <row r="1646" customFormat="1" x14ac:dyDescent="0.2"/>
    <row r="1647" customFormat="1" x14ac:dyDescent="0.2"/>
    <row r="1648" customFormat="1" x14ac:dyDescent="0.2"/>
    <row r="1649" customFormat="1" x14ac:dyDescent="0.2"/>
    <row r="1650" customFormat="1" x14ac:dyDescent="0.2"/>
    <row r="1651" customFormat="1" x14ac:dyDescent="0.2"/>
    <row r="1652" customFormat="1" x14ac:dyDescent="0.2"/>
    <row r="1653" customFormat="1" x14ac:dyDescent="0.2"/>
    <row r="1654" customFormat="1" x14ac:dyDescent="0.2"/>
    <row r="1655" customFormat="1" x14ac:dyDescent="0.2"/>
    <row r="1656" customFormat="1" x14ac:dyDescent="0.2"/>
    <row r="1657" customFormat="1" x14ac:dyDescent="0.2"/>
    <row r="1658" customFormat="1" x14ac:dyDescent="0.2"/>
    <row r="1659" customFormat="1" x14ac:dyDescent="0.2"/>
    <row r="1660" customFormat="1" x14ac:dyDescent="0.2"/>
    <row r="1661" customFormat="1" x14ac:dyDescent="0.2"/>
    <row r="1662" customFormat="1" x14ac:dyDescent="0.2"/>
    <row r="1663" customFormat="1" x14ac:dyDescent="0.2"/>
    <row r="1664" customFormat="1" x14ac:dyDescent="0.2"/>
    <row r="1665" customFormat="1" x14ac:dyDescent="0.2"/>
    <row r="1666" customFormat="1" x14ac:dyDescent="0.2"/>
    <row r="1667" customFormat="1" x14ac:dyDescent="0.2"/>
    <row r="1668" customFormat="1" x14ac:dyDescent="0.2"/>
    <row r="1669" customFormat="1" x14ac:dyDescent="0.2"/>
    <row r="1670" customFormat="1" x14ac:dyDescent="0.2"/>
    <row r="1671" customFormat="1" x14ac:dyDescent="0.2"/>
    <row r="1672" customFormat="1" x14ac:dyDescent="0.2"/>
    <row r="1673" customFormat="1" x14ac:dyDescent="0.2"/>
    <row r="1674" customFormat="1" x14ac:dyDescent="0.2"/>
    <row r="1675" customFormat="1" x14ac:dyDescent="0.2"/>
    <row r="1676" customFormat="1" x14ac:dyDescent="0.2"/>
    <row r="1677" customFormat="1" x14ac:dyDescent="0.2"/>
    <row r="1678" customFormat="1" x14ac:dyDescent="0.2"/>
    <row r="1679" customFormat="1" x14ac:dyDescent="0.2"/>
    <row r="1680" customFormat="1" x14ac:dyDescent="0.2"/>
    <row r="1681" customFormat="1" x14ac:dyDescent="0.2"/>
    <row r="1682" customFormat="1" x14ac:dyDescent="0.2"/>
    <row r="1683" customFormat="1" x14ac:dyDescent="0.2"/>
    <row r="1684" customFormat="1" x14ac:dyDescent="0.2"/>
    <row r="1685" customFormat="1" x14ac:dyDescent="0.2"/>
    <row r="1686" customFormat="1" x14ac:dyDescent="0.2"/>
    <row r="1687" customFormat="1" x14ac:dyDescent="0.2"/>
    <row r="1688" customFormat="1" x14ac:dyDescent="0.2"/>
    <row r="1689" customFormat="1" x14ac:dyDescent="0.2"/>
    <row r="1690" customFormat="1" x14ac:dyDescent="0.2"/>
    <row r="1691" customFormat="1" x14ac:dyDescent="0.2"/>
    <row r="1692" customFormat="1" x14ac:dyDescent="0.2"/>
    <row r="1693" customFormat="1" x14ac:dyDescent="0.2"/>
    <row r="1694" customFormat="1" x14ac:dyDescent="0.2"/>
    <row r="1695" customFormat="1" x14ac:dyDescent="0.2"/>
    <row r="1696" customFormat="1" x14ac:dyDescent="0.2"/>
    <row r="1697" customFormat="1" x14ac:dyDescent="0.2"/>
    <row r="1698" customFormat="1" x14ac:dyDescent="0.2"/>
    <row r="1699" customFormat="1" x14ac:dyDescent="0.2"/>
    <row r="1700" customFormat="1" x14ac:dyDescent="0.2"/>
    <row r="1701" customFormat="1" x14ac:dyDescent="0.2"/>
    <row r="1702" customFormat="1" x14ac:dyDescent="0.2"/>
    <row r="1703" customFormat="1" x14ac:dyDescent="0.2"/>
    <row r="1704" customFormat="1" x14ac:dyDescent="0.2"/>
    <row r="1705" customFormat="1" x14ac:dyDescent="0.2"/>
    <row r="1706" customFormat="1" x14ac:dyDescent="0.2"/>
    <row r="1707" customFormat="1" x14ac:dyDescent="0.2"/>
    <row r="1708" customFormat="1" x14ac:dyDescent="0.2"/>
    <row r="1709" customFormat="1" x14ac:dyDescent="0.2"/>
    <row r="1710" customFormat="1" x14ac:dyDescent="0.2"/>
    <row r="1711" customFormat="1" x14ac:dyDescent="0.2"/>
    <row r="1712" customFormat="1" x14ac:dyDescent="0.2"/>
    <row r="1713" customFormat="1" x14ac:dyDescent="0.2"/>
    <row r="1714" customFormat="1" x14ac:dyDescent="0.2"/>
    <row r="1715" customFormat="1" x14ac:dyDescent="0.2"/>
    <row r="1716" customFormat="1" x14ac:dyDescent="0.2"/>
    <row r="1717" customFormat="1" x14ac:dyDescent="0.2"/>
    <row r="1718" customFormat="1" x14ac:dyDescent="0.2"/>
    <row r="1719" customFormat="1" x14ac:dyDescent="0.2"/>
    <row r="1720" customFormat="1" x14ac:dyDescent="0.2"/>
    <row r="1721" customFormat="1" x14ac:dyDescent="0.2"/>
    <row r="1722" customFormat="1" x14ac:dyDescent="0.2"/>
    <row r="1723" customFormat="1" x14ac:dyDescent="0.2"/>
    <row r="1724" customFormat="1" x14ac:dyDescent="0.2"/>
    <row r="1725" customFormat="1" x14ac:dyDescent="0.2"/>
    <row r="1726" customFormat="1" x14ac:dyDescent="0.2"/>
    <row r="1727" customFormat="1" x14ac:dyDescent="0.2"/>
    <row r="1728" customFormat="1" x14ac:dyDescent="0.2"/>
    <row r="1729" customFormat="1" x14ac:dyDescent="0.2"/>
    <row r="1730" customFormat="1" x14ac:dyDescent="0.2"/>
    <row r="1731" customFormat="1" x14ac:dyDescent="0.2"/>
    <row r="1732" customFormat="1" x14ac:dyDescent="0.2"/>
    <row r="1733" customFormat="1" x14ac:dyDescent="0.2"/>
    <row r="1734" customFormat="1" x14ac:dyDescent="0.2"/>
    <row r="1735" customFormat="1" x14ac:dyDescent="0.2"/>
    <row r="1736" customFormat="1" x14ac:dyDescent="0.2"/>
    <row r="1737" customFormat="1" x14ac:dyDescent="0.2"/>
    <row r="1738" customFormat="1" x14ac:dyDescent="0.2"/>
    <row r="1739" customFormat="1" x14ac:dyDescent="0.2"/>
    <row r="1740" customFormat="1" x14ac:dyDescent="0.2"/>
    <row r="1741" customFormat="1" x14ac:dyDescent="0.2"/>
    <row r="1742" customFormat="1" x14ac:dyDescent="0.2"/>
    <row r="1743" customFormat="1" x14ac:dyDescent="0.2"/>
    <row r="1744" customFormat="1" x14ac:dyDescent="0.2"/>
    <row r="1745" customFormat="1" x14ac:dyDescent="0.2"/>
    <row r="1746" customFormat="1" x14ac:dyDescent="0.2"/>
    <row r="1747" customFormat="1" x14ac:dyDescent="0.2"/>
    <row r="1748" customFormat="1" x14ac:dyDescent="0.2"/>
    <row r="1749" customFormat="1" x14ac:dyDescent="0.2"/>
    <row r="1750" customFormat="1" x14ac:dyDescent="0.2"/>
    <row r="1751" customFormat="1" x14ac:dyDescent="0.2"/>
    <row r="1752" customFormat="1" x14ac:dyDescent="0.2"/>
    <row r="1753" customFormat="1" x14ac:dyDescent="0.2"/>
    <row r="1754" customFormat="1" x14ac:dyDescent="0.2"/>
    <row r="1755" customFormat="1" x14ac:dyDescent="0.2"/>
    <row r="1756" customFormat="1" x14ac:dyDescent="0.2"/>
    <row r="1757" customFormat="1" x14ac:dyDescent="0.2"/>
    <row r="1758" customFormat="1" x14ac:dyDescent="0.2"/>
    <row r="1759" customFormat="1" x14ac:dyDescent="0.2"/>
    <row r="1760" customFormat="1" x14ac:dyDescent="0.2"/>
    <row r="1761" customFormat="1" x14ac:dyDescent="0.2"/>
    <row r="1762" customFormat="1" x14ac:dyDescent="0.2"/>
    <row r="1763" customFormat="1" x14ac:dyDescent="0.2"/>
    <row r="1764" customFormat="1" x14ac:dyDescent="0.2"/>
    <row r="1765" customFormat="1" x14ac:dyDescent="0.2"/>
    <row r="1766" customFormat="1" x14ac:dyDescent="0.2"/>
    <row r="1767" customFormat="1" x14ac:dyDescent="0.2"/>
    <row r="1768" customFormat="1" x14ac:dyDescent="0.2"/>
    <row r="1769" customFormat="1" x14ac:dyDescent="0.2"/>
    <row r="1770" customFormat="1" x14ac:dyDescent="0.2"/>
    <row r="1771" customFormat="1" x14ac:dyDescent="0.2"/>
    <row r="1772" customFormat="1" x14ac:dyDescent="0.2"/>
    <row r="1773" customFormat="1" x14ac:dyDescent="0.2"/>
    <row r="1774" customFormat="1" x14ac:dyDescent="0.2"/>
    <row r="1775" customFormat="1" x14ac:dyDescent="0.2"/>
    <row r="1776" customFormat="1" x14ac:dyDescent="0.2"/>
    <row r="1777" customFormat="1" x14ac:dyDescent="0.2"/>
    <row r="1778" customFormat="1" x14ac:dyDescent="0.2"/>
    <row r="1779" customFormat="1" x14ac:dyDescent="0.2"/>
    <row r="1780" customFormat="1" x14ac:dyDescent="0.2"/>
    <row r="1781" customFormat="1" x14ac:dyDescent="0.2"/>
    <row r="1782" customFormat="1" x14ac:dyDescent="0.2"/>
    <row r="1783" customFormat="1" x14ac:dyDescent="0.2"/>
    <row r="1784" customFormat="1" x14ac:dyDescent="0.2"/>
    <row r="1785" customFormat="1" x14ac:dyDescent="0.2"/>
    <row r="1786" customFormat="1" x14ac:dyDescent="0.2"/>
    <row r="1787" customFormat="1" x14ac:dyDescent="0.2"/>
    <row r="1788" customFormat="1" x14ac:dyDescent="0.2"/>
    <row r="1789" customFormat="1" x14ac:dyDescent="0.2"/>
    <row r="1790" customFormat="1" x14ac:dyDescent="0.2"/>
    <row r="1791" customFormat="1" x14ac:dyDescent="0.2"/>
    <row r="1792" customFormat="1" x14ac:dyDescent="0.2"/>
    <row r="1793" customFormat="1" x14ac:dyDescent="0.2"/>
    <row r="1794" customFormat="1" x14ac:dyDescent="0.2"/>
    <row r="1795" customFormat="1" x14ac:dyDescent="0.2"/>
    <row r="1796" customFormat="1" x14ac:dyDescent="0.2"/>
    <row r="1797" customFormat="1" x14ac:dyDescent="0.2"/>
    <row r="1798" customFormat="1" x14ac:dyDescent="0.2"/>
    <row r="1799" customFormat="1" x14ac:dyDescent="0.2"/>
    <row r="1800" customFormat="1" x14ac:dyDescent="0.2"/>
    <row r="1801" customFormat="1" x14ac:dyDescent="0.2"/>
    <row r="1802" customFormat="1" x14ac:dyDescent="0.2"/>
    <row r="1803" customFormat="1" x14ac:dyDescent="0.2"/>
    <row r="1804" customFormat="1" x14ac:dyDescent="0.2"/>
    <row r="1805" customFormat="1" x14ac:dyDescent="0.2"/>
    <row r="1806" customFormat="1" x14ac:dyDescent="0.2"/>
    <row r="1807" customFormat="1" x14ac:dyDescent="0.2"/>
    <row r="1808" customFormat="1" x14ac:dyDescent="0.2"/>
    <row r="1809" customFormat="1" x14ac:dyDescent="0.2"/>
    <row r="1810" customFormat="1" x14ac:dyDescent="0.2"/>
    <row r="1811" customFormat="1" x14ac:dyDescent="0.2"/>
    <row r="1812" customFormat="1" x14ac:dyDescent="0.2"/>
    <row r="1813" customFormat="1" x14ac:dyDescent="0.2"/>
    <row r="1814" customFormat="1" x14ac:dyDescent="0.2"/>
    <row r="1815" customFormat="1" x14ac:dyDescent="0.2"/>
    <row r="1816" customFormat="1" x14ac:dyDescent="0.2"/>
    <row r="1817" customFormat="1" x14ac:dyDescent="0.2"/>
    <row r="1818" customFormat="1" x14ac:dyDescent="0.2"/>
    <row r="1819" customFormat="1" x14ac:dyDescent="0.2"/>
    <row r="1820" customFormat="1" x14ac:dyDescent="0.2"/>
    <row r="1821" customFormat="1" x14ac:dyDescent="0.2"/>
    <row r="1822" customFormat="1" x14ac:dyDescent="0.2"/>
    <row r="1823" customFormat="1" x14ac:dyDescent="0.2"/>
    <row r="1824" customFormat="1" x14ac:dyDescent="0.2"/>
    <row r="1825" customFormat="1" x14ac:dyDescent="0.2"/>
    <row r="1826" customFormat="1" x14ac:dyDescent="0.2"/>
    <row r="1827" customFormat="1" x14ac:dyDescent="0.2"/>
    <row r="1828" customFormat="1" x14ac:dyDescent="0.2"/>
    <row r="1829" customFormat="1" x14ac:dyDescent="0.2"/>
    <row r="1830" customFormat="1" x14ac:dyDescent="0.2"/>
    <row r="1831" customFormat="1" x14ac:dyDescent="0.2"/>
    <row r="1832" customFormat="1" x14ac:dyDescent="0.2"/>
    <row r="1833" customFormat="1" x14ac:dyDescent="0.2"/>
    <row r="1834" customFormat="1" x14ac:dyDescent="0.2"/>
    <row r="1835" customFormat="1" x14ac:dyDescent="0.2"/>
    <row r="1836" customFormat="1" x14ac:dyDescent="0.2"/>
    <row r="1837" customFormat="1" x14ac:dyDescent="0.2"/>
    <row r="1838" customFormat="1" x14ac:dyDescent="0.2"/>
    <row r="1839" customFormat="1" x14ac:dyDescent="0.2"/>
    <row r="1840" customFormat="1" x14ac:dyDescent="0.2"/>
    <row r="1841" customFormat="1" x14ac:dyDescent="0.2"/>
    <row r="1842" customFormat="1" x14ac:dyDescent="0.2"/>
    <row r="1843" customFormat="1" x14ac:dyDescent="0.2"/>
    <row r="1844" customFormat="1" x14ac:dyDescent="0.2"/>
    <row r="1845" customFormat="1" x14ac:dyDescent="0.2"/>
    <row r="1846" customFormat="1" x14ac:dyDescent="0.2"/>
    <row r="1847" customFormat="1" x14ac:dyDescent="0.2"/>
    <row r="1848" customFormat="1" x14ac:dyDescent="0.2"/>
    <row r="1849" customFormat="1" x14ac:dyDescent="0.2"/>
    <row r="1850" customFormat="1" x14ac:dyDescent="0.2"/>
    <row r="1851" customFormat="1" x14ac:dyDescent="0.2"/>
    <row r="1852" customFormat="1" x14ac:dyDescent="0.2"/>
    <row r="1853" customFormat="1" x14ac:dyDescent="0.2"/>
    <row r="1854" customFormat="1" x14ac:dyDescent="0.2"/>
    <row r="1855" customFormat="1" x14ac:dyDescent="0.2"/>
    <row r="1856" customFormat="1" x14ac:dyDescent="0.2"/>
    <row r="1857" customFormat="1" x14ac:dyDescent="0.2"/>
    <row r="1858" customFormat="1" x14ac:dyDescent="0.2"/>
    <row r="1859" customFormat="1" x14ac:dyDescent="0.2"/>
    <row r="1860" customFormat="1" x14ac:dyDescent="0.2"/>
    <row r="1861" customFormat="1" x14ac:dyDescent="0.2"/>
    <row r="1862" customFormat="1" x14ac:dyDescent="0.2"/>
    <row r="1863" customFormat="1" x14ac:dyDescent="0.2"/>
    <row r="1864" customFormat="1" x14ac:dyDescent="0.2"/>
    <row r="1865" customFormat="1" x14ac:dyDescent="0.2"/>
    <row r="1866" customFormat="1" x14ac:dyDescent="0.2"/>
    <row r="1867" customFormat="1" x14ac:dyDescent="0.2"/>
    <row r="1868" customFormat="1" x14ac:dyDescent="0.2"/>
    <row r="1869" customFormat="1" x14ac:dyDescent="0.2"/>
    <row r="1870" customFormat="1" x14ac:dyDescent="0.2"/>
    <row r="1871" customFormat="1" x14ac:dyDescent="0.2"/>
    <row r="1872" customFormat="1" x14ac:dyDescent="0.2"/>
    <row r="1873" customFormat="1" x14ac:dyDescent="0.2"/>
    <row r="1874" customFormat="1" x14ac:dyDescent="0.2"/>
    <row r="1875" customFormat="1" x14ac:dyDescent="0.2"/>
    <row r="1876" customFormat="1" x14ac:dyDescent="0.2"/>
    <row r="1877" customFormat="1" x14ac:dyDescent="0.2"/>
    <row r="1878" customFormat="1" x14ac:dyDescent="0.2"/>
    <row r="1879" customFormat="1" x14ac:dyDescent="0.2"/>
    <row r="1880" customFormat="1" x14ac:dyDescent="0.2"/>
    <row r="1881" customFormat="1" x14ac:dyDescent="0.2"/>
    <row r="1882" customFormat="1" x14ac:dyDescent="0.2"/>
    <row r="1883" customFormat="1" x14ac:dyDescent="0.2"/>
    <row r="1884" customFormat="1" x14ac:dyDescent="0.2"/>
    <row r="1885" customFormat="1" x14ac:dyDescent="0.2"/>
    <row r="1886" customFormat="1" x14ac:dyDescent="0.2"/>
    <row r="1887" customFormat="1" x14ac:dyDescent="0.2"/>
    <row r="1888" customFormat="1" x14ac:dyDescent="0.2"/>
    <row r="1889" customFormat="1" x14ac:dyDescent="0.2"/>
    <row r="1890" customFormat="1" x14ac:dyDescent="0.2"/>
    <row r="1891" customFormat="1" x14ac:dyDescent="0.2"/>
    <row r="1892" customFormat="1" x14ac:dyDescent="0.2"/>
    <row r="1893" customFormat="1" x14ac:dyDescent="0.2"/>
    <row r="1894" customFormat="1" x14ac:dyDescent="0.2"/>
    <row r="1895" customFormat="1" x14ac:dyDescent="0.2"/>
    <row r="1896" customFormat="1" x14ac:dyDescent="0.2"/>
    <row r="1897" customFormat="1" x14ac:dyDescent="0.2"/>
    <row r="1898" customFormat="1" x14ac:dyDescent="0.2"/>
    <row r="1899" customFormat="1" x14ac:dyDescent="0.2"/>
    <row r="1900" customFormat="1" x14ac:dyDescent="0.2"/>
    <row r="1901" customFormat="1" x14ac:dyDescent="0.2"/>
    <row r="1902" customFormat="1" x14ac:dyDescent="0.2"/>
    <row r="1903" customFormat="1" x14ac:dyDescent="0.2"/>
    <row r="1904" customFormat="1" x14ac:dyDescent="0.2"/>
    <row r="1905" customFormat="1" x14ac:dyDescent="0.2"/>
    <row r="1906" customFormat="1" x14ac:dyDescent="0.2"/>
    <row r="1907" customFormat="1" x14ac:dyDescent="0.2"/>
    <row r="1908" customFormat="1" x14ac:dyDescent="0.2"/>
    <row r="1909" customFormat="1" x14ac:dyDescent="0.2"/>
    <row r="1910" customFormat="1" x14ac:dyDescent="0.2"/>
    <row r="1911" customFormat="1" x14ac:dyDescent="0.2"/>
    <row r="1912" customFormat="1" x14ac:dyDescent="0.2"/>
    <row r="1913" customFormat="1" x14ac:dyDescent="0.2"/>
    <row r="1914" customFormat="1" x14ac:dyDescent="0.2"/>
    <row r="1915" customFormat="1" x14ac:dyDescent="0.2"/>
    <row r="1916" customFormat="1" x14ac:dyDescent="0.2"/>
    <row r="1917" customFormat="1" x14ac:dyDescent="0.2"/>
    <row r="1918" customFormat="1" x14ac:dyDescent="0.2"/>
    <row r="1919" customFormat="1" x14ac:dyDescent="0.2"/>
    <row r="1920" customFormat="1" x14ac:dyDescent="0.2"/>
    <row r="1921" customFormat="1" x14ac:dyDescent="0.2"/>
    <row r="1922" customFormat="1" x14ac:dyDescent="0.2"/>
    <row r="1923" customFormat="1" x14ac:dyDescent="0.2"/>
    <row r="1924" customFormat="1" x14ac:dyDescent="0.2"/>
    <row r="1925" customFormat="1" x14ac:dyDescent="0.2"/>
    <row r="1926" customFormat="1" x14ac:dyDescent="0.2"/>
    <row r="1927" customFormat="1" x14ac:dyDescent="0.2"/>
    <row r="1928" customFormat="1" x14ac:dyDescent="0.2"/>
    <row r="1929" customFormat="1" x14ac:dyDescent="0.2"/>
    <row r="1930" customFormat="1" x14ac:dyDescent="0.2"/>
    <row r="1931" customFormat="1" x14ac:dyDescent="0.2"/>
    <row r="1932" customFormat="1" x14ac:dyDescent="0.2"/>
    <row r="1933" customFormat="1" x14ac:dyDescent="0.2"/>
    <row r="1934" customFormat="1" x14ac:dyDescent="0.2"/>
    <row r="1935" customFormat="1" x14ac:dyDescent="0.2"/>
    <row r="1936" customFormat="1" x14ac:dyDescent="0.2"/>
    <row r="1937" customFormat="1" x14ac:dyDescent="0.2"/>
    <row r="1938" customFormat="1" x14ac:dyDescent="0.2"/>
    <row r="1939" customFormat="1" x14ac:dyDescent="0.2"/>
    <row r="1940" customFormat="1" x14ac:dyDescent="0.2"/>
    <row r="1941" customFormat="1" x14ac:dyDescent="0.2"/>
    <row r="1942" customFormat="1" x14ac:dyDescent="0.2"/>
    <row r="1943" customFormat="1" x14ac:dyDescent="0.2"/>
    <row r="1944" customFormat="1" x14ac:dyDescent="0.2"/>
    <row r="1945" customFormat="1" x14ac:dyDescent="0.2"/>
    <row r="1946" customFormat="1" x14ac:dyDescent="0.2"/>
    <row r="1947" customFormat="1" x14ac:dyDescent="0.2"/>
    <row r="1948" customFormat="1" x14ac:dyDescent="0.2"/>
    <row r="1949" customFormat="1" x14ac:dyDescent="0.2"/>
    <row r="1950" customFormat="1" x14ac:dyDescent="0.2"/>
    <row r="1951" customFormat="1" x14ac:dyDescent="0.2"/>
    <row r="1952" customFormat="1" x14ac:dyDescent="0.2"/>
    <row r="1953" customFormat="1" x14ac:dyDescent="0.2"/>
    <row r="1954" customFormat="1" x14ac:dyDescent="0.2"/>
    <row r="1955" customFormat="1" x14ac:dyDescent="0.2"/>
    <row r="1956" customFormat="1" x14ac:dyDescent="0.2"/>
    <row r="1957" customFormat="1" x14ac:dyDescent="0.2"/>
    <row r="1958" customFormat="1" x14ac:dyDescent="0.2"/>
    <row r="1959" customFormat="1" x14ac:dyDescent="0.2"/>
    <row r="1960" customFormat="1" x14ac:dyDescent="0.2"/>
    <row r="1961" customFormat="1" x14ac:dyDescent="0.2"/>
    <row r="1962" customFormat="1" x14ac:dyDescent="0.2"/>
    <row r="1963" customFormat="1" x14ac:dyDescent="0.2"/>
    <row r="1964" customFormat="1" x14ac:dyDescent="0.2"/>
    <row r="1965" customFormat="1" x14ac:dyDescent="0.2"/>
    <row r="1966" customFormat="1" x14ac:dyDescent="0.2"/>
    <row r="1967" customFormat="1" x14ac:dyDescent="0.2"/>
    <row r="1968" customFormat="1" x14ac:dyDescent="0.2"/>
    <row r="1969" customFormat="1" x14ac:dyDescent="0.2"/>
    <row r="1970" customFormat="1" x14ac:dyDescent="0.2"/>
    <row r="1971" customFormat="1" x14ac:dyDescent="0.2"/>
    <row r="1972" customFormat="1" x14ac:dyDescent="0.2"/>
    <row r="1973" customFormat="1" x14ac:dyDescent="0.2"/>
    <row r="1974" customFormat="1" x14ac:dyDescent="0.2"/>
    <row r="1975" customFormat="1" x14ac:dyDescent="0.2"/>
    <row r="1976" customFormat="1" x14ac:dyDescent="0.2"/>
    <row r="1977" customFormat="1" x14ac:dyDescent="0.2"/>
    <row r="1978" customFormat="1" x14ac:dyDescent="0.2"/>
    <row r="1979" customFormat="1" x14ac:dyDescent="0.2"/>
    <row r="1980" customFormat="1" x14ac:dyDescent="0.2"/>
    <row r="1981" customFormat="1" x14ac:dyDescent="0.2"/>
    <row r="1982" customFormat="1" x14ac:dyDescent="0.2"/>
    <row r="1983" customFormat="1" x14ac:dyDescent="0.2"/>
    <row r="1984" customFormat="1" x14ac:dyDescent="0.2"/>
    <row r="1985" customFormat="1" x14ac:dyDescent="0.2"/>
    <row r="1986" customFormat="1" x14ac:dyDescent="0.2"/>
    <row r="1987" customFormat="1" x14ac:dyDescent="0.2"/>
    <row r="1988" customFormat="1" x14ac:dyDescent="0.2"/>
    <row r="1989" customFormat="1" x14ac:dyDescent="0.2"/>
    <row r="1990" customFormat="1" x14ac:dyDescent="0.2"/>
    <row r="1991" customFormat="1" x14ac:dyDescent="0.2"/>
    <row r="1992" customFormat="1" x14ac:dyDescent="0.2"/>
    <row r="1993" customFormat="1" x14ac:dyDescent="0.2"/>
    <row r="1994" customFormat="1" x14ac:dyDescent="0.2"/>
    <row r="1995" customFormat="1" x14ac:dyDescent="0.2"/>
    <row r="1996" customFormat="1" x14ac:dyDescent="0.2"/>
    <row r="1997" customFormat="1" x14ac:dyDescent="0.2"/>
    <row r="1998" customFormat="1" x14ac:dyDescent="0.2"/>
    <row r="1999" customFormat="1" x14ac:dyDescent="0.2"/>
    <row r="2000" customFormat="1" x14ac:dyDescent="0.2"/>
    <row r="2001" customFormat="1" x14ac:dyDescent="0.2"/>
    <row r="2002" customFormat="1" x14ac:dyDescent="0.2"/>
    <row r="2003" customFormat="1" x14ac:dyDescent="0.2"/>
    <row r="2004" customFormat="1" x14ac:dyDescent="0.2"/>
    <row r="2005" customFormat="1" x14ac:dyDescent="0.2"/>
    <row r="2006" customFormat="1" x14ac:dyDescent="0.2"/>
    <row r="2007" customFormat="1" x14ac:dyDescent="0.2"/>
    <row r="2008" customFormat="1" x14ac:dyDescent="0.2"/>
    <row r="2009" customFormat="1" x14ac:dyDescent="0.2"/>
    <row r="2010" customFormat="1" x14ac:dyDescent="0.2"/>
    <row r="2011" customFormat="1" x14ac:dyDescent="0.2"/>
    <row r="2012" customFormat="1" x14ac:dyDescent="0.2"/>
    <row r="2013" customFormat="1" x14ac:dyDescent="0.2"/>
    <row r="2014" customFormat="1" x14ac:dyDescent="0.2"/>
    <row r="2015" customFormat="1" x14ac:dyDescent="0.2"/>
    <row r="2016" customFormat="1" x14ac:dyDescent="0.2"/>
    <row r="2017" customFormat="1" x14ac:dyDescent="0.2"/>
    <row r="2018" customFormat="1" x14ac:dyDescent="0.2"/>
    <row r="2019" customFormat="1" x14ac:dyDescent="0.2"/>
    <row r="2020" customFormat="1" x14ac:dyDescent="0.2"/>
    <row r="2021" customFormat="1" x14ac:dyDescent="0.2"/>
    <row r="2022" customFormat="1" x14ac:dyDescent="0.2"/>
    <row r="2023" customFormat="1" x14ac:dyDescent="0.2"/>
    <row r="2024" customFormat="1" x14ac:dyDescent="0.2"/>
    <row r="2025" customFormat="1" x14ac:dyDescent="0.2"/>
    <row r="2026" customFormat="1" x14ac:dyDescent="0.2"/>
    <row r="2027" customFormat="1" x14ac:dyDescent="0.2"/>
    <row r="2028" customFormat="1" x14ac:dyDescent="0.2"/>
    <row r="2029" customFormat="1" x14ac:dyDescent="0.2"/>
    <row r="2030" customFormat="1" x14ac:dyDescent="0.2"/>
    <row r="2031" customFormat="1" x14ac:dyDescent="0.2"/>
    <row r="2032" customFormat="1" x14ac:dyDescent="0.2"/>
    <row r="2033" customFormat="1" x14ac:dyDescent="0.2"/>
    <row r="2034" customFormat="1" x14ac:dyDescent="0.2"/>
    <row r="2035" customFormat="1" x14ac:dyDescent="0.2"/>
    <row r="2036" customFormat="1" x14ac:dyDescent="0.2"/>
    <row r="2037" customFormat="1" x14ac:dyDescent="0.2"/>
    <row r="2038" customFormat="1" x14ac:dyDescent="0.2"/>
    <row r="2039" customFormat="1" x14ac:dyDescent="0.2"/>
    <row r="2040" customFormat="1" x14ac:dyDescent="0.2"/>
    <row r="2041" customFormat="1" x14ac:dyDescent="0.2"/>
    <row r="2042" customFormat="1" x14ac:dyDescent="0.2"/>
    <row r="2043" customFormat="1" x14ac:dyDescent="0.2"/>
    <row r="2044" customFormat="1" x14ac:dyDescent="0.2"/>
    <row r="2045" customFormat="1" x14ac:dyDescent="0.2"/>
    <row r="2046" customFormat="1" x14ac:dyDescent="0.2"/>
    <row r="2047" customFormat="1" x14ac:dyDescent="0.2"/>
    <row r="2048" customFormat="1" x14ac:dyDescent="0.2"/>
    <row r="2049" customFormat="1" x14ac:dyDescent="0.2"/>
    <row r="2050" customFormat="1" x14ac:dyDescent="0.2"/>
    <row r="2051" customFormat="1" x14ac:dyDescent="0.2"/>
    <row r="2052" customFormat="1" x14ac:dyDescent="0.2"/>
    <row r="2053" customFormat="1" x14ac:dyDescent="0.2"/>
    <row r="2054" customFormat="1" x14ac:dyDescent="0.2"/>
    <row r="2055" customFormat="1" x14ac:dyDescent="0.2"/>
    <row r="2056" customFormat="1" x14ac:dyDescent="0.2"/>
    <row r="2057" customFormat="1" x14ac:dyDescent="0.2"/>
    <row r="2058" customFormat="1" x14ac:dyDescent="0.2"/>
    <row r="2059" customFormat="1" x14ac:dyDescent="0.2"/>
    <row r="2060" customFormat="1" x14ac:dyDescent="0.2"/>
    <row r="2061" customFormat="1" x14ac:dyDescent="0.2"/>
    <row r="2062" customFormat="1" x14ac:dyDescent="0.2"/>
    <row r="2063" customFormat="1" x14ac:dyDescent="0.2"/>
    <row r="2064" customFormat="1" x14ac:dyDescent="0.2"/>
    <row r="2065" customFormat="1" x14ac:dyDescent="0.2"/>
    <row r="2066" customFormat="1" x14ac:dyDescent="0.2"/>
    <row r="2067" customFormat="1" x14ac:dyDescent="0.2"/>
    <row r="2068" customFormat="1" x14ac:dyDescent="0.2"/>
    <row r="2069" customFormat="1" x14ac:dyDescent="0.2"/>
    <row r="2070" customFormat="1" x14ac:dyDescent="0.2"/>
    <row r="2071" customFormat="1" x14ac:dyDescent="0.2"/>
    <row r="2072" customFormat="1" x14ac:dyDescent="0.2"/>
    <row r="2073" customFormat="1" x14ac:dyDescent="0.2"/>
    <row r="2074" customFormat="1" x14ac:dyDescent="0.2"/>
    <row r="2075" customFormat="1" x14ac:dyDescent="0.2"/>
    <row r="2076" customFormat="1" x14ac:dyDescent="0.2"/>
    <row r="2077" customFormat="1" x14ac:dyDescent="0.2"/>
    <row r="2078" customFormat="1" x14ac:dyDescent="0.2"/>
    <row r="2079" customFormat="1" x14ac:dyDescent="0.2"/>
    <row r="2080" customFormat="1" x14ac:dyDescent="0.2"/>
    <row r="2081" customFormat="1" x14ac:dyDescent="0.2"/>
    <row r="2082" customFormat="1" x14ac:dyDescent="0.2"/>
    <row r="2083" customFormat="1" x14ac:dyDescent="0.2"/>
    <row r="2084" customFormat="1" x14ac:dyDescent="0.2"/>
    <row r="2085" customFormat="1" x14ac:dyDescent="0.2"/>
    <row r="2086" customFormat="1" x14ac:dyDescent="0.2"/>
    <row r="2087" customFormat="1" x14ac:dyDescent="0.2"/>
    <row r="2088" customFormat="1" x14ac:dyDescent="0.2"/>
    <row r="2089" customFormat="1" x14ac:dyDescent="0.2"/>
    <row r="2090" customFormat="1" x14ac:dyDescent="0.2"/>
    <row r="2091" customFormat="1" x14ac:dyDescent="0.2"/>
    <row r="2092" customFormat="1" x14ac:dyDescent="0.2"/>
    <row r="2093" customFormat="1" x14ac:dyDescent="0.2"/>
    <row r="2094" customFormat="1" x14ac:dyDescent="0.2"/>
    <row r="2095" customFormat="1" x14ac:dyDescent="0.2"/>
    <row r="2096" customFormat="1" x14ac:dyDescent="0.2"/>
    <row r="2097" customFormat="1" x14ac:dyDescent="0.2"/>
    <row r="2098" customFormat="1" x14ac:dyDescent="0.2"/>
    <row r="2099" customFormat="1" x14ac:dyDescent="0.2"/>
    <row r="2100" customFormat="1" x14ac:dyDescent="0.2"/>
    <row r="2101" customFormat="1" x14ac:dyDescent="0.2"/>
    <row r="2102" customFormat="1" x14ac:dyDescent="0.2"/>
    <row r="2103" customFormat="1" x14ac:dyDescent="0.2"/>
    <row r="2104" customFormat="1" x14ac:dyDescent="0.2"/>
    <row r="2105" customFormat="1" x14ac:dyDescent="0.2"/>
    <row r="2106" customFormat="1" x14ac:dyDescent="0.2"/>
    <row r="2107" customFormat="1" x14ac:dyDescent="0.2"/>
    <row r="2108" customFormat="1" x14ac:dyDescent="0.2"/>
    <row r="2109" customFormat="1" x14ac:dyDescent="0.2"/>
    <row r="2110" customFormat="1" x14ac:dyDescent="0.2"/>
    <row r="2111" customFormat="1" x14ac:dyDescent="0.2"/>
    <row r="2112" customFormat="1" x14ac:dyDescent="0.2"/>
    <row r="2113" customFormat="1" x14ac:dyDescent="0.2"/>
    <row r="2114" customFormat="1" x14ac:dyDescent="0.2"/>
    <row r="2115" customFormat="1" x14ac:dyDescent="0.2"/>
    <row r="2116" customFormat="1" x14ac:dyDescent="0.2"/>
    <row r="2117" customFormat="1" x14ac:dyDescent="0.2"/>
    <row r="2118" customFormat="1" x14ac:dyDescent="0.2"/>
    <row r="2119" customFormat="1" x14ac:dyDescent="0.2"/>
    <row r="2120" customFormat="1" x14ac:dyDescent="0.2"/>
    <row r="2121" customFormat="1" x14ac:dyDescent="0.2"/>
    <row r="2122" customFormat="1" x14ac:dyDescent="0.2"/>
    <row r="2123" customFormat="1" x14ac:dyDescent="0.2"/>
    <row r="2124" customFormat="1" x14ac:dyDescent="0.2"/>
    <row r="2125" customFormat="1" x14ac:dyDescent="0.2"/>
    <row r="2126" customFormat="1" x14ac:dyDescent="0.2"/>
    <row r="2127" customFormat="1" x14ac:dyDescent="0.2"/>
    <row r="2128" customFormat="1" x14ac:dyDescent="0.2"/>
    <row r="2129" customFormat="1" x14ac:dyDescent="0.2"/>
    <row r="2130" customFormat="1" x14ac:dyDescent="0.2"/>
    <row r="2131" customFormat="1" x14ac:dyDescent="0.2"/>
    <row r="2132" customFormat="1" x14ac:dyDescent="0.2"/>
    <row r="2133" customFormat="1" x14ac:dyDescent="0.2"/>
    <row r="2134" customFormat="1" x14ac:dyDescent="0.2"/>
    <row r="2135" customFormat="1" x14ac:dyDescent="0.2"/>
    <row r="2136" customFormat="1" x14ac:dyDescent="0.2"/>
    <row r="2137" customFormat="1" x14ac:dyDescent="0.2"/>
    <row r="2138" customFormat="1" x14ac:dyDescent="0.2"/>
    <row r="2139" customFormat="1" x14ac:dyDescent="0.2"/>
    <row r="2140" customFormat="1" x14ac:dyDescent="0.2"/>
    <row r="2141" customFormat="1" x14ac:dyDescent="0.2"/>
    <row r="2142" customFormat="1" x14ac:dyDescent="0.2"/>
    <row r="2143" customFormat="1" x14ac:dyDescent="0.2"/>
    <row r="2144" customFormat="1" x14ac:dyDescent="0.2"/>
    <row r="2145" customFormat="1" x14ac:dyDescent="0.2"/>
    <row r="2146" customFormat="1" x14ac:dyDescent="0.2"/>
    <row r="2147" customFormat="1" x14ac:dyDescent="0.2"/>
    <row r="2148" customFormat="1" x14ac:dyDescent="0.2"/>
    <row r="2149" customFormat="1" x14ac:dyDescent="0.2"/>
    <row r="2150" customFormat="1" x14ac:dyDescent="0.2"/>
    <row r="2151" customFormat="1" x14ac:dyDescent="0.2"/>
    <row r="2152" customFormat="1" x14ac:dyDescent="0.2"/>
    <row r="2153" customFormat="1" x14ac:dyDescent="0.2"/>
    <row r="2154" customFormat="1" x14ac:dyDescent="0.2"/>
    <row r="2155" customFormat="1" x14ac:dyDescent="0.2"/>
    <row r="2156" customFormat="1" x14ac:dyDescent="0.2"/>
    <row r="2157" customFormat="1" x14ac:dyDescent="0.2"/>
    <row r="2158" customFormat="1" x14ac:dyDescent="0.2"/>
    <row r="2159" customFormat="1" x14ac:dyDescent="0.2"/>
    <row r="2160" customFormat="1" x14ac:dyDescent="0.2"/>
    <row r="2161" customFormat="1" x14ac:dyDescent="0.2"/>
    <row r="2162" customFormat="1" x14ac:dyDescent="0.2"/>
    <row r="2163" customFormat="1" x14ac:dyDescent="0.2"/>
    <row r="2164" customFormat="1" x14ac:dyDescent="0.2"/>
    <row r="2165" customFormat="1" x14ac:dyDescent="0.2"/>
    <row r="2166" customFormat="1" x14ac:dyDescent="0.2"/>
    <row r="2167" customFormat="1" x14ac:dyDescent="0.2"/>
    <row r="2168" customFormat="1" x14ac:dyDescent="0.2"/>
    <row r="2169" customFormat="1" x14ac:dyDescent="0.2"/>
    <row r="2170" customFormat="1" x14ac:dyDescent="0.2"/>
    <row r="2171" customFormat="1" x14ac:dyDescent="0.2"/>
    <row r="2172" customFormat="1" x14ac:dyDescent="0.2"/>
    <row r="2173" customFormat="1" x14ac:dyDescent="0.2"/>
    <row r="2174" customFormat="1" x14ac:dyDescent="0.2"/>
    <row r="2175" customFormat="1" x14ac:dyDescent="0.2"/>
    <row r="2176" customFormat="1" x14ac:dyDescent="0.2"/>
    <row r="2177" customFormat="1" x14ac:dyDescent="0.2"/>
    <row r="2178" customFormat="1" x14ac:dyDescent="0.2"/>
    <row r="2179" customFormat="1" x14ac:dyDescent="0.2"/>
    <row r="2180" customFormat="1" x14ac:dyDescent="0.2"/>
    <row r="2181" customFormat="1" x14ac:dyDescent="0.2"/>
    <row r="2182" customFormat="1" x14ac:dyDescent="0.2"/>
    <row r="2183" customFormat="1" x14ac:dyDescent="0.2"/>
    <row r="2184" customFormat="1" x14ac:dyDescent="0.2"/>
    <row r="2185" customFormat="1" x14ac:dyDescent="0.2"/>
    <row r="2186" customFormat="1" x14ac:dyDescent="0.2"/>
    <row r="2187" customFormat="1" x14ac:dyDescent="0.2"/>
    <row r="2188" customFormat="1" x14ac:dyDescent="0.2"/>
    <row r="2189" customFormat="1" x14ac:dyDescent="0.2"/>
    <row r="2190" customFormat="1" x14ac:dyDescent="0.2"/>
    <row r="2191" customFormat="1" x14ac:dyDescent="0.2"/>
    <row r="2192" customFormat="1" x14ac:dyDescent="0.2"/>
    <row r="2193" customFormat="1" x14ac:dyDescent="0.2"/>
    <row r="2194" customFormat="1" x14ac:dyDescent="0.2"/>
    <row r="2195" customFormat="1" x14ac:dyDescent="0.2"/>
    <row r="2196" customFormat="1" x14ac:dyDescent="0.2"/>
    <row r="2197" customFormat="1" x14ac:dyDescent="0.2"/>
    <row r="2198" customFormat="1" x14ac:dyDescent="0.2"/>
    <row r="2199" customFormat="1" x14ac:dyDescent="0.2"/>
    <row r="2200" customFormat="1" x14ac:dyDescent="0.2"/>
    <row r="2201" customFormat="1" x14ac:dyDescent="0.2"/>
    <row r="2202" customFormat="1" x14ac:dyDescent="0.2"/>
    <row r="2203" customFormat="1" x14ac:dyDescent="0.2"/>
    <row r="2204" customFormat="1" x14ac:dyDescent="0.2"/>
    <row r="2205" customFormat="1" x14ac:dyDescent="0.2"/>
    <row r="2206" customFormat="1" x14ac:dyDescent="0.2"/>
    <row r="2207" customFormat="1" x14ac:dyDescent="0.2"/>
    <row r="2208" customFormat="1" x14ac:dyDescent="0.2"/>
    <row r="2209" customFormat="1" x14ac:dyDescent="0.2"/>
    <row r="2210" customFormat="1" x14ac:dyDescent="0.2"/>
    <row r="2211" customFormat="1" x14ac:dyDescent="0.2"/>
    <row r="2212" customFormat="1" x14ac:dyDescent="0.2"/>
    <row r="2213" customFormat="1" x14ac:dyDescent="0.2"/>
    <row r="2214" customFormat="1" x14ac:dyDescent="0.2"/>
    <row r="2215" customFormat="1" x14ac:dyDescent="0.2"/>
    <row r="2216" customFormat="1" x14ac:dyDescent="0.2"/>
    <row r="2217" customFormat="1" x14ac:dyDescent="0.2"/>
    <row r="2218" customFormat="1" x14ac:dyDescent="0.2"/>
    <row r="2219" customFormat="1" x14ac:dyDescent="0.2"/>
    <row r="2220" customFormat="1" x14ac:dyDescent="0.2"/>
    <row r="2221" customFormat="1" x14ac:dyDescent="0.2"/>
    <row r="2222" customFormat="1" x14ac:dyDescent="0.2"/>
    <row r="2223" customFormat="1" x14ac:dyDescent="0.2"/>
    <row r="2224" customFormat="1" x14ac:dyDescent="0.2"/>
    <row r="2225" customFormat="1" x14ac:dyDescent="0.2"/>
    <row r="2226" customFormat="1" x14ac:dyDescent="0.2"/>
    <row r="2227" customFormat="1" x14ac:dyDescent="0.2"/>
    <row r="2228" customFormat="1" x14ac:dyDescent="0.2"/>
    <row r="2229" customFormat="1" x14ac:dyDescent="0.2"/>
    <row r="2230" customFormat="1" x14ac:dyDescent="0.2"/>
    <row r="2231" customFormat="1" x14ac:dyDescent="0.2"/>
    <row r="2232" customFormat="1" x14ac:dyDescent="0.2"/>
    <row r="2233" customFormat="1" x14ac:dyDescent="0.2"/>
    <row r="2234" customFormat="1" x14ac:dyDescent="0.2"/>
    <row r="2235" customFormat="1" x14ac:dyDescent="0.2"/>
    <row r="2236" customFormat="1" x14ac:dyDescent="0.2"/>
    <row r="2237" customFormat="1" x14ac:dyDescent="0.2"/>
    <row r="2238" customFormat="1" x14ac:dyDescent="0.2"/>
    <row r="2239" customFormat="1" x14ac:dyDescent="0.2"/>
    <row r="2240" customFormat="1" x14ac:dyDescent="0.2"/>
    <row r="2241" customFormat="1" x14ac:dyDescent="0.2"/>
    <row r="2242" customFormat="1" x14ac:dyDescent="0.2"/>
    <row r="2243" customFormat="1" x14ac:dyDescent="0.2"/>
    <row r="2244" customFormat="1" x14ac:dyDescent="0.2"/>
    <row r="2245" customFormat="1" x14ac:dyDescent="0.2"/>
    <row r="2246" customFormat="1" x14ac:dyDescent="0.2"/>
    <row r="2247" customFormat="1" x14ac:dyDescent="0.2"/>
    <row r="2248" customFormat="1" x14ac:dyDescent="0.2"/>
    <row r="2249" customFormat="1" x14ac:dyDescent="0.2"/>
    <row r="2250" customFormat="1" x14ac:dyDescent="0.2"/>
    <row r="2251" customFormat="1" x14ac:dyDescent="0.2"/>
    <row r="2252" customFormat="1" x14ac:dyDescent="0.2"/>
    <row r="2253" customFormat="1" x14ac:dyDescent="0.2"/>
    <row r="2254" customFormat="1" x14ac:dyDescent="0.2"/>
    <row r="2255" customFormat="1" x14ac:dyDescent="0.2"/>
    <row r="2256" customFormat="1" x14ac:dyDescent="0.2"/>
    <row r="2257" customFormat="1" x14ac:dyDescent="0.2"/>
    <row r="2258" customFormat="1" x14ac:dyDescent="0.2"/>
    <row r="2259" customFormat="1" x14ac:dyDescent="0.2"/>
    <row r="2260" customFormat="1" x14ac:dyDescent="0.2"/>
    <row r="2261" customFormat="1" x14ac:dyDescent="0.2"/>
    <row r="2262" customFormat="1" x14ac:dyDescent="0.2"/>
    <row r="2263" customFormat="1" x14ac:dyDescent="0.2"/>
    <row r="2264" customFormat="1" x14ac:dyDescent="0.2"/>
    <row r="2265" customFormat="1" x14ac:dyDescent="0.2"/>
    <row r="2266" customFormat="1" x14ac:dyDescent="0.2"/>
    <row r="2267" customFormat="1" x14ac:dyDescent="0.2"/>
    <row r="2268" customFormat="1" x14ac:dyDescent="0.2"/>
    <row r="2269" customFormat="1" x14ac:dyDescent="0.2"/>
    <row r="2270" customFormat="1" x14ac:dyDescent="0.2"/>
    <row r="2271" customFormat="1" x14ac:dyDescent="0.2"/>
    <row r="2272" customFormat="1" x14ac:dyDescent="0.2"/>
    <row r="2273" customFormat="1" x14ac:dyDescent="0.2"/>
    <row r="2274" customFormat="1" x14ac:dyDescent="0.2"/>
    <row r="2275" customFormat="1" x14ac:dyDescent="0.2"/>
    <row r="2276" customFormat="1" x14ac:dyDescent="0.2"/>
    <row r="2277" customFormat="1" x14ac:dyDescent="0.2"/>
    <row r="2278" customFormat="1" x14ac:dyDescent="0.2"/>
    <row r="2279" customFormat="1" x14ac:dyDescent="0.2"/>
    <row r="2280" customFormat="1" x14ac:dyDescent="0.2"/>
    <row r="2281" customFormat="1" x14ac:dyDescent="0.2"/>
    <row r="2282" customFormat="1" x14ac:dyDescent="0.2"/>
    <row r="2283" customFormat="1" x14ac:dyDescent="0.2"/>
    <row r="2284" customFormat="1" x14ac:dyDescent="0.2"/>
    <row r="2285" customFormat="1" x14ac:dyDescent="0.2"/>
    <row r="2286" customFormat="1" x14ac:dyDescent="0.2"/>
    <row r="2287" customFormat="1" x14ac:dyDescent="0.2"/>
    <row r="2288" customFormat="1" x14ac:dyDescent="0.2"/>
    <row r="2289" customFormat="1" x14ac:dyDescent="0.2"/>
    <row r="2290" customFormat="1" x14ac:dyDescent="0.2"/>
    <row r="2291" customFormat="1" x14ac:dyDescent="0.2"/>
    <row r="2292" customFormat="1" x14ac:dyDescent="0.2"/>
    <row r="2293" customFormat="1" x14ac:dyDescent="0.2"/>
    <row r="2294" customFormat="1" x14ac:dyDescent="0.2"/>
    <row r="2295" customFormat="1" x14ac:dyDescent="0.2"/>
    <row r="2296" customFormat="1" x14ac:dyDescent="0.2"/>
    <row r="2297" customFormat="1" x14ac:dyDescent="0.2"/>
    <row r="2298" customFormat="1" x14ac:dyDescent="0.2"/>
    <row r="2299" customFormat="1" x14ac:dyDescent="0.2"/>
    <row r="2300" customFormat="1" x14ac:dyDescent="0.2"/>
    <row r="2301" customFormat="1" x14ac:dyDescent="0.2"/>
    <row r="2302" customFormat="1" x14ac:dyDescent="0.2"/>
    <row r="2303" customFormat="1" x14ac:dyDescent="0.2"/>
    <row r="2304" customFormat="1" x14ac:dyDescent="0.2"/>
    <row r="2305" customFormat="1" x14ac:dyDescent="0.2"/>
    <row r="2306" customFormat="1" x14ac:dyDescent="0.2"/>
    <row r="2307" customFormat="1" x14ac:dyDescent="0.2"/>
    <row r="2308" customFormat="1" x14ac:dyDescent="0.2"/>
    <row r="2309" customFormat="1" x14ac:dyDescent="0.2"/>
    <row r="2310" customFormat="1" x14ac:dyDescent="0.2"/>
    <row r="2311" customFormat="1" x14ac:dyDescent="0.2"/>
    <row r="2312" customFormat="1" x14ac:dyDescent="0.2"/>
    <row r="2313" customFormat="1" x14ac:dyDescent="0.2"/>
    <row r="2314" customFormat="1" x14ac:dyDescent="0.2"/>
    <row r="2315" customFormat="1" x14ac:dyDescent="0.2"/>
    <row r="2316" customFormat="1" x14ac:dyDescent="0.2"/>
    <row r="2317" customFormat="1" x14ac:dyDescent="0.2"/>
    <row r="2318" customFormat="1" x14ac:dyDescent="0.2"/>
    <row r="2319" customFormat="1" x14ac:dyDescent="0.2"/>
    <row r="2320" customFormat="1" x14ac:dyDescent="0.2"/>
    <row r="2321" customFormat="1" x14ac:dyDescent="0.2"/>
    <row r="2322" customFormat="1" x14ac:dyDescent="0.2"/>
    <row r="2323" customFormat="1" x14ac:dyDescent="0.2"/>
    <row r="2324" customFormat="1" x14ac:dyDescent="0.2"/>
    <row r="2325" customFormat="1" x14ac:dyDescent="0.2"/>
    <row r="2326" customFormat="1" x14ac:dyDescent="0.2"/>
    <row r="2327" customFormat="1" x14ac:dyDescent="0.2"/>
    <row r="2328" customFormat="1" x14ac:dyDescent="0.2"/>
    <row r="2329" customFormat="1" x14ac:dyDescent="0.2"/>
    <row r="2330" customFormat="1" x14ac:dyDescent="0.2"/>
    <row r="2331" customFormat="1" x14ac:dyDescent="0.2"/>
    <row r="2332" customFormat="1" x14ac:dyDescent="0.2"/>
    <row r="2333" customFormat="1" x14ac:dyDescent="0.2"/>
    <row r="2334" customFormat="1" x14ac:dyDescent="0.2"/>
    <row r="2335" customFormat="1" x14ac:dyDescent="0.2"/>
    <row r="2336" customFormat="1" x14ac:dyDescent="0.2"/>
    <row r="2337" customFormat="1" x14ac:dyDescent="0.2"/>
    <row r="2338" customFormat="1" x14ac:dyDescent="0.2"/>
    <row r="2339" customFormat="1" x14ac:dyDescent="0.2"/>
    <row r="2340" customFormat="1" x14ac:dyDescent="0.2"/>
    <row r="2341" customFormat="1" x14ac:dyDescent="0.2"/>
    <row r="2342" customFormat="1" x14ac:dyDescent="0.2"/>
    <row r="2343" customFormat="1" x14ac:dyDescent="0.2"/>
    <row r="2344" customFormat="1" x14ac:dyDescent="0.2"/>
    <row r="2345" customFormat="1" x14ac:dyDescent="0.2"/>
    <row r="2346" customFormat="1" x14ac:dyDescent="0.2"/>
    <row r="2347" customFormat="1" x14ac:dyDescent="0.2"/>
    <row r="2348" customFormat="1" x14ac:dyDescent="0.2"/>
    <row r="2349" customFormat="1" x14ac:dyDescent="0.2"/>
    <row r="2350" customFormat="1" x14ac:dyDescent="0.2"/>
    <row r="2351" customFormat="1" x14ac:dyDescent="0.2"/>
    <row r="2352" customFormat="1" x14ac:dyDescent="0.2"/>
    <row r="2353" customFormat="1" x14ac:dyDescent="0.2"/>
    <row r="2354" customFormat="1" x14ac:dyDescent="0.2"/>
    <row r="2355" customFormat="1" x14ac:dyDescent="0.2"/>
    <row r="2356" customFormat="1" x14ac:dyDescent="0.2"/>
    <row r="2357" customFormat="1" x14ac:dyDescent="0.2"/>
    <row r="2358" customFormat="1" x14ac:dyDescent="0.2"/>
    <row r="2359" customFormat="1" x14ac:dyDescent="0.2"/>
    <row r="2360" customFormat="1" x14ac:dyDescent="0.2"/>
    <row r="2361" customFormat="1" x14ac:dyDescent="0.2"/>
    <row r="2362" customFormat="1" x14ac:dyDescent="0.2"/>
    <row r="2363" customFormat="1" x14ac:dyDescent="0.2"/>
    <row r="2364" customFormat="1" x14ac:dyDescent="0.2"/>
    <row r="2365" customFormat="1" x14ac:dyDescent="0.2"/>
    <row r="2366" customFormat="1" x14ac:dyDescent="0.2"/>
    <row r="2367" customFormat="1" x14ac:dyDescent="0.2"/>
    <row r="2368" customFormat="1" x14ac:dyDescent="0.2"/>
    <row r="2369" customFormat="1" x14ac:dyDescent="0.2"/>
    <row r="2370" customFormat="1" x14ac:dyDescent="0.2"/>
    <row r="2371" customFormat="1" x14ac:dyDescent="0.2"/>
    <row r="2372" customFormat="1" x14ac:dyDescent="0.2"/>
    <row r="2373" customFormat="1" x14ac:dyDescent="0.2"/>
    <row r="2374" customFormat="1" x14ac:dyDescent="0.2"/>
    <row r="2375" customFormat="1" x14ac:dyDescent="0.2"/>
    <row r="2376" customFormat="1" x14ac:dyDescent="0.2"/>
    <row r="2377" customFormat="1" x14ac:dyDescent="0.2"/>
    <row r="2378" customFormat="1" x14ac:dyDescent="0.2"/>
    <row r="2379" customFormat="1" x14ac:dyDescent="0.2"/>
    <row r="2380" customFormat="1" x14ac:dyDescent="0.2"/>
    <row r="2381" customFormat="1" x14ac:dyDescent="0.2"/>
    <row r="2382" customFormat="1" x14ac:dyDescent="0.2"/>
    <row r="2383" customFormat="1" x14ac:dyDescent="0.2"/>
    <row r="2384" customFormat="1" x14ac:dyDescent="0.2"/>
    <row r="2385" customFormat="1" x14ac:dyDescent="0.2"/>
    <row r="2386" customFormat="1" x14ac:dyDescent="0.2"/>
    <row r="2387" customFormat="1" x14ac:dyDescent="0.2"/>
    <row r="2388" customFormat="1" x14ac:dyDescent="0.2"/>
    <row r="2389" customFormat="1" x14ac:dyDescent="0.2"/>
    <row r="2390" customFormat="1" x14ac:dyDescent="0.2"/>
    <row r="2391" customFormat="1" x14ac:dyDescent="0.2"/>
    <row r="2392" customFormat="1" x14ac:dyDescent="0.2"/>
    <row r="2393" customFormat="1" x14ac:dyDescent="0.2"/>
    <row r="2394" customFormat="1" x14ac:dyDescent="0.2"/>
    <row r="2395" customFormat="1" x14ac:dyDescent="0.2"/>
    <row r="2396" customFormat="1" x14ac:dyDescent="0.2"/>
    <row r="2397" customFormat="1" x14ac:dyDescent="0.2"/>
    <row r="2398" customFormat="1" x14ac:dyDescent="0.2"/>
    <row r="2399" customFormat="1" x14ac:dyDescent="0.2"/>
    <row r="2400" customFormat="1" x14ac:dyDescent="0.2"/>
    <row r="2401" customFormat="1" x14ac:dyDescent="0.2"/>
    <row r="2402" customFormat="1" x14ac:dyDescent="0.2"/>
    <row r="2403" customFormat="1" x14ac:dyDescent="0.2"/>
    <row r="2404" customFormat="1" x14ac:dyDescent="0.2"/>
    <row r="2405" customFormat="1" x14ac:dyDescent="0.2"/>
    <row r="2406" customFormat="1" x14ac:dyDescent="0.2"/>
    <row r="2407" customFormat="1" x14ac:dyDescent="0.2"/>
    <row r="2408" customFormat="1" x14ac:dyDescent="0.2"/>
    <row r="2409" customFormat="1" x14ac:dyDescent="0.2"/>
    <row r="2410" customFormat="1" x14ac:dyDescent="0.2"/>
    <row r="2411" customFormat="1" x14ac:dyDescent="0.2"/>
    <row r="2412" customFormat="1" x14ac:dyDescent="0.2"/>
    <row r="2413" customFormat="1" x14ac:dyDescent="0.2"/>
    <row r="2414" customFormat="1" x14ac:dyDescent="0.2"/>
    <row r="2415" customFormat="1" x14ac:dyDescent="0.2"/>
    <row r="2416" customFormat="1" x14ac:dyDescent="0.2"/>
    <row r="2417" customFormat="1" x14ac:dyDescent="0.2"/>
    <row r="2418" customFormat="1" x14ac:dyDescent="0.2"/>
    <row r="2419" customFormat="1" x14ac:dyDescent="0.2"/>
    <row r="2420" customFormat="1" x14ac:dyDescent="0.2"/>
    <row r="2421" customFormat="1" x14ac:dyDescent="0.2"/>
    <row r="2422" customFormat="1" x14ac:dyDescent="0.2"/>
    <row r="2423" customFormat="1" x14ac:dyDescent="0.2"/>
    <row r="2424" customFormat="1" x14ac:dyDescent="0.2"/>
    <row r="2425" customFormat="1" x14ac:dyDescent="0.2"/>
    <row r="2426" customFormat="1" x14ac:dyDescent="0.2"/>
    <row r="2427" customFormat="1" x14ac:dyDescent="0.2"/>
    <row r="2428" customFormat="1" x14ac:dyDescent="0.2"/>
    <row r="2429" customFormat="1" x14ac:dyDescent="0.2"/>
    <row r="2430" customFormat="1" x14ac:dyDescent="0.2"/>
    <row r="2431" customFormat="1" x14ac:dyDescent="0.2"/>
    <row r="2432" customFormat="1" x14ac:dyDescent="0.2"/>
    <row r="2433" customFormat="1" x14ac:dyDescent="0.2"/>
    <row r="2434" customFormat="1" x14ac:dyDescent="0.2"/>
    <row r="2435" customFormat="1" x14ac:dyDescent="0.2"/>
    <row r="2436" customFormat="1" x14ac:dyDescent="0.2"/>
    <row r="2437" customFormat="1" x14ac:dyDescent="0.2"/>
    <row r="2438" customFormat="1" x14ac:dyDescent="0.2"/>
    <row r="2439" customFormat="1" x14ac:dyDescent="0.2"/>
    <row r="2440" customFormat="1" x14ac:dyDescent="0.2"/>
    <row r="2441" customFormat="1" x14ac:dyDescent="0.2"/>
    <row r="2442" customFormat="1" x14ac:dyDescent="0.2"/>
    <row r="2443" customFormat="1" x14ac:dyDescent="0.2"/>
    <row r="2444" customFormat="1" x14ac:dyDescent="0.2"/>
    <row r="2445" customFormat="1" x14ac:dyDescent="0.2"/>
    <row r="2446" customFormat="1" x14ac:dyDescent="0.2"/>
    <row r="2447" customFormat="1" x14ac:dyDescent="0.2"/>
    <row r="2448" customFormat="1" x14ac:dyDescent="0.2"/>
    <row r="2449" customFormat="1" x14ac:dyDescent="0.2"/>
    <row r="2450" customFormat="1" x14ac:dyDescent="0.2"/>
    <row r="2451" customFormat="1" x14ac:dyDescent="0.2"/>
    <row r="2452" customFormat="1" x14ac:dyDescent="0.2"/>
    <row r="2453" customFormat="1" x14ac:dyDescent="0.2"/>
    <row r="2454" customFormat="1" x14ac:dyDescent="0.2"/>
    <row r="2455" customFormat="1" x14ac:dyDescent="0.2"/>
    <row r="2456" customFormat="1" x14ac:dyDescent="0.2"/>
    <row r="2457" customFormat="1" x14ac:dyDescent="0.2"/>
    <row r="2458" customFormat="1" x14ac:dyDescent="0.2"/>
    <row r="2459" customFormat="1" x14ac:dyDescent="0.2"/>
    <row r="2460" customFormat="1" x14ac:dyDescent="0.2"/>
    <row r="2461" customFormat="1" x14ac:dyDescent="0.2"/>
    <row r="2462" customFormat="1" x14ac:dyDescent="0.2"/>
    <row r="2463" customFormat="1" x14ac:dyDescent="0.2"/>
    <row r="2464" customFormat="1" x14ac:dyDescent="0.2"/>
    <row r="2465" customFormat="1" x14ac:dyDescent="0.2"/>
    <row r="2466" customFormat="1" x14ac:dyDescent="0.2"/>
    <row r="2467" customFormat="1" x14ac:dyDescent="0.2"/>
    <row r="2468" customFormat="1" x14ac:dyDescent="0.2"/>
    <row r="2469" customFormat="1" x14ac:dyDescent="0.2"/>
    <row r="2470" customFormat="1" x14ac:dyDescent="0.2"/>
    <row r="2471" customFormat="1" x14ac:dyDescent="0.2"/>
    <row r="2472" customFormat="1" x14ac:dyDescent="0.2"/>
    <row r="2473" customFormat="1" x14ac:dyDescent="0.2"/>
    <row r="2474" customFormat="1" x14ac:dyDescent="0.2"/>
    <row r="2475" customFormat="1" x14ac:dyDescent="0.2"/>
    <row r="2476" customFormat="1" x14ac:dyDescent="0.2"/>
    <row r="2477" customFormat="1" x14ac:dyDescent="0.2"/>
    <row r="2478" customFormat="1" x14ac:dyDescent="0.2"/>
    <row r="2479" customFormat="1" x14ac:dyDescent="0.2"/>
    <row r="2480" customFormat="1" x14ac:dyDescent="0.2"/>
    <row r="2481" customFormat="1" x14ac:dyDescent="0.2"/>
    <row r="2482" customFormat="1" x14ac:dyDescent="0.2"/>
    <row r="2483" customFormat="1" x14ac:dyDescent="0.2"/>
    <row r="2484" customFormat="1" x14ac:dyDescent="0.2"/>
    <row r="2485" customFormat="1" x14ac:dyDescent="0.2"/>
    <row r="2486" customFormat="1" x14ac:dyDescent="0.2"/>
    <row r="2487" customFormat="1" x14ac:dyDescent="0.2"/>
    <row r="2488" customFormat="1" x14ac:dyDescent="0.2"/>
    <row r="2489" customFormat="1" x14ac:dyDescent="0.2"/>
    <row r="2490" customFormat="1" x14ac:dyDescent="0.2"/>
    <row r="2491" customFormat="1" x14ac:dyDescent="0.2"/>
    <row r="2492" customFormat="1" x14ac:dyDescent="0.2"/>
    <row r="2493" customFormat="1" x14ac:dyDescent="0.2"/>
    <row r="2494" customFormat="1" x14ac:dyDescent="0.2"/>
    <row r="2495" customFormat="1" x14ac:dyDescent="0.2"/>
    <row r="2496" customFormat="1" x14ac:dyDescent="0.2"/>
    <row r="2497" customFormat="1" x14ac:dyDescent="0.2"/>
    <row r="2498" customFormat="1" x14ac:dyDescent="0.2"/>
    <row r="2499" customFormat="1" x14ac:dyDescent="0.2"/>
    <row r="2500" customFormat="1" x14ac:dyDescent="0.2"/>
    <row r="2501" customFormat="1" x14ac:dyDescent="0.2"/>
    <row r="2502" customFormat="1" x14ac:dyDescent="0.2"/>
    <row r="2503" customFormat="1" x14ac:dyDescent="0.2"/>
    <row r="2504" customFormat="1" x14ac:dyDescent="0.2"/>
    <row r="2505" customFormat="1" x14ac:dyDescent="0.2"/>
    <row r="2506" customFormat="1" x14ac:dyDescent="0.2"/>
    <row r="2507" customFormat="1" x14ac:dyDescent="0.2"/>
    <row r="2508" customFormat="1" x14ac:dyDescent="0.2"/>
    <row r="2509" customFormat="1" x14ac:dyDescent="0.2"/>
    <row r="2510" customFormat="1" x14ac:dyDescent="0.2"/>
    <row r="2511" customFormat="1" x14ac:dyDescent="0.2"/>
    <row r="2512" customFormat="1" x14ac:dyDescent="0.2"/>
    <row r="2513" customFormat="1" x14ac:dyDescent="0.2"/>
    <row r="2514" customFormat="1" x14ac:dyDescent="0.2"/>
    <row r="2515" customFormat="1" x14ac:dyDescent="0.2"/>
    <row r="2516" customFormat="1" x14ac:dyDescent="0.2"/>
    <row r="2517" customFormat="1" x14ac:dyDescent="0.2"/>
    <row r="2518" customFormat="1" x14ac:dyDescent="0.2"/>
    <row r="2519" customFormat="1" x14ac:dyDescent="0.2"/>
    <row r="2520" customFormat="1" x14ac:dyDescent="0.2"/>
    <row r="2521" customFormat="1" x14ac:dyDescent="0.2"/>
    <row r="2522" customFormat="1" x14ac:dyDescent="0.2"/>
    <row r="2523" customFormat="1" x14ac:dyDescent="0.2"/>
    <row r="2524" customFormat="1" x14ac:dyDescent="0.2"/>
    <row r="2525" customFormat="1" x14ac:dyDescent="0.2"/>
    <row r="2526" customFormat="1" x14ac:dyDescent="0.2"/>
    <row r="2527" customFormat="1" x14ac:dyDescent="0.2"/>
    <row r="2528" customFormat="1" x14ac:dyDescent="0.2"/>
    <row r="2529" customFormat="1" x14ac:dyDescent="0.2"/>
    <row r="2530" customFormat="1" x14ac:dyDescent="0.2"/>
    <row r="2531" customFormat="1" x14ac:dyDescent="0.2"/>
    <row r="2532" customFormat="1" x14ac:dyDescent="0.2"/>
    <row r="2533" customFormat="1" x14ac:dyDescent="0.2"/>
    <row r="2534" customFormat="1" x14ac:dyDescent="0.2"/>
    <row r="2535" customFormat="1" x14ac:dyDescent="0.2"/>
    <row r="2536" customFormat="1" x14ac:dyDescent="0.2"/>
    <row r="2537" customFormat="1" x14ac:dyDescent="0.2"/>
    <row r="2538" customFormat="1" x14ac:dyDescent="0.2"/>
    <row r="2539" customFormat="1" x14ac:dyDescent="0.2"/>
    <row r="2540" customFormat="1" x14ac:dyDescent="0.2"/>
    <row r="2541" customFormat="1" x14ac:dyDescent="0.2"/>
    <row r="2542" customFormat="1" x14ac:dyDescent="0.2"/>
    <row r="2543" customFormat="1" x14ac:dyDescent="0.2"/>
    <row r="2544" customFormat="1" x14ac:dyDescent="0.2"/>
    <row r="2545" customFormat="1" x14ac:dyDescent="0.2"/>
    <row r="2546" customFormat="1" x14ac:dyDescent="0.2"/>
    <row r="2547" customFormat="1" x14ac:dyDescent="0.2"/>
    <row r="2548" customFormat="1" x14ac:dyDescent="0.2"/>
    <row r="2549" customFormat="1" x14ac:dyDescent="0.2"/>
    <row r="2550" customFormat="1" x14ac:dyDescent="0.2"/>
    <row r="2551" customFormat="1" x14ac:dyDescent="0.2"/>
    <row r="2552" customFormat="1" x14ac:dyDescent="0.2"/>
    <row r="2553" customFormat="1" x14ac:dyDescent="0.2"/>
    <row r="2554" customFormat="1" x14ac:dyDescent="0.2"/>
    <row r="2555" customFormat="1" x14ac:dyDescent="0.2"/>
    <row r="2556" customFormat="1" x14ac:dyDescent="0.2"/>
    <row r="2557" customFormat="1" x14ac:dyDescent="0.2"/>
    <row r="2558" customFormat="1" x14ac:dyDescent="0.2"/>
    <row r="2559" customFormat="1" x14ac:dyDescent="0.2"/>
    <row r="2560" customFormat="1" x14ac:dyDescent="0.2"/>
    <row r="2561" customFormat="1" x14ac:dyDescent="0.2"/>
    <row r="2562" customFormat="1" x14ac:dyDescent="0.2"/>
    <row r="2563" customFormat="1" x14ac:dyDescent="0.2"/>
    <row r="2564" customFormat="1" x14ac:dyDescent="0.2"/>
    <row r="2565" customFormat="1" x14ac:dyDescent="0.2"/>
    <row r="2566" customFormat="1" x14ac:dyDescent="0.2"/>
    <row r="2567" customFormat="1" x14ac:dyDescent="0.2"/>
    <row r="2568" customFormat="1" x14ac:dyDescent="0.2"/>
    <row r="2569" customFormat="1" x14ac:dyDescent="0.2"/>
    <row r="2570" customFormat="1" x14ac:dyDescent="0.2"/>
    <row r="2571" customFormat="1" x14ac:dyDescent="0.2"/>
    <row r="2572" customFormat="1" x14ac:dyDescent="0.2"/>
    <row r="2573" customFormat="1" x14ac:dyDescent="0.2"/>
    <row r="2574" customFormat="1" x14ac:dyDescent="0.2"/>
    <row r="2575" customFormat="1" x14ac:dyDescent="0.2"/>
    <row r="2576" customFormat="1" x14ac:dyDescent="0.2"/>
    <row r="2577" customFormat="1" x14ac:dyDescent="0.2"/>
    <row r="2578" customFormat="1" x14ac:dyDescent="0.2"/>
    <row r="2579" customFormat="1" x14ac:dyDescent="0.2"/>
    <row r="2580" customFormat="1" x14ac:dyDescent="0.2"/>
    <row r="2581" customFormat="1" x14ac:dyDescent="0.2"/>
    <row r="2582" customFormat="1" x14ac:dyDescent="0.2"/>
    <row r="2583" customFormat="1" x14ac:dyDescent="0.2"/>
    <row r="2584" customFormat="1" x14ac:dyDescent="0.2"/>
    <row r="2585" customFormat="1" x14ac:dyDescent="0.2"/>
    <row r="2586" customFormat="1" x14ac:dyDescent="0.2"/>
    <row r="2587" customFormat="1" x14ac:dyDescent="0.2"/>
    <row r="2588" customFormat="1" x14ac:dyDescent="0.2"/>
    <row r="2589" customFormat="1" x14ac:dyDescent="0.2"/>
    <row r="2590" customFormat="1" x14ac:dyDescent="0.2"/>
    <row r="2591" customFormat="1" x14ac:dyDescent="0.2"/>
    <row r="2592" customFormat="1" x14ac:dyDescent="0.2"/>
    <row r="2593" customFormat="1" x14ac:dyDescent="0.2"/>
    <row r="2594" customFormat="1" x14ac:dyDescent="0.2"/>
    <row r="2595" customFormat="1" x14ac:dyDescent="0.2"/>
    <row r="2596" customFormat="1" x14ac:dyDescent="0.2"/>
    <row r="2597" customFormat="1" x14ac:dyDescent="0.2"/>
    <row r="2598" customFormat="1" x14ac:dyDescent="0.2"/>
    <row r="2599" customFormat="1" x14ac:dyDescent="0.2"/>
    <row r="2600" customFormat="1" x14ac:dyDescent="0.2"/>
    <row r="2601" customFormat="1" x14ac:dyDescent="0.2"/>
    <row r="2602" customFormat="1" x14ac:dyDescent="0.2"/>
    <row r="2603" customFormat="1" x14ac:dyDescent="0.2"/>
    <row r="2604" customFormat="1" x14ac:dyDescent="0.2"/>
    <row r="2605" customFormat="1" x14ac:dyDescent="0.2"/>
    <row r="2606" customFormat="1" x14ac:dyDescent="0.2"/>
    <row r="2607" customFormat="1" x14ac:dyDescent="0.2"/>
    <row r="2608" customFormat="1" x14ac:dyDescent="0.2"/>
    <row r="2609" customFormat="1" x14ac:dyDescent="0.2"/>
    <row r="2610" customFormat="1" x14ac:dyDescent="0.2"/>
    <row r="2611" customFormat="1" x14ac:dyDescent="0.2"/>
    <row r="2612" customFormat="1" x14ac:dyDescent="0.2"/>
    <row r="2613" customFormat="1" x14ac:dyDescent="0.2"/>
    <row r="2614" customFormat="1" x14ac:dyDescent="0.2"/>
    <row r="2615" customFormat="1" x14ac:dyDescent="0.2"/>
    <row r="2616" customFormat="1" x14ac:dyDescent="0.2"/>
    <row r="2617" customFormat="1" x14ac:dyDescent="0.2"/>
    <row r="2618" customFormat="1" x14ac:dyDescent="0.2"/>
    <row r="2619" customFormat="1" x14ac:dyDescent="0.2"/>
    <row r="2620" customFormat="1" x14ac:dyDescent="0.2"/>
    <row r="2621" customFormat="1" x14ac:dyDescent="0.2"/>
    <row r="2622" customFormat="1" x14ac:dyDescent="0.2"/>
    <row r="2623" customFormat="1" x14ac:dyDescent="0.2"/>
    <row r="2624" customFormat="1" x14ac:dyDescent="0.2"/>
    <row r="2625" customFormat="1" x14ac:dyDescent="0.2"/>
    <row r="2626" customFormat="1" x14ac:dyDescent="0.2"/>
    <row r="2627" customFormat="1" x14ac:dyDescent="0.2"/>
    <row r="2628" customFormat="1" x14ac:dyDescent="0.2"/>
    <row r="2629" customFormat="1" x14ac:dyDescent="0.2"/>
    <row r="2630" customFormat="1" x14ac:dyDescent="0.2"/>
    <row r="2631" customFormat="1" x14ac:dyDescent="0.2"/>
    <row r="2632" customFormat="1" x14ac:dyDescent="0.2"/>
    <row r="2633" customFormat="1" x14ac:dyDescent="0.2"/>
    <row r="2634" customFormat="1" x14ac:dyDescent="0.2"/>
    <row r="2635" customFormat="1" x14ac:dyDescent="0.2"/>
    <row r="2636" customFormat="1" x14ac:dyDescent="0.2"/>
    <row r="2637" customFormat="1" x14ac:dyDescent="0.2"/>
    <row r="2638" customFormat="1" x14ac:dyDescent="0.2"/>
    <row r="2639" customFormat="1" x14ac:dyDescent="0.2"/>
    <row r="2640" customFormat="1" x14ac:dyDescent="0.2"/>
    <row r="2641" customFormat="1" x14ac:dyDescent="0.2"/>
    <row r="2642" customFormat="1" x14ac:dyDescent="0.2"/>
    <row r="2643" customFormat="1" x14ac:dyDescent="0.2"/>
    <row r="2644" customFormat="1" x14ac:dyDescent="0.2"/>
    <row r="2645" customFormat="1" x14ac:dyDescent="0.2"/>
    <row r="2646" customFormat="1" x14ac:dyDescent="0.2"/>
    <row r="2647" customFormat="1" x14ac:dyDescent="0.2"/>
    <row r="2648" customFormat="1" x14ac:dyDescent="0.2"/>
    <row r="2649" customFormat="1" x14ac:dyDescent="0.2"/>
    <row r="2650" customFormat="1" x14ac:dyDescent="0.2"/>
    <row r="2651" customFormat="1" x14ac:dyDescent="0.2"/>
    <row r="2652" customFormat="1" x14ac:dyDescent="0.2"/>
    <row r="2653" customFormat="1" x14ac:dyDescent="0.2"/>
    <row r="2654" customFormat="1" x14ac:dyDescent="0.2"/>
    <row r="2655" customFormat="1" x14ac:dyDescent="0.2"/>
    <row r="2656" customFormat="1" x14ac:dyDescent="0.2"/>
    <row r="2657" customFormat="1" x14ac:dyDescent="0.2"/>
    <row r="2658" customFormat="1" x14ac:dyDescent="0.2"/>
    <row r="2659" customFormat="1" x14ac:dyDescent="0.2"/>
    <row r="2660" customFormat="1" x14ac:dyDescent="0.2"/>
    <row r="2661" customFormat="1" x14ac:dyDescent="0.2"/>
    <row r="2662" customFormat="1" x14ac:dyDescent="0.2"/>
    <row r="2663" customFormat="1" x14ac:dyDescent="0.2"/>
    <row r="2664" customFormat="1" x14ac:dyDescent="0.2"/>
    <row r="2665" customFormat="1" x14ac:dyDescent="0.2"/>
    <row r="2666" customFormat="1" x14ac:dyDescent="0.2"/>
    <row r="2667" customFormat="1" x14ac:dyDescent="0.2"/>
    <row r="2668" customFormat="1" x14ac:dyDescent="0.2"/>
    <row r="2669" customFormat="1" x14ac:dyDescent="0.2"/>
    <row r="2670" customFormat="1" x14ac:dyDescent="0.2"/>
    <row r="2671" customFormat="1" x14ac:dyDescent="0.2"/>
    <row r="2672" customFormat="1" x14ac:dyDescent="0.2"/>
    <row r="2673" customFormat="1" x14ac:dyDescent="0.2"/>
    <row r="2674" customFormat="1" x14ac:dyDescent="0.2"/>
    <row r="2675" customFormat="1" x14ac:dyDescent="0.2"/>
    <row r="2676" customFormat="1" x14ac:dyDescent="0.2"/>
    <row r="2677" customFormat="1" x14ac:dyDescent="0.2"/>
    <row r="2678" customFormat="1" x14ac:dyDescent="0.2"/>
    <row r="2679" customFormat="1" x14ac:dyDescent="0.2"/>
    <row r="2680" customFormat="1" x14ac:dyDescent="0.2"/>
    <row r="2681" customFormat="1" x14ac:dyDescent="0.2"/>
    <row r="2682" customFormat="1" x14ac:dyDescent="0.2"/>
    <row r="2683" customFormat="1" x14ac:dyDescent="0.2"/>
    <row r="2684" customFormat="1" x14ac:dyDescent="0.2"/>
    <row r="2685" customFormat="1" x14ac:dyDescent="0.2"/>
    <row r="2686" customFormat="1" x14ac:dyDescent="0.2"/>
    <row r="2687" customFormat="1" x14ac:dyDescent="0.2"/>
    <row r="2688" customFormat="1" x14ac:dyDescent="0.2"/>
    <row r="2689" customFormat="1" x14ac:dyDescent="0.2"/>
    <row r="2690" customFormat="1" x14ac:dyDescent="0.2"/>
    <row r="2691" customFormat="1" x14ac:dyDescent="0.2"/>
    <row r="2692" customFormat="1" x14ac:dyDescent="0.2"/>
    <row r="2693" customFormat="1" x14ac:dyDescent="0.2"/>
    <row r="2694" customFormat="1" x14ac:dyDescent="0.2"/>
    <row r="2695" customFormat="1" x14ac:dyDescent="0.2"/>
    <row r="2696" customFormat="1" x14ac:dyDescent="0.2"/>
    <row r="2697" customFormat="1" x14ac:dyDescent="0.2"/>
    <row r="2698" customFormat="1" x14ac:dyDescent="0.2"/>
    <row r="2699" customFormat="1" x14ac:dyDescent="0.2"/>
    <row r="2700" customFormat="1" x14ac:dyDescent="0.2"/>
    <row r="2701" customFormat="1" x14ac:dyDescent="0.2"/>
    <row r="2702" customFormat="1" x14ac:dyDescent="0.2"/>
    <row r="2703" customFormat="1" x14ac:dyDescent="0.2"/>
    <row r="2704" customFormat="1" x14ac:dyDescent="0.2"/>
    <row r="2705" customFormat="1" x14ac:dyDescent="0.2"/>
    <row r="2706" customFormat="1" x14ac:dyDescent="0.2"/>
    <row r="2707" customFormat="1" x14ac:dyDescent="0.2"/>
    <row r="2708" customFormat="1" x14ac:dyDescent="0.2"/>
    <row r="2709" customFormat="1" x14ac:dyDescent="0.2"/>
    <row r="2710" customFormat="1" x14ac:dyDescent="0.2"/>
    <row r="2711" customFormat="1" x14ac:dyDescent="0.2"/>
    <row r="2712" customFormat="1" x14ac:dyDescent="0.2"/>
    <row r="2713" customFormat="1" x14ac:dyDescent="0.2"/>
    <row r="2714" customFormat="1" x14ac:dyDescent="0.2"/>
    <row r="2715" customFormat="1" x14ac:dyDescent="0.2"/>
    <row r="2716" customFormat="1" x14ac:dyDescent="0.2"/>
    <row r="2717" customFormat="1" x14ac:dyDescent="0.2"/>
    <row r="2718" customFormat="1" x14ac:dyDescent="0.2"/>
    <row r="2719" customFormat="1" x14ac:dyDescent="0.2"/>
    <row r="2720" customFormat="1" x14ac:dyDescent="0.2"/>
    <row r="2721" customFormat="1" x14ac:dyDescent="0.2"/>
    <row r="2722" customFormat="1" x14ac:dyDescent="0.2"/>
    <row r="2723" customFormat="1" x14ac:dyDescent="0.2"/>
    <row r="2724" customFormat="1" x14ac:dyDescent="0.2"/>
    <row r="2725" customFormat="1" x14ac:dyDescent="0.2"/>
    <row r="2726" customFormat="1" x14ac:dyDescent="0.2"/>
    <row r="2727" customFormat="1" x14ac:dyDescent="0.2"/>
    <row r="2728" customFormat="1" x14ac:dyDescent="0.2"/>
    <row r="2729" customFormat="1" x14ac:dyDescent="0.2"/>
    <row r="2730" customFormat="1" x14ac:dyDescent="0.2"/>
    <row r="2731" customFormat="1" x14ac:dyDescent="0.2"/>
    <row r="2732" customFormat="1" x14ac:dyDescent="0.2"/>
    <row r="2733" customFormat="1" x14ac:dyDescent="0.2"/>
    <row r="2734" customFormat="1" x14ac:dyDescent="0.2"/>
    <row r="2735" customFormat="1" x14ac:dyDescent="0.2"/>
    <row r="2736" customFormat="1" x14ac:dyDescent="0.2"/>
    <row r="2737" customFormat="1" x14ac:dyDescent="0.2"/>
    <row r="2738" customFormat="1" x14ac:dyDescent="0.2"/>
    <row r="2739" customFormat="1" x14ac:dyDescent="0.2"/>
    <row r="2740" customFormat="1" x14ac:dyDescent="0.2"/>
    <row r="2741" customFormat="1" x14ac:dyDescent="0.2"/>
    <row r="2742" customFormat="1" x14ac:dyDescent="0.2"/>
    <row r="2743" customFormat="1" x14ac:dyDescent="0.2"/>
    <row r="2744" customFormat="1" x14ac:dyDescent="0.2"/>
    <row r="2745" customFormat="1" x14ac:dyDescent="0.2"/>
    <row r="2746" customFormat="1" x14ac:dyDescent="0.2"/>
    <row r="2747" customFormat="1" x14ac:dyDescent="0.2"/>
    <row r="2748" customFormat="1" x14ac:dyDescent="0.2"/>
    <row r="2749" customFormat="1" x14ac:dyDescent="0.2"/>
    <row r="2750" customFormat="1" x14ac:dyDescent="0.2"/>
    <row r="2751" customFormat="1" x14ac:dyDescent="0.2"/>
    <row r="2752" customFormat="1" x14ac:dyDescent="0.2"/>
    <row r="2753" customFormat="1" x14ac:dyDescent="0.2"/>
    <row r="2754" customFormat="1" x14ac:dyDescent="0.2"/>
    <row r="2755" customFormat="1" x14ac:dyDescent="0.2"/>
    <row r="2756" customFormat="1" x14ac:dyDescent="0.2"/>
    <row r="2757" customFormat="1" x14ac:dyDescent="0.2"/>
    <row r="2758" customFormat="1" x14ac:dyDescent="0.2"/>
    <row r="2759" customFormat="1" x14ac:dyDescent="0.2"/>
    <row r="2760" customFormat="1" x14ac:dyDescent="0.2"/>
    <row r="2761" customFormat="1" x14ac:dyDescent="0.2"/>
    <row r="2762" customFormat="1" x14ac:dyDescent="0.2"/>
    <row r="2763" customFormat="1" x14ac:dyDescent="0.2"/>
    <row r="2764" customFormat="1" x14ac:dyDescent="0.2"/>
    <row r="2765" customFormat="1" x14ac:dyDescent="0.2"/>
    <row r="2766" customFormat="1" x14ac:dyDescent="0.2"/>
    <row r="2767" customFormat="1" x14ac:dyDescent="0.2"/>
    <row r="2768" customFormat="1" x14ac:dyDescent="0.2"/>
    <row r="2769" customFormat="1" x14ac:dyDescent="0.2"/>
    <row r="2770" customFormat="1" x14ac:dyDescent="0.2"/>
    <row r="2771" customFormat="1" x14ac:dyDescent="0.2"/>
    <row r="2772" customFormat="1" x14ac:dyDescent="0.2"/>
    <row r="2773" customFormat="1" x14ac:dyDescent="0.2"/>
    <row r="2774" customFormat="1" x14ac:dyDescent="0.2"/>
    <row r="2775" customFormat="1" x14ac:dyDescent="0.2"/>
    <row r="2776" customFormat="1" x14ac:dyDescent="0.2"/>
    <row r="2777" customFormat="1" x14ac:dyDescent="0.2"/>
    <row r="2778" customFormat="1" x14ac:dyDescent="0.2"/>
    <row r="2779" customFormat="1" x14ac:dyDescent="0.2"/>
    <row r="2780" customFormat="1" x14ac:dyDescent="0.2"/>
    <row r="2781" customFormat="1" x14ac:dyDescent="0.2"/>
    <row r="2782" customFormat="1" x14ac:dyDescent="0.2"/>
    <row r="2783" customFormat="1" x14ac:dyDescent="0.2"/>
    <row r="2784" customFormat="1" x14ac:dyDescent="0.2"/>
    <row r="2785" customFormat="1" x14ac:dyDescent="0.2"/>
    <row r="2786" customFormat="1" x14ac:dyDescent="0.2"/>
    <row r="2787" customFormat="1" x14ac:dyDescent="0.2"/>
    <row r="2788" customFormat="1" x14ac:dyDescent="0.2"/>
    <row r="2789" customFormat="1" x14ac:dyDescent="0.2"/>
    <row r="2790" customFormat="1" x14ac:dyDescent="0.2"/>
    <row r="2791" customFormat="1" x14ac:dyDescent="0.2"/>
    <row r="2792" customFormat="1" x14ac:dyDescent="0.2"/>
    <row r="2793" customFormat="1" x14ac:dyDescent="0.2"/>
    <row r="2794" customFormat="1" x14ac:dyDescent="0.2"/>
    <row r="2795" customFormat="1" x14ac:dyDescent="0.2"/>
  </sheetData>
  <autoFilter ref="A1:AD106" xr:uid="{39D1C33C-79D7-4DD9-8E6E-C7296F206FC1}"/>
  <sortState xmlns:xlrd2="http://schemas.microsoft.com/office/spreadsheetml/2017/richdata2" ref="A2:AD326">
    <sortCondition sortBy="cellColor" ref="E1:E500" dxfId="38"/>
  </sortState>
  <conditionalFormatting sqref="AD1:AD106">
    <cfRule type="cellIs" dxfId="37" priority="4" operator="equal">
      <formula>"NO"</formula>
    </cfRule>
  </conditionalFormatting>
  <conditionalFormatting sqref="E2:F106">
    <cfRule type="timePeriod" dxfId="36" priority="3" timePeriod="lastWeek">
      <formula>AND(TODAY()-ROUNDDOWN(E2,0)&gt;=(WEEKDAY(TODAY())),TODAY()-ROUNDDOWN(E2,0)&lt;(WEEKDAY(TODAY())+7))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E52C32-BE30-4AAE-9B59-4675FB8B3431}">
  <sheetPr codeName="Sheet2"/>
  <dimension ref="A1:AW401"/>
  <sheetViews>
    <sheetView topLeftCell="B1" zoomScale="55" zoomScaleNormal="55" workbookViewId="0">
      <selection activeCell="B2" sqref="A2:XFD401"/>
    </sheetView>
  </sheetViews>
  <sheetFormatPr defaultColWidth="0" defaultRowHeight="12.75" x14ac:dyDescent="0.2"/>
  <cols>
    <col min="2" max="2" width="14.85546875" customWidth="1"/>
    <col min="4" max="4" width="17.5703125" customWidth="1"/>
    <col min="5" max="5" width="17.28515625" customWidth="1"/>
    <col min="6" max="6" width="18.7109375" customWidth="1"/>
    <col min="7" max="7" width="16" customWidth="1"/>
    <col min="8" max="8" width="63.7109375" customWidth="1"/>
    <col min="9" max="9" width="48.42578125" customWidth="1"/>
    <col min="10" max="10" width="12.85546875" customWidth="1"/>
    <col min="11" max="11" width="16.42578125" customWidth="1"/>
    <col min="14" max="14" width="9.140625" customWidth="1"/>
    <col min="17" max="18" width="19.5703125" customWidth="1"/>
    <col min="30" max="30" width="19" customWidth="1"/>
  </cols>
  <sheetData>
    <row r="1" spans="1:49" s="8" customFormat="1" ht="33.950000000000003" customHeight="1" x14ac:dyDescent="0.25">
      <c r="A1" s="1" t="s">
        <v>10</v>
      </c>
      <c r="B1" s="2" t="s">
        <v>0</v>
      </c>
      <c r="C1" s="2" t="s">
        <v>1</v>
      </c>
      <c r="D1" s="1" t="s">
        <v>2</v>
      </c>
      <c r="E1" s="3" t="s">
        <v>3</v>
      </c>
      <c r="F1" s="3" t="s">
        <v>4</v>
      </c>
      <c r="G1" s="3" t="s">
        <v>5</v>
      </c>
      <c r="H1" s="1" t="s">
        <v>27</v>
      </c>
      <c r="I1" s="3" t="s">
        <v>11</v>
      </c>
      <c r="J1" s="1" t="s">
        <v>6</v>
      </c>
      <c r="K1" s="1" t="s">
        <v>26</v>
      </c>
      <c r="L1" s="4" t="s">
        <v>12</v>
      </c>
      <c r="M1" s="4" t="s">
        <v>13</v>
      </c>
      <c r="N1" s="1" t="s">
        <v>7</v>
      </c>
      <c r="O1" s="4" t="s">
        <v>14</v>
      </c>
      <c r="P1" s="6" t="s">
        <v>15</v>
      </c>
      <c r="Q1" s="1" t="s">
        <v>16</v>
      </c>
      <c r="R1" s="6" t="s">
        <v>8</v>
      </c>
      <c r="S1" s="1" t="s">
        <v>17</v>
      </c>
      <c r="T1" s="6" t="s">
        <v>18</v>
      </c>
      <c r="U1" s="5" t="s">
        <v>28</v>
      </c>
      <c r="V1" s="6" t="s">
        <v>19</v>
      </c>
      <c r="W1" s="1" t="s">
        <v>20</v>
      </c>
      <c r="X1" s="1" t="s">
        <v>21</v>
      </c>
      <c r="Y1" s="1" t="s">
        <v>22</v>
      </c>
      <c r="Z1" s="1" t="s">
        <v>9</v>
      </c>
      <c r="AA1" s="1" t="s">
        <v>23</v>
      </c>
      <c r="AB1" s="1" t="s">
        <v>24</v>
      </c>
      <c r="AC1" s="1" t="s">
        <v>25</v>
      </c>
      <c r="AD1" s="7" t="str">
        <f>IF(N1="PRG","",IF(I1&gt;=E1,IF(I1&lt;=F1,"","NO"),"NO"))</f>
        <v>NO</v>
      </c>
    </row>
    <row r="2" spans="1:49" s="17" customFormat="1" ht="35.1" customHeight="1" x14ac:dyDescent="0.25">
      <c r="A2" s="9" t="s">
        <v>29</v>
      </c>
      <c r="B2" s="10">
        <v>46049</v>
      </c>
      <c r="C2" s="10">
        <v>46049</v>
      </c>
      <c r="D2" s="11" t="s">
        <v>166</v>
      </c>
      <c r="E2" s="12">
        <v>0</v>
      </c>
      <c r="F2" s="12">
        <v>0.25</v>
      </c>
      <c r="G2" s="12">
        <v>0.25</v>
      </c>
      <c r="H2" s="9" t="s">
        <v>31</v>
      </c>
      <c r="I2" s="13"/>
      <c r="J2" s="9" t="s">
        <v>32</v>
      </c>
      <c r="K2" s="9" t="s">
        <v>31</v>
      </c>
      <c r="L2" s="14">
        <v>1</v>
      </c>
      <c r="M2" s="14">
        <v>1</v>
      </c>
      <c r="N2" s="9" t="s">
        <v>33</v>
      </c>
      <c r="O2" s="9"/>
      <c r="P2" s="15">
        <v>0</v>
      </c>
      <c r="Q2" s="14"/>
      <c r="R2" s="15">
        <v>0</v>
      </c>
      <c r="S2" s="9">
        <v>46054</v>
      </c>
      <c r="T2" s="16">
        <v>0</v>
      </c>
      <c r="U2" s="14">
        <v>1</v>
      </c>
      <c r="V2" s="16">
        <v>0</v>
      </c>
      <c r="W2" s="9" t="s">
        <v>34</v>
      </c>
      <c r="X2" s="9" t="s">
        <v>35</v>
      </c>
      <c r="Y2" s="9" t="s">
        <v>36</v>
      </c>
      <c r="Z2" s="9" t="s">
        <v>9</v>
      </c>
      <c r="AA2" s="9" t="s">
        <v>37</v>
      </c>
      <c r="AB2" s="9" t="s">
        <v>37</v>
      </c>
      <c r="AC2" s="9" t="s">
        <v>38</v>
      </c>
      <c r="AD2" s="7" t="str">
        <f t="shared" ref="AD2:AD67" si="0">IF(N2="PRG","",IF(I2&gt;=E2,IF(I2&lt;=F2,"","NO"),"NO"))</f>
        <v/>
      </c>
      <c r="AE2" s="26"/>
      <c r="AF2" s="26"/>
      <c r="AG2" s="26"/>
      <c r="AH2" s="26"/>
      <c r="AI2" s="27"/>
      <c r="AJ2" s="27"/>
      <c r="AK2" s="27"/>
      <c r="AL2" s="27"/>
      <c r="AM2" s="27"/>
      <c r="AN2" s="27"/>
      <c r="AO2" s="27"/>
      <c r="AP2" s="27"/>
      <c r="AQ2" s="27"/>
      <c r="AR2" s="27"/>
      <c r="AS2" s="27"/>
      <c r="AT2" s="27"/>
      <c r="AU2" s="27"/>
      <c r="AV2" s="27"/>
      <c r="AW2" s="27"/>
    </row>
    <row r="3" spans="1:49" s="17" customFormat="1" ht="35.1" customHeight="1" x14ac:dyDescent="0.25">
      <c r="A3" s="9" t="s">
        <v>39</v>
      </c>
      <c r="B3" s="10">
        <v>46049</v>
      </c>
      <c r="C3" s="10">
        <v>46049</v>
      </c>
      <c r="D3" s="11" t="s">
        <v>166</v>
      </c>
      <c r="E3" s="12">
        <v>0.25</v>
      </c>
      <c r="F3" s="12">
        <v>0.29166666666666669</v>
      </c>
      <c r="G3" s="12">
        <v>4.1666666666666664E-2</v>
      </c>
      <c r="H3" s="9" t="s">
        <v>40</v>
      </c>
      <c r="I3" s="13"/>
      <c r="J3" s="9" t="s">
        <v>41</v>
      </c>
      <c r="K3" s="9"/>
      <c r="L3" s="14">
        <v>1</v>
      </c>
      <c r="M3" s="14">
        <v>1</v>
      </c>
      <c r="N3" s="9" t="s">
        <v>33</v>
      </c>
      <c r="O3" s="9"/>
      <c r="P3" s="15">
        <v>0</v>
      </c>
      <c r="Q3" s="14"/>
      <c r="R3" s="15">
        <v>0</v>
      </c>
      <c r="S3" s="9">
        <v>46054</v>
      </c>
      <c r="T3" s="15">
        <v>0</v>
      </c>
      <c r="U3" s="14">
        <v>2</v>
      </c>
      <c r="V3" s="15">
        <v>0</v>
      </c>
      <c r="W3" s="9" t="s">
        <v>34</v>
      </c>
      <c r="X3" s="9" t="s">
        <v>42</v>
      </c>
      <c r="Y3" s="9" t="s">
        <v>36</v>
      </c>
      <c r="Z3" s="9" t="s">
        <v>43</v>
      </c>
      <c r="AA3" s="9" t="s">
        <v>37</v>
      </c>
      <c r="AB3" s="9" t="s">
        <v>37</v>
      </c>
      <c r="AC3" s="9" t="s">
        <v>38</v>
      </c>
      <c r="AD3" s="7" t="str">
        <f t="shared" si="0"/>
        <v/>
      </c>
      <c r="AE3" s="26"/>
      <c r="AF3" s="26"/>
      <c r="AG3" s="26"/>
      <c r="AH3" s="26"/>
      <c r="AI3" s="27"/>
      <c r="AJ3" s="27"/>
      <c r="AK3" s="27"/>
      <c r="AL3" s="27"/>
      <c r="AM3" s="27"/>
      <c r="AN3" s="27"/>
      <c r="AO3" s="27"/>
      <c r="AP3" s="27"/>
      <c r="AQ3" s="27"/>
      <c r="AR3" s="27"/>
      <c r="AS3" s="27"/>
      <c r="AT3" s="27"/>
      <c r="AU3" s="27"/>
      <c r="AV3" s="27"/>
      <c r="AW3" s="27"/>
    </row>
    <row r="4" spans="1:49" s="17" customFormat="1" ht="35.1" customHeight="1" x14ac:dyDescent="0.25">
      <c r="A4" s="18" t="s">
        <v>159</v>
      </c>
      <c r="B4" s="19">
        <v>46049</v>
      </c>
      <c r="C4" s="19">
        <v>46049</v>
      </c>
      <c r="D4" s="18" t="s">
        <v>166</v>
      </c>
      <c r="E4" s="20">
        <v>0.25</v>
      </c>
      <c r="F4" s="20">
        <v>0.875</v>
      </c>
      <c r="G4" s="28">
        <v>1.7361111111111109E-4</v>
      </c>
      <c r="H4" s="29" t="s">
        <v>164</v>
      </c>
      <c r="I4" s="21">
        <v>0.26090277777777776</v>
      </c>
      <c r="J4" s="18" t="s">
        <v>41</v>
      </c>
      <c r="K4" s="18" t="s">
        <v>40</v>
      </c>
      <c r="L4" s="22">
        <v>1</v>
      </c>
      <c r="M4" s="22">
        <v>71013</v>
      </c>
      <c r="N4" s="18" t="s">
        <v>53</v>
      </c>
      <c r="O4" s="22" t="s">
        <v>161</v>
      </c>
      <c r="P4" s="23">
        <v>15</v>
      </c>
      <c r="Q4" s="22"/>
      <c r="R4" s="23">
        <v>15</v>
      </c>
      <c r="S4" s="24">
        <v>46054</v>
      </c>
      <c r="T4" s="23">
        <v>2.25</v>
      </c>
      <c r="U4" s="25">
        <v>4</v>
      </c>
      <c r="V4" s="23">
        <v>12.75</v>
      </c>
      <c r="W4" s="18" t="s">
        <v>47</v>
      </c>
      <c r="X4" s="18" t="s">
        <v>48</v>
      </c>
      <c r="Y4" s="18" t="s">
        <v>36</v>
      </c>
      <c r="Z4" s="18" t="s">
        <v>9</v>
      </c>
      <c r="AA4" s="18" t="s">
        <v>49</v>
      </c>
      <c r="AB4" s="18" t="s">
        <v>162</v>
      </c>
      <c r="AC4" s="18" t="s">
        <v>38</v>
      </c>
      <c r="AD4" s="7" t="str">
        <f t="shared" si="0"/>
        <v/>
      </c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</row>
    <row r="5" spans="1:49" s="17" customFormat="1" ht="35.1" customHeight="1" x14ac:dyDescent="0.25">
      <c r="A5" s="18" t="s">
        <v>159</v>
      </c>
      <c r="B5" s="19">
        <v>46049</v>
      </c>
      <c r="C5" s="19">
        <v>46049</v>
      </c>
      <c r="D5" s="18" t="s">
        <v>166</v>
      </c>
      <c r="E5" s="20">
        <v>0.25</v>
      </c>
      <c r="F5" s="20">
        <v>0.875</v>
      </c>
      <c r="G5" s="28">
        <v>1.7361111111111109E-4</v>
      </c>
      <c r="H5" s="29" t="s">
        <v>165</v>
      </c>
      <c r="I5" s="21">
        <v>0.26350694444444445</v>
      </c>
      <c r="J5" s="18" t="s">
        <v>41</v>
      </c>
      <c r="K5" s="18" t="s">
        <v>40</v>
      </c>
      <c r="L5" s="22">
        <v>1</v>
      </c>
      <c r="M5" s="22">
        <v>71013</v>
      </c>
      <c r="N5" s="18" t="s">
        <v>53</v>
      </c>
      <c r="O5" s="22" t="s">
        <v>161</v>
      </c>
      <c r="P5" s="23">
        <v>15</v>
      </c>
      <c r="Q5" s="22"/>
      <c r="R5" s="23">
        <v>15</v>
      </c>
      <c r="S5" s="24">
        <v>46054</v>
      </c>
      <c r="T5" s="23">
        <v>2.25</v>
      </c>
      <c r="U5" s="25">
        <v>4</v>
      </c>
      <c r="V5" s="23">
        <v>12.75</v>
      </c>
      <c r="W5" s="18" t="s">
        <v>47</v>
      </c>
      <c r="X5" s="18" t="s">
        <v>48</v>
      </c>
      <c r="Y5" s="18" t="s">
        <v>36</v>
      </c>
      <c r="Z5" s="18" t="s">
        <v>9</v>
      </c>
      <c r="AA5" s="18" t="s">
        <v>49</v>
      </c>
      <c r="AB5" s="18" t="s">
        <v>162</v>
      </c>
      <c r="AC5" s="18" t="s">
        <v>38</v>
      </c>
      <c r="AD5" s="7" t="str">
        <f t="shared" si="0"/>
        <v/>
      </c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</row>
    <row r="6" spans="1:49" s="17" customFormat="1" ht="35.1" customHeight="1" x14ac:dyDescent="0.25">
      <c r="A6" s="18" t="s">
        <v>159</v>
      </c>
      <c r="B6" s="19">
        <v>46049</v>
      </c>
      <c r="C6" s="19">
        <v>46049</v>
      </c>
      <c r="D6" s="18" t="s">
        <v>166</v>
      </c>
      <c r="E6" s="20">
        <v>0.25</v>
      </c>
      <c r="F6" s="20">
        <v>0.99930555555555556</v>
      </c>
      <c r="G6" s="28">
        <v>1.7361111111111109E-4</v>
      </c>
      <c r="H6" s="29" t="s">
        <v>160</v>
      </c>
      <c r="I6" s="21">
        <v>0.28283564814814816</v>
      </c>
      <c r="J6" s="18" t="s">
        <v>41</v>
      </c>
      <c r="K6" s="18" t="s">
        <v>40</v>
      </c>
      <c r="L6" s="22">
        <v>1</v>
      </c>
      <c r="M6" s="22">
        <v>71016</v>
      </c>
      <c r="N6" s="18" t="s">
        <v>46</v>
      </c>
      <c r="O6" s="22" t="s">
        <v>161</v>
      </c>
      <c r="P6" s="23">
        <v>0</v>
      </c>
      <c r="Q6" s="22"/>
      <c r="R6" s="23">
        <v>0</v>
      </c>
      <c r="S6" s="24">
        <v>46054</v>
      </c>
      <c r="T6" s="23">
        <v>0</v>
      </c>
      <c r="U6" s="25">
        <v>4</v>
      </c>
      <c r="V6" s="23">
        <v>0</v>
      </c>
      <c r="W6" s="18" t="s">
        <v>47</v>
      </c>
      <c r="X6" s="18" t="s">
        <v>48</v>
      </c>
      <c r="Y6" s="18" t="s">
        <v>36</v>
      </c>
      <c r="Z6" s="18" t="s">
        <v>9</v>
      </c>
      <c r="AA6" s="18" t="s">
        <v>49</v>
      </c>
      <c r="AB6" s="18" t="s">
        <v>162</v>
      </c>
      <c r="AC6" s="18" t="s">
        <v>38</v>
      </c>
      <c r="AD6" s="7" t="str">
        <f t="shared" si="0"/>
        <v/>
      </c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</row>
    <row r="7" spans="1:49" s="17" customFormat="1" ht="35.1" customHeight="1" x14ac:dyDescent="0.25">
      <c r="A7" s="18" t="s">
        <v>159</v>
      </c>
      <c r="B7" s="19">
        <v>46049</v>
      </c>
      <c r="C7" s="19">
        <v>46049</v>
      </c>
      <c r="D7" s="18" t="s">
        <v>166</v>
      </c>
      <c r="E7" s="20">
        <v>0.25</v>
      </c>
      <c r="F7" s="20">
        <v>0.99930555555555556</v>
      </c>
      <c r="G7" s="28">
        <v>1.7361111111111109E-4</v>
      </c>
      <c r="H7" s="29" t="s">
        <v>163</v>
      </c>
      <c r="I7" s="21">
        <v>0.28474537037037034</v>
      </c>
      <c r="J7" s="18" t="s">
        <v>41</v>
      </c>
      <c r="K7" s="18" t="s">
        <v>40</v>
      </c>
      <c r="L7" s="22">
        <v>1</v>
      </c>
      <c r="M7" s="22">
        <v>71016</v>
      </c>
      <c r="N7" s="18" t="s">
        <v>46</v>
      </c>
      <c r="O7" s="22" t="s">
        <v>161</v>
      </c>
      <c r="P7" s="23">
        <v>0</v>
      </c>
      <c r="Q7" s="22"/>
      <c r="R7" s="23">
        <v>0</v>
      </c>
      <c r="S7" s="24">
        <v>46054</v>
      </c>
      <c r="T7" s="23">
        <v>0</v>
      </c>
      <c r="U7" s="25">
        <v>4</v>
      </c>
      <c r="V7" s="23">
        <v>0</v>
      </c>
      <c r="W7" s="18" t="s">
        <v>47</v>
      </c>
      <c r="X7" s="18" t="s">
        <v>48</v>
      </c>
      <c r="Y7" s="18" t="s">
        <v>36</v>
      </c>
      <c r="Z7" s="18" t="s">
        <v>9</v>
      </c>
      <c r="AA7" s="18" t="s">
        <v>49</v>
      </c>
      <c r="AB7" s="18" t="s">
        <v>162</v>
      </c>
      <c r="AC7" s="18" t="s">
        <v>38</v>
      </c>
      <c r="AD7" s="7" t="str">
        <f t="shared" si="0"/>
        <v/>
      </c>
      <c r="AE7" s="26"/>
      <c r="AF7" s="26"/>
      <c r="AG7" s="26"/>
      <c r="AH7" s="26"/>
      <c r="AI7" s="26"/>
      <c r="AJ7" s="26"/>
      <c r="AK7" s="26"/>
      <c r="AL7" s="26"/>
      <c r="AM7" s="26"/>
      <c r="AN7" s="26"/>
      <c r="AO7" s="26"/>
      <c r="AP7" s="26"/>
      <c r="AQ7" s="26"/>
      <c r="AR7" s="26"/>
      <c r="AS7" s="26"/>
      <c r="AT7" s="26"/>
      <c r="AU7" s="26"/>
      <c r="AV7" s="26"/>
      <c r="AW7" s="26"/>
    </row>
    <row r="8" spans="1:49" ht="44.25" customHeight="1" x14ac:dyDescent="0.2">
      <c r="A8" s="36" t="s">
        <v>65</v>
      </c>
      <c r="B8" s="37">
        <v>46049</v>
      </c>
      <c r="C8" s="37">
        <v>46049</v>
      </c>
      <c r="D8" s="38" t="s">
        <v>166</v>
      </c>
      <c r="E8" s="39">
        <v>0.29166666666666669</v>
      </c>
      <c r="F8" s="39">
        <v>0.3125</v>
      </c>
      <c r="G8" s="39">
        <v>2.0833333333333332E-2</v>
      </c>
      <c r="H8" s="36" t="s">
        <v>171</v>
      </c>
      <c r="I8" s="40" t="s">
        <v>67</v>
      </c>
      <c r="J8" s="36" t="s">
        <v>41</v>
      </c>
      <c r="K8" s="36"/>
      <c r="L8" s="41">
        <v>1</v>
      </c>
      <c r="M8" s="41">
        <v>1</v>
      </c>
      <c r="N8" s="36" t="s">
        <v>33</v>
      </c>
      <c r="O8" s="36"/>
      <c r="P8" s="42">
        <v>0</v>
      </c>
      <c r="Q8" s="41"/>
      <c r="R8" s="42">
        <v>0</v>
      </c>
      <c r="S8" s="36">
        <v>46054</v>
      </c>
      <c r="T8" s="42">
        <v>0</v>
      </c>
      <c r="U8" s="41">
        <v>2</v>
      </c>
      <c r="V8" s="42">
        <v>0</v>
      </c>
      <c r="W8" s="36" t="s">
        <v>34</v>
      </c>
      <c r="X8" s="36" t="s">
        <v>42</v>
      </c>
      <c r="Y8" s="36" t="s">
        <v>36</v>
      </c>
      <c r="Z8" s="36" t="s">
        <v>43</v>
      </c>
      <c r="AA8" s="36" t="s">
        <v>37</v>
      </c>
      <c r="AB8" s="36" t="s">
        <v>37</v>
      </c>
      <c r="AC8" s="36" t="s">
        <v>38</v>
      </c>
      <c r="AD8" s="7" t="str">
        <f t="shared" si="0"/>
        <v/>
      </c>
    </row>
    <row r="9" spans="1:49" s="17" customFormat="1" ht="35.1" customHeight="1" x14ac:dyDescent="0.25">
      <c r="A9" s="18" t="s">
        <v>167</v>
      </c>
      <c r="B9" s="19">
        <v>46049</v>
      </c>
      <c r="C9" s="19">
        <v>46049</v>
      </c>
      <c r="D9" s="18" t="s">
        <v>166</v>
      </c>
      <c r="E9" s="20">
        <v>0.25</v>
      </c>
      <c r="F9" s="20">
        <v>0.99930555555555556</v>
      </c>
      <c r="G9" s="20">
        <v>3.8194444444444446E-4</v>
      </c>
      <c r="H9" s="18" t="s">
        <v>168</v>
      </c>
      <c r="I9" s="21">
        <v>0.30475694444444446</v>
      </c>
      <c r="J9" s="18" t="s">
        <v>32</v>
      </c>
      <c r="K9" s="18" t="s">
        <v>171</v>
      </c>
      <c r="L9" s="22">
        <v>1</v>
      </c>
      <c r="M9" s="22">
        <v>61686</v>
      </c>
      <c r="N9" s="18" t="s">
        <v>53</v>
      </c>
      <c r="O9" s="22"/>
      <c r="P9" s="23">
        <v>92.592592592592595</v>
      </c>
      <c r="Q9" s="22"/>
      <c r="R9" s="23">
        <v>92.592592592592595</v>
      </c>
      <c r="S9" s="24">
        <v>46054</v>
      </c>
      <c r="T9" s="23">
        <v>0</v>
      </c>
      <c r="U9" s="25">
        <v>4</v>
      </c>
      <c r="V9" s="23">
        <v>92.592592592592595</v>
      </c>
      <c r="W9" s="18" t="s">
        <v>34</v>
      </c>
      <c r="X9" s="18" t="s">
        <v>169</v>
      </c>
      <c r="Y9" s="18" t="s">
        <v>36</v>
      </c>
      <c r="Z9" s="18" t="s">
        <v>169</v>
      </c>
      <c r="AA9" s="18" t="s">
        <v>49</v>
      </c>
      <c r="AB9" s="18" t="s">
        <v>170</v>
      </c>
      <c r="AC9" s="18" t="s">
        <v>38</v>
      </c>
      <c r="AD9" s="7" t="str">
        <f t="shared" si="0"/>
        <v/>
      </c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</row>
    <row r="10" spans="1:49" s="34" customFormat="1" ht="35.1" customHeight="1" x14ac:dyDescent="0.25">
      <c r="A10" s="9" t="s">
        <v>65</v>
      </c>
      <c r="B10" s="10">
        <v>46049</v>
      </c>
      <c r="C10" s="10">
        <v>46049</v>
      </c>
      <c r="D10" s="11" t="s">
        <v>166</v>
      </c>
      <c r="E10" s="12">
        <v>0.3125</v>
      </c>
      <c r="F10" s="12">
        <v>0.33333333333333331</v>
      </c>
      <c r="G10" s="12">
        <v>2.0833333333333332E-2</v>
      </c>
      <c r="H10" s="9" t="s">
        <v>171</v>
      </c>
      <c r="I10" s="13" t="s">
        <v>67</v>
      </c>
      <c r="J10" s="9" t="s">
        <v>41</v>
      </c>
      <c r="K10" s="9"/>
      <c r="L10" s="14">
        <v>1</v>
      </c>
      <c r="M10" s="14">
        <v>1</v>
      </c>
      <c r="N10" s="9" t="s">
        <v>33</v>
      </c>
      <c r="O10" s="9"/>
      <c r="P10" s="16">
        <v>0</v>
      </c>
      <c r="Q10" s="14"/>
      <c r="R10" s="16">
        <v>0</v>
      </c>
      <c r="S10" s="9">
        <v>46054</v>
      </c>
      <c r="T10" s="16">
        <v>0</v>
      </c>
      <c r="U10" s="14">
        <v>2</v>
      </c>
      <c r="V10" s="16">
        <v>0</v>
      </c>
      <c r="W10" s="9" t="s">
        <v>34</v>
      </c>
      <c r="X10" s="9" t="s">
        <v>42</v>
      </c>
      <c r="Y10" s="9" t="s">
        <v>36</v>
      </c>
      <c r="Z10" s="9" t="s">
        <v>43</v>
      </c>
      <c r="AA10" s="9" t="s">
        <v>37</v>
      </c>
      <c r="AB10" s="9" t="s">
        <v>37</v>
      </c>
      <c r="AC10" s="9" t="s">
        <v>38</v>
      </c>
      <c r="AD10" s="7" t="str">
        <f t="shared" si="0"/>
        <v/>
      </c>
      <c r="AE10" s="26"/>
      <c r="AF10" s="26"/>
      <c r="AG10" s="26"/>
      <c r="AH10" s="26"/>
      <c r="AI10" s="26"/>
      <c r="AJ10" s="26"/>
      <c r="AK10" s="26"/>
      <c r="AL10" s="26"/>
      <c r="AM10" s="26"/>
      <c r="AN10" s="26"/>
      <c r="AO10" s="26"/>
      <c r="AP10" s="26"/>
      <c r="AQ10" s="26"/>
      <c r="AR10" s="26"/>
      <c r="AS10" s="26"/>
      <c r="AT10" s="26"/>
      <c r="AU10" s="26"/>
      <c r="AV10" s="26"/>
      <c r="AW10" s="26"/>
    </row>
    <row r="11" spans="1:49" s="34" customFormat="1" ht="35.1" customHeight="1" x14ac:dyDescent="0.25">
      <c r="A11" s="9" t="s">
        <v>68</v>
      </c>
      <c r="B11" s="10">
        <v>46049</v>
      </c>
      <c r="C11" s="10">
        <v>46049</v>
      </c>
      <c r="D11" s="11" t="s">
        <v>166</v>
      </c>
      <c r="E11" s="12">
        <v>0.33333333333333331</v>
      </c>
      <c r="F11" s="12">
        <v>0.375</v>
      </c>
      <c r="G11" s="12">
        <v>4.1666666666666664E-2</v>
      </c>
      <c r="H11" s="9" t="s">
        <v>69</v>
      </c>
      <c r="I11" s="13"/>
      <c r="J11" s="9" t="s">
        <v>70</v>
      </c>
      <c r="K11" s="9"/>
      <c r="L11" s="14">
        <v>1</v>
      </c>
      <c r="M11" s="14">
        <v>1</v>
      </c>
      <c r="N11" s="9" t="s">
        <v>33</v>
      </c>
      <c r="O11" s="9"/>
      <c r="P11" s="16">
        <v>0</v>
      </c>
      <c r="Q11" s="14"/>
      <c r="R11" s="16">
        <v>0</v>
      </c>
      <c r="S11" s="9">
        <v>46054</v>
      </c>
      <c r="T11" s="16">
        <v>0</v>
      </c>
      <c r="U11" s="14">
        <v>2</v>
      </c>
      <c r="V11" s="16">
        <v>0</v>
      </c>
      <c r="W11" s="9" t="s">
        <v>34</v>
      </c>
      <c r="X11" s="9" t="s">
        <v>42</v>
      </c>
      <c r="Y11" s="9" t="s">
        <v>36</v>
      </c>
      <c r="Z11" s="9" t="s">
        <v>43</v>
      </c>
      <c r="AA11" s="9" t="s">
        <v>37</v>
      </c>
      <c r="AB11" s="9" t="s">
        <v>37</v>
      </c>
      <c r="AC11" s="9" t="s">
        <v>38</v>
      </c>
      <c r="AD11" s="7" t="str">
        <f t="shared" si="0"/>
        <v/>
      </c>
      <c r="AE11" s="26"/>
      <c r="AF11" s="26"/>
      <c r="AG11" s="26"/>
      <c r="AH11" s="26"/>
      <c r="AI11" s="26"/>
      <c r="AJ11" s="26"/>
      <c r="AK11" s="26"/>
      <c r="AL11" s="26"/>
      <c r="AM11" s="26"/>
      <c r="AN11" s="26"/>
      <c r="AO11" s="26"/>
      <c r="AP11" s="26"/>
      <c r="AQ11" s="26"/>
      <c r="AR11" s="26"/>
      <c r="AS11" s="26"/>
      <c r="AT11" s="26"/>
      <c r="AU11" s="26"/>
      <c r="AV11" s="26"/>
      <c r="AW11" s="26"/>
    </row>
    <row r="12" spans="1:49" s="17" customFormat="1" ht="35.1" customHeight="1" x14ac:dyDescent="0.25">
      <c r="A12" s="18" t="s">
        <v>159</v>
      </c>
      <c r="B12" s="19">
        <v>46049</v>
      </c>
      <c r="C12" s="19">
        <v>46049</v>
      </c>
      <c r="D12" s="18" t="s">
        <v>166</v>
      </c>
      <c r="E12" s="20">
        <v>0.33333333333333331</v>
      </c>
      <c r="F12" s="20">
        <v>0.375</v>
      </c>
      <c r="G12" s="28">
        <v>1.7361111111111109E-4</v>
      </c>
      <c r="H12" s="29" t="s">
        <v>160</v>
      </c>
      <c r="I12" s="21">
        <v>0.34917824074074072</v>
      </c>
      <c r="J12" s="18" t="s">
        <v>70</v>
      </c>
      <c r="K12" s="18" t="s">
        <v>69</v>
      </c>
      <c r="L12" s="22">
        <v>1</v>
      </c>
      <c r="M12" s="22">
        <v>71018</v>
      </c>
      <c r="N12" s="18" t="s">
        <v>53</v>
      </c>
      <c r="O12" s="22" t="s">
        <v>161</v>
      </c>
      <c r="P12" s="23">
        <v>15</v>
      </c>
      <c r="Q12" s="22"/>
      <c r="R12" s="23">
        <v>15</v>
      </c>
      <c r="S12" s="24">
        <v>46054</v>
      </c>
      <c r="T12" s="23">
        <v>2.25</v>
      </c>
      <c r="U12" s="25">
        <v>4</v>
      </c>
      <c r="V12" s="23">
        <v>12.75</v>
      </c>
      <c r="W12" s="18" t="s">
        <v>47</v>
      </c>
      <c r="X12" s="18" t="s">
        <v>48</v>
      </c>
      <c r="Y12" s="18" t="s">
        <v>36</v>
      </c>
      <c r="Z12" s="18" t="s">
        <v>9</v>
      </c>
      <c r="AA12" s="18" t="s">
        <v>49</v>
      </c>
      <c r="AB12" s="18" t="s">
        <v>162</v>
      </c>
      <c r="AC12" s="18" t="s">
        <v>38</v>
      </c>
      <c r="AD12" s="7" t="str">
        <f t="shared" si="0"/>
        <v/>
      </c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</row>
    <row r="13" spans="1:49" s="17" customFormat="1" ht="35.1" customHeight="1" x14ac:dyDescent="0.25">
      <c r="A13" s="18" t="s">
        <v>159</v>
      </c>
      <c r="B13" s="19">
        <v>46049</v>
      </c>
      <c r="C13" s="19">
        <v>46049</v>
      </c>
      <c r="D13" s="18" t="s">
        <v>166</v>
      </c>
      <c r="E13" s="20">
        <v>0.33333333333333331</v>
      </c>
      <c r="F13" s="20">
        <v>0.375</v>
      </c>
      <c r="G13" s="28">
        <v>1.7361111111111109E-4</v>
      </c>
      <c r="H13" s="29" t="s">
        <v>163</v>
      </c>
      <c r="I13" s="21">
        <v>0.35108796296296296</v>
      </c>
      <c r="J13" s="18" t="s">
        <v>70</v>
      </c>
      <c r="K13" s="18" t="s">
        <v>69</v>
      </c>
      <c r="L13" s="22">
        <v>1</v>
      </c>
      <c r="M13" s="22">
        <v>71018</v>
      </c>
      <c r="N13" s="18" t="s">
        <v>53</v>
      </c>
      <c r="O13" s="22" t="s">
        <v>161</v>
      </c>
      <c r="P13" s="23">
        <v>15</v>
      </c>
      <c r="Q13" s="22"/>
      <c r="R13" s="23">
        <v>15</v>
      </c>
      <c r="S13" s="24">
        <v>46054</v>
      </c>
      <c r="T13" s="23">
        <v>2.25</v>
      </c>
      <c r="U13" s="25">
        <v>4</v>
      </c>
      <c r="V13" s="23">
        <v>12.75</v>
      </c>
      <c r="W13" s="18" t="s">
        <v>47</v>
      </c>
      <c r="X13" s="18" t="s">
        <v>48</v>
      </c>
      <c r="Y13" s="18" t="s">
        <v>36</v>
      </c>
      <c r="Z13" s="18" t="s">
        <v>9</v>
      </c>
      <c r="AA13" s="18" t="s">
        <v>49</v>
      </c>
      <c r="AB13" s="18" t="s">
        <v>162</v>
      </c>
      <c r="AC13" s="18" t="s">
        <v>38</v>
      </c>
      <c r="AD13" s="7" t="str">
        <f t="shared" si="0"/>
        <v/>
      </c>
      <c r="AE13" s="26"/>
      <c r="AF13" s="26"/>
      <c r="AG13" s="26"/>
      <c r="AH13" s="26"/>
      <c r="AI13" s="26"/>
      <c r="AJ13" s="26"/>
      <c r="AK13" s="26"/>
      <c r="AL13" s="26"/>
      <c r="AM13" s="26"/>
      <c r="AN13" s="26"/>
      <c r="AO13" s="26"/>
      <c r="AP13" s="26"/>
      <c r="AQ13" s="26"/>
      <c r="AR13" s="26"/>
      <c r="AS13" s="26"/>
      <c r="AT13" s="26"/>
      <c r="AU13" s="26"/>
      <c r="AV13" s="26"/>
      <c r="AW13" s="26"/>
    </row>
    <row r="14" spans="1:49" s="17" customFormat="1" ht="35.1" customHeight="1" x14ac:dyDescent="0.25">
      <c r="A14" s="18" t="s">
        <v>44</v>
      </c>
      <c r="B14" s="19">
        <v>46049</v>
      </c>
      <c r="C14" s="19">
        <v>46049</v>
      </c>
      <c r="D14" s="18" t="s">
        <v>166</v>
      </c>
      <c r="E14" s="20">
        <v>0.33333333333333331</v>
      </c>
      <c r="F14" s="20">
        <v>0.41666666666666669</v>
      </c>
      <c r="G14" s="20">
        <v>3.4722222222222218E-4</v>
      </c>
      <c r="H14" s="18" t="s">
        <v>172</v>
      </c>
      <c r="I14" s="21">
        <v>0.36715277777777783</v>
      </c>
      <c r="J14" s="18" t="s">
        <v>70</v>
      </c>
      <c r="K14" s="18" t="s">
        <v>69</v>
      </c>
      <c r="L14" s="22">
        <v>1</v>
      </c>
      <c r="M14" s="22">
        <v>70996</v>
      </c>
      <c r="N14" s="18" t="s">
        <v>46</v>
      </c>
      <c r="O14" s="22" t="str">
        <f>AC14</f>
        <v>CVC</v>
      </c>
      <c r="P14" s="23">
        <v>0</v>
      </c>
      <c r="Q14" s="22"/>
      <c r="R14" s="23">
        <v>0</v>
      </c>
      <c r="S14" s="24">
        <v>46054</v>
      </c>
      <c r="T14" s="23">
        <v>0</v>
      </c>
      <c r="U14" s="25">
        <v>4</v>
      </c>
      <c r="V14" s="23">
        <v>0</v>
      </c>
      <c r="W14" s="18" t="s">
        <v>47</v>
      </c>
      <c r="X14" s="18" t="s">
        <v>48</v>
      </c>
      <c r="Y14" s="18" t="s">
        <v>36</v>
      </c>
      <c r="Z14" s="18" t="s">
        <v>9</v>
      </c>
      <c r="AA14" s="18" t="s">
        <v>49</v>
      </c>
      <c r="AB14" s="18" t="s">
        <v>50</v>
      </c>
      <c r="AC14" s="18" t="s">
        <v>38</v>
      </c>
      <c r="AD14" s="7" t="str">
        <f t="shared" si="0"/>
        <v/>
      </c>
      <c r="AE14" s="26"/>
      <c r="AF14" s="26"/>
      <c r="AG14" s="26"/>
      <c r="AH14" s="26"/>
      <c r="AI14" s="26"/>
      <c r="AJ14" s="26"/>
      <c r="AK14" s="26"/>
      <c r="AL14" s="26"/>
      <c r="AM14" s="26"/>
      <c r="AN14" s="26"/>
      <c r="AO14" s="26"/>
      <c r="AP14" s="26"/>
      <c r="AQ14" s="26"/>
      <c r="AR14" s="26"/>
      <c r="AS14" s="26"/>
      <c r="AT14" s="26"/>
      <c r="AU14" s="26"/>
      <c r="AV14" s="26"/>
      <c r="AW14" s="26"/>
    </row>
    <row r="15" spans="1:49" s="34" customFormat="1" ht="35.1" customHeight="1" x14ac:dyDescent="0.25">
      <c r="A15" s="9" t="s">
        <v>68</v>
      </c>
      <c r="B15" s="10">
        <v>46049</v>
      </c>
      <c r="C15" s="10">
        <v>46049</v>
      </c>
      <c r="D15" s="11" t="s">
        <v>166</v>
      </c>
      <c r="E15" s="12">
        <v>0.375</v>
      </c>
      <c r="F15" s="12">
        <v>0.41666666666666669</v>
      </c>
      <c r="G15" s="12">
        <v>4.1666666666666664E-2</v>
      </c>
      <c r="H15" s="9" t="s">
        <v>71</v>
      </c>
      <c r="I15" s="13"/>
      <c r="J15" s="9" t="s">
        <v>70</v>
      </c>
      <c r="K15" s="9"/>
      <c r="L15" s="14">
        <v>1</v>
      </c>
      <c r="M15" s="14">
        <v>1</v>
      </c>
      <c r="N15" s="9" t="s">
        <v>33</v>
      </c>
      <c r="O15" s="9"/>
      <c r="P15" s="16">
        <v>0</v>
      </c>
      <c r="Q15" s="14"/>
      <c r="R15" s="16">
        <v>0</v>
      </c>
      <c r="S15" s="9">
        <v>46054</v>
      </c>
      <c r="T15" s="16">
        <v>0</v>
      </c>
      <c r="U15" s="14">
        <v>2</v>
      </c>
      <c r="V15" s="16">
        <v>0</v>
      </c>
      <c r="W15" s="9" t="s">
        <v>34</v>
      </c>
      <c r="X15" s="9" t="s">
        <v>42</v>
      </c>
      <c r="Y15" s="9" t="s">
        <v>36</v>
      </c>
      <c r="Z15" s="9" t="s">
        <v>43</v>
      </c>
      <c r="AA15" s="9" t="s">
        <v>37</v>
      </c>
      <c r="AB15" s="9" t="s">
        <v>37</v>
      </c>
      <c r="AC15" s="9" t="s">
        <v>38</v>
      </c>
      <c r="AD15" s="7" t="str">
        <f t="shared" si="0"/>
        <v/>
      </c>
      <c r="AE15" s="26"/>
      <c r="AF15" s="26"/>
      <c r="AG15" s="26"/>
      <c r="AH15" s="26"/>
      <c r="AI15" s="26"/>
      <c r="AJ15" s="26"/>
      <c r="AK15" s="26"/>
      <c r="AL15" s="26"/>
      <c r="AM15" s="26"/>
      <c r="AN15" s="26"/>
      <c r="AO15" s="26"/>
      <c r="AP15" s="26"/>
      <c r="AQ15" s="26"/>
      <c r="AR15" s="26"/>
      <c r="AS15" s="26"/>
      <c r="AT15" s="26"/>
      <c r="AU15" s="26"/>
      <c r="AV15" s="26"/>
      <c r="AW15" s="26"/>
    </row>
    <row r="16" spans="1:49" s="34" customFormat="1" ht="35.1" customHeight="1" x14ac:dyDescent="0.25">
      <c r="A16" s="9" t="s">
        <v>72</v>
      </c>
      <c r="B16" s="10">
        <v>46049</v>
      </c>
      <c r="C16" s="10">
        <v>46049</v>
      </c>
      <c r="D16" s="11" t="s">
        <v>166</v>
      </c>
      <c r="E16" s="12">
        <v>0.41666666666666669</v>
      </c>
      <c r="F16" s="12">
        <v>0.45833333333333331</v>
      </c>
      <c r="G16" s="12">
        <v>4.1666666666666664E-2</v>
      </c>
      <c r="H16" s="9" t="s">
        <v>73</v>
      </c>
      <c r="I16" s="13"/>
      <c r="J16" s="9" t="s">
        <v>74</v>
      </c>
      <c r="K16" s="9"/>
      <c r="L16" s="14">
        <v>1</v>
      </c>
      <c r="M16" s="14">
        <v>1</v>
      </c>
      <c r="N16" s="9" t="s">
        <v>33</v>
      </c>
      <c r="O16" s="9"/>
      <c r="P16" s="16">
        <v>0</v>
      </c>
      <c r="Q16" s="14"/>
      <c r="R16" s="16">
        <v>0</v>
      </c>
      <c r="S16" s="9">
        <v>46054</v>
      </c>
      <c r="T16" s="16">
        <v>0</v>
      </c>
      <c r="U16" s="14">
        <v>2</v>
      </c>
      <c r="V16" s="16">
        <v>0</v>
      </c>
      <c r="W16" s="9" t="s">
        <v>34</v>
      </c>
      <c r="X16" s="9" t="s">
        <v>42</v>
      </c>
      <c r="Y16" s="9" t="s">
        <v>36</v>
      </c>
      <c r="Z16" s="9" t="s">
        <v>43</v>
      </c>
      <c r="AA16" s="9" t="s">
        <v>37</v>
      </c>
      <c r="AB16" s="9" t="s">
        <v>37</v>
      </c>
      <c r="AC16" s="9" t="s">
        <v>38</v>
      </c>
      <c r="AD16" s="7" t="str">
        <f t="shared" si="0"/>
        <v/>
      </c>
      <c r="AE16" s="26"/>
      <c r="AF16" s="26"/>
      <c r="AG16" s="26"/>
      <c r="AH16" s="26"/>
      <c r="AI16" s="26"/>
      <c r="AJ16" s="26"/>
      <c r="AK16" s="26"/>
      <c r="AL16" s="26"/>
      <c r="AM16" s="26"/>
      <c r="AN16" s="26"/>
      <c r="AO16" s="26"/>
      <c r="AP16" s="26"/>
      <c r="AQ16" s="26"/>
      <c r="AR16" s="26"/>
      <c r="AS16" s="26"/>
      <c r="AT16" s="26"/>
      <c r="AU16" s="26"/>
      <c r="AV16" s="26"/>
      <c r="AW16" s="26"/>
    </row>
    <row r="17" spans="1:49" s="17" customFormat="1" ht="35.1" customHeight="1" x14ac:dyDescent="0.25">
      <c r="A17" s="18" t="s">
        <v>72</v>
      </c>
      <c r="B17" s="19">
        <v>46049</v>
      </c>
      <c r="C17" s="19">
        <v>46049</v>
      </c>
      <c r="D17" s="18" t="s">
        <v>166</v>
      </c>
      <c r="E17" s="20">
        <v>0.41666666666666669</v>
      </c>
      <c r="F17" s="20">
        <v>0.45833333333333331</v>
      </c>
      <c r="G17" s="20">
        <v>3.4722222222222224E-4</v>
      </c>
      <c r="H17" s="18" t="s">
        <v>173</v>
      </c>
      <c r="I17" s="21">
        <v>0.42197916666666668</v>
      </c>
      <c r="J17" s="18" t="s">
        <v>74</v>
      </c>
      <c r="K17" s="18" t="s">
        <v>195</v>
      </c>
      <c r="L17" s="22">
        <v>1</v>
      </c>
      <c r="M17" s="22">
        <v>4</v>
      </c>
      <c r="N17" s="18" t="s">
        <v>53</v>
      </c>
      <c r="O17" s="22"/>
      <c r="P17" s="23">
        <v>0</v>
      </c>
      <c r="Q17" s="22"/>
      <c r="R17" s="23">
        <v>0</v>
      </c>
      <c r="S17" s="24">
        <v>46054</v>
      </c>
      <c r="T17" s="23">
        <v>0</v>
      </c>
      <c r="U17" s="25">
        <v>4</v>
      </c>
      <c r="V17" s="23">
        <v>0</v>
      </c>
      <c r="W17" s="18" t="s">
        <v>34</v>
      </c>
      <c r="X17" s="18" t="s">
        <v>35</v>
      </c>
      <c r="Y17" s="18" t="s">
        <v>36</v>
      </c>
      <c r="Z17" s="18" t="s">
        <v>174</v>
      </c>
      <c r="AA17" s="18" t="s">
        <v>49</v>
      </c>
      <c r="AB17" s="18">
        <v>1109</v>
      </c>
      <c r="AC17" s="18" t="s">
        <v>38</v>
      </c>
      <c r="AD17" s="7" t="str">
        <f>IF(N17="PRG","",IF(I17&gt;=E17,IF(I17&lt;=F17,"","NO"),"NO"))</f>
        <v/>
      </c>
      <c r="AE17" s="26"/>
      <c r="AF17" s="26"/>
      <c r="AG17" s="26"/>
      <c r="AH17" s="26"/>
      <c r="AI17" s="27"/>
      <c r="AJ17" s="27"/>
      <c r="AK17" s="27"/>
      <c r="AL17" s="27"/>
      <c r="AM17" s="27"/>
      <c r="AN17" s="27"/>
      <c r="AO17" s="27"/>
      <c r="AP17" s="27"/>
      <c r="AQ17" s="27"/>
      <c r="AR17" s="27"/>
      <c r="AS17" s="27"/>
      <c r="AT17" s="27"/>
      <c r="AU17" s="27"/>
      <c r="AV17" s="27"/>
      <c r="AW17" s="27"/>
    </row>
    <row r="18" spans="1:49" s="34" customFormat="1" ht="35.1" customHeight="1" x14ac:dyDescent="0.25">
      <c r="A18" s="9" t="s">
        <v>75</v>
      </c>
      <c r="B18" s="10">
        <v>46049</v>
      </c>
      <c r="C18" s="10">
        <v>46049</v>
      </c>
      <c r="D18" s="11" t="s">
        <v>166</v>
      </c>
      <c r="E18" s="12">
        <v>0.45833333333333331</v>
      </c>
      <c r="F18" s="12">
        <v>0.47916666666666669</v>
      </c>
      <c r="G18" s="12">
        <v>2.0833333333333332E-2</v>
      </c>
      <c r="H18" s="9" t="s">
        <v>175</v>
      </c>
      <c r="I18" s="13"/>
      <c r="J18" s="9" t="s">
        <v>80</v>
      </c>
      <c r="K18" s="9"/>
      <c r="L18" s="14">
        <v>1</v>
      </c>
      <c r="M18" s="14">
        <v>1</v>
      </c>
      <c r="N18" s="9" t="s">
        <v>33</v>
      </c>
      <c r="O18" s="9"/>
      <c r="P18" s="16">
        <v>0</v>
      </c>
      <c r="Q18" s="14"/>
      <c r="R18" s="16">
        <v>0</v>
      </c>
      <c r="S18" s="9">
        <v>46054</v>
      </c>
      <c r="T18" s="16">
        <v>0</v>
      </c>
      <c r="U18" s="14">
        <v>2</v>
      </c>
      <c r="V18" s="16">
        <v>0</v>
      </c>
      <c r="W18" s="9" t="s">
        <v>34</v>
      </c>
      <c r="X18" s="9" t="s">
        <v>42</v>
      </c>
      <c r="Y18" s="9" t="s">
        <v>36</v>
      </c>
      <c r="Z18" s="9" t="s">
        <v>43</v>
      </c>
      <c r="AA18" s="9" t="s">
        <v>37</v>
      </c>
      <c r="AB18" s="9" t="s">
        <v>37</v>
      </c>
      <c r="AC18" s="9" t="s">
        <v>38</v>
      </c>
      <c r="AD18" s="7" t="str">
        <f t="shared" si="0"/>
        <v/>
      </c>
      <c r="AE18" s="26"/>
      <c r="AF18" s="26"/>
      <c r="AG18" s="26"/>
      <c r="AH18" s="26"/>
      <c r="AI18" s="26"/>
      <c r="AJ18" s="26"/>
      <c r="AK18" s="26"/>
      <c r="AL18" s="26"/>
      <c r="AM18" s="26"/>
      <c r="AN18" s="26"/>
      <c r="AO18" s="26"/>
      <c r="AP18" s="26"/>
      <c r="AQ18" s="26"/>
      <c r="AR18" s="26"/>
      <c r="AS18" s="26"/>
      <c r="AT18" s="26"/>
      <c r="AU18" s="26"/>
      <c r="AV18" s="26"/>
      <c r="AW18" s="26"/>
    </row>
    <row r="19" spans="1:49" s="17" customFormat="1" ht="35.1" customHeight="1" x14ac:dyDescent="0.25">
      <c r="A19" s="18" t="s">
        <v>78</v>
      </c>
      <c r="B19" s="19">
        <v>46049</v>
      </c>
      <c r="C19" s="19">
        <v>46049</v>
      </c>
      <c r="D19" s="18" t="s">
        <v>166</v>
      </c>
      <c r="E19" s="20">
        <v>0.45833333333333331</v>
      </c>
      <c r="F19" s="20">
        <v>0.52083333333333337</v>
      </c>
      <c r="G19" s="20">
        <v>3.4722222222222218E-4</v>
      </c>
      <c r="H19" s="18" t="s">
        <v>79</v>
      </c>
      <c r="I19" s="21">
        <v>0.46693287037037035</v>
      </c>
      <c r="J19" s="18" t="s">
        <v>80</v>
      </c>
      <c r="K19" s="18" t="s">
        <v>175</v>
      </c>
      <c r="L19" s="22">
        <v>1</v>
      </c>
      <c r="M19" s="22">
        <v>64948</v>
      </c>
      <c r="N19" s="18" t="s">
        <v>53</v>
      </c>
      <c r="O19" s="22"/>
      <c r="P19" s="23">
        <v>35</v>
      </c>
      <c r="Q19" s="22"/>
      <c r="R19" s="23">
        <v>35</v>
      </c>
      <c r="S19" s="24">
        <v>46054</v>
      </c>
      <c r="T19" s="23">
        <v>0</v>
      </c>
      <c r="U19" s="25">
        <v>4</v>
      </c>
      <c r="V19" s="23">
        <v>35</v>
      </c>
      <c r="W19" s="18" t="s">
        <v>47</v>
      </c>
      <c r="X19" s="18" t="s">
        <v>48</v>
      </c>
      <c r="Y19" s="18" t="s">
        <v>36</v>
      </c>
      <c r="Z19" s="18" t="s">
        <v>9</v>
      </c>
      <c r="AA19" s="18" t="s">
        <v>49</v>
      </c>
      <c r="AB19" s="18" t="s">
        <v>81</v>
      </c>
      <c r="AC19" s="18" t="s">
        <v>38</v>
      </c>
      <c r="AD19" s="7" t="str">
        <f t="shared" si="0"/>
        <v/>
      </c>
      <c r="AE19" s="26"/>
      <c r="AF19" s="26"/>
      <c r="AG19" s="26"/>
      <c r="AH19" s="26"/>
      <c r="AI19" s="26"/>
      <c r="AJ19" s="26"/>
      <c r="AK19" s="26"/>
      <c r="AL19" s="26"/>
      <c r="AM19" s="26"/>
      <c r="AN19" s="26"/>
      <c r="AO19" s="26"/>
      <c r="AP19" s="26"/>
      <c r="AQ19" s="26"/>
      <c r="AR19" s="26"/>
      <c r="AS19" s="26"/>
      <c r="AT19" s="26"/>
      <c r="AU19" s="26"/>
      <c r="AV19" s="26"/>
      <c r="AW19" s="26"/>
    </row>
    <row r="20" spans="1:49" s="17" customFormat="1" ht="35.1" customHeight="1" x14ac:dyDescent="0.25">
      <c r="A20" s="18" t="s">
        <v>93</v>
      </c>
      <c r="B20" s="19">
        <v>46049</v>
      </c>
      <c r="C20" s="19">
        <v>46049</v>
      </c>
      <c r="D20" s="18" t="s">
        <v>166</v>
      </c>
      <c r="E20" s="20">
        <v>0.45833333333333331</v>
      </c>
      <c r="F20" s="20">
        <v>0.54166666666666663</v>
      </c>
      <c r="G20" s="28">
        <v>1.7361111111111109E-4</v>
      </c>
      <c r="H20" s="29" t="s">
        <v>98</v>
      </c>
      <c r="I20" s="21">
        <v>0.47346064814814814</v>
      </c>
      <c r="J20" s="18" t="s">
        <v>80</v>
      </c>
      <c r="K20" s="18" t="s">
        <v>175</v>
      </c>
      <c r="L20" s="22">
        <v>1</v>
      </c>
      <c r="M20" s="22">
        <v>69570</v>
      </c>
      <c r="N20" s="18" t="s">
        <v>53</v>
      </c>
      <c r="O20" s="22" t="s">
        <v>95</v>
      </c>
      <c r="P20" s="23">
        <v>0</v>
      </c>
      <c r="Q20" s="22"/>
      <c r="R20" s="23">
        <v>19.042139037433099</v>
      </c>
      <c r="S20" s="24">
        <v>46054</v>
      </c>
      <c r="T20" s="23">
        <v>0</v>
      </c>
      <c r="U20" s="25">
        <v>4</v>
      </c>
      <c r="V20" s="23">
        <v>0</v>
      </c>
      <c r="W20" s="18" t="s">
        <v>47</v>
      </c>
      <c r="X20" s="18" t="s">
        <v>48</v>
      </c>
      <c r="Y20" s="18" t="s">
        <v>36</v>
      </c>
      <c r="Z20" s="18" t="s">
        <v>9</v>
      </c>
      <c r="AA20" s="18" t="s">
        <v>49</v>
      </c>
      <c r="AB20" s="18" t="s">
        <v>96</v>
      </c>
      <c r="AC20" s="18" t="s">
        <v>38</v>
      </c>
      <c r="AD20" s="7" t="str">
        <f t="shared" si="0"/>
        <v/>
      </c>
      <c r="AE20" s="45"/>
      <c r="AF20" s="45"/>
      <c r="AG20" s="45"/>
      <c r="AH20" s="45"/>
      <c r="AI20" s="30"/>
      <c r="AJ20" s="30"/>
      <c r="AK20" s="30"/>
      <c r="AL20" s="30"/>
      <c r="AM20" s="30"/>
      <c r="AN20" s="30"/>
      <c r="AO20" s="30"/>
      <c r="AP20" s="30"/>
      <c r="AQ20" s="30"/>
      <c r="AR20" s="30"/>
      <c r="AS20" s="30"/>
      <c r="AT20" s="30"/>
      <c r="AU20" s="30"/>
      <c r="AV20" s="30"/>
      <c r="AW20" s="30"/>
    </row>
    <row r="21" spans="1:49" s="17" customFormat="1" ht="35.1" customHeight="1" x14ac:dyDescent="0.25">
      <c r="A21" s="18" t="s">
        <v>93</v>
      </c>
      <c r="B21" s="19">
        <v>46049</v>
      </c>
      <c r="C21" s="19">
        <v>46049</v>
      </c>
      <c r="D21" s="18" t="s">
        <v>166</v>
      </c>
      <c r="E21" s="20">
        <v>0.45833333333333331</v>
      </c>
      <c r="F21" s="20">
        <v>0.54166666666666663</v>
      </c>
      <c r="G21" s="28">
        <v>1.7361111111111109E-4</v>
      </c>
      <c r="H21" s="29" t="s">
        <v>97</v>
      </c>
      <c r="I21" s="21">
        <v>0.47502314814814817</v>
      </c>
      <c r="J21" s="18" t="s">
        <v>80</v>
      </c>
      <c r="K21" s="18" t="s">
        <v>175</v>
      </c>
      <c r="L21" s="22">
        <v>1</v>
      </c>
      <c r="M21" s="22">
        <v>69570</v>
      </c>
      <c r="N21" s="18" t="s">
        <v>53</v>
      </c>
      <c r="O21" s="22" t="s">
        <v>95</v>
      </c>
      <c r="P21" s="23">
        <v>0</v>
      </c>
      <c r="Q21" s="22"/>
      <c r="R21" s="23">
        <v>19.042139037433099</v>
      </c>
      <c r="S21" s="24">
        <v>46054</v>
      </c>
      <c r="T21" s="23">
        <v>0</v>
      </c>
      <c r="U21" s="25">
        <v>4</v>
      </c>
      <c r="V21" s="23">
        <v>0</v>
      </c>
      <c r="W21" s="18" t="s">
        <v>47</v>
      </c>
      <c r="X21" s="18" t="s">
        <v>48</v>
      </c>
      <c r="Y21" s="18" t="s">
        <v>36</v>
      </c>
      <c r="Z21" s="18" t="s">
        <v>9</v>
      </c>
      <c r="AA21" s="18" t="s">
        <v>49</v>
      </c>
      <c r="AB21" s="18" t="s">
        <v>96</v>
      </c>
      <c r="AC21" s="18" t="s">
        <v>38</v>
      </c>
      <c r="AD21" s="7" t="str">
        <f>IF(N21="PRG","",IF(I21&gt;=E21,IF(I21&lt;=F21,"","NO"),"NO"))</f>
        <v/>
      </c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</row>
    <row r="22" spans="1:49" s="17" customFormat="1" ht="35.1" customHeight="1" x14ac:dyDescent="0.25">
      <c r="A22" s="18" t="s">
        <v>82</v>
      </c>
      <c r="B22" s="19">
        <v>46049</v>
      </c>
      <c r="C22" s="19">
        <v>46049</v>
      </c>
      <c r="D22" s="18" t="s">
        <v>166</v>
      </c>
      <c r="E22" s="20">
        <v>0.45833333333333331</v>
      </c>
      <c r="F22" s="20">
        <v>0.5</v>
      </c>
      <c r="G22" s="20">
        <v>3.4722222222222218E-4</v>
      </c>
      <c r="H22" s="18" t="s">
        <v>83</v>
      </c>
      <c r="I22" s="21">
        <v>0.47363425925925928</v>
      </c>
      <c r="J22" s="18" t="s">
        <v>80</v>
      </c>
      <c r="K22" s="18" t="s">
        <v>175</v>
      </c>
      <c r="L22" s="22">
        <v>1</v>
      </c>
      <c r="M22" s="22">
        <v>70166</v>
      </c>
      <c r="N22" s="18" t="s">
        <v>53</v>
      </c>
      <c r="O22" s="22" t="s">
        <v>84</v>
      </c>
      <c r="P22" s="23">
        <v>35</v>
      </c>
      <c r="Q22" s="22"/>
      <c r="R22" s="23">
        <v>35</v>
      </c>
      <c r="S22" s="24">
        <v>46049</v>
      </c>
      <c r="T22" s="23">
        <v>0</v>
      </c>
      <c r="U22" s="25">
        <v>4</v>
      </c>
      <c r="V22" s="23">
        <v>35</v>
      </c>
      <c r="W22" s="18" t="s">
        <v>47</v>
      </c>
      <c r="X22" s="18" t="s">
        <v>48</v>
      </c>
      <c r="Y22" s="18" t="s">
        <v>58</v>
      </c>
      <c r="Z22" s="18" t="s">
        <v>43</v>
      </c>
      <c r="AA22" s="18" t="s">
        <v>49</v>
      </c>
      <c r="AB22" s="18" t="s">
        <v>85</v>
      </c>
      <c r="AC22" s="18" t="s">
        <v>38</v>
      </c>
      <c r="AD22" s="7" t="str">
        <f t="shared" si="0"/>
        <v/>
      </c>
      <c r="AE22" s="31"/>
      <c r="AF22" s="31"/>
      <c r="AG22" s="31"/>
      <c r="AH22" s="31"/>
      <c r="AI22" s="30"/>
      <c r="AJ22" s="30"/>
      <c r="AK22" s="30"/>
      <c r="AL22" s="30"/>
      <c r="AM22" s="30"/>
      <c r="AN22" s="30"/>
      <c r="AO22" s="30"/>
      <c r="AP22" s="30"/>
      <c r="AQ22" s="30"/>
      <c r="AR22" s="30"/>
      <c r="AS22" s="30"/>
      <c r="AT22" s="30"/>
      <c r="AU22" s="30"/>
      <c r="AV22" s="30"/>
      <c r="AW22" s="30"/>
    </row>
    <row r="23" spans="1:49" s="17" customFormat="1" ht="35.1" customHeight="1" x14ac:dyDescent="0.25">
      <c r="A23" s="18" t="s">
        <v>44</v>
      </c>
      <c r="B23" s="19">
        <v>46049</v>
      </c>
      <c r="C23" s="19">
        <v>46049</v>
      </c>
      <c r="D23" s="18" t="s">
        <v>166</v>
      </c>
      <c r="E23" s="20">
        <v>0.45833333333333331</v>
      </c>
      <c r="F23" s="20">
        <v>0.54166666666666663</v>
      </c>
      <c r="G23" s="20">
        <v>3.4722222222222218E-4</v>
      </c>
      <c r="H23" s="18" t="s">
        <v>92</v>
      </c>
      <c r="I23" s="21">
        <v>0.4739814814814815</v>
      </c>
      <c r="J23" s="18" t="s">
        <v>80</v>
      </c>
      <c r="K23" s="18" t="s">
        <v>175</v>
      </c>
      <c r="L23" s="22">
        <v>1</v>
      </c>
      <c r="M23" s="22">
        <v>71000</v>
      </c>
      <c r="N23" s="18" t="s">
        <v>46</v>
      </c>
      <c r="O23" s="22" t="str">
        <f>AC23</f>
        <v>CVC</v>
      </c>
      <c r="P23" s="23">
        <v>0</v>
      </c>
      <c r="Q23" s="22"/>
      <c r="R23" s="23">
        <v>0</v>
      </c>
      <c r="S23" s="24">
        <v>46054</v>
      </c>
      <c r="T23" s="23">
        <v>0</v>
      </c>
      <c r="U23" s="25">
        <v>4</v>
      </c>
      <c r="V23" s="23">
        <v>0</v>
      </c>
      <c r="W23" s="18" t="s">
        <v>47</v>
      </c>
      <c r="X23" s="18" t="s">
        <v>48</v>
      </c>
      <c r="Y23" s="18" t="s">
        <v>36</v>
      </c>
      <c r="Z23" s="18" t="s">
        <v>9</v>
      </c>
      <c r="AA23" s="18" t="s">
        <v>49</v>
      </c>
      <c r="AB23" s="18" t="s">
        <v>50</v>
      </c>
      <c r="AC23" s="18" t="s">
        <v>38</v>
      </c>
      <c r="AD23" s="7" t="str">
        <f t="shared" si="0"/>
        <v/>
      </c>
      <c r="AE23" s="26"/>
      <c r="AF23" s="26"/>
      <c r="AG23" s="26"/>
      <c r="AH23" s="26"/>
      <c r="AI23" s="27"/>
      <c r="AJ23" s="27"/>
      <c r="AK23" s="27"/>
      <c r="AL23" s="27"/>
      <c r="AM23" s="27"/>
      <c r="AN23" s="27"/>
      <c r="AO23" s="27"/>
      <c r="AP23" s="27"/>
      <c r="AQ23" s="27"/>
      <c r="AR23" s="27"/>
      <c r="AS23" s="27"/>
      <c r="AT23" s="27"/>
      <c r="AU23" s="27"/>
      <c r="AV23" s="27"/>
      <c r="AW23" s="27"/>
    </row>
    <row r="24" spans="1:49" s="17" customFormat="1" ht="35.1" customHeight="1" x14ac:dyDescent="0.25">
      <c r="A24" s="18" t="s">
        <v>51</v>
      </c>
      <c r="B24" s="19">
        <v>46049</v>
      </c>
      <c r="C24" s="19">
        <v>46049</v>
      </c>
      <c r="D24" s="18" t="s">
        <v>166</v>
      </c>
      <c r="E24" s="20">
        <v>0.45833333333333331</v>
      </c>
      <c r="F24" s="20">
        <v>0.47916666666666669</v>
      </c>
      <c r="G24" s="20">
        <v>3.4722222222222218E-4</v>
      </c>
      <c r="H24" s="18" t="s">
        <v>102</v>
      </c>
      <c r="I24" s="21">
        <v>0.47805555555555557</v>
      </c>
      <c r="J24" s="18" t="s">
        <v>80</v>
      </c>
      <c r="K24" s="18" t="s">
        <v>175</v>
      </c>
      <c r="L24" s="22">
        <v>1</v>
      </c>
      <c r="M24" s="22">
        <v>70360</v>
      </c>
      <c r="N24" s="18" t="s">
        <v>53</v>
      </c>
      <c r="O24" s="22" t="s">
        <v>54</v>
      </c>
      <c r="P24" s="23">
        <v>50</v>
      </c>
      <c r="Q24" s="22"/>
      <c r="R24" s="23">
        <v>50</v>
      </c>
      <c r="S24" s="24">
        <v>46054</v>
      </c>
      <c r="T24" s="23">
        <v>7.5</v>
      </c>
      <c r="U24" s="25">
        <v>4</v>
      </c>
      <c r="V24" s="23">
        <v>42.5</v>
      </c>
      <c r="W24" s="18" t="s">
        <v>47</v>
      </c>
      <c r="X24" s="18" t="s">
        <v>48</v>
      </c>
      <c r="Y24" s="18" t="s">
        <v>36</v>
      </c>
      <c r="Z24" s="18" t="s">
        <v>9</v>
      </c>
      <c r="AA24" s="18" t="s">
        <v>49</v>
      </c>
      <c r="AB24" s="18" t="s">
        <v>55</v>
      </c>
      <c r="AC24" s="18" t="s">
        <v>38</v>
      </c>
      <c r="AD24" s="7" t="str">
        <f t="shared" si="0"/>
        <v/>
      </c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</row>
    <row r="25" spans="1:49" s="34" customFormat="1" ht="35.1" customHeight="1" x14ac:dyDescent="0.25">
      <c r="A25" s="9" t="s">
        <v>75</v>
      </c>
      <c r="B25" s="10">
        <v>46049</v>
      </c>
      <c r="C25" s="10">
        <v>46049</v>
      </c>
      <c r="D25" s="11" t="s">
        <v>166</v>
      </c>
      <c r="E25" s="12">
        <v>0.47916666666666669</v>
      </c>
      <c r="F25" s="12">
        <v>0.5</v>
      </c>
      <c r="G25" s="12">
        <v>2.0833333333333332E-2</v>
      </c>
      <c r="H25" s="9" t="s">
        <v>178</v>
      </c>
      <c r="I25" s="13"/>
      <c r="J25" s="9" t="s">
        <v>80</v>
      </c>
      <c r="K25" s="9"/>
      <c r="L25" s="14">
        <v>1</v>
      </c>
      <c r="M25" s="14">
        <v>1</v>
      </c>
      <c r="N25" s="9" t="s">
        <v>33</v>
      </c>
      <c r="O25" s="9"/>
      <c r="P25" s="16">
        <v>0</v>
      </c>
      <c r="Q25" s="14"/>
      <c r="R25" s="16">
        <v>0</v>
      </c>
      <c r="S25" s="9">
        <v>46054</v>
      </c>
      <c r="T25" s="16">
        <v>0</v>
      </c>
      <c r="U25" s="14">
        <v>2</v>
      </c>
      <c r="V25" s="16">
        <v>0</v>
      </c>
      <c r="W25" s="9" t="s">
        <v>34</v>
      </c>
      <c r="X25" s="9" t="s">
        <v>42</v>
      </c>
      <c r="Y25" s="9" t="s">
        <v>36</v>
      </c>
      <c r="Z25" s="9" t="s">
        <v>43</v>
      </c>
      <c r="AA25" s="9" t="s">
        <v>37</v>
      </c>
      <c r="AB25" s="9" t="s">
        <v>37</v>
      </c>
      <c r="AC25" s="9" t="s">
        <v>38</v>
      </c>
      <c r="AD25" s="7" t="str">
        <f t="shared" si="0"/>
        <v/>
      </c>
      <c r="AE25" s="26"/>
      <c r="AF25" s="26"/>
      <c r="AG25" s="26"/>
      <c r="AH25" s="26"/>
      <c r="AI25" s="26"/>
      <c r="AJ25" s="26"/>
      <c r="AK25" s="26"/>
      <c r="AL25" s="26"/>
      <c r="AM25" s="26"/>
      <c r="AN25" s="26"/>
      <c r="AO25" s="26"/>
      <c r="AP25" s="26"/>
      <c r="AQ25" s="26"/>
      <c r="AR25" s="26"/>
      <c r="AS25" s="26"/>
      <c r="AT25" s="26"/>
      <c r="AU25" s="26"/>
      <c r="AV25" s="26"/>
      <c r="AW25" s="26"/>
    </row>
    <row r="26" spans="1:49" s="17" customFormat="1" ht="35.1" customHeight="1" x14ac:dyDescent="0.25">
      <c r="A26" s="18" t="s">
        <v>93</v>
      </c>
      <c r="B26" s="19">
        <v>46049</v>
      </c>
      <c r="C26" s="19">
        <v>46049</v>
      </c>
      <c r="D26" s="18" t="s">
        <v>166</v>
      </c>
      <c r="E26" s="20">
        <v>0.45833333333333331</v>
      </c>
      <c r="F26" s="20">
        <v>0.54166666666666663</v>
      </c>
      <c r="G26" s="28">
        <v>1.7361111111111109E-4</v>
      </c>
      <c r="H26" s="29" t="s">
        <v>94</v>
      </c>
      <c r="I26" s="21">
        <v>0.48731481481481481</v>
      </c>
      <c r="J26" s="18" t="s">
        <v>80</v>
      </c>
      <c r="K26" s="18" t="s">
        <v>150</v>
      </c>
      <c r="L26" s="22">
        <v>1</v>
      </c>
      <c r="M26" s="22">
        <v>69570</v>
      </c>
      <c r="N26" s="18" t="s">
        <v>53</v>
      </c>
      <c r="O26" s="22" t="s">
        <v>95</v>
      </c>
      <c r="P26" s="23">
        <v>0</v>
      </c>
      <c r="Q26" s="22"/>
      <c r="R26" s="23">
        <v>19.042139037433099</v>
      </c>
      <c r="S26" s="24">
        <v>46054</v>
      </c>
      <c r="T26" s="23">
        <v>0</v>
      </c>
      <c r="U26" s="25">
        <v>4</v>
      </c>
      <c r="V26" s="23">
        <v>0</v>
      </c>
      <c r="W26" s="18" t="s">
        <v>47</v>
      </c>
      <c r="X26" s="18" t="s">
        <v>48</v>
      </c>
      <c r="Y26" s="18" t="s">
        <v>36</v>
      </c>
      <c r="Z26" s="18" t="s">
        <v>9</v>
      </c>
      <c r="AA26" s="18" t="s">
        <v>49</v>
      </c>
      <c r="AB26" s="18" t="s">
        <v>96</v>
      </c>
      <c r="AC26" s="18" t="s">
        <v>38</v>
      </c>
      <c r="AD26" s="7" t="str">
        <f t="shared" si="0"/>
        <v/>
      </c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</row>
    <row r="27" spans="1:49" s="17" customFormat="1" ht="35.1" customHeight="1" x14ac:dyDescent="0.25">
      <c r="A27" s="18" t="s">
        <v>93</v>
      </c>
      <c r="B27" s="19">
        <v>46049</v>
      </c>
      <c r="C27" s="19">
        <v>46049</v>
      </c>
      <c r="D27" s="18" t="s">
        <v>166</v>
      </c>
      <c r="E27" s="20">
        <v>0.45833333333333331</v>
      </c>
      <c r="F27" s="20">
        <v>0.54166666666666663</v>
      </c>
      <c r="G27" s="28">
        <v>1.7361111111111109E-4</v>
      </c>
      <c r="H27" s="29" t="s">
        <v>97</v>
      </c>
      <c r="I27" s="21">
        <v>0.48853009259259261</v>
      </c>
      <c r="J27" s="18" t="s">
        <v>80</v>
      </c>
      <c r="K27" s="18" t="s">
        <v>150</v>
      </c>
      <c r="L27" s="22">
        <v>1</v>
      </c>
      <c r="M27" s="22">
        <v>69570</v>
      </c>
      <c r="N27" s="18" t="s">
        <v>53</v>
      </c>
      <c r="O27" s="22" t="s">
        <v>95</v>
      </c>
      <c r="P27" s="23">
        <v>0</v>
      </c>
      <c r="Q27" s="22"/>
      <c r="R27" s="23">
        <v>19.042139037433099</v>
      </c>
      <c r="S27" s="24">
        <v>46054</v>
      </c>
      <c r="T27" s="23">
        <v>0</v>
      </c>
      <c r="U27" s="25">
        <v>4</v>
      </c>
      <c r="V27" s="23">
        <v>0</v>
      </c>
      <c r="W27" s="18" t="s">
        <v>47</v>
      </c>
      <c r="X27" s="18" t="s">
        <v>48</v>
      </c>
      <c r="Y27" s="18" t="s">
        <v>36</v>
      </c>
      <c r="Z27" s="18" t="s">
        <v>9</v>
      </c>
      <c r="AA27" s="18" t="s">
        <v>49</v>
      </c>
      <c r="AB27" s="18" t="s">
        <v>96</v>
      </c>
      <c r="AC27" s="18" t="s">
        <v>38</v>
      </c>
      <c r="AD27" s="7" t="str">
        <f>IF(N27="PRG","",IF(I27&gt;=E27,IF(I27&lt;=F27,"","NO"),"NO"))</f>
        <v/>
      </c>
      <c r="AE27" s="26"/>
      <c r="AF27" s="26"/>
      <c r="AG27" s="26"/>
      <c r="AH27" s="26"/>
      <c r="AI27" s="26"/>
      <c r="AJ27" s="26"/>
      <c r="AK27" s="26"/>
      <c r="AL27" s="26"/>
      <c r="AM27" s="26"/>
      <c r="AN27" s="26"/>
      <c r="AO27" s="26"/>
      <c r="AP27" s="26"/>
      <c r="AQ27" s="26"/>
      <c r="AR27" s="26"/>
      <c r="AS27" s="26"/>
      <c r="AT27" s="26"/>
      <c r="AU27" s="26"/>
      <c r="AV27" s="26"/>
      <c r="AW27" s="26"/>
    </row>
    <row r="28" spans="1:49" s="17" customFormat="1" ht="35.1" customHeight="1" x14ac:dyDescent="0.25">
      <c r="A28" s="18" t="s">
        <v>82</v>
      </c>
      <c r="B28" s="19">
        <v>46049</v>
      </c>
      <c r="C28" s="19">
        <v>46049</v>
      </c>
      <c r="D28" s="18" t="s">
        <v>166</v>
      </c>
      <c r="E28" s="20">
        <v>0.45833333333333331</v>
      </c>
      <c r="F28" s="20">
        <v>0.5</v>
      </c>
      <c r="G28" s="20">
        <v>3.4722222222222218E-4</v>
      </c>
      <c r="H28" s="18" t="s">
        <v>83</v>
      </c>
      <c r="I28" s="21">
        <v>0.48818287037037039</v>
      </c>
      <c r="J28" s="18" t="s">
        <v>80</v>
      </c>
      <c r="K28" s="18" t="s">
        <v>150</v>
      </c>
      <c r="L28" s="22">
        <v>1</v>
      </c>
      <c r="M28" s="22">
        <v>70166</v>
      </c>
      <c r="N28" s="18" t="s">
        <v>53</v>
      </c>
      <c r="O28" s="22" t="s">
        <v>84</v>
      </c>
      <c r="P28" s="23">
        <v>35</v>
      </c>
      <c r="Q28" s="22"/>
      <c r="R28" s="23">
        <v>35</v>
      </c>
      <c r="S28" s="24">
        <v>46049</v>
      </c>
      <c r="T28" s="23">
        <v>0</v>
      </c>
      <c r="U28" s="25">
        <v>4</v>
      </c>
      <c r="V28" s="23">
        <v>35</v>
      </c>
      <c r="W28" s="18" t="s">
        <v>47</v>
      </c>
      <c r="X28" s="18" t="s">
        <v>48</v>
      </c>
      <c r="Y28" s="18" t="s">
        <v>58</v>
      </c>
      <c r="Z28" s="18" t="s">
        <v>43</v>
      </c>
      <c r="AA28" s="18" t="s">
        <v>49</v>
      </c>
      <c r="AB28" s="18" t="s">
        <v>85</v>
      </c>
      <c r="AC28" s="18" t="s">
        <v>38</v>
      </c>
      <c r="AD28" s="7" t="str">
        <f t="shared" si="0"/>
        <v/>
      </c>
      <c r="AE28" s="26"/>
      <c r="AF28" s="26"/>
      <c r="AG28" s="26"/>
      <c r="AH28" s="26"/>
      <c r="AI28" s="27"/>
      <c r="AJ28" s="27"/>
      <c r="AK28" s="27"/>
      <c r="AL28" s="27"/>
      <c r="AM28" s="27"/>
      <c r="AN28" s="27"/>
      <c r="AO28" s="27"/>
      <c r="AP28" s="27"/>
      <c r="AQ28" s="27"/>
      <c r="AR28" s="27"/>
      <c r="AS28" s="27"/>
      <c r="AT28" s="27"/>
      <c r="AU28" s="27"/>
      <c r="AV28" s="27"/>
      <c r="AW28" s="27"/>
    </row>
    <row r="29" spans="1:49" s="17" customFormat="1" ht="35.1" customHeight="1" x14ac:dyDescent="0.25">
      <c r="A29" s="18" t="s">
        <v>51</v>
      </c>
      <c r="B29" s="19">
        <v>46049</v>
      </c>
      <c r="C29" s="19">
        <v>46049</v>
      </c>
      <c r="D29" s="18" t="s">
        <v>166</v>
      </c>
      <c r="E29" s="20">
        <v>0.47916666666666669</v>
      </c>
      <c r="F29" s="20">
        <v>0.5</v>
      </c>
      <c r="G29" s="20">
        <v>3.4722222222222218E-4</v>
      </c>
      <c r="H29" s="18" t="s">
        <v>102</v>
      </c>
      <c r="I29" s="21">
        <v>0.49843749999999998</v>
      </c>
      <c r="J29" s="18" t="s">
        <v>80</v>
      </c>
      <c r="K29" s="18" t="s">
        <v>150</v>
      </c>
      <c r="L29" s="22">
        <v>1</v>
      </c>
      <c r="M29" s="22">
        <v>70361</v>
      </c>
      <c r="N29" s="18" t="s">
        <v>53</v>
      </c>
      <c r="O29" s="22" t="s">
        <v>54</v>
      </c>
      <c r="P29" s="23">
        <v>50</v>
      </c>
      <c r="Q29" s="22"/>
      <c r="R29" s="23">
        <v>50</v>
      </c>
      <c r="S29" s="24">
        <v>46054</v>
      </c>
      <c r="T29" s="23">
        <v>7.5</v>
      </c>
      <c r="U29" s="25">
        <v>4</v>
      </c>
      <c r="V29" s="23">
        <v>42.5</v>
      </c>
      <c r="W29" s="18" t="s">
        <v>47</v>
      </c>
      <c r="X29" s="18" t="s">
        <v>48</v>
      </c>
      <c r="Y29" s="18" t="s">
        <v>36</v>
      </c>
      <c r="Z29" s="18" t="s">
        <v>9</v>
      </c>
      <c r="AA29" s="18" t="s">
        <v>49</v>
      </c>
      <c r="AB29" s="18" t="s">
        <v>55</v>
      </c>
      <c r="AC29" s="18" t="s">
        <v>38</v>
      </c>
      <c r="AD29" s="7" t="str">
        <f t="shared" si="0"/>
        <v/>
      </c>
      <c r="AE29" s="26"/>
      <c r="AF29" s="26"/>
      <c r="AG29" s="26"/>
      <c r="AH29" s="26"/>
      <c r="AI29" s="26"/>
      <c r="AJ29" s="26"/>
      <c r="AK29" s="26"/>
      <c r="AL29" s="26"/>
      <c r="AM29" s="26"/>
      <c r="AN29" s="26"/>
      <c r="AO29" s="26"/>
      <c r="AP29" s="26"/>
      <c r="AQ29" s="26"/>
      <c r="AR29" s="26"/>
      <c r="AS29" s="26"/>
      <c r="AT29" s="26"/>
      <c r="AU29" s="26"/>
      <c r="AV29" s="26"/>
      <c r="AW29" s="26"/>
    </row>
    <row r="30" spans="1:49" s="17" customFormat="1" ht="35.1" customHeight="1" x14ac:dyDescent="0.25">
      <c r="A30" s="18" t="s">
        <v>82</v>
      </c>
      <c r="B30" s="19">
        <v>46049</v>
      </c>
      <c r="C30" s="19">
        <v>46049</v>
      </c>
      <c r="D30" s="18" t="s">
        <v>166</v>
      </c>
      <c r="E30" s="20">
        <v>0.45833333333333331</v>
      </c>
      <c r="F30" s="20">
        <v>0.5</v>
      </c>
      <c r="G30" s="20">
        <v>3.4722222222222218E-4</v>
      </c>
      <c r="H30" s="18" t="s">
        <v>83</v>
      </c>
      <c r="I30" s="21">
        <v>0.4987847222222222</v>
      </c>
      <c r="J30" s="18" t="s">
        <v>80</v>
      </c>
      <c r="K30" s="18" t="s">
        <v>150</v>
      </c>
      <c r="L30" s="22">
        <v>1</v>
      </c>
      <c r="M30" s="22">
        <v>70166</v>
      </c>
      <c r="N30" s="18" t="s">
        <v>53</v>
      </c>
      <c r="O30" s="22" t="s">
        <v>84</v>
      </c>
      <c r="P30" s="23">
        <v>35</v>
      </c>
      <c r="Q30" s="22"/>
      <c r="R30" s="23">
        <v>35</v>
      </c>
      <c r="S30" s="24">
        <v>46049</v>
      </c>
      <c r="T30" s="23">
        <v>0</v>
      </c>
      <c r="U30" s="25">
        <v>4</v>
      </c>
      <c r="V30" s="23">
        <v>35</v>
      </c>
      <c r="W30" s="18" t="s">
        <v>47</v>
      </c>
      <c r="X30" s="18" t="s">
        <v>48</v>
      </c>
      <c r="Y30" s="18" t="s">
        <v>58</v>
      </c>
      <c r="Z30" s="18" t="s">
        <v>43</v>
      </c>
      <c r="AA30" s="18" t="s">
        <v>49</v>
      </c>
      <c r="AB30" s="18" t="s">
        <v>85</v>
      </c>
      <c r="AC30" s="18" t="s">
        <v>38</v>
      </c>
      <c r="AD30" s="7" t="str">
        <f t="shared" si="0"/>
        <v/>
      </c>
      <c r="AE30" s="26"/>
      <c r="AF30" s="26"/>
      <c r="AG30" s="26"/>
      <c r="AH30" s="26"/>
      <c r="AI30" s="26"/>
      <c r="AJ30" s="26"/>
      <c r="AK30" s="26"/>
      <c r="AL30" s="26"/>
      <c r="AM30" s="26"/>
      <c r="AN30" s="26"/>
      <c r="AO30" s="26"/>
      <c r="AP30" s="26"/>
      <c r="AQ30" s="26"/>
      <c r="AR30" s="26"/>
      <c r="AS30" s="26"/>
      <c r="AT30" s="26"/>
      <c r="AU30" s="26"/>
      <c r="AV30" s="26"/>
      <c r="AW30" s="26"/>
    </row>
    <row r="31" spans="1:49" s="34" customFormat="1" ht="35.1" customHeight="1" x14ac:dyDescent="0.25">
      <c r="A31" s="9" t="s">
        <v>100</v>
      </c>
      <c r="B31" s="10">
        <v>46049</v>
      </c>
      <c r="C31" s="10">
        <v>46049</v>
      </c>
      <c r="D31" s="11" t="s">
        <v>166</v>
      </c>
      <c r="E31" s="12">
        <v>0.5</v>
      </c>
      <c r="F31" s="12">
        <v>0.54166666666666663</v>
      </c>
      <c r="G31" s="12">
        <v>4.1666666666666664E-2</v>
      </c>
      <c r="H31" s="9" t="s">
        <v>101</v>
      </c>
      <c r="I31" s="13"/>
      <c r="J31" s="9" t="s">
        <v>80</v>
      </c>
      <c r="K31" s="9"/>
      <c r="L31" s="14">
        <v>1</v>
      </c>
      <c r="M31" s="14">
        <v>1</v>
      </c>
      <c r="N31" s="9" t="s">
        <v>33</v>
      </c>
      <c r="O31" s="9"/>
      <c r="P31" s="16">
        <v>0</v>
      </c>
      <c r="Q31" s="14"/>
      <c r="R31" s="16">
        <v>0</v>
      </c>
      <c r="S31" s="9">
        <v>46054</v>
      </c>
      <c r="T31" s="16">
        <v>0</v>
      </c>
      <c r="U31" s="14">
        <v>2</v>
      </c>
      <c r="V31" s="16">
        <v>0</v>
      </c>
      <c r="W31" s="9" t="s">
        <v>34</v>
      </c>
      <c r="X31" s="9" t="s">
        <v>42</v>
      </c>
      <c r="Y31" s="9" t="s">
        <v>36</v>
      </c>
      <c r="Z31" s="9" t="s">
        <v>43</v>
      </c>
      <c r="AA31" s="9" t="s">
        <v>37</v>
      </c>
      <c r="AB31" s="9" t="s">
        <v>37</v>
      </c>
      <c r="AC31" s="9" t="s">
        <v>38</v>
      </c>
      <c r="AD31" s="7" t="str">
        <f t="shared" si="0"/>
        <v/>
      </c>
      <c r="AE31" s="26"/>
      <c r="AF31" s="26"/>
      <c r="AG31" s="26"/>
      <c r="AH31" s="26"/>
      <c r="AI31" s="26"/>
      <c r="AJ31" s="26"/>
      <c r="AK31" s="26"/>
      <c r="AL31" s="26"/>
      <c r="AM31" s="26"/>
      <c r="AN31" s="26"/>
      <c r="AO31" s="26"/>
      <c r="AP31" s="26"/>
      <c r="AQ31" s="26"/>
      <c r="AR31" s="26"/>
      <c r="AS31" s="26"/>
      <c r="AT31" s="26"/>
      <c r="AU31" s="26"/>
      <c r="AV31" s="26"/>
      <c r="AW31" s="26"/>
    </row>
    <row r="32" spans="1:49" s="17" customFormat="1" ht="35.1" customHeight="1" x14ac:dyDescent="0.25">
      <c r="A32" s="18" t="s">
        <v>82</v>
      </c>
      <c r="B32" s="19">
        <v>46049</v>
      </c>
      <c r="C32" s="19">
        <v>46049</v>
      </c>
      <c r="D32" s="18" t="s">
        <v>166</v>
      </c>
      <c r="E32" s="20">
        <v>0.5</v>
      </c>
      <c r="F32" s="20">
        <v>0.54166666666666663</v>
      </c>
      <c r="G32" s="20">
        <v>3.4722222222222218E-4</v>
      </c>
      <c r="H32" s="18" t="s">
        <v>83</v>
      </c>
      <c r="I32" s="21">
        <v>0.50471064814814814</v>
      </c>
      <c r="J32" s="18" t="s">
        <v>80</v>
      </c>
      <c r="K32" s="18" t="s">
        <v>151</v>
      </c>
      <c r="L32" s="22">
        <v>1</v>
      </c>
      <c r="M32" s="22">
        <v>70167</v>
      </c>
      <c r="N32" s="18" t="s">
        <v>53</v>
      </c>
      <c r="O32" s="22" t="s">
        <v>84</v>
      </c>
      <c r="P32" s="23">
        <v>35</v>
      </c>
      <c r="Q32" s="22"/>
      <c r="R32" s="23">
        <v>35</v>
      </c>
      <c r="S32" s="24">
        <v>46049</v>
      </c>
      <c r="T32" s="23">
        <v>0</v>
      </c>
      <c r="U32" s="25">
        <v>4</v>
      </c>
      <c r="V32" s="23">
        <v>35</v>
      </c>
      <c r="W32" s="18" t="s">
        <v>47</v>
      </c>
      <c r="X32" s="18" t="s">
        <v>48</v>
      </c>
      <c r="Y32" s="18" t="s">
        <v>58</v>
      </c>
      <c r="Z32" s="18" t="s">
        <v>43</v>
      </c>
      <c r="AA32" s="18" t="s">
        <v>49</v>
      </c>
      <c r="AB32" s="18" t="s">
        <v>85</v>
      </c>
      <c r="AC32" s="18" t="s">
        <v>38</v>
      </c>
      <c r="AD32" s="7" t="str">
        <f t="shared" si="0"/>
        <v/>
      </c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</row>
    <row r="33" spans="1:49" s="17" customFormat="1" ht="35.1" customHeight="1" x14ac:dyDescent="0.25">
      <c r="A33" s="18" t="s">
        <v>93</v>
      </c>
      <c r="B33" s="19">
        <v>46049</v>
      </c>
      <c r="C33" s="19">
        <v>46049</v>
      </c>
      <c r="D33" s="18" t="s">
        <v>166</v>
      </c>
      <c r="E33" s="20">
        <v>0.45833333333333331</v>
      </c>
      <c r="F33" s="20">
        <v>0.54166666666666663</v>
      </c>
      <c r="G33" s="28">
        <v>1.7361111111111109E-4</v>
      </c>
      <c r="H33" s="29" t="s">
        <v>98</v>
      </c>
      <c r="I33" s="21">
        <v>0.51166666666666671</v>
      </c>
      <c r="J33" s="18" t="s">
        <v>80</v>
      </c>
      <c r="K33" s="18" t="s">
        <v>151</v>
      </c>
      <c r="L33" s="22">
        <v>1</v>
      </c>
      <c r="M33" s="22">
        <v>69570</v>
      </c>
      <c r="N33" s="18" t="s">
        <v>53</v>
      </c>
      <c r="O33" s="22" t="s">
        <v>95</v>
      </c>
      <c r="P33" s="23">
        <v>0</v>
      </c>
      <c r="Q33" s="22"/>
      <c r="R33" s="23">
        <v>19.042139037433099</v>
      </c>
      <c r="S33" s="24">
        <v>46054</v>
      </c>
      <c r="T33" s="23">
        <v>0</v>
      </c>
      <c r="U33" s="25">
        <v>4</v>
      </c>
      <c r="V33" s="23">
        <v>0</v>
      </c>
      <c r="W33" s="18" t="s">
        <v>47</v>
      </c>
      <c r="X33" s="18" t="s">
        <v>48</v>
      </c>
      <c r="Y33" s="18" t="s">
        <v>36</v>
      </c>
      <c r="Z33" s="18" t="s">
        <v>9</v>
      </c>
      <c r="AA33" s="18" t="s">
        <v>49</v>
      </c>
      <c r="AB33" s="18" t="s">
        <v>96</v>
      </c>
      <c r="AC33" s="18" t="s">
        <v>38</v>
      </c>
      <c r="AD33" s="7" t="str">
        <f t="shared" si="0"/>
        <v/>
      </c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</row>
    <row r="34" spans="1:49" s="17" customFormat="1" ht="35.1" customHeight="1" x14ac:dyDescent="0.25">
      <c r="A34" s="18" t="s">
        <v>93</v>
      </c>
      <c r="B34" s="19">
        <v>46049</v>
      </c>
      <c r="C34" s="19">
        <v>46049</v>
      </c>
      <c r="D34" s="18" t="s">
        <v>166</v>
      </c>
      <c r="E34" s="20">
        <v>0.45833333333333331</v>
      </c>
      <c r="F34" s="20">
        <v>0.54166666666666663</v>
      </c>
      <c r="G34" s="28">
        <v>1.7361111111111109E-4</v>
      </c>
      <c r="H34" s="29" t="s">
        <v>97</v>
      </c>
      <c r="I34" s="21">
        <v>0.51393518518518522</v>
      </c>
      <c r="J34" s="18" t="s">
        <v>80</v>
      </c>
      <c r="K34" s="18" t="s">
        <v>151</v>
      </c>
      <c r="L34" s="22">
        <v>1</v>
      </c>
      <c r="M34" s="22">
        <v>69570</v>
      </c>
      <c r="N34" s="18" t="s">
        <v>53</v>
      </c>
      <c r="O34" s="22" t="s">
        <v>95</v>
      </c>
      <c r="P34" s="23">
        <v>0</v>
      </c>
      <c r="Q34" s="22"/>
      <c r="R34" s="23">
        <v>19.042139037433099</v>
      </c>
      <c r="S34" s="24">
        <v>46054</v>
      </c>
      <c r="T34" s="23">
        <v>0</v>
      </c>
      <c r="U34" s="25">
        <v>4</v>
      </c>
      <c r="V34" s="23">
        <v>0</v>
      </c>
      <c r="W34" s="18" t="s">
        <v>47</v>
      </c>
      <c r="X34" s="18" t="s">
        <v>48</v>
      </c>
      <c r="Y34" s="18" t="s">
        <v>36</v>
      </c>
      <c r="Z34" s="18" t="s">
        <v>9</v>
      </c>
      <c r="AA34" s="18" t="s">
        <v>49</v>
      </c>
      <c r="AB34" s="18" t="s">
        <v>96</v>
      </c>
      <c r="AC34" s="18" t="s">
        <v>38</v>
      </c>
      <c r="AD34" s="7" t="str">
        <f t="shared" si="0"/>
        <v/>
      </c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</row>
    <row r="35" spans="1:49" s="17" customFormat="1" ht="35.1" customHeight="1" x14ac:dyDescent="0.25">
      <c r="A35" s="18" t="s">
        <v>87</v>
      </c>
      <c r="B35" s="19">
        <v>46049</v>
      </c>
      <c r="C35" s="19">
        <v>46049</v>
      </c>
      <c r="D35" s="18" t="s">
        <v>166</v>
      </c>
      <c r="E35" s="20">
        <v>0.45833333333333331</v>
      </c>
      <c r="F35" s="20">
        <v>0.54166666666666663</v>
      </c>
      <c r="G35" s="20">
        <v>3.4722222222222218E-4</v>
      </c>
      <c r="H35" s="18" t="s">
        <v>88</v>
      </c>
      <c r="I35" s="21">
        <v>0.51185185185185189</v>
      </c>
      <c r="J35" s="18" t="s">
        <v>80</v>
      </c>
      <c r="K35" s="18" t="s">
        <v>151</v>
      </c>
      <c r="L35" s="22">
        <v>1</v>
      </c>
      <c r="M35" s="22">
        <v>69609</v>
      </c>
      <c r="N35" s="18" t="s">
        <v>46</v>
      </c>
      <c r="O35" s="22" t="s">
        <v>89</v>
      </c>
      <c r="P35" s="23">
        <v>0</v>
      </c>
      <c r="Q35" s="22"/>
      <c r="R35" s="23">
        <v>0</v>
      </c>
      <c r="S35" s="24">
        <v>46049</v>
      </c>
      <c r="T35" s="23">
        <v>0</v>
      </c>
      <c r="U35" s="25">
        <v>4</v>
      </c>
      <c r="V35" s="23">
        <v>0</v>
      </c>
      <c r="W35" s="18" t="s">
        <v>47</v>
      </c>
      <c r="X35" s="18" t="s">
        <v>48</v>
      </c>
      <c r="Y35" s="18" t="s">
        <v>58</v>
      </c>
      <c r="Z35" s="18" t="s">
        <v>43</v>
      </c>
      <c r="AA35" s="18" t="s">
        <v>49</v>
      </c>
      <c r="AB35" s="18" t="s">
        <v>90</v>
      </c>
      <c r="AC35" s="18" t="s">
        <v>38</v>
      </c>
      <c r="AD35" s="7" t="str">
        <f>IF(N35="PRG","",IF(I35&gt;=E35,IF(I35&lt;=F35,"","NO"),"NO"))</f>
        <v/>
      </c>
      <c r="AE35" s="26"/>
      <c r="AF35" s="26"/>
      <c r="AG35" s="26"/>
      <c r="AH35" s="26"/>
      <c r="AI35" s="27"/>
      <c r="AJ35" s="27"/>
      <c r="AK35" s="27"/>
      <c r="AL35" s="27"/>
      <c r="AM35" s="27"/>
      <c r="AN35" s="27"/>
      <c r="AO35" s="27"/>
      <c r="AP35" s="27"/>
      <c r="AQ35" s="27"/>
      <c r="AR35" s="27"/>
      <c r="AS35" s="27"/>
      <c r="AT35" s="27"/>
      <c r="AU35" s="27"/>
      <c r="AV35" s="27"/>
      <c r="AW35" s="27"/>
    </row>
    <row r="36" spans="1:49" s="17" customFormat="1" ht="35.1" customHeight="1" x14ac:dyDescent="0.25">
      <c r="A36" s="18" t="s">
        <v>82</v>
      </c>
      <c r="B36" s="19">
        <v>46049</v>
      </c>
      <c r="C36" s="19">
        <v>46049</v>
      </c>
      <c r="D36" s="18" t="s">
        <v>166</v>
      </c>
      <c r="E36" s="20">
        <v>0.5</v>
      </c>
      <c r="F36" s="20">
        <v>0.54166666666666663</v>
      </c>
      <c r="G36" s="20">
        <v>3.4722222222222218E-4</v>
      </c>
      <c r="H36" s="18" t="s">
        <v>83</v>
      </c>
      <c r="I36" s="21">
        <v>0.52292824074074074</v>
      </c>
      <c r="J36" s="18" t="s">
        <v>80</v>
      </c>
      <c r="K36" s="18" t="s">
        <v>151</v>
      </c>
      <c r="L36" s="22">
        <v>1</v>
      </c>
      <c r="M36" s="22">
        <v>70167</v>
      </c>
      <c r="N36" s="18" t="s">
        <v>53</v>
      </c>
      <c r="O36" s="22" t="s">
        <v>84</v>
      </c>
      <c r="P36" s="23">
        <v>35</v>
      </c>
      <c r="Q36" s="22"/>
      <c r="R36" s="23">
        <v>35</v>
      </c>
      <c r="S36" s="24">
        <v>46049</v>
      </c>
      <c r="T36" s="23">
        <v>0</v>
      </c>
      <c r="U36" s="25">
        <v>4</v>
      </c>
      <c r="V36" s="23">
        <v>35</v>
      </c>
      <c r="W36" s="18" t="s">
        <v>47</v>
      </c>
      <c r="X36" s="18" t="s">
        <v>48</v>
      </c>
      <c r="Y36" s="18" t="s">
        <v>58</v>
      </c>
      <c r="Z36" s="18" t="s">
        <v>43</v>
      </c>
      <c r="AA36" s="18" t="s">
        <v>49</v>
      </c>
      <c r="AB36" s="18" t="s">
        <v>85</v>
      </c>
      <c r="AC36" s="18" t="s">
        <v>38</v>
      </c>
      <c r="AD36" s="7" t="str">
        <f t="shared" si="0"/>
        <v/>
      </c>
      <c r="AE36" s="26"/>
      <c r="AF36" s="26"/>
      <c r="AG36" s="26"/>
      <c r="AH36" s="26"/>
      <c r="AI36" s="26"/>
      <c r="AJ36" s="26"/>
      <c r="AK36" s="26"/>
      <c r="AL36" s="26"/>
      <c r="AM36" s="26"/>
      <c r="AN36" s="26"/>
      <c r="AO36" s="26"/>
      <c r="AP36" s="26"/>
      <c r="AQ36" s="26"/>
      <c r="AR36" s="26"/>
      <c r="AS36" s="26"/>
      <c r="AT36" s="26"/>
      <c r="AU36" s="26"/>
      <c r="AV36" s="26"/>
      <c r="AW36" s="26"/>
    </row>
    <row r="37" spans="1:49" s="17" customFormat="1" ht="35.1" customHeight="1" x14ac:dyDescent="0.25">
      <c r="A37" s="18" t="s">
        <v>56</v>
      </c>
      <c r="B37" s="19">
        <v>46049</v>
      </c>
      <c r="C37" s="19">
        <v>46049</v>
      </c>
      <c r="D37" s="18" t="s">
        <v>166</v>
      </c>
      <c r="E37" s="20">
        <v>0.45833333333333331</v>
      </c>
      <c r="F37" s="20">
        <v>0.54166666666666663</v>
      </c>
      <c r="G37" s="28">
        <v>1.7361111111111112E-4</v>
      </c>
      <c r="H37" s="29" t="s">
        <v>176</v>
      </c>
      <c r="I37" s="21">
        <v>0.53314814814814815</v>
      </c>
      <c r="J37" s="18" t="s">
        <v>80</v>
      </c>
      <c r="K37" s="18" t="s">
        <v>151</v>
      </c>
      <c r="L37" s="22">
        <v>1</v>
      </c>
      <c r="M37" s="22">
        <v>69831</v>
      </c>
      <c r="N37" s="18" t="s">
        <v>53</v>
      </c>
      <c r="O37" s="22"/>
      <c r="P37" s="23">
        <v>21.75</v>
      </c>
      <c r="Q37" s="22"/>
      <c r="R37" s="23">
        <v>21.75</v>
      </c>
      <c r="S37" s="24">
        <v>46049</v>
      </c>
      <c r="T37" s="23">
        <v>0</v>
      </c>
      <c r="U37" s="25">
        <v>4</v>
      </c>
      <c r="V37" s="23">
        <v>21.75</v>
      </c>
      <c r="W37" s="18" t="s">
        <v>34</v>
      </c>
      <c r="X37" s="18" t="s">
        <v>48</v>
      </c>
      <c r="Y37" s="18" t="s">
        <v>58</v>
      </c>
      <c r="Z37" s="18" t="s">
        <v>43</v>
      </c>
      <c r="AA37" s="18" t="s">
        <v>49</v>
      </c>
      <c r="AB37" s="18" t="s">
        <v>59</v>
      </c>
      <c r="AC37" s="18" t="s">
        <v>38</v>
      </c>
      <c r="AD37" s="7" t="str">
        <f t="shared" si="0"/>
        <v/>
      </c>
      <c r="AE37" s="26"/>
      <c r="AF37" s="26"/>
      <c r="AG37" s="26"/>
      <c r="AH37" s="26"/>
      <c r="AI37" s="27"/>
      <c r="AJ37" s="27"/>
      <c r="AK37" s="27"/>
      <c r="AL37" s="27"/>
      <c r="AM37" s="27"/>
      <c r="AN37" s="27"/>
      <c r="AO37" s="27"/>
      <c r="AP37" s="27"/>
      <c r="AQ37" s="27"/>
      <c r="AR37" s="27"/>
      <c r="AS37" s="27"/>
      <c r="AT37" s="27"/>
      <c r="AU37" s="27"/>
      <c r="AV37" s="27"/>
      <c r="AW37" s="27"/>
    </row>
    <row r="38" spans="1:49" s="17" customFormat="1" ht="35.1" customHeight="1" x14ac:dyDescent="0.25">
      <c r="A38" s="18" t="s">
        <v>56</v>
      </c>
      <c r="B38" s="19">
        <v>46049</v>
      </c>
      <c r="C38" s="19">
        <v>46049</v>
      </c>
      <c r="D38" s="18" t="s">
        <v>166</v>
      </c>
      <c r="E38" s="20">
        <v>0.45833333333333331</v>
      </c>
      <c r="F38" s="20">
        <v>0.54166666666666663</v>
      </c>
      <c r="G38" s="28">
        <v>1.7361111111111112E-4</v>
      </c>
      <c r="H38" s="29" t="s">
        <v>177</v>
      </c>
      <c r="I38" s="21">
        <v>0.53521990740740744</v>
      </c>
      <c r="J38" s="18" t="s">
        <v>80</v>
      </c>
      <c r="K38" s="18" t="s">
        <v>151</v>
      </c>
      <c r="L38" s="22">
        <v>1</v>
      </c>
      <c r="M38" s="22">
        <v>69831</v>
      </c>
      <c r="N38" s="18" t="s">
        <v>53</v>
      </c>
      <c r="O38" s="22"/>
      <c r="P38" s="23">
        <v>0</v>
      </c>
      <c r="Q38" s="22"/>
      <c r="R38" s="23">
        <v>0</v>
      </c>
      <c r="S38" s="24">
        <v>46049</v>
      </c>
      <c r="T38" s="23">
        <v>0</v>
      </c>
      <c r="U38" s="25">
        <v>4</v>
      </c>
      <c r="V38" s="23">
        <v>0</v>
      </c>
      <c r="W38" s="18" t="s">
        <v>34</v>
      </c>
      <c r="X38" s="18" t="s">
        <v>48</v>
      </c>
      <c r="Y38" s="18" t="s">
        <v>58</v>
      </c>
      <c r="Z38" s="18" t="s">
        <v>43</v>
      </c>
      <c r="AA38" s="18" t="s">
        <v>49</v>
      </c>
      <c r="AB38" s="18" t="s">
        <v>59</v>
      </c>
      <c r="AC38" s="18" t="s">
        <v>38</v>
      </c>
      <c r="AD38" s="7" t="str">
        <f t="shared" si="0"/>
        <v/>
      </c>
      <c r="AE38" s="26"/>
      <c r="AF38" s="26"/>
      <c r="AG38" s="26"/>
      <c r="AH38" s="26"/>
      <c r="AI38" s="27"/>
      <c r="AJ38" s="27"/>
      <c r="AK38" s="27"/>
      <c r="AL38" s="27"/>
      <c r="AM38" s="27"/>
      <c r="AN38" s="27"/>
      <c r="AO38" s="27"/>
      <c r="AP38" s="27"/>
      <c r="AQ38" s="27"/>
      <c r="AR38" s="27"/>
      <c r="AS38" s="27"/>
      <c r="AT38" s="27"/>
      <c r="AU38" s="27"/>
      <c r="AV38" s="27"/>
      <c r="AW38" s="27"/>
    </row>
    <row r="39" spans="1:49" s="17" customFormat="1" ht="35.1" customHeight="1" x14ac:dyDescent="0.25">
      <c r="A39" s="18" t="s">
        <v>82</v>
      </c>
      <c r="B39" s="19">
        <v>46049</v>
      </c>
      <c r="C39" s="19">
        <v>46049</v>
      </c>
      <c r="D39" s="18" t="s">
        <v>166</v>
      </c>
      <c r="E39" s="20">
        <v>0.5</v>
      </c>
      <c r="F39" s="20">
        <v>0.54166666666666663</v>
      </c>
      <c r="G39" s="20">
        <v>3.4722222222222218E-4</v>
      </c>
      <c r="H39" s="18" t="s">
        <v>83</v>
      </c>
      <c r="I39" s="21">
        <v>0.53979166666666667</v>
      </c>
      <c r="J39" s="18" t="s">
        <v>80</v>
      </c>
      <c r="K39" s="18" t="s">
        <v>151</v>
      </c>
      <c r="L39" s="22">
        <v>1</v>
      </c>
      <c r="M39" s="22">
        <v>70167</v>
      </c>
      <c r="N39" s="18" t="s">
        <v>53</v>
      </c>
      <c r="O39" s="22" t="s">
        <v>84</v>
      </c>
      <c r="P39" s="23">
        <v>35</v>
      </c>
      <c r="Q39" s="22"/>
      <c r="R39" s="23">
        <v>35</v>
      </c>
      <c r="S39" s="24">
        <v>46049</v>
      </c>
      <c r="T39" s="23">
        <v>0</v>
      </c>
      <c r="U39" s="25">
        <v>4</v>
      </c>
      <c r="V39" s="23">
        <v>35</v>
      </c>
      <c r="W39" s="18" t="s">
        <v>47</v>
      </c>
      <c r="X39" s="18" t="s">
        <v>48</v>
      </c>
      <c r="Y39" s="18" t="s">
        <v>58</v>
      </c>
      <c r="Z39" s="18" t="s">
        <v>43</v>
      </c>
      <c r="AA39" s="18" t="s">
        <v>49</v>
      </c>
      <c r="AB39" s="18" t="s">
        <v>85</v>
      </c>
      <c r="AC39" s="18" t="s">
        <v>38</v>
      </c>
      <c r="AD39" s="7" t="str">
        <f t="shared" si="0"/>
        <v/>
      </c>
      <c r="AE39" s="31"/>
      <c r="AF39" s="31"/>
      <c r="AG39" s="31"/>
      <c r="AH39" s="31"/>
      <c r="AI39" s="30"/>
      <c r="AJ39" s="30"/>
      <c r="AK39" s="30"/>
      <c r="AL39" s="30"/>
      <c r="AM39" s="30"/>
      <c r="AN39" s="30"/>
      <c r="AO39" s="30"/>
      <c r="AP39" s="30"/>
      <c r="AQ39" s="30"/>
      <c r="AR39" s="30"/>
      <c r="AS39" s="30"/>
      <c r="AT39" s="30"/>
      <c r="AU39" s="30"/>
      <c r="AV39" s="30"/>
      <c r="AW39" s="30"/>
    </row>
    <row r="40" spans="1:49" s="17" customFormat="1" ht="35.1" customHeight="1" x14ac:dyDescent="0.25">
      <c r="A40" s="18" t="s">
        <v>51</v>
      </c>
      <c r="B40" s="19">
        <v>46049</v>
      </c>
      <c r="C40" s="19">
        <v>46049</v>
      </c>
      <c r="D40" s="18" t="s">
        <v>166</v>
      </c>
      <c r="E40" s="20">
        <v>0.5</v>
      </c>
      <c r="F40" s="20">
        <v>0.54166666666666663</v>
      </c>
      <c r="G40" s="20">
        <v>3.4722222222222218E-4</v>
      </c>
      <c r="H40" s="18" t="s">
        <v>102</v>
      </c>
      <c r="I40" s="21">
        <v>0.54013888888888884</v>
      </c>
      <c r="J40" s="18" t="s">
        <v>80</v>
      </c>
      <c r="K40" s="18" t="s">
        <v>151</v>
      </c>
      <c r="L40" s="22">
        <v>1</v>
      </c>
      <c r="M40" s="22">
        <v>70362</v>
      </c>
      <c r="N40" s="18" t="s">
        <v>53</v>
      </c>
      <c r="O40" s="22" t="s">
        <v>54</v>
      </c>
      <c r="P40" s="23">
        <v>50</v>
      </c>
      <c r="Q40" s="22"/>
      <c r="R40" s="23">
        <v>50</v>
      </c>
      <c r="S40" s="24">
        <v>46054</v>
      </c>
      <c r="T40" s="23">
        <v>7.5</v>
      </c>
      <c r="U40" s="25">
        <v>4</v>
      </c>
      <c r="V40" s="23">
        <v>42.5</v>
      </c>
      <c r="W40" s="18" t="s">
        <v>47</v>
      </c>
      <c r="X40" s="18" t="s">
        <v>48</v>
      </c>
      <c r="Y40" s="18" t="s">
        <v>36</v>
      </c>
      <c r="Z40" s="18" t="s">
        <v>9</v>
      </c>
      <c r="AA40" s="18" t="s">
        <v>49</v>
      </c>
      <c r="AB40" s="18" t="s">
        <v>55</v>
      </c>
      <c r="AC40" s="18" t="s">
        <v>38</v>
      </c>
      <c r="AD40" s="7" t="str">
        <f t="shared" si="0"/>
        <v/>
      </c>
      <c r="AE40" s="26"/>
      <c r="AF40" s="26"/>
      <c r="AG40" s="26"/>
      <c r="AH40" s="26"/>
      <c r="AI40" s="27"/>
      <c r="AJ40" s="27"/>
      <c r="AK40" s="27"/>
      <c r="AL40" s="27"/>
      <c r="AM40" s="27"/>
      <c r="AN40" s="27"/>
      <c r="AO40" s="27"/>
      <c r="AP40" s="27"/>
      <c r="AQ40" s="27"/>
      <c r="AR40" s="27"/>
      <c r="AS40" s="27"/>
      <c r="AT40" s="27"/>
      <c r="AU40" s="27"/>
      <c r="AV40" s="27"/>
      <c r="AW40" s="27"/>
    </row>
    <row r="41" spans="1:49" s="34" customFormat="1" ht="35.1" customHeight="1" x14ac:dyDescent="0.25">
      <c r="A41" s="9" t="s">
        <v>103</v>
      </c>
      <c r="B41" s="10">
        <v>46049</v>
      </c>
      <c r="C41" s="10">
        <v>46049</v>
      </c>
      <c r="D41" s="11" t="s">
        <v>166</v>
      </c>
      <c r="E41" s="12">
        <v>0.54166666666666663</v>
      </c>
      <c r="F41" s="12">
        <v>0.5625</v>
      </c>
      <c r="G41" s="12">
        <v>2.0833333333333332E-2</v>
      </c>
      <c r="H41" s="9" t="s">
        <v>104</v>
      </c>
      <c r="I41" s="13"/>
      <c r="J41" s="9" t="s">
        <v>105</v>
      </c>
      <c r="K41" s="9"/>
      <c r="L41" s="14">
        <v>1</v>
      </c>
      <c r="M41" s="14">
        <v>1</v>
      </c>
      <c r="N41" s="9" t="s">
        <v>33</v>
      </c>
      <c r="O41" s="9"/>
      <c r="P41" s="16">
        <v>0</v>
      </c>
      <c r="Q41" s="14"/>
      <c r="R41" s="16">
        <v>0</v>
      </c>
      <c r="S41" s="9">
        <v>46054</v>
      </c>
      <c r="T41" s="16">
        <v>0</v>
      </c>
      <c r="U41" s="14">
        <v>2</v>
      </c>
      <c r="V41" s="16">
        <v>0</v>
      </c>
      <c r="W41" s="9" t="s">
        <v>34</v>
      </c>
      <c r="X41" s="9" t="s">
        <v>42</v>
      </c>
      <c r="Y41" s="9" t="s">
        <v>36</v>
      </c>
      <c r="Z41" s="9" t="s">
        <v>43</v>
      </c>
      <c r="AA41" s="9" t="s">
        <v>37</v>
      </c>
      <c r="AB41" s="9" t="s">
        <v>37</v>
      </c>
      <c r="AC41" s="9" t="s">
        <v>38</v>
      </c>
      <c r="AD41" s="7" t="str">
        <f t="shared" si="0"/>
        <v/>
      </c>
      <c r="AE41" s="26"/>
      <c r="AF41" s="26"/>
      <c r="AG41" s="26"/>
      <c r="AH41" s="26"/>
      <c r="AI41" s="26"/>
      <c r="AJ41" s="26"/>
      <c r="AK41" s="26"/>
      <c r="AL41" s="26"/>
      <c r="AM41" s="26"/>
      <c r="AN41" s="26"/>
      <c r="AO41" s="26"/>
      <c r="AP41" s="26"/>
      <c r="AQ41" s="26"/>
      <c r="AR41" s="26"/>
      <c r="AS41" s="26"/>
      <c r="AT41" s="26"/>
      <c r="AU41" s="26"/>
      <c r="AV41" s="26"/>
      <c r="AW41" s="26"/>
    </row>
    <row r="42" spans="1:49" s="17" customFormat="1" ht="35.1" customHeight="1" x14ac:dyDescent="0.25">
      <c r="A42" s="18" t="s">
        <v>106</v>
      </c>
      <c r="B42" s="19">
        <v>46049</v>
      </c>
      <c r="C42" s="19">
        <v>46049</v>
      </c>
      <c r="D42" s="18" t="s">
        <v>166</v>
      </c>
      <c r="E42" s="20">
        <v>0.54166666666666663</v>
      </c>
      <c r="F42" s="20">
        <v>0.66666666666666663</v>
      </c>
      <c r="G42" s="20">
        <v>3.4722222222222218E-4</v>
      </c>
      <c r="H42" s="18" t="s">
        <v>107</v>
      </c>
      <c r="I42" s="21">
        <v>0.54855335648148151</v>
      </c>
      <c r="J42" s="18" t="s">
        <v>105</v>
      </c>
      <c r="K42" s="18" t="s">
        <v>152</v>
      </c>
      <c r="L42" s="22">
        <v>1</v>
      </c>
      <c r="M42" s="22">
        <v>58165</v>
      </c>
      <c r="N42" s="18" t="s">
        <v>53</v>
      </c>
      <c r="O42" s="22" t="s">
        <v>108</v>
      </c>
      <c r="P42" s="23">
        <v>42.352941176470587</v>
      </c>
      <c r="Q42" s="22"/>
      <c r="R42" s="23">
        <v>42.352941176470587</v>
      </c>
      <c r="S42" s="24">
        <v>46054</v>
      </c>
      <c r="T42" s="23">
        <v>6.3529411764705879</v>
      </c>
      <c r="U42" s="25">
        <v>4</v>
      </c>
      <c r="V42" s="23">
        <v>36</v>
      </c>
      <c r="W42" s="18" t="s">
        <v>34</v>
      </c>
      <c r="X42" s="18" t="s">
        <v>48</v>
      </c>
      <c r="Y42" s="18" t="s">
        <v>36</v>
      </c>
      <c r="Z42" s="18" t="s">
        <v>9</v>
      </c>
      <c r="AA42" s="18" t="s">
        <v>49</v>
      </c>
      <c r="AB42" s="18" t="s">
        <v>109</v>
      </c>
      <c r="AC42" s="18" t="s">
        <v>38</v>
      </c>
      <c r="AD42" s="7" t="str">
        <f t="shared" si="0"/>
        <v/>
      </c>
      <c r="AE42" s="26"/>
      <c r="AF42" s="26"/>
      <c r="AG42" s="26"/>
      <c r="AH42" s="26"/>
      <c r="AI42" s="26"/>
      <c r="AJ42" s="26"/>
      <c r="AK42" s="26"/>
      <c r="AL42" s="26"/>
      <c r="AM42" s="26"/>
      <c r="AN42" s="26"/>
      <c r="AO42" s="26"/>
      <c r="AP42" s="26"/>
      <c r="AQ42" s="26"/>
      <c r="AR42" s="26"/>
      <c r="AS42" s="26"/>
      <c r="AT42" s="26"/>
      <c r="AU42" s="26"/>
      <c r="AV42" s="26"/>
      <c r="AW42" s="26"/>
    </row>
    <row r="43" spans="1:49" s="17" customFormat="1" ht="35.1" customHeight="1" x14ac:dyDescent="0.25">
      <c r="A43" s="18" t="s">
        <v>159</v>
      </c>
      <c r="B43" s="19">
        <v>46049</v>
      </c>
      <c r="C43" s="19">
        <v>46049</v>
      </c>
      <c r="D43" s="18" t="s">
        <v>166</v>
      </c>
      <c r="E43" s="20">
        <v>0.54166666666666663</v>
      </c>
      <c r="F43" s="20">
        <v>0.66666666666666663</v>
      </c>
      <c r="G43" s="28">
        <v>1.7361111111111109E-4</v>
      </c>
      <c r="H43" s="29" t="s">
        <v>160</v>
      </c>
      <c r="I43" s="21">
        <v>0.54785057870370368</v>
      </c>
      <c r="J43" s="18" t="s">
        <v>105</v>
      </c>
      <c r="K43" s="18" t="s">
        <v>152</v>
      </c>
      <c r="L43" s="22">
        <v>1</v>
      </c>
      <c r="M43" s="22">
        <v>71006</v>
      </c>
      <c r="N43" s="18" t="s">
        <v>53</v>
      </c>
      <c r="O43" s="22" t="s">
        <v>161</v>
      </c>
      <c r="P43" s="23">
        <v>15</v>
      </c>
      <c r="Q43" s="22"/>
      <c r="R43" s="23">
        <v>15</v>
      </c>
      <c r="S43" s="24">
        <v>46054</v>
      </c>
      <c r="T43" s="23">
        <v>2.25</v>
      </c>
      <c r="U43" s="25">
        <v>4</v>
      </c>
      <c r="V43" s="23">
        <v>12.75</v>
      </c>
      <c r="W43" s="18" t="s">
        <v>47</v>
      </c>
      <c r="X43" s="18" t="s">
        <v>48</v>
      </c>
      <c r="Y43" s="18" t="s">
        <v>36</v>
      </c>
      <c r="Z43" s="18" t="s">
        <v>9</v>
      </c>
      <c r="AA43" s="18" t="s">
        <v>49</v>
      </c>
      <c r="AB43" s="18" t="s">
        <v>162</v>
      </c>
      <c r="AC43" s="18" t="s">
        <v>38</v>
      </c>
      <c r="AD43" s="7" t="str">
        <f t="shared" si="0"/>
        <v/>
      </c>
      <c r="AE43" s="26"/>
      <c r="AF43" s="26"/>
      <c r="AG43" s="26"/>
      <c r="AH43" s="26"/>
      <c r="AI43" s="26"/>
      <c r="AJ43" s="26"/>
      <c r="AK43" s="26"/>
      <c r="AL43" s="26"/>
      <c r="AM43" s="26"/>
      <c r="AN43" s="26"/>
      <c r="AO43" s="26"/>
      <c r="AP43" s="26"/>
      <c r="AQ43" s="26"/>
      <c r="AR43" s="26"/>
      <c r="AS43" s="26"/>
      <c r="AT43" s="26"/>
      <c r="AU43" s="26"/>
      <c r="AV43" s="26"/>
      <c r="AW43" s="26"/>
    </row>
    <row r="44" spans="1:49" s="17" customFormat="1" ht="35.1" customHeight="1" x14ac:dyDescent="0.25">
      <c r="A44" s="18" t="s">
        <v>159</v>
      </c>
      <c r="B44" s="19">
        <v>46049</v>
      </c>
      <c r="C44" s="19">
        <v>46049</v>
      </c>
      <c r="D44" s="18" t="s">
        <v>166</v>
      </c>
      <c r="E44" s="20">
        <v>0.54166666666666663</v>
      </c>
      <c r="F44" s="20">
        <v>0.66666666666666663</v>
      </c>
      <c r="G44" s="28">
        <v>1.7361111111111109E-4</v>
      </c>
      <c r="H44" s="29" t="s">
        <v>163</v>
      </c>
      <c r="I44" s="21">
        <v>0.54890057870370368</v>
      </c>
      <c r="J44" s="18" t="s">
        <v>105</v>
      </c>
      <c r="K44" s="18" t="s">
        <v>152</v>
      </c>
      <c r="L44" s="22">
        <v>1</v>
      </c>
      <c r="M44" s="22">
        <v>71006</v>
      </c>
      <c r="N44" s="18" t="s">
        <v>53</v>
      </c>
      <c r="O44" s="22" t="s">
        <v>161</v>
      </c>
      <c r="P44" s="23">
        <v>15</v>
      </c>
      <c r="Q44" s="22"/>
      <c r="R44" s="23">
        <v>15</v>
      </c>
      <c r="S44" s="24">
        <v>46054</v>
      </c>
      <c r="T44" s="23">
        <v>2.25</v>
      </c>
      <c r="U44" s="25">
        <v>4</v>
      </c>
      <c r="V44" s="23">
        <v>12.75</v>
      </c>
      <c r="W44" s="18" t="s">
        <v>47</v>
      </c>
      <c r="X44" s="18" t="s">
        <v>48</v>
      </c>
      <c r="Y44" s="18" t="s">
        <v>36</v>
      </c>
      <c r="Z44" s="18" t="s">
        <v>9</v>
      </c>
      <c r="AA44" s="18" t="s">
        <v>49</v>
      </c>
      <c r="AB44" s="18" t="s">
        <v>162</v>
      </c>
      <c r="AC44" s="18" t="s">
        <v>38</v>
      </c>
      <c r="AD44" s="7" t="str">
        <f t="shared" si="0"/>
        <v/>
      </c>
      <c r="AE44" s="26"/>
      <c r="AF44" s="26"/>
      <c r="AG44" s="26"/>
      <c r="AH44" s="26"/>
      <c r="AI44" s="27"/>
      <c r="AJ44" s="27"/>
      <c r="AK44" s="27"/>
      <c r="AL44" s="27"/>
      <c r="AM44" s="27"/>
      <c r="AN44" s="27"/>
      <c r="AO44" s="27"/>
      <c r="AP44" s="27"/>
      <c r="AQ44" s="27"/>
      <c r="AR44" s="27"/>
      <c r="AS44" s="27"/>
      <c r="AT44" s="27"/>
      <c r="AU44" s="27"/>
      <c r="AV44" s="27"/>
      <c r="AW44" s="27"/>
    </row>
    <row r="45" spans="1:49" s="17" customFormat="1" ht="35.1" customHeight="1" x14ac:dyDescent="0.25">
      <c r="A45" s="18" t="s">
        <v>106</v>
      </c>
      <c r="B45" s="19">
        <v>46049</v>
      </c>
      <c r="C45" s="19">
        <v>46049</v>
      </c>
      <c r="D45" s="18" t="s">
        <v>166</v>
      </c>
      <c r="E45" s="20">
        <v>0.54166666666666663</v>
      </c>
      <c r="F45" s="20">
        <v>0.66666666666666663</v>
      </c>
      <c r="G45" s="20">
        <v>3.4722222222222218E-4</v>
      </c>
      <c r="H45" s="18" t="s">
        <v>107</v>
      </c>
      <c r="I45" s="21">
        <v>0.56161215277777776</v>
      </c>
      <c r="J45" s="18" t="s">
        <v>105</v>
      </c>
      <c r="K45" s="18" t="s">
        <v>152</v>
      </c>
      <c r="L45" s="22">
        <v>1</v>
      </c>
      <c r="M45" s="22">
        <v>58165</v>
      </c>
      <c r="N45" s="18" t="s">
        <v>53</v>
      </c>
      <c r="O45" s="22" t="s">
        <v>108</v>
      </c>
      <c r="P45" s="23">
        <v>42.352941176470587</v>
      </c>
      <c r="Q45" s="22"/>
      <c r="R45" s="23">
        <v>42.352941176470587</v>
      </c>
      <c r="S45" s="24">
        <v>46054</v>
      </c>
      <c r="T45" s="23">
        <v>6.3529411764705879</v>
      </c>
      <c r="U45" s="25">
        <v>4</v>
      </c>
      <c r="V45" s="23">
        <v>36</v>
      </c>
      <c r="W45" s="18" t="s">
        <v>34</v>
      </c>
      <c r="X45" s="18" t="s">
        <v>48</v>
      </c>
      <c r="Y45" s="18" t="s">
        <v>36</v>
      </c>
      <c r="Z45" s="18" t="s">
        <v>9</v>
      </c>
      <c r="AA45" s="18" t="s">
        <v>49</v>
      </c>
      <c r="AB45" s="18" t="s">
        <v>109</v>
      </c>
      <c r="AC45" s="18" t="s">
        <v>38</v>
      </c>
      <c r="AD45" s="7" t="str">
        <f t="shared" si="0"/>
        <v/>
      </c>
      <c r="AE45" s="26"/>
      <c r="AF45" s="26"/>
      <c r="AG45" s="26"/>
      <c r="AH45" s="26"/>
      <c r="AI45" s="27"/>
      <c r="AJ45" s="27"/>
      <c r="AK45" s="27"/>
      <c r="AL45" s="27"/>
      <c r="AM45" s="27"/>
      <c r="AN45" s="27"/>
      <c r="AO45" s="27"/>
      <c r="AP45" s="27"/>
      <c r="AQ45" s="27"/>
      <c r="AR45" s="27"/>
      <c r="AS45" s="27"/>
      <c r="AT45" s="27"/>
      <c r="AU45" s="27"/>
      <c r="AV45" s="27"/>
      <c r="AW45" s="27"/>
    </row>
    <row r="46" spans="1:49" s="34" customFormat="1" ht="35.1" customHeight="1" x14ac:dyDescent="0.25">
      <c r="A46" s="9" t="s">
        <v>103</v>
      </c>
      <c r="B46" s="10">
        <v>46049</v>
      </c>
      <c r="C46" s="10">
        <v>46049</v>
      </c>
      <c r="D46" s="11" t="s">
        <v>166</v>
      </c>
      <c r="E46" s="12">
        <v>0.5625</v>
      </c>
      <c r="F46" s="12">
        <v>0.58333333333333337</v>
      </c>
      <c r="G46" s="12">
        <v>2.0833333333333332E-2</v>
      </c>
      <c r="H46" s="9" t="s">
        <v>112</v>
      </c>
      <c r="I46" s="13"/>
      <c r="J46" s="9" t="s">
        <v>105</v>
      </c>
      <c r="K46" s="9"/>
      <c r="L46" s="14">
        <v>1</v>
      </c>
      <c r="M46" s="14">
        <v>1</v>
      </c>
      <c r="N46" s="9" t="s">
        <v>33</v>
      </c>
      <c r="O46" s="9"/>
      <c r="P46" s="16">
        <v>0</v>
      </c>
      <c r="Q46" s="14"/>
      <c r="R46" s="16">
        <v>0</v>
      </c>
      <c r="S46" s="9">
        <v>46054</v>
      </c>
      <c r="T46" s="16">
        <v>0</v>
      </c>
      <c r="U46" s="14">
        <v>2</v>
      </c>
      <c r="V46" s="16">
        <v>0</v>
      </c>
      <c r="W46" s="9" t="s">
        <v>34</v>
      </c>
      <c r="X46" s="9" t="s">
        <v>42</v>
      </c>
      <c r="Y46" s="9" t="s">
        <v>36</v>
      </c>
      <c r="Z46" s="9" t="s">
        <v>43</v>
      </c>
      <c r="AA46" s="9" t="s">
        <v>37</v>
      </c>
      <c r="AB46" s="9" t="s">
        <v>37</v>
      </c>
      <c r="AC46" s="9" t="s">
        <v>38</v>
      </c>
      <c r="AD46" s="7" t="str">
        <f t="shared" si="0"/>
        <v/>
      </c>
      <c r="AE46" s="26"/>
      <c r="AF46" s="26"/>
      <c r="AG46" s="26"/>
      <c r="AH46" s="26"/>
      <c r="AI46" s="26"/>
      <c r="AJ46" s="26"/>
      <c r="AK46" s="26"/>
      <c r="AL46" s="26"/>
      <c r="AM46" s="26"/>
      <c r="AN46" s="26"/>
      <c r="AO46" s="26"/>
      <c r="AP46" s="26"/>
      <c r="AQ46" s="26"/>
      <c r="AR46" s="26"/>
      <c r="AS46" s="26"/>
      <c r="AT46" s="26"/>
      <c r="AU46" s="26"/>
      <c r="AV46" s="26"/>
      <c r="AW46" s="26"/>
    </row>
    <row r="47" spans="1:49" s="17" customFormat="1" ht="35.1" customHeight="1" x14ac:dyDescent="0.25">
      <c r="A47" s="18" t="s">
        <v>106</v>
      </c>
      <c r="B47" s="19">
        <v>46049</v>
      </c>
      <c r="C47" s="19">
        <v>46049</v>
      </c>
      <c r="D47" s="18" t="s">
        <v>166</v>
      </c>
      <c r="E47" s="20">
        <v>0.54166666666666663</v>
      </c>
      <c r="F47" s="20">
        <v>0.66666666666666663</v>
      </c>
      <c r="G47" s="20">
        <v>3.4722222222222218E-4</v>
      </c>
      <c r="H47" s="18" t="s">
        <v>107</v>
      </c>
      <c r="I47" s="21">
        <v>0.57820914351851849</v>
      </c>
      <c r="J47" s="18" t="s">
        <v>105</v>
      </c>
      <c r="K47" s="18" t="s">
        <v>153</v>
      </c>
      <c r="L47" s="22">
        <v>1</v>
      </c>
      <c r="M47" s="22">
        <v>58165</v>
      </c>
      <c r="N47" s="18" t="s">
        <v>53</v>
      </c>
      <c r="O47" s="22" t="s">
        <v>108</v>
      </c>
      <c r="P47" s="23">
        <v>42.352941176470587</v>
      </c>
      <c r="Q47" s="22"/>
      <c r="R47" s="23">
        <v>42.352941176470587</v>
      </c>
      <c r="S47" s="24">
        <v>46054</v>
      </c>
      <c r="T47" s="23">
        <v>6.3529411764705879</v>
      </c>
      <c r="U47" s="25">
        <v>4</v>
      </c>
      <c r="V47" s="23">
        <v>36</v>
      </c>
      <c r="W47" s="18" t="s">
        <v>34</v>
      </c>
      <c r="X47" s="18" t="s">
        <v>48</v>
      </c>
      <c r="Y47" s="18" t="s">
        <v>36</v>
      </c>
      <c r="Z47" s="18" t="s">
        <v>9</v>
      </c>
      <c r="AA47" s="18" t="s">
        <v>49</v>
      </c>
      <c r="AB47" s="18" t="s">
        <v>109</v>
      </c>
      <c r="AC47" s="18" t="s">
        <v>38</v>
      </c>
      <c r="AD47" s="7" t="str">
        <f t="shared" si="0"/>
        <v/>
      </c>
      <c r="AE47" s="26"/>
      <c r="AF47" s="26"/>
      <c r="AG47" s="26"/>
      <c r="AH47" s="26"/>
      <c r="AI47" s="26"/>
      <c r="AJ47" s="26"/>
      <c r="AK47" s="26"/>
      <c r="AL47" s="26"/>
      <c r="AM47" s="26"/>
      <c r="AN47" s="26"/>
      <c r="AO47" s="26"/>
      <c r="AP47" s="26"/>
      <c r="AQ47" s="26"/>
      <c r="AR47" s="26"/>
      <c r="AS47" s="26"/>
      <c r="AT47" s="26"/>
      <c r="AU47" s="26"/>
      <c r="AV47" s="26"/>
      <c r="AW47" s="26"/>
    </row>
    <row r="48" spans="1:49" s="17" customFormat="1" ht="35.1" customHeight="1" x14ac:dyDescent="0.25">
      <c r="A48" s="18" t="s">
        <v>127</v>
      </c>
      <c r="B48" s="19">
        <v>46049</v>
      </c>
      <c r="C48" s="19">
        <v>46049</v>
      </c>
      <c r="D48" s="18" t="s">
        <v>166</v>
      </c>
      <c r="E48" s="20">
        <v>0.54166666666666663</v>
      </c>
      <c r="F48" s="20">
        <v>0.58333333333333337</v>
      </c>
      <c r="G48" s="20">
        <v>3.4722222222222218E-4</v>
      </c>
      <c r="H48" s="18" t="s">
        <v>179</v>
      </c>
      <c r="I48" s="21">
        <v>0.58266469907407414</v>
      </c>
      <c r="J48" s="18" t="s">
        <v>105</v>
      </c>
      <c r="K48" s="18" t="s">
        <v>153</v>
      </c>
      <c r="L48" s="22">
        <v>1</v>
      </c>
      <c r="M48" s="22">
        <v>69748</v>
      </c>
      <c r="N48" s="18" t="s">
        <v>53</v>
      </c>
      <c r="O48" s="22" t="s">
        <v>129</v>
      </c>
      <c r="P48" s="23">
        <v>50</v>
      </c>
      <c r="Q48" s="22"/>
      <c r="R48" s="23">
        <v>50</v>
      </c>
      <c r="S48" s="24">
        <v>46054</v>
      </c>
      <c r="T48" s="23">
        <v>7.5</v>
      </c>
      <c r="U48" s="25">
        <v>4</v>
      </c>
      <c r="V48" s="23">
        <v>42.5</v>
      </c>
      <c r="W48" s="18" t="s">
        <v>47</v>
      </c>
      <c r="X48" s="18" t="s">
        <v>48</v>
      </c>
      <c r="Y48" s="18" t="s">
        <v>36</v>
      </c>
      <c r="Z48" s="18" t="s">
        <v>9</v>
      </c>
      <c r="AA48" s="18" t="s">
        <v>49</v>
      </c>
      <c r="AB48" s="18" t="s">
        <v>130</v>
      </c>
      <c r="AC48" s="18" t="s">
        <v>38</v>
      </c>
      <c r="AD48" s="7" t="str">
        <f t="shared" si="0"/>
        <v/>
      </c>
      <c r="AE48" s="31"/>
      <c r="AF48" s="31"/>
      <c r="AG48" s="31"/>
      <c r="AH48" s="31"/>
      <c r="AI48" s="30"/>
      <c r="AJ48" s="30"/>
      <c r="AK48" s="30"/>
      <c r="AL48" s="30"/>
      <c r="AM48" s="30"/>
      <c r="AN48" s="30"/>
      <c r="AO48" s="30"/>
      <c r="AP48" s="30"/>
      <c r="AQ48" s="30"/>
      <c r="AR48" s="30"/>
      <c r="AS48" s="30"/>
      <c r="AT48" s="30"/>
      <c r="AU48" s="30"/>
      <c r="AV48" s="30"/>
      <c r="AW48" s="30"/>
    </row>
    <row r="49" spans="1:49" s="17" customFormat="1" ht="35.1" customHeight="1" x14ac:dyDescent="0.25">
      <c r="A49" s="18" t="s">
        <v>159</v>
      </c>
      <c r="B49" s="19">
        <v>46049</v>
      </c>
      <c r="C49" s="19">
        <v>46049</v>
      </c>
      <c r="D49" s="18" t="s">
        <v>166</v>
      </c>
      <c r="E49" s="20">
        <v>0.54166666666666663</v>
      </c>
      <c r="F49" s="20">
        <v>0.66666666666666663</v>
      </c>
      <c r="G49" s="28">
        <v>1.7361111111111109E-4</v>
      </c>
      <c r="H49" s="29" t="s">
        <v>164</v>
      </c>
      <c r="I49" s="21">
        <v>0.58249085648148147</v>
      </c>
      <c r="J49" s="18" t="s">
        <v>105</v>
      </c>
      <c r="K49" s="18" t="s">
        <v>153</v>
      </c>
      <c r="L49" s="22">
        <v>1</v>
      </c>
      <c r="M49" s="22">
        <v>71011</v>
      </c>
      <c r="N49" s="18" t="s">
        <v>46</v>
      </c>
      <c r="O49" s="22" t="s">
        <v>161</v>
      </c>
      <c r="P49" s="23">
        <v>0</v>
      </c>
      <c r="Q49" s="22"/>
      <c r="R49" s="23">
        <v>0</v>
      </c>
      <c r="S49" s="24">
        <v>46054</v>
      </c>
      <c r="T49" s="23">
        <v>0</v>
      </c>
      <c r="U49" s="25">
        <v>4</v>
      </c>
      <c r="V49" s="23">
        <v>0</v>
      </c>
      <c r="W49" s="18" t="s">
        <v>47</v>
      </c>
      <c r="X49" s="18" t="s">
        <v>48</v>
      </c>
      <c r="Y49" s="18" t="s">
        <v>36</v>
      </c>
      <c r="Z49" s="18" t="s">
        <v>9</v>
      </c>
      <c r="AA49" s="18" t="s">
        <v>49</v>
      </c>
      <c r="AB49" s="18" t="s">
        <v>162</v>
      </c>
      <c r="AC49" s="18" t="s">
        <v>38</v>
      </c>
      <c r="AD49" s="7" t="str">
        <f t="shared" si="0"/>
        <v/>
      </c>
      <c r="AE49" s="26"/>
      <c r="AF49" s="26"/>
      <c r="AG49" s="26"/>
      <c r="AH49" s="26"/>
      <c r="AI49" s="26"/>
      <c r="AJ49" s="26"/>
      <c r="AK49" s="26"/>
      <c r="AL49" s="26"/>
      <c r="AM49" s="26"/>
      <c r="AN49" s="26"/>
      <c r="AO49" s="26"/>
      <c r="AP49" s="26"/>
      <c r="AQ49" s="26"/>
      <c r="AR49" s="26"/>
      <c r="AS49" s="26"/>
      <c r="AT49" s="26"/>
      <c r="AU49" s="26"/>
      <c r="AV49" s="26"/>
      <c r="AW49" s="26"/>
    </row>
    <row r="50" spans="1:49" s="17" customFormat="1" ht="35.1" customHeight="1" x14ac:dyDescent="0.25">
      <c r="A50" s="18" t="s">
        <v>159</v>
      </c>
      <c r="B50" s="19">
        <v>46049</v>
      </c>
      <c r="C50" s="19">
        <v>46049</v>
      </c>
      <c r="D50" s="18" t="s">
        <v>166</v>
      </c>
      <c r="E50" s="20">
        <v>0.54166666666666663</v>
      </c>
      <c r="F50" s="20">
        <v>0.66666666666666663</v>
      </c>
      <c r="G50" s="28">
        <v>1.7361111111111109E-4</v>
      </c>
      <c r="H50" s="29" t="s">
        <v>165</v>
      </c>
      <c r="I50" s="21">
        <v>0.58301192129629631</v>
      </c>
      <c r="J50" s="18" t="s">
        <v>105</v>
      </c>
      <c r="K50" s="18" t="s">
        <v>153</v>
      </c>
      <c r="L50" s="22">
        <v>1</v>
      </c>
      <c r="M50" s="22">
        <v>71011</v>
      </c>
      <c r="N50" s="18" t="s">
        <v>46</v>
      </c>
      <c r="O50" s="22" t="s">
        <v>161</v>
      </c>
      <c r="P50" s="23">
        <v>0</v>
      </c>
      <c r="Q50" s="22"/>
      <c r="R50" s="23">
        <v>0</v>
      </c>
      <c r="S50" s="24">
        <v>46054</v>
      </c>
      <c r="T50" s="23">
        <v>0</v>
      </c>
      <c r="U50" s="25">
        <v>4</v>
      </c>
      <c r="V50" s="23">
        <v>0</v>
      </c>
      <c r="W50" s="18" t="s">
        <v>47</v>
      </c>
      <c r="X50" s="18" t="s">
        <v>48</v>
      </c>
      <c r="Y50" s="18" t="s">
        <v>36</v>
      </c>
      <c r="Z50" s="18" t="s">
        <v>9</v>
      </c>
      <c r="AA50" s="18" t="s">
        <v>49</v>
      </c>
      <c r="AB50" s="18" t="s">
        <v>162</v>
      </c>
      <c r="AC50" s="18" t="s">
        <v>38</v>
      </c>
      <c r="AD50" s="7" t="str">
        <f t="shared" si="0"/>
        <v/>
      </c>
      <c r="AE50" s="26"/>
      <c r="AF50" s="26"/>
      <c r="AG50" s="26"/>
      <c r="AH50" s="26"/>
      <c r="AI50" s="26"/>
      <c r="AJ50" s="26"/>
      <c r="AK50" s="26"/>
      <c r="AL50" s="26"/>
      <c r="AM50" s="26"/>
      <c r="AN50" s="26"/>
      <c r="AO50" s="26"/>
      <c r="AP50" s="26"/>
      <c r="AQ50" s="26"/>
      <c r="AR50" s="26"/>
      <c r="AS50" s="26"/>
      <c r="AT50" s="26"/>
      <c r="AU50" s="26"/>
      <c r="AV50" s="26"/>
      <c r="AW50" s="26"/>
    </row>
    <row r="51" spans="1:49" s="34" customFormat="1" ht="35.1" customHeight="1" x14ac:dyDescent="0.25">
      <c r="A51" s="9" t="s">
        <v>113</v>
      </c>
      <c r="B51" s="10">
        <v>46049</v>
      </c>
      <c r="C51" s="10">
        <v>46049</v>
      </c>
      <c r="D51" s="11" t="s">
        <v>166</v>
      </c>
      <c r="E51" s="12">
        <v>0.58333333333333337</v>
      </c>
      <c r="F51" s="12">
        <v>0.625</v>
      </c>
      <c r="G51" s="12">
        <v>4.1666666666666664E-2</v>
      </c>
      <c r="H51" s="9" t="s">
        <v>114</v>
      </c>
      <c r="I51" s="13"/>
      <c r="J51" s="9" t="s">
        <v>115</v>
      </c>
      <c r="K51" s="9"/>
      <c r="L51" s="14">
        <v>1</v>
      </c>
      <c r="M51" s="14">
        <v>1</v>
      </c>
      <c r="N51" s="9" t="s">
        <v>33</v>
      </c>
      <c r="O51" s="9"/>
      <c r="P51" s="16">
        <v>0</v>
      </c>
      <c r="Q51" s="14"/>
      <c r="R51" s="16">
        <v>0</v>
      </c>
      <c r="S51" s="9">
        <v>46054</v>
      </c>
      <c r="T51" s="16">
        <v>0</v>
      </c>
      <c r="U51" s="14">
        <v>2</v>
      </c>
      <c r="V51" s="16">
        <v>0</v>
      </c>
      <c r="W51" s="9" t="s">
        <v>34</v>
      </c>
      <c r="X51" s="9" t="s">
        <v>42</v>
      </c>
      <c r="Y51" s="9" t="s">
        <v>36</v>
      </c>
      <c r="Z51" s="9" t="s">
        <v>43</v>
      </c>
      <c r="AA51" s="9" t="s">
        <v>37</v>
      </c>
      <c r="AB51" s="9" t="s">
        <v>37</v>
      </c>
      <c r="AC51" s="9" t="s">
        <v>38</v>
      </c>
      <c r="AD51" s="7" t="str">
        <f t="shared" si="0"/>
        <v/>
      </c>
      <c r="AE51" s="26"/>
      <c r="AF51" s="26"/>
      <c r="AG51" s="26"/>
      <c r="AH51" s="26"/>
      <c r="AI51" s="26"/>
      <c r="AJ51" s="26"/>
      <c r="AK51" s="26"/>
      <c r="AL51" s="26"/>
      <c r="AM51" s="26"/>
      <c r="AN51" s="26"/>
      <c r="AO51" s="26"/>
      <c r="AP51" s="26"/>
      <c r="AQ51" s="26"/>
      <c r="AR51" s="26"/>
      <c r="AS51" s="26"/>
      <c r="AT51" s="26"/>
      <c r="AU51" s="26"/>
      <c r="AV51" s="26"/>
      <c r="AW51" s="26"/>
    </row>
    <row r="52" spans="1:49" s="17" customFormat="1" ht="35.1" customHeight="1" x14ac:dyDescent="0.25">
      <c r="A52" s="18" t="s">
        <v>106</v>
      </c>
      <c r="B52" s="19">
        <v>46049</v>
      </c>
      <c r="C52" s="19">
        <v>46049</v>
      </c>
      <c r="D52" s="18" t="s">
        <v>166</v>
      </c>
      <c r="E52" s="20">
        <v>0.54166666666666663</v>
      </c>
      <c r="F52" s="20">
        <v>0.66666666666666663</v>
      </c>
      <c r="G52" s="20">
        <v>3.4722222222222218E-4</v>
      </c>
      <c r="H52" s="18" t="s">
        <v>107</v>
      </c>
      <c r="I52" s="21">
        <v>0.59079861111111109</v>
      </c>
      <c r="J52" s="18" t="s">
        <v>105</v>
      </c>
      <c r="K52" s="18" t="s">
        <v>154</v>
      </c>
      <c r="L52" s="22">
        <v>1</v>
      </c>
      <c r="M52" s="22">
        <v>58165</v>
      </c>
      <c r="N52" s="18" t="s">
        <v>53</v>
      </c>
      <c r="O52" s="22" t="s">
        <v>108</v>
      </c>
      <c r="P52" s="23">
        <v>42.352941176470587</v>
      </c>
      <c r="Q52" s="22"/>
      <c r="R52" s="23">
        <v>42.352941176470587</v>
      </c>
      <c r="S52" s="24">
        <v>46054</v>
      </c>
      <c r="T52" s="23">
        <v>6.3529411764705879</v>
      </c>
      <c r="U52" s="25">
        <v>4</v>
      </c>
      <c r="V52" s="23">
        <v>36</v>
      </c>
      <c r="W52" s="18" t="s">
        <v>34</v>
      </c>
      <c r="X52" s="18" t="s">
        <v>48</v>
      </c>
      <c r="Y52" s="18" t="s">
        <v>36</v>
      </c>
      <c r="Z52" s="18" t="s">
        <v>9</v>
      </c>
      <c r="AA52" s="18" t="s">
        <v>49</v>
      </c>
      <c r="AB52" s="18" t="s">
        <v>109</v>
      </c>
      <c r="AC52" s="18" t="s">
        <v>38</v>
      </c>
      <c r="AD52" s="7" t="str">
        <f t="shared" si="0"/>
        <v/>
      </c>
      <c r="AE52" s="26"/>
      <c r="AF52" s="26"/>
      <c r="AG52" s="26"/>
      <c r="AH52" s="26"/>
      <c r="AI52" s="27"/>
      <c r="AJ52" s="27"/>
      <c r="AK52" s="27"/>
      <c r="AL52" s="27"/>
      <c r="AM52" s="27"/>
      <c r="AN52" s="27"/>
      <c r="AO52" s="27"/>
      <c r="AP52" s="27"/>
      <c r="AQ52" s="27"/>
      <c r="AR52" s="27"/>
      <c r="AS52" s="27"/>
      <c r="AT52" s="27"/>
      <c r="AU52" s="27"/>
      <c r="AV52" s="27"/>
      <c r="AW52" s="27"/>
    </row>
    <row r="53" spans="1:49" s="17" customFormat="1" ht="35.1" customHeight="1" x14ac:dyDescent="0.25">
      <c r="A53" s="18" t="s">
        <v>61</v>
      </c>
      <c r="B53" s="19">
        <v>46049</v>
      </c>
      <c r="C53" s="19">
        <v>46049</v>
      </c>
      <c r="D53" s="18" t="s">
        <v>166</v>
      </c>
      <c r="E53" s="20">
        <v>0.58333333333333337</v>
      </c>
      <c r="F53" s="20">
        <v>0.66666666666666663</v>
      </c>
      <c r="G53" s="20">
        <v>3.4722222222222218E-4</v>
      </c>
      <c r="H53" s="18" t="s">
        <v>180</v>
      </c>
      <c r="I53" s="21">
        <v>0.59114583333333337</v>
      </c>
      <c r="J53" s="18" t="s">
        <v>105</v>
      </c>
      <c r="K53" s="18" t="s">
        <v>154</v>
      </c>
      <c r="L53" s="22">
        <v>1</v>
      </c>
      <c r="M53" s="22">
        <v>64419</v>
      </c>
      <c r="N53" s="18" t="s">
        <v>46</v>
      </c>
      <c r="O53" s="22" t="s">
        <v>63</v>
      </c>
      <c r="P53" s="23">
        <v>0</v>
      </c>
      <c r="Q53" s="22"/>
      <c r="R53" s="23">
        <v>0</v>
      </c>
      <c r="S53" s="24">
        <v>46054</v>
      </c>
      <c r="T53" s="23">
        <v>0</v>
      </c>
      <c r="U53" s="25">
        <v>4</v>
      </c>
      <c r="V53" s="23">
        <v>0</v>
      </c>
      <c r="W53" s="18" t="s">
        <v>47</v>
      </c>
      <c r="X53" s="18" t="s">
        <v>48</v>
      </c>
      <c r="Y53" s="18" t="s">
        <v>36</v>
      </c>
      <c r="Z53" s="18" t="s">
        <v>9</v>
      </c>
      <c r="AA53" s="18" t="s">
        <v>49</v>
      </c>
      <c r="AB53" s="18" t="s">
        <v>64</v>
      </c>
      <c r="AC53" s="18" t="s">
        <v>38</v>
      </c>
      <c r="AD53" s="7" t="str">
        <f t="shared" si="0"/>
        <v/>
      </c>
      <c r="AE53" s="26"/>
      <c r="AF53" s="26"/>
      <c r="AG53" s="26"/>
      <c r="AH53" s="26"/>
      <c r="AI53" s="27"/>
      <c r="AJ53" s="27"/>
      <c r="AK53" s="27"/>
      <c r="AL53" s="27"/>
      <c r="AM53" s="27"/>
      <c r="AN53" s="27"/>
      <c r="AO53" s="27"/>
      <c r="AP53" s="27"/>
      <c r="AQ53" s="27"/>
      <c r="AR53" s="27"/>
      <c r="AS53" s="27"/>
      <c r="AT53" s="27"/>
      <c r="AU53" s="27"/>
      <c r="AV53" s="27"/>
      <c r="AW53" s="27"/>
    </row>
    <row r="54" spans="1:49" s="17" customFormat="1" ht="35.1" customHeight="1" x14ac:dyDescent="0.25">
      <c r="A54" s="18" t="s">
        <v>159</v>
      </c>
      <c r="B54" s="19">
        <v>46049</v>
      </c>
      <c r="C54" s="19">
        <v>46049</v>
      </c>
      <c r="D54" s="18" t="s">
        <v>166</v>
      </c>
      <c r="E54" s="20">
        <v>0.58333333333333337</v>
      </c>
      <c r="F54" s="20">
        <v>0.66666666666666663</v>
      </c>
      <c r="G54" s="28">
        <v>1.7361111111111109E-4</v>
      </c>
      <c r="H54" s="29" t="s">
        <v>160</v>
      </c>
      <c r="I54" s="21">
        <v>0.59079861111111109</v>
      </c>
      <c r="J54" s="18" t="s">
        <v>105</v>
      </c>
      <c r="K54" s="18" t="s">
        <v>154</v>
      </c>
      <c r="L54" s="22">
        <v>1</v>
      </c>
      <c r="M54" s="22">
        <v>71009</v>
      </c>
      <c r="N54" s="18" t="s">
        <v>53</v>
      </c>
      <c r="O54" s="22" t="s">
        <v>161</v>
      </c>
      <c r="P54" s="23">
        <v>15</v>
      </c>
      <c r="Q54" s="22"/>
      <c r="R54" s="23">
        <v>15</v>
      </c>
      <c r="S54" s="24">
        <v>46054</v>
      </c>
      <c r="T54" s="23">
        <v>2.25</v>
      </c>
      <c r="U54" s="25">
        <v>4</v>
      </c>
      <c r="V54" s="23">
        <v>12.75</v>
      </c>
      <c r="W54" s="18" t="s">
        <v>47</v>
      </c>
      <c r="X54" s="18" t="s">
        <v>48</v>
      </c>
      <c r="Y54" s="18" t="s">
        <v>36</v>
      </c>
      <c r="Z54" s="18" t="s">
        <v>9</v>
      </c>
      <c r="AA54" s="18" t="s">
        <v>49</v>
      </c>
      <c r="AB54" s="18" t="s">
        <v>162</v>
      </c>
      <c r="AC54" s="18" t="s">
        <v>38</v>
      </c>
      <c r="AD54" s="7" t="str">
        <f t="shared" si="0"/>
        <v/>
      </c>
      <c r="AE54" s="26"/>
      <c r="AF54" s="26"/>
      <c r="AG54" s="26"/>
      <c r="AH54" s="26"/>
      <c r="AI54" s="27"/>
      <c r="AJ54" s="27"/>
      <c r="AK54" s="27"/>
      <c r="AL54" s="27"/>
      <c r="AM54" s="27"/>
      <c r="AN54" s="27"/>
      <c r="AO54" s="27"/>
      <c r="AP54" s="27"/>
      <c r="AQ54" s="27"/>
      <c r="AR54" s="27"/>
      <c r="AS54" s="27"/>
      <c r="AT54" s="27"/>
      <c r="AU54" s="27"/>
      <c r="AV54" s="27"/>
      <c r="AW54" s="27"/>
    </row>
    <row r="55" spans="1:49" s="17" customFormat="1" ht="35.1" customHeight="1" x14ac:dyDescent="0.25">
      <c r="A55" s="18" t="s">
        <v>159</v>
      </c>
      <c r="B55" s="19">
        <v>46049</v>
      </c>
      <c r="C55" s="19">
        <v>46049</v>
      </c>
      <c r="D55" s="18" t="s">
        <v>166</v>
      </c>
      <c r="E55" s="20">
        <v>0.58333333333333337</v>
      </c>
      <c r="F55" s="20">
        <v>0.66666666666666663</v>
      </c>
      <c r="G55" s="28">
        <v>1.7361111111111109E-4</v>
      </c>
      <c r="H55" s="29" t="s">
        <v>163</v>
      </c>
      <c r="I55" s="21">
        <v>0.59236111111111112</v>
      </c>
      <c r="J55" s="18" t="s">
        <v>105</v>
      </c>
      <c r="K55" s="18" t="s">
        <v>154</v>
      </c>
      <c r="L55" s="22">
        <v>1</v>
      </c>
      <c r="M55" s="22">
        <v>71009</v>
      </c>
      <c r="N55" s="18" t="s">
        <v>53</v>
      </c>
      <c r="O55" s="22" t="s">
        <v>161</v>
      </c>
      <c r="P55" s="23">
        <v>15</v>
      </c>
      <c r="Q55" s="22"/>
      <c r="R55" s="23">
        <v>15</v>
      </c>
      <c r="S55" s="24">
        <v>46054</v>
      </c>
      <c r="T55" s="23">
        <v>2.25</v>
      </c>
      <c r="U55" s="25">
        <v>4</v>
      </c>
      <c r="V55" s="23">
        <v>12.75</v>
      </c>
      <c r="W55" s="18" t="s">
        <v>47</v>
      </c>
      <c r="X55" s="18" t="s">
        <v>48</v>
      </c>
      <c r="Y55" s="18" t="s">
        <v>36</v>
      </c>
      <c r="Z55" s="18" t="s">
        <v>9</v>
      </c>
      <c r="AA55" s="18" t="s">
        <v>49</v>
      </c>
      <c r="AB55" s="18" t="s">
        <v>162</v>
      </c>
      <c r="AC55" s="18" t="s">
        <v>38</v>
      </c>
      <c r="AD55" s="7" t="str">
        <f t="shared" si="0"/>
        <v/>
      </c>
      <c r="AI55" s="30"/>
      <c r="AJ55" s="30"/>
      <c r="AK55" s="30"/>
      <c r="AL55" s="30"/>
      <c r="AM55" s="30"/>
      <c r="AN55" s="30"/>
      <c r="AO55" s="30"/>
      <c r="AP55" s="30"/>
      <c r="AQ55" s="30"/>
      <c r="AR55" s="30"/>
      <c r="AS55" s="30"/>
      <c r="AT55" s="30"/>
      <c r="AU55" s="30"/>
      <c r="AV55" s="30"/>
      <c r="AW55" s="30"/>
    </row>
    <row r="56" spans="1:49" s="17" customFormat="1" ht="35.1" customHeight="1" x14ac:dyDescent="0.25">
      <c r="A56" s="18" t="s">
        <v>159</v>
      </c>
      <c r="B56" s="19">
        <v>46049</v>
      </c>
      <c r="C56" s="19">
        <v>46049</v>
      </c>
      <c r="D56" s="18" t="s">
        <v>166</v>
      </c>
      <c r="E56" s="20">
        <v>0.58333333333333337</v>
      </c>
      <c r="F56" s="20">
        <v>0.66666666666666663</v>
      </c>
      <c r="G56" s="28">
        <v>1.7361111111111109E-4</v>
      </c>
      <c r="H56" s="29" t="s">
        <v>160</v>
      </c>
      <c r="I56" s="21">
        <v>0.60946759259259264</v>
      </c>
      <c r="J56" s="18" t="s">
        <v>105</v>
      </c>
      <c r="K56" s="18" t="s">
        <v>154</v>
      </c>
      <c r="L56" s="22">
        <v>1</v>
      </c>
      <c r="M56" s="22">
        <v>71096</v>
      </c>
      <c r="N56" s="18" t="s">
        <v>53</v>
      </c>
      <c r="O56" s="22" t="s">
        <v>161</v>
      </c>
      <c r="P56" s="23">
        <v>15</v>
      </c>
      <c r="Q56" s="22"/>
      <c r="R56" s="23">
        <v>15</v>
      </c>
      <c r="S56" s="24">
        <v>46054</v>
      </c>
      <c r="T56" s="23">
        <v>2.25</v>
      </c>
      <c r="U56" s="25">
        <v>4</v>
      </c>
      <c r="V56" s="23">
        <v>12.75</v>
      </c>
      <c r="W56" s="18" t="s">
        <v>47</v>
      </c>
      <c r="X56" s="18" t="s">
        <v>48</v>
      </c>
      <c r="Y56" s="18" t="s">
        <v>36</v>
      </c>
      <c r="Z56" s="18" t="s">
        <v>9</v>
      </c>
      <c r="AA56" s="18" t="s">
        <v>49</v>
      </c>
      <c r="AB56" s="18" t="s">
        <v>162</v>
      </c>
      <c r="AC56" s="18" t="s">
        <v>38</v>
      </c>
      <c r="AD56" s="7" t="str">
        <f t="shared" si="0"/>
        <v/>
      </c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</row>
    <row r="57" spans="1:49" s="17" customFormat="1" ht="35.1" customHeight="1" x14ac:dyDescent="0.25">
      <c r="A57" s="18" t="s">
        <v>159</v>
      </c>
      <c r="B57" s="19">
        <v>46049</v>
      </c>
      <c r="C57" s="19">
        <v>46049</v>
      </c>
      <c r="D57" s="18" t="s">
        <v>166</v>
      </c>
      <c r="E57" s="20">
        <v>0.58333333333333337</v>
      </c>
      <c r="F57" s="20">
        <v>0.66666666666666663</v>
      </c>
      <c r="G57" s="28">
        <v>1.7361111111111109E-4</v>
      </c>
      <c r="H57" s="29" t="s">
        <v>163</v>
      </c>
      <c r="I57" s="21">
        <v>0.61085648148148153</v>
      </c>
      <c r="J57" s="18" t="s">
        <v>105</v>
      </c>
      <c r="K57" s="18" t="s">
        <v>154</v>
      </c>
      <c r="L57" s="22">
        <v>1</v>
      </c>
      <c r="M57" s="22">
        <v>71096</v>
      </c>
      <c r="N57" s="18" t="s">
        <v>53</v>
      </c>
      <c r="O57" s="22" t="s">
        <v>161</v>
      </c>
      <c r="P57" s="23">
        <v>15</v>
      </c>
      <c r="Q57" s="22"/>
      <c r="R57" s="23">
        <v>15</v>
      </c>
      <c r="S57" s="24">
        <v>46054</v>
      </c>
      <c r="T57" s="23">
        <v>2.25</v>
      </c>
      <c r="U57" s="25">
        <v>4</v>
      </c>
      <c r="V57" s="23">
        <v>12.75</v>
      </c>
      <c r="W57" s="18" t="s">
        <v>47</v>
      </c>
      <c r="X57" s="18" t="s">
        <v>48</v>
      </c>
      <c r="Y57" s="18" t="s">
        <v>36</v>
      </c>
      <c r="Z57" s="18" t="s">
        <v>9</v>
      </c>
      <c r="AA57" s="18" t="s">
        <v>49</v>
      </c>
      <c r="AB57" s="18" t="s">
        <v>162</v>
      </c>
      <c r="AC57" s="18" t="s">
        <v>38</v>
      </c>
      <c r="AD57" s="7" t="str">
        <f t="shared" si="0"/>
        <v/>
      </c>
      <c r="AE57" s="26"/>
      <c r="AF57" s="26"/>
      <c r="AG57" s="26"/>
      <c r="AH57" s="26"/>
      <c r="AI57" s="27"/>
      <c r="AJ57" s="27"/>
      <c r="AK57" s="27"/>
      <c r="AL57" s="27"/>
      <c r="AM57" s="27"/>
      <c r="AN57" s="27"/>
      <c r="AO57" s="27"/>
      <c r="AP57" s="27"/>
      <c r="AQ57" s="27"/>
      <c r="AR57" s="27"/>
      <c r="AS57" s="27"/>
      <c r="AT57" s="27"/>
      <c r="AU57" s="27"/>
      <c r="AV57" s="27"/>
      <c r="AW57" s="27"/>
    </row>
    <row r="58" spans="1:49" s="17" customFormat="1" ht="35.1" customHeight="1" x14ac:dyDescent="0.25">
      <c r="A58" s="18" t="s">
        <v>159</v>
      </c>
      <c r="B58" s="19">
        <v>46049</v>
      </c>
      <c r="C58" s="19">
        <v>46049</v>
      </c>
      <c r="D58" s="18" t="s">
        <v>166</v>
      </c>
      <c r="E58" s="20">
        <v>0.58333333333333337</v>
      </c>
      <c r="F58" s="20">
        <v>0.66666666666666663</v>
      </c>
      <c r="G58" s="28">
        <v>1.7361111111111109E-4</v>
      </c>
      <c r="H58" s="29" t="s">
        <v>160</v>
      </c>
      <c r="I58" s="21">
        <v>0.62349537037037039</v>
      </c>
      <c r="J58" s="18" t="s">
        <v>105</v>
      </c>
      <c r="K58" s="18" t="s">
        <v>154</v>
      </c>
      <c r="L58" s="22">
        <v>1</v>
      </c>
      <c r="M58" s="22">
        <v>71096</v>
      </c>
      <c r="N58" s="18" t="s">
        <v>53</v>
      </c>
      <c r="O58" s="22" t="s">
        <v>161</v>
      </c>
      <c r="P58" s="23">
        <v>15</v>
      </c>
      <c r="Q58" s="22"/>
      <c r="R58" s="23">
        <v>15</v>
      </c>
      <c r="S58" s="24">
        <v>46054</v>
      </c>
      <c r="T58" s="23">
        <v>2.25</v>
      </c>
      <c r="U58" s="25">
        <v>4</v>
      </c>
      <c r="V58" s="23">
        <v>12.75</v>
      </c>
      <c r="W58" s="18" t="s">
        <v>47</v>
      </c>
      <c r="X58" s="18" t="s">
        <v>48</v>
      </c>
      <c r="Y58" s="18" t="s">
        <v>36</v>
      </c>
      <c r="Z58" s="18" t="s">
        <v>9</v>
      </c>
      <c r="AA58" s="18" t="s">
        <v>49</v>
      </c>
      <c r="AB58" s="18" t="s">
        <v>162</v>
      </c>
      <c r="AC58" s="18" t="s">
        <v>38</v>
      </c>
      <c r="AD58" s="7" t="str">
        <f t="shared" si="0"/>
        <v/>
      </c>
      <c r="AE58" s="26"/>
      <c r="AF58" s="26"/>
      <c r="AG58" s="26"/>
      <c r="AH58" s="26"/>
      <c r="AI58" s="26"/>
      <c r="AJ58" s="26"/>
      <c r="AK58" s="26"/>
      <c r="AL58" s="26"/>
      <c r="AM58" s="26"/>
      <c r="AN58" s="26"/>
      <c r="AO58" s="26"/>
      <c r="AP58" s="26"/>
      <c r="AQ58" s="26"/>
      <c r="AR58" s="26"/>
      <c r="AS58" s="26"/>
      <c r="AT58" s="26"/>
      <c r="AU58" s="26"/>
      <c r="AV58" s="26"/>
      <c r="AW58" s="26"/>
    </row>
    <row r="59" spans="1:49" s="17" customFormat="1" ht="35.1" customHeight="1" x14ac:dyDescent="0.25">
      <c r="A59" s="18" t="s">
        <v>159</v>
      </c>
      <c r="B59" s="19">
        <v>46049</v>
      </c>
      <c r="C59" s="19">
        <v>46049</v>
      </c>
      <c r="D59" s="18" t="s">
        <v>166</v>
      </c>
      <c r="E59" s="20">
        <v>0.58333333333333337</v>
      </c>
      <c r="F59" s="20">
        <v>0.66666666666666663</v>
      </c>
      <c r="G59" s="28">
        <v>1.7361111111111109E-4</v>
      </c>
      <c r="H59" s="29" t="s">
        <v>163</v>
      </c>
      <c r="I59" s="21">
        <v>0.62471064814814814</v>
      </c>
      <c r="J59" s="18" t="s">
        <v>105</v>
      </c>
      <c r="K59" s="18" t="s">
        <v>154</v>
      </c>
      <c r="L59" s="22">
        <v>1</v>
      </c>
      <c r="M59" s="22">
        <v>71096</v>
      </c>
      <c r="N59" s="18" t="s">
        <v>53</v>
      </c>
      <c r="O59" s="22" t="s">
        <v>161</v>
      </c>
      <c r="P59" s="23">
        <v>15</v>
      </c>
      <c r="Q59" s="22"/>
      <c r="R59" s="23">
        <v>15</v>
      </c>
      <c r="S59" s="24">
        <v>46054</v>
      </c>
      <c r="T59" s="23">
        <v>2.25</v>
      </c>
      <c r="U59" s="25">
        <v>4</v>
      </c>
      <c r="V59" s="23">
        <v>12.75</v>
      </c>
      <c r="W59" s="18" t="s">
        <v>47</v>
      </c>
      <c r="X59" s="18" t="s">
        <v>48</v>
      </c>
      <c r="Y59" s="18" t="s">
        <v>36</v>
      </c>
      <c r="Z59" s="18" t="s">
        <v>9</v>
      </c>
      <c r="AA59" s="18" t="s">
        <v>49</v>
      </c>
      <c r="AB59" s="18" t="s">
        <v>162</v>
      </c>
      <c r="AC59" s="18" t="s">
        <v>38</v>
      </c>
      <c r="AD59" s="7" t="str">
        <f t="shared" si="0"/>
        <v/>
      </c>
      <c r="AE59" s="26"/>
      <c r="AF59" s="26"/>
      <c r="AG59" s="26"/>
      <c r="AH59" s="26"/>
      <c r="AI59" s="27"/>
      <c r="AJ59" s="27"/>
      <c r="AK59" s="27"/>
      <c r="AL59" s="27"/>
      <c r="AM59" s="27"/>
      <c r="AN59" s="27"/>
      <c r="AO59" s="27"/>
      <c r="AP59" s="27"/>
      <c r="AQ59" s="27"/>
      <c r="AR59" s="27"/>
      <c r="AS59" s="27"/>
      <c r="AT59" s="27"/>
      <c r="AU59" s="27"/>
      <c r="AV59" s="27"/>
      <c r="AW59" s="27"/>
    </row>
    <row r="60" spans="1:49" s="34" customFormat="1" ht="35.1" customHeight="1" x14ac:dyDescent="0.25">
      <c r="A60" s="9" t="s">
        <v>113</v>
      </c>
      <c r="B60" s="10">
        <v>46049</v>
      </c>
      <c r="C60" s="10">
        <v>46049</v>
      </c>
      <c r="D60" s="11" t="s">
        <v>166</v>
      </c>
      <c r="E60" s="12">
        <v>0.625</v>
      </c>
      <c r="F60" s="12">
        <v>0.64583333333333337</v>
      </c>
      <c r="G60" s="12">
        <v>2.0833333333333332E-2</v>
      </c>
      <c r="H60" s="9" t="s">
        <v>116</v>
      </c>
      <c r="I60" s="13"/>
      <c r="J60" s="9" t="s">
        <v>115</v>
      </c>
      <c r="K60" s="9"/>
      <c r="L60" s="14">
        <v>1</v>
      </c>
      <c r="M60" s="14">
        <v>1</v>
      </c>
      <c r="N60" s="9" t="s">
        <v>33</v>
      </c>
      <c r="O60" s="9"/>
      <c r="P60" s="16">
        <v>0</v>
      </c>
      <c r="Q60" s="14"/>
      <c r="R60" s="16">
        <v>0</v>
      </c>
      <c r="S60" s="9">
        <v>46054</v>
      </c>
      <c r="T60" s="16">
        <v>0</v>
      </c>
      <c r="U60" s="14">
        <v>2</v>
      </c>
      <c r="V60" s="16">
        <v>0</v>
      </c>
      <c r="W60" s="9" t="s">
        <v>34</v>
      </c>
      <c r="X60" s="9" t="s">
        <v>42</v>
      </c>
      <c r="Y60" s="9" t="s">
        <v>36</v>
      </c>
      <c r="Z60" s="9" t="s">
        <v>43</v>
      </c>
      <c r="AA60" s="9" t="s">
        <v>37</v>
      </c>
      <c r="AB60" s="9" t="s">
        <v>37</v>
      </c>
      <c r="AC60" s="9" t="s">
        <v>38</v>
      </c>
      <c r="AD60" s="7" t="str">
        <f t="shared" si="0"/>
        <v/>
      </c>
      <c r="AE60" s="26"/>
      <c r="AF60" s="26"/>
      <c r="AG60" s="26"/>
      <c r="AH60" s="26"/>
      <c r="AI60" s="26"/>
      <c r="AJ60" s="26"/>
      <c r="AK60" s="26"/>
      <c r="AL60" s="26"/>
      <c r="AM60" s="26"/>
      <c r="AN60" s="26"/>
      <c r="AO60" s="26"/>
      <c r="AP60" s="26"/>
      <c r="AQ60" s="26"/>
      <c r="AR60" s="26"/>
      <c r="AS60" s="26"/>
      <c r="AT60" s="26"/>
      <c r="AU60" s="26"/>
      <c r="AV60" s="26"/>
      <c r="AW60" s="26"/>
    </row>
    <row r="61" spans="1:49" s="17" customFormat="1" ht="35.1" customHeight="1" x14ac:dyDescent="0.25">
      <c r="A61" s="18" t="s">
        <v>106</v>
      </c>
      <c r="B61" s="19">
        <v>46049</v>
      </c>
      <c r="C61" s="19">
        <v>46049</v>
      </c>
      <c r="D61" s="18" t="s">
        <v>166</v>
      </c>
      <c r="E61" s="20">
        <v>0.54166666666666663</v>
      </c>
      <c r="F61" s="20">
        <v>0.66666666666666663</v>
      </c>
      <c r="G61" s="20">
        <v>3.4722222222222218E-4</v>
      </c>
      <c r="H61" s="18" t="s">
        <v>107</v>
      </c>
      <c r="I61" s="21">
        <v>0.62991898148148151</v>
      </c>
      <c r="J61" s="18" t="s">
        <v>105</v>
      </c>
      <c r="K61" s="18" t="s">
        <v>154</v>
      </c>
      <c r="L61" s="22">
        <v>1</v>
      </c>
      <c r="M61" s="22">
        <v>58167</v>
      </c>
      <c r="N61" s="18" t="s">
        <v>46</v>
      </c>
      <c r="O61" s="22" t="s">
        <v>108</v>
      </c>
      <c r="P61" s="23">
        <v>0</v>
      </c>
      <c r="Q61" s="22"/>
      <c r="R61" s="23">
        <v>0</v>
      </c>
      <c r="S61" s="24">
        <v>46054</v>
      </c>
      <c r="T61" s="23">
        <v>0</v>
      </c>
      <c r="U61" s="25">
        <v>4</v>
      </c>
      <c r="V61" s="23">
        <v>0</v>
      </c>
      <c r="W61" s="18" t="s">
        <v>34</v>
      </c>
      <c r="X61" s="18" t="s">
        <v>48</v>
      </c>
      <c r="Y61" s="18" t="s">
        <v>36</v>
      </c>
      <c r="Z61" s="18" t="s">
        <v>9</v>
      </c>
      <c r="AA61" s="18" t="s">
        <v>49</v>
      </c>
      <c r="AB61" s="18" t="s">
        <v>109</v>
      </c>
      <c r="AC61" s="18" t="s">
        <v>38</v>
      </c>
      <c r="AD61" s="7" t="str">
        <f t="shared" si="0"/>
        <v/>
      </c>
      <c r="AE61" s="26"/>
      <c r="AF61" s="26"/>
      <c r="AG61" s="26"/>
      <c r="AH61" s="26"/>
      <c r="AI61" s="26"/>
      <c r="AJ61" s="26"/>
      <c r="AK61" s="26"/>
      <c r="AL61" s="26"/>
      <c r="AM61" s="26"/>
      <c r="AN61" s="26"/>
      <c r="AO61" s="26"/>
      <c r="AP61" s="26"/>
      <c r="AQ61" s="26"/>
      <c r="AR61" s="26"/>
      <c r="AS61" s="26"/>
      <c r="AT61" s="26"/>
      <c r="AU61" s="26"/>
      <c r="AV61" s="26"/>
      <c r="AW61" s="26"/>
    </row>
    <row r="62" spans="1:49" s="17" customFormat="1" ht="35.1" customHeight="1" x14ac:dyDescent="0.25">
      <c r="A62" s="18" t="s">
        <v>159</v>
      </c>
      <c r="B62" s="19">
        <v>46049</v>
      </c>
      <c r="C62" s="19">
        <v>46049</v>
      </c>
      <c r="D62" s="18" t="s">
        <v>166</v>
      </c>
      <c r="E62" s="20">
        <v>0.58333333333333337</v>
      </c>
      <c r="F62" s="20">
        <v>0.66666666666666663</v>
      </c>
      <c r="G62" s="28">
        <v>1.7361111111111109E-4</v>
      </c>
      <c r="H62" s="29" t="s">
        <v>164</v>
      </c>
      <c r="I62" s="21">
        <v>0.63724537037037032</v>
      </c>
      <c r="J62" s="18" t="s">
        <v>105</v>
      </c>
      <c r="K62" s="18" t="s">
        <v>154</v>
      </c>
      <c r="L62" s="22">
        <v>1</v>
      </c>
      <c r="M62" s="22">
        <v>71096</v>
      </c>
      <c r="N62" s="18" t="s">
        <v>53</v>
      </c>
      <c r="O62" s="22" t="s">
        <v>161</v>
      </c>
      <c r="P62" s="23">
        <v>15</v>
      </c>
      <c r="Q62" s="22"/>
      <c r="R62" s="23">
        <v>15</v>
      </c>
      <c r="S62" s="24">
        <v>46054</v>
      </c>
      <c r="T62" s="23">
        <v>2.25</v>
      </c>
      <c r="U62" s="25">
        <v>4</v>
      </c>
      <c r="V62" s="23">
        <v>12.75</v>
      </c>
      <c r="W62" s="18" t="s">
        <v>47</v>
      </c>
      <c r="X62" s="18" t="s">
        <v>48</v>
      </c>
      <c r="Y62" s="18" t="s">
        <v>36</v>
      </c>
      <c r="Z62" s="18" t="s">
        <v>9</v>
      </c>
      <c r="AA62" s="18" t="s">
        <v>49</v>
      </c>
      <c r="AB62" s="18" t="s">
        <v>162</v>
      </c>
      <c r="AC62" s="18" t="s">
        <v>38</v>
      </c>
      <c r="AD62" s="7" t="str">
        <f t="shared" si="0"/>
        <v/>
      </c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</row>
    <row r="63" spans="1:49" s="17" customFormat="1" ht="35.1" customHeight="1" x14ac:dyDescent="0.25">
      <c r="A63" s="18" t="s">
        <v>159</v>
      </c>
      <c r="B63" s="19">
        <v>46049</v>
      </c>
      <c r="C63" s="19">
        <v>46049</v>
      </c>
      <c r="D63" s="18" t="s">
        <v>166</v>
      </c>
      <c r="E63" s="20">
        <v>0.58333333333333337</v>
      </c>
      <c r="F63" s="20">
        <v>0.66666666666666663</v>
      </c>
      <c r="G63" s="28">
        <v>1.7361111111111109E-4</v>
      </c>
      <c r="H63" s="29" t="s">
        <v>165</v>
      </c>
      <c r="I63" s="21">
        <v>0.63880787037037035</v>
      </c>
      <c r="J63" s="18" t="s">
        <v>105</v>
      </c>
      <c r="K63" s="18" t="s">
        <v>154</v>
      </c>
      <c r="L63" s="22">
        <v>1</v>
      </c>
      <c r="M63" s="22">
        <v>71096</v>
      </c>
      <c r="N63" s="18" t="s">
        <v>53</v>
      </c>
      <c r="O63" s="22" t="s">
        <v>161</v>
      </c>
      <c r="P63" s="23">
        <v>15</v>
      </c>
      <c r="Q63" s="22"/>
      <c r="R63" s="23">
        <v>15</v>
      </c>
      <c r="S63" s="24">
        <v>46054</v>
      </c>
      <c r="T63" s="23">
        <v>2.25</v>
      </c>
      <c r="U63" s="25">
        <v>4</v>
      </c>
      <c r="V63" s="23">
        <v>12.75</v>
      </c>
      <c r="W63" s="18" t="s">
        <v>47</v>
      </c>
      <c r="X63" s="18" t="s">
        <v>48</v>
      </c>
      <c r="Y63" s="18" t="s">
        <v>36</v>
      </c>
      <c r="Z63" s="18" t="s">
        <v>9</v>
      </c>
      <c r="AA63" s="18" t="s">
        <v>49</v>
      </c>
      <c r="AB63" s="18" t="s">
        <v>162</v>
      </c>
      <c r="AC63" s="18" t="s">
        <v>38</v>
      </c>
      <c r="AD63" s="7" t="str">
        <f t="shared" si="0"/>
        <v/>
      </c>
      <c r="AE63" s="26"/>
      <c r="AF63" s="26"/>
      <c r="AG63" s="26"/>
      <c r="AH63" s="26"/>
      <c r="AI63" s="26"/>
      <c r="AJ63" s="26"/>
      <c r="AK63" s="26"/>
      <c r="AL63" s="26"/>
      <c r="AM63" s="26"/>
      <c r="AN63" s="26"/>
      <c r="AO63" s="26"/>
      <c r="AP63" s="26"/>
      <c r="AQ63" s="26"/>
      <c r="AR63" s="26"/>
      <c r="AS63" s="26"/>
      <c r="AT63" s="26"/>
      <c r="AU63" s="26"/>
      <c r="AV63" s="26"/>
      <c r="AW63" s="26"/>
    </row>
    <row r="64" spans="1:49" s="34" customFormat="1" ht="35.1" customHeight="1" x14ac:dyDescent="0.25">
      <c r="A64" s="9" t="s">
        <v>113</v>
      </c>
      <c r="B64" s="10">
        <v>46049</v>
      </c>
      <c r="C64" s="10">
        <v>46049</v>
      </c>
      <c r="D64" s="11" t="s">
        <v>166</v>
      </c>
      <c r="E64" s="12">
        <v>0.64583333333333337</v>
      </c>
      <c r="F64" s="12">
        <v>0.66666666666666663</v>
      </c>
      <c r="G64" s="12">
        <v>2.0833333333333332E-2</v>
      </c>
      <c r="H64" s="9" t="s">
        <v>117</v>
      </c>
      <c r="I64" s="13"/>
      <c r="J64" s="9" t="s">
        <v>115</v>
      </c>
      <c r="K64" s="9"/>
      <c r="L64" s="14">
        <v>1</v>
      </c>
      <c r="M64" s="14">
        <v>1</v>
      </c>
      <c r="N64" s="9" t="s">
        <v>33</v>
      </c>
      <c r="O64" s="9"/>
      <c r="P64" s="16">
        <v>0</v>
      </c>
      <c r="Q64" s="14"/>
      <c r="R64" s="16">
        <v>0</v>
      </c>
      <c r="S64" s="9">
        <v>46054</v>
      </c>
      <c r="T64" s="16">
        <v>0</v>
      </c>
      <c r="U64" s="14">
        <v>2</v>
      </c>
      <c r="V64" s="16">
        <v>0</v>
      </c>
      <c r="W64" s="9" t="s">
        <v>34</v>
      </c>
      <c r="X64" s="9" t="s">
        <v>42</v>
      </c>
      <c r="Y64" s="9" t="s">
        <v>36</v>
      </c>
      <c r="Z64" s="9" t="s">
        <v>43</v>
      </c>
      <c r="AA64" s="9" t="s">
        <v>37</v>
      </c>
      <c r="AB64" s="9" t="s">
        <v>37</v>
      </c>
      <c r="AC64" s="9" t="s">
        <v>38</v>
      </c>
      <c r="AD64" s="7" t="str">
        <f t="shared" si="0"/>
        <v/>
      </c>
      <c r="AE64" s="26"/>
      <c r="AF64" s="26"/>
      <c r="AG64" s="26"/>
      <c r="AH64" s="26"/>
      <c r="AI64" s="26"/>
      <c r="AJ64" s="26"/>
      <c r="AK64" s="26"/>
      <c r="AL64" s="26"/>
      <c r="AM64" s="26"/>
      <c r="AN64" s="26"/>
      <c r="AO64" s="26"/>
      <c r="AP64" s="26"/>
      <c r="AQ64" s="26"/>
      <c r="AR64" s="26"/>
      <c r="AS64" s="26"/>
      <c r="AT64" s="26"/>
      <c r="AU64" s="26"/>
      <c r="AV64" s="26"/>
      <c r="AW64" s="26"/>
    </row>
    <row r="65" spans="1:49" s="17" customFormat="1" ht="35.1" customHeight="1" x14ac:dyDescent="0.25">
      <c r="A65" s="18" t="s">
        <v>56</v>
      </c>
      <c r="B65" s="19">
        <v>46049</v>
      </c>
      <c r="C65" s="19">
        <v>46049</v>
      </c>
      <c r="D65" s="18" t="s">
        <v>166</v>
      </c>
      <c r="E65" s="20">
        <v>0.54166666666666663</v>
      </c>
      <c r="F65" s="20">
        <v>0.66666666666666663</v>
      </c>
      <c r="G65" s="28">
        <v>1.7361111111111112E-4</v>
      </c>
      <c r="H65" s="29" t="s">
        <v>110</v>
      </c>
      <c r="I65" s="21">
        <v>0.65026620370370369</v>
      </c>
      <c r="J65" s="18" t="s">
        <v>105</v>
      </c>
      <c r="K65" s="18" t="s">
        <v>154</v>
      </c>
      <c r="L65" s="22">
        <v>1</v>
      </c>
      <c r="M65" s="22">
        <v>69830</v>
      </c>
      <c r="N65" s="18" t="s">
        <v>53</v>
      </c>
      <c r="O65" s="22"/>
      <c r="P65" s="23">
        <v>22</v>
      </c>
      <c r="Q65" s="22"/>
      <c r="R65" s="23">
        <v>22</v>
      </c>
      <c r="S65" s="24">
        <v>46049</v>
      </c>
      <c r="T65" s="23">
        <v>0</v>
      </c>
      <c r="U65" s="25">
        <v>4</v>
      </c>
      <c r="V65" s="23">
        <v>22</v>
      </c>
      <c r="W65" s="18" t="s">
        <v>34</v>
      </c>
      <c r="X65" s="18" t="s">
        <v>48</v>
      </c>
      <c r="Y65" s="18" t="s">
        <v>58</v>
      </c>
      <c r="Z65" s="18" t="s">
        <v>43</v>
      </c>
      <c r="AA65" s="18" t="s">
        <v>49</v>
      </c>
      <c r="AB65" s="18" t="s">
        <v>59</v>
      </c>
      <c r="AC65" s="18" t="s">
        <v>38</v>
      </c>
      <c r="AD65" s="7" t="str">
        <f t="shared" si="0"/>
        <v/>
      </c>
      <c r="AE65" s="26"/>
      <c r="AF65" s="26"/>
      <c r="AG65" s="26"/>
      <c r="AH65" s="26"/>
      <c r="AI65" s="26"/>
      <c r="AJ65" s="26"/>
      <c r="AK65" s="26"/>
      <c r="AL65" s="26"/>
      <c r="AM65" s="26"/>
      <c r="AN65" s="26"/>
      <c r="AO65" s="26"/>
      <c r="AP65" s="26"/>
      <c r="AQ65" s="26"/>
      <c r="AR65" s="26"/>
      <c r="AS65" s="26"/>
      <c r="AT65" s="26"/>
      <c r="AU65" s="26"/>
      <c r="AV65" s="26"/>
      <c r="AW65" s="26"/>
    </row>
    <row r="66" spans="1:49" s="17" customFormat="1" ht="35.1" customHeight="1" x14ac:dyDescent="0.25">
      <c r="A66" s="18" t="s">
        <v>56</v>
      </c>
      <c r="B66" s="19">
        <v>46049</v>
      </c>
      <c r="C66" s="19">
        <v>46049</v>
      </c>
      <c r="D66" s="18" t="s">
        <v>166</v>
      </c>
      <c r="E66" s="20">
        <v>0.54166666666666663</v>
      </c>
      <c r="F66" s="20">
        <v>0.66666666666666663</v>
      </c>
      <c r="G66" s="28">
        <v>1.7361111111111112E-4</v>
      </c>
      <c r="H66" s="29" t="s">
        <v>111</v>
      </c>
      <c r="I66" s="21">
        <v>0.65165509259259258</v>
      </c>
      <c r="J66" s="18" t="s">
        <v>105</v>
      </c>
      <c r="K66" s="18" t="s">
        <v>154</v>
      </c>
      <c r="L66" s="22">
        <v>1</v>
      </c>
      <c r="M66" s="22">
        <v>69830</v>
      </c>
      <c r="N66" s="18" t="s">
        <v>53</v>
      </c>
      <c r="O66" s="22"/>
      <c r="P66" s="23">
        <v>0</v>
      </c>
      <c r="Q66" s="22"/>
      <c r="R66" s="23">
        <v>0</v>
      </c>
      <c r="S66" s="24">
        <v>46049</v>
      </c>
      <c r="T66" s="23">
        <v>0</v>
      </c>
      <c r="U66" s="25">
        <v>4</v>
      </c>
      <c r="V66" s="23">
        <v>0</v>
      </c>
      <c r="W66" s="18" t="s">
        <v>34</v>
      </c>
      <c r="X66" s="18" t="s">
        <v>48</v>
      </c>
      <c r="Y66" s="18" t="s">
        <v>58</v>
      </c>
      <c r="Z66" s="18" t="s">
        <v>43</v>
      </c>
      <c r="AA66" s="18" t="s">
        <v>49</v>
      </c>
      <c r="AB66" s="18" t="s">
        <v>59</v>
      </c>
      <c r="AC66" s="18" t="s">
        <v>38</v>
      </c>
      <c r="AD66" s="7" t="str">
        <f>IF(N66="PRG","",IF(I66&gt;=E66,IF(I66&lt;=F66,"","NO"),"NO"))</f>
        <v/>
      </c>
      <c r="AE66" s="26"/>
      <c r="AF66" s="26"/>
      <c r="AG66" s="26"/>
      <c r="AH66" s="26"/>
      <c r="AI66" s="26"/>
      <c r="AJ66" s="26"/>
      <c r="AK66" s="26"/>
      <c r="AL66" s="26"/>
      <c r="AM66" s="26"/>
      <c r="AN66" s="26"/>
      <c r="AO66" s="26"/>
      <c r="AP66" s="26"/>
      <c r="AQ66" s="26"/>
      <c r="AR66" s="26"/>
      <c r="AS66" s="26"/>
      <c r="AT66" s="26"/>
      <c r="AU66" s="26"/>
      <c r="AV66" s="26"/>
      <c r="AW66" s="26"/>
    </row>
    <row r="67" spans="1:49" s="17" customFormat="1" ht="35.1" customHeight="1" x14ac:dyDescent="0.25">
      <c r="A67" s="18" t="s">
        <v>106</v>
      </c>
      <c r="B67" s="19">
        <v>46049</v>
      </c>
      <c r="C67" s="19">
        <v>46049</v>
      </c>
      <c r="D67" s="18" t="s">
        <v>166</v>
      </c>
      <c r="E67" s="20">
        <v>0.54166666666666663</v>
      </c>
      <c r="F67" s="20">
        <v>0.66666666666666663</v>
      </c>
      <c r="G67" s="20">
        <v>3.4722222222222218E-4</v>
      </c>
      <c r="H67" s="18" t="s">
        <v>107</v>
      </c>
      <c r="I67" s="21">
        <v>0.65061342592592597</v>
      </c>
      <c r="J67" s="18" t="s">
        <v>105</v>
      </c>
      <c r="K67" s="18" t="s">
        <v>154</v>
      </c>
      <c r="L67" s="22">
        <v>1</v>
      </c>
      <c r="M67" s="22">
        <v>58165</v>
      </c>
      <c r="N67" s="18" t="s">
        <v>53</v>
      </c>
      <c r="O67" s="22" t="s">
        <v>108</v>
      </c>
      <c r="P67" s="23">
        <v>42.352941176470587</v>
      </c>
      <c r="Q67" s="22"/>
      <c r="R67" s="23">
        <v>42.352941176470587</v>
      </c>
      <c r="S67" s="24">
        <v>46054</v>
      </c>
      <c r="T67" s="23">
        <v>6.3529411764705879</v>
      </c>
      <c r="U67" s="25">
        <v>4</v>
      </c>
      <c r="V67" s="23">
        <v>36</v>
      </c>
      <c r="W67" s="18" t="s">
        <v>34</v>
      </c>
      <c r="X67" s="18" t="s">
        <v>48</v>
      </c>
      <c r="Y67" s="18" t="s">
        <v>36</v>
      </c>
      <c r="Z67" s="18" t="s">
        <v>9</v>
      </c>
      <c r="AA67" s="18" t="s">
        <v>49</v>
      </c>
      <c r="AB67" s="18" t="s">
        <v>109</v>
      </c>
      <c r="AC67" s="18" t="s">
        <v>38</v>
      </c>
      <c r="AD67" s="7" t="str">
        <f t="shared" si="0"/>
        <v/>
      </c>
      <c r="AE67" s="26"/>
      <c r="AF67" s="26"/>
      <c r="AG67" s="26"/>
      <c r="AH67" s="26"/>
      <c r="AI67" s="26"/>
      <c r="AJ67" s="26"/>
      <c r="AK67" s="26"/>
      <c r="AL67" s="26"/>
      <c r="AM67" s="26"/>
      <c r="AN67" s="26"/>
      <c r="AO67" s="26"/>
      <c r="AP67" s="26"/>
      <c r="AQ67" s="26"/>
      <c r="AR67" s="26"/>
      <c r="AS67" s="26"/>
      <c r="AT67" s="26"/>
      <c r="AU67" s="26"/>
      <c r="AV67" s="26"/>
      <c r="AW67" s="26"/>
    </row>
    <row r="68" spans="1:49" s="17" customFormat="1" ht="35.1" customHeight="1" x14ac:dyDescent="0.25">
      <c r="A68" s="18" t="s">
        <v>159</v>
      </c>
      <c r="B68" s="19">
        <v>46049</v>
      </c>
      <c r="C68" s="19">
        <v>46049</v>
      </c>
      <c r="D68" s="18" t="s">
        <v>166</v>
      </c>
      <c r="E68" s="20">
        <v>0.54166666666666663</v>
      </c>
      <c r="F68" s="20">
        <v>0.66666666666666663</v>
      </c>
      <c r="G68" s="28">
        <v>1.7361111111111109E-4</v>
      </c>
      <c r="H68" s="29" t="s">
        <v>160</v>
      </c>
      <c r="I68" s="21">
        <v>0.65600694444444441</v>
      </c>
      <c r="J68" s="18" t="s">
        <v>105</v>
      </c>
      <c r="K68" s="18" t="s">
        <v>154</v>
      </c>
      <c r="L68" s="22">
        <v>1</v>
      </c>
      <c r="M68" s="22">
        <v>71011</v>
      </c>
      <c r="N68" s="18" t="s">
        <v>46</v>
      </c>
      <c r="O68" s="22" t="s">
        <v>161</v>
      </c>
      <c r="P68" s="23">
        <v>0</v>
      </c>
      <c r="Q68" s="22"/>
      <c r="R68" s="23">
        <v>0</v>
      </c>
      <c r="S68" s="24">
        <v>46054</v>
      </c>
      <c r="T68" s="23">
        <v>0</v>
      </c>
      <c r="U68" s="25">
        <v>4</v>
      </c>
      <c r="V68" s="23">
        <v>0</v>
      </c>
      <c r="W68" s="18" t="s">
        <v>47</v>
      </c>
      <c r="X68" s="18" t="s">
        <v>48</v>
      </c>
      <c r="Y68" s="18" t="s">
        <v>36</v>
      </c>
      <c r="Z68" s="18" t="s">
        <v>9</v>
      </c>
      <c r="AA68" s="18" t="s">
        <v>49</v>
      </c>
      <c r="AB68" s="18" t="s">
        <v>162</v>
      </c>
      <c r="AC68" s="18" t="s">
        <v>38</v>
      </c>
      <c r="AD68" s="7" t="str">
        <f t="shared" ref="AD68:AD109" si="1">IF(N68="PRG","",IF(I68&gt;=E68,IF(I68&lt;=F68,"","NO"),"NO"))</f>
        <v/>
      </c>
      <c r="AE68" s="26"/>
      <c r="AF68" s="26"/>
      <c r="AG68" s="26"/>
      <c r="AH68" s="26"/>
      <c r="AI68" s="26"/>
      <c r="AJ68" s="26"/>
      <c r="AK68" s="26"/>
      <c r="AL68" s="26"/>
      <c r="AM68" s="26"/>
      <c r="AN68" s="26"/>
      <c r="AO68" s="26"/>
      <c r="AP68" s="26"/>
      <c r="AQ68" s="26"/>
      <c r="AR68" s="26"/>
      <c r="AS68" s="26"/>
      <c r="AT68" s="26"/>
      <c r="AU68" s="26"/>
      <c r="AV68" s="26"/>
      <c r="AW68" s="26"/>
    </row>
    <row r="69" spans="1:49" s="17" customFormat="1" ht="35.1" customHeight="1" x14ac:dyDescent="0.25">
      <c r="A69" s="18" t="s">
        <v>159</v>
      </c>
      <c r="B69" s="19">
        <v>46049</v>
      </c>
      <c r="C69" s="19">
        <v>46049</v>
      </c>
      <c r="D69" s="18" t="s">
        <v>166</v>
      </c>
      <c r="E69" s="20">
        <v>0.54166666666666663</v>
      </c>
      <c r="F69" s="20">
        <v>0.66666666666666663</v>
      </c>
      <c r="G69" s="28">
        <v>1.7361111111111109E-4</v>
      </c>
      <c r="H69" s="29" t="s">
        <v>163</v>
      </c>
      <c r="I69" s="21">
        <v>0.65791666666666671</v>
      </c>
      <c r="J69" s="18" t="s">
        <v>105</v>
      </c>
      <c r="K69" s="18" t="s">
        <v>154</v>
      </c>
      <c r="L69" s="22">
        <v>1</v>
      </c>
      <c r="M69" s="22">
        <v>71011</v>
      </c>
      <c r="N69" s="18" t="s">
        <v>46</v>
      </c>
      <c r="O69" s="22" t="s">
        <v>161</v>
      </c>
      <c r="P69" s="23">
        <v>0</v>
      </c>
      <c r="Q69" s="22"/>
      <c r="R69" s="23">
        <v>0</v>
      </c>
      <c r="S69" s="24">
        <v>46054</v>
      </c>
      <c r="T69" s="23">
        <v>0</v>
      </c>
      <c r="U69" s="25">
        <v>4</v>
      </c>
      <c r="V69" s="23">
        <v>0</v>
      </c>
      <c r="W69" s="18" t="s">
        <v>47</v>
      </c>
      <c r="X69" s="18" t="s">
        <v>48</v>
      </c>
      <c r="Y69" s="18" t="s">
        <v>36</v>
      </c>
      <c r="Z69" s="18" t="s">
        <v>9</v>
      </c>
      <c r="AA69" s="18" t="s">
        <v>49</v>
      </c>
      <c r="AB69" s="18" t="s">
        <v>162</v>
      </c>
      <c r="AC69" s="18" t="s">
        <v>38</v>
      </c>
      <c r="AD69" s="7" t="str">
        <f t="shared" si="1"/>
        <v/>
      </c>
      <c r="AE69" s="26"/>
      <c r="AF69" s="26"/>
      <c r="AG69" s="26"/>
      <c r="AH69" s="26"/>
      <c r="AI69" s="30"/>
      <c r="AJ69" s="30"/>
      <c r="AK69" s="30"/>
      <c r="AL69" s="30"/>
      <c r="AM69" s="30"/>
      <c r="AN69" s="30"/>
      <c r="AO69" s="30"/>
      <c r="AP69" s="30"/>
      <c r="AQ69" s="30"/>
      <c r="AR69" s="30"/>
      <c r="AS69" s="30"/>
      <c r="AT69" s="30"/>
      <c r="AU69" s="30"/>
      <c r="AV69" s="30"/>
      <c r="AW69" s="30"/>
    </row>
    <row r="70" spans="1:49" s="17" customFormat="1" ht="35.1" customHeight="1" x14ac:dyDescent="0.25">
      <c r="A70" s="18" t="s">
        <v>106</v>
      </c>
      <c r="B70" s="19">
        <v>46049</v>
      </c>
      <c r="C70" s="19">
        <v>46049</v>
      </c>
      <c r="D70" s="18" t="s">
        <v>166</v>
      </c>
      <c r="E70" s="20">
        <v>0.54166666666666663</v>
      </c>
      <c r="F70" s="20">
        <v>0.66666666666666663</v>
      </c>
      <c r="G70" s="20">
        <v>3.4722222222222218E-4</v>
      </c>
      <c r="H70" s="18" t="s">
        <v>107</v>
      </c>
      <c r="I70" s="21">
        <v>0.66541666666666666</v>
      </c>
      <c r="J70" s="18" t="s">
        <v>105</v>
      </c>
      <c r="K70" s="18" t="s">
        <v>154</v>
      </c>
      <c r="L70" s="22">
        <v>1</v>
      </c>
      <c r="M70" s="22">
        <v>58165</v>
      </c>
      <c r="N70" s="18" t="s">
        <v>53</v>
      </c>
      <c r="O70" s="22" t="s">
        <v>108</v>
      </c>
      <c r="P70" s="23">
        <v>42.352941176470587</v>
      </c>
      <c r="Q70" s="22"/>
      <c r="R70" s="23">
        <v>42.352941176470587</v>
      </c>
      <c r="S70" s="24">
        <v>46054</v>
      </c>
      <c r="T70" s="23">
        <v>6.3529411764705879</v>
      </c>
      <c r="U70" s="25">
        <v>4</v>
      </c>
      <c r="V70" s="23">
        <v>36</v>
      </c>
      <c r="W70" s="18" t="s">
        <v>34</v>
      </c>
      <c r="X70" s="18" t="s">
        <v>48</v>
      </c>
      <c r="Y70" s="18" t="s">
        <v>36</v>
      </c>
      <c r="Z70" s="18" t="s">
        <v>9</v>
      </c>
      <c r="AA70" s="18" t="s">
        <v>49</v>
      </c>
      <c r="AB70" s="18" t="s">
        <v>109</v>
      </c>
      <c r="AC70" s="18" t="s">
        <v>38</v>
      </c>
      <c r="AD70" s="7" t="str">
        <f t="shared" si="1"/>
        <v/>
      </c>
      <c r="AE70" s="26"/>
      <c r="AF70" s="26"/>
      <c r="AG70" s="26"/>
      <c r="AH70" s="26"/>
      <c r="AI70" s="26"/>
      <c r="AJ70" s="26"/>
      <c r="AK70" s="26"/>
      <c r="AL70" s="26"/>
      <c r="AM70" s="26"/>
      <c r="AN70" s="26"/>
      <c r="AO70" s="26"/>
      <c r="AP70" s="26"/>
      <c r="AQ70" s="26"/>
      <c r="AR70" s="26"/>
      <c r="AS70" s="26"/>
      <c r="AT70" s="26"/>
      <c r="AU70" s="26"/>
      <c r="AV70" s="26"/>
      <c r="AW70" s="26"/>
    </row>
    <row r="71" spans="1:49" s="34" customFormat="1" ht="35.1" customHeight="1" x14ac:dyDescent="0.25">
      <c r="A71" s="9" t="s">
        <v>118</v>
      </c>
      <c r="B71" s="10">
        <v>46049</v>
      </c>
      <c r="C71" s="10">
        <v>46049</v>
      </c>
      <c r="D71" s="11" t="s">
        <v>166</v>
      </c>
      <c r="E71" s="12">
        <v>0.66666666666666663</v>
      </c>
      <c r="F71" s="12">
        <v>0.6875</v>
      </c>
      <c r="G71" s="12">
        <v>2.0833333333333332E-2</v>
      </c>
      <c r="H71" s="9" t="s">
        <v>119</v>
      </c>
      <c r="I71" s="13"/>
      <c r="J71" s="9" t="s">
        <v>120</v>
      </c>
      <c r="K71" s="9"/>
      <c r="L71" s="14">
        <v>1</v>
      </c>
      <c r="M71" s="14">
        <v>1</v>
      </c>
      <c r="N71" s="9" t="s">
        <v>33</v>
      </c>
      <c r="O71" s="9"/>
      <c r="P71" s="16">
        <v>0</v>
      </c>
      <c r="Q71" s="14"/>
      <c r="R71" s="16">
        <v>0</v>
      </c>
      <c r="S71" s="9">
        <v>46054</v>
      </c>
      <c r="T71" s="16">
        <v>0</v>
      </c>
      <c r="U71" s="14">
        <v>2</v>
      </c>
      <c r="V71" s="16">
        <v>0</v>
      </c>
      <c r="W71" s="9" t="s">
        <v>34</v>
      </c>
      <c r="X71" s="9" t="s">
        <v>42</v>
      </c>
      <c r="Y71" s="9" t="s">
        <v>36</v>
      </c>
      <c r="Z71" s="9" t="s">
        <v>43</v>
      </c>
      <c r="AA71" s="9" t="s">
        <v>37</v>
      </c>
      <c r="AB71" s="9" t="s">
        <v>37</v>
      </c>
      <c r="AC71" s="9" t="s">
        <v>38</v>
      </c>
      <c r="AD71" s="7" t="str">
        <f t="shared" si="1"/>
        <v/>
      </c>
      <c r="AE71" s="26"/>
      <c r="AF71" s="26"/>
      <c r="AG71" s="26"/>
      <c r="AH71" s="26"/>
      <c r="AI71" s="26"/>
      <c r="AJ71" s="26"/>
      <c r="AK71" s="26"/>
      <c r="AL71" s="26"/>
      <c r="AM71" s="26"/>
      <c r="AN71" s="26"/>
      <c r="AO71" s="26"/>
      <c r="AP71" s="26"/>
      <c r="AQ71" s="26"/>
      <c r="AR71" s="26"/>
      <c r="AS71" s="26"/>
      <c r="AT71" s="26"/>
      <c r="AU71" s="26"/>
      <c r="AV71" s="26"/>
      <c r="AW71" s="26"/>
    </row>
    <row r="72" spans="1:49" s="17" customFormat="1" ht="35.1" customHeight="1" x14ac:dyDescent="0.25">
      <c r="A72" s="18" t="s">
        <v>159</v>
      </c>
      <c r="B72" s="19">
        <v>46049</v>
      </c>
      <c r="C72" s="19">
        <v>46049</v>
      </c>
      <c r="D72" s="18" t="s">
        <v>166</v>
      </c>
      <c r="E72" s="20">
        <v>0.66666666666666663</v>
      </c>
      <c r="F72" s="20">
        <v>0.79166666666666663</v>
      </c>
      <c r="G72" s="28">
        <v>1.7361111111111109E-4</v>
      </c>
      <c r="H72" s="29" t="s">
        <v>160</v>
      </c>
      <c r="I72" s="21">
        <v>0.6736575231481482</v>
      </c>
      <c r="J72" s="18" t="s">
        <v>120</v>
      </c>
      <c r="K72" s="18" t="s">
        <v>119</v>
      </c>
      <c r="L72" s="22">
        <v>1</v>
      </c>
      <c r="M72" s="22">
        <v>71003</v>
      </c>
      <c r="N72" s="18" t="s">
        <v>53</v>
      </c>
      <c r="O72" s="22" t="s">
        <v>161</v>
      </c>
      <c r="P72" s="23">
        <v>15</v>
      </c>
      <c r="Q72" s="22"/>
      <c r="R72" s="23">
        <v>15</v>
      </c>
      <c r="S72" s="24">
        <v>46054</v>
      </c>
      <c r="T72" s="23">
        <v>2.25</v>
      </c>
      <c r="U72" s="25">
        <v>4</v>
      </c>
      <c r="V72" s="23">
        <v>12.75</v>
      </c>
      <c r="W72" s="18" t="s">
        <v>47</v>
      </c>
      <c r="X72" s="18" t="s">
        <v>48</v>
      </c>
      <c r="Y72" s="18" t="s">
        <v>36</v>
      </c>
      <c r="Z72" s="18" t="s">
        <v>9</v>
      </c>
      <c r="AA72" s="18" t="s">
        <v>49</v>
      </c>
      <c r="AB72" s="18" t="s">
        <v>162</v>
      </c>
      <c r="AC72" s="18" t="s">
        <v>38</v>
      </c>
      <c r="AD72" s="7" t="str">
        <f t="shared" si="1"/>
        <v/>
      </c>
      <c r="AE72" s="31"/>
      <c r="AF72" s="31"/>
      <c r="AG72" s="31"/>
      <c r="AH72" s="31"/>
      <c r="AI72" s="30"/>
      <c r="AJ72" s="30"/>
      <c r="AK72" s="30"/>
      <c r="AL72" s="30"/>
      <c r="AM72" s="30"/>
      <c r="AN72" s="30"/>
      <c r="AO72" s="30"/>
      <c r="AP72" s="30"/>
      <c r="AQ72" s="30"/>
      <c r="AR72" s="30"/>
      <c r="AS72" s="30"/>
      <c r="AT72" s="30"/>
      <c r="AU72" s="30"/>
      <c r="AV72" s="30"/>
      <c r="AW72" s="30"/>
    </row>
    <row r="73" spans="1:49" s="17" customFormat="1" ht="35.1" customHeight="1" x14ac:dyDescent="0.25">
      <c r="A73" s="18" t="s">
        <v>159</v>
      </c>
      <c r="B73" s="19">
        <v>46049</v>
      </c>
      <c r="C73" s="19">
        <v>46049</v>
      </c>
      <c r="D73" s="18" t="s">
        <v>166</v>
      </c>
      <c r="E73" s="20">
        <v>0.66666666666666663</v>
      </c>
      <c r="F73" s="20">
        <v>0.79166666666666663</v>
      </c>
      <c r="G73" s="28">
        <v>1.7361111111111109E-4</v>
      </c>
      <c r="H73" s="29" t="s">
        <v>163</v>
      </c>
      <c r="I73" s="21">
        <v>0.6745258101851852</v>
      </c>
      <c r="J73" s="18" t="s">
        <v>120</v>
      </c>
      <c r="K73" s="18" t="s">
        <v>119</v>
      </c>
      <c r="L73" s="22">
        <v>1</v>
      </c>
      <c r="M73" s="22">
        <v>71003</v>
      </c>
      <c r="N73" s="18" t="s">
        <v>53</v>
      </c>
      <c r="O73" s="22" t="s">
        <v>161</v>
      </c>
      <c r="P73" s="23">
        <v>15</v>
      </c>
      <c r="Q73" s="22"/>
      <c r="R73" s="23">
        <v>15</v>
      </c>
      <c r="S73" s="24">
        <v>46054</v>
      </c>
      <c r="T73" s="23">
        <v>2.25</v>
      </c>
      <c r="U73" s="25">
        <v>4</v>
      </c>
      <c r="V73" s="23">
        <v>12.75</v>
      </c>
      <c r="W73" s="18" t="s">
        <v>47</v>
      </c>
      <c r="X73" s="18" t="s">
        <v>48</v>
      </c>
      <c r="Y73" s="18" t="s">
        <v>36</v>
      </c>
      <c r="Z73" s="18" t="s">
        <v>9</v>
      </c>
      <c r="AA73" s="18" t="s">
        <v>49</v>
      </c>
      <c r="AB73" s="18" t="s">
        <v>162</v>
      </c>
      <c r="AC73" s="18" t="s">
        <v>38</v>
      </c>
      <c r="AD73" s="7" t="str">
        <f t="shared" si="1"/>
        <v/>
      </c>
      <c r="AE73" s="26"/>
      <c r="AF73" s="26"/>
      <c r="AG73" s="26"/>
      <c r="AH73" s="26"/>
      <c r="AI73" s="27"/>
      <c r="AJ73" s="27"/>
      <c r="AK73" s="27"/>
      <c r="AL73" s="27"/>
      <c r="AM73" s="27"/>
      <c r="AN73" s="27"/>
      <c r="AO73" s="27"/>
      <c r="AP73" s="27"/>
      <c r="AQ73" s="27"/>
      <c r="AR73" s="27"/>
      <c r="AS73" s="27"/>
      <c r="AT73" s="27"/>
      <c r="AU73" s="27"/>
      <c r="AV73" s="27"/>
      <c r="AW73" s="27"/>
    </row>
    <row r="74" spans="1:49" s="17" customFormat="1" ht="35.1" customHeight="1" x14ac:dyDescent="0.25">
      <c r="A74" s="18" t="s">
        <v>44</v>
      </c>
      <c r="B74" s="19">
        <v>46049</v>
      </c>
      <c r="C74" s="19">
        <v>46049</v>
      </c>
      <c r="D74" s="18" t="s">
        <v>166</v>
      </c>
      <c r="E74" s="20">
        <v>0.66666666666666663</v>
      </c>
      <c r="F74" s="20">
        <v>0.79166666666666663</v>
      </c>
      <c r="G74" s="20">
        <v>3.4722222222222218E-4</v>
      </c>
      <c r="H74" s="18" t="s">
        <v>181</v>
      </c>
      <c r="I74" s="21">
        <v>0.6741783564814815</v>
      </c>
      <c r="J74" s="18" t="s">
        <v>120</v>
      </c>
      <c r="K74" s="18" t="s">
        <v>119</v>
      </c>
      <c r="L74" s="22">
        <v>1</v>
      </c>
      <c r="M74" s="22">
        <v>70990</v>
      </c>
      <c r="N74" s="18" t="s">
        <v>53</v>
      </c>
      <c r="O74" s="22" t="str">
        <f>AC74</f>
        <v>CVC</v>
      </c>
      <c r="P74" s="23">
        <v>58.82</v>
      </c>
      <c r="Q74" s="22"/>
      <c r="R74" s="23">
        <v>58.82</v>
      </c>
      <c r="S74" s="24">
        <v>46054</v>
      </c>
      <c r="T74" s="23">
        <v>4.4115000000000002</v>
      </c>
      <c r="U74" s="25">
        <v>4</v>
      </c>
      <c r="V74" s="23">
        <v>54.408500000000004</v>
      </c>
      <c r="W74" s="18" t="s">
        <v>47</v>
      </c>
      <c r="X74" s="18" t="s">
        <v>48</v>
      </c>
      <c r="Y74" s="18" t="s">
        <v>36</v>
      </c>
      <c r="Z74" s="18" t="s">
        <v>9</v>
      </c>
      <c r="AA74" s="18" t="s">
        <v>49</v>
      </c>
      <c r="AB74" s="18" t="s">
        <v>50</v>
      </c>
      <c r="AC74" s="18" t="s">
        <v>38</v>
      </c>
      <c r="AD74" s="7" t="str">
        <f>IF(N74="PRG","",IF(I74&gt;=E74,IF(I74&lt;=F74,"","NO"),"NO"))</f>
        <v/>
      </c>
      <c r="AE74" s="26"/>
      <c r="AF74" s="26"/>
      <c r="AG74" s="26"/>
      <c r="AH74" s="26"/>
      <c r="AI74" s="30"/>
      <c r="AJ74" s="30"/>
      <c r="AK74" s="30"/>
      <c r="AL74" s="30"/>
      <c r="AM74" s="30"/>
      <c r="AN74" s="30"/>
      <c r="AO74" s="30"/>
      <c r="AP74" s="30"/>
      <c r="AQ74" s="30"/>
      <c r="AR74" s="30"/>
      <c r="AS74" s="30"/>
      <c r="AT74" s="30"/>
      <c r="AU74" s="30"/>
      <c r="AV74" s="30"/>
      <c r="AW74" s="30"/>
    </row>
    <row r="75" spans="1:49" s="17" customFormat="1" ht="35.1" customHeight="1" x14ac:dyDescent="0.25">
      <c r="A75" s="18" t="s">
        <v>44</v>
      </c>
      <c r="B75" s="19">
        <v>46049</v>
      </c>
      <c r="C75" s="19">
        <v>46049</v>
      </c>
      <c r="D75" s="18" t="s">
        <v>166</v>
      </c>
      <c r="E75" s="20">
        <v>0.66666666666666663</v>
      </c>
      <c r="F75" s="20">
        <v>0.79166666666666663</v>
      </c>
      <c r="G75" s="20">
        <v>3.4722222222222218E-4</v>
      </c>
      <c r="H75" s="18" t="s">
        <v>181</v>
      </c>
      <c r="I75" s="21">
        <v>0.68629953703703706</v>
      </c>
      <c r="J75" s="18" t="s">
        <v>120</v>
      </c>
      <c r="K75" s="18" t="s">
        <v>119</v>
      </c>
      <c r="L75" s="22">
        <v>1</v>
      </c>
      <c r="M75" s="22">
        <v>70992</v>
      </c>
      <c r="N75" s="18" t="s">
        <v>46</v>
      </c>
      <c r="O75" s="22" t="str">
        <f>AC75</f>
        <v>CVC</v>
      </c>
      <c r="P75" s="23">
        <v>0</v>
      </c>
      <c r="Q75" s="22"/>
      <c r="R75" s="23">
        <v>0</v>
      </c>
      <c r="S75" s="24">
        <v>46054</v>
      </c>
      <c r="T75" s="23">
        <v>0</v>
      </c>
      <c r="U75" s="25">
        <v>4</v>
      </c>
      <c r="V75" s="23">
        <v>0</v>
      </c>
      <c r="W75" s="18" t="s">
        <v>47</v>
      </c>
      <c r="X75" s="18" t="s">
        <v>48</v>
      </c>
      <c r="Y75" s="18" t="s">
        <v>36</v>
      </c>
      <c r="Z75" s="18" t="s">
        <v>9</v>
      </c>
      <c r="AA75" s="18" t="s">
        <v>49</v>
      </c>
      <c r="AB75" s="18" t="s">
        <v>50</v>
      </c>
      <c r="AC75" s="18" t="s">
        <v>38</v>
      </c>
      <c r="AD75" s="7" t="str">
        <f t="shared" si="1"/>
        <v/>
      </c>
      <c r="AE75" s="26"/>
      <c r="AF75" s="26"/>
      <c r="AG75" s="26"/>
      <c r="AH75" s="26"/>
      <c r="AI75" s="30"/>
      <c r="AJ75" s="30"/>
      <c r="AK75" s="30"/>
      <c r="AL75" s="30"/>
      <c r="AM75" s="30"/>
      <c r="AN75" s="30"/>
      <c r="AO75" s="30"/>
      <c r="AP75" s="30"/>
      <c r="AQ75" s="30"/>
      <c r="AR75" s="30"/>
      <c r="AS75" s="30"/>
      <c r="AT75" s="30"/>
      <c r="AU75" s="30"/>
      <c r="AV75" s="30"/>
      <c r="AW75" s="30"/>
    </row>
    <row r="76" spans="1:49" s="34" customFormat="1" ht="35.1" customHeight="1" x14ac:dyDescent="0.25">
      <c r="A76" s="9" t="s">
        <v>123</v>
      </c>
      <c r="B76" s="10">
        <v>46049</v>
      </c>
      <c r="C76" s="10">
        <v>46049</v>
      </c>
      <c r="D76" s="11" t="s">
        <v>166</v>
      </c>
      <c r="E76" s="12">
        <v>0.6875</v>
      </c>
      <c r="F76" s="12">
        <v>0.70833333333333337</v>
      </c>
      <c r="G76" s="12">
        <v>2.0833333333333332E-2</v>
      </c>
      <c r="H76" s="9" t="s">
        <v>124</v>
      </c>
      <c r="I76" s="13"/>
      <c r="J76" s="9" t="s">
        <v>120</v>
      </c>
      <c r="K76" s="9"/>
      <c r="L76" s="14">
        <v>1</v>
      </c>
      <c r="M76" s="14">
        <v>1</v>
      </c>
      <c r="N76" s="9" t="s">
        <v>33</v>
      </c>
      <c r="O76" s="9"/>
      <c r="P76" s="16">
        <v>0</v>
      </c>
      <c r="Q76" s="14"/>
      <c r="R76" s="16">
        <v>0</v>
      </c>
      <c r="S76" s="9">
        <v>46054</v>
      </c>
      <c r="T76" s="16">
        <v>0</v>
      </c>
      <c r="U76" s="14">
        <v>2</v>
      </c>
      <c r="V76" s="16">
        <v>0</v>
      </c>
      <c r="W76" s="9" t="s">
        <v>34</v>
      </c>
      <c r="X76" s="9" t="s">
        <v>42</v>
      </c>
      <c r="Y76" s="9" t="s">
        <v>36</v>
      </c>
      <c r="Z76" s="9" t="s">
        <v>43</v>
      </c>
      <c r="AA76" s="9" t="s">
        <v>37</v>
      </c>
      <c r="AB76" s="9" t="s">
        <v>37</v>
      </c>
      <c r="AC76" s="9" t="s">
        <v>38</v>
      </c>
      <c r="AD76" s="7" t="str">
        <f t="shared" si="1"/>
        <v/>
      </c>
      <c r="AE76" s="26"/>
      <c r="AF76" s="26"/>
      <c r="AG76" s="26"/>
      <c r="AH76" s="26"/>
      <c r="AI76" s="26"/>
      <c r="AJ76" s="26"/>
      <c r="AK76" s="26"/>
      <c r="AL76" s="26"/>
      <c r="AM76" s="26"/>
      <c r="AN76" s="26"/>
      <c r="AO76" s="26"/>
      <c r="AP76" s="26"/>
      <c r="AQ76" s="26"/>
      <c r="AR76" s="26"/>
      <c r="AS76" s="26"/>
      <c r="AT76" s="26"/>
      <c r="AU76" s="26"/>
      <c r="AV76" s="26"/>
      <c r="AW76" s="26"/>
    </row>
    <row r="77" spans="1:49" s="34" customFormat="1" ht="35.1" customHeight="1" x14ac:dyDescent="0.25">
      <c r="A77" s="9" t="s">
        <v>118</v>
      </c>
      <c r="B77" s="10">
        <v>46049</v>
      </c>
      <c r="C77" s="10">
        <v>46049</v>
      </c>
      <c r="D77" s="11" t="s">
        <v>166</v>
      </c>
      <c r="E77" s="12">
        <v>0.70833333333333337</v>
      </c>
      <c r="F77" s="12">
        <v>0.75</v>
      </c>
      <c r="G77" s="12">
        <v>4.1666666666666664E-2</v>
      </c>
      <c r="H77" s="9" t="s">
        <v>189</v>
      </c>
      <c r="I77" s="13"/>
      <c r="J77" s="9" t="s">
        <v>120</v>
      </c>
      <c r="K77" s="9"/>
      <c r="L77" s="14">
        <v>1</v>
      </c>
      <c r="M77" s="14">
        <v>1</v>
      </c>
      <c r="N77" s="9" t="s">
        <v>33</v>
      </c>
      <c r="O77" s="9"/>
      <c r="P77" s="16">
        <v>0</v>
      </c>
      <c r="Q77" s="14"/>
      <c r="R77" s="16">
        <v>0</v>
      </c>
      <c r="S77" s="9">
        <v>46054</v>
      </c>
      <c r="T77" s="16">
        <v>0</v>
      </c>
      <c r="U77" s="14">
        <v>2</v>
      </c>
      <c r="V77" s="16">
        <v>0</v>
      </c>
      <c r="W77" s="9" t="s">
        <v>34</v>
      </c>
      <c r="X77" s="9" t="s">
        <v>42</v>
      </c>
      <c r="Y77" s="9" t="s">
        <v>36</v>
      </c>
      <c r="Z77" s="9" t="s">
        <v>43</v>
      </c>
      <c r="AA77" s="9" t="s">
        <v>37</v>
      </c>
      <c r="AB77" s="9" t="s">
        <v>37</v>
      </c>
      <c r="AC77" s="9" t="s">
        <v>38</v>
      </c>
      <c r="AD77" s="7" t="str">
        <f t="shared" si="1"/>
        <v/>
      </c>
      <c r="AE77" s="26"/>
      <c r="AF77" s="26"/>
      <c r="AG77" s="26"/>
      <c r="AH77" s="26"/>
      <c r="AI77" s="26"/>
      <c r="AJ77" s="26"/>
      <c r="AK77" s="26"/>
      <c r="AL77" s="26"/>
      <c r="AM77" s="26"/>
      <c r="AN77" s="26"/>
      <c r="AO77" s="26"/>
      <c r="AP77" s="26"/>
      <c r="AQ77" s="26"/>
      <c r="AR77" s="26"/>
      <c r="AS77" s="26"/>
      <c r="AT77" s="26"/>
      <c r="AU77" s="26"/>
      <c r="AV77" s="26"/>
      <c r="AW77" s="26"/>
    </row>
    <row r="78" spans="1:49" s="17" customFormat="1" ht="35.1" customHeight="1" x14ac:dyDescent="0.25">
      <c r="A78" s="18" t="s">
        <v>56</v>
      </c>
      <c r="B78" s="19">
        <v>46049</v>
      </c>
      <c r="C78" s="19">
        <v>46049</v>
      </c>
      <c r="D78" s="18" t="s">
        <v>166</v>
      </c>
      <c r="E78" s="20">
        <v>0.66666666666666663</v>
      </c>
      <c r="F78" s="20">
        <v>0.79166666666666663</v>
      </c>
      <c r="G78" s="28">
        <v>1.7361111111111112E-4</v>
      </c>
      <c r="H78" s="29" t="s">
        <v>121</v>
      </c>
      <c r="I78" s="21">
        <v>0.72329861111111116</v>
      </c>
      <c r="J78" s="18" t="s">
        <v>120</v>
      </c>
      <c r="K78" s="18" t="s">
        <v>189</v>
      </c>
      <c r="L78" s="22">
        <v>1</v>
      </c>
      <c r="M78" s="22">
        <v>69828</v>
      </c>
      <c r="N78" s="18" t="s">
        <v>53</v>
      </c>
      <c r="O78" s="22"/>
      <c r="P78" s="23">
        <v>28</v>
      </c>
      <c r="Q78" s="22"/>
      <c r="R78" s="23">
        <v>28</v>
      </c>
      <c r="S78" s="24">
        <v>46049</v>
      </c>
      <c r="T78" s="23">
        <v>0</v>
      </c>
      <c r="U78" s="25">
        <v>4</v>
      </c>
      <c r="V78" s="23">
        <v>28</v>
      </c>
      <c r="W78" s="18" t="s">
        <v>34</v>
      </c>
      <c r="X78" s="18" t="s">
        <v>48</v>
      </c>
      <c r="Y78" s="18" t="s">
        <v>58</v>
      </c>
      <c r="Z78" s="18" t="s">
        <v>43</v>
      </c>
      <c r="AA78" s="18" t="s">
        <v>49</v>
      </c>
      <c r="AB78" s="18" t="s">
        <v>59</v>
      </c>
      <c r="AC78" s="18" t="s">
        <v>38</v>
      </c>
      <c r="AD78" s="7" t="str">
        <f t="shared" si="1"/>
        <v/>
      </c>
      <c r="AE78" s="26"/>
      <c r="AF78" s="26"/>
      <c r="AG78" s="26"/>
      <c r="AH78" s="26"/>
      <c r="AI78" s="26"/>
      <c r="AJ78" s="26"/>
      <c r="AK78" s="26"/>
      <c r="AL78" s="26"/>
      <c r="AM78" s="26"/>
      <c r="AN78" s="26"/>
      <c r="AO78" s="26"/>
      <c r="AP78" s="26"/>
      <c r="AQ78" s="26"/>
      <c r="AR78" s="26"/>
      <c r="AS78" s="26"/>
      <c r="AT78" s="26"/>
      <c r="AU78" s="26"/>
      <c r="AV78" s="26"/>
      <c r="AW78" s="26"/>
    </row>
    <row r="79" spans="1:49" s="17" customFormat="1" ht="35.1" customHeight="1" x14ac:dyDescent="0.25">
      <c r="A79" s="18" t="s">
        <v>56</v>
      </c>
      <c r="B79" s="19">
        <v>46049</v>
      </c>
      <c r="C79" s="19">
        <v>46049</v>
      </c>
      <c r="D79" s="18" t="s">
        <v>166</v>
      </c>
      <c r="E79" s="20">
        <v>0.66666666666666663</v>
      </c>
      <c r="F79" s="20">
        <v>0.79166666666666663</v>
      </c>
      <c r="G79" s="28">
        <v>1.7361111111111112E-4</v>
      </c>
      <c r="H79" s="29" t="s">
        <v>122</v>
      </c>
      <c r="I79" s="21">
        <v>0.72434027777777776</v>
      </c>
      <c r="J79" s="18" t="s">
        <v>120</v>
      </c>
      <c r="K79" s="18" t="s">
        <v>189</v>
      </c>
      <c r="L79" s="22">
        <v>1</v>
      </c>
      <c r="M79" s="22">
        <v>69828</v>
      </c>
      <c r="N79" s="18" t="s">
        <v>53</v>
      </c>
      <c r="O79" s="22"/>
      <c r="P79" s="23">
        <v>0</v>
      </c>
      <c r="Q79" s="22"/>
      <c r="R79" s="23">
        <v>0</v>
      </c>
      <c r="S79" s="24">
        <v>46049</v>
      </c>
      <c r="T79" s="23">
        <v>0</v>
      </c>
      <c r="U79" s="25">
        <v>4</v>
      </c>
      <c r="V79" s="23">
        <v>0</v>
      </c>
      <c r="W79" s="18" t="s">
        <v>34</v>
      </c>
      <c r="X79" s="18" t="s">
        <v>48</v>
      </c>
      <c r="Y79" s="18" t="s">
        <v>58</v>
      </c>
      <c r="Z79" s="18" t="s">
        <v>43</v>
      </c>
      <c r="AA79" s="18" t="s">
        <v>49</v>
      </c>
      <c r="AB79" s="18" t="s">
        <v>59</v>
      </c>
      <c r="AC79" s="18" t="s">
        <v>38</v>
      </c>
      <c r="AD79" s="7" t="str">
        <f t="shared" si="1"/>
        <v/>
      </c>
      <c r="AE79" s="26"/>
      <c r="AF79" s="26"/>
      <c r="AG79" s="26"/>
      <c r="AH79" s="26"/>
      <c r="AI79" s="27"/>
      <c r="AJ79" s="27"/>
      <c r="AK79" s="27"/>
      <c r="AL79" s="27"/>
      <c r="AM79" s="27"/>
      <c r="AN79" s="27"/>
      <c r="AO79" s="27"/>
      <c r="AP79" s="27"/>
      <c r="AQ79" s="27"/>
      <c r="AR79" s="27"/>
      <c r="AS79" s="27"/>
      <c r="AT79" s="27"/>
      <c r="AU79" s="27"/>
      <c r="AV79" s="27"/>
      <c r="AW79" s="27"/>
    </row>
    <row r="80" spans="1:49" s="17" customFormat="1" ht="35.1" customHeight="1" x14ac:dyDescent="0.25">
      <c r="A80" s="18" t="s">
        <v>182</v>
      </c>
      <c r="B80" s="19">
        <v>46049</v>
      </c>
      <c r="C80" s="19">
        <v>46049</v>
      </c>
      <c r="D80" s="18" t="s">
        <v>166</v>
      </c>
      <c r="E80" s="20">
        <v>0.66666666666666663</v>
      </c>
      <c r="F80" s="20">
        <v>0.79166666666666663</v>
      </c>
      <c r="G80" s="20">
        <v>3.4722222222222218E-4</v>
      </c>
      <c r="H80" s="18" t="s">
        <v>183</v>
      </c>
      <c r="I80" s="21">
        <v>0.72364583333333332</v>
      </c>
      <c r="J80" s="18" t="s">
        <v>120</v>
      </c>
      <c r="K80" s="18" t="s">
        <v>189</v>
      </c>
      <c r="L80" s="22">
        <v>1</v>
      </c>
      <c r="M80" s="22">
        <v>69626</v>
      </c>
      <c r="N80" s="18" t="s">
        <v>46</v>
      </c>
      <c r="O80" s="22" t="s">
        <v>184</v>
      </c>
      <c r="P80" s="23">
        <v>0</v>
      </c>
      <c r="Q80" s="22"/>
      <c r="R80" s="23">
        <v>0</v>
      </c>
      <c r="S80" s="24">
        <v>46049</v>
      </c>
      <c r="T80" s="23">
        <v>0</v>
      </c>
      <c r="U80" s="25">
        <v>4</v>
      </c>
      <c r="V80" s="23">
        <v>0</v>
      </c>
      <c r="W80" s="18" t="s">
        <v>47</v>
      </c>
      <c r="X80" s="18" t="s">
        <v>48</v>
      </c>
      <c r="Y80" s="18" t="s">
        <v>58</v>
      </c>
      <c r="Z80" s="18" t="s">
        <v>9</v>
      </c>
      <c r="AA80" s="18" t="s">
        <v>49</v>
      </c>
      <c r="AB80" s="18" t="s">
        <v>185</v>
      </c>
      <c r="AC80" s="18" t="s">
        <v>38</v>
      </c>
      <c r="AD80" s="7" t="str">
        <f>IF(N80="PRG","",IF(I80&gt;=E80,IF(I80&lt;=F80,"","NO"),"NO"))</f>
        <v/>
      </c>
      <c r="AE80" s="26"/>
      <c r="AF80" s="26"/>
      <c r="AG80" s="26"/>
      <c r="AH80" s="26"/>
      <c r="AI80" s="26"/>
      <c r="AJ80" s="26"/>
      <c r="AK80" s="26"/>
      <c r="AL80" s="26"/>
      <c r="AM80" s="26"/>
      <c r="AN80" s="26"/>
      <c r="AO80" s="26"/>
      <c r="AP80" s="26"/>
      <c r="AQ80" s="26"/>
      <c r="AR80" s="26"/>
      <c r="AS80" s="26"/>
      <c r="AT80" s="26"/>
      <c r="AU80" s="26"/>
      <c r="AV80" s="26"/>
      <c r="AW80" s="26"/>
    </row>
    <row r="81" spans="1:49" s="34" customFormat="1" ht="35.1" customHeight="1" x14ac:dyDescent="0.25">
      <c r="A81" s="9" t="s">
        <v>123</v>
      </c>
      <c r="B81" s="10">
        <v>46049</v>
      </c>
      <c r="C81" s="10">
        <v>46049</v>
      </c>
      <c r="D81" s="11" t="s">
        <v>166</v>
      </c>
      <c r="E81" s="12">
        <v>0.75</v>
      </c>
      <c r="F81" s="12">
        <v>0.77083333333333337</v>
      </c>
      <c r="G81" s="12">
        <v>2.0833333333333332E-2</v>
      </c>
      <c r="H81" s="9" t="s">
        <v>126</v>
      </c>
      <c r="I81" s="13"/>
      <c r="J81" s="9" t="s">
        <v>120</v>
      </c>
      <c r="K81" s="9"/>
      <c r="L81" s="14">
        <v>1</v>
      </c>
      <c r="M81" s="14">
        <v>1</v>
      </c>
      <c r="N81" s="9" t="s">
        <v>33</v>
      </c>
      <c r="O81" s="9"/>
      <c r="P81" s="16">
        <v>0</v>
      </c>
      <c r="Q81" s="14"/>
      <c r="R81" s="16">
        <v>0</v>
      </c>
      <c r="S81" s="9">
        <v>46054</v>
      </c>
      <c r="T81" s="16">
        <v>0</v>
      </c>
      <c r="U81" s="14">
        <v>2</v>
      </c>
      <c r="V81" s="16">
        <v>0</v>
      </c>
      <c r="W81" s="9" t="s">
        <v>34</v>
      </c>
      <c r="X81" s="9" t="s">
        <v>42</v>
      </c>
      <c r="Y81" s="9" t="s">
        <v>36</v>
      </c>
      <c r="Z81" s="9" t="s">
        <v>43</v>
      </c>
      <c r="AA81" s="9" t="s">
        <v>37</v>
      </c>
      <c r="AB81" s="9" t="s">
        <v>37</v>
      </c>
      <c r="AC81" s="9" t="s">
        <v>38</v>
      </c>
      <c r="AD81" s="7" t="str">
        <f t="shared" si="1"/>
        <v/>
      </c>
      <c r="AE81" s="26"/>
      <c r="AF81" s="26"/>
      <c r="AG81" s="26"/>
      <c r="AH81" s="26"/>
      <c r="AI81" s="26"/>
      <c r="AJ81" s="26"/>
      <c r="AK81" s="26"/>
      <c r="AL81" s="26"/>
      <c r="AM81" s="26"/>
      <c r="AN81" s="26"/>
      <c r="AO81" s="26"/>
      <c r="AP81" s="26"/>
      <c r="AQ81" s="26"/>
      <c r="AR81" s="26"/>
      <c r="AS81" s="26"/>
      <c r="AT81" s="26"/>
      <c r="AU81" s="26"/>
      <c r="AV81" s="26"/>
      <c r="AW81" s="26"/>
    </row>
    <row r="82" spans="1:49" s="17" customFormat="1" ht="35.1" customHeight="1" x14ac:dyDescent="0.25">
      <c r="A82" s="18" t="s">
        <v>159</v>
      </c>
      <c r="B82" s="19">
        <v>46049</v>
      </c>
      <c r="C82" s="19">
        <v>46049</v>
      </c>
      <c r="D82" s="18" t="s">
        <v>166</v>
      </c>
      <c r="E82" s="20">
        <v>0.66666666666666663</v>
      </c>
      <c r="F82" s="20">
        <v>0.79166666666666663</v>
      </c>
      <c r="G82" s="28">
        <v>1.7361111111111109E-4</v>
      </c>
      <c r="H82" s="29" t="s">
        <v>160</v>
      </c>
      <c r="I82" s="21">
        <v>0.76435185185185184</v>
      </c>
      <c r="J82" s="18" t="s">
        <v>120</v>
      </c>
      <c r="K82" s="18" t="s">
        <v>194</v>
      </c>
      <c r="L82" s="22">
        <v>1</v>
      </c>
      <c r="M82" s="22">
        <v>71004</v>
      </c>
      <c r="N82" s="18" t="s">
        <v>46</v>
      </c>
      <c r="O82" s="22" t="s">
        <v>161</v>
      </c>
      <c r="P82" s="23">
        <v>0</v>
      </c>
      <c r="Q82" s="22"/>
      <c r="R82" s="23">
        <v>0</v>
      </c>
      <c r="S82" s="24">
        <v>46054</v>
      </c>
      <c r="T82" s="23">
        <v>0</v>
      </c>
      <c r="U82" s="25">
        <v>4</v>
      </c>
      <c r="V82" s="23">
        <v>0</v>
      </c>
      <c r="W82" s="18" t="s">
        <v>47</v>
      </c>
      <c r="X82" s="18" t="s">
        <v>48</v>
      </c>
      <c r="Y82" s="18" t="s">
        <v>36</v>
      </c>
      <c r="Z82" s="18" t="s">
        <v>9</v>
      </c>
      <c r="AA82" s="18" t="s">
        <v>49</v>
      </c>
      <c r="AB82" s="18" t="s">
        <v>162</v>
      </c>
      <c r="AC82" s="18" t="s">
        <v>38</v>
      </c>
      <c r="AD82" s="7" t="str">
        <f t="shared" si="1"/>
        <v/>
      </c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</row>
    <row r="83" spans="1:49" s="17" customFormat="1" ht="35.1" customHeight="1" x14ac:dyDescent="0.25">
      <c r="A83" s="18" t="s">
        <v>159</v>
      </c>
      <c r="B83" s="19">
        <v>46049</v>
      </c>
      <c r="C83" s="19">
        <v>46049</v>
      </c>
      <c r="D83" s="18" t="s">
        <v>166</v>
      </c>
      <c r="E83" s="20">
        <v>0.66666666666666663</v>
      </c>
      <c r="F83" s="20">
        <v>0.79166666666666663</v>
      </c>
      <c r="G83" s="28">
        <v>1.7361111111111109E-4</v>
      </c>
      <c r="H83" s="29" t="s">
        <v>163</v>
      </c>
      <c r="I83" s="21">
        <v>0.76591435185185186</v>
      </c>
      <c r="J83" s="18" t="s">
        <v>120</v>
      </c>
      <c r="K83" s="18" t="s">
        <v>194</v>
      </c>
      <c r="L83" s="22">
        <v>1</v>
      </c>
      <c r="M83" s="22">
        <v>71004</v>
      </c>
      <c r="N83" s="18" t="s">
        <v>46</v>
      </c>
      <c r="O83" s="22" t="s">
        <v>161</v>
      </c>
      <c r="P83" s="23">
        <v>0</v>
      </c>
      <c r="Q83" s="22"/>
      <c r="R83" s="23">
        <v>0</v>
      </c>
      <c r="S83" s="24">
        <v>46054</v>
      </c>
      <c r="T83" s="23">
        <v>0</v>
      </c>
      <c r="U83" s="25">
        <v>4</v>
      </c>
      <c r="V83" s="23">
        <v>0</v>
      </c>
      <c r="W83" s="18" t="s">
        <v>47</v>
      </c>
      <c r="X83" s="18" t="s">
        <v>48</v>
      </c>
      <c r="Y83" s="18" t="s">
        <v>36</v>
      </c>
      <c r="Z83" s="18" t="s">
        <v>9</v>
      </c>
      <c r="AA83" s="18" t="s">
        <v>49</v>
      </c>
      <c r="AB83" s="18" t="s">
        <v>162</v>
      </c>
      <c r="AC83" s="18" t="s">
        <v>38</v>
      </c>
      <c r="AD83" s="7" t="str">
        <f t="shared" si="1"/>
        <v/>
      </c>
      <c r="AE83" s="43"/>
      <c r="AF83" s="43"/>
      <c r="AG83" s="43"/>
      <c r="AH83" s="43"/>
      <c r="AI83" s="30"/>
      <c r="AJ83" s="30"/>
      <c r="AK83" s="30"/>
      <c r="AL83" s="30"/>
      <c r="AM83" s="30"/>
      <c r="AN83" s="30"/>
      <c r="AO83" s="30"/>
      <c r="AP83" s="30"/>
      <c r="AQ83" s="30"/>
      <c r="AR83" s="30"/>
      <c r="AS83" s="30"/>
      <c r="AT83" s="30"/>
      <c r="AU83" s="30"/>
      <c r="AV83" s="30"/>
      <c r="AW83" s="30"/>
    </row>
    <row r="84" spans="1:49" s="34" customFormat="1" ht="35.1" customHeight="1" x14ac:dyDescent="0.25">
      <c r="A84" s="9" t="s">
        <v>123</v>
      </c>
      <c r="B84" s="10">
        <v>46049</v>
      </c>
      <c r="C84" s="10">
        <v>46049</v>
      </c>
      <c r="D84" s="11" t="s">
        <v>166</v>
      </c>
      <c r="E84" s="12">
        <v>0.77083333333333337</v>
      </c>
      <c r="F84" s="12">
        <v>0.79166666666666663</v>
      </c>
      <c r="G84" s="12">
        <v>2.0833333333333332E-2</v>
      </c>
      <c r="H84" s="9" t="s">
        <v>124</v>
      </c>
      <c r="I84" s="13"/>
      <c r="J84" s="9" t="s">
        <v>120</v>
      </c>
      <c r="K84" s="9"/>
      <c r="L84" s="14">
        <v>1</v>
      </c>
      <c r="M84" s="14">
        <v>1</v>
      </c>
      <c r="N84" s="9" t="s">
        <v>33</v>
      </c>
      <c r="O84" s="9"/>
      <c r="P84" s="16">
        <v>0</v>
      </c>
      <c r="Q84" s="14"/>
      <c r="R84" s="16">
        <v>0</v>
      </c>
      <c r="S84" s="9">
        <v>46054</v>
      </c>
      <c r="T84" s="16">
        <v>0</v>
      </c>
      <c r="U84" s="14">
        <v>2</v>
      </c>
      <c r="V84" s="16">
        <v>0</v>
      </c>
      <c r="W84" s="9" t="s">
        <v>34</v>
      </c>
      <c r="X84" s="9" t="s">
        <v>42</v>
      </c>
      <c r="Y84" s="9" t="s">
        <v>36</v>
      </c>
      <c r="Z84" s="9" t="s">
        <v>43</v>
      </c>
      <c r="AA84" s="9" t="s">
        <v>37</v>
      </c>
      <c r="AB84" s="9" t="s">
        <v>37</v>
      </c>
      <c r="AC84" s="9" t="s">
        <v>38</v>
      </c>
      <c r="AD84" s="7" t="str">
        <f t="shared" si="1"/>
        <v/>
      </c>
      <c r="AE84" s="26"/>
      <c r="AF84" s="26"/>
      <c r="AG84" s="26"/>
      <c r="AH84" s="26"/>
      <c r="AI84" s="26"/>
      <c r="AJ84" s="26"/>
      <c r="AK84" s="26"/>
      <c r="AL84" s="26"/>
      <c r="AM84" s="26"/>
      <c r="AN84" s="26"/>
      <c r="AO84" s="26"/>
      <c r="AP84" s="26"/>
      <c r="AQ84" s="26"/>
      <c r="AR84" s="26"/>
      <c r="AS84" s="26"/>
      <c r="AT84" s="26"/>
      <c r="AU84" s="26"/>
      <c r="AV84" s="26"/>
      <c r="AW84" s="26"/>
    </row>
    <row r="85" spans="1:49" s="17" customFormat="1" ht="35.1" customHeight="1" x14ac:dyDescent="0.25">
      <c r="A85" s="18" t="s">
        <v>186</v>
      </c>
      <c r="B85" s="19">
        <v>46049</v>
      </c>
      <c r="C85" s="19">
        <v>46049</v>
      </c>
      <c r="D85" s="18" t="s">
        <v>166</v>
      </c>
      <c r="E85" s="20">
        <v>0.66666666666666663</v>
      </c>
      <c r="F85" s="20">
        <v>0.79166666666666663</v>
      </c>
      <c r="G85" s="20">
        <v>3.4722222222222218E-4</v>
      </c>
      <c r="H85" s="18" t="s">
        <v>187</v>
      </c>
      <c r="I85" s="21">
        <v>0.78619537037037035</v>
      </c>
      <c r="J85" s="18" t="s">
        <v>120</v>
      </c>
      <c r="K85" s="18" t="s">
        <v>155</v>
      </c>
      <c r="L85" s="22">
        <v>1</v>
      </c>
      <c r="M85" s="22">
        <v>59760</v>
      </c>
      <c r="N85" s="18" t="s">
        <v>53</v>
      </c>
      <c r="O85" s="22"/>
      <c r="P85" s="23">
        <v>50</v>
      </c>
      <c r="Q85" s="22"/>
      <c r="R85" s="23">
        <v>50</v>
      </c>
      <c r="S85" s="24">
        <v>46054</v>
      </c>
      <c r="T85" s="23">
        <v>0</v>
      </c>
      <c r="U85" s="25">
        <v>4</v>
      </c>
      <c r="V85" s="23">
        <v>50</v>
      </c>
      <c r="W85" s="18" t="s">
        <v>47</v>
      </c>
      <c r="X85" s="18" t="s">
        <v>48</v>
      </c>
      <c r="Y85" s="18" t="s">
        <v>36</v>
      </c>
      <c r="Z85" s="18" t="s">
        <v>9</v>
      </c>
      <c r="AA85" s="18" t="s">
        <v>49</v>
      </c>
      <c r="AB85" s="18" t="s">
        <v>188</v>
      </c>
      <c r="AC85" s="18" t="s">
        <v>38</v>
      </c>
      <c r="AD85" s="7" t="str">
        <f t="shared" si="1"/>
        <v/>
      </c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</row>
    <row r="86" spans="1:49" s="34" customFormat="1" ht="35.1" customHeight="1" x14ac:dyDescent="0.25">
      <c r="A86" s="9" t="s">
        <v>39</v>
      </c>
      <c r="B86" s="10">
        <v>46049</v>
      </c>
      <c r="C86" s="10">
        <v>46049</v>
      </c>
      <c r="D86" s="11" t="s">
        <v>166</v>
      </c>
      <c r="E86" s="12">
        <v>0.79166666666666663</v>
      </c>
      <c r="F86" s="12">
        <v>0.8125</v>
      </c>
      <c r="G86" s="12">
        <v>2.0833333333333332E-2</v>
      </c>
      <c r="H86" s="9" t="s">
        <v>131</v>
      </c>
      <c r="I86" s="13"/>
      <c r="J86" s="9" t="s">
        <v>132</v>
      </c>
      <c r="K86" s="9"/>
      <c r="L86" s="14">
        <v>1</v>
      </c>
      <c r="M86" s="14">
        <v>1</v>
      </c>
      <c r="N86" s="9" t="s">
        <v>33</v>
      </c>
      <c r="O86" s="9"/>
      <c r="P86" s="16">
        <v>0</v>
      </c>
      <c r="Q86" s="14"/>
      <c r="R86" s="16">
        <v>0</v>
      </c>
      <c r="S86" s="9">
        <v>46054</v>
      </c>
      <c r="T86" s="16">
        <v>0</v>
      </c>
      <c r="U86" s="14">
        <v>2</v>
      </c>
      <c r="V86" s="16">
        <v>0</v>
      </c>
      <c r="W86" s="9" t="s">
        <v>34</v>
      </c>
      <c r="X86" s="9" t="s">
        <v>42</v>
      </c>
      <c r="Y86" s="9" t="s">
        <v>36</v>
      </c>
      <c r="Z86" s="9" t="s">
        <v>43</v>
      </c>
      <c r="AA86" s="9" t="s">
        <v>37</v>
      </c>
      <c r="AB86" s="9" t="s">
        <v>37</v>
      </c>
      <c r="AC86" s="9" t="s">
        <v>38</v>
      </c>
      <c r="AD86" s="7" t="str">
        <f t="shared" si="1"/>
        <v/>
      </c>
      <c r="AE86" s="26"/>
      <c r="AF86" s="26"/>
      <c r="AG86" s="26"/>
      <c r="AH86" s="26"/>
      <c r="AI86" s="26"/>
      <c r="AJ86" s="26"/>
      <c r="AK86" s="26"/>
      <c r="AL86" s="26"/>
      <c r="AM86" s="26"/>
      <c r="AN86" s="26"/>
      <c r="AO86" s="26"/>
      <c r="AP86" s="26"/>
      <c r="AQ86" s="26"/>
      <c r="AR86" s="26"/>
      <c r="AS86" s="26"/>
      <c r="AT86" s="26"/>
      <c r="AU86" s="26"/>
      <c r="AV86" s="26"/>
      <c r="AW86" s="26"/>
    </row>
    <row r="87" spans="1:49" s="17" customFormat="1" ht="35.1" customHeight="1" x14ac:dyDescent="0.25">
      <c r="A87" s="18" t="s">
        <v>78</v>
      </c>
      <c r="B87" s="19">
        <v>46049</v>
      </c>
      <c r="C87" s="19">
        <v>46049</v>
      </c>
      <c r="D87" s="18" t="s">
        <v>166</v>
      </c>
      <c r="E87" s="20">
        <v>0.79166666666666663</v>
      </c>
      <c r="F87" s="20">
        <v>0.99930555555555556</v>
      </c>
      <c r="G87" s="20">
        <v>1.7361111111111109E-4</v>
      </c>
      <c r="H87" s="18" t="s">
        <v>140</v>
      </c>
      <c r="I87" s="21">
        <v>0.79949386574074077</v>
      </c>
      <c r="J87" s="18" t="s">
        <v>132</v>
      </c>
      <c r="K87" s="18" t="s">
        <v>131</v>
      </c>
      <c r="L87" s="22">
        <v>1</v>
      </c>
      <c r="M87" s="22">
        <v>64941</v>
      </c>
      <c r="N87" s="18" t="s">
        <v>53</v>
      </c>
      <c r="O87" s="22"/>
      <c r="P87" s="23">
        <v>50</v>
      </c>
      <c r="Q87" s="22"/>
      <c r="R87" s="23">
        <v>50</v>
      </c>
      <c r="S87" s="24">
        <v>46054</v>
      </c>
      <c r="T87" s="23">
        <v>0</v>
      </c>
      <c r="U87" s="25">
        <v>4</v>
      </c>
      <c r="V87" s="23">
        <v>50</v>
      </c>
      <c r="W87" s="18" t="s">
        <v>47</v>
      </c>
      <c r="X87" s="18" t="s">
        <v>48</v>
      </c>
      <c r="Y87" s="18" t="s">
        <v>36</v>
      </c>
      <c r="Z87" s="18" t="s">
        <v>9</v>
      </c>
      <c r="AA87" s="18" t="s">
        <v>49</v>
      </c>
      <c r="AB87" s="18" t="s">
        <v>134</v>
      </c>
      <c r="AC87" s="18" t="s">
        <v>38</v>
      </c>
      <c r="AD87" s="7" t="str">
        <f t="shared" si="1"/>
        <v/>
      </c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</row>
    <row r="88" spans="1:49" s="34" customFormat="1" ht="35.1" customHeight="1" x14ac:dyDescent="0.25">
      <c r="A88" s="9" t="s">
        <v>39</v>
      </c>
      <c r="B88" s="10">
        <v>46049</v>
      </c>
      <c r="C88" s="10">
        <v>46049</v>
      </c>
      <c r="D88" s="11" t="s">
        <v>166</v>
      </c>
      <c r="E88" s="12">
        <v>0.8125</v>
      </c>
      <c r="F88" s="12">
        <v>0.83333333333333337</v>
      </c>
      <c r="G88" s="12">
        <v>2.0833333333333332E-2</v>
      </c>
      <c r="H88" s="9" t="s">
        <v>143</v>
      </c>
      <c r="I88" s="13"/>
      <c r="J88" s="9" t="s">
        <v>132</v>
      </c>
      <c r="K88" s="9"/>
      <c r="L88" s="14">
        <v>1</v>
      </c>
      <c r="M88" s="14">
        <v>1</v>
      </c>
      <c r="N88" s="9" t="s">
        <v>33</v>
      </c>
      <c r="O88" s="9"/>
      <c r="P88" s="16">
        <v>0</v>
      </c>
      <c r="Q88" s="14"/>
      <c r="R88" s="16">
        <v>0</v>
      </c>
      <c r="S88" s="9">
        <v>46054</v>
      </c>
      <c r="T88" s="16">
        <v>0</v>
      </c>
      <c r="U88" s="14">
        <v>2</v>
      </c>
      <c r="V88" s="16">
        <v>0</v>
      </c>
      <c r="W88" s="9" t="s">
        <v>34</v>
      </c>
      <c r="X88" s="9" t="s">
        <v>42</v>
      </c>
      <c r="Y88" s="9" t="s">
        <v>36</v>
      </c>
      <c r="Z88" s="9" t="s">
        <v>43</v>
      </c>
      <c r="AA88" s="9" t="s">
        <v>37</v>
      </c>
      <c r="AB88" s="9" t="s">
        <v>37</v>
      </c>
      <c r="AC88" s="9" t="s">
        <v>38</v>
      </c>
      <c r="AD88" s="7" t="str">
        <f t="shared" si="1"/>
        <v/>
      </c>
      <c r="AE88" s="26"/>
      <c r="AF88" s="26"/>
      <c r="AG88" s="26"/>
      <c r="AH88" s="26"/>
      <c r="AI88" s="26"/>
      <c r="AJ88" s="26"/>
      <c r="AK88" s="26"/>
      <c r="AL88" s="26"/>
      <c r="AM88" s="26"/>
      <c r="AN88" s="26"/>
      <c r="AO88" s="26"/>
      <c r="AP88" s="26"/>
      <c r="AQ88" s="26"/>
      <c r="AR88" s="26"/>
      <c r="AS88" s="26"/>
      <c r="AT88" s="26"/>
      <c r="AU88" s="26"/>
      <c r="AV88" s="26"/>
      <c r="AW88" s="26"/>
    </row>
    <row r="89" spans="1:49" s="17" customFormat="1" ht="35.1" customHeight="1" x14ac:dyDescent="0.25">
      <c r="A89" s="18" t="s">
        <v>44</v>
      </c>
      <c r="B89" s="19">
        <v>46049</v>
      </c>
      <c r="C89" s="19">
        <v>46049</v>
      </c>
      <c r="D89" s="18" t="s">
        <v>166</v>
      </c>
      <c r="E89" s="20">
        <v>0.79166666666666663</v>
      </c>
      <c r="F89" s="20">
        <v>0.83333333333333337</v>
      </c>
      <c r="G89" s="20">
        <v>3.4722222222222218E-4</v>
      </c>
      <c r="H89" s="18" t="s">
        <v>45</v>
      </c>
      <c r="I89" s="21">
        <v>0.82255798611111108</v>
      </c>
      <c r="J89" s="18" t="s">
        <v>132</v>
      </c>
      <c r="K89" s="18" t="s">
        <v>156</v>
      </c>
      <c r="L89" s="22">
        <v>1</v>
      </c>
      <c r="M89" s="22">
        <v>70979</v>
      </c>
      <c r="N89" s="18" t="s">
        <v>53</v>
      </c>
      <c r="O89" s="22" t="str">
        <f>AC89</f>
        <v>CVC</v>
      </c>
      <c r="P89" s="23">
        <v>58.82</v>
      </c>
      <c r="Q89" s="22"/>
      <c r="R89" s="23">
        <v>58.82</v>
      </c>
      <c r="S89" s="24">
        <v>46054</v>
      </c>
      <c r="T89" s="23">
        <v>4.4115000000000002</v>
      </c>
      <c r="U89" s="25">
        <v>4</v>
      </c>
      <c r="V89" s="23">
        <v>54.408500000000004</v>
      </c>
      <c r="W89" s="18" t="s">
        <v>47</v>
      </c>
      <c r="X89" s="18" t="s">
        <v>48</v>
      </c>
      <c r="Y89" s="18" t="s">
        <v>36</v>
      </c>
      <c r="Z89" s="18" t="s">
        <v>9</v>
      </c>
      <c r="AA89" s="18" t="s">
        <v>49</v>
      </c>
      <c r="AB89" s="18" t="s">
        <v>50</v>
      </c>
      <c r="AC89" s="18" t="s">
        <v>38</v>
      </c>
      <c r="AD89" s="7" t="str">
        <f t="shared" si="1"/>
        <v/>
      </c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</row>
    <row r="90" spans="1:49" s="17" customFormat="1" ht="35.1" customHeight="1" x14ac:dyDescent="0.25">
      <c r="A90" s="18" t="s">
        <v>93</v>
      </c>
      <c r="B90" s="19">
        <v>46049</v>
      </c>
      <c r="C90" s="19">
        <v>46049</v>
      </c>
      <c r="D90" s="18" t="s">
        <v>166</v>
      </c>
      <c r="E90" s="20">
        <v>0.79166666666666663</v>
      </c>
      <c r="F90" s="20">
        <v>0.99930555555555556</v>
      </c>
      <c r="G90" s="28">
        <v>1.7361111111111109E-4</v>
      </c>
      <c r="H90" s="29" t="s">
        <v>190</v>
      </c>
      <c r="I90" s="21">
        <v>0.83244270833333334</v>
      </c>
      <c r="J90" s="18" t="s">
        <v>136</v>
      </c>
      <c r="K90" s="18" t="s">
        <v>156</v>
      </c>
      <c r="L90" s="22">
        <v>1</v>
      </c>
      <c r="M90" s="22">
        <v>69567</v>
      </c>
      <c r="N90" s="18" t="s">
        <v>46</v>
      </c>
      <c r="O90" s="22" t="s">
        <v>137</v>
      </c>
      <c r="P90" s="23">
        <v>0</v>
      </c>
      <c r="Q90" s="22"/>
      <c r="R90" s="23">
        <v>0</v>
      </c>
      <c r="S90" s="24">
        <v>46054</v>
      </c>
      <c r="T90" s="23">
        <v>0</v>
      </c>
      <c r="U90" s="25">
        <v>4</v>
      </c>
      <c r="V90" s="23">
        <v>0</v>
      </c>
      <c r="W90" s="18" t="s">
        <v>47</v>
      </c>
      <c r="X90" s="18" t="s">
        <v>48</v>
      </c>
      <c r="Y90" s="18" t="s">
        <v>36</v>
      </c>
      <c r="Z90" s="18" t="s">
        <v>9</v>
      </c>
      <c r="AA90" s="18" t="s">
        <v>49</v>
      </c>
      <c r="AB90" s="18" t="s">
        <v>138</v>
      </c>
      <c r="AC90" s="18" t="s">
        <v>38</v>
      </c>
      <c r="AD90" s="7" t="str">
        <f t="shared" si="1"/>
        <v/>
      </c>
      <c r="AE90" s="44"/>
      <c r="AF90" s="44"/>
      <c r="AG90" s="44"/>
      <c r="AH90" s="44"/>
      <c r="AI90" s="30"/>
      <c r="AJ90" s="30"/>
      <c r="AK90" s="30"/>
      <c r="AL90" s="30"/>
      <c r="AM90" s="30"/>
      <c r="AN90" s="30"/>
      <c r="AO90" s="30"/>
      <c r="AP90" s="30"/>
      <c r="AQ90" s="30"/>
      <c r="AR90" s="30"/>
      <c r="AS90" s="30"/>
      <c r="AT90" s="30"/>
      <c r="AU90" s="30"/>
      <c r="AV90" s="30"/>
      <c r="AW90" s="30"/>
    </row>
    <row r="91" spans="1:49" s="17" customFormat="1" ht="35.1" customHeight="1" x14ac:dyDescent="0.25">
      <c r="A91" s="18" t="s">
        <v>93</v>
      </c>
      <c r="B91" s="19">
        <v>46049</v>
      </c>
      <c r="C91" s="19">
        <v>46049</v>
      </c>
      <c r="D91" s="18" t="s">
        <v>166</v>
      </c>
      <c r="E91" s="20">
        <v>0.79166666666666663</v>
      </c>
      <c r="F91" s="20">
        <v>0.99930555555555556</v>
      </c>
      <c r="G91" s="28">
        <v>1.7361111111111109E-4</v>
      </c>
      <c r="H91" s="29" t="s">
        <v>191</v>
      </c>
      <c r="I91" s="21">
        <v>0.83296377314814818</v>
      </c>
      <c r="J91" s="18" t="s">
        <v>136</v>
      </c>
      <c r="K91" s="18" t="s">
        <v>156</v>
      </c>
      <c r="L91" s="22">
        <v>1</v>
      </c>
      <c r="M91" s="22">
        <v>69567</v>
      </c>
      <c r="N91" s="18" t="s">
        <v>46</v>
      </c>
      <c r="O91" s="22" t="s">
        <v>137</v>
      </c>
      <c r="P91" s="23">
        <v>0</v>
      </c>
      <c r="Q91" s="22"/>
      <c r="R91" s="23">
        <v>0</v>
      </c>
      <c r="S91" s="24">
        <v>46054</v>
      </c>
      <c r="T91" s="23">
        <v>0</v>
      </c>
      <c r="U91" s="25">
        <v>4</v>
      </c>
      <c r="V91" s="23">
        <v>0</v>
      </c>
      <c r="W91" s="18" t="s">
        <v>47</v>
      </c>
      <c r="X91" s="18" t="s">
        <v>48</v>
      </c>
      <c r="Y91" s="18" t="s">
        <v>36</v>
      </c>
      <c r="Z91" s="18" t="s">
        <v>9</v>
      </c>
      <c r="AA91" s="18" t="s">
        <v>49</v>
      </c>
      <c r="AB91" s="18" t="s">
        <v>138</v>
      </c>
      <c r="AC91" s="18" t="s">
        <v>38</v>
      </c>
      <c r="AD91" s="7" t="str">
        <f t="shared" si="1"/>
        <v/>
      </c>
      <c r="AE91" s="26"/>
      <c r="AF91" s="26"/>
      <c r="AG91" s="26"/>
      <c r="AH91" s="26"/>
      <c r="AI91" s="26"/>
      <c r="AJ91" s="26"/>
      <c r="AK91" s="26"/>
      <c r="AL91" s="26"/>
      <c r="AM91" s="26"/>
      <c r="AN91" s="26"/>
      <c r="AO91" s="26"/>
      <c r="AP91" s="26"/>
      <c r="AQ91" s="26"/>
      <c r="AR91" s="26"/>
      <c r="AS91" s="26"/>
      <c r="AT91" s="26"/>
      <c r="AU91" s="26"/>
      <c r="AV91" s="26"/>
      <c r="AW91" s="26"/>
    </row>
    <row r="92" spans="1:49" s="17" customFormat="1" ht="35.1" customHeight="1" x14ac:dyDescent="0.25">
      <c r="A92" s="18" t="s">
        <v>78</v>
      </c>
      <c r="B92" s="19">
        <v>46049</v>
      </c>
      <c r="C92" s="19">
        <v>46049</v>
      </c>
      <c r="D92" s="18" t="s">
        <v>166</v>
      </c>
      <c r="E92" s="20">
        <v>0.79166666666666663</v>
      </c>
      <c r="F92" s="20">
        <v>0.99930555555555556</v>
      </c>
      <c r="G92" s="20">
        <v>3.4722222222222218E-4</v>
      </c>
      <c r="H92" s="18" t="s">
        <v>133</v>
      </c>
      <c r="I92" s="21">
        <v>0.83261631944444447</v>
      </c>
      <c r="J92" s="18" t="s">
        <v>132</v>
      </c>
      <c r="K92" s="18" t="s">
        <v>156</v>
      </c>
      <c r="L92" s="22">
        <v>1</v>
      </c>
      <c r="M92" s="22">
        <v>64932</v>
      </c>
      <c r="N92" s="18" t="s">
        <v>53</v>
      </c>
      <c r="O92" s="22"/>
      <c r="P92" s="23">
        <v>30</v>
      </c>
      <c r="Q92" s="22"/>
      <c r="R92" s="23">
        <v>30</v>
      </c>
      <c r="S92" s="24">
        <v>46054</v>
      </c>
      <c r="T92" s="23">
        <v>0</v>
      </c>
      <c r="U92" s="25">
        <v>4</v>
      </c>
      <c r="V92" s="23">
        <v>30</v>
      </c>
      <c r="W92" s="18" t="s">
        <v>47</v>
      </c>
      <c r="X92" s="18" t="s">
        <v>48</v>
      </c>
      <c r="Y92" s="18" t="s">
        <v>36</v>
      </c>
      <c r="Z92" s="18" t="s">
        <v>9</v>
      </c>
      <c r="AA92" s="18" t="s">
        <v>49</v>
      </c>
      <c r="AB92" s="18" t="s">
        <v>134</v>
      </c>
      <c r="AC92" s="18" t="s">
        <v>38</v>
      </c>
      <c r="AD92" s="7" t="str">
        <f t="shared" si="1"/>
        <v/>
      </c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</row>
    <row r="93" spans="1:49" s="34" customFormat="1" ht="35.1" customHeight="1" x14ac:dyDescent="0.25">
      <c r="A93" s="9" t="s">
        <v>144</v>
      </c>
      <c r="B93" s="10">
        <v>46049</v>
      </c>
      <c r="C93" s="10">
        <v>46049</v>
      </c>
      <c r="D93" s="11" t="s">
        <v>166</v>
      </c>
      <c r="E93" s="12">
        <v>0.83333333333333337</v>
      </c>
      <c r="F93" s="12">
        <v>0.875</v>
      </c>
      <c r="G93" s="12">
        <v>4.1666666666666664E-2</v>
      </c>
      <c r="H93" s="9" t="s">
        <v>145</v>
      </c>
      <c r="I93" s="13"/>
      <c r="J93" s="9" t="s">
        <v>41</v>
      </c>
      <c r="K93" s="9"/>
      <c r="L93" s="14">
        <v>1</v>
      </c>
      <c r="M93" s="14">
        <v>1</v>
      </c>
      <c r="N93" s="9" t="s">
        <v>33</v>
      </c>
      <c r="O93" s="9"/>
      <c r="P93" s="16">
        <v>0</v>
      </c>
      <c r="Q93" s="14"/>
      <c r="R93" s="16">
        <v>0</v>
      </c>
      <c r="S93" s="9">
        <v>46054</v>
      </c>
      <c r="T93" s="16">
        <v>0</v>
      </c>
      <c r="U93" s="14">
        <v>2</v>
      </c>
      <c r="V93" s="16">
        <v>0</v>
      </c>
      <c r="W93" s="9" t="s">
        <v>34</v>
      </c>
      <c r="X93" s="9" t="s">
        <v>42</v>
      </c>
      <c r="Y93" s="9" t="s">
        <v>36</v>
      </c>
      <c r="Z93" s="9" t="s">
        <v>43</v>
      </c>
      <c r="AA93" s="9" t="s">
        <v>37</v>
      </c>
      <c r="AB93" s="9" t="s">
        <v>37</v>
      </c>
      <c r="AC93" s="9" t="s">
        <v>38</v>
      </c>
      <c r="AD93" s="7" t="str">
        <f t="shared" si="1"/>
        <v/>
      </c>
      <c r="AE93" s="26"/>
      <c r="AF93" s="26"/>
      <c r="AG93" s="26"/>
      <c r="AH93" s="26"/>
      <c r="AI93" s="26"/>
      <c r="AJ93" s="26"/>
      <c r="AK93" s="26"/>
      <c r="AL93" s="26"/>
      <c r="AM93" s="26"/>
      <c r="AN93" s="26"/>
      <c r="AO93" s="26"/>
      <c r="AP93" s="26"/>
      <c r="AQ93" s="26"/>
      <c r="AR93" s="26"/>
      <c r="AS93" s="26"/>
      <c r="AT93" s="26"/>
      <c r="AU93" s="26"/>
      <c r="AV93" s="26"/>
      <c r="AW93" s="26"/>
    </row>
    <row r="94" spans="1:49" s="17" customFormat="1" ht="35.1" customHeight="1" x14ac:dyDescent="0.25">
      <c r="A94" s="18" t="s">
        <v>93</v>
      </c>
      <c r="B94" s="19">
        <v>46049</v>
      </c>
      <c r="C94" s="19">
        <v>46049</v>
      </c>
      <c r="D94" s="18" t="s">
        <v>166</v>
      </c>
      <c r="E94" s="20">
        <v>0.79166666666666663</v>
      </c>
      <c r="F94" s="20">
        <v>0.99930555555555556</v>
      </c>
      <c r="G94" s="28">
        <v>1.7361111111111109E-4</v>
      </c>
      <c r="H94" s="29" t="s">
        <v>135</v>
      </c>
      <c r="I94" s="21">
        <v>0.83959756944444441</v>
      </c>
      <c r="J94" s="18" t="s">
        <v>136</v>
      </c>
      <c r="K94" s="18" t="s">
        <v>157</v>
      </c>
      <c r="L94" s="22">
        <v>1</v>
      </c>
      <c r="M94" s="22">
        <v>69566</v>
      </c>
      <c r="N94" s="18" t="s">
        <v>53</v>
      </c>
      <c r="O94" s="22" t="s">
        <v>137</v>
      </c>
      <c r="P94" s="23">
        <v>0</v>
      </c>
      <c r="Q94" s="22"/>
      <c r="R94" s="23">
        <v>16.531831119544499</v>
      </c>
      <c r="S94" s="24">
        <v>46054</v>
      </c>
      <c r="T94" s="23">
        <v>0</v>
      </c>
      <c r="U94" s="25">
        <v>4</v>
      </c>
      <c r="V94" s="23">
        <v>0</v>
      </c>
      <c r="W94" s="18" t="s">
        <v>47</v>
      </c>
      <c r="X94" s="18" t="s">
        <v>48</v>
      </c>
      <c r="Y94" s="18" t="s">
        <v>36</v>
      </c>
      <c r="Z94" s="18" t="s">
        <v>9</v>
      </c>
      <c r="AA94" s="18" t="s">
        <v>49</v>
      </c>
      <c r="AB94" s="18" t="s">
        <v>138</v>
      </c>
      <c r="AC94" s="18" t="s">
        <v>38</v>
      </c>
      <c r="AD94" s="7" t="str">
        <f t="shared" si="1"/>
        <v/>
      </c>
      <c r="AE94" s="26"/>
      <c r="AF94" s="26"/>
      <c r="AG94" s="26"/>
      <c r="AH94" s="26"/>
      <c r="AI94" s="26"/>
      <c r="AJ94" s="26"/>
      <c r="AK94" s="26"/>
      <c r="AL94" s="26"/>
      <c r="AM94" s="26"/>
      <c r="AN94" s="26"/>
      <c r="AO94" s="26"/>
      <c r="AP94" s="26"/>
      <c r="AQ94" s="26"/>
      <c r="AR94" s="26"/>
      <c r="AS94" s="26"/>
      <c r="AT94" s="26"/>
      <c r="AU94" s="26"/>
      <c r="AV94" s="26"/>
      <c r="AW94" s="26"/>
    </row>
    <row r="95" spans="1:49" s="17" customFormat="1" ht="35.1" customHeight="1" x14ac:dyDescent="0.25">
      <c r="A95" s="18" t="s">
        <v>93</v>
      </c>
      <c r="B95" s="19">
        <v>46049</v>
      </c>
      <c r="C95" s="19">
        <v>46049</v>
      </c>
      <c r="D95" s="18" t="s">
        <v>166</v>
      </c>
      <c r="E95" s="20">
        <v>0.79166666666666663</v>
      </c>
      <c r="F95" s="20">
        <v>0.99930555555555556</v>
      </c>
      <c r="G95" s="28">
        <v>1.7361111111111109E-4</v>
      </c>
      <c r="H95" s="29" t="s">
        <v>139</v>
      </c>
      <c r="I95" s="21">
        <v>0.84081261574074084</v>
      </c>
      <c r="J95" s="18" t="s">
        <v>136</v>
      </c>
      <c r="K95" s="18" t="s">
        <v>157</v>
      </c>
      <c r="L95" s="22">
        <v>1</v>
      </c>
      <c r="M95" s="22">
        <v>69566</v>
      </c>
      <c r="N95" s="18" t="s">
        <v>53</v>
      </c>
      <c r="O95" s="22" t="s">
        <v>137</v>
      </c>
      <c r="P95" s="23">
        <v>0</v>
      </c>
      <c r="Q95" s="22"/>
      <c r="R95" s="23">
        <v>16.531831119544499</v>
      </c>
      <c r="S95" s="24">
        <v>46054</v>
      </c>
      <c r="T95" s="23">
        <v>0</v>
      </c>
      <c r="U95" s="25">
        <v>4</v>
      </c>
      <c r="V95" s="23">
        <v>0</v>
      </c>
      <c r="W95" s="18" t="s">
        <v>47</v>
      </c>
      <c r="X95" s="18" t="s">
        <v>48</v>
      </c>
      <c r="Y95" s="18" t="s">
        <v>36</v>
      </c>
      <c r="Z95" s="18" t="s">
        <v>9</v>
      </c>
      <c r="AA95" s="18" t="s">
        <v>49</v>
      </c>
      <c r="AB95" s="18" t="s">
        <v>138</v>
      </c>
      <c r="AC95" s="18" t="s">
        <v>38</v>
      </c>
      <c r="AD95" s="7" t="str">
        <f t="shared" si="1"/>
        <v/>
      </c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</row>
    <row r="96" spans="1:49" s="17" customFormat="1" ht="35.1" customHeight="1" x14ac:dyDescent="0.25">
      <c r="A96" s="18" t="s">
        <v>56</v>
      </c>
      <c r="B96" s="19">
        <v>46049</v>
      </c>
      <c r="C96" s="19">
        <v>46049</v>
      </c>
      <c r="D96" s="18" t="s">
        <v>166</v>
      </c>
      <c r="E96" s="20">
        <v>0.25</v>
      </c>
      <c r="F96" s="20">
        <v>0.99930555555555556</v>
      </c>
      <c r="G96" s="28">
        <v>1.7361111111111112E-4</v>
      </c>
      <c r="H96" s="29" t="s">
        <v>57</v>
      </c>
      <c r="I96" s="21">
        <v>0.87421620370370368</v>
      </c>
      <c r="J96" s="18" t="s">
        <v>41</v>
      </c>
      <c r="K96" s="18" t="s">
        <v>157</v>
      </c>
      <c r="L96" s="22">
        <v>1</v>
      </c>
      <c r="M96" s="22">
        <v>69827</v>
      </c>
      <c r="N96" s="18" t="s">
        <v>53</v>
      </c>
      <c r="O96" s="22"/>
      <c r="P96" s="23">
        <v>23</v>
      </c>
      <c r="Q96" s="22"/>
      <c r="R96" s="23">
        <v>23</v>
      </c>
      <c r="S96" s="24">
        <v>46049</v>
      </c>
      <c r="T96" s="23">
        <v>0</v>
      </c>
      <c r="U96" s="25">
        <v>4</v>
      </c>
      <c r="V96" s="23">
        <v>23</v>
      </c>
      <c r="W96" s="18" t="s">
        <v>34</v>
      </c>
      <c r="X96" s="18" t="s">
        <v>48</v>
      </c>
      <c r="Y96" s="18" t="s">
        <v>58</v>
      </c>
      <c r="Z96" s="18" t="s">
        <v>43</v>
      </c>
      <c r="AA96" s="18" t="s">
        <v>49</v>
      </c>
      <c r="AB96" s="18" t="s">
        <v>59</v>
      </c>
      <c r="AC96" s="18" t="s">
        <v>38</v>
      </c>
      <c r="AD96" s="7" t="str">
        <f t="shared" si="1"/>
        <v/>
      </c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</row>
    <row r="97" spans="1:49" s="17" customFormat="1" ht="35.1" customHeight="1" x14ac:dyDescent="0.25">
      <c r="A97" s="18" t="s">
        <v>56</v>
      </c>
      <c r="B97" s="19">
        <v>46049</v>
      </c>
      <c r="C97" s="19">
        <v>46049</v>
      </c>
      <c r="D97" s="18" t="s">
        <v>166</v>
      </c>
      <c r="E97" s="20">
        <v>0.25</v>
      </c>
      <c r="F97" s="20">
        <v>0.99930555555555556</v>
      </c>
      <c r="G97" s="28">
        <v>1.7361111111111112E-4</v>
      </c>
      <c r="H97" s="29" t="s">
        <v>60</v>
      </c>
      <c r="I97" s="21">
        <v>0.87473715277777775</v>
      </c>
      <c r="J97" s="18" t="s">
        <v>41</v>
      </c>
      <c r="K97" s="18" t="s">
        <v>157</v>
      </c>
      <c r="L97" s="22">
        <v>1</v>
      </c>
      <c r="M97" s="22">
        <v>69827</v>
      </c>
      <c r="N97" s="18" t="s">
        <v>53</v>
      </c>
      <c r="O97" s="22"/>
      <c r="P97" s="23">
        <v>0</v>
      </c>
      <c r="Q97" s="22"/>
      <c r="R97" s="23">
        <v>0</v>
      </c>
      <c r="S97" s="24">
        <v>46049</v>
      </c>
      <c r="T97" s="23">
        <v>0</v>
      </c>
      <c r="U97" s="25">
        <v>4</v>
      </c>
      <c r="V97" s="23">
        <v>0</v>
      </c>
      <c r="W97" s="18" t="s">
        <v>34</v>
      </c>
      <c r="X97" s="18" t="s">
        <v>48</v>
      </c>
      <c r="Y97" s="18" t="s">
        <v>58</v>
      </c>
      <c r="Z97" s="18" t="s">
        <v>43</v>
      </c>
      <c r="AA97" s="18" t="s">
        <v>49</v>
      </c>
      <c r="AB97" s="18" t="s">
        <v>59</v>
      </c>
      <c r="AC97" s="18" t="s">
        <v>38</v>
      </c>
      <c r="AD97" s="7" t="str">
        <f t="shared" si="1"/>
        <v/>
      </c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</row>
    <row r="98" spans="1:49" s="34" customFormat="1" ht="35.1" customHeight="1" x14ac:dyDescent="0.25">
      <c r="A98" s="9" t="s">
        <v>146</v>
      </c>
      <c r="B98" s="10">
        <v>46049</v>
      </c>
      <c r="C98" s="10">
        <v>46049</v>
      </c>
      <c r="D98" s="11" t="s">
        <v>166</v>
      </c>
      <c r="E98" s="12">
        <v>0.875</v>
      </c>
      <c r="F98" s="12">
        <v>0.91666666666666663</v>
      </c>
      <c r="G98" s="12">
        <v>4.1666666666666664E-2</v>
      </c>
      <c r="H98" s="9" t="s">
        <v>147</v>
      </c>
      <c r="I98" s="13"/>
      <c r="J98" s="9" t="s">
        <v>41</v>
      </c>
      <c r="K98" s="9"/>
      <c r="L98" s="14">
        <v>1</v>
      </c>
      <c r="M98" s="14">
        <v>1</v>
      </c>
      <c r="N98" s="9" t="s">
        <v>33</v>
      </c>
      <c r="O98" s="9"/>
      <c r="P98" s="16">
        <v>0</v>
      </c>
      <c r="Q98" s="14"/>
      <c r="R98" s="16">
        <v>0</v>
      </c>
      <c r="S98" s="9">
        <v>46054</v>
      </c>
      <c r="T98" s="16">
        <v>0</v>
      </c>
      <c r="U98" s="14">
        <v>2</v>
      </c>
      <c r="V98" s="16">
        <v>0</v>
      </c>
      <c r="W98" s="9" t="s">
        <v>34</v>
      </c>
      <c r="X98" s="9" t="s">
        <v>42</v>
      </c>
      <c r="Y98" s="9" t="s">
        <v>36</v>
      </c>
      <c r="Z98" s="9" t="s">
        <v>43</v>
      </c>
      <c r="AA98" s="9" t="s">
        <v>37</v>
      </c>
      <c r="AB98" s="9" t="s">
        <v>37</v>
      </c>
      <c r="AC98" s="9" t="s">
        <v>38</v>
      </c>
      <c r="AD98" s="7" t="str">
        <f t="shared" si="1"/>
        <v/>
      </c>
      <c r="AE98" s="26"/>
      <c r="AF98" s="26"/>
      <c r="AG98" s="26"/>
      <c r="AH98" s="26"/>
      <c r="AI98" s="26"/>
      <c r="AJ98" s="26"/>
      <c r="AK98" s="26"/>
      <c r="AL98" s="26"/>
      <c r="AM98" s="26"/>
      <c r="AN98" s="26"/>
      <c r="AO98" s="26"/>
      <c r="AP98" s="26"/>
      <c r="AQ98" s="26"/>
      <c r="AR98" s="26"/>
      <c r="AS98" s="26"/>
      <c r="AT98" s="26"/>
      <c r="AU98" s="26"/>
      <c r="AV98" s="26"/>
      <c r="AW98" s="26"/>
    </row>
    <row r="99" spans="1:49" s="17" customFormat="1" ht="35.1" customHeight="1" x14ac:dyDescent="0.25">
      <c r="A99" s="18" t="s">
        <v>127</v>
      </c>
      <c r="B99" s="19">
        <v>46049</v>
      </c>
      <c r="C99" s="19">
        <v>46049</v>
      </c>
      <c r="D99" s="18" t="s">
        <v>166</v>
      </c>
      <c r="E99" s="20">
        <v>0.875</v>
      </c>
      <c r="F99" s="20">
        <v>0.97916666666666663</v>
      </c>
      <c r="G99" s="20">
        <v>3.4722222222222218E-4</v>
      </c>
      <c r="H99" s="18" t="s">
        <v>192</v>
      </c>
      <c r="I99" s="21">
        <v>0.88053240740740746</v>
      </c>
      <c r="J99" s="18" t="s">
        <v>41</v>
      </c>
      <c r="K99" s="18" t="s">
        <v>147</v>
      </c>
      <c r="L99" s="22">
        <v>1</v>
      </c>
      <c r="M99" s="22">
        <v>69753</v>
      </c>
      <c r="N99" s="18" t="s">
        <v>53</v>
      </c>
      <c r="O99" s="22" t="s">
        <v>129</v>
      </c>
      <c r="P99" s="23">
        <v>65</v>
      </c>
      <c r="Q99" s="22"/>
      <c r="R99" s="23">
        <v>65</v>
      </c>
      <c r="S99" s="24">
        <v>46054</v>
      </c>
      <c r="T99" s="23">
        <v>9.75</v>
      </c>
      <c r="U99" s="25">
        <v>4</v>
      </c>
      <c r="V99" s="23">
        <v>55.25</v>
      </c>
      <c r="W99" s="18" t="s">
        <v>47</v>
      </c>
      <c r="X99" s="18" t="s">
        <v>48</v>
      </c>
      <c r="Y99" s="18" t="s">
        <v>36</v>
      </c>
      <c r="Z99" s="18" t="s">
        <v>9</v>
      </c>
      <c r="AA99" s="18" t="s">
        <v>49</v>
      </c>
      <c r="AB99" s="18" t="s">
        <v>130</v>
      </c>
      <c r="AC99" s="18" t="s">
        <v>38</v>
      </c>
      <c r="AD99" s="7" t="str">
        <f t="shared" si="1"/>
        <v/>
      </c>
      <c r="AE99" s="26"/>
      <c r="AF99" s="26"/>
      <c r="AG99" s="26"/>
      <c r="AH99" s="26"/>
      <c r="AI99" s="27"/>
      <c r="AJ99" s="27"/>
      <c r="AK99" s="27"/>
      <c r="AL99" s="27"/>
      <c r="AM99" s="27"/>
      <c r="AN99" s="27"/>
      <c r="AO99" s="27"/>
      <c r="AP99" s="27"/>
      <c r="AQ99" s="27"/>
      <c r="AR99" s="27"/>
      <c r="AS99" s="27"/>
      <c r="AT99" s="27"/>
      <c r="AU99" s="27"/>
      <c r="AV99" s="27"/>
      <c r="AW99" s="27"/>
    </row>
    <row r="100" spans="1:49" s="17" customFormat="1" ht="35.1" customHeight="1" x14ac:dyDescent="0.25">
      <c r="A100" s="18" t="s">
        <v>93</v>
      </c>
      <c r="B100" s="19">
        <v>46049</v>
      </c>
      <c r="C100" s="19">
        <v>46049</v>
      </c>
      <c r="D100" s="18" t="s">
        <v>166</v>
      </c>
      <c r="E100" s="20">
        <v>0.79166666666666663</v>
      </c>
      <c r="F100" s="20">
        <v>0.99930555555555556</v>
      </c>
      <c r="G100" s="28">
        <v>1.7361111111111109E-4</v>
      </c>
      <c r="H100" s="29" t="s">
        <v>135</v>
      </c>
      <c r="I100" s="21">
        <v>0.90653935185185186</v>
      </c>
      <c r="J100" s="18" t="s">
        <v>136</v>
      </c>
      <c r="K100" s="18" t="s">
        <v>147</v>
      </c>
      <c r="L100" s="22">
        <v>1</v>
      </c>
      <c r="M100" s="22">
        <v>69566</v>
      </c>
      <c r="N100" s="18" t="s">
        <v>53</v>
      </c>
      <c r="O100" s="22" t="s">
        <v>137</v>
      </c>
      <c r="P100" s="23">
        <v>0</v>
      </c>
      <c r="Q100" s="22"/>
      <c r="R100" s="23">
        <v>16.531831119544499</v>
      </c>
      <c r="S100" s="24">
        <v>46054</v>
      </c>
      <c r="T100" s="23">
        <v>0</v>
      </c>
      <c r="U100" s="25">
        <v>4</v>
      </c>
      <c r="V100" s="23">
        <v>0</v>
      </c>
      <c r="W100" s="18" t="s">
        <v>47</v>
      </c>
      <c r="X100" s="18" t="s">
        <v>48</v>
      </c>
      <c r="Y100" s="18" t="s">
        <v>36</v>
      </c>
      <c r="Z100" s="18" t="s">
        <v>9</v>
      </c>
      <c r="AA100" s="18" t="s">
        <v>49</v>
      </c>
      <c r="AB100" s="18" t="s">
        <v>138</v>
      </c>
      <c r="AC100" s="18" t="s">
        <v>38</v>
      </c>
      <c r="AD100" s="7" t="str">
        <f t="shared" si="1"/>
        <v/>
      </c>
      <c r="AE100" s="26"/>
      <c r="AF100" s="26"/>
      <c r="AG100" s="26"/>
      <c r="AH100" s="26"/>
      <c r="AI100" s="27"/>
      <c r="AJ100" s="27"/>
      <c r="AK100" s="27"/>
      <c r="AL100" s="27"/>
      <c r="AM100" s="27"/>
      <c r="AN100" s="27"/>
      <c r="AO100" s="27"/>
      <c r="AP100" s="27"/>
      <c r="AQ100" s="27"/>
      <c r="AR100" s="27"/>
      <c r="AS100" s="27"/>
      <c r="AT100" s="27"/>
      <c r="AU100" s="27"/>
      <c r="AV100" s="27"/>
      <c r="AW100" s="27"/>
    </row>
    <row r="101" spans="1:49" s="17" customFormat="1" ht="35.1" customHeight="1" x14ac:dyDescent="0.25">
      <c r="A101" s="18" t="s">
        <v>93</v>
      </c>
      <c r="B101" s="19">
        <v>46049</v>
      </c>
      <c r="C101" s="19">
        <v>46049</v>
      </c>
      <c r="D101" s="18" t="s">
        <v>166</v>
      </c>
      <c r="E101" s="20">
        <v>0.79166666666666663</v>
      </c>
      <c r="F101" s="20">
        <v>0.99930555555555556</v>
      </c>
      <c r="G101" s="28">
        <v>1.7361111111111109E-4</v>
      </c>
      <c r="H101" s="29" t="s">
        <v>139</v>
      </c>
      <c r="I101" s="21">
        <v>0.90827546296296291</v>
      </c>
      <c r="J101" s="18" t="s">
        <v>136</v>
      </c>
      <c r="K101" s="18" t="s">
        <v>147</v>
      </c>
      <c r="L101" s="22">
        <v>1</v>
      </c>
      <c r="M101" s="22">
        <v>69566</v>
      </c>
      <c r="N101" s="18" t="s">
        <v>53</v>
      </c>
      <c r="O101" s="22" t="s">
        <v>137</v>
      </c>
      <c r="P101" s="23">
        <v>0</v>
      </c>
      <c r="Q101" s="22"/>
      <c r="R101" s="23">
        <v>16.531831119544499</v>
      </c>
      <c r="S101" s="24">
        <v>46054</v>
      </c>
      <c r="T101" s="23">
        <v>0</v>
      </c>
      <c r="U101" s="25">
        <v>4</v>
      </c>
      <c r="V101" s="23">
        <v>0</v>
      </c>
      <c r="W101" s="18" t="s">
        <v>47</v>
      </c>
      <c r="X101" s="18" t="s">
        <v>48</v>
      </c>
      <c r="Y101" s="18" t="s">
        <v>36</v>
      </c>
      <c r="Z101" s="18" t="s">
        <v>9</v>
      </c>
      <c r="AA101" s="18" t="s">
        <v>49</v>
      </c>
      <c r="AB101" s="18" t="s">
        <v>138</v>
      </c>
      <c r="AC101" s="18" t="s">
        <v>38</v>
      </c>
      <c r="AD101" s="7" t="str">
        <f t="shared" si="1"/>
        <v/>
      </c>
      <c r="AE101" s="26"/>
      <c r="AF101" s="26"/>
      <c r="AG101" s="26"/>
      <c r="AH101" s="26"/>
      <c r="AI101" s="27"/>
      <c r="AJ101" s="27"/>
      <c r="AK101" s="27"/>
      <c r="AL101" s="27"/>
      <c r="AM101" s="27"/>
      <c r="AN101" s="27"/>
      <c r="AO101" s="27"/>
      <c r="AP101" s="27"/>
      <c r="AQ101" s="27"/>
      <c r="AR101" s="27"/>
      <c r="AS101" s="27"/>
      <c r="AT101" s="27"/>
      <c r="AU101" s="27"/>
      <c r="AV101" s="27"/>
      <c r="AW101" s="27"/>
    </row>
    <row r="102" spans="1:49" s="17" customFormat="1" ht="35.1" customHeight="1" x14ac:dyDescent="0.25">
      <c r="A102" s="18" t="s">
        <v>78</v>
      </c>
      <c r="B102" s="19">
        <v>46049</v>
      </c>
      <c r="C102" s="19">
        <v>46049</v>
      </c>
      <c r="D102" s="18" t="s">
        <v>166</v>
      </c>
      <c r="E102" s="20">
        <v>0.79166666666666663</v>
      </c>
      <c r="F102" s="20">
        <v>0.99930555555555556</v>
      </c>
      <c r="G102" s="20">
        <v>3.4722222222222218E-4</v>
      </c>
      <c r="H102" s="18" t="s">
        <v>133</v>
      </c>
      <c r="I102" s="21">
        <v>0.91552083333333334</v>
      </c>
      <c r="J102" s="18" t="s">
        <v>41</v>
      </c>
      <c r="K102" s="18" t="s">
        <v>147</v>
      </c>
      <c r="L102" s="22">
        <v>1</v>
      </c>
      <c r="M102" s="22">
        <v>64937</v>
      </c>
      <c r="N102" s="18" t="s">
        <v>46</v>
      </c>
      <c r="O102" s="22"/>
      <c r="P102" s="23">
        <v>0</v>
      </c>
      <c r="Q102" s="22"/>
      <c r="R102" s="23">
        <v>0</v>
      </c>
      <c r="S102" s="24">
        <v>46054</v>
      </c>
      <c r="T102" s="23">
        <v>0</v>
      </c>
      <c r="U102" s="25">
        <v>4</v>
      </c>
      <c r="V102" s="23">
        <v>0</v>
      </c>
      <c r="W102" s="18" t="s">
        <v>47</v>
      </c>
      <c r="X102" s="18" t="s">
        <v>48</v>
      </c>
      <c r="Y102" s="18" t="s">
        <v>36</v>
      </c>
      <c r="Z102" s="18" t="s">
        <v>9</v>
      </c>
      <c r="AA102" s="18" t="s">
        <v>49</v>
      </c>
      <c r="AB102" s="18" t="s">
        <v>134</v>
      </c>
      <c r="AC102" s="18" t="s">
        <v>38</v>
      </c>
      <c r="AD102" s="7" t="str">
        <f t="shared" si="1"/>
        <v/>
      </c>
      <c r="AE102" s="26"/>
      <c r="AF102" s="26"/>
      <c r="AG102" s="26"/>
      <c r="AH102" s="26"/>
      <c r="AI102" s="26"/>
      <c r="AJ102" s="26"/>
      <c r="AK102" s="26"/>
      <c r="AL102" s="26"/>
      <c r="AM102" s="26"/>
      <c r="AN102" s="26"/>
      <c r="AO102" s="26"/>
      <c r="AP102" s="26"/>
      <c r="AQ102" s="26"/>
      <c r="AR102" s="26"/>
      <c r="AS102" s="26"/>
      <c r="AT102" s="26"/>
      <c r="AU102" s="26"/>
      <c r="AV102" s="26"/>
      <c r="AW102" s="26"/>
    </row>
    <row r="103" spans="1:49" s="34" customFormat="1" ht="35.1" customHeight="1" x14ac:dyDescent="0.25">
      <c r="A103" s="9" t="s">
        <v>146</v>
      </c>
      <c r="B103" s="10">
        <v>46049</v>
      </c>
      <c r="C103" s="10">
        <v>46049</v>
      </c>
      <c r="D103" s="11" t="s">
        <v>166</v>
      </c>
      <c r="E103" s="12">
        <v>0.91666666666666663</v>
      </c>
      <c r="F103" s="12">
        <v>0.97916666666666663</v>
      </c>
      <c r="G103" s="12">
        <v>6.25E-2</v>
      </c>
      <c r="H103" s="9" t="s">
        <v>193</v>
      </c>
      <c r="I103" s="13"/>
      <c r="J103" s="9" t="s">
        <v>41</v>
      </c>
      <c r="K103" s="9"/>
      <c r="L103" s="14">
        <v>1</v>
      </c>
      <c r="M103" s="14">
        <v>1</v>
      </c>
      <c r="N103" s="9" t="s">
        <v>33</v>
      </c>
      <c r="O103" s="9"/>
      <c r="P103" s="16">
        <v>0</v>
      </c>
      <c r="Q103" s="14"/>
      <c r="R103" s="16">
        <v>0</v>
      </c>
      <c r="S103" s="9">
        <v>46054</v>
      </c>
      <c r="T103" s="16">
        <v>0</v>
      </c>
      <c r="U103" s="14">
        <v>2</v>
      </c>
      <c r="V103" s="16">
        <v>0</v>
      </c>
      <c r="W103" s="9" t="s">
        <v>34</v>
      </c>
      <c r="X103" s="9" t="s">
        <v>42</v>
      </c>
      <c r="Y103" s="9" t="s">
        <v>36</v>
      </c>
      <c r="Z103" s="9" t="s">
        <v>43</v>
      </c>
      <c r="AA103" s="9" t="s">
        <v>37</v>
      </c>
      <c r="AB103" s="9" t="s">
        <v>37</v>
      </c>
      <c r="AC103" s="9" t="s">
        <v>38</v>
      </c>
      <c r="AD103" s="7" t="str">
        <f t="shared" si="1"/>
        <v/>
      </c>
      <c r="AE103" s="26"/>
      <c r="AF103" s="26"/>
      <c r="AG103" s="26"/>
      <c r="AH103" s="26"/>
      <c r="AI103" s="26"/>
      <c r="AJ103" s="26"/>
      <c r="AK103" s="26"/>
      <c r="AL103" s="26"/>
      <c r="AM103" s="26"/>
      <c r="AN103" s="26"/>
      <c r="AO103" s="26"/>
      <c r="AP103" s="26"/>
      <c r="AQ103" s="26"/>
      <c r="AR103" s="26"/>
      <c r="AS103" s="26"/>
      <c r="AT103" s="26"/>
      <c r="AU103" s="26"/>
      <c r="AV103" s="26"/>
      <c r="AW103" s="26"/>
    </row>
    <row r="104" spans="1:49" s="17" customFormat="1" ht="35.1" customHeight="1" x14ac:dyDescent="0.25">
      <c r="A104" s="18" t="s">
        <v>93</v>
      </c>
      <c r="B104" s="19">
        <v>46049</v>
      </c>
      <c r="C104" s="19">
        <v>46049</v>
      </c>
      <c r="D104" s="18" t="s">
        <v>166</v>
      </c>
      <c r="E104" s="20">
        <v>0.79166666666666663</v>
      </c>
      <c r="F104" s="20">
        <v>0.99930555555555556</v>
      </c>
      <c r="G104" s="28">
        <v>1.7361111111111109E-4</v>
      </c>
      <c r="H104" s="29" t="s">
        <v>135</v>
      </c>
      <c r="I104" s="21">
        <v>0.9715625</v>
      </c>
      <c r="J104" s="18" t="s">
        <v>136</v>
      </c>
      <c r="K104" s="18" t="s">
        <v>193</v>
      </c>
      <c r="L104" s="22">
        <v>1</v>
      </c>
      <c r="M104" s="22">
        <v>69567</v>
      </c>
      <c r="N104" s="18" t="s">
        <v>46</v>
      </c>
      <c r="O104" s="22" t="s">
        <v>137</v>
      </c>
      <c r="P104" s="23">
        <v>0</v>
      </c>
      <c r="Q104" s="22"/>
      <c r="R104" s="23">
        <v>0</v>
      </c>
      <c r="S104" s="24">
        <v>46054</v>
      </c>
      <c r="T104" s="23">
        <v>0</v>
      </c>
      <c r="U104" s="25">
        <v>4</v>
      </c>
      <c r="V104" s="23">
        <v>0</v>
      </c>
      <c r="W104" s="18" t="s">
        <v>47</v>
      </c>
      <c r="X104" s="18" t="s">
        <v>48</v>
      </c>
      <c r="Y104" s="18" t="s">
        <v>36</v>
      </c>
      <c r="Z104" s="18" t="s">
        <v>9</v>
      </c>
      <c r="AA104" s="18" t="s">
        <v>49</v>
      </c>
      <c r="AB104" s="18" t="s">
        <v>138</v>
      </c>
      <c r="AC104" s="18" t="s">
        <v>38</v>
      </c>
      <c r="AD104" s="7" t="str">
        <f t="shared" si="1"/>
        <v/>
      </c>
      <c r="AE104" s="26"/>
      <c r="AF104" s="26"/>
      <c r="AG104" s="26"/>
      <c r="AH104" s="26"/>
      <c r="AI104" s="26"/>
      <c r="AJ104" s="26"/>
      <c r="AK104" s="26"/>
      <c r="AL104" s="26"/>
      <c r="AM104" s="26"/>
      <c r="AN104" s="26"/>
      <c r="AO104" s="26"/>
      <c r="AP104" s="26"/>
      <c r="AQ104" s="26"/>
      <c r="AR104" s="26"/>
      <c r="AS104" s="26"/>
      <c r="AT104" s="26"/>
      <c r="AU104" s="26"/>
      <c r="AV104" s="26"/>
      <c r="AW104" s="26"/>
    </row>
    <row r="105" spans="1:49" s="17" customFormat="1" ht="35.1" customHeight="1" x14ac:dyDescent="0.25">
      <c r="A105" s="18" t="s">
        <v>93</v>
      </c>
      <c r="B105" s="19">
        <v>46049</v>
      </c>
      <c r="C105" s="19">
        <v>46049</v>
      </c>
      <c r="D105" s="18" t="s">
        <v>166</v>
      </c>
      <c r="E105" s="20">
        <v>0.79166666666666663</v>
      </c>
      <c r="F105" s="20">
        <v>0.99930555555555556</v>
      </c>
      <c r="G105" s="28">
        <v>1.7361111111111109E-4</v>
      </c>
      <c r="H105" s="29" t="s">
        <v>139</v>
      </c>
      <c r="I105" s="21">
        <v>0.97329861111111116</v>
      </c>
      <c r="J105" s="18" t="s">
        <v>136</v>
      </c>
      <c r="K105" s="18" t="s">
        <v>193</v>
      </c>
      <c r="L105" s="22">
        <v>1</v>
      </c>
      <c r="M105" s="22">
        <v>69567</v>
      </c>
      <c r="N105" s="18" t="s">
        <v>46</v>
      </c>
      <c r="O105" s="22" t="s">
        <v>137</v>
      </c>
      <c r="P105" s="23">
        <v>0</v>
      </c>
      <c r="Q105" s="22"/>
      <c r="R105" s="23">
        <v>0</v>
      </c>
      <c r="S105" s="24">
        <v>46054</v>
      </c>
      <c r="T105" s="23">
        <v>0</v>
      </c>
      <c r="U105" s="25">
        <v>4</v>
      </c>
      <c r="V105" s="23">
        <v>0</v>
      </c>
      <c r="W105" s="18" t="s">
        <v>47</v>
      </c>
      <c r="X105" s="18" t="s">
        <v>48</v>
      </c>
      <c r="Y105" s="18" t="s">
        <v>36</v>
      </c>
      <c r="Z105" s="18" t="s">
        <v>9</v>
      </c>
      <c r="AA105" s="18" t="s">
        <v>49</v>
      </c>
      <c r="AB105" s="18" t="s">
        <v>138</v>
      </c>
      <c r="AC105" s="18" t="s">
        <v>38</v>
      </c>
      <c r="AD105" s="7" t="str">
        <f t="shared" si="1"/>
        <v/>
      </c>
      <c r="AE105" s="9"/>
      <c r="AF105" s="9"/>
      <c r="AG105" s="9"/>
      <c r="AH105" s="9"/>
      <c r="AI105" s="9"/>
      <c r="AJ105" s="9"/>
      <c r="AK105" s="9"/>
      <c r="AL105" s="9"/>
      <c r="AM105" s="9"/>
      <c r="AN105" s="9"/>
      <c r="AO105" s="9"/>
      <c r="AP105" s="9"/>
      <c r="AQ105" s="9"/>
      <c r="AR105" s="9"/>
      <c r="AS105" s="9"/>
      <c r="AT105" s="9"/>
      <c r="AU105" s="9"/>
      <c r="AV105" s="9"/>
      <c r="AW105" s="9"/>
    </row>
    <row r="106" spans="1:49" s="34" customFormat="1" ht="35.1" customHeight="1" x14ac:dyDescent="0.25">
      <c r="A106" s="9" t="s">
        <v>39</v>
      </c>
      <c r="B106" s="10">
        <v>46049</v>
      </c>
      <c r="C106" s="10">
        <v>46049</v>
      </c>
      <c r="D106" s="11" t="s">
        <v>166</v>
      </c>
      <c r="E106" s="12">
        <v>0.97916666666666663</v>
      </c>
      <c r="F106" s="12">
        <v>1</v>
      </c>
      <c r="G106" s="12">
        <v>2.0833333333333332E-2</v>
      </c>
      <c r="H106" s="9" t="s">
        <v>149</v>
      </c>
      <c r="I106" s="13"/>
      <c r="J106" s="9" t="s">
        <v>132</v>
      </c>
      <c r="K106" s="9"/>
      <c r="L106" s="14">
        <v>1</v>
      </c>
      <c r="M106" s="14">
        <v>1</v>
      </c>
      <c r="N106" s="9" t="s">
        <v>33</v>
      </c>
      <c r="O106" s="9"/>
      <c r="P106" s="16">
        <v>0</v>
      </c>
      <c r="Q106" s="14"/>
      <c r="R106" s="16">
        <v>0</v>
      </c>
      <c r="S106" s="9">
        <v>46054</v>
      </c>
      <c r="T106" s="16">
        <v>0</v>
      </c>
      <c r="U106" s="14">
        <v>2</v>
      </c>
      <c r="V106" s="16">
        <v>0</v>
      </c>
      <c r="W106" s="9" t="s">
        <v>34</v>
      </c>
      <c r="X106" s="9" t="s">
        <v>42</v>
      </c>
      <c r="Y106" s="9" t="s">
        <v>36</v>
      </c>
      <c r="Z106" s="9" t="s">
        <v>43</v>
      </c>
      <c r="AA106" s="9" t="s">
        <v>37</v>
      </c>
      <c r="AB106" s="9" t="s">
        <v>37</v>
      </c>
      <c r="AC106" s="9" t="s">
        <v>38</v>
      </c>
      <c r="AD106" s="7" t="str">
        <f t="shared" si="1"/>
        <v/>
      </c>
      <c r="AE106" s="26"/>
      <c r="AF106" s="26"/>
      <c r="AG106" s="26"/>
      <c r="AH106" s="26"/>
      <c r="AI106" s="26"/>
      <c r="AJ106" s="26"/>
      <c r="AK106" s="26"/>
      <c r="AL106" s="26"/>
      <c r="AM106" s="26"/>
      <c r="AN106" s="26"/>
      <c r="AO106" s="26"/>
      <c r="AP106" s="26"/>
      <c r="AQ106" s="26"/>
      <c r="AR106" s="26"/>
      <c r="AS106" s="26"/>
      <c r="AT106" s="26"/>
      <c r="AU106" s="26"/>
      <c r="AV106" s="26"/>
      <c r="AW106" s="26"/>
    </row>
    <row r="107" spans="1:49" s="17" customFormat="1" ht="35.1" customHeight="1" x14ac:dyDescent="0.25">
      <c r="A107" s="18" t="s">
        <v>78</v>
      </c>
      <c r="B107" s="19">
        <v>46049</v>
      </c>
      <c r="C107" s="19">
        <v>46049</v>
      </c>
      <c r="D107" s="18" t="s">
        <v>166</v>
      </c>
      <c r="E107" s="20">
        <v>0.79166666666666663</v>
      </c>
      <c r="F107" s="20">
        <v>0.99930555555555556</v>
      </c>
      <c r="G107" s="20">
        <v>1.7361111111111109E-4</v>
      </c>
      <c r="H107" s="18" t="s">
        <v>142</v>
      </c>
      <c r="I107" s="21">
        <v>0.9888541666666667</v>
      </c>
      <c r="J107" s="18" t="s">
        <v>132</v>
      </c>
      <c r="K107" s="18" t="s">
        <v>149</v>
      </c>
      <c r="L107" s="22">
        <v>1</v>
      </c>
      <c r="M107" s="22">
        <v>64941</v>
      </c>
      <c r="N107" s="18" t="s">
        <v>53</v>
      </c>
      <c r="O107" s="22"/>
      <c r="P107" s="23">
        <v>50</v>
      </c>
      <c r="Q107" s="22"/>
      <c r="R107" s="23">
        <v>50</v>
      </c>
      <c r="S107" s="24">
        <v>46054</v>
      </c>
      <c r="T107" s="23">
        <v>0</v>
      </c>
      <c r="U107" s="25">
        <v>4</v>
      </c>
      <c r="V107" s="23">
        <v>50</v>
      </c>
      <c r="W107" s="18" t="s">
        <v>47</v>
      </c>
      <c r="X107" s="18" t="s">
        <v>48</v>
      </c>
      <c r="Y107" s="18" t="s">
        <v>36</v>
      </c>
      <c r="Z107" s="18" t="s">
        <v>9</v>
      </c>
      <c r="AA107" s="18" t="s">
        <v>49</v>
      </c>
      <c r="AB107" s="18" t="s">
        <v>134</v>
      </c>
      <c r="AC107" s="18" t="s">
        <v>38</v>
      </c>
      <c r="AD107" s="7" t="str">
        <f t="shared" si="1"/>
        <v/>
      </c>
      <c r="AE107" s="26"/>
      <c r="AF107" s="26"/>
      <c r="AG107" s="26"/>
      <c r="AH107" s="26"/>
      <c r="AI107" s="26"/>
      <c r="AJ107" s="26"/>
      <c r="AK107" s="26"/>
      <c r="AL107" s="26"/>
      <c r="AM107" s="26"/>
      <c r="AN107" s="26"/>
      <c r="AO107" s="26"/>
      <c r="AP107" s="26"/>
      <c r="AQ107" s="26"/>
      <c r="AR107" s="26"/>
      <c r="AS107" s="26"/>
      <c r="AT107" s="26"/>
      <c r="AU107" s="26"/>
      <c r="AV107" s="26"/>
      <c r="AW107" s="26"/>
    </row>
    <row r="108" spans="1:49" s="17" customFormat="1" ht="35.1" customHeight="1" x14ac:dyDescent="0.25">
      <c r="A108" s="18" t="s">
        <v>93</v>
      </c>
      <c r="B108" s="19">
        <v>46049</v>
      </c>
      <c r="C108" s="19">
        <v>46049</v>
      </c>
      <c r="D108" s="18" t="s">
        <v>166</v>
      </c>
      <c r="E108" s="20">
        <v>0.79166666666666663</v>
      </c>
      <c r="F108" s="20">
        <v>0.99930555555555556</v>
      </c>
      <c r="G108" s="28">
        <v>1.7361111111111109E-4</v>
      </c>
      <c r="H108" s="29" t="s">
        <v>190</v>
      </c>
      <c r="I108" s="21">
        <v>0.99826527777777774</v>
      </c>
      <c r="J108" s="18" t="s">
        <v>136</v>
      </c>
      <c r="K108" s="18" t="s">
        <v>149</v>
      </c>
      <c r="L108" s="22">
        <v>1</v>
      </c>
      <c r="M108" s="22">
        <v>69566</v>
      </c>
      <c r="N108" s="18" t="s">
        <v>53</v>
      </c>
      <c r="O108" s="22" t="s">
        <v>137</v>
      </c>
      <c r="P108" s="23">
        <v>0</v>
      </c>
      <c r="Q108" s="22"/>
      <c r="R108" s="23">
        <v>16.531831119544499</v>
      </c>
      <c r="S108" s="24">
        <v>46054</v>
      </c>
      <c r="T108" s="23">
        <v>0</v>
      </c>
      <c r="U108" s="25">
        <v>4</v>
      </c>
      <c r="V108" s="23">
        <v>0</v>
      </c>
      <c r="W108" s="18" t="s">
        <v>47</v>
      </c>
      <c r="X108" s="18" t="s">
        <v>48</v>
      </c>
      <c r="Y108" s="18" t="s">
        <v>36</v>
      </c>
      <c r="Z108" s="18" t="s">
        <v>9</v>
      </c>
      <c r="AA108" s="18" t="s">
        <v>49</v>
      </c>
      <c r="AB108" s="18" t="s">
        <v>138</v>
      </c>
      <c r="AC108" s="18" t="s">
        <v>38</v>
      </c>
      <c r="AD108" s="7" t="str">
        <f t="shared" si="1"/>
        <v/>
      </c>
      <c r="AE108" s="26"/>
      <c r="AF108" s="26"/>
      <c r="AG108" s="26"/>
      <c r="AH108" s="26"/>
      <c r="AI108" s="26"/>
      <c r="AJ108" s="26"/>
      <c r="AK108" s="26"/>
      <c r="AL108" s="26"/>
      <c r="AM108" s="26"/>
      <c r="AN108" s="26"/>
      <c r="AO108" s="26"/>
      <c r="AP108" s="26"/>
      <c r="AQ108" s="26"/>
      <c r="AR108" s="26"/>
      <c r="AS108" s="26"/>
      <c r="AT108" s="26"/>
      <c r="AU108" s="26"/>
      <c r="AV108" s="26"/>
      <c r="AW108" s="26"/>
    </row>
    <row r="109" spans="1:49" s="17" customFormat="1" ht="35.1" customHeight="1" x14ac:dyDescent="0.25">
      <c r="A109" s="18" t="s">
        <v>93</v>
      </c>
      <c r="B109" s="19">
        <v>46049</v>
      </c>
      <c r="C109" s="19">
        <v>46049</v>
      </c>
      <c r="D109" s="18" t="s">
        <v>166</v>
      </c>
      <c r="E109" s="20">
        <v>0.79166666666666663</v>
      </c>
      <c r="F109" s="20">
        <v>1</v>
      </c>
      <c r="G109" s="28">
        <v>1.7361111111111109E-4</v>
      </c>
      <c r="H109" s="29" t="s">
        <v>191</v>
      </c>
      <c r="I109" s="21">
        <v>0.99948078703703702</v>
      </c>
      <c r="J109" s="18" t="s">
        <v>136</v>
      </c>
      <c r="K109" s="18" t="s">
        <v>149</v>
      </c>
      <c r="L109" s="22">
        <v>1</v>
      </c>
      <c r="M109" s="22">
        <v>69566</v>
      </c>
      <c r="N109" s="18" t="s">
        <v>53</v>
      </c>
      <c r="O109" s="22" t="s">
        <v>137</v>
      </c>
      <c r="P109" s="23">
        <v>0</v>
      </c>
      <c r="Q109" s="22"/>
      <c r="R109" s="23">
        <v>16.531831119544499</v>
      </c>
      <c r="S109" s="24">
        <v>46054</v>
      </c>
      <c r="T109" s="23">
        <v>0</v>
      </c>
      <c r="U109" s="25">
        <v>4</v>
      </c>
      <c r="V109" s="23">
        <v>0</v>
      </c>
      <c r="W109" s="18" t="s">
        <v>47</v>
      </c>
      <c r="X109" s="18" t="s">
        <v>48</v>
      </c>
      <c r="Y109" s="18" t="s">
        <v>36</v>
      </c>
      <c r="Z109" s="18" t="s">
        <v>9</v>
      </c>
      <c r="AA109" s="18" t="s">
        <v>49</v>
      </c>
      <c r="AB109" s="18" t="s">
        <v>138</v>
      </c>
      <c r="AC109" s="18" t="s">
        <v>38</v>
      </c>
      <c r="AD109" s="7" t="str">
        <f t="shared" si="1"/>
        <v/>
      </c>
      <c r="AE109" s="9"/>
      <c r="AF109" s="9"/>
      <c r="AG109" s="9"/>
      <c r="AH109" s="9"/>
      <c r="AI109" s="9"/>
      <c r="AJ109" s="9"/>
      <c r="AK109" s="9"/>
      <c r="AL109" s="9"/>
      <c r="AM109" s="9"/>
      <c r="AN109" s="9"/>
      <c r="AO109" s="9"/>
      <c r="AP109" s="9"/>
      <c r="AQ109" s="9"/>
      <c r="AR109" s="9"/>
      <c r="AS109" s="9"/>
      <c r="AT109" s="9"/>
      <c r="AU109" s="9"/>
      <c r="AV109" s="9"/>
      <c r="AW109" s="9"/>
    </row>
    <row r="110" spans="1:49" ht="44.25" customHeight="1" x14ac:dyDescent="0.2"/>
    <row r="111" spans="1:49" ht="44.25" customHeight="1" x14ac:dyDescent="0.2"/>
    <row r="112" spans="1:49" ht="44.25" customHeight="1" x14ac:dyDescent="0.2"/>
    <row r="113" customFormat="1" ht="44.25" customHeight="1" x14ac:dyDescent="0.2"/>
    <row r="114" customFormat="1" ht="44.25" customHeight="1" x14ac:dyDescent="0.2"/>
    <row r="115" customFormat="1" ht="44.25" customHeight="1" x14ac:dyDescent="0.2"/>
    <row r="116" customFormat="1" ht="44.25" customHeight="1" x14ac:dyDescent="0.2"/>
    <row r="117" customFormat="1" ht="44.25" customHeight="1" x14ac:dyDescent="0.2"/>
    <row r="118" customFormat="1" ht="44.25" customHeight="1" x14ac:dyDescent="0.2"/>
    <row r="119" customFormat="1" ht="44.25" customHeight="1" x14ac:dyDescent="0.2"/>
    <row r="120" customFormat="1" ht="44.25" customHeight="1" x14ac:dyDescent="0.2"/>
    <row r="121" customFormat="1" ht="44.25" customHeight="1" x14ac:dyDescent="0.2"/>
    <row r="122" customFormat="1" ht="44.25" customHeight="1" x14ac:dyDescent="0.2"/>
    <row r="123" customFormat="1" ht="44.25" customHeight="1" x14ac:dyDescent="0.2"/>
    <row r="124" customFormat="1" ht="44.25" customHeight="1" x14ac:dyDescent="0.2"/>
    <row r="125" customFormat="1" ht="44.25" customHeight="1" x14ac:dyDescent="0.2"/>
    <row r="126" customFormat="1" ht="44.25" customHeight="1" x14ac:dyDescent="0.2"/>
    <row r="127" customFormat="1" ht="44.25" customHeight="1" x14ac:dyDescent="0.2"/>
    <row r="128" customFormat="1" ht="44.25" customHeight="1" x14ac:dyDescent="0.2"/>
    <row r="129" customFormat="1" ht="44.25" customHeight="1" x14ac:dyDescent="0.2"/>
    <row r="130" customFormat="1" ht="44.25" customHeight="1" x14ac:dyDescent="0.2"/>
    <row r="131" customFormat="1" ht="44.25" customHeight="1" x14ac:dyDescent="0.2"/>
    <row r="132" customFormat="1" ht="44.25" customHeight="1" x14ac:dyDescent="0.2"/>
    <row r="133" customFormat="1" ht="44.25" customHeight="1" x14ac:dyDescent="0.2"/>
    <row r="134" customFormat="1" ht="44.25" customHeight="1" x14ac:dyDescent="0.2"/>
    <row r="135" customFormat="1" ht="44.25" customHeight="1" x14ac:dyDescent="0.2"/>
    <row r="136" customFormat="1" ht="44.25" customHeight="1" x14ac:dyDescent="0.2"/>
    <row r="137" customFormat="1" ht="44.25" customHeight="1" x14ac:dyDescent="0.2"/>
    <row r="138" customFormat="1" ht="44.25" customHeight="1" x14ac:dyDescent="0.2"/>
    <row r="139" customFormat="1" ht="44.25" customHeight="1" x14ac:dyDescent="0.2"/>
    <row r="140" customFormat="1" ht="44.25" customHeight="1" x14ac:dyDescent="0.2"/>
    <row r="141" customFormat="1" ht="44.25" customHeight="1" x14ac:dyDescent="0.2"/>
    <row r="142" customFormat="1" ht="44.25" customHeight="1" x14ac:dyDescent="0.2"/>
    <row r="143" customFormat="1" ht="44.25" customHeight="1" x14ac:dyDescent="0.2"/>
    <row r="144" customFormat="1" ht="44.25" customHeight="1" x14ac:dyDescent="0.2"/>
    <row r="145" customFormat="1" ht="44.25" customHeight="1" x14ac:dyDescent="0.2"/>
    <row r="146" customFormat="1" ht="44.25" customHeight="1" x14ac:dyDescent="0.2"/>
    <row r="147" customFormat="1" ht="44.25" customHeight="1" x14ac:dyDescent="0.2"/>
    <row r="148" customFormat="1" ht="44.25" customHeight="1" x14ac:dyDescent="0.2"/>
    <row r="149" customFormat="1" ht="44.25" customHeight="1" x14ac:dyDescent="0.2"/>
    <row r="150" customFormat="1" ht="44.25" customHeight="1" x14ac:dyDescent="0.2"/>
    <row r="151" customFormat="1" ht="44.25" customHeight="1" x14ac:dyDescent="0.2"/>
    <row r="152" customFormat="1" ht="44.25" customHeight="1" x14ac:dyDescent="0.2"/>
    <row r="153" customFormat="1" ht="44.25" customHeight="1" x14ac:dyDescent="0.2"/>
    <row r="154" customFormat="1" ht="44.25" customHeight="1" x14ac:dyDescent="0.2"/>
    <row r="155" customFormat="1" ht="44.25" customHeight="1" x14ac:dyDescent="0.2"/>
    <row r="156" customFormat="1" ht="44.25" customHeight="1" x14ac:dyDescent="0.2"/>
    <row r="157" customFormat="1" ht="44.25" customHeight="1" x14ac:dyDescent="0.2"/>
    <row r="158" customFormat="1" ht="44.25" customHeight="1" x14ac:dyDescent="0.2"/>
    <row r="159" customFormat="1" ht="44.25" customHeight="1" x14ac:dyDescent="0.2"/>
    <row r="160" customFormat="1" ht="44.25" customHeight="1" x14ac:dyDescent="0.2"/>
    <row r="161" customFormat="1" ht="44.25" customHeight="1" x14ac:dyDescent="0.2"/>
    <row r="162" customFormat="1" ht="44.25" customHeight="1" x14ac:dyDescent="0.2"/>
    <row r="163" customFormat="1" ht="44.25" customHeight="1" x14ac:dyDescent="0.2"/>
    <row r="164" customFormat="1" ht="44.25" customHeight="1" x14ac:dyDescent="0.2"/>
    <row r="165" customFormat="1" ht="44.25" customHeight="1" x14ac:dyDescent="0.2"/>
    <row r="166" customFormat="1" ht="44.25" customHeight="1" x14ac:dyDescent="0.2"/>
    <row r="167" customFormat="1" ht="44.25" customHeight="1" x14ac:dyDescent="0.2"/>
    <row r="168" customFormat="1" ht="44.25" customHeight="1" x14ac:dyDescent="0.2"/>
    <row r="169" customFormat="1" ht="44.25" customHeight="1" x14ac:dyDescent="0.2"/>
    <row r="170" customFormat="1" ht="44.25" customHeight="1" x14ac:dyDescent="0.2"/>
    <row r="171" customFormat="1" ht="44.25" customHeight="1" x14ac:dyDescent="0.2"/>
    <row r="172" customFormat="1" ht="44.25" customHeight="1" x14ac:dyDescent="0.2"/>
    <row r="173" customFormat="1" ht="44.25" customHeight="1" x14ac:dyDescent="0.2"/>
    <row r="174" customFormat="1" ht="44.25" customHeight="1" x14ac:dyDescent="0.2"/>
    <row r="175" customFormat="1" ht="44.25" customHeight="1" x14ac:dyDescent="0.2"/>
    <row r="176" customFormat="1" ht="44.25" customHeight="1" x14ac:dyDescent="0.2"/>
    <row r="177" customFormat="1" ht="44.25" customHeight="1" x14ac:dyDescent="0.2"/>
    <row r="178" customFormat="1" ht="44.25" customHeight="1" x14ac:dyDescent="0.2"/>
    <row r="179" customFormat="1" ht="44.25" customHeight="1" x14ac:dyDescent="0.2"/>
    <row r="180" customFormat="1" ht="44.25" customHeight="1" x14ac:dyDescent="0.2"/>
    <row r="181" customFormat="1" ht="44.25" customHeight="1" x14ac:dyDescent="0.2"/>
    <row r="182" customFormat="1" ht="44.25" customHeight="1" x14ac:dyDescent="0.2"/>
    <row r="183" customFormat="1" ht="44.25" customHeight="1" x14ac:dyDescent="0.2"/>
    <row r="184" customFormat="1" ht="44.25" customHeight="1" x14ac:dyDescent="0.2"/>
    <row r="185" customFormat="1" ht="44.25" customHeight="1" x14ac:dyDescent="0.2"/>
    <row r="186" customFormat="1" ht="44.25" customHeight="1" x14ac:dyDescent="0.2"/>
    <row r="187" customFormat="1" ht="44.25" customHeight="1" x14ac:dyDescent="0.2"/>
    <row r="188" customFormat="1" ht="44.25" customHeight="1" x14ac:dyDescent="0.2"/>
    <row r="189" customFormat="1" ht="44.25" customHeight="1" x14ac:dyDescent="0.2"/>
    <row r="190" customFormat="1" ht="44.25" customHeight="1" x14ac:dyDescent="0.2"/>
    <row r="191" customFormat="1" ht="44.25" customHeight="1" x14ac:dyDescent="0.2"/>
    <row r="192" customFormat="1" ht="44.25" customHeight="1" x14ac:dyDescent="0.2"/>
    <row r="193" customFormat="1" ht="44.25" customHeight="1" x14ac:dyDescent="0.2"/>
    <row r="194" customFormat="1" ht="44.25" customHeight="1" x14ac:dyDescent="0.2"/>
    <row r="195" customFormat="1" ht="44.25" customHeight="1" x14ac:dyDescent="0.2"/>
    <row r="196" customFormat="1" ht="44.25" customHeight="1" x14ac:dyDescent="0.2"/>
    <row r="197" customFormat="1" ht="44.25" customHeight="1" x14ac:dyDescent="0.2"/>
    <row r="198" customFormat="1" ht="44.25" customHeight="1" x14ac:dyDescent="0.2"/>
    <row r="199" customFormat="1" ht="44.25" customHeight="1" x14ac:dyDescent="0.2"/>
    <row r="200" customFormat="1" ht="44.25" customHeight="1" x14ac:dyDescent="0.2"/>
    <row r="201" customFormat="1" ht="44.25" customHeight="1" x14ac:dyDescent="0.2"/>
    <row r="202" customFormat="1" ht="44.25" customHeight="1" x14ac:dyDescent="0.2"/>
    <row r="203" customFormat="1" ht="44.25" customHeight="1" x14ac:dyDescent="0.2"/>
    <row r="204" customFormat="1" ht="44.25" customHeight="1" x14ac:dyDescent="0.2"/>
    <row r="205" customFormat="1" ht="44.25" customHeight="1" x14ac:dyDescent="0.2"/>
    <row r="206" customFormat="1" ht="44.25" customHeight="1" x14ac:dyDescent="0.2"/>
    <row r="207" customFormat="1" ht="44.25" customHeight="1" x14ac:dyDescent="0.2"/>
    <row r="208" customFormat="1" ht="44.25" customHeight="1" x14ac:dyDescent="0.2"/>
    <row r="209" customFormat="1" ht="44.25" customHeight="1" x14ac:dyDescent="0.2"/>
    <row r="210" customFormat="1" ht="44.25" customHeight="1" x14ac:dyDescent="0.2"/>
    <row r="211" customFormat="1" ht="44.25" customHeight="1" x14ac:dyDescent="0.2"/>
    <row r="212" customFormat="1" ht="44.25" customHeight="1" x14ac:dyDescent="0.2"/>
    <row r="213" customFormat="1" ht="44.25" customHeight="1" x14ac:dyDescent="0.2"/>
    <row r="214" customFormat="1" ht="44.25" customHeight="1" x14ac:dyDescent="0.2"/>
    <row r="215" customFormat="1" ht="44.25" customHeight="1" x14ac:dyDescent="0.2"/>
    <row r="216" customFormat="1" ht="44.25" customHeight="1" x14ac:dyDescent="0.2"/>
    <row r="217" customFormat="1" ht="44.25" customHeight="1" x14ac:dyDescent="0.2"/>
    <row r="218" customFormat="1" ht="44.25" customHeight="1" x14ac:dyDescent="0.2"/>
    <row r="219" customFormat="1" ht="44.25" customHeight="1" x14ac:dyDescent="0.2"/>
    <row r="220" customFormat="1" ht="44.25" customHeight="1" x14ac:dyDescent="0.2"/>
    <row r="221" customFormat="1" ht="44.25" customHeight="1" x14ac:dyDescent="0.2"/>
    <row r="222" customFormat="1" ht="44.25" customHeight="1" x14ac:dyDescent="0.2"/>
    <row r="223" customFormat="1" ht="44.25" customHeight="1" x14ac:dyDescent="0.2"/>
    <row r="224" customFormat="1" ht="44.25" customHeight="1" x14ac:dyDescent="0.2"/>
    <row r="225" customFormat="1" ht="44.25" customHeight="1" x14ac:dyDescent="0.2"/>
    <row r="226" customFormat="1" ht="44.25" customHeight="1" x14ac:dyDescent="0.2"/>
    <row r="227" customFormat="1" ht="44.25" customHeight="1" x14ac:dyDescent="0.2"/>
    <row r="228" customFormat="1" ht="44.25" customHeight="1" x14ac:dyDescent="0.2"/>
    <row r="229" customFormat="1" ht="44.25" customHeight="1" x14ac:dyDescent="0.2"/>
    <row r="230" customFormat="1" ht="44.25" customHeight="1" x14ac:dyDescent="0.2"/>
    <row r="231" customFormat="1" ht="44.25" customHeight="1" x14ac:dyDescent="0.2"/>
    <row r="232" customFormat="1" ht="44.25" customHeight="1" x14ac:dyDescent="0.2"/>
    <row r="233" customFormat="1" ht="44.25" customHeight="1" x14ac:dyDescent="0.2"/>
    <row r="234" customFormat="1" ht="44.25" customHeight="1" x14ac:dyDescent="0.2"/>
    <row r="235" customFormat="1" ht="44.25" customHeight="1" x14ac:dyDescent="0.2"/>
    <row r="236" customFormat="1" ht="44.25" customHeight="1" x14ac:dyDescent="0.2"/>
    <row r="237" customFormat="1" ht="44.25" customHeight="1" x14ac:dyDescent="0.2"/>
    <row r="238" customFormat="1" ht="44.25" customHeight="1" x14ac:dyDescent="0.2"/>
    <row r="239" customFormat="1" ht="44.25" customHeight="1" x14ac:dyDescent="0.2"/>
    <row r="240" customFormat="1" ht="44.25" customHeight="1" x14ac:dyDescent="0.2"/>
    <row r="241" customFormat="1" ht="44.25" customHeight="1" x14ac:dyDescent="0.2"/>
    <row r="242" customFormat="1" ht="44.25" customHeight="1" x14ac:dyDescent="0.2"/>
    <row r="243" customFormat="1" ht="44.25" customHeight="1" x14ac:dyDescent="0.2"/>
    <row r="244" customFormat="1" ht="44.25" customHeight="1" x14ac:dyDescent="0.2"/>
    <row r="245" customFormat="1" ht="44.25" customHeight="1" x14ac:dyDescent="0.2"/>
    <row r="246" customFormat="1" ht="44.25" customHeight="1" x14ac:dyDescent="0.2"/>
    <row r="247" customFormat="1" ht="44.25" customHeight="1" x14ac:dyDescent="0.2"/>
    <row r="248" customFormat="1" ht="44.25" customHeight="1" x14ac:dyDescent="0.2"/>
    <row r="249" customFormat="1" ht="44.25" customHeight="1" x14ac:dyDescent="0.2"/>
    <row r="250" customFormat="1" ht="44.25" customHeight="1" x14ac:dyDescent="0.2"/>
    <row r="251" customFormat="1" ht="44.25" customHeight="1" x14ac:dyDescent="0.2"/>
    <row r="252" customFormat="1" ht="44.25" customHeight="1" x14ac:dyDescent="0.2"/>
    <row r="253" customFormat="1" ht="44.25" customHeight="1" x14ac:dyDescent="0.2"/>
    <row r="254" customFormat="1" ht="44.25" customHeight="1" x14ac:dyDescent="0.2"/>
    <row r="255" customFormat="1" ht="44.25" customHeight="1" x14ac:dyDescent="0.2"/>
    <row r="256" customFormat="1" ht="44.25" customHeight="1" x14ac:dyDescent="0.2"/>
    <row r="257" customFormat="1" ht="44.25" customHeight="1" x14ac:dyDescent="0.2"/>
    <row r="258" customFormat="1" ht="44.25" customHeight="1" x14ac:dyDescent="0.2"/>
    <row r="259" customFormat="1" ht="44.25" customHeight="1" x14ac:dyDescent="0.2"/>
    <row r="260" customFormat="1" ht="44.25" customHeight="1" x14ac:dyDescent="0.2"/>
    <row r="261" customFormat="1" ht="44.25" customHeight="1" x14ac:dyDescent="0.2"/>
    <row r="262" customFormat="1" ht="44.25" customHeight="1" x14ac:dyDescent="0.2"/>
    <row r="263" customFormat="1" ht="44.25" customHeight="1" x14ac:dyDescent="0.2"/>
    <row r="264" customFormat="1" ht="44.25" customHeight="1" x14ac:dyDescent="0.2"/>
    <row r="265" customFormat="1" ht="44.25" customHeight="1" x14ac:dyDescent="0.2"/>
    <row r="266" customFormat="1" ht="44.25" customHeight="1" x14ac:dyDescent="0.2"/>
    <row r="267" customFormat="1" ht="44.25" customHeight="1" x14ac:dyDescent="0.2"/>
    <row r="268" customFormat="1" ht="44.25" customHeight="1" x14ac:dyDescent="0.2"/>
    <row r="269" customFormat="1" ht="44.25" customHeight="1" x14ac:dyDescent="0.2"/>
    <row r="270" customFormat="1" ht="44.25" customHeight="1" x14ac:dyDescent="0.2"/>
    <row r="271" customFormat="1" ht="44.25" customHeight="1" x14ac:dyDescent="0.2"/>
    <row r="272" customFormat="1" ht="44.25" customHeight="1" x14ac:dyDescent="0.2"/>
    <row r="273" customFormat="1" ht="44.25" customHeight="1" x14ac:dyDescent="0.2"/>
    <row r="274" customFormat="1" ht="44.25" customHeight="1" x14ac:dyDescent="0.2"/>
    <row r="275" customFormat="1" ht="44.25" customHeight="1" x14ac:dyDescent="0.2"/>
    <row r="276" customFormat="1" ht="44.25" customHeight="1" x14ac:dyDescent="0.2"/>
    <row r="277" customFormat="1" ht="44.25" customHeight="1" x14ac:dyDescent="0.2"/>
    <row r="278" customFormat="1" ht="44.25" customHeight="1" x14ac:dyDescent="0.2"/>
    <row r="279" customFormat="1" ht="44.25" customHeight="1" x14ac:dyDescent="0.2"/>
    <row r="280" customFormat="1" ht="44.25" customHeight="1" x14ac:dyDescent="0.2"/>
    <row r="281" customFormat="1" ht="44.25" customHeight="1" x14ac:dyDescent="0.2"/>
    <row r="282" customFormat="1" ht="44.25" customHeight="1" x14ac:dyDescent="0.2"/>
    <row r="283" customFormat="1" ht="44.25" customHeight="1" x14ac:dyDescent="0.2"/>
    <row r="284" customFormat="1" ht="44.25" customHeight="1" x14ac:dyDescent="0.2"/>
    <row r="285" customFormat="1" ht="44.25" customHeight="1" x14ac:dyDescent="0.2"/>
    <row r="286" customFormat="1" ht="44.25" customHeight="1" x14ac:dyDescent="0.2"/>
    <row r="287" customFormat="1" ht="44.25" customHeight="1" x14ac:dyDescent="0.2"/>
    <row r="288" customFormat="1" ht="44.25" customHeight="1" x14ac:dyDescent="0.2"/>
    <row r="289" customFormat="1" ht="44.25" customHeight="1" x14ac:dyDescent="0.2"/>
    <row r="290" customFormat="1" ht="44.25" customHeight="1" x14ac:dyDescent="0.2"/>
    <row r="291" customFormat="1" ht="44.25" customHeight="1" x14ac:dyDescent="0.2"/>
    <row r="292" customFormat="1" ht="44.25" customHeight="1" x14ac:dyDescent="0.2"/>
    <row r="293" customFormat="1" ht="44.25" customHeight="1" x14ac:dyDescent="0.2"/>
    <row r="294" customFormat="1" ht="44.25" customHeight="1" x14ac:dyDescent="0.2"/>
    <row r="295" customFormat="1" ht="44.25" customHeight="1" x14ac:dyDescent="0.2"/>
    <row r="296" customFormat="1" ht="44.25" customHeight="1" x14ac:dyDescent="0.2"/>
    <row r="297" customFormat="1" ht="44.25" customHeight="1" x14ac:dyDescent="0.2"/>
    <row r="298" customFormat="1" ht="44.25" customHeight="1" x14ac:dyDescent="0.2"/>
    <row r="299" customFormat="1" ht="44.25" customHeight="1" x14ac:dyDescent="0.2"/>
    <row r="300" customFormat="1" ht="44.25" customHeight="1" x14ac:dyDescent="0.2"/>
    <row r="301" customFormat="1" x14ac:dyDescent="0.2"/>
    <row r="302" customFormat="1" x14ac:dyDescent="0.2"/>
    <row r="303" customFormat="1" x14ac:dyDescent="0.2"/>
    <row r="304" customFormat="1" x14ac:dyDescent="0.2"/>
    <row r="305" customFormat="1" x14ac:dyDescent="0.2"/>
    <row r="306" customFormat="1" x14ac:dyDescent="0.2"/>
    <row r="307" customFormat="1" x14ac:dyDescent="0.2"/>
    <row r="308" customFormat="1" x14ac:dyDescent="0.2"/>
    <row r="309" customFormat="1" x14ac:dyDescent="0.2"/>
    <row r="310" customFormat="1" x14ac:dyDescent="0.2"/>
    <row r="311" customFormat="1" x14ac:dyDescent="0.2"/>
    <row r="312" customFormat="1" x14ac:dyDescent="0.2"/>
    <row r="313" customFormat="1" x14ac:dyDescent="0.2"/>
    <row r="314" customFormat="1" x14ac:dyDescent="0.2"/>
    <row r="315" customFormat="1" x14ac:dyDescent="0.2"/>
    <row r="316" customFormat="1" x14ac:dyDescent="0.2"/>
    <row r="317" customFormat="1" x14ac:dyDescent="0.2"/>
    <row r="318" customFormat="1" x14ac:dyDescent="0.2"/>
    <row r="319" customFormat="1" x14ac:dyDescent="0.2"/>
    <row r="320" customFormat="1" x14ac:dyDescent="0.2"/>
    <row r="321" customFormat="1" x14ac:dyDescent="0.2"/>
    <row r="322" customFormat="1" x14ac:dyDescent="0.2"/>
    <row r="323" customFormat="1" x14ac:dyDescent="0.2"/>
    <row r="324" customFormat="1" x14ac:dyDescent="0.2"/>
    <row r="325" customFormat="1" x14ac:dyDescent="0.2"/>
    <row r="326" customFormat="1" x14ac:dyDescent="0.2"/>
    <row r="327" customFormat="1" x14ac:dyDescent="0.2"/>
    <row r="328" customFormat="1" x14ac:dyDescent="0.2"/>
    <row r="329" customFormat="1" x14ac:dyDescent="0.2"/>
    <row r="330" customFormat="1" x14ac:dyDescent="0.2"/>
    <row r="331" customFormat="1" x14ac:dyDescent="0.2"/>
    <row r="332" customFormat="1" x14ac:dyDescent="0.2"/>
    <row r="333" customFormat="1" x14ac:dyDescent="0.2"/>
    <row r="334" customFormat="1" x14ac:dyDescent="0.2"/>
    <row r="335" customFormat="1" x14ac:dyDescent="0.2"/>
    <row r="336" customFormat="1" x14ac:dyDescent="0.2"/>
    <row r="337" customFormat="1" x14ac:dyDescent="0.2"/>
    <row r="338" customFormat="1" x14ac:dyDescent="0.2"/>
    <row r="339" customFormat="1" x14ac:dyDescent="0.2"/>
    <row r="340" customFormat="1" x14ac:dyDescent="0.2"/>
    <row r="341" customFormat="1" x14ac:dyDescent="0.2"/>
    <row r="342" customFormat="1" x14ac:dyDescent="0.2"/>
    <row r="343" customFormat="1" x14ac:dyDescent="0.2"/>
    <row r="344" customFormat="1" x14ac:dyDescent="0.2"/>
    <row r="345" customFormat="1" x14ac:dyDescent="0.2"/>
    <row r="346" customFormat="1" x14ac:dyDescent="0.2"/>
    <row r="347" customFormat="1" x14ac:dyDescent="0.2"/>
    <row r="348" customFormat="1" x14ac:dyDescent="0.2"/>
    <row r="349" customFormat="1" x14ac:dyDescent="0.2"/>
    <row r="350" customFormat="1" x14ac:dyDescent="0.2"/>
    <row r="351" customFormat="1" x14ac:dyDescent="0.2"/>
    <row r="352" customFormat="1" x14ac:dyDescent="0.2"/>
    <row r="353" customFormat="1" x14ac:dyDescent="0.2"/>
    <row r="354" customFormat="1" x14ac:dyDescent="0.2"/>
    <row r="355" customFormat="1" x14ac:dyDescent="0.2"/>
    <row r="356" customFormat="1" x14ac:dyDescent="0.2"/>
    <row r="357" customFormat="1" x14ac:dyDescent="0.2"/>
    <row r="358" customFormat="1" x14ac:dyDescent="0.2"/>
    <row r="359" customFormat="1" x14ac:dyDescent="0.2"/>
    <row r="360" customFormat="1" x14ac:dyDescent="0.2"/>
    <row r="361" customFormat="1" x14ac:dyDescent="0.2"/>
    <row r="362" customFormat="1" x14ac:dyDescent="0.2"/>
    <row r="363" customFormat="1" x14ac:dyDescent="0.2"/>
    <row r="364" customFormat="1" x14ac:dyDescent="0.2"/>
    <row r="365" customFormat="1" x14ac:dyDescent="0.2"/>
    <row r="366" customFormat="1" x14ac:dyDescent="0.2"/>
    <row r="367" customFormat="1" x14ac:dyDescent="0.2"/>
    <row r="368" customFormat="1" x14ac:dyDescent="0.2"/>
    <row r="369" customFormat="1" x14ac:dyDescent="0.2"/>
    <row r="370" customFormat="1" x14ac:dyDescent="0.2"/>
    <row r="371" customFormat="1" x14ac:dyDescent="0.2"/>
    <row r="372" customFormat="1" x14ac:dyDescent="0.2"/>
    <row r="373" customFormat="1" x14ac:dyDescent="0.2"/>
    <row r="374" customFormat="1" x14ac:dyDescent="0.2"/>
    <row r="375" customFormat="1" x14ac:dyDescent="0.2"/>
    <row r="376" customFormat="1" x14ac:dyDescent="0.2"/>
    <row r="377" customFormat="1" x14ac:dyDescent="0.2"/>
    <row r="378" customFormat="1" x14ac:dyDescent="0.2"/>
    <row r="379" customFormat="1" x14ac:dyDescent="0.2"/>
    <row r="380" customFormat="1" x14ac:dyDescent="0.2"/>
    <row r="381" customFormat="1" x14ac:dyDescent="0.2"/>
    <row r="382" customFormat="1" x14ac:dyDescent="0.2"/>
    <row r="383" customFormat="1" x14ac:dyDescent="0.2"/>
    <row r="384" customFormat="1" x14ac:dyDescent="0.2"/>
    <row r="385" customFormat="1" x14ac:dyDescent="0.2"/>
    <row r="386" customFormat="1" x14ac:dyDescent="0.2"/>
    <row r="387" customFormat="1" x14ac:dyDescent="0.2"/>
    <row r="388" customFormat="1" x14ac:dyDescent="0.2"/>
    <row r="389" customFormat="1" x14ac:dyDescent="0.2"/>
    <row r="390" customFormat="1" x14ac:dyDescent="0.2"/>
    <row r="391" customFormat="1" x14ac:dyDescent="0.2"/>
    <row r="392" customFormat="1" x14ac:dyDescent="0.2"/>
    <row r="393" customFormat="1" x14ac:dyDescent="0.2"/>
    <row r="394" customFormat="1" x14ac:dyDescent="0.2"/>
    <row r="395" customFormat="1" x14ac:dyDescent="0.2"/>
    <row r="396" customFormat="1" x14ac:dyDescent="0.2"/>
    <row r="397" customFormat="1" x14ac:dyDescent="0.2"/>
    <row r="398" customFormat="1" x14ac:dyDescent="0.2"/>
    <row r="399" customFormat="1" x14ac:dyDescent="0.2"/>
    <row r="400" customFormat="1" x14ac:dyDescent="0.2"/>
    <row r="401" customFormat="1" x14ac:dyDescent="0.2"/>
  </sheetData>
  <autoFilter ref="A1:AD109" xr:uid="{A2366463-82ED-4C0B-BCA1-21B77611FCD9}"/>
  <sortState xmlns:xlrd2="http://schemas.microsoft.com/office/spreadsheetml/2017/richdata2" ref="A2:AD302">
    <sortCondition sortBy="cellColor" ref="E1:E494" dxfId="35"/>
  </sortState>
  <conditionalFormatting sqref="AD1:AD109">
    <cfRule type="cellIs" dxfId="34" priority="4" operator="equal">
      <formula>"NO"</formula>
    </cfRule>
  </conditionalFormatting>
  <conditionalFormatting sqref="E2:F109">
    <cfRule type="timePeriod" dxfId="33" priority="3" timePeriod="lastWeek">
      <formula>AND(TODAY()-ROUNDDOWN(E2,0)&gt;=(WEEKDAY(TODAY())),TODAY()-ROUNDDOWN(E2,0)&lt;(WEEKDAY(TODAY())+7))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1B0E4F-6868-4F03-8FE3-7941AEE89A8E}">
  <sheetPr codeName="Sheet3"/>
  <dimension ref="A1:AW400"/>
  <sheetViews>
    <sheetView topLeftCell="B1" zoomScale="55" zoomScaleNormal="55" workbookViewId="0">
      <selection activeCell="B2" sqref="A2:XFD400"/>
    </sheetView>
  </sheetViews>
  <sheetFormatPr defaultColWidth="0" defaultRowHeight="12.75" x14ac:dyDescent="0.2"/>
  <cols>
    <col min="2" max="2" width="14.85546875" customWidth="1"/>
    <col min="4" max="4" width="17.5703125" customWidth="1"/>
    <col min="5" max="5" width="17.28515625" customWidth="1"/>
    <col min="6" max="6" width="18.7109375" customWidth="1"/>
    <col min="7" max="7" width="16" customWidth="1"/>
    <col min="8" max="8" width="63.7109375" customWidth="1"/>
    <col min="9" max="9" width="48.42578125" customWidth="1"/>
    <col min="10" max="10" width="12.85546875" customWidth="1"/>
    <col min="11" max="11" width="16.42578125" customWidth="1"/>
    <col min="14" max="14" width="9.140625" customWidth="1"/>
    <col min="17" max="18" width="19.5703125" customWidth="1"/>
    <col min="30" max="30" width="19" customWidth="1"/>
  </cols>
  <sheetData>
    <row r="1" spans="1:49" s="8" customFormat="1" ht="33.950000000000003" customHeight="1" x14ac:dyDescent="0.25">
      <c r="A1" s="1" t="s">
        <v>10</v>
      </c>
      <c r="B1" s="2" t="s">
        <v>0</v>
      </c>
      <c r="C1" s="2" t="s">
        <v>1</v>
      </c>
      <c r="D1" s="1" t="s">
        <v>2</v>
      </c>
      <c r="E1" s="3" t="s">
        <v>3</v>
      </c>
      <c r="F1" s="3" t="s">
        <v>4</v>
      </c>
      <c r="G1" s="3" t="s">
        <v>5</v>
      </c>
      <c r="H1" s="1" t="s">
        <v>27</v>
      </c>
      <c r="I1" s="3" t="s">
        <v>11</v>
      </c>
      <c r="J1" s="1" t="s">
        <v>6</v>
      </c>
      <c r="K1" s="1" t="s">
        <v>26</v>
      </c>
      <c r="L1" s="4" t="s">
        <v>12</v>
      </c>
      <c r="M1" s="4" t="s">
        <v>13</v>
      </c>
      <c r="N1" s="1" t="s">
        <v>7</v>
      </c>
      <c r="O1" s="4" t="s">
        <v>14</v>
      </c>
      <c r="P1" s="6" t="s">
        <v>15</v>
      </c>
      <c r="Q1" s="1" t="s">
        <v>16</v>
      </c>
      <c r="R1" s="6" t="s">
        <v>8</v>
      </c>
      <c r="S1" s="1" t="s">
        <v>17</v>
      </c>
      <c r="T1" s="6" t="s">
        <v>18</v>
      </c>
      <c r="U1" s="5" t="s">
        <v>28</v>
      </c>
      <c r="V1" s="6" t="s">
        <v>19</v>
      </c>
      <c r="W1" s="1" t="s">
        <v>20</v>
      </c>
      <c r="X1" s="1" t="s">
        <v>21</v>
      </c>
      <c r="Y1" s="1" t="s">
        <v>22</v>
      </c>
      <c r="Z1" s="1" t="s">
        <v>9</v>
      </c>
      <c r="AA1" s="1" t="s">
        <v>23</v>
      </c>
      <c r="AB1" s="1" t="s">
        <v>24</v>
      </c>
      <c r="AC1" s="1" t="s">
        <v>25</v>
      </c>
      <c r="AD1" s="7" t="str">
        <f>IF(N1="PRG","",IF(I1&gt;=E1,IF(I1&lt;=F1,"","NO"),"NO"))</f>
        <v>NO</v>
      </c>
    </row>
    <row r="2" spans="1:49" s="27" customFormat="1" ht="35.1" customHeight="1" x14ac:dyDescent="0.25">
      <c r="A2" s="9" t="s">
        <v>29</v>
      </c>
      <c r="B2" s="10">
        <v>46050</v>
      </c>
      <c r="C2" s="10">
        <v>46050</v>
      </c>
      <c r="D2" s="11" t="s">
        <v>196</v>
      </c>
      <c r="E2" s="12">
        <v>0</v>
      </c>
      <c r="F2" s="12">
        <v>0.25</v>
      </c>
      <c r="G2" s="12">
        <v>0.25</v>
      </c>
      <c r="H2" s="9" t="s">
        <v>31</v>
      </c>
      <c r="I2" s="13"/>
      <c r="J2" s="9" t="s">
        <v>32</v>
      </c>
      <c r="K2" s="9" t="s">
        <v>31</v>
      </c>
      <c r="L2" s="14">
        <v>1</v>
      </c>
      <c r="M2" s="14">
        <v>1</v>
      </c>
      <c r="N2" s="9" t="s">
        <v>33</v>
      </c>
      <c r="O2" s="9"/>
      <c r="P2" s="15">
        <v>0</v>
      </c>
      <c r="Q2" s="14"/>
      <c r="R2" s="15">
        <v>0</v>
      </c>
      <c r="S2" s="9">
        <v>46054</v>
      </c>
      <c r="T2" s="16">
        <v>0</v>
      </c>
      <c r="U2" s="14">
        <v>1</v>
      </c>
      <c r="V2" s="16">
        <v>0</v>
      </c>
      <c r="W2" s="9" t="s">
        <v>34</v>
      </c>
      <c r="X2" s="9" t="s">
        <v>35</v>
      </c>
      <c r="Y2" s="9" t="s">
        <v>36</v>
      </c>
      <c r="Z2" s="9" t="s">
        <v>9</v>
      </c>
      <c r="AA2" s="9" t="s">
        <v>37</v>
      </c>
      <c r="AB2" s="9" t="s">
        <v>37</v>
      </c>
      <c r="AC2" s="9" t="s">
        <v>38</v>
      </c>
      <c r="AD2" s="7" t="str">
        <f t="shared" ref="AD2:AD65" si="0">IF(N2="PRG","",IF(I2&gt;=E2,IF(I2&lt;=F2,"","NO"),"NO"))</f>
        <v/>
      </c>
      <c r="AE2" s="26"/>
      <c r="AF2" s="26"/>
      <c r="AG2" s="26"/>
      <c r="AH2" s="26"/>
      <c r="AI2" s="26"/>
      <c r="AJ2" s="26"/>
      <c r="AK2" s="26"/>
      <c r="AL2" s="26"/>
      <c r="AM2" s="26"/>
      <c r="AN2" s="26"/>
      <c r="AO2" s="26"/>
      <c r="AP2" s="26"/>
      <c r="AQ2" s="26"/>
      <c r="AR2" s="26"/>
      <c r="AS2" s="26"/>
      <c r="AT2" s="26"/>
      <c r="AU2" s="26"/>
      <c r="AV2" s="26"/>
      <c r="AW2" s="26"/>
    </row>
    <row r="3" spans="1:49" s="27" customFormat="1" ht="35.1" customHeight="1" x14ac:dyDescent="0.25">
      <c r="A3" s="9" t="s">
        <v>39</v>
      </c>
      <c r="B3" s="10">
        <v>46050</v>
      </c>
      <c r="C3" s="10">
        <v>46050</v>
      </c>
      <c r="D3" s="11" t="s">
        <v>196</v>
      </c>
      <c r="E3" s="12">
        <v>0.25</v>
      </c>
      <c r="F3" s="12">
        <v>0.29166666666666669</v>
      </c>
      <c r="G3" s="12">
        <v>4.1666666666666664E-2</v>
      </c>
      <c r="H3" s="9" t="s">
        <v>40</v>
      </c>
      <c r="I3" s="13"/>
      <c r="J3" s="9" t="s">
        <v>41</v>
      </c>
      <c r="K3" s="9"/>
      <c r="L3" s="14">
        <v>1</v>
      </c>
      <c r="M3" s="14">
        <v>1</v>
      </c>
      <c r="N3" s="9" t="s">
        <v>33</v>
      </c>
      <c r="O3" s="9"/>
      <c r="P3" s="15">
        <v>0</v>
      </c>
      <c r="Q3" s="14"/>
      <c r="R3" s="15">
        <v>0</v>
      </c>
      <c r="S3" s="9">
        <v>46054</v>
      </c>
      <c r="T3" s="15">
        <v>0</v>
      </c>
      <c r="U3" s="14">
        <v>2</v>
      </c>
      <c r="V3" s="15">
        <v>0</v>
      </c>
      <c r="W3" s="9" t="s">
        <v>34</v>
      </c>
      <c r="X3" s="9" t="s">
        <v>42</v>
      </c>
      <c r="Y3" s="9" t="s">
        <v>36</v>
      </c>
      <c r="Z3" s="9" t="s">
        <v>43</v>
      </c>
      <c r="AA3" s="9" t="s">
        <v>37</v>
      </c>
      <c r="AB3" s="9" t="s">
        <v>37</v>
      </c>
      <c r="AC3" s="9" t="s">
        <v>38</v>
      </c>
      <c r="AD3" s="7" t="str">
        <f t="shared" si="0"/>
        <v/>
      </c>
      <c r="AE3" s="26"/>
      <c r="AF3" s="26"/>
      <c r="AG3" s="26"/>
      <c r="AH3" s="26"/>
      <c r="AI3" s="26"/>
      <c r="AJ3" s="26"/>
      <c r="AK3" s="26"/>
      <c r="AL3" s="26"/>
      <c r="AM3" s="26"/>
      <c r="AN3" s="26"/>
      <c r="AO3" s="26"/>
      <c r="AP3" s="26"/>
      <c r="AQ3" s="26"/>
      <c r="AR3" s="26"/>
      <c r="AS3" s="26"/>
      <c r="AT3" s="26"/>
      <c r="AU3" s="26"/>
      <c r="AV3" s="26"/>
      <c r="AW3" s="26"/>
    </row>
    <row r="4" spans="1:49" s="46" customFormat="1" ht="35.1" customHeight="1" x14ac:dyDescent="0.25">
      <c r="A4" s="18" t="s">
        <v>159</v>
      </c>
      <c r="B4" s="19">
        <v>46050</v>
      </c>
      <c r="C4" s="19">
        <v>46050</v>
      </c>
      <c r="D4" s="18" t="s">
        <v>196</v>
      </c>
      <c r="E4" s="20">
        <v>0.25</v>
      </c>
      <c r="F4" s="20">
        <v>0.875</v>
      </c>
      <c r="G4" s="28">
        <v>1.7361111111111109E-4</v>
      </c>
      <c r="H4" s="29" t="s">
        <v>164</v>
      </c>
      <c r="I4" s="21">
        <v>0.26187523148148151</v>
      </c>
      <c r="J4" s="18" t="s">
        <v>41</v>
      </c>
      <c r="K4" s="18" t="s">
        <v>40</v>
      </c>
      <c r="L4" s="22">
        <v>1</v>
      </c>
      <c r="M4" s="22">
        <v>71013</v>
      </c>
      <c r="N4" s="18" t="s">
        <v>53</v>
      </c>
      <c r="O4" s="22" t="s">
        <v>161</v>
      </c>
      <c r="P4" s="23">
        <v>15</v>
      </c>
      <c r="Q4" s="22"/>
      <c r="R4" s="23">
        <v>15</v>
      </c>
      <c r="S4" s="24">
        <v>46054</v>
      </c>
      <c r="T4" s="23">
        <v>2.25</v>
      </c>
      <c r="U4" s="25">
        <v>4</v>
      </c>
      <c r="V4" s="23">
        <v>12.75</v>
      </c>
      <c r="W4" s="18" t="s">
        <v>47</v>
      </c>
      <c r="X4" s="18" t="s">
        <v>48</v>
      </c>
      <c r="Y4" s="18" t="s">
        <v>36</v>
      </c>
      <c r="Z4" s="18" t="s">
        <v>9</v>
      </c>
      <c r="AA4" s="18" t="s">
        <v>49</v>
      </c>
      <c r="AB4" s="18" t="s">
        <v>162</v>
      </c>
      <c r="AC4" s="18" t="s">
        <v>38</v>
      </c>
      <c r="AD4" s="7" t="str">
        <f t="shared" si="0"/>
        <v/>
      </c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</row>
    <row r="5" spans="1:49" s="35" customFormat="1" ht="35.25" customHeight="1" x14ac:dyDescent="0.2">
      <c r="A5" s="18" t="s">
        <v>51</v>
      </c>
      <c r="B5" s="19">
        <v>46050</v>
      </c>
      <c r="C5" s="19">
        <v>46050</v>
      </c>
      <c r="D5" s="18" t="s">
        <v>196</v>
      </c>
      <c r="E5" s="20">
        <v>0.25</v>
      </c>
      <c r="F5" s="20">
        <v>0.29166666666666669</v>
      </c>
      <c r="G5" s="20">
        <v>3.4722222222222218E-4</v>
      </c>
      <c r="H5" s="18" t="s">
        <v>52</v>
      </c>
      <c r="I5" s="21">
        <v>0.26204884259259259</v>
      </c>
      <c r="J5" s="18" t="s">
        <v>41</v>
      </c>
      <c r="K5" s="18" t="s">
        <v>40</v>
      </c>
      <c r="L5" s="22">
        <v>1</v>
      </c>
      <c r="M5" s="22">
        <v>70365</v>
      </c>
      <c r="N5" s="18" t="s">
        <v>53</v>
      </c>
      <c r="O5" s="22" t="s">
        <v>54</v>
      </c>
      <c r="P5" s="23">
        <v>40</v>
      </c>
      <c r="Q5" s="22"/>
      <c r="R5" s="23">
        <v>40</v>
      </c>
      <c r="S5" s="24">
        <v>46054</v>
      </c>
      <c r="T5" s="23">
        <v>6</v>
      </c>
      <c r="U5" s="25">
        <v>4</v>
      </c>
      <c r="V5" s="23">
        <v>34</v>
      </c>
      <c r="W5" s="18" t="s">
        <v>47</v>
      </c>
      <c r="X5" s="18" t="s">
        <v>48</v>
      </c>
      <c r="Y5" s="18" t="s">
        <v>36</v>
      </c>
      <c r="Z5" s="18" t="s">
        <v>9</v>
      </c>
      <c r="AA5" s="18" t="s">
        <v>49</v>
      </c>
      <c r="AB5" s="18" t="s">
        <v>55</v>
      </c>
      <c r="AC5" s="18" t="s">
        <v>38</v>
      </c>
      <c r="AD5" s="7" t="str">
        <f t="shared" si="0"/>
        <v/>
      </c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</row>
    <row r="6" spans="1:49" s="26" customFormat="1" ht="35.1" customHeight="1" x14ac:dyDescent="0.25">
      <c r="A6" s="18" t="s">
        <v>159</v>
      </c>
      <c r="B6" s="19">
        <v>46050</v>
      </c>
      <c r="C6" s="19">
        <v>46050</v>
      </c>
      <c r="D6" s="18" t="s">
        <v>196</v>
      </c>
      <c r="E6" s="20">
        <v>0.25</v>
      </c>
      <c r="F6" s="20">
        <v>0.875</v>
      </c>
      <c r="G6" s="28">
        <v>1.7361111111111109E-4</v>
      </c>
      <c r="H6" s="29" t="s">
        <v>165</v>
      </c>
      <c r="I6" s="21">
        <v>0.26447916666666665</v>
      </c>
      <c r="J6" s="18" t="s">
        <v>41</v>
      </c>
      <c r="K6" s="18" t="s">
        <v>40</v>
      </c>
      <c r="L6" s="22">
        <v>1</v>
      </c>
      <c r="M6" s="22">
        <v>71013</v>
      </c>
      <c r="N6" s="18" t="s">
        <v>53</v>
      </c>
      <c r="O6" s="22" t="s">
        <v>161</v>
      </c>
      <c r="P6" s="23">
        <v>15</v>
      </c>
      <c r="Q6" s="22"/>
      <c r="R6" s="23">
        <v>15</v>
      </c>
      <c r="S6" s="24">
        <v>46054</v>
      </c>
      <c r="T6" s="23">
        <v>2.25</v>
      </c>
      <c r="U6" s="25">
        <v>4</v>
      </c>
      <c r="V6" s="23">
        <v>12.75</v>
      </c>
      <c r="W6" s="18" t="s">
        <v>47</v>
      </c>
      <c r="X6" s="18" t="s">
        <v>48</v>
      </c>
      <c r="Y6" s="18" t="s">
        <v>36</v>
      </c>
      <c r="Z6" s="18" t="s">
        <v>9</v>
      </c>
      <c r="AA6" s="18" t="s">
        <v>49</v>
      </c>
      <c r="AB6" s="18" t="s">
        <v>162</v>
      </c>
      <c r="AC6" s="18" t="s">
        <v>38</v>
      </c>
      <c r="AD6" s="7" t="str">
        <f t="shared" si="0"/>
        <v/>
      </c>
    </row>
    <row r="7" spans="1:49" s="26" customFormat="1" ht="35.1" customHeight="1" x14ac:dyDescent="0.25">
      <c r="A7" s="18" t="s">
        <v>159</v>
      </c>
      <c r="B7" s="19">
        <v>46050</v>
      </c>
      <c r="C7" s="19">
        <v>46050</v>
      </c>
      <c r="D7" s="18" t="s">
        <v>196</v>
      </c>
      <c r="E7" s="20">
        <v>0.25</v>
      </c>
      <c r="F7" s="20">
        <v>0.99930555555555556</v>
      </c>
      <c r="G7" s="28">
        <v>1.7361111111111109E-4</v>
      </c>
      <c r="H7" s="29" t="s">
        <v>160</v>
      </c>
      <c r="I7" s="21">
        <v>0.28407604166666667</v>
      </c>
      <c r="J7" s="18" t="s">
        <v>41</v>
      </c>
      <c r="K7" s="18" t="s">
        <v>40</v>
      </c>
      <c r="L7" s="22">
        <v>1</v>
      </c>
      <c r="M7" s="22">
        <v>71016</v>
      </c>
      <c r="N7" s="18" t="s">
        <v>46</v>
      </c>
      <c r="O7" s="22" t="s">
        <v>161</v>
      </c>
      <c r="P7" s="23">
        <v>0</v>
      </c>
      <c r="Q7" s="22"/>
      <c r="R7" s="23">
        <v>0</v>
      </c>
      <c r="S7" s="24">
        <v>46054</v>
      </c>
      <c r="T7" s="23">
        <v>0</v>
      </c>
      <c r="U7" s="25">
        <v>4</v>
      </c>
      <c r="V7" s="23">
        <v>0</v>
      </c>
      <c r="W7" s="18" t="s">
        <v>47</v>
      </c>
      <c r="X7" s="18" t="s">
        <v>48</v>
      </c>
      <c r="Y7" s="18" t="s">
        <v>36</v>
      </c>
      <c r="Z7" s="18" t="s">
        <v>9</v>
      </c>
      <c r="AA7" s="18" t="s">
        <v>49</v>
      </c>
      <c r="AB7" s="18" t="s">
        <v>162</v>
      </c>
      <c r="AC7" s="18" t="s">
        <v>38</v>
      </c>
      <c r="AD7" s="7" t="str">
        <f t="shared" si="0"/>
        <v/>
      </c>
    </row>
    <row r="8" spans="1:49" s="33" customFormat="1" ht="35.1" customHeight="1" x14ac:dyDescent="0.25">
      <c r="A8" s="18" t="s">
        <v>159</v>
      </c>
      <c r="B8" s="19">
        <v>46050</v>
      </c>
      <c r="C8" s="19">
        <v>46050</v>
      </c>
      <c r="D8" s="18" t="s">
        <v>196</v>
      </c>
      <c r="E8" s="20">
        <v>0.25</v>
      </c>
      <c r="F8" s="20">
        <v>0.99930555555555556</v>
      </c>
      <c r="G8" s="28">
        <v>1.7361111111111109E-4</v>
      </c>
      <c r="H8" s="29" t="s">
        <v>163</v>
      </c>
      <c r="I8" s="21">
        <v>0.28598553240740743</v>
      </c>
      <c r="J8" s="18" t="s">
        <v>41</v>
      </c>
      <c r="K8" s="18" t="s">
        <v>40</v>
      </c>
      <c r="L8" s="22">
        <v>1</v>
      </c>
      <c r="M8" s="22">
        <v>71016</v>
      </c>
      <c r="N8" s="18" t="s">
        <v>46</v>
      </c>
      <c r="O8" s="22" t="s">
        <v>161</v>
      </c>
      <c r="P8" s="23">
        <v>0</v>
      </c>
      <c r="Q8" s="22"/>
      <c r="R8" s="23">
        <v>0</v>
      </c>
      <c r="S8" s="24">
        <v>46054</v>
      </c>
      <c r="T8" s="23">
        <v>0</v>
      </c>
      <c r="U8" s="25">
        <v>4</v>
      </c>
      <c r="V8" s="23">
        <v>0</v>
      </c>
      <c r="W8" s="18" t="s">
        <v>47</v>
      </c>
      <c r="X8" s="18" t="s">
        <v>48</v>
      </c>
      <c r="Y8" s="18" t="s">
        <v>36</v>
      </c>
      <c r="Z8" s="18" t="s">
        <v>9</v>
      </c>
      <c r="AA8" s="18" t="s">
        <v>49</v>
      </c>
      <c r="AB8" s="18" t="s">
        <v>162</v>
      </c>
      <c r="AC8" s="18" t="s">
        <v>38</v>
      </c>
      <c r="AD8" s="7" t="str">
        <f t="shared" si="0"/>
        <v/>
      </c>
      <c r="AE8" s="26"/>
      <c r="AF8" s="26"/>
      <c r="AG8" s="26"/>
      <c r="AH8" s="26"/>
      <c r="AI8" s="26"/>
      <c r="AJ8" s="26"/>
      <c r="AK8" s="26"/>
      <c r="AL8" s="26"/>
      <c r="AM8" s="26"/>
      <c r="AN8" s="26"/>
      <c r="AO8" s="26"/>
      <c r="AP8" s="26"/>
      <c r="AQ8" s="26"/>
      <c r="AR8" s="26"/>
      <c r="AS8" s="26"/>
      <c r="AT8" s="26"/>
      <c r="AU8" s="26"/>
      <c r="AV8" s="26"/>
      <c r="AW8" s="26"/>
    </row>
    <row r="9" spans="1:49" s="27" customFormat="1" ht="35.1" customHeight="1" x14ac:dyDescent="0.25">
      <c r="A9" s="9" t="s">
        <v>65</v>
      </c>
      <c r="B9" s="10">
        <v>46050</v>
      </c>
      <c r="C9" s="10">
        <v>46050</v>
      </c>
      <c r="D9" s="11" t="s">
        <v>196</v>
      </c>
      <c r="E9" s="12">
        <v>0.29166666666666669</v>
      </c>
      <c r="F9" s="12">
        <v>0.3125</v>
      </c>
      <c r="G9" s="12">
        <v>2.0833333333333332E-2</v>
      </c>
      <c r="H9" s="9" t="s">
        <v>197</v>
      </c>
      <c r="I9" s="13" t="s">
        <v>67</v>
      </c>
      <c r="J9" s="9" t="s">
        <v>41</v>
      </c>
      <c r="K9" s="9"/>
      <c r="L9" s="14">
        <v>1</v>
      </c>
      <c r="M9" s="14">
        <v>1</v>
      </c>
      <c r="N9" s="9" t="s">
        <v>33</v>
      </c>
      <c r="O9" s="9"/>
      <c r="P9" s="16">
        <v>0</v>
      </c>
      <c r="Q9" s="14"/>
      <c r="R9" s="16">
        <v>0</v>
      </c>
      <c r="S9" s="9">
        <v>46054</v>
      </c>
      <c r="T9" s="16">
        <v>0</v>
      </c>
      <c r="U9" s="14">
        <v>2</v>
      </c>
      <c r="V9" s="16">
        <v>0</v>
      </c>
      <c r="W9" s="9" t="s">
        <v>34</v>
      </c>
      <c r="X9" s="9" t="s">
        <v>42</v>
      </c>
      <c r="Y9" s="9" t="s">
        <v>36</v>
      </c>
      <c r="Z9" s="9" t="s">
        <v>43</v>
      </c>
      <c r="AA9" s="9" t="s">
        <v>37</v>
      </c>
      <c r="AB9" s="9" t="s">
        <v>37</v>
      </c>
      <c r="AC9" s="9" t="s">
        <v>38</v>
      </c>
      <c r="AD9" s="7" t="str">
        <f t="shared" si="0"/>
        <v/>
      </c>
      <c r="AE9" s="26"/>
      <c r="AF9" s="26"/>
      <c r="AG9" s="26"/>
      <c r="AH9" s="26"/>
      <c r="AI9" s="26"/>
      <c r="AJ9" s="26"/>
      <c r="AK9" s="26"/>
      <c r="AL9" s="26"/>
      <c r="AM9" s="26"/>
      <c r="AN9" s="26"/>
      <c r="AO9" s="26"/>
      <c r="AP9" s="26"/>
      <c r="AQ9" s="26"/>
      <c r="AR9" s="26"/>
      <c r="AS9" s="26"/>
      <c r="AT9" s="26"/>
      <c r="AU9" s="26"/>
      <c r="AV9" s="26"/>
      <c r="AW9" s="26"/>
    </row>
    <row r="10" spans="1:49" s="27" customFormat="1" ht="35.1" customHeight="1" x14ac:dyDescent="0.2">
      <c r="A10" s="9" t="s">
        <v>65</v>
      </c>
      <c r="B10" s="10">
        <v>46050</v>
      </c>
      <c r="C10" s="10">
        <v>46050</v>
      </c>
      <c r="D10" s="11" t="s">
        <v>196</v>
      </c>
      <c r="E10" s="12">
        <v>0.3125</v>
      </c>
      <c r="F10" s="12">
        <v>0.33333333333333331</v>
      </c>
      <c r="G10" s="12">
        <v>2.0833333333333332E-2</v>
      </c>
      <c r="H10" s="9" t="s">
        <v>197</v>
      </c>
      <c r="I10" s="13" t="s">
        <v>67</v>
      </c>
      <c r="J10" s="9" t="s">
        <v>41</v>
      </c>
      <c r="K10" s="9"/>
      <c r="L10" s="14">
        <v>1</v>
      </c>
      <c r="M10" s="14">
        <v>1</v>
      </c>
      <c r="N10" s="9" t="s">
        <v>33</v>
      </c>
      <c r="O10" s="9"/>
      <c r="P10" s="16">
        <v>0</v>
      </c>
      <c r="Q10" s="14"/>
      <c r="R10" s="16">
        <v>0</v>
      </c>
      <c r="S10" s="9">
        <v>46054</v>
      </c>
      <c r="T10" s="16">
        <v>0</v>
      </c>
      <c r="U10" s="14">
        <v>2</v>
      </c>
      <c r="V10" s="16">
        <v>0</v>
      </c>
      <c r="W10" s="9" t="s">
        <v>34</v>
      </c>
      <c r="X10" s="9" t="s">
        <v>42</v>
      </c>
      <c r="Y10" s="9" t="s">
        <v>36</v>
      </c>
      <c r="Z10" s="9" t="s">
        <v>43</v>
      </c>
      <c r="AA10" s="9" t="s">
        <v>37</v>
      </c>
      <c r="AB10" s="9" t="s">
        <v>37</v>
      </c>
      <c r="AC10" s="9" t="s">
        <v>38</v>
      </c>
      <c r="AD10" s="7" t="str">
        <f t="shared" si="0"/>
        <v/>
      </c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</row>
    <row r="11" spans="1:49" s="33" customFormat="1" ht="35.1" customHeight="1" x14ac:dyDescent="0.25">
      <c r="A11" s="18" t="s">
        <v>61</v>
      </c>
      <c r="B11" s="19">
        <v>46050</v>
      </c>
      <c r="C11" s="19">
        <v>46050</v>
      </c>
      <c r="D11" s="18" t="s">
        <v>196</v>
      </c>
      <c r="E11" s="20">
        <v>0.25</v>
      </c>
      <c r="F11" s="20">
        <v>0.99930555555555556</v>
      </c>
      <c r="G11" s="20">
        <v>3.4722222222222218E-4</v>
      </c>
      <c r="H11" s="18" t="s">
        <v>62</v>
      </c>
      <c r="I11" s="21">
        <v>0.33246643518518515</v>
      </c>
      <c r="J11" s="18" t="s">
        <v>41</v>
      </c>
      <c r="K11" s="18" t="s">
        <v>197</v>
      </c>
      <c r="L11" s="22">
        <v>1</v>
      </c>
      <c r="M11" s="22">
        <v>64407</v>
      </c>
      <c r="N11" s="18" t="s">
        <v>53</v>
      </c>
      <c r="O11" s="22" t="s">
        <v>63</v>
      </c>
      <c r="P11" s="23">
        <v>30</v>
      </c>
      <c r="Q11" s="22"/>
      <c r="R11" s="23">
        <v>30</v>
      </c>
      <c r="S11" s="24">
        <v>46054</v>
      </c>
      <c r="T11" s="23">
        <v>4.5</v>
      </c>
      <c r="U11" s="25">
        <v>4</v>
      </c>
      <c r="V11" s="23">
        <v>25.5</v>
      </c>
      <c r="W11" s="18" t="s">
        <v>47</v>
      </c>
      <c r="X11" s="18" t="s">
        <v>48</v>
      </c>
      <c r="Y11" s="18" t="s">
        <v>36</v>
      </c>
      <c r="Z11" s="18" t="s">
        <v>9</v>
      </c>
      <c r="AA11" s="18" t="s">
        <v>49</v>
      </c>
      <c r="AB11" s="18" t="s">
        <v>64</v>
      </c>
      <c r="AC11" s="18" t="s">
        <v>38</v>
      </c>
      <c r="AD11" s="7" t="str">
        <f t="shared" si="0"/>
        <v/>
      </c>
      <c r="AE11" s="26"/>
      <c r="AF11" s="26"/>
      <c r="AG11" s="26"/>
      <c r="AH11" s="26"/>
      <c r="AI11" s="26"/>
      <c r="AJ11" s="26"/>
      <c r="AK11" s="26"/>
      <c r="AL11" s="26"/>
      <c r="AM11" s="26"/>
      <c r="AN11" s="26"/>
      <c r="AO11" s="26"/>
      <c r="AP11" s="26"/>
      <c r="AQ11" s="26"/>
      <c r="AR11" s="26"/>
      <c r="AS11" s="26"/>
      <c r="AT11" s="26"/>
      <c r="AU11" s="26"/>
      <c r="AV11" s="26"/>
      <c r="AW11" s="26"/>
    </row>
    <row r="12" spans="1:49" s="48" customFormat="1" ht="35.1" customHeight="1" x14ac:dyDescent="0.2">
      <c r="A12" s="9" t="s">
        <v>68</v>
      </c>
      <c r="B12" s="10">
        <v>46050</v>
      </c>
      <c r="C12" s="10">
        <v>46050</v>
      </c>
      <c r="D12" s="11" t="s">
        <v>196</v>
      </c>
      <c r="E12" s="12">
        <v>0.33333333333333331</v>
      </c>
      <c r="F12" s="12">
        <v>0.375</v>
      </c>
      <c r="G12" s="12">
        <v>4.1666666666666664E-2</v>
      </c>
      <c r="H12" s="9" t="s">
        <v>69</v>
      </c>
      <c r="I12" s="13"/>
      <c r="J12" s="9" t="s">
        <v>70</v>
      </c>
      <c r="K12" s="9"/>
      <c r="L12" s="14">
        <v>1</v>
      </c>
      <c r="M12" s="14">
        <v>1</v>
      </c>
      <c r="N12" s="9" t="s">
        <v>33</v>
      </c>
      <c r="O12" s="9"/>
      <c r="P12" s="16">
        <v>0</v>
      </c>
      <c r="Q12" s="14"/>
      <c r="R12" s="16">
        <v>0</v>
      </c>
      <c r="S12" s="9">
        <v>46054</v>
      </c>
      <c r="T12" s="16">
        <v>0</v>
      </c>
      <c r="U12" s="14">
        <v>2</v>
      </c>
      <c r="V12" s="16">
        <v>0</v>
      </c>
      <c r="W12" s="9" t="s">
        <v>34</v>
      </c>
      <c r="X12" s="9" t="s">
        <v>42</v>
      </c>
      <c r="Y12" s="9" t="s">
        <v>36</v>
      </c>
      <c r="Z12" s="9" t="s">
        <v>43</v>
      </c>
      <c r="AA12" s="9" t="s">
        <v>37</v>
      </c>
      <c r="AB12" s="9" t="s">
        <v>37</v>
      </c>
      <c r="AC12" s="9" t="s">
        <v>38</v>
      </c>
      <c r="AD12" s="7" t="str">
        <f t="shared" si="0"/>
        <v/>
      </c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</row>
    <row r="13" spans="1:49" s="17" customFormat="1" ht="35.1" customHeight="1" x14ac:dyDescent="0.25">
      <c r="A13" s="18" t="s">
        <v>159</v>
      </c>
      <c r="B13" s="19">
        <v>46050</v>
      </c>
      <c r="C13" s="19">
        <v>46050</v>
      </c>
      <c r="D13" s="18" t="s">
        <v>196</v>
      </c>
      <c r="E13" s="20">
        <v>0.33333333333333331</v>
      </c>
      <c r="F13" s="20">
        <v>0.375</v>
      </c>
      <c r="G13" s="28">
        <v>1.7361111111111109E-4</v>
      </c>
      <c r="H13" s="29" t="s">
        <v>160</v>
      </c>
      <c r="I13" s="21">
        <v>0.33966435185185184</v>
      </c>
      <c r="J13" s="18" t="s">
        <v>70</v>
      </c>
      <c r="K13" s="18" t="s">
        <v>69</v>
      </c>
      <c r="L13" s="22">
        <v>1</v>
      </c>
      <c r="M13" s="22">
        <v>71100</v>
      </c>
      <c r="N13" s="18" t="s">
        <v>53</v>
      </c>
      <c r="O13" s="22" t="s">
        <v>161</v>
      </c>
      <c r="P13" s="23">
        <v>15</v>
      </c>
      <c r="Q13" s="22"/>
      <c r="R13" s="23">
        <v>15</v>
      </c>
      <c r="S13" s="24">
        <v>46054</v>
      </c>
      <c r="T13" s="23">
        <v>2.25</v>
      </c>
      <c r="U13" s="25">
        <v>4</v>
      </c>
      <c r="V13" s="23">
        <v>12.75</v>
      </c>
      <c r="W13" s="18" t="s">
        <v>47</v>
      </c>
      <c r="X13" s="18" t="s">
        <v>48</v>
      </c>
      <c r="Y13" s="18" t="s">
        <v>36</v>
      </c>
      <c r="Z13" s="18" t="s">
        <v>9</v>
      </c>
      <c r="AA13" s="18" t="s">
        <v>49</v>
      </c>
      <c r="AB13" s="18" t="s">
        <v>162</v>
      </c>
      <c r="AC13" s="18" t="s">
        <v>38</v>
      </c>
      <c r="AD13" s="7" t="str">
        <f t="shared" si="0"/>
        <v/>
      </c>
      <c r="AE13" s="26"/>
      <c r="AF13" s="26"/>
      <c r="AG13" s="26"/>
      <c r="AH13" s="26"/>
      <c r="AI13" s="26"/>
      <c r="AJ13" s="26"/>
      <c r="AK13" s="26"/>
      <c r="AL13" s="26"/>
      <c r="AM13" s="26"/>
      <c r="AN13" s="26"/>
      <c r="AO13" s="26"/>
      <c r="AP13" s="26"/>
      <c r="AQ13" s="26"/>
      <c r="AR13" s="26"/>
      <c r="AS13" s="26"/>
      <c r="AT13" s="26"/>
      <c r="AU13" s="26"/>
      <c r="AV13" s="26"/>
      <c r="AW13" s="26"/>
    </row>
    <row r="14" spans="1:49" s="17" customFormat="1" ht="35.1" customHeight="1" x14ac:dyDescent="0.25">
      <c r="A14" s="18" t="s">
        <v>159</v>
      </c>
      <c r="B14" s="19">
        <v>46050</v>
      </c>
      <c r="C14" s="19">
        <v>46050</v>
      </c>
      <c r="D14" s="18" t="s">
        <v>196</v>
      </c>
      <c r="E14" s="20">
        <v>0.33333333333333331</v>
      </c>
      <c r="F14" s="20">
        <v>0.375</v>
      </c>
      <c r="G14" s="28">
        <v>1.7361111111111109E-4</v>
      </c>
      <c r="H14" s="29" t="s">
        <v>163</v>
      </c>
      <c r="I14" s="21">
        <v>0.34087962962962964</v>
      </c>
      <c r="J14" s="18" t="s">
        <v>70</v>
      </c>
      <c r="K14" s="18" t="s">
        <v>69</v>
      </c>
      <c r="L14" s="22">
        <v>1</v>
      </c>
      <c r="M14" s="22">
        <v>71100</v>
      </c>
      <c r="N14" s="18" t="s">
        <v>53</v>
      </c>
      <c r="O14" s="22" t="s">
        <v>161</v>
      </c>
      <c r="P14" s="23">
        <v>15</v>
      </c>
      <c r="Q14" s="22"/>
      <c r="R14" s="23">
        <v>15</v>
      </c>
      <c r="S14" s="24">
        <v>46054</v>
      </c>
      <c r="T14" s="23">
        <v>2.25</v>
      </c>
      <c r="U14" s="25">
        <v>4</v>
      </c>
      <c r="V14" s="23">
        <v>12.75</v>
      </c>
      <c r="W14" s="18" t="s">
        <v>47</v>
      </c>
      <c r="X14" s="18" t="s">
        <v>48</v>
      </c>
      <c r="Y14" s="18" t="s">
        <v>36</v>
      </c>
      <c r="Z14" s="18" t="s">
        <v>9</v>
      </c>
      <c r="AA14" s="18" t="s">
        <v>49</v>
      </c>
      <c r="AB14" s="18" t="s">
        <v>162</v>
      </c>
      <c r="AC14" s="18" t="s">
        <v>38</v>
      </c>
      <c r="AD14" s="7" t="str">
        <f t="shared" si="0"/>
        <v/>
      </c>
      <c r="AE14" s="26"/>
      <c r="AF14" s="26"/>
      <c r="AG14" s="26"/>
      <c r="AH14" s="26"/>
      <c r="AI14" s="26"/>
      <c r="AJ14" s="26"/>
      <c r="AK14" s="26"/>
      <c r="AL14" s="26"/>
      <c r="AM14" s="26"/>
      <c r="AN14" s="26"/>
      <c r="AO14" s="26"/>
      <c r="AP14" s="26"/>
      <c r="AQ14" s="26"/>
      <c r="AR14" s="26"/>
      <c r="AS14" s="26"/>
      <c r="AT14" s="26"/>
      <c r="AU14" s="26"/>
      <c r="AV14" s="26"/>
      <c r="AW14" s="26"/>
    </row>
    <row r="15" spans="1:49" s="17" customFormat="1" ht="35.1" customHeight="1" x14ac:dyDescent="0.25">
      <c r="A15" s="18" t="s">
        <v>159</v>
      </c>
      <c r="B15" s="19">
        <v>46050</v>
      </c>
      <c r="C15" s="19">
        <v>46050</v>
      </c>
      <c r="D15" s="18" t="s">
        <v>196</v>
      </c>
      <c r="E15" s="20">
        <v>0.33333333333333331</v>
      </c>
      <c r="F15" s="20">
        <v>0.375</v>
      </c>
      <c r="G15" s="28">
        <v>1.7361111111111109E-4</v>
      </c>
      <c r="H15" s="29" t="s">
        <v>160</v>
      </c>
      <c r="I15" s="21">
        <v>0.36711805555555554</v>
      </c>
      <c r="J15" s="18" t="s">
        <v>70</v>
      </c>
      <c r="K15" s="18" t="s">
        <v>69</v>
      </c>
      <c r="L15" s="22">
        <v>1</v>
      </c>
      <c r="M15" s="22">
        <v>71018</v>
      </c>
      <c r="N15" s="18" t="s">
        <v>53</v>
      </c>
      <c r="O15" s="22" t="s">
        <v>161</v>
      </c>
      <c r="P15" s="23">
        <v>15</v>
      </c>
      <c r="Q15" s="22"/>
      <c r="R15" s="23">
        <v>15</v>
      </c>
      <c r="S15" s="24">
        <v>46054</v>
      </c>
      <c r="T15" s="23">
        <v>2.25</v>
      </c>
      <c r="U15" s="25">
        <v>4</v>
      </c>
      <c r="V15" s="23">
        <v>12.75</v>
      </c>
      <c r="W15" s="18" t="s">
        <v>47</v>
      </c>
      <c r="X15" s="18" t="s">
        <v>48</v>
      </c>
      <c r="Y15" s="18" t="s">
        <v>36</v>
      </c>
      <c r="Z15" s="18" t="s">
        <v>9</v>
      </c>
      <c r="AA15" s="18" t="s">
        <v>49</v>
      </c>
      <c r="AB15" s="18" t="s">
        <v>162</v>
      </c>
      <c r="AC15" s="18" t="s">
        <v>38</v>
      </c>
      <c r="AD15" s="7" t="str">
        <f t="shared" si="0"/>
        <v/>
      </c>
      <c r="AE15" s="26"/>
      <c r="AF15" s="26"/>
      <c r="AG15" s="26"/>
      <c r="AH15" s="26"/>
      <c r="AI15" s="26"/>
      <c r="AJ15" s="26"/>
      <c r="AK15" s="26"/>
      <c r="AL15" s="26"/>
      <c r="AM15" s="26"/>
      <c r="AN15" s="26"/>
      <c r="AO15" s="26"/>
      <c r="AP15" s="26"/>
      <c r="AQ15" s="26"/>
      <c r="AR15" s="26"/>
      <c r="AS15" s="26"/>
      <c r="AT15" s="26"/>
      <c r="AU15" s="26"/>
      <c r="AV15" s="26"/>
      <c r="AW15" s="26"/>
    </row>
    <row r="16" spans="1:49" s="17" customFormat="1" ht="35.1" customHeight="1" x14ac:dyDescent="0.25">
      <c r="A16" s="18" t="s">
        <v>159</v>
      </c>
      <c r="B16" s="19">
        <v>46050</v>
      </c>
      <c r="C16" s="19">
        <v>46050</v>
      </c>
      <c r="D16" s="18" t="s">
        <v>196</v>
      </c>
      <c r="E16" s="20">
        <v>0.33333333333333331</v>
      </c>
      <c r="F16" s="20">
        <v>0.375</v>
      </c>
      <c r="G16" s="28">
        <v>1.7361111111111109E-4</v>
      </c>
      <c r="H16" s="29" t="s">
        <v>163</v>
      </c>
      <c r="I16" s="21">
        <v>0.36868055555555551</v>
      </c>
      <c r="J16" s="18" t="s">
        <v>70</v>
      </c>
      <c r="K16" s="18" t="s">
        <v>69</v>
      </c>
      <c r="L16" s="22">
        <v>1</v>
      </c>
      <c r="M16" s="22">
        <v>71018</v>
      </c>
      <c r="N16" s="18" t="s">
        <v>53</v>
      </c>
      <c r="O16" s="22" t="s">
        <v>161</v>
      </c>
      <c r="P16" s="23">
        <v>15</v>
      </c>
      <c r="Q16" s="22"/>
      <c r="R16" s="23">
        <v>15</v>
      </c>
      <c r="S16" s="24">
        <v>46054</v>
      </c>
      <c r="T16" s="23">
        <v>2.25</v>
      </c>
      <c r="U16" s="25">
        <v>4</v>
      </c>
      <c r="V16" s="23">
        <v>12.75</v>
      </c>
      <c r="W16" s="18" t="s">
        <v>47</v>
      </c>
      <c r="X16" s="18" t="s">
        <v>48</v>
      </c>
      <c r="Y16" s="18" t="s">
        <v>36</v>
      </c>
      <c r="Z16" s="18" t="s">
        <v>9</v>
      </c>
      <c r="AA16" s="18" t="s">
        <v>49</v>
      </c>
      <c r="AB16" s="18" t="s">
        <v>162</v>
      </c>
      <c r="AC16" s="18" t="s">
        <v>38</v>
      </c>
      <c r="AD16" s="7" t="str">
        <f t="shared" si="0"/>
        <v/>
      </c>
      <c r="AE16" s="26"/>
      <c r="AF16" s="26"/>
      <c r="AG16" s="26"/>
      <c r="AH16" s="26"/>
      <c r="AI16" s="27"/>
      <c r="AJ16" s="27"/>
      <c r="AK16" s="27"/>
      <c r="AL16" s="27"/>
      <c r="AM16" s="27"/>
      <c r="AN16" s="27"/>
      <c r="AO16" s="27"/>
      <c r="AP16" s="27"/>
      <c r="AQ16" s="27"/>
      <c r="AR16" s="27"/>
      <c r="AS16" s="27"/>
      <c r="AT16" s="27"/>
      <c r="AU16" s="27"/>
      <c r="AV16" s="27"/>
      <c r="AW16" s="27"/>
    </row>
    <row r="17" spans="1:49" s="48" customFormat="1" ht="35.1" customHeight="1" x14ac:dyDescent="0.2">
      <c r="A17" s="9" t="s">
        <v>68</v>
      </c>
      <c r="B17" s="10">
        <v>46050</v>
      </c>
      <c r="C17" s="10">
        <v>46050</v>
      </c>
      <c r="D17" s="11" t="s">
        <v>196</v>
      </c>
      <c r="E17" s="12">
        <v>0.375</v>
      </c>
      <c r="F17" s="12">
        <v>0.41666666666666669</v>
      </c>
      <c r="G17" s="12">
        <v>4.1666666666666664E-2</v>
      </c>
      <c r="H17" s="9" t="s">
        <v>71</v>
      </c>
      <c r="I17" s="13"/>
      <c r="J17" s="9" t="s">
        <v>70</v>
      </c>
      <c r="K17" s="9"/>
      <c r="L17" s="14">
        <v>1</v>
      </c>
      <c r="M17" s="14">
        <v>1</v>
      </c>
      <c r="N17" s="9" t="s">
        <v>33</v>
      </c>
      <c r="O17" s="9"/>
      <c r="P17" s="16">
        <v>0</v>
      </c>
      <c r="Q17" s="14"/>
      <c r="R17" s="16">
        <v>0</v>
      </c>
      <c r="S17" s="9">
        <v>46054</v>
      </c>
      <c r="T17" s="16">
        <v>0</v>
      </c>
      <c r="U17" s="14">
        <v>2</v>
      </c>
      <c r="V17" s="16">
        <v>0</v>
      </c>
      <c r="W17" s="9" t="s">
        <v>34</v>
      </c>
      <c r="X17" s="9" t="s">
        <v>42</v>
      </c>
      <c r="Y17" s="9" t="s">
        <v>36</v>
      </c>
      <c r="Z17" s="9" t="s">
        <v>43</v>
      </c>
      <c r="AA17" s="9" t="s">
        <v>37</v>
      </c>
      <c r="AB17" s="9" t="s">
        <v>37</v>
      </c>
      <c r="AC17" s="9" t="s">
        <v>38</v>
      </c>
      <c r="AD17" s="7" t="str">
        <f t="shared" si="0"/>
        <v/>
      </c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</row>
    <row r="18" spans="1:49" s="47" customFormat="1" ht="35.1" customHeight="1" x14ac:dyDescent="0.25">
      <c r="A18" s="18" t="s">
        <v>159</v>
      </c>
      <c r="B18" s="19">
        <v>46050</v>
      </c>
      <c r="C18" s="19">
        <v>46050</v>
      </c>
      <c r="D18" s="18" t="s">
        <v>196</v>
      </c>
      <c r="E18" s="20">
        <v>0.33333333333333331</v>
      </c>
      <c r="F18" s="20">
        <v>0.41666666666666669</v>
      </c>
      <c r="G18" s="28">
        <v>1.7361111111111109E-4</v>
      </c>
      <c r="H18" s="29" t="s">
        <v>164</v>
      </c>
      <c r="I18" s="21">
        <v>0.40687685185185191</v>
      </c>
      <c r="J18" s="18" t="s">
        <v>70</v>
      </c>
      <c r="K18" s="18" t="s">
        <v>71</v>
      </c>
      <c r="L18" s="22">
        <v>1</v>
      </c>
      <c r="M18" s="22">
        <v>71020</v>
      </c>
      <c r="N18" s="18" t="s">
        <v>46</v>
      </c>
      <c r="O18" s="22" t="s">
        <v>161</v>
      </c>
      <c r="P18" s="23">
        <v>0</v>
      </c>
      <c r="Q18" s="22"/>
      <c r="R18" s="23">
        <v>0</v>
      </c>
      <c r="S18" s="24">
        <v>46054</v>
      </c>
      <c r="T18" s="23">
        <v>0</v>
      </c>
      <c r="U18" s="25">
        <v>4</v>
      </c>
      <c r="V18" s="23">
        <v>0</v>
      </c>
      <c r="W18" s="18" t="s">
        <v>47</v>
      </c>
      <c r="X18" s="18" t="s">
        <v>48</v>
      </c>
      <c r="Y18" s="18" t="s">
        <v>36</v>
      </c>
      <c r="Z18" s="18" t="s">
        <v>9</v>
      </c>
      <c r="AA18" s="18" t="s">
        <v>49</v>
      </c>
      <c r="AB18" s="18" t="s">
        <v>162</v>
      </c>
      <c r="AC18" s="18" t="s">
        <v>38</v>
      </c>
      <c r="AD18" s="7" t="str">
        <f t="shared" si="0"/>
        <v/>
      </c>
      <c r="AE18" s="26"/>
      <c r="AF18" s="26"/>
      <c r="AG18" s="26"/>
      <c r="AH18" s="26"/>
      <c r="AI18" s="26"/>
      <c r="AJ18" s="26"/>
      <c r="AK18" s="26"/>
      <c r="AL18" s="26"/>
      <c r="AM18" s="26"/>
      <c r="AN18" s="26"/>
      <c r="AO18" s="26"/>
      <c r="AP18" s="26"/>
      <c r="AQ18" s="26"/>
      <c r="AR18" s="26"/>
      <c r="AS18" s="26"/>
      <c r="AT18" s="26"/>
      <c r="AU18" s="26"/>
      <c r="AV18" s="26"/>
      <c r="AW18" s="26"/>
    </row>
    <row r="19" spans="1:49" s="33" customFormat="1" ht="35.1" customHeight="1" x14ac:dyDescent="0.25">
      <c r="A19" s="18" t="s">
        <v>44</v>
      </c>
      <c r="B19" s="19">
        <v>46050</v>
      </c>
      <c r="C19" s="19">
        <v>46050</v>
      </c>
      <c r="D19" s="18" t="s">
        <v>196</v>
      </c>
      <c r="E19" s="20">
        <v>0.33333333333333331</v>
      </c>
      <c r="F19" s="20">
        <v>0.41666666666666669</v>
      </c>
      <c r="G19" s="20">
        <v>3.4722222222222218E-4</v>
      </c>
      <c r="H19" s="18" t="s">
        <v>172</v>
      </c>
      <c r="I19" s="21">
        <v>0.40705069444444447</v>
      </c>
      <c r="J19" s="18" t="s">
        <v>70</v>
      </c>
      <c r="K19" s="18" t="s">
        <v>71</v>
      </c>
      <c r="L19" s="22">
        <v>1</v>
      </c>
      <c r="M19" s="22">
        <v>70994</v>
      </c>
      <c r="N19" s="18" t="s">
        <v>53</v>
      </c>
      <c r="O19" s="22" t="str">
        <f>AC19</f>
        <v>CVC</v>
      </c>
      <c r="P19" s="23">
        <v>58.82</v>
      </c>
      <c r="Q19" s="22"/>
      <c r="R19" s="23">
        <v>58.82</v>
      </c>
      <c r="S19" s="24">
        <v>46054</v>
      </c>
      <c r="T19" s="23">
        <v>4.4115000000000002</v>
      </c>
      <c r="U19" s="25">
        <v>4</v>
      </c>
      <c r="V19" s="23">
        <v>54.408500000000004</v>
      </c>
      <c r="W19" s="18" t="s">
        <v>47</v>
      </c>
      <c r="X19" s="18" t="s">
        <v>48</v>
      </c>
      <c r="Y19" s="18" t="s">
        <v>36</v>
      </c>
      <c r="Z19" s="18" t="s">
        <v>9</v>
      </c>
      <c r="AA19" s="18" t="s">
        <v>49</v>
      </c>
      <c r="AB19" s="18" t="s">
        <v>50</v>
      </c>
      <c r="AC19" s="18" t="s">
        <v>38</v>
      </c>
      <c r="AD19" s="7" t="str">
        <f t="shared" si="0"/>
        <v/>
      </c>
      <c r="AE19" s="31"/>
      <c r="AF19" s="31"/>
      <c r="AG19" s="31"/>
      <c r="AH19" s="31"/>
      <c r="AI19" s="30"/>
      <c r="AJ19" s="30"/>
      <c r="AK19" s="30"/>
      <c r="AL19" s="30"/>
      <c r="AM19" s="30"/>
      <c r="AN19" s="30"/>
      <c r="AO19" s="30"/>
      <c r="AP19" s="30"/>
      <c r="AQ19" s="30"/>
      <c r="AR19" s="30"/>
      <c r="AS19" s="30"/>
      <c r="AT19" s="30"/>
      <c r="AU19" s="30"/>
      <c r="AV19" s="30"/>
      <c r="AW19" s="30"/>
    </row>
    <row r="20" spans="1:49" s="33" customFormat="1" ht="35.1" customHeight="1" x14ac:dyDescent="0.25">
      <c r="A20" s="18" t="s">
        <v>159</v>
      </c>
      <c r="B20" s="19">
        <v>46050</v>
      </c>
      <c r="C20" s="19">
        <v>46050</v>
      </c>
      <c r="D20" s="18" t="s">
        <v>196</v>
      </c>
      <c r="E20" s="20">
        <v>0.33333333333333331</v>
      </c>
      <c r="F20" s="20">
        <v>0.41666666666666669</v>
      </c>
      <c r="G20" s="28">
        <v>1.7361111111111109E-4</v>
      </c>
      <c r="H20" s="29" t="s">
        <v>165</v>
      </c>
      <c r="I20" s="21">
        <v>0.40739791666666669</v>
      </c>
      <c r="J20" s="18" t="s">
        <v>70</v>
      </c>
      <c r="K20" s="18" t="s">
        <v>71</v>
      </c>
      <c r="L20" s="22">
        <v>1</v>
      </c>
      <c r="M20" s="22">
        <v>71020</v>
      </c>
      <c r="N20" s="18" t="s">
        <v>46</v>
      </c>
      <c r="O20" s="22" t="s">
        <v>161</v>
      </c>
      <c r="P20" s="23">
        <v>0</v>
      </c>
      <c r="Q20" s="22"/>
      <c r="R20" s="23">
        <v>0</v>
      </c>
      <c r="S20" s="24">
        <v>46054</v>
      </c>
      <c r="T20" s="23">
        <v>0</v>
      </c>
      <c r="U20" s="25">
        <v>4</v>
      </c>
      <c r="V20" s="23">
        <v>0</v>
      </c>
      <c r="W20" s="18" t="s">
        <v>47</v>
      </c>
      <c r="X20" s="18" t="s">
        <v>48</v>
      </c>
      <c r="Y20" s="18" t="s">
        <v>36</v>
      </c>
      <c r="Z20" s="18" t="s">
        <v>9</v>
      </c>
      <c r="AA20" s="18" t="s">
        <v>49</v>
      </c>
      <c r="AB20" s="18" t="s">
        <v>162</v>
      </c>
      <c r="AC20" s="18" t="s">
        <v>38</v>
      </c>
      <c r="AD20" s="7" t="str">
        <f t="shared" si="0"/>
        <v/>
      </c>
      <c r="AE20" s="31"/>
      <c r="AF20" s="31"/>
      <c r="AG20" s="31"/>
      <c r="AH20" s="31"/>
      <c r="AI20" s="30"/>
      <c r="AJ20" s="30"/>
      <c r="AK20" s="30"/>
      <c r="AL20" s="30"/>
      <c r="AM20" s="30"/>
      <c r="AN20" s="30"/>
      <c r="AO20" s="30"/>
      <c r="AP20" s="30"/>
      <c r="AQ20" s="30"/>
      <c r="AR20" s="30"/>
      <c r="AS20" s="30"/>
      <c r="AT20" s="30"/>
      <c r="AU20" s="30"/>
      <c r="AV20" s="30"/>
      <c r="AW20" s="30"/>
    </row>
    <row r="21" spans="1:49" s="48" customFormat="1" ht="35.1" customHeight="1" x14ac:dyDescent="0.2">
      <c r="A21" s="9" t="s">
        <v>72</v>
      </c>
      <c r="B21" s="10">
        <v>46050</v>
      </c>
      <c r="C21" s="10">
        <v>46050</v>
      </c>
      <c r="D21" s="11" t="s">
        <v>196</v>
      </c>
      <c r="E21" s="12">
        <v>0.41666666666666669</v>
      </c>
      <c r="F21" s="12">
        <v>0.45833333333333331</v>
      </c>
      <c r="G21" s="12">
        <v>4.1666666666666664E-2</v>
      </c>
      <c r="H21" s="9" t="s">
        <v>73</v>
      </c>
      <c r="I21" s="13"/>
      <c r="J21" s="9" t="s">
        <v>74</v>
      </c>
      <c r="K21" s="9"/>
      <c r="L21" s="14">
        <v>1</v>
      </c>
      <c r="M21" s="14">
        <v>1</v>
      </c>
      <c r="N21" s="9" t="s">
        <v>33</v>
      </c>
      <c r="O21" s="9"/>
      <c r="P21" s="16">
        <v>0</v>
      </c>
      <c r="Q21" s="14"/>
      <c r="R21" s="16">
        <v>0</v>
      </c>
      <c r="S21" s="9">
        <v>46054</v>
      </c>
      <c r="T21" s="16">
        <v>0</v>
      </c>
      <c r="U21" s="14">
        <v>2</v>
      </c>
      <c r="V21" s="16">
        <v>0</v>
      </c>
      <c r="W21" s="9" t="s">
        <v>34</v>
      </c>
      <c r="X21" s="9" t="s">
        <v>42</v>
      </c>
      <c r="Y21" s="9" t="s">
        <v>36</v>
      </c>
      <c r="Z21" s="9" t="s">
        <v>43</v>
      </c>
      <c r="AA21" s="9" t="s">
        <v>37</v>
      </c>
      <c r="AB21" s="9" t="s">
        <v>37</v>
      </c>
      <c r="AC21" s="9" t="s">
        <v>38</v>
      </c>
      <c r="AD21" s="7" t="str">
        <f t="shared" si="0"/>
        <v/>
      </c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</row>
    <row r="22" spans="1:49" s="48" customFormat="1" ht="35.1" customHeight="1" x14ac:dyDescent="0.25">
      <c r="A22" s="9" t="s">
        <v>75</v>
      </c>
      <c r="B22" s="10">
        <v>46050</v>
      </c>
      <c r="C22" s="10">
        <v>46050</v>
      </c>
      <c r="D22" s="11" t="s">
        <v>196</v>
      </c>
      <c r="E22" s="12">
        <v>0.45833333333333331</v>
      </c>
      <c r="F22" s="12">
        <v>0.47916666666666669</v>
      </c>
      <c r="G22" s="12">
        <v>2.0833333333333332E-2</v>
      </c>
      <c r="H22" s="9" t="s">
        <v>175</v>
      </c>
      <c r="I22" s="13"/>
      <c r="J22" s="9" t="s">
        <v>80</v>
      </c>
      <c r="K22" s="9"/>
      <c r="L22" s="14">
        <v>1</v>
      </c>
      <c r="M22" s="14">
        <v>1</v>
      </c>
      <c r="N22" s="9" t="s">
        <v>33</v>
      </c>
      <c r="O22" s="9"/>
      <c r="P22" s="16">
        <v>0</v>
      </c>
      <c r="Q22" s="14"/>
      <c r="R22" s="16">
        <v>0</v>
      </c>
      <c r="S22" s="9">
        <v>46054</v>
      </c>
      <c r="T22" s="16">
        <v>0</v>
      </c>
      <c r="U22" s="14">
        <v>2</v>
      </c>
      <c r="V22" s="16">
        <v>0</v>
      </c>
      <c r="W22" s="9" t="s">
        <v>34</v>
      </c>
      <c r="X22" s="9" t="s">
        <v>42</v>
      </c>
      <c r="Y22" s="9" t="s">
        <v>36</v>
      </c>
      <c r="Z22" s="9" t="s">
        <v>43</v>
      </c>
      <c r="AA22" s="9" t="s">
        <v>37</v>
      </c>
      <c r="AB22" s="9" t="s">
        <v>37</v>
      </c>
      <c r="AC22" s="9" t="s">
        <v>38</v>
      </c>
      <c r="AD22" s="7" t="str">
        <f t="shared" si="0"/>
        <v/>
      </c>
      <c r="AE22" s="26"/>
      <c r="AF22" s="26"/>
      <c r="AG22" s="26"/>
      <c r="AH22" s="26"/>
      <c r="AI22" s="27"/>
      <c r="AJ22" s="27"/>
      <c r="AK22" s="27"/>
      <c r="AL22" s="27"/>
      <c r="AM22" s="27"/>
      <c r="AN22" s="27"/>
      <c r="AO22" s="27"/>
      <c r="AP22" s="27"/>
      <c r="AQ22" s="27"/>
      <c r="AR22" s="27"/>
      <c r="AS22" s="27"/>
      <c r="AT22" s="27"/>
      <c r="AU22" s="27"/>
      <c r="AV22" s="27"/>
      <c r="AW22" s="27"/>
    </row>
    <row r="23" spans="1:49" s="46" customFormat="1" ht="35.1" customHeight="1" x14ac:dyDescent="0.25">
      <c r="A23" s="18" t="s">
        <v>82</v>
      </c>
      <c r="B23" s="19">
        <v>46050</v>
      </c>
      <c r="C23" s="19">
        <v>46050</v>
      </c>
      <c r="D23" s="18" t="s">
        <v>196</v>
      </c>
      <c r="E23" s="20">
        <v>0.45833333333333331</v>
      </c>
      <c r="F23" s="20">
        <v>0.5</v>
      </c>
      <c r="G23" s="20">
        <v>3.4722222222222218E-4</v>
      </c>
      <c r="H23" s="18" t="s">
        <v>83</v>
      </c>
      <c r="I23" s="21">
        <v>0.4650347222222222</v>
      </c>
      <c r="J23" s="18" t="s">
        <v>80</v>
      </c>
      <c r="K23" s="18" t="s">
        <v>175</v>
      </c>
      <c r="L23" s="22">
        <v>1</v>
      </c>
      <c r="M23" s="22">
        <v>70166</v>
      </c>
      <c r="N23" s="18" t="s">
        <v>53</v>
      </c>
      <c r="O23" s="22" t="s">
        <v>84</v>
      </c>
      <c r="P23" s="23">
        <v>35</v>
      </c>
      <c r="Q23" s="22"/>
      <c r="R23" s="23">
        <v>35</v>
      </c>
      <c r="S23" s="24">
        <v>46050</v>
      </c>
      <c r="T23" s="23">
        <v>0</v>
      </c>
      <c r="U23" s="25">
        <v>4</v>
      </c>
      <c r="V23" s="23">
        <v>35</v>
      </c>
      <c r="W23" s="18" t="s">
        <v>47</v>
      </c>
      <c r="X23" s="18" t="s">
        <v>48</v>
      </c>
      <c r="Y23" s="18" t="s">
        <v>58</v>
      </c>
      <c r="Z23" s="18" t="s">
        <v>43</v>
      </c>
      <c r="AA23" s="18" t="s">
        <v>49</v>
      </c>
      <c r="AB23" s="18" t="s">
        <v>85</v>
      </c>
      <c r="AC23" s="18" t="s">
        <v>38</v>
      </c>
      <c r="AD23" s="7" t="str">
        <f t="shared" si="0"/>
        <v/>
      </c>
      <c r="AE23" s="26"/>
      <c r="AF23" s="26"/>
      <c r="AG23" s="26"/>
      <c r="AH23" s="26"/>
      <c r="AI23" s="27"/>
      <c r="AJ23" s="27"/>
      <c r="AK23" s="27"/>
      <c r="AL23" s="27"/>
      <c r="AM23" s="27"/>
      <c r="AN23" s="27"/>
      <c r="AO23" s="27"/>
      <c r="AP23" s="27"/>
      <c r="AQ23" s="27"/>
      <c r="AR23" s="27"/>
      <c r="AS23" s="27"/>
      <c r="AT23" s="27"/>
      <c r="AU23" s="27"/>
      <c r="AV23" s="27"/>
      <c r="AW23" s="27"/>
    </row>
    <row r="24" spans="1:49" s="46" customFormat="1" ht="35.1" customHeight="1" x14ac:dyDescent="0.25">
      <c r="A24" s="18" t="s">
        <v>56</v>
      </c>
      <c r="B24" s="19">
        <v>46050</v>
      </c>
      <c r="C24" s="19">
        <v>46050</v>
      </c>
      <c r="D24" s="18" t="s">
        <v>196</v>
      </c>
      <c r="E24" s="20">
        <v>0.45833333333333331</v>
      </c>
      <c r="F24" s="20">
        <v>0.54166666666666663</v>
      </c>
      <c r="G24" s="28">
        <v>1.7361111111111112E-4</v>
      </c>
      <c r="H24" s="29" t="s">
        <v>176</v>
      </c>
      <c r="I24" s="21">
        <v>0.47045138888888888</v>
      </c>
      <c r="J24" s="18" t="s">
        <v>80</v>
      </c>
      <c r="K24" s="18" t="s">
        <v>175</v>
      </c>
      <c r="L24" s="22">
        <v>1</v>
      </c>
      <c r="M24" s="22">
        <v>69831</v>
      </c>
      <c r="N24" s="18" t="s">
        <v>53</v>
      </c>
      <c r="O24" s="22"/>
      <c r="P24" s="23">
        <v>21.75</v>
      </c>
      <c r="Q24" s="22"/>
      <c r="R24" s="23">
        <v>21.75</v>
      </c>
      <c r="S24" s="24">
        <v>46050</v>
      </c>
      <c r="T24" s="23">
        <v>0</v>
      </c>
      <c r="U24" s="25">
        <v>4</v>
      </c>
      <c r="V24" s="23">
        <v>21.75</v>
      </c>
      <c r="W24" s="18" t="s">
        <v>34</v>
      </c>
      <c r="X24" s="18" t="s">
        <v>48</v>
      </c>
      <c r="Y24" s="18" t="s">
        <v>58</v>
      </c>
      <c r="Z24" s="18" t="s">
        <v>43</v>
      </c>
      <c r="AA24" s="18" t="s">
        <v>49</v>
      </c>
      <c r="AB24" s="18" t="s">
        <v>59</v>
      </c>
      <c r="AC24" s="18" t="s">
        <v>38</v>
      </c>
      <c r="AD24" s="7" t="str">
        <f t="shared" si="0"/>
        <v/>
      </c>
      <c r="AE24" s="26"/>
      <c r="AF24" s="26"/>
      <c r="AG24" s="26"/>
      <c r="AH24" s="26"/>
      <c r="AI24" s="27"/>
      <c r="AJ24" s="27"/>
      <c r="AK24" s="27"/>
      <c r="AL24" s="27"/>
      <c r="AM24" s="27"/>
      <c r="AN24" s="27"/>
      <c r="AO24" s="27"/>
      <c r="AP24" s="27"/>
      <c r="AQ24" s="27"/>
      <c r="AR24" s="27"/>
      <c r="AS24" s="27"/>
      <c r="AT24" s="27"/>
      <c r="AU24" s="27"/>
      <c r="AV24" s="27"/>
      <c r="AW24" s="27"/>
    </row>
    <row r="25" spans="1:49" s="46" customFormat="1" ht="35.1" customHeight="1" x14ac:dyDescent="0.25">
      <c r="A25" s="18" t="s">
        <v>56</v>
      </c>
      <c r="B25" s="19">
        <v>46050</v>
      </c>
      <c r="C25" s="19">
        <v>46050</v>
      </c>
      <c r="D25" s="18" t="s">
        <v>196</v>
      </c>
      <c r="E25" s="20">
        <v>0.45833333333333331</v>
      </c>
      <c r="F25" s="20">
        <v>0.54166666666666663</v>
      </c>
      <c r="G25" s="28">
        <v>1.7361111111111112E-4</v>
      </c>
      <c r="H25" s="29" t="s">
        <v>177</v>
      </c>
      <c r="I25" s="21">
        <v>0.47131944444444446</v>
      </c>
      <c r="J25" s="18" t="s">
        <v>80</v>
      </c>
      <c r="K25" s="18" t="s">
        <v>175</v>
      </c>
      <c r="L25" s="22">
        <v>1</v>
      </c>
      <c r="M25" s="22">
        <v>69831</v>
      </c>
      <c r="N25" s="18" t="s">
        <v>53</v>
      </c>
      <c r="O25" s="22"/>
      <c r="P25" s="23">
        <v>0</v>
      </c>
      <c r="Q25" s="22"/>
      <c r="R25" s="23">
        <v>0</v>
      </c>
      <c r="S25" s="24">
        <v>46050</v>
      </c>
      <c r="T25" s="23">
        <v>0</v>
      </c>
      <c r="U25" s="25">
        <v>4</v>
      </c>
      <c r="V25" s="23">
        <v>0</v>
      </c>
      <c r="W25" s="18" t="s">
        <v>34</v>
      </c>
      <c r="X25" s="18" t="s">
        <v>48</v>
      </c>
      <c r="Y25" s="18" t="s">
        <v>58</v>
      </c>
      <c r="Z25" s="18" t="s">
        <v>43</v>
      </c>
      <c r="AA25" s="18" t="s">
        <v>49</v>
      </c>
      <c r="AB25" s="18" t="s">
        <v>59</v>
      </c>
      <c r="AC25" s="18" t="s">
        <v>38</v>
      </c>
      <c r="AD25" s="7" t="str">
        <f t="shared" si="0"/>
        <v/>
      </c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</row>
    <row r="26" spans="1:49" s="46" customFormat="1" ht="35.1" customHeight="1" x14ac:dyDescent="0.25">
      <c r="A26" s="18" t="s">
        <v>82</v>
      </c>
      <c r="B26" s="19">
        <v>46050</v>
      </c>
      <c r="C26" s="19">
        <v>46050</v>
      </c>
      <c r="D26" s="18" t="s">
        <v>196</v>
      </c>
      <c r="E26" s="20">
        <v>0.45833333333333331</v>
      </c>
      <c r="F26" s="20">
        <v>0.5</v>
      </c>
      <c r="G26" s="20">
        <v>3.4722222222222218E-4</v>
      </c>
      <c r="H26" s="18" t="s">
        <v>83</v>
      </c>
      <c r="I26" s="21">
        <v>0.47097222222222224</v>
      </c>
      <c r="J26" s="18" t="s">
        <v>80</v>
      </c>
      <c r="K26" s="18" t="s">
        <v>175</v>
      </c>
      <c r="L26" s="22">
        <v>1</v>
      </c>
      <c r="M26" s="22">
        <v>70166</v>
      </c>
      <c r="N26" s="18" t="s">
        <v>53</v>
      </c>
      <c r="O26" s="22" t="s">
        <v>84</v>
      </c>
      <c r="P26" s="23">
        <v>35</v>
      </c>
      <c r="Q26" s="22"/>
      <c r="R26" s="23">
        <v>35</v>
      </c>
      <c r="S26" s="24">
        <v>46050</v>
      </c>
      <c r="T26" s="23">
        <v>0</v>
      </c>
      <c r="U26" s="25">
        <v>4</v>
      </c>
      <c r="V26" s="23">
        <v>35</v>
      </c>
      <c r="W26" s="18" t="s">
        <v>47</v>
      </c>
      <c r="X26" s="18" t="s">
        <v>48</v>
      </c>
      <c r="Y26" s="18" t="s">
        <v>58</v>
      </c>
      <c r="Z26" s="18" t="s">
        <v>43</v>
      </c>
      <c r="AA26" s="18" t="s">
        <v>49</v>
      </c>
      <c r="AB26" s="18" t="s">
        <v>85</v>
      </c>
      <c r="AC26" s="18" t="s">
        <v>38</v>
      </c>
      <c r="AD26" s="7" t="str">
        <f t="shared" si="0"/>
        <v/>
      </c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</row>
    <row r="27" spans="1:49" s="46" customFormat="1" ht="35.1" customHeight="1" x14ac:dyDescent="0.25">
      <c r="A27" s="18" t="s">
        <v>51</v>
      </c>
      <c r="B27" s="19">
        <v>46050</v>
      </c>
      <c r="C27" s="19">
        <v>46050</v>
      </c>
      <c r="D27" s="18" t="s">
        <v>196</v>
      </c>
      <c r="E27" s="20">
        <v>0.45833333333333331</v>
      </c>
      <c r="F27" s="20">
        <v>0.47916666666666669</v>
      </c>
      <c r="G27" s="20">
        <v>3.4722222222222218E-4</v>
      </c>
      <c r="H27" s="18" t="s">
        <v>102</v>
      </c>
      <c r="I27" s="21">
        <v>0.47873842592592591</v>
      </c>
      <c r="J27" s="18" t="s">
        <v>80</v>
      </c>
      <c r="K27" s="18" t="s">
        <v>175</v>
      </c>
      <c r="L27" s="22">
        <v>1</v>
      </c>
      <c r="M27" s="22">
        <v>70360</v>
      </c>
      <c r="N27" s="18" t="s">
        <v>53</v>
      </c>
      <c r="O27" s="22" t="s">
        <v>54</v>
      </c>
      <c r="P27" s="23">
        <v>50</v>
      </c>
      <c r="Q27" s="22"/>
      <c r="R27" s="23">
        <v>50</v>
      </c>
      <c r="S27" s="24">
        <v>46054</v>
      </c>
      <c r="T27" s="23">
        <v>7.5</v>
      </c>
      <c r="U27" s="25">
        <v>4</v>
      </c>
      <c r="V27" s="23">
        <v>42.5</v>
      </c>
      <c r="W27" s="18" t="s">
        <v>47</v>
      </c>
      <c r="X27" s="18" t="s">
        <v>48</v>
      </c>
      <c r="Y27" s="18" t="s">
        <v>36</v>
      </c>
      <c r="Z27" s="18" t="s">
        <v>9</v>
      </c>
      <c r="AA27" s="18" t="s">
        <v>49</v>
      </c>
      <c r="AB27" s="18" t="s">
        <v>55</v>
      </c>
      <c r="AC27" s="18" t="s">
        <v>38</v>
      </c>
      <c r="AD27" s="7" t="str">
        <f t="shared" si="0"/>
        <v/>
      </c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</row>
    <row r="28" spans="1:49" s="46" customFormat="1" ht="35.1" customHeight="1" x14ac:dyDescent="0.25">
      <c r="A28" s="18" t="s">
        <v>44</v>
      </c>
      <c r="B28" s="19">
        <v>46050</v>
      </c>
      <c r="C28" s="19">
        <v>46050</v>
      </c>
      <c r="D28" s="18" t="s">
        <v>196</v>
      </c>
      <c r="E28" s="20">
        <v>0.45833333333333331</v>
      </c>
      <c r="F28" s="20">
        <v>0.5</v>
      </c>
      <c r="G28" s="20">
        <v>3.4722222222222218E-4</v>
      </c>
      <c r="H28" s="18" t="s">
        <v>92</v>
      </c>
      <c r="I28" s="21">
        <v>0.47769675925925925</v>
      </c>
      <c r="J28" s="18" t="s">
        <v>80</v>
      </c>
      <c r="K28" s="18" t="s">
        <v>175</v>
      </c>
      <c r="L28" s="22">
        <v>1</v>
      </c>
      <c r="M28" s="22">
        <v>70998</v>
      </c>
      <c r="N28" s="18" t="s">
        <v>53</v>
      </c>
      <c r="O28" s="22" t="str">
        <f>AC28</f>
        <v>CVC</v>
      </c>
      <c r="P28" s="23">
        <v>58.82</v>
      </c>
      <c r="Q28" s="22"/>
      <c r="R28" s="23">
        <v>58.82</v>
      </c>
      <c r="S28" s="24">
        <v>46054</v>
      </c>
      <c r="T28" s="23">
        <v>4.4115000000000002</v>
      </c>
      <c r="U28" s="25">
        <v>4</v>
      </c>
      <c r="V28" s="23">
        <v>54.408500000000004</v>
      </c>
      <c r="W28" s="18" t="s">
        <v>47</v>
      </c>
      <c r="X28" s="18" t="s">
        <v>48</v>
      </c>
      <c r="Y28" s="18" t="s">
        <v>36</v>
      </c>
      <c r="Z28" s="18" t="s">
        <v>9</v>
      </c>
      <c r="AA28" s="18" t="s">
        <v>49</v>
      </c>
      <c r="AB28" s="18" t="s">
        <v>50</v>
      </c>
      <c r="AC28" s="18" t="s">
        <v>38</v>
      </c>
      <c r="AD28" s="7" t="str">
        <f t="shared" si="0"/>
        <v/>
      </c>
      <c r="AE28" s="26"/>
      <c r="AF28" s="26"/>
      <c r="AG28" s="26"/>
      <c r="AH28" s="26"/>
      <c r="AI28" s="26"/>
      <c r="AJ28" s="26"/>
      <c r="AK28" s="26"/>
      <c r="AL28" s="26"/>
      <c r="AM28" s="26"/>
      <c r="AN28" s="26"/>
      <c r="AO28" s="26"/>
      <c r="AP28" s="26"/>
      <c r="AQ28" s="26"/>
      <c r="AR28" s="26"/>
      <c r="AS28" s="26"/>
      <c r="AT28" s="26"/>
      <c r="AU28" s="26"/>
      <c r="AV28" s="26"/>
      <c r="AW28" s="26"/>
    </row>
    <row r="29" spans="1:49" s="48" customFormat="1" ht="35.1" customHeight="1" x14ac:dyDescent="0.2">
      <c r="A29" s="9" t="s">
        <v>75</v>
      </c>
      <c r="B29" s="10">
        <v>46050</v>
      </c>
      <c r="C29" s="10">
        <v>46050</v>
      </c>
      <c r="D29" s="11" t="s">
        <v>196</v>
      </c>
      <c r="E29" s="12">
        <v>0.47916666666666669</v>
      </c>
      <c r="F29" s="12">
        <v>0.5</v>
      </c>
      <c r="G29" s="12">
        <v>2.0833333333333332E-2</v>
      </c>
      <c r="H29" s="9" t="s">
        <v>199</v>
      </c>
      <c r="I29" s="13"/>
      <c r="J29" s="9" t="s">
        <v>80</v>
      </c>
      <c r="K29" s="9"/>
      <c r="L29" s="14">
        <v>1</v>
      </c>
      <c r="M29" s="14">
        <v>1</v>
      </c>
      <c r="N29" s="9" t="s">
        <v>33</v>
      </c>
      <c r="O29" s="9"/>
      <c r="P29" s="16">
        <v>0</v>
      </c>
      <c r="Q29" s="14"/>
      <c r="R29" s="16">
        <v>0</v>
      </c>
      <c r="S29" s="9">
        <v>46054</v>
      </c>
      <c r="T29" s="16">
        <v>0</v>
      </c>
      <c r="U29" s="14">
        <v>2</v>
      </c>
      <c r="V29" s="16">
        <v>0</v>
      </c>
      <c r="W29" s="9" t="s">
        <v>34</v>
      </c>
      <c r="X29" s="9" t="s">
        <v>42</v>
      </c>
      <c r="Y29" s="9" t="s">
        <v>36</v>
      </c>
      <c r="Z29" s="9" t="s">
        <v>43</v>
      </c>
      <c r="AA29" s="9" t="s">
        <v>37</v>
      </c>
      <c r="AB29" s="9" t="s">
        <v>37</v>
      </c>
      <c r="AC29" s="9" t="s">
        <v>38</v>
      </c>
      <c r="AD29" s="7" t="str">
        <f t="shared" si="0"/>
        <v/>
      </c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</row>
    <row r="30" spans="1:49" s="33" customFormat="1" ht="35.1" customHeight="1" x14ac:dyDescent="0.25">
      <c r="A30" s="18" t="s">
        <v>61</v>
      </c>
      <c r="B30" s="19">
        <v>46050</v>
      </c>
      <c r="C30" s="19">
        <v>46050</v>
      </c>
      <c r="D30" s="18" t="s">
        <v>196</v>
      </c>
      <c r="E30" s="20">
        <v>0.45833333333333331</v>
      </c>
      <c r="F30" s="20">
        <v>0.54166666666666663</v>
      </c>
      <c r="G30" s="20">
        <v>3.4722222222222218E-4</v>
      </c>
      <c r="H30" s="18" t="s">
        <v>198</v>
      </c>
      <c r="I30" s="21">
        <v>0.48776817129629629</v>
      </c>
      <c r="J30" s="18" t="s">
        <v>80</v>
      </c>
      <c r="K30" s="18" t="s">
        <v>150</v>
      </c>
      <c r="L30" s="22">
        <v>1</v>
      </c>
      <c r="M30" s="22">
        <v>64416</v>
      </c>
      <c r="N30" s="18" t="s">
        <v>46</v>
      </c>
      <c r="O30" s="22" t="s">
        <v>63</v>
      </c>
      <c r="P30" s="23">
        <v>0</v>
      </c>
      <c r="Q30" s="22"/>
      <c r="R30" s="23">
        <v>0</v>
      </c>
      <c r="S30" s="24">
        <v>46054</v>
      </c>
      <c r="T30" s="23">
        <v>0</v>
      </c>
      <c r="U30" s="25">
        <v>4</v>
      </c>
      <c r="V30" s="23">
        <v>0</v>
      </c>
      <c r="W30" s="18" t="s">
        <v>47</v>
      </c>
      <c r="X30" s="18" t="s">
        <v>48</v>
      </c>
      <c r="Y30" s="18" t="s">
        <v>36</v>
      </c>
      <c r="Z30" s="18" t="s">
        <v>9</v>
      </c>
      <c r="AA30" s="18" t="s">
        <v>49</v>
      </c>
      <c r="AB30" s="18" t="s">
        <v>64</v>
      </c>
      <c r="AC30" s="18" t="s">
        <v>38</v>
      </c>
      <c r="AD30" s="7" t="str">
        <f t="shared" si="0"/>
        <v/>
      </c>
      <c r="AE30" s="26"/>
      <c r="AF30" s="26"/>
      <c r="AG30" s="26"/>
      <c r="AH30" s="26"/>
      <c r="AI30" s="26"/>
      <c r="AJ30" s="26"/>
      <c r="AK30" s="26"/>
      <c r="AL30" s="26"/>
      <c r="AM30" s="26"/>
      <c r="AN30" s="26"/>
      <c r="AO30" s="26"/>
      <c r="AP30" s="26"/>
      <c r="AQ30" s="26"/>
      <c r="AR30" s="26"/>
      <c r="AS30" s="26"/>
      <c r="AT30" s="26"/>
      <c r="AU30" s="26"/>
      <c r="AV30" s="26"/>
      <c r="AW30" s="26"/>
    </row>
    <row r="31" spans="1:49" s="26" customFormat="1" ht="34.5" customHeight="1" x14ac:dyDescent="0.25">
      <c r="A31" s="18" t="s">
        <v>82</v>
      </c>
      <c r="B31" s="19">
        <v>46050</v>
      </c>
      <c r="C31" s="19">
        <v>46050</v>
      </c>
      <c r="D31" s="18" t="s">
        <v>196</v>
      </c>
      <c r="E31" s="20">
        <v>0.45833333333333331</v>
      </c>
      <c r="F31" s="20">
        <v>0.5</v>
      </c>
      <c r="G31" s="20">
        <v>3.4722222222222218E-4</v>
      </c>
      <c r="H31" s="18" t="s">
        <v>83</v>
      </c>
      <c r="I31" s="21">
        <v>0.48828923611111114</v>
      </c>
      <c r="J31" s="18" t="s">
        <v>80</v>
      </c>
      <c r="K31" s="18" t="s">
        <v>150</v>
      </c>
      <c r="L31" s="22">
        <v>1</v>
      </c>
      <c r="M31" s="22">
        <v>70166</v>
      </c>
      <c r="N31" s="18" t="s">
        <v>53</v>
      </c>
      <c r="O31" s="22" t="s">
        <v>84</v>
      </c>
      <c r="P31" s="23">
        <v>35</v>
      </c>
      <c r="Q31" s="22"/>
      <c r="R31" s="23">
        <v>35</v>
      </c>
      <c r="S31" s="24">
        <v>46050</v>
      </c>
      <c r="T31" s="23">
        <v>0</v>
      </c>
      <c r="U31" s="25">
        <v>4</v>
      </c>
      <c r="V31" s="23">
        <v>35</v>
      </c>
      <c r="W31" s="18" t="s">
        <v>47</v>
      </c>
      <c r="X31" s="18" t="s">
        <v>48</v>
      </c>
      <c r="Y31" s="18" t="s">
        <v>58</v>
      </c>
      <c r="Z31" s="18" t="s">
        <v>43</v>
      </c>
      <c r="AA31" s="18" t="s">
        <v>49</v>
      </c>
      <c r="AB31" s="18" t="s">
        <v>85</v>
      </c>
      <c r="AC31" s="18" t="s">
        <v>38</v>
      </c>
      <c r="AD31" s="7" t="str">
        <f t="shared" si="0"/>
        <v/>
      </c>
    </row>
    <row r="32" spans="1:49" s="26" customFormat="1" ht="35.1" customHeight="1" x14ac:dyDescent="0.25">
      <c r="A32" s="18" t="s">
        <v>93</v>
      </c>
      <c r="B32" s="19">
        <v>46050</v>
      </c>
      <c r="C32" s="19">
        <v>46050</v>
      </c>
      <c r="D32" s="18" t="s">
        <v>196</v>
      </c>
      <c r="E32" s="20">
        <v>0.45833333333333331</v>
      </c>
      <c r="F32" s="20">
        <v>0.54166666666666663</v>
      </c>
      <c r="G32" s="28">
        <v>1.7361111111111109E-4</v>
      </c>
      <c r="H32" s="29" t="s">
        <v>94</v>
      </c>
      <c r="I32" s="21">
        <v>0.48724710648148151</v>
      </c>
      <c r="J32" s="18" t="s">
        <v>80</v>
      </c>
      <c r="K32" s="18" t="s">
        <v>150</v>
      </c>
      <c r="L32" s="22">
        <v>1</v>
      </c>
      <c r="M32" s="22">
        <v>69570</v>
      </c>
      <c r="N32" s="18" t="s">
        <v>53</v>
      </c>
      <c r="O32" s="22" t="s">
        <v>95</v>
      </c>
      <c r="P32" s="23">
        <v>0</v>
      </c>
      <c r="Q32" s="22"/>
      <c r="R32" s="23">
        <v>19.042139037433099</v>
      </c>
      <c r="S32" s="24">
        <v>46054</v>
      </c>
      <c r="T32" s="23">
        <v>0</v>
      </c>
      <c r="U32" s="25">
        <v>4</v>
      </c>
      <c r="V32" s="23">
        <v>0</v>
      </c>
      <c r="W32" s="18" t="s">
        <v>47</v>
      </c>
      <c r="X32" s="18" t="s">
        <v>48</v>
      </c>
      <c r="Y32" s="18" t="s">
        <v>36</v>
      </c>
      <c r="Z32" s="18" t="s">
        <v>9</v>
      </c>
      <c r="AA32" s="18" t="s">
        <v>49</v>
      </c>
      <c r="AB32" s="18" t="s">
        <v>96</v>
      </c>
      <c r="AC32" s="18" t="s">
        <v>38</v>
      </c>
      <c r="AD32" s="7" t="str">
        <f t="shared" si="0"/>
        <v/>
      </c>
    </row>
    <row r="33" spans="1:49" s="17" customFormat="1" ht="35.1" customHeight="1" x14ac:dyDescent="0.25">
      <c r="A33" s="18" t="s">
        <v>93</v>
      </c>
      <c r="B33" s="19">
        <v>46050</v>
      </c>
      <c r="C33" s="19">
        <v>46050</v>
      </c>
      <c r="D33" s="18" t="s">
        <v>196</v>
      </c>
      <c r="E33" s="20">
        <v>0.45833333333333331</v>
      </c>
      <c r="F33" s="20">
        <v>0.54166666666666663</v>
      </c>
      <c r="G33" s="28">
        <v>1.7361111111111109E-4</v>
      </c>
      <c r="H33" s="29" t="s">
        <v>97</v>
      </c>
      <c r="I33" s="21">
        <v>0.48863645833333336</v>
      </c>
      <c r="J33" s="18" t="s">
        <v>80</v>
      </c>
      <c r="K33" s="18" t="s">
        <v>150</v>
      </c>
      <c r="L33" s="22">
        <v>1</v>
      </c>
      <c r="M33" s="22">
        <v>69570</v>
      </c>
      <c r="N33" s="18" t="s">
        <v>53</v>
      </c>
      <c r="O33" s="22" t="s">
        <v>95</v>
      </c>
      <c r="P33" s="23">
        <v>0</v>
      </c>
      <c r="Q33" s="22"/>
      <c r="R33" s="23">
        <v>19.042139037433099</v>
      </c>
      <c r="S33" s="24">
        <v>46054</v>
      </c>
      <c r="T33" s="23">
        <v>0</v>
      </c>
      <c r="U33" s="25">
        <v>4</v>
      </c>
      <c r="V33" s="23">
        <v>0</v>
      </c>
      <c r="W33" s="18" t="s">
        <v>47</v>
      </c>
      <c r="X33" s="18" t="s">
        <v>48</v>
      </c>
      <c r="Y33" s="18" t="s">
        <v>36</v>
      </c>
      <c r="Z33" s="18" t="s">
        <v>9</v>
      </c>
      <c r="AA33" s="18" t="s">
        <v>49</v>
      </c>
      <c r="AB33" s="18" t="s">
        <v>96</v>
      </c>
      <c r="AC33" s="18" t="s">
        <v>38</v>
      </c>
      <c r="AD33" s="7" t="str">
        <f t="shared" si="0"/>
        <v/>
      </c>
      <c r="AE33" s="26"/>
      <c r="AF33" s="26"/>
      <c r="AG33" s="26"/>
      <c r="AH33" s="26"/>
      <c r="AI33" s="26"/>
      <c r="AJ33" s="26"/>
      <c r="AK33" s="26"/>
      <c r="AL33" s="26"/>
      <c r="AM33" s="26"/>
      <c r="AN33" s="26"/>
      <c r="AO33" s="26"/>
      <c r="AP33" s="26"/>
      <c r="AQ33" s="26"/>
      <c r="AR33" s="26"/>
      <c r="AS33" s="26"/>
      <c r="AT33" s="26"/>
      <c r="AU33" s="26"/>
      <c r="AV33" s="26"/>
      <c r="AW33" s="26"/>
    </row>
    <row r="34" spans="1:49" s="17" customFormat="1" ht="35.1" customHeight="1" x14ac:dyDescent="0.25">
      <c r="A34" s="18" t="s">
        <v>82</v>
      </c>
      <c r="B34" s="19">
        <v>46050</v>
      </c>
      <c r="C34" s="19">
        <v>46050</v>
      </c>
      <c r="D34" s="18" t="s">
        <v>196</v>
      </c>
      <c r="E34" s="20">
        <v>0.45833333333333331</v>
      </c>
      <c r="F34" s="20">
        <v>0.5</v>
      </c>
      <c r="G34" s="20">
        <v>3.4722222222222218E-4</v>
      </c>
      <c r="H34" s="18" t="s">
        <v>83</v>
      </c>
      <c r="I34" s="21">
        <v>0.49949398148148144</v>
      </c>
      <c r="J34" s="18" t="s">
        <v>80</v>
      </c>
      <c r="K34" s="18" t="s">
        <v>150</v>
      </c>
      <c r="L34" s="22">
        <v>1</v>
      </c>
      <c r="M34" s="22">
        <v>70166</v>
      </c>
      <c r="N34" s="18" t="s">
        <v>53</v>
      </c>
      <c r="O34" s="22" t="s">
        <v>84</v>
      </c>
      <c r="P34" s="23">
        <v>35</v>
      </c>
      <c r="Q34" s="22"/>
      <c r="R34" s="23">
        <v>35</v>
      </c>
      <c r="S34" s="24">
        <v>46050</v>
      </c>
      <c r="T34" s="23">
        <v>0</v>
      </c>
      <c r="U34" s="25">
        <v>4</v>
      </c>
      <c r="V34" s="23">
        <v>35</v>
      </c>
      <c r="W34" s="18" t="s">
        <v>47</v>
      </c>
      <c r="X34" s="18" t="s">
        <v>48</v>
      </c>
      <c r="Y34" s="18" t="s">
        <v>58</v>
      </c>
      <c r="Z34" s="18" t="s">
        <v>43</v>
      </c>
      <c r="AA34" s="18" t="s">
        <v>49</v>
      </c>
      <c r="AB34" s="18" t="s">
        <v>85</v>
      </c>
      <c r="AC34" s="18" t="s">
        <v>38</v>
      </c>
      <c r="AD34" s="7" t="str">
        <f t="shared" si="0"/>
        <v/>
      </c>
      <c r="AE34" s="26"/>
      <c r="AF34" s="26"/>
      <c r="AG34" s="26"/>
      <c r="AH34" s="26"/>
      <c r="AI34" s="26"/>
      <c r="AJ34" s="26"/>
      <c r="AK34" s="26"/>
      <c r="AL34" s="26"/>
      <c r="AM34" s="26"/>
      <c r="AN34" s="26"/>
      <c r="AO34" s="26"/>
      <c r="AP34" s="26"/>
      <c r="AQ34" s="26"/>
      <c r="AR34" s="26"/>
      <c r="AS34" s="26"/>
      <c r="AT34" s="26"/>
      <c r="AU34" s="26"/>
      <c r="AV34" s="26"/>
      <c r="AW34" s="26"/>
    </row>
    <row r="35" spans="1:49" s="48" customFormat="1" ht="35.1" customHeight="1" x14ac:dyDescent="0.25">
      <c r="A35" s="9" t="s">
        <v>100</v>
      </c>
      <c r="B35" s="10">
        <v>46050</v>
      </c>
      <c r="C35" s="10">
        <v>46050</v>
      </c>
      <c r="D35" s="11" t="s">
        <v>196</v>
      </c>
      <c r="E35" s="12">
        <v>0.5</v>
      </c>
      <c r="F35" s="12">
        <v>0.54166666666666663</v>
      </c>
      <c r="G35" s="12">
        <v>4.1666666666666664E-2</v>
      </c>
      <c r="H35" s="9" t="s">
        <v>101</v>
      </c>
      <c r="I35" s="13"/>
      <c r="J35" s="9" t="s">
        <v>80</v>
      </c>
      <c r="K35" s="9"/>
      <c r="L35" s="14">
        <v>1</v>
      </c>
      <c r="M35" s="14">
        <v>1</v>
      </c>
      <c r="N35" s="9" t="s">
        <v>33</v>
      </c>
      <c r="O35" s="9"/>
      <c r="P35" s="16">
        <v>0</v>
      </c>
      <c r="Q35" s="14"/>
      <c r="R35" s="16">
        <v>0</v>
      </c>
      <c r="S35" s="9">
        <v>46054</v>
      </c>
      <c r="T35" s="16">
        <v>0</v>
      </c>
      <c r="U35" s="14">
        <v>2</v>
      </c>
      <c r="V35" s="16">
        <v>0</v>
      </c>
      <c r="W35" s="9" t="s">
        <v>34</v>
      </c>
      <c r="X35" s="9" t="s">
        <v>42</v>
      </c>
      <c r="Y35" s="9" t="s">
        <v>36</v>
      </c>
      <c r="Z35" s="9" t="s">
        <v>43</v>
      </c>
      <c r="AA35" s="9" t="s">
        <v>37</v>
      </c>
      <c r="AB35" s="9" t="s">
        <v>37</v>
      </c>
      <c r="AC35" s="9" t="s">
        <v>38</v>
      </c>
      <c r="AD35" s="7" t="str">
        <f t="shared" si="0"/>
        <v/>
      </c>
      <c r="AE35" s="26"/>
      <c r="AF35" s="26"/>
      <c r="AG35" s="26"/>
      <c r="AH35" s="26"/>
      <c r="AI35" s="26"/>
      <c r="AJ35" s="26"/>
      <c r="AK35" s="26"/>
      <c r="AL35" s="26"/>
      <c r="AM35" s="26"/>
      <c r="AN35" s="26"/>
      <c r="AO35" s="26"/>
      <c r="AP35" s="26"/>
      <c r="AQ35" s="26"/>
      <c r="AR35" s="26"/>
      <c r="AS35" s="26"/>
      <c r="AT35" s="26"/>
      <c r="AU35" s="26"/>
      <c r="AV35" s="26"/>
      <c r="AW35" s="26"/>
    </row>
    <row r="36" spans="1:49" s="48" customFormat="1" ht="35.1" customHeight="1" x14ac:dyDescent="0.25">
      <c r="A36" s="18" t="s">
        <v>82</v>
      </c>
      <c r="B36" s="19">
        <v>46050</v>
      </c>
      <c r="C36" s="19">
        <v>46050</v>
      </c>
      <c r="D36" s="18" t="s">
        <v>196</v>
      </c>
      <c r="E36" s="20">
        <v>0.45833333333333331</v>
      </c>
      <c r="F36" s="20">
        <v>0.54166666666666663</v>
      </c>
      <c r="G36" s="20">
        <v>3.4722222222222218E-4</v>
      </c>
      <c r="H36" s="18" t="s">
        <v>83</v>
      </c>
      <c r="I36" s="21">
        <v>0.50640324074074072</v>
      </c>
      <c r="J36" s="18" t="s">
        <v>80</v>
      </c>
      <c r="K36" s="18" t="s">
        <v>151</v>
      </c>
      <c r="L36" s="22">
        <v>1</v>
      </c>
      <c r="M36" s="22">
        <v>70168</v>
      </c>
      <c r="N36" s="18" t="s">
        <v>46</v>
      </c>
      <c r="O36" s="22" t="s">
        <v>84</v>
      </c>
      <c r="P36" s="23">
        <v>0</v>
      </c>
      <c r="Q36" s="22"/>
      <c r="R36" s="23">
        <v>0</v>
      </c>
      <c r="S36" s="24">
        <v>46050</v>
      </c>
      <c r="T36" s="23">
        <v>0</v>
      </c>
      <c r="U36" s="25">
        <v>4</v>
      </c>
      <c r="V36" s="23">
        <v>0</v>
      </c>
      <c r="W36" s="18" t="s">
        <v>47</v>
      </c>
      <c r="X36" s="18" t="s">
        <v>48</v>
      </c>
      <c r="Y36" s="18" t="s">
        <v>58</v>
      </c>
      <c r="Z36" s="18" t="s">
        <v>43</v>
      </c>
      <c r="AA36" s="18" t="s">
        <v>49</v>
      </c>
      <c r="AB36" s="18" t="s">
        <v>85</v>
      </c>
      <c r="AC36" s="18" t="s">
        <v>38</v>
      </c>
      <c r="AD36" s="7" t="str">
        <f t="shared" si="0"/>
        <v/>
      </c>
      <c r="AE36" s="26"/>
      <c r="AF36" s="26"/>
      <c r="AG36" s="26"/>
      <c r="AH36" s="26"/>
      <c r="AI36" s="27"/>
      <c r="AJ36" s="27"/>
      <c r="AK36" s="27"/>
      <c r="AL36" s="27"/>
      <c r="AM36" s="27"/>
      <c r="AN36" s="27"/>
      <c r="AO36" s="27"/>
      <c r="AP36" s="27"/>
      <c r="AQ36" s="27"/>
      <c r="AR36" s="27"/>
      <c r="AS36" s="27"/>
      <c r="AT36" s="27"/>
      <c r="AU36" s="27"/>
      <c r="AV36" s="27"/>
      <c r="AW36" s="27"/>
    </row>
    <row r="37" spans="1:49" s="46" customFormat="1" ht="35.1" customHeight="1" x14ac:dyDescent="0.25">
      <c r="A37" s="18" t="s">
        <v>93</v>
      </c>
      <c r="B37" s="19">
        <v>46050</v>
      </c>
      <c r="C37" s="19">
        <v>46050</v>
      </c>
      <c r="D37" s="18" t="s">
        <v>196</v>
      </c>
      <c r="E37" s="20">
        <v>0.45833333333333331</v>
      </c>
      <c r="F37" s="20">
        <v>0.54166666666666663</v>
      </c>
      <c r="G37" s="28">
        <v>1.7361111111111109E-4</v>
      </c>
      <c r="H37" s="29" t="s">
        <v>98</v>
      </c>
      <c r="I37" s="21">
        <v>0.50345162037037039</v>
      </c>
      <c r="J37" s="18" t="s">
        <v>80</v>
      </c>
      <c r="K37" s="18" t="s">
        <v>151</v>
      </c>
      <c r="L37" s="22">
        <v>1</v>
      </c>
      <c r="M37" s="22">
        <v>69570</v>
      </c>
      <c r="N37" s="18" t="s">
        <v>53</v>
      </c>
      <c r="O37" s="22" t="s">
        <v>95</v>
      </c>
      <c r="P37" s="23">
        <v>0</v>
      </c>
      <c r="Q37" s="22"/>
      <c r="R37" s="23">
        <v>19.042139037433099</v>
      </c>
      <c r="S37" s="24">
        <v>46054</v>
      </c>
      <c r="T37" s="23">
        <v>0</v>
      </c>
      <c r="U37" s="25">
        <v>4</v>
      </c>
      <c r="V37" s="23">
        <v>0</v>
      </c>
      <c r="W37" s="18" t="s">
        <v>47</v>
      </c>
      <c r="X37" s="18" t="s">
        <v>48</v>
      </c>
      <c r="Y37" s="18" t="s">
        <v>36</v>
      </c>
      <c r="Z37" s="18" t="s">
        <v>9</v>
      </c>
      <c r="AA37" s="18" t="s">
        <v>49</v>
      </c>
      <c r="AB37" s="18" t="s">
        <v>96</v>
      </c>
      <c r="AC37" s="18" t="s">
        <v>38</v>
      </c>
      <c r="AD37" s="7" t="str">
        <f t="shared" si="0"/>
        <v/>
      </c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</row>
    <row r="38" spans="1:49" s="47" customFormat="1" ht="35.1" customHeight="1" x14ac:dyDescent="0.2">
      <c r="A38" s="18" t="s">
        <v>93</v>
      </c>
      <c r="B38" s="19">
        <v>46050</v>
      </c>
      <c r="C38" s="19">
        <v>46050</v>
      </c>
      <c r="D38" s="18" t="s">
        <v>196</v>
      </c>
      <c r="E38" s="20">
        <v>0.45833333333333331</v>
      </c>
      <c r="F38" s="20">
        <v>0.54166666666666663</v>
      </c>
      <c r="G38" s="28">
        <v>1.7361111111111109E-4</v>
      </c>
      <c r="H38" s="29" t="s">
        <v>97</v>
      </c>
      <c r="I38" s="21">
        <v>0.50675046296296289</v>
      </c>
      <c r="J38" s="18" t="s">
        <v>80</v>
      </c>
      <c r="K38" s="18" t="s">
        <v>151</v>
      </c>
      <c r="L38" s="22">
        <v>1</v>
      </c>
      <c r="M38" s="22">
        <v>69570</v>
      </c>
      <c r="N38" s="18" t="s">
        <v>53</v>
      </c>
      <c r="O38" s="22" t="s">
        <v>95</v>
      </c>
      <c r="P38" s="23">
        <v>0</v>
      </c>
      <c r="Q38" s="22"/>
      <c r="R38" s="23">
        <v>19.042139037433099</v>
      </c>
      <c r="S38" s="24">
        <v>46054</v>
      </c>
      <c r="T38" s="23">
        <v>0</v>
      </c>
      <c r="U38" s="25">
        <v>4</v>
      </c>
      <c r="V38" s="23">
        <v>0</v>
      </c>
      <c r="W38" s="18" t="s">
        <v>47</v>
      </c>
      <c r="X38" s="18" t="s">
        <v>48</v>
      </c>
      <c r="Y38" s="18" t="s">
        <v>36</v>
      </c>
      <c r="Z38" s="18" t="s">
        <v>9</v>
      </c>
      <c r="AA38" s="18" t="s">
        <v>49</v>
      </c>
      <c r="AB38" s="18" t="s">
        <v>96</v>
      </c>
      <c r="AC38" s="18" t="s">
        <v>38</v>
      </c>
      <c r="AD38" s="7" t="str">
        <f t="shared" si="0"/>
        <v/>
      </c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</row>
    <row r="39" spans="1:49" s="49" customFormat="1" ht="35.1" customHeight="1" x14ac:dyDescent="0.2">
      <c r="A39" s="18" t="s">
        <v>82</v>
      </c>
      <c r="B39" s="19">
        <v>46050</v>
      </c>
      <c r="C39" s="19">
        <v>46050</v>
      </c>
      <c r="D39" s="18" t="s">
        <v>196</v>
      </c>
      <c r="E39" s="20">
        <v>0.45833333333333331</v>
      </c>
      <c r="F39" s="20">
        <v>0.54166666666666663</v>
      </c>
      <c r="G39" s="20">
        <v>3.4722222222222218E-4</v>
      </c>
      <c r="H39" s="18" t="s">
        <v>83</v>
      </c>
      <c r="I39" s="21">
        <v>0.51217905092592586</v>
      </c>
      <c r="J39" s="18" t="s">
        <v>80</v>
      </c>
      <c r="K39" s="18" t="s">
        <v>151</v>
      </c>
      <c r="L39" s="22">
        <v>1</v>
      </c>
      <c r="M39" s="22">
        <v>70168</v>
      </c>
      <c r="N39" s="18" t="s">
        <v>46</v>
      </c>
      <c r="O39" s="22" t="s">
        <v>84</v>
      </c>
      <c r="P39" s="23">
        <v>0</v>
      </c>
      <c r="Q39" s="22"/>
      <c r="R39" s="23">
        <v>0</v>
      </c>
      <c r="S39" s="24">
        <v>46050</v>
      </c>
      <c r="T39" s="23">
        <v>0</v>
      </c>
      <c r="U39" s="25">
        <v>4</v>
      </c>
      <c r="V39" s="23">
        <v>0</v>
      </c>
      <c r="W39" s="18" t="s">
        <v>47</v>
      </c>
      <c r="X39" s="18" t="s">
        <v>48</v>
      </c>
      <c r="Y39" s="18" t="s">
        <v>58</v>
      </c>
      <c r="Z39" s="18" t="s">
        <v>43</v>
      </c>
      <c r="AA39" s="18" t="s">
        <v>49</v>
      </c>
      <c r="AB39" s="18" t="s">
        <v>85</v>
      </c>
      <c r="AC39" s="18" t="s">
        <v>38</v>
      </c>
      <c r="AD39" s="7" t="str">
        <f t="shared" si="0"/>
        <v/>
      </c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</row>
    <row r="40" spans="1:49" s="27" customFormat="1" ht="35.1" customHeight="1" x14ac:dyDescent="0.25">
      <c r="A40" s="18" t="s">
        <v>82</v>
      </c>
      <c r="B40" s="19">
        <v>46050</v>
      </c>
      <c r="C40" s="19">
        <v>46050</v>
      </c>
      <c r="D40" s="18" t="s">
        <v>196</v>
      </c>
      <c r="E40" s="20">
        <v>0.5</v>
      </c>
      <c r="F40" s="20">
        <v>0.54166666666666663</v>
      </c>
      <c r="G40" s="20">
        <v>3.4722222222222218E-4</v>
      </c>
      <c r="H40" s="18" t="s">
        <v>83</v>
      </c>
      <c r="I40" s="21">
        <v>0.51460960648148146</v>
      </c>
      <c r="J40" s="18" t="s">
        <v>80</v>
      </c>
      <c r="K40" s="18" t="s">
        <v>151</v>
      </c>
      <c r="L40" s="22">
        <v>1</v>
      </c>
      <c r="M40" s="22">
        <v>70167</v>
      </c>
      <c r="N40" s="18" t="s">
        <v>53</v>
      </c>
      <c r="O40" s="22" t="s">
        <v>84</v>
      </c>
      <c r="P40" s="23">
        <v>35</v>
      </c>
      <c r="Q40" s="22"/>
      <c r="R40" s="23">
        <v>35</v>
      </c>
      <c r="S40" s="24">
        <v>46050</v>
      </c>
      <c r="T40" s="23">
        <v>0</v>
      </c>
      <c r="U40" s="25">
        <v>4</v>
      </c>
      <c r="V40" s="23">
        <v>35</v>
      </c>
      <c r="W40" s="18" t="s">
        <v>47</v>
      </c>
      <c r="X40" s="18" t="s">
        <v>48</v>
      </c>
      <c r="Y40" s="18" t="s">
        <v>58</v>
      </c>
      <c r="Z40" s="18" t="s">
        <v>43</v>
      </c>
      <c r="AA40" s="18" t="s">
        <v>49</v>
      </c>
      <c r="AB40" s="18" t="s">
        <v>85</v>
      </c>
      <c r="AC40" s="18" t="s">
        <v>38</v>
      </c>
      <c r="AD40" s="7" t="str">
        <f t="shared" si="0"/>
        <v/>
      </c>
      <c r="AE40" s="31"/>
      <c r="AF40" s="31"/>
      <c r="AG40" s="31"/>
      <c r="AH40" s="31"/>
      <c r="AI40" s="30"/>
      <c r="AJ40" s="30"/>
      <c r="AK40" s="30"/>
      <c r="AL40" s="30"/>
      <c r="AM40" s="30"/>
      <c r="AN40" s="30"/>
      <c r="AO40" s="30"/>
      <c r="AP40" s="30"/>
      <c r="AQ40" s="30"/>
      <c r="AR40" s="30"/>
      <c r="AS40" s="30"/>
      <c r="AT40" s="30"/>
      <c r="AU40" s="30"/>
      <c r="AV40" s="30"/>
      <c r="AW40" s="30"/>
    </row>
    <row r="41" spans="1:49" s="27" customFormat="1" ht="35.1" customHeight="1" x14ac:dyDescent="0.25">
      <c r="A41" s="18" t="s">
        <v>82</v>
      </c>
      <c r="B41" s="19">
        <v>46050</v>
      </c>
      <c r="C41" s="19">
        <v>46050</v>
      </c>
      <c r="D41" s="18" t="s">
        <v>196</v>
      </c>
      <c r="E41" s="20">
        <v>0.5</v>
      </c>
      <c r="F41" s="20">
        <v>0.54166666666666663</v>
      </c>
      <c r="G41" s="20">
        <v>3.4722222222222218E-4</v>
      </c>
      <c r="H41" s="18" t="s">
        <v>83</v>
      </c>
      <c r="I41" s="21">
        <v>0.52440011574074075</v>
      </c>
      <c r="J41" s="18" t="s">
        <v>80</v>
      </c>
      <c r="K41" s="18" t="s">
        <v>151</v>
      </c>
      <c r="L41" s="22">
        <v>1</v>
      </c>
      <c r="M41" s="22">
        <v>70167</v>
      </c>
      <c r="N41" s="18" t="s">
        <v>53</v>
      </c>
      <c r="O41" s="22" t="s">
        <v>84</v>
      </c>
      <c r="P41" s="23">
        <v>35</v>
      </c>
      <c r="Q41" s="22"/>
      <c r="R41" s="23">
        <v>35</v>
      </c>
      <c r="S41" s="24">
        <v>46050</v>
      </c>
      <c r="T41" s="23">
        <v>0</v>
      </c>
      <c r="U41" s="25">
        <v>4</v>
      </c>
      <c r="V41" s="23">
        <v>35</v>
      </c>
      <c r="W41" s="18" t="s">
        <v>47</v>
      </c>
      <c r="X41" s="18" t="s">
        <v>48</v>
      </c>
      <c r="Y41" s="18" t="s">
        <v>58</v>
      </c>
      <c r="Z41" s="18" t="s">
        <v>43</v>
      </c>
      <c r="AA41" s="18" t="s">
        <v>49</v>
      </c>
      <c r="AB41" s="18" t="s">
        <v>85</v>
      </c>
      <c r="AC41" s="18" t="s">
        <v>38</v>
      </c>
      <c r="AD41" s="7" t="str">
        <f t="shared" si="0"/>
        <v/>
      </c>
      <c r="AE41" s="26"/>
      <c r="AF41" s="26"/>
      <c r="AG41" s="26"/>
      <c r="AH41" s="26"/>
    </row>
    <row r="42" spans="1:49" s="27" customFormat="1" ht="35.1" customHeight="1" x14ac:dyDescent="0.25">
      <c r="A42" s="18" t="s">
        <v>93</v>
      </c>
      <c r="B42" s="19">
        <v>46050</v>
      </c>
      <c r="C42" s="19">
        <v>46050</v>
      </c>
      <c r="D42" s="18" t="s">
        <v>196</v>
      </c>
      <c r="E42" s="20">
        <v>0.45833333333333331</v>
      </c>
      <c r="F42" s="20">
        <v>0.54166666666666663</v>
      </c>
      <c r="G42" s="28">
        <v>1.7361111111111109E-4</v>
      </c>
      <c r="H42" s="29" t="s">
        <v>94</v>
      </c>
      <c r="I42" s="21">
        <v>0.53216655092592591</v>
      </c>
      <c r="J42" s="18" t="s">
        <v>80</v>
      </c>
      <c r="K42" s="18" t="s">
        <v>151</v>
      </c>
      <c r="L42" s="22">
        <v>1</v>
      </c>
      <c r="M42" s="22">
        <v>69570</v>
      </c>
      <c r="N42" s="18" t="s">
        <v>53</v>
      </c>
      <c r="O42" s="22" t="s">
        <v>95</v>
      </c>
      <c r="P42" s="23">
        <v>0</v>
      </c>
      <c r="Q42" s="22"/>
      <c r="R42" s="23">
        <v>19.042139037433099</v>
      </c>
      <c r="S42" s="24">
        <v>46054</v>
      </c>
      <c r="T42" s="23">
        <v>0</v>
      </c>
      <c r="U42" s="25">
        <v>4</v>
      </c>
      <c r="V42" s="23">
        <v>0</v>
      </c>
      <c r="W42" s="18" t="s">
        <v>47</v>
      </c>
      <c r="X42" s="18" t="s">
        <v>48</v>
      </c>
      <c r="Y42" s="18" t="s">
        <v>36</v>
      </c>
      <c r="Z42" s="18" t="s">
        <v>9</v>
      </c>
      <c r="AA42" s="18" t="s">
        <v>49</v>
      </c>
      <c r="AB42" s="18" t="s">
        <v>96</v>
      </c>
      <c r="AC42" s="18" t="s">
        <v>38</v>
      </c>
      <c r="AD42" s="7" t="str">
        <f t="shared" si="0"/>
        <v/>
      </c>
      <c r="AE42" s="26"/>
      <c r="AF42" s="26"/>
      <c r="AG42" s="26"/>
      <c r="AH42" s="26"/>
    </row>
    <row r="43" spans="1:49" s="27" customFormat="1" ht="35.1" customHeight="1" x14ac:dyDescent="0.25">
      <c r="A43" s="18" t="s">
        <v>93</v>
      </c>
      <c r="B43" s="19">
        <v>46050</v>
      </c>
      <c r="C43" s="19">
        <v>46050</v>
      </c>
      <c r="D43" s="18" t="s">
        <v>196</v>
      </c>
      <c r="E43" s="20">
        <v>0.45833333333333331</v>
      </c>
      <c r="F43" s="20">
        <v>0.54166666666666663</v>
      </c>
      <c r="G43" s="28">
        <v>1.7361111111111109E-4</v>
      </c>
      <c r="H43" s="29" t="s">
        <v>97</v>
      </c>
      <c r="I43" s="21">
        <v>0.5344237268518518</v>
      </c>
      <c r="J43" s="18" t="s">
        <v>80</v>
      </c>
      <c r="K43" s="18" t="s">
        <v>151</v>
      </c>
      <c r="L43" s="22">
        <v>1</v>
      </c>
      <c r="M43" s="22">
        <v>69570</v>
      </c>
      <c r="N43" s="18" t="s">
        <v>53</v>
      </c>
      <c r="O43" s="22" t="s">
        <v>95</v>
      </c>
      <c r="P43" s="23">
        <v>0</v>
      </c>
      <c r="Q43" s="22"/>
      <c r="R43" s="23">
        <v>19.042139037433099</v>
      </c>
      <c r="S43" s="24">
        <v>46054</v>
      </c>
      <c r="T43" s="23">
        <v>0</v>
      </c>
      <c r="U43" s="25">
        <v>4</v>
      </c>
      <c r="V43" s="23">
        <v>0</v>
      </c>
      <c r="W43" s="18" t="s">
        <v>47</v>
      </c>
      <c r="X43" s="18" t="s">
        <v>48</v>
      </c>
      <c r="Y43" s="18" t="s">
        <v>36</v>
      </c>
      <c r="Z43" s="18" t="s">
        <v>9</v>
      </c>
      <c r="AA43" s="18" t="s">
        <v>49</v>
      </c>
      <c r="AB43" s="18" t="s">
        <v>96</v>
      </c>
      <c r="AC43" s="18" t="s">
        <v>38</v>
      </c>
      <c r="AD43" s="7" t="str">
        <f t="shared" si="0"/>
        <v/>
      </c>
      <c r="AE43" s="26"/>
      <c r="AF43" s="26"/>
      <c r="AG43" s="26"/>
      <c r="AH43" s="26"/>
    </row>
    <row r="44" spans="1:49" s="27" customFormat="1" ht="35.1" customHeight="1" x14ac:dyDescent="0.25">
      <c r="A44" s="18" t="s">
        <v>82</v>
      </c>
      <c r="B44" s="19">
        <v>46050</v>
      </c>
      <c r="C44" s="19">
        <v>46050</v>
      </c>
      <c r="D44" s="18" t="s">
        <v>196</v>
      </c>
      <c r="E44" s="20">
        <v>0.5</v>
      </c>
      <c r="F44" s="20">
        <v>0.54166666666666663</v>
      </c>
      <c r="G44" s="20">
        <v>3.4722222222222218E-4</v>
      </c>
      <c r="H44" s="18" t="s">
        <v>83</v>
      </c>
      <c r="I44" s="21">
        <v>0.53268761574074075</v>
      </c>
      <c r="J44" s="18" t="s">
        <v>80</v>
      </c>
      <c r="K44" s="18" t="s">
        <v>151</v>
      </c>
      <c r="L44" s="22">
        <v>1</v>
      </c>
      <c r="M44" s="22">
        <v>70167</v>
      </c>
      <c r="N44" s="18" t="s">
        <v>53</v>
      </c>
      <c r="O44" s="22" t="s">
        <v>84</v>
      </c>
      <c r="P44" s="23">
        <v>35</v>
      </c>
      <c r="Q44" s="22"/>
      <c r="R44" s="23">
        <v>35</v>
      </c>
      <c r="S44" s="24">
        <v>46050</v>
      </c>
      <c r="T44" s="23">
        <v>0</v>
      </c>
      <c r="U44" s="25">
        <v>4</v>
      </c>
      <c r="V44" s="23">
        <v>35</v>
      </c>
      <c r="W44" s="18" t="s">
        <v>47</v>
      </c>
      <c r="X44" s="18" t="s">
        <v>48</v>
      </c>
      <c r="Y44" s="18" t="s">
        <v>58</v>
      </c>
      <c r="Z44" s="18" t="s">
        <v>43</v>
      </c>
      <c r="AA44" s="18" t="s">
        <v>49</v>
      </c>
      <c r="AB44" s="18" t="s">
        <v>85</v>
      </c>
      <c r="AC44" s="18" t="s">
        <v>38</v>
      </c>
      <c r="AD44" s="7" t="str">
        <f t="shared" si="0"/>
        <v/>
      </c>
      <c r="AE44" s="26"/>
      <c r="AF44" s="26"/>
      <c r="AG44" s="26"/>
      <c r="AH44" s="26"/>
    </row>
    <row r="45" spans="1:49" s="27" customFormat="1" ht="35.1" customHeight="1" x14ac:dyDescent="0.25">
      <c r="A45" s="18" t="s">
        <v>167</v>
      </c>
      <c r="B45" s="19">
        <v>46050</v>
      </c>
      <c r="C45" s="19">
        <v>46050</v>
      </c>
      <c r="D45" s="18" t="s">
        <v>196</v>
      </c>
      <c r="E45" s="20">
        <v>0.25</v>
      </c>
      <c r="F45" s="20">
        <v>0.99930555555555556</v>
      </c>
      <c r="G45" s="20">
        <v>3.8194444444444446E-4</v>
      </c>
      <c r="H45" s="18" t="s">
        <v>168</v>
      </c>
      <c r="I45" s="21">
        <v>0.54110046296296299</v>
      </c>
      <c r="J45" s="18" t="s">
        <v>32</v>
      </c>
      <c r="K45" s="18" t="s">
        <v>151</v>
      </c>
      <c r="L45" s="22">
        <v>1</v>
      </c>
      <c r="M45" s="22">
        <v>61686</v>
      </c>
      <c r="N45" s="18" t="s">
        <v>53</v>
      </c>
      <c r="O45" s="22"/>
      <c r="P45" s="23">
        <v>92.592592592592595</v>
      </c>
      <c r="Q45" s="22"/>
      <c r="R45" s="23">
        <v>92.592592592592595</v>
      </c>
      <c r="S45" s="24">
        <v>46054</v>
      </c>
      <c r="T45" s="23">
        <v>0</v>
      </c>
      <c r="U45" s="25">
        <v>4</v>
      </c>
      <c r="V45" s="23">
        <v>92.592592592592595</v>
      </c>
      <c r="W45" s="18" t="s">
        <v>34</v>
      </c>
      <c r="X45" s="18" t="s">
        <v>169</v>
      </c>
      <c r="Y45" s="18" t="s">
        <v>36</v>
      </c>
      <c r="Z45" s="18" t="s">
        <v>169</v>
      </c>
      <c r="AA45" s="18" t="s">
        <v>49</v>
      </c>
      <c r="AB45" s="18" t="s">
        <v>170</v>
      </c>
      <c r="AC45" s="18" t="s">
        <v>38</v>
      </c>
      <c r="AD45" s="7" t="str">
        <f t="shared" si="0"/>
        <v/>
      </c>
      <c r="AE45" s="26"/>
      <c r="AF45" s="26"/>
      <c r="AG45" s="26"/>
      <c r="AH45" s="26"/>
    </row>
    <row r="46" spans="1:49" s="17" customFormat="1" ht="35.1" customHeight="1" x14ac:dyDescent="0.25">
      <c r="A46" s="18" t="s">
        <v>82</v>
      </c>
      <c r="B46" s="19">
        <v>46050</v>
      </c>
      <c r="C46" s="19">
        <v>46050</v>
      </c>
      <c r="D46" s="18" t="s">
        <v>196</v>
      </c>
      <c r="E46" s="20">
        <v>0.5</v>
      </c>
      <c r="F46" s="20">
        <v>0.54166666666666663</v>
      </c>
      <c r="G46" s="20">
        <v>3.4722222222222218E-4</v>
      </c>
      <c r="H46" s="18" t="s">
        <v>83</v>
      </c>
      <c r="I46" s="21">
        <v>0.53971145833333334</v>
      </c>
      <c r="J46" s="18" t="s">
        <v>80</v>
      </c>
      <c r="K46" s="18" t="s">
        <v>151</v>
      </c>
      <c r="L46" s="22">
        <v>1</v>
      </c>
      <c r="M46" s="22">
        <v>70167</v>
      </c>
      <c r="N46" s="18" t="s">
        <v>53</v>
      </c>
      <c r="O46" s="22" t="s">
        <v>84</v>
      </c>
      <c r="P46" s="23">
        <v>35</v>
      </c>
      <c r="Q46" s="22"/>
      <c r="R46" s="23">
        <v>35</v>
      </c>
      <c r="S46" s="24">
        <v>46050</v>
      </c>
      <c r="T46" s="23">
        <v>0</v>
      </c>
      <c r="U46" s="25">
        <v>4</v>
      </c>
      <c r="V46" s="23">
        <v>35</v>
      </c>
      <c r="W46" s="18" t="s">
        <v>47</v>
      </c>
      <c r="X46" s="18" t="s">
        <v>48</v>
      </c>
      <c r="Y46" s="18" t="s">
        <v>58</v>
      </c>
      <c r="Z46" s="18" t="s">
        <v>43</v>
      </c>
      <c r="AA46" s="18" t="s">
        <v>49</v>
      </c>
      <c r="AB46" s="18" t="s">
        <v>85</v>
      </c>
      <c r="AC46" s="18" t="s">
        <v>38</v>
      </c>
      <c r="AD46" s="7" t="str">
        <f t="shared" si="0"/>
        <v/>
      </c>
      <c r="AE46" s="26"/>
      <c r="AF46" s="26"/>
      <c r="AG46" s="26"/>
      <c r="AH46" s="26"/>
      <c r="AI46" s="27"/>
      <c r="AJ46" s="27"/>
      <c r="AK46" s="27"/>
      <c r="AL46" s="27"/>
      <c r="AM46" s="27"/>
      <c r="AN46" s="27"/>
      <c r="AO46" s="27"/>
      <c r="AP46" s="27"/>
      <c r="AQ46" s="27"/>
      <c r="AR46" s="27"/>
      <c r="AS46" s="27"/>
      <c r="AT46" s="27"/>
      <c r="AU46" s="27"/>
      <c r="AV46" s="27"/>
      <c r="AW46" s="27"/>
    </row>
    <row r="47" spans="1:49" s="48" customFormat="1" ht="35.1" customHeight="1" x14ac:dyDescent="0.25">
      <c r="A47" s="9" t="s">
        <v>103</v>
      </c>
      <c r="B47" s="10">
        <v>46050</v>
      </c>
      <c r="C47" s="10">
        <v>46050</v>
      </c>
      <c r="D47" s="11" t="s">
        <v>196</v>
      </c>
      <c r="E47" s="12">
        <v>0.54166666666666663</v>
      </c>
      <c r="F47" s="12">
        <v>0.5625</v>
      </c>
      <c r="G47" s="12">
        <v>2.0833333333333332E-2</v>
      </c>
      <c r="H47" s="9" t="s">
        <v>104</v>
      </c>
      <c r="I47" s="13"/>
      <c r="J47" s="9" t="s">
        <v>105</v>
      </c>
      <c r="K47" s="9"/>
      <c r="L47" s="14">
        <v>1</v>
      </c>
      <c r="M47" s="14">
        <v>1</v>
      </c>
      <c r="N47" s="9" t="s">
        <v>33</v>
      </c>
      <c r="O47" s="9"/>
      <c r="P47" s="16">
        <v>0</v>
      </c>
      <c r="Q47" s="14"/>
      <c r="R47" s="16">
        <v>0</v>
      </c>
      <c r="S47" s="9">
        <v>46054</v>
      </c>
      <c r="T47" s="16">
        <v>0</v>
      </c>
      <c r="U47" s="14">
        <v>2</v>
      </c>
      <c r="V47" s="16">
        <v>0</v>
      </c>
      <c r="W47" s="9" t="s">
        <v>34</v>
      </c>
      <c r="X47" s="9" t="s">
        <v>42</v>
      </c>
      <c r="Y47" s="9" t="s">
        <v>36</v>
      </c>
      <c r="Z47" s="9" t="s">
        <v>43</v>
      </c>
      <c r="AA47" s="9" t="s">
        <v>37</v>
      </c>
      <c r="AB47" s="9" t="s">
        <v>37</v>
      </c>
      <c r="AC47" s="9" t="s">
        <v>38</v>
      </c>
      <c r="AD47" s="7" t="str">
        <f t="shared" si="0"/>
        <v/>
      </c>
      <c r="AE47" s="26"/>
      <c r="AF47" s="26"/>
      <c r="AG47" s="26"/>
      <c r="AH47" s="26"/>
      <c r="AI47" s="26"/>
      <c r="AJ47" s="26"/>
      <c r="AK47" s="26"/>
      <c r="AL47" s="26"/>
      <c r="AM47" s="26"/>
      <c r="AN47" s="26"/>
      <c r="AO47" s="26"/>
      <c r="AP47" s="26"/>
      <c r="AQ47" s="26"/>
      <c r="AR47" s="26"/>
      <c r="AS47" s="26"/>
      <c r="AT47" s="26"/>
      <c r="AU47" s="26"/>
      <c r="AV47" s="26"/>
      <c r="AW47" s="26"/>
    </row>
    <row r="48" spans="1:49" s="31" customFormat="1" ht="35.1" customHeight="1" x14ac:dyDescent="0.25">
      <c r="A48" s="18" t="s">
        <v>106</v>
      </c>
      <c r="B48" s="19">
        <v>46050</v>
      </c>
      <c r="C48" s="19">
        <v>46050</v>
      </c>
      <c r="D48" s="18" t="s">
        <v>196</v>
      </c>
      <c r="E48" s="20">
        <v>0.54166666666666663</v>
      </c>
      <c r="F48" s="20">
        <v>0.66666666666666663</v>
      </c>
      <c r="G48" s="20">
        <v>3.4722222222222218E-4</v>
      </c>
      <c r="H48" s="18" t="s">
        <v>107</v>
      </c>
      <c r="I48" s="21">
        <v>0.54821782407407404</v>
      </c>
      <c r="J48" s="18" t="s">
        <v>105</v>
      </c>
      <c r="K48" s="18" t="s">
        <v>152</v>
      </c>
      <c r="L48" s="22">
        <v>1</v>
      </c>
      <c r="M48" s="22">
        <v>58167</v>
      </c>
      <c r="N48" s="18" t="s">
        <v>46</v>
      </c>
      <c r="O48" s="22" t="s">
        <v>108</v>
      </c>
      <c r="P48" s="23">
        <v>0</v>
      </c>
      <c r="Q48" s="22"/>
      <c r="R48" s="23">
        <v>0</v>
      </c>
      <c r="S48" s="24">
        <v>46054</v>
      </c>
      <c r="T48" s="23">
        <v>0</v>
      </c>
      <c r="U48" s="25">
        <v>4</v>
      </c>
      <c r="V48" s="23">
        <v>0</v>
      </c>
      <c r="W48" s="18" t="s">
        <v>34</v>
      </c>
      <c r="X48" s="18" t="s">
        <v>48</v>
      </c>
      <c r="Y48" s="18" t="s">
        <v>36</v>
      </c>
      <c r="Z48" s="18" t="s">
        <v>9</v>
      </c>
      <c r="AA48" s="18" t="s">
        <v>49</v>
      </c>
      <c r="AB48" s="18" t="s">
        <v>109</v>
      </c>
      <c r="AC48" s="18" t="s">
        <v>38</v>
      </c>
      <c r="AD48" s="7" t="str">
        <f t="shared" si="0"/>
        <v/>
      </c>
      <c r="AE48" s="26"/>
      <c r="AF48" s="26"/>
      <c r="AG48" s="26"/>
      <c r="AH48" s="26"/>
      <c r="AI48" s="27"/>
      <c r="AJ48" s="27"/>
      <c r="AK48" s="27"/>
      <c r="AL48" s="27"/>
      <c r="AM48" s="27"/>
      <c r="AN48" s="27"/>
      <c r="AO48" s="27"/>
      <c r="AP48" s="27"/>
      <c r="AQ48" s="27"/>
      <c r="AR48" s="27"/>
      <c r="AS48" s="27"/>
      <c r="AT48" s="27"/>
      <c r="AU48" s="27"/>
      <c r="AV48" s="27"/>
      <c r="AW48" s="27"/>
    </row>
    <row r="49" spans="1:49" s="35" customFormat="1" ht="35.1" customHeight="1" x14ac:dyDescent="0.25">
      <c r="A49" s="18" t="s">
        <v>159</v>
      </c>
      <c r="B49" s="19">
        <v>46050</v>
      </c>
      <c r="C49" s="19">
        <v>46050</v>
      </c>
      <c r="D49" s="18" t="s">
        <v>196</v>
      </c>
      <c r="E49" s="20">
        <v>0.54166666666666663</v>
      </c>
      <c r="F49" s="20">
        <v>0.66666666666666663</v>
      </c>
      <c r="G49" s="28">
        <v>1.7361111111111109E-4</v>
      </c>
      <c r="H49" s="29" t="s">
        <v>160</v>
      </c>
      <c r="I49" s="21">
        <v>0.55526643518518515</v>
      </c>
      <c r="J49" s="18" t="s">
        <v>105</v>
      </c>
      <c r="K49" s="18" t="s">
        <v>152</v>
      </c>
      <c r="L49" s="22">
        <v>1</v>
      </c>
      <c r="M49" s="22">
        <v>71006</v>
      </c>
      <c r="N49" s="18" t="s">
        <v>53</v>
      </c>
      <c r="O49" s="22" t="s">
        <v>161</v>
      </c>
      <c r="P49" s="23">
        <v>15</v>
      </c>
      <c r="Q49" s="22"/>
      <c r="R49" s="23">
        <v>15</v>
      </c>
      <c r="S49" s="24">
        <v>46054</v>
      </c>
      <c r="T49" s="23">
        <v>2.25</v>
      </c>
      <c r="U49" s="25">
        <v>4</v>
      </c>
      <c r="V49" s="23">
        <v>12.75</v>
      </c>
      <c r="W49" s="18" t="s">
        <v>47</v>
      </c>
      <c r="X49" s="18" t="s">
        <v>48</v>
      </c>
      <c r="Y49" s="18" t="s">
        <v>36</v>
      </c>
      <c r="Z49" s="18" t="s">
        <v>9</v>
      </c>
      <c r="AA49" s="18" t="s">
        <v>49</v>
      </c>
      <c r="AB49" s="18" t="s">
        <v>162</v>
      </c>
      <c r="AC49" s="18" t="s">
        <v>38</v>
      </c>
      <c r="AD49" s="7" t="str">
        <f t="shared" si="0"/>
        <v/>
      </c>
      <c r="AE49" s="26"/>
      <c r="AF49" s="26"/>
      <c r="AG49" s="26"/>
      <c r="AH49" s="26"/>
      <c r="AI49" s="27"/>
      <c r="AJ49" s="27"/>
      <c r="AK49" s="27"/>
      <c r="AL49" s="27"/>
      <c r="AM49" s="27"/>
      <c r="AN49" s="27"/>
      <c r="AO49" s="27"/>
      <c r="AP49" s="27"/>
      <c r="AQ49" s="27"/>
      <c r="AR49" s="27"/>
      <c r="AS49" s="27"/>
      <c r="AT49" s="27"/>
      <c r="AU49" s="27"/>
      <c r="AV49" s="27"/>
      <c r="AW49" s="27"/>
    </row>
    <row r="50" spans="1:49" s="31" customFormat="1" ht="35.1" customHeight="1" x14ac:dyDescent="0.25">
      <c r="A50" s="18" t="s">
        <v>159</v>
      </c>
      <c r="B50" s="19">
        <v>46050</v>
      </c>
      <c r="C50" s="19">
        <v>46050</v>
      </c>
      <c r="D50" s="18" t="s">
        <v>196</v>
      </c>
      <c r="E50" s="20">
        <v>0.54166666666666663</v>
      </c>
      <c r="F50" s="20">
        <v>0.66666666666666663</v>
      </c>
      <c r="G50" s="28">
        <v>1.7361111111111109E-4</v>
      </c>
      <c r="H50" s="29" t="s">
        <v>163</v>
      </c>
      <c r="I50" s="21">
        <v>0.55544004629629629</v>
      </c>
      <c r="J50" s="18" t="s">
        <v>105</v>
      </c>
      <c r="K50" s="18" t="s">
        <v>152</v>
      </c>
      <c r="L50" s="22">
        <v>1</v>
      </c>
      <c r="M50" s="22">
        <v>71006</v>
      </c>
      <c r="N50" s="18" t="s">
        <v>53</v>
      </c>
      <c r="O50" s="22" t="s">
        <v>161</v>
      </c>
      <c r="P50" s="23">
        <v>15</v>
      </c>
      <c r="Q50" s="22"/>
      <c r="R50" s="23">
        <v>15</v>
      </c>
      <c r="S50" s="24">
        <v>46054</v>
      </c>
      <c r="T50" s="23">
        <v>2.25</v>
      </c>
      <c r="U50" s="25">
        <v>4</v>
      </c>
      <c r="V50" s="23">
        <v>12.75</v>
      </c>
      <c r="W50" s="18" t="s">
        <v>47</v>
      </c>
      <c r="X50" s="18" t="s">
        <v>48</v>
      </c>
      <c r="Y50" s="18" t="s">
        <v>36</v>
      </c>
      <c r="Z50" s="18" t="s">
        <v>9</v>
      </c>
      <c r="AA50" s="18" t="s">
        <v>49</v>
      </c>
      <c r="AB50" s="18" t="s">
        <v>162</v>
      </c>
      <c r="AC50" s="18" t="s">
        <v>38</v>
      </c>
      <c r="AD50" s="7" t="str">
        <f t="shared" si="0"/>
        <v/>
      </c>
      <c r="AE50" s="26"/>
      <c r="AF50" s="26"/>
      <c r="AG50" s="26"/>
      <c r="AH50" s="26"/>
      <c r="AI50" s="27"/>
      <c r="AJ50" s="27"/>
      <c r="AK50" s="27"/>
      <c r="AL50" s="27"/>
      <c r="AM50" s="27"/>
      <c r="AN50" s="27"/>
      <c r="AO50" s="27"/>
      <c r="AP50" s="27"/>
      <c r="AQ50" s="27"/>
      <c r="AR50" s="27"/>
      <c r="AS50" s="27"/>
      <c r="AT50" s="27"/>
      <c r="AU50" s="27"/>
      <c r="AV50" s="27"/>
      <c r="AW50" s="27"/>
    </row>
    <row r="51" spans="1:49" s="34" customFormat="1" ht="35.1" customHeight="1" x14ac:dyDescent="0.25">
      <c r="A51" s="18" t="s">
        <v>106</v>
      </c>
      <c r="B51" s="19">
        <v>46050</v>
      </c>
      <c r="C51" s="19">
        <v>46050</v>
      </c>
      <c r="D51" s="18" t="s">
        <v>196</v>
      </c>
      <c r="E51" s="20">
        <v>0.54166666666666663</v>
      </c>
      <c r="F51" s="20">
        <v>0.66666666666666663</v>
      </c>
      <c r="G51" s="20">
        <v>3.4722222222222218E-4</v>
      </c>
      <c r="H51" s="18" t="s">
        <v>107</v>
      </c>
      <c r="I51" s="21">
        <v>0.56195624999999993</v>
      </c>
      <c r="J51" s="18" t="s">
        <v>105</v>
      </c>
      <c r="K51" s="18" t="s">
        <v>152</v>
      </c>
      <c r="L51" s="22">
        <v>1</v>
      </c>
      <c r="M51" s="22">
        <v>58165</v>
      </c>
      <c r="N51" s="18" t="s">
        <v>53</v>
      </c>
      <c r="O51" s="22" t="s">
        <v>108</v>
      </c>
      <c r="P51" s="23">
        <v>42.352941176470587</v>
      </c>
      <c r="Q51" s="22"/>
      <c r="R51" s="23">
        <v>42.352941176470587</v>
      </c>
      <c r="S51" s="24">
        <v>46054</v>
      </c>
      <c r="T51" s="23">
        <v>6.3529411764705879</v>
      </c>
      <c r="U51" s="25">
        <v>4</v>
      </c>
      <c r="V51" s="23">
        <v>36</v>
      </c>
      <c r="W51" s="18" t="s">
        <v>34</v>
      </c>
      <c r="X51" s="18" t="s">
        <v>48</v>
      </c>
      <c r="Y51" s="18" t="s">
        <v>36</v>
      </c>
      <c r="Z51" s="18" t="s">
        <v>9</v>
      </c>
      <c r="AA51" s="18" t="s">
        <v>49</v>
      </c>
      <c r="AB51" s="18" t="s">
        <v>109</v>
      </c>
      <c r="AC51" s="18" t="s">
        <v>38</v>
      </c>
      <c r="AD51" s="7" t="str">
        <f t="shared" si="0"/>
        <v/>
      </c>
      <c r="AE51" s="26"/>
      <c r="AF51" s="26"/>
      <c r="AG51" s="26"/>
      <c r="AH51" s="26"/>
      <c r="AI51" s="26"/>
      <c r="AJ51" s="26"/>
      <c r="AK51" s="26"/>
      <c r="AL51" s="26"/>
      <c r="AM51" s="26"/>
      <c r="AN51" s="26"/>
      <c r="AO51" s="26"/>
      <c r="AP51" s="26"/>
      <c r="AQ51" s="26"/>
      <c r="AR51" s="26"/>
      <c r="AS51" s="26"/>
      <c r="AT51" s="26"/>
      <c r="AU51" s="26"/>
      <c r="AV51" s="26"/>
      <c r="AW51" s="26"/>
    </row>
    <row r="52" spans="1:49" s="48" customFormat="1" ht="35.1" customHeight="1" x14ac:dyDescent="0.25">
      <c r="A52" s="9" t="s">
        <v>103</v>
      </c>
      <c r="B52" s="10">
        <v>46050</v>
      </c>
      <c r="C52" s="10">
        <v>46050</v>
      </c>
      <c r="D52" s="11" t="s">
        <v>196</v>
      </c>
      <c r="E52" s="12">
        <v>0.5625</v>
      </c>
      <c r="F52" s="12">
        <v>0.58333333333333337</v>
      </c>
      <c r="G52" s="12">
        <v>2.0833333333333332E-2</v>
      </c>
      <c r="H52" s="9" t="s">
        <v>112</v>
      </c>
      <c r="I52" s="13"/>
      <c r="J52" s="9" t="s">
        <v>105</v>
      </c>
      <c r="K52" s="9"/>
      <c r="L52" s="14">
        <v>1</v>
      </c>
      <c r="M52" s="14">
        <v>1</v>
      </c>
      <c r="N52" s="9" t="s">
        <v>33</v>
      </c>
      <c r="O52" s="9"/>
      <c r="P52" s="16">
        <v>0</v>
      </c>
      <c r="Q52" s="14"/>
      <c r="R52" s="16">
        <v>0</v>
      </c>
      <c r="S52" s="9">
        <v>46054</v>
      </c>
      <c r="T52" s="16">
        <v>0</v>
      </c>
      <c r="U52" s="14">
        <v>2</v>
      </c>
      <c r="V52" s="16">
        <v>0</v>
      </c>
      <c r="W52" s="9" t="s">
        <v>34</v>
      </c>
      <c r="X52" s="9" t="s">
        <v>42</v>
      </c>
      <c r="Y52" s="9" t="s">
        <v>36</v>
      </c>
      <c r="Z52" s="9" t="s">
        <v>43</v>
      </c>
      <c r="AA52" s="9" t="s">
        <v>37</v>
      </c>
      <c r="AB52" s="9" t="s">
        <v>37</v>
      </c>
      <c r="AC52" s="9" t="s">
        <v>38</v>
      </c>
      <c r="AD52" s="7" t="str">
        <f t="shared" si="0"/>
        <v/>
      </c>
      <c r="AE52" s="26"/>
      <c r="AF52" s="26"/>
      <c r="AG52" s="26"/>
      <c r="AH52" s="26"/>
      <c r="AI52" s="26"/>
      <c r="AJ52" s="26"/>
      <c r="AK52" s="26"/>
      <c r="AL52" s="26"/>
      <c r="AM52" s="26"/>
      <c r="AN52" s="26"/>
      <c r="AO52" s="26"/>
      <c r="AP52" s="26"/>
      <c r="AQ52" s="26"/>
      <c r="AR52" s="26"/>
      <c r="AS52" s="26"/>
      <c r="AT52" s="26"/>
      <c r="AU52" s="26"/>
      <c r="AV52" s="26"/>
      <c r="AW52" s="26"/>
    </row>
    <row r="53" spans="1:49" s="44" customFormat="1" ht="35.1" customHeight="1" x14ac:dyDescent="0.25">
      <c r="A53" s="18" t="s">
        <v>159</v>
      </c>
      <c r="B53" s="19">
        <v>46050</v>
      </c>
      <c r="C53" s="19">
        <v>46050</v>
      </c>
      <c r="D53" s="18" t="s">
        <v>196</v>
      </c>
      <c r="E53" s="20">
        <v>0.54166666666666663</v>
      </c>
      <c r="F53" s="20">
        <v>0.66666666666666663</v>
      </c>
      <c r="G53" s="28">
        <v>1.7361111111111109E-4</v>
      </c>
      <c r="H53" s="29" t="s">
        <v>160</v>
      </c>
      <c r="I53" s="21">
        <v>0.57563946759259255</v>
      </c>
      <c r="J53" s="18" t="s">
        <v>105</v>
      </c>
      <c r="K53" s="18" t="s">
        <v>153</v>
      </c>
      <c r="L53" s="22">
        <v>1</v>
      </c>
      <c r="M53" s="22">
        <v>71097</v>
      </c>
      <c r="N53" s="18" t="s">
        <v>46</v>
      </c>
      <c r="O53" s="22" t="s">
        <v>161</v>
      </c>
      <c r="P53" s="23">
        <v>0</v>
      </c>
      <c r="Q53" s="22"/>
      <c r="R53" s="23">
        <v>0</v>
      </c>
      <c r="S53" s="24">
        <v>46054</v>
      </c>
      <c r="T53" s="23">
        <v>0</v>
      </c>
      <c r="U53" s="25">
        <v>4</v>
      </c>
      <c r="V53" s="23">
        <v>0</v>
      </c>
      <c r="W53" s="18" t="s">
        <v>47</v>
      </c>
      <c r="X53" s="18" t="s">
        <v>48</v>
      </c>
      <c r="Y53" s="18" t="s">
        <v>36</v>
      </c>
      <c r="Z53" s="18" t="s">
        <v>9</v>
      </c>
      <c r="AA53" s="18" t="s">
        <v>49</v>
      </c>
      <c r="AB53" s="18" t="s">
        <v>162</v>
      </c>
      <c r="AC53" s="18" t="s">
        <v>38</v>
      </c>
      <c r="AD53" s="7" t="str">
        <f t="shared" si="0"/>
        <v/>
      </c>
      <c r="AE53" s="26"/>
      <c r="AF53" s="26"/>
      <c r="AG53" s="26"/>
      <c r="AH53" s="26"/>
      <c r="AI53" s="26"/>
      <c r="AJ53" s="26"/>
      <c r="AK53" s="26"/>
      <c r="AL53" s="26"/>
      <c r="AM53" s="26"/>
      <c r="AN53" s="26"/>
      <c r="AO53" s="26"/>
      <c r="AP53" s="26"/>
      <c r="AQ53" s="26"/>
      <c r="AR53" s="26"/>
      <c r="AS53" s="26"/>
      <c r="AT53" s="26"/>
      <c r="AU53" s="26"/>
      <c r="AV53" s="26"/>
      <c r="AW53" s="26"/>
    </row>
    <row r="54" spans="1:49" s="31" customFormat="1" ht="35.1" customHeight="1" x14ac:dyDescent="0.25">
      <c r="A54" s="18" t="s">
        <v>159</v>
      </c>
      <c r="B54" s="19">
        <v>46050</v>
      </c>
      <c r="C54" s="19">
        <v>46050</v>
      </c>
      <c r="D54" s="18" t="s">
        <v>196</v>
      </c>
      <c r="E54" s="20">
        <v>0.54166666666666663</v>
      </c>
      <c r="F54" s="20">
        <v>0.66666666666666663</v>
      </c>
      <c r="G54" s="28">
        <v>1.7361111111111109E-4</v>
      </c>
      <c r="H54" s="29" t="s">
        <v>163</v>
      </c>
      <c r="I54" s="21">
        <v>0.57668136574074069</v>
      </c>
      <c r="J54" s="18" t="s">
        <v>105</v>
      </c>
      <c r="K54" s="18" t="s">
        <v>153</v>
      </c>
      <c r="L54" s="22">
        <v>1</v>
      </c>
      <c r="M54" s="22">
        <v>71097</v>
      </c>
      <c r="N54" s="18" t="s">
        <v>46</v>
      </c>
      <c r="O54" s="22" t="s">
        <v>161</v>
      </c>
      <c r="P54" s="23">
        <v>0</v>
      </c>
      <c r="Q54" s="22"/>
      <c r="R54" s="23">
        <v>0</v>
      </c>
      <c r="S54" s="24">
        <v>46054</v>
      </c>
      <c r="T54" s="23">
        <v>0</v>
      </c>
      <c r="U54" s="25">
        <v>4</v>
      </c>
      <c r="V54" s="23">
        <v>0</v>
      </c>
      <c r="W54" s="18" t="s">
        <v>47</v>
      </c>
      <c r="X54" s="18" t="s">
        <v>48</v>
      </c>
      <c r="Y54" s="18" t="s">
        <v>36</v>
      </c>
      <c r="Z54" s="18" t="s">
        <v>9</v>
      </c>
      <c r="AA54" s="18" t="s">
        <v>49</v>
      </c>
      <c r="AB54" s="18" t="s">
        <v>162</v>
      </c>
      <c r="AC54" s="18" t="s">
        <v>38</v>
      </c>
      <c r="AD54" s="7" t="str">
        <f t="shared" si="0"/>
        <v/>
      </c>
      <c r="AE54" s="26"/>
      <c r="AF54" s="26"/>
      <c r="AG54" s="26"/>
      <c r="AH54" s="26"/>
      <c r="AI54" s="27"/>
      <c r="AJ54" s="27"/>
      <c r="AK54" s="27"/>
      <c r="AL54" s="27"/>
      <c r="AM54" s="27"/>
      <c r="AN54" s="27"/>
      <c r="AO54" s="27"/>
      <c r="AP54" s="27"/>
      <c r="AQ54" s="27"/>
      <c r="AR54" s="27"/>
      <c r="AS54" s="27"/>
      <c r="AT54" s="27"/>
      <c r="AU54" s="27"/>
      <c r="AV54" s="27"/>
      <c r="AW54" s="27"/>
    </row>
    <row r="55" spans="1:49" s="26" customFormat="1" ht="35.1" customHeight="1" x14ac:dyDescent="0.25">
      <c r="A55" s="18" t="s">
        <v>127</v>
      </c>
      <c r="B55" s="19">
        <v>46050</v>
      </c>
      <c r="C55" s="19">
        <v>46050</v>
      </c>
      <c r="D55" s="18" t="s">
        <v>196</v>
      </c>
      <c r="E55" s="20">
        <v>0.54166666666666663</v>
      </c>
      <c r="F55" s="20">
        <v>0.58333333333333337</v>
      </c>
      <c r="G55" s="20">
        <v>3.4722222222222218E-4</v>
      </c>
      <c r="H55" s="18" t="s">
        <v>179</v>
      </c>
      <c r="I55" s="21">
        <v>0.57616053240740739</v>
      </c>
      <c r="J55" s="18" t="s">
        <v>105</v>
      </c>
      <c r="K55" s="18" t="s">
        <v>153</v>
      </c>
      <c r="L55" s="22">
        <v>1</v>
      </c>
      <c r="M55" s="22">
        <v>69748</v>
      </c>
      <c r="N55" s="18" t="s">
        <v>53</v>
      </c>
      <c r="O55" s="22" t="s">
        <v>129</v>
      </c>
      <c r="P55" s="23">
        <v>50</v>
      </c>
      <c r="Q55" s="22"/>
      <c r="R55" s="23">
        <v>50</v>
      </c>
      <c r="S55" s="24">
        <v>46054</v>
      </c>
      <c r="T55" s="23">
        <v>7.5</v>
      </c>
      <c r="U55" s="25">
        <v>4</v>
      </c>
      <c r="V55" s="23">
        <v>42.5</v>
      </c>
      <c r="W55" s="18" t="s">
        <v>47</v>
      </c>
      <c r="X55" s="18" t="s">
        <v>48</v>
      </c>
      <c r="Y55" s="18" t="s">
        <v>36</v>
      </c>
      <c r="Z55" s="18" t="s">
        <v>9</v>
      </c>
      <c r="AA55" s="18" t="s">
        <v>49</v>
      </c>
      <c r="AB55" s="18" t="s">
        <v>130</v>
      </c>
      <c r="AC55" s="18" t="s">
        <v>38</v>
      </c>
      <c r="AD55" s="7" t="str">
        <f t="shared" si="0"/>
        <v/>
      </c>
    </row>
    <row r="56" spans="1:49" s="26" customFormat="1" ht="35.1" customHeight="1" x14ac:dyDescent="0.25">
      <c r="A56" s="18" t="s">
        <v>106</v>
      </c>
      <c r="B56" s="19">
        <v>46050</v>
      </c>
      <c r="C56" s="19">
        <v>46050</v>
      </c>
      <c r="D56" s="18" t="s">
        <v>196</v>
      </c>
      <c r="E56" s="20">
        <v>0.54166666666666663</v>
      </c>
      <c r="F56" s="20">
        <v>0.66666666666666663</v>
      </c>
      <c r="G56" s="20">
        <v>3.4722222222222218E-4</v>
      </c>
      <c r="H56" s="18" t="s">
        <v>107</v>
      </c>
      <c r="I56" s="21">
        <v>0.58131041666666672</v>
      </c>
      <c r="J56" s="18" t="s">
        <v>105</v>
      </c>
      <c r="K56" s="18" t="s">
        <v>153</v>
      </c>
      <c r="L56" s="22">
        <v>1</v>
      </c>
      <c r="M56" s="22">
        <v>58165</v>
      </c>
      <c r="N56" s="18" t="s">
        <v>53</v>
      </c>
      <c r="O56" s="22" t="s">
        <v>108</v>
      </c>
      <c r="P56" s="23">
        <v>42.352941176470587</v>
      </c>
      <c r="Q56" s="22"/>
      <c r="R56" s="23">
        <v>42.352941176470587</v>
      </c>
      <c r="S56" s="24">
        <v>46054</v>
      </c>
      <c r="T56" s="23">
        <v>6.3529411764705879</v>
      </c>
      <c r="U56" s="25">
        <v>4</v>
      </c>
      <c r="V56" s="23">
        <v>36</v>
      </c>
      <c r="W56" s="18" t="s">
        <v>34</v>
      </c>
      <c r="X56" s="18" t="s">
        <v>48</v>
      </c>
      <c r="Y56" s="18" t="s">
        <v>36</v>
      </c>
      <c r="Z56" s="18" t="s">
        <v>9</v>
      </c>
      <c r="AA56" s="18" t="s">
        <v>49</v>
      </c>
      <c r="AB56" s="18" t="s">
        <v>109</v>
      </c>
      <c r="AC56" s="18" t="s">
        <v>38</v>
      </c>
      <c r="AD56" s="7" t="str">
        <f t="shared" si="0"/>
        <v/>
      </c>
    </row>
    <row r="57" spans="1:49" s="48" customFormat="1" ht="35.1" customHeight="1" x14ac:dyDescent="0.25">
      <c r="A57" s="9" t="s">
        <v>113</v>
      </c>
      <c r="B57" s="10">
        <v>46050</v>
      </c>
      <c r="C57" s="10">
        <v>46050</v>
      </c>
      <c r="D57" s="11" t="s">
        <v>196</v>
      </c>
      <c r="E57" s="12">
        <v>0.58333333333333337</v>
      </c>
      <c r="F57" s="12">
        <v>0.625</v>
      </c>
      <c r="G57" s="12">
        <v>4.1666666666666664E-2</v>
      </c>
      <c r="H57" s="9" t="s">
        <v>114</v>
      </c>
      <c r="I57" s="13"/>
      <c r="J57" s="9" t="s">
        <v>115</v>
      </c>
      <c r="K57" s="9"/>
      <c r="L57" s="14">
        <v>1</v>
      </c>
      <c r="M57" s="14">
        <v>1</v>
      </c>
      <c r="N57" s="9" t="s">
        <v>33</v>
      </c>
      <c r="O57" s="9"/>
      <c r="P57" s="16">
        <v>0</v>
      </c>
      <c r="Q57" s="14"/>
      <c r="R57" s="16">
        <v>0</v>
      </c>
      <c r="S57" s="9">
        <v>46054</v>
      </c>
      <c r="T57" s="16">
        <v>0</v>
      </c>
      <c r="U57" s="14">
        <v>2</v>
      </c>
      <c r="V57" s="16">
        <v>0</v>
      </c>
      <c r="W57" s="9" t="s">
        <v>34</v>
      </c>
      <c r="X57" s="9" t="s">
        <v>42</v>
      </c>
      <c r="Y57" s="9" t="s">
        <v>36</v>
      </c>
      <c r="Z57" s="9" t="s">
        <v>43</v>
      </c>
      <c r="AA57" s="9" t="s">
        <v>37</v>
      </c>
      <c r="AB57" s="9" t="s">
        <v>37</v>
      </c>
      <c r="AC57" s="9" t="s">
        <v>38</v>
      </c>
      <c r="AD57" s="7" t="str">
        <f t="shared" si="0"/>
        <v/>
      </c>
      <c r="AE57" s="26"/>
      <c r="AF57" s="26"/>
      <c r="AG57" s="26"/>
      <c r="AH57" s="26"/>
      <c r="AI57" s="26"/>
      <c r="AJ57" s="26"/>
      <c r="AK57" s="26"/>
      <c r="AL57" s="26"/>
      <c r="AM57" s="26"/>
      <c r="AN57" s="26"/>
      <c r="AO57" s="26"/>
      <c r="AP57" s="26"/>
      <c r="AQ57" s="26"/>
      <c r="AR57" s="26"/>
      <c r="AS57" s="26"/>
      <c r="AT57" s="26"/>
      <c r="AU57" s="26"/>
      <c r="AV57" s="26"/>
      <c r="AW57" s="26"/>
    </row>
    <row r="58" spans="1:49" s="26" customFormat="1" ht="35.1" customHeight="1" x14ac:dyDescent="0.25">
      <c r="A58" s="18" t="s">
        <v>159</v>
      </c>
      <c r="B58" s="19">
        <v>46050</v>
      </c>
      <c r="C58" s="19">
        <v>46050</v>
      </c>
      <c r="D58" s="18" t="s">
        <v>196</v>
      </c>
      <c r="E58" s="20">
        <v>0.58333333333333337</v>
      </c>
      <c r="F58" s="20">
        <v>0.66666666666666663</v>
      </c>
      <c r="G58" s="28">
        <v>1.7361111111111109E-4</v>
      </c>
      <c r="H58" s="29" t="s">
        <v>160</v>
      </c>
      <c r="I58" s="21">
        <v>0.590291550925926</v>
      </c>
      <c r="J58" s="18" t="s">
        <v>105</v>
      </c>
      <c r="K58" s="18" t="s">
        <v>154</v>
      </c>
      <c r="L58" s="22">
        <v>1</v>
      </c>
      <c r="M58" s="22">
        <v>71009</v>
      </c>
      <c r="N58" s="18" t="s">
        <v>53</v>
      </c>
      <c r="O58" s="22" t="s">
        <v>161</v>
      </c>
      <c r="P58" s="23">
        <v>15</v>
      </c>
      <c r="Q58" s="22"/>
      <c r="R58" s="23">
        <v>15</v>
      </c>
      <c r="S58" s="24">
        <v>46054</v>
      </c>
      <c r="T58" s="23">
        <v>2.25</v>
      </c>
      <c r="U58" s="25">
        <v>4</v>
      </c>
      <c r="V58" s="23">
        <v>12.75</v>
      </c>
      <c r="W58" s="18" t="s">
        <v>47</v>
      </c>
      <c r="X58" s="18" t="s">
        <v>48</v>
      </c>
      <c r="Y58" s="18" t="s">
        <v>36</v>
      </c>
      <c r="Z58" s="18" t="s">
        <v>9</v>
      </c>
      <c r="AA58" s="18" t="s">
        <v>49</v>
      </c>
      <c r="AB58" s="18" t="s">
        <v>162</v>
      </c>
      <c r="AC58" s="18" t="s">
        <v>38</v>
      </c>
      <c r="AD58" s="7" t="str">
        <f t="shared" si="0"/>
        <v/>
      </c>
    </row>
    <row r="59" spans="1:49" s="48" customFormat="1" ht="35.1" customHeight="1" x14ac:dyDescent="0.25">
      <c r="A59" s="18" t="s">
        <v>159</v>
      </c>
      <c r="B59" s="19">
        <v>46050</v>
      </c>
      <c r="C59" s="19">
        <v>46050</v>
      </c>
      <c r="D59" s="18" t="s">
        <v>196</v>
      </c>
      <c r="E59" s="20">
        <v>0.58333333333333337</v>
      </c>
      <c r="F59" s="20">
        <v>0.66666666666666663</v>
      </c>
      <c r="G59" s="28">
        <v>1.7361111111111109E-4</v>
      </c>
      <c r="H59" s="29" t="s">
        <v>163</v>
      </c>
      <c r="I59" s="21">
        <v>0.59185428240740745</v>
      </c>
      <c r="J59" s="18" t="s">
        <v>105</v>
      </c>
      <c r="K59" s="18" t="s">
        <v>154</v>
      </c>
      <c r="L59" s="22">
        <v>1</v>
      </c>
      <c r="M59" s="22">
        <v>71009</v>
      </c>
      <c r="N59" s="18" t="s">
        <v>53</v>
      </c>
      <c r="O59" s="22" t="s">
        <v>161</v>
      </c>
      <c r="P59" s="23">
        <v>15</v>
      </c>
      <c r="Q59" s="22"/>
      <c r="R59" s="23">
        <v>15</v>
      </c>
      <c r="S59" s="24">
        <v>46054</v>
      </c>
      <c r="T59" s="23">
        <v>2.25</v>
      </c>
      <c r="U59" s="25">
        <v>4</v>
      </c>
      <c r="V59" s="23">
        <v>12.75</v>
      </c>
      <c r="W59" s="18" t="s">
        <v>47</v>
      </c>
      <c r="X59" s="18" t="s">
        <v>48</v>
      </c>
      <c r="Y59" s="18" t="s">
        <v>36</v>
      </c>
      <c r="Z59" s="18" t="s">
        <v>9</v>
      </c>
      <c r="AA59" s="18" t="s">
        <v>49</v>
      </c>
      <c r="AB59" s="18" t="s">
        <v>162</v>
      </c>
      <c r="AC59" s="18" t="s">
        <v>38</v>
      </c>
      <c r="AD59" s="7" t="str">
        <f t="shared" si="0"/>
        <v/>
      </c>
      <c r="AE59" s="26"/>
      <c r="AF59" s="26"/>
      <c r="AG59" s="26"/>
      <c r="AH59" s="26"/>
      <c r="AI59" s="26"/>
      <c r="AJ59" s="26"/>
      <c r="AK59" s="26"/>
      <c r="AL59" s="26"/>
      <c r="AM59" s="26"/>
      <c r="AN59" s="26"/>
      <c r="AO59" s="26"/>
      <c r="AP59" s="26"/>
      <c r="AQ59" s="26"/>
      <c r="AR59" s="26"/>
      <c r="AS59" s="26"/>
      <c r="AT59" s="26"/>
      <c r="AU59" s="26"/>
      <c r="AV59" s="26"/>
      <c r="AW59" s="26"/>
    </row>
    <row r="60" spans="1:49" s="48" customFormat="1" ht="35.1" customHeight="1" x14ac:dyDescent="0.2">
      <c r="A60" s="18" t="s">
        <v>106</v>
      </c>
      <c r="B60" s="19">
        <v>46050</v>
      </c>
      <c r="C60" s="19">
        <v>46050</v>
      </c>
      <c r="D60" s="18" t="s">
        <v>196</v>
      </c>
      <c r="E60" s="20">
        <v>0.54166666666666663</v>
      </c>
      <c r="F60" s="20">
        <v>0.66666666666666663</v>
      </c>
      <c r="G60" s="20">
        <v>3.4722222222222218E-4</v>
      </c>
      <c r="H60" s="18" t="s">
        <v>107</v>
      </c>
      <c r="I60" s="21">
        <v>0.59819444444444447</v>
      </c>
      <c r="J60" s="18" t="s">
        <v>105</v>
      </c>
      <c r="K60" s="18" t="s">
        <v>154</v>
      </c>
      <c r="L60" s="22">
        <v>1</v>
      </c>
      <c r="M60" s="22">
        <v>58165</v>
      </c>
      <c r="N60" s="18" t="s">
        <v>53</v>
      </c>
      <c r="O60" s="22" t="s">
        <v>108</v>
      </c>
      <c r="P60" s="23">
        <v>42.352941176470587</v>
      </c>
      <c r="Q60" s="22"/>
      <c r="R60" s="23">
        <v>42.352941176470587</v>
      </c>
      <c r="S60" s="24">
        <v>46054</v>
      </c>
      <c r="T60" s="23">
        <v>6.3529411764705879</v>
      </c>
      <c r="U60" s="25">
        <v>4</v>
      </c>
      <c r="V60" s="23">
        <v>36</v>
      </c>
      <c r="W60" s="18" t="s">
        <v>34</v>
      </c>
      <c r="X60" s="18" t="s">
        <v>48</v>
      </c>
      <c r="Y60" s="18" t="s">
        <v>36</v>
      </c>
      <c r="Z60" s="18" t="s">
        <v>9</v>
      </c>
      <c r="AA60" s="18" t="s">
        <v>49</v>
      </c>
      <c r="AB60" s="18" t="s">
        <v>109</v>
      </c>
      <c r="AC60" s="18" t="s">
        <v>38</v>
      </c>
      <c r="AD60" s="7" t="str">
        <f t="shared" si="0"/>
        <v/>
      </c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</row>
    <row r="61" spans="1:49" s="48" customFormat="1" ht="35.1" customHeight="1" x14ac:dyDescent="0.2">
      <c r="A61" s="18" t="s">
        <v>159</v>
      </c>
      <c r="B61" s="19">
        <v>46050</v>
      </c>
      <c r="C61" s="19">
        <v>46050</v>
      </c>
      <c r="D61" s="18" t="s">
        <v>196</v>
      </c>
      <c r="E61" s="20">
        <v>0.54166666666666663</v>
      </c>
      <c r="F61" s="20">
        <v>0.66666666666666663</v>
      </c>
      <c r="G61" s="28">
        <v>1.7361111111111109E-4</v>
      </c>
      <c r="H61" s="29" t="s">
        <v>164</v>
      </c>
      <c r="I61" s="21">
        <v>0.60939826388888896</v>
      </c>
      <c r="J61" s="18" t="s">
        <v>105</v>
      </c>
      <c r="K61" s="18" t="s">
        <v>154</v>
      </c>
      <c r="L61" s="22">
        <v>1</v>
      </c>
      <c r="M61" s="22">
        <v>71097</v>
      </c>
      <c r="N61" s="18" t="s">
        <v>46</v>
      </c>
      <c r="O61" s="22" t="s">
        <v>161</v>
      </c>
      <c r="P61" s="23">
        <v>0</v>
      </c>
      <c r="Q61" s="22"/>
      <c r="R61" s="23">
        <v>0</v>
      </c>
      <c r="S61" s="24">
        <v>46054</v>
      </c>
      <c r="T61" s="23">
        <v>0</v>
      </c>
      <c r="U61" s="25">
        <v>4</v>
      </c>
      <c r="V61" s="23">
        <v>0</v>
      </c>
      <c r="W61" s="18" t="s">
        <v>47</v>
      </c>
      <c r="X61" s="18" t="s">
        <v>48</v>
      </c>
      <c r="Y61" s="18" t="s">
        <v>36</v>
      </c>
      <c r="Z61" s="18" t="s">
        <v>9</v>
      </c>
      <c r="AA61" s="18" t="s">
        <v>49</v>
      </c>
      <c r="AB61" s="18" t="s">
        <v>162</v>
      </c>
      <c r="AC61" s="18" t="s">
        <v>38</v>
      </c>
      <c r="AD61" s="7" t="str">
        <f t="shared" si="0"/>
        <v/>
      </c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</row>
    <row r="62" spans="1:49" s="48" customFormat="1" ht="35.1" customHeight="1" x14ac:dyDescent="0.25">
      <c r="A62" s="18" t="s">
        <v>159</v>
      </c>
      <c r="B62" s="19">
        <v>46050</v>
      </c>
      <c r="C62" s="19">
        <v>46050</v>
      </c>
      <c r="D62" s="18" t="s">
        <v>196</v>
      </c>
      <c r="E62" s="20">
        <v>0.54166666666666663</v>
      </c>
      <c r="F62" s="20">
        <v>0.66666666666666663</v>
      </c>
      <c r="G62" s="28">
        <v>1.7361111111111109E-4</v>
      </c>
      <c r="H62" s="29" t="s">
        <v>165</v>
      </c>
      <c r="I62" s="21">
        <v>0.61026655092592597</v>
      </c>
      <c r="J62" s="18" t="s">
        <v>105</v>
      </c>
      <c r="K62" s="18" t="s">
        <v>154</v>
      </c>
      <c r="L62" s="22">
        <v>1</v>
      </c>
      <c r="M62" s="22">
        <v>71097</v>
      </c>
      <c r="N62" s="18" t="s">
        <v>46</v>
      </c>
      <c r="O62" s="22" t="s">
        <v>161</v>
      </c>
      <c r="P62" s="23">
        <v>0</v>
      </c>
      <c r="Q62" s="22"/>
      <c r="R62" s="23">
        <v>0</v>
      </c>
      <c r="S62" s="24">
        <v>46054</v>
      </c>
      <c r="T62" s="23">
        <v>0</v>
      </c>
      <c r="U62" s="25">
        <v>4</v>
      </c>
      <c r="V62" s="23">
        <v>0</v>
      </c>
      <c r="W62" s="18" t="s">
        <v>47</v>
      </c>
      <c r="X62" s="18" t="s">
        <v>48</v>
      </c>
      <c r="Y62" s="18" t="s">
        <v>36</v>
      </c>
      <c r="Z62" s="18" t="s">
        <v>9</v>
      </c>
      <c r="AA62" s="18" t="s">
        <v>49</v>
      </c>
      <c r="AB62" s="18" t="s">
        <v>162</v>
      </c>
      <c r="AC62" s="18" t="s">
        <v>38</v>
      </c>
      <c r="AD62" s="7" t="str">
        <f t="shared" si="0"/>
        <v/>
      </c>
      <c r="AE62" s="26"/>
      <c r="AF62" s="26"/>
      <c r="AG62" s="26"/>
      <c r="AH62" s="26"/>
      <c r="AI62" s="27"/>
      <c r="AJ62" s="27"/>
      <c r="AK62" s="27"/>
      <c r="AL62" s="27"/>
      <c r="AM62" s="27"/>
      <c r="AN62" s="27"/>
      <c r="AO62" s="27"/>
      <c r="AP62" s="27"/>
      <c r="AQ62" s="27"/>
      <c r="AR62" s="27"/>
      <c r="AS62" s="27"/>
      <c r="AT62" s="27"/>
      <c r="AU62" s="27"/>
      <c r="AV62" s="27"/>
      <c r="AW62" s="27"/>
    </row>
    <row r="63" spans="1:49" s="33" customFormat="1" ht="35.1" customHeight="1" x14ac:dyDescent="0.25">
      <c r="A63" s="18" t="s">
        <v>106</v>
      </c>
      <c r="B63" s="19">
        <v>46050</v>
      </c>
      <c r="C63" s="19">
        <v>46050</v>
      </c>
      <c r="D63" s="18" t="s">
        <v>196</v>
      </c>
      <c r="E63" s="20">
        <v>0.54166666666666663</v>
      </c>
      <c r="F63" s="20">
        <v>0.66666666666666663</v>
      </c>
      <c r="G63" s="20">
        <v>3.4722222222222218E-4</v>
      </c>
      <c r="H63" s="18" t="s">
        <v>107</v>
      </c>
      <c r="I63" s="21">
        <v>0.60957187499999999</v>
      </c>
      <c r="J63" s="18" t="s">
        <v>105</v>
      </c>
      <c r="K63" s="18" t="s">
        <v>154</v>
      </c>
      <c r="L63" s="22">
        <v>1</v>
      </c>
      <c r="M63" s="22">
        <v>58165</v>
      </c>
      <c r="N63" s="18" t="s">
        <v>53</v>
      </c>
      <c r="O63" s="22" t="s">
        <v>108</v>
      </c>
      <c r="P63" s="23">
        <v>42.352941176470587</v>
      </c>
      <c r="Q63" s="22"/>
      <c r="R63" s="23">
        <v>42.352941176470587</v>
      </c>
      <c r="S63" s="24">
        <v>46054</v>
      </c>
      <c r="T63" s="23">
        <v>6.3529411764705879</v>
      </c>
      <c r="U63" s="25">
        <v>4</v>
      </c>
      <c r="V63" s="23">
        <v>36</v>
      </c>
      <c r="W63" s="18" t="s">
        <v>34</v>
      </c>
      <c r="X63" s="18" t="s">
        <v>48</v>
      </c>
      <c r="Y63" s="18" t="s">
        <v>36</v>
      </c>
      <c r="Z63" s="18" t="s">
        <v>9</v>
      </c>
      <c r="AA63" s="18" t="s">
        <v>49</v>
      </c>
      <c r="AB63" s="18" t="s">
        <v>109</v>
      </c>
      <c r="AC63" s="18" t="s">
        <v>38</v>
      </c>
      <c r="AD63" s="7" t="str">
        <f t="shared" si="0"/>
        <v/>
      </c>
      <c r="AE63" s="26"/>
      <c r="AF63" s="26"/>
      <c r="AG63" s="26"/>
      <c r="AH63" s="26"/>
      <c r="AI63" s="27"/>
      <c r="AJ63" s="27"/>
      <c r="AK63" s="27"/>
      <c r="AL63" s="27"/>
      <c r="AM63" s="27"/>
      <c r="AN63" s="27"/>
      <c r="AO63" s="27"/>
      <c r="AP63" s="27"/>
      <c r="AQ63" s="27"/>
      <c r="AR63" s="27"/>
      <c r="AS63" s="27"/>
      <c r="AT63" s="27"/>
      <c r="AU63" s="27"/>
      <c r="AV63" s="27"/>
      <c r="AW63" s="27"/>
    </row>
    <row r="64" spans="1:49" s="33" customFormat="1" ht="35.1" customHeight="1" x14ac:dyDescent="0.25">
      <c r="A64" s="18" t="s">
        <v>106</v>
      </c>
      <c r="B64" s="19">
        <v>46050</v>
      </c>
      <c r="C64" s="19">
        <v>46050</v>
      </c>
      <c r="D64" s="18" t="s">
        <v>196</v>
      </c>
      <c r="E64" s="20">
        <v>0.54166666666666663</v>
      </c>
      <c r="F64" s="20">
        <v>0.66666666666666663</v>
      </c>
      <c r="G64" s="20">
        <v>3.4722222222222218E-4</v>
      </c>
      <c r="H64" s="18" t="s">
        <v>107</v>
      </c>
      <c r="I64" s="21">
        <v>0.61823055555555562</v>
      </c>
      <c r="J64" s="18" t="s">
        <v>105</v>
      </c>
      <c r="K64" s="18" t="s">
        <v>154</v>
      </c>
      <c r="L64" s="22">
        <v>1</v>
      </c>
      <c r="M64" s="22">
        <v>58165</v>
      </c>
      <c r="N64" s="18" t="s">
        <v>53</v>
      </c>
      <c r="O64" s="22" t="s">
        <v>108</v>
      </c>
      <c r="P64" s="23">
        <v>42.352941176470587</v>
      </c>
      <c r="Q64" s="22"/>
      <c r="R64" s="23">
        <v>42.352941176470587</v>
      </c>
      <c r="S64" s="24">
        <v>46054</v>
      </c>
      <c r="T64" s="23">
        <v>6.3529411764705879</v>
      </c>
      <c r="U64" s="25">
        <v>4</v>
      </c>
      <c r="V64" s="23">
        <v>36</v>
      </c>
      <c r="W64" s="18" t="s">
        <v>34</v>
      </c>
      <c r="X64" s="18" t="s">
        <v>48</v>
      </c>
      <c r="Y64" s="18" t="s">
        <v>36</v>
      </c>
      <c r="Z64" s="18" t="s">
        <v>9</v>
      </c>
      <c r="AA64" s="18" t="s">
        <v>49</v>
      </c>
      <c r="AB64" s="18" t="s">
        <v>109</v>
      </c>
      <c r="AC64" s="18" t="s">
        <v>38</v>
      </c>
      <c r="AD64" s="7" t="str">
        <f t="shared" si="0"/>
        <v/>
      </c>
      <c r="AE64" s="26"/>
      <c r="AF64" s="26"/>
      <c r="AG64" s="26"/>
      <c r="AH64" s="26"/>
      <c r="AI64" s="27"/>
      <c r="AJ64" s="27"/>
      <c r="AK64" s="27"/>
      <c r="AL64" s="27"/>
      <c r="AM64" s="27"/>
      <c r="AN64" s="27"/>
      <c r="AO64" s="27"/>
      <c r="AP64" s="27"/>
      <c r="AQ64" s="27"/>
      <c r="AR64" s="27"/>
      <c r="AS64" s="27"/>
      <c r="AT64" s="27"/>
      <c r="AU64" s="27"/>
      <c r="AV64" s="27"/>
      <c r="AW64" s="27"/>
    </row>
    <row r="65" spans="1:49" s="48" customFormat="1" ht="35.1" customHeight="1" x14ac:dyDescent="0.25">
      <c r="A65" s="9" t="s">
        <v>113</v>
      </c>
      <c r="B65" s="10">
        <v>46050</v>
      </c>
      <c r="C65" s="10">
        <v>46050</v>
      </c>
      <c r="D65" s="11" t="s">
        <v>196</v>
      </c>
      <c r="E65" s="12">
        <v>0.625</v>
      </c>
      <c r="F65" s="12">
        <v>0.64583333333333337</v>
      </c>
      <c r="G65" s="12">
        <v>2.0833333333333332E-2</v>
      </c>
      <c r="H65" s="9" t="s">
        <v>116</v>
      </c>
      <c r="I65" s="13"/>
      <c r="J65" s="9" t="s">
        <v>115</v>
      </c>
      <c r="K65" s="9"/>
      <c r="L65" s="14">
        <v>1</v>
      </c>
      <c r="M65" s="14">
        <v>1</v>
      </c>
      <c r="N65" s="9" t="s">
        <v>33</v>
      </c>
      <c r="O65" s="9"/>
      <c r="P65" s="16">
        <v>0</v>
      </c>
      <c r="Q65" s="14"/>
      <c r="R65" s="16">
        <v>0</v>
      </c>
      <c r="S65" s="9">
        <v>46054</v>
      </c>
      <c r="T65" s="16">
        <v>0</v>
      </c>
      <c r="U65" s="14">
        <v>2</v>
      </c>
      <c r="V65" s="16">
        <v>0</v>
      </c>
      <c r="W65" s="9" t="s">
        <v>34</v>
      </c>
      <c r="X65" s="9" t="s">
        <v>42</v>
      </c>
      <c r="Y65" s="9" t="s">
        <v>36</v>
      </c>
      <c r="Z65" s="9" t="s">
        <v>43</v>
      </c>
      <c r="AA65" s="9" t="s">
        <v>37</v>
      </c>
      <c r="AB65" s="9" t="s">
        <v>37</v>
      </c>
      <c r="AC65" s="9" t="s">
        <v>38</v>
      </c>
      <c r="AD65" s="7" t="str">
        <f t="shared" si="0"/>
        <v/>
      </c>
      <c r="AE65" s="31"/>
      <c r="AF65" s="31"/>
      <c r="AG65" s="31"/>
      <c r="AH65" s="31"/>
      <c r="AI65" s="30"/>
      <c r="AJ65" s="30"/>
      <c r="AK65" s="30"/>
      <c r="AL65" s="30"/>
      <c r="AM65" s="30"/>
      <c r="AN65" s="30"/>
      <c r="AO65" s="30"/>
      <c r="AP65" s="30"/>
      <c r="AQ65" s="30"/>
      <c r="AR65" s="30"/>
      <c r="AS65" s="30"/>
      <c r="AT65" s="30"/>
      <c r="AU65" s="30"/>
      <c r="AV65" s="30"/>
      <c r="AW65" s="30"/>
    </row>
    <row r="66" spans="1:49" s="33" customFormat="1" ht="35.1" customHeight="1" x14ac:dyDescent="0.25">
      <c r="A66" s="18" t="s">
        <v>159</v>
      </c>
      <c r="B66" s="19">
        <v>46050</v>
      </c>
      <c r="C66" s="19">
        <v>46050</v>
      </c>
      <c r="D66" s="18" t="s">
        <v>196</v>
      </c>
      <c r="E66" s="20">
        <v>0.54166666666666663</v>
      </c>
      <c r="F66" s="20">
        <v>0.66666666666666663</v>
      </c>
      <c r="G66" s="28">
        <v>1.7361111111111109E-4</v>
      </c>
      <c r="H66" s="29" t="s">
        <v>160</v>
      </c>
      <c r="I66" s="21">
        <v>0.63561493055555551</v>
      </c>
      <c r="J66" s="18" t="s">
        <v>105</v>
      </c>
      <c r="K66" s="18" t="s">
        <v>154</v>
      </c>
      <c r="L66" s="22">
        <v>1</v>
      </c>
      <c r="M66" s="22">
        <v>71097</v>
      </c>
      <c r="N66" s="18" t="s">
        <v>46</v>
      </c>
      <c r="O66" s="22" t="s">
        <v>161</v>
      </c>
      <c r="P66" s="23">
        <v>0</v>
      </c>
      <c r="Q66" s="22"/>
      <c r="R66" s="23">
        <v>0</v>
      </c>
      <c r="S66" s="24">
        <v>46054</v>
      </c>
      <c r="T66" s="23">
        <v>0</v>
      </c>
      <c r="U66" s="25">
        <v>4</v>
      </c>
      <c r="V66" s="23">
        <v>0</v>
      </c>
      <c r="W66" s="18" t="s">
        <v>47</v>
      </c>
      <c r="X66" s="18" t="s">
        <v>48</v>
      </c>
      <c r="Y66" s="18" t="s">
        <v>36</v>
      </c>
      <c r="Z66" s="18" t="s">
        <v>9</v>
      </c>
      <c r="AA66" s="18" t="s">
        <v>49</v>
      </c>
      <c r="AB66" s="18" t="s">
        <v>162</v>
      </c>
      <c r="AC66" s="18" t="s">
        <v>38</v>
      </c>
      <c r="AD66" s="7" t="str">
        <f t="shared" ref="AD66:AD115" si="1">IF(N66="PRG","",IF(I66&gt;=E66,IF(I66&lt;=F66,"","NO"),"NO"))</f>
        <v/>
      </c>
      <c r="AE66" s="26"/>
      <c r="AF66" s="26"/>
      <c r="AG66" s="26"/>
      <c r="AH66" s="26"/>
      <c r="AI66" s="27"/>
      <c r="AJ66" s="27"/>
      <c r="AK66" s="27"/>
      <c r="AL66" s="27"/>
      <c r="AM66" s="27"/>
      <c r="AN66" s="27"/>
      <c r="AO66" s="27"/>
      <c r="AP66" s="27"/>
      <c r="AQ66" s="27"/>
      <c r="AR66" s="27"/>
      <c r="AS66" s="27"/>
      <c r="AT66" s="27"/>
      <c r="AU66" s="27"/>
      <c r="AV66" s="27"/>
      <c r="AW66" s="27"/>
    </row>
    <row r="67" spans="1:49" s="33" customFormat="1" ht="35.1" customHeight="1" x14ac:dyDescent="0.25">
      <c r="A67" s="18" t="s">
        <v>159</v>
      </c>
      <c r="B67" s="19">
        <v>46050</v>
      </c>
      <c r="C67" s="19">
        <v>46050</v>
      </c>
      <c r="D67" s="18" t="s">
        <v>196</v>
      </c>
      <c r="E67" s="20">
        <v>0.54166666666666663</v>
      </c>
      <c r="F67" s="20">
        <v>0.66666666666666663</v>
      </c>
      <c r="G67" s="28">
        <v>1.7361111111111109E-4</v>
      </c>
      <c r="H67" s="29" t="s">
        <v>163</v>
      </c>
      <c r="I67" s="21">
        <v>0.63821944444444445</v>
      </c>
      <c r="J67" s="18" t="s">
        <v>105</v>
      </c>
      <c r="K67" s="18" t="s">
        <v>154</v>
      </c>
      <c r="L67" s="22">
        <v>1</v>
      </c>
      <c r="M67" s="22">
        <v>71097</v>
      </c>
      <c r="N67" s="18" t="s">
        <v>46</v>
      </c>
      <c r="O67" s="22" t="s">
        <v>161</v>
      </c>
      <c r="P67" s="23">
        <v>0</v>
      </c>
      <c r="Q67" s="22"/>
      <c r="R67" s="23">
        <v>0</v>
      </c>
      <c r="S67" s="24">
        <v>46054</v>
      </c>
      <c r="T67" s="23">
        <v>0</v>
      </c>
      <c r="U67" s="25">
        <v>4</v>
      </c>
      <c r="V67" s="23">
        <v>0</v>
      </c>
      <c r="W67" s="18" t="s">
        <v>47</v>
      </c>
      <c r="X67" s="18" t="s">
        <v>48</v>
      </c>
      <c r="Y67" s="18" t="s">
        <v>36</v>
      </c>
      <c r="Z67" s="18" t="s">
        <v>9</v>
      </c>
      <c r="AA67" s="18" t="s">
        <v>49</v>
      </c>
      <c r="AB67" s="18" t="s">
        <v>162</v>
      </c>
      <c r="AC67" s="18" t="s">
        <v>38</v>
      </c>
      <c r="AD67" s="7" t="str">
        <f t="shared" si="1"/>
        <v/>
      </c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</row>
    <row r="68" spans="1:49" s="33" customFormat="1" ht="35.1" customHeight="1" x14ac:dyDescent="0.25">
      <c r="A68" s="18" t="s">
        <v>106</v>
      </c>
      <c r="B68" s="19">
        <v>46050</v>
      </c>
      <c r="C68" s="19">
        <v>46050</v>
      </c>
      <c r="D68" s="18" t="s">
        <v>196</v>
      </c>
      <c r="E68" s="20">
        <v>0.54166666666666663</v>
      </c>
      <c r="F68" s="20">
        <v>0.66666666666666663</v>
      </c>
      <c r="G68" s="20">
        <v>3.4722222222222218E-4</v>
      </c>
      <c r="H68" s="18" t="s">
        <v>107</v>
      </c>
      <c r="I68" s="21">
        <v>0.63787199074074075</v>
      </c>
      <c r="J68" s="18" t="s">
        <v>105</v>
      </c>
      <c r="K68" s="18" t="s">
        <v>154</v>
      </c>
      <c r="L68" s="22">
        <v>1</v>
      </c>
      <c r="M68" s="22">
        <v>58165</v>
      </c>
      <c r="N68" s="18" t="s">
        <v>53</v>
      </c>
      <c r="O68" s="22" t="s">
        <v>108</v>
      </c>
      <c r="P68" s="23">
        <v>42.352941176470587</v>
      </c>
      <c r="Q68" s="22"/>
      <c r="R68" s="23">
        <v>42.352941176470587</v>
      </c>
      <c r="S68" s="24">
        <v>46054</v>
      </c>
      <c r="T68" s="23">
        <v>6.3529411764705879</v>
      </c>
      <c r="U68" s="25">
        <v>4</v>
      </c>
      <c r="V68" s="23">
        <v>36</v>
      </c>
      <c r="W68" s="18" t="s">
        <v>34</v>
      </c>
      <c r="X68" s="18" t="s">
        <v>48</v>
      </c>
      <c r="Y68" s="18" t="s">
        <v>36</v>
      </c>
      <c r="Z68" s="18" t="s">
        <v>9</v>
      </c>
      <c r="AA68" s="18" t="s">
        <v>49</v>
      </c>
      <c r="AB68" s="18" t="s">
        <v>109</v>
      </c>
      <c r="AC68" s="18" t="s">
        <v>38</v>
      </c>
      <c r="AD68" s="7" t="str">
        <f t="shared" si="1"/>
        <v/>
      </c>
      <c r="AE68" s="17"/>
      <c r="AF68" s="17"/>
      <c r="AG68" s="17"/>
      <c r="AH68" s="17"/>
      <c r="AI68" s="30"/>
      <c r="AJ68" s="30"/>
      <c r="AK68" s="30"/>
      <c r="AL68" s="30"/>
      <c r="AM68" s="30"/>
      <c r="AN68" s="30"/>
      <c r="AO68" s="30"/>
      <c r="AP68" s="30"/>
      <c r="AQ68" s="30"/>
      <c r="AR68" s="30"/>
      <c r="AS68" s="30"/>
      <c r="AT68" s="30"/>
      <c r="AU68" s="30"/>
      <c r="AV68" s="30"/>
      <c r="AW68" s="30"/>
    </row>
    <row r="69" spans="1:49" s="48" customFormat="1" ht="35.1" customHeight="1" x14ac:dyDescent="0.25">
      <c r="A69" s="9" t="s">
        <v>113</v>
      </c>
      <c r="B69" s="10">
        <v>46050</v>
      </c>
      <c r="C69" s="10">
        <v>46050</v>
      </c>
      <c r="D69" s="11" t="s">
        <v>196</v>
      </c>
      <c r="E69" s="12">
        <v>0.64583333333333337</v>
      </c>
      <c r="F69" s="12">
        <v>0.66666666666666663</v>
      </c>
      <c r="G69" s="12">
        <v>2.0833333333333332E-2</v>
      </c>
      <c r="H69" s="9" t="s">
        <v>117</v>
      </c>
      <c r="I69" s="13"/>
      <c r="J69" s="9" t="s">
        <v>115</v>
      </c>
      <c r="K69" s="9"/>
      <c r="L69" s="14">
        <v>1</v>
      </c>
      <c r="M69" s="14">
        <v>1</v>
      </c>
      <c r="N69" s="9" t="s">
        <v>33</v>
      </c>
      <c r="O69" s="9"/>
      <c r="P69" s="16">
        <v>0</v>
      </c>
      <c r="Q69" s="14"/>
      <c r="R69" s="16">
        <v>0</v>
      </c>
      <c r="S69" s="9">
        <v>46054</v>
      </c>
      <c r="T69" s="16">
        <v>0</v>
      </c>
      <c r="U69" s="14">
        <v>2</v>
      </c>
      <c r="V69" s="16">
        <v>0</v>
      </c>
      <c r="W69" s="9" t="s">
        <v>34</v>
      </c>
      <c r="X69" s="9" t="s">
        <v>42</v>
      </c>
      <c r="Y69" s="9" t="s">
        <v>36</v>
      </c>
      <c r="Z69" s="9" t="s">
        <v>43</v>
      </c>
      <c r="AA69" s="9" t="s">
        <v>37</v>
      </c>
      <c r="AB69" s="9" t="s">
        <v>37</v>
      </c>
      <c r="AC69" s="9" t="s">
        <v>38</v>
      </c>
      <c r="AD69" s="7" t="str">
        <f t="shared" si="1"/>
        <v/>
      </c>
      <c r="AE69" s="26"/>
      <c r="AF69" s="26"/>
      <c r="AG69" s="26"/>
      <c r="AH69" s="26"/>
      <c r="AI69" s="27"/>
      <c r="AJ69" s="27"/>
      <c r="AK69" s="27"/>
      <c r="AL69" s="27"/>
      <c r="AM69" s="27"/>
      <c r="AN69" s="27"/>
      <c r="AO69" s="27"/>
      <c r="AP69" s="27"/>
      <c r="AQ69" s="27"/>
      <c r="AR69" s="27"/>
      <c r="AS69" s="27"/>
      <c r="AT69" s="27"/>
      <c r="AU69" s="27"/>
      <c r="AV69" s="27"/>
      <c r="AW69" s="27"/>
    </row>
    <row r="70" spans="1:49" s="33" customFormat="1" ht="35.1" customHeight="1" x14ac:dyDescent="0.25">
      <c r="A70" s="18" t="s">
        <v>159</v>
      </c>
      <c r="B70" s="19">
        <v>46050</v>
      </c>
      <c r="C70" s="19">
        <v>46050</v>
      </c>
      <c r="D70" s="18" t="s">
        <v>196</v>
      </c>
      <c r="E70" s="20">
        <v>0.54166666666666663</v>
      </c>
      <c r="F70" s="20">
        <v>0.66666666666666663</v>
      </c>
      <c r="G70" s="28">
        <v>1.7361111111111109E-4</v>
      </c>
      <c r="H70" s="29" t="s">
        <v>160</v>
      </c>
      <c r="I70" s="21">
        <v>0.65719988425925924</v>
      </c>
      <c r="J70" s="18" t="s">
        <v>105</v>
      </c>
      <c r="K70" s="18" t="s">
        <v>154</v>
      </c>
      <c r="L70" s="22">
        <v>1</v>
      </c>
      <c r="M70" s="22">
        <v>71097</v>
      </c>
      <c r="N70" s="18" t="s">
        <v>46</v>
      </c>
      <c r="O70" s="22" t="s">
        <v>161</v>
      </c>
      <c r="P70" s="23">
        <v>0</v>
      </c>
      <c r="Q70" s="22"/>
      <c r="R70" s="23">
        <v>0</v>
      </c>
      <c r="S70" s="24">
        <v>46054</v>
      </c>
      <c r="T70" s="23">
        <v>0</v>
      </c>
      <c r="U70" s="25">
        <v>4</v>
      </c>
      <c r="V70" s="23">
        <v>0</v>
      </c>
      <c r="W70" s="18" t="s">
        <v>47</v>
      </c>
      <c r="X70" s="18" t="s">
        <v>48</v>
      </c>
      <c r="Y70" s="18" t="s">
        <v>36</v>
      </c>
      <c r="Z70" s="18" t="s">
        <v>9</v>
      </c>
      <c r="AA70" s="18" t="s">
        <v>49</v>
      </c>
      <c r="AB70" s="18" t="s">
        <v>162</v>
      </c>
      <c r="AC70" s="18" t="s">
        <v>38</v>
      </c>
      <c r="AD70" s="7" t="str">
        <f t="shared" si="1"/>
        <v/>
      </c>
      <c r="AE70" s="26"/>
      <c r="AF70" s="26"/>
      <c r="AG70" s="26"/>
      <c r="AH70" s="26"/>
      <c r="AI70" s="26"/>
      <c r="AJ70" s="26"/>
      <c r="AK70" s="26"/>
      <c r="AL70" s="26"/>
      <c r="AM70" s="26"/>
      <c r="AN70" s="26"/>
      <c r="AO70" s="26"/>
      <c r="AP70" s="26"/>
      <c r="AQ70" s="26"/>
      <c r="AR70" s="26"/>
      <c r="AS70" s="26"/>
      <c r="AT70" s="26"/>
      <c r="AU70" s="26"/>
      <c r="AV70" s="26"/>
      <c r="AW70" s="26"/>
    </row>
    <row r="71" spans="1:49" s="47" customFormat="1" ht="35.1" customHeight="1" x14ac:dyDescent="0.25">
      <c r="A71" s="18" t="s">
        <v>159</v>
      </c>
      <c r="B71" s="19">
        <v>46050</v>
      </c>
      <c r="C71" s="19">
        <v>46050</v>
      </c>
      <c r="D71" s="18" t="s">
        <v>196</v>
      </c>
      <c r="E71" s="20">
        <v>0.54166666666666663</v>
      </c>
      <c r="F71" s="20">
        <v>0.66666666666666663</v>
      </c>
      <c r="G71" s="28">
        <v>1.7361111111111109E-4</v>
      </c>
      <c r="H71" s="29" t="s">
        <v>163</v>
      </c>
      <c r="I71" s="21">
        <v>0.65980405092592598</v>
      </c>
      <c r="J71" s="18" t="s">
        <v>105</v>
      </c>
      <c r="K71" s="18" t="s">
        <v>154</v>
      </c>
      <c r="L71" s="22">
        <v>1</v>
      </c>
      <c r="M71" s="22">
        <v>71097</v>
      </c>
      <c r="N71" s="18" t="s">
        <v>46</v>
      </c>
      <c r="O71" s="22" t="s">
        <v>161</v>
      </c>
      <c r="P71" s="23">
        <v>0</v>
      </c>
      <c r="Q71" s="22"/>
      <c r="R71" s="23">
        <v>0</v>
      </c>
      <c r="S71" s="24">
        <v>46054</v>
      </c>
      <c r="T71" s="23">
        <v>0</v>
      </c>
      <c r="U71" s="25">
        <v>4</v>
      </c>
      <c r="V71" s="23">
        <v>0</v>
      </c>
      <c r="W71" s="18" t="s">
        <v>47</v>
      </c>
      <c r="X71" s="18" t="s">
        <v>48</v>
      </c>
      <c r="Y71" s="18" t="s">
        <v>36</v>
      </c>
      <c r="Z71" s="18" t="s">
        <v>9</v>
      </c>
      <c r="AA71" s="18" t="s">
        <v>49</v>
      </c>
      <c r="AB71" s="18" t="s">
        <v>162</v>
      </c>
      <c r="AC71" s="18" t="s">
        <v>38</v>
      </c>
      <c r="AD71" s="7" t="str">
        <f t="shared" si="1"/>
        <v/>
      </c>
      <c r="AE71" s="26"/>
      <c r="AF71" s="26"/>
      <c r="AG71" s="26"/>
      <c r="AH71" s="26"/>
      <c r="AI71" s="26"/>
      <c r="AJ71" s="26"/>
      <c r="AK71" s="26"/>
      <c r="AL71" s="26"/>
      <c r="AM71" s="26"/>
      <c r="AN71" s="26"/>
      <c r="AO71" s="26"/>
      <c r="AP71" s="26"/>
      <c r="AQ71" s="26"/>
      <c r="AR71" s="26"/>
      <c r="AS71" s="26"/>
      <c r="AT71" s="26"/>
      <c r="AU71" s="26"/>
      <c r="AV71" s="26"/>
      <c r="AW71" s="26"/>
    </row>
    <row r="72" spans="1:49" s="48" customFormat="1" ht="35.1" customHeight="1" x14ac:dyDescent="0.25">
      <c r="A72" s="9" t="s">
        <v>118</v>
      </c>
      <c r="B72" s="10">
        <v>46050</v>
      </c>
      <c r="C72" s="10">
        <v>46050</v>
      </c>
      <c r="D72" s="11" t="s">
        <v>196</v>
      </c>
      <c r="E72" s="12">
        <v>0.66666666666666663</v>
      </c>
      <c r="F72" s="12">
        <v>0.6875</v>
      </c>
      <c r="G72" s="12">
        <v>2.0833333333333332E-2</v>
      </c>
      <c r="H72" s="9" t="s">
        <v>119</v>
      </c>
      <c r="I72" s="13"/>
      <c r="J72" s="9" t="s">
        <v>120</v>
      </c>
      <c r="K72" s="9"/>
      <c r="L72" s="14">
        <v>1</v>
      </c>
      <c r="M72" s="14">
        <v>1</v>
      </c>
      <c r="N72" s="9" t="s">
        <v>33</v>
      </c>
      <c r="O72" s="9"/>
      <c r="P72" s="16">
        <v>0</v>
      </c>
      <c r="Q72" s="14"/>
      <c r="R72" s="16">
        <v>0</v>
      </c>
      <c r="S72" s="9">
        <v>46054</v>
      </c>
      <c r="T72" s="16">
        <v>0</v>
      </c>
      <c r="U72" s="14">
        <v>2</v>
      </c>
      <c r="V72" s="16">
        <v>0</v>
      </c>
      <c r="W72" s="9" t="s">
        <v>34</v>
      </c>
      <c r="X72" s="9" t="s">
        <v>42</v>
      </c>
      <c r="Y72" s="9" t="s">
        <v>36</v>
      </c>
      <c r="Z72" s="9" t="s">
        <v>43</v>
      </c>
      <c r="AA72" s="9" t="s">
        <v>37</v>
      </c>
      <c r="AB72" s="9" t="s">
        <v>37</v>
      </c>
      <c r="AC72" s="9" t="s">
        <v>38</v>
      </c>
      <c r="AD72" s="7" t="str">
        <f t="shared" si="1"/>
        <v/>
      </c>
      <c r="AE72" s="26"/>
      <c r="AF72" s="26"/>
      <c r="AG72" s="26"/>
      <c r="AH72" s="26"/>
      <c r="AI72" s="27"/>
      <c r="AJ72" s="27"/>
      <c r="AK72" s="27"/>
      <c r="AL72" s="27"/>
      <c r="AM72" s="27"/>
      <c r="AN72" s="27"/>
      <c r="AO72" s="27"/>
      <c r="AP72" s="27"/>
      <c r="AQ72" s="27"/>
      <c r="AR72" s="27"/>
      <c r="AS72" s="27"/>
      <c r="AT72" s="27"/>
      <c r="AU72" s="27"/>
      <c r="AV72" s="27"/>
      <c r="AW72" s="27"/>
    </row>
    <row r="73" spans="1:49" s="50" customFormat="1" ht="35.1" customHeight="1" x14ac:dyDescent="0.25">
      <c r="A73" s="18" t="s">
        <v>159</v>
      </c>
      <c r="B73" s="19">
        <v>46050</v>
      </c>
      <c r="C73" s="19">
        <v>46050</v>
      </c>
      <c r="D73" s="18" t="s">
        <v>196</v>
      </c>
      <c r="E73" s="20">
        <v>0.66666666666666663</v>
      </c>
      <c r="F73" s="20">
        <v>0.79166666666666663</v>
      </c>
      <c r="G73" s="28">
        <v>1.7361111111111109E-4</v>
      </c>
      <c r="H73" s="29" t="s">
        <v>160</v>
      </c>
      <c r="I73" s="21">
        <v>0.67273391203703703</v>
      </c>
      <c r="J73" s="18" t="s">
        <v>120</v>
      </c>
      <c r="K73" s="18" t="s">
        <v>119</v>
      </c>
      <c r="L73" s="22">
        <v>1</v>
      </c>
      <c r="M73" s="22">
        <v>71003</v>
      </c>
      <c r="N73" s="18" t="s">
        <v>53</v>
      </c>
      <c r="O73" s="22" t="s">
        <v>161</v>
      </c>
      <c r="P73" s="23">
        <v>15</v>
      </c>
      <c r="Q73" s="22"/>
      <c r="R73" s="23">
        <v>15</v>
      </c>
      <c r="S73" s="24">
        <v>46054</v>
      </c>
      <c r="T73" s="23">
        <v>2.25</v>
      </c>
      <c r="U73" s="25">
        <v>4</v>
      </c>
      <c r="V73" s="23">
        <v>12.75</v>
      </c>
      <c r="W73" s="18" t="s">
        <v>47</v>
      </c>
      <c r="X73" s="18" t="s">
        <v>48</v>
      </c>
      <c r="Y73" s="18" t="s">
        <v>36</v>
      </c>
      <c r="Z73" s="18" t="s">
        <v>9</v>
      </c>
      <c r="AA73" s="18" t="s">
        <v>49</v>
      </c>
      <c r="AB73" s="18" t="s">
        <v>162</v>
      </c>
      <c r="AC73" s="18" t="s">
        <v>38</v>
      </c>
      <c r="AD73" s="7" t="str">
        <f t="shared" si="1"/>
        <v/>
      </c>
      <c r="AE73" s="26"/>
      <c r="AF73" s="26"/>
      <c r="AG73" s="26"/>
      <c r="AH73" s="26"/>
      <c r="AI73" s="26"/>
      <c r="AJ73" s="26"/>
      <c r="AK73" s="26"/>
      <c r="AL73" s="26"/>
      <c r="AM73" s="26"/>
      <c r="AN73" s="26"/>
      <c r="AO73" s="26"/>
      <c r="AP73" s="26"/>
      <c r="AQ73" s="26"/>
      <c r="AR73" s="26"/>
      <c r="AS73" s="26"/>
      <c r="AT73" s="26"/>
      <c r="AU73" s="26"/>
      <c r="AV73" s="26"/>
      <c r="AW73" s="26"/>
    </row>
    <row r="74" spans="1:49" s="46" customFormat="1" ht="35.1" customHeight="1" x14ac:dyDescent="0.25">
      <c r="A74" s="18" t="s">
        <v>159</v>
      </c>
      <c r="B74" s="19">
        <v>46050</v>
      </c>
      <c r="C74" s="19">
        <v>46050</v>
      </c>
      <c r="D74" s="18" t="s">
        <v>196</v>
      </c>
      <c r="E74" s="20">
        <v>0.66666666666666663</v>
      </c>
      <c r="F74" s="20">
        <v>0.79166666666666663</v>
      </c>
      <c r="G74" s="28">
        <v>1.7361111111111109E-4</v>
      </c>
      <c r="H74" s="29" t="s">
        <v>163</v>
      </c>
      <c r="I74" s="21">
        <v>0.67394918981481478</v>
      </c>
      <c r="J74" s="18" t="s">
        <v>120</v>
      </c>
      <c r="K74" s="18" t="s">
        <v>119</v>
      </c>
      <c r="L74" s="22">
        <v>1</v>
      </c>
      <c r="M74" s="22">
        <v>71003</v>
      </c>
      <c r="N74" s="18" t="s">
        <v>53</v>
      </c>
      <c r="O74" s="22" t="s">
        <v>161</v>
      </c>
      <c r="P74" s="23">
        <v>15</v>
      </c>
      <c r="Q74" s="22"/>
      <c r="R74" s="23">
        <v>15</v>
      </c>
      <c r="S74" s="24">
        <v>46054</v>
      </c>
      <c r="T74" s="23">
        <v>2.25</v>
      </c>
      <c r="U74" s="25">
        <v>4</v>
      </c>
      <c r="V74" s="23">
        <v>12.75</v>
      </c>
      <c r="W74" s="18" t="s">
        <v>47</v>
      </c>
      <c r="X74" s="18" t="s">
        <v>48</v>
      </c>
      <c r="Y74" s="18" t="s">
        <v>36</v>
      </c>
      <c r="Z74" s="18" t="s">
        <v>9</v>
      </c>
      <c r="AA74" s="18" t="s">
        <v>49</v>
      </c>
      <c r="AB74" s="18" t="s">
        <v>162</v>
      </c>
      <c r="AC74" s="18" t="s">
        <v>38</v>
      </c>
      <c r="AD74" s="7" t="str">
        <f t="shared" si="1"/>
        <v/>
      </c>
      <c r="AE74" s="26"/>
      <c r="AF74" s="26"/>
      <c r="AG74" s="26"/>
      <c r="AH74" s="26"/>
      <c r="AI74" s="26"/>
      <c r="AJ74" s="26"/>
      <c r="AK74" s="26"/>
      <c r="AL74" s="26"/>
      <c r="AM74" s="26"/>
      <c r="AN74" s="26"/>
      <c r="AO74" s="26"/>
      <c r="AP74" s="26"/>
      <c r="AQ74" s="26"/>
      <c r="AR74" s="26"/>
      <c r="AS74" s="26"/>
      <c r="AT74" s="26"/>
      <c r="AU74" s="26"/>
      <c r="AV74" s="26"/>
      <c r="AW74" s="26"/>
    </row>
    <row r="75" spans="1:49" s="34" customFormat="1" ht="35.1" customHeight="1" x14ac:dyDescent="0.25">
      <c r="A75" s="18" t="s">
        <v>159</v>
      </c>
      <c r="B75" s="19">
        <v>46050</v>
      </c>
      <c r="C75" s="19">
        <v>46050</v>
      </c>
      <c r="D75" s="18" t="s">
        <v>196</v>
      </c>
      <c r="E75" s="20">
        <v>0.66666666666666663</v>
      </c>
      <c r="F75" s="20">
        <v>0.79166666666666663</v>
      </c>
      <c r="G75" s="28">
        <v>1.7361111111111109E-4</v>
      </c>
      <c r="H75" s="29" t="s">
        <v>164</v>
      </c>
      <c r="I75" s="21">
        <v>0.68635532407407407</v>
      </c>
      <c r="J75" s="18" t="s">
        <v>120</v>
      </c>
      <c r="K75" s="18" t="s">
        <v>119</v>
      </c>
      <c r="L75" s="22">
        <v>1</v>
      </c>
      <c r="M75" s="22">
        <v>71093</v>
      </c>
      <c r="N75" s="18" t="s">
        <v>53</v>
      </c>
      <c r="O75" s="22" t="s">
        <v>161</v>
      </c>
      <c r="P75" s="23">
        <v>15</v>
      </c>
      <c r="Q75" s="22"/>
      <c r="R75" s="23">
        <v>15</v>
      </c>
      <c r="S75" s="24">
        <v>46054</v>
      </c>
      <c r="T75" s="23">
        <v>2.25</v>
      </c>
      <c r="U75" s="25">
        <v>4</v>
      </c>
      <c r="V75" s="23">
        <v>12.75</v>
      </c>
      <c r="W75" s="18" t="s">
        <v>47</v>
      </c>
      <c r="X75" s="18" t="s">
        <v>48</v>
      </c>
      <c r="Y75" s="18" t="s">
        <v>36</v>
      </c>
      <c r="Z75" s="18" t="s">
        <v>9</v>
      </c>
      <c r="AA75" s="18" t="s">
        <v>49</v>
      </c>
      <c r="AB75" s="18" t="s">
        <v>162</v>
      </c>
      <c r="AC75" s="18" t="s">
        <v>38</v>
      </c>
      <c r="AD75" s="7" t="str">
        <f t="shared" si="1"/>
        <v/>
      </c>
      <c r="AE75" s="26"/>
      <c r="AF75" s="26"/>
      <c r="AG75" s="26"/>
      <c r="AH75" s="26"/>
      <c r="AI75" s="26"/>
      <c r="AJ75" s="26"/>
      <c r="AK75" s="26"/>
      <c r="AL75" s="26"/>
      <c r="AM75" s="26"/>
      <c r="AN75" s="26"/>
      <c r="AO75" s="26"/>
      <c r="AP75" s="26"/>
      <c r="AQ75" s="26"/>
      <c r="AR75" s="26"/>
      <c r="AS75" s="26"/>
      <c r="AT75" s="26"/>
      <c r="AU75" s="26"/>
      <c r="AV75" s="26"/>
      <c r="AW75" s="26"/>
    </row>
    <row r="76" spans="1:49" s="34" customFormat="1" ht="35.1" customHeight="1" x14ac:dyDescent="0.25">
      <c r="A76" s="18" t="s">
        <v>159</v>
      </c>
      <c r="B76" s="19">
        <v>46050</v>
      </c>
      <c r="C76" s="19">
        <v>46050</v>
      </c>
      <c r="D76" s="18" t="s">
        <v>196</v>
      </c>
      <c r="E76" s="20">
        <v>0.66666666666666663</v>
      </c>
      <c r="F76" s="20">
        <v>0.79166666666666663</v>
      </c>
      <c r="G76" s="28">
        <v>1.7361111111111109E-4</v>
      </c>
      <c r="H76" s="29" t="s">
        <v>165</v>
      </c>
      <c r="I76" s="21">
        <v>0.68722337962962965</v>
      </c>
      <c r="J76" s="18" t="s">
        <v>120</v>
      </c>
      <c r="K76" s="18" t="s">
        <v>119</v>
      </c>
      <c r="L76" s="22">
        <v>1</v>
      </c>
      <c r="M76" s="22">
        <v>71093</v>
      </c>
      <c r="N76" s="18" t="s">
        <v>53</v>
      </c>
      <c r="O76" s="22" t="s">
        <v>161</v>
      </c>
      <c r="P76" s="23">
        <v>15</v>
      </c>
      <c r="Q76" s="22"/>
      <c r="R76" s="23">
        <v>15</v>
      </c>
      <c r="S76" s="24">
        <v>46054</v>
      </c>
      <c r="T76" s="23">
        <v>2.25</v>
      </c>
      <c r="U76" s="25">
        <v>4</v>
      </c>
      <c r="V76" s="23">
        <v>12.75</v>
      </c>
      <c r="W76" s="18" t="s">
        <v>47</v>
      </c>
      <c r="X76" s="18" t="s">
        <v>48</v>
      </c>
      <c r="Y76" s="18" t="s">
        <v>36</v>
      </c>
      <c r="Z76" s="18" t="s">
        <v>9</v>
      </c>
      <c r="AA76" s="18" t="s">
        <v>49</v>
      </c>
      <c r="AB76" s="18" t="s">
        <v>162</v>
      </c>
      <c r="AC76" s="18" t="s">
        <v>38</v>
      </c>
      <c r="AD76" s="7" t="str">
        <f t="shared" si="1"/>
        <v/>
      </c>
      <c r="AE76" s="26"/>
      <c r="AF76" s="26"/>
      <c r="AG76" s="26"/>
      <c r="AH76" s="26"/>
      <c r="AI76" s="26"/>
      <c r="AJ76" s="26"/>
      <c r="AK76" s="26"/>
      <c r="AL76" s="26"/>
      <c r="AM76" s="26"/>
      <c r="AN76" s="26"/>
      <c r="AO76" s="26"/>
      <c r="AP76" s="26"/>
      <c r="AQ76" s="26"/>
      <c r="AR76" s="26"/>
      <c r="AS76" s="26"/>
      <c r="AT76" s="26"/>
      <c r="AU76" s="26"/>
      <c r="AV76" s="26"/>
      <c r="AW76" s="26"/>
    </row>
    <row r="77" spans="1:49" s="52" customFormat="1" ht="35.1" customHeight="1" x14ac:dyDescent="0.25">
      <c r="A77" s="9" t="s">
        <v>123</v>
      </c>
      <c r="B77" s="10">
        <v>46050</v>
      </c>
      <c r="C77" s="10">
        <v>46050</v>
      </c>
      <c r="D77" s="11" t="s">
        <v>196</v>
      </c>
      <c r="E77" s="12">
        <v>0.6875</v>
      </c>
      <c r="F77" s="12">
        <v>0.70833333333333337</v>
      </c>
      <c r="G77" s="12">
        <v>2.0833333333333332E-2</v>
      </c>
      <c r="H77" s="9" t="s">
        <v>124</v>
      </c>
      <c r="I77" s="13"/>
      <c r="J77" s="9" t="s">
        <v>120</v>
      </c>
      <c r="K77" s="9"/>
      <c r="L77" s="14">
        <v>1</v>
      </c>
      <c r="M77" s="14">
        <v>1</v>
      </c>
      <c r="N77" s="9" t="s">
        <v>33</v>
      </c>
      <c r="O77" s="9"/>
      <c r="P77" s="16">
        <v>0</v>
      </c>
      <c r="Q77" s="14"/>
      <c r="R77" s="16">
        <v>0</v>
      </c>
      <c r="S77" s="9">
        <v>46054</v>
      </c>
      <c r="T77" s="16">
        <v>0</v>
      </c>
      <c r="U77" s="14">
        <v>2</v>
      </c>
      <c r="V77" s="16">
        <v>0</v>
      </c>
      <c r="W77" s="9" t="s">
        <v>34</v>
      </c>
      <c r="X77" s="9" t="s">
        <v>42</v>
      </c>
      <c r="Y77" s="9" t="s">
        <v>36</v>
      </c>
      <c r="Z77" s="9" t="s">
        <v>43</v>
      </c>
      <c r="AA77" s="9" t="s">
        <v>37</v>
      </c>
      <c r="AB77" s="9" t="s">
        <v>37</v>
      </c>
      <c r="AC77" s="9" t="s">
        <v>38</v>
      </c>
      <c r="AD77" s="7" t="str">
        <f t="shared" si="1"/>
        <v/>
      </c>
      <c r="AE77" s="51"/>
      <c r="AF77" s="51"/>
      <c r="AG77" s="51"/>
      <c r="AH77" s="51"/>
      <c r="AI77" s="30"/>
      <c r="AJ77" s="30"/>
      <c r="AK77" s="30"/>
      <c r="AL77" s="30"/>
      <c r="AM77" s="30"/>
      <c r="AN77" s="30"/>
      <c r="AO77" s="30"/>
      <c r="AP77" s="30"/>
      <c r="AQ77" s="30"/>
      <c r="AR77" s="30"/>
      <c r="AS77" s="30"/>
      <c r="AT77" s="30"/>
      <c r="AU77" s="30"/>
      <c r="AV77" s="30"/>
      <c r="AW77" s="30"/>
    </row>
    <row r="78" spans="1:49" s="34" customFormat="1" ht="35.1" customHeight="1" x14ac:dyDescent="0.25">
      <c r="A78" s="18" t="s">
        <v>159</v>
      </c>
      <c r="B78" s="19">
        <v>46050</v>
      </c>
      <c r="C78" s="19">
        <v>46050</v>
      </c>
      <c r="D78" s="18" t="s">
        <v>196</v>
      </c>
      <c r="E78" s="20">
        <v>0.66666666666666663</v>
      </c>
      <c r="F78" s="20">
        <v>0.79166666666666663</v>
      </c>
      <c r="G78" s="28">
        <v>1.7361111111111109E-4</v>
      </c>
      <c r="H78" s="29" t="s">
        <v>160</v>
      </c>
      <c r="I78" s="21">
        <v>0.70128773148148149</v>
      </c>
      <c r="J78" s="18" t="s">
        <v>120</v>
      </c>
      <c r="K78" s="18" t="s">
        <v>155</v>
      </c>
      <c r="L78" s="22">
        <v>1</v>
      </c>
      <c r="M78" s="22">
        <v>71093</v>
      </c>
      <c r="N78" s="18" t="s">
        <v>53</v>
      </c>
      <c r="O78" s="22" t="s">
        <v>161</v>
      </c>
      <c r="P78" s="23">
        <v>15</v>
      </c>
      <c r="Q78" s="22"/>
      <c r="R78" s="23">
        <v>15</v>
      </c>
      <c r="S78" s="24">
        <v>46054</v>
      </c>
      <c r="T78" s="23">
        <v>2.25</v>
      </c>
      <c r="U78" s="25">
        <v>4</v>
      </c>
      <c r="V78" s="23">
        <v>12.75</v>
      </c>
      <c r="W78" s="18" t="s">
        <v>47</v>
      </c>
      <c r="X78" s="18" t="s">
        <v>48</v>
      </c>
      <c r="Y78" s="18" t="s">
        <v>36</v>
      </c>
      <c r="Z78" s="18" t="s">
        <v>9</v>
      </c>
      <c r="AA78" s="18" t="s">
        <v>49</v>
      </c>
      <c r="AB78" s="18" t="s">
        <v>162</v>
      </c>
      <c r="AC78" s="18" t="s">
        <v>38</v>
      </c>
      <c r="AD78" s="7" t="str">
        <f t="shared" si="1"/>
        <v/>
      </c>
      <c r="AE78" s="26"/>
      <c r="AF78" s="26"/>
      <c r="AG78" s="26"/>
      <c r="AH78" s="26"/>
      <c r="AI78" s="26"/>
      <c r="AJ78" s="26"/>
      <c r="AK78" s="26"/>
      <c r="AL78" s="26"/>
      <c r="AM78" s="26"/>
      <c r="AN78" s="26"/>
      <c r="AO78" s="26"/>
      <c r="AP78" s="26"/>
      <c r="AQ78" s="26"/>
      <c r="AR78" s="26"/>
      <c r="AS78" s="26"/>
      <c r="AT78" s="26"/>
      <c r="AU78" s="26"/>
      <c r="AV78" s="26"/>
      <c r="AW78" s="26"/>
    </row>
    <row r="79" spans="1:49" s="46" customFormat="1" ht="35.1" customHeight="1" x14ac:dyDescent="0.25">
      <c r="A79" s="18" t="s">
        <v>159</v>
      </c>
      <c r="B79" s="19">
        <v>46050</v>
      </c>
      <c r="C79" s="19">
        <v>46050</v>
      </c>
      <c r="D79" s="18" t="s">
        <v>196</v>
      </c>
      <c r="E79" s="20">
        <v>0.66666666666666663</v>
      </c>
      <c r="F79" s="20">
        <v>0.79166666666666663</v>
      </c>
      <c r="G79" s="28">
        <v>1.7361111111111109E-4</v>
      </c>
      <c r="H79" s="29" t="s">
        <v>163</v>
      </c>
      <c r="I79" s="21">
        <v>0.70319733796296291</v>
      </c>
      <c r="J79" s="18" t="s">
        <v>120</v>
      </c>
      <c r="K79" s="18" t="s">
        <v>155</v>
      </c>
      <c r="L79" s="22">
        <v>1</v>
      </c>
      <c r="M79" s="22">
        <v>71093</v>
      </c>
      <c r="N79" s="18" t="s">
        <v>53</v>
      </c>
      <c r="O79" s="22" t="s">
        <v>161</v>
      </c>
      <c r="P79" s="23">
        <v>15</v>
      </c>
      <c r="Q79" s="22"/>
      <c r="R79" s="23">
        <v>15</v>
      </c>
      <c r="S79" s="24">
        <v>46054</v>
      </c>
      <c r="T79" s="23">
        <v>2.25</v>
      </c>
      <c r="U79" s="25">
        <v>4</v>
      </c>
      <c r="V79" s="23">
        <v>12.75</v>
      </c>
      <c r="W79" s="18" t="s">
        <v>47</v>
      </c>
      <c r="X79" s="18" t="s">
        <v>48</v>
      </c>
      <c r="Y79" s="18" t="s">
        <v>36</v>
      </c>
      <c r="Z79" s="18" t="s">
        <v>9</v>
      </c>
      <c r="AA79" s="18" t="s">
        <v>49</v>
      </c>
      <c r="AB79" s="18" t="s">
        <v>162</v>
      </c>
      <c r="AC79" s="18" t="s">
        <v>38</v>
      </c>
      <c r="AD79" s="7" t="str">
        <f t="shared" si="1"/>
        <v/>
      </c>
      <c r="AE79" s="26"/>
      <c r="AF79" s="26"/>
      <c r="AG79" s="26"/>
      <c r="AH79" s="26"/>
      <c r="AI79" s="26"/>
      <c r="AJ79" s="26"/>
      <c r="AK79" s="26"/>
      <c r="AL79" s="26"/>
      <c r="AM79" s="26"/>
      <c r="AN79" s="26"/>
      <c r="AO79" s="26"/>
      <c r="AP79" s="26"/>
      <c r="AQ79" s="26"/>
      <c r="AR79" s="26"/>
      <c r="AS79" s="26"/>
      <c r="AT79" s="26"/>
      <c r="AU79" s="26"/>
      <c r="AV79" s="26"/>
      <c r="AW79" s="26"/>
    </row>
    <row r="80" spans="1:49" s="52" customFormat="1" ht="35.1" customHeight="1" x14ac:dyDescent="0.2">
      <c r="A80" s="9" t="s">
        <v>118</v>
      </c>
      <c r="B80" s="10">
        <v>46050</v>
      </c>
      <c r="C80" s="10">
        <v>46050</v>
      </c>
      <c r="D80" s="11" t="s">
        <v>196</v>
      </c>
      <c r="E80" s="12">
        <v>0.70833333333333337</v>
      </c>
      <c r="F80" s="12">
        <v>0.75</v>
      </c>
      <c r="G80" s="12">
        <v>4.1666666666666664E-2</v>
      </c>
      <c r="H80" s="9" t="s">
        <v>200</v>
      </c>
      <c r="I80" s="13"/>
      <c r="J80" s="9" t="s">
        <v>120</v>
      </c>
      <c r="K80" s="9"/>
      <c r="L80" s="14">
        <v>1</v>
      </c>
      <c r="M80" s="14">
        <v>1</v>
      </c>
      <c r="N80" s="9" t="s">
        <v>33</v>
      </c>
      <c r="O80" s="9"/>
      <c r="P80" s="16">
        <v>0</v>
      </c>
      <c r="Q80" s="14"/>
      <c r="R80" s="16">
        <v>0</v>
      </c>
      <c r="S80" s="9">
        <v>46054</v>
      </c>
      <c r="T80" s="16">
        <v>0</v>
      </c>
      <c r="U80" s="14">
        <v>2</v>
      </c>
      <c r="V80" s="16">
        <v>0</v>
      </c>
      <c r="W80" s="9" t="s">
        <v>34</v>
      </c>
      <c r="X80" s="9" t="s">
        <v>42</v>
      </c>
      <c r="Y80" s="9" t="s">
        <v>36</v>
      </c>
      <c r="Z80" s="9" t="s">
        <v>43</v>
      </c>
      <c r="AA80" s="9" t="s">
        <v>37</v>
      </c>
      <c r="AB80" s="9" t="s">
        <v>37</v>
      </c>
      <c r="AC80" s="9" t="s">
        <v>38</v>
      </c>
      <c r="AD80" s="7" t="str">
        <f t="shared" si="1"/>
        <v/>
      </c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</row>
    <row r="81" spans="1:49" s="31" customFormat="1" ht="34.5" customHeight="1" x14ac:dyDescent="0.25">
      <c r="A81" s="18" t="s">
        <v>159</v>
      </c>
      <c r="B81" s="19">
        <v>46050</v>
      </c>
      <c r="C81" s="19">
        <v>46050</v>
      </c>
      <c r="D81" s="18" t="s">
        <v>196</v>
      </c>
      <c r="E81" s="20">
        <v>0.66666666666666663</v>
      </c>
      <c r="F81" s="20">
        <v>0.79166666666666663</v>
      </c>
      <c r="G81" s="28">
        <v>1.7361111111111109E-4</v>
      </c>
      <c r="H81" s="29" t="s">
        <v>160</v>
      </c>
      <c r="I81" s="21">
        <v>0.73394999999999999</v>
      </c>
      <c r="J81" s="18" t="s">
        <v>120</v>
      </c>
      <c r="K81" s="18" t="s">
        <v>200</v>
      </c>
      <c r="L81" s="22">
        <v>1</v>
      </c>
      <c r="M81" s="22">
        <v>71004</v>
      </c>
      <c r="N81" s="18" t="s">
        <v>46</v>
      </c>
      <c r="O81" s="22" t="s">
        <v>161</v>
      </c>
      <c r="P81" s="23">
        <v>0</v>
      </c>
      <c r="Q81" s="22"/>
      <c r="R81" s="23">
        <v>0</v>
      </c>
      <c r="S81" s="24">
        <v>46054</v>
      </c>
      <c r="T81" s="23">
        <v>0</v>
      </c>
      <c r="U81" s="25">
        <v>4</v>
      </c>
      <c r="V81" s="23">
        <v>0</v>
      </c>
      <c r="W81" s="18" t="s">
        <v>47</v>
      </c>
      <c r="X81" s="18" t="s">
        <v>48</v>
      </c>
      <c r="Y81" s="18" t="s">
        <v>36</v>
      </c>
      <c r="Z81" s="18" t="s">
        <v>9</v>
      </c>
      <c r="AA81" s="18" t="s">
        <v>49</v>
      </c>
      <c r="AB81" s="18" t="s">
        <v>162</v>
      </c>
      <c r="AC81" s="18" t="s">
        <v>38</v>
      </c>
      <c r="AD81" s="7" t="str">
        <f t="shared" si="1"/>
        <v/>
      </c>
      <c r="AE81" s="26"/>
      <c r="AF81" s="26"/>
      <c r="AG81" s="26"/>
      <c r="AH81" s="26"/>
      <c r="AI81" s="26"/>
      <c r="AJ81" s="26"/>
      <c r="AK81" s="26"/>
      <c r="AL81" s="26"/>
      <c r="AM81" s="26"/>
      <c r="AN81" s="26"/>
      <c r="AO81" s="26"/>
      <c r="AP81" s="26"/>
      <c r="AQ81" s="26"/>
      <c r="AR81" s="26"/>
      <c r="AS81" s="26"/>
      <c r="AT81" s="26"/>
      <c r="AU81" s="26"/>
      <c r="AV81" s="26"/>
      <c r="AW81" s="26"/>
    </row>
    <row r="82" spans="1:49" s="31" customFormat="1" ht="34.5" customHeight="1" x14ac:dyDescent="0.25">
      <c r="A82" s="18" t="s">
        <v>159</v>
      </c>
      <c r="B82" s="19">
        <v>46050</v>
      </c>
      <c r="C82" s="19">
        <v>46050</v>
      </c>
      <c r="D82" s="18" t="s">
        <v>196</v>
      </c>
      <c r="E82" s="20">
        <v>0.66666666666666663</v>
      </c>
      <c r="F82" s="20">
        <v>0.79166666666666663</v>
      </c>
      <c r="G82" s="28">
        <v>1.7361111111111109E-4</v>
      </c>
      <c r="H82" s="29" t="s">
        <v>163</v>
      </c>
      <c r="I82" s="21">
        <v>0.73499999999999999</v>
      </c>
      <c r="J82" s="18" t="s">
        <v>120</v>
      </c>
      <c r="K82" s="18" t="s">
        <v>200</v>
      </c>
      <c r="L82" s="22">
        <v>1</v>
      </c>
      <c r="M82" s="22">
        <v>71004</v>
      </c>
      <c r="N82" s="18" t="s">
        <v>46</v>
      </c>
      <c r="O82" s="22" t="s">
        <v>161</v>
      </c>
      <c r="P82" s="23">
        <v>0</v>
      </c>
      <c r="Q82" s="22"/>
      <c r="R82" s="23">
        <v>0</v>
      </c>
      <c r="S82" s="24">
        <v>46054</v>
      </c>
      <c r="T82" s="23">
        <v>0</v>
      </c>
      <c r="U82" s="25">
        <v>4</v>
      </c>
      <c r="V82" s="23">
        <v>0</v>
      </c>
      <c r="W82" s="18" t="s">
        <v>47</v>
      </c>
      <c r="X82" s="18" t="s">
        <v>48</v>
      </c>
      <c r="Y82" s="18" t="s">
        <v>36</v>
      </c>
      <c r="Z82" s="18" t="s">
        <v>9</v>
      </c>
      <c r="AA82" s="18" t="s">
        <v>49</v>
      </c>
      <c r="AB82" s="18" t="s">
        <v>162</v>
      </c>
      <c r="AC82" s="18" t="s">
        <v>38</v>
      </c>
      <c r="AD82" s="7" t="str">
        <f t="shared" si="1"/>
        <v/>
      </c>
      <c r="AE82" s="26"/>
      <c r="AF82" s="26"/>
      <c r="AG82" s="26"/>
      <c r="AH82" s="26"/>
      <c r="AI82" s="26"/>
      <c r="AJ82" s="26"/>
      <c r="AK82" s="26"/>
      <c r="AL82" s="26"/>
      <c r="AM82" s="26"/>
      <c r="AN82" s="26"/>
      <c r="AO82" s="26"/>
      <c r="AP82" s="26"/>
      <c r="AQ82" s="26"/>
      <c r="AR82" s="26"/>
      <c r="AS82" s="26"/>
      <c r="AT82" s="26"/>
      <c r="AU82" s="26"/>
      <c r="AV82" s="26"/>
      <c r="AW82" s="26"/>
    </row>
    <row r="83" spans="1:49" s="17" customFormat="1" ht="35.1" customHeight="1" x14ac:dyDescent="0.25">
      <c r="A83" s="18" t="s">
        <v>56</v>
      </c>
      <c r="B83" s="19">
        <v>46050</v>
      </c>
      <c r="C83" s="19">
        <v>46050</v>
      </c>
      <c r="D83" s="18" t="s">
        <v>196</v>
      </c>
      <c r="E83" s="20">
        <v>0.66666666666666663</v>
      </c>
      <c r="F83" s="20">
        <v>0.79166666666666663</v>
      </c>
      <c r="G83" s="28">
        <v>1.7361111111111112E-4</v>
      </c>
      <c r="H83" s="29" t="s">
        <v>121</v>
      </c>
      <c r="I83" s="21">
        <v>0.74869548611111114</v>
      </c>
      <c r="J83" s="18" t="s">
        <v>120</v>
      </c>
      <c r="K83" s="18" t="s">
        <v>200</v>
      </c>
      <c r="L83" s="22">
        <v>1</v>
      </c>
      <c r="M83" s="22">
        <v>69828</v>
      </c>
      <c r="N83" s="18" t="s">
        <v>53</v>
      </c>
      <c r="O83" s="22"/>
      <c r="P83" s="23">
        <v>28</v>
      </c>
      <c r="Q83" s="22"/>
      <c r="R83" s="23">
        <v>28</v>
      </c>
      <c r="S83" s="24">
        <v>46050</v>
      </c>
      <c r="T83" s="23">
        <v>0</v>
      </c>
      <c r="U83" s="25">
        <v>4</v>
      </c>
      <c r="V83" s="23">
        <v>28</v>
      </c>
      <c r="W83" s="18" t="s">
        <v>34</v>
      </c>
      <c r="X83" s="18" t="s">
        <v>48</v>
      </c>
      <c r="Y83" s="18" t="s">
        <v>58</v>
      </c>
      <c r="Z83" s="18" t="s">
        <v>43</v>
      </c>
      <c r="AA83" s="18" t="s">
        <v>49</v>
      </c>
      <c r="AB83" s="18" t="s">
        <v>59</v>
      </c>
      <c r="AC83" s="18" t="s">
        <v>38</v>
      </c>
      <c r="AD83" s="7" t="str">
        <f t="shared" si="1"/>
        <v/>
      </c>
      <c r="AE83" s="26"/>
      <c r="AF83" s="26"/>
      <c r="AG83" s="26"/>
      <c r="AH83" s="26"/>
      <c r="AI83" s="30"/>
      <c r="AJ83" s="30"/>
      <c r="AK83" s="30"/>
      <c r="AL83" s="30"/>
      <c r="AM83" s="30"/>
      <c r="AN83" s="30"/>
      <c r="AO83" s="30"/>
      <c r="AP83" s="30"/>
      <c r="AQ83" s="30"/>
      <c r="AR83" s="30"/>
      <c r="AS83" s="30"/>
      <c r="AT83" s="30"/>
      <c r="AU83" s="30"/>
      <c r="AV83" s="30"/>
      <c r="AW83" s="30"/>
    </row>
    <row r="84" spans="1:49" s="35" customFormat="1" ht="35.25" customHeight="1" x14ac:dyDescent="0.25">
      <c r="A84" s="18" t="s">
        <v>56</v>
      </c>
      <c r="B84" s="19">
        <v>46050</v>
      </c>
      <c r="C84" s="19">
        <v>46050</v>
      </c>
      <c r="D84" s="18" t="s">
        <v>196</v>
      </c>
      <c r="E84" s="20">
        <v>0.66666666666666663</v>
      </c>
      <c r="F84" s="20">
        <v>0.79166666666666663</v>
      </c>
      <c r="G84" s="28">
        <v>1.7361111111111112E-4</v>
      </c>
      <c r="H84" s="29" t="s">
        <v>122</v>
      </c>
      <c r="I84" s="21">
        <v>0.74973703703703698</v>
      </c>
      <c r="J84" s="18" t="s">
        <v>120</v>
      </c>
      <c r="K84" s="18" t="s">
        <v>200</v>
      </c>
      <c r="L84" s="22">
        <v>1</v>
      </c>
      <c r="M84" s="22">
        <v>69828</v>
      </c>
      <c r="N84" s="18" t="s">
        <v>53</v>
      </c>
      <c r="O84" s="22"/>
      <c r="P84" s="23">
        <v>0</v>
      </c>
      <c r="Q84" s="22"/>
      <c r="R84" s="23">
        <v>0</v>
      </c>
      <c r="S84" s="24">
        <v>46050</v>
      </c>
      <c r="T84" s="23">
        <v>0</v>
      </c>
      <c r="U84" s="25">
        <v>4</v>
      </c>
      <c r="V84" s="23">
        <v>0</v>
      </c>
      <c r="W84" s="18" t="s">
        <v>34</v>
      </c>
      <c r="X84" s="18" t="s">
        <v>48</v>
      </c>
      <c r="Y84" s="18" t="s">
        <v>58</v>
      </c>
      <c r="Z84" s="18" t="s">
        <v>43</v>
      </c>
      <c r="AA84" s="18" t="s">
        <v>49</v>
      </c>
      <c r="AB84" s="18" t="s">
        <v>59</v>
      </c>
      <c r="AC84" s="18" t="s">
        <v>38</v>
      </c>
      <c r="AD84" s="7" t="str">
        <f t="shared" si="1"/>
        <v/>
      </c>
      <c r="AE84" s="26"/>
      <c r="AF84" s="26"/>
      <c r="AG84" s="26"/>
      <c r="AH84" s="26"/>
      <c r="AI84" s="27"/>
      <c r="AJ84" s="27"/>
      <c r="AK84" s="27"/>
      <c r="AL84" s="27"/>
      <c r="AM84" s="27"/>
      <c r="AN84" s="27"/>
      <c r="AO84" s="27"/>
      <c r="AP84" s="27"/>
      <c r="AQ84" s="27"/>
      <c r="AR84" s="27"/>
      <c r="AS84" s="27"/>
      <c r="AT84" s="27"/>
      <c r="AU84" s="27"/>
      <c r="AV84" s="27"/>
      <c r="AW84" s="27"/>
    </row>
    <row r="85" spans="1:49" s="52" customFormat="1" ht="35.1" customHeight="1" x14ac:dyDescent="0.2">
      <c r="A85" s="9" t="s">
        <v>123</v>
      </c>
      <c r="B85" s="10">
        <v>46050</v>
      </c>
      <c r="C85" s="10">
        <v>46050</v>
      </c>
      <c r="D85" s="11" t="s">
        <v>196</v>
      </c>
      <c r="E85" s="12">
        <v>0.75</v>
      </c>
      <c r="F85" s="12">
        <v>0.77083333333333337</v>
      </c>
      <c r="G85" s="12">
        <v>2.0833333333333332E-2</v>
      </c>
      <c r="H85" s="9" t="s">
        <v>126</v>
      </c>
      <c r="I85" s="13"/>
      <c r="J85" s="9" t="s">
        <v>120</v>
      </c>
      <c r="K85" s="9"/>
      <c r="L85" s="14">
        <v>1</v>
      </c>
      <c r="M85" s="14">
        <v>1</v>
      </c>
      <c r="N85" s="9" t="s">
        <v>33</v>
      </c>
      <c r="O85" s="9"/>
      <c r="P85" s="16">
        <v>0</v>
      </c>
      <c r="Q85" s="14"/>
      <c r="R85" s="16">
        <v>0</v>
      </c>
      <c r="S85" s="9">
        <v>46054</v>
      </c>
      <c r="T85" s="16">
        <v>0</v>
      </c>
      <c r="U85" s="14">
        <v>2</v>
      </c>
      <c r="V85" s="16">
        <v>0</v>
      </c>
      <c r="W85" s="9" t="s">
        <v>34</v>
      </c>
      <c r="X85" s="9" t="s">
        <v>42</v>
      </c>
      <c r="Y85" s="9" t="s">
        <v>36</v>
      </c>
      <c r="Z85" s="9" t="s">
        <v>43</v>
      </c>
      <c r="AA85" s="9" t="s">
        <v>37</v>
      </c>
      <c r="AB85" s="9" t="s">
        <v>37</v>
      </c>
      <c r="AC85" s="9" t="s">
        <v>38</v>
      </c>
      <c r="AD85" s="7" t="str">
        <f t="shared" si="1"/>
        <v/>
      </c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</row>
    <row r="86" spans="1:49" s="26" customFormat="1" ht="35.1" customHeight="1" x14ac:dyDescent="0.25">
      <c r="A86" s="18" t="s">
        <v>159</v>
      </c>
      <c r="B86" s="19">
        <v>46050</v>
      </c>
      <c r="C86" s="19">
        <v>46050</v>
      </c>
      <c r="D86" s="18" t="s">
        <v>196</v>
      </c>
      <c r="E86" s="20">
        <v>0.66666666666666663</v>
      </c>
      <c r="F86" s="20">
        <v>0.79166666666666663</v>
      </c>
      <c r="G86" s="28">
        <v>1.7361111111111109E-4</v>
      </c>
      <c r="H86" s="29" t="s">
        <v>160</v>
      </c>
      <c r="I86" s="21">
        <v>0.76356817129629617</v>
      </c>
      <c r="J86" s="18" t="s">
        <v>120</v>
      </c>
      <c r="K86" s="18" t="s">
        <v>194</v>
      </c>
      <c r="L86" s="22">
        <v>1</v>
      </c>
      <c r="M86" s="22">
        <v>71093</v>
      </c>
      <c r="N86" s="18" t="s">
        <v>53</v>
      </c>
      <c r="O86" s="22" t="s">
        <v>161</v>
      </c>
      <c r="P86" s="23">
        <v>15</v>
      </c>
      <c r="Q86" s="22"/>
      <c r="R86" s="23">
        <v>15</v>
      </c>
      <c r="S86" s="24">
        <v>46054</v>
      </c>
      <c r="T86" s="23">
        <v>2.25</v>
      </c>
      <c r="U86" s="25">
        <v>4</v>
      </c>
      <c r="V86" s="23">
        <v>12.75</v>
      </c>
      <c r="W86" s="18" t="s">
        <v>47</v>
      </c>
      <c r="X86" s="18" t="s">
        <v>48</v>
      </c>
      <c r="Y86" s="18" t="s">
        <v>36</v>
      </c>
      <c r="Z86" s="18" t="s">
        <v>9</v>
      </c>
      <c r="AA86" s="18" t="s">
        <v>49</v>
      </c>
      <c r="AB86" s="18" t="s">
        <v>162</v>
      </c>
      <c r="AC86" s="18" t="s">
        <v>38</v>
      </c>
      <c r="AD86" s="7" t="str">
        <f t="shared" si="1"/>
        <v/>
      </c>
      <c r="AI86" s="30"/>
      <c r="AJ86" s="30"/>
      <c r="AK86" s="30"/>
      <c r="AL86" s="30"/>
      <c r="AM86" s="30"/>
      <c r="AN86" s="30"/>
      <c r="AO86" s="30"/>
      <c r="AP86" s="30"/>
      <c r="AQ86" s="30"/>
      <c r="AR86" s="30"/>
      <c r="AS86" s="30"/>
      <c r="AT86" s="30"/>
      <c r="AU86" s="30"/>
      <c r="AV86" s="30"/>
      <c r="AW86" s="30"/>
    </row>
    <row r="87" spans="1:49" s="46" customFormat="1" ht="35.1" customHeight="1" x14ac:dyDescent="0.25">
      <c r="A87" s="18" t="s">
        <v>159</v>
      </c>
      <c r="B87" s="19">
        <v>46050</v>
      </c>
      <c r="C87" s="19">
        <v>46050</v>
      </c>
      <c r="D87" s="18" t="s">
        <v>196</v>
      </c>
      <c r="E87" s="20">
        <v>0.66666666666666663</v>
      </c>
      <c r="F87" s="20">
        <v>0.79166666666666663</v>
      </c>
      <c r="G87" s="28">
        <v>1.7361111111111109E-4</v>
      </c>
      <c r="H87" s="29" t="s">
        <v>163</v>
      </c>
      <c r="I87" s="21">
        <v>0.76547789351851847</v>
      </c>
      <c r="J87" s="18" t="s">
        <v>120</v>
      </c>
      <c r="K87" s="18" t="s">
        <v>194</v>
      </c>
      <c r="L87" s="22">
        <v>1</v>
      </c>
      <c r="M87" s="22">
        <v>71093</v>
      </c>
      <c r="N87" s="18" t="s">
        <v>53</v>
      </c>
      <c r="O87" s="22" t="s">
        <v>161</v>
      </c>
      <c r="P87" s="23">
        <v>15</v>
      </c>
      <c r="Q87" s="22"/>
      <c r="R87" s="23">
        <v>15</v>
      </c>
      <c r="S87" s="24">
        <v>46054</v>
      </c>
      <c r="T87" s="23">
        <v>2.25</v>
      </c>
      <c r="U87" s="25">
        <v>4</v>
      </c>
      <c r="V87" s="23">
        <v>12.75</v>
      </c>
      <c r="W87" s="18" t="s">
        <v>47</v>
      </c>
      <c r="X87" s="18" t="s">
        <v>48</v>
      </c>
      <c r="Y87" s="18" t="s">
        <v>36</v>
      </c>
      <c r="Z87" s="18" t="s">
        <v>9</v>
      </c>
      <c r="AA87" s="18" t="s">
        <v>49</v>
      </c>
      <c r="AB87" s="18" t="s">
        <v>162</v>
      </c>
      <c r="AC87" s="18" t="s">
        <v>38</v>
      </c>
      <c r="AD87" s="7" t="str">
        <f t="shared" si="1"/>
        <v/>
      </c>
      <c r="AE87" s="26"/>
      <c r="AF87" s="26"/>
      <c r="AG87" s="26"/>
      <c r="AH87" s="26"/>
      <c r="AI87" s="30"/>
      <c r="AJ87" s="30"/>
      <c r="AK87" s="30"/>
      <c r="AL87" s="30"/>
      <c r="AM87" s="30"/>
      <c r="AN87" s="30"/>
      <c r="AO87" s="30"/>
      <c r="AP87" s="30"/>
      <c r="AQ87" s="30"/>
      <c r="AR87" s="30"/>
      <c r="AS87" s="30"/>
      <c r="AT87" s="30"/>
      <c r="AU87" s="30"/>
      <c r="AV87" s="30"/>
      <c r="AW87" s="30"/>
    </row>
    <row r="88" spans="1:49" s="52" customFormat="1" ht="35.1" customHeight="1" x14ac:dyDescent="0.25">
      <c r="A88" s="9" t="s">
        <v>123</v>
      </c>
      <c r="B88" s="10">
        <v>46050</v>
      </c>
      <c r="C88" s="10">
        <v>46050</v>
      </c>
      <c r="D88" s="11" t="s">
        <v>196</v>
      </c>
      <c r="E88" s="12">
        <v>0.77083333333333337</v>
      </c>
      <c r="F88" s="12">
        <v>0.79166666666666663</v>
      </c>
      <c r="G88" s="12">
        <v>2.0833333333333332E-2</v>
      </c>
      <c r="H88" s="9" t="s">
        <v>124</v>
      </c>
      <c r="I88" s="13"/>
      <c r="J88" s="9" t="s">
        <v>120</v>
      </c>
      <c r="K88" s="9"/>
      <c r="L88" s="14">
        <v>1</v>
      </c>
      <c r="M88" s="14">
        <v>1</v>
      </c>
      <c r="N88" s="9" t="s">
        <v>33</v>
      </c>
      <c r="O88" s="9"/>
      <c r="P88" s="16">
        <v>0</v>
      </c>
      <c r="Q88" s="14"/>
      <c r="R88" s="16">
        <v>0</v>
      </c>
      <c r="S88" s="9">
        <v>46054</v>
      </c>
      <c r="T88" s="16">
        <v>0</v>
      </c>
      <c r="U88" s="14">
        <v>2</v>
      </c>
      <c r="V88" s="16">
        <v>0</v>
      </c>
      <c r="W88" s="9" t="s">
        <v>34</v>
      </c>
      <c r="X88" s="9" t="s">
        <v>42</v>
      </c>
      <c r="Y88" s="9" t="s">
        <v>36</v>
      </c>
      <c r="Z88" s="9" t="s">
        <v>43</v>
      </c>
      <c r="AA88" s="9" t="s">
        <v>37</v>
      </c>
      <c r="AB88" s="9" t="s">
        <v>37</v>
      </c>
      <c r="AC88" s="9" t="s">
        <v>38</v>
      </c>
      <c r="AD88" s="7" t="str">
        <f t="shared" si="1"/>
        <v/>
      </c>
      <c r="AE88" s="26"/>
      <c r="AF88" s="26"/>
      <c r="AG88" s="26"/>
      <c r="AH88" s="26"/>
      <c r="AI88" s="27"/>
      <c r="AJ88" s="27"/>
      <c r="AK88" s="27"/>
      <c r="AL88" s="27"/>
      <c r="AM88" s="27"/>
      <c r="AN88" s="27"/>
      <c r="AO88" s="27"/>
      <c r="AP88" s="27"/>
      <c r="AQ88" s="27"/>
      <c r="AR88" s="27"/>
      <c r="AS88" s="27"/>
      <c r="AT88" s="27"/>
      <c r="AU88" s="27"/>
      <c r="AV88" s="27"/>
      <c r="AW88" s="27"/>
    </row>
    <row r="89" spans="1:49" s="47" customFormat="1" ht="35.1" customHeight="1" x14ac:dyDescent="0.25">
      <c r="A89" s="18" t="s">
        <v>159</v>
      </c>
      <c r="B89" s="19">
        <v>46050</v>
      </c>
      <c r="C89" s="19">
        <v>46050</v>
      </c>
      <c r="D89" s="18" t="s">
        <v>196</v>
      </c>
      <c r="E89" s="20">
        <v>0.66666666666666663</v>
      </c>
      <c r="F89" s="20">
        <v>0.79166666666666663</v>
      </c>
      <c r="G89" s="28">
        <v>1.7361111111111109E-4</v>
      </c>
      <c r="H89" s="29" t="s">
        <v>164</v>
      </c>
      <c r="I89" s="21">
        <v>0.78496817129629626</v>
      </c>
      <c r="J89" s="18" t="s">
        <v>120</v>
      </c>
      <c r="K89" s="18" t="s">
        <v>155</v>
      </c>
      <c r="L89" s="22">
        <v>1</v>
      </c>
      <c r="M89" s="22">
        <v>71093</v>
      </c>
      <c r="N89" s="18" t="s">
        <v>53</v>
      </c>
      <c r="O89" s="22" t="s">
        <v>161</v>
      </c>
      <c r="P89" s="23">
        <v>15</v>
      </c>
      <c r="Q89" s="22"/>
      <c r="R89" s="23">
        <v>15</v>
      </c>
      <c r="S89" s="24">
        <v>46054</v>
      </c>
      <c r="T89" s="23">
        <v>2.25</v>
      </c>
      <c r="U89" s="25">
        <v>4</v>
      </c>
      <c r="V89" s="23">
        <v>12.75</v>
      </c>
      <c r="W89" s="18" t="s">
        <v>47</v>
      </c>
      <c r="X89" s="18" t="s">
        <v>48</v>
      </c>
      <c r="Y89" s="18" t="s">
        <v>36</v>
      </c>
      <c r="Z89" s="18" t="s">
        <v>9</v>
      </c>
      <c r="AA89" s="18" t="s">
        <v>49</v>
      </c>
      <c r="AB89" s="18" t="s">
        <v>162</v>
      </c>
      <c r="AC89" s="18" t="s">
        <v>38</v>
      </c>
      <c r="AD89" s="7" t="str">
        <f t="shared" si="1"/>
        <v/>
      </c>
      <c r="AE89" s="26"/>
      <c r="AF89" s="26"/>
      <c r="AG89" s="26"/>
      <c r="AH89" s="26"/>
      <c r="AI89" s="30"/>
      <c r="AJ89" s="30"/>
      <c r="AK89" s="30"/>
      <c r="AL89" s="30"/>
      <c r="AM89" s="30"/>
      <c r="AN89" s="30"/>
      <c r="AO89" s="30"/>
      <c r="AP89" s="30"/>
      <c r="AQ89" s="30"/>
      <c r="AR89" s="30"/>
      <c r="AS89" s="30"/>
      <c r="AT89" s="30"/>
      <c r="AU89" s="30"/>
      <c r="AV89" s="30"/>
      <c r="AW89" s="30"/>
    </row>
    <row r="90" spans="1:49" s="9" customFormat="1" ht="35.1" customHeight="1" x14ac:dyDescent="0.25">
      <c r="A90" s="18" t="s">
        <v>159</v>
      </c>
      <c r="B90" s="19">
        <v>46050</v>
      </c>
      <c r="C90" s="19">
        <v>46050</v>
      </c>
      <c r="D90" s="18" t="s">
        <v>196</v>
      </c>
      <c r="E90" s="20">
        <v>0.66666666666666663</v>
      </c>
      <c r="F90" s="20">
        <v>0.79166666666666663</v>
      </c>
      <c r="G90" s="28">
        <v>1.7361111111111109E-4</v>
      </c>
      <c r="H90" s="29" t="s">
        <v>165</v>
      </c>
      <c r="I90" s="21">
        <v>0.78670451388888896</v>
      </c>
      <c r="J90" s="18" t="s">
        <v>120</v>
      </c>
      <c r="K90" s="18" t="s">
        <v>155</v>
      </c>
      <c r="L90" s="22">
        <v>1</v>
      </c>
      <c r="M90" s="22">
        <v>71093</v>
      </c>
      <c r="N90" s="18" t="s">
        <v>53</v>
      </c>
      <c r="O90" s="22" t="s">
        <v>161</v>
      </c>
      <c r="P90" s="23">
        <v>15</v>
      </c>
      <c r="Q90" s="22"/>
      <c r="R90" s="23">
        <v>15</v>
      </c>
      <c r="S90" s="24">
        <v>46054</v>
      </c>
      <c r="T90" s="23">
        <v>2.25</v>
      </c>
      <c r="U90" s="25">
        <v>4</v>
      </c>
      <c r="V90" s="23">
        <v>12.75</v>
      </c>
      <c r="W90" s="18" t="s">
        <v>47</v>
      </c>
      <c r="X90" s="18" t="s">
        <v>48</v>
      </c>
      <c r="Y90" s="18" t="s">
        <v>36</v>
      </c>
      <c r="Z90" s="18" t="s">
        <v>9</v>
      </c>
      <c r="AA90" s="18" t="s">
        <v>49</v>
      </c>
      <c r="AB90" s="18" t="s">
        <v>162</v>
      </c>
      <c r="AC90" s="18" t="s">
        <v>38</v>
      </c>
      <c r="AD90" s="7" t="str">
        <f t="shared" si="1"/>
        <v/>
      </c>
      <c r="AE90" s="26"/>
      <c r="AF90" s="26"/>
      <c r="AG90" s="26"/>
      <c r="AH90" s="26"/>
      <c r="AI90" s="30"/>
      <c r="AJ90" s="30"/>
      <c r="AK90" s="30"/>
      <c r="AL90" s="30"/>
      <c r="AM90" s="30"/>
      <c r="AN90" s="30"/>
      <c r="AO90" s="30"/>
      <c r="AP90" s="30"/>
      <c r="AQ90" s="30"/>
      <c r="AR90" s="30"/>
      <c r="AS90" s="30"/>
      <c r="AT90" s="30"/>
      <c r="AU90" s="30"/>
      <c r="AV90" s="30"/>
      <c r="AW90" s="30"/>
    </row>
    <row r="91" spans="1:49" s="48" customFormat="1" ht="35.1" customHeight="1" x14ac:dyDescent="0.25">
      <c r="A91" s="18" t="s">
        <v>127</v>
      </c>
      <c r="B91" s="19">
        <v>46050</v>
      </c>
      <c r="C91" s="19">
        <v>46050</v>
      </c>
      <c r="D91" s="18" t="s">
        <v>196</v>
      </c>
      <c r="E91" s="20">
        <v>0.77083333333333337</v>
      </c>
      <c r="F91" s="20">
        <v>0.79166666666666663</v>
      </c>
      <c r="G91" s="20">
        <v>3.4722222222222218E-4</v>
      </c>
      <c r="H91" s="18" t="s">
        <v>128</v>
      </c>
      <c r="I91" s="21">
        <v>0.79123981481481476</v>
      </c>
      <c r="J91" s="18" t="s">
        <v>120</v>
      </c>
      <c r="K91" s="18" t="s">
        <v>155</v>
      </c>
      <c r="L91" s="22">
        <v>1</v>
      </c>
      <c r="M91" s="22">
        <v>69749</v>
      </c>
      <c r="N91" s="18" t="s">
        <v>53</v>
      </c>
      <c r="O91" s="22" t="s">
        <v>129</v>
      </c>
      <c r="P91" s="23">
        <v>65</v>
      </c>
      <c r="Q91" s="22"/>
      <c r="R91" s="23">
        <v>65</v>
      </c>
      <c r="S91" s="24">
        <v>46054</v>
      </c>
      <c r="T91" s="23">
        <v>9.75</v>
      </c>
      <c r="U91" s="25">
        <v>4</v>
      </c>
      <c r="V91" s="23">
        <v>55.25</v>
      </c>
      <c r="W91" s="18" t="s">
        <v>47</v>
      </c>
      <c r="X91" s="18" t="s">
        <v>48</v>
      </c>
      <c r="Y91" s="18" t="s">
        <v>36</v>
      </c>
      <c r="Z91" s="18" t="s">
        <v>9</v>
      </c>
      <c r="AA91" s="18" t="s">
        <v>49</v>
      </c>
      <c r="AB91" s="18" t="s">
        <v>130</v>
      </c>
      <c r="AC91" s="18" t="s">
        <v>38</v>
      </c>
      <c r="AD91" s="7" t="str">
        <f t="shared" si="1"/>
        <v/>
      </c>
      <c r="AE91" s="33"/>
      <c r="AF91" s="33"/>
      <c r="AG91" s="33"/>
      <c r="AH91" s="33"/>
      <c r="AI91" s="30"/>
      <c r="AJ91" s="30"/>
      <c r="AK91" s="30"/>
      <c r="AL91" s="30"/>
      <c r="AM91" s="30"/>
      <c r="AN91" s="30"/>
      <c r="AO91" s="30"/>
      <c r="AP91" s="30"/>
      <c r="AQ91" s="30"/>
      <c r="AR91" s="30"/>
      <c r="AS91" s="30"/>
      <c r="AT91" s="30"/>
      <c r="AU91" s="30"/>
      <c r="AV91" s="30"/>
      <c r="AW91" s="30"/>
    </row>
    <row r="92" spans="1:49" s="52" customFormat="1" ht="35.1" customHeight="1" x14ac:dyDescent="0.25">
      <c r="A92" s="9" t="s">
        <v>39</v>
      </c>
      <c r="B92" s="10">
        <v>46050</v>
      </c>
      <c r="C92" s="10">
        <v>46050</v>
      </c>
      <c r="D92" s="11" t="s">
        <v>196</v>
      </c>
      <c r="E92" s="12">
        <v>0.79166666666666663</v>
      </c>
      <c r="F92" s="12">
        <v>0.8125</v>
      </c>
      <c r="G92" s="12">
        <v>2.0833333333333332E-2</v>
      </c>
      <c r="H92" s="9" t="s">
        <v>131</v>
      </c>
      <c r="I92" s="13"/>
      <c r="J92" s="9" t="s">
        <v>132</v>
      </c>
      <c r="K92" s="9"/>
      <c r="L92" s="14">
        <v>1</v>
      </c>
      <c r="M92" s="14">
        <v>1</v>
      </c>
      <c r="N92" s="9" t="s">
        <v>33</v>
      </c>
      <c r="O92" s="9"/>
      <c r="P92" s="16">
        <v>0</v>
      </c>
      <c r="Q92" s="14"/>
      <c r="R92" s="16">
        <v>0</v>
      </c>
      <c r="S92" s="9">
        <v>46054</v>
      </c>
      <c r="T92" s="16">
        <v>0</v>
      </c>
      <c r="U92" s="14">
        <v>2</v>
      </c>
      <c r="V92" s="16">
        <v>0</v>
      </c>
      <c r="W92" s="9" t="s">
        <v>34</v>
      </c>
      <c r="X92" s="9" t="s">
        <v>42</v>
      </c>
      <c r="Y92" s="9" t="s">
        <v>36</v>
      </c>
      <c r="Z92" s="9" t="s">
        <v>43</v>
      </c>
      <c r="AA92" s="9" t="s">
        <v>37</v>
      </c>
      <c r="AB92" s="9" t="s">
        <v>37</v>
      </c>
      <c r="AC92" s="9" t="s">
        <v>38</v>
      </c>
      <c r="AD92" s="7" t="str">
        <f t="shared" si="1"/>
        <v/>
      </c>
      <c r="AE92" s="26"/>
      <c r="AF92" s="26"/>
      <c r="AG92" s="26"/>
      <c r="AH92" s="26"/>
      <c r="AI92" s="27"/>
      <c r="AJ92" s="27"/>
      <c r="AK92" s="27"/>
      <c r="AL92" s="27"/>
      <c r="AM92" s="27"/>
      <c r="AN92" s="27"/>
      <c r="AO92" s="27"/>
      <c r="AP92" s="27"/>
      <c r="AQ92" s="27"/>
      <c r="AR92" s="27"/>
      <c r="AS92" s="27"/>
      <c r="AT92" s="27"/>
      <c r="AU92" s="27"/>
      <c r="AV92" s="27"/>
      <c r="AW92" s="27"/>
    </row>
    <row r="93" spans="1:49" s="52" customFormat="1" ht="35.1" customHeight="1" x14ac:dyDescent="0.25">
      <c r="A93" s="9" t="s">
        <v>39</v>
      </c>
      <c r="B93" s="10">
        <v>46050</v>
      </c>
      <c r="C93" s="10">
        <v>46050</v>
      </c>
      <c r="D93" s="11" t="s">
        <v>196</v>
      </c>
      <c r="E93" s="12">
        <v>0.8125</v>
      </c>
      <c r="F93" s="12">
        <v>0.83333333333333337</v>
      </c>
      <c r="G93" s="12">
        <v>2.0833333333333332E-2</v>
      </c>
      <c r="H93" s="9" t="s">
        <v>143</v>
      </c>
      <c r="I93" s="13"/>
      <c r="J93" s="9" t="s">
        <v>132</v>
      </c>
      <c r="K93" s="9"/>
      <c r="L93" s="14">
        <v>1</v>
      </c>
      <c r="M93" s="14">
        <v>1</v>
      </c>
      <c r="N93" s="9" t="s">
        <v>33</v>
      </c>
      <c r="O93" s="9"/>
      <c r="P93" s="16">
        <v>0</v>
      </c>
      <c r="Q93" s="14"/>
      <c r="R93" s="16">
        <v>0</v>
      </c>
      <c r="S93" s="9">
        <v>46054</v>
      </c>
      <c r="T93" s="16">
        <v>0</v>
      </c>
      <c r="U93" s="14">
        <v>2</v>
      </c>
      <c r="V93" s="16">
        <v>0</v>
      </c>
      <c r="W93" s="9" t="s">
        <v>34</v>
      </c>
      <c r="X93" s="9" t="s">
        <v>42</v>
      </c>
      <c r="Y93" s="9" t="s">
        <v>36</v>
      </c>
      <c r="Z93" s="9" t="s">
        <v>43</v>
      </c>
      <c r="AA93" s="9" t="s">
        <v>37</v>
      </c>
      <c r="AB93" s="9" t="s">
        <v>37</v>
      </c>
      <c r="AC93" s="9" t="s">
        <v>38</v>
      </c>
      <c r="AD93" s="7" t="str">
        <f t="shared" si="1"/>
        <v/>
      </c>
      <c r="AE93" s="26"/>
      <c r="AF93" s="26"/>
      <c r="AG93" s="26"/>
      <c r="AH93" s="26"/>
      <c r="AI93" s="27"/>
      <c r="AJ93" s="27"/>
      <c r="AK93" s="27"/>
      <c r="AL93" s="27"/>
      <c r="AM93" s="27"/>
      <c r="AN93" s="27"/>
      <c r="AO93" s="27"/>
      <c r="AP93" s="27"/>
      <c r="AQ93" s="27"/>
      <c r="AR93" s="27"/>
      <c r="AS93" s="27"/>
      <c r="AT93" s="27"/>
      <c r="AU93" s="27"/>
      <c r="AV93" s="27"/>
      <c r="AW93" s="27"/>
    </row>
    <row r="94" spans="1:49" s="48" customFormat="1" ht="35.1" customHeight="1" x14ac:dyDescent="0.2">
      <c r="A94" s="18" t="s">
        <v>127</v>
      </c>
      <c r="B94" s="19">
        <v>46050</v>
      </c>
      <c r="C94" s="19">
        <v>46050</v>
      </c>
      <c r="D94" s="18" t="s">
        <v>196</v>
      </c>
      <c r="E94" s="20">
        <v>0.79166666666666663</v>
      </c>
      <c r="F94" s="20">
        <v>0.83333333333333337</v>
      </c>
      <c r="G94" s="20">
        <v>3.4722222222222218E-4</v>
      </c>
      <c r="H94" s="18" t="s">
        <v>141</v>
      </c>
      <c r="I94" s="21">
        <v>0.83175069444444438</v>
      </c>
      <c r="J94" s="18" t="s">
        <v>132</v>
      </c>
      <c r="K94" s="18" t="s">
        <v>156</v>
      </c>
      <c r="L94" s="22">
        <v>1</v>
      </c>
      <c r="M94" s="22">
        <v>69750</v>
      </c>
      <c r="N94" s="18" t="s">
        <v>53</v>
      </c>
      <c r="O94" s="22" t="s">
        <v>129</v>
      </c>
      <c r="P94" s="23">
        <v>65</v>
      </c>
      <c r="Q94" s="22"/>
      <c r="R94" s="23">
        <v>65</v>
      </c>
      <c r="S94" s="24">
        <v>46054</v>
      </c>
      <c r="T94" s="23">
        <v>9.75</v>
      </c>
      <c r="U94" s="25">
        <v>4</v>
      </c>
      <c r="V94" s="23">
        <v>55.25</v>
      </c>
      <c r="W94" s="18" t="s">
        <v>47</v>
      </c>
      <c r="X94" s="18" t="s">
        <v>48</v>
      </c>
      <c r="Y94" s="18" t="s">
        <v>36</v>
      </c>
      <c r="Z94" s="18" t="s">
        <v>9</v>
      </c>
      <c r="AA94" s="18" t="s">
        <v>49</v>
      </c>
      <c r="AB94" s="18" t="s">
        <v>130</v>
      </c>
      <c r="AC94" s="18" t="s">
        <v>38</v>
      </c>
      <c r="AD94" s="7" t="str">
        <f t="shared" si="1"/>
        <v/>
      </c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</row>
    <row r="95" spans="1:49" s="52" customFormat="1" ht="35.1" customHeight="1" x14ac:dyDescent="0.2">
      <c r="A95" s="9" t="s">
        <v>144</v>
      </c>
      <c r="B95" s="10">
        <v>46050</v>
      </c>
      <c r="C95" s="10">
        <v>46050</v>
      </c>
      <c r="D95" s="11" t="s">
        <v>196</v>
      </c>
      <c r="E95" s="12">
        <v>0.83333333333333337</v>
      </c>
      <c r="F95" s="12">
        <v>0.875</v>
      </c>
      <c r="G95" s="12">
        <v>4.1666666666666664E-2</v>
      </c>
      <c r="H95" s="9" t="s">
        <v>145</v>
      </c>
      <c r="I95" s="13"/>
      <c r="J95" s="9" t="s">
        <v>41</v>
      </c>
      <c r="K95" s="9"/>
      <c r="L95" s="14">
        <v>1</v>
      </c>
      <c r="M95" s="14">
        <v>1</v>
      </c>
      <c r="N95" s="9" t="s">
        <v>33</v>
      </c>
      <c r="O95" s="9"/>
      <c r="P95" s="16">
        <v>0</v>
      </c>
      <c r="Q95" s="14"/>
      <c r="R95" s="16">
        <v>0</v>
      </c>
      <c r="S95" s="9">
        <v>46054</v>
      </c>
      <c r="T95" s="16">
        <v>0</v>
      </c>
      <c r="U95" s="14">
        <v>2</v>
      </c>
      <c r="V95" s="16">
        <v>0</v>
      </c>
      <c r="W95" s="9" t="s">
        <v>34</v>
      </c>
      <c r="X95" s="9" t="s">
        <v>42</v>
      </c>
      <c r="Y95" s="9" t="s">
        <v>36</v>
      </c>
      <c r="Z95" s="9" t="s">
        <v>43</v>
      </c>
      <c r="AA95" s="9" t="s">
        <v>37</v>
      </c>
      <c r="AB95" s="9" t="s">
        <v>37</v>
      </c>
      <c r="AC95" s="9" t="s">
        <v>38</v>
      </c>
      <c r="AD95" s="7" t="str">
        <f t="shared" si="1"/>
        <v/>
      </c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</row>
    <row r="96" spans="1:49" s="48" customFormat="1" ht="35.1" customHeight="1" x14ac:dyDescent="0.2">
      <c r="A96" s="18" t="s">
        <v>51</v>
      </c>
      <c r="B96" s="19">
        <v>46050</v>
      </c>
      <c r="C96" s="19">
        <v>46050</v>
      </c>
      <c r="D96" s="18" t="s">
        <v>196</v>
      </c>
      <c r="E96" s="20">
        <v>0.83333333333333337</v>
      </c>
      <c r="F96" s="20">
        <v>0.875</v>
      </c>
      <c r="G96" s="20">
        <v>3.4722222222222218E-4</v>
      </c>
      <c r="H96" s="18" t="s">
        <v>52</v>
      </c>
      <c r="I96" s="21">
        <v>0.84177245370370368</v>
      </c>
      <c r="J96" s="18" t="s">
        <v>41</v>
      </c>
      <c r="K96" s="18" t="s">
        <v>157</v>
      </c>
      <c r="L96" s="22">
        <v>1</v>
      </c>
      <c r="M96" s="22">
        <v>70366</v>
      </c>
      <c r="N96" s="18" t="s">
        <v>53</v>
      </c>
      <c r="O96" s="22" t="s">
        <v>54</v>
      </c>
      <c r="P96" s="23">
        <v>60</v>
      </c>
      <c r="Q96" s="22"/>
      <c r="R96" s="23">
        <v>60</v>
      </c>
      <c r="S96" s="24">
        <v>46054</v>
      </c>
      <c r="T96" s="23">
        <v>9</v>
      </c>
      <c r="U96" s="25">
        <v>4</v>
      </c>
      <c r="V96" s="23">
        <v>51</v>
      </c>
      <c r="W96" s="18" t="s">
        <v>47</v>
      </c>
      <c r="X96" s="18" t="s">
        <v>48</v>
      </c>
      <c r="Y96" s="18" t="s">
        <v>36</v>
      </c>
      <c r="Z96" s="18" t="s">
        <v>9</v>
      </c>
      <c r="AA96" s="18" t="s">
        <v>49</v>
      </c>
      <c r="AB96" s="18" t="s">
        <v>55</v>
      </c>
      <c r="AC96" s="18" t="s">
        <v>38</v>
      </c>
      <c r="AD96" s="7" t="str">
        <f t="shared" si="1"/>
        <v/>
      </c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</row>
    <row r="97" spans="1:49" s="48" customFormat="1" ht="35.1" customHeight="1" x14ac:dyDescent="0.25">
      <c r="A97" s="18" t="s">
        <v>127</v>
      </c>
      <c r="B97" s="19">
        <v>46050</v>
      </c>
      <c r="C97" s="19">
        <v>46050</v>
      </c>
      <c r="D97" s="18" t="s">
        <v>196</v>
      </c>
      <c r="E97" s="20">
        <v>0.83333333333333337</v>
      </c>
      <c r="F97" s="20">
        <v>0.875</v>
      </c>
      <c r="G97" s="20">
        <v>3.4722222222222218E-4</v>
      </c>
      <c r="H97" s="18" t="s">
        <v>192</v>
      </c>
      <c r="I97" s="21">
        <v>0.85407615740740728</v>
      </c>
      <c r="J97" s="18" t="s">
        <v>41</v>
      </c>
      <c r="K97" s="18" t="s">
        <v>157</v>
      </c>
      <c r="L97" s="22">
        <v>1</v>
      </c>
      <c r="M97" s="22">
        <v>69752</v>
      </c>
      <c r="N97" s="18" t="s">
        <v>53</v>
      </c>
      <c r="O97" s="22" t="s">
        <v>129</v>
      </c>
      <c r="P97" s="23">
        <v>65</v>
      </c>
      <c r="Q97" s="22"/>
      <c r="R97" s="23">
        <v>65</v>
      </c>
      <c r="S97" s="24">
        <v>46054</v>
      </c>
      <c r="T97" s="23">
        <v>9.75</v>
      </c>
      <c r="U97" s="25">
        <v>4</v>
      </c>
      <c r="V97" s="23">
        <v>55.25</v>
      </c>
      <c r="W97" s="18" t="s">
        <v>47</v>
      </c>
      <c r="X97" s="18" t="s">
        <v>48</v>
      </c>
      <c r="Y97" s="18" t="s">
        <v>36</v>
      </c>
      <c r="Z97" s="18" t="s">
        <v>9</v>
      </c>
      <c r="AA97" s="18" t="s">
        <v>49</v>
      </c>
      <c r="AB97" s="18" t="s">
        <v>130</v>
      </c>
      <c r="AC97" s="18" t="s">
        <v>38</v>
      </c>
      <c r="AD97" s="7" t="str">
        <f t="shared" si="1"/>
        <v/>
      </c>
      <c r="AE97" s="26"/>
      <c r="AF97" s="26"/>
      <c r="AG97" s="26"/>
      <c r="AH97" s="26"/>
      <c r="AI97" s="26"/>
      <c r="AJ97" s="26"/>
      <c r="AK97" s="26"/>
      <c r="AL97" s="26"/>
      <c r="AM97" s="26"/>
      <c r="AN97" s="26"/>
      <c r="AO97" s="26"/>
      <c r="AP97" s="26"/>
      <c r="AQ97" s="26"/>
      <c r="AR97" s="26"/>
      <c r="AS97" s="26"/>
      <c r="AT97" s="26"/>
      <c r="AU97" s="26"/>
      <c r="AV97" s="26"/>
      <c r="AW97" s="26"/>
    </row>
    <row r="98" spans="1:49" s="48" customFormat="1" ht="35.1" customHeight="1" x14ac:dyDescent="0.25">
      <c r="A98" s="18" t="s">
        <v>44</v>
      </c>
      <c r="B98" s="19">
        <v>46050</v>
      </c>
      <c r="C98" s="19">
        <v>46050</v>
      </c>
      <c r="D98" s="18" t="s">
        <v>196</v>
      </c>
      <c r="E98" s="20">
        <v>0.83333333333333337</v>
      </c>
      <c r="F98" s="20">
        <v>0.875</v>
      </c>
      <c r="G98" s="20">
        <v>3.4722222222222218E-4</v>
      </c>
      <c r="H98" s="18" t="s">
        <v>205</v>
      </c>
      <c r="I98" s="21">
        <v>0.85372893518518511</v>
      </c>
      <c r="J98" s="18" t="s">
        <v>41</v>
      </c>
      <c r="K98" s="18" t="s">
        <v>157</v>
      </c>
      <c r="L98" s="22">
        <v>1</v>
      </c>
      <c r="M98" s="22">
        <v>70981</v>
      </c>
      <c r="N98" s="18" t="s">
        <v>53</v>
      </c>
      <c r="O98" s="22" t="str">
        <f>AC98</f>
        <v>CVC</v>
      </c>
      <c r="P98" s="23">
        <v>58.82</v>
      </c>
      <c r="Q98" s="22"/>
      <c r="R98" s="23">
        <v>58.82</v>
      </c>
      <c r="S98" s="24">
        <v>46054</v>
      </c>
      <c r="T98" s="23">
        <v>4.4115000000000002</v>
      </c>
      <c r="U98" s="25">
        <v>4</v>
      </c>
      <c r="V98" s="23">
        <v>54.408500000000004</v>
      </c>
      <c r="W98" s="18" t="s">
        <v>47</v>
      </c>
      <c r="X98" s="18" t="s">
        <v>48</v>
      </c>
      <c r="Y98" s="18" t="s">
        <v>36</v>
      </c>
      <c r="Z98" s="18" t="s">
        <v>9</v>
      </c>
      <c r="AA98" s="18" t="s">
        <v>49</v>
      </c>
      <c r="AB98" s="18" t="s">
        <v>50</v>
      </c>
      <c r="AC98" s="18" t="s">
        <v>38</v>
      </c>
      <c r="AD98" s="7" t="str">
        <f t="shared" si="1"/>
        <v/>
      </c>
      <c r="AE98" s="26"/>
      <c r="AF98" s="26"/>
      <c r="AG98" s="26"/>
      <c r="AH98" s="26"/>
      <c r="AI98" s="26"/>
      <c r="AJ98" s="26"/>
      <c r="AK98" s="26"/>
      <c r="AL98" s="26"/>
      <c r="AM98" s="26"/>
      <c r="AN98" s="26"/>
      <c r="AO98" s="26"/>
      <c r="AP98" s="26"/>
      <c r="AQ98" s="26"/>
      <c r="AR98" s="26"/>
      <c r="AS98" s="26"/>
      <c r="AT98" s="26"/>
      <c r="AU98" s="26"/>
      <c r="AV98" s="26"/>
      <c r="AW98" s="26"/>
    </row>
    <row r="99" spans="1:49" s="52" customFormat="1" ht="35.1" customHeight="1" x14ac:dyDescent="0.25">
      <c r="A99" s="9" t="s">
        <v>146</v>
      </c>
      <c r="B99" s="10">
        <v>46050</v>
      </c>
      <c r="C99" s="10">
        <v>46050</v>
      </c>
      <c r="D99" s="11" t="s">
        <v>196</v>
      </c>
      <c r="E99" s="12">
        <v>0.875</v>
      </c>
      <c r="F99" s="12">
        <v>0.91666666666666663</v>
      </c>
      <c r="G99" s="12">
        <v>4.1666666666666664E-2</v>
      </c>
      <c r="H99" s="9" t="s">
        <v>147</v>
      </c>
      <c r="I99" s="13"/>
      <c r="J99" s="9" t="s">
        <v>41</v>
      </c>
      <c r="K99" s="9"/>
      <c r="L99" s="14">
        <v>1</v>
      </c>
      <c r="M99" s="14">
        <v>1</v>
      </c>
      <c r="N99" s="9" t="s">
        <v>33</v>
      </c>
      <c r="O99" s="9"/>
      <c r="P99" s="16">
        <v>0</v>
      </c>
      <c r="Q99" s="14"/>
      <c r="R99" s="16">
        <v>0</v>
      </c>
      <c r="S99" s="9">
        <v>46054</v>
      </c>
      <c r="T99" s="16">
        <v>0</v>
      </c>
      <c r="U99" s="14">
        <v>2</v>
      </c>
      <c r="V99" s="16">
        <v>0</v>
      </c>
      <c r="W99" s="9" t="s">
        <v>34</v>
      </c>
      <c r="X99" s="9" t="s">
        <v>42</v>
      </c>
      <c r="Y99" s="9" t="s">
        <v>36</v>
      </c>
      <c r="Z99" s="9" t="s">
        <v>43</v>
      </c>
      <c r="AA99" s="9" t="s">
        <v>37</v>
      </c>
      <c r="AB99" s="9" t="s">
        <v>37</v>
      </c>
      <c r="AC99" s="9" t="s">
        <v>38</v>
      </c>
      <c r="AD99" s="7" t="str">
        <f t="shared" si="1"/>
        <v/>
      </c>
      <c r="AE99" s="26"/>
      <c r="AF99" s="26"/>
      <c r="AG99" s="26"/>
      <c r="AH99" s="26"/>
      <c r="AI99" s="27"/>
      <c r="AJ99" s="27"/>
      <c r="AK99" s="27"/>
      <c r="AL99" s="27"/>
      <c r="AM99" s="27"/>
      <c r="AN99" s="27"/>
      <c r="AO99" s="27"/>
      <c r="AP99" s="27"/>
      <c r="AQ99" s="27"/>
      <c r="AR99" s="27"/>
      <c r="AS99" s="27"/>
      <c r="AT99" s="27"/>
      <c r="AU99" s="27"/>
      <c r="AV99" s="27"/>
      <c r="AW99" s="27"/>
    </row>
    <row r="100" spans="1:49" s="48" customFormat="1" ht="35.1" customHeight="1" x14ac:dyDescent="0.2">
      <c r="A100" s="18" t="s">
        <v>93</v>
      </c>
      <c r="B100" s="19">
        <v>46050</v>
      </c>
      <c r="C100" s="19">
        <v>46050</v>
      </c>
      <c r="D100" s="18" t="s">
        <v>196</v>
      </c>
      <c r="E100" s="20">
        <v>0.79166666666666663</v>
      </c>
      <c r="F100" s="20">
        <v>0.99930555555555556</v>
      </c>
      <c r="G100" s="28">
        <v>1.7361111111111109E-4</v>
      </c>
      <c r="H100" s="29" t="s">
        <v>135</v>
      </c>
      <c r="I100" s="21">
        <v>0.88435405092592601</v>
      </c>
      <c r="J100" s="18" t="s">
        <v>136</v>
      </c>
      <c r="K100" s="18" t="s">
        <v>147</v>
      </c>
      <c r="L100" s="22">
        <v>1</v>
      </c>
      <c r="M100" s="22">
        <v>69567</v>
      </c>
      <c r="N100" s="18" t="s">
        <v>46</v>
      </c>
      <c r="O100" s="22" t="s">
        <v>137</v>
      </c>
      <c r="P100" s="23">
        <v>0</v>
      </c>
      <c r="Q100" s="22"/>
      <c r="R100" s="23">
        <v>0</v>
      </c>
      <c r="S100" s="24">
        <v>46054</v>
      </c>
      <c r="T100" s="23">
        <v>0</v>
      </c>
      <c r="U100" s="25">
        <v>4</v>
      </c>
      <c r="V100" s="23">
        <v>0</v>
      </c>
      <c r="W100" s="18" t="s">
        <v>47</v>
      </c>
      <c r="X100" s="18" t="s">
        <v>48</v>
      </c>
      <c r="Y100" s="18" t="s">
        <v>36</v>
      </c>
      <c r="Z100" s="18" t="s">
        <v>9</v>
      </c>
      <c r="AA100" s="18" t="s">
        <v>49</v>
      </c>
      <c r="AB100" s="18" t="s">
        <v>138</v>
      </c>
      <c r="AC100" s="18" t="s">
        <v>38</v>
      </c>
      <c r="AD100" s="7" t="str">
        <f t="shared" si="1"/>
        <v/>
      </c>
      <c r="AE100" s="9"/>
      <c r="AF100" s="9"/>
      <c r="AG100" s="9"/>
      <c r="AH100" s="9"/>
      <c r="AI100" s="9"/>
      <c r="AJ100" s="9"/>
      <c r="AK100" s="9"/>
      <c r="AL100" s="9"/>
      <c r="AM100" s="9"/>
      <c r="AN100" s="9"/>
      <c r="AO100" s="9"/>
      <c r="AP100" s="9"/>
      <c r="AQ100" s="9"/>
      <c r="AR100" s="9"/>
      <c r="AS100" s="9"/>
      <c r="AT100" s="9"/>
      <c r="AU100" s="9"/>
      <c r="AV100" s="9"/>
      <c r="AW100" s="9"/>
    </row>
    <row r="101" spans="1:49" s="27" customFormat="1" ht="35.1" customHeight="1" x14ac:dyDescent="0.2">
      <c r="A101" s="18" t="s">
        <v>93</v>
      </c>
      <c r="B101" s="19">
        <v>46050</v>
      </c>
      <c r="C101" s="19">
        <v>46050</v>
      </c>
      <c r="D101" s="18" t="s">
        <v>196</v>
      </c>
      <c r="E101" s="20">
        <v>0.79166666666666663</v>
      </c>
      <c r="F101" s="20">
        <v>0.99930555555555556</v>
      </c>
      <c r="G101" s="28">
        <v>1.7361111111111109E-4</v>
      </c>
      <c r="H101" s="29" t="s">
        <v>139</v>
      </c>
      <c r="I101" s="21">
        <v>0.88609027777777771</v>
      </c>
      <c r="J101" s="18" t="s">
        <v>136</v>
      </c>
      <c r="K101" s="18" t="s">
        <v>147</v>
      </c>
      <c r="L101" s="22">
        <v>1</v>
      </c>
      <c r="M101" s="22">
        <v>69567</v>
      </c>
      <c r="N101" s="18" t="s">
        <v>46</v>
      </c>
      <c r="O101" s="22" t="s">
        <v>137</v>
      </c>
      <c r="P101" s="23">
        <v>0</v>
      </c>
      <c r="Q101" s="22"/>
      <c r="R101" s="23">
        <v>0</v>
      </c>
      <c r="S101" s="24">
        <v>46054</v>
      </c>
      <c r="T101" s="23">
        <v>0</v>
      </c>
      <c r="U101" s="25">
        <v>4</v>
      </c>
      <c r="V101" s="23">
        <v>0</v>
      </c>
      <c r="W101" s="18" t="s">
        <v>47</v>
      </c>
      <c r="X101" s="18" t="s">
        <v>48</v>
      </c>
      <c r="Y101" s="18" t="s">
        <v>36</v>
      </c>
      <c r="Z101" s="18" t="s">
        <v>9</v>
      </c>
      <c r="AA101" s="18" t="s">
        <v>49</v>
      </c>
      <c r="AB101" s="18" t="s">
        <v>138</v>
      </c>
      <c r="AC101" s="18" t="s">
        <v>38</v>
      </c>
      <c r="AD101" s="7" t="str">
        <f t="shared" si="1"/>
        <v/>
      </c>
      <c r="AE101" s="9"/>
      <c r="AF101" s="9"/>
      <c r="AG101" s="9"/>
      <c r="AH101" s="9"/>
      <c r="AI101" s="9"/>
      <c r="AJ101" s="9"/>
      <c r="AK101" s="9"/>
      <c r="AL101" s="9"/>
      <c r="AM101" s="9"/>
      <c r="AN101" s="9"/>
      <c r="AO101" s="9"/>
      <c r="AP101" s="9"/>
      <c r="AQ101" s="9"/>
      <c r="AR101" s="9"/>
      <c r="AS101" s="9"/>
      <c r="AT101" s="9"/>
      <c r="AU101" s="9"/>
      <c r="AV101" s="9"/>
      <c r="AW101" s="9"/>
    </row>
    <row r="102" spans="1:49" s="27" customFormat="1" ht="35.1" customHeight="1" x14ac:dyDescent="0.2">
      <c r="A102" s="18" t="s">
        <v>159</v>
      </c>
      <c r="B102" s="19">
        <v>46050</v>
      </c>
      <c r="C102" s="19">
        <v>46050</v>
      </c>
      <c r="D102" s="18" t="s">
        <v>196</v>
      </c>
      <c r="E102" s="20">
        <v>0.25</v>
      </c>
      <c r="F102" s="20">
        <v>0.99930555555555556</v>
      </c>
      <c r="G102" s="28">
        <v>1.7361111111111109E-4</v>
      </c>
      <c r="H102" s="29" t="s">
        <v>160</v>
      </c>
      <c r="I102" s="21">
        <v>0.89078900462962962</v>
      </c>
      <c r="J102" s="18" t="s">
        <v>41</v>
      </c>
      <c r="K102" s="18" t="s">
        <v>147</v>
      </c>
      <c r="L102" s="22">
        <v>1</v>
      </c>
      <c r="M102" s="22">
        <v>71099</v>
      </c>
      <c r="N102" s="18" t="s">
        <v>46</v>
      </c>
      <c r="O102" s="22" t="s">
        <v>161</v>
      </c>
      <c r="P102" s="23">
        <v>0</v>
      </c>
      <c r="Q102" s="22"/>
      <c r="R102" s="23">
        <v>0</v>
      </c>
      <c r="S102" s="24">
        <v>46054</v>
      </c>
      <c r="T102" s="23">
        <v>0</v>
      </c>
      <c r="U102" s="25">
        <v>4</v>
      </c>
      <c r="V102" s="23">
        <v>0</v>
      </c>
      <c r="W102" s="18" t="s">
        <v>47</v>
      </c>
      <c r="X102" s="18" t="s">
        <v>48</v>
      </c>
      <c r="Y102" s="18" t="s">
        <v>36</v>
      </c>
      <c r="Z102" s="18" t="s">
        <v>9</v>
      </c>
      <c r="AA102" s="18" t="s">
        <v>49</v>
      </c>
      <c r="AB102" s="18" t="s">
        <v>162</v>
      </c>
      <c r="AC102" s="18" t="s">
        <v>38</v>
      </c>
      <c r="AD102" s="7" t="str">
        <f t="shared" si="1"/>
        <v/>
      </c>
      <c r="AE102" s="9"/>
      <c r="AF102" s="9"/>
      <c r="AG102" s="9"/>
      <c r="AH102" s="9"/>
      <c r="AI102" s="9"/>
      <c r="AJ102" s="9"/>
      <c r="AK102" s="9"/>
      <c r="AL102" s="9"/>
      <c r="AM102" s="9"/>
      <c r="AN102" s="9"/>
      <c r="AO102" s="9"/>
      <c r="AP102" s="9"/>
      <c r="AQ102" s="9"/>
      <c r="AR102" s="9"/>
      <c r="AS102" s="9"/>
      <c r="AT102" s="9"/>
      <c r="AU102" s="9"/>
      <c r="AV102" s="9"/>
      <c r="AW102" s="9"/>
    </row>
    <row r="103" spans="1:49" s="27" customFormat="1" ht="35.1" customHeight="1" x14ac:dyDescent="0.25">
      <c r="A103" s="18" t="s">
        <v>159</v>
      </c>
      <c r="B103" s="19">
        <v>46050</v>
      </c>
      <c r="C103" s="19">
        <v>46050</v>
      </c>
      <c r="D103" s="18" t="s">
        <v>196</v>
      </c>
      <c r="E103" s="20">
        <v>0.25</v>
      </c>
      <c r="F103" s="20">
        <v>0.99930555555555556</v>
      </c>
      <c r="G103" s="28">
        <v>1.7361111111111109E-4</v>
      </c>
      <c r="H103" s="29" t="s">
        <v>163</v>
      </c>
      <c r="I103" s="21">
        <v>0.89165729166666674</v>
      </c>
      <c r="J103" s="18" t="s">
        <v>41</v>
      </c>
      <c r="K103" s="18" t="s">
        <v>147</v>
      </c>
      <c r="L103" s="22">
        <v>1</v>
      </c>
      <c r="M103" s="22">
        <v>71099</v>
      </c>
      <c r="N103" s="18" t="s">
        <v>46</v>
      </c>
      <c r="O103" s="22" t="s">
        <v>161</v>
      </c>
      <c r="P103" s="23">
        <v>0</v>
      </c>
      <c r="Q103" s="22"/>
      <c r="R103" s="23">
        <v>0</v>
      </c>
      <c r="S103" s="24">
        <v>46054</v>
      </c>
      <c r="T103" s="23">
        <v>0</v>
      </c>
      <c r="U103" s="25">
        <v>4</v>
      </c>
      <c r="V103" s="23">
        <v>0</v>
      </c>
      <c r="W103" s="18" t="s">
        <v>47</v>
      </c>
      <c r="X103" s="18" t="s">
        <v>48</v>
      </c>
      <c r="Y103" s="18" t="s">
        <v>36</v>
      </c>
      <c r="Z103" s="18" t="s">
        <v>9</v>
      </c>
      <c r="AA103" s="18" t="s">
        <v>49</v>
      </c>
      <c r="AB103" s="18" t="s">
        <v>162</v>
      </c>
      <c r="AC103" s="18" t="s">
        <v>38</v>
      </c>
      <c r="AD103" s="7" t="str">
        <f t="shared" si="1"/>
        <v/>
      </c>
      <c r="AE103" s="26"/>
      <c r="AF103" s="26"/>
      <c r="AG103" s="26"/>
      <c r="AH103" s="26"/>
      <c r="AI103" s="26"/>
      <c r="AJ103" s="26"/>
      <c r="AK103" s="26"/>
      <c r="AL103" s="26"/>
      <c r="AM103" s="26"/>
      <c r="AN103" s="26"/>
      <c r="AO103" s="26"/>
      <c r="AP103" s="26"/>
      <c r="AQ103" s="26"/>
      <c r="AR103" s="26"/>
      <c r="AS103" s="26"/>
      <c r="AT103" s="26"/>
      <c r="AU103" s="26"/>
      <c r="AV103" s="26"/>
      <c r="AW103" s="26"/>
    </row>
    <row r="104" spans="1:49" s="27" customFormat="1" ht="35.1" customHeight="1" x14ac:dyDescent="0.25">
      <c r="A104" s="18" t="s">
        <v>56</v>
      </c>
      <c r="B104" s="19">
        <v>46050</v>
      </c>
      <c r="C104" s="19">
        <v>46050</v>
      </c>
      <c r="D104" s="18" t="s">
        <v>196</v>
      </c>
      <c r="E104" s="20">
        <v>0.25</v>
      </c>
      <c r="F104" s="20">
        <v>0.99930555555555556</v>
      </c>
      <c r="G104" s="28">
        <v>1.7361111111111112E-4</v>
      </c>
      <c r="H104" s="29" t="s">
        <v>57</v>
      </c>
      <c r="I104" s="21">
        <v>0.90589120370370368</v>
      </c>
      <c r="J104" s="18" t="s">
        <v>41</v>
      </c>
      <c r="K104" s="18" t="s">
        <v>147</v>
      </c>
      <c r="L104" s="22">
        <v>1</v>
      </c>
      <c r="M104" s="22">
        <v>69827</v>
      </c>
      <c r="N104" s="18" t="s">
        <v>53</v>
      </c>
      <c r="O104" s="22"/>
      <c r="P104" s="23">
        <v>23</v>
      </c>
      <c r="Q104" s="22"/>
      <c r="R104" s="23">
        <v>23</v>
      </c>
      <c r="S104" s="24">
        <v>46050</v>
      </c>
      <c r="T104" s="23">
        <v>0</v>
      </c>
      <c r="U104" s="25">
        <v>4</v>
      </c>
      <c r="V104" s="23">
        <v>23</v>
      </c>
      <c r="W104" s="18" t="s">
        <v>34</v>
      </c>
      <c r="X104" s="18" t="s">
        <v>48</v>
      </c>
      <c r="Y104" s="18" t="s">
        <v>58</v>
      </c>
      <c r="Z104" s="18" t="s">
        <v>43</v>
      </c>
      <c r="AA104" s="18" t="s">
        <v>49</v>
      </c>
      <c r="AB104" s="18" t="s">
        <v>59</v>
      </c>
      <c r="AC104" s="18" t="s">
        <v>38</v>
      </c>
      <c r="AD104" s="7" t="str">
        <f t="shared" si="1"/>
        <v/>
      </c>
      <c r="AE104" s="26"/>
      <c r="AF104" s="26"/>
      <c r="AG104" s="26"/>
      <c r="AH104" s="26"/>
      <c r="AI104" s="26"/>
      <c r="AJ104" s="26"/>
      <c r="AK104" s="26"/>
      <c r="AL104" s="26"/>
      <c r="AM104" s="26"/>
      <c r="AN104" s="26"/>
      <c r="AO104" s="26"/>
      <c r="AP104" s="26"/>
      <c r="AQ104" s="26"/>
      <c r="AR104" s="26"/>
      <c r="AS104" s="26"/>
      <c r="AT104" s="26"/>
      <c r="AU104" s="26"/>
      <c r="AV104" s="26"/>
      <c r="AW104" s="26"/>
    </row>
    <row r="105" spans="1:49" s="27" customFormat="1" ht="35.1" customHeight="1" x14ac:dyDescent="0.25">
      <c r="A105" s="18" t="s">
        <v>56</v>
      </c>
      <c r="B105" s="19">
        <v>46050</v>
      </c>
      <c r="C105" s="19">
        <v>46050</v>
      </c>
      <c r="D105" s="18" t="s">
        <v>196</v>
      </c>
      <c r="E105" s="20">
        <v>0.25</v>
      </c>
      <c r="F105" s="20">
        <v>0.99930555555555556</v>
      </c>
      <c r="G105" s="28">
        <v>1.7361111111111112E-4</v>
      </c>
      <c r="H105" s="29" t="s">
        <v>60</v>
      </c>
      <c r="I105" s="21">
        <v>0.90780104166666664</v>
      </c>
      <c r="J105" s="18" t="s">
        <v>41</v>
      </c>
      <c r="K105" s="18" t="s">
        <v>147</v>
      </c>
      <c r="L105" s="22">
        <v>1</v>
      </c>
      <c r="M105" s="22">
        <v>69827</v>
      </c>
      <c r="N105" s="18" t="s">
        <v>53</v>
      </c>
      <c r="O105" s="22"/>
      <c r="P105" s="23">
        <v>0</v>
      </c>
      <c r="Q105" s="22"/>
      <c r="R105" s="23">
        <v>0</v>
      </c>
      <c r="S105" s="24">
        <v>46050</v>
      </c>
      <c r="T105" s="23">
        <v>0</v>
      </c>
      <c r="U105" s="25">
        <v>4</v>
      </c>
      <c r="V105" s="23">
        <v>0</v>
      </c>
      <c r="W105" s="18" t="s">
        <v>34</v>
      </c>
      <c r="X105" s="18" t="s">
        <v>48</v>
      </c>
      <c r="Y105" s="18" t="s">
        <v>58</v>
      </c>
      <c r="Z105" s="18" t="s">
        <v>43</v>
      </c>
      <c r="AA105" s="18" t="s">
        <v>49</v>
      </c>
      <c r="AB105" s="18" t="s">
        <v>59</v>
      </c>
      <c r="AC105" s="18" t="s">
        <v>38</v>
      </c>
      <c r="AD105" s="7" t="str">
        <f t="shared" si="1"/>
        <v/>
      </c>
      <c r="AE105" s="26"/>
      <c r="AF105" s="26"/>
      <c r="AG105" s="26"/>
      <c r="AH105" s="26"/>
      <c r="AI105" s="26"/>
      <c r="AJ105" s="26"/>
      <c r="AK105" s="26"/>
      <c r="AL105" s="26"/>
      <c r="AM105" s="26"/>
      <c r="AN105" s="26"/>
      <c r="AO105" s="26"/>
      <c r="AP105" s="26"/>
      <c r="AQ105" s="26"/>
      <c r="AR105" s="26"/>
      <c r="AS105" s="26"/>
      <c r="AT105" s="26"/>
      <c r="AU105" s="26"/>
      <c r="AV105" s="26"/>
      <c r="AW105" s="26"/>
    </row>
    <row r="106" spans="1:49" s="52" customFormat="1" ht="35.1" customHeight="1" x14ac:dyDescent="0.2">
      <c r="A106" s="9" t="s">
        <v>146</v>
      </c>
      <c r="B106" s="10">
        <v>46050</v>
      </c>
      <c r="C106" s="10">
        <v>46050</v>
      </c>
      <c r="D106" s="11" t="s">
        <v>196</v>
      </c>
      <c r="E106" s="12">
        <v>0.91666666666666663</v>
      </c>
      <c r="F106" s="12">
        <v>0.97916666666666663</v>
      </c>
      <c r="G106" s="12">
        <v>6.25E-2</v>
      </c>
      <c r="H106" s="9" t="s">
        <v>206</v>
      </c>
      <c r="I106" s="13"/>
      <c r="J106" s="9" t="s">
        <v>41</v>
      </c>
      <c r="K106" s="9"/>
      <c r="L106" s="14">
        <v>1</v>
      </c>
      <c r="M106" s="14">
        <v>1</v>
      </c>
      <c r="N106" s="9" t="s">
        <v>33</v>
      </c>
      <c r="O106" s="9"/>
      <c r="P106" s="16">
        <v>0</v>
      </c>
      <c r="Q106" s="14"/>
      <c r="R106" s="16">
        <v>0</v>
      </c>
      <c r="S106" s="9">
        <v>46054</v>
      </c>
      <c r="T106" s="16">
        <v>0</v>
      </c>
      <c r="U106" s="14">
        <v>2</v>
      </c>
      <c r="V106" s="16">
        <v>0</v>
      </c>
      <c r="W106" s="9" t="s">
        <v>34</v>
      </c>
      <c r="X106" s="9" t="s">
        <v>42</v>
      </c>
      <c r="Y106" s="9" t="s">
        <v>36</v>
      </c>
      <c r="Z106" s="9" t="s">
        <v>43</v>
      </c>
      <c r="AA106" s="9" t="s">
        <v>37</v>
      </c>
      <c r="AB106" s="9" t="s">
        <v>37</v>
      </c>
      <c r="AC106" s="9" t="s">
        <v>38</v>
      </c>
      <c r="AD106" s="7" t="str">
        <f t="shared" si="1"/>
        <v/>
      </c>
      <c r="AE106" s="9"/>
      <c r="AF106" s="9"/>
      <c r="AG106" s="9"/>
      <c r="AH106" s="9"/>
      <c r="AI106" s="9"/>
      <c r="AJ106" s="9"/>
      <c r="AK106" s="9"/>
      <c r="AL106" s="9"/>
      <c r="AM106" s="9"/>
      <c r="AN106" s="9"/>
      <c r="AO106" s="9"/>
      <c r="AP106" s="9"/>
      <c r="AQ106" s="9"/>
      <c r="AR106" s="9"/>
      <c r="AS106" s="9"/>
      <c r="AT106" s="9"/>
      <c r="AU106" s="9"/>
      <c r="AV106" s="9"/>
      <c r="AW106" s="9"/>
    </row>
    <row r="107" spans="1:49" s="27" customFormat="1" ht="35.1" customHeight="1" x14ac:dyDescent="0.25">
      <c r="A107" s="18" t="s">
        <v>93</v>
      </c>
      <c r="B107" s="19">
        <v>46050</v>
      </c>
      <c r="C107" s="19">
        <v>46050</v>
      </c>
      <c r="D107" s="18" t="s">
        <v>196</v>
      </c>
      <c r="E107" s="20">
        <v>0.79166666666666663</v>
      </c>
      <c r="F107" s="20">
        <v>0.99930555555555556</v>
      </c>
      <c r="G107" s="28">
        <v>1.7361111111111109E-4</v>
      </c>
      <c r="H107" s="29" t="s">
        <v>135</v>
      </c>
      <c r="I107" s="21">
        <v>0.93502581018518516</v>
      </c>
      <c r="J107" s="18" t="s">
        <v>136</v>
      </c>
      <c r="K107" s="18" t="s">
        <v>206</v>
      </c>
      <c r="L107" s="22">
        <v>1</v>
      </c>
      <c r="M107" s="22">
        <v>69567</v>
      </c>
      <c r="N107" s="18" t="s">
        <v>46</v>
      </c>
      <c r="O107" s="22" t="s">
        <v>137</v>
      </c>
      <c r="P107" s="23">
        <v>0</v>
      </c>
      <c r="Q107" s="22"/>
      <c r="R107" s="23">
        <v>0</v>
      </c>
      <c r="S107" s="24">
        <v>46054</v>
      </c>
      <c r="T107" s="23">
        <v>0</v>
      </c>
      <c r="U107" s="25">
        <v>4</v>
      </c>
      <c r="V107" s="23">
        <v>0</v>
      </c>
      <c r="W107" s="18" t="s">
        <v>47</v>
      </c>
      <c r="X107" s="18" t="s">
        <v>48</v>
      </c>
      <c r="Y107" s="18" t="s">
        <v>36</v>
      </c>
      <c r="Z107" s="18" t="s">
        <v>9</v>
      </c>
      <c r="AA107" s="18" t="s">
        <v>49</v>
      </c>
      <c r="AB107" s="18" t="s">
        <v>138</v>
      </c>
      <c r="AC107" s="18" t="s">
        <v>38</v>
      </c>
      <c r="AD107" s="7" t="str">
        <f t="shared" si="1"/>
        <v/>
      </c>
      <c r="AE107" s="26"/>
      <c r="AF107" s="26"/>
      <c r="AG107" s="26"/>
      <c r="AH107" s="26"/>
      <c r="AI107" s="26"/>
      <c r="AJ107" s="26"/>
      <c r="AK107" s="26"/>
      <c r="AL107" s="26"/>
      <c r="AM107" s="26"/>
      <c r="AN107" s="26"/>
      <c r="AO107" s="26"/>
      <c r="AP107" s="26"/>
      <c r="AQ107" s="26"/>
      <c r="AR107" s="26"/>
      <c r="AS107" s="26"/>
      <c r="AT107" s="26"/>
      <c r="AU107" s="26"/>
      <c r="AV107" s="26"/>
      <c r="AW107" s="26"/>
    </row>
    <row r="108" spans="1:49" s="27" customFormat="1" ht="35.1" customHeight="1" x14ac:dyDescent="0.25">
      <c r="A108" s="18" t="s">
        <v>93</v>
      </c>
      <c r="B108" s="19">
        <v>46050</v>
      </c>
      <c r="C108" s="19">
        <v>46050</v>
      </c>
      <c r="D108" s="18" t="s">
        <v>196</v>
      </c>
      <c r="E108" s="20">
        <v>0.79166666666666663</v>
      </c>
      <c r="F108" s="20">
        <v>0.99930555555555556</v>
      </c>
      <c r="G108" s="28">
        <v>1.7361111111111109E-4</v>
      </c>
      <c r="H108" s="29" t="s">
        <v>139</v>
      </c>
      <c r="I108" s="21">
        <v>0.93745636574074065</v>
      </c>
      <c r="J108" s="18" t="s">
        <v>136</v>
      </c>
      <c r="K108" s="18" t="s">
        <v>206</v>
      </c>
      <c r="L108" s="22">
        <v>1</v>
      </c>
      <c r="M108" s="22">
        <v>69567</v>
      </c>
      <c r="N108" s="18" t="s">
        <v>46</v>
      </c>
      <c r="O108" s="22" t="s">
        <v>137</v>
      </c>
      <c r="P108" s="23">
        <v>0</v>
      </c>
      <c r="Q108" s="22"/>
      <c r="R108" s="23">
        <v>0</v>
      </c>
      <c r="S108" s="24">
        <v>46054</v>
      </c>
      <c r="T108" s="23">
        <v>0</v>
      </c>
      <c r="U108" s="25">
        <v>4</v>
      </c>
      <c r="V108" s="23">
        <v>0</v>
      </c>
      <c r="W108" s="18" t="s">
        <v>47</v>
      </c>
      <c r="X108" s="18" t="s">
        <v>48</v>
      </c>
      <c r="Y108" s="18" t="s">
        <v>36</v>
      </c>
      <c r="Z108" s="18" t="s">
        <v>9</v>
      </c>
      <c r="AA108" s="18" t="s">
        <v>49</v>
      </c>
      <c r="AB108" s="18" t="s">
        <v>138</v>
      </c>
      <c r="AC108" s="18" t="s">
        <v>38</v>
      </c>
      <c r="AD108" s="7" t="str">
        <f t="shared" si="1"/>
        <v/>
      </c>
      <c r="AE108" s="26"/>
      <c r="AF108" s="26"/>
      <c r="AG108" s="26"/>
      <c r="AH108" s="26"/>
      <c r="AI108" s="26"/>
      <c r="AJ108" s="26"/>
      <c r="AK108" s="26"/>
      <c r="AL108" s="26"/>
      <c r="AM108" s="26"/>
      <c r="AN108" s="26"/>
      <c r="AO108" s="26"/>
      <c r="AP108" s="26"/>
      <c r="AQ108" s="26"/>
      <c r="AR108" s="26"/>
      <c r="AS108" s="26"/>
      <c r="AT108" s="26"/>
      <c r="AU108" s="26"/>
      <c r="AV108" s="26"/>
      <c r="AW108" s="26"/>
    </row>
    <row r="109" spans="1:49" s="27" customFormat="1" ht="35.1" customHeight="1" x14ac:dyDescent="0.25">
      <c r="A109" s="18" t="s">
        <v>127</v>
      </c>
      <c r="B109" s="19">
        <v>46050</v>
      </c>
      <c r="C109" s="19">
        <v>46050</v>
      </c>
      <c r="D109" s="18" t="s">
        <v>196</v>
      </c>
      <c r="E109" s="20">
        <v>0.875</v>
      </c>
      <c r="F109" s="20">
        <v>0.97916666666666663</v>
      </c>
      <c r="G109" s="20">
        <v>3.4722222222222218E-4</v>
      </c>
      <c r="H109" s="18" t="s">
        <v>192</v>
      </c>
      <c r="I109" s="21">
        <v>0.94667835648148146</v>
      </c>
      <c r="J109" s="18" t="s">
        <v>41</v>
      </c>
      <c r="K109" s="18" t="s">
        <v>206</v>
      </c>
      <c r="L109" s="22">
        <v>1</v>
      </c>
      <c r="M109" s="22">
        <v>69753</v>
      </c>
      <c r="N109" s="18" t="s">
        <v>53</v>
      </c>
      <c r="O109" s="22" t="s">
        <v>129</v>
      </c>
      <c r="P109" s="23">
        <v>65</v>
      </c>
      <c r="Q109" s="22"/>
      <c r="R109" s="23">
        <v>65</v>
      </c>
      <c r="S109" s="24">
        <v>46054</v>
      </c>
      <c r="T109" s="23">
        <v>9.75</v>
      </c>
      <c r="U109" s="25">
        <v>4</v>
      </c>
      <c r="V109" s="23">
        <v>55.25</v>
      </c>
      <c r="W109" s="18" t="s">
        <v>47</v>
      </c>
      <c r="X109" s="18" t="s">
        <v>48</v>
      </c>
      <c r="Y109" s="18" t="s">
        <v>36</v>
      </c>
      <c r="Z109" s="18" t="s">
        <v>9</v>
      </c>
      <c r="AA109" s="18" t="s">
        <v>49</v>
      </c>
      <c r="AB109" s="18" t="s">
        <v>130</v>
      </c>
      <c r="AC109" s="18" t="s">
        <v>38</v>
      </c>
      <c r="AD109" s="7" t="str">
        <f t="shared" si="1"/>
        <v/>
      </c>
      <c r="AE109" s="26"/>
      <c r="AF109" s="26"/>
      <c r="AG109" s="26"/>
      <c r="AH109" s="26"/>
      <c r="AI109" s="26"/>
      <c r="AJ109" s="26"/>
      <c r="AK109" s="26"/>
      <c r="AL109" s="26"/>
      <c r="AM109" s="26"/>
      <c r="AN109" s="26"/>
      <c r="AO109" s="26"/>
      <c r="AP109" s="26"/>
      <c r="AQ109" s="26"/>
      <c r="AR109" s="26"/>
      <c r="AS109" s="26"/>
      <c r="AT109" s="26"/>
      <c r="AU109" s="26"/>
      <c r="AV109" s="26"/>
      <c r="AW109" s="26"/>
    </row>
    <row r="110" spans="1:49" s="27" customFormat="1" ht="35.1" customHeight="1" x14ac:dyDescent="0.25">
      <c r="A110" s="18" t="s">
        <v>78</v>
      </c>
      <c r="B110" s="19">
        <v>46050</v>
      </c>
      <c r="C110" s="19">
        <v>46050</v>
      </c>
      <c r="D110" s="18" t="s">
        <v>196</v>
      </c>
      <c r="E110" s="20">
        <v>0.79166666666666663</v>
      </c>
      <c r="F110" s="20">
        <v>0.99930555555555556</v>
      </c>
      <c r="G110" s="20">
        <v>3.4722222222222218E-4</v>
      </c>
      <c r="H110" s="18" t="s">
        <v>133</v>
      </c>
      <c r="I110" s="21">
        <v>0.94528113425925919</v>
      </c>
      <c r="J110" s="18" t="s">
        <v>41</v>
      </c>
      <c r="K110" s="18" t="s">
        <v>206</v>
      </c>
      <c r="L110" s="22">
        <v>1</v>
      </c>
      <c r="M110" s="22">
        <v>64937</v>
      </c>
      <c r="N110" s="18" t="s">
        <v>46</v>
      </c>
      <c r="O110" s="22"/>
      <c r="P110" s="23">
        <v>0</v>
      </c>
      <c r="Q110" s="22"/>
      <c r="R110" s="23">
        <v>0</v>
      </c>
      <c r="S110" s="24">
        <v>46054</v>
      </c>
      <c r="T110" s="23">
        <v>0</v>
      </c>
      <c r="U110" s="25">
        <v>4</v>
      </c>
      <c r="V110" s="23">
        <v>0</v>
      </c>
      <c r="W110" s="18" t="s">
        <v>47</v>
      </c>
      <c r="X110" s="18" t="s">
        <v>48</v>
      </c>
      <c r="Y110" s="18" t="s">
        <v>36</v>
      </c>
      <c r="Z110" s="18" t="s">
        <v>9</v>
      </c>
      <c r="AA110" s="18" t="s">
        <v>49</v>
      </c>
      <c r="AB110" s="18" t="s">
        <v>134</v>
      </c>
      <c r="AC110" s="18" t="s">
        <v>38</v>
      </c>
      <c r="AD110" s="7" t="str">
        <f t="shared" si="1"/>
        <v/>
      </c>
      <c r="AE110" s="26"/>
      <c r="AF110" s="26"/>
      <c r="AG110" s="26"/>
      <c r="AH110" s="26"/>
      <c r="AI110" s="26"/>
      <c r="AJ110" s="26"/>
      <c r="AK110" s="26"/>
      <c r="AL110" s="26"/>
      <c r="AM110" s="26"/>
      <c r="AN110" s="26"/>
      <c r="AO110" s="26"/>
      <c r="AP110" s="26"/>
      <c r="AQ110" s="26"/>
      <c r="AR110" s="26"/>
      <c r="AS110" s="26"/>
      <c r="AT110" s="26"/>
      <c r="AU110" s="26"/>
      <c r="AV110" s="26"/>
      <c r="AW110" s="26"/>
    </row>
    <row r="111" spans="1:49" s="52" customFormat="1" ht="35.1" customHeight="1" x14ac:dyDescent="0.2">
      <c r="A111" s="9" t="s">
        <v>39</v>
      </c>
      <c r="B111" s="10">
        <v>46050</v>
      </c>
      <c r="C111" s="10">
        <v>46050</v>
      </c>
      <c r="D111" s="11" t="s">
        <v>196</v>
      </c>
      <c r="E111" s="12">
        <v>0.97916666666666663</v>
      </c>
      <c r="F111" s="12">
        <v>1</v>
      </c>
      <c r="G111" s="12">
        <v>2.0833333333333332E-2</v>
      </c>
      <c r="H111" s="9" t="s">
        <v>149</v>
      </c>
      <c r="I111" s="13"/>
      <c r="J111" s="9" t="s">
        <v>132</v>
      </c>
      <c r="K111" s="9"/>
      <c r="L111" s="14">
        <v>1</v>
      </c>
      <c r="M111" s="14">
        <v>1</v>
      </c>
      <c r="N111" s="9" t="s">
        <v>33</v>
      </c>
      <c r="O111" s="9"/>
      <c r="P111" s="16">
        <v>0</v>
      </c>
      <c r="Q111" s="14"/>
      <c r="R111" s="16">
        <v>0</v>
      </c>
      <c r="S111" s="9">
        <v>46054</v>
      </c>
      <c r="T111" s="16">
        <v>0</v>
      </c>
      <c r="U111" s="14">
        <v>2</v>
      </c>
      <c r="V111" s="16">
        <v>0</v>
      </c>
      <c r="W111" s="9" t="s">
        <v>34</v>
      </c>
      <c r="X111" s="9" t="s">
        <v>42</v>
      </c>
      <c r="Y111" s="9" t="s">
        <v>36</v>
      </c>
      <c r="Z111" s="9" t="s">
        <v>43</v>
      </c>
      <c r="AA111" s="9" t="s">
        <v>37</v>
      </c>
      <c r="AB111" s="9" t="s">
        <v>37</v>
      </c>
      <c r="AC111" s="9" t="s">
        <v>38</v>
      </c>
      <c r="AD111" s="7" t="str">
        <f t="shared" si="1"/>
        <v/>
      </c>
      <c r="AE111" s="9"/>
      <c r="AF111" s="9"/>
      <c r="AG111" s="9"/>
      <c r="AH111" s="9"/>
      <c r="AI111" s="9"/>
      <c r="AJ111" s="9"/>
      <c r="AK111" s="9"/>
      <c r="AL111" s="9"/>
      <c r="AM111" s="9"/>
      <c r="AN111" s="9"/>
      <c r="AO111" s="9"/>
      <c r="AP111" s="9"/>
      <c r="AQ111" s="9"/>
      <c r="AR111" s="9"/>
      <c r="AS111" s="9"/>
      <c r="AT111" s="9"/>
      <c r="AU111" s="9"/>
      <c r="AV111" s="9"/>
      <c r="AW111" s="9"/>
    </row>
    <row r="112" spans="1:49" s="27" customFormat="1" ht="35.1" customHeight="1" x14ac:dyDescent="0.25">
      <c r="A112" s="18" t="s">
        <v>159</v>
      </c>
      <c r="B112" s="19">
        <v>46050</v>
      </c>
      <c r="C112" s="19">
        <v>46050</v>
      </c>
      <c r="D112" s="18" t="s">
        <v>196</v>
      </c>
      <c r="E112" s="20">
        <v>0.25</v>
      </c>
      <c r="F112" s="20">
        <v>0.99930555555555556</v>
      </c>
      <c r="G112" s="28">
        <v>1.7361111111111109E-4</v>
      </c>
      <c r="H112" s="29" t="s">
        <v>160</v>
      </c>
      <c r="I112" s="21">
        <v>0.98807870370370365</v>
      </c>
      <c r="J112" s="18" t="s">
        <v>41</v>
      </c>
      <c r="K112" s="18" t="s">
        <v>149</v>
      </c>
      <c r="L112" s="22">
        <v>1</v>
      </c>
      <c r="M112" s="22">
        <v>71099</v>
      </c>
      <c r="N112" s="18" t="s">
        <v>46</v>
      </c>
      <c r="O112" s="22" t="s">
        <v>161</v>
      </c>
      <c r="P112" s="23">
        <v>0</v>
      </c>
      <c r="Q112" s="22"/>
      <c r="R112" s="23">
        <v>0</v>
      </c>
      <c r="S112" s="24">
        <v>46054</v>
      </c>
      <c r="T112" s="23">
        <v>0</v>
      </c>
      <c r="U112" s="25">
        <v>4</v>
      </c>
      <c r="V112" s="23">
        <v>0</v>
      </c>
      <c r="W112" s="18" t="s">
        <v>47</v>
      </c>
      <c r="X112" s="18" t="s">
        <v>48</v>
      </c>
      <c r="Y112" s="18" t="s">
        <v>36</v>
      </c>
      <c r="Z112" s="18" t="s">
        <v>9</v>
      </c>
      <c r="AA112" s="18" t="s">
        <v>49</v>
      </c>
      <c r="AB112" s="18" t="s">
        <v>162</v>
      </c>
      <c r="AC112" s="18" t="s">
        <v>38</v>
      </c>
      <c r="AD112" s="7" t="str">
        <f t="shared" si="1"/>
        <v/>
      </c>
      <c r="AE112" s="26"/>
      <c r="AF112" s="26"/>
      <c r="AG112" s="26"/>
      <c r="AH112" s="26"/>
      <c r="AI112" s="26"/>
      <c r="AJ112" s="26"/>
      <c r="AK112" s="26"/>
      <c r="AL112" s="26"/>
      <c r="AM112" s="26"/>
      <c r="AN112" s="26"/>
      <c r="AO112" s="26"/>
      <c r="AP112" s="26"/>
      <c r="AQ112" s="26"/>
      <c r="AR112" s="26"/>
      <c r="AS112" s="26"/>
      <c r="AT112" s="26"/>
      <c r="AU112" s="26"/>
      <c r="AV112" s="26"/>
      <c r="AW112" s="26"/>
    </row>
    <row r="113" spans="1:49" s="27" customFormat="1" ht="35.1" customHeight="1" x14ac:dyDescent="0.25">
      <c r="A113" s="18" t="s">
        <v>159</v>
      </c>
      <c r="B113" s="19">
        <v>46050</v>
      </c>
      <c r="C113" s="19">
        <v>46050</v>
      </c>
      <c r="D113" s="18" t="s">
        <v>196</v>
      </c>
      <c r="E113" s="20">
        <v>0.25</v>
      </c>
      <c r="F113" s="20">
        <v>0.99930555555555556</v>
      </c>
      <c r="G113" s="28">
        <v>1.7361111111111109E-4</v>
      </c>
      <c r="H113" s="29" t="s">
        <v>163</v>
      </c>
      <c r="I113" s="21">
        <v>0.99016226851851852</v>
      </c>
      <c r="J113" s="18" t="s">
        <v>41</v>
      </c>
      <c r="K113" s="18" t="s">
        <v>149</v>
      </c>
      <c r="L113" s="22">
        <v>1</v>
      </c>
      <c r="M113" s="22">
        <v>71099</v>
      </c>
      <c r="N113" s="18" t="s">
        <v>46</v>
      </c>
      <c r="O113" s="22" t="s">
        <v>161</v>
      </c>
      <c r="P113" s="23">
        <v>0</v>
      </c>
      <c r="Q113" s="22"/>
      <c r="R113" s="23">
        <v>0</v>
      </c>
      <c r="S113" s="24">
        <v>46054</v>
      </c>
      <c r="T113" s="23">
        <v>0</v>
      </c>
      <c r="U113" s="25">
        <v>4</v>
      </c>
      <c r="V113" s="23">
        <v>0</v>
      </c>
      <c r="W113" s="18" t="s">
        <v>47</v>
      </c>
      <c r="X113" s="18" t="s">
        <v>48</v>
      </c>
      <c r="Y113" s="18" t="s">
        <v>36</v>
      </c>
      <c r="Z113" s="18" t="s">
        <v>9</v>
      </c>
      <c r="AA113" s="18" t="s">
        <v>49</v>
      </c>
      <c r="AB113" s="18" t="s">
        <v>162</v>
      </c>
      <c r="AC113" s="18" t="s">
        <v>38</v>
      </c>
      <c r="AD113" s="7" t="str">
        <f t="shared" si="1"/>
        <v/>
      </c>
      <c r="AE113" s="26"/>
      <c r="AF113" s="26"/>
      <c r="AG113" s="26"/>
      <c r="AH113" s="26"/>
    </row>
    <row r="114" spans="1:49" s="27" customFormat="1" ht="35.1" customHeight="1" x14ac:dyDescent="0.25">
      <c r="A114" s="18" t="s">
        <v>78</v>
      </c>
      <c r="B114" s="19">
        <v>46050</v>
      </c>
      <c r="C114" s="19">
        <v>46050</v>
      </c>
      <c r="D114" s="18" t="s">
        <v>196</v>
      </c>
      <c r="E114" s="20">
        <v>0.79166666666666663</v>
      </c>
      <c r="F114" s="20">
        <v>0.99930555555555556</v>
      </c>
      <c r="G114" s="20">
        <v>3.4722222222222218E-4</v>
      </c>
      <c r="H114" s="18" t="s">
        <v>133</v>
      </c>
      <c r="I114" s="21">
        <v>0.98825254629629633</v>
      </c>
      <c r="J114" s="18" t="s">
        <v>132</v>
      </c>
      <c r="K114" s="18" t="s">
        <v>149</v>
      </c>
      <c r="L114" s="22">
        <v>1</v>
      </c>
      <c r="M114" s="22">
        <v>64932</v>
      </c>
      <c r="N114" s="18" t="s">
        <v>53</v>
      </c>
      <c r="O114" s="22"/>
      <c r="P114" s="23">
        <v>30</v>
      </c>
      <c r="Q114" s="22"/>
      <c r="R114" s="23">
        <v>30</v>
      </c>
      <c r="S114" s="24">
        <v>46054</v>
      </c>
      <c r="T114" s="23">
        <v>0</v>
      </c>
      <c r="U114" s="25">
        <v>4</v>
      </c>
      <c r="V114" s="23">
        <v>30</v>
      </c>
      <c r="W114" s="18" t="s">
        <v>47</v>
      </c>
      <c r="X114" s="18" t="s">
        <v>48</v>
      </c>
      <c r="Y114" s="18" t="s">
        <v>36</v>
      </c>
      <c r="Z114" s="18" t="s">
        <v>9</v>
      </c>
      <c r="AA114" s="18" t="s">
        <v>49</v>
      </c>
      <c r="AB114" s="18" t="s">
        <v>134</v>
      </c>
      <c r="AC114" s="18" t="s">
        <v>38</v>
      </c>
      <c r="AD114" s="7" t="str">
        <f t="shared" si="1"/>
        <v/>
      </c>
      <c r="AE114" s="26"/>
      <c r="AF114" s="26"/>
      <c r="AG114" s="26"/>
      <c r="AH114" s="26"/>
    </row>
    <row r="115" spans="1:49" s="27" customFormat="1" ht="35.1" customHeight="1" x14ac:dyDescent="0.25">
      <c r="A115" s="18" t="s">
        <v>201</v>
      </c>
      <c r="B115" s="19">
        <v>46050</v>
      </c>
      <c r="C115" s="19">
        <v>46050</v>
      </c>
      <c r="D115" s="18" t="s">
        <v>196</v>
      </c>
      <c r="E115" s="20">
        <v>0.79166666666666663</v>
      </c>
      <c r="F115" s="20">
        <v>1</v>
      </c>
      <c r="G115" s="20">
        <v>3.4722222222222218E-4</v>
      </c>
      <c r="H115" s="18" t="s">
        <v>202</v>
      </c>
      <c r="I115" s="21">
        <v>0.99737268518518518</v>
      </c>
      <c r="J115" s="18" t="s">
        <v>136</v>
      </c>
      <c r="K115" s="18" t="s">
        <v>149</v>
      </c>
      <c r="L115" s="22">
        <v>1</v>
      </c>
      <c r="M115" s="22">
        <v>69657</v>
      </c>
      <c r="N115" s="18" t="s">
        <v>46</v>
      </c>
      <c r="O115" s="22" t="s">
        <v>203</v>
      </c>
      <c r="P115" s="23">
        <v>0</v>
      </c>
      <c r="Q115" s="22"/>
      <c r="R115" s="23">
        <v>0</v>
      </c>
      <c r="S115" s="24">
        <v>46050</v>
      </c>
      <c r="T115" s="23">
        <v>0</v>
      </c>
      <c r="U115" s="25">
        <v>4</v>
      </c>
      <c r="V115" s="23">
        <v>0</v>
      </c>
      <c r="W115" s="18" t="s">
        <v>47</v>
      </c>
      <c r="X115" s="18" t="s">
        <v>48</v>
      </c>
      <c r="Y115" s="18" t="s">
        <v>58</v>
      </c>
      <c r="Z115" s="18" t="s">
        <v>9</v>
      </c>
      <c r="AA115" s="18" t="s">
        <v>49</v>
      </c>
      <c r="AB115" s="18" t="s">
        <v>204</v>
      </c>
      <c r="AC115" s="18" t="s">
        <v>38</v>
      </c>
      <c r="AD115" s="7" t="str">
        <f t="shared" si="1"/>
        <v/>
      </c>
      <c r="AE115" s="26"/>
      <c r="AF115" s="26"/>
      <c r="AG115" s="26"/>
      <c r="AH115" s="26"/>
      <c r="AI115" s="26"/>
      <c r="AJ115" s="26"/>
      <c r="AK115" s="26"/>
      <c r="AL115" s="26"/>
      <c r="AM115" s="26"/>
      <c r="AN115" s="26"/>
      <c r="AO115" s="26"/>
      <c r="AP115" s="26"/>
      <c r="AQ115" s="26"/>
      <c r="AR115" s="26"/>
      <c r="AS115" s="26"/>
      <c r="AT115" s="26"/>
      <c r="AU115" s="26"/>
      <c r="AV115" s="26"/>
      <c r="AW115" s="26"/>
    </row>
    <row r="116" spans="1:49" ht="44.25" customHeight="1" x14ac:dyDescent="0.2"/>
    <row r="117" spans="1:49" ht="44.25" customHeight="1" x14ac:dyDescent="0.2"/>
    <row r="118" spans="1:49" ht="44.25" customHeight="1" x14ac:dyDescent="0.2"/>
    <row r="119" spans="1:49" ht="44.25" customHeight="1" x14ac:dyDescent="0.2"/>
    <row r="120" spans="1:49" ht="44.25" customHeight="1" x14ac:dyDescent="0.2"/>
    <row r="121" spans="1:49" ht="44.25" customHeight="1" x14ac:dyDescent="0.2"/>
    <row r="122" spans="1:49" ht="44.25" customHeight="1" x14ac:dyDescent="0.2"/>
    <row r="123" spans="1:49" ht="44.25" customHeight="1" x14ac:dyDescent="0.2"/>
    <row r="124" spans="1:49" ht="44.25" customHeight="1" x14ac:dyDescent="0.2"/>
    <row r="125" spans="1:49" ht="44.25" customHeight="1" x14ac:dyDescent="0.2"/>
    <row r="126" spans="1:49" ht="44.25" customHeight="1" x14ac:dyDescent="0.2"/>
    <row r="127" spans="1:49" ht="44.25" customHeight="1" x14ac:dyDescent="0.2"/>
    <row r="128" spans="1:49" ht="44.25" customHeight="1" x14ac:dyDescent="0.2"/>
    <row r="129" customFormat="1" ht="44.25" customHeight="1" x14ac:dyDescent="0.2"/>
    <row r="130" customFormat="1" ht="44.25" customHeight="1" x14ac:dyDescent="0.2"/>
    <row r="131" customFormat="1" ht="44.25" customHeight="1" x14ac:dyDescent="0.2"/>
    <row r="132" customFormat="1" ht="44.25" customHeight="1" x14ac:dyDescent="0.2"/>
    <row r="133" customFormat="1" ht="44.25" customHeight="1" x14ac:dyDescent="0.2"/>
    <row r="134" customFormat="1" ht="44.25" customHeight="1" x14ac:dyDescent="0.2"/>
    <row r="135" customFormat="1" ht="44.25" customHeight="1" x14ac:dyDescent="0.2"/>
    <row r="136" customFormat="1" ht="44.25" customHeight="1" x14ac:dyDescent="0.2"/>
    <row r="137" customFormat="1" ht="44.25" customHeight="1" x14ac:dyDescent="0.2"/>
    <row r="138" customFormat="1" ht="44.25" customHeight="1" x14ac:dyDescent="0.2"/>
    <row r="139" customFormat="1" ht="44.25" customHeight="1" x14ac:dyDescent="0.2"/>
    <row r="140" customFormat="1" ht="44.25" customHeight="1" x14ac:dyDescent="0.2"/>
    <row r="141" customFormat="1" ht="44.25" customHeight="1" x14ac:dyDescent="0.2"/>
    <row r="142" customFormat="1" ht="44.25" customHeight="1" x14ac:dyDescent="0.2"/>
    <row r="143" customFormat="1" ht="44.25" customHeight="1" x14ac:dyDescent="0.2"/>
    <row r="144" customFormat="1" ht="44.25" customHeight="1" x14ac:dyDescent="0.2"/>
    <row r="145" customFormat="1" ht="44.25" customHeight="1" x14ac:dyDescent="0.2"/>
    <row r="146" customFormat="1" ht="44.25" customHeight="1" x14ac:dyDescent="0.2"/>
    <row r="147" customFormat="1" ht="44.25" customHeight="1" x14ac:dyDescent="0.2"/>
    <row r="148" customFormat="1" ht="44.25" customHeight="1" x14ac:dyDescent="0.2"/>
    <row r="149" customFormat="1" ht="44.25" customHeight="1" x14ac:dyDescent="0.2"/>
    <row r="150" customFormat="1" ht="44.25" customHeight="1" x14ac:dyDescent="0.2"/>
    <row r="151" customFormat="1" ht="44.25" customHeight="1" x14ac:dyDescent="0.2"/>
    <row r="152" customFormat="1" ht="44.25" customHeight="1" x14ac:dyDescent="0.2"/>
    <row r="153" customFormat="1" ht="44.25" customHeight="1" x14ac:dyDescent="0.2"/>
    <row r="154" customFormat="1" ht="44.25" customHeight="1" x14ac:dyDescent="0.2"/>
    <row r="155" customFormat="1" ht="44.25" customHeight="1" x14ac:dyDescent="0.2"/>
    <row r="156" customFormat="1" ht="44.25" customHeight="1" x14ac:dyDescent="0.2"/>
    <row r="157" customFormat="1" ht="44.25" customHeight="1" x14ac:dyDescent="0.2"/>
    <row r="158" customFormat="1" ht="44.25" customHeight="1" x14ac:dyDescent="0.2"/>
    <row r="159" customFormat="1" ht="44.25" customHeight="1" x14ac:dyDescent="0.2"/>
    <row r="160" customFormat="1" ht="44.25" customHeight="1" x14ac:dyDescent="0.2"/>
    <row r="161" customFormat="1" ht="44.25" customHeight="1" x14ac:dyDescent="0.2"/>
    <row r="162" customFormat="1" ht="44.25" customHeight="1" x14ac:dyDescent="0.2"/>
    <row r="163" customFormat="1" ht="44.25" customHeight="1" x14ac:dyDescent="0.2"/>
    <row r="164" customFormat="1" ht="44.25" customHeight="1" x14ac:dyDescent="0.2"/>
    <row r="165" customFormat="1" ht="44.25" customHeight="1" x14ac:dyDescent="0.2"/>
    <row r="166" customFormat="1" ht="44.25" customHeight="1" x14ac:dyDescent="0.2"/>
    <row r="167" customFormat="1" ht="44.25" customHeight="1" x14ac:dyDescent="0.2"/>
    <row r="168" customFormat="1" ht="44.25" customHeight="1" x14ac:dyDescent="0.2"/>
    <row r="169" customFormat="1" ht="44.25" customHeight="1" x14ac:dyDescent="0.2"/>
    <row r="170" customFormat="1" ht="44.25" customHeight="1" x14ac:dyDescent="0.2"/>
    <row r="171" customFormat="1" ht="44.25" customHeight="1" x14ac:dyDescent="0.2"/>
    <row r="172" customFormat="1" ht="44.25" customHeight="1" x14ac:dyDescent="0.2"/>
    <row r="173" customFormat="1" ht="44.25" customHeight="1" x14ac:dyDescent="0.2"/>
    <row r="174" customFormat="1" ht="44.25" customHeight="1" x14ac:dyDescent="0.2"/>
    <row r="175" customFormat="1" ht="44.25" customHeight="1" x14ac:dyDescent="0.2"/>
    <row r="176" customFormat="1" ht="44.25" customHeight="1" x14ac:dyDescent="0.2"/>
    <row r="177" customFormat="1" ht="44.25" customHeight="1" x14ac:dyDescent="0.2"/>
    <row r="178" customFormat="1" ht="44.25" customHeight="1" x14ac:dyDescent="0.2"/>
    <row r="179" customFormat="1" ht="44.25" customHeight="1" x14ac:dyDescent="0.2"/>
    <row r="180" customFormat="1" ht="44.25" customHeight="1" x14ac:dyDescent="0.2"/>
    <row r="181" customFormat="1" ht="44.25" customHeight="1" x14ac:dyDescent="0.2"/>
    <row r="182" customFormat="1" ht="44.25" customHeight="1" x14ac:dyDescent="0.2"/>
    <row r="183" customFormat="1" ht="44.25" customHeight="1" x14ac:dyDescent="0.2"/>
    <row r="184" customFormat="1" ht="44.25" customHeight="1" x14ac:dyDescent="0.2"/>
    <row r="185" customFormat="1" ht="44.25" customHeight="1" x14ac:dyDescent="0.2"/>
    <row r="186" customFormat="1" ht="44.25" customHeight="1" x14ac:dyDescent="0.2"/>
    <row r="187" customFormat="1" ht="44.25" customHeight="1" x14ac:dyDescent="0.2"/>
    <row r="188" customFormat="1" ht="44.25" customHeight="1" x14ac:dyDescent="0.2"/>
    <row r="189" customFormat="1" ht="44.25" customHeight="1" x14ac:dyDescent="0.2"/>
    <row r="190" customFormat="1" ht="44.25" customHeight="1" x14ac:dyDescent="0.2"/>
    <row r="191" customFormat="1" ht="44.25" customHeight="1" x14ac:dyDescent="0.2"/>
    <row r="192" customFormat="1" ht="44.25" customHeight="1" x14ac:dyDescent="0.2"/>
    <row r="193" customFormat="1" ht="44.25" customHeight="1" x14ac:dyDescent="0.2"/>
    <row r="194" customFormat="1" ht="44.25" customHeight="1" x14ac:dyDescent="0.2"/>
    <row r="195" customFormat="1" ht="44.25" customHeight="1" x14ac:dyDescent="0.2"/>
    <row r="196" customFormat="1" ht="44.25" customHeight="1" x14ac:dyDescent="0.2"/>
    <row r="197" customFormat="1" ht="44.25" customHeight="1" x14ac:dyDescent="0.2"/>
    <row r="198" customFormat="1" ht="44.25" customHeight="1" x14ac:dyDescent="0.2"/>
    <row r="199" customFormat="1" ht="44.25" customHeight="1" x14ac:dyDescent="0.2"/>
    <row r="200" customFormat="1" ht="44.25" customHeight="1" x14ac:dyDescent="0.2"/>
    <row r="201" customFormat="1" ht="44.25" customHeight="1" x14ac:dyDescent="0.2"/>
    <row r="202" customFormat="1" ht="44.25" customHeight="1" x14ac:dyDescent="0.2"/>
    <row r="203" customFormat="1" ht="44.25" customHeight="1" x14ac:dyDescent="0.2"/>
    <row r="204" customFormat="1" ht="44.25" customHeight="1" x14ac:dyDescent="0.2"/>
    <row r="205" customFormat="1" ht="44.25" customHeight="1" x14ac:dyDescent="0.2"/>
    <row r="206" customFormat="1" ht="44.25" customHeight="1" x14ac:dyDescent="0.2"/>
    <row r="207" customFormat="1" ht="44.25" customHeight="1" x14ac:dyDescent="0.2"/>
    <row r="208" customFormat="1" ht="44.25" customHeight="1" x14ac:dyDescent="0.2"/>
    <row r="209" customFormat="1" ht="44.25" customHeight="1" x14ac:dyDescent="0.2"/>
    <row r="210" customFormat="1" ht="44.25" customHeight="1" x14ac:dyDescent="0.2"/>
    <row r="211" customFormat="1" ht="44.25" customHeight="1" x14ac:dyDescent="0.2"/>
    <row r="212" customFormat="1" ht="44.25" customHeight="1" x14ac:dyDescent="0.2"/>
    <row r="213" customFormat="1" ht="44.25" customHeight="1" x14ac:dyDescent="0.2"/>
    <row r="214" customFormat="1" ht="44.25" customHeight="1" x14ac:dyDescent="0.2"/>
    <row r="215" customFormat="1" ht="44.25" customHeight="1" x14ac:dyDescent="0.2"/>
    <row r="216" customFormat="1" ht="44.25" customHeight="1" x14ac:dyDescent="0.2"/>
    <row r="217" customFormat="1" ht="44.25" customHeight="1" x14ac:dyDescent="0.2"/>
    <row r="218" customFormat="1" ht="44.25" customHeight="1" x14ac:dyDescent="0.2"/>
    <row r="219" customFormat="1" ht="44.25" customHeight="1" x14ac:dyDescent="0.2"/>
    <row r="220" customFormat="1" ht="44.25" customHeight="1" x14ac:dyDescent="0.2"/>
    <row r="221" customFormat="1" ht="44.25" customHeight="1" x14ac:dyDescent="0.2"/>
    <row r="222" customFormat="1" ht="44.25" customHeight="1" x14ac:dyDescent="0.2"/>
    <row r="223" customFormat="1" ht="44.25" customHeight="1" x14ac:dyDescent="0.2"/>
    <row r="224" customFormat="1" ht="44.25" customHeight="1" x14ac:dyDescent="0.2"/>
    <row r="225" customFormat="1" ht="44.25" customHeight="1" x14ac:dyDescent="0.2"/>
    <row r="226" customFormat="1" ht="44.25" customHeight="1" x14ac:dyDescent="0.2"/>
    <row r="227" customFormat="1" ht="44.25" customHeight="1" x14ac:dyDescent="0.2"/>
    <row r="228" customFormat="1" ht="44.25" customHeight="1" x14ac:dyDescent="0.2"/>
    <row r="229" customFormat="1" ht="44.25" customHeight="1" x14ac:dyDescent="0.2"/>
    <row r="230" customFormat="1" ht="44.25" customHeight="1" x14ac:dyDescent="0.2"/>
    <row r="231" customFormat="1" ht="44.25" customHeight="1" x14ac:dyDescent="0.2"/>
    <row r="232" customFormat="1" ht="44.25" customHeight="1" x14ac:dyDescent="0.2"/>
    <row r="233" customFormat="1" ht="44.25" customHeight="1" x14ac:dyDescent="0.2"/>
    <row r="234" customFormat="1" ht="44.25" customHeight="1" x14ac:dyDescent="0.2"/>
    <row r="235" customFormat="1" ht="44.25" customHeight="1" x14ac:dyDescent="0.2"/>
    <row r="236" customFormat="1" ht="44.25" customHeight="1" x14ac:dyDescent="0.2"/>
    <row r="237" customFormat="1" ht="44.25" customHeight="1" x14ac:dyDescent="0.2"/>
    <row r="238" customFormat="1" ht="44.25" customHeight="1" x14ac:dyDescent="0.2"/>
    <row r="239" customFormat="1" ht="44.25" customHeight="1" x14ac:dyDescent="0.2"/>
    <row r="240" customFormat="1" ht="44.25" customHeight="1" x14ac:dyDescent="0.2"/>
    <row r="241" customFormat="1" ht="44.25" customHeight="1" x14ac:dyDescent="0.2"/>
    <row r="242" customFormat="1" ht="44.25" customHeight="1" x14ac:dyDescent="0.2"/>
    <row r="243" customFormat="1" ht="44.25" customHeight="1" x14ac:dyDescent="0.2"/>
    <row r="244" customFormat="1" ht="44.25" customHeight="1" x14ac:dyDescent="0.2"/>
    <row r="245" customFormat="1" ht="44.25" customHeight="1" x14ac:dyDescent="0.2"/>
    <row r="246" customFormat="1" ht="44.25" customHeight="1" x14ac:dyDescent="0.2"/>
    <row r="247" customFormat="1" ht="44.25" customHeight="1" x14ac:dyDescent="0.2"/>
    <row r="248" customFormat="1" ht="44.25" customHeight="1" x14ac:dyDescent="0.2"/>
    <row r="249" customFormat="1" ht="44.25" customHeight="1" x14ac:dyDescent="0.2"/>
    <row r="250" customFormat="1" ht="44.25" customHeight="1" x14ac:dyDescent="0.2"/>
    <row r="251" customFormat="1" ht="44.25" customHeight="1" x14ac:dyDescent="0.2"/>
    <row r="252" customFormat="1" ht="44.25" customHeight="1" x14ac:dyDescent="0.2"/>
    <row r="253" customFormat="1" ht="44.25" customHeight="1" x14ac:dyDescent="0.2"/>
    <row r="254" customFormat="1" ht="44.25" customHeight="1" x14ac:dyDescent="0.2"/>
    <row r="255" customFormat="1" ht="44.25" customHeight="1" x14ac:dyDescent="0.2"/>
    <row r="256" customFormat="1" ht="44.25" customHeight="1" x14ac:dyDescent="0.2"/>
    <row r="257" customFormat="1" ht="44.25" customHeight="1" x14ac:dyDescent="0.2"/>
    <row r="258" customFormat="1" ht="44.25" customHeight="1" x14ac:dyDescent="0.2"/>
    <row r="259" customFormat="1" ht="44.25" customHeight="1" x14ac:dyDescent="0.2"/>
    <row r="260" customFormat="1" ht="44.25" customHeight="1" x14ac:dyDescent="0.2"/>
    <row r="261" customFormat="1" ht="44.25" customHeight="1" x14ac:dyDescent="0.2"/>
    <row r="262" customFormat="1" ht="44.25" customHeight="1" x14ac:dyDescent="0.2"/>
    <row r="263" customFormat="1" ht="44.25" customHeight="1" x14ac:dyDescent="0.2"/>
    <row r="264" customFormat="1" ht="44.25" customHeight="1" x14ac:dyDescent="0.2"/>
    <row r="265" customFormat="1" ht="44.25" customHeight="1" x14ac:dyDescent="0.2"/>
    <row r="266" customFormat="1" ht="44.25" customHeight="1" x14ac:dyDescent="0.2"/>
    <row r="267" customFormat="1" ht="44.25" customHeight="1" x14ac:dyDescent="0.2"/>
    <row r="268" customFormat="1" ht="44.25" customHeight="1" x14ac:dyDescent="0.2"/>
    <row r="269" customFormat="1" ht="44.25" customHeight="1" x14ac:dyDescent="0.2"/>
    <row r="270" customFormat="1" ht="44.25" customHeight="1" x14ac:dyDescent="0.2"/>
    <row r="271" customFormat="1" ht="44.25" customHeight="1" x14ac:dyDescent="0.2"/>
    <row r="272" customFormat="1" ht="44.25" customHeight="1" x14ac:dyDescent="0.2"/>
    <row r="273" customFormat="1" ht="44.25" customHeight="1" x14ac:dyDescent="0.2"/>
    <row r="274" customFormat="1" ht="44.25" customHeight="1" x14ac:dyDescent="0.2"/>
    <row r="275" customFormat="1" ht="44.25" customHeight="1" x14ac:dyDescent="0.2"/>
    <row r="276" customFormat="1" ht="44.25" customHeight="1" x14ac:dyDescent="0.2"/>
    <row r="277" customFormat="1" ht="44.25" customHeight="1" x14ac:dyDescent="0.2"/>
    <row r="278" customFormat="1" ht="44.25" customHeight="1" x14ac:dyDescent="0.2"/>
    <row r="279" customFormat="1" ht="44.25" customHeight="1" x14ac:dyDescent="0.2"/>
    <row r="280" customFormat="1" ht="44.25" customHeight="1" x14ac:dyDescent="0.2"/>
    <row r="281" customFormat="1" ht="44.25" customHeight="1" x14ac:dyDescent="0.2"/>
    <row r="282" customFormat="1" ht="44.25" customHeight="1" x14ac:dyDescent="0.2"/>
    <row r="283" customFormat="1" ht="44.25" customHeight="1" x14ac:dyDescent="0.2"/>
    <row r="284" customFormat="1" ht="44.25" customHeight="1" x14ac:dyDescent="0.2"/>
    <row r="285" customFormat="1" ht="44.25" customHeight="1" x14ac:dyDescent="0.2"/>
    <row r="286" customFormat="1" ht="44.25" customHeight="1" x14ac:dyDescent="0.2"/>
    <row r="287" customFormat="1" ht="44.25" customHeight="1" x14ac:dyDescent="0.2"/>
    <row r="288" customFormat="1" ht="44.25" customHeight="1" x14ac:dyDescent="0.2"/>
    <row r="289" customFormat="1" ht="44.25" customHeight="1" x14ac:dyDescent="0.2"/>
    <row r="290" customFormat="1" ht="44.25" customHeight="1" x14ac:dyDescent="0.2"/>
    <row r="291" customFormat="1" ht="44.25" customHeight="1" x14ac:dyDescent="0.2"/>
    <row r="292" customFormat="1" ht="44.25" customHeight="1" x14ac:dyDescent="0.2"/>
    <row r="293" customFormat="1" ht="44.25" customHeight="1" x14ac:dyDescent="0.2"/>
    <row r="294" customFormat="1" ht="44.25" customHeight="1" x14ac:dyDescent="0.2"/>
    <row r="295" customFormat="1" ht="44.25" customHeight="1" x14ac:dyDescent="0.2"/>
    <row r="296" customFormat="1" ht="44.25" customHeight="1" x14ac:dyDescent="0.2"/>
    <row r="297" customFormat="1" ht="44.25" customHeight="1" x14ac:dyDescent="0.2"/>
    <row r="298" customFormat="1" ht="44.25" customHeight="1" x14ac:dyDescent="0.2"/>
    <row r="299" customFormat="1" ht="44.25" customHeight="1" x14ac:dyDescent="0.2"/>
    <row r="300" customFormat="1" ht="44.25" customHeight="1" x14ac:dyDescent="0.2"/>
    <row r="301" customFormat="1" ht="44.25" customHeight="1" x14ac:dyDescent="0.2"/>
    <row r="302" customFormat="1" ht="44.25" customHeight="1" x14ac:dyDescent="0.2"/>
    <row r="303" customFormat="1" ht="44.25" customHeight="1" x14ac:dyDescent="0.2"/>
    <row r="304" customFormat="1" ht="44.25" customHeight="1" x14ac:dyDescent="0.2"/>
    <row r="305" customFormat="1" ht="44.25" customHeight="1" x14ac:dyDescent="0.2"/>
    <row r="306" customFormat="1" ht="44.25" customHeight="1" x14ac:dyDescent="0.2"/>
    <row r="307" customFormat="1" ht="44.25" customHeight="1" x14ac:dyDescent="0.2"/>
    <row r="308" customFormat="1" ht="44.25" customHeight="1" x14ac:dyDescent="0.2"/>
    <row r="309" customFormat="1" ht="44.25" customHeight="1" x14ac:dyDescent="0.2"/>
    <row r="310" customFormat="1" ht="44.25" customHeight="1" x14ac:dyDescent="0.2"/>
    <row r="311" customFormat="1" ht="44.25" customHeight="1" x14ac:dyDescent="0.2"/>
    <row r="312" customFormat="1" ht="44.25" customHeight="1" x14ac:dyDescent="0.2"/>
    <row r="313" customFormat="1" ht="44.25" customHeight="1" x14ac:dyDescent="0.2"/>
    <row r="314" customFormat="1" ht="44.25" customHeight="1" x14ac:dyDescent="0.2"/>
    <row r="315" customFormat="1" ht="44.25" customHeight="1" x14ac:dyDescent="0.2"/>
    <row r="316" customFormat="1" ht="44.25" customHeight="1" x14ac:dyDescent="0.2"/>
    <row r="317" customFormat="1" ht="44.25" customHeight="1" x14ac:dyDescent="0.2"/>
    <row r="318" customFormat="1" ht="44.25" customHeight="1" x14ac:dyDescent="0.2"/>
    <row r="319" customFormat="1" ht="44.25" customHeight="1" x14ac:dyDescent="0.2"/>
    <row r="320" customFormat="1" ht="44.25" customHeight="1" x14ac:dyDescent="0.2"/>
    <row r="321" customFormat="1" ht="44.25" customHeight="1" x14ac:dyDescent="0.2"/>
    <row r="322" customFormat="1" ht="44.25" customHeight="1" x14ac:dyDescent="0.2"/>
    <row r="323" customFormat="1" ht="44.25" customHeight="1" x14ac:dyDescent="0.2"/>
    <row r="324" customFormat="1" ht="44.25" customHeight="1" x14ac:dyDescent="0.2"/>
    <row r="325" customFormat="1" x14ac:dyDescent="0.2"/>
    <row r="326" customFormat="1" x14ac:dyDescent="0.2"/>
    <row r="327" customFormat="1" x14ac:dyDescent="0.2"/>
    <row r="328" customFormat="1" x14ac:dyDescent="0.2"/>
    <row r="329" customFormat="1" x14ac:dyDescent="0.2"/>
    <row r="330" customFormat="1" x14ac:dyDescent="0.2"/>
    <row r="331" customFormat="1" x14ac:dyDescent="0.2"/>
    <row r="332" customFormat="1" x14ac:dyDescent="0.2"/>
    <row r="333" customFormat="1" x14ac:dyDescent="0.2"/>
    <row r="334" customFormat="1" x14ac:dyDescent="0.2"/>
    <row r="335" customFormat="1" x14ac:dyDescent="0.2"/>
    <row r="336" customFormat="1" x14ac:dyDescent="0.2"/>
    <row r="337" customFormat="1" x14ac:dyDescent="0.2"/>
    <row r="338" customFormat="1" x14ac:dyDescent="0.2"/>
    <row r="339" customFormat="1" x14ac:dyDescent="0.2"/>
    <row r="340" customFormat="1" x14ac:dyDescent="0.2"/>
    <row r="341" customFormat="1" x14ac:dyDescent="0.2"/>
    <row r="342" customFormat="1" x14ac:dyDescent="0.2"/>
    <row r="343" customFormat="1" x14ac:dyDescent="0.2"/>
    <row r="344" customFormat="1" x14ac:dyDescent="0.2"/>
    <row r="345" customFormat="1" x14ac:dyDescent="0.2"/>
    <row r="346" customFormat="1" x14ac:dyDescent="0.2"/>
    <row r="347" customFormat="1" x14ac:dyDescent="0.2"/>
    <row r="348" customFormat="1" x14ac:dyDescent="0.2"/>
    <row r="349" customFormat="1" x14ac:dyDescent="0.2"/>
    <row r="350" customFormat="1" x14ac:dyDescent="0.2"/>
    <row r="351" customFormat="1" x14ac:dyDescent="0.2"/>
    <row r="352" customFormat="1" x14ac:dyDescent="0.2"/>
    <row r="353" customFormat="1" x14ac:dyDescent="0.2"/>
    <row r="354" customFormat="1" x14ac:dyDescent="0.2"/>
    <row r="355" customFormat="1" x14ac:dyDescent="0.2"/>
    <row r="356" customFormat="1" x14ac:dyDescent="0.2"/>
    <row r="357" customFormat="1" x14ac:dyDescent="0.2"/>
    <row r="358" customFormat="1" x14ac:dyDescent="0.2"/>
    <row r="359" customFormat="1" x14ac:dyDescent="0.2"/>
    <row r="360" customFormat="1" x14ac:dyDescent="0.2"/>
    <row r="361" customFormat="1" x14ac:dyDescent="0.2"/>
    <row r="362" customFormat="1" x14ac:dyDescent="0.2"/>
    <row r="363" customFormat="1" x14ac:dyDescent="0.2"/>
    <row r="364" customFormat="1" x14ac:dyDescent="0.2"/>
    <row r="365" customFormat="1" x14ac:dyDescent="0.2"/>
    <row r="366" customFormat="1" x14ac:dyDescent="0.2"/>
    <row r="367" customFormat="1" x14ac:dyDescent="0.2"/>
    <row r="368" customFormat="1" x14ac:dyDescent="0.2"/>
    <row r="369" customFormat="1" x14ac:dyDescent="0.2"/>
    <row r="370" customFormat="1" x14ac:dyDescent="0.2"/>
    <row r="371" customFormat="1" x14ac:dyDescent="0.2"/>
    <row r="372" customFormat="1" x14ac:dyDescent="0.2"/>
    <row r="373" customFormat="1" x14ac:dyDescent="0.2"/>
    <row r="374" customFormat="1" x14ac:dyDescent="0.2"/>
    <row r="375" customFormat="1" x14ac:dyDescent="0.2"/>
    <row r="376" customFormat="1" x14ac:dyDescent="0.2"/>
    <row r="377" customFormat="1" x14ac:dyDescent="0.2"/>
    <row r="378" customFormat="1" x14ac:dyDescent="0.2"/>
    <row r="379" customFormat="1" x14ac:dyDescent="0.2"/>
    <row r="380" customFormat="1" x14ac:dyDescent="0.2"/>
    <row r="381" customFormat="1" x14ac:dyDescent="0.2"/>
    <row r="382" customFormat="1" x14ac:dyDescent="0.2"/>
    <row r="383" customFormat="1" x14ac:dyDescent="0.2"/>
    <row r="384" customFormat="1" x14ac:dyDescent="0.2"/>
    <row r="385" customFormat="1" x14ac:dyDescent="0.2"/>
    <row r="386" customFormat="1" x14ac:dyDescent="0.2"/>
    <row r="387" customFormat="1" x14ac:dyDescent="0.2"/>
    <row r="388" customFormat="1" x14ac:dyDescent="0.2"/>
    <row r="389" customFormat="1" x14ac:dyDescent="0.2"/>
    <row r="390" customFormat="1" x14ac:dyDescent="0.2"/>
    <row r="391" customFormat="1" x14ac:dyDescent="0.2"/>
    <row r="392" customFormat="1" x14ac:dyDescent="0.2"/>
    <row r="393" customFormat="1" x14ac:dyDescent="0.2"/>
    <row r="394" customFormat="1" x14ac:dyDescent="0.2"/>
    <row r="395" customFormat="1" x14ac:dyDescent="0.2"/>
    <row r="396" customFormat="1" x14ac:dyDescent="0.2"/>
    <row r="397" customFormat="1" x14ac:dyDescent="0.2"/>
    <row r="398" customFormat="1" x14ac:dyDescent="0.2"/>
    <row r="399" customFormat="1" x14ac:dyDescent="0.2"/>
    <row r="400" customFormat="1" x14ac:dyDescent="0.2"/>
  </sheetData>
  <autoFilter ref="A1:AD115" xr:uid="{F99A2123-D123-4759-87BC-035A54FA15AD}"/>
  <sortState xmlns:xlrd2="http://schemas.microsoft.com/office/spreadsheetml/2017/richdata2" ref="A2:AD326">
    <sortCondition sortBy="cellColor" ref="E1:E500" dxfId="32"/>
  </sortState>
  <conditionalFormatting sqref="AD1:AD115">
    <cfRule type="cellIs" dxfId="31" priority="9" operator="equal">
      <formula>"NO"</formula>
    </cfRule>
  </conditionalFormatting>
  <conditionalFormatting sqref="E4:F4 E6:F17 E19:F35 E63:F70 E74:F83 E86:F88">
    <cfRule type="timePeriod" dxfId="30" priority="8" timePeriod="lastWeek">
      <formula>AND(TODAY()-ROUNDDOWN(E4,0)&gt;=(WEEKDAY(TODAY())),TODAY()-ROUNDDOWN(E4,0)&lt;(WEEKDAY(TODAY())+7))</formula>
    </cfRule>
  </conditionalFormatting>
  <conditionalFormatting sqref="E37:F37">
    <cfRule type="timePeriod" dxfId="29" priority="5" timePeriod="lastWeek">
      <formula>AND(TODAY()-ROUNDDOWN(E37,0)&gt;=(WEEKDAY(TODAY())),TODAY()-ROUNDDOWN(E37,0)&lt;(WEEKDAY(TODAY())+7))</formula>
    </cfRule>
  </conditionalFormatting>
  <conditionalFormatting sqref="E46:F48 E54:F58">
    <cfRule type="timePeriod" dxfId="28" priority="3" timePeriod="lastWeek">
      <formula>AND(TODAY()-ROUNDDOWN(E46,0)&gt;=(WEEKDAY(TODAY())),TODAY()-ROUNDDOWN(E46,0)&lt;(WEEKDAY(TODAY())+7))</formula>
    </cfRule>
  </conditionalFormatting>
  <conditionalFormatting sqref="E50:F52">
    <cfRule type="timePeriod" dxfId="27" priority="2" timePeriod="lastWeek">
      <formula>AND(TODAY()-ROUNDDOWN(E50,0)&gt;=(WEEKDAY(TODAY())),TODAY()-ROUNDDOWN(E50,0)&lt;(WEEKDAY(TODAY())+7))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A869CF-FB63-4DA9-9E8C-C37BE64CEB92}">
  <sheetPr codeName="Sheet4"/>
  <dimension ref="A1:AW400"/>
  <sheetViews>
    <sheetView topLeftCell="B1" zoomScale="55" zoomScaleNormal="55" workbookViewId="0">
      <selection activeCell="B2" sqref="A2:XFD400"/>
    </sheetView>
  </sheetViews>
  <sheetFormatPr defaultColWidth="0" defaultRowHeight="12.75" x14ac:dyDescent="0.2"/>
  <cols>
    <col min="2" max="2" width="14.85546875" customWidth="1"/>
    <col min="4" max="4" width="17.5703125" customWidth="1"/>
    <col min="5" max="5" width="17.28515625" customWidth="1"/>
    <col min="6" max="6" width="18.7109375" customWidth="1"/>
    <col min="7" max="7" width="16" customWidth="1"/>
    <col min="8" max="8" width="63.7109375" customWidth="1"/>
    <col min="9" max="9" width="48.42578125" customWidth="1"/>
    <col min="10" max="10" width="12.85546875" customWidth="1"/>
    <col min="11" max="11" width="16.42578125" customWidth="1"/>
    <col min="14" max="14" width="9.140625" customWidth="1"/>
    <col min="17" max="18" width="19.5703125" customWidth="1"/>
    <col min="30" max="30" width="19" customWidth="1"/>
  </cols>
  <sheetData>
    <row r="1" spans="1:49" s="8" customFormat="1" ht="33.950000000000003" customHeight="1" x14ac:dyDescent="0.25">
      <c r="A1" s="1" t="s">
        <v>10</v>
      </c>
      <c r="B1" s="2" t="s">
        <v>0</v>
      </c>
      <c r="C1" s="2" t="s">
        <v>1</v>
      </c>
      <c r="D1" s="1" t="s">
        <v>2</v>
      </c>
      <c r="E1" s="3" t="s">
        <v>3</v>
      </c>
      <c r="F1" s="3" t="s">
        <v>4</v>
      </c>
      <c r="G1" s="3" t="s">
        <v>5</v>
      </c>
      <c r="H1" s="1" t="s">
        <v>27</v>
      </c>
      <c r="I1" s="3" t="s">
        <v>11</v>
      </c>
      <c r="J1" s="1" t="s">
        <v>6</v>
      </c>
      <c r="K1" s="1" t="s">
        <v>26</v>
      </c>
      <c r="L1" s="4" t="s">
        <v>12</v>
      </c>
      <c r="M1" s="4" t="s">
        <v>13</v>
      </c>
      <c r="N1" s="1" t="s">
        <v>7</v>
      </c>
      <c r="O1" s="4" t="s">
        <v>14</v>
      </c>
      <c r="P1" s="6" t="s">
        <v>15</v>
      </c>
      <c r="Q1" s="1" t="s">
        <v>16</v>
      </c>
      <c r="R1" s="6" t="s">
        <v>8</v>
      </c>
      <c r="S1" s="1" t="s">
        <v>17</v>
      </c>
      <c r="T1" s="6" t="s">
        <v>18</v>
      </c>
      <c r="U1" s="5" t="s">
        <v>28</v>
      </c>
      <c r="V1" s="6" t="s">
        <v>19</v>
      </c>
      <c r="W1" s="1" t="s">
        <v>20</v>
      </c>
      <c r="X1" s="1" t="s">
        <v>21</v>
      </c>
      <c r="Y1" s="1" t="s">
        <v>22</v>
      </c>
      <c r="Z1" s="1" t="s">
        <v>9</v>
      </c>
      <c r="AA1" s="1" t="s">
        <v>23</v>
      </c>
      <c r="AB1" s="1" t="s">
        <v>24</v>
      </c>
      <c r="AC1" s="1" t="s">
        <v>25</v>
      </c>
      <c r="AD1" s="7" t="str">
        <f>IF(N1="PRG","",IF(I1&gt;=E1,IF(I1&lt;=F1,"","NO"),"NO"))</f>
        <v>NO</v>
      </c>
    </row>
    <row r="2" spans="1:49" s="47" customFormat="1" ht="35.1" customHeight="1" x14ac:dyDescent="0.25">
      <c r="A2" s="9" t="s">
        <v>29</v>
      </c>
      <c r="B2" s="10">
        <v>46051</v>
      </c>
      <c r="C2" s="10">
        <v>46051</v>
      </c>
      <c r="D2" s="11" t="s">
        <v>207</v>
      </c>
      <c r="E2" s="12">
        <v>0</v>
      </c>
      <c r="F2" s="12">
        <v>0.25</v>
      </c>
      <c r="G2" s="12">
        <v>0.25</v>
      </c>
      <c r="H2" s="9" t="s">
        <v>31</v>
      </c>
      <c r="I2" s="13"/>
      <c r="J2" s="9" t="s">
        <v>32</v>
      </c>
      <c r="K2" s="9" t="s">
        <v>31</v>
      </c>
      <c r="L2" s="14">
        <v>1</v>
      </c>
      <c r="M2" s="14">
        <v>1</v>
      </c>
      <c r="N2" s="9" t="s">
        <v>33</v>
      </c>
      <c r="O2" s="9"/>
      <c r="P2" s="15">
        <v>0</v>
      </c>
      <c r="Q2" s="14"/>
      <c r="R2" s="15">
        <v>0</v>
      </c>
      <c r="S2" s="9">
        <v>46054</v>
      </c>
      <c r="T2" s="16">
        <v>0</v>
      </c>
      <c r="U2" s="14">
        <v>1</v>
      </c>
      <c r="V2" s="16">
        <v>0</v>
      </c>
      <c r="W2" s="9" t="s">
        <v>34</v>
      </c>
      <c r="X2" s="9" t="s">
        <v>35</v>
      </c>
      <c r="Y2" s="9" t="s">
        <v>36</v>
      </c>
      <c r="Z2" s="9" t="s">
        <v>9</v>
      </c>
      <c r="AA2" s="9" t="s">
        <v>37</v>
      </c>
      <c r="AB2" s="9" t="s">
        <v>37</v>
      </c>
      <c r="AC2" s="9" t="s">
        <v>38</v>
      </c>
      <c r="AD2" s="7" t="str">
        <f t="shared" ref="AD2:AD66" si="0">IF(N2="PRG","",IF(I2&gt;=E2,IF(I2&lt;=F2,"","NO"),"NO"))</f>
        <v/>
      </c>
      <c r="AE2" s="26"/>
      <c r="AF2" s="26"/>
      <c r="AG2" s="26"/>
      <c r="AH2" s="26"/>
      <c r="AI2" s="27"/>
      <c r="AJ2" s="27"/>
      <c r="AK2" s="27"/>
      <c r="AL2" s="27"/>
      <c r="AM2" s="27"/>
      <c r="AN2" s="27"/>
      <c r="AO2" s="27"/>
      <c r="AP2" s="27"/>
      <c r="AQ2" s="27"/>
      <c r="AR2" s="27"/>
      <c r="AS2" s="27"/>
      <c r="AT2" s="27"/>
      <c r="AU2" s="27"/>
      <c r="AV2" s="27"/>
      <c r="AW2" s="27"/>
    </row>
    <row r="3" spans="1:49" s="47" customFormat="1" ht="35.1" customHeight="1" x14ac:dyDescent="0.2">
      <c r="A3" s="9" t="s">
        <v>39</v>
      </c>
      <c r="B3" s="10">
        <v>46051</v>
      </c>
      <c r="C3" s="10">
        <v>46051</v>
      </c>
      <c r="D3" s="11" t="s">
        <v>207</v>
      </c>
      <c r="E3" s="12">
        <v>0.25</v>
      </c>
      <c r="F3" s="12">
        <v>0.29166666666666669</v>
      </c>
      <c r="G3" s="12">
        <v>4.1666666666666664E-2</v>
      </c>
      <c r="H3" s="9" t="s">
        <v>40</v>
      </c>
      <c r="I3" s="13"/>
      <c r="J3" s="9" t="s">
        <v>41</v>
      </c>
      <c r="K3" s="9"/>
      <c r="L3" s="14">
        <v>1</v>
      </c>
      <c r="M3" s="14">
        <v>1</v>
      </c>
      <c r="N3" s="9" t="s">
        <v>33</v>
      </c>
      <c r="O3" s="9"/>
      <c r="P3" s="15">
        <v>0</v>
      </c>
      <c r="Q3" s="14"/>
      <c r="R3" s="15">
        <v>0</v>
      </c>
      <c r="S3" s="9">
        <v>46054</v>
      </c>
      <c r="T3" s="15">
        <v>0</v>
      </c>
      <c r="U3" s="14">
        <v>2</v>
      </c>
      <c r="V3" s="15">
        <v>0</v>
      </c>
      <c r="W3" s="9" t="s">
        <v>34</v>
      </c>
      <c r="X3" s="9" t="s">
        <v>42</v>
      </c>
      <c r="Y3" s="9" t="s">
        <v>36</v>
      </c>
      <c r="Z3" s="9" t="s">
        <v>43</v>
      </c>
      <c r="AA3" s="9" t="s">
        <v>37</v>
      </c>
      <c r="AB3" s="9" t="s">
        <v>37</v>
      </c>
      <c r="AC3" s="9" t="s">
        <v>38</v>
      </c>
      <c r="AD3" s="7" t="str">
        <f t="shared" si="0"/>
        <v/>
      </c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</row>
    <row r="4" spans="1:49" s="47" customFormat="1" ht="35.1" customHeight="1" x14ac:dyDescent="0.2">
      <c r="A4" s="18" t="s">
        <v>159</v>
      </c>
      <c r="B4" s="19">
        <v>46051</v>
      </c>
      <c r="C4" s="19">
        <v>46051</v>
      </c>
      <c r="D4" s="18" t="s">
        <v>207</v>
      </c>
      <c r="E4" s="20">
        <v>0.25</v>
      </c>
      <c r="F4" s="20">
        <v>0.875</v>
      </c>
      <c r="G4" s="28">
        <v>1.7361111111111109E-4</v>
      </c>
      <c r="H4" s="29" t="s">
        <v>160</v>
      </c>
      <c r="I4" s="21">
        <v>0.25978171296296293</v>
      </c>
      <c r="J4" s="18" t="s">
        <v>41</v>
      </c>
      <c r="K4" s="18" t="s">
        <v>40</v>
      </c>
      <c r="L4" s="22">
        <v>1</v>
      </c>
      <c r="M4" s="22">
        <v>71013</v>
      </c>
      <c r="N4" s="18" t="s">
        <v>53</v>
      </c>
      <c r="O4" s="22" t="s">
        <v>161</v>
      </c>
      <c r="P4" s="23">
        <v>15</v>
      </c>
      <c r="Q4" s="22"/>
      <c r="R4" s="23">
        <v>15</v>
      </c>
      <c r="S4" s="24">
        <v>46054</v>
      </c>
      <c r="T4" s="23">
        <v>2.25</v>
      </c>
      <c r="U4" s="25">
        <v>4</v>
      </c>
      <c r="V4" s="23">
        <v>12.75</v>
      </c>
      <c r="W4" s="18" t="s">
        <v>47</v>
      </c>
      <c r="X4" s="18" t="s">
        <v>48</v>
      </c>
      <c r="Y4" s="18" t="s">
        <v>36</v>
      </c>
      <c r="Z4" s="18" t="s">
        <v>9</v>
      </c>
      <c r="AA4" s="18" t="s">
        <v>49</v>
      </c>
      <c r="AB4" s="18" t="s">
        <v>162</v>
      </c>
      <c r="AC4" s="18" t="s">
        <v>38</v>
      </c>
      <c r="AD4" s="7" t="str">
        <f t="shared" si="0"/>
        <v/>
      </c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</row>
    <row r="5" spans="1:49" s="47" customFormat="1" ht="35.1" customHeight="1" x14ac:dyDescent="0.2">
      <c r="A5" s="18" t="s">
        <v>159</v>
      </c>
      <c r="B5" s="19">
        <v>46051</v>
      </c>
      <c r="C5" s="19">
        <v>46051</v>
      </c>
      <c r="D5" s="18" t="s">
        <v>207</v>
      </c>
      <c r="E5" s="20">
        <v>0.25</v>
      </c>
      <c r="F5" s="20">
        <v>0.875</v>
      </c>
      <c r="G5" s="28">
        <v>1.7361111111111109E-4</v>
      </c>
      <c r="H5" s="29" t="s">
        <v>163</v>
      </c>
      <c r="I5" s="21">
        <v>0.26169143518518517</v>
      </c>
      <c r="J5" s="18" t="s">
        <v>41</v>
      </c>
      <c r="K5" s="18" t="s">
        <v>40</v>
      </c>
      <c r="L5" s="22">
        <v>1</v>
      </c>
      <c r="M5" s="22">
        <v>71013</v>
      </c>
      <c r="N5" s="18" t="s">
        <v>53</v>
      </c>
      <c r="O5" s="22" t="s">
        <v>161</v>
      </c>
      <c r="P5" s="23">
        <v>15</v>
      </c>
      <c r="Q5" s="22"/>
      <c r="R5" s="23">
        <v>15</v>
      </c>
      <c r="S5" s="24">
        <v>46054</v>
      </c>
      <c r="T5" s="23">
        <v>2.25</v>
      </c>
      <c r="U5" s="25">
        <v>4</v>
      </c>
      <c r="V5" s="23">
        <v>12.75</v>
      </c>
      <c r="W5" s="18" t="s">
        <v>47</v>
      </c>
      <c r="X5" s="18" t="s">
        <v>48</v>
      </c>
      <c r="Y5" s="18" t="s">
        <v>36</v>
      </c>
      <c r="Z5" s="18" t="s">
        <v>9</v>
      </c>
      <c r="AA5" s="18" t="s">
        <v>49</v>
      </c>
      <c r="AB5" s="18" t="s">
        <v>162</v>
      </c>
      <c r="AC5" s="18" t="s">
        <v>38</v>
      </c>
      <c r="AD5" s="7" t="str">
        <f t="shared" si="0"/>
        <v/>
      </c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</row>
    <row r="6" spans="1:49" s="47" customFormat="1" ht="35.1" customHeight="1" x14ac:dyDescent="0.25">
      <c r="A6" s="18" t="s">
        <v>159</v>
      </c>
      <c r="B6" s="19">
        <v>46051</v>
      </c>
      <c r="C6" s="19">
        <v>46051</v>
      </c>
      <c r="D6" s="18" t="s">
        <v>207</v>
      </c>
      <c r="E6" s="20">
        <v>0.25</v>
      </c>
      <c r="F6" s="20">
        <v>0.99930555555555556</v>
      </c>
      <c r="G6" s="28">
        <v>1.7361111111111109E-4</v>
      </c>
      <c r="H6" s="29" t="s">
        <v>164</v>
      </c>
      <c r="I6" s="21">
        <v>0.2834494212962963</v>
      </c>
      <c r="J6" s="18" t="s">
        <v>41</v>
      </c>
      <c r="K6" s="18" t="s">
        <v>40</v>
      </c>
      <c r="L6" s="22">
        <v>1</v>
      </c>
      <c r="M6" s="22">
        <v>71016</v>
      </c>
      <c r="N6" s="18" t="s">
        <v>46</v>
      </c>
      <c r="O6" s="22" t="s">
        <v>161</v>
      </c>
      <c r="P6" s="23">
        <v>0</v>
      </c>
      <c r="Q6" s="22"/>
      <c r="R6" s="23">
        <v>0</v>
      </c>
      <c r="S6" s="24">
        <v>46054</v>
      </c>
      <c r="T6" s="23">
        <v>0</v>
      </c>
      <c r="U6" s="25">
        <v>4</v>
      </c>
      <c r="V6" s="23">
        <v>0</v>
      </c>
      <c r="W6" s="18" t="s">
        <v>47</v>
      </c>
      <c r="X6" s="18" t="s">
        <v>48</v>
      </c>
      <c r="Y6" s="18" t="s">
        <v>36</v>
      </c>
      <c r="Z6" s="18" t="s">
        <v>9</v>
      </c>
      <c r="AA6" s="18" t="s">
        <v>49</v>
      </c>
      <c r="AB6" s="18" t="s">
        <v>162</v>
      </c>
      <c r="AC6" s="18" t="s">
        <v>38</v>
      </c>
      <c r="AD6" s="7" t="str">
        <f t="shared" si="0"/>
        <v/>
      </c>
      <c r="AE6" s="26"/>
      <c r="AF6" s="26"/>
      <c r="AG6" s="26"/>
      <c r="AH6" s="26"/>
      <c r="AI6" s="26"/>
      <c r="AJ6" s="26"/>
      <c r="AK6" s="26"/>
      <c r="AL6" s="26"/>
      <c r="AM6" s="26"/>
      <c r="AN6" s="26"/>
      <c r="AO6" s="26"/>
      <c r="AP6" s="26"/>
      <c r="AQ6" s="26"/>
      <c r="AR6" s="26"/>
      <c r="AS6" s="26"/>
      <c r="AT6" s="26"/>
      <c r="AU6" s="26"/>
      <c r="AV6" s="26"/>
      <c r="AW6" s="26"/>
    </row>
    <row r="7" spans="1:49" s="47" customFormat="1" ht="35.1" customHeight="1" x14ac:dyDescent="0.25">
      <c r="A7" s="18" t="s">
        <v>159</v>
      </c>
      <c r="B7" s="19">
        <v>46051</v>
      </c>
      <c r="C7" s="19">
        <v>46051</v>
      </c>
      <c r="D7" s="18" t="s">
        <v>207</v>
      </c>
      <c r="E7" s="20">
        <v>0.25</v>
      </c>
      <c r="F7" s="20">
        <v>0.99930555555555556</v>
      </c>
      <c r="G7" s="28">
        <v>1.7361111111111109E-4</v>
      </c>
      <c r="H7" s="29" t="s">
        <v>165</v>
      </c>
      <c r="I7" s="21">
        <v>0.28535879629629629</v>
      </c>
      <c r="J7" s="18" t="s">
        <v>41</v>
      </c>
      <c r="K7" s="18" t="s">
        <v>40</v>
      </c>
      <c r="L7" s="22">
        <v>1</v>
      </c>
      <c r="M7" s="22">
        <v>71016</v>
      </c>
      <c r="N7" s="18" t="s">
        <v>46</v>
      </c>
      <c r="O7" s="22" t="s">
        <v>161</v>
      </c>
      <c r="P7" s="23">
        <v>0</v>
      </c>
      <c r="Q7" s="22"/>
      <c r="R7" s="23">
        <v>0</v>
      </c>
      <c r="S7" s="24">
        <v>46054</v>
      </c>
      <c r="T7" s="23">
        <v>0</v>
      </c>
      <c r="U7" s="25">
        <v>4</v>
      </c>
      <c r="V7" s="23">
        <v>0</v>
      </c>
      <c r="W7" s="18" t="s">
        <v>47</v>
      </c>
      <c r="X7" s="18" t="s">
        <v>48</v>
      </c>
      <c r="Y7" s="18" t="s">
        <v>36</v>
      </c>
      <c r="Z7" s="18" t="s">
        <v>9</v>
      </c>
      <c r="AA7" s="18" t="s">
        <v>49</v>
      </c>
      <c r="AB7" s="18" t="s">
        <v>162</v>
      </c>
      <c r="AC7" s="18" t="s">
        <v>38</v>
      </c>
      <c r="AD7" s="7" t="str">
        <f t="shared" si="0"/>
        <v/>
      </c>
      <c r="AE7" s="26"/>
      <c r="AF7" s="26"/>
      <c r="AG7" s="26"/>
      <c r="AH7" s="26"/>
      <c r="AI7" s="26"/>
      <c r="AJ7" s="26"/>
      <c r="AK7" s="26"/>
      <c r="AL7" s="26"/>
      <c r="AM7" s="26"/>
      <c r="AN7" s="26"/>
      <c r="AO7" s="26"/>
      <c r="AP7" s="26"/>
      <c r="AQ7" s="26"/>
      <c r="AR7" s="26"/>
      <c r="AS7" s="26"/>
      <c r="AT7" s="26"/>
      <c r="AU7" s="26"/>
      <c r="AV7" s="26"/>
      <c r="AW7" s="26"/>
    </row>
    <row r="8" spans="1:49" s="47" customFormat="1" ht="35.1" customHeight="1" x14ac:dyDescent="0.25">
      <c r="A8" s="18" t="s">
        <v>51</v>
      </c>
      <c r="B8" s="19">
        <v>46051</v>
      </c>
      <c r="C8" s="19">
        <v>46051</v>
      </c>
      <c r="D8" s="18" t="s">
        <v>207</v>
      </c>
      <c r="E8" s="20">
        <v>0.25</v>
      </c>
      <c r="F8" s="20">
        <v>0.29166666666666669</v>
      </c>
      <c r="G8" s="20">
        <v>3.4722222222222218E-4</v>
      </c>
      <c r="H8" s="18" t="s">
        <v>52</v>
      </c>
      <c r="I8" s="21">
        <v>0.28945601851851854</v>
      </c>
      <c r="J8" s="18" t="s">
        <v>41</v>
      </c>
      <c r="K8" s="18" t="s">
        <v>40</v>
      </c>
      <c r="L8" s="22">
        <v>1</v>
      </c>
      <c r="M8" s="22">
        <v>70365</v>
      </c>
      <c r="N8" s="18" t="s">
        <v>53</v>
      </c>
      <c r="O8" s="22" t="s">
        <v>54</v>
      </c>
      <c r="P8" s="23">
        <v>40</v>
      </c>
      <c r="Q8" s="22"/>
      <c r="R8" s="23">
        <v>40</v>
      </c>
      <c r="S8" s="24">
        <v>46054</v>
      </c>
      <c r="T8" s="23">
        <v>6</v>
      </c>
      <c r="U8" s="25">
        <v>4</v>
      </c>
      <c r="V8" s="23">
        <v>34</v>
      </c>
      <c r="W8" s="18" t="s">
        <v>47</v>
      </c>
      <c r="X8" s="18" t="s">
        <v>48</v>
      </c>
      <c r="Y8" s="18" t="s">
        <v>36</v>
      </c>
      <c r="Z8" s="18" t="s">
        <v>9</v>
      </c>
      <c r="AA8" s="18" t="s">
        <v>49</v>
      </c>
      <c r="AB8" s="18" t="s">
        <v>55</v>
      </c>
      <c r="AC8" s="18" t="s">
        <v>38</v>
      </c>
      <c r="AD8" s="7" t="str">
        <f t="shared" si="0"/>
        <v/>
      </c>
      <c r="AE8" s="26"/>
      <c r="AF8" s="26"/>
      <c r="AG8" s="26"/>
      <c r="AH8" s="26"/>
      <c r="AI8" s="27"/>
      <c r="AJ8" s="27"/>
      <c r="AK8" s="27"/>
      <c r="AL8" s="27"/>
      <c r="AM8" s="27"/>
      <c r="AN8" s="27"/>
      <c r="AO8" s="27"/>
      <c r="AP8" s="27"/>
      <c r="AQ8" s="27"/>
      <c r="AR8" s="27"/>
      <c r="AS8" s="27"/>
      <c r="AT8" s="27"/>
      <c r="AU8" s="27"/>
      <c r="AV8" s="27"/>
      <c r="AW8" s="27"/>
    </row>
    <row r="9" spans="1:49" s="47" customFormat="1" ht="35.1" customHeight="1" x14ac:dyDescent="0.25">
      <c r="A9" s="9" t="s">
        <v>65</v>
      </c>
      <c r="B9" s="10">
        <v>46051</v>
      </c>
      <c r="C9" s="10">
        <v>46051</v>
      </c>
      <c r="D9" s="11" t="s">
        <v>207</v>
      </c>
      <c r="E9" s="12">
        <v>0.29166666666666669</v>
      </c>
      <c r="F9" s="12">
        <v>0.3125</v>
      </c>
      <c r="G9" s="12">
        <v>2.0833333333333332E-2</v>
      </c>
      <c r="H9" s="9" t="s">
        <v>208</v>
      </c>
      <c r="I9" s="13" t="s">
        <v>209</v>
      </c>
      <c r="J9" s="9" t="s">
        <v>41</v>
      </c>
      <c r="K9" s="9"/>
      <c r="L9" s="14">
        <v>1</v>
      </c>
      <c r="M9" s="14">
        <v>1</v>
      </c>
      <c r="N9" s="9" t="s">
        <v>33</v>
      </c>
      <c r="O9" s="9"/>
      <c r="P9" s="16">
        <v>0</v>
      </c>
      <c r="Q9" s="14"/>
      <c r="R9" s="16">
        <v>0</v>
      </c>
      <c r="S9" s="9">
        <v>46054</v>
      </c>
      <c r="T9" s="16">
        <v>0</v>
      </c>
      <c r="U9" s="14">
        <v>2</v>
      </c>
      <c r="V9" s="16">
        <v>0</v>
      </c>
      <c r="W9" s="9" t="s">
        <v>34</v>
      </c>
      <c r="X9" s="9" t="s">
        <v>42</v>
      </c>
      <c r="Y9" s="9" t="s">
        <v>36</v>
      </c>
      <c r="Z9" s="9" t="s">
        <v>43</v>
      </c>
      <c r="AA9" s="9" t="s">
        <v>37</v>
      </c>
      <c r="AB9" s="9" t="s">
        <v>37</v>
      </c>
      <c r="AC9" s="9" t="s">
        <v>38</v>
      </c>
      <c r="AD9" s="7" t="str">
        <f t="shared" si="0"/>
        <v/>
      </c>
      <c r="AE9" s="26"/>
      <c r="AF9" s="26"/>
      <c r="AG9" s="26"/>
      <c r="AH9" s="26"/>
      <c r="AI9" s="26"/>
      <c r="AJ9" s="26"/>
      <c r="AK9" s="26"/>
      <c r="AL9" s="26"/>
      <c r="AM9" s="26"/>
      <c r="AN9" s="26"/>
      <c r="AO9" s="26"/>
      <c r="AP9" s="26"/>
      <c r="AQ9" s="26"/>
      <c r="AR9" s="26"/>
      <c r="AS9" s="26"/>
      <c r="AT9" s="26"/>
      <c r="AU9" s="26"/>
      <c r="AV9" s="26"/>
      <c r="AW9" s="26"/>
    </row>
    <row r="10" spans="1:49" s="47" customFormat="1" ht="35.1" customHeight="1" x14ac:dyDescent="0.25">
      <c r="A10" s="9" t="s">
        <v>65</v>
      </c>
      <c r="B10" s="10">
        <v>46051</v>
      </c>
      <c r="C10" s="10">
        <v>46051</v>
      </c>
      <c r="D10" s="11" t="s">
        <v>207</v>
      </c>
      <c r="E10" s="12">
        <v>0.3125</v>
      </c>
      <c r="F10" s="12">
        <v>0.33333333333333331</v>
      </c>
      <c r="G10" s="12">
        <v>2.0833333333333332E-2</v>
      </c>
      <c r="H10" s="9" t="s">
        <v>208</v>
      </c>
      <c r="I10" s="13" t="s">
        <v>209</v>
      </c>
      <c r="J10" s="9" t="s">
        <v>41</v>
      </c>
      <c r="K10" s="9"/>
      <c r="L10" s="14">
        <v>1</v>
      </c>
      <c r="M10" s="14">
        <v>1</v>
      </c>
      <c r="N10" s="9" t="s">
        <v>33</v>
      </c>
      <c r="O10" s="9"/>
      <c r="P10" s="16">
        <v>0</v>
      </c>
      <c r="Q10" s="14"/>
      <c r="R10" s="16">
        <v>0</v>
      </c>
      <c r="S10" s="9">
        <v>46054</v>
      </c>
      <c r="T10" s="16">
        <v>0</v>
      </c>
      <c r="U10" s="14">
        <v>2</v>
      </c>
      <c r="V10" s="16">
        <v>0</v>
      </c>
      <c r="W10" s="9" t="s">
        <v>34</v>
      </c>
      <c r="X10" s="9" t="s">
        <v>42</v>
      </c>
      <c r="Y10" s="9" t="s">
        <v>36</v>
      </c>
      <c r="Z10" s="9" t="s">
        <v>43</v>
      </c>
      <c r="AA10" s="9" t="s">
        <v>37</v>
      </c>
      <c r="AB10" s="9" t="s">
        <v>37</v>
      </c>
      <c r="AC10" s="9" t="s">
        <v>38</v>
      </c>
      <c r="AD10" s="7" t="str">
        <f t="shared" si="0"/>
        <v/>
      </c>
      <c r="AE10" s="26"/>
      <c r="AF10" s="26"/>
      <c r="AG10" s="26"/>
      <c r="AH10" s="26"/>
      <c r="AI10" s="26"/>
      <c r="AJ10" s="26"/>
      <c r="AK10" s="26"/>
      <c r="AL10" s="26"/>
      <c r="AM10" s="26"/>
      <c r="AN10" s="26"/>
      <c r="AO10" s="26"/>
      <c r="AP10" s="26"/>
      <c r="AQ10" s="26"/>
      <c r="AR10" s="26"/>
      <c r="AS10" s="26"/>
      <c r="AT10" s="26"/>
      <c r="AU10" s="26"/>
      <c r="AV10" s="26"/>
      <c r="AW10" s="26"/>
    </row>
    <row r="11" spans="1:49" s="47" customFormat="1" ht="35.1" customHeight="1" x14ac:dyDescent="0.25">
      <c r="A11" s="9" t="s">
        <v>68</v>
      </c>
      <c r="B11" s="10">
        <v>46051</v>
      </c>
      <c r="C11" s="10">
        <v>46051</v>
      </c>
      <c r="D11" s="11" t="s">
        <v>207</v>
      </c>
      <c r="E11" s="12">
        <v>0.33333333333333331</v>
      </c>
      <c r="F11" s="12">
        <v>0.375</v>
      </c>
      <c r="G11" s="12">
        <v>4.1666666666666664E-2</v>
      </c>
      <c r="H11" s="9" t="s">
        <v>69</v>
      </c>
      <c r="I11" s="13"/>
      <c r="J11" s="9" t="s">
        <v>70</v>
      </c>
      <c r="K11" s="9"/>
      <c r="L11" s="14">
        <v>1</v>
      </c>
      <c r="M11" s="14">
        <v>1</v>
      </c>
      <c r="N11" s="9" t="s">
        <v>33</v>
      </c>
      <c r="O11" s="9"/>
      <c r="P11" s="16">
        <v>0</v>
      </c>
      <c r="Q11" s="14"/>
      <c r="R11" s="16">
        <v>0</v>
      </c>
      <c r="S11" s="9">
        <v>46054</v>
      </c>
      <c r="T11" s="16">
        <v>0</v>
      </c>
      <c r="U11" s="14">
        <v>2</v>
      </c>
      <c r="V11" s="16">
        <v>0</v>
      </c>
      <c r="W11" s="9" t="s">
        <v>34</v>
      </c>
      <c r="X11" s="9" t="s">
        <v>42</v>
      </c>
      <c r="Y11" s="9" t="s">
        <v>36</v>
      </c>
      <c r="Z11" s="9" t="s">
        <v>43</v>
      </c>
      <c r="AA11" s="9" t="s">
        <v>37</v>
      </c>
      <c r="AB11" s="9" t="s">
        <v>37</v>
      </c>
      <c r="AC11" s="9" t="s">
        <v>38</v>
      </c>
      <c r="AD11" s="7" t="str">
        <f t="shared" si="0"/>
        <v/>
      </c>
      <c r="AE11" s="26"/>
      <c r="AF11" s="26"/>
      <c r="AG11" s="26"/>
      <c r="AH11" s="26"/>
      <c r="AI11" s="26"/>
      <c r="AJ11" s="26"/>
      <c r="AK11" s="26"/>
      <c r="AL11" s="26"/>
      <c r="AM11" s="26"/>
      <c r="AN11" s="26"/>
      <c r="AO11" s="26"/>
      <c r="AP11" s="26"/>
      <c r="AQ11" s="26"/>
      <c r="AR11" s="26"/>
      <c r="AS11" s="26"/>
      <c r="AT11" s="26"/>
      <c r="AU11" s="26"/>
      <c r="AV11" s="26"/>
      <c r="AW11" s="26"/>
    </row>
    <row r="12" spans="1:49" s="47" customFormat="1" ht="35.1" customHeight="1" x14ac:dyDescent="0.25">
      <c r="A12" s="18" t="s">
        <v>159</v>
      </c>
      <c r="B12" s="19">
        <v>46051</v>
      </c>
      <c r="C12" s="19">
        <v>46051</v>
      </c>
      <c r="D12" s="18" t="s">
        <v>207</v>
      </c>
      <c r="E12" s="20">
        <v>0.33333333333333331</v>
      </c>
      <c r="F12" s="20">
        <v>0.41666666666666669</v>
      </c>
      <c r="G12" s="28">
        <v>1.7361111111111109E-4</v>
      </c>
      <c r="H12" s="29" t="s">
        <v>160</v>
      </c>
      <c r="I12" s="21">
        <v>0.34098379629629627</v>
      </c>
      <c r="J12" s="18" t="s">
        <v>70</v>
      </c>
      <c r="K12" s="18" t="s">
        <v>69</v>
      </c>
      <c r="L12" s="22">
        <v>1</v>
      </c>
      <c r="M12" s="22">
        <v>71020</v>
      </c>
      <c r="N12" s="18" t="s">
        <v>46</v>
      </c>
      <c r="O12" s="22" t="s">
        <v>161</v>
      </c>
      <c r="P12" s="23">
        <v>0</v>
      </c>
      <c r="Q12" s="22"/>
      <c r="R12" s="23">
        <v>0</v>
      </c>
      <c r="S12" s="24">
        <v>46054</v>
      </c>
      <c r="T12" s="23">
        <v>0</v>
      </c>
      <c r="U12" s="25">
        <v>4</v>
      </c>
      <c r="V12" s="23">
        <v>0</v>
      </c>
      <c r="W12" s="18" t="s">
        <v>47</v>
      </c>
      <c r="X12" s="18" t="s">
        <v>48</v>
      </c>
      <c r="Y12" s="18" t="s">
        <v>36</v>
      </c>
      <c r="Z12" s="18" t="s">
        <v>9</v>
      </c>
      <c r="AA12" s="18" t="s">
        <v>49</v>
      </c>
      <c r="AB12" s="18" t="s">
        <v>162</v>
      </c>
      <c r="AC12" s="18" t="s">
        <v>38</v>
      </c>
      <c r="AD12" s="7" t="str">
        <f t="shared" si="0"/>
        <v/>
      </c>
      <c r="AE12" s="31"/>
      <c r="AF12" s="31"/>
      <c r="AG12" s="31"/>
      <c r="AH12" s="31"/>
      <c r="AI12" s="30"/>
      <c r="AJ12" s="30"/>
      <c r="AK12" s="30"/>
      <c r="AL12" s="30"/>
      <c r="AM12" s="30"/>
      <c r="AN12" s="30"/>
      <c r="AO12" s="30"/>
      <c r="AP12" s="30"/>
      <c r="AQ12" s="30"/>
      <c r="AR12" s="30"/>
      <c r="AS12" s="30"/>
      <c r="AT12" s="30"/>
      <c r="AU12" s="30"/>
      <c r="AV12" s="30"/>
      <c r="AW12" s="30"/>
    </row>
    <row r="13" spans="1:49" s="47" customFormat="1" ht="35.1" customHeight="1" x14ac:dyDescent="0.25">
      <c r="A13" s="18" t="s">
        <v>159</v>
      </c>
      <c r="B13" s="19">
        <v>46051</v>
      </c>
      <c r="C13" s="19">
        <v>46051</v>
      </c>
      <c r="D13" s="18" t="s">
        <v>207</v>
      </c>
      <c r="E13" s="20">
        <v>0.33333333333333331</v>
      </c>
      <c r="F13" s="20">
        <v>0.41666666666666669</v>
      </c>
      <c r="G13" s="28">
        <v>1.7361111111111109E-4</v>
      </c>
      <c r="H13" s="29" t="s">
        <v>163</v>
      </c>
      <c r="I13" s="21">
        <v>0.34219907407407407</v>
      </c>
      <c r="J13" s="18" t="s">
        <v>70</v>
      </c>
      <c r="K13" s="18" t="s">
        <v>69</v>
      </c>
      <c r="L13" s="22">
        <v>1</v>
      </c>
      <c r="M13" s="22">
        <v>71020</v>
      </c>
      <c r="N13" s="18" t="s">
        <v>46</v>
      </c>
      <c r="O13" s="22" t="s">
        <v>161</v>
      </c>
      <c r="P13" s="23">
        <v>0</v>
      </c>
      <c r="Q13" s="22"/>
      <c r="R13" s="23">
        <v>0</v>
      </c>
      <c r="S13" s="24">
        <v>46054</v>
      </c>
      <c r="T13" s="23">
        <v>0</v>
      </c>
      <c r="U13" s="25">
        <v>4</v>
      </c>
      <c r="V13" s="23">
        <v>0</v>
      </c>
      <c r="W13" s="18" t="s">
        <v>47</v>
      </c>
      <c r="X13" s="18" t="s">
        <v>48</v>
      </c>
      <c r="Y13" s="18" t="s">
        <v>36</v>
      </c>
      <c r="Z13" s="18" t="s">
        <v>9</v>
      </c>
      <c r="AA13" s="18" t="s">
        <v>49</v>
      </c>
      <c r="AB13" s="18" t="s">
        <v>162</v>
      </c>
      <c r="AC13" s="18" t="s">
        <v>38</v>
      </c>
      <c r="AD13" s="7" t="str">
        <f t="shared" si="0"/>
        <v/>
      </c>
      <c r="AE13" s="26"/>
      <c r="AF13" s="26"/>
      <c r="AG13" s="26"/>
      <c r="AH13" s="26"/>
      <c r="AI13" s="26"/>
      <c r="AJ13" s="26"/>
      <c r="AK13" s="26"/>
      <c r="AL13" s="26"/>
      <c r="AM13" s="26"/>
      <c r="AN13" s="26"/>
      <c r="AO13" s="26"/>
      <c r="AP13" s="26"/>
      <c r="AQ13" s="26"/>
      <c r="AR13" s="26"/>
      <c r="AS13" s="26"/>
      <c r="AT13" s="26"/>
      <c r="AU13" s="26"/>
      <c r="AV13" s="26"/>
      <c r="AW13" s="26"/>
    </row>
    <row r="14" spans="1:49" s="47" customFormat="1" ht="35.1" customHeight="1" x14ac:dyDescent="0.25">
      <c r="A14" s="18" t="s">
        <v>159</v>
      </c>
      <c r="B14" s="19">
        <v>46051</v>
      </c>
      <c r="C14" s="19">
        <v>46051</v>
      </c>
      <c r="D14" s="18" t="s">
        <v>207</v>
      </c>
      <c r="E14" s="20">
        <v>0.33333333333333331</v>
      </c>
      <c r="F14" s="20">
        <v>0.375</v>
      </c>
      <c r="G14" s="28">
        <v>1.7361111111111109E-4</v>
      </c>
      <c r="H14" s="29" t="s">
        <v>160</v>
      </c>
      <c r="I14" s="21">
        <v>0.35754629629629631</v>
      </c>
      <c r="J14" s="18" t="s">
        <v>70</v>
      </c>
      <c r="K14" s="18" t="s">
        <v>69</v>
      </c>
      <c r="L14" s="22">
        <v>1</v>
      </c>
      <c r="M14" s="22">
        <v>71100</v>
      </c>
      <c r="N14" s="18" t="s">
        <v>53</v>
      </c>
      <c r="O14" s="22" t="s">
        <v>161</v>
      </c>
      <c r="P14" s="23">
        <v>15</v>
      </c>
      <c r="Q14" s="22"/>
      <c r="R14" s="23">
        <v>15</v>
      </c>
      <c r="S14" s="24">
        <v>46054</v>
      </c>
      <c r="T14" s="23">
        <v>2.25</v>
      </c>
      <c r="U14" s="25">
        <v>4</v>
      </c>
      <c r="V14" s="23">
        <v>12.75</v>
      </c>
      <c r="W14" s="18" t="s">
        <v>47</v>
      </c>
      <c r="X14" s="18" t="s">
        <v>48</v>
      </c>
      <c r="Y14" s="18" t="s">
        <v>36</v>
      </c>
      <c r="Z14" s="18" t="s">
        <v>9</v>
      </c>
      <c r="AA14" s="18" t="s">
        <v>49</v>
      </c>
      <c r="AB14" s="18" t="s">
        <v>162</v>
      </c>
      <c r="AC14" s="18" t="s">
        <v>38</v>
      </c>
      <c r="AD14" s="7" t="str">
        <f t="shared" si="0"/>
        <v/>
      </c>
      <c r="AE14" s="26"/>
      <c r="AF14" s="26"/>
      <c r="AG14" s="26"/>
      <c r="AH14" s="26"/>
      <c r="AI14" s="26"/>
      <c r="AJ14" s="26"/>
      <c r="AK14" s="26"/>
      <c r="AL14" s="26"/>
      <c r="AM14" s="26"/>
      <c r="AN14" s="26"/>
      <c r="AO14" s="26"/>
      <c r="AP14" s="26"/>
      <c r="AQ14" s="26"/>
      <c r="AR14" s="26"/>
      <c r="AS14" s="26"/>
      <c r="AT14" s="26"/>
      <c r="AU14" s="26"/>
      <c r="AV14" s="26"/>
      <c r="AW14" s="26"/>
    </row>
    <row r="15" spans="1:49" s="47" customFormat="1" ht="35.1" customHeight="1" x14ac:dyDescent="0.25">
      <c r="A15" s="18" t="s">
        <v>159</v>
      </c>
      <c r="B15" s="19">
        <v>46051</v>
      </c>
      <c r="C15" s="19">
        <v>46051</v>
      </c>
      <c r="D15" s="18" t="s">
        <v>207</v>
      </c>
      <c r="E15" s="20">
        <v>0.33333333333333331</v>
      </c>
      <c r="F15" s="20">
        <v>0.375</v>
      </c>
      <c r="G15" s="28">
        <v>1.7361111111111109E-4</v>
      </c>
      <c r="H15" s="29" t="s">
        <v>163</v>
      </c>
      <c r="I15" s="21">
        <v>0.35876157407407411</v>
      </c>
      <c r="J15" s="18" t="s">
        <v>70</v>
      </c>
      <c r="K15" s="18" t="s">
        <v>69</v>
      </c>
      <c r="L15" s="22">
        <v>1</v>
      </c>
      <c r="M15" s="22">
        <v>71100</v>
      </c>
      <c r="N15" s="18" t="s">
        <v>53</v>
      </c>
      <c r="O15" s="22" t="s">
        <v>161</v>
      </c>
      <c r="P15" s="23">
        <v>15</v>
      </c>
      <c r="Q15" s="22"/>
      <c r="R15" s="23">
        <v>15</v>
      </c>
      <c r="S15" s="24">
        <v>46054</v>
      </c>
      <c r="T15" s="23">
        <v>2.25</v>
      </c>
      <c r="U15" s="25">
        <v>4</v>
      </c>
      <c r="V15" s="23">
        <v>12.75</v>
      </c>
      <c r="W15" s="18" t="s">
        <v>47</v>
      </c>
      <c r="X15" s="18" t="s">
        <v>48</v>
      </c>
      <c r="Y15" s="18" t="s">
        <v>36</v>
      </c>
      <c r="Z15" s="18" t="s">
        <v>9</v>
      </c>
      <c r="AA15" s="18" t="s">
        <v>49</v>
      </c>
      <c r="AB15" s="18" t="s">
        <v>162</v>
      </c>
      <c r="AC15" s="18" t="s">
        <v>38</v>
      </c>
      <c r="AD15" s="7" t="str">
        <f t="shared" si="0"/>
        <v/>
      </c>
      <c r="AE15" s="26"/>
      <c r="AF15" s="26"/>
      <c r="AG15" s="26"/>
      <c r="AH15" s="26"/>
      <c r="AI15" s="27"/>
      <c r="AJ15" s="27"/>
      <c r="AK15" s="27"/>
      <c r="AL15" s="27"/>
      <c r="AM15" s="27"/>
      <c r="AN15" s="27"/>
      <c r="AO15" s="27"/>
      <c r="AP15" s="27"/>
      <c r="AQ15" s="27"/>
      <c r="AR15" s="27"/>
      <c r="AS15" s="27"/>
      <c r="AT15" s="27"/>
      <c r="AU15" s="27"/>
      <c r="AV15" s="27"/>
      <c r="AW15" s="27"/>
    </row>
    <row r="16" spans="1:49" s="47" customFormat="1" ht="35.1" customHeight="1" x14ac:dyDescent="0.25">
      <c r="A16" s="9" t="s">
        <v>68</v>
      </c>
      <c r="B16" s="10">
        <v>46051</v>
      </c>
      <c r="C16" s="10">
        <v>46051</v>
      </c>
      <c r="D16" s="11" t="s">
        <v>207</v>
      </c>
      <c r="E16" s="12">
        <v>0.375</v>
      </c>
      <c r="F16" s="12">
        <v>0.41666666666666669</v>
      </c>
      <c r="G16" s="12">
        <v>4.1666666666666664E-2</v>
      </c>
      <c r="H16" s="9" t="s">
        <v>71</v>
      </c>
      <c r="I16" s="13"/>
      <c r="J16" s="9" t="s">
        <v>70</v>
      </c>
      <c r="K16" s="9"/>
      <c r="L16" s="14">
        <v>1</v>
      </c>
      <c r="M16" s="14">
        <v>1</v>
      </c>
      <c r="N16" s="9" t="s">
        <v>33</v>
      </c>
      <c r="O16" s="9"/>
      <c r="P16" s="16">
        <v>0</v>
      </c>
      <c r="Q16" s="14"/>
      <c r="R16" s="16">
        <v>0</v>
      </c>
      <c r="S16" s="9">
        <v>46054</v>
      </c>
      <c r="T16" s="16">
        <v>0</v>
      </c>
      <c r="U16" s="14">
        <v>2</v>
      </c>
      <c r="V16" s="16">
        <v>0</v>
      </c>
      <c r="W16" s="9" t="s">
        <v>34</v>
      </c>
      <c r="X16" s="9" t="s">
        <v>42</v>
      </c>
      <c r="Y16" s="9" t="s">
        <v>36</v>
      </c>
      <c r="Z16" s="9" t="s">
        <v>43</v>
      </c>
      <c r="AA16" s="9" t="s">
        <v>37</v>
      </c>
      <c r="AB16" s="9" t="s">
        <v>37</v>
      </c>
      <c r="AC16" s="9" t="s">
        <v>38</v>
      </c>
      <c r="AD16" s="7" t="str">
        <f t="shared" si="0"/>
        <v/>
      </c>
      <c r="AE16" s="26"/>
      <c r="AF16" s="26"/>
      <c r="AG16" s="26"/>
      <c r="AH16" s="26"/>
      <c r="AI16" s="26"/>
      <c r="AJ16" s="26"/>
      <c r="AK16" s="26"/>
      <c r="AL16" s="26"/>
      <c r="AM16" s="26"/>
      <c r="AN16" s="26"/>
      <c r="AO16" s="26"/>
      <c r="AP16" s="26"/>
      <c r="AQ16" s="26"/>
      <c r="AR16" s="26"/>
      <c r="AS16" s="26"/>
      <c r="AT16" s="26"/>
      <c r="AU16" s="26"/>
      <c r="AV16" s="26"/>
      <c r="AW16" s="26"/>
    </row>
    <row r="17" spans="1:49" s="47" customFormat="1" ht="35.1" customHeight="1" x14ac:dyDescent="0.25">
      <c r="A17" s="18" t="s">
        <v>44</v>
      </c>
      <c r="B17" s="19">
        <v>46051</v>
      </c>
      <c r="C17" s="19">
        <v>46051</v>
      </c>
      <c r="D17" s="18" t="s">
        <v>207</v>
      </c>
      <c r="E17" s="20">
        <v>0.33333333333333331</v>
      </c>
      <c r="F17" s="20">
        <v>0.41666666666666669</v>
      </c>
      <c r="G17" s="20">
        <v>3.4722222222222218E-4</v>
      </c>
      <c r="H17" s="18" t="s">
        <v>172</v>
      </c>
      <c r="I17" s="21">
        <v>0.39980324074074075</v>
      </c>
      <c r="J17" s="18" t="s">
        <v>70</v>
      </c>
      <c r="K17" s="18" t="s">
        <v>71</v>
      </c>
      <c r="L17" s="22">
        <v>1</v>
      </c>
      <c r="M17" s="22">
        <v>70994</v>
      </c>
      <c r="N17" s="18" t="s">
        <v>53</v>
      </c>
      <c r="O17" s="22" t="str">
        <f>AC17</f>
        <v>CVC</v>
      </c>
      <c r="P17" s="23">
        <v>58.82</v>
      </c>
      <c r="Q17" s="22"/>
      <c r="R17" s="23">
        <v>58.82</v>
      </c>
      <c r="S17" s="24">
        <v>46054</v>
      </c>
      <c r="T17" s="23">
        <v>4.4115000000000002</v>
      </c>
      <c r="U17" s="25">
        <v>4</v>
      </c>
      <c r="V17" s="23">
        <v>54.408500000000004</v>
      </c>
      <c r="W17" s="18" t="s">
        <v>47</v>
      </c>
      <c r="X17" s="18" t="s">
        <v>48</v>
      </c>
      <c r="Y17" s="18" t="s">
        <v>36</v>
      </c>
      <c r="Z17" s="18" t="s">
        <v>9</v>
      </c>
      <c r="AA17" s="18" t="s">
        <v>49</v>
      </c>
      <c r="AB17" s="18" t="s">
        <v>50</v>
      </c>
      <c r="AC17" s="18" t="s">
        <v>38</v>
      </c>
      <c r="AD17" s="7" t="str">
        <f t="shared" si="0"/>
        <v/>
      </c>
      <c r="AE17" s="26"/>
      <c r="AF17" s="26"/>
      <c r="AG17" s="26"/>
      <c r="AH17" s="26"/>
      <c r="AI17" s="26"/>
      <c r="AJ17" s="26"/>
      <c r="AK17" s="26"/>
      <c r="AL17" s="26"/>
      <c r="AM17" s="26"/>
      <c r="AN17" s="26"/>
      <c r="AO17" s="26"/>
      <c r="AP17" s="26"/>
      <c r="AQ17" s="26"/>
      <c r="AR17" s="26"/>
      <c r="AS17" s="26"/>
      <c r="AT17" s="26"/>
      <c r="AU17" s="26"/>
      <c r="AV17" s="26"/>
      <c r="AW17" s="26"/>
    </row>
    <row r="18" spans="1:49" s="47" customFormat="1" ht="35.1" customHeight="1" x14ac:dyDescent="0.25">
      <c r="A18" s="18" t="s">
        <v>159</v>
      </c>
      <c r="B18" s="19">
        <v>46051</v>
      </c>
      <c r="C18" s="19">
        <v>46051</v>
      </c>
      <c r="D18" s="18" t="s">
        <v>207</v>
      </c>
      <c r="E18" s="20">
        <v>0.33333333333333331</v>
      </c>
      <c r="F18" s="20">
        <v>0.41666666666666669</v>
      </c>
      <c r="G18" s="28">
        <v>1.7361111111111109E-4</v>
      </c>
      <c r="H18" s="29" t="s">
        <v>160</v>
      </c>
      <c r="I18" s="21">
        <v>0.40712962962962962</v>
      </c>
      <c r="J18" s="18" t="s">
        <v>70</v>
      </c>
      <c r="K18" s="18" t="s">
        <v>71</v>
      </c>
      <c r="L18" s="22">
        <v>1</v>
      </c>
      <c r="M18" s="22">
        <v>71101</v>
      </c>
      <c r="N18" s="18" t="s">
        <v>46</v>
      </c>
      <c r="O18" s="22" t="s">
        <v>161</v>
      </c>
      <c r="P18" s="23">
        <v>0</v>
      </c>
      <c r="Q18" s="22"/>
      <c r="R18" s="23">
        <v>0</v>
      </c>
      <c r="S18" s="24">
        <v>46054</v>
      </c>
      <c r="T18" s="23">
        <v>0</v>
      </c>
      <c r="U18" s="25">
        <v>4</v>
      </c>
      <c r="V18" s="23">
        <v>0</v>
      </c>
      <c r="W18" s="18" t="s">
        <v>47</v>
      </c>
      <c r="X18" s="18" t="s">
        <v>48</v>
      </c>
      <c r="Y18" s="18" t="s">
        <v>36</v>
      </c>
      <c r="Z18" s="18" t="s">
        <v>9</v>
      </c>
      <c r="AA18" s="18" t="s">
        <v>49</v>
      </c>
      <c r="AB18" s="18" t="s">
        <v>162</v>
      </c>
      <c r="AC18" s="18" t="s">
        <v>38</v>
      </c>
      <c r="AD18" s="7" t="str">
        <f t="shared" si="0"/>
        <v/>
      </c>
      <c r="AE18" s="26"/>
      <c r="AF18" s="26"/>
      <c r="AG18" s="26"/>
      <c r="AH18" s="26"/>
      <c r="AI18" s="26"/>
      <c r="AJ18" s="26"/>
      <c r="AK18" s="26"/>
      <c r="AL18" s="26"/>
      <c r="AM18" s="26"/>
      <c r="AN18" s="26"/>
      <c r="AO18" s="26"/>
      <c r="AP18" s="26"/>
      <c r="AQ18" s="26"/>
      <c r="AR18" s="26"/>
      <c r="AS18" s="26"/>
      <c r="AT18" s="26"/>
      <c r="AU18" s="26"/>
      <c r="AV18" s="26"/>
      <c r="AW18" s="26"/>
    </row>
    <row r="19" spans="1:49" s="47" customFormat="1" ht="35.1" customHeight="1" x14ac:dyDescent="0.25">
      <c r="A19" s="18" t="s">
        <v>159</v>
      </c>
      <c r="B19" s="19">
        <v>46051</v>
      </c>
      <c r="C19" s="19">
        <v>46051</v>
      </c>
      <c r="D19" s="18" t="s">
        <v>207</v>
      </c>
      <c r="E19" s="20">
        <v>0.33333333333333331</v>
      </c>
      <c r="F19" s="20">
        <v>0.41666666666666669</v>
      </c>
      <c r="G19" s="28">
        <v>1.7361111111111109E-4</v>
      </c>
      <c r="H19" s="29" t="s">
        <v>163</v>
      </c>
      <c r="I19" s="21">
        <v>0.4079976851851852</v>
      </c>
      <c r="J19" s="18" t="s">
        <v>70</v>
      </c>
      <c r="K19" s="18" t="s">
        <v>71</v>
      </c>
      <c r="L19" s="22">
        <v>1</v>
      </c>
      <c r="M19" s="22">
        <v>71101</v>
      </c>
      <c r="N19" s="18" t="s">
        <v>46</v>
      </c>
      <c r="O19" s="22" t="s">
        <v>161</v>
      </c>
      <c r="P19" s="23">
        <v>0</v>
      </c>
      <c r="Q19" s="22"/>
      <c r="R19" s="23">
        <v>0</v>
      </c>
      <c r="S19" s="24">
        <v>46054</v>
      </c>
      <c r="T19" s="23">
        <v>0</v>
      </c>
      <c r="U19" s="25">
        <v>4</v>
      </c>
      <c r="V19" s="23">
        <v>0</v>
      </c>
      <c r="W19" s="18" t="s">
        <v>47</v>
      </c>
      <c r="X19" s="18" t="s">
        <v>48</v>
      </c>
      <c r="Y19" s="18" t="s">
        <v>36</v>
      </c>
      <c r="Z19" s="18" t="s">
        <v>9</v>
      </c>
      <c r="AA19" s="18" t="s">
        <v>49</v>
      </c>
      <c r="AB19" s="18" t="s">
        <v>162</v>
      </c>
      <c r="AC19" s="18" t="s">
        <v>38</v>
      </c>
      <c r="AD19" s="7" t="str">
        <f t="shared" si="0"/>
        <v/>
      </c>
      <c r="AE19" s="26"/>
      <c r="AF19" s="26"/>
      <c r="AG19" s="26"/>
      <c r="AH19" s="26"/>
      <c r="AI19" s="26"/>
      <c r="AJ19" s="26"/>
      <c r="AK19" s="26"/>
      <c r="AL19" s="26"/>
      <c r="AM19" s="26"/>
      <c r="AN19" s="26"/>
      <c r="AO19" s="26"/>
      <c r="AP19" s="26"/>
      <c r="AQ19" s="26"/>
      <c r="AR19" s="26"/>
      <c r="AS19" s="26"/>
      <c r="AT19" s="26"/>
      <c r="AU19" s="26"/>
      <c r="AV19" s="26"/>
      <c r="AW19" s="26"/>
    </row>
    <row r="20" spans="1:49" s="47" customFormat="1" ht="35.1" customHeight="1" x14ac:dyDescent="0.25">
      <c r="A20" s="9" t="s">
        <v>72</v>
      </c>
      <c r="B20" s="10">
        <v>46051</v>
      </c>
      <c r="C20" s="10">
        <v>46051</v>
      </c>
      <c r="D20" s="11" t="s">
        <v>207</v>
      </c>
      <c r="E20" s="12">
        <v>0.41666666666666669</v>
      </c>
      <c r="F20" s="12">
        <v>0.45833333333333331</v>
      </c>
      <c r="G20" s="12">
        <v>4.1666666666666664E-2</v>
      </c>
      <c r="H20" s="9" t="s">
        <v>73</v>
      </c>
      <c r="I20" s="13"/>
      <c r="J20" s="9" t="s">
        <v>74</v>
      </c>
      <c r="K20" s="9"/>
      <c r="L20" s="14">
        <v>1</v>
      </c>
      <c r="M20" s="14">
        <v>1</v>
      </c>
      <c r="N20" s="9" t="s">
        <v>33</v>
      </c>
      <c r="O20" s="9"/>
      <c r="P20" s="16">
        <v>0</v>
      </c>
      <c r="Q20" s="14"/>
      <c r="R20" s="16">
        <v>0</v>
      </c>
      <c r="S20" s="9">
        <v>46054</v>
      </c>
      <c r="T20" s="16">
        <v>0</v>
      </c>
      <c r="U20" s="14">
        <v>2</v>
      </c>
      <c r="V20" s="16">
        <v>0</v>
      </c>
      <c r="W20" s="9" t="s">
        <v>34</v>
      </c>
      <c r="X20" s="9" t="s">
        <v>42</v>
      </c>
      <c r="Y20" s="9" t="s">
        <v>36</v>
      </c>
      <c r="Z20" s="9" t="s">
        <v>43</v>
      </c>
      <c r="AA20" s="9" t="s">
        <v>37</v>
      </c>
      <c r="AB20" s="9" t="s">
        <v>37</v>
      </c>
      <c r="AC20" s="9" t="s">
        <v>38</v>
      </c>
      <c r="AD20" s="7" t="str">
        <f t="shared" si="0"/>
        <v/>
      </c>
      <c r="AE20" s="26"/>
      <c r="AF20" s="26"/>
      <c r="AG20" s="26"/>
      <c r="AH20" s="26"/>
      <c r="AI20" s="27"/>
      <c r="AJ20" s="27"/>
      <c r="AK20" s="27"/>
      <c r="AL20" s="27"/>
      <c r="AM20" s="27"/>
      <c r="AN20" s="27"/>
      <c r="AO20" s="27"/>
      <c r="AP20" s="27"/>
      <c r="AQ20" s="27"/>
      <c r="AR20" s="27"/>
      <c r="AS20" s="27"/>
      <c r="AT20" s="27"/>
      <c r="AU20" s="27"/>
      <c r="AV20" s="27"/>
      <c r="AW20" s="27"/>
    </row>
    <row r="21" spans="1:49" s="47" customFormat="1" ht="35.1" customHeight="1" x14ac:dyDescent="0.2">
      <c r="A21" s="18" t="s">
        <v>72</v>
      </c>
      <c r="B21" s="19">
        <v>46051</v>
      </c>
      <c r="C21" s="19">
        <v>46051</v>
      </c>
      <c r="D21" s="18" t="s">
        <v>207</v>
      </c>
      <c r="E21" s="20">
        <v>0.41666666666666669</v>
      </c>
      <c r="F21" s="20">
        <v>0.45833333333333331</v>
      </c>
      <c r="G21" s="20">
        <v>3.4722222222222224E-4</v>
      </c>
      <c r="H21" s="18" t="s">
        <v>210</v>
      </c>
      <c r="I21" s="21">
        <v>0.42354166666666665</v>
      </c>
      <c r="J21" s="18" t="s">
        <v>74</v>
      </c>
      <c r="K21" s="18" t="s">
        <v>72</v>
      </c>
      <c r="L21" s="22">
        <v>1</v>
      </c>
      <c r="M21" s="22">
        <v>4</v>
      </c>
      <c r="N21" s="18" t="s">
        <v>53</v>
      </c>
      <c r="O21" s="22"/>
      <c r="P21" s="23">
        <v>0</v>
      </c>
      <c r="Q21" s="22"/>
      <c r="R21" s="23">
        <v>0</v>
      </c>
      <c r="S21" s="24">
        <v>46054</v>
      </c>
      <c r="T21" s="23">
        <v>0</v>
      </c>
      <c r="U21" s="25">
        <v>4</v>
      </c>
      <c r="V21" s="23">
        <v>0</v>
      </c>
      <c r="W21" s="18" t="s">
        <v>34</v>
      </c>
      <c r="X21" s="18" t="s">
        <v>35</v>
      </c>
      <c r="Y21" s="18" t="s">
        <v>36</v>
      </c>
      <c r="Z21" s="18" t="s">
        <v>174</v>
      </c>
      <c r="AA21" s="18" t="s">
        <v>49</v>
      </c>
      <c r="AB21" s="18">
        <v>1109</v>
      </c>
      <c r="AC21" s="18" t="s">
        <v>38</v>
      </c>
      <c r="AD21" s="7" t="str">
        <f>IF(N21="PRG","",IF(I21&gt;=E21,IF(I21&lt;=F21,"","NO"),"NO"))</f>
        <v/>
      </c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</row>
    <row r="22" spans="1:49" s="47" customFormat="1" ht="35.1" customHeight="1" x14ac:dyDescent="0.25">
      <c r="A22" s="9" t="s">
        <v>75</v>
      </c>
      <c r="B22" s="10">
        <v>46051</v>
      </c>
      <c r="C22" s="10">
        <v>46051</v>
      </c>
      <c r="D22" s="11" t="s">
        <v>207</v>
      </c>
      <c r="E22" s="12">
        <v>0.45833333333333331</v>
      </c>
      <c r="F22" s="12">
        <v>0.47916666666666669</v>
      </c>
      <c r="G22" s="12">
        <v>2.0833333333333332E-2</v>
      </c>
      <c r="H22" s="9" t="s">
        <v>175</v>
      </c>
      <c r="I22" s="13"/>
      <c r="J22" s="9" t="s">
        <v>80</v>
      </c>
      <c r="K22" s="9"/>
      <c r="L22" s="14">
        <v>1</v>
      </c>
      <c r="M22" s="14">
        <v>1</v>
      </c>
      <c r="N22" s="9" t="s">
        <v>33</v>
      </c>
      <c r="O22" s="9"/>
      <c r="P22" s="16">
        <v>0</v>
      </c>
      <c r="Q22" s="14"/>
      <c r="R22" s="16">
        <v>0</v>
      </c>
      <c r="S22" s="9">
        <v>46054</v>
      </c>
      <c r="T22" s="16">
        <v>0</v>
      </c>
      <c r="U22" s="14">
        <v>2</v>
      </c>
      <c r="V22" s="16">
        <v>0</v>
      </c>
      <c r="W22" s="9" t="s">
        <v>34</v>
      </c>
      <c r="X22" s="9" t="s">
        <v>42</v>
      </c>
      <c r="Y22" s="9" t="s">
        <v>36</v>
      </c>
      <c r="Z22" s="9" t="s">
        <v>43</v>
      </c>
      <c r="AA22" s="9" t="s">
        <v>37</v>
      </c>
      <c r="AB22" s="9" t="s">
        <v>37</v>
      </c>
      <c r="AC22" s="9" t="s">
        <v>38</v>
      </c>
      <c r="AD22" s="7" t="str">
        <f t="shared" si="0"/>
        <v/>
      </c>
      <c r="AE22" s="26"/>
      <c r="AF22" s="26"/>
      <c r="AG22" s="26"/>
      <c r="AH22" s="26"/>
      <c r="AI22" s="27"/>
      <c r="AJ22" s="27"/>
      <c r="AK22" s="27"/>
      <c r="AL22" s="27"/>
      <c r="AM22" s="27"/>
      <c r="AN22" s="27"/>
      <c r="AO22" s="27"/>
      <c r="AP22" s="27"/>
      <c r="AQ22" s="27"/>
      <c r="AR22" s="27"/>
      <c r="AS22" s="27"/>
      <c r="AT22" s="27"/>
      <c r="AU22" s="27"/>
      <c r="AV22" s="27"/>
      <c r="AW22" s="27"/>
    </row>
    <row r="23" spans="1:49" s="47" customFormat="1" ht="35.1" customHeight="1" x14ac:dyDescent="0.25">
      <c r="A23" s="18" t="s">
        <v>82</v>
      </c>
      <c r="B23" s="19">
        <v>46051</v>
      </c>
      <c r="C23" s="19">
        <v>46051</v>
      </c>
      <c r="D23" s="18" t="s">
        <v>207</v>
      </c>
      <c r="E23" s="20">
        <v>0.45833333333333331</v>
      </c>
      <c r="F23" s="20">
        <v>0.54166666666666663</v>
      </c>
      <c r="G23" s="20">
        <v>3.4722222222222218E-4</v>
      </c>
      <c r="H23" s="18" t="s">
        <v>83</v>
      </c>
      <c r="I23" s="21">
        <v>0.46563657407407405</v>
      </c>
      <c r="J23" s="18" t="s">
        <v>80</v>
      </c>
      <c r="K23" s="18" t="s">
        <v>175</v>
      </c>
      <c r="L23" s="22">
        <v>1</v>
      </c>
      <c r="M23" s="22">
        <v>70168</v>
      </c>
      <c r="N23" s="18" t="s">
        <v>46</v>
      </c>
      <c r="O23" s="22" t="s">
        <v>84</v>
      </c>
      <c r="P23" s="23">
        <v>0</v>
      </c>
      <c r="Q23" s="22"/>
      <c r="R23" s="23">
        <v>0</v>
      </c>
      <c r="S23" s="24">
        <v>46051</v>
      </c>
      <c r="T23" s="23">
        <v>0</v>
      </c>
      <c r="U23" s="25">
        <v>4</v>
      </c>
      <c r="V23" s="23">
        <v>0</v>
      </c>
      <c r="W23" s="18" t="s">
        <v>47</v>
      </c>
      <c r="X23" s="18" t="s">
        <v>48</v>
      </c>
      <c r="Y23" s="18" t="s">
        <v>58</v>
      </c>
      <c r="Z23" s="18" t="s">
        <v>43</v>
      </c>
      <c r="AA23" s="18" t="s">
        <v>49</v>
      </c>
      <c r="AB23" s="18" t="s">
        <v>85</v>
      </c>
      <c r="AC23" s="18" t="s">
        <v>38</v>
      </c>
      <c r="AD23" s="7" t="str">
        <f t="shared" si="0"/>
        <v/>
      </c>
      <c r="AE23" s="26"/>
      <c r="AF23" s="26"/>
      <c r="AG23" s="26"/>
      <c r="AH23" s="26"/>
      <c r="AI23" s="26"/>
      <c r="AJ23" s="26"/>
      <c r="AK23" s="26"/>
      <c r="AL23" s="26"/>
      <c r="AM23" s="26"/>
      <c r="AN23" s="26"/>
      <c r="AO23" s="26"/>
      <c r="AP23" s="26"/>
      <c r="AQ23" s="26"/>
      <c r="AR23" s="26"/>
      <c r="AS23" s="26"/>
      <c r="AT23" s="26"/>
      <c r="AU23" s="26"/>
      <c r="AV23" s="26"/>
      <c r="AW23" s="26"/>
    </row>
    <row r="24" spans="1:49" s="47" customFormat="1" ht="35.1" customHeight="1" x14ac:dyDescent="0.25">
      <c r="A24" s="18" t="s">
        <v>82</v>
      </c>
      <c r="B24" s="19">
        <v>46051</v>
      </c>
      <c r="C24" s="19">
        <v>46051</v>
      </c>
      <c r="D24" s="18" t="s">
        <v>207</v>
      </c>
      <c r="E24" s="20">
        <v>0.45833333333333331</v>
      </c>
      <c r="F24" s="20">
        <v>0.5</v>
      </c>
      <c r="G24" s="20">
        <v>3.4722222222222218E-4</v>
      </c>
      <c r="H24" s="18" t="s">
        <v>83</v>
      </c>
      <c r="I24" s="21">
        <v>0.47292824074074075</v>
      </c>
      <c r="J24" s="18" t="s">
        <v>80</v>
      </c>
      <c r="K24" s="18" t="s">
        <v>175</v>
      </c>
      <c r="L24" s="22">
        <v>1</v>
      </c>
      <c r="M24" s="22">
        <v>70166</v>
      </c>
      <c r="N24" s="18" t="s">
        <v>53</v>
      </c>
      <c r="O24" s="22" t="s">
        <v>84</v>
      </c>
      <c r="P24" s="23">
        <v>35</v>
      </c>
      <c r="Q24" s="22"/>
      <c r="R24" s="23">
        <v>35</v>
      </c>
      <c r="S24" s="24">
        <v>46051</v>
      </c>
      <c r="T24" s="23">
        <v>0</v>
      </c>
      <c r="U24" s="25">
        <v>4</v>
      </c>
      <c r="V24" s="23">
        <v>35</v>
      </c>
      <c r="W24" s="18" t="s">
        <v>47</v>
      </c>
      <c r="X24" s="18" t="s">
        <v>48</v>
      </c>
      <c r="Y24" s="18" t="s">
        <v>58</v>
      </c>
      <c r="Z24" s="18" t="s">
        <v>43</v>
      </c>
      <c r="AA24" s="18" t="s">
        <v>49</v>
      </c>
      <c r="AB24" s="18" t="s">
        <v>85</v>
      </c>
      <c r="AC24" s="18" t="s">
        <v>38</v>
      </c>
      <c r="AD24" s="7" t="str">
        <f t="shared" si="0"/>
        <v/>
      </c>
      <c r="AE24" s="26"/>
      <c r="AF24" s="26"/>
      <c r="AG24" s="26"/>
      <c r="AH24" s="26"/>
      <c r="AI24" s="26"/>
      <c r="AJ24" s="26"/>
      <c r="AK24" s="26"/>
      <c r="AL24" s="26"/>
      <c r="AM24" s="26"/>
      <c r="AN24" s="26"/>
      <c r="AO24" s="26"/>
      <c r="AP24" s="26"/>
      <c r="AQ24" s="26"/>
      <c r="AR24" s="26"/>
      <c r="AS24" s="26"/>
      <c r="AT24" s="26"/>
      <c r="AU24" s="26"/>
      <c r="AV24" s="26"/>
      <c r="AW24" s="26"/>
    </row>
    <row r="25" spans="1:49" s="47" customFormat="1" ht="35.1" customHeight="1" x14ac:dyDescent="0.25">
      <c r="A25" s="18" t="s">
        <v>61</v>
      </c>
      <c r="B25" s="19">
        <v>46051</v>
      </c>
      <c r="C25" s="19">
        <v>46051</v>
      </c>
      <c r="D25" s="18" t="s">
        <v>207</v>
      </c>
      <c r="E25" s="20">
        <v>0.45833333333333331</v>
      </c>
      <c r="F25" s="20">
        <v>0.54166666666666663</v>
      </c>
      <c r="G25" s="20">
        <v>3.4722222222222218E-4</v>
      </c>
      <c r="H25" s="18" t="s">
        <v>198</v>
      </c>
      <c r="I25" s="21">
        <v>0.46598379629629627</v>
      </c>
      <c r="J25" s="18" t="s">
        <v>80</v>
      </c>
      <c r="K25" s="18" t="s">
        <v>175</v>
      </c>
      <c r="L25" s="22">
        <v>1</v>
      </c>
      <c r="M25" s="22">
        <v>64409</v>
      </c>
      <c r="N25" s="18" t="s">
        <v>53</v>
      </c>
      <c r="O25" s="22" t="s">
        <v>63</v>
      </c>
      <c r="P25" s="23">
        <v>30</v>
      </c>
      <c r="Q25" s="22"/>
      <c r="R25" s="23">
        <v>30</v>
      </c>
      <c r="S25" s="24">
        <v>46054</v>
      </c>
      <c r="T25" s="23">
        <v>4.5</v>
      </c>
      <c r="U25" s="25">
        <v>4</v>
      </c>
      <c r="V25" s="23">
        <v>25.5</v>
      </c>
      <c r="W25" s="18" t="s">
        <v>47</v>
      </c>
      <c r="X25" s="18" t="s">
        <v>48</v>
      </c>
      <c r="Y25" s="18" t="s">
        <v>36</v>
      </c>
      <c r="Z25" s="18" t="s">
        <v>9</v>
      </c>
      <c r="AA25" s="18" t="s">
        <v>49</v>
      </c>
      <c r="AB25" s="18" t="s">
        <v>64</v>
      </c>
      <c r="AC25" s="18" t="s">
        <v>38</v>
      </c>
      <c r="AD25" s="7" t="str">
        <f t="shared" si="0"/>
        <v/>
      </c>
      <c r="AE25" s="26"/>
      <c r="AF25" s="26"/>
      <c r="AG25" s="26"/>
      <c r="AH25" s="26"/>
      <c r="AI25" s="26"/>
      <c r="AJ25" s="26"/>
      <c r="AK25" s="26"/>
      <c r="AL25" s="26"/>
      <c r="AM25" s="26"/>
      <c r="AN25" s="26"/>
      <c r="AO25" s="26"/>
      <c r="AP25" s="26"/>
      <c r="AQ25" s="26"/>
      <c r="AR25" s="26"/>
      <c r="AS25" s="26"/>
      <c r="AT25" s="26"/>
      <c r="AU25" s="26"/>
      <c r="AV25" s="26"/>
      <c r="AW25" s="26"/>
    </row>
    <row r="26" spans="1:49" s="47" customFormat="1" ht="35.1" customHeight="1" x14ac:dyDescent="0.25">
      <c r="A26" s="18" t="s">
        <v>82</v>
      </c>
      <c r="B26" s="19">
        <v>46051</v>
      </c>
      <c r="C26" s="19">
        <v>46051</v>
      </c>
      <c r="D26" s="18" t="s">
        <v>207</v>
      </c>
      <c r="E26" s="20">
        <v>0.45833333333333331</v>
      </c>
      <c r="F26" s="20">
        <v>0.5</v>
      </c>
      <c r="G26" s="20">
        <v>3.4722222222222218E-4</v>
      </c>
      <c r="H26" s="18" t="s">
        <v>83</v>
      </c>
      <c r="I26" s="21">
        <v>0.47260416666666666</v>
      </c>
      <c r="J26" s="18" t="s">
        <v>80</v>
      </c>
      <c r="K26" s="18" t="s">
        <v>175</v>
      </c>
      <c r="L26" s="22">
        <v>1</v>
      </c>
      <c r="M26" s="22">
        <v>70166</v>
      </c>
      <c r="N26" s="18" t="s">
        <v>53</v>
      </c>
      <c r="O26" s="22" t="s">
        <v>84</v>
      </c>
      <c r="P26" s="23">
        <v>35</v>
      </c>
      <c r="Q26" s="22"/>
      <c r="R26" s="23">
        <v>35</v>
      </c>
      <c r="S26" s="24">
        <v>46051</v>
      </c>
      <c r="T26" s="23">
        <v>0</v>
      </c>
      <c r="U26" s="25">
        <v>4</v>
      </c>
      <c r="V26" s="23">
        <v>35</v>
      </c>
      <c r="W26" s="18" t="s">
        <v>47</v>
      </c>
      <c r="X26" s="18" t="s">
        <v>48</v>
      </c>
      <c r="Y26" s="18" t="s">
        <v>58</v>
      </c>
      <c r="Z26" s="18" t="s">
        <v>43</v>
      </c>
      <c r="AA26" s="18" t="s">
        <v>49</v>
      </c>
      <c r="AB26" s="18" t="s">
        <v>85</v>
      </c>
      <c r="AC26" s="18" t="s">
        <v>38</v>
      </c>
      <c r="AD26" s="7" t="str">
        <f t="shared" si="0"/>
        <v/>
      </c>
      <c r="AE26" s="34"/>
      <c r="AF26" s="34"/>
      <c r="AG26" s="34"/>
      <c r="AH26" s="34"/>
      <c r="AI26" s="30"/>
      <c r="AJ26" s="30"/>
      <c r="AK26" s="30"/>
      <c r="AL26" s="30"/>
      <c r="AM26" s="30"/>
      <c r="AN26" s="30"/>
      <c r="AO26" s="30"/>
      <c r="AP26" s="30"/>
      <c r="AQ26" s="30"/>
      <c r="AR26" s="30"/>
      <c r="AS26" s="30"/>
      <c r="AT26" s="30"/>
      <c r="AU26" s="30"/>
      <c r="AV26" s="30"/>
      <c r="AW26" s="30"/>
    </row>
    <row r="27" spans="1:49" s="47" customFormat="1" ht="35.1" customHeight="1" x14ac:dyDescent="0.2">
      <c r="A27" s="18" t="s">
        <v>93</v>
      </c>
      <c r="B27" s="19">
        <v>46051</v>
      </c>
      <c r="C27" s="19">
        <v>46051</v>
      </c>
      <c r="D27" s="18" t="s">
        <v>207</v>
      </c>
      <c r="E27" s="20">
        <v>0.45833333333333331</v>
      </c>
      <c r="F27" s="20">
        <v>0.54166666666666663</v>
      </c>
      <c r="G27" s="28">
        <v>1.7361111111111109E-4</v>
      </c>
      <c r="H27" s="29" t="s">
        <v>98</v>
      </c>
      <c r="I27" s="21">
        <v>0.46546296296296297</v>
      </c>
      <c r="J27" s="18" t="s">
        <v>80</v>
      </c>
      <c r="K27" s="18" t="s">
        <v>175</v>
      </c>
      <c r="L27" s="22">
        <v>1</v>
      </c>
      <c r="M27" s="22">
        <v>69570</v>
      </c>
      <c r="N27" s="18" t="s">
        <v>53</v>
      </c>
      <c r="O27" s="22" t="s">
        <v>95</v>
      </c>
      <c r="P27" s="23">
        <v>0</v>
      </c>
      <c r="Q27" s="22"/>
      <c r="R27" s="23">
        <v>19.042139037433099</v>
      </c>
      <c r="S27" s="24">
        <v>46054</v>
      </c>
      <c r="T27" s="23">
        <v>0</v>
      </c>
      <c r="U27" s="25">
        <v>4</v>
      </c>
      <c r="V27" s="23">
        <v>0</v>
      </c>
      <c r="W27" s="18" t="s">
        <v>47</v>
      </c>
      <c r="X27" s="18" t="s">
        <v>48</v>
      </c>
      <c r="Y27" s="18" t="s">
        <v>36</v>
      </c>
      <c r="Z27" s="18" t="s">
        <v>9</v>
      </c>
      <c r="AA27" s="18" t="s">
        <v>49</v>
      </c>
      <c r="AB27" s="18" t="s">
        <v>96</v>
      </c>
      <c r="AC27" s="18" t="s">
        <v>38</v>
      </c>
      <c r="AD27" s="7" t="str">
        <f t="shared" si="0"/>
        <v/>
      </c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</row>
    <row r="28" spans="1:49" s="47" customFormat="1" ht="35.1" customHeight="1" x14ac:dyDescent="0.2">
      <c r="A28" s="18" t="s">
        <v>93</v>
      </c>
      <c r="B28" s="19">
        <v>46051</v>
      </c>
      <c r="C28" s="19">
        <v>46051</v>
      </c>
      <c r="D28" s="18" t="s">
        <v>207</v>
      </c>
      <c r="E28" s="20">
        <v>0.45833333333333331</v>
      </c>
      <c r="F28" s="20">
        <v>0.54166666666666663</v>
      </c>
      <c r="G28" s="28">
        <v>1.7361111111111109E-4</v>
      </c>
      <c r="H28" s="29" t="s">
        <v>97</v>
      </c>
      <c r="I28" s="21">
        <v>0.46737268518518521</v>
      </c>
      <c r="J28" s="18" t="s">
        <v>80</v>
      </c>
      <c r="K28" s="18" t="s">
        <v>175</v>
      </c>
      <c r="L28" s="22">
        <v>1</v>
      </c>
      <c r="M28" s="22">
        <v>69570</v>
      </c>
      <c r="N28" s="18" t="s">
        <v>53</v>
      </c>
      <c r="O28" s="22" t="s">
        <v>95</v>
      </c>
      <c r="P28" s="23">
        <v>0</v>
      </c>
      <c r="Q28" s="22"/>
      <c r="R28" s="23">
        <v>19.042139037433099</v>
      </c>
      <c r="S28" s="24">
        <v>46054</v>
      </c>
      <c r="T28" s="23">
        <v>0</v>
      </c>
      <c r="U28" s="25">
        <v>4</v>
      </c>
      <c r="V28" s="23">
        <v>0</v>
      </c>
      <c r="W28" s="18" t="s">
        <v>47</v>
      </c>
      <c r="X28" s="18" t="s">
        <v>48</v>
      </c>
      <c r="Y28" s="18" t="s">
        <v>36</v>
      </c>
      <c r="Z28" s="18" t="s">
        <v>9</v>
      </c>
      <c r="AA28" s="18" t="s">
        <v>49</v>
      </c>
      <c r="AB28" s="18" t="s">
        <v>96</v>
      </c>
      <c r="AC28" s="18" t="s">
        <v>38</v>
      </c>
      <c r="AD28" s="7" t="str">
        <f t="shared" si="0"/>
        <v/>
      </c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</row>
    <row r="29" spans="1:49" s="47" customFormat="1" ht="35.1" customHeight="1" x14ac:dyDescent="0.2">
      <c r="A29" s="18" t="s">
        <v>51</v>
      </c>
      <c r="B29" s="19">
        <v>46051</v>
      </c>
      <c r="C29" s="19">
        <v>46051</v>
      </c>
      <c r="D29" s="18" t="s">
        <v>207</v>
      </c>
      <c r="E29" s="20">
        <v>0.45833333333333331</v>
      </c>
      <c r="F29" s="20">
        <v>0.47916666666666669</v>
      </c>
      <c r="G29" s="20">
        <v>3.4722222222222218E-4</v>
      </c>
      <c r="H29" s="18" t="s">
        <v>102</v>
      </c>
      <c r="I29" s="21">
        <v>0.46633101851851849</v>
      </c>
      <c r="J29" s="18" t="s">
        <v>80</v>
      </c>
      <c r="K29" s="18" t="s">
        <v>175</v>
      </c>
      <c r="L29" s="22">
        <v>1</v>
      </c>
      <c r="M29" s="22">
        <v>70360</v>
      </c>
      <c r="N29" s="18" t="s">
        <v>53</v>
      </c>
      <c r="O29" s="22" t="s">
        <v>54</v>
      </c>
      <c r="P29" s="23">
        <v>50</v>
      </c>
      <c r="Q29" s="22"/>
      <c r="R29" s="23">
        <v>50</v>
      </c>
      <c r="S29" s="24">
        <v>46054</v>
      </c>
      <c r="T29" s="23">
        <v>7.5</v>
      </c>
      <c r="U29" s="25">
        <v>4</v>
      </c>
      <c r="V29" s="23">
        <v>42.5</v>
      </c>
      <c r="W29" s="18" t="s">
        <v>47</v>
      </c>
      <c r="X29" s="18" t="s">
        <v>48</v>
      </c>
      <c r="Y29" s="18" t="s">
        <v>36</v>
      </c>
      <c r="Z29" s="18" t="s">
        <v>9</v>
      </c>
      <c r="AA29" s="18" t="s">
        <v>49</v>
      </c>
      <c r="AB29" s="18" t="s">
        <v>55</v>
      </c>
      <c r="AC29" s="18" t="s">
        <v>38</v>
      </c>
      <c r="AD29" s="7" t="str">
        <f t="shared" si="0"/>
        <v/>
      </c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</row>
    <row r="30" spans="1:49" s="47" customFormat="1" ht="35.1" customHeight="1" x14ac:dyDescent="0.25">
      <c r="A30" s="18" t="s">
        <v>56</v>
      </c>
      <c r="B30" s="19">
        <v>46051</v>
      </c>
      <c r="C30" s="19">
        <v>46051</v>
      </c>
      <c r="D30" s="18" t="s">
        <v>207</v>
      </c>
      <c r="E30" s="20">
        <v>0.45833333333333331</v>
      </c>
      <c r="F30" s="20">
        <v>0.54166666666666663</v>
      </c>
      <c r="G30" s="28">
        <v>1.7361111111111112E-4</v>
      </c>
      <c r="H30" s="29" t="s">
        <v>176</v>
      </c>
      <c r="I30" s="21">
        <v>0.47208333333333335</v>
      </c>
      <c r="J30" s="18" t="s">
        <v>80</v>
      </c>
      <c r="K30" s="18" t="s">
        <v>175</v>
      </c>
      <c r="L30" s="22">
        <v>1</v>
      </c>
      <c r="M30" s="22">
        <v>69831</v>
      </c>
      <c r="N30" s="18" t="s">
        <v>53</v>
      </c>
      <c r="O30" s="22"/>
      <c r="P30" s="23">
        <v>21.75</v>
      </c>
      <c r="Q30" s="22"/>
      <c r="R30" s="23">
        <v>21.75</v>
      </c>
      <c r="S30" s="24">
        <v>46051</v>
      </c>
      <c r="T30" s="23">
        <v>0</v>
      </c>
      <c r="U30" s="25">
        <v>4</v>
      </c>
      <c r="V30" s="23">
        <v>21.75</v>
      </c>
      <c r="W30" s="18" t="s">
        <v>34</v>
      </c>
      <c r="X30" s="18" t="s">
        <v>48</v>
      </c>
      <c r="Y30" s="18" t="s">
        <v>58</v>
      </c>
      <c r="Z30" s="18" t="s">
        <v>43</v>
      </c>
      <c r="AA30" s="18" t="s">
        <v>49</v>
      </c>
      <c r="AB30" s="18" t="s">
        <v>59</v>
      </c>
      <c r="AC30" s="18" t="s">
        <v>38</v>
      </c>
      <c r="AD30" s="7" t="str">
        <f t="shared" si="0"/>
        <v/>
      </c>
      <c r="AE30" s="26"/>
      <c r="AF30" s="26"/>
      <c r="AG30" s="26"/>
      <c r="AH30" s="26"/>
      <c r="AI30" s="26"/>
      <c r="AJ30" s="26"/>
      <c r="AK30" s="26"/>
      <c r="AL30" s="26"/>
      <c r="AM30" s="26"/>
      <c r="AN30" s="26"/>
      <c r="AO30" s="26"/>
      <c r="AP30" s="26"/>
      <c r="AQ30" s="26"/>
      <c r="AR30" s="26"/>
      <c r="AS30" s="26"/>
      <c r="AT30" s="26"/>
      <c r="AU30" s="26"/>
      <c r="AV30" s="26"/>
      <c r="AW30" s="26"/>
    </row>
    <row r="31" spans="1:49" s="47" customFormat="1" ht="35.1" customHeight="1" x14ac:dyDescent="0.25">
      <c r="A31" s="18" t="s">
        <v>56</v>
      </c>
      <c r="B31" s="19">
        <v>46051</v>
      </c>
      <c r="C31" s="19">
        <v>46051</v>
      </c>
      <c r="D31" s="18" t="s">
        <v>207</v>
      </c>
      <c r="E31" s="20">
        <v>0.45833333333333331</v>
      </c>
      <c r="F31" s="20">
        <v>0.54166666666666663</v>
      </c>
      <c r="G31" s="28">
        <v>1.7361111111111112E-4</v>
      </c>
      <c r="H31" s="29" t="s">
        <v>177</v>
      </c>
      <c r="I31" s="21">
        <v>0.4732986111111111</v>
      </c>
      <c r="J31" s="18" t="s">
        <v>80</v>
      </c>
      <c r="K31" s="18" t="s">
        <v>175</v>
      </c>
      <c r="L31" s="22">
        <v>1</v>
      </c>
      <c r="M31" s="22">
        <v>69831</v>
      </c>
      <c r="N31" s="18" t="s">
        <v>53</v>
      </c>
      <c r="O31" s="22"/>
      <c r="P31" s="23">
        <v>0</v>
      </c>
      <c r="Q31" s="22"/>
      <c r="R31" s="23">
        <v>0</v>
      </c>
      <c r="S31" s="24">
        <v>46051</v>
      </c>
      <c r="T31" s="23">
        <v>0</v>
      </c>
      <c r="U31" s="25">
        <v>4</v>
      </c>
      <c r="V31" s="23">
        <v>0</v>
      </c>
      <c r="W31" s="18" t="s">
        <v>34</v>
      </c>
      <c r="X31" s="18" t="s">
        <v>48</v>
      </c>
      <c r="Y31" s="18" t="s">
        <v>58</v>
      </c>
      <c r="Z31" s="18" t="s">
        <v>43</v>
      </c>
      <c r="AA31" s="18" t="s">
        <v>49</v>
      </c>
      <c r="AB31" s="18" t="s">
        <v>59</v>
      </c>
      <c r="AC31" s="18" t="s">
        <v>38</v>
      </c>
      <c r="AD31" s="7" t="str">
        <f t="shared" si="0"/>
        <v/>
      </c>
      <c r="AE31" s="26"/>
      <c r="AF31" s="26"/>
      <c r="AG31" s="26"/>
      <c r="AH31" s="26"/>
      <c r="AI31" s="26"/>
      <c r="AJ31" s="26"/>
      <c r="AK31" s="26"/>
      <c r="AL31" s="26"/>
      <c r="AM31" s="26"/>
      <c r="AN31" s="26"/>
      <c r="AO31" s="26"/>
      <c r="AP31" s="26"/>
      <c r="AQ31" s="26"/>
      <c r="AR31" s="26"/>
      <c r="AS31" s="26"/>
      <c r="AT31" s="26"/>
      <c r="AU31" s="26"/>
      <c r="AV31" s="26"/>
      <c r="AW31" s="26"/>
    </row>
    <row r="32" spans="1:49" s="47" customFormat="1" ht="35.1" customHeight="1" x14ac:dyDescent="0.25">
      <c r="A32" s="18" t="s">
        <v>82</v>
      </c>
      <c r="B32" s="19">
        <v>46051</v>
      </c>
      <c r="C32" s="19">
        <v>46051</v>
      </c>
      <c r="D32" s="18" t="s">
        <v>207</v>
      </c>
      <c r="E32" s="20">
        <v>0.45833333333333331</v>
      </c>
      <c r="F32" s="20">
        <v>0.5</v>
      </c>
      <c r="G32" s="20">
        <v>3.4722222222222218E-4</v>
      </c>
      <c r="H32" s="18" t="s">
        <v>83</v>
      </c>
      <c r="I32" s="21">
        <v>0.4778587962962963</v>
      </c>
      <c r="J32" s="18" t="s">
        <v>80</v>
      </c>
      <c r="K32" s="18" t="s">
        <v>175</v>
      </c>
      <c r="L32" s="22">
        <v>1</v>
      </c>
      <c r="M32" s="22">
        <v>70166</v>
      </c>
      <c r="N32" s="18" t="s">
        <v>53</v>
      </c>
      <c r="O32" s="22" t="s">
        <v>84</v>
      </c>
      <c r="P32" s="23">
        <v>35</v>
      </c>
      <c r="Q32" s="22"/>
      <c r="R32" s="23">
        <v>35</v>
      </c>
      <c r="S32" s="24">
        <v>46051</v>
      </c>
      <c r="T32" s="23">
        <v>0</v>
      </c>
      <c r="U32" s="25">
        <v>4</v>
      </c>
      <c r="V32" s="23">
        <v>35</v>
      </c>
      <c r="W32" s="18" t="s">
        <v>47</v>
      </c>
      <c r="X32" s="18" t="s">
        <v>48</v>
      </c>
      <c r="Y32" s="18" t="s">
        <v>58</v>
      </c>
      <c r="Z32" s="18" t="s">
        <v>43</v>
      </c>
      <c r="AA32" s="18" t="s">
        <v>49</v>
      </c>
      <c r="AB32" s="18" t="s">
        <v>85</v>
      </c>
      <c r="AC32" s="18" t="s">
        <v>38</v>
      </c>
      <c r="AD32" s="7" t="str">
        <f t="shared" si="0"/>
        <v/>
      </c>
      <c r="AE32" s="26"/>
      <c r="AF32" s="26"/>
      <c r="AG32" s="26"/>
      <c r="AH32" s="26"/>
      <c r="AI32" s="26"/>
      <c r="AJ32" s="26"/>
      <c r="AK32" s="26"/>
      <c r="AL32" s="26"/>
      <c r="AM32" s="26"/>
      <c r="AN32" s="26"/>
      <c r="AO32" s="26"/>
      <c r="AP32" s="26"/>
      <c r="AQ32" s="26"/>
      <c r="AR32" s="26"/>
      <c r="AS32" s="26"/>
      <c r="AT32" s="26"/>
      <c r="AU32" s="26"/>
      <c r="AV32" s="26"/>
      <c r="AW32" s="26"/>
    </row>
    <row r="33" spans="1:49" s="47" customFormat="1" ht="35.1" customHeight="1" x14ac:dyDescent="0.25">
      <c r="A33" s="9" t="s">
        <v>75</v>
      </c>
      <c r="B33" s="10">
        <v>46051</v>
      </c>
      <c r="C33" s="10">
        <v>46051</v>
      </c>
      <c r="D33" s="11" t="s">
        <v>207</v>
      </c>
      <c r="E33" s="12">
        <v>0.47916666666666669</v>
      </c>
      <c r="F33" s="12">
        <v>0.5</v>
      </c>
      <c r="G33" s="12">
        <v>2.0833333333333332E-2</v>
      </c>
      <c r="H33" s="9" t="s">
        <v>211</v>
      </c>
      <c r="I33" s="13"/>
      <c r="J33" s="9" t="s">
        <v>80</v>
      </c>
      <c r="K33" s="9"/>
      <c r="L33" s="14">
        <v>1</v>
      </c>
      <c r="M33" s="14">
        <v>1</v>
      </c>
      <c r="N33" s="9" t="s">
        <v>33</v>
      </c>
      <c r="O33" s="9"/>
      <c r="P33" s="16">
        <v>0</v>
      </c>
      <c r="Q33" s="14"/>
      <c r="R33" s="16">
        <v>0</v>
      </c>
      <c r="S33" s="9">
        <v>46054</v>
      </c>
      <c r="T33" s="16">
        <v>0</v>
      </c>
      <c r="U33" s="14">
        <v>2</v>
      </c>
      <c r="V33" s="16">
        <v>0</v>
      </c>
      <c r="W33" s="9" t="s">
        <v>34</v>
      </c>
      <c r="X33" s="9" t="s">
        <v>42</v>
      </c>
      <c r="Y33" s="9" t="s">
        <v>36</v>
      </c>
      <c r="Z33" s="9" t="s">
        <v>43</v>
      </c>
      <c r="AA33" s="9" t="s">
        <v>37</v>
      </c>
      <c r="AB33" s="9" t="s">
        <v>37</v>
      </c>
      <c r="AC33" s="9" t="s">
        <v>38</v>
      </c>
      <c r="AD33" s="7" t="str">
        <f t="shared" si="0"/>
        <v/>
      </c>
      <c r="AE33" s="26"/>
      <c r="AF33" s="26"/>
      <c r="AG33" s="26"/>
      <c r="AH33" s="26"/>
      <c r="AI33" s="27"/>
      <c r="AJ33" s="27"/>
      <c r="AK33" s="27"/>
      <c r="AL33" s="27"/>
      <c r="AM33" s="27"/>
      <c r="AN33" s="27"/>
      <c r="AO33" s="27"/>
      <c r="AP33" s="27"/>
      <c r="AQ33" s="27"/>
      <c r="AR33" s="27"/>
      <c r="AS33" s="27"/>
      <c r="AT33" s="27"/>
      <c r="AU33" s="27"/>
      <c r="AV33" s="27"/>
      <c r="AW33" s="27"/>
    </row>
    <row r="34" spans="1:49" s="47" customFormat="1" ht="35.1" customHeight="1" x14ac:dyDescent="0.25">
      <c r="A34" s="18" t="s">
        <v>87</v>
      </c>
      <c r="B34" s="19">
        <v>46051</v>
      </c>
      <c r="C34" s="19">
        <v>46051</v>
      </c>
      <c r="D34" s="18" t="s">
        <v>207</v>
      </c>
      <c r="E34" s="20">
        <v>0.45833333333333331</v>
      </c>
      <c r="F34" s="20">
        <v>0.54166666666666663</v>
      </c>
      <c r="G34" s="20">
        <v>3.4722222222222218E-4</v>
      </c>
      <c r="H34" s="18" t="s">
        <v>88</v>
      </c>
      <c r="I34" s="21">
        <v>0.48677268518518524</v>
      </c>
      <c r="J34" s="18" t="s">
        <v>80</v>
      </c>
      <c r="K34" s="18" t="s">
        <v>150</v>
      </c>
      <c r="L34" s="22">
        <v>1</v>
      </c>
      <c r="M34" s="22">
        <v>69607</v>
      </c>
      <c r="N34" s="18" t="s">
        <v>53</v>
      </c>
      <c r="O34" s="22" t="s">
        <v>89</v>
      </c>
      <c r="P34" s="23">
        <v>40</v>
      </c>
      <c r="Q34" s="22"/>
      <c r="R34" s="23">
        <v>40</v>
      </c>
      <c r="S34" s="24">
        <v>46051</v>
      </c>
      <c r="T34" s="23">
        <v>0</v>
      </c>
      <c r="U34" s="25">
        <v>4</v>
      </c>
      <c r="V34" s="23">
        <v>40</v>
      </c>
      <c r="W34" s="18" t="s">
        <v>47</v>
      </c>
      <c r="X34" s="18" t="s">
        <v>48</v>
      </c>
      <c r="Y34" s="18" t="s">
        <v>58</v>
      </c>
      <c r="Z34" s="18" t="s">
        <v>43</v>
      </c>
      <c r="AA34" s="18" t="s">
        <v>49</v>
      </c>
      <c r="AB34" s="18" t="s">
        <v>90</v>
      </c>
      <c r="AC34" s="18" t="s">
        <v>38</v>
      </c>
      <c r="AD34" s="7" t="str">
        <f t="shared" si="0"/>
        <v/>
      </c>
      <c r="AE34" s="26"/>
      <c r="AF34" s="26"/>
      <c r="AG34" s="26"/>
      <c r="AH34" s="26"/>
      <c r="AI34" s="26"/>
      <c r="AJ34" s="26"/>
      <c r="AK34" s="26"/>
      <c r="AL34" s="26"/>
      <c r="AM34" s="26"/>
      <c r="AN34" s="26"/>
      <c r="AO34" s="26"/>
      <c r="AP34" s="26"/>
      <c r="AQ34" s="26"/>
      <c r="AR34" s="26"/>
      <c r="AS34" s="26"/>
      <c r="AT34" s="26"/>
      <c r="AU34" s="26"/>
      <c r="AV34" s="26"/>
      <c r="AW34" s="26"/>
    </row>
    <row r="35" spans="1:49" s="47" customFormat="1" ht="35.1" customHeight="1" x14ac:dyDescent="0.25">
      <c r="A35" s="18" t="s">
        <v>82</v>
      </c>
      <c r="B35" s="19">
        <v>46051</v>
      </c>
      <c r="C35" s="19">
        <v>46051</v>
      </c>
      <c r="D35" s="18" t="s">
        <v>207</v>
      </c>
      <c r="E35" s="20">
        <v>0.45833333333333331</v>
      </c>
      <c r="F35" s="20">
        <v>0.54166666666666663</v>
      </c>
      <c r="G35" s="20">
        <v>3.4722222222222218E-4</v>
      </c>
      <c r="H35" s="18" t="s">
        <v>83</v>
      </c>
      <c r="I35" s="21">
        <v>0.49685428240740742</v>
      </c>
      <c r="J35" s="18" t="s">
        <v>80</v>
      </c>
      <c r="K35" s="18" t="s">
        <v>150</v>
      </c>
      <c r="L35" s="22">
        <v>1</v>
      </c>
      <c r="M35" s="22">
        <v>70168</v>
      </c>
      <c r="N35" s="18" t="s">
        <v>46</v>
      </c>
      <c r="O35" s="22" t="s">
        <v>84</v>
      </c>
      <c r="P35" s="23">
        <v>0</v>
      </c>
      <c r="Q35" s="22"/>
      <c r="R35" s="23">
        <v>0</v>
      </c>
      <c r="S35" s="24">
        <v>46051</v>
      </c>
      <c r="T35" s="23">
        <v>0</v>
      </c>
      <c r="U35" s="25">
        <v>4</v>
      </c>
      <c r="V35" s="23">
        <v>0</v>
      </c>
      <c r="W35" s="18" t="s">
        <v>47</v>
      </c>
      <c r="X35" s="18" t="s">
        <v>48</v>
      </c>
      <c r="Y35" s="18" t="s">
        <v>58</v>
      </c>
      <c r="Z35" s="18" t="s">
        <v>43</v>
      </c>
      <c r="AA35" s="18" t="s">
        <v>49</v>
      </c>
      <c r="AB35" s="18" t="s">
        <v>85</v>
      </c>
      <c r="AC35" s="18" t="s">
        <v>38</v>
      </c>
      <c r="AD35" s="7" t="str">
        <f t="shared" si="0"/>
        <v/>
      </c>
      <c r="AE35" s="26"/>
      <c r="AF35" s="26"/>
      <c r="AG35" s="26"/>
      <c r="AH35" s="26"/>
      <c r="AI35" s="26"/>
      <c r="AJ35" s="26"/>
      <c r="AK35" s="26"/>
      <c r="AL35" s="26"/>
      <c r="AM35" s="26"/>
      <c r="AN35" s="26"/>
      <c r="AO35" s="26"/>
      <c r="AP35" s="26"/>
      <c r="AQ35" s="26"/>
      <c r="AR35" s="26"/>
      <c r="AS35" s="26"/>
      <c r="AT35" s="26"/>
      <c r="AU35" s="26"/>
      <c r="AV35" s="26"/>
      <c r="AW35" s="26"/>
    </row>
    <row r="36" spans="1:49" s="47" customFormat="1" ht="35.1" customHeight="1" x14ac:dyDescent="0.25">
      <c r="A36" s="18" t="s">
        <v>82</v>
      </c>
      <c r="B36" s="19">
        <v>46051</v>
      </c>
      <c r="C36" s="19">
        <v>46051</v>
      </c>
      <c r="D36" s="18" t="s">
        <v>207</v>
      </c>
      <c r="E36" s="20">
        <v>0.45833333333333331</v>
      </c>
      <c r="F36" s="20">
        <v>0.5</v>
      </c>
      <c r="G36" s="20">
        <v>3.4722222222222218E-4</v>
      </c>
      <c r="H36" s="18" t="s">
        <v>83</v>
      </c>
      <c r="I36" s="21">
        <v>0.49928495370370374</v>
      </c>
      <c r="J36" s="18" t="s">
        <v>80</v>
      </c>
      <c r="K36" s="18" t="s">
        <v>150</v>
      </c>
      <c r="L36" s="22">
        <v>1</v>
      </c>
      <c r="M36" s="22">
        <v>70166</v>
      </c>
      <c r="N36" s="18" t="s">
        <v>53</v>
      </c>
      <c r="O36" s="22" t="s">
        <v>84</v>
      </c>
      <c r="P36" s="23">
        <v>35</v>
      </c>
      <c r="Q36" s="22"/>
      <c r="R36" s="23">
        <v>35</v>
      </c>
      <c r="S36" s="24">
        <v>46051</v>
      </c>
      <c r="T36" s="23">
        <v>0</v>
      </c>
      <c r="U36" s="25">
        <v>4</v>
      </c>
      <c r="V36" s="23">
        <v>35</v>
      </c>
      <c r="W36" s="18" t="s">
        <v>47</v>
      </c>
      <c r="X36" s="18" t="s">
        <v>48</v>
      </c>
      <c r="Y36" s="18" t="s">
        <v>58</v>
      </c>
      <c r="Z36" s="18" t="s">
        <v>43</v>
      </c>
      <c r="AA36" s="18" t="s">
        <v>49</v>
      </c>
      <c r="AB36" s="18" t="s">
        <v>85</v>
      </c>
      <c r="AC36" s="18" t="s">
        <v>38</v>
      </c>
      <c r="AD36" s="7" t="str">
        <f t="shared" si="0"/>
        <v/>
      </c>
      <c r="AE36" s="26"/>
      <c r="AF36" s="26"/>
      <c r="AG36" s="26"/>
      <c r="AH36" s="26"/>
      <c r="AI36" s="26"/>
      <c r="AJ36" s="26"/>
      <c r="AK36" s="26"/>
      <c r="AL36" s="26"/>
      <c r="AM36" s="26"/>
      <c r="AN36" s="26"/>
      <c r="AO36" s="26"/>
      <c r="AP36" s="26"/>
      <c r="AQ36" s="26"/>
      <c r="AR36" s="26"/>
      <c r="AS36" s="26"/>
      <c r="AT36" s="26"/>
      <c r="AU36" s="26"/>
      <c r="AV36" s="26"/>
      <c r="AW36" s="26"/>
    </row>
    <row r="37" spans="1:49" s="47" customFormat="1" ht="35.1" customHeight="1" x14ac:dyDescent="0.25">
      <c r="A37" s="18" t="s">
        <v>93</v>
      </c>
      <c r="B37" s="19">
        <v>46051</v>
      </c>
      <c r="C37" s="19">
        <v>46051</v>
      </c>
      <c r="D37" s="18" t="s">
        <v>207</v>
      </c>
      <c r="E37" s="20">
        <v>0.45833333333333331</v>
      </c>
      <c r="F37" s="20">
        <v>0.54166666666666663</v>
      </c>
      <c r="G37" s="28">
        <v>1.7361111111111109E-4</v>
      </c>
      <c r="H37" s="29" t="s">
        <v>94</v>
      </c>
      <c r="I37" s="21">
        <v>0.49668067129629628</v>
      </c>
      <c r="J37" s="18" t="s">
        <v>80</v>
      </c>
      <c r="K37" s="18" t="s">
        <v>150</v>
      </c>
      <c r="L37" s="22">
        <v>1</v>
      </c>
      <c r="M37" s="22">
        <v>69570</v>
      </c>
      <c r="N37" s="18" t="s">
        <v>53</v>
      </c>
      <c r="O37" s="22" t="s">
        <v>95</v>
      </c>
      <c r="P37" s="23">
        <v>0</v>
      </c>
      <c r="Q37" s="22"/>
      <c r="R37" s="23">
        <v>19.042139037433099</v>
      </c>
      <c r="S37" s="24">
        <v>46054</v>
      </c>
      <c r="T37" s="23">
        <v>0</v>
      </c>
      <c r="U37" s="25">
        <v>4</v>
      </c>
      <c r="V37" s="23">
        <v>0</v>
      </c>
      <c r="W37" s="18" t="s">
        <v>47</v>
      </c>
      <c r="X37" s="18" t="s">
        <v>48</v>
      </c>
      <c r="Y37" s="18" t="s">
        <v>36</v>
      </c>
      <c r="Z37" s="18" t="s">
        <v>9</v>
      </c>
      <c r="AA37" s="18" t="s">
        <v>49</v>
      </c>
      <c r="AB37" s="18" t="s">
        <v>96</v>
      </c>
      <c r="AC37" s="18" t="s">
        <v>38</v>
      </c>
      <c r="AD37" s="7" t="str">
        <f t="shared" si="0"/>
        <v/>
      </c>
      <c r="AE37" s="26"/>
      <c r="AF37" s="26"/>
      <c r="AG37" s="26"/>
      <c r="AH37" s="26"/>
      <c r="AI37" s="27"/>
      <c r="AJ37" s="27"/>
      <c r="AK37" s="27"/>
      <c r="AL37" s="27"/>
      <c r="AM37" s="27"/>
      <c r="AN37" s="27"/>
      <c r="AO37" s="27"/>
      <c r="AP37" s="27"/>
      <c r="AQ37" s="27"/>
      <c r="AR37" s="27"/>
      <c r="AS37" s="27"/>
      <c r="AT37" s="27"/>
      <c r="AU37" s="27"/>
      <c r="AV37" s="27"/>
      <c r="AW37" s="27"/>
    </row>
    <row r="38" spans="1:49" s="47" customFormat="1" ht="35.1" customHeight="1" x14ac:dyDescent="0.2">
      <c r="A38" s="18" t="s">
        <v>93</v>
      </c>
      <c r="B38" s="19">
        <v>46051</v>
      </c>
      <c r="C38" s="19">
        <v>46051</v>
      </c>
      <c r="D38" s="18" t="s">
        <v>207</v>
      </c>
      <c r="E38" s="20">
        <v>0.45833333333333331</v>
      </c>
      <c r="F38" s="20">
        <v>0.54166666666666663</v>
      </c>
      <c r="G38" s="28">
        <v>1.7361111111111109E-4</v>
      </c>
      <c r="H38" s="29" t="s">
        <v>97</v>
      </c>
      <c r="I38" s="21">
        <v>0.49963240740740739</v>
      </c>
      <c r="J38" s="18" t="s">
        <v>80</v>
      </c>
      <c r="K38" s="18" t="s">
        <v>150</v>
      </c>
      <c r="L38" s="22">
        <v>1</v>
      </c>
      <c r="M38" s="22">
        <v>69570</v>
      </c>
      <c r="N38" s="18" t="s">
        <v>53</v>
      </c>
      <c r="O38" s="22" t="s">
        <v>95</v>
      </c>
      <c r="P38" s="23">
        <v>0</v>
      </c>
      <c r="Q38" s="22"/>
      <c r="R38" s="23">
        <v>19.042139037433099</v>
      </c>
      <c r="S38" s="24">
        <v>46054</v>
      </c>
      <c r="T38" s="23">
        <v>0</v>
      </c>
      <c r="U38" s="25">
        <v>4</v>
      </c>
      <c r="V38" s="23">
        <v>0</v>
      </c>
      <c r="W38" s="18" t="s">
        <v>47</v>
      </c>
      <c r="X38" s="18" t="s">
        <v>48</v>
      </c>
      <c r="Y38" s="18" t="s">
        <v>36</v>
      </c>
      <c r="Z38" s="18" t="s">
        <v>9</v>
      </c>
      <c r="AA38" s="18" t="s">
        <v>49</v>
      </c>
      <c r="AB38" s="18" t="s">
        <v>96</v>
      </c>
      <c r="AC38" s="18" t="s">
        <v>38</v>
      </c>
      <c r="AD38" s="7" t="str">
        <f t="shared" si="0"/>
        <v/>
      </c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</row>
    <row r="39" spans="1:49" s="47" customFormat="1" ht="35.1" customHeight="1" x14ac:dyDescent="0.2">
      <c r="A39" s="18" t="s">
        <v>51</v>
      </c>
      <c r="B39" s="19">
        <v>46051</v>
      </c>
      <c r="C39" s="19">
        <v>46051</v>
      </c>
      <c r="D39" s="18" t="s">
        <v>207</v>
      </c>
      <c r="E39" s="20">
        <v>0.47916666666666669</v>
      </c>
      <c r="F39" s="20">
        <v>0.5</v>
      </c>
      <c r="G39" s="20">
        <v>3.4722222222222218E-4</v>
      </c>
      <c r="H39" s="18" t="s">
        <v>102</v>
      </c>
      <c r="I39" s="21">
        <v>0.49720150462962964</v>
      </c>
      <c r="J39" s="18" t="s">
        <v>80</v>
      </c>
      <c r="K39" s="18" t="s">
        <v>150</v>
      </c>
      <c r="L39" s="22">
        <v>1</v>
      </c>
      <c r="M39" s="22">
        <v>70361</v>
      </c>
      <c r="N39" s="18" t="s">
        <v>53</v>
      </c>
      <c r="O39" s="22" t="s">
        <v>54</v>
      </c>
      <c r="P39" s="23">
        <v>50</v>
      </c>
      <c r="Q39" s="22"/>
      <c r="R39" s="23">
        <v>50</v>
      </c>
      <c r="S39" s="24">
        <v>46054</v>
      </c>
      <c r="T39" s="23">
        <v>7.5</v>
      </c>
      <c r="U39" s="25">
        <v>4</v>
      </c>
      <c r="V39" s="23">
        <v>42.5</v>
      </c>
      <c r="W39" s="18" t="s">
        <v>47</v>
      </c>
      <c r="X39" s="18" t="s">
        <v>48</v>
      </c>
      <c r="Y39" s="18" t="s">
        <v>36</v>
      </c>
      <c r="Z39" s="18" t="s">
        <v>9</v>
      </c>
      <c r="AA39" s="18" t="s">
        <v>49</v>
      </c>
      <c r="AB39" s="18" t="s">
        <v>55</v>
      </c>
      <c r="AC39" s="18" t="s">
        <v>38</v>
      </c>
      <c r="AD39" s="7" t="str">
        <f t="shared" si="0"/>
        <v/>
      </c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</row>
    <row r="40" spans="1:49" s="47" customFormat="1" ht="35.1" customHeight="1" x14ac:dyDescent="0.25">
      <c r="A40" s="9" t="s">
        <v>100</v>
      </c>
      <c r="B40" s="10">
        <v>46051</v>
      </c>
      <c r="C40" s="10">
        <v>46051</v>
      </c>
      <c r="D40" s="11" t="s">
        <v>207</v>
      </c>
      <c r="E40" s="12">
        <v>0.5</v>
      </c>
      <c r="F40" s="12">
        <v>0.54166666666666663</v>
      </c>
      <c r="G40" s="12">
        <v>4.1666666666666664E-2</v>
      </c>
      <c r="H40" s="9" t="s">
        <v>101</v>
      </c>
      <c r="I40" s="13"/>
      <c r="J40" s="9" t="s">
        <v>80</v>
      </c>
      <c r="K40" s="9"/>
      <c r="L40" s="14">
        <v>1</v>
      </c>
      <c r="M40" s="14">
        <v>1</v>
      </c>
      <c r="N40" s="9" t="s">
        <v>33</v>
      </c>
      <c r="O40" s="9"/>
      <c r="P40" s="16">
        <v>0</v>
      </c>
      <c r="Q40" s="14"/>
      <c r="R40" s="16">
        <v>0</v>
      </c>
      <c r="S40" s="9">
        <v>46054</v>
      </c>
      <c r="T40" s="16">
        <v>0</v>
      </c>
      <c r="U40" s="14">
        <v>2</v>
      </c>
      <c r="V40" s="16">
        <v>0</v>
      </c>
      <c r="W40" s="9" t="s">
        <v>34</v>
      </c>
      <c r="X40" s="9" t="s">
        <v>42</v>
      </c>
      <c r="Y40" s="9" t="s">
        <v>36</v>
      </c>
      <c r="Z40" s="9" t="s">
        <v>43</v>
      </c>
      <c r="AA40" s="9" t="s">
        <v>37</v>
      </c>
      <c r="AB40" s="9" t="s">
        <v>37</v>
      </c>
      <c r="AC40" s="9" t="s">
        <v>38</v>
      </c>
      <c r="AD40" s="7" t="str">
        <f t="shared" si="0"/>
        <v/>
      </c>
      <c r="AE40" s="31"/>
      <c r="AF40" s="31"/>
      <c r="AG40" s="31"/>
      <c r="AH40" s="31"/>
      <c r="AI40" s="30"/>
      <c r="AJ40" s="30"/>
      <c r="AK40" s="30"/>
      <c r="AL40" s="30"/>
      <c r="AM40" s="30"/>
      <c r="AN40" s="30"/>
      <c r="AO40" s="30"/>
      <c r="AP40" s="30"/>
      <c r="AQ40" s="30"/>
      <c r="AR40" s="30"/>
      <c r="AS40" s="30"/>
      <c r="AT40" s="30"/>
      <c r="AU40" s="30"/>
      <c r="AV40" s="30"/>
      <c r="AW40" s="30"/>
    </row>
    <row r="41" spans="1:49" s="47" customFormat="1" ht="35.1" customHeight="1" x14ac:dyDescent="0.25">
      <c r="A41" s="18" t="s">
        <v>61</v>
      </c>
      <c r="B41" s="19">
        <v>46051</v>
      </c>
      <c r="C41" s="19">
        <v>46051</v>
      </c>
      <c r="D41" s="18" t="s">
        <v>207</v>
      </c>
      <c r="E41" s="20">
        <v>0.45833333333333331</v>
      </c>
      <c r="F41" s="20">
        <v>0.54166666666666663</v>
      </c>
      <c r="G41" s="20">
        <v>3.4722222222222218E-4</v>
      </c>
      <c r="H41" s="18" t="s">
        <v>198</v>
      </c>
      <c r="I41" s="21">
        <v>0.50527835648148156</v>
      </c>
      <c r="J41" s="18" t="s">
        <v>80</v>
      </c>
      <c r="K41" s="18" t="s">
        <v>151</v>
      </c>
      <c r="L41" s="22">
        <v>1</v>
      </c>
      <c r="M41" s="22">
        <v>64409</v>
      </c>
      <c r="N41" s="18" t="s">
        <v>53</v>
      </c>
      <c r="O41" s="22" t="s">
        <v>63</v>
      </c>
      <c r="P41" s="23">
        <v>30</v>
      </c>
      <c r="Q41" s="22"/>
      <c r="R41" s="23">
        <v>30</v>
      </c>
      <c r="S41" s="24">
        <v>46054</v>
      </c>
      <c r="T41" s="23">
        <v>4.5</v>
      </c>
      <c r="U41" s="25">
        <v>4</v>
      </c>
      <c r="V41" s="23">
        <v>25.5</v>
      </c>
      <c r="W41" s="18" t="s">
        <v>47</v>
      </c>
      <c r="X41" s="18" t="s">
        <v>48</v>
      </c>
      <c r="Y41" s="18" t="s">
        <v>36</v>
      </c>
      <c r="Z41" s="18" t="s">
        <v>9</v>
      </c>
      <c r="AA41" s="18" t="s">
        <v>49</v>
      </c>
      <c r="AB41" s="18" t="s">
        <v>64</v>
      </c>
      <c r="AC41" s="18" t="s">
        <v>38</v>
      </c>
      <c r="AD41" s="7" t="str">
        <f t="shared" si="0"/>
        <v/>
      </c>
      <c r="AE41" s="26"/>
      <c r="AF41" s="26"/>
      <c r="AG41" s="26"/>
      <c r="AH41" s="26"/>
      <c r="AI41" s="27"/>
      <c r="AJ41" s="27"/>
      <c r="AK41" s="27"/>
      <c r="AL41" s="27"/>
      <c r="AM41" s="27"/>
      <c r="AN41" s="27"/>
      <c r="AO41" s="27"/>
      <c r="AP41" s="27"/>
      <c r="AQ41" s="27"/>
      <c r="AR41" s="27"/>
      <c r="AS41" s="27"/>
      <c r="AT41" s="27"/>
      <c r="AU41" s="27"/>
      <c r="AV41" s="27"/>
      <c r="AW41" s="27"/>
    </row>
    <row r="42" spans="1:49" s="47" customFormat="1" ht="35.1" customHeight="1" x14ac:dyDescent="0.2">
      <c r="A42" s="18" t="s">
        <v>82</v>
      </c>
      <c r="B42" s="19">
        <v>46051</v>
      </c>
      <c r="C42" s="19">
        <v>46051</v>
      </c>
      <c r="D42" s="18" t="s">
        <v>207</v>
      </c>
      <c r="E42" s="20">
        <v>0.5</v>
      </c>
      <c r="F42" s="20">
        <v>0.54166666666666663</v>
      </c>
      <c r="G42" s="20">
        <v>3.4722222222222218E-4</v>
      </c>
      <c r="H42" s="18" t="s">
        <v>83</v>
      </c>
      <c r="I42" s="21">
        <v>0.50666747685185187</v>
      </c>
      <c r="J42" s="18" t="s">
        <v>80</v>
      </c>
      <c r="K42" s="18" t="s">
        <v>151</v>
      </c>
      <c r="L42" s="22">
        <v>1</v>
      </c>
      <c r="M42" s="22">
        <v>70167</v>
      </c>
      <c r="N42" s="18" t="s">
        <v>53</v>
      </c>
      <c r="O42" s="22" t="s">
        <v>84</v>
      </c>
      <c r="P42" s="23">
        <v>35</v>
      </c>
      <c r="Q42" s="22"/>
      <c r="R42" s="23">
        <v>35</v>
      </c>
      <c r="S42" s="24">
        <v>46051</v>
      </c>
      <c r="T42" s="23">
        <v>0</v>
      </c>
      <c r="U42" s="25">
        <v>4</v>
      </c>
      <c r="V42" s="23">
        <v>35</v>
      </c>
      <c r="W42" s="18" t="s">
        <v>47</v>
      </c>
      <c r="X42" s="18" t="s">
        <v>48</v>
      </c>
      <c r="Y42" s="18" t="s">
        <v>58</v>
      </c>
      <c r="Z42" s="18" t="s">
        <v>43</v>
      </c>
      <c r="AA42" s="18" t="s">
        <v>49</v>
      </c>
      <c r="AB42" s="18" t="s">
        <v>85</v>
      </c>
      <c r="AC42" s="18" t="s">
        <v>38</v>
      </c>
      <c r="AD42" s="7" t="str">
        <f t="shared" si="0"/>
        <v/>
      </c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</row>
    <row r="43" spans="1:49" s="47" customFormat="1" ht="35.1" customHeight="1" x14ac:dyDescent="0.25">
      <c r="A43" s="18" t="s">
        <v>87</v>
      </c>
      <c r="B43" s="19">
        <v>46051</v>
      </c>
      <c r="C43" s="19">
        <v>46051</v>
      </c>
      <c r="D43" s="18" t="s">
        <v>207</v>
      </c>
      <c r="E43" s="20">
        <v>0.45833333333333331</v>
      </c>
      <c r="F43" s="20">
        <v>0.54166666666666663</v>
      </c>
      <c r="G43" s="20">
        <v>3.4722222222222218E-4</v>
      </c>
      <c r="H43" s="18" t="s">
        <v>88</v>
      </c>
      <c r="I43" s="21">
        <v>0.51143807870370372</v>
      </c>
      <c r="J43" s="18" t="s">
        <v>80</v>
      </c>
      <c r="K43" s="18" t="s">
        <v>151</v>
      </c>
      <c r="L43" s="22">
        <v>1</v>
      </c>
      <c r="M43" s="22">
        <v>69609</v>
      </c>
      <c r="N43" s="18" t="s">
        <v>46</v>
      </c>
      <c r="O43" s="22" t="s">
        <v>89</v>
      </c>
      <c r="P43" s="23">
        <v>0</v>
      </c>
      <c r="Q43" s="22"/>
      <c r="R43" s="23">
        <v>0</v>
      </c>
      <c r="S43" s="24">
        <v>46051</v>
      </c>
      <c r="T43" s="23">
        <v>0</v>
      </c>
      <c r="U43" s="25">
        <v>4</v>
      </c>
      <c r="V43" s="23">
        <v>0</v>
      </c>
      <c r="W43" s="18" t="s">
        <v>47</v>
      </c>
      <c r="X43" s="18" t="s">
        <v>48</v>
      </c>
      <c r="Y43" s="18" t="s">
        <v>58</v>
      </c>
      <c r="Z43" s="18" t="s">
        <v>43</v>
      </c>
      <c r="AA43" s="18" t="s">
        <v>49</v>
      </c>
      <c r="AB43" s="18" t="s">
        <v>90</v>
      </c>
      <c r="AC43" s="18" t="s">
        <v>38</v>
      </c>
      <c r="AD43" s="7" t="str">
        <f t="shared" si="0"/>
        <v/>
      </c>
      <c r="AE43" s="26"/>
      <c r="AF43" s="26"/>
      <c r="AG43" s="26"/>
      <c r="AH43" s="26"/>
      <c r="AI43" s="27"/>
      <c r="AJ43" s="27"/>
      <c r="AK43" s="27"/>
      <c r="AL43" s="27"/>
      <c r="AM43" s="27"/>
      <c r="AN43" s="27"/>
      <c r="AO43" s="27"/>
      <c r="AP43" s="27"/>
      <c r="AQ43" s="27"/>
      <c r="AR43" s="27"/>
      <c r="AS43" s="27"/>
      <c r="AT43" s="27"/>
      <c r="AU43" s="27"/>
      <c r="AV43" s="27"/>
      <c r="AW43" s="27"/>
    </row>
    <row r="44" spans="1:49" s="47" customFormat="1" ht="35.1" customHeight="1" x14ac:dyDescent="0.25">
      <c r="A44" s="18" t="s">
        <v>82</v>
      </c>
      <c r="B44" s="19">
        <v>46051</v>
      </c>
      <c r="C44" s="19">
        <v>46051</v>
      </c>
      <c r="D44" s="18" t="s">
        <v>207</v>
      </c>
      <c r="E44" s="20">
        <v>0.5</v>
      </c>
      <c r="F44" s="20">
        <v>0.54166666666666663</v>
      </c>
      <c r="G44" s="20">
        <v>3.4722222222222218E-4</v>
      </c>
      <c r="H44" s="18" t="s">
        <v>83</v>
      </c>
      <c r="I44" s="21">
        <v>0.51178530092592589</v>
      </c>
      <c r="J44" s="18" t="s">
        <v>80</v>
      </c>
      <c r="K44" s="18" t="s">
        <v>151</v>
      </c>
      <c r="L44" s="22">
        <v>1</v>
      </c>
      <c r="M44" s="22">
        <v>70167</v>
      </c>
      <c r="N44" s="18" t="s">
        <v>53</v>
      </c>
      <c r="O44" s="22" t="s">
        <v>84</v>
      </c>
      <c r="P44" s="23">
        <v>35</v>
      </c>
      <c r="Q44" s="22"/>
      <c r="R44" s="23">
        <v>35</v>
      </c>
      <c r="S44" s="24">
        <v>46051</v>
      </c>
      <c r="T44" s="23">
        <v>0</v>
      </c>
      <c r="U44" s="25">
        <v>4</v>
      </c>
      <c r="V44" s="23">
        <v>35</v>
      </c>
      <c r="W44" s="18" t="s">
        <v>47</v>
      </c>
      <c r="X44" s="18" t="s">
        <v>48</v>
      </c>
      <c r="Y44" s="18" t="s">
        <v>58</v>
      </c>
      <c r="Z44" s="18" t="s">
        <v>43</v>
      </c>
      <c r="AA44" s="18" t="s">
        <v>49</v>
      </c>
      <c r="AB44" s="18" t="s">
        <v>85</v>
      </c>
      <c r="AC44" s="18" t="s">
        <v>38</v>
      </c>
      <c r="AD44" s="7" t="str">
        <f t="shared" si="0"/>
        <v/>
      </c>
      <c r="AE44" s="26"/>
      <c r="AF44" s="26"/>
      <c r="AG44" s="26"/>
      <c r="AH44" s="26"/>
      <c r="AI44" s="27"/>
      <c r="AJ44" s="27"/>
      <c r="AK44" s="27"/>
      <c r="AL44" s="27"/>
      <c r="AM44" s="27"/>
      <c r="AN44" s="27"/>
      <c r="AO44" s="27"/>
      <c r="AP44" s="27"/>
      <c r="AQ44" s="27"/>
      <c r="AR44" s="27"/>
      <c r="AS44" s="27"/>
      <c r="AT44" s="27"/>
      <c r="AU44" s="27"/>
      <c r="AV44" s="27"/>
      <c r="AW44" s="27"/>
    </row>
    <row r="45" spans="1:49" s="47" customFormat="1" ht="35.1" customHeight="1" x14ac:dyDescent="0.25">
      <c r="A45" s="18" t="s">
        <v>51</v>
      </c>
      <c r="B45" s="19">
        <v>46051</v>
      </c>
      <c r="C45" s="19">
        <v>46051</v>
      </c>
      <c r="D45" s="18" t="s">
        <v>207</v>
      </c>
      <c r="E45" s="20">
        <v>0.45833333333333331</v>
      </c>
      <c r="F45" s="20">
        <v>0.54166666666666663</v>
      </c>
      <c r="G45" s="20">
        <v>3.4722222222222218E-4</v>
      </c>
      <c r="H45" s="18" t="s">
        <v>102</v>
      </c>
      <c r="I45" s="21">
        <v>0.51840532407407414</v>
      </c>
      <c r="J45" s="18" t="s">
        <v>80</v>
      </c>
      <c r="K45" s="18" t="s">
        <v>151</v>
      </c>
      <c r="L45" s="22">
        <v>1</v>
      </c>
      <c r="M45" s="22">
        <v>70379</v>
      </c>
      <c r="N45" s="18" t="s">
        <v>46</v>
      </c>
      <c r="O45" s="22" t="s">
        <v>54</v>
      </c>
      <c r="P45" s="23">
        <v>0</v>
      </c>
      <c r="Q45" s="22"/>
      <c r="R45" s="23">
        <v>0</v>
      </c>
      <c r="S45" s="24">
        <v>46054</v>
      </c>
      <c r="T45" s="23">
        <v>0</v>
      </c>
      <c r="U45" s="25">
        <v>4</v>
      </c>
      <c r="V45" s="23">
        <v>0</v>
      </c>
      <c r="W45" s="18" t="s">
        <v>47</v>
      </c>
      <c r="X45" s="18" t="s">
        <v>48</v>
      </c>
      <c r="Y45" s="18" t="s">
        <v>36</v>
      </c>
      <c r="Z45" s="18" t="s">
        <v>9</v>
      </c>
      <c r="AA45" s="18" t="s">
        <v>49</v>
      </c>
      <c r="AB45" s="18" t="s">
        <v>55</v>
      </c>
      <c r="AC45" s="18" t="s">
        <v>38</v>
      </c>
      <c r="AD45" s="7" t="str">
        <f t="shared" si="0"/>
        <v/>
      </c>
      <c r="AE45" s="26"/>
      <c r="AF45" s="26"/>
      <c r="AG45" s="26"/>
      <c r="AH45" s="26"/>
      <c r="AI45" s="27"/>
      <c r="AJ45" s="27"/>
      <c r="AK45" s="27"/>
      <c r="AL45" s="27"/>
      <c r="AM45" s="27"/>
      <c r="AN45" s="27"/>
      <c r="AO45" s="27"/>
      <c r="AP45" s="27"/>
      <c r="AQ45" s="27"/>
      <c r="AR45" s="27"/>
      <c r="AS45" s="27"/>
      <c r="AT45" s="27"/>
      <c r="AU45" s="27"/>
      <c r="AV45" s="27"/>
      <c r="AW45" s="27"/>
    </row>
    <row r="46" spans="1:49" s="47" customFormat="1" ht="35.1" customHeight="1" x14ac:dyDescent="0.25">
      <c r="A46" s="18" t="s">
        <v>82</v>
      </c>
      <c r="B46" s="19">
        <v>46051</v>
      </c>
      <c r="C46" s="19">
        <v>46051</v>
      </c>
      <c r="D46" s="18" t="s">
        <v>207</v>
      </c>
      <c r="E46" s="20">
        <v>0.5</v>
      </c>
      <c r="F46" s="20">
        <v>0.54166666666666663</v>
      </c>
      <c r="G46" s="20">
        <v>3.4722222222222218E-4</v>
      </c>
      <c r="H46" s="18" t="s">
        <v>83</v>
      </c>
      <c r="I46" s="21">
        <v>0.51805810185185186</v>
      </c>
      <c r="J46" s="18" t="s">
        <v>80</v>
      </c>
      <c r="K46" s="18" t="s">
        <v>151</v>
      </c>
      <c r="L46" s="22">
        <v>1</v>
      </c>
      <c r="M46" s="22">
        <v>70167</v>
      </c>
      <c r="N46" s="18" t="s">
        <v>53</v>
      </c>
      <c r="O46" s="22" t="s">
        <v>84</v>
      </c>
      <c r="P46" s="23">
        <v>35</v>
      </c>
      <c r="Q46" s="22"/>
      <c r="R46" s="23">
        <v>35</v>
      </c>
      <c r="S46" s="24">
        <v>46051</v>
      </c>
      <c r="T46" s="23">
        <v>0</v>
      </c>
      <c r="U46" s="25">
        <v>4</v>
      </c>
      <c r="V46" s="23">
        <v>35</v>
      </c>
      <c r="W46" s="18" t="s">
        <v>47</v>
      </c>
      <c r="X46" s="18" t="s">
        <v>48</v>
      </c>
      <c r="Y46" s="18" t="s">
        <v>58</v>
      </c>
      <c r="Z46" s="18" t="s">
        <v>43</v>
      </c>
      <c r="AA46" s="18" t="s">
        <v>49</v>
      </c>
      <c r="AB46" s="18" t="s">
        <v>85</v>
      </c>
      <c r="AC46" s="18" t="s">
        <v>38</v>
      </c>
      <c r="AD46" s="7" t="str">
        <f t="shared" si="0"/>
        <v/>
      </c>
      <c r="AE46" s="26"/>
      <c r="AF46" s="26"/>
      <c r="AG46" s="26"/>
      <c r="AH46" s="26"/>
      <c r="AI46" s="27"/>
      <c r="AJ46" s="27"/>
      <c r="AK46" s="27"/>
      <c r="AL46" s="27"/>
      <c r="AM46" s="27"/>
      <c r="AN46" s="27"/>
      <c r="AO46" s="27"/>
      <c r="AP46" s="27"/>
      <c r="AQ46" s="27"/>
      <c r="AR46" s="27"/>
      <c r="AS46" s="27"/>
      <c r="AT46" s="27"/>
      <c r="AU46" s="27"/>
      <c r="AV46" s="27"/>
      <c r="AW46" s="27"/>
    </row>
    <row r="47" spans="1:49" s="47" customFormat="1" ht="35.1" customHeight="1" x14ac:dyDescent="0.25">
      <c r="A47" s="18" t="s">
        <v>87</v>
      </c>
      <c r="B47" s="19">
        <v>46051</v>
      </c>
      <c r="C47" s="19">
        <v>46051</v>
      </c>
      <c r="D47" s="18" t="s">
        <v>207</v>
      </c>
      <c r="E47" s="20">
        <v>0.45833333333333331</v>
      </c>
      <c r="F47" s="20">
        <v>0.54166666666666663</v>
      </c>
      <c r="G47" s="20">
        <v>3.4722222222222218E-4</v>
      </c>
      <c r="H47" s="18" t="s">
        <v>88</v>
      </c>
      <c r="I47" s="21">
        <v>0.53401724537037032</v>
      </c>
      <c r="J47" s="18" t="s">
        <v>80</v>
      </c>
      <c r="K47" s="18" t="s">
        <v>151</v>
      </c>
      <c r="L47" s="22">
        <v>1</v>
      </c>
      <c r="M47" s="22">
        <v>69607</v>
      </c>
      <c r="N47" s="18" t="s">
        <v>53</v>
      </c>
      <c r="O47" s="22" t="s">
        <v>89</v>
      </c>
      <c r="P47" s="23">
        <v>40</v>
      </c>
      <c r="Q47" s="22"/>
      <c r="R47" s="23">
        <v>40</v>
      </c>
      <c r="S47" s="24">
        <v>46051</v>
      </c>
      <c r="T47" s="23">
        <v>0</v>
      </c>
      <c r="U47" s="25">
        <v>4</v>
      </c>
      <c r="V47" s="23">
        <v>40</v>
      </c>
      <c r="W47" s="18" t="s">
        <v>47</v>
      </c>
      <c r="X47" s="18" t="s">
        <v>48</v>
      </c>
      <c r="Y47" s="18" t="s">
        <v>58</v>
      </c>
      <c r="Z47" s="18" t="s">
        <v>43</v>
      </c>
      <c r="AA47" s="18" t="s">
        <v>49</v>
      </c>
      <c r="AB47" s="18" t="s">
        <v>90</v>
      </c>
      <c r="AC47" s="18" t="s">
        <v>38</v>
      </c>
      <c r="AD47" s="7" t="str">
        <f t="shared" si="0"/>
        <v/>
      </c>
      <c r="AE47" s="26"/>
      <c r="AF47" s="26"/>
      <c r="AG47" s="26"/>
      <c r="AH47" s="26"/>
      <c r="AI47" s="27"/>
      <c r="AJ47" s="27"/>
      <c r="AK47" s="27"/>
      <c r="AL47" s="27"/>
      <c r="AM47" s="27"/>
      <c r="AN47" s="27"/>
      <c r="AO47" s="27"/>
      <c r="AP47" s="27"/>
      <c r="AQ47" s="27"/>
      <c r="AR47" s="27"/>
      <c r="AS47" s="27"/>
      <c r="AT47" s="27"/>
      <c r="AU47" s="27"/>
      <c r="AV47" s="27"/>
      <c r="AW47" s="27"/>
    </row>
    <row r="48" spans="1:49" s="47" customFormat="1" ht="35.1" customHeight="1" x14ac:dyDescent="0.25">
      <c r="A48" s="18" t="s">
        <v>93</v>
      </c>
      <c r="B48" s="19">
        <v>46051</v>
      </c>
      <c r="C48" s="19">
        <v>46051</v>
      </c>
      <c r="D48" s="18" t="s">
        <v>207</v>
      </c>
      <c r="E48" s="20">
        <v>0.45833333333333331</v>
      </c>
      <c r="F48" s="20">
        <v>0.54166666666666663</v>
      </c>
      <c r="G48" s="28">
        <v>1.7361111111111109E-4</v>
      </c>
      <c r="H48" s="29" t="s">
        <v>98</v>
      </c>
      <c r="I48" s="21">
        <v>0.53367002314814815</v>
      </c>
      <c r="J48" s="18" t="s">
        <v>80</v>
      </c>
      <c r="K48" s="18" t="s">
        <v>151</v>
      </c>
      <c r="L48" s="22">
        <v>1</v>
      </c>
      <c r="M48" s="22">
        <v>69570</v>
      </c>
      <c r="N48" s="18" t="s">
        <v>53</v>
      </c>
      <c r="O48" s="22" t="s">
        <v>95</v>
      </c>
      <c r="P48" s="23">
        <v>0</v>
      </c>
      <c r="Q48" s="22"/>
      <c r="R48" s="23">
        <v>19.042139037433099</v>
      </c>
      <c r="S48" s="24">
        <v>46054</v>
      </c>
      <c r="T48" s="23">
        <v>0</v>
      </c>
      <c r="U48" s="25">
        <v>4</v>
      </c>
      <c r="V48" s="23">
        <v>0</v>
      </c>
      <c r="W48" s="18" t="s">
        <v>47</v>
      </c>
      <c r="X48" s="18" t="s">
        <v>48</v>
      </c>
      <c r="Y48" s="18" t="s">
        <v>36</v>
      </c>
      <c r="Z48" s="18" t="s">
        <v>9</v>
      </c>
      <c r="AA48" s="18" t="s">
        <v>49</v>
      </c>
      <c r="AB48" s="18" t="s">
        <v>96</v>
      </c>
      <c r="AC48" s="18" t="s">
        <v>38</v>
      </c>
      <c r="AD48" s="7" t="str">
        <f t="shared" si="0"/>
        <v/>
      </c>
      <c r="AE48" s="31"/>
      <c r="AF48" s="31"/>
      <c r="AG48" s="31"/>
      <c r="AH48" s="31"/>
      <c r="AI48" s="30"/>
      <c r="AJ48" s="30"/>
      <c r="AK48" s="30"/>
      <c r="AL48" s="30"/>
      <c r="AM48" s="30"/>
      <c r="AN48" s="30"/>
      <c r="AO48" s="30"/>
      <c r="AP48" s="30"/>
      <c r="AQ48" s="30"/>
      <c r="AR48" s="30"/>
      <c r="AS48" s="30"/>
      <c r="AT48" s="30"/>
      <c r="AU48" s="30"/>
      <c r="AV48" s="30"/>
      <c r="AW48" s="30"/>
    </row>
    <row r="49" spans="1:49" s="47" customFormat="1" ht="35.1" customHeight="1" x14ac:dyDescent="0.25">
      <c r="A49" s="18" t="s">
        <v>93</v>
      </c>
      <c r="B49" s="19">
        <v>46051</v>
      </c>
      <c r="C49" s="19">
        <v>46051</v>
      </c>
      <c r="D49" s="18" t="s">
        <v>207</v>
      </c>
      <c r="E49" s="20">
        <v>0.45833333333333331</v>
      </c>
      <c r="F49" s="20">
        <v>0.54166666666666663</v>
      </c>
      <c r="G49" s="28">
        <v>1.7361111111111109E-4</v>
      </c>
      <c r="H49" s="29" t="s">
        <v>97</v>
      </c>
      <c r="I49" s="21">
        <v>0.5354061342592592</v>
      </c>
      <c r="J49" s="18" t="s">
        <v>80</v>
      </c>
      <c r="K49" s="18" t="s">
        <v>151</v>
      </c>
      <c r="L49" s="22">
        <v>1</v>
      </c>
      <c r="M49" s="22">
        <v>69570</v>
      </c>
      <c r="N49" s="18" t="s">
        <v>53</v>
      </c>
      <c r="O49" s="22" t="s">
        <v>95</v>
      </c>
      <c r="P49" s="23">
        <v>0</v>
      </c>
      <c r="Q49" s="22"/>
      <c r="R49" s="23">
        <v>19.042139037433099</v>
      </c>
      <c r="S49" s="24">
        <v>46054</v>
      </c>
      <c r="T49" s="23">
        <v>0</v>
      </c>
      <c r="U49" s="25">
        <v>4</v>
      </c>
      <c r="V49" s="23">
        <v>0</v>
      </c>
      <c r="W49" s="18" t="s">
        <v>47</v>
      </c>
      <c r="X49" s="18" t="s">
        <v>48</v>
      </c>
      <c r="Y49" s="18" t="s">
        <v>36</v>
      </c>
      <c r="Z49" s="18" t="s">
        <v>9</v>
      </c>
      <c r="AA49" s="18" t="s">
        <v>49</v>
      </c>
      <c r="AB49" s="18" t="s">
        <v>96</v>
      </c>
      <c r="AC49" s="18" t="s">
        <v>38</v>
      </c>
      <c r="AD49" s="7" t="str">
        <f t="shared" si="0"/>
        <v/>
      </c>
      <c r="AE49" s="26"/>
      <c r="AF49" s="26"/>
      <c r="AG49" s="26"/>
      <c r="AH49" s="26"/>
      <c r="AI49" s="27"/>
      <c r="AJ49" s="27"/>
      <c r="AK49" s="27"/>
      <c r="AL49" s="27"/>
      <c r="AM49" s="27"/>
      <c r="AN49" s="27"/>
      <c r="AO49" s="27"/>
      <c r="AP49" s="27"/>
      <c r="AQ49" s="27"/>
      <c r="AR49" s="27"/>
      <c r="AS49" s="27"/>
      <c r="AT49" s="27"/>
      <c r="AU49" s="27"/>
      <c r="AV49" s="27"/>
      <c r="AW49" s="27"/>
    </row>
    <row r="50" spans="1:49" s="47" customFormat="1" ht="35.1" customHeight="1" x14ac:dyDescent="0.25">
      <c r="A50" s="18" t="s">
        <v>82</v>
      </c>
      <c r="B50" s="19">
        <v>46051</v>
      </c>
      <c r="C50" s="19">
        <v>46051</v>
      </c>
      <c r="D50" s="18" t="s">
        <v>207</v>
      </c>
      <c r="E50" s="20">
        <v>0.5</v>
      </c>
      <c r="F50" s="20">
        <v>0.54166666666666663</v>
      </c>
      <c r="G50" s="20">
        <v>3.4722222222222218E-4</v>
      </c>
      <c r="H50" s="18" t="s">
        <v>83</v>
      </c>
      <c r="I50" s="21">
        <v>0.54068287037037033</v>
      </c>
      <c r="J50" s="18" t="s">
        <v>80</v>
      </c>
      <c r="K50" s="18" t="s">
        <v>151</v>
      </c>
      <c r="L50" s="22">
        <v>1</v>
      </c>
      <c r="M50" s="22">
        <v>70167</v>
      </c>
      <c r="N50" s="18" t="s">
        <v>53</v>
      </c>
      <c r="O50" s="22" t="s">
        <v>84</v>
      </c>
      <c r="P50" s="23">
        <v>35</v>
      </c>
      <c r="Q50" s="22"/>
      <c r="R50" s="23">
        <v>35</v>
      </c>
      <c r="S50" s="24">
        <v>46051</v>
      </c>
      <c r="T50" s="23">
        <v>0</v>
      </c>
      <c r="U50" s="25">
        <v>4</v>
      </c>
      <c r="V50" s="23">
        <v>35</v>
      </c>
      <c r="W50" s="18" t="s">
        <v>47</v>
      </c>
      <c r="X50" s="18" t="s">
        <v>48</v>
      </c>
      <c r="Y50" s="18" t="s">
        <v>58</v>
      </c>
      <c r="Z50" s="18" t="s">
        <v>43</v>
      </c>
      <c r="AA50" s="18" t="s">
        <v>49</v>
      </c>
      <c r="AB50" s="18" t="s">
        <v>85</v>
      </c>
      <c r="AC50" s="18" t="s">
        <v>38</v>
      </c>
      <c r="AD50" s="7" t="str">
        <f t="shared" si="0"/>
        <v/>
      </c>
      <c r="AE50" s="26"/>
      <c r="AF50" s="26"/>
      <c r="AG50" s="26"/>
      <c r="AH50" s="26"/>
      <c r="AI50" s="26"/>
      <c r="AJ50" s="26"/>
      <c r="AK50" s="26"/>
      <c r="AL50" s="26"/>
      <c r="AM50" s="26"/>
      <c r="AN50" s="26"/>
      <c r="AO50" s="26"/>
      <c r="AP50" s="26"/>
      <c r="AQ50" s="26"/>
      <c r="AR50" s="26"/>
      <c r="AS50" s="26"/>
      <c r="AT50" s="26"/>
      <c r="AU50" s="26"/>
      <c r="AV50" s="26"/>
      <c r="AW50" s="26"/>
    </row>
    <row r="51" spans="1:49" s="47" customFormat="1" ht="35.1" customHeight="1" x14ac:dyDescent="0.25">
      <c r="A51" s="9" t="s">
        <v>103</v>
      </c>
      <c r="B51" s="10">
        <v>46051</v>
      </c>
      <c r="C51" s="10">
        <v>46051</v>
      </c>
      <c r="D51" s="11" t="s">
        <v>207</v>
      </c>
      <c r="E51" s="12">
        <v>0.54166666666666663</v>
      </c>
      <c r="F51" s="12">
        <v>0.5625</v>
      </c>
      <c r="G51" s="12">
        <v>2.0833333333333332E-2</v>
      </c>
      <c r="H51" s="9" t="s">
        <v>104</v>
      </c>
      <c r="I51" s="13"/>
      <c r="J51" s="9" t="s">
        <v>105</v>
      </c>
      <c r="K51" s="9"/>
      <c r="L51" s="14">
        <v>1</v>
      </c>
      <c r="M51" s="14">
        <v>1</v>
      </c>
      <c r="N51" s="9" t="s">
        <v>33</v>
      </c>
      <c r="O51" s="9"/>
      <c r="P51" s="16">
        <v>0</v>
      </c>
      <c r="Q51" s="14"/>
      <c r="R51" s="16">
        <v>0</v>
      </c>
      <c r="S51" s="9">
        <v>46054</v>
      </c>
      <c r="T51" s="16">
        <v>0</v>
      </c>
      <c r="U51" s="14">
        <v>2</v>
      </c>
      <c r="V51" s="16">
        <v>0</v>
      </c>
      <c r="W51" s="9" t="s">
        <v>34</v>
      </c>
      <c r="X51" s="9" t="s">
        <v>42</v>
      </c>
      <c r="Y51" s="9" t="s">
        <v>36</v>
      </c>
      <c r="Z51" s="9" t="s">
        <v>43</v>
      </c>
      <c r="AA51" s="9" t="s">
        <v>37</v>
      </c>
      <c r="AB51" s="9" t="s">
        <v>37</v>
      </c>
      <c r="AC51" s="9" t="s">
        <v>38</v>
      </c>
      <c r="AD51" s="7" t="str">
        <f t="shared" si="0"/>
        <v/>
      </c>
      <c r="AE51" s="51"/>
      <c r="AF51" s="51"/>
      <c r="AG51" s="51"/>
      <c r="AH51" s="51"/>
      <c r="AI51" s="30"/>
      <c r="AJ51" s="30"/>
      <c r="AK51" s="30"/>
      <c r="AL51" s="30"/>
      <c r="AM51" s="30"/>
      <c r="AN51" s="30"/>
      <c r="AO51" s="30"/>
      <c r="AP51" s="30"/>
      <c r="AQ51" s="30"/>
      <c r="AR51" s="30"/>
      <c r="AS51" s="30"/>
      <c r="AT51" s="30"/>
      <c r="AU51" s="30"/>
      <c r="AV51" s="30"/>
      <c r="AW51" s="30"/>
    </row>
    <row r="52" spans="1:49" s="47" customFormat="1" ht="35.1" customHeight="1" x14ac:dyDescent="0.25">
      <c r="A52" s="18" t="s">
        <v>106</v>
      </c>
      <c r="B52" s="19">
        <v>46051</v>
      </c>
      <c r="C52" s="19">
        <v>46051</v>
      </c>
      <c r="D52" s="18" t="s">
        <v>207</v>
      </c>
      <c r="E52" s="20">
        <v>0.54166666666666663</v>
      </c>
      <c r="F52" s="20">
        <v>0.66666666666666663</v>
      </c>
      <c r="G52" s="20">
        <v>3.4722222222222218E-4</v>
      </c>
      <c r="H52" s="18" t="s">
        <v>107</v>
      </c>
      <c r="I52" s="21">
        <v>0.54788194444444449</v>
      </c>
      <c r="J52" s="18" t="s">
        <v>105</v>
      </c>
      <c r="K52" s="18" t="s">
        <v>152</v>
      </c>
      <c r="L52" s="22">
        <v>1</v>
      </c>
      <c r="M52" s="22">
        <v>58165</v>
      </c>
      <c r="N52" s="18" t="s">
        <v>53</v>
      </c>
      <c r="O52" s="22" t="s">
        <v>108</v>
      </c>
      <c r="P52" s="23">
        <v>42.352941176470587</v>
      </c>
      <c r="Q52" s="22"/>
      <c r="R52" s="23">
        <v>42.352941176470587</v>
      </c>
      <c r="S52" s="24">
        <v>46054</v>
      </c>
      <c r="T52" s="23">
        <v>6.3529411764705879</v>
      </c>
      <c r="U52" s="25">
        <v>4</v>
      </c>
      <c r="V52" s="23">
        <v>36</v>
      </c>
      <c r="W52" s="18" t="s">
        <v>34</v>
      </c>
      <c r="X52" s="18" t="s">
        <v>48</v>
      </c>
      <c r="Y52" s="18" t="s">
        <v>36</v>
      </c>
      <c r="Z52" s="18" t="s">
        <v>9</v>
      </c>
      <c r="AA52" s="18" t="s">
        <v>49</v>
      </c>
      <c r="AB52" s="18" t="s">
        <v>109</v>
      </c>
      <c r="AC52" s="18" t="s">
        <v>38</v>
      </c>
      <c r="AD52" s="7" t="str">
        <f t="shared" si="0"/>
        <v/>
      </c>
      <c r="AE52" s="26"/>
      <c r="AF52" s="26"/>
      <c r="AG52" s="26"/>
      <c r="AH52" s="26"/>
      <c r="AI52" s="26"/>
      <c r="AJ52" s="26"/>
      <c r="AK52" s="26"/>
      <c r="AL52" s="26"/>
      <c r="AM52" s="26"/>
      <c r="AN52" s="26"/>
      <c r="AO52" s="26"/>
      <c r="AP52" s="26"/>
      <c r="AQ52" s="26"/>
      <c r="AR52" s="26"/>
      <c r="AS52" s="26"/>
      <c r="AT52" s="26"/>
      <c r="AU52" s="26"/>
      <c r="AV52" s="26"/>
      <c r="AW52" s="26"/>
    </row>
    <row r="53" spans="1:49" s="47" customFormat="1" ht="35.1" customHeight="1" x14ac:dyDescent="0.25">
      <c r="A53" s="18" t="s">
        <v>127</v>
      </c>
      <c r="B53" s="19">
        <v>46051</v>
      </c>
      <c r="C53" s="19">
        <v>46051</v>
      </c>
      <c r="D53" s="18" t="s">
        <v>207</v>
      </c>
      <c r="E53" s="20">
        <v>0.54166666666666663</v>
      </c>
      <c r="F53" s="20">
        <v>0.58333333333333337</v>
      </c>
      <c r="G53" s="20">
        <v>3.4722222222222218E-4</v>
      </c>
      <c r="H53" s="18" t="s">
        <v>179</v>
      </c>
      <c r="I53" s="21">
        <v>0.55471076388888896</v>
      </c>
      <c r="J53" s="18" t="s">
        <v>105</v>
      </c>
      <c r="K53" s="18" t="s">
        <v>152</v>
      </c>
      <c r="L53" s="22">
        <v>1</v>
      </c>
      <c r="M53" s="22">
        <v>69748</v>
      </c>
      <c r="N53" s="18" t="s">
        <v>53</v>
      </c>
      <c r="O53" s="22" t="s">
        <v>129</v>
      </c>
      <c r="P53" s="23">
        <v>50</v>
      </c>
      <c r="Q53" s="22"/>
      <c r="R53" s="23">
        <v>50</v>
      </c>
      <c r="S53" s="24">
        <v>46054</v>
      </c>
      <c r="T53" s="23">
        <v>7.5</v>
      </c>
      <c r="U53" s="25">
        <v>4</v>
      </c>
      <c r="V53" s="23">
        <v>42.5</v>
      </c>
      <c r="W53" s="18" t="s">
        <v>47</v>
      </c>
      <c r="X53" s="18" t="s">
        <v>48</v>
      </c>
      <c r="Y53" s="18" t="s">
        <v>36</v>
      </c>
      <c r="Z53" s="18" t="s">
        <v>9</v>
      </c>
      <c r="AA53" s="18" t="s">
        <v>49</v>
      </c>
      <c r="AB53" s="18" t="s">
        <v>130</v>
      </c>
      <c r="AC53" s="18" t="s">
        <v>38</v>
      </c>
      <c r="AD53" s="7" t="str">
        <f t="shared" si="0"/>
        <v/>
      </c>
      <c r="AE53" s="26"/>
      <c r="AF53" s="26"/>
      <c r="AG53" s="26"/>
      <c r="AH53" s="26"/>
      <c r="AI53" s="27"/>
      <c r="AJ53" s="27"/>
      <c r="AK53" s="27"/>
      <c r="AL53" s="27"/>
      <c r="AM53" s="27"/>
      <c r="AN53" s="27"/>
      <c r="AO53" s="27"/>
      <c r="AP53" s="27"/>
      <c r="AQ53" s="27"/>
      <c r="AR53" s="27"/>
      <c r="AS53" s="27"/>
      <c r="AT53" s="27"/>
      <c r="AU53" s="27"/>
      <c r="AV53" s="27"/>
      <c r="AW53" s="27"/>
    </row>
    <row r="54" spans="1:49" s="47" customFormat="1" ht="35.1" customHeight="1" x14ac:dyDescent="0.25">
      <c r="A54" s="18" t="s">
        <v>159</v>
      </c>
      <c r="B54" s="19">
        <v>46051</v>
      </c>
      <c r="C54" s="19">
        <v>46051</v>
      </c>
      <c r="D54" s="18" t="s">
        <v>207</v>
      </c>
      <c r="E54" s="20">
        <v>0.54166666666666663</v>
      </c>
      <c r="F54" s="20">
        <v>0.66666666666666663</v>
      </c>
      <c r="G54" s="28">
        <v>1.7361111111111109E-4</v>
      </c>
      <c r="H54" s="29" t="s">
        <v>164</v>
      </c>
      <c r="I54" s="21">
        <v>0.56126180555555549</v>
      </c>
      <c r="J54" s="18" t="s">
        <v>105</v>
      </c>
      <c r="K54" s="18" t="s">
        <v>152</v>
      </c>
      <c r="L54" s="22">
        <v>1</v>
      </c>
      <c r="M54" s="22">
        <v>71011</v>
      </c>
      <c r="N54" s="18" t="s">
        <v>46</v>
      </c>
      <c r="O54" s="22" t="s">
        <v>161</v>
      </c>
      <c r="P54" s="23">
        <v>0</v>
      </c>
      <c r="Q54" s="22"/>
      <c r="R54" s="23">
        <v>0</v>
      </c>
      <c r="S54" s="24">
        <v>46054</v>
      </c>
      <c r="T54" s="23">
        <v>0</v>
      </c>
      <c r="U54" s="25">
        <v>4</v>
      </c>
      <c r="V54" s="23">
        <v>0</v>
      </c>
      <c r="W54" s="18" t="s">
        <v>47</v>
      </c>
      <c r="X54" s="18" t="s">
        <v>48</v>
      </c>
      <c r="Y54" s="18" t="s">
        <v>36</v>
      </c>
      <c r="Z54" s="18" t="s">
        <v>9</v>
      </c>
      <c r="AA54" s="18" t="s">
        <v>49</v>
      </c>
      <c r="AB54" s="18" t="s">
        <v>162</v>
      </c>
      <c r="AC54" s="18" t="s">
        <v>38</v>
      </c>
      <c r="AD54" s="7" t="str">
        <f t="shared" si="0"/>
        <v/>
      </c>
      <c r="AE54" s="26"/>
      <c r="AF54" s="26"/>
      <c r="AG54" s="26"/>
      <c r="AH54" s="26"/>
      <c r="AI54" s="27"/>
      <c r="AJ54" s="27"/>
      <c r="AK54" s="27"/>
      <c r="AL54" s="27"/>
      <c r="AM54" s="27"/>
      <c r="AN54" s="27"/>
      <c r="AO54" s="27"/>
      <c r="AP54" s="27"/>
      <c r="AQ54" s="27"/>
      <c r="AR54" s="27"/>
      <c r="AS54" s="27"/>
      <c r="AT54" s="27"/>
      <c r="AU54" s="27"/>
      <c r="AV54" s="27"/>
      <c r="AW54" s="27"/>
    </row>
    <row r="55" spans="1:49" s="47" customFormat="1" ht="35.1" customHeight="1" x14ac:dyDescent="0.25">
      <c r="A55" s="18" t="s">
        <v>106</v>
      </c>
      <c r="B55" s="19">
        <v>46051</v>
      </c>
      <c r="C55" s="19">
        <v>46051</v>
      </c>
      <c r="D55" s="18" t="s">
        <v>207</v>
      </c>
      <c r="E55" s="20">
        <v>0.54166666666666663</v>
      </c>
      <c r="F55" s="20">
        <v>0.66666666666666663</v>
      </c>
      <c r="G55" s="20">
        <v>3.4722222222222218E-4</v>
      </c>
      <c r="H55" s="18" t="s">
        <v>107</v>
      </c>
      <c r="I55" s="21">
        <v>0.56178252314814814</v>
      </c>
      <c r="J55" s="18" t="s">
        <v>105</v>
      </c>
      <c r="K55" s="18" t="s">
        <v>152</v>
      </c>
      <c r="L55" s="22">
        <v>1</v>
      </c>
      <c r="M55" s="22">
        <v>58165</v>
      </c>
      <c r="N55" s="18" t="s">
        <v>53</v>
      </c>
      <c r="O55" s="22" t="s">
        <v>108</v>
      </c>
      <c r="P55" s="23">
        <v>42.352941176470587</v>
      </c>
      <c r="Q55" s="22"/>
      <c r="R55" s="23">
        <v>42.352941176470587</v>
      </c>
      <c r="S55" s="24">
        <v>46054</v>
      </c>
      <c r="T55" s="23">
        <v>6.3529411764705879</v>
      </c>
      <c r="U55" s="25">
        <v>4</v>
      </c>
      <c r="V55" s="23">
        <v>36</v>
      </c>
      <c r="W55" s="18" t="s">
        <v>34</v>
      </c>
      <c r="X55" s="18" t="s">
        <v>48</v>
      </c>
      <c r="Y55" s="18" t="s">
        <v>36</v>
      </c>
      <c r="Z55" s="18" t="s">
        <v>9</v>
      </c>
      <c r="AA55" s="18" t="s">
        <v>49</v>
      </c>
      <c r="AB55" s="18" t="s">
        <v>109</v>
      </c>
      <c r="AC55" s="18" t="s">
        <v>38</v>
      </c>
      <c r="AD55" s="7" t="str">
        <f t="shared" si="0"/>
        <v/>
      </c>
      <c r="AE55" s="26"/>
      <c r="AF55" s="26"/>
      <c r="AG55" s="26"/>
      <c r="AH55" s="26"/>
      <c r="AI55" s="27"/>
      <c r="AJ55" s="27"/>
      <c r="AK55" s="27"/>
      <c r="AL55" s="27"/>
      <c r="AM55" s="27"/>
      <c r="AN55" s="27"/>
      <c r="AO55" s="27"/>
      <c r="AP55" s="27"/>
      <c r="AQ55" s="27"/>
      <c r="AR55" s="27"/>
      <c r="AS55" s="27"/>
      <c r="AT55" s="27"/>
      <c r="AU55" s="27"/>
      <c r="AV55" s="27"/>
      <c r="AW55" s="27"/>
    </row>
    <row r="56" spans="1:49" s="47" customFormat="1" ht="35.1" customHeight="1" x14ac:dyDescent="0.25">
      <c r="A56" s="18" t="s">
        <v>159</v>
      </c>
      <c r="B56" s="19">
        <v>46051</v>
      </c>
      <c r="C56" s="19">
        <v>46051</v>
      </c>
      <c r="D56" s="18" t="s">
        <v>207</v>
      </c>
      <c r="E56" s="20">
        <v>0.54166666666666663</v>
      </c>
      <c r="F56" s="20">
        <v>0.66666666666666663</v>
      </c>
      <c r="G56" s="28">
        <v>1.7361111111111109E-4</v>
      </c>
      <c r="H56" s="29" t="s">
        <v>165</v>
      </c>
      <c r="I56" s="21">
        <v>0.56212997685185184</v>
      </c>
      <c r="J56" s="18" t="s">
        <v>105</v>
      </c>
      <c r="K56" s="18" t="s">
        <v>152</v>
      </c>
      <c r="L56" s="22">
        <v>1</v>
      </c>
      <c r="M56" s="22">
        <v>71011</v>
      </c>
      <c r="N56" s="18" t="s">
        <v>46</v>
      </c>
      <c r="O56" s="22" t="s">
        <v>161</v>
      </c>
      <c r="P56" s="23">
        <v>0</v>
      </c>
      <c r="Q56" s="22"/>
      <c r="R56" s="23">
        <v>0</v>
      </c>
      <c r="S56" s="24">
        <v>46054</v>
      </c>
      <c r="T56" s="23">
        <v>0</v>
      </c>
      <c r="U56" s="25">
        <v>4</v>
      </c>
      <c r="V56" s="23">
        <v>0</v>
      </c>
      <c r="W56" s="18" t="s">
        <v>47</v>
      </c>
      <c r="X56" s="18" t="s">
        <v>48</v>
      </c>
      <c r="Y56" s="18" t="s">
        <v>36</v>
      </c>
      <c r="Z56" s="18" t="s">
        <v>9</v>
      </c>
      <c r="AA56" s="18" t="s">
        <v>49</v>
      </c>
      <c r="AB56" s="18" t="s">
        <v>162</v>
      </c>
      <c r="AC56" s="18" t="s">
        <v>38</v>
      </c>
      <c r="AD56" s="7" t="str">
        <f t="shared" si="0"/>
        <v/>
      </c>
      <c r="AE56" s="26"/>
      <c r="AF56" s="26"/>
      <c r="AG56" s="26"/>
      <c r="AH56" s="26"/>
      <c r="AI56" s="27"/>
      <c r="AJ56" s="27"/>
      <c r="AK56" s="27"/>
      <c r="AL56" s="27"/>
      <c r="AM56" s="27"/>
      <c r="AN56" s="27"/>
      <c r="AO56" s="27"/>
      <c r="AP56" s="27"/>
      <c r="AQ56" s="27"/>
      <c r="AR56" s="27"/>
      <c r="AS56" s="27"/>
      <c r="AT56" s="27"/>
      <c r="AU56" s="27"/>
      <c r="AV56" s="27"/>
      <c r="AW56" s="27"/>
    </row>
    <row r="57" spans="1:49" s="47" customFormat="1" ht="35.1" customHeight="1" x14ac:dyDescent="0.25">
      <c r="A57" s="9" t="s">
        <v>103</v>
      </c>
      <c r="B57" s="10">
        <v>46051</v>
      </c>
      <c r="C57" s="10">
        <v>46051</v>
      </c>
      <c r="D57" s="11" t="s">
        <v>207</v>
      </c>
      <c r="E57" s="12">
        <v>0.5625</v>
      </c>
      <c r="F57" s="12">
        <v>0.58333333333333337</v>
      </c>
      <c r="G57" s="12">
        <v>2.0833333333333332E-2</v>
      </c>
      <c r="H57" s="9" t="s">
        <v>112</v>
      </c>
      <c r="I57" s="13"/>
      <c r="J57" s="9" t="s">
        <v>105</v>
      </c>
      <c r="K57" s="9"/>
      <c r="L57" s="14">
        <v>1</v>
      </c>
      <c r="M57" s="14">
        <v>1</v>
      </c>
      <c r="N57" s="9" t="s">
        <v>33</v>
      </c>
      <c r="O57" s="9"/>
      <c r="P57" s="16">
        <v>0</v>
      </c>
      <c r="Q57" s="14"/>
      <c r="R57" s="16">
        <v>0</v>
      </c>
      <c r="S57" s="9">
        <v>46054</v>
      </c>
      <c r="T57" s="16">
        <v>0</v>
      </c>
      <c r="U57" s="14">
        <v>2</v>
      </c>
      <c r="V57" s="16">
        <v>0</v>
      </c>
      <c r="W57" s="9" t="s">
        <v>34</v>
      </c>
      <c r="X57" s="9" t="s">
        <v>42</v>
      </c>
      <c r="Y57" s="9" t="s">
        <v>36</v>
      </c>
      <c r="Z57" s="9" t="s">
        <v>43</v>
      </c>
      <c r="AA57" s="9" t="s">
        <v>37</v>
      </c>
      <c r="AB57" s="9" t="s">
        <v>37</v>
      </c>
      <c r="AC57" s="9" t="s">
        <v>38</v>
      </c>
      <c r="AD57" s="7" t="str">
        <f t="shared" si="0"/>
        <v/>
      </c>
      <c r="AE57" s="26"/>
      <c r="AF57" s="26"/>
      <c r="AG57" s="26"/>
      <c r="AH57" s="26"/>
      <c r="AI57" s="26"/>
      <c r="AJ57" s="26"/>
      <c r="AK57" s="26"/>
      <c r="AL57" s="26"/>
      <c r="AM57" s="26"/>
      <c r="AN57" s="26"/>
      <c r="AO57" s="26"/>
      <c r="AP57" s="26"/>
      <c r="AQ57" s="26"/>
      <c r="AR57" s="26"/>
      <c r="AS57" s="26"/>
      <c r="AT57" s="26"/>
      <c r="AU57" s="26"/>
      <c r="AV57" s="26"/>
      <c r="AW57" s="26"/>
    </row>
    <row r="58" spans="1:49" s="47" customFormat="1" ht="35.1" customHeight="1" x14ac:dyDescent="0.25">
      <c r="A58" s="18" t="s">
        <v>106</v>
      </c>
      <c r="B58" s="19">
        <v>46051</v>
      </c>
      <c r="C58" s="19">
        <v>46051</v>
      </c>
      <c r="D58" s="18" t="s">
        <v>207</v>
      </c>
      <c r="E58" s="20">
        <v>0.54166666666666663</v>
      </c>
      <c r="F58" s="20">
        <v>0.66666666666666663</v>
      </c>
      <c r="G58" s="20">
        <v>3.4722222222222218E-4</v>
      </c>
      <c r="H58" s="18" t="s">
        <v>107</v>
      </c>
      <c r="I58" s="21">
        <v>0.57594062499999998</v>
      </c>
      <c r="J58" s="18" t="s">
        <v>105</v>
      </c>
      <c r="K58" s="18" t="s">
        <v>153</v>
      </c>
      <c r="L58" s="22">
        <v>1</v>
      </c>
      <c r="M58" s="22">
        <v>58165</v>
      </c>
      <c r="N58" s="18" t="s">
        <v>53</v>
      </c>
      <c r="O58" s="22" t="s">
        <v>108</v>
      </c>
      <c r="P58" s="23">
        <v>42.352941176470587</v>
      </c>
      <c r="Q58" s="22"/>
      <c r="R58" s="23">
        <v>42.352941176470587</v>
      </c>
      <c r="S58" s="24">
        <v>46054</v>
      </c>
      <c r="T58" s="23">
        <v>6.3529411764705879</v>
      </c>
      <c r="U58" s="25">
        <v>4</v>
      </c>
      <c r="V58" s="23">
        <v>36</v>
      </c>
      <c r="W58" s="18" t="s">
        <v>34</v>
      </c>
      <c r="X58" s="18" t="s">
        <v>48</v>
      </c>
      <c r="Y58" s="18" t="s">
        <v>36</v>
      </c>
      <c r="Z58" s="18" t="s">
        <v>9</v>
      </c>
      <c r="AA58" s="18" t="s">
        <v>49</v>
      </c>
      <c r="AB58" s="18" t="s">
        <v>109</v>
      </c>
      <c r="AC58" s="18" t="s">
        <v>38</v>
      </c>
      <c r="AD58" s="7" t="str">
        <f t="shared" si="0"/>
        <v/>
      </c>
      <c r="AE58" s="26"/>
      <c r="AF58" s="26"/>
      <c r="AG58" s="26"/>
      <c r="AH58" s="26"/>
      <c r="AI58" s="27"/>
      <c r="AJ58" s="27"/>
      <c r="AK58" s="27"/>
      <c r="AL58" s="27"/>
      <c r="AM58" s="27"/>
      <c r="AN58" s="27"/>
      <c r="AO58" s="27"/>
      <c r="AP58" s="27"/>
      <c r="AQ58" s="27"/>
      <c r="AR58" s="27"/>
      <c r="AS58" s="27"/>
      <c r="AT58" s="27"/>
      <c r="AU58" s="27"/>
      <c r="AV58" s="27"/>
      <c r="AW58" s="27"/>
    </row>
    <row r="59" spans="1:49" s="47" customFormat="1" ht="35.1" customHeight="1" x14ac:dyDescent="0.25">
      <c r="A59" s="9" t="s">
        <v>113</v>
      </c>
      <c r="B59" s="10">
        <v>46051</v>
      </c>
      <c r="C59" s="10">
        <v>46051</v>
      </c>
      <c r="D59" s="11" t="s">
        <v>207</v>
      </c>
      <c r="E59" s="12">
        <v>0.58333333333333337</v>
      </c>
      <c r="F59" s="12">
        <v>0.625</v>
      </c>
      <c r="G59" s="12">
        <v>4.1666666666666664E-2</v>
      </c>
      <c r="H59" s="9" t="s">
        <v>114</v>
      </c>
      <c r="I59" s="13"/>
      <c r="J59" s="9" t="s">
        <v>115</v>
      </c>
      <c r="K59" s="9"/>
      <c r="L59" s="14">
        <v>1</v>
      </c>
      <c r="M59" s="14">
        <v>1</v>
      </c>
      <c r="N59" s="9" t="s">
        <v>33</v>
      </c>
      <c r="O59" s="9"/>
      <c r="P59" s="16">
        <v>0</v>
      </c>
      <c r="Q59" s="14"/>
      <c r="R59" s="16">
        <v>0</v>
      </c>
      <c r="S59" s="9">
        <v>46054</v>
      </c>
      <c r="T59" s="16">
        <v>0</v>
      </c>
      <c r="U59" s="14">
        <v>2</v>
      </c>
      <c r="V59" s="16">
        <v>0</v>
      </c>
      <c r="W59" s="9" t="s">
        <v>34</v>
      </c>
      <c r="X59" s="9" t="s">
        <v>42</v>
      </c>
      <c r="Y59" s="9" t="s">
        <v>36</v>
      </c>
      <c r="Z59" s="9" t="s">
        <v>43</v>
      </c>
      <c r="AA59" s="9" t="s">
        <v>37</v>
      </c>
      <c r="AB59" s="9" t="s">
        <v>37</v>
      </c>
      <c r="AC59" s="9" t="s">
        <v>38</v>
      </c>
      <c r="AD59" s="7" t="str">
        <f t="shared" si="0"/>
        <v/>
      </c>
      <c r="AE59" s="26"/>
      <c r="AF59" s="26"/>
      <c r="AG59" s="26"/>
      <c r="AH59" s="26"/>
      <c r="AI59" s="26"/>
      <c r="AJ59" s="26"/>
      <c r="AK59" s="26"/>
      <c r="AL59" s="26"/>
      <c r="AM59" s="26"/>
      <c r="AN59" s="26"/>
      <c r="AO59" s="26"/>
      <c r="AP59" s="26"/>
      <c r="AQ59" s="26"/>
      <c r="AR59" s="26"/>
      <c r="AS59" s="26"/>
      <c r="AT59" s="26"/>
      <c r="AU59" s="26"/>
      <c r="AV59" s="26"/>
      <c r="AW59" s="26"/>
    </row>
    <row r="60" spans="1:49" s="47" customFormat="1" ht="35.1" customHeight="1" x14ac:dyDescent="0.25">
      <c r="A60" s="18" t="s">
        <v>106</v>
      </c>
      <c r="B60" s="19">
        <v>46051</v>
      </c>
      <c r="C60" s="19">
        <v>46051</v>
      </c>
      <c r="D60" s="18" t="s">
        <v>207</v>
      </c>
      <c r="E60" s="20">
        <v>0.54166666666666663</v>
      </c>
      <c r="F60" s="20">
        <v>0.66666666666666663</v>
      </c>
      <c r="G60" s="20">
        <v>3.4722222222222218E-4</v>
      </c>
      <c r="H60" s="18" t="s">
        <v>107</v>
      </c>
      <c r="I60" s="21">
        <v>0.59101944444444443</v>
      </c>
      <c r="J60" s="18" t="s">
        <v>105</v>
      </c>
      <c r="K60" s="18" t="s">
        <v>154</v>
      </c>
      <c r="L60" s="22">
        <v>1</v>
      </c>
      <c r="M60" s="22">
        <v>58165</v>
      </c>
      <c r="N60" s="18" t="s">
        <v>53</v>
      </c>
      <c r="O60" s="22" t="s">
        <v>108</v>
      </c>
      <c r="P60" s="23">
        <v>42.352941176470587</v>
      </c>
      <c r="Q60" s="22"/>
      <c r="R60" s="23">
        <v>42.352941176470587</v>
      </c>
      <c r="S60" s="24">
        <v>46054</v>
      </c>
      <c r="T60" s="23">
        <v>6.3529411764705879</v>
      </c>
      <c r="U60" s="25">
        <v>4</v>
      </c>
      <c r="V60" s="23">
        <v>36</v>
      </c>
      <c r="W60" s="18" t="s">
        <v>34</v>
      </c>
      <c r="X60" s="18" t="s">
        <v>48</v>
      </c>
      <c r="Y60" s="18" t="s">
        <v>36</v>
      </c>
      <c r="Z60" s="18" t="s">
        <v>9</v>
      </c>
      <c r="AA60" s="18" t="s">
        <v>49</v>
      </c>
      <c r="AB60" s="18" t="s">
        <v>109</v>
      </c>
      <c r="AC60" s="18" t="s">
        <v>38</v>
      </c>
      <c r="AD60" s="7" t="str">
        <f t="shared" si="0"/>
        <v/>
      </c>
      <c r="AE60" s="26"/>
      <c r="AF60" s="26"/>
      <c r="AG60" s="26"/>
      <c r="AH60" s="26"/>
      <c r="AI60" s="27"/>
      <c r="AJ60" s="27"/>
      <c r="AK60" s="27"/>
      <c r="AL60" s="27"/>
      <c r="AM60" s="27"/>
      <c r="AN60" s="27"/>
      <c r="AO60" s="27"/>
      <c r="AP60" s="27"/>
      <c r="AQ60" s="27"/>
      <c r="AR60" s="27"/>
      <c r="AS60" s="27"/>
      <c r="AT60" s="27"/>
      <c r="AU60" s="27"/>
      <c r="AV60" s="27"/>
      <c r="AW60" s="27"/>
    </row>
    <row r="61" spans="1:49" s="47" customFormat="1" ht="35.1" customHeight="1" x14ac:dyDescent="0.25">
      <c r="A61" s="18" t="s">
        <v>159</v>
      </c>
      <c r="B61" s="19">
        <v>46051</v>
      </c>
      <c r="C61" s="19">
        <v>46051</v>
      </c>
      <c r="D61" s="18" t="s">
        <v>207</v>
      </c>
      <c r="E61" s="20">
        <v>0.58333333333333337</v>
      </c>
      <c r="F61" s="20">
        <v>0.66666666666666663</v>
      </c>
      <c r="G61" s="28">
        <v>1.7361111111111109E-4</v>
      </c>
      <c r="H61" s="29" t="s">
        <v>160</v>
      </c>
      <c r="I61" s="21">
        <v>0.59084560185185186</v>
      </c>
      <c r="J61" s="18" t="s">
        <v>105</v>
      </c>
      <c r="K61" s="18" t="s">
        <v>154</v>
      </c>
      <c r="L61" s="22">
        <v>1</v>
      </c>
      <c r="M61" s="22">
        <v>71009</v>
      </c>
      <c r="N61" s="18" t="s">
        <v>53</v>
      </c>
      <c r="O61" s="22" t="s">
        <v>161</v>
      </c>
      <c r="P61" s="23">
        <v>15</v>
      </c>
      <c r="Q61" s="22"/>
      <c r="R61" s="23">
        <v>15</v>
      </c>
      <c r="S61" s="24">
        <v>46054</v>
      </c>
      <c r="T61" s="23">
        <v>2.25</v>
      </c>
      <c r="U61" s="25">
        <v>4</v>
      </c>
      <c r="V61" s="23">
        <v>12.75</v>
      </c>
      <c r="W61" s="18" t="s">
        <v>47</v>
      </c>
      <c r="X61" s="18" t="s">
        <v>48</v>
      </c>
      <c r="Y61" s="18" t="s">
        <v>36</v>
      </c>
      <c r="Z61" s="18" t="s">
        <v>9</v>
      </c>
      <c r="AA61" s="18" t="s">
        <v>49</v>
      </c>
      <c r="AB61" s="18" t="s">
        <v>162</v>
      </c>
      <c r="AC61" s="18" t="s">
        <v>38</v>
      </c>
      <c r="AD61" s="7" t="str">
        <f t="shared" si="0"/>
        <v/>
      </c>
      <c r="AE61" s="26"/>
      <c r="AF61" s="26"/>
      <c r="AG61" s="26"/>
      <c r="AH61" s="26"/>
      <c r="AI61" s="26"/>
      <c r="AJ61" s="26"/>
      <c r="AK61" s="26"/>
      <c r="AL61" s="26"/>
      <c r="AM61" s="26"/>
      <c r="AN61" s="26"/>
      <c r="AO61" s="26"/>
      <c r="AP61" s="26"/>
      <c r="AQ61" s="26"/>
      <c r="AR61" s="26"/>
      <c r="AS61" s="26"/>
      <c r="AT61" s="26"/>
      <c r="AU61" s="26"/>
      <c r="AV61" s="26"/>
      <c r="AW61" s="26"/>
    </row>
    <row r="62" spans="1:49" s="47" customFormat="1" ht="35.1" customHeight="1" x14ac:dyDescent="0.25">
      <c r="A62" s="18" t="s">
        <v>159</v>
      </c>
      <c r="B62" s="19">
        <v>46051</v>
      </c>
      <c r="C62" s="19">
        <v>46051</v>
      </c>
      <c r="D62" s="18" t="s">
        <v>207</v>
      </c>
      <c r="E62" s="20">
        <v>0.58333333333333337</v>
      </c>
      <c r="F62" s="20">
        <v>0.66666666666666663</v>
      </c>
      <c r="G62" s="28">
        <v>1.7361111111111109E-4</v>
      </c>
      <c r="H62" s="29" t="s">
        <v>163</v>
      </c>
      <c r="I62" s="21">
        <v>0.59206111111111115</v>
      </c>
      <c r="J62" s="18" t="s">
        <v>105</v>
      </c>
      <c r="K62" s="18" t="s">
        <v>154</v>
      </c>
      <c r="L62" s="22">
        <v>1</v>
      </c>
      <c r="M62" s="22">
        <v>71009</v>
      </c>
      <c r="N62" s="18" t="s">
        <v>53</v>
      </c>
      <c r="O62" s="22" t="s">
        <v>161</v>
      </c>
      <c r="P62" s="23">
        <v>15</v>
      </c>
      <c r="Q62" s="22"/>
      <c r="R62" s="23">
        <v>15</v>
      </c>
      <c r="S62" s="24">
        <v>46054</v>
      </c>
      <c r="T62" s="23">
        <v>2.25</v>
      </c>
      <c r="U62" s="25">
        <v>4</v>
      </c>
      <c r="V62" s="23">
        <v>12.75</v>
      </c>
      <c r="W62" s="18" t="s">
        <v>47</v>
      </c>
      <c r="X62" s="18" t="s">
        <v>48</v>
      </c>
      <c r="Y62" s="18" t="s">
        <v>36</v>
      </c>
      <c r="Z62" s="18" t="s">
        <v>9</v>
      </c>
      <c r="AA62" s="18" t="s">
        <v>49</v>
      </c>
      <c r="AB62" s="18" t="s">
        <v>162</v>
      </c>
      <c r="AC62" s="18" t="s">
        <v>38</v>
      </c>
      <c r="AD62" s="7" t="str">
        <f t="shared" si="0"/>
        <v/>
      </c>
      <c r="AE62" s="26"/>
      <c r="AF62" s="26"/>
      <c r="AG62" s="26"/>
      <c r="AH62" s="26"/>
      <c r="AI62" s="26"/>
      <c r="AJ62" s="26"/>
      <c r="AK62" s="26"/>
      <c r="AL62" s="26"/>
      <c r="AM62" s="26"/>
      <c r="AN62" s="26"/>
      <c r="AO62" s="26"/>
      <c r="AP62" s="26"/>
      <c r="AQ62" s="26"/>
      <c r="AR62" s="26"/>
      <c r="AS62" s="26"/>
      <c r="AT62" s="26"/>
      <c r="AU62" s="26"/>
      <c r="AV62" s="26"/>
      <c r="AW62" s="26"/>
    </row>
    <row r="63" spans="1:49" s="47" customFormat="1" ht="35.1" customHeight="1" x14ac:dyDescent="0.25">
      <c r="A63" s="18" t="s">
        <v>61</v>
      </c>
      <c r="B63" s="19">
        <v>46051</v>
      </c>
      <c r="C63" s="19">
        <v>46051</v>
      </c>
      <c r="D63" s="18" t="s">
        <v>207</v>
      </c>
      <c r="E63" s="20">
        <v>0.58333333333333337</v>
      </c>
      <c r="F63" s="20">
        <v>0.66666666666666663</v>
      </c>
      <c r="G63" s="20">
        <v>3.4722222222222218E-4</v>
      </c>
      <c r="H63" s="18" t="s">
        <v>180</v>
      </c>
      <c r="I63" s="21">
        <v>0.60148310185185183</v>
      </c>
      <c r="J63" s="18" t="s">
        <v>105</v>
      </c>
      <c r="K63" s="18" t="s">
        <v>154</v>
      </c>
      <c r="L63" s="22">
        <v>1</v>
      </c>
      <c r="M63" s="22">
        <v>64419</v>
      </c>
      <c r="N63" s="18" t="s">
        <v>46</v>
      </c>
      <c r="O63" s="22" t="s">
        <v>63</v>
      </c>
      <c r="P63" s="23">
        <v>0</v>
      </c>
      <c r="Q63" s="22"/>
      <c r="R63" s="23">
        <v>0</v>
      </c>
      <c r="S63" s="24">
        <v>46054</v>
      </c>
      <c r="T63" s="23">
        <v>0</v>
      </c>
      <c r="U63" s="25">
        <v>4</v>
      </c>
      <c r="V63" s="23">
        <v>0</v>
      </c>
      <c r="W63" s="18" t="s">
        <v>47</v>
      </c>
      <c r="X63" s="18" t="s">
        <v>48</v>
      </c>
      <c r="Y63" s="18" t="s">
        <v>36</v>
      </c>
      <c r="Z63" s="18" t="s">
        <v>9</v>
      </c>
      <c r="AA63" s="18" t="s">
        <v>49</v>
      </c>
      <c r="AB63" s="18" t="s">
        <v>64</v>
      </c>
      <c r="AC63" s="18" t="s">
        <v>38</v>
      </c>
      <c r="AD63" s="7" t="str">
        <f t="shared" si="0"/>
        <v/>
      </c>
      <c r="AE63" s="31"/>
      <c r="AF63" s="31"/>
      <c r="AG63" s="31"/>
      <c r="AH63" s="31"/>
      <c r="AI63" s="30"/>
      <c r="AJ63" s="30"/>
      <c r="AK63" s="30"/>
      <c r="AL63" s="30"/>
      <c r="AM63" s="30"/>
      <c r="AN63" s="30"/>
      <c r="AO63" s="30"/>
      <c r="AP63" s="30"/>
      <c r="AQ63" s="30"/>
      <c r="AR63" s="30"/>
      <c r="AS63" s="30"/>
      <c r="AT63" s="30"/>
      <c r="AU63" s="30"/>
      <c r="AV63" s="30"/>
      <c r="AW63" s="30"/>
    </row>
    <row r="64" spans="1:49" s="47" customFormat="1" ht="35.1" customHeight="1" x14ac:dyDescent="0.25">
      <c r="A64" s="18" t="s">
        <v>186</v>
      </c>
      <c r="B64" s="19">
        <v>46051</v>
      </c>
      <c r="C64" s="19">
        <v>46051</v>
      </c>
      <c r="D64" s="18" t="s">
        <v>207</v>
      </c>
      <c r="E64" s="20">
        <v>0.58333333333333337</v>
      </c>
      <c r="F64" s="20">
        <v>0.66666666666666663</v>
      </c>
      <c r="G64" s="20">
        <v>3.4722222222222218E-4</v>
      </c>
      <c r="H64" s="18" t="s">
        <v>212</v>
      </c>
      <c r="I64" s="21">
        <v>0.60845081018518521</v>
      </c>
      <c r="J64" s="18" t="s">
        <v>115</v>
      </c>
      <c r="K64" s="18" t="s">
        <v>154</v>
      </c>
      <c r="L64" s="22">
        <v>1</v>
      </c>
      <c r="M64" s="22">
        <v>59763</v>
      </c>
      <c r="N64" s="18" t="s">
        <v>53</v>
      </c>
      <c r="O64" s="22"/>
      <c r="P64" s="23">
        <v>50</v>
      </c>
      <c r="Q64" s="22"/>
      <c r="R64" s="23">
        <v>50</v>
      </c>
      <c r="S64" s="24">
        <v>46054</v>
      </c>
      <c r="T64" s="23">
        <v>0</v>
      </c>
      <c r="U64" s="25">
        <v>4</v>
      </c>
      <c r="V64" s="23">
        <v>50</v>
      </c>
      <c r="W64" s="18" t="s">
        <v>47</v>
      </c>
      <c r="X64" s="18" t="s">
        <v>48</v>
      </c>
      <c r="Y64" s="18" t="s">
        <v>36</v>
      </c>
      <c r="Z64" s="18" t="s">
        <v>9</v>
      </c>
      <c r="AA64" s="18" t="s">
        <v>49</v>
      </c>
      <c r="AB64" s="18" t="s">
        <v>188</v>
      </c>
      <c r="AC64" s="18" t="s">
        <v>38</v>
      </c>
      <c r="AD64" s="7" t="str">
        <f t="shared" si="0"/>
        <v/>
      </c>
      <c r="AE64" s="26"/>
      <c r="AF64" s="26"/>
      <c r="AG64" s="26"/>
      <c r="AH64" s="26"/>
      <c r="AI64" s="27"/>
      <c r="AJ64" s="27"/>
      <c r="AK64" s="27"/>
      <c r="AL64" s="27"/>
      <c r="AM64" s="27"/>
      <c r="AN64" s="27"/>
      <c r="AO64" s="27"/>
      <c r="AP64" s="27"/>
      <c r="AQ64" s="27"/>
      <c r="AR64" s="27"/>
      <c r="AS64" s="27"/>
      <c r="AT64" s="27"/>
      <c r="AU64" s="27"/>
      <c r="AV64" s="27"/>
      <c r="AW64" s="27"/>
    </row>
    <row r="65" spans="1:49" s="47" customFormat="1" ht="35.1" customHeight="1" x14ac:dyDescent="0.25">
      <c r="A65" s="9" t="s">
        <v>113</v>
      </c>
      <c r="B65" s="10">
        <v>46051</v>
      </c>
      <c r="C65" s="10">
        <v>46051</v>
      </c>
      <c r="D65" s="11" t="s">
        <v>207</v>
      </c>
      <c r="E65" s="12">
        <v>0.625</v>
      </c>
      <c r="F65" s="12">
        <v>0.64583333333333337</v>
      </c>
      <c r="G65" s="12">
        <v>2.0833333333333332E-2</v>
      </c>
      <c r="H65" s="9" t="s">
        <v>116</v>
      </c>
      <c r="I65" s="13"/>
      <c r="J65" s="9" t="s">
        <v>115</v>
      </c>
      <c r="K65" s="9"/>
      <c r="L65" s="14">
        <v>1</v>
      </c>
      <c r="M65" s="14">
        <v>1</v>
      </c>
      <c r="N65" s="9" t="s">
        <v>33</v>
      </c>
      <c r="O65" s="9"/>
      <c r="P65" s="16">
        <v>0</v>
      </c>
      <c r="Q65" s="14"/>
      <c r="R65" s="16">
        <v>0</v>
      </c>
      <c r="S65" s="9">
        <v>46054</v>
      </c>
      <c r="T65" s="16">
        <v>0</v>
      </c>
      <c r="U65" s="14">
        <v>2</v>
      </c>
      <c r="V65" s="16">
        <v>0</v>
      </c>
      <c r="W65" s="9" t="s">
        <v>34</v>
      </c>
      <c r="X65" s="9" t="s">
        <v>42</v>
      </c>
      <c r="Y65" s="9" t="s">
        <v>36</v>
      </c>
      <c r="Z65" s="9" t="s">
        <v>43</v>
      </c>
      <c r="AA65" s="9" t="s">
        <v>37</v>
      </c>
      <c r="AB65" s="9" t="s">
        <v>37</v>
      </c>
      <c r="AC65" s="9" t="s">
        <v>38</v>
      </c>
      <c r="AD65" s="7" t="str">
        <f t="shared" si="0"/>
        <v/>
      </c>
      <c r="AE65" s="26"/>
      <c r="AF65" s="26"/>
      <c r="AG65" s="26"/>
      <c r="AH65" s="26"/>
      <c r="AI65" s="26"/>
      <c r="AJ65" s="26"/>
      <c r="AK65" s="26"/>
      <c r="AL65" s="26"/>
      <c r="AM65" s="26"/>
      <c r="AN65" s="26"/>
      <c r="AO65" s="26"/>
      <c r="AP65" s="26"/>
      <c r="AQ65" s="26"/>
      <c r="AR65" s="26"/>
      <c r="AS65" s="26"/>
      <c r="AT65" s="26"/>
      <c r="AU65" s="26"/>
      <c r="AV65" s="26"/>
      <c r="AW65" s="26"/>
    </row>
    <row r="66" spans="1:49" s="47" customFormat="1" ht="35.1" customHeight="1" x14ac:dyDescent="0.25">
      <c r="A66" s="18" t="s">
        <v>61</v>
      </c>
      <c r="B66" s="19">
        <v>46051</v>
      </c>
      <c r="C66" s="19">
        <v>46051</v>
      </c>
      <c r="D66" s="18" t="s">
        <v>207</v>
      </c>
      <c r="E66" s="20">
        <v>0.58333333333333337</v>
      </c>
      <c r="F66" s="20">
        <v>0.66666666666666663</v>
      </c>
      <c r="G66" s="20">
        <v>3.4722222222222218E-4</v>
      </c>
      <c r="H66" s="18" t="s">
        <v>180</v>
      </c>
      <c r="I66" s="21">
        <v>0.63062604166666658</v>
      </c>
      <c r="J66" s="18" t="s">
        <v>105</v>
      </c>
      <c r="K66" s="18" t="s">
        <v>154</v>
      </c>
      <c r="L66" s="22">
        <v>1</v>
      </c>
      <c r="M66" s="22">
        <v>64413</v>
      </c>
      <c r="N66" s="18" t="s">
        <v>53</v>
      </c>
      <c r="O66" s="22" t="s">
        <v>63</v>
      </c>
      <c r="P66" s="23">
        <v>30</v>
      </c>
      <c r="Q66" s="22"/>
      <c r="R66" s="23">
        <v>30</v>
      </c>
      <c r="S66" s="24">
        <v>46054</v>
      </c>
      <c r="T66" s="23">
        <v>4.5</v>
      </c>
      <c r="U66" s="25">
        <v>4</v>
      </c>
      <c r="V66" s="23">
        <v>25.5</v>
      </c>
      <c r="W66" s="18" t="s">
        <v>47</v>
      </c>
      <c r="X66" s="18" t="s">
        <v>48</v>
      </c>
      <c r="Y66" s="18" t="s">
        <v>36</v>
      </c>
      <c r="Z66" s="18" t="s">
        <v>9</v>
      </c>
      <c r="AA66" s="18" t="s">
        <v>49</v>
      </c>
      <c r="AB66" s="18" t="s">
        <v>64</v>
      </c>
      <c r="AC66" s="18" t="s">
        <v>38</v>
      </c>
      <c r="AD66" s="7" t="str">
        <f t="shared" si="0"/>
        <v/>
      </c>
      <c r="AE66" s="26"/>
      <c r="AF66" s="26"/>
      <c r="AG66" s="26"/>
      <c r="AH66" s="26"/>
      <c r="AI66" s="26"/>
      <c r="AJ66" s="26"/>
      <c r="AK66" s="26"/>
      <c r="AL66" s="26"/>
      <c r="AM66" s="26"/>
      <c r="AN66" s="26"/>
      <c r="AO66" s="26"/>
      <c r="AP66" s="26"/>
      <c r="AQ66" s="26"/>
      <c r="AR66" s="26"/>
      <c r="AS66" s="26"/>
      <c r="AT66" s="26"/>
      <c r="AU66" s="26"/>
      <c r="AV66" s="26"/>
      <c r="AW66" s="26"/>
    </row>
    <row r="67" spans="1:49" s="47" customFormat="1" ht="35.1" customHeight="1" x14ac:dyDescent="0.25">
      <c r="A67" s="18" t="s">
        <v>159</v>
      </c>
      <c r="B67" s="19">
        <v>46051</v>
      </c>
      <c r="C67" s="19">
        <v>46051</v>
      </c>
      <c r="D67" s="18" t="s">
        <v>207</v>
      </c>
      <c r="E67" s="20">
        <v>0.54166666666666663</v>
      </c>
      <c r="F67" s="20">
        <v>0.66666666666666663</v>
      </c>
      <c r="G67" s="28">
        <v>1.7361111111111109E-4</v>
      </c>
      <c r="H67" s="29" t="s">
        <v>160</v>
      </c>
      <c r="I67" s="21">
        <v>0.63710902777777778</v>
      </c>
      <c r="J67" s="18" t="s">
        <v>105</v>
      </c>
      <c r="K67" s="18" t="s">
        <v>154</v>
      </c>
      <c r="L67" s="22">
        <v>1</v>
      </c>
      <c r="M67" s="22">
        <v>71011</v>
      </c>
      <c r="N67" s="18" t="s">
        <v>46</v>
      </c>
      <c r="O67" s="22" t="s">
        <v>161</v>
      </c>
      <c r="P67" s="23">
        <v>0</v>
      </c>
      <c r="Q67" s="22"/>
      <c r="R67" s="23">
        <v>0</v>
      </c>
      <c r="S67" s="24">
        <v>46054</v>
      </c>
      <c r="T67" s="23">
        <v>0</v>
      </c>
      <c r="U67" s="25">
        <v>4</v>
      </c>
      <c r="V67" s="23">
        <v>0</v>
      </c>
      <c r="W67" s="18" t="s">
        <v>47</v>
      </c>
      <c r="X67" s="18" t="s">
        <v>48</v>
      </c>
      <c r="Y67" s="18" t="s">
        <v>36</v>
      </c>
      <c r="Z67" s="18" t="s">
        <v>9</v>
      </c>
      <c r="AA67" s="18" t="s">
        <v>49</v>
      </c>
      <c r="AB67" s="18" t="s">
        <v>162</v>
      </c>
      <c r="AC67" s="18" t="s">
        <v>38</v>
      </c>
      <c r="AD67" s="7" t="str">
        <f t="shared" ref="AD67:AD122" si="1">IF(N67="PRG","",IF(I67&gt;=E67,IF(I67&lt;=F67,"","NO"),"NO"))</f>
        <v/>
      </c>
      <c r="AE67" s="26"/>
      <c r="AF67" s="26"/>
      <c r="AG67" s="26"/>
      <c r="AH67" s="26"/>
      <c r="AI67" s="26"/>
      <c r="AJ67" s="26"/>
      <c r="AK67" s="26"/>
      <c r="AL67" s="26"/>
      <c r="AM67" s="26"/>
      <c r="AN67" s="26"/>
      <c r="AO67" s="26"/>
      <c r="AP67" s="26"/>
      <c r="AQ67" s="26"/>
      <c r="AR67" s="26"/>
      <c r="AS67" s="26"/>
      <c r="AT67" s="26"/>
      <c r="AU67" s="26"/>
      <c r="AV67" s="26"/>
      <c r="AW67" s="26"/>
    </row>
    <row r="68" spans="1:49" s="47" customFormat="1" ht="35.1" customHeight="1" x14ac:dyDescent="0.2">
      <c r="A68" s="18" t="s">
        <v>106</v>
      </c>
      <c r="B68" s="19">
        <v>46051</v>
      </c>
      <c r="C68" s="19">
        <v>46051</v>
      </c>
      <c r="D68" s="18" t="s">
        <v>207</v>
      </c>
      <c r="E68" s="20">
        <v>0.54166666666666663</v>
      </c>
      <c r="F68" s="20">
        <v>0.66666666666666663</v>
      </c>
      <c r="G68" s="20">
        <v>3.4722222222222218E-4</v>
      </c>
      <c r="H68" s="18" t="s">
        <v>107</v>
      </c>
      <c r="I68" s="21">
        <v>0.6383244212962963</v>
      </c>
      <c r="J68" s="18" t="s">
        <v>105</v>
      </c>
      <c r="K68" s="18" t="s">
        <v>154</v>
      </c>
      <c r="L68" s="22">
        <v>1</v>
      </c>
      <c r="M68" s="22">
        <v>58167</v>
      </c>
      <c r="N68" s="18" t="s">
        <v>46</v>
      </c>
      <c r="O68" s="22" t="s">
        <v>108</v>
      </c>
      <c r="P68" s="23">
        <v>0</v>
      </c>
      <c r="Q68" s="22"/>
      <c r="R68" s="23">
        <v>0</v>
      </c>
      <c r="S68" s="24">
        <v>46054</v>
      </c>
      <c r="T68" s="23">
        <v>0</v>
      </c>
      <c r="U68" s="25">
        <v>4</v>
      </c>
      <c r="V68" s="23">
        <v>0</v>
      </c>
      <c r="W68" s="18" t="s">
        <v>34</v>
      </c>
      <c r="X68" s="18" t="s">
        <v>48</v>
      </c>
      <c r="Y68" s="18" t="s">
        <v>36</v>
      </c>
      <c r="Z68" s="18" t="s">
        <v>9</v>
      </c>
      <c r="AA68" s="18" t="s">
        <v>49</v>
      </c>
      <c r="AB68" s="18" t="s">
        <v>109</v>
      </c>
      <c r="AC68" s="18" t="s">
        <v>38</v>
      </c>
      <c r="AD68" s="7" t="str">
        <f t="shared" si="1"/>
        <v/>
      </c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</row>
    <row r="69" spans="1:49" s="47" customFormat="1" ht="35.1" customHeight="1" x14ac:dyDescent="0.25">
      <c r="A69" s="18" t="s">
        <v>159</v>
      </c>
      <c r="B69" s="19">
        <v>46051</v>
      </c>
      <c r="C69" s="19">
        <v>46051</v>
      </c>
      <c r="D69" s="18" t="s">
        <v>207</v>
      </c>
      <c r="E69" s="20">
        <v>0.54166666666666663</v>
      </c>
      <c r="F69" s="20">
        <v>0.66666666666666663</v>
      </c>
      <c r="G69" s="28">
        <v>1.7361111111111109E-4</v>
      </c>
      <c r="H69" s="29" t="s">
        <v>163</v>
      </c>
      <c r="I69" s="21">
        <v>0.63901886574074074</v>
      </c>
      <c r="J69" s="18" t="s">
        <v>105</v>
      </c>
      <c r="K69" s="18" t="s">
        <v>154</v>
      </c>
      <c r="L69" s="22">
        <v>1</v>
      </c>
      <c r="M69" s="22">
        <v>71011</v>
      </c>
      <c r="N69" s="18" t="s">
        <v>46</v>
      </c>
      <c r="O69" s="22" t="s">
        <v>161</v>
      </c>
      <c r="P69" s="23">
        <v>0</v>
      </c>
      <c r="Q69" s="22"/>
      <c r="R69" s="23">
        <v>0</v>
      </c>
      <c r="S69" s="24">
        <v>46054</v>
      </c>
      <c r="T69" s="23">
        <v>0</v>
      </c>
      <c r="U69" s="25">
        <v>4</v>
      </c>
      <c r="V69" s="23">
        <v>0</v>
      </c>
      <c r="W69" s="18" t="s">
        <v>47</v>
      </c>
      <c r="X69" s="18" t="s">
        <v>48</v>
      </c>
      <c r="Y69" s="18" t="s">
        <v>36</v>
      </c>
      <c r="Z69" s="18" t="s">
        <v>9</v>
      </c>
      <c r="AA69" s="18" t="s">
        <v>49</v>
      </c>
      <c r="AB69" s="18" t="s">
        <v>162</v>
      </c>
      <c r="AC69" s="18" t="s">
        <v>38</v>
      </c>
      <c r="AD69" s="7" t="str">
        <f t="shared" si="1"/>
        <v/>
      </c>
      <c r="AE69" s="26"/>
      <c r="AF69" s="26"/>
      <c r="AG69" s="26"/>
      <c r="AH69" s="26"/>
      <c r="AI69" s="27"/>
      <c r="AJ69" s="27"/>
      <c r="AK69" s="27"/>
      <c r="AL69" s="27"/>
      <c r="AM69" s="27"/>
      <c r="AN69" s="27"/>
      <c r="AO69" s="27"/>
      <c r="AP69" s="27"/>
      <c r="AQ69" s="27"/>
      <c r="AR69" s="27"/>
      <c r="AS69" s="27"/>
      <c r="AT69" s="27"/>
      <c r="AU69" s="27"/>
      <c r="AV69" s="27"/>
      <c r="AW69" s="27"/>
    </row>
    <row r="70" spans="1:49" s="47" customFormat="1" ht="35.1" customHeight="1" x14ac:dyDescent="0.2">
      <c r="A70" s="18" t="s">
        <v>61</v>
      </c>
      <c r="B70" s="19">
        <v>46051</v>
      </c>
      <c r="C70" s="19">
        <v>46051</v>
      </c>
      <c r="D70" s="18" t="s">
        <v>207</v>
      </c>
      <c r="E70" s="20">
        <v>0.58333333333333337</v>
      </c>
      <c r="F70" s="20">
        <v>0.66666666666666663</v>
      </c>
      <c r="G70" s="20">
        <v>3.4722222222222218E-4</v>
      </c>
      <c r="H70" s="18" t="s">
        <v>180</v>
      </c>
      <c r="I70" s="21">
        <v>0.64367094907407407</v>
      </c>
      <c r="J70" s="18" t="s">
        <v>105</v>
      </c>
      <c r="K70" s="18" t="s">
        <v>154</v>
      </c>
      <c r="L70" s="22">
        <v>1</v>
      </c>
      <c r="M70" s="22">
        <v>64413</v>
      </c>
      <c r="N70" s="18" t="s">
        <v>53</v>
      </c>
      <c r="O70" s="22" t="s">
        <v>63</v>
      </c>
      <c r="P70" s="23">
        <v>30</v>
      </c>
      <c r="Q70" s="22"/>
      <c r="R70" s="23">
        <v>30</v>
      </c>
      <c r="S70" s="24">
        <v>46054</v>
      </c>
      <c r="T70" s="23">
        <v>4.5</v>
      </c>
      <c r="U70" s="25">
        <v>4</v>
      </c>
      <c r="V70" s="23">
        <v>25.5</v>
      </c>
      <c r="W70" s="18" t="s">
        <v>47</v>
      </c>
      <c r="X70" s="18" t="s">
        <v>48</v>
      </c>
      <c r="Y70" s="18" t="s">
        <v>36</v>
      </c>
      <c r="Z70" s="18" t="s">
        <v>9</v>
      </c>
      <c r="AA70" s="18" t="s">
        <v>49</v>
      </c>
      <c r="AB70" s="18" t="s">
        <v>64</v>
      </c>
      <c r="AC70" s="18" t="s">
        <v>38</v>
      </c>
      <c r="AD70" s="7" t="str">
        <f t="shared" si="1"/>
        <v/>
      </c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</row>
    <row r="71" spans="1:49" s="47" customFormat="1" ht="35.1" customHeight="1" x14ac:dyDescent="0.25">
      <c r="A71" s="9" t="s">
        <v>113</v>
      </c>
      <c r="B71" s="10">
        <v>46051</v>
      </c>
      <c r="C71" s="10">
        <v>46051</v>
      </c>
      <c r="D71" s="11" t="s">
        <v>207</v>
      </c>
      <c r="E71" s="12">
        <v>0.64583333333333337</v>
      </c>
      <c r="F71" s="12">
        <v>0.66666666666666663</v>
      </c>
      <c r="G71" s="12">
        <v>2.0833333333333332E-2</v>
      </c>
      <c r="H71" s="9" t="s">
        <v>117</v>
      </c>
      <c r="I71" s="13"/>
      <c r="J71" s="9" t="s">
        <v>115</v>
      </c>
      <c r="K71" s="9"/>
      <c r="L71" s="14">
        <v>1</v>
      </c>
      <c r="M71" s="14">
        <v>1</v>
      </c>
      <c r="N71" s="9" t="s">
        <v>33</v>
      </c>
      <c r="O71" s="9"/>
      <c r="P71" s="16">
        <v>0</v>
      </c>
      <c r="Q71" s="14"/>
      <c r="R71" s="16">
        <v>0</v>
      </c>
      <c r="S71" s="9">
        <v>46054</v>
      </c>
      <c r="T71" s="16">
        <v>0</v>
      </c>
      <c r="U71" s="14">
        <v>2</v>
      </c>
      <c r="V71" s="16">
        <v>0</v>
      </c>
      <c r="W71" s="9" t="s">
        <v>34</v>
      </c>
      <c r="X71" s="9" t="s">
        <v>42</v>
      </c>
      <c r="Y71" s="9" t="s">
        <v>36</v>
      </c>
      <c r="Z71" s="9" t="s">
        <v>43</v>
      </c>
      <c r="AA71" s="9" t="s">
        <v>37</v>
      </c>
      <c r="AB71" s="9" t="s">
        <v>37</v>
      </c>
      <c r="AC71" s="9" t="s">
        <v>38</v>
      </c>
      <c r="AD71" s="7" t="str">
        <f t="shared" si="1"/>
        <v/>
      </c>
      <c r="AE71" s="26"/>
      <c r="AF71" s="26"/>
      <c r="AG71" s="26"/>
      <c r="AH71" s="26"/>
      <c r="AI71" s="26"/>
      <c r="AJ71" s="26"/>
      <c r="AK71" s="26"/>
      <c r="AL71" s="26"/>
      <c r="AM71" s="26"/>
      <c r="AN71" s="26"/>
      <c r="AO71" s="26"/>
      <c r="AP71" s="26"/>
      <c r="AQ71" s="26"/>
      <c r="AR71" s="26"/>
      <c r="AS71" s="26"/>
      <c r="AT71" s="26"/>
      <c r="AU71" s="26"/>
      <c r="AV71" s="26"/>
      <c r="AW71" s="26"/>
    </row>
    <row r="72" spans="1:49" s="47" customFormat="1" ht="35.1" customHeight="1" x14ac:dyDescent="0.25">
      <c r="A72" s="18" t="s">
        <v>106</v>
      </c>
      <c r="B72" s="19">
        <v>46051</v>
      </c>
      <c r="C72" s="19">
        <v>46051</v>
      </c>
      <c r="D72" s="18" t="s">
        <v>207</v>
      </c>
      <c r="E72" s="20">
        <v>0.54166666666666663</v>
      </c>
      <c r="F72" s="20">
        <v>0.66666666666666663</v>
      </c>
      <c r="G72" s="20">
        <v>3.4722222222222218E-4</v>
      </c>
      <c r="H72" s="18" t="s">
        <v>107</v>
      </c>
      <c r="I72" s="21">
        <v>0.65026631944444446</v>
      </c>
      <c r="J72" s="18" t="s">
        <v>105</v>
      </c>
      <c r="K72" s="18" t="s">
        <v>154</v>
      </c>
      <c r="L72" s="22">
        <v>1</v>
      </c>
      <c r="M72" s="22">
        <v>58165</v>
      </c>
      <c r="N72" s="18" t="s">
        <v>53</v>
      </c>
      <c r="O72" s="22" t="s">
        <v>108</v>
      </c>
      <c r="P72" s="23">
        <v>42.352941176470587</v>
      </c>
      <c r="Q72" s="22"/>
      <c r="R72" s="23">
        <v>42.352941176470587</v>
      </c>
      <c r="S72" s="24">
        <v>46054</v>
      </c>
      <c r="T72" s="23">
        <v>6.3529411764705879</v>
      </c>
      <c r="U72" s="25">
        <v>4</v>
      </c>
      <c r="V72" s="23">
        <v>36</v>
      </c>
      <c r="W72" s="18" t="s">
        <v>34</v>
      </c>
      <c r="X72" s="18" t="s">
        <v>48</v>
      </c>
      <c r="Y72" s="18" t="s">
        <v>36</v>
      </c>
      <c r="Z72" s="18" t="s">
        <v>9</v>
      </c>
      <c r="AA72" s="18" t="s">
        <v>49</v>
      </c>
      <c r="AB72" s="18" t="s">
        <v>109</v>
      </c>
      <c r="AC72" s="18" t="s">
        <v>38</v>
      </c>
      <c r="AD72" s="7" t="str">
        <f t="shared" si="1"/>
        <v/>
      </c>
      <c r="AE72" s="26"/>
      <c r="AF72" s="26"/>
      <c r="AG72" s="26"/>
      <c r="AH72" s="26"/>
      <c r="AI72" s="27"/>
      <c r="AJ72" s="27"/>
      <c r="AK72" s="27"/>
      <c r="AL72" s="27"/>
      <c r="AM72" s="27"/>
      <c r="AN72" s="27"/>
      <c r="AO72" s="27"/>
      <c r="AP72" s="27"/>
      <c r="AQ72" s="27"/>
      <c r="AR72" s="27"/>
      <c r="AS72" s="27"/>
      <c r="AT72" s="27"/>
      <c r="AU72" s="27"/>
      <c r="AV72" s="27"/>
      <c r="AW72" s="27"/>
    </row>
    <row r="73" spans="1:49" s="47" customFormat="1" ht="35.1" customHeight="1" x14ac:dyDescent="0.25">
      <c r="A73" s="18" t="s">
        <v>106</v>
      </c>
      <c r="B73" s="19">
        <v>46051</v>
      </c>
      <c r="C73" s="19">
        <v>46051</v>
      </c>
      <c r="D73" s="18" t="s">
        <v>207</v>
      </c>
      <c r="E73" s="20">
        <v>0.54166666666666663</v>
      </c>
      <c r="F73" s="20">
        <v>0.66666666666666663</v>
      </c>
      <c r="G73" s="20">
        <v>3.4722222222222218E-4</v>
      </c>
      <c r="H73" s="18" t="s">
        <v>107</v>
      </c>
      <c r="I73" s="21">
        <v>0.66595034722222224</v>
      </c>
      <c r="J73" s="18" t="s">
        <v>105</v>
      </c>
      <c r="K73" s="18" t="s">
        <v>154</v>
      </c>
      <c r="L73" s="22">
        <v>1</v>
      </c>
      <c r="M73" s="22">
        <v>58165</v>
      </c>
      <c r="N73" s="18" t="s">
        <v>53</v>
      </c>
      <c r="O73" s="22" t="s">
        <v>108</v>
      </c>
      <c r="P73" s="23">
        <v>42.352941176470587</v>
      </c>
      <c r="Q73" s="22"/>
      <c r="R73" s="23">
        <v>42.352941176470587</v>
      </c>
      <c r="S73" s="24">
        <v>46054</v>
      </c>
      <c r="T73" s="23">
        <v>6.3529411764705879</v>
      </c>
      <c r="U73" s="25">
        <v>4</v>
      </c>
      <c r="V73" s="23">
        <v>36</v>
      </c>
      <c r="W73" s="18" t="s">
        <v>34</v>
      </c>
      <c r="X73" s="18" t="s">
        <v>48</v>
      </c>
      <c r="Y73" s="18" t="s">
        <v>36</v>
      </c>
      <c r="Z73" s="18" t="s">
        <v>9</v>
      </c>
      <c r="AA73" s="18" t="s">
        <v>49</v>
      </c>
      <c r="AB73" s="18" t="s">
        <v>109</v>
      </c>
      <c r="AC73" s="18" t="s">
        <v>38</v>
      </c>
      <c r="AD73" s="7" t="str">
        <f t="shared" si="1"/>
        <v/>
      </c>
      <c r="AE73" s="26"/>
      <c r="AF73" s="26"/>
      <c r="AG73" s="26"/>
      <c r="AH73" s="26"/>
      <c r="AI73" s="27"/>
      <c r="AJ73" s="27"/>
      <c r="AK73" s="27"/>
      <c r="AL73" s="27"/>
      <c r="AM73" s="27"/>
      <c r="AN73" s="27"/>
      <c r="AO73" s="27"/>
      <c r="AP73" s="27"/>
      <c r="AQ73" s="27"/>
      <c r="AR73" s="27"/>
      <c r="AS73" s="27"/>
      <c r="AT73" s="27"/>
      <c r="AU73" s="27"/>
      <c r="AV73" s="27"/>
      <c r="AW73" s="27"/>
    </row>
    <row r="74" spans="1:49" s="47" customFormat="1" ht="35.1" customHeight="1" x14ac:dyDescent="0.25">
      <c r="A74" s="18" t="s">
        <v>56</v>
      </c>
      <c r="B74" s="19">
        <v>46051</v>
      </c>
      <c r="C74" s="19">
        <v>46051</v>
      </c>
      <c r="D74" s="18" t="s">
        <v>207</v>
      </c>
      <c r="E74" s="20">
        <v>0.54166666666666663</v>
      </c>
      <c r="F74" s="20">
        <v>0.66666666666666663</v>
      </c>
      <c r="G74" s="28">
        <v>1.7361111111111112E-4</v>
      </c>
      <c r="H74" s="29" t="s">
        <v>110</v>
      </c>
      <c r="I74" s="21">
        <v>0.66438784722222222</v>
      </c>
      <c r="J74" s="18" t="s">
        <v>105</v>
      </c>
      <c r="K74" s="18" t="s">
        <v>154</v>
      </c>
      <c r="L74" s="22">
        <v>1</v>
      </c>
      <c r="M74" s="22">
        <v>69830</v>
      </c>
      <c r="N74" s="18" t="s">
        <v>53</v>
      </c>
      <c r="O74" s="22"/>
      <c r="P74" s="23">
        <v>22</v>
      </c>
      <c r="Q74" s="22"/>
      <c r="R74" s="23">
        <v>22</v>
      </c>
      <c r="S74" s="24">
        <v>46051</v>
      </c>
      <c r="T74" s="23">
        <v>0</v>
      </c>
      <c r="U74" s="25">
        <v>4</v>
      </c>
      <c r="V74" s="23">
        <v>22</v>
      </c>
      <c r="W74" s="18" t="s">
        <v>34</v>
      </c>
      <c r="X74" s="18" t="s">
        <v>48</v>
      </c>
      <c r="Y74" s="18" t="s">
        <v>58</v>
      </c>
      <c r="Z74" s="18" t="s">
        <v>43</v>
      </c>
      <c r="AA74" s="18" t="s">
        <v>49</v>
      </c>
      <c r="AB74" s="18" t="s">
        <v>59</v>
      </c>
      <c r="AC74" s="18" t="s">
        <v>38</v>
      </c>
      <c r="AD74" s="7" t="str">
        <f t="shared" si="1"/>
        <v/>
      </c>
      <c r="AE74" s="26"/>
      <c r="AF74" s="26"/>
      <c r="AG74" s="26"/>
      <c r="AH74" s="26"/>
      <c r="AI74" s="27"/>
      <c r="AJ74" s="27"/>
      <c r="AK74" s="27"/>
      <c r="AL74" s="27"/>
      <c r="AM74" s="27"/>
      <c r="AN74" s="27"/>
      <c r="AO74" s="27"/>
      <c r="AP74" s="27"/>
      <c r="AQ74" s="27"/>
      <c r="AR74" s="27"/>
      <c r="AS74" s="27"/>
      <c r="AT74" s="27"/>
      <c r="AU74" s="27"/>
      <c r="AV74" s="27"/>
      <c r="AW74" s="27"/>
    </row>
    <row r="75" spans="1:49" s="47" customFormat="1" ht="35.1" customHeight="1" x14ac:dyDescent="0.25">
      <c r="A75" s="18" t="s">
        <v>56</v>
      </c>
      <c r="B75" s="19">
        <v>46051</v>
      </c>
      <c r="C75" s="19">
        <v>46051</v>
      </c>
      <c r="D75" s="18" t="s">
        <v>207</v>
      </c>
      <c r="E75" s="20">
        <v>0.54166666666666663</v>
      </c>
      <c r="F75" s="20">
        <v>0.66666666666666663</v>
      </c>
      <c r="G75" s="28">
        <v>1.7361111111111112E-4</v>
      </c>
      <c r="H75" s="29" t="s">
        <v>111</v>
      </c>
      <c r="I75" s="21">
        <v>0.66629780092592594</v>
      </c>
      <c r="J75" s="18" t="s">
        <v>105</v>
      </c>
      <c r="K75" s="18" t="s">
        <v>154</v>
      </c>
      <c r="L75" s="22">
        <v>1</v>
      </c>
      <c r="M75" s="22">
        <v>69830</v>
      </c>
      <c r="N75" s="18" t="s">
        <v>53</v>
      </c>
      <c r="O75" s="22"/>
      <c r="P75" s="23">
        <v>0</v>
      </c>
      <c r="Q75" s="22"/>
      <c r="R75" s="23">
        <v>0</v>
      </c>
      <c r="S75" s="24">
        <v>46051</v>
      </c>
      <c r="T75" s="23">
        <v>0</v>
      </c>
      <c r="U75" s="25">
        <v>4</v>
      </c>
      <c r="V75" s="23">
        <v>0</v>
      </c>
      <c r="W75" s="18" t="s">
        <v>34</v>
      </c>
      <c r="X75" s="18" t="s">
        <v>48</v>
      </c>
      <c r="Y75" s="18" t="s">
        <v>58</v>
      </c>
      <c r="Z75" s="18" t="s">
        <v>43</v>
      </c>
      <c r="AA75" s="18" t="s">
        <v>49</v>
      </c>
      <c r="AB75" s="18" t="s">
        <v>59</v>
      </c>
      <c r="AC75" s="18" t="s">
        <v>38</v>
      </c>
      <c r="AD75" s="7" t="str">
        <f t="shared" si="1"/>
        <v/>
      </c>
      <c r="AE75" s="26"/>
      <c r="AF75" s="26"/>
      <c r="AG75" s="26"/>
      <c r="AH75" s="26"/>
      <c r="AI75" s="27"/>
      <c r="AJ75" s="27"/>
      <c r="AK75" s="27"/>
      <c r="AL75" s="27"/>
      <c r="AM75" s="27"/>
      <c r="AN75" s="27"/>
      <c r="AO75" s="27"/>
      <c r="AP75" s="27"/>
      <c r="AQ75" s="27"/>
      <c r="AR75" s="27"/>
      <c r="AS75" s="27"/>
      <c r="AT75" s="27"/>
      <c r="AU75" s="27"/>
      <c r="AV75" s="27"/>
      <c r="AW75" s="27"/>
    </row>
    <row r="76" spans="1:49" s="47" customFormat="1" ht="35.1" customHeight="1" x14ac:dyDescent="0.25">
      <c r="A76" s="9" t="s">
        <v>118</v>
      </c>
      <c r="B76" s="10">
        <v>46051</v>
      </c>
      <c r="C76" s="10">
        <v>46051</v>
      </c>
      <c r="D76" s="11" t="s">
        <v>207</v>
      </c>
      <c r="E76" s="12">
        <v>0.66666666666666663</v>
      </c>
      <c r="F76" s="12">
        <v>0.6875</v>
      </c>
      <c r="G76" s="12">
        <v>2.0833333333333332E-2</v>
      </c>
      <c r="H76" s="9" t="s">
        <v>119</v>
      </c>
      <c r="I76" s="13"/>
      <c r="J76" s="9" t="s">
        <v>120</v>
      </c>
      <c r="K76" s="9"/>
      <c r="L76" s="14">
        <v>1</v>
      </c>
      <c r="M76" s="14">
        <v>1</v>
      </c>
      <c r="N76" s="9" t="s">
        <v>33</v>
      </c>
      <c r="O76" s="9"/>
      <c r="P76" s="16">
        <v>0</v>
      </c>
      <c r="Q76" s="14"/>
      <c r="R76" s="16">
        <v>0</v>
      </c>
      <c r="S76" s="9">
        <v>46054</v>
      </c>
      <c r="T76" s="16">
        <v>0</v>
      </c>
      <c r="U76" s="14">
        <v>2</v>
      </c>
      <c r="V76" s="16">
        <v>0</v>
      </c>
      <c r="W76" s="9" t="s">
        <v>34</v>
      </c>
      <c r="X76" s="9" t="s">
        <v>42</v>
      </c>
      <c r="Y76" s="9" t="s">
        <v>36</v>
      </c>
      <c r="Z76" s="9" t="s">
        <v>43</v>
      </c>
      <c r="AA76" s="9" t="s">
        <v>37</v>
      </c>
      <c r="AB76" s="9" t="s">
        <v>37</v>
      </c>
      <c r="AC76" s="9" t="s">
        <v>38</v>
      </c>
      <c r="AD76" s="7" t="str">
        <f t="shared" si="1"/>
        <v/>
      </c>
      <c r="AE76" s="26"/>
      <c r="AF76" s="26"/>
      <c r="AG76" s="26"/>
      <c r="AH76" s="26"/>
      <c r="AI76" s="26"/>
      <c r="AJ76" s="26"/>
      <c r="AK76" s="26"/>
      <c r="AL76" s="26"/>
      <c r="AM76" s="26"/>
      <c r="AN76" s="26"/>
      <c r="AO76" s="26"/>
      <c r="AP76" s="26"/>
      <c r="AQ76" s="26"/>
      <c r="AR76" s="26"/>
      <c r="AS76" s="26"/>
      <c r="AT76" s="26"/>
      <c r="AU76" s="26"/>
      <c r="AV76" s="26"/>
      <c r="AW76" s="26"/>
    </row>
    <row r="77" spans="1:49" s="47" customFormat="1" ht="35.1" customHeight="1" x14ac:dyDescent="0.2">
      <c r="A77" s="18" t="s">
        <v>159</v>
      </c>
      <c r="B77" s="19">
        <v>46051</v>
      </c>
      <c r="C77" s="19">
        <v>46051</v>
      </c>
      <c r="D77" s="18" t="s">
        <v>207</v>
      </c>
      <c r="E77" s="20">
        <v>0.66666666666666663</v>
      </c>
      <c r="F77" s="20">
        <v>0.79166666666666663</v>
      </c>
      <c r="G77" s="28">
        <v>1.7361111111111109E-4</v>
      </c>
      <c r="H77" s="29" t="s">
        <v>160</v>
      </c>
      <c r="I77" s="21">
        <v>0.67448043981481487</v>
      </c>
      <c r="J77" s="18" t="s">
        <v>120</v>
      </c>
      <c r="K77" s="18" t="s">
        <v>119</v>
      </c>
      <c r="L77" s="22">
        <v>1</v>
      </c>
      <c r="M77" s="22">
        <v>71003</v>
      </c>
      <c r="N77" s="18" t="s">
        <v>53</v>
      </c>
      <c r="O77" s="22" t="s">
        <v>161</v>
      </c>
      <c r="P77" s="23">
        <v>15</v>
      </c>
      <c r="Q77" s="22"/>
      <c r="R77" s="23">
        <v>15</v>
      </c>
      <c r="S77" s="24">
        <v>46054</v>
      </c>
      <c r="T77" s="23">
        <v>2.25</v>
      </c>
      <c r="U77" s="25">
        <v>4</v>
      </c>
      <c r="V77" s="23">
        <v>12.75</v>
      </c>
      <c r="W77" s="18" t="s">
        <v>47</v>
      </c>
      <c r="X77" s="18" t="s">
        <v>48</v>
      </c>
      <c r="Y77" s="18" t="s">
        <v>36</v>
      </c>
      <c r="Z77" s="18" t="s">
        <v>9</v>
      </c>
      <c r="AA77" s="18" t="s">
        <v>49</v>
      </c>
      <c r="AB77" s="18" t="s">
        <v>162</v>
      </c>
      <c r="AC77" s="18" t="s">
        <v>38</v>
      </c>
      <c r="AD77" s="7" t="str">
        <f t="shared" si="1"/>
        <v/>
      </c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</row>
    <row r="78" spans="1:49" s="47" customFormat="1" ht="35.1" customHeight="1" x14ac:dyDescent="0.25">
      <c r="A78" s="18" t="s">
        <v>159</v>
      </c>
      <c r="B78" s="19">
        <v>46051</v>
      </c>
      <c r="C78" s="19">
        <v>46051</v>
      </c>
      <c r="D78" s="18" t="s">
        <v>207</v>
      </c>
      <c r="E78" s="20">
        <v>0.66666666666666663</v>
      </c>
      <c r="F78" s="20">
        <v>0.79166666666666663</v>
      </c>
      <c r="G78" s="28">
        <v>1.7361111111111109E-4</v>
      </c>
      <c r="H78" s="29" t="s">
        <v>163</v>
      </c>
      <c r="I78" s="21">
        <v>0.67569594907407404</v>
      </c>
      <c r="J78" s="18" t="s">
        <v>120</v>
      </c>
      <c r="K78" s="18" t="s">
        <v>119</v>
      </c>
      <c r="L78" s="22">
        <v>1</v>
      </c>
      <c r="M78" s="22">
        <v>71003</v>
      </c>
      <c r="N78" s="18" t="s">
        <v>53</v>
      </c>
      <c r="O78" s="22" t="s">
        <v>161</v>
      </c>
      <c r="P78" s="23">
        <v>15</v>
      </c>
      <c r="Q78" s="22"/>
      <c r="R78" s="23">
        <v>15</v>
      </c>
      <c r="S78" s="24">
        <v>46054</v>
      </c>
      <c r="T78" s="23">
        <v>2.25</v>
      </c>
      <c r="U78" s="25">
        <v>4</v>
      </c>
      <c r="V78" s="23">
        <v>12.75</v>
      </c>
      <c r="W78" s="18" t="s">
        <v>47</v>
      </c>
      <c r="X78" s="18" t="s">
        <v>48</v>
      </c>
      <c r="Y78" s="18" t="s">
        <v>36</v>
      </c>
      <c r="Z78" s="18" t="s">
        <v>9</v>
      </c>
      <c r="AA78" s="18" t="s">
        <v>49</v>
      </c>
      <c r="AB78" s="18" t="s">
        <v>162</v>
      </c>
      <c r="AC78" s="18" t="s">
        <v>38</v>
      </c>
      <c r="AD78" s="7" t="str">
        <f t="shared" si="1"/>
        <v/>
      </c>
      <c r="AE78" s="26"/>
      <c r="AF78" s="26"/>
      <c r="AG78" s="26"/>
      <c r="AH78" s="26"/>
      <c r="AI78" s="26"/>
      <c r="AJ78" s="26"/>
      <c r="AK78" s="26"/>
      <c r="AL78" s="26"/>
      <c r="AM78" s="26"/>
      <c r="AN78" s="26"/>
      <c r="AO78" s="26"/>
      <c r="AP78" s="26"/>
      <c r="AQ78" s="26"/>
      <c r="AR78" s="26"/>
      <c r="AS78" s="26"/>
      <c r="AT78" s="26"/>
      <c r="AU78" s="26"/>
      <c r="AV78" s="26"/>
      <c r="AW78" s="26"/>
    </row>
    <row r="79" spans="1:49" s="47" customFormat="1" ht="35.1" customHeight="1" x14ac:dyDescent="0.25">
      <c r="A79" s="18" t="s">
        <v>182</v>
      </c>
      <c r="B79" s="19">
        <v>46051</v>
      </c>
      <c r="C79" s="19">
        <v>46051</v>
      </c>
      <c r="D79" s="18" t="s">
        <v>207</v>
      </c>
      <c r="E79" s="20">
        <v>0.66666666666666663</v>
      </c>
      <c r="F79" s="20">
        <v>0.79166666666666663</v>
      </c>
      <c r="G79" s="20">
        <v>3.4722222222222218E-4</v>
      </c>
      <c r="H79" s="18" t="s">
        <v>183</v>
      </c>
      <c r="I79" s="21">
        <v>0.68701458333333332</v>
      </c>
      <c r="J79" s="18" t="s">
        <v>120</v>
      </c>
      <c r="K79" s="18" t="s">
        <v>119</v>
      </c>
      <c r="L79" s="22">
        <v>1</v>
      </c>
      <c r="M79" s="22">
        <v>69625</v>
      </c>
      <c r="N79" s="18" t="s">
        <v>53</v>
      </c>
      <c r="O79" s="22" t="s">
        <v>184</v>
      </c>
      <c r="P79" s="23">
        <v>41.17647058823529</v>
      </c>
      <c r="Q79" s="22"/>
      <c r="R79" s="23">
        <v>41.17647058823529</v>
      </c>
      <c r="S79" s="24">
        <v>46051</v>
      </c>
      <c r="T79" s="23">
        <v>6.1764705882352935</v>
      </c>
      <c r="U79" s="25">
        <v>4</v>
      </c>
      <c r="V79" s="23">
        <v>35</v>
      </c>
      <c r="W79" s="18" t="s">
        <v>47</v>
      </c>
      <c r="X79" s="18" t="s">
        <v>48</v>
      </c>
      <c r="Y79" s="18" t="s">
        <v>58</v>
      </c>
      <c r="Z79" s="18" t="s">
        <v>9</v>
      </c>
      <c r="AA79" s="18" t="s">
        <v>49</v>
      </c>
      <c r="AB79" s="18" t="s">
        <v>185</v>
      </c>
      <c r="AC79" s="18" t="s">
        <v>38</v>
      </c>
      <c r="AD79" s="7" t="str">
        <f t="shared" si="1"/>
        <v/>
      </c>
      <c r="AE79" s="26"/>
      <c r="AF79" s="26"/>
      <c r="AG79" s="26"/>
      <c r="AH79" s="26"/>
      <c r="AI79" s="26"/>
      <c r="AJ79" s="26"/>
      <c r="AK79" s="26"/>
      <c r="AL79" s="26"/>
      <c r="AM79" s="26"/>
      <c r="AN79" s="26"/>
      <c r="AO79" s="26"/>
      <c r="AP79" s="26"/>
      <c r="AQ79" s="26"/>
      <c r="AR79" s="26"/>
      <c r="AS79" s="26"/>
      <c r="AT79" s="26"/>
      <c r="AU79" s="26"/>
      <c r="AV79" s="26"/>
      <c r="AW79" s="26"/>
    </row>
    <row r="80" spans="1:49" s="47" customFormat="1" ht="35.1" customHeight="1" x14ac:dyDescent="0.25">
      <c r="A80" s="9" t="s">
        <v>123</v>
      </c>
      <c r="B80" s="10">
        <v>46051</v>
      </c>
      <c r="C80" s="10">
        <v>46051</v>
      </c>
      <c r="D80" s="11" t="s">
        <v>207</v>
      </c>
      <c r="E80" s="12">
        <v>0.6875</v>
      </c>
      <c r="F80" s="12">
        <v>0.70833333333333337</v>
      </c>
      <c r="G80" s="12">
        <v>2.0833333333333332E-2</v>
      </c>
      <c r="H80" s="9" t="s">
        <v>124</v>
      </c>
      <c r="I80" s="13"/>
      <c r="J80" s="9" t="s">
        <v>120</v>
      </c>
      <c r="K80" s="9"/>
      <c r="L80" s="14">
        <v>1</v>
      </c>
      <c r="M80" s="14">
        <v>1</v>
      </c>
      <c r="N80" s="9" t="s">
        <v>33</v>
      </c>
      <c r="O80" s="9"/>
      <c r="P80" s="16">
        <v>0</v>
      </c>
      <c r="Q80" s="14"/>
      <c r="R80" s="16">
        <v>0</v>
      </c>
      <c r="S80" s="9">
        <v>46054</v>
      </c>
      <c r="T80" s="16">
        <v>0</v>
      </c>
      <c r="U80" s="14">
        <v>2</v>
      </c>
      <c r="V80" s="16">
        <v>0</v>
      </c>
      <c r="W80" s="9" t="s">
        <v>34</v>
      </c>
      <c r="X80" s="9" t="s">
        <v>42</v>
      </c>
      <c r="Y80" s="9" t="s">
        <v>36</v>
      </c>
      <c r="Z80" s="9" t="s">
        <v>43</v>
      </c>
      <c r="AA80" s="9" t="s">
        <v>37</v>
      </c>
      <c r="AB80" s="9" t="s">
        <v>37</v>
      </c>
      <c r="AC80" s="9" t="s">
        <v>38</v>
      </c>
      <c r="AD80" s="7" t="str">
        <f t="shared" si="1"/>
        <v/>
      </c>
      <c r="AE80" s="26"/>
      <c r="AF80" s="26"/>
      <c r="AG80" s="26"/>
      <c r="AH80" s="26"/>
      <c r="AI80" s="26"/>
      <c r="AJ80" s="26"/>
      <c r="AK80" s="26"/>
      <c r="AL80" s="26"/>
      <c r="AM80" s="26"/>
      <c r="AN80" s="26"/>
      <c r="AO80" s="26"/>
      <c r="AP80" s="26"/>
      <c r="AQ80" s="26"/>
      <c r="AR80" s="26"/>
      <c r="AS80" s="26"/>
      <c r="AT80" s="26"/>
      <c r="AU80" s="26"/>
      <c r="AV80" s="26"/>
      <c r="AW80" s="26"/>
    </row>
    <row r="81" spans="1:49" s="47" customFormat="1" ht="35.1" customHeight="1" x14ac:dyDescent="0.25">
      <c r="A81" s="9" t="s">
        <v>118</v>
      </c>
      <c r="B81" s="10">
        <v>46051</v>
      </c>
      <c r="C81" s="10">
        <v>46051</v>
      </c>
      <c r="D81" s="11" t="s">
        <v>207</v>
      </c>
      <c r="E81" s="12">
        <v>0.70833333333333337</v>
      </c>
      <c r="F81" s="12">
        <v>0.75</v>
      </c>
      <c r="G81" s="12">
        <v>4.1666666666666664E-2</v>
      </c>
      <c r="H81" s="9" t="s">
        <v>213</v>
      </c>
      <c r="I81" s="13"/>
      <c r="J81" s="9" t="s">
        <v>120</v>
      </c>
      <c r="K81" s="9"/>
      <c r="L81" s="14">
        <v>1</v>
      </c>
      <c r="M81" s="14">
        <v>1</v>
      </c>
      <c r="N81" s="9" t="s">
        <v>33</v>
      </c>
      <c r="O81" s="9"/>
      <c r="P81" s="16">
        <v>0</v>
      </c>
      <c r="Q81" s="14"/>
      <c r="R81" s="16">
        <v>0</v>
      </c>
      <c r="S81" s="9">
        <v>46054</v>
      </c>
      <c r="T81" s="16">
        <v>0</v>
      </c>
      <c r="U81" s="14">
        <v>2</v>
      </c>
      <c r="V81" s="16">
        <v>0</v>
      </c>
      <c r="W81" s="9" t="s">
        <v>34</v>
      </c>
      <c r="X81" s="9" t="s">
        <v>42</v>
      </c>
      <c r="Y81" s="9" t="s">
        <v>36</v>
      </c>
      <c r="Z81" s="9" t="s">
        <v>43</v>
      </c>
      <c r="AA81" s="9" t="s">
        <v>37</v>
      </c>
      <c r="AB81" s="9" t="s">
        <v>37</v>
      </c>
      <c r="AC81" s="9" t="s">
        <v>38</v>
      </c>
      <c r="AD81" s="7" t="str">
        <f t="shared" si="1"/>
        <v/>
      </c>
      <c r="AE81" s="31"/>
      <c r="AF81" s="31"/>
      <c r="AG81" s="31"/>
      <c r="AH81" s="31"/>
      <c r="AI81" s="30"/>
      <c r="AJ81" s="30"/>
      <c r="AK81" s="30"/>
      <c r="AL81" s="30"/>
      <c r="AM81" s="30"/>
      <c r="AN81" s="30"/>
      <c r="AO81" s="30"/>
      <c r="AP81" s="30"/>
      <c r="AQ81" s="30"/>
      <c r="AR81" s="30"/>
      <c r="AS81" s="30"/>
      <c r="AT81" s="30"/>
      <c r="AU81" s="30"/>
      <c r="AV81" s="30"/>
      <c r="AW81" s="30"/>
    </row>
    <row r="82" spans="1:49" s="47" customFormat="1" ht="35.1" customHeight="1" x14ac:dyDescent="0.25">
      <c r="A82" s="18" t="s">
        <v>44</v>
      </c>
      <c r="B82" s="19">
        <v>46051</v>
      </c>
      <c r="C82" s="19">
        <v>46051</v>
      </c>
      <c r="D82" s="18" t="s">
        <v>207</v>
      </c>
      <c r="E82" s="20">
        <v>0.66666666666666663</v>
      </c>
      <c r="F82" s="20">
        <v>0.79166666666666663</v>
      </c>
      <c r="G82" s="20">
        <v>3.4722222222222218E-4</v>
      </c>
      <c r="H82" s="18" t="s">
        <v>181</v>
      </c>
      <c r="I82" s="21">
        <v>0.71980648148148152</v>
      </c>
      <c r="J82" s="18" t="s">
        <v>120</v>
      </c>
      <c r="K82" s="18" t="s">
        <v>216</v>
      </c>
      <c r="L82" s="22">
        <v>1</v>
      </c>
      <c r="M82" s="22">
        <v>70992</v>
      </c>
      <c r="N82" s="18" t="s">
        <v>46</v>
      </c>
      <c r="O82" s="22" t="str">
        <f>AC82</f>
        <v>CVC</v>
      </c>
      <c r="P82" s="23">
        <v>0</v>
      </c>
      <c r="Q82" s="22"/>
      <c r="R82" s="23">
        <v>0</v>
      </c>
      <c r="S82" s="24">
        <v>46054</v>
      </c>
      <c r="T82" s="23">
        <v>0</v>
      </c>
      <c r="U82" s="25">
        <v>4</v>
      </c>
      <c r="V82" s="23">
        <v>0</v>
      </c>
      <c r="W82" s="18" t="s">
        <v>47</v>
      </c>
      <c r="X82" s="18" t="s">
        <v>48</v>
      </c>
      <c r="Y82" s="18" t="s">
        <v>36</v>
      </c>
      <c r="Z82" s="18" t="s">
        <v>9</v>
      </c>
      <c r="AA82" s="18" t="s">
        <v>49</v>
      </c>
      <c r="AB82" s="18" t="s">
        <v>50</v>
      </c>
      <c r="AC82" s="18" t="s">
        <v>38</v>
      </c>
      <c r="AD82" s="7" t="str">
        <f t="shared" si="1"/>
        <v/>
      </c>
      <c r="AE82" s="26"/>
      <c r="AF82" s="26"/>
      <c r="AG82" s="26"/>
      <c r="AH82" s="26"/>
      <c r="AI82" s="26"/>
      <c r="AJ82" s="26"/>
      <c r="AK82" s="26"/>
      <c r="AL82" s="26"/>
      <c r="AM82" s="26"/>
      <c r="AN82" s="26"/>
      <c r="AO82" s="26"/>
      <c r="AP82" s="26"/>
      <c r="AQ82" s="26"/>
      <c r="AR82" s="26"/>
      <c r="AS82" s="26"/>
      <c r="AT82" s="26"/>
      <c r="AU82" s="26"/>
      <c r="AV82" s="26"/>
      <c r="AW82" s="26"/>
    </row>
    <row r="83" spans="1:49" s="47" customFormat="1" ht="35.1" customHeight="1" x14ac:dyDescent="0.2">
      <c r="A83" s="9" t="s">
        <v>123</v>
      </c>
      <c r="B83" s="10">
        <v>46051</v>
      </c>
      <c r="C83" s="10">
        <v>46051</v>
      </c>
      <c r="D83" s="11" t="s">
        <v>207</v>
      </c>
      <c r="E83" s="12">
        <v>0.75</v>
      </c>
      <c r="F83" s="12">
        <v>0.77083333333333337</v>
      </c>
      <c r="G83" s="12">
        <v>2.0833333333333332E-2</v>
      </c>
      <c r="H83" s="9" t="s">
        <v>126</v>
      </c>
      <c r="I83" s="13"/>
      <c r="J83" s="9" t="s">
        <v>120</v>
      </c>
      <c r="K83" s="9"/>
      <c r="L83" s="14">
        <v>1</v>
      </c>
      <c r="M83" s="14">
        <v>1</v>
      </c>
      <c r="N83" s="9" t="s">
        <v>33</v>
      </c>
      <c r="O83" s="9"/>
      <c r="P83" s="16">
        <v>0</v>
      </c>
      <c r="Q83" s="14"/>
      <c r="R83" s="16">
        <v>0</v>
      </c>
      <c r="S83" s="9">
        <v>46054</v>
      </c>
      <c r="T83" s="16">
        <v>0</v>
      </c>
      <c r="U83" s="14">
        <v>2</v>
      </c>
      <c r="V83" s="16">
        <v>0</v>
      </c>
      <c r="W83" s="9" t="s">
        <v>34</v>
      </c>
      <c r="X83" s="9" t="s">
        <v>42</v>
      </c>
      <c r="Y83" s="9" t="s">
        <v>36</v>
      </c>
      <c r="Z83" s="9" t="s">
        <v>43</v>
      </c>
      <c r="AA83" s="9" t="s">
        <v>37</v>
      </c>
      <c r="AB83" s="9" t="s">
        <v>37</v>
      </c>
      <c r="AC83" s="9" t="s">
        <v>38</v>
      </c>
      <c r="AD83" s="7" t="str">
        <f t="shared" si="1"/>
        <v/>
      </c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</row>
    <row r="84" spans="1:49" s="47" customFormat="1" ht="35.1" customHeight="1" x14ac:dyDescent="0.2">
      <c r="A84" s="9" t="s">
        <v>123</v>
      </c>
      <c r="B84" s="10">
        <v>46051</v>
      </c>
      <c r="C84" s="10">
        <v>46051</v>
      </c>
      <c r="D84" s="11" t="s">
        <v>207</v>
      </c>
      <c r="E84" s="12">
        <v>0.77083333333333337</v>
      </c>
      <c r="F84" s="12">
        <v>0.79166666666666663</v>
      </c>
      <c r="G84" s="12">
        <v>2.0833333333333332E-2</v>
      </c>
      <c r="H84" s="9" t="s">
        <v>124</v>
      </c>
      <c r="I84" s="13"/>
      <c r="J84" s="9" t="s">
        <v>120</v>
      </c>
      <c r="K84" s="9"/>
      <c r="L84" s="14">
        <v>1</v>
      </c>
      <c r="M84" s="14">
        <v>1</v>
      </c>
      <c r="N84" s="9" t="s">
        <v>33</v>
      </c>
      <c r="O84" s="9"/>
      <c r="P84" s="16">
        <v>0</v>
      </c>
      <c r="Q84" s="14"/>
      <c r="R84" s="16">
        <v>0</v>
      </c>
      <c r="S84" s="9">
        <v>46054</v>
      </c>
      <c r="T84" s="16">
        <v>0</v>
      </c>
      <c r="U84" s="14">
        <v>2</v>
      </c>
      <c r="V84" s="16">
        <v>0</v>
      </c>
      <c r="W84" s="9" t="s">
        <v>34</v>
      </c>
      <c r="X84" s="9" t="s">
        <v>42</v>
      </c>
      <c r="Y84" s="9" t="s">
        <v>36</v>
      </c>
      <c r="Z84" s="9" t="s">
        <v>43</v>
      </c>
      <c r="AA84" s="9" t="s">
        <v>37</v>
      </c>
      <c r="AB84" s="9" t="s">
        <v>37</v>
      </c>
      <c r="AC84" s="9" t="s">
        <v>38</v>
      </c>
      <c r="AD84" s="7" t="str">
        <f t="shared" si="1"/>
        <v/>
      </c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</row>
    <row r="85" spans="1:49" s="47" customFormat="1" ht="35.1" customHeight="1" x14ac:dyDescent="0.25">
      <c r="A85" s="18" t="s">
        <v>56</v>
      </c>
      <c r="B85" s="19">
        <v>46051</v>
      </c>
      <c r="C85" s="19">
        <v>46051</v>
      </c>
      <c r="D85" s="18" t="s">
        <v>207</v>
      </c>
      <c r="E85" s="20">
        <v>0.66666666666666663</v>
      </c>
      <c r="F85" s="20">
        <v>0.79166666666666663</v>
      </c>
      <c r="G85" s="28">
        <v>1.7361111111111112E-4</v>
      </c>
      <c r="H85" s="29" t="s">
        <v>121</v>
      </c>
      <c r="I85" s="21">
        <v>0.78058101851851847</v>
      </c>
      <c r="J85" s="18" t="s">
        <v>120</v>
      </c>
      <c r="K85" s="18" t="s">
        <v>155</v>
      </c>
      <c r="L85" s="22">
        <v>1</v>
      </c>
      <c r="M85" s="22">
        <v>69828</v>
      </c>
      <c r="N85" s="18" t="s">
        <v>53</v>
      </c>
      <c r="O85" s="22"/>
      <c r="P85" s="23">
        <v>28</v>
      </c>
      <c r="Q85" s="22"/>
      <c r="R85" s="23">
        <v>28</v>
      </c>
      <c r="S85" s="24">
        <v>46051</v>
      </c>
      <c r="T85" s="23">
        <v>0</v>
      </c>
      <c r="U85" s="25">
        <v>4</v>
      </c>
      <c r="V85" s="23">
        <v>28</v>
      </c>
      <c r="W85" s="18" t="s">
        <v>34</v>
      </c>
      <c r="X85" s="18" t="s">
        <v>48</v>
      </c>
      <c r="Y85" s="18" t="s">
        <v>58</v>
      </c>
      <c r="Z85" s="18" t="s">
        <v>43</v>
      </c>
      <c r="AA85" s="18" t="s">
        <v>49</v>
      </c>
      <c r="AB85" s="18" t="s">
        <v>59</v>
      </c>
      <c r="AC85" s="18" t="s">
        <v>38</v>
      </c>
      <c r="AD85" s="7" t="str">
        <f t="shared" si="1"/>
        <v/>
      </c>
      <c r="AE85" s="31"/>
      <c r="AF85" s="31"/>
      <c r="AG85" s="31"/>
      <c r="AH85" s="31"/>
      <c r="AI85" s="30"/>
      <c r="AJ85" s="30"/>
      <c r="AK85" s="30"/>
      <c r="AL85" s="30"/>
      <c r="AM85" s="30"/>
      <c r="AN85" s="30"/>
      <c r="AO85" s="30"/>
      <c r="AP85" s="30"/>
      <c r="AQ85" s="30"/>
      <c r="AR85" s="30"/>
      <c r="AS85" s="30"/>
      <c r="AT85" s="30"/>
      <c r="AU85" s="30"/>
      <c r="AV85" s="30"/>
      <c r="AW85" s="30"/>
    </row>
    <row r="86" spans="1:49" s="47" customFormat="1" ht="35.1" customHeight="1" x14ac:dyDescent="0.25">
      <c r="A86" s="18" t="s">
        <v>56</v>
      </c>
      <c r="B86" s="19">
        <v>46051</v>
      </c>
      <c r="C86" s="19">
        <v>46051</v>
      </c>
      <c r="D86" s="18" t="s">
        <v>207</v>
      </c>
      <c r="E86" s="20">
        <v>0.66666666666666663</v>
      </c>
      <c r="F86" s="20">
        <v>0.79166666666666663</v>
      </c>
      <c r="G86" s="28">
        <v>1.7361111111111112E-4</v>
      </c>
      <c r="H86" s="29" t="s">
        <v>122</v>
      </c>
      <c r="I86" s="21">
        <v>0.78301168981481484</v>
      </c>
      <c r="J86" s="18" t="s">
        <v>120</v>
      </c>
      <c r="K86" s="18" t="s">
        <v>155</v>
      </c>
      <c r="L86" s="22">
        <v>1</v>
      </c>
      <c r="M86" s="22">
        <v>69828</v>
      </c>
      <c r="N86" s="18" t="s">
        <v>53</v>
      </c>
      <c r="O86" s="22"/>
      <c r="P86" s="23">
        <v>0</v>
      </c>
      <c r="Q86" s="22"/>
      <c r="R86" s="23">
        <v>0</v>
      </c>
      <c r="S86" s="24">
        <v>46051</v>
      </c>
      <c r="T86" s="23">
        <v>0</v>
      </c>
      <c r="U86" s="25">
        <v>4</v>
      </c>
      <c r="V86" s="23">
        <v>0</v>
      </c>
      <c r="W86" s="18" t="s">
        <v>34</v>
      </c>
      <c r="X86" s="18" t="s">
        <v>48</v>
      </c>
      <c r="Y86" s="18" t="s">
        <v>58</v>
      </c>
      <c r="Z86" s="18" t="s">
        <v>43</v>
      </c>
      <c r="AA86" s="18" t="s">
        <v>49</v>
      </c>
      <c r="AB86" s="18" t="s">
        <v>59</v>
      </c>
      <c r="AC86" s="18" t="s">
        <v>38</v>
      </c>
      <c r="AD86" s="7" t="str">
        <f t="shared" si="1"/>
        <v/>
      </c>
      <c r="AE86" s="26"/>
      <c r="AF86" s="26"/>
      <c r="AG86" s="26"/>
      <c r="AH86" s="26"/>
      <c r="AI86" s="26"/>
      <c r="AJ86" s="26"/>
      <c r="AK86" s="26"/>
      <c r="AL86" s="26"/>
      <c r="AM86" s="26"/>
      <c r="AN86" s="26"/>
      <c r="AO86" s="26"/>
      <c r="AP86" s="26"/>
      <c r="AQ86" s="26"/>
      <c r="AR86" s="26"/>
      <c r="AS86" s="26"/>
      <c r="AT86" s="26"/>
      <c r="AU86" s="26"/>
      <c r="AV86" s="26"/>
      <c r="AW86" s="26"/>
    </row>
    <row r="87" spans="1:49" s="47" customFormat="1" ht="35.1" customHeight="1" x14ac:dyDescent="0.25">
      <c r="A87" s="18" t="s">
        <v>127</v>
      </c>
      <c r="B87" s="19">
        <v>46051</v>
      </c>
      <c r="C87" s="19">
        <v>46051</v>
      </c>
      <c r="D87" s="18" t="s">
        <v>207</v>
      </c>
      <c r="E87" s="20">
        <v>0.77083333333333337</v>
      </c>
      <c r="F87" s="20">
        <v>0.79166666666666663</v>
      </c>
      <c r="G87" s="20">
        <v>3.4722222222222218E-4</v>
      </c>
      <c r="H87" s="18" t="s">
        <v>128</v>
      </c>
      <c r="I87" s="21">
        <v>0.78092812499999997</v>
      </c>
      <c r="J87" s="18" t="s">
        <v>120</v>
      </c>
      <c r="K87" s="18" t="s">
        <v>155</v>
      </c>
      <c r="L87" s="22">
        <v>1</v>
      </c>
      <c r="M87" s="22">
        <v>69749</v>
      </c>
      <c r="N87" s="18" t="s">
        <v>53</v>
      </c>
      <c r="O87" s="22" t="s">
        <v>129</v>
      </c>
      <c r="P87" s="23">
        <v>65</v>
      </c>
      <c r="Q87" s="22"/>
      <c r="R87" s="23">
        <v>65</v>
      </c>
      <c r="S87" s="24">
        <v>46054</v>
      </c>
      <c r="T87" s="23">
        <v>9.75</v>
      </c>
      <c r="U87" s="25">
        <v>4</v>
      </c>
      <c r="V87" s="23">
        <v>55.25</v>
      </c>
      <c r="W87" s="18" t="s">
        <v>47</v>
      </c>
      <c r="X87" s="18" t="s">
        <v>48</v>
      </c>
      <c r="Y87" s="18" t="s">
        <v>36</v>
      </c>
      <c r="Z87" s="18" t="s">
        <v>9</v>
      </c>
      <c r="AA87" s="18" t="s">
        <v>49</v>
      </c>
      <c r="AB87" s="18" t="s">
        <v>130</v>
      </c>
      <c r="AC87" s="18" t="s">
        <v>38</v>
      </c>
      <c r="AD87" s="7" t="str">
        <f t="shared" si="1"/>
        <v/>
      </c>
      <c r="AE87" s="26"/>
      <c r="AF87" s="26"/>
      <c r="AG87" s="26"/>
      <c r="AH87" s="26"/>
      <c r="AI87" s="30"/>
      <c r="AJ87" s="30"/>
      <c r="AK87" s="30"/>
      <c r="AL87" s="30"/>
      <c r="AM87" s="30"/>
      <c r="AN87" s="30"/>
      <c r="AO87" s="30"/>
      <c r="AP87" s="30"/>
      <c r="AQ87" s="30"/>
      <c r="AR87" s="30"/>
      <c r="AS87" s="30"/>
      <c r="AT87" s="30"/>
      <c r="AU87" s="30"/>
      <c r="AV87" s="30"/>
      <c r="AW87" s="30"/>
    </row>
    <row r="88" spans="1:49" s="47" customFormat="1" ht="35.1" customHeight="1" x14ac:dyDescent="0.25">
      <c r="A88" s="18" t="s">
        <v>44</v>
      </c>
      <c r="B88" s="19">
        <v>46051</v>
      </c>
      <c r="C88" s="19">
        <v>46051</v>
      </c>
      <c r="D88" s="18" t="s">
        <v>207</v>
      </c>
      <c r="E88" s="20">
        <v>0.66666666666666663</v>
      </c>
      <c r="F88" s="20">
        <v>0.79166666666666663</v>
      </c>
      <c r="G88" s="20">
        <v>3.4722222222222218E-4</v>
      </c>
      <c r="H88" s="18" t="s">
        <v>181</v>
      </c>
      <c r="I88" s="21">
        <v>0.78266446759259267</v>
      </c>
      <c r="J88" s="18" t="s">
        <v>120</v>
      </c>
      <c r="K88" s="18" t="s">
        <v>155</v>
      </c>
      <c r="L88" s="22">
        <v>1</v>
      </c>
      <c r="M88" s="22">
        <v>70990</v>
      </c>
      <c r="N88" s="18" t="s">
        <v>53</v>
      </c>
      <c r="O88" s="22" t="str">
        <f>AC88</f>
        <v>CVC</v>
      </c>
      <c r="P88" s="23">
        <v>58.82</v>
      </c>
      <c r="Q88" s="22"/>
      <c r="R88" s="23">
        <v>58.82</v>
      </c>
      <c r="S88" s="24">
        <v>46054</v>
      </c>
      <c r="T88" s="23">
        <v>4.4115000000000002</v>
      </c>
      <c r="U88" s="25">
        <v>4</v>
      </c>
      <c r="V88" s="23">
        <v>54.408500000000004</v>
      </c>
      <c r="W88" s="18" t="s">
        <v>47</v>
      </c>
      <c r="X88" s="18" t="s">
        <v>48</v>
      </c>
      <c r="Y88" s="18" t="s">
        <v>36</v>
      </c>
      <c r="Z88" s="18" t="s">
        <v>9</v>
      </c>
      <c r="AA88" s="18" t="s">
        <v>49</v>
      </c>
      <c r="AB88" s="18" t="s">
        <v>50</v>
      </c>
      <c r="AC88" s="18" t="s">
        <v>38</v>
      </c>
      <c r="AD88" s="7" t="str">
        <f t="shared" si="1"/>
        <v/>
      </c>
      <c r="AE88" s="26"/>
      <c r="AF88" s="26"/>
      <c r="AG88" s="26"/>
      <c r="AH88" s="26"/>
      <c r="AI88" s="27"/>
      <c r="AJ88" s="27"/>
      <c r="AK88" s="27"/>
      <c r="AL88" s="27"/>
      <c r="AM88" s="27"/>
      <c r="AN88" s="27"/>
      <c r="AO88" s="27"/>
      <c r="AP88" s="27"/>
      <c r="AQ88" s="27"/>
      <c r="AR88" s="27"/>
      <c r="AS88" s="27"/>
      <c r="AT88" s="27"/>
      <c r="AU88" s="27"/>
      <c r="AV88" s="27"/>
      <c r="AW88" s="27"/>
    </row>
    <row r="89" spans="1:49" s="47" customFormat="1" ht="35.1" customHeight="1" x14ac:dyDescent="0.25">
      <c r="A89" s="9" t="s">
        <v>39</v>
      </c>
      <c r="B89" s="10">
        <v>46051</v>
      </c>
      <c r="C89" s="10">
        <v>46051</v>
      </c>
      <c r="D89" s="11" t="s">
        <v>207</v>
      </c>
      <c r="E89" s="12">
        <v>0.79166666666666663</v>
      </c>
      <c r="F89" s="12">
        <v>0.8125</v>
      </c>
      <c r="G89" s="12">
        <v>2.0833333333333332E-2</v>
      </c>
      <c r="H89" s="9" t="s">
        <v>131</v>
      </c>
      <c r="I89" s="13"/>
      <c r="J89" s="9" t="s">
        <v>132</v>
      </c>
      <c r="K89" s="9"/>
      <c r="L89" s="14">
        <v>1</v>
      </c>
      <c r="M89" s="14">
        <v>1</v>
      </c>
      <c r="N89" s="9" t="s">
        <v>33</v>
      </c>
      <c r="O89" s="9"/>
      <c r="P89" s="16">
        <v>0</v>
      </c>
      <c r="Q89" s="14"/>
      <c r="R89" s="16">
        <v>0</v>
      </c>
      <c r="S89" s="9">
        <v>46054</v>
      </c>
      <c r="T89" s="16">
        <v>0</v>
      </c>
      <c r="U89" s="14">
        <v>2</v>
      </c>
      <c r="V89" s="16">
        <v>0</v>
      </c>
      <c r="W89" s="9" t="s">
        <v>34</v>
      </c>
      <c r="X89" s="9" t="s">
        <v>42</v>
      </c>
      <c r="Y89" s="9" t="s">
        <v>36</v>
      </c>
      <c r="Z89" s="9" t="s">
        <v>43</v>
      </c>
      <c r="AA89" s="9" t="s">
        <v>37</v>
      </c>
      <c r="AB89" s="9" t="s">
        <v>37</v>
      </c>
      <c r="AC89" s="9" t="s">
        <v>38</v>
      </c>
      <c r="AD89" s="7" t="str">
        <f t="shared" si="1"/>
        <v/>
      </c>
      <c r="AE89" s="26"/>
      <c r="AF89" s="26"/>
      <c r="AG89" s="26"/>
      <c r="AH89" s="26"/>
      <c r="AI89" s="27"/>
      <c r="AJ89" s="27"/>
      <c r="AK89" s="27"/>
      <c r="AL89" s="27"/>
      <c r="AM89" s="27"/>
      <c r="AN89" s="27"/>
      <c r="AO89" s="27"/>
      <c r="AP89" s="27"/>
      <c r="AQ89" s="27"/>
      <c r="AR89" s="27"/>
      <c r="AS89" s="27"/>
      <c r="AT89" s="27"/>
      <c r="AU89" s="27"/>
      <c r="AV89" s="27"/>
      <c r="AW89" s="27"/>
    </row>
    <row r="90" spans="1:49" s="47" customFormat="1" ht="35.1" customHeight="1" x14ac:dyDescent="0.25">
      <c r="A90" s="18" t="s">
        <v>201</v>
      </c>
      <c r="B90" s="19">
        <v>46051</v>
      </c>
      <c r="C90" s="19">
        <v>46051</v>
      </c>
      <c r="D90" s="18" t="s">
        <v>207</v>
      </c>
      <c r="E90" s="20">
        <v>0.79166666666666663</v>
      </c>
      <c r="F90" s="20">
        <v>0.83333333333333337</v>
      </c>
      <c r="G90" s="20">
        <v>3.4722222222222218E-4</v>
      </c>
      <c r="H90" s="18" t="s">
        <v>202</v>
      </c>
      <c r="I90" s="21">
        <v>0.79935335648148154</v>
      </c>
      <c r="J90" s="18" t="s">
        <v>132</v>
      </c>
      <c r="K90" s="18" t="s">
        <v>131</v>
      </c>
      <c r="L90" s="22">
        <v>1</v>
      </c>
      <c r="M90" s="22">
        <v>69632</v>
      </c>
      <c r="N90" s="18" t="s">
        <v>53</v>
      </c>
      <c r="O90" s="22" t="s">
        <v>203</v>
      </c>
      <c r="P90" s="23">
        <v>60</v>
      </c>
      <c r="Q90" s="22"/>
      <c r="R90" s="23">
        <v>60</v>
      </c>
      <c r="S90" s="24">
        <v>46051</v>
      </c>
      <c r="T90" s="23">
        <v>9</v>
      </c>
      <c r="U90" s="25">
        <v>4</v>
      </c>
      <c r="V90" s="23">
        <v>51</v>
      </c>
      <c r="W90" s="18" t="s">
        <v>47</v>
      </c>
      <c r="X90" s="18" t="s">
        <v>48</v>
      </c>
      <c r="Y90" s="18" t="s">
        <v>58</v>
      </c>
      <c r="Z90" s="18" t="s">
        <v>9</v>
      </c>
      <c r="AA90" s="18" t="s">
        <v>49</v>
      </c>
      <c r="AB90" s="18" t="s">
        <v>204</v>
      </c>
      <c r="AC90" s="18" t="s">
        <v>38</v>
      </c>
      <c r="AD90" s="7" t="str">
        <f t="shared" si="1"/>
        <v/>
      </c>
      <c r="AE90" s="33"/>
      <c r="AF90" s="33"/>
      <c r="AG90" s="33"/>
      <c r="AH90" s="33"/>
      <c r="AI90" s="30"/>
      <c r="AJ90" s="30"/>
      <c r="AK90" s="30"/>
      <c r="AL90" s="30"/>
      <c r="AM90" s="30"/>
      <c r="AN90" s="30"/>
      <c r="AO90" s="30"/>
      <c r="AP90" s="30"/>
      <c r="AQ90" s="30"/>
      <c r="AR90" s="30"/>
      <c r="AS90" s="30"/>
      <c r="AT90" s="30"/>
      <c r="AU90" s="30"/>
      <c r="AV90" s="30"/>
      <c r="AW90" s="30"/>
    </row>
    <row r="91" spans="1:49" s="47" customFormat="1" ht="35.1" customHeight="1" x14ac:dyDescent="0.25">
      <c r="A91" s="18" t="s">
        <v>127</v>
      </c>
      <c r="B91" s="19">
        <v>46051</v>
      </c>
      <c r="C91" s="19">
        <v>46051</v>
      </c>
      <c r="D91" s="18" t="s">
        <v>207</v>
      </c>
      <c r="E91" s="20">
        <v>0.79166666666666663</v>
      </c>
      <c r="F91" s="20">
        <v>0.83333333333333337</v>
      </c>
      <c r="G91" s="20">
        <v>3.4722222222222218E-4</v>
      </c>
      <c r="H91" s="18" t="s">
        <v>141</v>
      </c>
      <c r="I91" s="21">
        <v>0.79970057870370381</v>
      </c>
      <c r="J91" s="18" t="s">
        <v>132</v>
      </c>
      <c r="K91" s="18" t="s">
        <v>131</v>
      </c>
      <c r="L91" s="22">
        <v>1</v>
      </c>
      <c r="M91" s="22">
        <v>69750</v>
      </c>
      <c r="N91" s="18" t="s">
        <v>53</v>
      </c>
      <c r="O91" s="22" t="s">
        <v>129</v>
      </c>
      <c r="P91" s="23">
        <v>65</v>
      </c>
      <c r="Q91" s="22"/>
      <c r="R91" s="23">
        <v>65</v>
      </c>
      <c r="S91" s="24">
        <v>46054</v>
      </c>
      <c r="T91" s="23">
        <v>9.75</v>
      </c>
      <c r="U91" s="25">
        <v>4</v>
      </c>
      <c r="V91" s="23">
        <v>55.25</v>
      </c>
      <c r="W91" s="18" t="s">
        <v>47</v>
      </c>
      <c r="X91" s="18" t="s">
        <v>48</v>
      </c>
      <c r="Y91" s="18" t="s">
        <v>36</v>
      </c>
      <c r="Z91" s="18" t="s">
        <v>9</v>
      </c>
      <c r="AA91" s="18" t="s">
        <v>49</v>
      </c>
      <c r="AB91" s="18" t="s">
        <v>130</v>
      </c>
      <c r="AC91" s="18" t="s">
        <v>38</v>
      </c>
      <c r="AD91" s="7" t="str">
        <f t="shared" si="1"/>
        <v/>
      </c>
      <c r="AE91" s="33"/>
      <c r="AF91" s="33"/>
      <c r="AG91" s="33"/>
      <c r="AH91" s="33"/>
      <c r="AI91" s="30"/>
      <c r="AJ91" s="30"/>
      <c r="AK91" s="30"/>
      <c r="AL91" s="30"/>
      <c r="AM91" s="30"/>
      <c r="AN91" s="30"/>
      <c r="AO91" s="30"/>
      <c r="AP91" s="30"/>
      <c r="AQ91" s="30"/>
      <c r="AR91" s="30"/>
      <c r="AS91" s="30"/>
      <c r="AT91" s="30"/>
      <c r="AU91" s="30"/>
      <c r="AV91" s="30"/>
      <c r="AW91" s="30"/>
    </row>
    <row r="92" spans="1:49" s="47" customFormat="1" ht="35.1" customHeight="1" x14ac:dyDescent="0.25">
      <c r="A92" s="18" t="s">
        <v>44</v>
      </c>
      <c r="B92" s="19">
        <v>46051</v>
      </c>
      <c r="C92" s="19">
        <v>46051</v>
      </c>
      <c r="D92" s="18" t="s">
        <v>207</v>
      </c>
      <c r="E92" s="20">
        <v>0.79166666666666663</v>
      </c>
      <c r="F92" s="20">
        <v>0.83333333333333337</v>
      </c>
      <c r="G92" s="20">
        <v>3.4722222222222218E-4</v>
      </c>
      <c r="H92" s="18" t="s">
        <v>45</v>
      </c>
      <c r="I92" s="21">
        <v>0.80004803240740729</v>
      </c>
      <c r="J92" s="18" t="s">
        <v>132</v>
      </c>
      <c r="K92" s="18" t="s">
        <v>131</v>
      </c>
      <c r="L92" s="22">
        <v>1</v>
      </c>
      <c r="M92" s="22">
        <v>70979</v>
      </c>
      <c r="N92" s="18" t="s">
        <v>53</v>
      </c>
      <c r="O92" s="22" t="str">
        <f>AC92</f>
        <v>CVC</v>
      </c>
      <c r="P92" s="23">
        <v>58.82</v>
      </c>
      <c r="Q92" s="22"/>
      <c r="R92" s="23">
        <v>58.82</v>
      </c>
      <c r="S92" s="24">
        <v>46054</v>
      </c>
      <c r="T92" s="23">
        <v>4.4115000000000002</v>
      </c>
      <c r="U92" s="25">
        <v>4</v>
      </c>
      <c r="V92" s="23">
        <v>54.408500000000004</v>
      </c>
      <c r="W92" s="18" t="s">
        <v>47</v>
      </c>
      <c r="X92" s="18" t="s">
        <v>48</v>
      </c>
      <c r="Y92" s="18" t="s">
        <v>36</v>
      </c>
      <c r="Z92" s="18" t="s">
        <v>9</v>
      </c>
      <c r="AA92" s="18" t="s">
        <v>49</v>
      </c>
      <c r="AB92" s="18" t="s">
        <v>50</v>
      </c>
      <c r="AC92" s="18" t="s">
        <v>38</v>
      </c>
      <c r="AD92" s="7" t="str">
        <f t="shared" si="1"/>
        <v/>
      </c>
      <c r="AE92" s="33"/>
      <c r="AF92" s="33"/>
      <c r="AG92" s="33"/>
      <c r="AH92" s="33"/>
      <c r="AI92" s="30"/>
      <c r="AJ92" s="30"/>
      <c r="AK92" s="30"/>
      <c r="AL92" s="30"/>
      <c r="AM92" s="30"/>
      <c r="AN92" s="30"/>
      <c r="AO92" s="30"/>
      <c r="AP92" s="30"/>
      <c r="AQ92" s="30"/>
      <c r="AR92" s="30"/>
      <c r="AS92" s="30"/>
      <c r="AT92" s="30"/>
      <c r="AU92" s="30"/>
      <c r="AV92" s="30"/>
      <c r="AW92" s="30"/>
    </row>
    <row r="93" spans="1:49" s="47" customFormat="1" ht="35.1" customHeight="1" x14ac:dyDescent="0.25">
      <c r="A93" s="18" t="s">
        <v>159</v>
      </c>
      <c r="B93" s="19">
        <v>46051</v>
      </c>
      <c r="C93" s="19">
        <v>46051</v>
      </c>
      <c r="D93" s="18" t="s">
        <v>207</v>
      </c>
      <c r="E93" s="20">
        <v>0.25</v>
      </c>
      <c r="F93" s="20">
        <v>0.875</v>
      </c>
      <c r="G93" s="28">
        <v>1.7361111111111109E-4</v>
      </c>
      <c r="H93" s="29" t="s">
        <v>164</v>
      </c>
      <c r="I93" s="21">
        <v>0.80677291666666662</v>
      </c>
      <c r="J93" s="18" t="s">
        <v>41</v>
      </c>
      <c r="K93" s="18" t="s">
        <v>131</v>
      </c>
      <c r="L93" s="22">
        <v>1</v>
      </c>
      <c r="M93" s="22">
        <v>71098</v>
      </c>
      <c r="N93" s="18" t="s">
        <v>53</v>
      </c>
      <c r="O93" s="22" t="s">
        <v>161</v>
      </c>
      <c r="P93" s="23">
        <v>15</v>
      </c>
      <c r="Q93" s="22"/>
      <c r="R93" s="23">
        <v>15</v>
      </c>
      <c r="S93" s="24">
        <v>46054</v>
      </c>
      <c r="T93" s="23">
        <v>2.25</v>
      </c>
      <c r="U93" s="25">
        <v>4</v>
      </c>
      <c r="V93" s="23">
        <v>12.75</v>
      </c>
      <c r="W93" s="18" t="s">
        <v>47</v>
      </c>
      <c r="X93" s="18" t="s">
        <v>48</v>
      </c>
      <c r="Y93" s="18" t="s">
        <v>36</v>
      </c>
      <c r="Z93" s="18" t="s">
        <v>9</v>
      </c>
      <c r="AA93" s="18" t="s">
        <v>49</v>
      </c>
      <c r="AB93" s="18" t="s">
        <v>162</v>
      </c>
      <c r="AC93" s="18" t="s">
        <v>38</v>
      </c>
      <c r="AD93" s="7" t="str">
        <f t="shared" si="1"/>
        <v/>
      </c>
      <c r="AE93" s="33"/>
      <c r="AF93" s="33"/>
      <c r="AG93" s="33"/>
      <c r="AH93" s="33"/>
      <c r="AI93" s="30"/>
      <c r="AJ93" s="30"/>
      <c r="AK93" s="30"/>
      <c r="AL93" s="30"/>
      <c r="AM93" s="30"/>
      <c r="AN93" s="30"/>
      <c r="AO93" s="30"/>
      <c r="AP93" s="30"/>
      <c r="AQ93" s="30"/>
      <c r="AR93" s="30"/>
      <c r="AS93" s="30"/>
      <c r="AT93" s="30"/>
      <c r="AU93" s="30"/>
      <c r="AV93" s="30"/>
      <c r="AW93" s="30"/>
    </row>
    <row r="94" spans="1:49" s="47" customFormat="1" ht="35.1" customHeight="1" x14ac:dyDescent="0.25">
      <c r="A94" s="18" t="s">
        <v>159</v>
      </c>
      <c r="B94" s="19">
        <v>46051</v>
      </c>
      <c r="C94" s="19">
        <v>46051</v>
      </c>
      <c r="D94" s="18" t="s">
        <v>207</v>
      </c>
      <c r="E94" s="20">
        <v>0.25</v>
      </c>
      <c r="F94" s="20">
        <v>0.875</v>
      </c>
      <c r="G94" s="28">
        <v>1.7361111111111109E-4</v>
      </c>
      <c r="H94" s="29" t="s">
        <v>165</v>
      </c>
      <c r="I94" s="21">
        <v>0.80781493055555564</v>
      </c>
      <c r="J94" s="18" t="s">
        <v>41</v>
      </c>
      <c r="K94" s="18" t="s">
        <v>131</v>
      </c>
      <c r="L94" s="22">
        <v>1</v>
      </c>
      <c r="M94" s="22">
        <v>71098</v>
      </c>
      <c r="N94" s="18" t="s">
        <v>53</v>
      </c>
      <c r="O94" s="22" t="s">
        <v>161</v>
      </c>
      <c r="P94" s="23">
        <v>15</v>
      </c>
      <c r="Q94" s="22"/>
      <c r="R94" s="23">
        <v>15</v>
      </c>
      <c r="S94" s="24">
        <v>46054</v>
      </c>
      <c r="T94" s="23">
        <v>2.25</v>
      </c>
      <c r="U94" s="25">
        <v>4</v>
      </c>
      <c r="V94" s="23">
        <v>12.75</v>
      </c>
      <c r="W94" s="18" t="s">
        <v>47</v>
      </c>
      <c r="X94" s="18" t="s">
        <v>48</v>
      </c>
      <c r="Y94" s="18" t="s">
        <v>36</v>
      </c>
      <c r="Z94" s="18" t="s">
        <v>9</v>
      </c>
      <c r="AA94" s="18" t="s">
        <v>49</v>
      </c>
      <c r="AB94" s="18" t="s">
        <v>162</v>
      </c>
      <c r="AC94" s="18" t="s">
        <v>38</v>
      </c>
      <c r="AD94" s="7" t="str">
        <f t="shared" si="1"/>
        <v/>
      </c>
      <c r="AE94" s="33"/>
      <c r="AF94" s="33"/>
      <c r="AG94" s="33"/>
      <c r="AH94" s="33"/>
      <c r="AI94" s="30"/>
      <c r="AJ94" s="30"/>
      <c r="AK94" s="30"/>
      <c r="AL94" s="30"/>
      <c r="AM94" s="30"/>
      <c r="AN94" s="30"/>
      <c r="AO94" s="30"/>
      <c r="AP94" s="30"/>
      <c r="AQ94" s="30"/>
      <c r="AR94" s="30"/>
      <c r="AS94" s="30"/>
      <c r="AT94" s="30"/>
      <c r="AU94" s="30"/>
      <c r="AV94" s="30"/>
      <c r="AW94" s="30"/>
    </row>
    <row r="95" spans="1:49" s="47" customFormat="1" ht="35.1" customHeight="1" x14ac:dyDescent="0.25">
      <c r="A95" s="18" t="s">
        <v>78</v>
      </c>
      <c r="B95" s="19">
        <v>46051</v>
      </c>
      <c r="C95" s="19">
        <v>46051</v>
      </c>
      <c r="D95" s="18" t="s">
        <v>207</v>
      </c>
      <c r="E95" s="20">
        <v>0.79166666666666663</v>
      </c>
      <c r="F95" s="20">
        <v>0.99930555555555556</v>
      </c>
      <c r="G95" s="20">
        <v>1.7361111111111109E-4</v>
      </c>
      <c r="H95" s="18" t="s">
        <v>140</v>
      </c>
      <c r="I95" s="21">
        <v>0.80694675925925918</v>
      </c>
      <c r="J95" s="18" t="s">
        <v>132</v>
      </c>
      <c r="K95" s="18" t="s">
        <v>131</v>
      </c>
      <c r="L95" s="22">
        <v>1</v>
      </c>
      <c r="M95" s="22">
        <v>64941</v>
      </c>
      <c r="N95" s="18" t="s">
        <v>53</v>
      </c>
      <c r="O95" s="22"/>
      <c r="P95" s="23">
        <v>50</v>
      </c>
      <c r="Q95" s="22"/>
      <c r="R95" s="23">
        <v>50</v>
      </c>
      <c r="S95" s="24">
        <v>46054</v>
      </c>
      <c r="T95" s="23">
        <v>0</v>
      </c>
      <c r="U95" s="25">
        <v>4</v>
      </c>
      <c r="V95" s="23">
        <v>50</v>
      </c>
      <c r="W95" s="18" t="s">
        <v>47</v>
      </c>
      <c r="X95" s="18" t="s">
        <v>48</v>
      </c>
      <c r="Y95" s="18" t="s">
        <v>36</v>
      </c>
      <c r="Z95" s="18" t="s">
        <v>9</v>
      </c>
      <c r="AA95" s="18" t="s">
        <v>49</v>
      </c>
      <c r="AB95" s="18" t="s">
        <v>134</v>
      </c>
      <c r="AC95" s="18" t="s">
        <v>38</v>
      </c>
      <c r="AD95" s="7" t="str">
        <f t="shared" si="1"/>
        <v/>
      </c>
      <c r="AE95" s="26"/>
      <c r="AF95" s="26"/>
      <c r="AG95" s="26"/>
      <c r="AH95" s="26"/>
      <c r="AI95" s="27"/>
      <c r="AJ95" s="27"/>
      <c r="AK95" s="27"/>
      <c r="AL95" s="27"/>
      <c r="AM95" s="27"/>
      <c r="AN95" s="27"/>
      <c r="AO95" s="27"/>
      <c r="AP95" s="27"/>
      <c r="AQ95" s="27"/>
      <c r="AR95" s="27"/>
      <c r="AS95" s="27"/>
      <c r="AT95" s="27"/>
      <c r="AU95" s="27"/>
      <c r="AV95" s="27"/>
      <c r="AW95" s="27"/>
    </row>
    <row r="96" spans="1:49" s="47" customFormat="1" ht="35.1" customHeight="1" x14ac:dyDescent="0.25">
      <c r="A96" s="18" t="s">
        <v>93</v>
      </c>
      <c r="B96" s="19">
        <v>46051</v>
      </c>
      <c r="C96" s="19">
        <v>46051</v>
      </c>
      <c r="D96" s="18" t="s">
        <v>207</v>
      </c>
      <c r="E96" s="20">
        <v>0.79166666666666663</v>
      </c>
      <c r="F96" s="20">
        <v>0.99930555555555556</v>
      </c>
      <c r="G96" s="28">
        <v>1.7361111111111109E-4</v>
      </c>
      <c r="H96" s="29" t="s">
        <v>190</v>
      </c>
      <c r="I96" s="21">
        <v>0.81172523148148146</v>
      </c>
      <c r="J96" s="18" t="s">
        <v>136</v>
      </c>
      <c r="K96" s="18" t="s">
        <v>131</v>
      </c>
      <c r="L96" s="22">
        <v>1</v>
      </c>
      <c r="M96" s="22">
        <v>69567</v>
      </c>
      <c r="N96" s="18" t="s">
        <v>46</v>
      </c>
      <c r="O96" s="22" t="s">
        <v>137</v>
      </c>
      <c r="P96" s="23">
        <v>0</v>
      </c>
      <c r="Q96" s="22"/>
      <c r="R96" s="23">
        <v>0</v>
      </c>
      <c r="S96" s="24">
        <v>46054</v>
      </c>
      <c r="T96" s="23">
        <v>0</v>
      </c>
      <c r="U96" s="25">
        <v>4</v>
      </c>
      <c r="V96" s="23">
        <v>0</v>
      </c>
      <c r="W96" s="18" t="s">
        <v>47</v>
      </c>
      <c r="X96" s="18" t="s">
        <v>48</v>
      </c>
      <c r="Y96" s="18" t="s">
        <v>36</v>
      </c>
      <c r="Z96" s="18" t="s">
        <v>9</v>
      </c>
      <c r="AA96" s="18" t="s">
        <v>49</v>
      </c>
      <c r="AB96" s="18" t="s">
        <v>138</v>
      </c>
      <c r="AC96" s="18" t="s">
        <v>38</v>
      </c>
      <c r="AD96" s="7" t="str">
        <f t="shared" si="1"/>
        <v/>
      </c>
      <c r="AE96" s="26"/>
      <c r="AF96" s="26"/>
      <c r="AG96" s="26"/>
      <c r="AH96" s="26"/>
      <c r="AI96" s="27"/>
      <c r="AJ96" s="27"/>
      <c r="AK96" s="27"/>
      <c r="AL96" s="27"/>
      <c r="AM96" s="27"/>
      <c r="AN96" s="27"/>
      <c r="AO96" s="27"/>
      <c r="AP96" s="27"/>
      <c r="AQ96" s="27"/>
      <c r="AR96" s="27"/>
      <c r="AS96" s="27"/>
      <c r="AT96" s="27"/>
      <c r="AU96" s="27"/>
      <c r="AV96" s="27"/>
      <c r="AW96" s="27"/>
    </row>
    <row r="97" spans="1:49" s="47" customFormat="1" ht="35.1" customHeight="1" x14ac:dyDescent="0.2">
      <c r="A97" s="18" t="s">
        <v>93</v>
      </c>
      <c r="B97" s="19">
        <v>46051</v>
      </c>
      <c r="C97" s="19">
        <v>46051</v>
      </c>
      <c r="D97" s="18" t="s">
        <v>207</v>
      </c>
      <c r="E97" s="20">
        <v>0.79166666666666663</v>
      </c>
      <c r="F97" s="20">
        <v>0.99930555555555556</v>
      </c>
      <c r="G97" s="28">
        <v>1.7361111111111109E-4</v>
      </c>
      <c r="H97" s="29" t="s">
        <v>191</v>
      </c>
      <c r="I97" s="21">
        <v>0.8122462962962963</v>
      </c>
      <c r="J97" s="18" t="s">
        <v>136</v>
      </c>
      <c r="K97" s="18" t="s">
        <v>131</v>
      </c>
      <c r="L97" s="22">
        <v>1</v>
      </c>
      <c r="M97" s="22">
        <v>69567</v>
      </c>
      <c r="N97" s="18" t="s">
        <v>46</v>
      </c>
      <c r="O97" s="22" t="s">
        <v>137</v>
      </c>
      <c r="P97" s="23">
        <v>0</v>
      </c>
      <c r="Q97" s="22"/>
      <c r="R97" s="23">
        <v>0</v>
      </c>
      <c r="S97" s="24">
        <v>46054</v>
      </c>
      <c r="T97" s="23">
        <v>0</v>
      </c>
      <c r="U97" s="25">
        <v>4</v>
      </c>
      <c r="V97" s="23">
        <v>0</v>
      </c>
      <c r="W97" s="18" t="s">
        <v>47</v>
      </c>
      <c r="X97" s="18" t="s">
        <v>48</v>
      </c>
      <c r="Y97" s="18" t="s">
        <v>36</v>
      </c>
      <c r="Z97" s="18" t="s">
        <v>9</v>
      </c>
      <c r="AA97" s="18" t="s">
        <v>49</v>
      </c>
      <c r="AB97" s="18" t="s">
        <v>138</v>
      </c>
      <c r="AC97" s="18" t="s">
        <v>38</v>
      </c>
      <c r="AD97" s="7" t="str">
        <f t="shared" si="1"/>
        <v/>
      </c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</row>
    <row r="98" spans="1:49" s="47" customFormat="1" ht="35.1" customHeight="1" x14ac:dyDescent="0.2">
      <c r="A98" s="18" t="s">
        <v>44</v>
      </c>
      <c r="B98" s="19">
        <v>46051</v>
      </c>
      <c r="C98" s="19">
        <v>46051</v>
      </c>
      <c r="D98" s="18" t="s">
        <v>207</v>
      </c>
      <c r="E98" s="20">
        <v>0.25</v>
      </c>
      <c r="F98" s="20">
        <v>0.99930555555555556</v>
      </c>
      <c r="G98" s="20">
        <v>3.4722222222222218E-4</v>
      </c>
      <c r="H98" s="18" t="s">
        <v>45</v>
      </c>
      <c r="I98" s="21">
        <v>0.81189907407407413</v>
      </c>
      <c r="J98" s="18" t="s">
        <v>41</v>
      </c>
      <c r="K98" s="18" t="s">
        <v>131</v>
      </c>
      <c r="L98" s="22">
        <v>1</v>
      </c>
      <c r="M98" s="22">
        <v>70983</v>
      </c>
      <c r="N98" s="18" t="s">
        <v>46</v>
      </c>
      <c r="O98" s="22" t="str">
        <f>AC98</f>
        <v>CVC</v>
      </c>
      <c r="P98" s="23">
        <v>0</v>
      </c>
      <c r="Q98" s="22"/>
      <c r="R98" s="23">
        <v>0</v>
      </c>
      <c r="S98" s="24">
        <v>46054</v>
      </c>
      <c r="T98" s="23">
        <v>0</v>
      </c>
      <c r="U98" s="25">
        <v>4</v>
      </c>
      <c r="V98" s="23">
        <v>0</v>
      </c>
      <c r="W98" s="18" t="s">
        <v>47</v>
      </c>
      <c r="X98" s="18" t="s">
        <v>48</v>
      </c>
      <c r="Y98" s="18" t="s">
        <v>36</v>
      </c>
      <c r="Z98" s="18" t="s">
        <v>9</v>
      </c>
      <c r="AA98" s="18" t="s">
        <v>49</v>
      </c>
      <c r="AB98" s="18" t="s">
        <v>50</v>
      </c>
      <c r="AC98" s="18" t="s">
        <v>38</v>
      </c>
      <c r="AD98" s="7" t="str">
        <f t="shared" si="1"/>
        <v/>
      </c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</row>
    <row r="99" spans="1:49" s="47" customFormat="1" ht="35.1" customHeight="1" x14ac:dyDescent="0.25">
      <c r="A99" s="9" t="s">
        <v>39</v>
      </c>
      <c r="B99" s="10">
        <v>46051</v>
      </c>
      <c r="C99" s="10">
        <v>46051</v>
      </c>
      <c r="D99" s="11" t="s">
        <v>207</v>
      </c>
      <c r="E99" s="12">
        <v>0.8125</v>
      </c>
      <c r="F99" s="12">
        <v>0.83333333333333337</v>
      </c>
      <c r="G99" s="12">
        <v>2.0833333333333332E-2</v>
      </c>
      <c r="H99" s="9" t="s">
        <v>214</v>
      </c>
      <c r="I99" s="13"/>
      <c r="J99" s="9" t="s">
        <v>132</v>
      </c>
      <c r="K99" s="9"/>
      <c r="L99" s="14">
        <v>1</v>
      </c>
      <c r="M99" s="14">
        <v>1</v>
      </c>
      <c r="N99" s="9" t="s">
        <v>33</v>
      </c>
      <c r="O99" s="9"/>
      <c r="P99" s="16">
        <v>0</v>
      </c>
      <c r="Q99" s="14"/>
      <c r="R99" s="16">
        <v>0</v>
      </c>
      <c r="S99" s="9">
        <v>46054</v>
      </c>
      <c r="T99" s="16">
        <v>0</v>
      </c>
      <c r="U99" s="14">
        <v>2</v>
      </c>
      <c r="V99" s="16">
        <v>0</v>
      </c>
      <c r="W99" s="9" t="s">
        <v>34</v>
      </c>
      <c r="X99" s="9" t="s">
        <v>42</v>
      </c>
      <c r="Y99" s="9" t="s">
        <v>36</v>
      </c>
      <c r="Z99" s="9" t="s">
        <v>43</v>
      </c>
      <c r="AA99" s="9" t="s">
        <v>37</v>
      </c>
      <c r="AB99" s="9" t="s">
        <v>37</v>
      </c>
      <c r="AC99" s="9" t="s">
        <v>38</v>
      </c>
      <c r="AD99" s="7" t="str">
        <f t="shared" si="1"/>
        <v/>
      </c>
      <c r="AE99" s="26"/>
      <c r="AF99" s="26"/>
      <c r="AG99" s="26"/>
      <c r="AH99" s="26"/>
      <c r="AI99" s="27"/>
      <c r="AJ99" s="27"/>
      <c r="AK99" s="27"/>
      <c r="AL99" s="27"/>
      <c r="AM99" s="27"/>
      <c r="AN99" s="27"/>
      <c r="AO99" s="27"/>
      <c r="AP99" s="27"/>
      <c r="AQ99" s="27"/>
      <c r="AR99" s="27"/>
      <c r="AS99" s="27"/>
      <c r="AT99" s="27"/>
      <c r="AU99" s="27"/>
      <c r="AV99" s="27"/>
      <c r="AW99" s="27"/>
    </row>
    <row r="100" spans="1:49" s="47" customFormat="1" ht="35.1" customHeight="1" x14ac:dyDescent="0.25">
      <c r="A100" s="18" t="s">
        <v>93</v>
      </c>
      <c r="B100" s="19">
        <v>46051</v>
      </c>
      <c r="C100" s="19">
        <v>46051</v>
      </c>
      <c r="D100" s="18" t="s">
        <v>207</v>
      </c>
      <c r="E100" s="20">
        <v>0.79166666666666663</v>
      </c>
      <c r="F100" s="20">
        <v>0.99930555555555556</v>
      </c>
      <c r="G100" s="28">
        <v>1.7361111111111109E-4</v>
      </c>
      <c r="H100" s="29" t="s">
        <v>190</v>
      </c>
      <c r="I100" s="21">
        <v>0.83212141203703693</v>
      </c>
      <c r="J100" s="18" t="s">
        <v>136</v>
      </c>
      <c r="K100" s="18" t="s">
        <v>214</v>
      </c>
      <c r="L100" s="22">
        <v>1</v>
      </c>
      <c r="M100" s="22">
        <v>69567</v>
      </c>
      <c r="N100" s="18" t="s">
        <v>46</v>
      </c>
      <c r="O100" s="22" t="s">
        <v>137</v>
      </c>
      <c r="P100" s="23">
        <v>0</v>
      </c>
      <c r="Q100" s="22"/>
      <c r="R100" s="23">
        <v>0</v>
      </c>
      <c r="S100" s="24">
        <v>46054</v>
      </c>
      <c r="T100" s="23">
        <v>0</v>
      </c>
      <c r="U100" s="25">
        <v>4</v>
      </c>
      <c r="V100" s="23">
        <v>0</v>
      </c>
      <c r="W100" s="18" t="s">
        <v>47</v>
      </c>
      <c r="X100" s="18" t="s">
        <v>48</v>
      </c>
      <c r="Y100" s="18" t="s">
        <v>36</v>
      </c>
      <c r="Z100" s="18" t="s">
        <v>9</v>
      </c>
      <c r="AA100" s="18" t="s">
        <v>49</v>
      </c>
      <c r="AB100" s="18" t="s">
        <v>138</v>
      </c>
      <c r="AC100" s="18" t="s">
        <v>38</v>
      </c>
      <c r="AD100" s="7" t="str">
        <f t="shared" si="1"/>
        <v/>
      </c>
      <c r="AE100" s="17"/>
      <c r="AF100" s="17"/>
      <c r="AG100" s="17"/>
      <c r="AH100" s="17"/>
      <c r="AI100" s="30"/>
      <c r="AJ100" s="30"/>
      <c r="AK100" s="30"/>
      <c r="AL100" s="30"/>
      <c r="AM100" s="30"/>
      <c r="AN100" s="30"/>
      <c r="AO100" s="30"/>
      <c r="AP100" s="30"/>
      <c r="AQ100" s="30"/>
      <c r="AR100" s="30"/>
      <c r="AS100" s="30"/>
      <c r="AT100" s="30"/>
      <c r="AU100" s="30"/>
      <c r="AV100" s="30"/>
      <c r="AW100" s="30"/>
    </row>
    <row r="101" spans="1:49" s="47" customFormat="1" ht="35.1" customHeight="1" x14ac:dyDescent="0.25">
      <c r="A101" s="18" t="s">
        <v>93</v>
      </c>
      <c r="B101" s="19">
        <v>46051</v>
      </c>
      <c r="C101" s="19">
        <v>46051</v>
      </c>
      <c r="D101" s="18" t="s">
        <v>207</v>
      </c>
      <c r="E101" s="20">
        <v>0.79166666666666663</v>
      </c>
      <c r="F101" s="20">
        <v>0.99930555555555556</v>
      </c>
      <c r="G101" s="28">
        <v>1.7361111111111109E-4</v>
      </c>
      <c r="H101" s="29" t="s">
        <v>191</v>
      </c>
      <c r="I101" s="21">
        <v>0.8329978009259259</v>
      </c>
      <c r="J101" s="18" t="s">
        <v>136</v>
      </c>
      <c r="K101" s="18" t="s">
        <v>214</v>
      </c>
      <c r="L101" s="22">
        <v>1</v>
      </c>
      <c r="M101" s="22">
        <v>69567</v>
      </c>
      <c r="N101" s="18" t="s">
        <v>46</v>
      </c>
      <c r="O101" s="22" t="s">
        <v>137</v>
      </c>
      <c r="P101" s="23">
        <v>0</v>
      </c>
      <c r="Q101" s="22"/>
      <c r="R101" s="23">
        <v>0</v>
      </c>
      <c r="S101" s="24">
        <v>46054</v>
      </c>
      <c r="T101" s="23">
        <v>0</v>
      </c>
      <c r="U101" s="25">
        <v>4</v>
      </c>
      <c r="V101" s="23">
        <v>0</v>
      </c>
      <c r="W101" s="18" t="s">
        <v>47</v>
      </c>
      <c r="X101" s="18" t="s">
        <v>48</v>
      </c>
      <c r="Y101" s="18" t="s">
        <v>36</v>
      </c>
      <c r="Z101" s="18" t="s">
        <v>9</v>
      </c>
      <c r="AA101" s="18" t="s">
        <v>49</v>
      </c>
      <c r="AB101" s="18" t="s">
        <v>138</v>
      </c>
      <c r="AC101" s="18" t="s">
        <v>38</v>
      </c>
      <c r="AD101" s="7" t="str">
        <f t="shared" si="1"/>
        <v/>
      </c>
      <c r="AE101" s="26"/>
      <c r="AF101" s="26"/>
      <c r="AG101" s="26"/>
      <c r="AH101" s="26"/>
      <c r="AI101" s="26"/>
      <c r="AJ101" s="26"/>
      <c r="AK101" s="26"/>
      <c r="AL101" s="26"/>
      <c r="AM101" s="26"/>
      <c r="AN101" s="26"/>
      <c r="AO101" s="26"/>
      <c r="AP101" s="26"/>
      <c r="AQ101" s="26"/>
      <c r="AR101" s="26"/>
      <c r="AS101" s="26"/>
      <c r="AT101" s="26"/>
      <c r="AU101" s="26"/>
      <c r="AV101" s="26"/>
      <c r="AW101" s="26"/>
    </row>
    <row r="102" spans="1:49" s="47" customFormat="1" ht="35.1" customHeight="1" x14ac:dyDescent="0.25">
      <c r="A102" s="18" t="s">
        <v>78</v>
      </c>
      <c r="B102" s="19">
        <v>46051</v>
      </c>
      <c r="C102" s="19">
        <v>46051</v>
      </c>
      <c r="D102" s="18" t="s">
        <v>207</v>
      </c>
      <c r="E102" s="20">
        <v>0.79166666666666663</v>
      </c>
      <c r="F102" s="20">
        <v>0.99930555555555556</v>
      </c>
      <c r="G102" s="20">
        <v>3.4722222222222218E-4</v>
      </c>
      <c r="H102" s="18" t="s">
        <v>133</v>
      </c>
      <c r="I102" s="21">
        <v>0.83246863425925921</v>
      </c>
      <c r="J102" s="18" t="s">
        <v>132</v>
      </c>
      <c r="K102" s="18" t="s">
        <v>214</v>
      </c>
      <c r="L102" s="22">
        <v>1</v>
      </c>
      <c r="M102" s="22">
        <v>64932</v>
      </c>
      <c r="N102" s="18" t="s">
        <v>53</v>
      </c>
      <c r="O102" s="22"/>
      <c r="P102" s="23">
        <v>30</v>
      </c>
      <c r="Q102" s="22"/>
      <c r="R102" s="23">
        <v>30</v>
      </c>
      <c r="S102" s="24">
        <v>46054</v>
      </c>
      <c r="T102" s="23">
        <v>0</v>
      </c>
      <c r="U102" s="25">
        <v>4</v>
      </c>
      <c r="V102" s="23">
        <v>30</v>
      </c>
      <c r="W102" s="18" t="s">
        <v>47</v>
      </c>
      <c r="X102" s="18" t="s">
        <v>48</v>
      </c>
      <c r="Y102" s="18" t="s">
        <v>36</v>
      </c>
      <c r="Z102" s="18" t="s">
        <v>9</v>
      </c>
      <c r="AA102" s="18" t="s">
        <v>49</v>
      </c>
      <c r="AB102" s="18" t="s">
        <v>134</v>
      </c>
      <c r="AC102" s="18" t="s">
        <v>38</v>
      </c>
      <c r="AD102" s="7" t="str">
        <f t="shared" si="1"/>
        <v/>
      </c>
      <c r="AE102" s="26"/>
      <c r="AF102" s="26"/>
      <c r="AG102" s="26"/>
      <c r="AH102" s="26"/>
      <c r="AI102" s="26"/>
      <c r="AJ102" s="26"/>
      <c r="AK102" s="26"/>
      <c r="AL102" s="26"/>
      <c r="AM102" s="26"/>
      <c r="AN102" s="26"/>
      <c r="AO102" s="26"/>
      <c r="AP102" s="26"/>
      <c r="AQ102" s="26"/>
      <c r="AR102" s="26"/>
      <c r="AS102" s="26"/>
      <c r="AT102" s="26"/>
      <c r="AU102" s="26"/>
      <c r="AV102" s="26"/>
      <c r="AW102" s="26"/>
    </row>
    <row r="103" spans="1:49" s="47" customFormat="1" ht="35.1" customHeight="1" x14ac:dyDescent="0.2">
      <c r="A103" s="9" t="s">
        <v>144</v>
      </c>
      <c r="B103" s="10">
        <v>46051</v>
      </c>
      <c r="C103" s="10">
        <v>46051</v>
      </c>
      <c r="D103" s="11" t="s">
        <v>207</v>
      </c>
      <c r="E103" s="12">
        <v>0.83333333333333337</v>
      </c>
      <c r="F103" s="12">
        <v>0.875</v>
      </c>
      <c r="G103" s="12">
        <v>4.1666666666666664E-2</v>
      </c>
      <c r="H103" s="9" t="s">
        <v>145</v>
      </c>
      <c r="I103" s="13"/>
      <c r="J103" s="9" t="s">
        <v>41</v>
      </c>
      <c r="K103" s="9"/>
      <c r="L103" s="14">
        <v>1</v>
      </c>
      <c r="M103" s="14">
        <v>1</v>
      </c>
      <c r="N103" s="9" t="s">
        <v>33</v>
      </c>
      <c r="O103" s="9"/>
      <c r="P103" s="16">
        <v>0</v>
      </c>
      <c r="Q103" s="14"/>
      <c r="R103" s="16">
        <v>0</v>
      </c>
      <c r="S103" s="9">
        <v>46054</v>
      </c>
      <c r="T103" s="16">
        <v>0</v>
      </c>
      <c r="U103" s="14">
        <v>2</v>
      </c>
      <c r="V103" s="16">
        <v>0</v>
      </c>
      <c r="W103" s="9" t="s">
        <v>34</v>
      </c>
      <c r="X103" s="9" t="s">
        <v>42</v>
      </c>
      <c r="Y103" s="9" t="s">
        <v>36</v>
      </c>
      <c r="Z103" s="9" t="s">
        <v>43</v>
      </c>
      <c r="AA103" s="9" t="s">
        <v>37</v>
      </c>
      <c r="AB103" s="9" t="s">
        <v>37</v>
      </c>
      <c r="AC103" s="9" t="s">
        <v>38</v>
      </c>
      <c r="AD103" s="7" t="str">
        <f t="shared" si="1"/>
        <v/>
      </c>
      <c r="AE103" s="9"/>
      <c r="AF103" s="9"/>
      <c r="AG103" s="9"/>
      <c r="AH103" s="9"/>
      <c r="AI103" s="9"/>
      <c r="AJ103" s="9"/>
      <c r="AK103" s="9"/>
      <c r="AL103" s="9"/>
      <c r="AM103" s="9"/>
      <c r="AN103" s="9"/>
      <c r="AO103" s="9"/>
      <c r="AP103" s="9"/>
      <c r="AQ103" s="9"/>
      <c r="AR103" s="9"/>
      <c r="AS103" s="9"/>
      <c r="AT103" s="9"/>
      <c r="AU103" s="9"/>
      <c r="AV103" s="9"/>
      <c r="AW103" s="9"/>
    </row>
    <row r="104" spans="1:49" s="47" customFormat="1" ht="35.1" customHeight="1" x14ac:dyDescent="0.25">
      <c r="A104" s="18" t="s">
        <v>93</v>
      </c>
      <c r="B104" s="19">
        <v>46051</v>
      </c>
      <c r="C104" s="19">
        <v>46051</v>
      </c>
      <c r="D104" s="18" t="s">
        <v>207</v>
      </c>
      <c r="E104" s="20">
        <v>0.79166666666666663</v>
      </c>
      <c r="F104" s="20">
        <v>0.99930555555555556</v>
      </c>
      <c r="G104" s="28">
        <v>1.7361111111111109E-4</v>
      </c>
      <c r="H104" s="29" t="s">
        <v>135</v>
      </c>
      <c r="I104" s="21">
        <v>0.84502581018518519</v>
      </c>
      <c r="J104" s="18" t="s">
        <v>136</v>
      </c>
      <c r="K104" s="18" t="s">
        <v>157</v>
      </c>
      <c r="L104" s="22">
        <v>1</v>
      </c>
      <c r="M104" s="22">
        <v>69566</v>
      </c>
      <c r="N104" s="18" t="s">
        <v>53</v>
      </c>
      <c r="O104" s="22" t="s">
        <v>137</v>
      </c>
      <c r="P104" s="23">
        <v>0</v>
      </c>
      <c r="Q104" s="22"/>
      <c r="R104" s="23">
        <v>16.531831119544499</v>
      </c>
      <c r="S104" s="24">
        <v>46054</v>
      </c>
      <c r="T104" s="23">
        <v>0</v>
      </c>
      <c r="U104" s="25">
        <v>4</v>
      </c>
      <c r="V104" s="23">
        <v>0</v>
      </c>
      <c r="W104" s="18" t="s">
        <v>47</v>
      </c>
      <c r="X104" s="18" t="s">
        <v>48</v>
      </c>
      <c r="Y104" s="18" t="s">
        <v>36</v>
      </c>
      <c r="Z104" s="18" t="s">
        <v>9</v>
      </c>
      <c r="AA104" s="18" t="s">
        <v>49</v>
      </c>
      <c r="AB104" s="18" t="s">
        <v>138</v>
      </c>
      <c r="AC104" s="18" t="s">
        <v>38</v>
      </c>
      <c r="AD104" s="7" t="str">
        <f t="shared" si="1"/>
        <v/>
      </c>
      <c r="AE104" s="34"/>
      <c r="AF104" s="34"/>
      <c r="AG104" s="34"/>
      <c r="AH104" s="34"/>
      <c r="AI104" s="30"/>
      <c r="AJ104" s="30"/>
      <c r="AK104" s="30"/>
      <c r="AL104" s="30"/>
      <c r="AM104" s="30"/>
      <c r="AN104" s="30"/>
      <c r="AO104" s="30"/>
      <c r="AP104" s="30"/>
      <c r="AQ104" s="30"/>
      <c r="AR104" s="30"/>
      <c r="AS104" s="30"/>
      <c r="AT104" s="30"/>
      <c r="AU104" s="30"/>
      <c r="AV104" s="30"/>
      <c r="AW104" s="30"/>
    </row>
    <row r="105" spans="1:49" s="47" customFormat="1" ht="35.1" customHeight="1" x14ac:dyDescent="0.25">
      <c r="A105" s="18" t="s">
        <v>93</v>
      </c>
      <c r="B105" s="19">
        <v>46051</v>
      </c>
      <c r="C105" s="19">
        <v>46051</v>
      </c>
      <c r="D105" s="18" t="s">
        <v>207</v>
      </c>
      <c r="E105" s="20">
        <v>0.79166666666666663</v>
      </c>
      <c r="F105" s="20">
        <v>0.99930555555555556</v>
      </c>
      <c r="G105" s="28">
        <v>1.7361111111111109E-4</v>
      </c>
      <c r="H105" s="29" t="s">
        <v>139</v>
      </c>
      <c r="I105" s="21">
        <v>0.84572048611111106</v>
      </c>
      <c r="J105" s="18" t="s">
        <v>136</v>
      </c>
      <c r="K105" s="18" t="s">
        <v>157</v>
      </c>
      <c r="L105" s="22">
        <v>1</v>
      </c>
      <c r="M105" s="22">
        <v>69566</v>
      </c>
      <c r="N105" s="18" t="s">
        <v>53</v>
      </c>
      <c r="O105" s="22" t="s">
        <v>137</v>
      </c>
      <c r="P105" s="23">
        <v>0</v>
      </c>
      <c r="Q105" s="22"/>
      <c r="R105" s="23">
        <v>16.531831119544499</v>
      </c>
      <c r="S105" s="24">
        <v>46054</v>
      </c>
      <c r="T105" s="23">
        <v>0</v>
      </c>
      <c r="U105" s="25">
        <v>4</v>
      </c>
      <c r="V105" s="23">
        <v>0</v>
      </c>
      <c r="W105" s="18" t="s">
        <v>47</v>
      </c>
      <c r="X105" s="18" t="s">
        <v>48</v>
      </c>
      <c r="Y105" s="18" t="s">
        <v>36</v>
      </c>
      <c r="Z105" s="18" t="s">
        <v>9</v>
      </c>
      <c r="AA105" s="18" t="s">
        <v>49</v>
      </c>
      <c r="AB105" s="18" t="s">
        <v>138</v>
      </c>
      <c r="AC105" s="18" t="s">
        <v>38</v>
      </c>
      <c r="AD105" s="7" t="str">
        <f t="shared" si="1"/>
        <v/>
      </c>
      <c r="AE105" s="33"/>
      <c r="AF105" s="33"/>
      <c r="AG105" s="33"/>
      <c r="AH105" s="33"/>
      <c r="AI105" s="30"/>
      <c r="AJ105" s="30"/>
      <c r="AK105" s="30"/>
      <c r="AL105" s="30"/>
      <c r="AM105" s="30"/>
      <c r="AN105" s="30"/>
      <c r="AO105" s="30"/>
      <c r="AP105" s="30"/>
      <c r="AQ105" s="30"/>
      <c r="AR105" s="30"/>
      <c r="AS105" s="30"/>
      <c r="AT105" s="30"/>
      <c r="AU105" s="30"/>
      <c r="AV105" s="30"/>
      <c r="AW105" s="30"/>
    </row>
    <row r="106" spans="1:49" s="47" customFormat="1" ht="35.1" customHeight="1" x14ac:dyDescent="0.25">
      <c r="A106" s="18" t="s">
        <v>159</v>
      </c>
      <c r="B106" s="19">
        <v>46051</v>
      </c>
      <c r="C106" s="19">
        <v>46051</v>
      </c>
      <c r="D106" s="18" t="s">
        <v>207</v>
      </c>
      <c r="E106" s="20">
        <v>0.25</v>
      </c>
      <c r="F106" s="20">
        <v>0.875</v>
      </c>
      <c r="G106" s="28">
        <v>1.7361111111111109E-4</v>
      </c>
      <c r="H106" s="29" t="s">
        <v>160</v>
      </c>
      <c r="I106" s="21">
        <v>0.85339259259259259</v>
      </c>
      <c r="J106" s="18" t="s">
        <v>41</v>
      </c>
      <c r="K106" s="18" t="s">
        <v>157</v>
      </c>
      <c r="L106" s="22">
        <v>1</v>
      </c>
      <c r="M106" s="22">
        <v>71098</v>
      </c>
      <c r="N106" s="18" t="s">
        <v>53</v>
      </c>
      <c r="O106" s="22" t="s">
        <v>161</v>
      </c>
      <c r="P106" s="23">
        <v>15</v>
      </c>
      <c r="Q106" s="22"/>
      <c r="R106" s="23">
        <v>15</v>
      </c>
      <c r="S106" s="24">
        <v>46054</v>
      </c>
      <c r="T106" s="23">
        <v>2.25</v>
      </c>
      <c r="U106" s="25">
        <v>4</v>
      </c>
      <c r="V106" s="23">
        <v>12.75</v>
      </c>
      <c r="W106" s="18" t="s">
        <v>47</v>
      </c>
      <c r="X106" s="18" t="s">
        <v>48</v>
      </c>
      <c r="Y106" s="18" t="s">
        <v>36</v>
      </c>
      <c r="Z106" s="18" t="s">
        <v>9</v>
      </c>
      <c r="AA106" s="18" t="s">
        <v>49</v>
      </c>
      <c r="AB106" s="18" t="s">
        <v>162</v>
      </c>
      <c r="AC106" s="18" t="s">
        <v>38</v>
      </c>
      <c r="AD106" s="7" t="str">
        <f t="shared" si="1"/>
        <v/>
      </c>
      <c r="AE106" s="17"/>
      <c r="AF106" s="17"/>
      <c r="AG106" s="17"/>
      <c r="AH106" s="17"/>
      <c r="AI106" s="30"/>
      <c r="AJ106" s="30"/>
      <c r="AK106" s="30"/>
      <c r="AL106" s="30"/>
      <c r="AM106" s="30"/>
      <c r="AN106" s="30"/>
      <c r="AO106" s="30"/>
      <c r="AP106" s="30"/>
      <c r="AQ106" s="30"/>
      <c r="AR106" s="30"/>
      <c r="AS106" s="30"/>
      <c r="AT106" s="30"/>
      <c r="AU106" s="30"/>
      <c r="AV106" s="30"/>
      <c r="AW106" s="30"/>
    </row>
    <row r="107" spans="1:49" s="47" customFormat="1" ht="35.1" customHeight="1" x14ac:dyDescent="0.2">
      <c r="A107" s="18" t="s">
        <v>159</v>
      </c>
      <c r="B107" s="19">
        <v>46051</v>
      </c>
      <c r="C107" s="19">
        <v>46051</v>
      </c>
      <c r="D107" s="18" t="s">
        <v>207</v>
      </c>
      <c r="E107" s="20">
        <v>0.25</v>
      </c>
      <c r="F107" s="20">
        <v>0.875</v>
      </c>
      <c r="G107" s="28">
        <v>1.7361111111111109E-4</v>
      </c>
      <c r="H107" s="29" t="s">
        <v>163</v>
      </c>
      <c r="I107" s="21">
        <v>0.8544342592592592</v>
      </c>
      <c r="J107" s="18" t="s">
        <v>41</v>
      </c>
      <c r="K107" s="18" t="s">
        <v>157</v>
      </c>
      <c r="L107" s="22">
        <v>1</v>
      </c>
      <c r="M107" s="22">
        <v>71098</v>
      </c>
      <c r="N107" s="18" t="s">
        <v>53</v>
      </c>
      <c r="O107" s="22" t="s">
        <v>161</v>
      </c>
      <c r="P107" s="23">
        <v>15</v>
      </c>
      <c r="Q107" s="22"/>
      <c r="R107" s="23">
        <v>15</v>
      </c>
      <c r="S107" s="24">
        <v>46054</v>
      </c>
      <c r="T107" s="23">
        <v>2.25</v>
      </c>
      <c r="U107" s="25">
        <v>4</v>
      </c>
      <c r="V107" s="23">
        <v>12.75</v>
      </c>
      <c r="W107" s="18" t="s">
        <v>47</v>
      </c>
      <c r="X107" s="18" t="s">
        <v>48</v>
      </c>
      <c r="Y107" s="18" t="s">
        <v>36</v>
      </c>
      <c r="Z107" s="18" t="s">
        <v>9</v>
      </c>
      <c r="AA107" s="18" t="s">
        <v>49</v>
      </c>
      <c r="AB107" s="18" t="s">
        <v>162</v>
      </c>
      <c r="AC107" s="18" t="s">
        <v>38</v>
      </c>
      <c r="AD107" s="7" t="str">
        <f t="shared" si="1"/>
        <v/>
      </c>
      <c r="AE107" s="9"/>
      <c r="AF107" s="9"/>
      <c r="AG107" s="9"/>
      <c r="AH107" s="9"/>
      <c r="AI107" s="9"/>
      <c r="AJ107" s="9"/>
      <c r="AK107" s="9"/>
      <c r="AL107" s="9"/>
      <c r="AM107" s="9"/>
      <c r="AN107" s="9"/>
      <c r="AO107" s="9"/>
      <c r="AP107" s="9"/>
      <c r="AQ107" s="9"/>
      <c r="AR107" s="9"/>
      <c r="AS107" s="9"/>
      <c r="AT107" s="9"/>
      <c r="AU107" s="9"/>
      <c r="AV107" s="9"/>
      <c r="AW107" s="9"/>
    </row>
    <row r="108" spans="1:49" s="47" customFormat="1" ht="35.1" customHeight="1" x14ac:dyDescent="0.2">
      <c r="A108" s="18" t="s">
        <v>159</v>
      </c>
      <c r="B108" s="19">
        <v>46051</v>
      </c>
      <c r="C108" s="19">
        <v>46051</v>
      </c>
      <c r="D108" s="18" t="s">
        <v>207</v>
      </c>
      <c r="E108" s="20">
        <v>0.25</v>
      </c>
      <c r="F108" s="20">
        <v>0.875</v>
      </c>
      <c r="G108" s="28">
        <v>1.7361111111111109E-4</v>
      </c>
      <c r="H108" s="29" t="s">
        <v>160</v>
      </c>
      <c r="I108" s="21">
        <v>0.87100798611111108</v>
      </c>
      <c r="J108" s="18" t="s">
        <v>41</v>
      </c>
      <c r="K108" s="18" t="s">
        <v>157</v>
      </c>
      <c r="L108" s="22">
        <v>1</v>
      </c>
      <c r="M108" s="22">
        <v>71098</v>
      </c>
      <c r="N108" s="18" t="s">
        <v>53</v>
      </c>
      <c r="O108" s="22" t="s">
        <v>161</v>
      </c>
      <c r="P108" s="23">
        <v>15</v>
      </c>
      <c r="Q108" s="22"/>
      <c r="R108" s="23">
        <v>15</v>
      </c>
      <c r="S108" s="24">
        <v>46054</v>
      </c>
      <c r="T108" s="23">
        <v>2.25</v>
      </c>
      <c r="U108" s="25">
        <v>4</v>
      </c>
      <c r="V108" s="23">
        <v>12.75</v>
      </c>
      <c r="W108" s="18" t="s">
        <v>47</v>
      </c>
      <c r="X108" s="18" t="s">
        <v>48</v>
      </c>
      <c r="Y108" s="18" t="s">
        <v>36</v>
      </c>
      <c r="Z108" s="18" t="s">
        <v>9</v>
      </c>
      <c r="AA108" s="18" t="s">
        <v>49</v>
      </c>
      <c r="AB108" s="18" t="s">
        <v>162</v>
      </c>
      <c r="AC108" s="18" t="s">
        <v>38</v>
      </c>
      <c r="AD108" s="7" t="str">
        <f t="shared" si="1"/>
        <v/>
      </c>
      <c r="AE108" s="9"/>
      <c r="AF108" s="9"/>
      <c r="AG108" s="9"/>
      <c r="AH108" s="9"/>
      <c r="AI108" s="9"/>
      <c r="AJ108" s="9"/>
      <c r="AK108" s="9"/>
      <c r="AL108" s="9"/>
      <c r="AM108" s="9"/>
      <c r="AN108" s="9"/>
      <c r="AO108" s="9"/>
      <c r="AP108" s="9"/>
      <c r="AQ108" s="9"/>
      <c r="AR108" s="9"/>
      <c r="AS108" s="9"/>
      <c r="AT108" s="9"/>
      <c r="AU108" s="9"/>
      <c r="AV108" s="9"/>
      <c r="AW108" s="9"/>
    </row>
    <row r="109" spans="1:49" s="47" customFormat="1" ht="35.1" customHeight="1" x14ac:dyDescent="0.2">
      <c r="A109" s="18" t="s">
        <v>159</v>
      </c>
      <c r="B109" s="19">
        <v>46051</v>
      </c>
      <c r="C109" s="19">
        <v>46051</v>
      </c>
      <c r="D109" s="18" t="s">
        <v>207</v>
      </c>
      <c r="E109" s="20">
        <v>0.25</v>
      </c>
      <c r="F109" s="20">
        <v>0.875</v>
      </c>
      <c r="G109" s="28">
        <v>1.7361111111111109E-4</v>
      </c>
      <c r="H109" s="29" t="s">
        <v>163</v>
      </c>
      <c r="I109" s="21">
        <v>0.87204988425925922</v>
      </c>
      <c r="J109" s="18" t="s">
        <v>41</v>
      </c>
      <c r="K109" s="18" t="s">
        <v>157</v>
      </c>
      <c r="L109" s="22">
        <v>1</v>
      </c>
      <c r="M109" s="22">
        <v>71098</v>
      </c>
      <c r="N109" s="18" t="s">
        <v>53</v>
      </c>
      <c r="O109" s="22" t="s">
        <v>161</v>
      </c>
      <c r="P109" s="23">
        <v>15</v>
      </c>
      <c r="Q109" s="22"/>
      <c r="R109" s="23">
        <v>15</v>
      </c>
      <c r="S109" s="24">
        <v>46054</v>
      </c>
      <c r="T109" s="23">
        <v>2.25</v>
      </c>
      <c r="U109" s="25">
        <v>4</v>
      </c>
      <c r="V109" s="23">
        <v>12.75</v>
      </c>
      <c r="W109" s="18" t="s">
        <v>47</v>
      </c>
      <c r="X109" s="18" t="s">
        <v>48</v>
      </c>
      <c r="Y109" s="18" t="s">
        <v>36</v>
      </c>
      <c r="Z109" s="18" t="s">
        <v>9</v>
      </c>
      <c r="AA109" s="18" t="s">
        <v>49</v>
      </c>
      <c r="AB109" s="18" t="s">
        <v>162</v>
      </c>
      <c r="AC109" s="18" t="s">
        <v>38</v>
      </c>
      <c r="AD109" s="7" t="str">
        <f t="shared" si="1"/>
        <v/>
      </c>
      <c r="AE109" s="9"/>
      <c r="AF109" s="9"/>
      <c r="AG109" s="9"/>
      <c r="AH109" s="9"/>
      <c r="AI109" s="9"/>
      <c r="AJ109" s="9"/>
      <c r="AK109" s="9"/>
      <c r="AL109" s="9"/>
      <c r="AM109" s="9"/>
      <c r="AN109" s="9"/>
      <c r="AO109" s="9"/>
      <c r="AP109" s="9"/>
      <c r="AQ109" s="9"/>
      <c r="AR109" s="9"/>
      <c r="AS109" s="9"/>
      <c r="AT109" s="9"/>
      <c r="AU109" s="9"/>
      <c r="AV109" s="9"/>
      <c r="AW109" s="9"/>
    </row>
    <row r="110" spans="1:49" s="47" customFormat="1" ht="35.1" customHeight="1" x14ac:dyDescent="0.25">
      <c r="A110" s="18" t="s">
        <v>127</v>
      </c>
      <c r="B110" s="19">
        <v>46051</v>
      </c>
      <c r="C110" s="19">
        <v>46051</v>
      </c>
      <c r="D110" s="18" t="s">
        <v>207</v>
      </c>
      <c r="E110" s="20">
        <v>0.83333333333333337</v>
      </c>
      <c r="F110" s="20">
        <v>0.875</v>
      </c>
      <c r="G110" s="20">
        <v>3.4722222222222218E-4</v>
      </c>
      <c r="H110" s="18" t="s">
        <v>192</v>
      </c>
      <c r="I110" s="21">
        <v>0.87118159722222221</v>
      </c>
      <c r="J110" s="18" t="s">
        <v>41</v>
      </c>
      <c r="K110" s="18" t="s">
        <v>157</v>
      </c>
      <c r="L110" s="22">
        <v>1</v>
      </c>
      <c r="M110" s="22">
        <v>69752</v>
      </c>
      <c r="N110" s="18" t="s">
        <v>53</v>
      </c>
      <c r="O110" s="22" t="s">
        <v>129</v>
      </c>
      <c r="P110" s="23">
        <v>65</v>
      </c>
      <c r="Q110" s="22"/>
      <c r="R110" s="23">
        <v>65</v>
      </c>
      <c r="S110" s="24">
        <v>46054</v>
      </c>
      <c r="T110" s="23">
        <v>9.75</v>
      </c>
      <c r="U110" s="25">
        <v>4</v>
      </c>
      <c r="V110" s="23">
        <v>55.25</v>
      </c>
      <c r="W110" s="18" t="s">
        <v>47</v>
      </c>
      <c r="X110" s="18" t="s">
        <v>48</v>
      </c>
      <c r="Y110" s="18" t="s">
        <v>36</v>
      </c>
      <c r="Z110" s="18" t="s">
        <v>9</v>
      </c>
      <c r="AA110" s="18" t="s">
        <v>49</v>
      </c>
      <c r="AB110" s="18" t="s">
        <v>130</v>
      </c>
      <c r="AC110" s="18" t="s">
        <v>38</v>
      </c>
      <c r="AD110" s="7" t="str">
        <f t="shared" si="1"/>
        <v/>
      </c>
      <c r="AE110" s="26"/>
      <c r="AF110" s="26"/>
      <c r="AG110" s="26"/>
      <c r="AH110" s="26"/>
      <c r="AI110" s="27"/>
      <c r="AJ110" s="27"/>
      <c r="AK110" s="27"/>
      <c r="AL110" s="27"/>
      <c r="AM110" s="27"/>
      <c r="AN110" s="27"/>
      <c r="AO110" s="27"/>
      <c r="AP110" s="27"/>
      <c r="AQ110" s="27"/>
      <c r="AR110" s="27"/>
      <c r="AS110" s="27"/>
      <c r="AT110" s="27"/>
      <c r="AU110" s="27"/>
      <c r="AV110" s="27"/>
      <c r="AW110" s="27"/>
    </row>
    <row r="111" spans="1:49" s="47" customFormat="1" ht="35.1" customHeight="1" x14ac:dyDescent="0.25">
      <c r="A111" s="18" t="s">
        <v>44</v>
      </c>
      <c r="B111" s="19">
        <v>46051</v>
      </c>
      <c r="C111" s="19">
        <v>46051</v>
      </c>
      <c r="D111" s="18" t="s">
        <v>207</v>
      </c>
      <c r="E111" s="20">
        <v>0.83333333333333337</v>
      </c>
      <c r="F111" s="20">
        <v>0.875</v>
      </c>
      <c r="G111" s="20">
        <v>3.4722222222222218E-4</v>
      </c>
      <c r="H111" s="18" t="s">
        <v>205</v>
      </c>
      <c r="I111" s="21">
        <v>0.87152905092592592</v>
      </c>
      <c r="J111" s="18" t="s">
        <v>41</v>
      </c>
      <c r="K111" s="18" t="s">
        <v>157</v>
      </c>
      <c r="L111" s="22">
        <v>1</v>
      </c>
      <c r="M111" s="22">
        <v>70981</v>
      </c>
      <c r="N111" s="18" t="s">
        <v>53</v>
      </c>
      <c r="O111" s="22" t="str">
        <f>AC111</f>
        <v>CVC</v>
      </c>
      <c r="P111" s="23">
        <v>58.82</v>
      </c>
      <c r="Q111" s="22"/>
      <c r="R111" s="23">
        <v>58.82</v>
      </c>
      <c r="S111" s="24">
        <v>46054</v>
      </c>
      <c r="T111" s="23">
        <v>4.4115000000000002</v>
      </c>
      <c r="U111" s="25">
        <v>4</v>
      </c>
      <c r="V111" s="23">
        <v>54.408500000000004</v>
      </c>
      <c r="W111" s="18" t="s">
        <v>47</v>
      </c>
      <c r="X111" s="18" t="s">
        <v>48</v>
      </c>
      <c r="Y111" s="18" t="s">
        <v>36</v>
      </c>
      <c r="Z111" s="18" t="s">
        <v>9</v>
      </c>
      <c r="AA111" s="18" t="s">
        <v>49</v>
      </c>
      <c r="AB111" s="18" t="s">
        <v>50</v>
      </c>
      <c r="AC111" s="18" t="s">
        <v>38</v>
      </c>
      <c r="AD111" s="7" t="str">
        <f t="shared" si="1"/>
        <v/>
      </c>
      <c r="AE111" s="26"/>
      <c r="AF111" s="26"/>
      <c r="AG111" s="26"/>
      <c r="AH111" s="26"/>
      <c r="AI111" s="26"/>
      <c r="AJ111" s="26"/>
      <c r="AK111" s="26"/>
      <c r="AL111" s="26"/>
      <c r="AM111" s="26"/>
      <c r="AN111" s="26"/>
      <c r="AO111" s="26"/>
      <c r="AP111" s="26"/>
      <c r="AQ111" s="26"/>
      <c r="AR111" s="26"/>
      <c r="AS111" s="26"/>
      <c r="AT111" s="26"/>
      <c r="AU111" s="26"/>
      <c r="AV111" s="26"/>
      <c r="AW111" s="26"/>
    </row>
    <row r="112" spans="1:49" s="47" customFormat="1" ht="35.1" customHeight="1" x14ac:dyDescent="0.25">
      <c r="A112" s="9" t="s">
        <v>146</v>
      </c>
      <c r="B112" s="10">
        <v>46051</v>
      </c>
      <c r="C112" s="10">
        <v>46051</v>
      </c>
      <c r="D112" s="11" t="s">
        <v>207</v>
      </c>
      <c r="E112" s="12">
        <v>0.875</v>
      </c>
      <c r="F112" s="12">
        <v>0.91666666666666663</v>
      </c>
      <c r="G112" s="12">
        <v>4.1666666666666664E-2</v>
      </c>
      <c r="H112" s="9" t="s">
        <v>147</v>
      </c>
      <c r="I112" s="13"/>
      <c r="J112" s="9" t="s">
        <v>41</v>
      </c>
      <c r="K112" s="9"/>
      <c r="L112" s="14">
        <v>1</v>
      </c>
      <c r="M112" s="14">
        <v>1</v>
      </c>
      <c r="N112" s="9" t="s">
        <v>33</v>
      </c>
      <c r="O112" s="9"/>
      <c r="P112" s="16">
        <v>0</v>
      </c>
      <c r="Q112" s="14"/>
      <c r="R112" s="16">
        <v>0</v>
      </c>
      <c r="S112" s="9">
        <v>46054</v>
      </c>
      <c r="T112" s="16">
        <v>0</v>
      </c>
      <c r="U112" s="14">
        <v>2</v>
      </c>
      <c r="V112" s="16">
        <v>0</v>
      </c>
      <c r="W112" s="9" t="s">
        <v>34</v>
      </c>
      <c r="X112" s="9" t="s">
        <v>42</v>
      </c>
      <c r="Y112" s="9" t="s">
        <v>36</v>
      </c>
      <c r="Z112" s="9" t="s">
        <v>43</v>
      </c>
      <c r="AA112" s="9" t="s">
        <v>37</v>
      </c>
      <c r="AB112" s="9" t="s">
        <v>37</v>
      </c>
      <c r="AC112" s="9" t="s">
        <v>38</v>
      </c>
      <c r="AD112" s="7" t="str">
        <f t="shared" si="1"/>
        <v/>
      </c>
      <c r="AE112" s="26"/>
      <c r="AF112" s="26"/>
      <c r="AG112" s="26"/>
      <c r="AH112" s="26"/>
      <c r="AI112" s="27"/>
      <c r="AJ112" s="27"/>
      <c r="AK112" s="27"/>
      <c r="AL112" s="27"/>
      <c r="AM112" s="27"/>
      <c r="AN112" s="27"/>
      <c r="AO112" s="27"/>
      <c r="AP112" s="27"/>
      <c r="AQ112" s="27"/>
      <c r="AR112" s="27"/>
      <c r="AS112" s="27"/>
      <c r="AT112" s="27"/>
      <c r="AU112" s="27"/>
      <c r="AV112" s="27"/>
      <c r="AW112" s="27"/>
    </row>
    <row r="113" spans="1:49" s="47" customFormat="1" ht="35.1" customHeight="1" x14ac:dyDescent="0.25">
      <c r="A113" s="18" t="s">
        <v>93</v>
      </c>
      <c r="B113" s="19">
        <v>46051</v>
      </c>
      <c r="C113" s="19">
        <v>46051</v>
      </c>
      <c r="D113" s="18" t="s">
        <v>207</v>
      </c>
      <c r="E113" s="20">
        <v>0.79166666666666663</v>
      </c>
      <c r="F113" s="20">
        <v>0.99930555555555556</v>
      </c>
      <c r="G113" s="28">
        <v>1.7361111111111109E-4</v>
      </c>
      <c r="H113" s="29" t="s">
        <v>135</v>
      </c>
      <c r="I113" s="21">
        <v>0.89789583333333334</v>
      </c>
      <c r="J113" s="18" t="s">
        <v>136</v>
      </c>
      <c r="K113" s="18" t="s">
        <v>147</v>
      </c>
      <c r="L113" s="22">
        <v>1</v>
      </c>
      <c r="M113" s="22">
        <v>69566</v>
      </c>
      <c r="N113" s="18" t="s">
        <v>53</v>
      </c>
      <c r="O113" s="22" t="s">
        <v>137</v>
      </c>
      <c r="P113" s="23">
        <v>0</v>
      </c>
      <c r="Q113" s="22"/>
      <c r="R113" s="23">
        <v>16.531831119544499</v>
      </c>
      <c r="S113" s="24">
        <v>46054</v>
      </c>
      <c r="T113" s="23">
        <v>0</v>
      </c>
      <c r="U113" s="25">
        <v>4</v>
      </c>
      <c r="V113" s="23">
        <v>0</v>
      </c>
      <c r="W113" s="18" t="s">
        <v>47</v>
      </c>
      <c r="X113" s="18" t="s">
        <v>48</v>
      </c>
      <c r="Y113" s="18" t="s">
        <v>36</v>
      </c>
      <c r="Z113" s="18" t="s">
        <v>9</v>
      </c>
      <c r="AA113" s="18" t="s">
        <v>49</v>
      </c>
      <c r="AB113" s="18" t="s">
        <v>138</v>
      </c>
      <c r="AC113" s="18" t="s">
        <v>38</v>
      </c>
      <c r="AD113" s="7" t="str">
        <f t="shared" si="1"/>
        <v/>
      </c>
      <c r="AE113" s="26"/>
      <c r="AF113" s="26"/>
      <c r="AG113" s="26"/>
      <c r="AH113" s="26"/>
      <c r="AI113" s="26"/>
      <c r="AJ113" s="26"/>
      <c r="AK113" s="26"/>
      <c r="AL113" s="26"/>
      <c r="AM113" s="26"/>
      <c r="AN113" s="26"/>
      <c r="AO113" s="26"/>
      <c r="AP113" s="26"/>
      <c r="AQ113" s="26"/>
      <c r="AR113" s="26"/>
      <c r="AS113" s="26"/>
      <c r="AT113" s="26"/>
      <c r="AU113" s="26"/>
      <c r="AV113" s="26"/>
      <c r="AW113" s="26"/>
    </row>
    <row r="114" spans="1:49" s="47" customFormat="1" ht="35.1" customHeight="1" x14ac:dyDescent="0.25">
      <c r="A114" s="18" t="s">
        <v>93</v>
      </c>
      <c r="B114" s="19">
        <v>46051</v>
      </c>
      <c r="C114" s="19">
        <v>46051</v>
      </c>
      <c r="D114" s="18" t="s">
        <v>207</v>
      </c>
      <c r="E114" s="20">
        <v>0.79166666666666663</v>
      </c>
      <c r="F114" s="20">
        <v>0.99930555555555556</v>
      </c>
      <c r="G114" s="28">
        <v>1.7361111111111109E-4</v>
      </c>
      <c r="H114" s="29" t="s">
        <v>139</v>
      </c>
      <c r="I114" s="21">
        <v>0.89980578703703706</v>
      </c>
      <c r="J114" s="18" t="s">
        <v>136</v>
      </c>
      <c r="K114" s="18" t="s">
        <v>147</v>
      </c>
      <c r="L114" s="22">
        <v>1</v>
      </c>
      <c r="M114" s="22">
        <v>69566</v>
      </c>
      <c r="N114" s="18" t="s">
        <v>53</v>
      </c>
      <c r="O114" s="22" t="s">
        <v>137</v>
      </c>
      <c r="P114" s="23">
        <v>0</v>
      </c>
      <c r="Q114" s="22"/>
      <c r="R114" s="23">
        <v>16.531831119544499</v>
      </c>
      <c r="S114" s="24">
        <v>46054</v>
      </c>
      <c r="T114" s="23">
        <v>0</v>
      </c>
      <c r="U114" s="25">
        <v>4</v>
      </c>
      <c r="V114" s="23">
        <v>0</v>
      </c>
      <c r="W114" s="18" t="s">
        <v>47</v>
      </c>
      <c r="X114" s="18" t="s">
        <v>48</v>
      </c>
      <c r="Y114" s="18" t="s">
        <v>36</v>
      </c>
      <c r="Z114" s="18" t="s">
        <v>9</v>
      </c>
      <c r="AA114" s="18" t="s">
        <v>49</v>
      </c>
      <c r="AB114" s="18" t="s">
        <v>138</v>
      </c>
      <c r="AC114" s="18" t="s">
        <v>38</v>
      </c>
      <c r="AD114" s="7" t="str">
        <f t="shared" si="1"/>
        <v/>
      </c>
      <c r="AE114" s="26"/>
      <c r="AF114" s="26"/>
      <c r="AG114" s="26"/>
      <c r="AH114" s="26"/>
      <c r="AI114" s="27"/>
      <c r="AJ114" s="27"/>
      <c r="AK114" s="27"/>
      <c r="AL114" s="27"/>
      <c r="AM114" s="27"/>
      <c r="AN114" s="27"/>
      <c r="AO114" s="27"/>
      <c r="AP114" s="27"/>
      <c r="AQ114" s="27"/>
      <c r="AR114" s="27"/>
      <c r="AS114" s="27"/>
      <c r="AT114" s="27"/>
      <c r="AU114" s="27"/>
      <c r="AV114" s="27"/>
      <c r="AW114" s="27"/>
    </row>
    <row r="115" spans="1:49" s="47" customFormat="1" ht="35.1" customHeight="1" x14ac:dyDescent="0.25">
      <c r="A115" s="18" t="s">
        <v>127</v>
      </c>
      <c r="B115" s="19">
        <v>46051</v>
      </c>
      <c r="C115" s="19">
        <v>46051</v>
      </c>
      <c r="D115" s="18" t="s">
        <v>207</v>
      </c>
      <c r="E115" s="20">
        <v>0.875</v>
      </c>
      <c r="F115" s="20">
        <v>0.97916666666666663</v>
      </c>
      <c r="G115" s="20">
        <v>3.4722222222222218E-4</v>
      </c>
      <c r="H115" s="18" t="s">
        <v>192</v>
      </c>
      <c r="I115" s="21">
        <v>0.89945856481481479</v>
      </c>
      <c r="J115" s="18" t="s">
        <v>41</v>
      </c>
      <c r="K115" s="18" t="s">
        <v>147</v>
      </c>
      <c r="L115" s="22">
        <v>1</v>
      </c>
      <c r="M115" s="22">
        <v>69753</v>
      </c>
      <c r="N115" s="18" t="s">
        <v>53</v>
      </c>
      <c r="O115" s="22" t="s">
        <v>129</v>
      </c>
      <c r="P115" s="23">
        <v>65</v>
      </c>
      <c r="Q115" s="22"/>
      <c r="R115" s="23">
        <v>65</v>
      </c>
      <c r="S115" s="24">
        <v>46054</v>
      </c>
      <c r="T115" s="23">
        <v>9.75</v>
      </c>
      <c r="U115" s="25">
        <v>4</v>
      </c>
      <c r="V115" s="23">
        <v>55.25</v>
      </c>
      <c r="W115" s="18" t="s">
        <v>47</v>
      </c>
      <c r="X115" s="18" t="s">
        <v>48</v>
      </c>
      <c r="Y115" s="18" t="s">
        <v>36</v>
      </c>
      <c r="Z115" s="18" t="s">
        <v>9</v>
      </c>
      <c r="AA115" s="18" t="s">
        <v>49</v>
      </c>
      <c r="AB115" s="18" t="s">
        <v>130</v>
      </c>
      <c r="AC115" s="18" t="s">
        <v>38</v>
      </c>
      <c r="AD115" s="7" t="str">
        <f t="shared" si="1"/>
        <v/>
      </c>
      <c r="AE115" s="26"/>
      <c r="AF115" s="26"/>
      <c r="AG115" s="26"/>
      <c r="AH115" s="26"/>
      <c r="AI115" s="27"/>
      <c r="AJ115" s="27"/>
      <c r="AK115" s="27"/>
      <c r="AL115" s="27"/>
      <c r="AM115" s="27"/>
      <c r="AN115" s="27"/>
      <c r="AO115" s="27"/>
      <c r="AP115" s="27"/>
      <c r="AQ115" s="27"/>
      <c r="AR115" s="27"/>
      <c r="AS115" s="27"/>
      <c r="AT115" s="27"/>
      <c r="AU115" s="27"/>
      <c r="AV115" s="27"/>
      <c r="AW115" s="27"/>
    </row>
    <row r="116" spans="1:49" s="47" customFormat="1" ht="35.1" customHeight="1" x14ac:dyDescent="0.25">
      <c r="A116" s="18" t="s">
        <v>61</v>
      </c>
      <c r="B116" s="19">
        <v>46051</v>
      </c>
      <c r="C116" s="19">
        <v>46051</v>
      </c>
      <c r="D116" s="18" t="s">
        <v>207</v>
      </c>
      <c r="E116" s="20">
        <v>0.25</v>
      </c>
      <c r="F116" s="20">
        <v>0.99930555555555556</v>
      </c>
      <c r="G116" s="20">
        <v>3.4722222222222218E-4</v>
      </c>
      <c r="H116" s="18" t="s">
        <v>62</v>
      </c>
      <c r="I116" s="21">
        <v>0.91514120370370367</v>
      </c>
      <c r="J116" s="18" t="s">
        <v>41</v>
      </c>
      <c r="K116" s="18" t="s">
        <v>147</v>
      </c>
      <c r="L116" s="22">
        <v>1</v>
      </c>
      <c r="M116" s="22">
        <v>64414</v>
      </c>
      <c r="N116" s="18" t="s">
        <v>46</v>
      </c>
      <c r="O116" s="22" t="s">
        <v>63</v>
      </c>
      <c r="P116" s="23">
        <v>0</v>
      </c>
      <c r="Q116" s="22"/>
      <c r="R116" s="23">
        <v>0</v>
      </c>
      <c r="S116" s="24">
        <v>46054</v>
      </c>
      <c r="T116" s="23">
        <v>0</v>
      </c>
      <c r="U116" s="25">
        <v>4</v>
      </c>
      <c r="V116" s="23">
        <v>0</v>
      </c>
      <c r="W116" s="18" t="s">
        <v>47</v>
      </c>
      <c r="X116" s="18" t="s">
        <v>48</v>
      </c>
      <c r="Y116" s="18" t="s">
        <v>36</v>
      </c>
      <c r="Z116" s="18" t="s">
        <v>9</v>
      </c>
      <c r="AA116" s="18" t="s">
        <v>49</v>
      </c>
      <c r="AB116" s="18" t="s">
        <v>64</v>
      </c>
      <c r="AC116" s="18" t="s">
        <v>38</v>
      </c>
      <c r="AD116" s="7" t="str">
        <f t="shared" si="1"/>
        <v/>
      </c>
      <c r="AE116" s="26"/>
      <c r="AF116" s="26"/>
      <c r="AG116" s="26"/>
      <c r="AH116" s="26"/>
      <c r="AI116" s="27"/>
      <c r="AJ116" s="27"/>
      <c r="AK116" s="27"/>
      <c r="AL116" s="27"/>
      <c r="AM116" s="27"/>
      <c r="AN116" s="27"/>
      <c r="AO116" s="27"/>
      <c r="AP116" s="27"/>
      <c r="AQ116" s="27"/>
      <c r="AR116" s="27"/>
      <c r="AS116" s="27"/>
      <c r="AT116" s="27"/>
      <c r="AU116" s="27"/>
      <c r="AV116" s="27"/>
      <c r="AW116" s="27"/>
    </row>
    <row r="117" spans="1:49" s="47" customFormat="1" ht="35.1" customHeight="1" x14ac:dyDescent="0.2">
      <c r="A117" s="9" t="s">
        <v>146</v>
      </c>
      <c r="B117" s="10">
        <v>46051</v>
      </c>
      <c r="C117" s="10">
        <v>46051</v>
      </c>
      <c r="D117" s="11" t="s">
        <v>207</v>
      </c>
      <c r="E117" s="12">
        <v>0.91666666666666663</v>
      </c>
      <c r="F117" s="12">
        <v>0.97916666666666663</v>
      </c>
      <c r="G117" s="12">
        <v>6.25E-2</v>
      </c>
      <c r="H117" s="9" t="s">
        <v>215</v>
      </c>
      <c r="I117" s="13"/>
      <c r="J117" s="9" t="s">
        <v>41</v>
      </c>
      <c r="K117" s="9"/>
      <c r="L117" s="14">
        <v>1</v>
      </c>
      <c r="M117" s="14">
        <v>1</v>
      </c>
      <c r="N117" s="9" t="s">
        <v>33</v>
      </c>
      <c r="O117" s="9"/>
      <c r="P117" s="16">
        <v>0</v>
      </c>
      <c r="Q117" s="14"/>
      <c r="R117" s="16">
        <v>0</v>
      </c>
      <c r="S117" s="9">
        <v>46054</v>
      </c>
      <c r="T117" s="16">
        <v>0</v>
      </c>
      <c r="U117" s="14">
        <v>2</v>
      </c>
      <c r="V117" s="16">
        <v>0</v>
      </c>
      <c r="W117" s="9" t="s">
        <v>34</v>
      </c>
      <c r="X117" s="9" t="s">
        <v>42</v>
      </c>
      <c r="Y117" s="9" t="s">
        <v>36</v>
      </c>
      <c r="Z117" s="9" t="s">
        <v>43</v>
      </c>
      <c r="AA117" s="9" t="s">
        <v>37</v>
      </c>
      <c r="AB117" s="9" t="s">
        <v>37</v>
      </c>
      <c r="AC117" s="9" t="s">
        <v>38</v>
      </c>
      <c r="AD117" s="7" t="str">
        <f t="shared" si="1"/>
        <v/>
      </c>
      <c r="AE117" s="9"/>
      <c r="AF117" s="9"/>
      <c r="AG117" s="9"/>
      <c r="AH117" s="9"/>
      <c r="AI117" s="9"/>
      <c r="AJ117" s="9"/>
      <c r="AK117" s="9"/>
      <c r="AL117" s="9"/>
      <c r="AM117" s="9"/>
      <c r="AN117" s="9"/>
      <c r="AO117" s="9"/>
      <c r="AP117" s="9"/>
      <c r="AQ117" s="9"/>
      <c r="AR117" s="9"/>
      <c r="AS117" s="9"/>
      <c r="AT117" s="9"/>
      <c r="AU117" s="9"/>
      <c r="AV117" s="9"/>
      <c r="AW117" s="9"/>
    </row>
    <row r="118" spans="1:49" s="47" customFormat="1" ht="35.1" customHeight="1" x14ac:dyDescent="0.25">
      <c r="A118" s="18" t="s">
        <v>93</v>
      </c>
      <c r="B118" s="19">
        <v>46051</v>
      </c>
      <c r="C118" s="19">
        <v>46051</v>
      </c>
      <c r="D118" s="18" t="s">
        <v>207</v>
      </c>
      <c r="E118" s="20">
        <v>0.79166666666666663</v>
      </c>
      <c r="F118" s="20">
        <v>0.99930555555555556</v>
      </c>
      <c r="G118" s="28">
        <v>1.7361111111111109E-4</v>
      </c>
      <c r="H118" s="29" t="s">
        <v>135</v>
      </c>
      <c r="I118" s="21">
        <v>0.92562557870370377</v>
      </c>
      <c r="J118" s="18" t="s">
        <v>136</v>
      </c>
      <c r="K118" s="18" t="s">
        <v>215</v>
      </c>
      <c r="L118" s="22">
        <v>1</v>
      </c>
      <c r="M118" s="22">
        <v>69566</v>
      </c>
      <c r="N118" s="18" t="s">
        <v>53</v>
      </c>
      <c r="O118" s="22" t="s">
        <v>137</v>
      </c>
      <c r="P118" s="23">
        <v>0</v>
      </c>
      <c r="Q118" s="22"/>
      <c r="R118" s="23">
        <v>16.531831119544499</v>
      </c>
      <c r="S118" s="24">
        <v>46054</v>
      </c>
      <c r="T118" s="23">
        <v>0</v>
      </c>
      <c r="U118" s="25">
        <v>4</v>
      </c>
      <c r="V118" s="23">
        <v>0</v>
      </c>
      <c r="W118" s="18" t="s">
        <v>47</v>
      </c>
      <c r="X118" s="18" t="s">
        <v>48</v>
      </c>
      <c r="Y118" s="18" t="s">
        <v>36</v>
      </c>
      <c r="Z118" s="18" t="s">
        <v>9</v>
      </c>
      <c r="AA118" s="18" t="s">
        <v>49</v>
      </c>
      <c r="AB118" s="18" t="s">
        <v>138</v>
      </c>
      <c r="AC118" s="18" t="s">
        <v>38</v>
      </c>
      <c r="AD118" s="7" t="str">
        <f t="shared" si="1"/>
        <v/>
      </c>
      <c r="AE118" s="26"/>
      <c r="AF118" s="26"/>
      <c r="AG118" s="26"/>
      <c r="AH118" s="26"/>
      <c r="AI118" s="27"/>
      <c r="AJ118" s="27"/>
      <c r="AK118" s="27"/>
      <c r="AL118" s="27"/>
      <c r="AM118" s="27"/>
      <c r="AN118" s="27"/>
      <c r="AO118" s="27"/>
      <c r="AP118" s="27"/>
      <c r="AQ118" s="27"/>
      <c r="AR118" s="27"/>
      <c r="AS118" s="27"/>
      <c r="AT118" s="27"/>
      <c r="AU118" s="27"/>
      <c r="AV118" s="27"/>
      <c r="AW118" s="27"/>
    </row>
    <row r="119" spans="1:49" s="47" customFormat="1" ht="35.1" customHeight="1" x14ac:dyDescent="0.2">
      <c r="A119" s="18" t="s">
        <v>93</v>
      </c>
      <c r="B119" s="19">
        <v>46051</v>
      </c>
      <c r="C119" s="19">
        <v>46051</v>
      </c>
      <c r="D119" s="18" t="s">
        <v>207</v>
      </c>
      <c r="E119" s="20">
        <v>0.79166666666666663</v>
      </c>
      <c r="F119" s="20">
        <v>0.99930555555555556</v>
      </c>
      <c r="G119" s="28">
        <v>1.7361111111111109E-4</v>
      </c>
      <c r="H119" s="29" t="s">
        <v>139</v>
      </c>
      <c r="I119" s="21">
        <v>0.9280563657407408</v>
      </c>
      <c r="J119" s="18" t="s">
        <v>136</v>
      </c>
      <c r="K119" s="18" t="s">
        <v>215</v>
      </c>
      <c r="L119" s="22">
        <v>1</v>
      </c>
      <c r="M119" s="22">
        <v>69566</v>
      </c>
      <c r="N119" s="18" t="s">
        <v>53</v>
      </c>
      <c r="O119" s="22" t="s">
        <v>137</v>
      </c>
      <c r="P119" s="23">
        <v>0</v>
      </c>
      <c r="Q119" s="22"/>
      <c r="R119" s="23">
        <v>16.531831119544499</v>
      </c>
      <c r="S119" s="24">
        <v>46054</v>
      </c>
      <c r="T119" s="23">
        <v>0</v>
      </c>
      <c r="U119" s="25">
        <v>4</v>
      </c>
      <c r="V119" s="23">
        <v>0</v>
      </c>
      <c r="W119" s="18" t="s">
        <v>47</v>
      </c>
      <c r="X119" s="18" t="s">
        <v>48</v>
      </c>
      <c r="Y119" s="18" t="s">
        <v>36</v>
      </c>
      <c r="Z119" s="18" t="s">
        <v>9</v>
      </c>
      <c r="AA119" s="18" t="s">
        <v>49</v>
      </c>
      <c r="AB119" s="18" t="s">
        <v>138</v>
      </c>
      <c r="AC119" s="18" t="s">
        <v>38</v>
      </c>
      <c r="AD119" s="7" t="str">
        <f t="shared" si="1"/>
        <v/>
      </c>
      <c r="AE119" s="9"/>
      <c r="AF119" s="9"/>
      <c r="AG119" s="9"/>
      <c r="AH119" s="9"/>
      <c r="AI119" s="9"/>
      <c r="AJ119" s="9"/>
      <c r="AK119" s="9"/>
      <c r="AL119" s="9"/>
      <c r="AM119" s="9"/>
      <c r="AN119" s="9"/>
      <c r="AO119" s="9"/>
      <c r="AP119" s="9"/>
      <c r="AQ119" s="9"/>
      <c r="AR119" s="9"/>
      <c r="AS119" s="9"/>
      <c r="AT119" s="9"/>
      <c r="AU119" s="9"/>
      <c r="AV119" s="9"/>
      <c r="AW119" s="9"/>
    </row>
    <row r="120" spans="1:49" s="47" customFormat="1" ht="35.1" customHeight="1" x14ac:dyDescent="0.2">
      <c r="A120" s="18" t="s">
        <v>167</v>
      </c>
      <c r="B120" s="19">
        <v>46051</v>
      </c>
      <c r="C120" s="19">
        <v>46051</v>
      </c>
      <c r="D120" s="18" t="s">
        <v>207</v>
      </c>
      <c r="E120" s="20">
        <v>0.25</v>
      </c>
      <c r="F120" s="20">
        <v>0.99930555555555556</v>
      </c>
      <c r="G120" s="20">
        <v>3.8194444444444446E-4</v>
      </c>
      <c r="H120" s="18" t="s">
        <v>168</v>
      </c>
      <c r="I120" s="21">
        <v>0.96260578703703703</v>
      </c>
      <c r="J120" s="18" t="s">
        <v>32</v>
      </c>
      <c r="K120" s="18" t="s">
        <v>215</v>
      </c>
      <c r="L120" s="22">
        <v>1</v>
      </c>
      <c r="M120" s="22">
        <v>61686</v>
      </c>
      <c r="N120" s="18" t="s">
        <v>53</v>
      </c>
      <c r="O120" s="22"/>
      <c r="P120" s="23">
        <v>92.592592592592595</v>
      </c>
      <c r="Q120" s="22"/>
      <c r="R120" s="23">
        <v>92.592592592592595</v>
      </c>
      <c r="S120" s="24">
        <v>46054</v>
      </c>
      <c r="T120" s="23">
        <v>0</v>
      </c>
      <c r="U120" s="25">
        <v>4</v>
      </c>
      <c r="V120" s="23">
        <v>92.592592592592595</v>
      </c>
      <c r="W120" s="18" t="s">
        <v>34</v>
      </c>
      <c r="X120" s="18" t="s">
        <v>169</v>
      </c>
      <c r="Y120" s="18" t="s">
        <v>36</v>
      </c>
      <c r="Z120" s="18" t="s">
        <v>169</v>
      </c>
      <c r="AA120" s="18" t="s">
        <v>49</v>
      </c>
      <c r="AB120" s="18" t="s">
        <v>170</v>
      </c>
      <c r="AC120" s="18" t="s">
        <v>38</v>
      </c>
      <c r="AD120" s="7" t="str">
        <f t="shared" si="1"/>
        <v/>
      </c>
      <c r="AE120" s="9"/>
      <c r="AF120" s="9"/>
      <c r="AG120" s="9"/>
      <c r="AH120" s="9"/>
      <c r="AI120" s="9"/>
      <c r="AJ120" s="9"/>
      <c r="AK120" s="9"/>
      <c r="AL120" s="9"/>
      <c r="AM120" s="9"/>
      <c r="AN120" s="9"/>
      <c r="AO120" s="9"/>
      <c r="AP120" s="9"/>
      <c r="AQ120" s="9"/>
      <c r="AR120" s="9"/>
      <c r="AS120" s="9"/>
      <c r="AT120" s="9"/>
      <c r="AU120" s="9"/>
      <c r="AV120" s="9"/>
      <c r="AW120" s="9"/>
    </row>
    <row r="121" spans="1:49" s="47" customFormat="1" ht="35.1" customHeight="1" x14ac:dyDescent="0.2">
      <c r="A121" s="9" t="s">
        <v>39</v>
      </c>
      <c r="B121" s="10">
        <v>46051</v>
      </c>
      <c r="C121" s="10">
        <v>46051</v>
      </c>
      <c r="D121" s="11" t="s">
        <v>207</v>
      </c>
      <c r="E121" s="12">
        <v>0.97916666666666663</v>
      </c>
      <c r="F121" s="12">
        <v>1</v>
      </c>
      <c r="G121" s="12">
        <v>2.0833333333333332E-2</v>
      </c>
      <c r="H121" s="9" t="s">
        <v>149</v>
      </c>
      <c r="I121" s="13"/>
      <c r="J121" s="9" t="s">
        <v>132</v>
      </c>
      <c r="K121" s="9"/>
      <c r="L121" s="14">
        <v>1</v>
      </c>
      <c r="M121" s="14">
        <v>1</v>
      </c>
      <c r="N121" s="9" t="s">
        <v>33</v>
      </c>
      <c r="O121" s="9"/>
      <c r="P121" s="16">
        <v>0</v>
      </c>
      <c r="Q121" s="14"/>
      <c r="R121" s="16">
        <v>0</v>
      </c>
      <c r="S121" s="9">
        <v>46054</v>
      </c>
      <c r="T121" s="16">
        <v>0</v>
      </c>
      <c r="U121" s="14">
        <v>2</v>
      </c>
      <c r="V121" s="16">
        <v>0</v>
      </c>
      <c r="W121" s="9" t="s">
        <v>34</v>
      </c>
      <c r="X121" s="9" t="s">
        <v>42</v>
      </c>
      <c r="Y121" s="9" t="s">
        <v>36</v>
      </c>
      <c r="Z121" s="9" t="s">
        <v>43</v>
      </c>
      <c r="AA121" s="9" t="s">
        <v>37</v>
      </c>
      <c r="AB121" s="9" t="s">
        <v>37</v>
      </c>
      <c r="AC121" s="9" t="s">
        <v>38</v>
      </c>
      <c r="AD121" s="7" t="str">
        <f t="shared" si="1"/>
        <v/>
      </c>
      <c r="AE121" s="9"/>
      <c r="AF121" s="9"/>
      <c r="AG121" s="9"/>
      <c r="AH121" s="9"/>
      <c r="AI121" s="9"/>
      <c r="AJ121" s="9"/>
      <c r="AK121" s="9"/>
      <c r="AL121" s="9"/>
      <c r="AM121" s="9"/>
      <c r="AN121" s="9"/>
      <c r="AO121" s="9"/>
      <c r="AP121" s="9"/>
      <c r="AQ121" s="9"/>
      <c r="AR121" s="9"/>
      <c r="AS121" s="9"/>
      <c r="AT121" s="9"/>
      <c r="AU121" s="9"/>
      <c r="AV121" s="9"/>
      <c r="AW121" s="9"/>
    </row>
    <row r="122" spans="1:49" s="47" customFormat="1" ht="35.1" customHeight="1" x14ac:dyDescent="0.2">
      <c r="A122" s="18" t="s">
        <v>78</v>
      </c>
      <c r="B122" s="19">
        <v>46051</v>
      </c>
      <c r="C122" s="19">
        <v>46051</v>
      </c>
      <c r="D122" s="18" t="s">
        <v>207</v>
      </c>
      <c r="E122" s="20">
        <v>0.79166666666666663</v>
      </c>
      <c r="F122" s="20">
        <v>0.99930555555555556</v>
      </c>
      <c r="G122" s="20">
        <v>1.7361111111111109E-4</v>
      </c>
      <c r="H122" s="18" t="s">
        <v>142</v>
      </c>
      <c r="I122" s="21">
        <v>0.99269942129629629</v>
      </c>
      <c r="J122" s="18" t="s">
        <v>132</v>
      </c>
      <c r="K122" s="18" t="s">
        <v>149</v>
      </c>
      <c r="L122" s="22">
        <v>1</v>
      </c>
      <c r="M122" s="22">
        <v>64941</v>
      </c>
      <c r="N122" s="18" t="s">
        <v>53</v>
      </c>
      <c r="O122" s="22"/>
      <c r="P122" s="23">
        <v>50</v>
      </c>
      <c r="Q122" s="22"/>
      <c r="R122" s="23">
        <v>50</v>
      </c>
      <c r="S122" s="24">
        <v>46054</v>
      </c>
      <c r="T122" s="23">
        <v>0</v>
      </c>
      <c r="U122" s="25">
        <v>4</v>
      </c>
      <c r="V122" s="23">
        <v>50</v>
      </c>
      <c r="W122" s="18" t="s">
        <v>47</v>
      </c>
      <c r="X122" s="18" t="s">
        <v>48</v>
      </c>
      <c r="Y122" s="18" t="s">
        <v>36</v>
      </c>
      <c r="Z122" s="18" t="s">
        <v>9</v>
      </c>
      <c r="AA122" s="18" t="s">
        <v>49</v>
      </c>
      <c r="AB122" s="18" t="s">
        <v>134</v>
      </c>
      <c r="AC122" s="18" t="s">
        <v>38</v>
      </c>
      <c r="AD122" s="7" t="str">
        <f t="shared" si="1"/>
        <v/>
      </c>
      <c r="AE122" s="9"/>
      <c r="AF122" s="9"/>
      <c r="AG122" s="9"/>
      <c r="AH122" s="9"/>
      <c r="AI122" s="9"/>
      <c r="AJ122" s="9"/>
      <c r="AK122" s="9"/>
      <c r="AL122" s="9"/>
      <c r="AM122" s="9"/>
      <c r="AN122" s="9"/>
      <c r="AO122" s="9"/>
      <c r="AP122" s="9"/>
      <c r="AQ122" s="9"/>
      <c r="AR122" s="9"/>
      <c r="AS122" s="9"/>
      <c r="AT122" s="9"/>
      <c r="AU122" s="9"/>
      <c r="AV122" s="9"/>
      <c r="AW122" s="9"/>
    </row>
    <row r="123" spans="1:49" ht="44.25" customHeight="1" x14ac:dyDescent="0.2"/>
    <row r="124" spans="1:49" ht="44.25" customHeight="1" x14ac:dyDescent="0.2"/>
    <row r="125" spans="1:49" ht="44.25" customHeight="1" x14ac:dyDescent="0.2"/>
    <row r="126" spans="1:49" ht="44.25" customHeight="1" x14ac:dyDescent="0.2"/>
    <row r="127" spans="1:49" ht="44.25" customHeight="1" x14ac:dyDescent="0.2"/>
    <row r="128" spans="1:49" ht="44.25" customHeight="1" x14ac:dyDescent="0.2"/>
    <row r="129" customFormat="1" ht="44.25" customHeight="1" x14ac:dyDescent="0.2"/>
    <row r="130" customFormat="1" ht="44.25" customHeight="1" x14ac:dyDescent="0.2"/>
    <row r="131" customFormat="1" ht="44.25" customHeight="1" x14ac:dyDescent="0.2"/>
    <row r="132" customFormat="1" ht="44.25" customHeight="1" x14ac:dyDescent="0.2"/>
    <row r="133" customFormat="1" ht="44.25" customHeight="1" x14ac:dyDescent="0.2"/>
    <row r="134" customFormat="1" ht="44.25" customHeight="1" x14ac:dyDescent="0.2"/>
    <row r="135" customFormat="1" ht="44.25" customHeight="1" x14ac:dyDescent="0.2"/>
    <row r="136" customFormat="1" ht="44.25" customHeight="1" x14ac:dyDescent="0.2"/>
    <row r="137" customFormat="1" ht="44.25" customHeight="1" x14ac:dyDescent="0.2"/>
    <row r="138" customFormat="1" ht="44.25" customHeight="1" x14ac:dyDescent="0.2"/>
    <row r="139" customFormat="1" ht="44.25" customHeight="1" x14ac:dyDescent="0.2"/>
    <row r="140" customFormat="1" ht="44.25" customHeight="1" x14ac:dyDescent="0.2"/>
    <row r="141" customFormat="1" ht="44.25" customHeight="1" x14ac:dyDescent="0.2"/>
    <row r="142" customFormat="1" ht="44.25" customHeight="1" x14ac:dyDescent="0.2"/>
    <row r="143" customFormat="1" ht="44.25" customHeight="1" x14ac:dyDescent="0.2"/>
    <row r="144" customFormat="1" ht="44.25" customHeight="1" x14ac:dyDescent="0.2"/>
    <row r="145" customFormat="1" ht="44.25" customHeight="1" x14ac:dyDescent="0.2"/>
    <row r="146" customFormat="1" ht="44.25" customHeight="1" x14ac:dyDescent="0.2"/>
    <row r="147" customFormat="1" ht="44.25" customHeight="1" x14ac:dyDescent="0.2"/>
    <row r="148" customFormat="1" ht="44.25" customHeight="1" x14ac:dyDescent="0.2"/>
    <row r="149" customFormat="1" ht="44.25" customHeight="1" x14ac:dyDescent="0.2"/>
    <row r="150" customFormat="1" ht="44.25" customHeight="1" x14ac:dyDescent="0.2"/>
    <row r="151" customFormat="1" ht="44.25" customHeight="1" x14ac:dyDescent="0.2"/>
    <row r="152" customFormat="1" ht="44.25" customHeight="1" x14ac:dyDescent="0.2"/>
    <row r="153" customFormat="1" ht="44.25" customHeight="1" x14ac:dyDescent="0.2"/>
    <row r="154" customFormat="1" ht="44.25" customHeight="1" x14ac:dyDescent="0.2"/>
    <row r="155" customFormat="1" ht="44.25" customHeight="1" x14ac:dyDescent="0.2"/>
    <row r="156" customFormat="1" ht="44.25" customHeight="1" x14ac:dyDescent="0.2"/>
    <row r="157" customFormat="1" ht="44.25" customHeight="1" x14ac:dyDescent="0.2"/>
    <row r="158" customFormat="1" ht="44.25" customHeight="1" x14ac:dyDescent="0.2"/>
    <row r="159" customFormat="1" ht="44.25" customHeight="1" x14ac:dyDescent="0.2"/>
    <row r="160" customFormat="1" ht="44.25" customHeight="1" x14ac:dyDescent="0.2"/>
    <row r="161" customFormat="1" ht="44.25" customHeight="1" x14ac:dyDescent="0.2"/>
    <row r="162" customFormat="1" ht="44.25" customHeight="1" x14ac:dyDescent="0.2"/>
    <row r="163" customFormat="1" ht="44.25" customHeight="1" x14ac:dyDescent="0.2"/>
    <row r="164" customFormat="1" ht="44.25" customHeight="1" x14ac:dyDescent="0.2"/>
    <row r="165" customFormat="1" ht="44.25" customHeight="1" x14ac:dyDescent="0.2"/>
    <row r="166" customFormat="1" ht="44.25" customHeight="1" x14ac:dyDescent="0.2"/>
    <row r="167" customFormat="1" ht="44.25" customHeight="1" x14ac:dyDescent="0.2"/>
    <row r="168" customFormat="1" ht="44.25" customHeight="1" x14ac:dyDescent="0.2"/>
    <row r="169" customFormat="1" ht="44.25" customHeight="1" x14ac:dyDescent="0.2"/>
    <row r="170" customFormat="1" ht="44.25" customHeight="1" x14ac:dyDescent="0.2"/>
    <row r="171" customFormat="1" ht="44.25" customHeight="1" x14ac:dyDescent="0.2"/>
    <row r="172" customFormat="1" ht="44.25" customHeight="1" x14ac:dyDescent="0.2"/>
    <row r="173" customFormat="1" ht="44.25" customHeight="1" x14ac:dyDescent="0.2"/>
    <row r="174" customFormat="1" ht="44.25" customHeight="1" x14ac:dyDescent="0.2"/>
    <row r="175" customFormat="1" ht="44.25" customHeight="1" x14ac:dyDescent="0.2"/>
    <row r="176" customFormat="1" ht="44.25" customHeight="1" x14ac:dyDescent="0.2"/>
    <row r="177" customFormat="1" ht="44.25" customHeight="1" x14ac:dyDescent="0.2"/>
    <row r="178" customFormat="1" ht="44.25" customHeight="1" x14ac:dyDescent="0.2"/>
    <row r="179" customFormat="1" ht="44.25" customHeight="1" x14ac:dyDescent="0.2"/>
    <row r="180" customFormat="1" ht="44.25" customHeight="1" x14ac:dyDescent="0.2"/>
    <row r="181" customFormat="1" ht="44.25" customHeight="1" x14ac:dyDescent="0.2"/>
    <row r="182" customFormat="1" ht="44.25" customHeight="1" x14ac:dyDescent="0.2"/>
    <row r="183" customFormat="1" ht="44.25" customHeight="1" x14ac:dyDescent="0.2"/>
    <row r="184" customFormat="1" ht="44.25" customHeight="1" x14ac:dyDescent="0.2"/>
    <row r="185" customFormat="1" ht="44.25" customHeight="1" x14ac:dyDescent="0.2"/>
    <row r="186" customFormat="1" ht="44.25" customHeight="1" x14ac:dyDescent="0.2"/>
    <row r="187" customFormat="1" ht="44.25" customHeight="1" x14ac:dyDescent="0.2"/>
    <row r="188" customFormat="1" ht="44.25" customHeight="1" x14ac:dyDescent="0.2"/>
    <row r="189" customFormat="1" ht="44.25" customHeight="1" x14ac:dyDescent="0.2"/>
    <row r="190" customFormat="1" ht="44.25" customHeight="1" x14ac:dyDescent="0.2"/>
    <row r="191" customFormat="1" ht="44.25" customHeight="1" x14ac:dyDescent="0.2"/>
    <row r="192" customFormat="1" ht="44.25" customHeight="1" x14ac:dyDescent="0.2"/>
    <row r="193" customFormat="1" ht="44.25" customHeight="1" x14ac:dyDescent="0.2"/>
    <row r="194" customFormat="1" ht="44.25" customHeight="1" x14ac:dyDescent="0.2"/>
    <row r="195" customFormat="1" ht="44.25" customHeight="1" x14ac:dyDescent="0.2"/>
    <row r="196" customFormat="1" ht="44.25" customHeight="1" x14ac:dyDescent="0.2"/>
    <row r="197" customFormat="1" ht="44.25" customHeight="1" x14ac:dyDescent="0.2"/>
    <row r="198" customFormat="1" ht="44.25" customHeight="1" x14ac:dyDescent="0.2"/>
    <row r="199" customFormat="1" ht="44.25" customHeight="1" x14ac:dyDescent="0.2"/>
    <row r="200" customFormat="1" ht="44.25" customHeight="1" x14ac:dyDescent="0.2"/>
    <row r="201" customFormat="1" ht="44.25" customHeight="1" x14ac:dyDescent="0.2"/>
    <row r="202" customFormat="1" ht="44.25" customHeight="1" x14ac:dyDescent="0.2"/>
    <row r="203" customFormat="1" ht="44.25" customHeight="1" x14ac:dyDescent="0.2"/>
    <row r="204" customFormat="1" ht="44.25" customHeight="1" x14ac:dyDescent="0.2"/>
    <row r="205" customFormat="1" ht="44.25" customHeight="1" x14ac:dyDescent="0.2"/>
    <row r="206" customFormat="1" ht="44.25" customHeight="1" x14ac:dyDescent="0.2"/>
    <row r="207" customFormat="1" ht="44.25" customHeight="1" x14ac:dyDescent="0.2"/>
    <row r="208" customFormat="1" ht="44.25" customHeight="1" x14ac:dyDescent="0.2"/>
    <row r="209" customFormat="1" ht="44.25" customHeight="1" x14ac:dyDescent="0.2"/>
    <row r="210" customFormat="1" ht="44.25" customHeight="1" x14ac:dyDescent="0.2"/>
    <row r="211" customFormat="1" ht="44.25" customHeight="1" x14ac:dyDescent="0.2"/>
    <row r="212" customFormat="1" ht="44.25" customHeight="1" x14ac:dyDescent="0.2"/>
    <row r="213" customFormat="1" ht="44.25" customHeight="1" x14ac:dyDescent="0.2"/>
    <row r="214" customFormat="1" ht="44.25" customHeight="1" x14ac:dyDescent="0.2"/>
    <row r="215" customFormat="1" ht="44.25" customHeight="1" x14ac:dyDescent="0.2"/>
    <row r="216" customFormat="1" ht="44.25" customHeight="1" x14ac:dyDescent="0.2"/>
    <row r="217" customFormat="1" ht="44.25" customHeight="1" x14ac:dyDescent="0.2"/>
    <row r="218" customFormat="1" ht="44.25" customHeight="1" x14ac:dyDescent="0.2"/>
    <row r="219" customFormat="1" ht="44.25" customHeight="1" x14ac:dyDescent="0.2"/>
    <row r="220" customFormat="1" ht="44.25" customHeight="1" x14ac:dyDescent="0.2"/>
    <row r="221" customFormat="1" ht="44.25" customHeight="1" x14ac:dyDescent="0.2"/>
    <row r="222" customFormat="1" ht="44.25" customHeight="1" x14ac:dyDescent="0.2"/>
    <row r="223" customFormat="1" ht="44.25" customHeight="1" x14ac:dyDescent="0.2"/>
    <row r="224" customFormat="1" ht="44.25" customHeight="1" x14ac:dyDescent="0.2"/>
    <row r="225" customFormat="1" ht="44.25" customHeight="1" x14ac:dyDescent="0.2"/>
    <row r="226" customFormat="1" ht="44.25" customHeight="1" x14ac:dyDescent="0.2"/>
    <row r="227" customFormat="1" ht="44.25" customHeight="1" x14ac:dyDescent="0.2"/>
    <row r="228" customFormat="1" ht="44.25" customHeight="1" x14ac:dyDescent="0.2"/>
    <row r="229" customFormat="1" ht="44.25" customHeight="1" x14ac:dyDescent="0.2"/>
    <row r="230" customFormat="1" ht="44.25" customHeight="1" x14ac:dyDescent="0.2"/>
    <row r="231" customFormat="1" ht="44.25" customHeight="1" x14ac:dyDescent="0.2"/>
    <row r="232" customFormat="1" ht="44.25" customHeight="1" x14ac:dyDescent="0.2"/>
    <row r="233" customFormat="1" ht="44.25" customHeight="1" x14ac:dyDescent="0.2"/>
    <row r="234" customFormat="1" ht="44.25" customHeight="1" x14ac:dyDescent="0.2"/>
    <row r="235" customFormat="1" ht="44.25" customHeight="1" x14ac:dyDescent="0.2"/>
    <row r="236" customFormat="1" ht="44.25" customHeight="1" x14ac:dyDescent="0.2"/>
    <row r="237" customFormat="1" ht="44.25" customHeight="1" x14ac:dyDescent="0.2"/>
    <row r="238" customFormat="1" ht="44.25" customHeight="1" x14ac:dyDescent="0.2"/>
    <row r="239" customFormat="1" ht="44.25" customHeight="1" x14ac:dyDescent="0.2"/>
    <row r="240" customFormat="1" ht="44.25" customHeight="1" x14ac:dyDescent="0.2"/>
    <row r="241" customFormat="1" ht="44.25" customHeight="1" x14ac:dyDescent="0.2"/>
    <row r="242" customFormat="1" ht="44.25" customHeight="1" x14ac:dyDescent="0.2"/>
    <row r="243" customFormat="1" ht="44.25" customHeight="1" x14ac:dyDescent="0.2"/>
    <row r="244" customFormat="1" ht="44.25" customHeight="1" x14ac:dyDescent="0.2"/>
    <row r="245" customFormat="1" ht="44.25" customHeight="1" x14ac:dyDescent="0.2"/>
    <row r="246" customFormat="1" ht="44.25" customHeight="1" x14ac:dyDescent="0.2"/>
    <row r="247" customFormat="1" ht="44.25" customHeight="1" x14ac:dyDescent="0.2"/>
    <row r="248" customFormat="1" ht="44.25" customHeight="1" x14ac:dyDescent="0.2"/>
    <row r="249" customFormat="1" ht="44.25" customHeight="1" x14ac:dyDescent="0.2"/>
    <row r="250" customFormat="1" ht="44.25" customHeight="1" x14ac:dyDescent="0.2"/>
    <row r="251" customFormat="1" ht="44.25" customHeight="1" x14ac:dyDescent="0.2"/>
    <row r="252" customFormat="1" ht="44.25" customHeight="1" x14ac:dyDescent="0.2"/>
    <row r="253" customFormat="1" ht="44.25" customHeight="1" x14ac:dyDescent="0.2"/>
    <row r="254" customFormat="1" ht="44.25" customHeight="1" x14ac:dyDescent="0.2"/>
    <row r="255" customFormat="1" ht="44.25" customHeight="1" x14ac:dyDescent="0.2"/>
    <row r="256" customFormat="1" ht="44.25" customHeight="1" x14ac:dyDescent="0.2"/>
    <row r="257" customFormat="1" ht="44.25" customHeight="1" x14ac:dyDescent="0.2"/>
    <row r="258" customFormat="1" ht="44.25" customHeight="1" x14ac:dyDescent="0.2"/>
    <row r="259" customFormat="1" ht="44.25" customHeight="1" x14ac:dyDescent="0.2"/>
    <row r="260" customFormat="1" ht="44.25" customHeight="1" x14ac:dyDescent="0.2"/>
    <row r="261" customFormat="1" ht="44.25" customHeight="1" x14ac:dyDescent="0.2"/>
    <row r="262" customFormat="1" ht="44.25" customHeight="1" x14ac:dyDescent="0.2"/>
    <row r="263" customFormat="1" ht="44.25" customHeight="1" x14ac:dyDescent="0.2"/>
    <row r="264" customFormat="1" ht="44.25" customHeight="1" x14ac:dyDescent="0.2"/>
    <row r="265" customFormat="1" ht="44.25" customHeight="1" x14ac:dyDescent="0.2"/>
    <row r="266" customFormat="1" ht="44.25" customHeight="1" x14ac:dyDescent="0.2"/>
    <row r="267" customFormat="1" ht="44.25" customHeight="1" x14ac:dyDescent="0.2"/>
    <row r="268" customFormat="1" ht="44.25" customHeight="1" x14ac:dyDescent="0.2"/>
    <row r="269" customFormat="1" ht="44.25" customHeight="1" x14ac:dyDescent="0.2"/>
    <row r="270" customFormat="1" ht="44.25" customHeight="1" x14ac:dyDescent="0.2"/>
    <row r="271" customFormat="1" ht="44.25" customHeight="1" x14ac:dyDescent="0.2"/>
    <row r="272" customFormat="1" ht="44.25" customHeight="1" x14ac:dyDescent="0.2"/>
    <row r="273" customFormat="1" ht="44.25" customHeight="1" x14ac:dyDescent="0.2"/>
    <row r="274" customFormat="1" ht="44.25" customHeight="1" x14ac:dyDescent="0.2"/>
    <row r="275" customFormat="1" ht="44.25" customHeight="1" x14ac:dyDescent="0.2"/>
    <row r="276" customFormat="1" ht="44.25" customHeight="1" x14ac:dyDescent="0.2"/>
    <row r="277" customFormat="1" ht="44.25" customHeight="1" x14ac:dyDescent="0.2"/>
    <row r="278" customFormat="1" ht="44.25" customHeight="1" x14ac:dyDescent="0.2"/>
    <row r="279" customFormat="1" ht="44.25" customHeight="1" x14ac:dyDescent="0.2"/>
    <row r="280" customFormat="1" ht="44.25" customHeight="1" x14ac:dyDescent="0.2"/>
    <row r="281" customFormat="1" ht="44.25" customHeight="1" x14ac:dyDescent="0.2"/>
    <row r="282" customFormat="1" ht="44.25" customHeight="1" x14ac:dyDescent="0.2"/>
    <row r="283" customFormat="1" ht="44.25" customHeight="1" x14ac:dyDescent="0.2"/>
    <row r="284" customFormat="1" ht="44.25" customHeight="1" x14ac:dyDescent="0.2"/>
    <row r="285" customFormat="1" ht="44.25" customHeight="1" x14ac:dyDescent="0.2"/>
    <row r="286" customFormat="1" ht="44.25" customHeight="1" x14ac:dyDescent="0.2"/>
    <row r="287" customFormat="1" ht="44.25" customHeight="1" x14ac:dyDescent="0.2"/>
    <row r="288" customFormat="1" ht="44.25" customHeight="1" x14ac:dyDescent="0.2"/>
    <row r="289" customFormat="1" ht="44.25" customHeight="1" x14ac:dyDescent="0.2"/>
    <row r="290" customFormat="1" ht="44.25" customHeight="1" x14ac:dyDescent="0.2"/>
    <row r="291" customFormat="1" ht="44.25" customHeight="1" x14ac:dyDescent="0.2"/>
    <row r="292" customFormat="1" ht="44.25" customHeight="1" x14ac:dyDescent="0.2"/>
    <row r="293" customFormat="1" ht="44.25" customHeight="1" x14ac:dyDescent="0.2"/>
    <row r="294" customFormat="1" ht="44.25" customHeight="1" x14ac:dyDescent="0.2"/>
    <row r="295" customFormat="1" ht="44.25" customHeight="1" x14ac:dyDescent="0.2"/>
    <row r="296" customFormat="1" ht="44.25" customHeight="1" x14ac:dyDescent="0.2"/>
    <row r="297" customFormat="1" ht="44.25" customHeight="1" x14ac:dyDescent="0.2"/>
    <row r="298" customFormat="1" ht="44.25" customHeight="1" x14ac:dyDescent="0.2"/>
    <row r="299" customFormat="1" ht="44.25" customHeight="1" x14ac:dyDescent="0.2"/>
    <row r="300" customFormat="1" ht="44.25" customHeight="1" x14ac:dyDescent="0.2"/>
    <row r="301" customFormat="1" ht="44.25" customHeight="1" x14ac:dyDescent="0.2"/>
    <row r="302" customFormat="1" ht="44.25" customHeight="1" x14ac:dyDescent="0.2"/>
    <row r="303" customFormat="1" ht="44.25" customHeight="1" x14ac:dyDescent="0.2"/>
    <row r="304" customFormat="1" ht="44.25" customHeight="1" x14ac:dyDescent="0.2"/>
    <row r="305" customFormat="1" ht="44.25" customHeight="1" x14ac:dyDescent="0.2"/>
    <row r="306" customFormat="1" ht="44.25" customHeight="1" x14ac:dyDescent="0.2"/>
    <row r="307" customFormat="1" ht="44.25" customHeight="1" x14ac:dyDescent="0.2"/>
    <row r="308" customFormat="1" ht="44.25" customHeight="1" x14ac:dyDescent="0.2"/>
    <row r="309" customFormat="1" ht="44.25" customHeight="1" x14ac:dyDescent="0.2"/>
    <row r="310" customFormat="1" ht="44.25" customHeight="1" x14ac:dyDescent="0.2"/>
    <row r="311" customFormat="1" ht="44.25" customHeight="1" x14ac:dyDescent="0.2"/>
    <row r="312" customFormat="1" ht="44.25" customHeight="1" x14ac:dyDescent="0.2"/>
    <row r="313" customFormat="1" ht="44.25" customHeight="1" x14ac:dyDescent="0.2"/>
    <row r="314" customFormat="1" ht="44.25" customHeight="1" x14ac:dyDescent="0.2"/>
    <row r="315" customFormat="1" ht="44.25" customHeight="1" x14ac:dyDescent="0.2"/>
    <row r="316" customFormat="1" ht="44.25" customHeight="1" x14ac:dyDescent="0.2"/>
    <row r="317" customFormat="1" ht="44.25" customHeight="1" x14ac:dyDescent="0.2"/>
    <row r="318" customFormat="1" ht="44.25" customHeight="1" x14ac:dyDescent="0.2"/>
    <row r="319" customFormat="1" ht="44.25" customHeight="1" x14ac:dyDescent="0.2"/>
    <row r="320" customFormat="1" ht="44.25" customHeight="1" x14ac:dyDescent="0.2"/>
    <row r="321" customFormat="1" ht="44.25" customHeight="1" x14ac:dyDescent="0.2"/>
    <row r="322" customFormat="1" ht="44.25" customHeight="1" x14ac:dyDescent="0.2"/>
    <row r="323" customFormat="1" ht="44.25" customHeight="1" x14ac:dyDescent="0.2"/>
    <row r="324" customFormat="1" ht="44.25" customHeight="1" x14ac:dyDescent="0.2"/>
    <row r="325" customFormat="1" x14ac:dyDescent="0.2"/>
    <row r="326" customFormat="1" x14ac:dyDescent="0.2"/>
    <row r="327" customFormat="1" x14ac:dyDescent="0.2"/>
    <row r="328" customFormat="1" x14ac:dyDescent="0.2"/>
    <row r="329" customFormat="1" x14ac:dyDescent="0.2"/>
    <row r="330" customFormat="1" x14ac:dyDescent="0.2"/>
    <row r="331" customFormat="1" x14ac:dyDescent="0.2"/>
    <row r="332" customFormat="1" x14ac:dyDescent="0.2"/>
    <row r="333" customFormat="1" x14ac:dyDescent="0.2"/>
    <row r="334" customFormat="1" x14ac:dyDescent="0.2"/>
    <row r="335" customFormat="1" x14ac:dyDescent="0.2"/>
    <row r="336" customFormat="1" x14ac:dyDescent="0.2"/>
    <row r="337" customFormat="1" x14ac:dyDescent="0.2"/>
    <row r="338" customFormat="1" x14ac:dyDescent="0.2"/>
    <row r="339" customFormat="1" x14ac:dyDescent="0.2"/>
    <row r="340" customFormat="1" x14ac:dyDescent="0.2"/>
    <row r="341" customFormat="1" x14ac:dyDescent="0.2"/>
    <row r="342" customFormat="1" x14ac:dyDescent="0.2"/>
    <row r="343" customFormat="1" x14ac:dyDescent="0.2"/>
    <row r="344" customFormat="1" x14ac:dyDescent="0.2"/>
    <row r="345" customFormat="1" x14ac:dyDescent="0.2"/>
    <row r="346" customFormat="1" x14ac:dyDescent="0.2"/>
    <row r="347" customFormat="1" x14ac:dyDescent="0.2"/>
    <row r="348" customFormat="1" x14ac:dyDescent="0.2"/>
    <row r="349" customFormat="1" x14ac:dyDescent="0.2"/>
    <row r="350" customFormat="1" x14ac:dyDescent="0.2"/>
    <row r="351" customFormat="1" x14ac:dyDescent="0.2"/>
    <row r="352" customFormat="1" x14ac:dyDescent="0.2"/>
    <row r="353" customFormat="1" x14ac:dyDescent="0.2"/>
    <row r="354" customFormat="1" x14ac:dyDescent="0.2"/>
    <row r="355" customFormat="1" x14ac:dyDescent="0.2"/>
    <row r="356" customFormat="1" x14ac:dyDescent="0.2"/>
    <row r="357" customFormat="1" x14ac:dyDescent="0.2"/>
    <row r="358" customFormat="1" x14ac:dyDescent="0.2"/>
    <row r="359" customFormat="1" x14ac:dyDescent="0.2"/>
    <row r="360" customFormat="1" x14ac:dyDescent="0.2"/>
    <row r="361" customFormat="1" x14ac:dyDescent="0.2"/>
    <row r="362" customFormat="1" x14ac:dyDescent="0.2"/>
    <row r="363" customFormat="1" x14ac:dyDescent="0.2"/>
    <row r="364" customFormat="1" x14ac:dyDescent="0.2"/>
    <row r="365" customFormat="1" x14ac:dyDescent="0.2"/>
    <row r="366" customFormat="1" x14ac:dyDescent="0.2"/>
    <row r="367" customFormat="1" x14ac:dyDescent="0.2"/>
    <row r="368" customFormat="1" x14ac:dyDescent="0.2"/>
    <row r="369" customFormat="1" x14ac:dyDescent="0.2"/>
    <row r="370" customFormat="1" x14ac:dyDescent="0.2"/>
    <row r="371" customFormat="1" x14ac:dyDescent="0.2"/>
    <row r="372" customFormat="1" x14ac:dyDescent="0.2"/>
    <row r="373" customFormat="1" x14ac:dyDescent="0.2"/>
    <row r="374" customFormat="1" x14ac:dyDescent="0.2"/>
    <row r="375" customFormat="1" x14ac:dyDescent="0.2"/>
    <row r="376" customFormat="1" x14ac:dyDescent="0.2"/>
    <row r="377" customFormat="1" x14ac:dyDescent="0.2"/>
    <row r="378" customFormat="1" x14ac:dyDescent="0.2"/>
    <row r="379" customFormat="1" x14ac:dyDescent="0.2"/>
    <row r="380" customFormat="1" x14ac:dyDescent="0.2"/>
    <row r="381" customFormat="1" x14ac:dyDescent="0.2"/>
    <row r="382" customFormat="1" x14ac:dyDescent="0.2"/>
    <row r="383" customFormat="1" x14ac:dyDescent="0.2"/>
    <row r="384" customFormat="1" x14ac:dyDescent="0.2"/>
    <row r="385" customFormat="1" x14ac:dyDescent="0.2"/>
    <row r="386" customFormat="1" x14ac:dyDescent="0.2"/>
    <row r="387" customFormat="1" x14ac:dyDescent="0.2"/>
    <row r="388" customFormat="1" x14ac:dyDescent="0.2"/>
    <row r="389" customFormat="1" x14ac:dyDescent="0.2"/>
    <row r="390" customFormat="1" x14ac:dyDescent="0.2"/>
    <row r="391" customFormat="1" x14ac:dyDescent="0.2"/>
    <row r="392" customFormat="1" x14ac:dyDescent="0.2"/>
    <row r="393" customFormat="1" x14ac:dyDescent="0.2"/>
    <row r="394" customFormat="1" x14ac:dyDescent="0.2"/>
    <row r="395" customFormat="1" x14ac:dyDescent="0.2"/>
    <row r="396" customFormat="1" x14ac:dyDescent="0.2"/>
    <row r="397" customFormat="1" x14ac:dyDescent="0.2"/>
    <row r="398" customFormat="1" x14ac:dyDescent="0.2"/>
    <row r="399" customFormat="1" x14ac:dyDescent="0.2"/>
    <row r="400" customFormat="1" x14ac:dyDescent="0.2"/>
  </sheetData>
  <autoFilter ref="A1:AD122" xr:uid="{D8002233-7EB2-4D60-8A20-F032840B89A4}"/>
  <sortState xmlns:xlrd2="http://schemas.microsoft.com/office/spreadsheetml/2017/richdata2" ref="A2:AD326">
    <sortCondition sortBy="cellColor" ref="E1:E500" dxfId="26"/>
  </sortState>
  <conditionalFormatting sqref="AD1:AD122">
    <cfRule type="cellIs" dxfId="25" priority="2" operator="equal">
      <formula>"NO"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EF7615-613D-4B8D-8CFE-370DB401DF3E}">
  <sheetPr codeName="Sheet5"/>
  <dimension ref="A1:AW400"/>
  <sheetViews>
    <sheetView topLeftCell="B1" zoomScale="55" zoomScaleNormal="55" workbookViewId="0">
      <selection activeCell="B2" sqref="A2:XFD400"/>
    </sheetView>
  </sheetViews>
  <sheetFormatPr defaultColWidth="0" defaultRowHeight="12.75" x14ac:dyDescent="0.2"/>
  <cols>
    <col min="2" max="2" width="14.85546875" customWidth="1"/>
    <col min="4" max="4" width="17.5703125" customWidth="1"/>
    <col min="5" max="5" width="17.28515625" customWidth="1"/>
    <col min="6" max="6" width="18.7109375" customWidth="1"/>
    <col min="7" max="7" width="16" customWidth="1"/>
    <col min="8" max="8" width="63.7109375" customWidth="1"/>
    <col min="9" max="9" width="48.42578125" customWidth="1"/>
    <col min="10" max="10" width="12.85546875" customWidth="1"/>
    <col min="11" max="11" width="16.42578125" customWidth="1"/>
    <col min="14" max="14" width="9.140625" customWidth="1"/>
    <col min="17" max="18" width="19.5703125" customWidth="1"/>
    <col min="30" max="30" width="19" customWidth="1"/>
  </cols>
  <sheetData>
    <row r="1" spans="1:49" s="8" customFormat="1" ht="33.950000000000003" customHeight="1" x14ac:dyDescent="0.25">
      <c r="A1" s="1" t="s">
        <v>10</v>
      </c>
      <c r="B1" s="2" t="s">
        <v>0</v>
      </c>
      <c r="C1" s="2" t="s">
        <v>1</v>
      </c>
      <c r="D1" s="1" t="s">
        <v>2</v>
      </c>
      <c r="E1" s="3" t="s">
        <v>3</v>
      </c>
      <c r="F1" s="3" t="s">
        <v>4</v>
      </c>
      <c r="G1" s="3" t="s">
        <v>5</v>
      </c>
      <c r="H1" s="1" t="s">
        <v>27</v>
      </c>
      <c r="I1" s="3" t="s">
        <v>11</v>
      </c>
      <c r="J1" s="1" t="s">
        <v>6</v>
      </c>
      <c r="K1" s="1" t="s">
        <v>26</v>
      </c>
      <c r="L1" s="4" t="s">
        <v>12</v>
      </c>
      <c r="M1" s="4" t="s">
        <v>13</v>
      </c>
      <c r="N1" s="1" t="s">
        <v>7</v>
      </c>
      <c r="O1" s="4" t="s">
        <v>14</v>
      </c>
      <c r="P1" s="6" t="s">
        <v>15</v>
      </c>
      <c r="Q1" s="1" t="s">
        <v>16</v>
      </c>
      <c r="R1" s="6" t="s">
        <v>8</v>
      </c>
      <c r="S1" s="1" t="s">
        <v>17</v>
      </c>
      <c r="T1" s="6" t="s">
        <v>18</v>
      </c>
      <c r="U1" s="5" t="s">
        <v>28</v>
      </c>
      <c r="V1" s="6" t="s">
        <v>19</v>
      </c>
      <c r="W1" s="1" t="s">
        <v>20</v>
      </c>
      <c r="X1" s="1" t="s">
        <v>21</v>
      </c>
      <c r="Y1" s="1" t="s">
        <v>22</v>
      </c>
      <c r="Z1" s="1" t="s">
        <v>9</v>
      </c>
      <c r="AA1" s="1" t="s">
        <v>23</v>
      </c>
      <c r="AB1" s="1" t="s">
        <v>24</v>
      </c>
      <c r="AC1" s="1" t="s">
        <v>25</v>
      </c>
      <c r="AD1" s="7" t="str">
        <f>IF(N1="PRG","",IF(I1&gt;=E1,IF(I1&lt;=F1,"","NO"),"NO"))</f>
        <v>NO</v>
      </c>
    </row>
    <row r="2" spans="1:49" s="47" customFormat="1" ht="35.1" customHeight="1" x14ac:dyDescent="0.25">
      <c r="A2" s="9" t="s">
        <v>29</v>
      </c>
      <c r="B2" s="10">
        <v>46052</v>
      </c>
      <c r="C2" s="10">
        <v>46052</v>
      </c>
      <c r="D2" s="11" t="s">
        <v>217</v>
      </c>
      <c r="E2" s="12">
        <v>0</v>
      </c>
      <c r="F2" s="12">
        <v>0.25</v>
      </c>
      <c r="G2" s="12">
        <v>0.25</v>
      </c>
      <c r="H2" s="9" t="s">
        <v>31</v>
      </c>
      <c r="I2" s="13"/>
      <c r="J2" s="9" t="s">
        <v>32</v>
      </c>
      <c r="K2" s="9" t="s">
        <v>31</v>
      </c>
      <c r="L2" s="14">
        <v>1</v>
      </c>
      <c r="M2" s="14">
        <v>1</v>
      </c>
      <c r="N2" s="9" t="s">
        <v>33</v>
      </c>
      <c r="O2" s="9"/>
      <c r="P2" s="15">
        <v>0</v>
      </c>
      <c r="Q2" s="14"/>
      <c r="R2" s="15">
        <v>0</v>
      </c>
      <c r="S2" s="9">
        <v>46054</v>
      </c>
      <c r="T2" s="16">
        <v>0</v>
      </c>
      <c r="U2" s="14">
        <v>1</v>
      </c>
      <c r="V2" s="16">
        <v>0</v>
      </c>
      <c r="W2" s="9" t="s">
        <v>34</v>
      </c>
      <c r="X2" s="9" t="s">
        <v>35</v>
      </c>
      <c r="Y2" s="9" t="s">
        <v>36</v>
      </c>
      <c r="Z2" s="9" t="s">
        <v>9</v>
      </c>
      <c r="AA2" s="9" t="s">
        <v>37</v>
      </c>
      <c r="AB2" s="9" t="s">
        <v>37</v>
      </c>
      <c r="AC2" s="9" t="s">
        <v>38</v>
      </c>
      <c r="AD2" s="7" t="str">
        <f t="shared" ref="AD2:AD65" si="0">IF(N2="PRG","",IF(I2&gt;=E2,IF(I2&lt;=F2,"","NO"),"NO"))</f>
        <v/>
      </c>
      <c r="AE2" s="26"/>
      <c r="AF2" s="26"/>
      <c r="AG2" s="26"/>
      <c r="AH2" s="26"/>
      <c r="AI2" s="26"/>
      <c r="AJ2" s="26"/>
      <c r="AK2" s="26"/>
      <c r="AL2" s="26"/>
      <c r="AM2" s="26"/>
      <c r="AN2" s="26"/>
      <c r="AO2" s="26"/>
      <c r="AP2" s="26"/>
      <c r="AQ2" s="26"/>
      <c r="AR2" s="26"/>
      <c r="AS2" s="26"/>
      <c r="AT2" s="26"/>
      <c r="AU2" s="26"/>
      <c r="AV2" s="26"/>
      <c r="AW2" s="26"/>
    </row>
    <row r="3" spans="1:49" s="47" customFormat="1" ht="35.1" customHeight="1" x14ac:dyDescent="0.25">
      <c r="A3" s="9" t="s">
        <v>39</v>
      </c>
      <c r="B3" s="10">
        <v>46052</v>
      </c>
      <c r="C3" s="10">
        <v>46052</v>
      </c>
      <c r="D3" s="11" t="s">
        <v>217</v>
      </c>
      <c r="E3" s="12">
        <v>0.25</v>
      </c>
      <c r="F3" s="12">
        <v>0.29166666666666669</v>
      </c>
      <c r="G3" s="12">
        <v>4.1666666666666664E-2</v>
      </c>
      <c r="H3" s="9" t="s">
        <v>40</v>
      </c>
      <c r="I3" s="13"/>
      <c r="J3" s="9" t="s">
        <v>41</v>
      </c>
      <c r="K3" s="9"/>
      <c r="L3" s="14">
        <v>1</v>
      </c>
      <c r="M3" s="14">
        <v>1</v>
      </c>
      <c r="N3" s="9" t="s">
        <v>33</v>
      </c>
      <c r="O3" s="9"/>
      <c r="P3" s="15">
        <v>0</v>
      </c>
      <c r="Q3" s="14"/>
      <c r="R3" s="15">
        <v>0</v>
      </c>
      <c r="S3" s="9">
        <v>46054</v>
      </c>
      <c r="T3" s="15">
        <v>0</v>
      </c>
      <c r="U3" s="14">
        <v>2</v>
      </c>
      <c r="V3" s="15">
        <v>0</v>
      </c>
      <c r="W3" s="9" t="s">
        <v>34</v>
      </c>
      <c r="X3" s="9" t="s">
        <v>42</v>
      </c>
      <c r="Y3" s="9" t="s">
        <v>36</v>
      </c>
      <c r="Z3" s="9" t="s">
        <v>43</v>
      </c>
      <c r="AA3" s="9" t="s">
        <v>37</v>
      </c>
      <c r="AB3" s="9" t="s">
        <v>37</v>
      </c>
      <c r="AC3" s="9" t="s">
        <v>38</v>
      </c>
      <c r="AD3" s="7" t="str">
        <f t="shared" si="0"/>
        <v/>
      </c>
      <c r="AE3" s="26"/>
      <c r="AF3" s="26"/>
      <c r="AG3" s="26"/>
      <c r="AH3" s="26"/>
      <c r="AI3" s="27"/>
      <c r="AJ3" s="27"/>
      <c r="AK3" s="27"/>
      <c r="AL3" s="27"/>
      <c r="AM3" s="27"/>
      <c r="AN3" s="27"/>
      <c r="AO3" s="27"/>
      <c r="AP3" s="27"/>
      <c r="AQ3" s="27"/>
      <c r="AR3" s="27"/>
      <c r="AS3" s="27"/>
      <c r="AT3" s="27"/>
      <c r="AU3" s="27"/>
      <c r="AV3" s="27"/>
      <c r="AW3" s="27"/>
    </row>
    <row r="4" spans="1:49" s="47" customFormat="1" ht="35.1" customHeight="1" x14ac:dyDescent="0.25">
      <c r="A4" s="9" t="s">
        <v>65</v>
      </c>
      <c r="B4" s="10">
        <v>46052</v>
      </c>
      <c r="C4" s="10">
        <v>46052</v>
      </c>
      <c r="D4" s="11" t="s">
        <v>217</v>
      </c>
      <c r="E4" s="12">
        <v>0.29166666666666669</v>
      </c>
      <c r="F4" s="12">
        <v>0.3125</v>
      </c>
      <c r="G4" s="12">
        <v>2.0833333333333332E-2</v>
      </c>
      <c r="H4" s="9" t="s">
        <v>218</v>
      </c>
      <c r="I4" s="13" t="s">
        <v>209</v>
      </c>
      <c r="J4" s="9" t="s">
        <v>41</v>
      </c>
      <c r="K4" s="9"/>
      <c r="L4" s="14">
        <v>1</v>
      </c>
      <c r="M4" s="14">
        <v>1</v>
      </c>
      <c r="N4" s="9" t="s">
        <v>33</v>
      </c>
      <c r="O4" s="9"/>
      <c r="P4" s="16">
        <v>0</v>
      </c>
      <c r="Q4" s="14"/>
      <c r="R4" s="16">
        <v>0</v>
      </c>
      <c r="S4" s="9">
        <v>46054</v>
      </c>
      <c r="T4" s="16">
        <v>0</v>
      </c>
      <c r="U4" s="14">
        <v>2</v>
      </c>
      <c r="V4" s="16">
        <v>0</v>
      </c>
      <c r="W4" s="9" t="s">
        <v>34</v>
      </c>
      <c r="X4" s="9" t="s">
        <v>42</v>
      </c>
      <c r="Y4" s="9" t="s">
        <v>36</v>
      </c>
      <c r="Z4" s="9" t="s">
        <v>43</v>
      </c>
      <c r="AA4" s="9" t="s">
        <v>37</v>
      </c>
      <c r="AB4" s="9" t="s">
        <v>37</v>
      </c>
      <c r="AC4" s="9" t="s">
        <v>38</v>
      </c>
      <c r="AD4" s="7" t="str">
        <f t="shared" si="0"/>
        <v/>
      </c>
      <c r="AE4" s="26"/>
      <c r="AF4" s="26"/>
      <c r="AG4" s="26"/>
      <c r="AH4" s="26"/>
      <c r="AI4" s="27"/>
      <c r="AJ4" s="27"/>
      <c r="AK4" s="27"/>
      <c r="AL4" s="27"/>
      <c r="AM4" s="27"/>
      <c r="AN4" s="27"/>
      <c r="AO4" s="27"/>
      <c r="AP4" s="27"/>
      <c r="AQ4" s="27"/>
      <c r="AR4" s="27"/>
      <c r="AS4" s="27"/>
      <c r="AT4" s="27"/>
      <c r="AU4" s="27"/>
      <c r="AV4" s="27"/>
      <c r="AW4" s="27"/>
    </row>
    <row r="5" spans="1:49" s="47" customFormat="1" ht="35.1" customHeight="1" x14ac:dyDescent="0.2">
      <c r="A5" s="9" t="s">
        <v>65</v>
      </c>
      <c r="B5" s="10">
        <v>46052</v>
      </c>
      <c r="C5" s="10">
        <v>46052</v>
      </c>
      <c r="D5" s="11" t="s">
        <v>217</v>
      </c>
      <c r="E5" s="12">
        <v>0.3125</v>
      </c>
      <c r="F5" s="12">
        <v>0.33333333333333331</v>
      </c>
      <c r="G5" s="12">
        <v>2.0833333333333332E-2</v>
      </c>
      <c r="H5" s="9" t="s">
        <v>218</v>
      </c>
      <c r="I5" s="13" t="s">
        <v>209</v>
      </c>
      <c r="J5" s="9" t="s">
        <v>41</v>
      </c>
      <c r="K5" s="9"/>
      <c r="L5" s="14">
        <v>1</v>
      </c>
      <c r="M5" s="14">
        <v>1</v>
      </c>
      <c r="N5" s="9" t="s">
        <v>33</v>
      </c>
      <c r="O5" s="9"/>
      <c r="P5" s="16">
        <v>0</v>
      </c>
      <c r="Q5" s="14"/>
      <c r="R5" s="16">
        <v>0</v>
      </c>
      <c r="S5" s="9">
        <v>46054</v>
      </c>
      <c r="T5" s="16">
        <v>0</v>
      </c>
      <c r="U5" s="14">
        <v>2</v>
      </c>
      <c r="V5" s="16">
        <v>0</v>
      </c>
      <c r="W5" s="9" t="s">
        <v>34</v>
      </c>
      <c r="X5" s="9" t="s">
        <v>42</v>
      </c>
      <c r="Y5" s="9" t="s">
        <v>36</v>
      </c>
      <c r="Z5" s="9" t="s">
        <v>43</v>
      </c>
      <c r="AA5" s="9" t="s">
        <v>37</v>
      </c>
      <c r="AB5" s="9" t="s">
        <v>37</v>
      </c>
      <c r="AC5" s="9" t="s">
        <v>38</v>
      </c>
      <c r="AD5" s="7" t="str">
        <f t="shared" si="0"/>
        <v/>
      </c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</row>
    <row r="6" spans="1:49" s="47" customFormat="1" ht="35.1" customHeight="1" x14ac:dyDescent="0.2">
      <c r="A6" s="9" t="s">
        <v>68</v>
      </c>
      <c r="B6" s="10">
        <v>46052</v>
      </c>
      <c r="C6" s="10">
        <v>46052</v>
      </c>
      <c r="D6" s="11" t="s">
        <v>217</v>
      </c>
      <c r="E6" s="12">
        <v>0.33333333333333331</v>
      </c>
      <c r="F6" s="12">
        <v>0.375</v>
      </c>
      <c r="G6" s="12">
        <v>4.1666666666666664E-2</v>
      </c>
      <c r="H6" s="9" t="s">
        <v>69</v>
      </c>
      <c r="I6" s="13"/>
      <c r="J6" s="9" t="s">
        <v>70</v>
      </c>
      <c r="K6" s="9"/>
      <c r="L6" s="14">
        <v>1</v>
      </c>
      <c r="M6" s="14">
        <v>1</v>
      </c>
      <c r="N6" s="9" t="s">
        <v>33</v>
      </c>
      <c r="O6" s="9"/>
      <c r="P6" s="16">
        <v>0</v>
      </c>
      <c r="Q6" s="14"/>
      <c r="R6" s="16">
        <v>0</v>
      </c>
      <c r="S6" s="9">
        <v>46054</v>
      </c>
      <c r="T6" s="16">
        <v>0</v>
      </c>
      <c r="U6" s="14">
        <v>2</v>
      </c>
      <c r="V6" s="16">
        <v>0</v>
      </c>
      <c r="W6" s="9" t="s">
        <v>34</v>
      </c>
      <c r="X6" s="9" t="s">
        <v>42</v>
      </c>
      <c r="Y6" s="9" t="s">
        <v>36</v>
      </c>
      <c r="Z6" s="9" t="s">
        <v>43</v>
      </c>
      <c r="AA6" s="9" t="s">
        <v>37</v>
      </c>
      <c r="AB6" s="9" t="s">
        <v>37</v>
      </c>
      <c r="AC6" s="9" t="s">
        <v>38</v>
      </c>
      <c r="AD6" s="7" t="str">
        <f t="shared" si="0"/>
        <v/>
      </c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</row>
    <row r="7" spans="1:49" s="47" customFormat="1" ht="35.1" customHeight="1" x14ac:dyDescent="0.2">
      <c r="A7" s="9" t="s">
        <v>68</v>
      </c>
      <c r="B7" s="10">
        <v>46052</v>
      </c>
      <c r="C7" s="10">
        <v>46052</v>
      </c>
      <c r="D7" s="11" t="s">
        <v>217</v>
      </c>
      <c r="E7" s="12">
        <v>0.375</v>
      </c>
      <c r="F7" s="12">
        <v>0.41666666666666669</v>
      </c>
      <c r="G7" s="12">
        <v>4.1666666666666664E-2</v>
      </c>
      <c r="H7" s="9" t="s">
        <v>71</v>
      </c>
      <c r="I7" s="13"/>
      <c r="J7" s="9" t="s">
        <v>70</v>
      </c>
      <c r="K7" s="9"/>
      <c r="L7" s="14">
        <v>1</v>
      </c>
      <c r="M7" s="14">
        <v>1</v>
      </c>
      <c r="N7" s="9" t="s">
        <v>33</v>
      </c>
      <c r="O7" s="9"/>
      <c r="P7" s="16">
        <v>0</v>
      </c>
      <c r="Q7" s="14"/>
      <c r="R7" s="16">
        <v>0</v>
      </c>
      <c r="S7" s="9">
        <v>46054</v>
      </c>
      <c r="T7" s="16">
        <v>0</v>
      </c>
      <c r="U7" s="14">
        <v>2</v>
      </c>
      <c r="V7" s="16">
        <v>0</v>
      </c>
      <c r="W7" s="9" t="s">
        <v>34</v>
      </c>
      <c r="X7" s="9" t="s">
        <v>42</v>
      </c>
      <c r="Y7" s="9" t="s">
        <v>36</v>
      </c>
      <c r="Z7" s="9" t="s">
        <v>43</v>
      </c>
      <c r="AA7" s="9" t="s">
        <v>37</v>
      </c>
      <c r="AB7" s="9" t="s">
        <v>37</v>
      </c>
      <c r="AC7" s="9" t="s">
        <v>38</v>
      </c>
      <c r="AD7" s="7" t="str">
        <f t="shared" si="0"/>
        <v/>
      </c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</row>
    <row r="8" spans="1:49" s="50" customFormat="1" ht="35.1" customHeight="1" x14ac:dyDescent="0.2">
      <c r="A8" s="18" t="s">
        <v>44</v>
      </c>
      <c r="B8" s="19">
        <v>46052</v>
      </c>
      <c r="C8" s="19">
        <v>46052</v>
      </c>
      <c r="D8" s="18" t="s">
        <v>217</v>
      </c>
      <c r="E8" s="20">
        <v>0.33333333333333331</v>
      </c>
      <c r="F8" s="20">
        <v>0.41666666666666669</v>
      </c>
      <c r="G8" s="20">
        <v>3.4722222222222218E-4</v>
      </c>
      <c r="H8" s="18" t="s">
        <v>172</v>
      </c>
      <c r="I8" s="21">
        <v>0.3805324074074074</v>
      </c>
      <c r="J8" s="18" t="s">
        <v>70</v>
      </c>
      <c r="K8" s="18" t="s">
        <v>71</v>
      </c>
      <c r="L8" s="22">
        <v>1</v>
      </c>
      <c r="M8" s="22">
        <v>70996</v>
      </c>
      <c r="N8" s="18" t="s">
        <v>46</v>
      </c>
      <c r="O8" s="22" t="str">
        <f>AC8</f>
        <v>CVC</v>
      </c>
      <c r="P8" s="23">
        <v>0</v>
      </c>
      <c r="Q8" s="22"/>
      <c r="R8" s="23">
        <v>0</v>
      </c>
      <c r="S8" s="24">
        <v>46054</v>
      </c>
      <c r="T8" s="23">
        <v>0</v>
      </c>
      <c r="U8" s="25">
        <v>4</v>
      </c>
      <c r="V8" s="23">
        <v>0</v>
      </c>
      <c r="W8" s="18" t="s">
        <v>47</v>
      </c>
      <c r="X8" s="18" t="s">
        <v>48</v>
      </c>
      <c r="Y8" s="18" t="s">
        <v>36</v>
      </c>
      <c r="Z8" s="18" t="s">
        <v>9</v>
      </c>
      <c r="AA8" s="18" t="s">
        <v>49</v>
      </c>
      <c r="AB8" s="18" t="s">
        <v>50</v>
      </c>
      <c r="AC8" s="18" t="s">
        <v>38</v>
      </c>
      <c r="AD8" s="7" t="str">
        <f t="shared" si="0"/>
        <v/>
      </c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</row>
    <row r="9" spans="1:49" s="47" customFormat="1" ht="35.1" customHeight="1" x14ac:dyDescent="0.2">
      <c r="A9" s="9" t="s">
        <v>72</v>
      </c>
      <c r="B9" s="10">
        <v>46052</v>
      </c>
      <c r="C9" s="10">
        <v>46052</v>
      </c>
      <c r="D9" s="11" t="s">
        <v>217</v>
      </c>
      <c r="E9" s="12">
        <v>0.41666666666666669</v>
      </c>
      <c r="F9" s="12">
        <v>0.45833333333333331</v>
      </c>
      <c r="G9" s="12">
        <v>4.1666666666666664E-2</v>
      </c>
      <c r="H9" s="9" t="s">
        <v>73</v>
      </c>
      <c r="I9" s="13"/>
      <c r="J9" s="9" t="s">
        <v>74</v>
      </c>
      <c r="K9" s="9"/>
      <c r="L9" s="14">
        <v>1</v>
      </c>
      <c r="M9" s="14">
        <v>1</v>
      </c>
      <c r="N9" s="9" t="s">
        <v>33</v>
      </c>
      <c r="O9" s="9"/>
      <c r="P9" s="16">
        <v>0</v>
      </c>
      <c r="Q9" s="14"/>
      <c r="R9" s="16">
        <v>0</v>
      </c>
      <c r="S9" s="9">
        <v>46054</v>
      </c>
      <c r="T9" s="16">
        <v>0</v>
      </c>
      <c r="U9" s="14">
        <v>2</v>
      </c>
      <c r="V9" s="16">
        <v>0</v>
      </c>
      <c r="W9" s="9" t="s">
        <v>34</v>
      </c>
      <c r="X9" s="9" t="s">
        <v>42</v>
      </c>
      <c r="Y9" s="9" t="s">
        <v>36</v>
      </c>
      <c r="Z9" s="9" t="s">
        <v>43</v>
      </c>
      <c r="AA9" s="9" t="s">
        <v>37</v>
      </c>
      <c r="AB9" s="9" t="s">
        <v>37</v>
      </c>
      <c r="AC9" s="9" t="s">
        <v>38</v>
      </c>
      <c r="AD9" s="7" t="str">
        <f t="shared" si="0"/>
        <v/>
      </c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</row>
    <row r="10" spans="1:49" s="47" customFormat="1" ht="35.1" customHeight="1" x14ac:dyDescent="0.2">
      <c r="A10" s="9" t="s">
        <v>75</v>
      </c>
      <c r="B10" s="10">
        <v>46052</v>
      </c>
      <c r="C10" s="10">
        <v>46052</v>
      </c>
      <c r="D10" s="11" t="s">
        <v>217</v>
      </c>
      <c r="E10" s="12">
        <v>0.45833333333333331</v>
      </c>
      <c r="F10" s="12">
        <v>0.47916666666666669</v>
      </c>
      <c r="G10" s="12">
        <v>2.0833333333333332E-2</v>
      </c>
      <c r="H10" s="9" t="s">
        <v>175</v>
      </c>
      <c r="I10" s="13"/>
      <c r="J10" s="9" t="s">
        <v>80</v>
      </c>
      <c r="K10" s="9"/>
      <c r="L10" s="14">
        <v>1</v>
      </c>
      <c r="M10" s="14">
        <v>1</v>
      </c>
      <c r="N10" s="9" t="s">
        <v>33</v>
      </c>
      <c r="O10" s="9"/>
      <c r="P10" s="16">
        <v>0</v>
      </c>
      <c r="Q10" s="14"/>
      <c r="R10" s="16">
        <v>0</v>
      </c>
      <c r="S10" s="9">
        <v>46054</v>
      </c>
      <c r="T10" s="16">
        <v>0</v>
      </c>
      <c r="U10" s="14">
        <v>2</v>
      </c>
      <c r="V10" s="16">
        <v>0</v>
      </c>
      <c r="W10" s="9" t="s">
        <v>34</v>
      </c>
      <c r="X10" s="9" t="s">
        <v>42</v>
      </c>
      <c r="Y10" s="9" t="s">
        <v>36</v>
      </c>
      <c r="Z10" s="9" t="s">
        <v>43</v>
      </c>
      <c r="AA10" s="9" t="s">
        <v>37</v>
      </c>
      <c r="AB10" s="9" t="s">
        <v>37</v>
      </c>
      <c r="AC10" s="9" t="s">
        <v>38</v>
      </c>
      <c r="AD10" s="7" t="str">
        <f t="shared" si="0"/>
        <v/>
      </c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</row>
    <row r="11" spans="1:49" s="50" customFormat="1" ht="35.1" customHeight="1" x14ac:dyDescent="0.2">
      <c r="A11" s="18" t="s">
        <v>82</v>
      </c>
      <c r="B11" s="19">
        <v>46052</v>
      </c>
      <c r="C11" s="19">
        <v>46052</v>
      </c>
      <c r="D11" s="18" t="s">
        <v>217</v>
      </c>
      <c r="E11" s="20">
        <v>0.45833333333333331</v>
      </c>
      <c r="F11" s="20">
        <v>0.54166666666666663</v>
      </c>
      <c r="G11" s="20">
        <v>3.4722222222222218E-4</v>
      </c>
      <c r="H11" s="18" t="s">
        <v>83</v>
      </c>
      <c r="I11" s="21">
        <v>0.46516203703703701</v>
      </c>
      <c r="J11" s="18" t="s">
        <v>80</v>
      </c>
      <c r="K11" s="18" t="s">
        <v>175</v>
      </c>
      <c r="L11" s="22">
        <v>1</v>
      </c>
      <c r="M11" s="22">
        <v>70168</v>
      </c>
      <c r="N11" s="18" t="s">
        <v>46</v>
      </c>
      <c r="O11" s="22" t="s">
        <v>84</v>
      </c>
      <c r="P11" s="23">
        <v>0</v>
      </c>
      <c r="Q11" s="22"/>
      <c r="R11" s="23">
        <v>0</v>
      </c>
      <c r="S11" s="24">
        <v>46052</v>
      </c>
      <c r="T11" s="23">
        <v>0</v>
      </c>
      <c r="U11" s="25">
        <v>4</v>
      </c>
      <c r="V11" s="23">
        <v>0</v>
      </c>
      <c r="W11" s="18" t="s">
        <v>47</v>
      </c>
      <c r="X11" s="18" t="s">
        <v>48</v>
      </c>
      <c r="Y11" s="18" t="s">
        <v>58</v>
      </c>
      <c r="Z11" s="18" t="s">
        <v>43</v>
      </c>
      <c r="AA11" s="18" t="s">
        <v>49</v>
      </c>
      <c r="AB11" s="18" t="s">
        <v>85</v>
      </c>
      <c r="AC11" s="18" t="s">
        <v>38</v>
      </c>
      <c r="AD11" s="7" t="str">
        <f t="shared" si="0"/>
        <v/>
      </c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</row>
    <row r="12" spans="1:49" s="50" customFormat="1" ht="35.1" customHeight="1" x14ac:dyDescent="0.25">
      <c r="A12" s="18" t="s">
        <v>78</v>
      </c>
      <c r="B12" s="19">
        <v>46052</v>
      </c>
      <c r="C12" s="19">
        <v>46052</v>
      </c>
      <c r="D12" s="18" t="s">
        <v>217</v>
      </c>
      <c r="E12" s="20">
        <v>0.45833333333333331</v>
      </c>
      <c r="F12" s="20">
        <v>0.52083333333333337</v>
      </c>
      <c r="G12" s="20">
        <v>3.4722222222222218E-4</v>
      </c>
      <c r="H12" s="18" t="s">
        <v>79</v>
      </c>
      <c r="I12" s="21">
        <v>0.46550925925925923</v>
      </c>
      <c r="J12" s="18" t="s">
        <v>80</v>
      </c>
      <c r="K12" s="18" t="s">
        <v>175</v>
      </c>
      <c r="L12" s="22">
        <v>1</v>
      </c>
      <c r="M12" s="22">
        <v>64948</v>
      </c>
      <c r="N12" s="18" t="s">
        <v>53</v>
      </c>
      <c r="O12" s="22"/>
      <c r="P12" s="23">
        <v>35</v>
      </c>
      <c r="Q12" s="22"/>
      <c r="R12" s="23">
        <v>35</v>
      </c>
      <c r="S12" s="24">
        <v>46054</v>
      </c>
      <c r="T12" s="23">
        <v>0</v>
      </c>
      <c r="U12" s="25">
        <v>4</v>
      </c>
      <c r="V12" s="23">
        <v>35</v>
      </c>
      <c r="W12" s="18" t="s">
        <v>47</v>
      </c>
      <c r="X12" s="18" t="s">
        <v>48</v>
      </c>
      <c r="Y12" s="18" t="s">
        <v>36</v>
      </c>
      <c r="Z12" s="18" t="s">
        <v>9</v>
      </c>
      <c r="AA12" s="18" t="s">
        <v>49</v>
      </c>
      <c r="AB12" s="18" t="s">
        <v>81</v>
      </c>
      <c r="AC12" s="18" t="s">
        <v>38</v>
      </c>
      <c r="AD12" s="7" t="str">
        <f t="shared" si="0"/>
        <v/>
      </c>
      <c r="AE12" s="26"/>
      <c r="AF12" s="26"/>
      <c r="AG12" s="26"/>
      <c r="AH12" s="26"/>
      <c r="AI12" s="27"/>
      <c r="AJ12" s="27"/>
      <c r="AK12" s="27"/>
      <c r="AL12" s="27"/>
      <c r="AM12" s="27"/>
      <c r="AN12" s="27"/>
      <c r="AO12" s="27"/>
      <c r="AP12" s="27"/>
      <c r="AQ12" s="27"/>
      <c r="AR12" s="27"/>
      <c r="AS12" s="27"/>
      <c r="AT12" s="27"/>
      <c r="AU12" s="27"/>
      <c r="AV12" s="27"/>
      <c r="AW12" s="27"/>
    </row>
    <row r="13" spans="1:49" s="50" customFormat="1" ht="35.1" customHeight="1" x14ac:dyDescent="0.25">
      <c r="A13" s="18" t="s">
        <v>82</v>
      </c>
      <c r="B13" s="19">
        <v>46052</v>
      </c>
      <c r="C13" s="19">
        <v>46052</v>
      </c>
      <c r="D13" s="18" t="s">
        <v>217</v>
      </c>
      <c r="E13" s="20">
        <v>0.45833333333333331</v>
      </c>
      <c r="F13" s="20">
        <v>0.5</v>
      </c>
      <c r="G13" s="20">
        <v>3.4722222222222218E-4</v>
      </c>
      <c r="H13" s="18" t="s">
        <v>83</v>
      </c>
      <c r="I13" s="21">
        <v>0.46620393518518516</v>
      </c>
      <c r="J13" s="18" t="s">
        <v>80</v>
      </c>
      <c r="K13" s="18" t="s">
        <v>175</v>
      </c>
      <c r="L13" s="22">
        <v>1</v>
      </c>
      <c r="M13" s="22">
        <v>70166</v>
      </c>
      <c r="N13" s="18" t="s">
        <v>53</v>
      </c>
      <c r="O13" s="22" t="s">
        <v>84</v>
      </c>
      <c r="P13" s="23">
        <v>35</v>
      </c>
      <c r="Q13" s="22"/>
      <c r="R13" s="23">
        <v>35</v>
      </c>
      <c r="S13" s="24">
        <v>46052</v>
      </c>
      <c r="T13" s="23">
        <v>0</v>
      </c>
      <c r="U13" s="25">
        <v>4</v>
      </c>
      <c r="V13" s="23">
        <v>35</v>
      </c>
      <c r="W13" s="18" t="s">
        <v>47</v>
      </c>
      <c r="X13" s="18" t="s">
        <v>48</v>
      </c>
      <c r="Y13" s="18" t="s">
        <v>58</v>
      </c>
      <c r="Z13" s="18" t="s">
        <v>43</v>
      </c>
      <c r="AA13" s="18" t="s">
        <v>49</v>
      </c>
      <c r="AB13" s="18" t="s">
        <v>85</v>
      </c>
      <c r="AC13" s="18" t="s">
        <v>38</v>
      </c>
      <c r="AD13" s="7" t="str">
        <f t="shared" si="0"/>
        <v/>
      </c>
      <c r="AE13" s="26"/>
      <c r="AF13" s="26"/>
      <c r="AG13" s="26"/>
      <c r="AH13" s="26"/>
      <c r="AI13" s="27"/>
      <c r="AJ13" s="27"/>
      <c r="AK13" s="27"/>
      <c r="AL13" s="27"/>
      <c r="AM13" s="27"/>
      <c r="AN13" s="27"/>
      <c r="AO13" s="27"/>
      <c r="AP13" s="27"/>
      <c r="AQ13" s="27"/>
      <c r="AR13" s="27"/>
      <c r="AS13" s="27"/>
      <c r="AT13" s="27"/>
      <c r="AU13" s="27"/>
      <c r="AV13" s="27"/>
      <c r="AW13" s="27"/>
    </row>
    <row r="14" spans="1:49" s="50" customFormat="1" ht="35.1" customHeight="1" x14ac:dyDescent="0.2">
      <c r="A14" s="18" t="s">
        <v>78</v>
      </c>
      <c r="B14" s="19">
        <v>46052</v>
      </c>
      <c r="C14" s="19">
        <v>46052</v>
      </c>
      <c r="D14" s="18" t="s">
        <v>217</v>
      </c>
      <c r="E14" s="20">
        <v>0.45833333333333331</v>
      </c>
      <c r="F14" s="20">
        <v>0.52083333333333337</v>
      </c>
      <c r="G14" s="20">
        <v>1.7361111111111109E-4</v>
      </c>
      <c r="H14" s="18" t="s">
        <v>91</v>
      </c>
      <c r="I14" s="21">
        <v>0.46924907407407412</v>
      </c>
      <c r="J14" s="18" t="s">
        <v>80</v>
      </c>
      <c r="K14" s="18" t="s">
        <v>175</v>
      </c>
      <c r="L14" s="22">
        <v>1</v>
      </c>
      <c r="M14" s="22">
        <v>64953</v>
      </c>
      <c r="N14" s="18" t="s">
        <v>53</v>
      </c>
      <c r="O14" s="22"/>
      <c r="P14" s="23">
        <v>20</v>
      </c>
      <c r="Q14" s="22"/>
      <c r="R14" s="23">
        <v>20</v>
      </c>
      <c r="S14" s="24">
        <v>46054</v>
      </c>
      <c r="T14" s="23">
        <v>0</v>
      </c>
      <c r="U14" s="25">
        <v>4</v>
      </c>
      <c r="V14" s="23">
        <v>20</v>
      </c>
      <c r="W14" s="18" t="s">
        <v>47</v>
      </c>
      <c r="X14" s="18" t="s">
        <v>48</v>
      </c>
      <c r="Y14" s="18" t="s">
        <v>36</v>
      </c>
      <c r="Z14" s="18" t="s">
        <v>9</v>
      </c>
      <c r="AA14" s="18" t="s">
        <v>49</v>
      </c>
      <c r="AB14" s="18" t="s">
        <v>81</v>
      </c>
      <c r="AC14" s="18" t="s">
        <v>38</v>
      </c>
      <c r="AD14" s="7" t="str">
        <f t="shared" si="0"/>
        <v/>
      </c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</row>
    <row r="15" spans="1:49" s="50" customFormat="1" ht="35.1" customHeight="1" x14ac:dyDescent="0.2">
      <c r="A15" s="18" t="s">
        <v>82</v>
      </c>
      <c r="B15" s="19">
        <v>46052</v>
      </c>
      <c r="C15" s="19">
        <v>46052</v>
      </c>
      <c r="D15" s="18" t="s">
        <v>217</v>
      </c>
      <c r="E15" s="20">
        <v>0.45833333333333331</v>
      </c>
      <c r="F15" s="20">
        <v>0.5</v>
      </c>
      <c r="G15" s="20">
        <v>3.4722222222222218E-4</v>
      </c>
      <c r="H15" s="18" t="s">
        <v>83</v>
      </c>
      <c r="I15" s="21">
        <v>0.4689018518518519</v>
      </c>
      <c r="J15" s="18" t="s">
        <v>80</v>
      </c>
      <c r="K15" s="18" t="s">
        <v>175</v>
      </c>
      <c r="L15" s="22">
        <v>1</v>
      </c>
      <c r="M15" s="22">
        <v>70166</v>
      </c>
      <c r="N15" s="18" t="s">
        <v>53</v>
      </c>
      <c r="O15" s="22" t="s">
        <v>84</v>
      </c>
      <c r="P15" s="23">
        <v>35</v>
      </c>
      <c r="Q15" s="22"/>
      <c r="R15" s="23">
        <v>35</v>
      </c>
      <c r="S15" s="24">
        <v>46052</v>
      </c>
      <c r="T15" s="23">
        <v>0</v>
      </c>
      <c r="U15" s="25">
        <v>4</v>
      </c>
      <c r="V15" s="23">
        <v>35</v>
      </c>
      <c r="W15" s="18" t="s">
        <v>47</v>
      </c>
      <c r="X15" s="18" t="s">
        <v>48</v>
      </c>
      <c r="Y15" s="18" t="s">
        <v>58</v>
      </c>
      <c r="Z15" s="18" t="s">
        <v>43</v>
      </c>
      <c r="AA15" s="18" t="s">
        <v>49</v>
      </c>
      <c r="AB15" s="18" t="s">
        <v>85</v>
      </c>
      <c r="AC15" s="18" t="s">
        <v>38</v>
      </c>
      <c r="AD15" s="7" t="str">
        <f t="shared" si="0"/>
        <v/>
      </c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</row>
    <row r="16" spans="1:49" s="50" customFormat="1" ht="35.1" customHeight="1" x14ac:dyDescent="0.2">
      <c r="A16" s="18" t="s">
        <v>61</v>
      </c>
      <c r="B16" s="19">
        <v>46052</v>
      </c>
      <c r="C16" s="19">
        <v>46052</v>
      </c>
      <c r="D16" s="18" t="s">
        <v>217</v>
      </c>
      <c r="E16" s="20">
        <v>0.45833333333333331</v>
      </c>
      <c r="F16" s="20">
        <v>0.54166666666666663</v>
      </c>
      <c r="G16" s="20">
        <v>3.4722222222222218E-4</v>
      </c>
      <c r="H16" s="18" t="s">
        <v>198</v>
      </c>
      <c r="I16" s="21">
        <v>0.47781504629629629</v>
      </c>
      <c r="J16" s="18" t="s">
        <v>80</v>
      </c>
      <c r="K16" s="18" t="s">
        <v>175</v>
      </c>
      <c r="L16" s="22">
        <v>1</v>
      </c>
      <c r="M16" s="22">
        <v>64416</v>
      </c>
      <c r="N16" s="18" t="s">
        <v>46</v>
      </c>
      <c r="O16" s="22" t="s">
        <v>63</v>
      </c>
      <c r="P16" s="23">
        <v>0</v>
      </c>
      <c r="Q16" s="22"/>
      <c r="R16" s="23">
        <v>0</v>
      </c>
      <c r="S16" s="24">
        <v>46054</v>
      </c>
      <c r="T16" s="23">
        <v>0</v>
      </c>
      <c r="U16" s="25">
        <v>4</v>
      </c>
      <c r="V16" s="23">
        <v>0</v>
      </c>
      <c r="W16" s="18" t="s">
        <v>47</v>
      </c>
      <c r="X16" s="18" t="s">
        <v>48</v>
      </c>
      <c r="Y16" s="18" t="s">
        <v>36</v>
      </c>
      <c r="Z16" s="18" t="s">
        <v>9</v>
      </c>
      <c r="AA16" s="18" t="s">
        <v>49</v>
      </c>
      <c r="AB16" s="18" t="s">
        <v>64</v>
      </c>
      <c r="AC16" s="18" t="s">
        <v>38</v>
      </c>
      <c r="AD16" s="7" t="str">
        <f t="shared" si="0"/>
        <v/>
      </c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</row>
    <row r="17" spans="1:49" s="50" customFormat="1" ht="35.1" customHeight="1" x14ac:dyDescent="0.25">
      <c r="A17" s="18" t="s">
        <v>78</v>
      </c>
      <c r="B17" s="19">
        <v>46052</v>
      </c>
      <c r="C17" s="19">
        <v>46052</v>
      </c>
      <c r="D17" s="18" t="s">
        <v>217</v>
      </c>
      <c r="E17" s="20">
        <v>0.45833333333333331</v>
      </c>
      <c r="F17" s="20">
        <v>0.54166666666666663</v>
      </c>
      <c r="G17" s="20">
        <v>1.7361111111111109E-4</v>
      </c>
      <c r="H17" s="18" t="s">
        <v>86</v>
      </c>
      <c r="I17" s="21">
        <v>0.47885671296296295</v>
      </c>
      <c r="J17" s="18" t="s">
        <v>80</v>
      </c>
      <c r="K17" s="18" t="s">
        <v>175</v>
      </c>
      <c r="L17" s="22">
        <v>1</v>
      </c>
      <c r="M17" s="22">
        <v>64954</v>
      </c>
      <c r="N17" s="18" t="s">
        <v>46</v>
      </c>
      <c r="O17" s="22"/>
      <c r="P17" s="23">
        <v>0</v>
      </c>
      <c r="Q17" s="22"/>
      <c r="R17" s="23">
        <v>0</v>
      </c>
      <c r="S17" s="24">
        <v>46054</v>
      </c>
      <c r="T17" s="23">
        <v>0</v>
      </c>
      <c r="U17" s="25">
        <v>4</v>
      </c>
      <c r="V17" s="23">
        <v>0</v>
      </c>
      <c r="W17" s="18" t="s">
        <v>47</v>
      </c>
      <c r="X17" s="18" t="s">
        <v>48</v>
      </c>
      <c r="Y17" s="18" t="s">
        <v>36</v>
      </c>
      <c r="Z17" s="18" t="s">
        <v>9</v>
      </c>
      <c r="AA17" s="18" t="s">
        <v>49</v>
      </c>
      <c r="AB17" s="18" t="s">
        <v>81</v>
      </c>
      <c r="AC17" s="18" t="s">
        <v>38</v>
      </c>
      <c r="AD17" s="7" t="str">
        <f t="shared" si="0"/>
        <v/>
      </c>
      <c r="AE17" s="26"/>
      <c r="AF17" s="26"/>
      <c r="AG17" s="26"/>
      <c r="AH17" s="26"/>
      <c r="AI17" s="27"/>
      <c r="AJ17" s="27"/>
      <c r="AK17" s="27"/>
      <c r="AL17" s="27"/>
      <c r="AM17" s="27"/>
      <c r="AN17" s="27"/>
      <c r="AO17" s="27"/>
      <c r="AP17" s="27"/>
      <c r="AQ17" s="27"/>
      <c r="AR17" s="27"/>
      <c r="AS17" s="27"/>
      <c r="AT17" s="27"/>
      <c r="AU17" s="27"/>
      <c r="AV17" s="27"/>
      <c r="AW17" s="27"/>
    </row>
    <row r="18" spans="1:49" s="47" customFormat="1" ht="35.1" customHeight="1" x14ac:dyDescent="0.25">
      <c r="A18" s="9" t="s">
        <v>75</v>
      </c>
      <c r="B18" s="10">
        <v>46052</v>
      </c>
      <c r="C18" s="10">
        <v>46052</v>
      </c>
      <c r="D18" s="11" t="s">
        <v>217</v>
      </c>
      <c r="E18" s="12">
        <v>0.47916666666666669</v>
      </c>
      <c r="F18" s="12">
        <v>0.5</v>
      </c>
      <c r="G18" s="12">
        <v>2.0833333333333332E-2</v>
      </c>
      <c r="H18" s="9" t="s">
        <v>219</v>
      </c>
      <c r="I18" s="13"/>
      <c r="J18" s="9" t="s">
        <v>80</v>
      </c>
      <c r="K18" s="9"/>
      <c r="L18" s="14">
        <v>1</v>
      </c>
      <c r="M18" s="14">
        <v>1</v>
      </c>
      <c r="N18" s="9" t="s">
        <v>33</v>
      </c>
      <c r="O18" s="9"/>
      <c r="P18" s="16">
        <v>0</v>
      </c>
      <c r="Q18" s="14"/>
      <c r="R18" s="16">
        <v>0</v>
      </c>
      <c r="S18" s="9">
        <v>46054</v>
      </c>
      <c r="T18" s="16">
        <v>0</v>
      </c>
      <c r="U18" s="14">
        <v>2</v>
      </c>
      <c r="V18" s="16">
        <v>0</v>
      </c>
      <c r="W18" s="9" t="s">
        <v>34</v>
      </c>
      <c r="X18" s="9" t="s">
        <v>42</v>
      </c>
      <c r="Y18" s="9" t="s">
        <v>36</v>
      </c>
      <c r="Z18" s="9" t="s">
        <v>43</v>
      </c>
      <c r="AA18" s="9" t="s">
        <v>37</v>
      </c>
      <c r="AB18" s="9" t="s">
        <v>37</v>
      </c>
      <c r="AC18" s="9" t="s">
        <v>38</v>
      </c>
      <c r="AD18" s="7" t="str">
        <f t="shared" si="0"/>
        <v/>
      </c>
      <c r="AE18" s="26"/>
      <c r="AF18" s="26"/>
      <c r="AG18" s="26"/>
      <c r="AH18" s="26"/>
      <c r="AI18" s="26"/>
      <c r="AJ18" s="26"/>
      <c r="AK18" s="26"/>
      <c r="AL18" s="26"/>
      <c r="AM18" s="26"/>
      <c r="AN18" s="26"/>
      <c r="AO18" s="26"/>
      <c r="AP18" s="26"/>
      <c r="AQ18" s="26"/>
      <c r="AR18" s="26"/>
      <c r="AS18" s="26"/>
      <c r="AT18" s="26"/>
      <c r="AU18" s="26"/>
      <c r="AV18" s="26"/>
      <c r="AW18" s="26"/>
    </row>
    <row r="19" spans="1:49" s="50" customFormat="1" ht="35.1" customHeight="1" x14ac:dyDescent="0.2">
      <c r="A19" s="18" t="s">
        <v>78</v>
      </c>
      <c r="B19" s="19">
        <v>46052</v>
      </c>
      <c r="C19" s="19">
        <v>46052</v>
      </c>
      <c r="D19" s="18" t="s">
        <v>217</v>
      </c>
      <c r="E19" s="20">
        <v>0.45833333333333331</v>
      </c>
      <c r="F19" s="20">
        <v>0.52083333333333337</v>
      </c>
      <c r="G19" s="20">
        <v>3.4722222222222218E-4</v>
      </c>
      <c r="H19" s="18" t="s">
        <v>79</v>
      </c>
      <c r="I19" s="21">
        <v>0.49007141203703702</v>
      </c>
      <c r="J19" s="18" t="s">
        <v>80</v>
      </c>
      <c r="K19" s="18" t="s">
        <v>150</v>
      </c>
      <c r="L19" s="22">
        <v>1</v>
      </c>
      <c r="M19" s="22">
        <v>64948</v>
      </c>
      <c r="N19" s="18" t="s">
        <v>53</v>
      </c>
      <c r="O19" s="22"/>
      <c r="P19" s="23">
        <v>35</v>
      </c>
      <c r="Q19" s="22"/>
      <c r="R19" s="23">
        <v>35</v>
      </c>
      <c r="S19" s="24">
        <v>46054</v>
      </c>
      <c r="T19" s="23">
        <v>0</v>
      </c>
      <c r="U19" s="25">
        <v>4</v>
      </c>
      <c r="V19" s="23">
        <v>35</v>
      </c>
      <c r="W19" s="18" t="s">
        <v>47</v>
      </c>
      <c r="X19" s="18" t="s">
        <v>48</v>
      </c>
      <c r="Y19" s="18" t="s">
        <v>36</v>
      </c>
      <c r="Z19" s="18" t="s">
        <v>9</v>
      </c>
      <c r="AA19" s="18" t="s">
        <v>49</v>
      </c>
      <c r="AB19" s="18" t="s">
        <v>81</v>
      </c>
      <c r="AC19" s="18" t="s">
        <v>38</v>
      </c>
      <c r="AD19" s="7" t="str">
        <f t="shared" si="0"/>
        <v/>
      </c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</row>
    <row r="20" spans="1:49" s="50" customFormat="1" ht="35.1" customHeight="1" x14ac:dyDescent="0.2">
      <c r="A20" s="18" t="s">
        <v>82</v>
      </c>
      <c r="B20" s="19">
        <v>46052</v>
      </c>
      <c r="C20" s="19">
        <v>46052</v>
      </c>
      <c r="D20" s="18" t="s">
        <v>217</v>
      </c>
      <c r="E20" s="20">
        <v>0.45833333333333331</v>
      </c>
      <c r="F20" s="20">
        <v>0.5</v>
      </c>
      <c r="G20" s="20">
        <v>3.4722222222222218E-4</v>
      </c>
      <c r="H20" s="18" t="s">
        <v>83</v>
      </c>
      <c r="I20" s="21">
        <v>0.49041886574074078</v>
      </c>
      <c r="J20" s="18" t="s">
        <v>80</v>
      </c>
      <c r="K20" s="18" t="s">
        <v>150</v>
      </c>
      <c r="L20" s="22">
        <v>1</v>
      </c>
      <c r="M20" s="22">
        <v>70166</v>
      </c>
      <c r="N20" s="18" t="s">
        <v>53</v>
      </c>
      <c r="O20" s="22" t="s">
        <v>84</v>
      </c>
      <c r="P20" s="23">
        <v>35</v>
      </c>
      <c r="Q20" s="22"/>
      <c r="R20" s="23">
        <v>35</v>
      </c>
      <c r="S20" s="24">
        <v>46052</v>
      </c>
      <c r="T20" s="23">
        <v>0</v>
      </c>
      <c r="U20" s="25">
        <v>4</v>
      </c>
      <c r="V20" s="23">
        <v>35</v>
      </c>
      <c r="W20" s="18" t="s">
        <v>47</v>
      </c>
      <c r="X20" s="18" t="s">
        <v>48</v>
      </c>
      <c r="Y20" s="18" t="s">
        <v>58</v>
      </c>
      <c r="Z20" s="18" t="s">
        <v>43</v>
      </c>
      <c r="AA20" s="18" t="s">
        <v>49</v>
      </c>
      <c r="AB20" s="18" t="s">
        <v>85</v>
      </c>
      <c r="AC20" s="18" t="s">
        <v>38</v>
      </c>
      <c r="AD20" s="7" t="str">
        <f t="shared" si="0"/>
        <v/>
      </c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</row>
    <row r="21" spans="1:49" s="50" customFormat="1" ht="35.1" customHeight="1" x14ac:dyDescent="0.2">
      <c r="A21" s="18" t="s">
        <v>51</v>
      </c>
      <c r="B21" s="19">
        <v>46052</v>
      </c>
      <c r="C21" s="19">
        <v>46052</v>
      </c>
      <c r="D21" s="18" t="s">
        <v>217</v>
      </c>
      <c r="E21" s="20">
        <v>0.47916666666666669</v>
      </c>
      <c r="F21" s="20">
        <v>0.5</v>
      </c>
      <c r="G21" s="20">
        <v>3.4722222222222218E-4</v>
      </c>
      <c r="H21" s="18" t="s">
        <v>102</v>
      </c>
      <c r="I21" s="21">
        <v>0.4878143518518519</v>
      </c>
      <c r="J21" s="18" t="s">
        <v>80</v>
      </c>
      <c r="K21" s="18" t="s">
        <v>150</v>
      </c>
      <c r="L21" s="22">
        <v>1</v>
      </c>
      <c r="M21" s="22">
        <v>70361</v>
      </c>
      <c r="N21" s="18" t="s">
        <v>53</v>
      </c>
      <c r="O21" s="22" t="s">
        <v>54</v>
      </c>
      <c r="P21" s="23">
        <v>50</v>
      </c>
      <c r="Q21" s="22"/>
      <c r="R21" s="23">
        <v>50</v>
      </c>
      <c r="S21" s="24">
        <v>46054</v>
      </c>
      <c r="T21" s="23">
        <v>7.5</v>
      </c>
      <c r="U21" s="25">
        <v>4</v>
      </c>
      <c r="V21" s="23">
        <v>42.5</v>
      </c>
      <c r="W21" s="18" t="s">
        <v>47</v>
      </c>
      <c r="X21" s="18" t="s">
        <v>48</v>
      </c>
      <c r="Y21" s="18" t="s">
        <v>36</v>
      </c>
      <c r="Z21" s="18" t="s">
        <v>9</v>
      </c>
      <c r="AA21" s="18" t="s">
        <v>49</v>
      </c>
      <c r="AB21" s="18" t="s">
        <v>55</v>
      </c>
      <c r="AC21" s="18" t="s">
        <v>38</v>
      </c>
      <c r="AD21" s="7" t="str">
        <f t="shared" si="0"/>
        <v/>
      </c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</row>
    <row r="22" spans="1:49" s="50" customFormat="1" ht="35.1" customHeight="1" x14ac:dyDescent="0.25">
      <c r="A22" s="18" t="s">
        <v>78</v>
      </c>
      <c r="B22" s="19">
        <v>46052</v>
      </c>
      <c r="C22" s="19">
        <v>46052</v>
      </c>
      <c r="D22" s="18" t="s">
        <v>217</v>
      </c>
      <c r="E22" s="20">
        <v>0.45833333333333331</v>
      </c>
      <c r="F22" s="20">
        <v>0.54166666666666663</v>
      </c>
      <c r="G22" s="20">
        <v>1.7361111111111109E-4</v>
      </c>
      <c r="H22" s="18" t="s">
        <v>91</v>
      </c>
      <c r="I22" s="21">
        <v>0.49814849537037037</v>
      </c>
      <c r="J22" s="18" t="s">
        <v>80</v>
      </c>
      <c r="K22" s="18" t="s">
        <v>150</v>
      </c>
      <c r="L22" s="22">
        <v>1</v>
      </c>
      <c r="M22" s="22">
        <v>64954</v>
      </c>
      <c r="N22" s="18" t="s">
        <v>46</v>
      </c>
      <c r="O22" s="22"/>
      <c r="P22" s="23">
        <v>0</v>
      </c>
      <c r="Q22" s="22"/>
      <c r="R22" s="23">
        <v>0</v>
      </c>
      <c r="S22" s="24">
        <v>46054</v>
      </c>
      <c r="T22" s="23">
        <v>0</v>
      </c>
      <c r="U22" s="25">
        <v>4</v>
      </c>
      <c r="V22" s="23">
        <v>0</v>
      </c>
      <c r="W22" s="18" t="s">
        <v>47</v>
      </c>
      <c r="X22" s="18" t="s">
        <v>48</v>
      </c>
      <c r="Y22" s="18" t="s">
        <v>36</v>
      </c>
      <c r="Z22" s="18" t="s">
        <v>9</v>
      </c>
      <c r="AA22" s="18" t="s">
        <v>49</v>
      </c>
      <c r="AB22" s="18" t="s">
        <v>81</v>
      </c>
      <c r="AC22" s="18" t="s">
        <v>38</v>
      </c>
      <c r="AD22" s="7" t="str">
        <f t="shared" si="0"/>
        <v/>
      </c>
      <c r="AE22" s="26"/>
      <c r="AF22" s="26"/>
      <c r="AG22" s="26"/>
      <c r="AH22" s="26"/>
      <c r="AI22" s="27"/>
      <c r="AJ22" s="27"/>
      <c r="AK22" s="27"/>
      <c r="AL22" s="27"/>
      <c r="AM22" s="27"/>
      <c r="AN22" s="27"/>
      <c r="AO22" s="27"/>
      <c r="AP22" s="27"/>
      <c r="AQ22" s="27"/>
      <c r="AR22" s="27"/>
      <c r="AS22" s="27"/>
      <c r="AT22" s="27"/>
      <c r="AU22" s="27"/>
      <c r="AV22" s="27"/>
      <c r="AW22" s="27"/>
    </row>
    <row r="23" spans="1:49" s="50" customFormat="1" ht="35.1" customHeight="1" x14ac:dyDescent="0.25">
      <c r="A23" s="18" t="s">
        <v>82</v>
      </c>
      <c r="B23" s="19">
        <v>46052</v>
      </c>
      <c r="C23" s="19">
        <v>46052</v>
      </c>
      <c r="D23" s="18" t="s">
        <v>217</v>
      </c>
      <c r="E23" s="20">
        <v>0.45833333333333331</v>
      </c>
      <c r="F23" s="20">
        <v>0.5</v>
      </c>
      <c r="G23" s="20">
        <v>3.4722222222222218E-4</v>
      </c>
      <c r="H23" s="18" t="s">
        <v>83</v>
      </c>
      <c r="I23" s="21">
        <v>0.49936388888888888</v>
      </c>
      <c r="J23" s="18" t="s">
        <v>80</v>
      </c>
      <c r="K23" s="18" t="s">
        <v>150</v>
      </c>
      <c r="L23" s="22">
        <v>1</v>
      </c>
      <c r="M23" s="22">
        <v>70166</v>
      </c>
      <c r="N23" s="18" t="s">
        <v>53</v>
      </c>
      <c r="O23" s="22" t="s">
        <v>84</v>
      </c>
      <c r="P23" s="23">
        <v>35</v>
      </c>
      <c r="Q23" s="22"/>
      <c r="R23" s="23">
        <v>35</v>
      </c>
      <c r="S23" s="24">
        <v>46052</v>
      </c>
      <c r="T23" s="23">
        <v>0</v>
      </c>
      <c r="U23" s="25">
        <v>4</v>
      </c>
      <c r="V23" s="23">
        <v>35</v>
      </c>
      <c r="W23" s="18" t="s">
        <v>47</v>
      </c>
      <c r="X23" s="18" t="s">
        <v>48</v>
      </c>
      <c r="Y23" s="18" t="s">
        <v>58</v>
      </c>
      <c r="Z23" s="18" t="s">
        <v>43</v>
      </c>
      <c r="AA23" s="18" t="s">
        <v>49</v>
      </c>
      <c r="AB23" s="18" t="s">
        <v>85</v>
      </c>
      <c r="AC23" s="18" t="s">
        <v>38</v>
      </c>
      <c r="AD23" s="7" t="str">
        <f t="shared" si="0"/>
        <v/>
      </c>
      <c r="AE23" s="17"/>
      <c r="AF23" s="17"/>
      <c r="AG23" s="17"/>
      <c r="AH23" s="17"/>
      <c r="AI23" s="30"/>
      <c r="AJ23" s="30"/>
      <c r="AK23" s="30"/>
      <c r="AL23" s="30"/>
      <c r="AM23" s="30"/>
      <c r="AN23" s="30"/>
      <c r="AO23" s="30"/>
      <c r="AP23" s="30"/>
      <c r="AQ23" s="30"/>
      <c r="AR23" s="30"/>
      <c r="AS23" s="30"/>
      <c r="AT23" s="30"/>
      <c r="AU23" s="30"/>
      <c r="AV23" s="30"/>
      <c r="AW23" s="30"/>
    </row>
    <row r="24" spans="1:49" s="50" customFormat="1" ht="35.1" customHeight="1" x14ac:dyDescent="0.25">
      <c r="A24" s="18" t="s">
        <v>93</v>
      </c>
      <c r="B24" s="19">
        <v>46052</v>
      </c>
      <c r="C24" s="19">
        <v>46052</v>
      </c>
      <c r="D24" s="18" t="s">
        <v>217</v>
      </c>
      <c r="E24" s="20">
        <v>0.45833333333333331</v>
      </c>
      <c r="F24" s="20">
        <v>0.54166666666666663</v>
      </c>
      <c r="G24" s="28">
        <v>1.7361111111111109E-4</v>
      </c>
      <c r="H24" s="29" t="s">
        <v>94</v>
      </c>
      <c r="I24" s="21">
        <v>0.49797488425925923</v>
      </c>
      <c r="J24" s="18" t="s">
        <v>80</v>
      </c>
      <c r="K24" s="18" t="s">
        <v>150</v>
      </c>
      <c r="L24" s="22">
        <v>1</v>
      </c>
      <c r="M24" s="22">
        <v>69570</v>
      </c>
      <c r="N24" s="18" t="s">
        <v>53</v>
      </c>
      <c r="O24" s="22" t="s">
        <v>95</v>
      </c>
      <c r="P24" s="23">
        <v>0</v>
      </c>
      <c r="Q24" s="22"/>
      <c r="R24" s="23">
        <v>19.042139037433099</v>
      </c>
      <c r="S24" s="24">
        <v>46054</v>
      </c>
      <c r="T24" s="23">
        <v>0</v>
      </c>
      <c r="U24" s="25">
        <v>4</v>
      </c>
      <c r="V24" s="23">
        <v>0</v>
      </c>
      <c r="W24" s="18" t="s">
        <v>47</v>
      </c>
      <c r="X24" s="18" t="s">
        <v>48</v>
      </c>
      <c r="Y24" s="18" t="s">
        <v>36</v>
      </c>
      <c r="Z24" s="18" t="s">
        <v>9</v>
      </c>
      <c r="AA24" s="18" t="s">
        <v>49</v>
      </c>
      <c r="AB24" s="18" t="s">
        <v>96</v>
      </c>
      <c r="AC24" s="18" t="s">
        <v>38</v>
      </c>
      <c r="AD24" s="7" t="str">
        <f t="shared" si="0"/>
        <v/>
      </c>
      <c r="AE24" s="31"/>
      <c r="AF24" s="31"/>
      <c r="AG24" s="31"/>
      <c r="AH24" s="31"/>
      <c r="AI24" s="30"/>
      <c r="AJ24" s="30"/>
      <c r="AK24" s="30"/>
      <c r="AL24" s="30"/>
      <c r="AM24" s="30"/>
      <c r="AN24" s="30"/>
      <c r="AO24" s="30"/>
      <c r="AP24" s="30"/>
      <c r="AQ24" s="30"/>
      <c r="AR24" s="30"/>
      <c r="AS24" s="30"/>
      <c r="AT24" s="30"/>
      <c r="AU24" s="30"/>
      <c r="AV24" s="30"/>
      <c r="AW24" s="30"/>
    </row>
    <row r="25" spans="1:49" s="50" customFormat="1" ht="35.1" customHeight="1" x14ac:dyDescent="0.25">
      <c r="A25" s="18" t="s">
        <v>93</v>
      </c>
      <c r="B25" s="19">
        <v>46052</v>
      </c>
      <c r="C25" s="19">
        <v>46052</v>
      </c>
      <c r="D25" s="18" t="s">
        <v>217</v>
      </c>
      <c r="E25" s="20">
        <v>0.45833333333333331</v>
      </c>
      <c r="F25" s="20">
        <v>0.54166666666666663</v>
      </c>
      <c r="G25" s="28">
        <v>1.7361111111111109E-4</v>
      </c>
      <c r="H25" s="29" t="s">
        <v>97</v>
      </c>
      <c r="I25" s="21">
        <v>0.49971111111111111</v>
      </c>
      <c r="J25" s="18" t="s">
        <v>80</v>
      </c>
      <c r="K25" s="18" t="s">
        <v>150</v>
      </c>
      <c r="L25" s="22">
        <v>1</v>
      </c>
      <c r="M25" s="22">
        <v>69570</v>
      </c>
      <c r="N25" s="18" t="s">
        <v>53</v>
      </c>
      <c r="O25" s="22" t="s">
        <v>95</v>
      </c>
      <c r="P25" s="23">
        <v>0</v>
      </c>
      <c r="Q25" s="22"/>
      <c r="R25" s="23">
        <v>19.042139037433099</v>
      </c>
      <c r="S25" s="24">
        <v>46054</v>
      </c>
      <c r="T25" s="23">
        <v>0</v>
      </c>
      <c r="U25" s="25">
        <v>4</v>
      </c>
      <c r="V25" s="23">
        <v>0</v>
      </c>
      <c r="W25" s="18" t="s">
        <v>47</v>
      </c>
      <c r="X25" s="18" t="s">
        <v>48</v>
      </c>
      <c r="Y25" s="18" t="s">
        <v>36</v>
      </c>
      <c r="Z25" s="18" t="s">
        <v>9</v>
      </c>
      <c r="AA25" s="18" t="s">
        <v>49</v>
      </c>
      <c r="AB25" s="18" t="s">
        <v>96</v>
      </c>
      <c r="AC25" s="18" t="s">
        <v>38</v>
      </c>
      <c r="AD25" s="7" t="str">
        <f t="shared" si="0"/>
        <v/>
      </c>
      <c r="AE25" s="31"/>
      <c r="AF25" s="31"/>
      <c r="AG25" s="31"/>
      <c r="AH25" s="31"/>
      <c r="AI25" s="30"/>
      <c r="AJ25" s="30"/>
      <c r="AK25" s="30"/>
      <c r="AL25" s="30"/>
      <c r="AM25" s="30"/>
      <c r="AN25" s="30"/>
      <c r="AO25" s="30"/>
      <c r="AP25" s="30"/>
      <c r="AQ25" s="30"/>
      <c r="AR25" s="30"/>
      <c r="AS25" s="30"/>
      <c r="AT25" s="30"/>
      <c r="AU25" s="30"/>
      <c r="AV25" s="30"/>
      <c r="AW25" s="30"/>
    </row>
    <row r="26" spans="1:49" s="47" customFormat="1" ht="35.1" customHeight="1" x14ac:dyDescent="0.25">
      <c r="A26" s="9" t="s">
        <v>100</v>
      </c>
      <c r="B26" s="10">
        <v>46052</v>
      </c>
      <c r="C26" s="10">
        <v>46052</v>
      </c>
      <c r="D26" s="11" t="s">
        <v>217</v>
      </c>
      <c r="E26" s="12">
        <v>0.5</v>
      </c>
      <c r="F26" s="12">
        <v>0.54166666666666663</v>
      </c>
      <c r="G26" s="12">
        <v>4.1666666666666664E-2</v>
      </c>
      <c r="H26" s="9" t="s">
        <v>101</v>
      </c>
      <c r="I26" s="13"/>
      <c r="J26" s="9" t="s">
        <v>80</v>
      </c>
      <c r="K26" s="9"/>
      <c r="L26" s="14">
        <v>1</v>
      </c>
      <c r="M26" s="14">
        <v>1</v>
      </c>
      <c r="N26" s="9" t="s">
        <v>33</v>
      </c>
      <c r="O26" s="9"/>
      <c r="P26" s="16">
        <v>0</v>
      </c>
      <c r="Q26" s="14"/>
      <c r="R26" s="16">
        <v>0</v>
      </c>
      <c r="S26" s="9">
        <v>46054</v>
      </c>
      <c r="T26" s="16">
        <v>0</v>
      </c>
      <c r="U26" s="14">
        <v>2</v>
      </c>
      <c r="V26" s="16">
        <v>0</v>
      </c>
      <c r="W26" s="9" t="s">
        <v>34</v>
      </c>
      <c r="X26" s="9" t="s">
        <v>42</v>
      </c>
      <c r="Y26" s="9" t="s">
        <v>36</v>
      </c>
      <c r="Z26" s="9" t="s">
        <v>43</v>
      </c>
      <c r="AA26" s="9" t="s">
        <v>37</v>
      </c>
      <c r="AB26" s="9" t="s">
        <v>37</v>
      </c>
      <c r="AC26" s="9" t="s">
        <v>38</v>
      </c>
      <c r="AD26" s="7" t="str">
        <f t="shared" si="0"/>
        <v/>
      </c>
      <c r="AE26" s="26"/>
      <c r="AF26" s="26"/>
      <c r="AG26" s="26"/>
      <c r="AH26" s="26"/>
      <c r="AI26" s="26"/>
      <c r="AJ26" s="26"/>
      <c r="AK26" s="26"/>
      <c r="AL26" s="26"/>
      <c r="AM26" s="26"/>
      <c r="AN26" s="26"/>
      <c r="AO26" s="26"/>
      <c r="AP26" s="26"/>
      <c r="AQ26" s="26"/>
      <c r="AR26" s="26"/>
      <c r="AS26" s="26"/>
      <c r="AT26" s="26"/>
      <c r="AU26" s="26"/>
      <c r="AV26" s="26"/>
      <c r="AW26" s="26"/>
    </row>
    <row r="27" spans="1:49" s="50" customFormat="1" ht="35.1" customHeight="1" x14ac:dyDescent="0.25">
      <c r="A27" s="18" t="s">
        <v>78</v>
      </c>
      <c r="B27" s="19">
        <v>46052</v>
      </c>
      <c r="C27" s="19">
        <v>46052</v>
      </c>
      <c r="D27" s="18" t="s">
        <v>217</v>
      </c>
      <c r="E27" s="20">
        <v>0.45833333333333331</v>
      </c>
      <c r="F27" s="20">
        <v>0.52083333333333337</v>
      </c>
      <c r="G27" s="20">
        <v>1.7361111111111109E-4</v>
      </c>
      <c r="H27" s="18" t="s">
        <v>86</v>
      </c>
      <c r="I27" s="21">
        <v>0.50572951388888887</v>
      </c>
      <c r="J27" s="18" t="s">
        <v>80</v>
      </c>
      <c r="K27" s="18" t="s">
        <v>151</v>
      </c>
      <c r="L27" s="22">
        <v>1</v>
      </c>
      <c r="M27" s="22">
        <v>64953</v>
      </c>
      <c r="N27" s="18" t="s">
        <v>53</v>
      </c>
      <c r="O27" s="22"/>
      <c r="P27" s="23">
        <v>20</v>
      </c>
      <c r="Q27" s="22"/>
      <c r="R27" s="23">
        <v>20</v>
      </c>
      <c r="S27" s="24">
        <v>46054</v>
      </c>
      <c r="T27" s="23">
        <v>0</v>
      </c>
      <c r="U27" s="25">
        <v>4</v>
      </c>
      <c r="V27" s="23">
        <v>20</v>
      </c>
      <c r="W27" s="18" t="s">
        <v>47</v>
      </c>
      <c r="X27" s="18" t="s">
        <v>48</v>
      </c>
      <c r="Y27" s="18" t="s">
        <v>36</v>
      </c>
      <c r="Z27" s="18" t="s">
        <v>9</v>
      </c>
      <c r="AA27" s="18" t="s">
        <v>49</v>
      </c>
      <c r="AB27" s="18" t="s">
        <v>81</v>
      </c>
      <c r="AC27" s="18" t="s">
        <v>38</v>
      </c>
      <c r="AD27" s="7" t="str">
        <f t="shared" si="0"/>
        <v/>
      </c>
      <c r="AE27" s="26"/>
      <c r="AF27" s="26"/>
      <c r="AG27" s="26"/>
      <c r="AH27" s="26"/>
      <c r="AI27" s="27"/>
      <c r="AJ27" s="27"/>
      <c r="AK27" s="27"/>
      <c r="AL27" s="27"/>
      <c r="AM27" s="27"/>
      <c r="AN27" s="27"/>
      <c r="AO27" s="27"/>
      <c r="AP27" s="27"/>
      <c r="AQ27" s="27"/>
      <c r="AR27" s="27"/>
      <c r="AS27" s="27"/>
      <c r="AT27" s="27"/>
      <c r="AU27" s="27"/>
      <c r="AV27" s="27"/>
      <c r="AW27" s="27"/>
    </row>
    <row r="28" spans="1:49" s="50" customFormat="1" ht="35.1" customHeight="1" x14ac:dyDescent="0.25">
      <c r="A28" s="18" t="s">
        <v>82</v>
      </c>
      <c r="B28" s="19">
        <v>46052</v>
      </c>
      <c r="C28" s="19">
        <v>46052</v>
      </c>
      <c r="D28" s="18" t="s">
        <v>217</v>
      </c>
      <c r="E28" s="20">
        <v>0.5</v>
      </c>
      <c r="F28" s="20">
        <v>0.54166666666666663</v>
      </c>
      <c r="G28" s="20">
        <v>3.4722222222222218E-4</v>
      </c>
      <c r="H28" s="18" t="s">
        <v>83</v>
      </c>
      <c r="I28" s="21">
        <v>0.50694490740740739</v>
      </c>
      <c r="J28" s="18" t="s">
        <v>80</v>
      </c>
      <c r="K28" s="18" t="s">
        <v>151</v>
      </c>
      <c r="L28" s="22">
        <v>1</v>
      </c>
      <c r="M28" s="22">
        <v>70167</v>
      </c>
      <c r="N28" s="18" t="s">
        <v>53</v>
      </c>
      <c r="O28" s="22" t="s">
        <v>84</v>
      </c>
      <c r="P28" s="23">
        <v>35</v>
      </c>
      <c r="Q28" s="22"/>
      <c r="R28" s="23">
        <v>35</v>
      </c>
      <c r="S28" s="24">
        <v>46052</v>
      </c>
      <c r="T28" s="23">
        <v>0</v>
      </c>
      <c r="U28" s="25">
        <v>4</v>
      </c>
      <c r="V28" s="23">
        <v>35</v>
      </c>
      <c r="W28" s="18" t="s">
        <v>47</v>
      </c>
      <c r="X28" s="18" t="s">
        <v>48</v>
      </c>
      <c r="Y28" s="18" t="s">
        <v>58</v>
      </c>
      <c r="Z28" s="18" t="s">
        <v>43</v>
      </c>
      <c r="AA28" s="18" t="s">
        <v>49</v>
      </c>
      <c r="AB28" s="18" t="s">
        <v>85</v>
      </c>
      <c r="AC28" s="18" t="s">
        <v>38</v>
      </c>
      <c r="AD28" s="7" t="str">
        <f t="shared" si="0"/>
        <v/>
      </c>
      <c r="AE28" s="31"/>
      <c r="AF28" s="31"/>
      <c r="AG28" s="31"/>
      <c r="AH28" s="31"/>
      <c r="AI28" s="30"/>
      <c r="AJ28" s="30"/>
      <c r="AK28" s="30"/>
      <c r="AL28" s="30"/>
      <c r="AM28" s="30"/>
      <c r="AN28" s="30"/>
      <c r="AO28" s="30"/>
      <c r="AP28" s="30"/>
      <c r="AQ28" s="30"/>
      <c r="AR28" s="30"/>
      <c r="AS28" s="30"/>
      <c r="AT28" s="30"/>
      <c r="AU28" s="30"/>
      <c r="AV28" s="30"/>
      <c r="AW28" s="30"/>
    </row>
    <row r="29" spans="1:49" s="50" customFormat="1" ht="35.1" customHeight="1" x14ac:dyDescent="0.25">
      <c r="A29" s="18" t="s">
        <v>78</v>
      </c>
      <c r="B29" s="19">
        <v>46052</v>
      </c>
      <c r="C29" s="19">
        <v>46052</v>
      </c>
      <c r="D29" s="18" t="s">
        <v>217</v>
      </c>
      <c r="E29" s="20">
        <v>0.45833333333333331</v>
      </c>
      <c r="F29" s="20">
        <v>0.52083333333333337</v>
      </c>
      <c r="G29" s="20">
        <v>3.4722222222222218E-4</v>
      </c>
      <c r="H29" s="18" t="s">
        <v>79</v>
      </c>
      <c r="I29" s="21">
        <v>0.51246585648148146</v>
      </c>
      <c r="J29" s="18" t="s">
        <v>80</v>
      </c>
      <c r="K29" s="18" t="s">
        <v>151</v>
      </c>
      <c r="L29" s="22">
        <v>1</v>
      </c>
      <c r="M29" s="22">
        <v>64948</v>
      </c>
      <c r="N29" s="18" t="s">
        <v>53</v>
      </c>
      <c r="O29" s="22"/>
      <c r="P29" s="23">
        <v>35</v>
      </c>
      <c r="Q29" s="22"/>
      <c r="R29" s="23">
        <v>35</v>
      </c>
      <c r="S29" s="24">
        <v>46054</v>
      </c>
      <c r="T29" s="23">
        <v>0</v>
      </c>
      <c r="U29" s="25">
        <v>4</v>
      </c>
      <c r="V29" s="23">
        <v>35</v>
      </c>
      <c r="W29" s="18" t="s">
        <v>47</v>
      </c>
      <c r="X29" s="18" t="s">
        <v>48</v>
      </c>
      <c r="Y29" s="18" t="s">
        <v>36</v>
      </c>
      <c r="Z29" s="18" t="s">
        <v>9</v>
      </c>
      <c r="AA29" s="18" t="s">
        <v>49</v>
      </c>
      <c r="AB29" s="18" t="s">
        <v>81</v>
      </c>
      <c r="AC29" s="18" t="s">
        <v>38</v>
      </c>
      <c r="AD29" s="7" t="str">
        <f t="shared" si="0"/>
        <v/>
      </c>
      <c r="AE29" s="17"/>
      <c r="AF29" s="17"/>
      <c r="AG29" s="17"/>
      <c r="AH29" s="17"/>
      <c r="AI29" s="30"/>
      <c r="AJ29" s="30"/>
      <c r="AK29" s="30"/>
      <c r="AL29" s="30"/>
      <c r="AM29" s="30"/>
      <c r="AN29" s="30"/>
      <c r="AO29" s="30"/>
      <c r="AP29" s="30"/>
      <c r="AQ29" s="30"/>
      <c r="AR29" s="30"/>
      <c r="AS29" s="30"/>
      <c r="AT29" s="30"/>
      <c r="AU29" s="30"/>
      <c r="AV29" s="30"/>
      <c r="AW29" s="30"/>
    </row>
    <row r="30" spans="1:49" s="50" customFormat="1" ht="35.1" customHeight="1" x14ac:dyDescent="0.25">
      <c r="A30" s="18" t="s">
        <v>51</v>
      </c>
      <c r="B30" s="19">
        <v>46052</v>
      </c>
      <c r="C30" s="19">
        <v>46052</v>
      </c>
      <c r="D30" s="18" t="s">
        <v>217</v>
      </c>
      <c r="E30" s="20">
        <v>0.5</v>
      </c>
      <c r="F30" s="20">
        <v>0.54166666666666663</v>
      </c>
      <c r="G30" s="20">
        <v>3.4722222222222218E-4</v>
      </c>
      <c r="H30" s="18" t="s">
        <v>102</v>
      </c>
      <c r="I30" s="21">
        <v>0.51420196759259262</v>
      </c>
      <c r="J30" s="18" t="s">
        <v>80</v>
      </c>
      <c r="K30" s="18" t="s">
        <v>151</v>
      </c>
      <c r="L30" s="22">
        <v>1</v>
      </c>
      <c r="M30" s="22">
        <v>70362</v>
      </c>
      <c r="N30" s="18" t="s">
        <v>53</v>
      </c>
      <c r="O30" s="22" t="s">
        <v>54</v>
      </c>
      <c r="P30" s="23">
        <v>50</v>
      </c>
      <c r="Q30" s="22"/>
      <c r="R30" s="23">
        <v>50</v>
      </c>
      <c r="S30" s="24">
        <v>46054</v>
      </c>
      <c r="T30" s="23">
        <v>7.5</v>
      </c>
      <c r="U30" s="25">
        <v>4</v>
      </c>
      <c r="V30" s="23">
        <v>42.5</v>
      </c>
      <c r="W30" s="18" t="s">
        <v>47</v>
      </c>
      <c r="X30" s="18" t="s">
        <v>48</v>
      </c>
      <c r="Y30" s="18" t="s">
        <v>36</v>
      </c>
      <c r="Z30" s="18" t="s">
        <v>9</v>
      </c>
      <c r="AA30" s="18" t="s">
        <v>49</v>
      </c>
      <c r="AB30" s="18" t="s">
        <v>55</v>
      </c>
      <c r="AC30" s="18" t="s">
        <v>38</v>
      </c>
      <c r="AD30" s="7" t="str">
        <f t="shared" si="0"/>
        <v/>
      </c>
      <c r="AE30" s="31"/>
      <c r="AF30" s="31"/>
      <c r="AG30" s="31"/>
      <c r="AH30" s="31"/>
      <c r="AI30" s="30"/>
      <c r="AJ30" s="30"/>
      <c r="AK30" s="30"/>
      <c r="AL30" s="30"/>
      <c r="AM30" s="30"/>
      <c r="AN30" s="30"/>
      <c r="AO30" s="30"/>
      <c r="AP30" s="30"/>
      <c r="AQ30" s="30"/>
      <c r="AR30" s="30"/>
      <c r="AS30" s="30"/>
      <c r="AT30" s="30"/>
      <c r="AU30" s="30"/>
      <c r="AV30" s="30"/>
      <c r="AW30" s="30"/>
    </row>
    <row r="31" spans="1:49" s="50" customFormat="1" ht="35.1" customHeight="1" x14ac:dyDescent="0.25">
      <c r="A31" s="18" t="s">
        <v>82</v>
      </c>
      <c r="B31" s="19">
        <v>46052</v>
      </c>
      <c r="C31" s="19">
        <v>46052</v>
      </c>
      <c r="D31" s="18" t="s">
        <v>217</v>
      </c>
      <c r="E31" s="20">
        <v>0.45833333333333331</v>
      </c>
      <c r="F31" s="20">
        <v>0.54166666666666663</v>
      </c>
      <c r="G31" s="20">
        <v>3.4722222222222218E-4</v>
      </c>
      <c r="H31" s="18" t="s">
        <v>83</v>
      </c>
      <c r="I31" s="21">
        <v>0.51812685185185192</v>
      </c>
      <c r="J31" s="18" t="s">
        <v>80</v>
      </c>
      <c r="K31" s="18" t="s">
        <v>151</v>
      </c>
      <c r="L31" s="22">
        <v>1</v>
      </c>
      <c r="M31" s="22">
        <v>70168</v>
      </c>
      <c r="N31" s="18" t="s">
        <v>46</v>
      </c>
      <c r="O31" s="22" t="s">
        <v>84</v>
      </c>
      <c r="P31" s="23">
        <v>0</v>
      </c>
      <c r="Q31" s="22"/>
      <c r="R31" s="23">
        <v>0</v>
      </c>
      <c r="S31" s="24">
        <v>46052</v>
      </c>
      <c r="T31" s="23">
        <v>0</v>
      </c>
      <c r="U31" s="25">
        <v>4</v>
      </c>
      <c r="V31" s="23">
        <v>0</v>
      </c>
      <c r="W31" s="18" t="s">
        <v>47</v>
      </c>
      <c r="X31" s="18" t="s">
        <v>48</v>
      </c>
      <c r="Y31" s="18" t="s">
        <v>58</v>
      </c>
      <c r="Z31" s="18" t="s">
        <v>43</v>
      </c>
      <c r="AA31" s="18" t="s">
        <v>49</v>
      </c>
      <c r="AB31" s="18" t="s">
        <v>85</v>
      </c>
      <c r="AC31" s="18" t="s">
        <v>38</v>
      </c>
      <c r="AD31" s="7" t="str">
        <f t="shared" si="0"/>
        <v/>
      </c>
      <c r="AE31" s="26"/>
      <c r="AF31" s="26"/>
      <c r="AG31" s="26"/>
      <c r="AH31" s="26"/>
      <c r="AI31" s="27"/>
      <c r="AJ31" s="27"/>
      <c r="AK31" s="27"/>
      <c r="AL31" s="27"/>
      <c r="AM31" s="27"/>
      <c r="AN31" s="27"/>
      <c r="AO31" s="27"/>
      <c r="AP31" s="27"/>
      <c r="AQ31" s="27"/>
      <c r="AR31" s="27"/>
      <c r="AS31" s="27"/>
      <c r="AT31" s="27"/>
      <c r="AU31" s="27"/>
      <c r="AV31" s="27"/>
      <c r="AW31" s="27"/>
    </row>
    <row r="32" spans="1:49" s="50" customFormat="1" ht="35.1" customHeight="1" x14ac:dyDescent="0.25">
      <c r="A32" s="18" t="s">
        <v>82</v>
      </c>
      <c r="B32" s="19">
        <v>46052</v>
      </c>
      <c r="C32" s="19">
        <v>46052</v>
      </c>
      <c r="D32" s="18" t="s">
        <v>217</v>
      </c>
      <c r="E32" s="20">
        <v>0.5</v>
      </c>
      <c r="F32" s="20">
        <v>0.54166666666666663</v>
      </c>
      <c r="G32" s="20">
        <v>3.4722222222222218E-4</v>
      </c>
      <c r="H32" s="18" t="s">
        <v>83</v>
      </c>
      <c r="I32" s="21">
        <v>0.51916874999999996</v>
      </c>
      <c r="J32" s="18" t="s">
        <v>80</v>
      </c>
      <c r="K32" s="18" t="s">
        <v>151</v>
      </c>
      <c r="L32" s="22">
        <v>1</v>
      </c>
      <c r="M32" s="22">
        <v>70167</v>
      </c>
      <c r="N32" s="18" t="s">
        <v>53</v>
      </c>
      <c r="O32" s="22" t="s">
        <v>84</v>
      </c>
      <c r="P32" s="23">
        <v>35</v>
      </c>
      <c r="Q32" s="22"/>
      <c r="R32" s="23">
        <v>35</v>
      </c>
      <c r="S32" s="24">
        <v>46052</v>
      </c>
      <c r="T32" s="23">
        <v>0</v>
      </c>
      <c r="U32" s="25">
        <v>4</v>
      </c>
      <c r="V32" s="23">
        <v>35</v>
      </c>
      <c r="W32" s="18" t="s">
        <v>47</v>
      </c>
      <c r="X32" s="18" t="s">
        <v>48</v>
      </c>
      <c r="Y32" s="18" t="s">
        <v>58</v>
      </c>
      <c r="Z32" s="18" t="s">
        <v>43</v>
      </c>
      <c r="AA32" s="18" t="s">
        <v>49</v>
      </c>
      <c r="AB32" s="18" t="s">
        <v>85</v>
      </c>
      <c r="AC32" s="18" t="s">
        <v>38</v>
      </c>
      <c r="AD32" s="7" t="str">
        <f t="shared" si="0"/>
        <v/>
      </c>
      <c r="AE32" s="33"/>
      <c r="AF32" s="33"/>
      <c r="AG32" s="33"/>
      <c r="AH32" s="33"/>
      <c r="AI32" s="30"/>
      <c r="AJ32" s="30"/>
      <c r="AK32" s="30"/>
      <c r="AL32" s="30"/>
      <c r="AM32" s="30"/>
      <c r="AN32" s="30"/>
      <c r="AO32" s="30"/>
      <c r="AP32" s="30"/>
      <c r="AQ32" s="30"/>
      <c r="AR32" s="30"/>
      <c r="AS32" s="30"/>
      <c r="AT32" s="30"/>
      <c r="AU32" s="30"/>
      <c r="AV32" s="30"/>
      <c r="AW32" s="30"/>
    </row>
    <row r="33" spans="1:49" s="50" customFormat="1" ht="35.1" customHeight="1" x14ac:dyDescent="0.25">
      <c r="A33" s="18" t="s">
        <v>78</v>
      </c>
      <c r="B33" s="19">
        <v>46052</v>
      </c>
      <c r="C33" s="19">
        <v>46052</v>
      </c>
      <c r="D33" s="18" t="s">
        <v>217</v>
      </c>
      <c r="E33" s="20">
        <v>0.45833333333333331</v>
      </c>
      <c r="F33" s="20">
        <v>0.54166666666666663</v>
      </c>
      <c r="G33" s="20">
        <v>1.7361111111111109E-4</v>
      </c>
      <c r="H33" s="18" t="s">
        <v>91</v>
      </c>
      <c r="I33" s="21">
        <v>0.52534768518518515</v>
      </c>
      <c r="J33" s="18" t="s">
        <v>80</v>
      </c>
      <c r="K33" s="18" t="s">
        <v>151</v>
      </c>
      <c r="L33" s="22">
        <v>1</v>
      </c>
      <c r="M33" s="22">
        <v>64954</v>
      </c>
      <c r="N33" s="18" t="s">
        <v>46</v>
      </c>
      <c r="O33" s="22"/>
      <c r="P33" s="23">
        <v>0</v>
      </c>
      <c r="Q33" s="22"/>
      <c r="R33" s="23">
        <v>0</v>
      </c>
      <c r="S33" s="24">
        <v>46054</v>
      </c>
      <c r="T33" s="23">
        <v>0</v>
      </c>
      <c r="U33" s="25">
        <v>4</v>
      </c>
      <c r="V33" s="23">
        <v>0</v>
      </c>
      <c r="W33" s="18" t="s">
        <v>47</v>
      </c>
      <c r="X33" s="18" t="s">
        <v>48</v>
      </c>
      <c r="Y33" s="18" t="s">
        <v>36</v>
      </c>
      <c r="Z33" s="18" t="s">
        <v>9</v>
      </c>
      <c r="AA33" s="18" t="s">
        <v>49</v>
      </c>
      <c r="AB33" s="18" t="s">
        <v>81</v>
      </c>
      <c r="AC33" s="18" t="s">
        <v>38</v>
      </c>
      <c r="AD33" s="7" t="str">
        <f t="shared" si="0"/>
        <v/>
      </c>
      <c r="AE33" s="26"/>
      <c r="AF33" s="26"/>
      <c r="AG33" s="26"/>
      <c r="AH33" s="26"/>
      <c r="AI33" s="27"/>
      <c r="AJ33" s="27"/>
      <c r="AK33" s="27"/>
      <c r="AL33" s="27"/>
      <c r="AM33" s="27"/>
      <c r="AN33" s="27"/>
      <c r="AO33" s="27"/>
      <c r="AP33" s="27"/>
      <c r="AQ33" s="27"/>
      <c r="AR33" s="27"/>
      <c r="AS33" s="27"/>
      <c r="AT33" s="27"/>
      <c r="AU33" s="27"/>
      <c r="AV33" s="27"/>
      <c r="AW33" s="27"/>
    </row>
    <row r="34" spans="1:49" s="50" customFormat="1" ht="35.1" customHeight="1" x14ac:dyDescent="0.25">
      <c r="A34" s="18" t="s">
        <v>93</v>
      </c>
      <c r="B34" s="19">
        <v>46052</v>
      </c>
      <c r="C34" s="19">
        <v>46052</v>
      </c>
      <c r="D34" s="18" t="s">
        <v>217</v>
      </c>
      <c r="E34" s="20">
        <v>0.45833333333333331</v>
      </c>
      <c r="F34" s="20">
        <v>0.54166666666666663</v>
      </c>
      <c r="G34" s="28">
        <v>1.7361111111111109E-4</v>
      </c>
      <c r="H34" s="29" t="s">
        <v>98</v>
      </c>
      <c r="I34" s="21">
        <v>0.52517407407407413</v>
      </c>
      <c r="J34" s="18" t="s">
        <v>80</v>
      </c>
      <c r="K34" s="18" t="s">
        <v>151</v>
      </c>
      <c r="L34" s="22">
        <v>1</v>
      </c>
      <c r="M34" s="22">
        <v>69570</v>
      </c>
      <c r="N34" s="18" t="s">
        <v>53</v>
      </c>
      <c r="O34" s="22" t="s">
        <v>95</v>
      </c>
      <c r="P34" s="23">
        <v>0</v>
      </c>
      <c r="Q34" s="22"/>
      <c r="R34" s="23">
        <v>19.042139037433099</v>
      </c>
      <c r="S34" s="24">
        <v>46054</v>
      </c>
      <c r="T34" s="23">
        <v>0</v>
      </c>
      <c r="U34" s="25">
        <v>4</v>
      </c>
      <c r="V34" s="23">
        <v>0</v>
      </c>
      <c r="W34" s="18" t="s">
        <v>47</v>
      </c>
      <c r="X34" s="18" t="s">
        <v>48</v>
      </c>
      <c r="Y34" s="18" t="s">
        <v>36</v>
      </c>
      <c r="Z34" s="18" t="s">
        <v>9</v>
      </c>
      <c r="AA34" s="18" t="s">
        <v>49</v>
      </c>
      <c r="AB34" s="18" t="s">
        <v>96</v>
      </c>
      <c r="AC34" s="18" t="s">
        <v>38</v>
      </c>
      <c r="AD34" s="7" t="str">
        <f t="shared" si="0"/>
        <v/>
      </c>
      <c r="AE34" s="51"/>
      <c r="AF34" s="51"/>
      <c r="AG34" s="51"/>
      <c r="AH34" s="51"/>
      <c r="AI34" s="30"/>
      <c r="AJ34" s="30"/>
      <c r="AK34" s="30"/>
      <c r="AL34" s="30"/>
      <c r="AM34" s="30"/>
      <c r="AN34" s="30"/>
      <c r="AO34" s="30"/>
      <c r="AP34" s="30"/>
      <c r="AQ34" s="30"/>
      <c r="AR34" s="30"/>
      <c r="AS34" s="30"/>
      <c r="AT34" s="30"/>
      <c r="AU34" s="30"/>
      <c r="AV34" s="30"/>
      <c r="AW34" s="30"/>
    </row>
    <row r="35" spans="1:49" s="50" customFormat="1" ht="35.1" customHeight="1" x14ac:dyDescent="0.25">
      <c r="A35" s="18" t="s">
        <v>93</v>
      </c>
      <c r="B35" s="19">
        <v>46052</v>
      </c>
      <c r="C35" s="19">
        <v>46052</v>
      </c>
      <c r="D35" s="18" t="s">
        <v>217</v>
      </c>
      <c r="E35" s="20">
        <v>0.45833333333333331</v>
      </c>
      <c r="F35" s="20">
        <v>0.54166666666666663</v>
      </c>
      <c r="G35" s="28">
        <v>1.7361111111111109E-4</v>
      </c>
      <c r="H35" s="29" t="s">
        <v>97</v>
      </c>
      <c r="I35" s="21">
        <v>0.52691030092592595</v>
      </c>
      <c r="J35" s="18" t="s">
        <v>80</v>
      </c>
      <c r="K35" s="18" t="s">
        <v>151</v>
      </c>
      <c r="L35" s="22">
        <v>1</v>
      </c>
      <c r="M35" s="22">
        <v>69570</v>
      </c>
      <c r="N35" s="18" t="s">
        <v>53</v>
      </c>
      <c r="O35" s="22" t="s">
        <v>95</v>
      </c>
      <c r="P35" s="23">
        <v>0</v>
      </c>
      <c r="Q35" s="22"/>
      <c r="R35" s="23">
        <v>19.042139037433099</v>
      </c>
      <c r="S35" s="24">
        <v>46054</v>
      </c>
      <c r="T35" s="23">
        <v>0</v>
      </c>
      <c r="U35" s="25">
        <v>4</v>
      </c>
      <c r="V35" s="23">
        <v>0</v>
      </c>
      <c r="W35" s="18" t="s">
        <v>47</v>
      </c>
      <c r="X35" s="18" t="s">
        <v>48</v>
      </c>
      <c r="Y35" s="18" t="s">
        <v>36</v>
      </c>
      <c r="Z35" s="18" t="s">
        <v>9</v>
      </c>
      <c r="AA35" s="18" t="s">
        <v>49</v>
      </c>
      <c r="AB35" s="18" t="s">
        <v>96</v>
      </c>
      <c r="AC35" s="18" t="s">
        <v>38</v>
      </c>
      <c r="AD35" s="7" t="str">
        <f t="shared" si="0"/>
        <v/>
      </c>
      <c r="AE35" s="26"/>
      <c r="AF35" s="26"/>
      <c r="AG35" s="26"/>
      <c r="AH35" s="26"/>
      <c r="AI35" s="27"/>
      <c r="AJ35" s="27"/>
      <c r="AK35" s="27"/>
      <c r="AL35" s="27"/>
      <c r="AM35" s="27"/>
      <c r="AN35" s="27"/>
      <c r="AO35" s="27"/>
      <c r="AP35" s="27"/>
      <c r="AQ35" s="27"/>
      <c r="AR35" s="27"/>
      <c r="AS35" s="27"/>
      <c r="AT35" s="27"/>
      <c r="AU35" s="27"/>
      <c r="AV35" s="27"/>
      <c r="AW35" s="27"/>
    </row>
    <row r="36" spans="1:49" s="50" customFormat="1" ht="35.1" customHeight="1" x14ac:dyDescent="0.25">
      <c r="A36" s="18" t="s">
        <v>82</v>
      </c>
      <c r="B36" s="19">
        <v>46052</v>
      </c>
      <c r="C36" s="19">
        <v>46052</v>
      </c>
      <c r="D36" s="18" t="s">
        <v>217</v>
      </c>
      <c r="E36" s="20">
        <v>0.5</v>
      </c>
      <c r="F36" s="20">
        <v>0.54166666666666663</v>
      </c>
      <c r="G36" s="20">
        <v>3.4722222222222218E-4</v>
      </c>
      <c r="H36" s="18" t="s">
        <v>83</v>
      </c>
      <c r="I36" s="21">
        <v>0.52552129629629629</v>
      </c>
      <c r="J36" s="18" t="s">
        <v>80</v>
      </c>
      <c r="K36" s="18" t="s">
        <v>151</v>
      </c>
      <c r="L36" s="22">
        <v>1</v>
      </c>
      <c r="M36" s="22">
        <v>70167</v>
      </c>
      <c r="N36" s="18" t="s">
        <v>53</v>
      </c>
      <c r="O36" s="22" t="s">
        <v>84</v>
      </c>
      <c r="P36" s="23">
        <v>35</v>
      </c>
      <c r="Q36" s="22"/>
      <c r="R36" s="23">
        <v>35</v>
      </c>
      <c r="S36" s="24">
        <v>46052</v>
      </c>
      <c r="T36" s="23">
        <v>0</v>
      </c>
      <c r="U36" s="25">
        <v>4</v>
      </c>
      <c r="V36" s="23">
        <v>35</v>
      </c>
      <c r="W36" s="18" t="s">
        <v>47</v>
      </c>
      <c r="X36" s="18" t="s">
        <v>48</v>
      </c>
      <c r="Y36" s="18" t="s">
        <v>58</v>
      </c>
      <c r="Z36" s="18" t="s">
        <v>43</v>
      </c>
      <c r="AA36" s="18" t="s">
        <v>49</v>
      </c>
      <c r="AB36" s="18" t="s">
        <v>85</v>
      </c>
      <c r="AC36" s="18" t="s">
        <v>38</v>
      </c>
      <c r="AD36" s="7" t="str">
        <f t="shared" si="0"/>
        <v/>
      </c>
      <c r="AE36" s="26"/>
      <c r="AF36" s="26"/>
      <c r="AG36" s="26"/>
      <c r="AH36" s="26"/>
      <c r="AI36" s="27"/>
      <c r="AJ36" s="27"/>
      <c r="AK36" s="27"/>
      <c r="AL36" s="27"/>
      <c r="AM36" s="27"/>
      <c r="AN36" s="27"/>
      <c r="AO36" s="27"/>
      <c r="AP36" s="27"/>
      <c r="AQ36" s="27"/>
      <c r="AR36" s="27"/>
      <c r="AS36" s="27"/>
      <c r="AT36" s="27"/>
      <c r="AU36" s="27"/>
      <c r="AV36" s="27"/>
      <c r="AW36" s="27"/>
    </row>
    <row r="37" spans="1:49" s="50" customFormat="1" ht="35.1" customHeight="1" x14ac:dyDescent="0.25">
      <c r="A37" s="18" t="s">
        <v>82</v>
      </c>
      <c r="B37" s="19">
        <v>46052</v>
      </c>
      <c r="C37" s="19">
        <v>46052</v>
      </c>
      <c r="D37" s="18" t="s">
        <v>217</v>
      </c>
      <c r="E37" s="20">
        <v>0.5</v>
      </c>
      <c r="F37" s="20">
        <v>0.54166666666666663</v>
      </c>
      <c r="G37" s="20">
        <v>3.4722222222222218E-4</v>
      </c>
      <c r="H37" s="18" t="s">
        <v>83</v>
      </c>
      <c r="I37" s="21">
        <v>0.53398171296296293</v>
      </c>
      <c r="J37" s="18" t="s">
        <v>80</v>
      </c>
      <c r="K37" s="18" t="s">
        <v>151</v>
      </c>
      <c r="L37" s="22">
        <v>1</v>
      </c>
      <c r="M37" s="22">
        <v>70167</v>
      </c>
      <c r="N37" s="18" t="s">
        <v>53</v>
      </c>
      <c r="O37" s="22" t="s">
        <v>84</v>
      </c>
      <c r="P37" s="23">
        <v>35</v>
      </c>
      <c r="Q37" s="22"/>
      <c r="R37" s="23">
        <v>35</v>
      </c>
      <c r="S37" s="24">
        <v>46052</v>
      </c>
      <c r="T37" s="23">
        <v>0</v>
      </c>
      <c r="U37" s="25">
        <v>4</v>
      </c>
      <c r="V37" s="23">
        <v>35</v>
      </c>
      <c r="W37" s="18" t="s">
        <v>47</v>
      </c>
      <c r="X37" s="18" t="s">
        <v>48</v>
      </c>
      <c r="Y37" s="18" t="s">
        <v>58</v>
      </c>
      <c r="Z37" s="18" t="s">
        <v>43</v>
      </c>
      <c r="AA37" s="18" t="s">
        <v>49</v>
      </c>
      <c r="AB37" s="18" t="s">
        <v>85</v>
      </c>
      <c r="AC37" s="18" t="s">
        <v>38</v>
      </c>
      <c r="AD37" s="7" t="str">
        <f t="shared" si="0"/>
        <v/>
      </c>
      <c r="AE37" s="26"/>
      <c r="AF37" s="26"/>
      <c r="AG37" s="26"/>
      <c r="AH37" s="26"/>
      <c r="AI37" s="26"/>
      <c r="AJ37" s="26"/>
      <c r="AK37" s="26"/>
      <c r="AL37" s="26"/>
      <c r="AM37" s="26"/>
      <c r="AN37" s="26"/>
      <c r="AO37" s="26"/>
      <c r="AP37" s="26"/>
      <c r="AQ37" s="26"/>
      <c r="AR37" s="26"/>
      <c r="AS37" s="26"/>
      <c r="AT37" s="26"/>
      <c r="AU37" s="26"/>
      <c r="AV37" s="26"/>
      <c r="AW37" s="26"/>
    </row>
    <row r="38" spans="1:49" s="50" customFormat="1" ht="35.1" customHeight="1" x14ac:dyDescent="0.25">
      <c r="A38" s="18" t="s">
        <v>78</v>
      </c>
      <c r="B38" s="19">
        <v>46052</v>
      </c>
      <c r="C38" s="19">
        <v>46052</v>
      </c>
      <c r="D38" s="18" t="s">
        <v>217</v>
      </c>
      <c r="E38" s="20">
        <v>0.45833333333333331</v>
      </c>
      <c r="F38" s="20">
        <v>0.54166666666666663</v>
      </c>
      <c r="G38" s="20">
        <v>1.7361111111111109E-4</v>
      </c>
      <c r="H38" s="18" t="s">
        <v>86</v>
      </c>
      <c r="I38" s="21">
        <v>0.54105601851851848</v>
      </c>
      <c r="J38" s="18" t="s">
        <v>80</v>
      </c>
      <c r="K38" s="18" t="s">
        <v>151</v>
      </c>
      <c r="L38" s="22">
        <v>1</v>
      </c>
      <c r="M38" s="22">
        <v>64954</v>
      </c>
      <c r="N38" s="18" t="s">
        <v>46</v>
      </c>
      <c r="O38" s="22"/>
      <c r="P38" s="23">
        <v>0</v>
      </c>
      <c r="Q38" s="22"/>
      <c r="R38" s="23">
        <v>0</v>
      </c>
      <c r="S38" s="24">
        <v>46054</v>
      </c>
      <c r="T38" s="23">
        <v>0</v>
      </c>
      <c r="U38" s="25">
        <v>4</v>
      </c>
      <c r="V38" s="23">
        <v>0</v>
      </c>
      <c r="W38" s="18" t="s">
        <v>47</v>
      </c>
      <c r="X38" s="18" t="s">
        <v>48</v>
      </c>
      <c r="Y38" s="18" t="s">
        <v>36</v>
      </c>
      <c r="Z38" s="18" t="s">
        <v>9</v>
      </c>
      <c r="AA38" s="18" t="s">
        <v>49</v>
      </c>
      <c r="AB38" s="18" t="s">
        <v>81</v>
      </c>
      <c r="AC38" s="18" t="s">
        <v>38</v>
      </c>
      <c r="AD38" s="7" t="str">
        <f t="shared" si="0"/>
        <v/>
      </c>
      <c r="AE38" s="26"/>
      <c r="AF38" s="26"/>
      <c r="AG38" s="26"/>
      <c r="AH38" s="26"/>
      <c r="AI38" s="26"/>
      <c r="AJ38" s="26"/>
      <c r="AK38" s="26"/>
      <c r="AL38" s="26"/>
      <c r="AM38" s="26"/>
      <c r="AN38" s="26"/>
      <c r="AO38" s="26"/>
      <c r="AP38" s="26"/>
      <c r="AQ38" s="26"/>
      <c r="AR38" s="26"/>
      <c r="AS38" s="26"/>
      <c r="AT38" s="26"/>
      <c r="AU38" s="26"/>
      <c r="AV38" s="26"/>
      <c r="AW38" s="26"/>
    </row>
    <row r="39" spans="1:49" s="50" customFormat="1" ht="35.1" customHeight="1" x14ac:dyDescent="0.25">
      <c r="A39" s="18" t="s">
        <v>93</v>
      </c>
      <c r="B39" s="19">
        <v>46052</v>
      </c>
      <c r="C39" s="19">
        <v>46052</v>
      </c>
      <c r="D39" s="18" t="s">
        <v>217</v>
      </c>
      <c r="E39" s="20">
        <v>0.45833333333333331</v>
      </c>
      <c r="F39" s="20">
        <v>0.54166666666666663</v>
      </c>
      <c r="G39" s="28">
        <v>1.7361111111111109E-4</v>
      </c>
      <c r="H39" s="29" t="s">
        <v>94</v>
      </c>
      <c r="I39" s="21">
        <v>0.54088217592592591</v>
      </c>
      <c r="J39" s="18" t="s">
        <v>80</v>
      </c>
      <c r="K39" s="18" t="s">
        <v>151</v>
      </c>
      <c r="L39" s="22">
        <v>1</v>
      </c>
      <c r="M39" s="22">
        <v>69570</v>
      </c>
      <c r="N39" s="18" t="s">
        <v>53</v>
      </c>
      <c r="O39" s="22" t="s">
        <v>95</v>
      </c>
      <c r="P39" s="23">
        <v>0</v>
      </c>
      <c r="Q39" s="22"/>
      <c r="R39" s="23">
        <v>19.042139037433099</v>
      </c>
      <c r="S39" s="24">
        <v>46054</v>
      </c>
      <c r="T39" s="23">
        <v>0</v>
      </c>
      <c r="U39" s="25">
        <v>4</v>
      </c>
      <c r="V39" s="23">
        <v>0</v>
      </c>
      <c r="W39" s="18" t="s">
        <v>47</v>
      </c>
      <c r="X39" s="18" t="s">
        <v>48</v>
      </c>
      <c r="Y39" s="18" t="s">
        <v>36</v>
      </c>
      <c r="Z39" s="18" t="s">
        <v>9</v>
      </c>
      <c r="AA39" s="18" t="s">
        <v>49</v>
      </c>
      <c r="AB39" s="18" t="s">
        <v>96</v>
      </c>
      <c r="AC39" s="18" t="s">
        <v>38</v>
      </c>
      <c r="AD39" s="7" t="str">
        <f t="shared" si="0"/>
        <v/>
      </c>
      <c r="AE39" s="33"/>
      <c r="AF39" s="33"/>
      <c r="AG39" s="33"/>
      <c r="AH39" s="33"/>
      <c r="AI39" s="30"/>
      <c r="AJ39" s="30"/>
      <c r="AK39" s="30"/>
      <c r="AL39" s="30"/>
      <c r="AM39" s="30"/>
      <c r="AN39" s="30"/>
      <c r="AO39" s="30"/>
      <c r="AP39" s="30"/>
      <c r="AQ39" s="30"/>
      <c r="AR39" s="30"/>
      <c r="AS39" s="30"/>
      <c r="AT39" s="30"/>
      <c r="AU39" s="30"/>
      <c r="AV39" s="30"/>
      <c r="AW39" s="30"/>
    </row>
    <row r="40" spans="1:49" s="50" customFormat="1" ht="35.1" customHeight="1" x14ac:dyDescent="0.25">
      <c r="A40" s="18" t="s">
        <v>93</v>
      </c>
      <c r="B40" s="19">
        <v>46052</v>
      </c>
      <c r="C40" s="19">
        <v>46052</v>
      </c>
      <c r="D40" s="18" t="s">
        <v>217</v>
      </c>
      <c r="E40" s="20">
        <v>0.45833333333333331</v>
      </c>
      <c r="F40" s="20">
        <v>0.54166666666666663</v>
      </c>
      <c r="G40" s="28">
        <v>1.7361111111111109E-4</v>
      </c>
      <c r="H40" s="29" t="s">
        <v>97</v>
      </c>
      <c r="I40" s="21">
        <v>0.54122962962962962</v>
      </c>
      <c r="J40" s="18" t="s">
        <v>80</v>
      </c>
      <c r="K40" s="18" t="s">
        <v>151</v>
      </c>
      <c r="L40" s="22">
        <v>1</v>
      </c>
      <c r="M40" s="22">
        <v>69570</v>
      </c>
      <c r="N40" s="18" t="s">
        <v>53</v>
      </c>
      <c r="O40" s="22" t="s">
        <v>95</v>
      </c>
      <c r="P40" s="23">
        <v>0</v>
      </c>
      <c r="Q40" s="22"/>
      <c r="R40" s="23">
        <v>19.042139037433099</v>
      </c>
      <c r="S40" s="24">
        <v>46054</v>
      </c>
      <c r="T40" s="23">
        <v>0</v>
      </c>
      <c r="U40" s="25">
        <v>4</v>
      </c>
      <c r="V40" s="23">
        <v>0</v>
      </c>
      <c r="W40" s="18" t="s">
        <v>47</v>
      </c>
      <c r="X40" s="18" t="s">
        <v>48</v>
      </c>
      <c r="Y40" s="18" t="s">
        <v>36</v>
      </c>
      <c r="Z40" s="18" t="s">
        <v>9</v>
      </c>
      <c r="AA40" s="18" t="s">
        <v>49</v>
      </c>
      <c r="AB40" s="18" t="s">
        <v>96</v>
      </c>
      <c r="AC40" s="18" t="s">
        <v>38</v>
      </c>
      <c r="AD40" s="7" t="str">
        <f t="shared" si="0"/>
        <v/>
      </c>
      <c r="AE40" s="51"/>
      <c r="AF40" s="51"/>
      <c r="AG40" s="51"/>
      <c r="AH40" s="51"/>
      <c r="AI40" s="30"/>
      <c r="AJ40" s="30"/>
      <c r="AK40" s="30"/>
      <c r="AL40" s="30"/>
      <c r="AM40" s="30"/>
      <c r="AN40" s="30"/>
      <c r="AO40" s="30"/>
      <c r="AP40" s="30"/>
      <c r="AQ40" s="30"/>
      <c r="AR40" s="30"/>
      <c r="AS40" s="30"/>
      <c r="AT40" s="30"/>
      <c r="AU40" s="30"/>
      <c r="AV40" s="30"/>
      <c r="AW40" s="30"/>
    </row>
    <row r="41" spans="1:49" s="47" customFormat="1" ht="35.1" customHeight="1" x14ac:dyDescent="0.25">
      <c r="A41" s="9" t="s">
        <v>103</v>
      </c>
      <c r="B41" s="10">
        <v>46052</v>
      </c>
      <c r="C41" s="10">
        <v>46052</v>
      </c>
      <c r="D41" s="11" t="s">
        <v>217</v>
      </c>
      <c r="E41" s="12">
        <v>0.54166666666666663</v>
      </c>
      <c r="F41" s="12">
        <v>0.5625</v>
      </c>
      <c r="G41" s="12">
        <v>2.0833333333333332E-2</v>
      </c>
      <c r="H41" s="9" t="s">
        <v>104</v>
      </c>
      <c r="I41" s="13"/>
      <c r="J41" s="9" t="s">
        <v>105</v>
      </c>
      <c r="K41" s="9"/>
      <c r="L41" s="14">
        <v>1</v>
      </c>
      <c r="M41" s="14">
        <v>1</v>
      </c>
      <c r="N41" s="9" t="s">
        <v>33</v>
      </c>
      <c r="O41" s="9"/>
      <c r="P41" s="16">
        <v>0</v>
      </c>
      <c r="Q41" s="14"/>
      <c r="R41" s="16">
        <v>0</v>
      </c>
      <c r="S41" s="9">
        <v>46054</v>
      </c>
      <c r="T41" s="16">
        <v>0</v>
      </c>
      <c r="U41" s="14">
        <v>2</v>
      </c>
      <c r="V41" s="16">
        <v>0</v>
      </c>
      <c r="W41" s="9" t="s">
        <v>34</v>
      </c>
      <c r="X41" s="9" t="s">
        <v>42</v>
      </c>
      <c r="Y41" s="9" t="s">
        <v>36</v>
      </c>
      <c r="Z41" s="9" t="s">
        <v>43</v>
      </c>
      <c r="AA41" s="9" t="s">
        <v>37</v>
      </c>
      <c r="AB41" s="9" t="s">
        <v>37</v>
      </c>
      <c r="AC41" s="9" t="s">
        <v>38</v>
      </c>
      <c r="AD41" s="7" t="str">
        <f t="shared" si="0"/>
        <v/>
      </c>
      <c r="AE41" s="26"/>
      <c r="AF41" s="26"/>
      <c r="AG41" s="26"/>
      <c r="AH41" s="26"/>
      <c r="AI41" s="26"/>
      <c r="AJ41" s="26"/>
      <c r="AK41" s="26"/>
      <c r="AL41" s="26"/>
      <c r="AM41" s="26"/>
      <c r="AN41" s="26"/>
      <c r="AO41" s="26"/>
      <c r="AP41" s="26"/>
      <c r="AQ41" s="26"/>
      <c r="AR41" s="26"/>
      <c r="AS41" s="26"/>
      <c r="AT41" s="26"/>
      <c r="AU41" s="26"/>
      <c r="AV41" s="26"/>
      <c r="AW41" s="26"/>
    </row>
    <row r="42" spans="1:49" s="50" customFormat="1" ht="35.1" customHeight="1" x14ac:dyDescent="0.25">
      <c r="A42" s="18" t="s">
        <v>106</v>
      </c>
      <c r="B42" s="19">
        <v>46052</v>
      </c>
      <c r="C42" s="19">
        <v>46052</v>
      </c>
      <c r="D42" s="18" t="s">
        <v>217</v>
      </c>
      <c r="E42" s="20">
        <v>0.54166666666666663</v>
      </c>
      <c r="F42" s="20">
        <v>0.66666666666666663</v>
      </c>
      <c r="G42" s="20">
        <v>3.4722222222222218E-4</v>
      </c>
      <c r="H42" s="18" t="s">
        <v>107</v>
      </c>
      <c r="I42" s="21">
        <v>0.54747696759259257</v>
      </c>
      <c r="J42" s="18" t="s">
        <v>105</v>
      </c>
      <c r="K42" s="18" t="s">
        <v>152</v>
      </c>
      <c r="L42" s="22">
        <v>1</v>
      </c>
      <c r="M42" s="22">
        <v>58167</v>
      </c>
      <c r="N42" s="18" t="s">
        <v>46</v>
      </c>
      <c r="O42" s="22" t="s">
        <v>108</v>
      </c>
      <c r="P42" s="23">
        <v>0</v>
      </c>
      <c r="Q42" s="22"/>
      <c r="R42" s="23">
        <v>0</v>
      </c>
      <c r="S42" s="24">
        <v>46054</v>
      </c>
      <c r="T42" s="23">
        <v>0</v>
      </c>
      <c r="U42" s="25">
        <v>4</v>
      </c>
      <c r="V42" s="23">
        <v>0</v>
      </c>
      <c r="W42" s="18" t="s">
        <v>34</v>
      </c>
      <c r="X42" s="18" t="s">
        <v>48</v>
      </c>
      <c r="Y42" s="18" t="s">
        <v>36</v>
      </c>
      <c r="Z42" s="18" t="s">
        <v>9</v>
      </c>
      <c r="AA42" s="18" t="s">
        <v>49</v>
      </c>
      <c r="AB42" s="18" t="s">
        <v>109</v>
      </c>
      <c r="AC42" s="18" t="s">
        <v>38</v>
      </c>
      <c r="AD42" s="7" t="str">
        <f t="shared" si="0"/>
        <v/>
      </c>
      <c r="AE42" s="26"/>
      <c r="AF42" s="26"/>
      <c r="AG42" s="26"/>
      <c r="AH42" s="26"/>
      <c r="AI42" s="26"/>
      <c r="AJ42" s="26"/>
      <c r="AK42" s="26"/>
      <c r="AL42" s="26"/>
      <c r="AM42" s="26"/>
      <c r="AN42" s="26"/>
      <c r="AO42" s="26"/>
      <c r="AP42" s="26"/>
      <c r="AQ42" s="26"/>
      <c r="AR42" s="26"/>
      <c r="AS42" s="26"/>
      <c r="AT42" s="26"/>
      <c r="AU42" s="26"/>
      <c r="AV42" s="26"/>
      <c r="AW42" s="26"/>
    </row>
    <row r="43" spans="1:49" s="50" customFormat="1" ht="35.1" customHeight="1" x14ac:dyDescent="0.25">
      <c r="A43" s="18" t="s">
        <v>159</v>
      </c>
      <c r="B43" s="19">
        <v>46052</v>
      </c>
      <c r="C43" s="19">
        <v>46052</v>
      </c>
      <c r="D43" s="18" t="s">
        <v>217</v>
      </c>
      <c r="E43" s="20">
        <v>0.54166666666666663</v>
      </c>
      <c r="F43" s="20">
        <v>0.66666666666666663</v>
      </c>
      <c r="G43" s="28">
        <v>1.7361111111111109E-4</v>
      </c>
      <c r="H43" s="29" t="s">
        <v>160</v>
      </c>
      <c r="I43" s="21">
        <v>0.54730335648148154</v>
      </c>
      <c r="J43" s="18" t="s">
        <v>105</v>
      </c>
      <c r="K43" s="18" t="s">
        <v>152</v>
      </c>
      <c r="L43" s="22">
        <v>1</v>
      </c>
      <c r="M43" s="22">
        <v>71095</v>
      </c>
      <c r="N43" s="18" t="s">
        <v>53</v>
      </c>
      <c r="O43" s="22" t="s">
        <v>161</v>
      </c>
      <c r="P43" s="23">
        <v>15</v>
      </c>
      <c r="Q43" s="22"/>
      <c r="R43" s="23">
        <v>15</v>
      </c>
      <c r="S43" s="24">
        <v>46054</v>
      </c>
      <c r="T43" s="23">
        <v>2.25</v>
      </c>
      <c r="U43" s="25">
        <v>4</v>
      </c>
      <c r="V43" s="23">
        <v>12.75</v>
      </c>
      <c r="W43" s="18" t="s">
        <v>47</v>
      </c>
      <c r="X43" s="18" t="s">
        <v>48</v>
      </c>
      <c r="Y43" s="18" t="s">
        <v>36</v>
      </c>
      <c r="Z43" s="18" t="s">
        <v>9</v>
      </c>
      <c r="AA43" s="18" t="s">
        <v>49</v>
      </c>
      <c r="AB43" s="18" t="s">
        <v>162</v>
      </c>
      <c r="AC43" s="18" t="s">
        <v>38</v>
      </c>
      <c r="AD43" s="7" t="str">
        <f t="shared" si="0"/>
        <v/>
      </c>
      <c r="AE43" s="26"/>
      <c r="AF43" s="26"/>
      <c r="AG43" s="26"/>
      <c r="AH43" s="26"/>
      <c r="AI43" s="26"/>
      <c r="AJ43" s="26"/>
      <c r="AK43" s="26"/>
      <c r="AL43" s="26"/>
      <c r="AM43" s="26"/>
      <c r="AN43" s="26"/>
      <c r="AO43" s="26"/>
      <c r="AP43" s="26"/>
      <c r="AQ43" s="26"/>
      <c r="AR43" s="26"/>
      <c r="AS43" s="26"/>
      <c r="AT43" s="26"/>
      <c r="AU43" s="26"/>
      <c r="AV43" s="26"/>
      <c r="AW43" s="26"/>
    </row>
    <row r="44" spans="1:49" s="50" customFormat="1" ht="35.1" customHeight="1" x14ac:dyDescent="0.25">
      <c r="A44" s="18" t="s">
        <v>159</v>
      </c>
      <c r="B44" s="19">
        <v>46052</v>
      </c>
      <c r="C44" s="19">
        <v>46052</v>
      </c>
      <c r="D44" s="18" t="s">
        <v>217</v>
      </c>
      <c r="E44" s="20">
        <v>0.54166666666666663</v>
      </c>
      <c r="F44" s="20">
        <v>0.66666666666666663</v>
      </c>
      <c r="G44" s="28">
        <v>1.7361111111111109E-4</v>
      </c>
      <c r="H44" s="29" t="s">
        <v>163</v>
      </c>
      <c r="I44" s="21">
        <v>0.54782418981481484</v>
      </c>
      <c r="J44" s="18" t="s">
        <v>105</v>
      </c>
      <c r="K44" s="18" t="s">
        <v>152</v>
      </c>
      <c r="L44" s="22">
        <v>1</v>
      </c>
      <c r="M44" s="22">
        <v>71095</v>
      </c>
      <c r="N44" s="18" t="s">
        <v>53</v>
      </c>
      <c r="O44" s="22" t="s">
        <v>161</v>
      </c>
      <c r="P44" s="23">
        <v>15</v>
      </c>
      <c r="Q44" s="22"/>
      <c r="R44" s="23">
        <v>15</v>
      </c>
      <c r="S44" s="24">
        <v>46054</v>
      </c>
      <c r="T44" s="23">
        <v>2.25</v>
      </c>
      <c r="U44" s="25">
        <v>4</v>
      </c>
      <c r="V44" s="23">
        <v>12.75</v>
      </c>
      <c r="W44" s="18" t="s">
        <v>47</v>
      </c>
      <c r="X44" s="18" t="s">
        <v>48</v>
      </c>
      <c r="Y44" s="18" t="s">
        <v>36</v>
      </c>
      <c r="Z44" s="18" t="s">
        <v>9</v>
      </c>
      <c r="AA44" s="18" t="s">
        <v>49</v>
      </c>
      <c r="AB44" s="18" t="s">
        <v>162</v>
      </c>
      <c r="AC44" s="18" t="s">
        <v>38</v>
      </c>
      <c r="AD44" s="7" t="str">
        <f t="shared" si="0"/>
        <v/>
      </c>
      <c r="AE44" s="26"/>
      <c r="AF44" s="26"/>
      <c r="AG44" s="26"/>
      <c r="AH44" s="26"/>
      <c r="AI44" s="26"/>
      <c r="AJ44" s="26"/>
      <c r="AK44" s="26"/>
      <c r="AL44" s="26"/>
      <c r="AM44" s="26"/>
      <c r="AN44" s="26"/>
      <c r="AO44" s="26"/>
      <c r="AP44" s="26"/>
      <c r="AQ44" s="26"/>
      <c r="AR44" s="26"/>
      <c r="AS44" s="26"/>
      <c r="AT44" s="26"/>
      <c r="AU44" s="26"/>
      <c r="AV44" s="26"/>
      <c r="AW44" s="26"/>
    </row>
    <row r="45" spans="1:49" s="50" customFormat="1" ht="35.1" customHeight="1" x14ac:dyDescent="0.25">
      <c r="A45" s="18" t="s">
        <v>106</v>
      </c>
      <c r="B45" s="19">
        <v>46052</v>
      </c>
      <c r="C45" s="19">
        <v>46052</v>
      </c>
      <c r="D45" s="18" t="s">
        <v>217</v>
      </c>
      <c r="E45" s="20">
        <v>0.54166666666666663</v>
      </c>
      <c r="F45" s="20">
        <v>0.66666666666666663</v>
      </c>
      <c r="G45" s="20">
        <v>3.4722222222222218E-4</v>
      </c>
      <c r="H45" s="18" t="s">
        <v>107</v>
      </c>
      <c r="I45" s="21">
        <v>0.56185231481481479</v>
      </c>
      <c r="J45" s="18" t="s">
        <v>105</v>
      </c>
      <c r="K45" s="18" t="s">
        <v>152</v>
      </c>
      <c r="L45" s="22">
        <v>1</v>
      </c>
      <c r="M45" s="22">
        <v>58165</v>
      </c>
      <c r="N45" s="18" t="s">
        <v>53</v>
      </c>
      <c r="O45" s="22" t="s">
        <v>108</v>
      </c>
      <c r="P45" s="23">
        <v>42.352941176470587</v>
      </c>
      <c r="Q45" s="22"/>
      <c r="R45" s="23">
        <v>42.352941176470587</v>
      </c>
      <c r="S45" s="24">
        <v>46054</v>
      </c>
      <c r="T45" s="23">
        <v>6.3529411764705879</v>
      </c>
      <c r="U45" s="25">
        <v>4</v>
      </c>
      <c r="V45" s="23">
        <v>36</v>
      </c>
      <c r="W45" s="18" t="s">
        <v>34</v>
      </c>
      <c r="X45" s="18" t="s">
        <v>48</v>
      </c>
      <c r="Y45" s="18" t="s">
        <v>36</v>
      </c>
      <c r="Z45" s="18" t="s">
        <v>9</v>
      </c>
      <c r="AA45" s="18" t="s">
        <v>49</v>
      </c>
      <c r="AB45" s="18" t="s">
        <v>109</v>
      </c>
      <c r="AC45" s="18" t="s">
        <v>38</v>
      </c>
      <c r="AD45" s="7" t="str">
        <f t="shared" si="0"/>
        <v/>
      </c>
      <c r="AE45" s="26"/>
      <c r="AF45" s="26"/>
      <c r="AG45" s="26"/>
      <c r="AH45" s="26"/>
      <c r="AI45" s="26"/>
      <c r="AJ45" s="26"/>
      <c r="AK45" s="26"/>
      <c r="AL45" s="26"/>
      <c r="AM45" s="26"/>
      <c r="AN45" s="26"/>
      <c r="AO45" s="26"/>
      <c r="AP45" s="26"/>
      <c r="AQ45" s="26"/>
      <c r="AR45" s="26"/>
      <c r="AS45" s="26"/>
      <c r="AT45" s="26"/>
      <c r="AU45" s="26"/>
      <c r="AV45" s="26"/>
      <c r="AW45" s="26"/>
    </row>
    <row r="46" spans="1:49" s="50" customFormat="1" ht="35.1" customHeight="1" x14ac:dyDescent="0.2">
      <c r="A46" s="18" t="s">
        <v>159</v>
      </c>
      <c r="B46" s="19">
        <v>46052</v>
      </c>
      <c r="C46" s="19">
        <v>46052</v>
      </c>
      <c r="D46" s="18" t="s">
        <v>217</v>
      </c>
      <c r="E46" s="20">
        <v>0.54166666666666663</v>
      </c>
      <c r="F46" s="20">
        <v>0.66666666666666663</v>
      </c>
      <c r="G46" s="28">
        <v>1.7361111111111109E-4</v>
      </c>
      <c r="H46" s="29" t="s">
        <v>164</v>
      </c>
      <c r="I46" s="21">
        <v>0.56133136574074072</v>
      </c>
      <c r="J46" s="18" t="s">
        <v>105</v>
      </c>
      <c r="K46" s="18" t="s">
        <v>152</v>
      </c>
      <c r="L46" s="22">
        <v>1</v>
      </c>
      <c r="M46" s="22">
        <v>71095</v>
      </c>
      <c r="N46" s="18" t="s">
        <v>53</v>
      </c>
      <c r="O46" s="22" t="s">
        <v>161</v>
      </c>
      <c r="P46" s="23">
        <v>15</v>
      </c>
      <c r="Q46" s="22"/>
      <c r="R46" s="23">
        <v>15</v>
      </c>
      <c r="S46" s="24">
        <v>46054</v>
      </c>
      <c r="T46" s="23">
        <v>2.25</v>
      </c>
      <c r="U46" s="25">
        <v>4</v>
      </c>
      <c r="V46" s="23">
        <v>12.75</v>
      </c>
      <c r="W46" s="18" t="s">
        <v>47</v>
      </c>
      <c r="X46" s="18" t="s">
        <v>48</v>
      </c>
      <c r="Y46" s="18" t="s">
        <v>36</v>
      </c>
      <c r="Z46" s="18" t="s">
        <v>9</v>
      </c>
      <c r="AA46" s="18" t="s">
        <v>49</v>
      </c>
      <c r="AB46" s="18" t="s">
        <v>162</v>
      </c>
      <c r="AC46" s="18" t="s">
        <v>38</v>
      </c>
      <c r="AD46" s="7" t="str">
        <f t="shared" si="0"/>
        <v/>
      </c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</row>
    <row r="47" spans="1:49" s="50" customFormat="1" ht="35.1" customHeight="1" x14ac:dyDescent="0.25">
      <c r="A47" s="18" t="s">
        <v>159</v>
      </c>
      <c r="B47" s="19">
        <v>46052</v>
      </c>
      <c r="C47" s="19">
        <v>46052</v>
      </c>
      <c r="D47" s="18" t="s">
        <v>217</v>
      </c>
      <c r="E47" s="20">
        <v>0.54166666666666663</v>
      </c>
      <c r="F47" s="20">
        <v>0.66666666666666663</v>
      </c>
      <c r="G47" s="28">
        <v>1.7361111111111109E-4</v>
      </c>
      <c r="H47" s="29" t="s">
        <v>165</v>
      </c>
      <c r="I47" s="21">
        <v>0.56219953703703707</v>
      </c>
      <c r="J47" s="18" t="s">
        <v>105</v>
      </c>
      <c r="K47" s="18" t="s">
        <v>152</v>
      </c>
      <c r="L47" s="22">
        <v>1</v>
      </c>
      <c r="M47" s="22">
        <v>71095</v>
      </c>
      <c r="N47" s="18" t="s">
        <v>53</v>
      </c>
      <c r="O47" s="22" t="s">
        <v>161</v>
      </c>
      <c r="P47" s="23">
        <v>15</v>
      </c>
      <c r="Q47" s="22"/>
      <c r="R47" s="23">
        <v>15</v>
      </c>
      <c r="S47" s="24">
        <v>46054</v>
      </c>
      <c r="T47" s="23">
        <v>2.25</v>
      </c>
      <c r="U47" s="25">
        <v>4</v>
      </c>
      <c r="V47" s="23">
        <v>12.75</v>
      </c>
      <c r="W47" s="18" t="s">
        <v>47</v>
      </c>
      <c r="X47" s="18" t="s">
        <v>48</v>
      </c>
      <c r="Y47" s="18" t="s">
        <v>36</v>
      </c>
      <c r="Z47" s="18" t="s">
        <v>9</v>
      </c>
      <c r="AA47" s="18" t="s">
        <v>49</v>
      </c>
      <c r="AB47" s="18" t="s">
        <v>162</v>
      </c>
      <c r="AC47" s="18" t="s">
        <v>38</v>
      </c>
      <c r="AD47" s="7" t="str">
        <f t="shared" si="0"/>
        <v/>
      </c>
      <c r="AE47" s="26"/>
      <c r="AF47" s="26"/>
      <c r="AG47" s="26"/>
      <c r="AH47" s="26"/>
      <c r="AI47" s="27"/>
      <c r="AJ47" s="27"/>
      <c r="AK47" s="27"/>
      <c r="AL47" s="27"/>
      <c r="AM47" s="27"/>
      <c r="AN47" s="27"/>
      <c r="AO47" s="27"/>
      <c r="AP47" s="27"/>
      <c r="AQ47" s="27"/>
      <c r="AR47" s="27"/>
      <c r="AS47" s="27"/>
      <c r="AT47" s="27"/>
      <c r="AU47" s="27"/>
      <c r="AV47" s="27"/>
      <c r="AW47" s="27"/>
    </row>
    <row r="48" spans="1:49" s="47" customFormat="1" ht="35.1" customHeight="1" x14ac:dyDescent="0.25">
      <c r="A48" s="9" t="s">
        <v>103</v>
      </c>
      <c r="B48" s="10">
        <v>46052</v>
      </c>
      <c r="C48" s="10">
        <v>46052</v>
      </c>
      <c r="D48" s="11" t="s">
        <v>217</v>
      </c>
      <c r="E48" s="12">
        <v>0.5625</v>
      </c>
      <c r="F48" s="12">
        <v>0.58333333333333337</v>
      </c>
      <c r="G48" s="12">
        <v>2.0833333333333332E-2</v>
      </c>
      <c r="H48" s="9" t="s">
        <v>112</v>
      </c>
      <c r="I48" s="13"/>
      <c r="J48" s="9" t="s">
        <v>105</v>
      </c>
      <c r="K48" s="9"/>
      <c r="L48" s="14">
        <v>1</v>
      </c>
      <c r="M48" s="14">
        <v>1</v>
      </c>
      <c r="N48" s="9" t="s">
        <v>33</v>
      </c>
      <c r="O48" s="9"/>
      <c r="P48" s="16">
        <v>0</v>
      </c>
      <c r="Q48" s="14"/>
      <c r="R48" s="16">
        <v>0</v>
      </c>
      <c r="S48" s="9">
        <v>46054</v>
      </c>
      <c r="T48" s="16">
        <v>0</v>
      </c>
      <c r="U48" s="14">
        <v>2</v>
      </c>
      <c r="V48" s="16">
        <v>0</v>
      </c>
      <c r="W48" s="9" t="s">
        <v>34</v>
      </c>
      <c r="X48" s="9" t="s">
        <v>42</v>
      </c>
      <c r="Y48" s="9" t="s">
        <v>36</v>
      </c>
      <c r="Z48" s="9" t="s">
        <v>43</v>
      </c>
      <c r="AA48" s="9" t="s">
        <v>37</v>
      </c>
      <c r="AB48" s="9" t="s">
        <v>37</v>
      </c>
      <c r="AC48" s="9" t="s">
        <v>38</v>
      </c>
      <c r="AD48" s="7" t="str">
        <f t="shared" si="0"/>
        <v/>
      </c>
      <c r="AE48" s="26"/>
      <c r="AF48" s="26"/>
      <c r="AG48" s="26"/>
      <c r="AH48" s="26"/>
      <c r="AI48" s="26"/>
      <c r="AJ48" s="26"/>
      <c r="AK48" s="26"/>
      <c r="AL48" s="26"/>
      <c r="AM48" s="26"/>
      <c r="AN48" s="26"/>
      <c r="AO48" s="26"/>
      <c r="AP48" s="26"/>
      <c r="AQ48" s="26"/>
      <c r="AR48" s="26"/>
      <c r="AS48" s="26"/>
      <c r="AT48" s="26"/>
      <c r="AU48" s="26"/>
      <c r="AV48" s="26"/>
      <c r="AW48" s="26"/>
    </row>
    <row r="49" spans="1:49" s="50" customFormat="1" ht="35.1" customHeight="1" x14ac:dyDescent="0.2">
      <c r="A49" s="18" t="s">
        <v>106</v>
      </c>
      <c r="B49" s="19">
        <v>46052</v>
      </c>
      <c r="C49" s="19">
        <v>46052</v>
      </c>
      <c r="D49" s="18" t="s">
        <v>217</v>
      </c>
      <c r="E49" s="20">
        <v>0.54166666666666663</v>
      </c>
      <c r="F49" s="20">
        <v>0.66666666666666663</v>
      </c>
      <c r="G49" s="20">
        <v>3.4722222222222218E-4</v>
      </c>
      <c r="H49" s="18" t="s">
        <v>107</v>
      </c>
      <c r="I49" s="21">
        <v>0.5822811342592592</v>
      </c>
      <c r="J49" s="18" t="s">
        <v>105</v>
      </c>
      <c r="K49" s="18" t="s">
        <v>153</v>
      </c>
      <c r="L49" s="22">
        <v>1</v>
      </c>
      <c r="M49" s="22">
        <v>58165</v>
      </c>
      <c r="N49" s="18" t="s">
        <v>53</v>
      </c>
      <c r="O49" s="22" t="s">
        <v>108</v>
      </c>
      <c r="P49" s="23">
        <v>42.352941176470587</v>
      </c>
      <c r="Q49" s="22"/>
      <c r="R49" s="23">
        <v>42.352941176470587</v>
      </c>
      <c r="S49" s="24">
        <v>46054</v>
      </c>
      <c r="T49" s="23">
        <v>6.3529411764705879</v>
      </c>
      <c r="U49" s="25">
        <v>4</v>
      </c>
      <c r="V49" s="23">
        <v>36</v>
      </c>
      <c r="W49" s="18" t="s">
        <v>34</v>
      </c>
      <c r="X49" s="18" t="s">
        <v>48</v>
      </c>
      <c r="Y49" s="18" t="s">
        <v>36</v>
      </c>
      <c r="Z49" s="18" t="s">
        <v>9</v>
      </c>
      <c r="AA49" s="18" t="s">
        <v>49</v>
      </c>
      <c r="AB49" s="18" t="s">
        <v>109</v>
      </c>
      <c r="AC49" s="18" t="s">
        <v>38</v>
      </c>
      <c r="AD49" s="7" t="str">
        <f t="shared" si="0"/>
        <v/>
      </c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</row>
    <row r="50" spans="1:49" s="50" customFormat="1" ht="35.1" customHeight="1" x14ac:dyDescent="0.25">
      <c r="A50" s="18" t="s">
        <v>159</v>
      </c>
      <c r="B50" s="19">
        <v>46052</v>
      </c>
      <c r="C50" s="19">
        <v>46052</v>
      </c>
      <c r="D50" s="18" t="s">
        <v>217</v>
      </c>
      <c r="E50" s="20">
        <v>0.54166666666666663</v>
      </c>
      <c r="F50" s="20">
        <v>0.66666666666666663</v>
      </c>
      <c r="G50" s="28">
        <v>1.7361111111111109E-4</v>
      </c>
      <c r="H50" s="29" t="s">
        <v>160</v>
      </c>
      <c r="I50" s="21">
        <v>0.5819336805555555</v>
      </c>
      <c r="J50" s="18" t="s">
        <v>105</v>
      </c>
      <c r="K50" s="18" t="s">
        <v>153</v>
      </c>
      <c r="L50" s="22">
        <v>1</v>
      </c>
      <c r="M50" s="22">
        <v>71095</v>
      </c>
      <c r="N50" s="18" t="s">
        <v>53</v>
      </c>
      <c r="O50" s="22" t="s">
        <v>161</v>
      </c>
      <c r="P50" s="23">
        <v>15</v>
      </c>
      <c r="Q50" s="22"/>
      <c r="R50" s="23">
        <v>15</v>
      </c>
      <c r="S50" s="24">
        <v>46054</v>
      </c>
      <c r="T50" s="23">
        <v>2.25</v>
      </c>
      <c r="U50" s="25">
        <v>4</v>
      </c>
      <c r="V50" s="23">
        <v>12.75</v>
      </c>
      <c r="W50" s="18" t="s">
        <v>47</v>
      </c>
      <c r="X50" s="18" t="s">
        <v>48</v>
      </c>
      <c r="Y50" s="18" t="s">
        <v>36</v>
      </c>
      <c r="Z50" s="18" t="s">
        <v>9</v>
      </c>
      <c r="AA50" s="18" t="s">
        <v>49</v>
      </c>
      <c r="AB50" s="18" t="s">
        <v>162</v>
      </c>
      <c r="AC50" s="18" t="s">
        <v>38</v>
      </c>
      <c r="AD50" s="7" t="str">
        <f t="shared" si="0"/>
        <v/>
      </c>
      <c r="AE50" s="26"/>
      <c r="AF50" s="26"/>
      <c r="AG50" s="26"/>
      <c r="AH50" s="26"/>
      <c r="AI50" s="27"/>
      <c r="AJ50" s="27"/>
      <c r="AK50" s="27"/>
      <c r="AL50" s="27"/>
      <c r="AM50" s="27"/>
      <c r="AN50" s="27"/>
      <c r="AO50" s="27"/>
      <c r="AP50" s="27"/>
      <c r="AQ50" s="27"/>
      <c r="AR50" s="27"/>
      <c r="AS50" s="27"/>
      <c r="AT50" s="27"/>
      <c r="AU50" s="27"/>
      <c r="AV50" s="27"/>
      <c r="AW50" s="27"/>
    </row>
    <row r="51" spans="1:49" s="50" customFormat="1" ht="35.1" customHeight="1" x14ac:dyDescent="0.25">
      <c r="A51" s="18" t="s">
        <v>159</v>
      </c>
      <c r="B51" s="19">
        <v>46052</v>
      </c>
      <c r="C51" s="19">
        <v>46052</v>
      </c>
      <c r="D51" s="18" t="s">
        <v>217</v>
      </c>
      <c r="E51" s="20">
        <v>0.54166666666666663</v>
      </c>
      <c r="F51" s="20">
        <v>0.66666666666666663</v>
      </c>
      <c r="G51" s="28">
        <v>1.7361111111111109E-4</v>
      </c>
      <c r="H51" s="29" t="s">
        <v>163</v>
      </c>
      <c r="I51" s="21">
        <v>0.58297581018518518</v>
      </c>
      <c r="J51" s="18" t="s">
        <v>105</v>
      </c>
      <c r="K51" s="18" t="s">
        <v>153</v>
      </c>
      <c r="L51" s="22">
        <v>1</v>
      </c>
      <c r="M51" s="22">
        <v>71095</v>
      </c>
      <c r="N51" s="18" t="s">
        <v>53</v>
      </c>
      <c r="O51" s="22" t="s">
        <v>161</v>
      </c>
      <c r="P51" s="23">
        <v>15</v>
      </c>
      <c r="Q51" s="22"/>
      <c r="R51" s="23">
        <v>15</v>
      </c>
      <c r="S51" s="24">
        <v>46054</v>
      </c>
      <c r="T51" s="23">
        <v>2.25</v>
      </c>
      <c r="U51" s="25">
        <v>4</v>
      </c>
      <c r="V51" s="23">
        <v>12.75</v>
      </c>
      <c r="W51" s="18" t="s">
        <v>47</v>
      </c>
      <c r="X51" s="18" t="s">
        <v>48</v>
      </c>
      <c r="Y51" s="18" t="s">
        <v>36</v>
      </c>
      <c r="Z51" s="18" t="s">
        <v>9</v>
      </c>
      <c r="AA51" s="18" t="s">
        <v>49</v>
      </c>
      <c r="AB51" s="18" t="s">
        <v>162</v>
      </c>
      <c r="AC51" s="18" t="s">
        <v>38</v>
      </c>
      <c r="AD51" s="7" t="str">
        <f t="shared" si="0"/>
        <v/>
      </c>
      <c r="AE51" s="26"/>
      <c r="AF51" s="26"/>
      <c r="AG51" s="26"/>
      <c r="AH51" s="26"/>
      <c r="AI51" s="27"/>
      <c r="AJ51" s="27"/>
      <c r="AK51" s="27"/>
      <c r="AL51" s="27"/>
      <c r="AM51" s="27"/>
      <c r="AN51" s="27"/>
      <c r="AO51" s="27"/>
      <c r="AP51" s="27"/>
      <c r="AQ51" s="27"/>
      <c r="AR51" s="27"/>
      <c r="AS51" s="27"/>
      <c r="AT51" s="27"/>
      <c r="AU51" s="27"/>
      <c r="AV51" s="27"/>
      <c r="AW51" s="27"/>
    </row>
    <row r="52" spans="1:49" s="47" customFormat="1" ht="35.1" customHeight="1" x14ac:dyDescent="0.25">
      <c r="A52" s="9" t="s">
        <v>113</v>
      </c>
      <c r="B52" s="10">
        <v>46052</v>
      </c>
      <c r="C52" s="10">
        <v>46052</v>
      </c>
      <c r="D52" s="11" t="s">
        <v>217</v>
      </c>
      <c r="E52" s="12">
        <v>0.58333333333333337</v>
      </c>
      <c r="F52" s="12">
        <v>0.625</v>
      </c>
      <c r="G52" s="12">
        <v>4.1666666666666664E-2</v>
      </c>
      <c r="H52" s="9" t="s">
        <v>114</v>
      </c>
      <c r="I52" s="13"/>
      <c r="J52" s="9" t="s">
        <v>115</v>
      </c>
      <c r="K52" s="9"/>
      <c r="L52" s="14">
        <v>1</v>
      </c>
      <c r="M52" s="14">
        <v>1</v>
      </c>
      <c r="N52" s="9" t="s">
        <v>33</v>
      </c>
      <c r="O52" s="9"/>
      <c r="P52" s="16">
        <v>0</v>
      </c>
      <c r="Q52" s="14"/>
      <c r="R52" s="16">
        <v>0</v>
      </c>
      <c r="S52" s="9">
        <v>46054</v>
      </c>
      <c r="T52" s="16">
        <v>0</v>
      </c>
      <c r="U52" s="14">
        <v>2</v>
      </c>
      <c r="V52" s="16">
        <v>0</v>
      </c>
      <c r="W52" s="9" t="s">
        <v>34</v>
      </c>
      <c r="X52" s="9" t="s">
        <v>42</v>
      </c>
      <c r="Y52" s="9" t="s">
        <v>36</v>
      </c>
      <c r="Z52" s="9" t="s">
        <v>43</v>
      </c>
      <c r="AA52" s="9" t="s">
        <v>37</v>
      </c>
      <c r="AB52" s="9" t="s">
        <v>37</v>
      </c>
      <c r="AC52" s="9" t="s">
        <v>38</v>
      </c>
      <c r="AD52" s="7" t="str">
        <f t="shared" si="0"/>
        <v/>
      </c>
      <c r="AE52" s="26"/>
      <c r="AF52" s="26"/>
      <c r="AG52" s="26"/>
      <c r="AH52" s="26"/>
      <c r="AI52" s="27"/>
      <c r="AJ52" s="27"/>
      <c r="AK52" s="27"/>
      <c r="AL52" s="27"/>
      <c r="AM52" s="27"/>
      <c r="AN52" s="27"/>
      <c r="AO52" s="27"/>
      <c r="AP52" s="27"/>
      <c r="AQ52" s="27"/>
      <c r="AR52" s="27"/>
      <c r="AS52" s="27"/>
      <c r="AT52" s="27"/>
      <c r="AU52" s="27"/>
      <c r="AV52" s="27"/>
      <c r="AW52" s="27"/>
    </row>
    <row r="53" spans="1:49" s="50" customFormat="1" ht="35.1" customHeight="1" x14ac:dyDescent="0.25">
      <c r="A53" s="18" t="s">
        <v>106</v>
      </c>
      <c r="B53" s="19">
        <v>46052</v>
      </c>
      <c r="C53" s="19">
        <v>46052</v>
      </c>
      <c r="D53" s="18" t="s">
        <v>217</v>
      </c>
      <c r="E53" s="20">
        <v>0.54166666666666663</v>
      </c>
      <c r="F53" s="20">
        <v>0.66666666666666663</v>
      </c>
      <c r="G53" s="20">
        <v>3.4722222222222218E-4</v>
      </c>
      <c r="H53" s="18" t="s">
        <v>107</v>
      </c>
      <c r="I53" s="21">
        <v>0.59806840277777773</v>
      </c>
      <c r="J53" s="18" t="s">
        <v>105</v>
      </c>
      <c r="K53" s="18" t="s">
        <v>154</v>
      </c>
      <c r="L53" s="22">
        <v>1</v>
      </c>
      <c r="M53" s="22">
        <v>58165</v>
      </c>
      <c r="N53" s="18" t="s">
        <v>53</v>
      </c>
      <c r="O53" s="22" t="s">
        <v>108</v>
      </c>
      <c r="P53" s="23">
        <v>42.352941176470587</v>
      </c>
      <c r="Q53" s="22"/>
      <c r="R53" s="23">
        <v>42.352941176470587</v>
      </c>
      <c r="S53" s="24">
        <v>46054</v>
      </c>
      <c r="T53" s="23">
        <v>6.3529411764705879</v>
      </c>
      <c r="U53" s="25">
        <v>4</v>
      </c>
      <c r="V53" s="23">
        <v>36</v>
      </c>
      <c r="W53" s="18" t="s">
        <v>34</v>
      </c>
      <c r="X53" s="18" t="s">
        <v>48</v>
      </c>
      <c r="Y53" s="18" t="s">
        <v>36</v>
      </c>
      <c r="Z53" s="18" t="s">
        <v>9</v>
      </c>
      <c r="AA53" s="18" t="s">
        <v>49</v>
      </c>
      <c r="AB53" s="18" t="s">
        <v>109</v>
      </c>
      <c r="AC53" s="18" t="s">
        <v>38</v>
      </c>
      <c r="AD53" s="7" t="str">
        <f t="shared" si="0"/>
        <v/>
      </c>
      <c r="AE53" s="26"/>
      <c r="AF53" s="26"/>
      <c r="AG53" s="26"/>
      <c r="AH53" s="26"/>
      <c r="AI53" s="27"/>
      <c r="AJ53" s="27"/>
      <c r="AK53" s="27"/>
      <c r="AL53" s="27"/>
      <c r="AM53" s="27"/>
      <c r="AN53" s="27"/>
      <c r="AO53" s="27"/>
      <c r="AP53" s="27"/>
      <c r="AQ53" s="27"/>
      <c r="AR53" s="27"/>
      <c r="AS53" s="27"/>
      <c r="AT53" s="27"/>
      <c r="AU53" s="27"/>
      <c r="AV53" s="27"/>
      <c r="AW53" s="27"/>
    </row>
    <row r="54" spans="1:49" s="50" customFormat="1" ht="35.1" customHeight="1" x14ac:dyDescent="0.25">
      <c r="A54" s="18" t="s">
        <v>106</v>
      </c>
      <c r="B54" s="19">
        <v>46052</v>
      </c>
      <c r="C54" s="19">
        <v>46052</v>
      </c>
      <c r="D54" s="18" t="s">
        <v>217</v>
      </c>
      <c r="E54" s="20">
        <v>0.54166666666666663</v>
      </c>
      <c r="F54" s="20">
        <v>0.66666666666666663</v>
      </c>
      <c r="G54" s="20">
        <v>3.4722222222222218E-4</v>
      </c>
      <c r="H54" s="18" t="s">
        <v>107</v>
      </c>
      <c r="I54" s="21">
        <v>0.60774386574074069</v>
      </c>
      <c r="J54" s="18" t="s">
        <v>105</v>
      </c>
      <c r="K54" s="18" t="s">
        <v>154</v>
      </c>
      <c r="L54" s="22">
        <v>1</v>
      </c>
      <c r="M54" s="22">
        <v>58165</v>
      </c>
      <c r="N54" s="18" t="s">
        <v>53</v>
      </c>
      <c r="O54" s="22" t="s">
        <v>108</v>
      </c>
      <c r="P54" s="23">
        <v>42.352941176470587</v>
      </c>
      <c r="Q54" s="22"/>
      <c r="R54" s="23">
        <v>42.352941176470587</v>
      </c>
      <c r="S54" s="24">
        <v>46054</v>
      </c>
      <c r="T54" s="23">
        <v>6.3529411764705879</v>
      </c>
      <c r="U54" s="25">
        <v>4</v>
      </c>
      <c r="V54" s="23">
        <v>36</v>
      </c>
      <c r="W54" s="18" t="s">
        <v>34</v>
      </c>
      <c r="X54" s="18" t="s">
        <v>48</v>
      </c>
      <c r="Y54" s="18" t="s">
        <v>36</v>
      </c>
      <c r="Z54" s="18" t="s">
        <v>9</v>
      </c>
      <c r="AA54" s="18" t="s">
        <v>49</v>
      </c>
      <c r="AB54" s="18" t="s">
        <v>109</v>
      </c>
      <c r="AC54" s="18" t="s">
        <v>38</v>
      </c>
      <c r="AD54" s="7" t="str">
        <f t="shared" si="0"/>
        <v/>
      </c>
      <c r="AE54" s="26"/>
      <c r="AF54" s="26"/>
      <c r="AG54" s="26"/>
      <c r="AH54" s="26"/>
      <c r="AI54" s="27"/>
      <c r="AJ54" s="27"/>
      <c r="AK54" s="27"/>
      <c r="AL54" s="27"/>
      <c r="AM54" s="27"/>
      <c r="AN54" s="27"/>
      <c r="AO54" s="27"/>
      <c r="AP54" s="27"/>
      <c r="AQ54" s="27"/>
      <c r="AR54" s="27"/>
      <c r="AS54" s="27"/>
      <c r="AT54" s="27"/>
      <c r="AU54" s="27"/>
      <c r="AV54" s="27"/>
      <c r="AW54" s="27"/>
    </row>
    <row r="55" spans="1:49" s="50" customFormat="1" ht="35.1" customHeight="1" x14ac:dyDescent="0.25">
      <c r="A55" s="18" t="s">
        <v>106</v>
      </c>
      <c r="B55" s="19">
        <v>46052</v>
      </c>
      <c r="C55" s="19">
        <v>46052</v>
      </c>
      <c r="D55" s="18" t="s">
        <v>217</v>
      </c>
      <c r="E55" s="20">
        <v>0.54166666666666663</v>
      </c>
      <c r="F55" s="20">
        <v>0.66666666666666663</v>
      </c>
      <c r="G55" s="20">
        <v>3.4722222222222218E-4</v>
      </c>
      <c r="H55" s="18" t="s">
        <v>107</v>
      </c>
      <c r="I55" s="21">
        <v>0.62345231481481478</v>
      </c>
      <c r="J55" s="18" t="s">
        <v>105</v>
      </c>
      <c r="K55" s="18" t="s">
        <v>154</v>
      </c>
      <c r="L55" s="22">
        <v>1</v>
      </c>
      <c r="M55" s="22">
        <v>58165</v>
      </c>
      <c r="N55" s="18" t="s">
        <v>53</v>
      </c>
      <c r="O55" s="22" t="s">
        <v>108</v>
      </c>
      <c r="P55" s="23">
        <v>42.352941176470587</v>
      </c>
      <c r="Q55" s="22"/>
      <c r="R55" s="23">
        <v>42.352941176470587</v>
      </c>
      <c r="S55" s="24">
        <v>46054</v>
      </c>
      <c r="T55" s="23">
        <v>6.3529411764705879</v>
      </c>
      <c r="U55" s="25">
        <v>4</v>
      </c>
      <c r="V55" s="23">
        <v>36</v>
      </c>
      <c r="W55" s="18" t="s">
        <v>34</v>
      </c>
      <c r="X55" s="18" t="s">
        <v>48</v>
      </c>
      <c r="Y55" s="18" t="s">
        <v>36</v>
      </c>
      <c r="Z55" s="18" t="s">
        <v>9</v>
      </c>
      <c r="AA55" s="18" t="s">
        <v>49</v>
      </c>
      <c r="AB55" s="18" t="s">
        <v>109</v>
      </c>
      <c r="AC55" s="18" t="s">
        <v>38</v>
      </c>
      <c r="AD55" s="7" t="str">
        <f t="shared" si="0"/>
        <v/>
      </c>
      <c r="AE55" s="26"/>
      <c r="AF55" s="26"/>
      <c r="AG55" s="26"/>
      <c r="AH55" s="26"/>
      <c r="AI55" s="27"/>
      <c r="AJ55" s="27"/>
      <c r="AK55" s="27"/>
      <c r="AL55" s="27"/>
      <c r="AM55" s="27"/>
      <c r="AN55" s="27"/>
      <c r="AO55" s="27"/>
      <c r="AP55" s="27"/>
      <c r="AQ55" s="27"/>
      <c r="AR55" s="27"/>
      <c r="AS55" s="27"/>
      <c r="AT55" s="27"/>
      <c r="AU55" s="27"/>
      <c r="AV55" s="27"/>
      <c r="AW55" s="27"/>
    </row>
    <row r="56" spans="1:49" s="47" customFormat="1" ht="35.1" customHeight="1" x14ac:dyDescent="0.25">
      <c r="A56" s="9" t="s">
        <v>113</v>
      </c>
      <c r="B56" s="10">
        <v>46052</v>
      </c>
      <c r="C56" s="10">
        <v>46052</v>
      </c>
      <c r="D56" s="11" t="s">
        <v>217</v>
      </c>
      <c r="E56" s="12">
        <v>0.625</v>
      </c>
      <c r="F56" s="12">
        <v>0.64583333333333337</v>
      </c>
      <c r="G56" s="12">
        <v>2.0833333333333332E-2</v>
      </c>
      <c r="H56" s="9" t="s">
        <v>116</v>
      </c>
      <c r="I56" s="13"/>
      <c r="J56" s="9" t="s">
        <v>115</v>
      </c>
      <c r="K56" s="9"/>
      <c r="L56" s="14">
        <v>1</v>
      </c>
      <c r="M56" s="14">
        <v>1</v>
      </c>
      <c r="N56" s="9" t="s">
        <v>33</v>
      </c>
      <c r="O56" s="9"/>
      <c r="P56" s="16">
        <v>0</v>
      </c>
      <c r="Q56" s="14"/>
      <c r="R56" s="16">
        <v>0</v>
      </c>
      <c r="S56" s="9">
        <v>46054</v>
      </c>
      <c r="T56" s="16">
        <v>0</v>
      </c>
      <c r="U56" s="14">
        <v>2</v>
      </c>
      <c r="V56" s="16">
        <v>0</v>
      </c>
      <c r="W56" s="9" t="s">
        <v>34</v>
      </c>
      <c r="X56" s="9" t="s">
        <v>42</v>
      </c>
      <c r="Y56" s="9" t="s">
        <v>36</v>
      </c>
      <c r="Z56" s="9" t="s">
        <v>43</v>
      </c>
      <c r="AA56" s="9" t="s">
        <v>37</v>
      </c>
      <c r="AB56" s="9" t="s">
        <v>37</v>
      </c>
      <c r="AC56" s="9" t="s">
        <v>38</v>
      </c>
      <c r="AD56" s="7" t="str">
        <f t="shared" si="0"/>
        <v/>
      </c>
      <c r="AE56" s="31"/>
      <c r="AF56" s="31"/>
      <c r="AG56" s="31"/>
      <c r="AH56" s="31"/>
      <c r="AI56" s="30"/>
      <c r="AJ56" s="30"/>
      <c r="AK56" s="30"/>
      <c r="AL56" s="30"/>
      <c r="AM56" s="30"/>
      <c r="AN56" s="30"/>
      <c r="AO56" s="30"/>
      <c r="AP56" s="30"/>
      <c r="AQ56" s="30"/>
      <c r="AR56" s="30"/>
      <c r="AS56" s="30"/>
      <c r="AT56" s="30"/>
      <c r="AU56" s="30"/>
      <c r="AV56" s="30"/>
      <c r="AW56" s="30"/>
    </row>
    <row r="57" spans="1:49" s="50" customFormat="1" ht="35.1" customHeight="1" x14ac:dyDescent="0.2">
      <c r="A57" s="18" t="s">
        <v>106</v>
      </c>
      <c r="B57" s="19">
        <v>46052</v>
      </c>
      <c r="C57" s="19">
        <v>46052</v>
      </c>
      <c r="D57" s="18" t="s">
        <v>217</v>
      </c>
      <c r="E57" s="20">
        <v>0.54166666666666663</v>
      </c>
      <c r="F57" s="20">
        <v>0.66666666666666663</v>
      </c>
      <c r="G57" s="20">
        <v>3.4722222222222218E-4</v>
      </c>
      <c r="H57" s="18" t="s">
        <v>107</v>
      </c>
      <c r="I57" s="21">
        <v>0.63389120370370367</v>
      </c>
      <c r="J57" s="18" t="s">
        <v>105</v>
      </c>
      <c r="K57" s="18" t="s">
        <v>154</v>
      </c>
      <c r="L57" s="22">
        <v>1</v>
      </c>
      <c r="M57" s="22">
        <v>58165</v>
      </c>
      <c r="N57" s="18" t="s">
        <v>53</v>
      </c>
      <c r="O57" s="22" t="s">
        <v>108</v>
      </c>
      <c r="P57" s="23">
        <v>42.352941176470587</v>
      </c>
      <c r="Q57" s="22"/>
      <c r="R57" s="23">
        <v>42.352941176470587</v>
      </c>
      <c r="S57" s="24">
        <v>46054</v>
      </c>
      <c r="T57" s="23">
        <v>6.3529411764705879</v>
      </c>
      <c r="U57" s="25">
        <v>4</v>
      </c>
      <c r="V57" s="23">
        <v>36</v>
      </c>
      <c r="W57" s="18" t="s">
        <v>34</v>
      </c>
      <c r="X57" s="18" t="s">
        <v>48</v>
      </c>
      <c r="Y57" s="18" t="s">
        <v>36</v>
      </c>
      <c r="Z57" s="18" t="s">
        <v>9</v>
      </c>
      <c r="AA57" s="18" t="s">
        <v>49</v>
      </c>
      <c r="AB57" s="18" t="s">
        <v>109</v>
      </c>
      <c r="AC57" s="18" t="s">
        <v>38</v>
      </c>
      <c r="AD57" s="7" t="str">
        <f t="shared" si="0"/>
        <v/>
      </c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</row>
    <row r="58" spans="1:49" s="47" customFormat="1" ht="35.1" customHeight="1" x14ac:dyDescent="0.25">
      <c r="A58" s="9" t="s">
        <v>113</v>
      </c>
      <c r="B58" s="10">
        <v>46052</v>
      </c>
      <c r="C58" s="10">
        <v>46052</v>
      </c>
      <c r="D58" s="11" t="s">
        <v>217</v>
      </c>
      <c r="E58" s="12">
        <v>0.64583333333333337</v>
      </c>
      <c r="F58" s="12">
        <v>0.66666666666666663</v>
      </c>
      <c r="G58" s="12">
        <v>2.0833333333333332E-2</v>
      </c>
      <c r="H58" s="9" t="s">
        <v>117</v>
      </c>
      <c r="I58" s="13"/>
      <c r="J58" s="9" t="s">
        <v>115</v>
      </c>
      <c r="K58" s="9"/>
      <c r="L58" s="14">
        <v>1</v>
      </c>
      <c r="M58" s="14">
        <v>1</v>
      </c>
      <c r="N58" s="9" t="s">
        <v>33</v>
      </c>
      <c r="O58" s="9"/>
      <c r="P58" s="16">
        <v>0</v>
      </c>
      <c r="Q58" s="14"/>
      <c r="R58" s="16">
        <v>0</v>
      </c>
      <c r="S58" s="9">
        <v>46054</v>
      </c>
      <c r="T58" s="16">
        <v>0</v>
      </c>
      <c r="U58" s="14">
        <v>2</v>
      </c>
      <c r="V58" s="16">
        <v>0</v>
      </c>
      <c r="W58" s="9" t="s">
        <v>34</v>
      </c>
      <c r="X58" s="9" t="s">
        <v>42</v>
      </c>
      <c r="Y58" s="9" t="s">
        <v>36</v>
      </c>
      <c r="Z58" s="9" t="s">
        <v>43</v>
      </c>
      <c r="AA58" s="9" t="s">
        <v>37</v>
      </c>
      <c r="AB58" s="9" t="s">
        <v>37</v>
      </c>
      <c r="AC58" s="9" t="s">
        <v>38</v>
      </c>
      <c r="AD58" s="7" t="str">
        <f t="shared" si="0"/>
        <v/>
      </c>
      <c r="AE58" s="26"/>
      <c r="AF58" s="26"/>
      <c r="AG58" s="26"/>
      <c r="AH58" s="26"/>
      <c r="AI58" s="27"/>
      <c r="AJ58" s="27"/>
      <c r="AK58" s="27"/>
      <c r="AL58" s="27"/>
      <c r="AM58" s="27"/>
      <c r="AN58" s="27"/>
      <c r="AO58" s="27"/>
      <c r="AP58" s="27"/>
      <c r="AQ58" s="27"/>
      <c r="AR58" s="27"/>
      <c r="AS58" s="27"/>
      <c r="AT58" s="27"/>
      <c r="AU58" s="27"/>
      <c r="AV58" s="27"/>
      <c r="AW58" s="27"/>
    </row>
    <row r="59" spans="1:49" s="47" customFormat="1" ht="35.1" customHeight="1" x14ac:dyDescent="0.25">
      <c r="A59" s="9" t="s">
        <v>118</v>
      </c>
      <c r="B59" s="10">
        <v>46052</v>
      </c>
      <c r="C59" s="10">
        <v>46052</v>
      </c>
      <c r="D59" s="11" t="s">
        <v>217</v>
      </c>
      <c r="E59" s="12">
        <v>0.66666666666666663</v>
      </c>
      <c r="F59" s="12">
        <v>0.6875</v>
      </c>
      <c r="G59" s="12">
        <v>2.0833333333333332E-2</v>
      </c>
      <c r="H59" s="9" t="s">
        <v>119</v>
      </c>
      <c r="I59" s="13"/>
      <c r="J59" s="9" t="s">
        <v>120</v>
      </c>
      <c r="K59" s="9"/>
      <c r="L59" s="14">
        <v>1</v>
      </c>
      <c r="M59" s="14">
        <v>1</v>
      </c>
      <c r="N59" s="9" t="s">
        <v>33</v>
      </c>
      <c r="O59" s="9"/>
      <c r="P59" s="16">
        <v>0</v>
      </c>
      <c r="Q59" s="14"/>
      <c r="R59" s="16">
        <v>0</v>
      </c>
      <c r="S59" s="9">
        <v>46054</v>
      </c>
      <c r="T59" s="16">
        <v>0</v>
      </c>
      <c r="U59" s="14">
        <v>2</v>
      </c>
      <c r="V59" s="16">
        <v>0</v>
      </c>
      <c r="W59" s="9" t="s">
        <v>34</v>
      </c>
      <c r="X59" s="9" t="s">
        <v>42</v>
      </c>
      <c r="Y59" s="9" t="s">
        <v>36</v>
      </c>
      <c r="Z59" s="9" t="s">
        <v>43</v>
      </c>
      <c r="AA59" s="9" t="s">
        <v>37</v>
      </c>
      <c r="AB59" s="9" t="s">
        <v>37</v>
      </c>
      <c r="AC59" s="9" t="s">
        <v>38</v>
      </c>
      <c r="AD59" s="7" t="str">
        <f t="shared" si="0"/>
        <v/>
      </c>
      <c r="AE59" s="33"/>
      <c r="AF59" s="33"/>
      <c r="AG59" s="33"/>
      <c r="AH59" s="33"/>
      <c r="AI59" s="30"/>
      <c r="AJ59" s="30"/>
      <c r="AK59" s="30"/>
      <c r="AL59" s="30"/>
      <c r="AM59" s="30"/>
      <c r="AN59" s="30"/>
      <c r="AO59" s="30"/>
      <c r="AP59" s="30"/>
      <c r="AQ59" s="30"/>
      <c r="AR59" s="30"/>
      <c r="AS59" s="30"/>
      <c r="AT59" s="30"/>
      <c r="AU59" s="30"/>
      <c r="AV59" s="30"/>
      <c r="AW59" s="30"/>
    </row>
    <row r="60" spans="1:49" s="50" customFormat="1" ht="35.1" customHeight="1" x14ac:dyDescent="0.25">
      <c r="A60" s="18" t="s">
        <v>159</v>
      </c>
      <c r="B60" s="19">
        <v>46052</v>
      </c>
      <c r="C60" s="19">
        <v>46052</v>
      </c>
      <c r="D60" s="18" t="s">
        <v>217</v>
      </c>
      <c r="E60" s="20">
        <v>0.66666666666666663</v>
      </c>
      <c r="F60" s="20">
        <v>0.79166666666666663</v>
      </c>
      <c r="G60" s="28">
        <v>1.7361111111111109E-4</v>
      </c>
      <c r="H60" s="29" t="s">
        <v>160</v>
      </c>
      <c r="I60" s="21">
        <v>0.68198217592592592</v>
      </c>
      <c r="J60" s="18" t="s">
        <v>120</v>
      </c>
      <c r="K60" s="18" t="s">
        <v>119</v>
      </c>
      <c r="L60" s="22">
        <v>1</v>
      </c>
      <c r="M60" s="22">
        <v>71003</v>
      </c>
      <c r="N60" s="18" t="s">
        <v>53</v>
      </c>
      <c r="O60" s="22" t="s">
        <v>161</v>
      </c>
      <c r="P60" s="23">
        <v>15</v>
      </c>
      <c r="Q60" s="22"/>
      <c r="R60" s="23">
        <v>15</v>
      </c>
      <c r="S60" s="24">
        <v>46054</v>
      </c>
      <c r="T60" s="23">
        <v>2.25</v>
      </c>
      <c r="U60" s="25">
        <v>4</v>
      </c>
      <c r="V60" s="23">
        <v>12.75</v>
      </c>
      <c r="W60" s="18" t="s">
        <v>47</v>
      </c>
      <c r="X60" s="18" t="s">
        <v>48</v>
      </c>
      <c r="Y60" s="18" t="s">
        <v>36</v>
      </c>
      <c r="Z60" s="18" t="s">
        <v>9</v>
      </c>
      <c r="AA60" s="18" t="s">
        <v>49</v>
      </c>
      <c r="AB60" s="18" t="s">
        <v>162</v>
      </c>
      <c r="AC60" s="18" t="s">
        <v>38</v>
      </c>
      <c r="AD60" s="7" t="str">
        <f t="shared" si="0"/>
        <v/>
      </c>
      <c r="AE60" s="33"/>
      <c r="AF60" s="33"/>
      <c r="AG60" s="33"/>
      <c r="AH60" s="33"/>
      <c r="AI60" s="30"/>
      <c r="AJ60" s="30"/>
      <c r="AK60" s="30"/>
      <c r="AL60" s="30"/>
      <c r="AM60" s="30"/>
      <c r="AN60" s="30"/>
      <c r="AO60" s="30"/>
      <c r="AP60" s="30"/>
      <c r="AQ60" s="30"/>
      <c r="AR60" s="30"/>
      <c r="AS60" s="30"/>
      <c r="AT60" s="30"/>
      <c r="AU60" s="30"/>
      <c r="AV60" s="30"/>
      <c r="AW60" s="30"/>
    </row>
    <row r="61" spans="1:49" s="50" customFormat="1" ht="35.1" customHeight="1" x14ac:dyDescent="0.25">
      <c r="A61" s="18" t="s">
        <v>159</v>
      </c>
      <c r="B61" s="19">
        <v>46052</v>
      </c>
      <c r="C61" s="19">
        <v>46052</v>
      </c>
      <c r="D61" s="18" t="s">
        <v>217</v>
      </c>
      <c r="E61" s="20">
        <v>0.66666666666666663</v>
      </c>
      <c r="F61" s="20">
        <v>0.79166666666666663</v>
      </c>
      <c r="G61" s="28">
        <v>1.7361111111111109E-4</v>
      </c>
      <c r="H61" s="29" t="s">
        <v>163</v>
      </c>
      <c r="I61" s="21">
        <v>0.6835447916666666</v>
      </c>
      <c r="J61" s="18" t="s">
        <v>120</v>
      </c>
      <c r="K61" s="18" t="s">
        <v>119</v>
      </c>
      <c r="L61" s="22">
        <v>1</v>
      </c>
      <c r="M61" s="22">
        <v>71003</v>
      </c>
      <c r="N61" s="18" t="s">
        <v>53</v>
      </c>
      <c r="O61" s="22" t="s">
        <v>161</v>
      </c>
      <c r="P61" s="23">
        <v>15</v>
      </c>
      <c r="Q61" s="22"/>
      <c r="R61" s="23">
        <v>15</v>
      </c>
      <c r="S61" s="24">
        <v>46054</v>
      </c>
      <c r="T61" s="23">
        <v>2.25</v>
      </c>
      <c r="U61" s="25">
        <v>4</v>
      </c>
      <c r="V61" s="23">
        <v>12.75</v>
      </c>
      <c r="W61" s="18" t="s">
        <v>47</v>
      </c>
      <c r="X61" s="18" t="s">
        <v>48</v>
      </c>
      <c r="Y61" s="18" t="s">
        <v>36</v>
      </c>
      <c r="Z61" s="18" t="s">
        <v>9</v>
      </c>
      <c r="AA61" s="18" t="s">
        <v>49</v>
      </c>
      <c r="AB61" s="18" t="s">
        <v>162</v>
      </c>
      <c r="AC61" s="18" t="s">
        <v>38</v>
      </c>
      <c r="AD61" s="7" t="str">
        <f t="shared" si="0"/>
        <v/>
      </c>
      <c r="AE61" s="26"/>
      <c r="AF61" s="26"/>
      <c r="AG61" s="26"/>
      <c r="AH61" s="26"/>
      <c r="AI61" s="26"/>
      <c r="AJ61" s="26"/>
      <c r="AK61" s="26"/>
      <c r="AL61" s="26"/>
      <c r="AM61" s="26"/>
      <c r="AN61" s="26"/>
      <c r="AO61" s="26"/>
      <c r="AP61" s="26"/>
      <c r="AQ61" s="26"/>
      <c r="AR61" s="26"/>
      <c r="AS61" s="26"/>
      <c r="AT61" s="26"/>
      <c r="AU61" s="26"/>
      <c r="AV61" s="26"/>
      <c r="AW61" s="26"/>
    </row>
    <row r="62" spans="1:49" s="50" customFormat="1" ht="35.1" customHeight="1" x14ac:dyDescent="0.25">
      <c r="A62" s="18" t="s">
        <v>44</v>
      </c>
      <c r="B62" s="19">
        <v>46052</v>
      </c>
      <c r="C62" s="19">
        <v>46052</v>
      </c>
      <c r="D62" s="18" t="s">
        <v>217</v>
      </c>
      <c r="E62" s="20">
        <v>0.66666666666666663</v>
      </c>
      <c r="F62" s="20">
        <v>0.79166666666666663</v>
      </c>
      <c r="G62" s="20">
        <v>3.4722222222222218E-4</v>
      </c>
      <c r="H62" s="18" t="s">
        <v>181</v>
      </c>
      <c r="I62" s="21">
        <v>0.68706354166666672</v>
      </c>
      <c r="J62" s="18" t="s">
        <v>120</v>
      </c>
      <c r="K62" s="18" t="s">
        <v>119</v>
      </c>
      <c r="L62" s="22">
        <v>1</v>
      </c>
      <c r="M62" s="22">
        <v>70990</v>
      </c>
      <c r="N62" s="18" t="s">
        <v>53</v>
      </c>
      <c r="O62" s="22" t="str">
        <f>AC62</f>
        <v>CVC</v>
      </c>
      <c r="P62" s="23">
        <v>58.82</v>
      </c>
      <c r="Q62" s="22"/>
      <c r="R62" s="23">
        <v>58.82</v>
      </c>
      <c r="S62" s="24">
        <v>46054</v>
      </c>
      <c r="T62" s="23">
        <v>4.4115000000000002</v>
      </c>
      <c r="U62" s="25">
        <v>4</v>
      </c>
      <c r="V62" s="23">
        <v>54.408500000000004</v>
      </c>
      <c r="W62" s="18" t="s">
        <v>47</v>
      </c>
      <c r="X62" s="18" t="s">
        <v>48</v>
      </c>
      <c r="Y62" s="18" t="s">
        <v>36</v>
      </c>
      <c r="Z62" s="18" t="s">
        <v>9</v>
      </c>
      <c r="AA62" s="18" t="s">
        <v>49</v>
      </c>
      <c r="AB62" s="18" t="s">
        <v>50</v>
      </c>
      <c r="AC62" s="18" t="s">
        <v>38</v>
      </c>
      <c r="AD62" s="7" t="str">
        <f t="shared" si="0"/>
        <v/>
      </c>
      <c r="AE62" s="26"/>
      <c r="AF62" s="26"/>
      <c r="AG62" s="26"/>
      <c r="AH62" s="26"/>
      <c r="AI62" s="26"/>
      <c r="AJ62" s="26"/>
      <c r="AK62" s="26"/>
      <c r="AL62" s="26"/>
      <c r="AM62" s="26"/>
      <c r="AN62" s="26"/>
      <c r="AO62" s="26"/>
      <c r="AP62" s="26"/>
      <c r="AQ62" s="26"/>
      <c r="AR62" s="26"/>
      <c r="AS62" s="26"/>
      <c r="AT62" s="26"/>
      <c r="AU62" s="26"/>
      <c r="AV62" s="26"/>
      <c r="AW62" s="26"/>
    </row>
    <row r="63" spans="1:49" s="47" customFormat="1" ht="35.1" customHeight="1" x14ac:dyDescent="0.25">
      <c r="A63" s="9" t="s">
        <v>123</v>
      </c>
      <c r="B63" s="10">
        <v>46052</v>
      </c>
      <c r="C63" s="10">
        <v>46052</v>
      </c>
      <c r="D63" s="11" t="s">
        <v>217</v>
      </c>
      <c r="E63" s="12">
        <v>0.6875</v>
      </c>
      <c r="F63" s="12">
        <v>0.70833333333333337</v>
      </c>
      <c r="G63" s="12">
        <v>2.0833333333333332E-2</v>
      </c>
      <c r="H63" s="9" t="s">
        <v>124</v>
      </c>
      <c r="I63" s="13"/>
      <c r="J63" s="9" t="s">
        <v>120</v>
      </c>
      <c r="K63" s="9"/>
      <c r="L63" s="14">
        <v>1</v>
      </c>
      <c r="M63" s="14">
        <v>1</v>
      </c>
      <c r="N63" s="9" t="s">
        <v>33</v>
      </c>
      <c r="O63" s="9"/>
      <c r="P63" s="16">
        <v>0</v>
      </c>
      <c r="Q63" s="14"/>
      <c r="R63" s="16">
        <v>0</v>
      </c>
      <c r="S63" s="9">
        <v>46054</v>
      </c>
      <c r="T63" s="16">
        <v>0</v>
      </c>
      <c r="U63" s="14">
        <v>2</v>
      </c>
      <c r="V63" s="16">
        <v>0</v>
      </c>
      <c r="W63" s="9" t="s">
        <v>34</v>
      </c>
      <c r="X63" s="9" t="s">
        <v>42</v>
      </c>
      <c r="Y63" s="9" t="s">
        <v>36</v>
      </c>
      <c r="Z63" s="9" t="s">
        <v>43</v>
      </c>
      <c r="AA63" s="9" t="s">
        <v>37</v>
      </c>
      <c r="AB63" s="9" t="s">
        <v>37</v>
      </c>
      <c r="AC63" s="9" t="s">
        <v>38</v>
      </c>
      <c r="AD63" s="7" t="str">
        <f t="shared" si="0"/>
        <v/>
      </c>
      <c r="AE63" s="26"/>
      <c r="AF63" s="26"/>
      <c r="AG63" s="26"/>
      <c r="AH63" s="26"/>
      <c r="AI63" s="27"/>
      <c r="AJ63" s="27"/>
      <c r="AK63" s="27"/>
      <c r="AL63" s="27"/>
      <c r="AM63" s="27"/>
      <c r="AN63" s="27"/>
      <c r="AO63" s="27"/>
      <c r="AP63" s="27"/>
      <c r="AQ63" s="27"/>
      <c r="AR63" s="27"/>
      <c r="AS63" s="27"/>
      <c r="AT63" s="27"/>
      <c r="AU63" s="27"/>
      <c r="AV63" s="27"/>
      <c r="AW63" s="27"/>
    </row>
    <row r="64" spans="1:49" s="50" customFormat="1" ht="35.1" customHeight="1" x14ac:dyDescent="0.25">
      <c r="A64" s="18" t="s">
        <v>159</v>
      </c>
      <c r="B64" s="19">
        <v>46052</v>
      </c>
      <c r="C64" s="19">
        <v>46052</v>
      </c>
      <c r="D64" s="18" t="s">
        <v>217</v>
      </c>
      <c r="E64" s="20">
        <v>0.66666666666666663</v>
      </c>
      <c r="F64" s="20">
        <v>0.79166666666666663</v>
      </c>
      <c r="G64" s="28">
        <v>1.7361111111111109E-4</v>
      </c>
      <c r="H64" s="29" t="s">
        <v>160</v>
      </c>
      <c r="I64" s="21">
        <v>0.70789386574074076</v>
      </c>
      <c r="J64" s="18" t="s">
        <v>120</v>
      </c>
      <c r="K64" s="18" t="s">
        <v>155</v>
      </c>
      <c r="L64" s="22">
        <v>1</v>
      </c>
      <c r="M64" s="22">
        <v>71094</v>
      </c>
      <c r="N64" s="18" t="s">
        <v>46</v>
      </c>
      <c r="O64" s="22" t="s">
        <v>161</v>
      </c>
      <c r="P64" s="23">
        <v>0</v>
      </c>
      <c r="Q64" s="22"/>
      <c r="R64" s="23">
        <v>0</v>
      </c>
      <c r="S64" s="24">
        <v>46054</v>
      </c>
      <c r="T64" s="23">
        <v>0</v>
      </c>
      <c r="U64" s="25">
        <v>4</v>
      </c>
      <c r="V64" s="23">
        <v>0</v>
      </c>
      <c r="W64" s="18" t="s">
        <v>47</v>
      </c>
      <c r="X64" s="18" t="s">
        <v>48</v>
      </c>
      <c r="Y64" s="18" t="s">
        <v>36</v>
      </c>
      <c r="Z64" s="18" t="s">
        <v>9</v>
      </c>
      <c r="AA64" s="18" t="s">
        <v>49</v>
      </c>
      <c r="AB64" s="18" t="s">
        <v>162</v>
      </c>
      <c r="AC64" s="18" t="s">
        <v>38</v>
      </c>
      <c r="AD64" s="7" t="str">
        <f t="shared" si="0"/>
        <v/>
      </c>
      <c r="AE64" s="33"/>
      <c r="AF64" s="33"/>
      <c r="AG64" s="33"/>
      <c r="AH64" s="33"/>
      <c r="AI64" s="30"/>
      <c r="AJ64" s="30"/>
      <c r="AK64" s="30"/>
      <c r="AL64" s="30"/>
      <c r="AM64" s="30"/>
      <c r="AN64" s="30"/>
      <c r="AO64" s="30"/>
      <c r="AP64" s="30"/>
      <c r="AQ64" s="30"/>
      <c r="AR64" s="30"/>
      <c r="AS64" s="30"/>
      <c r="AT64" s="30"/>
      <c r="AU64" s="30"/>
      <c r="AV64" s="30"/>
      <c r="AW64" s="30"/>
    </row>
    <row r="65" spans="1:49" s="50" customFormat="1" ht="35.1" customHeight="1" x14ac:dyDescent="0.25">
      <c r="A65" s="18" t="s">
        <v>159</v>
      </c>
      <c r="B65" s="19">
        <v>46052</v>
      </c>
      <c r="C65" s="19">
        <v>46052</v>
      </c>
      <c r="D65" s="18" t="s">
        <v>217</v>
      </c>
      <c r="E65" s="20">
        <v>0.66666666666666663</v>
      </c>
      <c r="F65" s="20">
        <v>0.79166666666666663</v>
      </c>
      <c r="G65" s="28">
        <v>1.7361111111111109E-4</v>
      </c>
      <c r="H65" s="29" t="s">
        <v>163</v>
      </c>
      <c r="I65" s="21">
        <v>0.70806747685185178</v>
      </c>
      <c r="J65" s="18" t="s">
        <v>120</v>
      </c>
      <c r="K65" s="18" t="s">
        <v>155</v>
      </c>
      <c r="L65" s="22">
        <v>1</v>
      </c>
      <c r="M65" s="22">
        <v>71094</v>
      </c>
      <c r="N65" s="18" t="s">
        <v>46</v>
      </c>
      <c r="O65" s="22" t="s">
        <v>161</v>
      </c>
      <c r="P65" s="23">
        <v>0</v>
      </c>
      <c r="Q65" s="22"/>
      <c r="R65" s="23">
        <v>0</v>
      </c>
      <c r="S65" s="24">
        <v>46054</v>
      </c>
      <c r="T65" s="23">
        <v>0</v>
      </c>
      <c r="U65" s="25">
        <v>4</v>
      </c>
      <c r="V65" s="23">
        <v>0</v>
      </c>
      <c r="W65" s="18" t="s">
        <v>47</v>
      </c>
      <c r="X65" s="18" t="s">
        <v>48</v>
      </c>
      <c r="Y65" s="18" t="s">
        <v>36</v>
      </c>
      <c r="Z65" s="18" t="s">
        <v>9</v>
      </c>
      <c r="AA65" s="18" t="s">
        <v>49</v>
      </c>
      <c r="AB65" s="18" t="s">
        <v>162</v>
      </c>
      <c r="AC65" s="18" t="s">
        <v>38</v>
      </c>
      <c r="AD65" s="7" t="str">
        <f t="shared" si="0"/>
        <v/>
      </c>
      <c r="AE65" s="26"/>
      <c r="AF65" s="26"/>
      <c r="AG65" s="26"/>
      <c r="AH65" s="26"/>
      <c r="AI65" s="26"/>
      <c r="AJ65" s="26"/>
      <c r="AK65" s="26"/>
      <c r="AL65" s="26"/>
      <c r="AM65" s="26"/>
      <c r="AN65" s="26"/>
      <c r="AO65" s="26"/>
      <c r="AP65" s="26"/>
      <c r="AQ65" s="26"/>
      <c r="AR65" s="26"/>
      <c r="AS65" s="26"/>
      <c r="AT65" s="26"/>
      <c r="AU65" s="26"/>
      <c r="AV65" s="26"/>
      <c r="AW65" s="26"/>
    </row>
    <row r="66" spans="1:49" s="47" customFormat="1" ht="35.1" customHeight="1" x14ac:dyDescent="0.25">
      <c r="A66" s="9" t="s">
        <v>118</v>
      </c>
      <c r="B66" s="10">
        <v>46052</v>
      </c>
      <c r="C66" s="10">
        <v>46052</v>
      </c>
      <c r="D66" s="11" t="s">
        <v>217</v>
      </c>
      <c r="E66" s="12">
        <v>0.70833333333333337</v>
      </c>
      <c r="F66" s="12">
        <v>0.75</v>
      </c>
      <c r="G66" s="12">
        <v>4.1666666666666664E-2</v>
      </c>
      <c r="H66" s="9" t="s">
        <v>220</v>
      </c>
      <c r="I66" s="13"/>
      <c r="J66" s="9" t="s">
        <v>120</v>
      </c>
      <c r="K66" s="9"/>
      <c r="L66" s="14">
        <v>1</v>
      </c>
      <c r="M66" s="14">
        <v>1</v>
      </c>
      <c r="N66" s="9" t="s">
        <v>33</v>
      </c>
      <c r="O66" s="9"/>
      <c r="P66" s="16">
        <v>0</v>
      </c>
      <c r="Q66" s="14"/>
      <c r="R66" s="16">
        <v>0</v>
      </c>
      <c r="S66" s="9">
        <v>46054</v>
      </c>
      <c r="T66" s="16">
        <v>0</v>
      </c>
      <c r="U66" s="14">
        <v>2</v>
      </c>
      <c r="V66" s="16">
        <v>0</v>
      </c>
      <c r="W66" s="9" t="s">
        <v>34</v>
      </c>
      <c r="X66" s="9" t="s">
        <v>42</v>
      </c>
      <c r="Y66" s="9" t="s">
        <v>36</v>
      </c>
      <c r="Z66" s="9" t="s">
        <v>43</v>
      </c>
      <c r="AA66" s="9" t="s">
        <v>37</v>
      </c>
      <c r="AB66" s="9" t="s">
        <v>37</v>
      </c>
      <c r="AC66" s="9" t="s">
        <v>38</v>
      </c>
      <c r="AD66" s="7" t="str">
        <f t="shared" ref="AD66:AD93" si="1">IF(N66="PRG","",IF(I66&gt;=E66,IF(I66&lt;=F66,"","NO"),"NO"))</f>
        <v/>
      </c>
      <c r="AE66" s="33"/>
      <c r="AF66" s="33"/>
      <c r="AG66" s="33"/>
      <c r="AH66" s="33"/>
      <c r="AI66" s="30"/>
      <c r="AJ66" s="30"/>
      <c r="AK66" s="30"/>
      <c r="AL66" s="30"/>
      <c r="AM66" s="30"/>
      <c r="AN66" s="30"/>
      <c r="AO66" s="30"/>
      <c r="AP66" s="30"/>
      <c r="AQ66" s="30"/>
      <c r="AR66" s="30"/>
      <c r="AS66" s="30"/>
      <c r="AT66" s="30"/>
      <c r="AU66" s="30"/>
      <c r="AV66" s="30"/>
      <c r="AW66" s="30"/>
    </row>
    <row r="67" spans="1:49" s="50" customFormat="1" ht="35.1" customHeight="1" x14ac:dyDescent="0.25">
      <c r="A67" s="18" t="s">
        <v>44</v>
      </c>
      <c r="B67" s="19">
        <v>46052</v>
      </c>
      <c r="C67" s="19">
        <v>46052</v>
      </c>
      <c r="D67" s="18" t="s">
        <v>217</v>
      </c>
      <c r="E67" s="20">
        <v>0.66666666666666663</v>
      </c>
      <c r="F67" s="20">
        <v>0.79166666666666663</v>
      </c>
      <c r="G67" s="20">
        <v>3.4722222222222218E-4</v>
      </c>
      <c r="H67" s="18" t="s">
        <v>181</v>
      </c>
      <c r="I67" s="21">
        <v>0.7362971064814815</v>
      </c>
      <c r="J67" s="18" t="s">
        <v>120</v>
      </c>
      <c r="K67" s="18" t="s">
        <v>220</v>
      </c>
      <c r="L67" s="22">
        <v>1</v>
      </c>
      <c r="M67" s="22">
        <v>70992</v>
      </c>
      <c r="N67" s="18" t="s">
        <v>46</v>
      </c>
      <c r="O67" s="22" t="str">
        <f>AC67</f>
        <v>CVC</v>
      </c>
      <c r="P67" s="23">
        <v>0</v>
      </c>
      <c r="Q67" s="22"/>
      <c r="R67" s="23">
        <v>0</v>
      </c>
      <c r="S67" s="24">
        <v>46054</v>
      </c>
      <c r="T67" s="23">
        <v>0</v>
      </c>
      <c r="U67" s="25">
        <v>4</v>
      </c>
      <c r="V67" s="23">
        <v>0</v>
      </c>
      <c r="W67" s="18" t="s">
        <v>47</v>
      </c>
      <c r="X67" s="18" t="s">
        <v>48</v>
      </c>
      <c r="Y67" s="18" t="s">
        <v>36</v>
      </c>
      <c r="Z67" s="18" t="s">
        <v>9</v>
      </c>
      <c r="AA67" s="18" t="s">
        <v>49</v>
      </c>
      <c r="AB67" s="18" t="s">
        <v>50</v>
      </c>
      <c r="AC67" s="18" t="s">
        <v>38</v>
      </c>
      <c r="AD67" s="7" t="str">
        <f t="shared" si="1"/>
        <v/>
      </c>
      <c r="AE67" s="26"/>
      <c r="AF67" s="26"/>
      <c r="AG67" s="26"/>
      <c r="AH67" s="26"/>
      <c r="AI67" s="26"/>
      <c r="AJ67" s="26"/>
      <c r="AK67" s="26"/>
      <c r="AL67" s="26"/>
      <c r="AM67" s="26"/>
      <c r="AN67" s="26"/>
      <c r="AO67" s="26"/>
      <c r="AP67" s="26"/>
      <c r="AQ67" s="26"/>
      <c r="AR67" s="26"/>
      <c r="AS67" s="26"/>
      <c r="AT67" s="26"/>
      <c r="AU67" s="26"/>
      <c r="AV67" s="26"/>
      <c r="AW67" s="26"/>
    </row>
    <row r="68" spans="1:49" s="47" customFormat="1" ht="35.1" customHeight="1" x14ac:dyDescent="0.25">
      <c r="A68" s="9" t="s">
        <v>123</v>
      </c>
      <c r="B68" s="10">
        <v>46052</v>
      </c>
      <c r="C68" s="10">
        <v>46052</v>
      </c>
      <c r="D68" s="11" t="s">
        <v>217</v>
      </c>
      <c r="E68" s="12">
        <v>0.75</v>
      </c>
      <c r="F68" s="12">
        <v>0.77083333333333337</v>
      </c>
      <c r="G68" s="12">
        <v>2.0833333333333332E-2</v>
      </c>
      <c r="H68" s="9" t="s">
        <v>126</v>
      </c>
      <c r="I68" s="13"/>
      <c r="J68" s="9" t="s">
        <v>120</v>
      </c>
      <c r="K68" s="9"/>
      <c r="L68" s="14">
        <v>1</v>
      </c>
      <c r="M68" s="14">
        <v>1</v>
      </c>
      <c r="N68" s="9" t="s">
        <v>33</v>
      </c>
      <c r="O68" s="9"/>
      <c r="P68" s="16">
        <v>0</v>
      </c>
      <c r="Q68" s="14"/>
      <c r="R68" s="16">
        <v>0</v>
      </c>
      <c r="S68" s="9">
        <v>46054</v>
      </c>
      <c r="T68" s="16">
        <v>0</v>
      </c>
      <c r="U68" s="14">
        <v>2</v>
      </c>
      <c r="V68" s="16">
        <v>0</v>
      </c>
      <c r="W68" s="9" t="s">
        <v>34</v>
      </c>
      <c r="X68" s="9" t="s">
        <v>42</v>
      </c>
      <c r="Y68" s="9" t="s">
        <v>36</v>
      </c>
      <c r="Z68" s="9" t="s">
        <v>43</v>
      </c>
      <c r="AA68" s="9" t="s">
        <v>37</v>
      </c>
      <c r="AB68" s="9" t="s">
        <v>37</v>
      </c>
      <c r="AC68" s="9" t="s">
        <v>38</v>
      </c>
      <c r="AD68" s="7" t="str">
        <f t="shared" si="1"/>
        <v/>
      </c>
      <c r="AE68" s="26"/>
      <c r="AF68" s="26"/>
      <c r="AG68" s="26"/>
      <c r="AH68" s="26"/>
      <c r="AI68" s="26"/>
      <c r="AJ68" s="26"/>
      <c r="AK68" s="26"/>
      <c r="AL68" s="26"/>
      <c r="AM68" s="26"/>
      <c r="AN68" s="26"/>
      <c r="AO68" s="26"/>
      <c r="AP68" s="26"/>
      <c r="AQ68" s="26"/>
      <c r="AR68" s="26"/>
      <c r="AS68" s="26"/>
      <c r="AT68" s="26"/>
      <c r="AU68" s="26"/>
      <c r="AV68" s="26"/>
      <c r="AW68" s="26"/>
    </row>
    <row r="69" spans="1:49" s="50" customFormat="1" ht="35.1" customHeight="1" x14ac:dyDescent="0.25">
      <c r="A69" s="18" t="s">
        <v>159</v>
      </c>
      <c r="B69" s="19">
        <v>46052</v>
      </c>
      <c r="C69" s="19">
        <v>46052</v>
      </c>
      <c r="D69" s="18" t="s">
        <v>217</v>
      </c>
      <c r="E69" s="20">
        <v>0.66666666666666663</v>
      </c>
      <c r="F69" s="20">
        <v>0.79166666666666663</v>
      </c>
      <c r="G69" s="28">
        <v>1.7361111111111109E-4</v>
      </c>
      <c r="H69" s="29" t="s">
        <v>164</v>
      </c>
      <c r="I69" s="21">
        <v>0.75288379629629631</v>
      </c>
      <c r="J69" s="18" t="s">
        <v>120</v>
      </c>
      <c r="K69" s="18" t="s">
        <v>194</v>
      </c>
      <c r="L69" s="22">
        <v>1</v>
      </c>
      <c r="M69" s="22">
        <v>71094</v>
      </c>
      <c r="N69" s="18" t="s">
        <v>46</v>
      </c>
      <c r="O69" s="22" t="s">
        <v>161</v>
      </c>
      <c r="P69" s="23">
        <v>0</v>
      </c>
      <c r="Q69" s="22"/>
      <c r="R69" s="23">
        <v>0</v>
      </c>
      <c r="S69" s="24">
        <v>46054</v>
      </c>
      <c r="T69" s="23">
        <v>0</v>
      </c>
      <c r="U69" s="25">
        <v>4</v>
      </c>
      <c r="V69" s="23">
        <v>0</v>
      </c>
      <c r="W69" s="18" t="s">
        <v>47</v>
      </c>
      <c r="X69" s="18" t="s">
        <v>48</v>
      </c>
      <c r="Y69" s="18" t="s">
        <v>36</v>
      </c>
      <c r="Z69" s="18" t="s">
        <v>9</v>
      </c>
      <c r="AA69" s="18" t="s">
        <v>49</v>
      </c>
      <c r="AB69" s="18" t="s">
        <v>162</v>
      </c>
      <c r="AC69" s="18" t="s">
        <v>38</v>
      </c>
      <c r="AD69" s="7" t="str">
        <f t="shared" si="1"/>
        <v/>
      </c>
      <c r="AE69" s="33"/>
      <c r="AF69" s="33"/>
      <c r="AG69" s="33"/>
      <c r="AH69" s="33"/>
      <c r="AI69" s="30"/>
      <c r="AJ69" s="30"/>
      <c r="AK69" s="30"/>
      <c r="AL69" s="30"/>
      <c r="AM69" s="30"/>
      <c r="AN69" s="30"/>
      <c r="AO69" s="30"/>
      <c r="AP69" s="30"/>
      <c r="AQ69" s="30"/>
      <c r="AR69" s="30"/>
      <c r="AS69" s="30"/>
      <c r="AT69" s="30"/>
      <c r="AU69" s="30"/>
      <c r="AV69" s="30"/>
      <c r="AW69" s="30"/>
    </row>
    <row r="70" spans="1:49" s="50" customFormat="1" ht="35.1" customHeight="1" x14ac:dyDescent="0.25">
      <c r="A70" s="18" t="s">
        <v>159</v>
      </c>
      <c r="B70" s="19">
        <v>46052</v>
      </c>
      <c r="C70" s="19">
        <v>46052</v>
      </c>
      <c r="D70" s="18" t="s">
        <v>217</v>
      </c>
      <c r="E70" s="20">
        <v>0.66666666666666663</v>
      </c>
      <c r="F70" s="20">
        <v>0.79166666666666663</v>
      </c>
      <c r="G70" s="28">
        <v>1.7361111111111109E-4</v>
      </c>
      <c r="H70" s="29" t="s">
        <v>165</v>
      </c>
      <c r="I70" s="21">
        <v>0.75531446759259258</v>
      </c>
      <c r="J70" s="18" t="s">
        <v>120</v>
      </c>
      <c r="K70" s="18" t="s">
        <v>194</v>
      </c>
      <c r="L70" s="22">
        <v>1</v>
      </c>
      <c r="M70" s="22">
        <v>71094</v>
      </c>
      <c r="N70" s="18" t="s">
        <v>46</v>
      </c>
      <c r="O70" s="22" t="s">
        <v>161</v>
      </c>
      <c r="P70" s="23">
        <v>0</v>
      </c>
      <c r="Q70" s="22"/>
      <c r="R70" s="23">
        <v>0</v>
      </c>
      <c r="S70" s="24">
        <v>46054</v>
      </c>
      <c r="T70" s="23">
        <v>0</v>
      </c>
      <c r="U70" s="25">
        <v>4</v>
      </c>
      <c r="V70" s="23">
        <v>0</v>
      </c>
      <c r="W70" s="18" t="s">
        <v>47</v>
      </c>
      <c r="X70" s="18" t="s">
        <v>48</v>
      </c>
      <c r="Y70" s="18" t="s">
        <v>36</v>
      </c>
      <c r="Z70" s="18" t="s">
        <v>9</v>
      </c>
      <c r="AA70" s="18" t="s">
        <v>49</v>
      </c>
      <c r="AB70" s="18" t="s">
        <v>162</v>
      </c>
      <c r="AC70" s="18" t="s">
        <v>38</v>
      </c>
      <c r="AD70" s="7" t="str">
        <f t="shared" si="1"/>
        <v/>
      </c>
      <c r="AE70" s="26"/>
      <c r="AF70" s="26"/>
      <c r="AG70" s="26"/>
      <c r="AH70" s="26"/>
      <c r="AI70" s="26"/>
      <c r="AJ70" s="26"/>
      <c r="AK70" s="26"/>
      <c r="AL70" s="26"/>
      <c r="AM70" s="26"/>
      <c r="AN70" s="26"/>
      <c r="AO70" s="26"/>
      <c r="AP70" s="26"/>
      <c r="AQ70" s="26"/>
      <c r="AR70" s="26"/>
      <c r="AS70" s="26"/>
      <c r="AT70" s="26"/>
      <c r="AU70" s="26"/>
      <c r="AV70" s="26"/>
      <c r="AW70" s="26"/>
    </row>
    <row r="71" spans="1:49" s="50" customFormat="1" ht="35.1" customHeight="1" x14ac:dyDescent="0.25">
      <c r="A71" s="18" t="s">
        <v>182</v>
      </c>
      <c r="B71" s="19">
        <v>46052</v>
      </c>
      <c r="C71" s="19">
        <v>46052</v>
      </c>
      <c r="D71" s="18" t="s">
        <v>217</v>
      </c>
      <c r="E71" s="20">
        <v>0.66666666666666663</v>
      </c>
      <c r="F71" s="20">
        <v>0.79166666666666663</v>
      </c>
      <c r="G71" s="20">
        <v>3.4722222222222218E-4</v>
      </c>
      <c r="H71" s="18" t="s">
        <v>183</v>
      </c>
      <c r="I71" s="21">
        <v>0.76990983796296308</v>
      </c>
      <c r="J71" s="18" t="s">
        <v>120</v>
      </c>
      <c r="K71" s="18" t="s">
        <v>194</v>
      </c>
      <c r="L71" s="22">
        <v>1</v>
      </c>
      <c r="M71" s="22">
        <v>69625</v>
      </c>
      <c r="N71" s="18" t="s">
        <v>53</v>
      </c>
      <c r="O71" s="22" t="s">
        <v>184</v>
      </c>
      <c r="P71" s="23">
        <v>41.17647058823529</v>
      </c>
      <c r="Q71" s="22"/>
      <c r="R71" s="23">
        <v>41.17647058823529</v>
      </c>
      <c r="S71" s="24">
        <v>46052</v>
      </c>
      <c r="T71" s="23">
        <v>6.1764705882352935</v>
      </c>
      <c r="U71" s="25">
        <v>4</v>
      </c>
      <c r="V71" s="23">
        <v>35</v>
      </c>
      <c r="W71" s="18" t="s">
        <v>47</v>
      </c>
      <c r="X71" s="18" t="s">
        <v>48</v>
      </c>
      <c r="Y71" s="18" t="s">
        <v>58</v>
      </c>
      <c r="Z71" s="18" t="s">
        <v>9</v>
      </c>
      <c r="AA71" s="18" t="s">
        <v>49</v>
      </c>
      <c r="AB71" s="18" t="s">
        <v>185</v>
      </c>
      <c r="AC71" s="18" t="s">
        <v>38</v>
      </c>
      <c r="AD71" s="7" t="str">
        <f t="shared" si="1"/>
        <v/>
      </c>
      <c r="AE71" s="26"/>
      <c r="AF71" s="26"/>
      <c r="AG71" s="26"/>
      <c r="AH71" s="26"/>
      <c r="AI71" s="26"/>
      <c r="AJ71" s="26"/>
      <c r="AK71" s="26"/>
      <c r="AL71" s="26"/>
      <c r="AM71" s="26"/>
      <c r="AN71" s="26"/>
      <c r="AO71" s="26"/>
      <c r="AP71" s="26"/>
      <c r="AQ71" s="26"/>
      <c r="AR71" s="26"/>
      <c r="AS71" s="26"/>
      <c r="AT71" s="26"/>
      <c r="AU71" s="26"/>
      <c r="AV71" s="26"/>
      <c r="AW71" s="26"/>
    </row>
    <row r="72" spans="1:49" s="47" customFormat="1" ht="35.1" customHeight="1" x14ac:dyDescent="0.25">
      <c r="A72" s="9" t="s">
        <v>123</v>
      </c>
      <c r="B72" s="10">
        <v>46052</v>
      </c>
      <c r="C72" s="10">
        <v>46052</v>
      </c>
      <c r="D72" s="11" t="s">
        <v>217</v>
      </c>
      <c r="E72" s="12">
        <v>0.77083333333333337</v>
      </c>
      <c r="F72" s="12">
        <v>0.79166666666666663</v>
      </c>
      <c r="G72" s="12">
        <v>2.0833333333333332E-2</v>
      </c>
      <c r="H72" s="9" t="s">
        <v>124</v>
      </c>
      <c r="I72" s="13"/>
      <c r="J72" s="9" t="s">
        <v>120</v>
      </c>
      <c r="K72" s="9"/>
      <c r="L72" s="14">
        <v>1</v>
      </c>
      <c r="M72" s="14">
        <v>1</v>
      </c>
      <c r="N72" s="9" t="s">
        <v>33</v>
      </c>
      <c r="O72" s="9"/>
      <c r="P72" s="16">
        <v>0</v>
      </c>
      <c r="Q72" s="14"/>
      <c r="R72" s="16">
        <v>0</v>
      </c>
      <c r="S72" s="9">
        <v>46054</v>
      </c>
      <c r="T72" s="16">
        <v>0</v>
      </c>
      <c r="U72" s="14">
        <v>2</v>
      </c>
      <c r="V72" s="16">
        <v>0</v>
      </c>
      <c r="W72" s="9" t="s">
        <v>34</v>
      </c>
      <c r="X72" s="9" t="s">
        <v>42</v>
      </c>
      <c r="Y72" s="9" t="s">
        <v>36</v>
      </c>
      <c r="Z72" s="9" t="s">
        <v>43</v>
      </c>
      <c r="AA72" s="9" t="s">
        <v>37</v>
      </c>
      <c r="AB72" s="9" t="s">
        <v>37</v>
      </c>
      <c r="AC72" s="9" t="s">
        <v>38</v>
      </c>
      <c r="AD72" s="7" t="str">
        <f t="shared" si="1"/>
        <v/>
      </c>
      <c r="AE72" s="26"/>
      <c r="AF72" s="26"/>
      <c r="AG72" s="26"/>
      <c r="AH72" s="26"/>
      <c r="AI72" s="26"/>
      <c r="AJ72" s="26"/>
      <c r="AK72" s="26"/>
      <c r="AL72" s="26"/>
      <c r="AM72" s="26"/>
      <c r="AN72" s="26"/>
      <c r="AO72" s="26"/>
      <c r="AP72" s="26"/>
      <c r="AQ72" s="26"/>
      <c r="AR72" s="26"/>
      <c r="AS72" s="26"/>
      <c r="AT72" s="26"/>
      <c r="AU72" s="26"/>
      <c r="AV72" s="26"/>
      <c r="AW72" s="26"/>
    </row>
    <row r="73" spans="1:49" s="47" customFormat="1" ht="35.1" customHeight="1" x14ac:dyDescent="0.2">
      <c r="A73" s="9" t="s">
        <v>39</v>
      </c>
      <c r="B73" s="10">
        <v>46052</v>
      </c>
      <c r="C73" s="10">
        <v>46052</v>
      </c>
      <c r="D73" s="11" t="s">
        <v>217</v>
      </c>
      <c r="E73" s="12">
        <v>0.79166666666666663</v>
      </c>
      <c r="F73" s="12">
        <v>0.8125</v>
      </c>
      <c r="G73" s="12">
        <v>2.0833333333333332E-2</v>
      </c>
      <c r="H73" s="9" t="s">
        <v>131</v>
      </c>
      <c r="I73" s="13"/>
      <c r="J73" s="9" t="s">
        <v>132</v>
      </c>
      <c r="K73" s="9"/>
      <c r="L73" s="14">
        <v>1</v>
      </c>
      <c r="M73" s="14">
        <v>1</v>
      </c>
      <c r="N73" s="9" t="s">
        <v>33</v>
      </c>
      <c r="O73" s="9"/>
      <c r="P73" s="16">
        <v>0</v>
      </c>
      <c r="Q73" s="14"/>
      <c r="R73" s="16">
        <v>0</v>
      </c>
      <c r="S73" s="9">
        <v>46054</v>
      </c>
      <c r="T73" s="16">
        <v>0</v>
      </c>
      <c r="U73" s="14">
        <v>2</v>
      </c>
      <c r="V73" s="16">
        <v>0</v>
      </c>
      <c r="W73" s="9" t="s">
        <v>34</v>
      </c>
      <c r="X73" s="9" t="s">
        <v>42</v>
      </c>
      <c r="Y73" s="9" t="s">
        <v>36</v>
      </c>
      <c r="Z73" s="9" t="s">
        <v>43</v>
      </c>
      <c r="AA73" s="9" t="s">
        <v>37</v>
      </c>
      <c r="AB73" s="9" t="s">
        <v>37</v>
      </c>
      <c r="AC73" s="9" t="s">
        <v>38</v>
      </c>
      <c r="AD73" s="7" t="str">
        <f t="shared" si="1"/>
        <v/>
      </c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</row>
    <row r="74" spans="1:49" s="50" customFormat="1" ht="35.1" customHeight="1" x14ac:dyDescent="0.25">
      <c r="A74" s="18" t="s">
        <v>78</v>
      </c>
      <c r="B74" s="19">
        <v>46052</v>
      </c>
      <c r="C74" s="19">
        <v>46052</v>
      </c>
      <c r="D74" s="18" t="s">
        <v>217</v>
      </c>
      <c r="E74" s="20">
        <v>0.79166666666666663</v>
      </c>
      <c r="F74" s="20">
        <v>0.99930555555555556</v>
      </c>
      <c r="G74" s="20">
        <v>1.7361111111111109E-4</v>
      </c>
      <c r="H74" s="18" t="s">
        <v>140</v>
      </c>
      <c r="I74" s="21">
        <v>0.79843750000000002</v>
      </c>
      <c r="J74" s="18" t="s">
        <v>132</v>
      </c>
      <c r="K74" s="18" t="s">
        <v>131</v>
      </c>
      <c r="L74" s="22">
        <v>1</v>
      </c>
      <c r="M74" s="22">
        <v>64941</v>
      </c>
      <c r="N74" s="18" t="s">
        <v>53</v>
      </c>
      <c r="O74" s="22"/>
      <c r="P74" s="23">
        <v>50</v>
      </c>
      <c r="Q74" s="22"/>
      <c r="R74" s="23">
        <v>50</v>
      </c>
      <c r="S74" s="24">
        <v>46054</v>
      </c>
      <c r="T74" s="23">
        <v>0</v>
      </c>
      <c r="U74" s="25">
        <v>4</v>
      </c>
      <c r="V74" s="23">
        <v>50</v>
      </c>
      <c r="W74" s="18" t="s">
        <v>47</v>
      </c>
      <c r="X74" s="18" t="s">
        <v>48</v>
      </c>
      <c r="Y74" s="18" t="s">
        <v>36</v>
      </c>
      <c r="Z74" s="18" t="s">
        <v>9</v>
      </c>
      <c r="AA74" s="18" t="s">
        <v>49</v>
      </c>
      <c r="AB74" s="18" t="s">
        <v>134</v>
      </c>
      <c r="AC74" s="18" t="s">
        <v>38</v>
      </c>
      <c r="AD74" s="7" t="str">
        <f t="shared" si="1"/>
        <v/>
      </c>
      <c r="AE74" s="17"/>
      <c r="AF74" s="17"/>
      <c r="AG74" s="17"/>
      <c r="AH74" s="17"/>
      <c r="AI74" s="30"/>
      <c r="AJ74" s="30"/>
      <c r="AK74" s="30"/>
      <c r="AL74" s="30"/>
      <c r="AM74" s="30"/>
      <c r="AN74" s="30"/>
      <c r="AO74" s="30"/>
      <c r="AP74" s="30"/>
      <c r="AQ74" s="30"/>
      <c r="AR74" s="30"/>
      <c r="AS74" s="30"/>
      <c r="AT74" s="30"/>
      <c r="AU74" s="30"/>
      <c r="AV74" s="30"/>
      <c r="AW74" s="30"/>
    </row>
    <row r="75" spans="1:49" s="50" customFormat="1" ht="35.1" customHeight="1" x14ac:dyDescent="0.25">
      <c r="A75" s="18" t="s">
        <v>201</v>
      </c>
      <c r="B75" s="19">
        <v>46052</v>
      </c>
      <c r="C75" s="19">
        <v>46052</v>
      </c>
      <c r="D75" s="18" t="s">
        <v>217</v>
      </c>
      <c r="E75" s="20">
        <v>0.79166666666666663</v>
      </c>
      <c r="F75" s="20">
        <v>0.83333333333333337</v>
      </c>
      <c r="G75" s="20">
        <v>3.4722222222222218E-4</v>
      </c>
      <c r="H75" s="18" t="s">
        <v>202</v>
      </c>
      <c r="I75" s="21">
        <v>0.80453715277777771</v>
      </c>
      <c r="J75" s="18" t="s">
        <v>132</v>
      </c>
      <c r="K75" s="18" t="s">
        <v>131</v>
      </c>
      <c r="L75" s="22">
        <v>1</v>
      </c>
      <c r="M75" s="22">
        <v>69632</v>
      </c>
      <c r="N75" s="18" t="s">
        <v>53</v>
      </c>
      <c r="O75" s="22" t="s">
        <v>203</v>
      </c>
      <c r="P75" s="23">
        <v>60</v>
      </c>
      <c r="Q75" s="22"/>
      <c r="R75" s="23">
        <v>60</v>
      </c>
      <c r="S75" s="24">
        <v>46052</v>
      </c>
      <c r="T75" s="23">
        <v>9</v>
      </c>
      <c r="U75" s="25">
        <v>4</v>
      </c>
      <c r="V75" s="23">
        <v>51</v>
      </c>
      <c r="W75" s="18" t="s">
        <v>47</v>
      </c>
      <c r="X75" s="18" t="s">
        <v>48</v>
      </c>
      <c r="Y75" s="18" t="s">
        <v>58</v>
      </c>
      <c r="Z75" s="18" t="s">
        <v>9</v>
      </c>
      <c r="AA75" s="18" t="s">
        <v>49</v>
      </c>
      <c r="AB75" s="18" t="s">
        <v>204</v>
      </c>
      <c r="AC75" s="18" t="s">
        <v>38</v>
      </c>
      <c r="AD75" s="7" t="str">
        <f t="shared" si="1"/>
        <v/>
      </c>
      <c r="AE75" s="17"/>
      <c r="AF75" s="17"/>
      <c r="AG75" s="17"/>
      <c r="AH75" s="17"/>
      <c r="AI75" s="30"/>
      <c r="AJ75" s="30"/>
      <c r="AK75" s="30"/>
      <c r="AL75" s="30"/>
      <c r="AM75" s="30"/>
      <c r="AN75" s="30"/>
      <c r="AO75" s="30"/>
      <c r="AP75" s="30"/>
      <c r="AQ75" s="30"/>
      <c r="AR75" s="30"/>
      <c r="AS75" s="30"/>
      <c r="AT75" s="30"/>
      <c r="AU75" s="30"/>
      <c r="AV75" s="30"/>
      <c r="AW75" s="30"/>
    </row>
    <row r="76" spans="1:49" s="47" customFormat="1" ht="35.1" customHeight="1" x14ac:dyDescent="0.2">
      <c r="A76" s="9" t="s">
        <v>39</v>
      </c>
      <c r="B76" s="10">
        <v>46052</v>
      </c>
      <c r="C76" s="10">
        <v>46052</v>
      </c>
      <c r="D76" s="11" t="s">
        <v>217</v>
      </c>
      <c r="E76" s="12">
        <v>0.8125</v>
      </c>
      <c r="F76" s="12">
        <v>0.83333333333333337</v>
      </c>
      <c r="G76" s="12">
        <v>2.0833333333333332E-2</v>
      </c>
      <c r="H76" s="9" t="s">
        <v>222</v>
      </c>
      <c r="I76" s="13"/>
      <c r="J76" s="9" t="s">
        <v>132</v>
      </c>
      <c r="K76" s="9"/>
      <c r="L76" s="14">
        <v>1</v>
      </c>
      <c r="M76" s="14">
        <v>1</v>
      </c>
      <c r="N76" s="9" t="s">
        <v>33</v>
      </c>
      <c r="O76" s="9"/>
      <c r="P76" s="16">
        <v>0</v>
      </c>
      <c r="Q76" s="14"/>
      <c r="R76" s="16">
        <v>0</v>
      </c>
      <c r="S76" s="9">
        <v>46054</v>
      </c>
      <c r="T76" s="16">
        <v>0</v>
      </c>
      <c r="U76" s="14">
        <v>2</v>
      </c>
      <c r="V76" s="16">
        <v>0</v>
      </c>
      <c r="W76" s="9" t="s">
        <v>34</v>
      </c>
      <c r="X76" s="9" t="s">
        <v>42</v>
      </c>
      <c r="Y76" s="9" t="s">
        <v>36</v>
      </c>
      <c r="Z76" s="9" t="s">
        <v>43</v>
      </c>
      <c r="AA76" s="9" t="s">
        <v>37</v>
      </c>
      <c r="AB76" s="9" t="s">
        <v>37</v>
      </c>
      <c r="AC76" s="9" t="s">
        <v>38</v>
      </c>
      <c r="AD76" s="7" t="str">
        <f t="shared" si="1"/>
        <v/>
      </c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</row>
    <row r="77" spans="1:49" s="50" customFormat="1" ht="35.1" customHeight="1" x14ac:dyDescent="0.25">
      <c r="A77" s="18" t="s">
        <v>78</v>
      </c>
      <c r="B77" s="19">
        <v>46052</v>
      </c>
      <c r="C77" s="19">
        <v>46052</v>
      </c>
      <c r="D77" s="18" t="s">
        <v>217</v>
      </c>
      <c r="E77" s="20">
        <v>0.79166666666666663</v>
      </c>
      <c r="F77" s="20">
        <v>0.99930555555555556</v>
      </c>
      <c r="G77" s="20">
        <v>1.7361111111111109E-4</v>
      </c>
      <c r="H77" s="18" t="s">
        <v>142</v>
      </c>
      <c r="I77" s="21">
        <v>0.81664641203703703</v>
      </c>
      <c r="J77" s="18" t="s">
        <v>132</v>
      </c>
      <c r="K77" s="18" t="s">
        <v>222</v>
      </c>
      <c r="L77" s="22">
        <v>1</v>
      </c>
      <c r="M77" s="22">
        <v>64941</v>
      </c>
      <c r="N77" s="18" t="s">
        <v>53</v>
      </c>
      <c r="O77" s="22"/>
      <c r="P77" s="23">
        <v>50</v>
      </c>
      <c r="Q77" s="22"/>
      <c r="R77" s="23">
        <v>50</v>
      </c>
      <c r="S77" s="24">
        <v>46054</v>
      </c>
      <c r="T77" s="23">
        <v>0</v>
      </c>
      <c r="U77" s="25">
        <v>4</v>
      </c>
      <c r="V77" s="23">
        <v>50</v>
      </c>
      <c r="W77" s="18" t="s">
        <v>47</v>
      </c>
      <c r="X77" s="18" t="s">
        <v>48</v>
      </c>
      <c r="Y77" s="18" t="s">
        <v>36</v>
      </c>
      <c r="Z77" s="18" t="s">
        <v>9</v>
      </c>
      <c r="AA77" s="18" t="s">
        <v>49</v>
      </c>
      <c r="AB77" s="18" t="s">
        <v>134</v>
      </c>
      <c r="AC77" s="18" t="s">
        <v>38</v>
      </c>
      <c r="AD77" s="7" t="str">
        <f t="shared" si="1"/>
        <v/>
      </c>
      <c r="AE77" s="26"/>
      <c r="AF77" s="26"/>
      <c r="AG77" s="26"/>
      <c r="AH77" s="26"/>
      <c r="AI77" s="30"/>
      <c r="AJ77" s="30"/>
      <c r="AK77" s="30"/>
      <c r="AL77" s="30"/>
      <c r="AM77" s="30"/>
      <c r="AN77" s="30"/>
      <c r="AO77" s="30"/>
      <c r="AP77" s="30"/>
      <c r="AQ77" s="30"/>
      <c r="AR77" s="30"/>
      <c r="AS77" s="30"/>
      <c r="AT77" s="30"/>
      <c r="AU77" s="30"/>
      <c r="AV77" s="30"/>
      <c r="AW77" s="30"/>
    </row>
    <row r="78" spans="1:49" s="47" customFormat="1" ht="35.1" customHeight="1" x14ac:dyDescent="0.25">
      <c r="A78" s="18" t="s">
        <v>93</v>
      </c>
      <c r="B78" s="19">
        <v>46052</v>
      </c>
      <c r="C78" s="19">
        <v>46052</v>
      </c>
      <c r="D78" s="18" t="s">
        <v>217</v>
      </c>
      <c r="E78" s="20">
        <v>0.79166666666666663</v>
      </c>
      <c r="F78" s="20">
        <v>0.99930555555555556</v>
      </c>
      <c r="G78" s="28">
        <v>1.7361111111111109E-4</v>
      </c>
      <c r="H78" s="29" t="s">
        <v>190</v>
      </c>
      <c r="I78" s="21">
        <v>0.82256064814814822</v>
      </c>
      <c r="J78" s="18" t="s">
        <v>136</v>
      </c>
      <c r="K78" s="18" t="s">
        <v>222</v>
      </c>
      <c r="L78" s="22">
        <v>1</v>
      </c>
      <c r="M78" s="22">
        <v>69567</v>
      </c>
      <c r="N78" s="18" t="s">
        <v>46</v>
      </c>
      <c r="O78" s="22" t="s">
        <v>137</v>
      </c>
      <c r="P78" s="23">
        <v>0</v>
      </c>
      <c r="Q78" s="22"/>
      <c r="R78" s="23">
        <v>0</v>
      </c>
      <c r="S78" s="24">
        <v>46054</v>
      </c>
      <c r="T78" s="23">
        <v>0</v>
      </c>
      <c r="U78" s="25">
        <v>4</v>
      </c>
      <c r="V78" s="23">
        <v>0</v>
      </c>
      <c r="W78" s="18" t="s">
        <v>47</v>
      </c>
      <c r="X78" s="18" t="s">
        <v>48</v>
      </c>
      <c r="Y78" s="18" t="s">
        <v>36</v>
      </c>
      <c r="Z78" s="18" t="s">
        <v>9</v>
      </c>
      <c r="AA78" s="18" t="s">
        <v>49</v>
      </c>
      <c r="AB78" s="18" t="s">
        <v>138</v>
      </c>
      <c r="AC78" s="18" t="s">
        <v>38</v>
      </c>
      <c r="AD78" s="7" t="str">
        <f t="shared" si="1"/>
        <v/>
      </c>
      <c r="AE78" s="26"/>
      <c r="AF78" s="26"/>
      <c r="AG78" s="26"/>
      <c r="AH78" s="26"/>
      <c r="AI78" s="30"/>
      <c r="AJ78" s="30"/>
      <c r="AK78" s="30"/>
      <c r="AL78" s="30"/>
      <c r="AM78" s="30"/>
      <c r="AN78" s="30"/>
      <c r="AO78" s="30"/>
      <c r="AP78" s="30"/>
      <c r="AQ78" s="30"/>
      <c r="AR78" s="30"/>
      <c r="AS78" s="30"/>
      <c r="AT78" s="30"/>
      <c r="AU78" s="30"/>
      <c r="AV78" s="30"/>
      <c r="AW78" s="30"/>
    </row>
    <row r="79" spans="1:49" s="47" customFormat="1" ht="35.1" customHeight="1" x14ac:dyDescent="0.2">
      <c r="A79" s="18" t="s">
        <v>93</v>
      </c>
      <c r="B79" s="19">
        <v>46052</v>
      </c>
      <c r="C79" s="19">
        <v>46052</v>
      </c>
      <c r="D79" s="18" t="s">
        <v>217</v>
      </c>
      <c r="E79" s="20">
        <v>0.79166666666666663</v>
      </c>
      <c r="F79" s="20">
        <v>0.99930555555555556</v>
      </c>
      <c r="G79" s="28">
        <v>1.7361111111111109E-4</v>
      </c>
      <c r="H79" s="29" t="s">
        <v>191</v>
      </c>
      <c r="I79" s="21">
        <v>0.82308171296296295</v>
      </c>
      <c r="J79" s="18" t="s">
        <v>136</v>
      </c>
      <c r="K79" s="18" t="s">
        <v>222</v>
      </c>
      <c r="L79" s="22">
        <v>1</v>
      </c>
      <c r="M79" s="22">
        <v>69567</v>
      </c>
      <c r="N79" s="18" t="s">
        <v>46</v>
      </c>
      <c r="O79" s="22" t="s">
        <v>137</v>
      </c>
      <c r="P79" s="23">
        <v>0</v>
      </c>
      <c r="Q79" s="22"/>
      <c r="R79" s="23">
        <v>0</v>
      </c>
      <c r="S79" s="24">
        <v>46054</v>
      </c>
      <c r="T79" s="23">
        <v>0</v>
      </c>
      <c r="U79" s="25">
        <v>4</v>
      </c>
      <c r="V79" s="23">
        <v>0</v>
      </c>
      <c r="W79" s="18" t="s">
        <v>47</v>
      </c>
      <c r="X79" s="18" t="s">
        <v>48</v>
      </c>
      <c r="Y79" s="18" t="s">
        <v>36</v>
      </c>
      <c r="Z79" s="18" t="s">
        <v>9</v>
      </c>
      <c r="AA79" s="18" t="s">
        <v>49</v>
      </c>
      <c r="AB79" s="18" t="s">
        <v>138</v>
      </c>
      <c r="AC79" s="18" t="s">
        <v>38</v>
      </c>
      <c r="AD79" s="7" t="str">
        <f t="shared" si="1"/>
        <v/>
      </c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</row>
    <row r="80" spans="1:49" s="47" customFormat="1" ht="35.1" customHeight="1" x14ac:dyDescent="0.2">
      <c r="A80" s="9" t="s">
        <v>144</v>
      </c>
      <c r="B80" s="10">
        <v>46052</v>
      </c>
      <c r="C80" s="10">
        <v>46052</v>
      </c>
      <c r="D80" s="11" t="s">
        <v>217</v>
      </c>
      <c r="E80" s="12">
        <v>0.83333333333333337</v>
      </c>
      <c r="F80" s="12">
        <v>0.875</v>
      </c>
      <c r="G80" s="12">
        <v>4.1666666666666664E-2</v>
      </c>
      <c r="H80" s="9" t="s">
        <v>145</v>
      </c>
      <c r="I80" s="13"/>
      <c r="J80" s="9" t="s">
        <v>41</v>
      </c>
      <c r="K80" s="9"/>
      <c r="L80" s="14">
        <v>1</v>
      </c>
      <c r="M80" s="14">
        <v>1</v>
      </c>
      <c r="N80" s="9" t="s">
        <v>33</v>
      </c>
      <c r="O80" s="9"/>
      <c r="P80" s="16">
        <v>0</v>
      </c>
      <c r="Q80" s="14"/>
      <c r="R80" s="16">
        <v>0</v>
      </c>
      <c r="S80" s="9">
        <v>46054</v>
      </c>
      <c r="T80" s="16">
        <v>0</v>
      </c>
      <c r="U80" s="14">
        <v>2</v>
      </c>
      <c r="V80" s="16">
        <v>0</v>
      </c>
      <c r="W80" s="9" t="s">
        <v>34</v>
      </c>
      <c r="X80" s="9" t="s">
        <v>42</v>
      </c>
      <c r="Y80" s="9" t="s">
        <v>36</v>
      </c>
      <c r="Z80" s="9" t="s">
        <v>43</v>
      </c>
      <c r="AA80" s="9" t="s">
        <v>37</v>
      </c>
      <c r="AB80" s="9" t="s">
        <v>37</v>
      </c>
      <c r="AC80" s="9" t="s">
        <v>38</v>
      </c>
      <c r="AD80" s="7" t="str">
        <f t="shared" si="1"/>
        <v/>
      </c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</row>
    <row r="81" spans="1:49" s="47" customFormat="1" ht="35.1" customHeight="1" x14ac:dyDescent="0.25">
      <c r="A81" s="9" t="s">
        <v>146</v>
      </c>
      <c r="B81" s="10">
        <v>46052</v>
      </c>
      <c r="C81" s="10">
        <v>46052</v>
      </c>
      <c r="D81" s="11" t="s">
        <v>217</v>
      </c>
      <c r="E81" s="12">
        <v>0.875</v>
      </c>
      <c r="F81" s="12">
        <v>0.91666666666666663</v>
      </c>
      <c r="G81" s="12">
        <v>4.1666666666666664E-2</v>
      </c>
      <c r="H81" s="9" t="s">
        <v>147</v>
      </c>
      <c r="I81" s="13"/>
      <c r="J81" s="9" t="s">
        <v>41</v>
      </c>
      <c r="K81" s="9"/>
      <c r="L81" s="14">
        <v>1</v>
      </c>
      <c r="M81" s="14">
        <v>1</v>
      </c>
      <c r="N81" s="9" t="s">
        <v>33</v>
      </c>
      <c r="O81" s="9"/>
      <c r="P81" s="16">
        <v>0</v>
      </c>
      <c r="Q81" s="14"/>
      <c r="R81" s="16">
        <v>0</v>
      </c>
      <c r="S81" s="9">
        <v>46054</v>
      </c>
      <c r="T81" s="16">
        <v>0</v>
      </c>
      <c r="U81" s="14">
        <v>2</v>
      </c>
      <c r="V81" s="16">
        <v>0</v>
      </c>
      <c r="W81" s="9" t="s">
        <v>34</v>
      </c>
      <c r="X81" s="9" t="s">
        <v>42</v>
      </c>
      <c r="Y81" s="9" t="s">
        <v>36</v>
      </c>
      <c r="Z81" s="9" t="s">
        <v>43</v>
      </c>
      <c r="AA81" s="9" t="s">
        <v>37</v>
      </c>
      <c r="AB81" s="9" t="s">
        <v>37</v>
      </c>
      <c r="AC81" s="9" t="s">
        <v>38</v>
      </c>
      <c r="AD81" s="7" t="str">
        <f t="shared" si="1"/>
        <v/>
      </c>
      <c r="AE81" s="26"/>
      <c r="AF81" s="26"/>
      <c r="AG81" s="26"/>
      <c r="AH81" s="26"/>
      <c r="AI81" s="27"/>
      <c r="AJ81" s="27"/>
      <c r="AK81" s="27"/>
      <c r="AL81" s="27"/>
      <c r="AM81" s="27"/>
      <c r="AN81" s="27"/>
      <c r="AO81" s="27"/>
      <c r="AP81" s="27"/>
      <c r="AQ81" s="27"/>
      <c r="AR81" s="27"/>
      <c r="AS81" s="27"/>
      <c r="AT81" s="27"/>
      <c r="AU81" s="27"/>
      <c r="AV81" s="27"/>
      <c r="AW81" s="27"/>
    </row>
    <row r="82" spans="1:49" s="47" customFormat="1" ht="35.1" customHeight="1" x14ac:dyDescent="0.2">
      <c r="A82" s="18" t="s">
        <v>93</v>
      </c>
      <c r="B82" s="19">
        <v>46052</v>
      </c>
      <c r="C82" s="19">
        <v>46052</v>
      </c>
      <c r="D82" s="18" t="s">
        <v>217</v>
      </c>
      <c r="E82" s="20">
        <v>0.79166666666666663</v>
      </c>
      <c r="F82" s="20">
        <v>0.99930555555555556</v>
      </c>
      <c r="G82" s="28">
        <v>1.7361111111111109E-4</v>
      </c>
      <c r="H82" s="29" t="s">
        <v>135</v>
      </c>
      <c r="I82" s="21">
        <v>0.88511747685185183</v>
      </c>
      <c r="J82" s="18" t="s">
        <v>136</v>
      </c>
      <c r="K82" s="18" t="s">
        <v>147</v>
      </c>
      <c r="L82" s="22">
        <v>1</v>
      </c>
      <c r="M82" s="22">
        <v>69567</v>
      </c>
      <c r="N82" s="18" t="s">
        <v>46</v>
      </c>
      <c r="O82" s="22" t="s">
        <v>137</v>
      </c>
      <c r="P82" s="23">
        <v>0</v>
      </c>
      <c r="Q82" s="22"/>
      <c r="R82" s="23">
        <v>0</v>
      </c>
      <c r="S82" s="24">
        <v>46054</v>
      </c>
      <c r="T82" s="23">
        <v>0</v>
      </c>
      <c r="U82" s="25">
        <v>4</v>
      </c>
      <c r="V82" s="23">
        <v>0</v>
      </c>
      <c r="W82" s="18" t="s">
        <v>47</v>
      </c>
      <c r="X82" s="18" t="s">
        <v>48</v>
      </c>
      <c r="Y82" s="18" t="s">
        <v>36</v>
      </c>
      <c r="Z82" s="18" t="s">
        <v>9</v>
      </c>
      <c r="AA82" s="18" t="s">
        <v>49</v>
      </c>
      <c r="AB82" s="18" t="s">
        <v>138</v>
      </c>
      <c r="AC82" s="18" t="s">
        <v>38</v>
      </c>
      <c r="AD82" s="7" t="str">
        <f t="shared" si="1"/>
        <v/>
      </c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</row>
    <row r="83" spans="1:49" s="47" customFormat="1" ht="35.1" customHeight="1" x14ac:dyDescent="0.2">
      <c r="A83" s="18" t="s">
        <v>93</v>
      </c>
      <c r="B83" s="19">
        <v>46052</v>
      </c>
      <c r="C83" s="19">
        <v>46052</v>
      </c>
      <c r="D83" s="18" t="s">
        <v>217</v>
      </c>
      <c r="E83" s="20">
        <v>0.79166666666666663</v>
      </c>
      <c r="F83" s="20">
        <v>0.99930555555555556</v>
      </c>
      <c r="G83" s="28">
        <v>1.7361111111111109E-4</v>
      </c>
      <c r="H83" s="29" t="s">
        <v>139</v>
      </c>
      <c r="I83" s="21">
        <v>0.88772187499999999</v>
      </c>
      <c r="J83" s="18" t="s">
        <v>136</v>
      </c>
      <c r="K83" s="18" t="s">
        <v>147</v>
      </c>
      <c r="L83" s="22">
        <v>1</v>
      </c>
      <c r="M83" s="22">
        <v>69567</v>
      </c>
      <c r="N83" s="18" t="s">
        <v>46</v>
      </c>
      <c r="O83" s="22" t="s">
        <v>137</v>
      </c>
      <c r="P83" s="23">
        <v>0</v>
      </c>
      <c r="Q83" s="22"/>
      <c r="R83" s="23">
        <v>0</v>
      </c>
      <c r="S83" s="24">
        <v>46054</v>
      </c>
      <c r="T83" s="23">
        <v>0</v>
      </c>
      <c r="U83" s="25">
        <v>4</v>
      </c>
      <c r="V83" s="23">
        <v>0</v>
      </c>
      <c r="W83" s="18" t="s">
        <v>47</v>
      </c>
      <c r="X83" s="18" t="s">
        <v>48</v>
      </c>
      <c r="Y83" s="18" t="s">
        <v>36</v>
      </c>
      <c r="Z83" s="18" t="s">
        <v>9</v>
      </c>
      <c r="AA83" s="18" t="s">
        <v>49</v>
      </c>
      <c r="AB83" s="18" t="s">
        <v>138</v>
      </c>
      <c r="AC83" s="18" t="s">
        <v>38</v>
      </c>
      <c r="AD83" s="7" t="str">
        <f t="shared" si="1"/>
        <v/>
      </c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</row>
    <row r="84" spans="1:49" s="47" customFormat="1" ht="35.1" customHeight="1" x14ac:dyDescent="0.2">
      <c r="A84" s="18" t="s">
        <v>201</v>
      </c>
      <c r="B84" s="19">
        <v>46052</v>
      </c>
      <c r="C84" s="19">
        <v>46052</v>
      </c>
      <c r="D84" s="18" t="s">
        <v>217</v>
      </c>
      <c r="E84" s="20">
        <v>0.79166666666666663</v>
      </c>
      <c r="F84" s="20">
        <v>0.99930555555555556</v>
      </c>
      <c r="G84" s="20">
        <v>3.4722222222222218E-4</v>
      </c>
      <c r="H84" s="18" t="s">
        <v>221</v>
      </c>
      <c r="I84" s="21">
        <v>0.88529108796296285</v>
      </c>
      <c r="J84" s="18" t="s">
        <v>136</v>
      </c>
      <c r="K84" s="18" t="s">
        <v>147</v>
      </c>
      <c r="L84" s="22">
        <v>1</v>
      </c>
      <c r="M84" s="22">
        <v>69657</v>
      </c>
      <c r="N84" s="18" t="s">
        <v>46</v>
      </c>
      <c r="O84" s="22" t="s">
        <v>203</v>
      </c>
      <c r="P84" s="23">
        <v>0</v>
      </c>
      <c r="Q84" s="22"/>
      <c r="R84" s="23">
        <v>0</v>
      </c>
      <c r="S84" s="24">
        <v>46052</v>
      </c>
      <c r="T84" s="23">
        <v>0</v>
      </c>
      <c r="U84" s="25">
        <v>4</v>
      </c>
      <c r="V84" s="23">
        <v>0</v>
      </c>
      <c r="W84" s="18" t="s">
        <v>47</v>
      </c>
      <c r="X84" s="18" t="s">
        <v>48</v>
      </c>
      <c r="Y84" s="18" t="s">
        <v>58</v>
      </c>
      <c r="Z84" s="18" t="s">
        <v>9</v>
      </c>
      <c r="AA84" s="18" t="s">
        <v>49</v>
      </c>
      <c r="AB84" s="18" t="s">
        <v>204</v>
      </c>
      <c r="AC84" s="18" t="s">
        <v>38</v>
      </c>
      <c r="AD84" s="7" t="str">
        <f t="shared" si="1"/>
        <v/>
      </c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</row>
    <row r="85" spans="1:49" s="47" customFormat="1" ht="35.1" customHeight="1" x14ac:dyDescent="0.2">
      <c r="A85" s="18" t="s">
        <v>78</v>
      </c>
      <c r="B85" s="19">
        <v>46052</v>
      </c>
      <c r="C85" s="19">
        <v>46052</v>
      </c>
      <c r="D85" s="18" t="s">
        <v>217</v>
      </c>
      <c r="E85" s="20">
        <v>0.79166666666666663</v>
      </c>
      <c r="F85" s="20">
        <v>0.99930555555555556</v>
      </c>
      <c r="G85" s="20">
        <v>3.4722222222222218E-4</v>
      </c>
      <c r="H85" s="18" t="s">
        <v>133</v>
      </c>
      <c r="I85" s="21">
        <v>0.90032592592592597</v>
      </c>
      <c r="J85" s="18" t="s">
        <v>41</v>
      </c>
      <c r="K85" s="18" t="s">
        <v>147</v>
      </c>
      <c r="L85" s="22">
        <v>1</v>
      </c>
      <c r="M85" s="22">
        <v>64937</v>
      </c>
      <c r="N85" s="18" t="s">
        <v>46</v>
      </c>
      <c r="O85" s="22"/>
      <c r="P85" s="23">
        <v>0</v>
      </c>
      <c r="Q85" s="22"/>
      <c r="R85" s="23">
        <v>0</v>
      </c>
      <c r="S85" s="24">
        <v>46054</v>
      </c>
      <c r="T85" s="23">
        <v>0</v>
      </c>
      <c r="U85" s="25">
        <v>4</v>
      </c>
      <c r="V85" s="23">
        <v>0</v>
      </c>
      <c r="W85" s="18" t="s">
        <v>47</v>
      </c>
      <c r="X85" s="18" t="s">
        <v>48</v>
      </c>
      <c r="Y85" s="18" t="s">
        <v>36</v>
      </c>
      <c r="Z85" s="18" t="s">
        <v>9</v>
      </c>
      <c r="AA85" s="18" t="s">
        <v>49</v>
      </c>
      <c r="AB85" s="18" t="s">
        <v>134</v>
      </c>
      <c r="AC85" s="18" t="s">
        <v>38</v>
      </c>
      <c r="AD85" s="7" t="str">
        <f t="shared" si="1"/>
        <v/>
      </c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</row>
    <row r="86" spans="1:49" s="47" customFormat="1" ht="35.1" customHeight="1" x14ac:dyDescent="0.25">
      <c r="A86" s="18" t="s">
        <v>51</v>
      </c>
      <c r="B86" s="19">
        <v>46052</v>
      </c>
      <c r="C86" s="19">
        <v>46052</v>
      </c>
      <c r="D86" s="18" t="s">
        <v>217</v>
      </c>
      <c r="E86" s="20">
        <v>0.875</v>
      </c>
      <c r="F86" s="20">
        <v>0.91666666666666663</v>
      </c>
      <c r="G86" s="20">
        <v>3.4722222222222218E-4</v>
      </c>
      <c r="H86" s="18" t="s">
        <v>52</v>
      </c>
      <c r="I86" s="21">
        <v>0.89997847222222227</v>
      </c>
      <c r="J86" s="18" t="s">
        <v>41</v>
      </c>
      <c r="K86" s="18" t="s">
        <v>147</v>
      </c>
      <c r="L86" s="22">
        <v>1</v>
      </c>
      <c r="M86" s="22">
        <v>70367</v>
      </c>
      <c r="N86" s="18" t="s">
        <v>53</v>
      </c>
      <c r="O86" s="22" t="s">
        <v>54</v>
      </c>
      <c r="P86" s="23">
        <v>60</v>
      </c>
      <c r="Q86" s="22"/>
      <c r="R86" s="23">
        <v>60</v>
      </c>
      <c r="S86" s="24">
        <v>46054</v>
      </c>
      <c r="T86" s="23">
        <v>9</v>
      </c>
      <c r="U86" s="25">
        <v>4</v>
      </c>
      <c r="V86" s="23">
        <v>51</v>
      </c>
      <c r="W86" s="18" t="s">
        <v>47</v>
      </c>
      <c r="X86" s="18" t="s">
        <v>48</v>
      </c>
      <c r="Y86" s="18" t="s">
        <v>36</v>
      </c>
      <c r="Z86" s="18" t="s">
        <v>9</v>
      </c>
      <c r="AA86" s="18" t="s">
        <v>49</v>
      </c>
      <c r="AB86" s="18" t="s">
        <v>55</v>
      </c>
      <c r="AC86" s="18" t="s">
        <v>38</v>
      </c>
      <c r="AD86" s="7" t="str">
        <f t="shared" si="1"/>
        <v/>
      </c>
      <c r="AE86" s="26"/>
      <c r="AF86" s="26"/>
      <c r="AG86" s="26"/>
      <c r="AH86" s="26"/>
      <c r="AI86" s="26"/>
      <c r="AJ86" s="26"/>
      <c r="AK86" s="26"/>
      <c r="AL86" s="26"/>
      <c r="AM86" s="26"/>
      <c r="AN86" s="26"/>
      <c r="AO86" s="26"/>
      <c r="AP86" s="26"/>
      <c r="AQ86" s="26"/>
      <c r="AR86" s="26"/>
      <c r="AS86" s="26"/>
      <c r="AT86" s="26"/>
      <c r="AU86" s="26"/>
      <c r="AV86" s="26"/>
      <c r="AW86" s="26"/>
    </row>
    <row r="87" spans="1:49" s="47" customFormat="1" ht="35.1" customHeight="1" x14ac:dyDescent="0.2">
      <c r="A87" s="9" t="s">
        <v>146</v>
      </c>
      <c r="B87" s="10">
        <v>46052</v>
      </c>
      <c r="C87" s="10">
        <v>46052</v>
      </c>
      <c r="D87" s="11" t="s">
        <v>217</v>
      </c>
      <c r="E87" s="12">
        <v>0.91666666666666663</v>
      </c>
      <c r="F87" s="12">
        <v>0.97916666666666663</v>
      </c>
      <c r="G87" s="12">
        <v>6.25E-2</v>
      </c>
      <c r="H87" s="9" t="s">
        <v>223</v>
      </c>
      <c r="I87" s="13"/>
      <c r="J87" s="9" t="s">
        <v>41</v>
      </c>
      <c r="K87" s="9"/>
      <c r="L87" s="14">
        <v>1</v>
      </c>
      <c r="M87" s="14">
        <v>1</v>
      </c>
      <c r="N87" s="9" t="s">
        <v>33</v>
      </c>
      <c r="O87" s="9"/>
      <c r="P87" s="16">
        <v>0</v>
      </c>
      <c r="Q87" s="14"/>
      <c r="R87" s="16">
        <v>0</v>
      </c>
      <c r="S87" s="9">
        <v>46054</v>
      </c>
      <c r="T87" s="16">
        <v>0</v>
      </c>
      <c r="U87" s="14">
        <v>2</v>
      </c>
      <c r="V87" s="16">
        <v>0</v>
      </c>
      <c r="W87" s="9" t="s">
        <v>34</v>
      </c>
      <c r="X87" s="9" t="s">
        <v>42</v>
      </c>
      <c r="Y87" s="9" t="s">
        <v>36</v>
      </c>
      <c r="Z87" s="9" t="s">
        <v>43</v>
      </c>
      <c r="AA87" s="9" t="s">
        <v>37</v>
      </c>
      <c r="AB87" s="9" t="s">
        <v>37</v>
      </c>
      <c r="AC87" s="9" t="s">
        <v>38</v>
      </c>
      <c r="AD87" s="7" t="str">
        <f t="shared" si="1"/>
        <v/>
      </c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</row>
    <row r="88" spans="1:49" s="47" customFormat="1" ht="35.1" customHeight="1" x14ac:dyDescent="0.25">
      <c r="A88" s="18" t="s">
        <v>56</v>
      </c>
      <c r="B88" s="19">
        <v>46052</v>
      </c>
      <c r="C88" s="19">
        <v>46052</v>
      </c>
      <c r="D88" s="18" t="s">
        <v>217</v>
      </c>
      <c r="E88" s="20">
        <v>0.25</v>
      </c>
      <c r="F88" s="20">
        <v>0.99930555555555556</v>
      </c>
      <c r="G88" s="28">
        <v>1.7361111111111112E-4</v>
      </c>
      <c r="H88" s="29" t="s">
        <v>57</v>
      </c>
      <c r="I88" s="21">
        <v>0.93821886574074076</v>
      </c>
      <c r="J88" s="18" t="s">
        <v>41</v>
      </c>
      <c r="K88" s="18" t="s">
        <v>223</v>
      </c>
      <c r="L88" s="22">
        <v>1</v>
      </c>
      <c r="M88" s="22">
        <v>69827</v>
      </c>
      <c r="N88" s="18" t="s">
        <v>53</v>
      </c>
      <c r="O88" s="22"/>
      <c r="P88" s="23">
        <v>23</v>
      </c>
      <c r="Q88" s="22"/>
      <c r="R88" s="23">
        <v>23</v>
      </c>
      <c r="S88" s="24">
        <v>46052</v>
      </c>
      <c r="T88" s="23">
        <v>0</v>
      </c>
      <c r="U88" s="25">
        <v>4</v>
      </c>
      <c r="V88" s="23">
        <v>23</v>
      </c>
      <c r="W88" s="18" t="s">
        <v>34</v>
      </c>
      <c r="X88" s="18" t="s">
        <v>48</v>
      </c>
      <c r="Y88" s="18" t="s">
        <v>58</v>
      </c>
      <c r="Z88" s="18" t="s">
        <v>43</v>
      </c>
      <c r="AA88" s="18" t="s">
        <v>49</v>
      </c>
      <c r="AB88" s="18" t="s">
        <v>59</v>
      </c>
      <c r="AC88" s="18" t="s">
        <v>38</v>
      </c>
      <c r="AD88" s="7" t="str">
        <f t="shared" si="1"/>
        <v/>
      </c>
      <c r="AE88" s="26"/>
      <c r="AF88" s="26"/>
      <c r="AG88" s="26"/>
      <c r="AH88" s="26"/>
      <c r="AI88" s="26"/>
      <c r="AJ88" s="26"/>
      <c r="AK88" s="26"/>
      <c r="AL88" s="26"/>
      <c r="AM88" s="26"/>
      <c r="AN88" s="26"/>
      <c r="AO88" s="26"/>
      <c r="AP88" s="26"/>
      <c r="AQ88" s="26"/>
      <c r="AR88" s="26"/>
      <c r="AS88" s="26"/>
      <c r="AT88" s="26"/>
      <c r="AU88" s="26"/>
      <c r="AV88" s="26"/>
      <c r="AW88" s="26"/>
    </row>
    <row r="89" spans="1:49" s="47" customFormat="1" ht="35.1" customHeight="1" x14ac:dyDescent="0.25">
      <c r="A89" s="18" t="s">
        <v>56</v>
      </c>
      <c r="B89" s="19">
        <v>46052</v>
      </c>
      <c r="C89" s="19">
        <v>46052</v>
      </c>
      <c r="D89" s="18" t="s">
        <v>217</v>
      </c>
      <c r="E89" s="20">
        <v>0.25</v>
      </c>
      <c r="F89" s="20">
        <v>0.99930555555555556</v>
      </c>
      <c r="G89" s="28">
        <v>1.7361111111111112E-4</v>
      </c>
      <c r="H89" s="29" t="s">
        <v>60</v>
      </c>
      <c r="I89" s="21">
        <v>0.94099675925925919</v>
      </c>
      <c r="J89" s="18" t="s">
        <v>41</v>
      </c>
      <c r="K89" s="18" t="s">
        <v>223</v>
      </c>
      <c r="L89" s="22">
        <v>1</v>
      </c>
      <c r="M89" s="22">
        <v>69827</v>
      </c>
      <c r="N89" s="18" t="s">
        <v>53</v>
      </c>
      <c r="O89" s="22"/>
      <c r="P89" s="23">
        <v>0</v>
      </c>
      <c r="Q89" s="22"/>
      <c r="R89" s="23">
        <v>0</v>
      </c>
      <c r="S89" s="24">
        <v>46052</v>
      </c>
      <c r="T89" s="23">
        <v>0</v>
      </c>
      <c r="U89" s="25">
        <v>4</v>
      </c>
      <c r="V89" s="23">
        <v>0</v>
      </c>
      <c r="W89" s="18" t="s">
        <v>34</v>
      </c>
      <c r="X89" s="18" t="s">
        <v>48</v>
      </c>
      <c r="Y89" s="18" t="s">
        <v>58</v>
      </c>
      <c r="Z89" s="18" t="s">
        <v>43</v>
      </c>
      <c r="AA89" s="18" t="s">
        <v>49</v>
      </c>
      <c r="AB89" s="18" t="s">
        <v>59</v>
      </c>
      <c r="AC89" s="18" t="s">
        <v>38</v>
      </c>
      <c r="AD89" s="7" t="str">
        <f t="shared" si="1"/>
        <v/>
      </c>
      <c r="AE89" s="26"/>
      <c r="AF89" s="26"/>
      <c r="AG89" s="26"/>
      <c r="AH89" s="26"/>
      <c r="AI89" s="27"/>
      <c r="AJ89" s="27"/>
      <c r="AK89" s="27"/>
      <c r="AL89" s="27"/>
      <c r="AM89" s="27"/>
      <c r="AN89" s="27"/>
      <c r="AO89" s="27"/>
      <c r="AP89" s="27"/>
      <c r="AQ89" s="27"/>
      <c r="AR89" s="27"/>
      <c r="AS89" s="27"/>
      <c r="AT89" s="27"/>
      <c r="AU89" s="27"/>
      <c r="AV89" s="27"/>
      <c r="AW89" s="27"/>
    </row>
    <row r="90" spans="1:49" s="47" customFormat="1" ht="35.1" customHeight="1" x14ac:dyDescent="0.25">
      <c r="A90" s="18" t="s">
        <v>127</v>
      </c>
      <c r="B90" s="19">
        <v>46052</v>
      </c>
      <c r="C90" s="19">
        <v>46052</v>
      </c>
      <c r="D90" s="18" t="s">
        <v>217</v>
      </c>
      <c r="E90" s="20">
        <v>0.79166666666666663</v>
      </c>
      <c r="F90" s="20">
        <v>0.99930555555555556</v>
      </c>
      <c r="G90" s="20">
        <v>3.4722222222222218E-4</v>
      </c>
      <c r="H90" s="18" t="s">
        <v>192</v>
      </c>
      <c r="I90" s="21">
        <v>0.93839236111111113</v>
      </c>
      <c r="J90" s="18" t="s">
        <v>41</v>
      </c>
      <c r="K90" s="18" t="s">
        <v>223</v>
      </c>
      <c r="L90" s="22">
        <v>1</v>
      </c>
      <c r="M90" s="22">
        <v>69751</v>
      </c>
      <c r="N90" s="18" t="s">
        <v>46</v>
      </c>
      <c r="O90" s="22" t="s">
        <v>129</v>
      </c>
      <c r="P90" s="23">
        <v>0</v>
      </c>
      <c r="Q90" s="22"/>
      <c r="R90" s="23">
        <v>0</v>
      </c>
      <c r="S90" s="24">
        <v>46054</v>
      </c>
      <c r="T90" s="23">
        <v>0</v>
      </c>
      <c r="U90" s="25">
        <v>4</v>
      </c>
      <c r="V90" s="23">
        <v>0</v>
      </c>
      <c r="W90" s="18" t="s">
        <v>47</v>
      </c>
      <c r="X90" s="18" t="s">
        <v>48</v>
      </c>
      <c r="Y90" s="18" t="s">
        <v>36</v>
      </c>
      <c r="Z90" s="18" t="s">
        <v>9</v>
      </c>
      <c r="AA90" s="18" t="s">
        <v>49</v>
      </c>
      <c r="AB90" s="18" t="s">
        <v>130</v>
      </c>
      <c r="AC90" s="18" t="s">
        <v>38</v>
      </c>
      <c r="AD90" s="7" t="str">
        <f t="shared" si="1"/>
        <v/>
      </c>
      <c r="AE90" s="26"/>
      <c r="AF90" s="26"/>
      <c r="AG90" s="26"/>
      <c r="AH90" s="26"/>
      <c r="AI90" s="26"/>
      <c r="AJ90" s="26"/>
      <c r="AK90" s="26"/>
      <c r="AL90" s="26"/>
      <c r="AM90" s="26"/>
      <c r="AN90" s="26"/>
      <c r="AO90" s="26"/>
      <c r="AP90" s="26"/>
      <c r="AQ90" s="26"/>
      <c r="AR90" s="26"/>
      <c r="AS90" s="26"/>
      <c r="AT90" s="26"/>
      <c r="AU90" s="26"/>
      <c r="AV90" s="26"/>
      <c r="AW90" s="26"/>
    </row>
    <row r="91" spans="1:49" s="47" customFormat="1" ht="35.1" customHeight="1" x14ac:dyDescent="0.25">
      <c r="A91" s="18" t="s">
        <v>93</v>
      </c>
      <c r="B91" s="19">
        <v>46052</v>
      </c>
      <c r="C91" s="19">
        <v>46052</v>
      </c>
      <c r="D91" s="18" t="s">
        <v>217</v>
      </c>
      <c r="E91" s="20">
        <v>0.79166666666666663</v>
      </c>
      <c r="F91" s="20">
        <v>0.99930555555555556</v>
      </c>
      <c r="G91" s="28">
        <v>1.7361111111111109E-4</v>
      </c>
      <c r="H91" s="29" t="s">
        <v>135</v>
      </c>
      <c r="I91" s="21">
        <v>0.97782650462962972</v>
      </c>
      <c r="J91" s="18" t="s">
        <v>136</v>
      </c>
      <c r="K91" s="18" t="s">
        <v>223</v>
      </c>
      <c r="L91" s="22">
        <v>1</v>
      </c>
      <c r="M91" s="22">
        <v>69566</v>
      </c>
      <c r="N91" s="18" t="s">
        <v>53</v>
      </c>
      <c r="O91" s="22" t="s">
        <v>137</v>
      </c>
      <c r="P91" s="23">
        <v>0</v>
      </c>
      <c r="Q91" s="22"/>
      <c r="R91" s="23">
        <v>16.531831119544499</v>
      </c>
      <c r="S91" s="24">
        <v>46054</v>
      </c>
      <c r="T91" s="23">
        <v>0</v>
      </c>
      <c r="U91" s="25">
        <v>4</v>
      </c>
      <c r="V91" s="23">
        <v>0</v>
      </c>
      <c r="W91" s="18" t="s">
        <v>47</v>
      </c>
      <c r="X91" s="18" t="s">
        <v>48</v>
      </c>
      <c r="Y91" s="18" t="s">
        <v>36</v>
      </c>
      <c r="Z91" s="18" t="s">
        <v>9</v>
      </c>
      <c r="AA91" s="18" t="s">
        <v>49</v>
      </c>
      <c r="AB91" s="18" t="s">
        <v>138</v>
      </c>
      <c r="AC91" s="18" t="s">
        <v>38</v>
      </c>
      <c r="AD91" s="7" t="str">
        <f t="shared" si="1"/>
        <v/>
      </c>
      <c r="AE91" s="26"/>
      <c r="AF91" s="26"/>
      <c r="AG91" s="26"/>
      <c r="AH91" s="26"/>
      <c r="AI91" s="26"/>
      <c r="AJ91" s="26"/>
      <c r="AK91" s="26"/>
      <c r="AL91" s="26"/>
      <c r="AM91" s="26"/>
      <c r="AN91" s="26"/>
      <c r="AO91" s="26"/>
      <c r="AP91" s="26"/>
      <c r="AQ91" s="26"/>
      <c r="AR91" s="26"/>
      <c r="AS91" s="26"/>
      <c r="AT91" s="26"/>
      <c r="AU91" s="26"/>
      <c r="AV91" s="26"/>
      <c r="AW91" s="26"/>
    </row>
    <row r="92" spans="1:49" s="47" customFormat="1" ht="35.1" customHeight="1" x14ac:dyDescent="0.25">
      <c r="A92" s="18" t="s">
        <v>93</v>
      </c>
      <c r="B92" s="19">
        <v>46052</v>
      </c>
      <c r="C92" s="19">
        <v>46052</v>
      </c>
      <c r="D92" s="18" t="s">
        <v>217</v>
      </c>
      <c r="E92" s="20">
        <v>0.79166666666666663</v>
      </c>
      <c r="F92" s="20">
        <v>0.99930555555555556</v>
      </c>
      <c r="G92" s="28">
        <v>1.7361111111111109E-4</v>
      </c>
      <c r="H92" s="29" t="s">
        <v>139</v>
      </c>
      <c r="I92" s="21">
        <v>0.97886817129629633</v>
      </c>
      <c r="J92" s="18" t="s">
        <v>136</v>
      </c>
      <c r="K92" s="18" t="s">
        <v>223</v>
      </c>
      <c r="L92" s="22">
        <v>1</v>
      </c>
      <c r="M92" s="22">
        <v>69566</v>
      </c>
      <c r="N92" s="18" t="s">
        <v>53</v>
      </c>
      <c r="O92" s="22" t="s">
        <v>137</v>
      </c>
      <c r="P92" s="23">
        <v>0</v>
      </c>
      <c r="Q92" s="22"/>
      <c r="R92" s="23">
        <v>16.531831119544499</v>
      </c>
      <c r="S92" s="24">
        <v>46054</v>
      </c>
      <c r="T92" s="23">
        <v>0</v>
      </c>
      <c r="U92" s="25">
        <v>4</v>
      </c>
      <c r="V92" s="23">
        <v>0</v>
      </c>
      <c r="W92" s="18" t="s">
        <v>47</v>
      </c>
      <c r="X92" s="18" t="s">
        <v>48</v>
      </c>
      <c r="Y92" s="18" t="s">
        <v>36</v>
      </c>
      <c r="Z92" s="18" t="s">
        <v>9</v>
      </c>
      <c r="AA92" s="18" t="s">
        <v>49</v>
      </c>
      <c r="AB92" s="18" t="s">
        <v>138</v>
      </c>
      <c r="AC92" s="18" t="s">
        <v>38</v>
      </c>
      <c r="AD92" s="7" t="str">
        <f t="shared" si="1"/>
        <v/>
      </c>
      <c r="AE92" s="26"/>
      <c r="AF92" s="26"/>
      <c r="AG92" s="26"/>
      <c r="AH92" s="26"/>
      <c r="AI92" s="26"/>
      <c r="AJ92" s="26"/>
      <c r="AK92" s="26"/>
      <c r="AL92" s="26"/>
      <c r="AM92" s="26"/>
      <c r="AN92" s="26"/>
      <c r="AO92" s="26"/>
      <c r="AP92" s="26"/>
      <c r="AQ92" s="26"/>
      <c r="AR92" s="26"/>
      <c r="AS92" s="26"/>
      <c r="AT92" s="26"/>
      <c r="AU92" s="26"/>
      <c r="AV92" s="26"/>
      <c r="AW92" s="26"/>
    </row>
    <row r="93" spans="1:49" s="47" customFormat="1" ht="35.1" customHeight="1" x14ac:dyDescent="0.2">
      <c r="A93" s="9" t="s">
        <v>39</v>
      </c>
      <c r="B93" s="10">
        <v>46052</v>
      </c>
      <c r="C93" s="10">
        <v>46052</v>
      </c>
      <c r="D93" s="11" t="s">
        <v>217</v>
      </c>
      <c r="E93" s="12">
        <v>0.97916666666666663</v>
      </c>
      <c r="F93" s="12">
        <v>1</v>
      </c>
      <c r="G93" s="12">
        <v>2.0833333333333332E-2</v>
      </c>
      <c r="H93" s="9" t="s">
        <v>149</v>
      </c>
      <c r="I93" s="13"/>
      <c r="J93" s="9" t="s">
        <v>132</v>
      </c>
      <c r="K93" s="9"/>
      <c r="L93" s="14">
        <v>1</v>
      </c>
      <c r="M93" s="14">
        <v>1</v>
      </c>
      <c r="N93" s="9" t="s">
        <v>33</v>
      </c>
      <c r="O93" s="9"/>
      <c r="P93" s="16">
        <v>0</v>
      </c>
      <c r="Q93" s="14"/>
      <c r="R93" s="16">
        <v>0</v>
      </c>
      <c r="S93" s="9">
        <v>46054</v>
      </c>
      <c r="T93" s="16">
        <v>0</v>
      </c>
      <c r="U93" s="14">
        <v>2</v>
      </c>
      <c r="V93" s="16">
        <v>0</v>
      </c>
      <c r="W93" s="9" t="s">
        <v>34</v>
      </c>
      <c r="X93" s="9" t="s">
        <v>42</v>
      </c>
      <c r="Y93" s="9" t="s">
        <v>36</v>
      </c>
      <c r="Z93" s="9" t="s">
        <v>43</v>
      </c>
      <c r="AA93" s="9" t="s">
        <v>37</v>
      </c>
      <c r="AB93" s="9" t="s">
        <v>37</v>
      </c>
      <c r="AC93" s="9" t="s">
        <v>38</v>
      </c>
      <c r="AD93" s="7" t="str">
        <f t="shared" si="1"/>
        <v/>
      </c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</row>
    <row r="94" spans="1:49" ht="44.25" customHeight="1" x14ac:dyDescent="0.2"/>
    <row r="95" spans="1:49" ht="44.25" customHeight="1" x14ac:dyDescent="0.2"/>
    <row r="96" spans="1:49" ht="44.25" customHeight="1" x14ac:dyDescent="0.2"/>
    <row r="97" customFormat="1" ht="44.25" customHeight="1" x14ac:dyDescent="0.2"/>
    <row r="98" customFormat="1" ht="44.25" customHeight="1" x14ac:dyDescent="0.2"/>
    <row r="99" customFormat="1" ht="44.25" customHeight="1" x14ac:dyDescent="0.2"/>
    <row r="100" customFormat="1" ht="44.25" customHeight="1" x14ac:dyDescent="0.2"/>
    <row r="101" customFormat="1" ht="44.25" customHeight="1" x14ac:dyDescent="0.2"/>
    <row r="102" customFormat="1" ht="44.25" customHeight="1" x14ac:dyDescent="0.2"/>
    <row r="103" customFormat="1" ht="44.25" customHeight="1" x14ac:dyDescent="0.2"/>
    <row r="104" customFormat="1" ht="44.25" customHeight="1" x14ac:dyDescent="0.2"/>
    <row r="105" customFormat="1" ht="44.25" customHeight="1" x14ac:dyDescent="0.2"/>
    <row r="106" customFormat="1" ht="44.25" customHeight="1" x14ac:dyDescent="0.2"/>
    <row r="107" customFormat="1" ht="44.25" customHeight="1" x14ac:dyDescent="0.2"/>
    <row r="108" customFormat="1" ht="44.25" customHeight="1" x14ac:dyDescent="0.2"/>
    <row r="109" customFormat="1" ht="44.25" customHeight="1" x14ac:dyDescent="0.2"/>
    <row r="110" customFormat="1" ht="44.25" customHeight="1" x14ac:dyDescent="0.2"/>
    <row r="111" customFormat="1" ht="44.25" customHeight="1" x14ac:dyDescent="0.2"/>
    <row r="112" customFormat="1" ht="44.25" customHeight="1" x14ac:dyDescent="0.2"/>
    <row r="113" customFormat="1" ht="44.25" customHeight="1" x14ac:dyDescent="0.2"/>
    <row r="114" customFormat="1" ht="44.25" customHeight="1" x14ac:dyDescent="0.2"/>
    <row r="115" customFormat="1" ht="44.25" customHeight="1" x14ac:dyDescent="0.2"/>
    <row r="116" customFormat="1" ht="44.25" customHeight="1" x14ac:dyDescent="0.2"/>
    <row r="117" customFormat="1" ht="44.25" customHeight="1" x14ac:dyDescent="0.2"/>
    <row r="118" customFormat="1" ht="44.25" customHeight="1" x14ac:dyDescent="0.2"/>
    <row r="119" customFormat="1" ht="44.25" customHeight="1" x14ac:dyDescent="0.2"/>
    <row r="120" customFormat="1" ht="44.25" customHeight="1" x14ac:dyDescent="0.2"/>
    <row r="121" customFormat="1" ht="44.25" customHeight="1" x14ac:dyDescent="0.2"/>
    <row r="122" customFormat="1" ht="44.25" customHeight="1" x14ac:dyDescent="0.2"/>
    <row r="123" customFormat="1" ht="44.25" customHeight="1" x14ac:dyDescent="0.2"/>
    <row r="124" customFormat="1" ht="44.25" customHeight="1" x14ac:dyDescent="0.2"/>
    <row r="125" customFormat="1" ht="44.25" customHeight="1" x14ac:dyDescent="0.2"/>
    <row r="126" customFormat="1" ht="44.25" customHeight="1" x14ac:dyDescent="0.2"/>
    <row r="127" customFormat="1" ht="44.25" customHeight="1" x14ac:dyDescent="0.2"/>
    <row r="128" customFormat="1" ht="44.25" customHeight="1" x14ac:dyDescent="0.2"/>
    <row r="129" customFormat="1" ht="44.25" customHeight="1" x14ac:dyDescent="0.2"/>
    <row r="130" customFormat="1" ht="44.25" customHeight="1" x14ac:dyDescent="0.2"/>
    <row r="131" customFormat="1" ht="44.25" customHeight="1" x14ac:dyDescent="0.2"/>
    <row r="132" customFormat="1" ht="44.25" customHeight="1" x14ac:dyDescent="0.2"/>
    <row r="133" customFormat="1" ht="44.25" customHeight="1" x14ac:dyDescent="0.2"/>
    <row r="134" customFormat="1" ht="44.25" customHeight="1" x14ac:dyDescent="0.2"/>
    <row r="135" customFormat="1" ht="44.25" customHeight="1" x14ac:dyDescent="0.2"/>
    <row r="136" customFormat="1" ht="44.25" customHeight="1" x14ac:dyDescent="0.2"/>
    <row r="137" customFormat="1" ht="44.25" customHeight="1" x14ac:dyDescent="0.2"/>
    <row r="138" customFormat="1" ht="44.25" customHeight="1" x14ac:dyDescent="0.2"/>
    <row r="139" customFormat="1" ht="44.25" customHeight="1" x14ac:dyDescent="0.2"/>
    <row r="140" customFormat="1" ht="44.25" customHeight="1" x14ac:dyDescent="0.2"/>
    <row r="141" customFormat="1" ht="44.25" customHeight="1" x14ac:dyDescent="0.2"/>
    <row r="142" customFormat="1" ht="44.25" customHeight="1" x14ac:dyDescent="0.2"/>
    <row r="143" customFormat="1" ht="44.25" customHeight="1" x14ac:dyDescent="0.2"/>
    <row r="144" customFormat="1" ht="44.25" customHeight="1" x14ac:dyDescent="0.2"/>
    <row r="145" customFormat="1" ht="44.25" customHeight="1" x14ac:dyDescent="0.2"/>
    <row r="146" customFormat="1" ht="44.25" customHeight="1" x14ac:dyDescent="0.2"/>
    <row r="147" customFormat="1" ht="44.25" customHeight="1" x14ac:dyDescent="0.2"/>
    <row r="148" customFormat="1" ht="44.25" customHeight="1" x14ac:dyDescent="0.2"/>
    <row r="149" customFormat="1" ht="44.25" customHeight="1" x14ac:dyDescent="0.2"/>
    <row r="150" customFormat="1" ht="44.25" customHeight="1" x14ac:dyDescent="0.2"/>
    <row r="151" customFormat="1" ht="44.25" customHeight="1" x14ac:dyDescent="0.2"/>
    <row r="152" customFormat="1" ht="44.25" customHeight="1" x14ac:dyDescent="0.2"/>
    <row r="153" customFormat="1" ht="44.25" customHeight="1" x14ac:dyDescent="0.2"/>
    <row r="154" customFormat="1" ht="44.25" customHeight="1" x14ac:dyDescent="0.2"/>
    <row r="155" customFormat="1" ht="44.25" customHeight="1" x14ac:dyDescent="0.2"/>
    <row r="156" customFormat="1" ht="44.25" customHeight="1" x14ac:dyDescent="0.2"/>
    <row r="157" customFormat="1" ht="44.25" customHeight="1" x14ac:dyDescent="0.2"/>
    <row r="158" customFormat="1" ht="44.25" customHeight="1" x14ac:dyDescent="0.2"/>
    <row r="159" customFormat="1" ht="44.25" customHeight="1" x14ac:dyDescent="0.2"/>
    <row r="160" customFormat="1" ht="44.25" customHeight="1" x14ac:dyDescent="0.2"/>
    <row r="161" customFormat="1" ht="44.25" customHeight="1" x14ac:dyDescent="0.2"/>
    <row r="162" customFormat="1" ht="44.25" customHeight="1" x14ac:dyDescent="0.2"/>
    <row r="163" customFormat="1" ht="44.25" customHeight="1" x14ac:dyDescent="0.2"/>
    <row r="164" customFormat="1" ht="44.25" customHeight="1" x14ac:dyDescent="0.2"/>
    <row r="165" customFormat="1" ht="44.25" customHeight="1" x14ac:dyDescent="0.2"/>
    <row r="166" customFormat="1" ht="44.25" customHeight="1" x14ac:dyDescent="0.2"/>
    <row r="167" customFormat="1" ht="44.25" customHeight="1" x14ac:dyDescent="0.2"/>
    <row r="168" customFormat="1" ht="44.25" customHeight="1" x14ac:dyDescent="0.2"/>
    <row r="169" customFormat="1" ht="44.25" customHeight="1" x14ac:dyDescent="0.2"/>
    <row r="170" customFormat="1" ht="44.25" customHeight="1" x14ac:dyDescent="0.2"/>
    <row r="171" customFormat="1" ht="44.25" customHeight="1" x14ac:dyDescent="0.2"/>
    <row r="172" customFormat="1" ht="44.25" customHeight="1" x14ac:dyDescent="0.2"/>
    <row r="173" customFormat="1" ht="44.25" customHeight="1" x14ac:dyDescent="0.2"/>
    <row r="174" customFormat="1" ht="44.25" customHeight="1" x14ac:dyDescent="0.2"/>
    <row r="175" customFormat="1" ht="44.25" customHeight="1" x14ac:dyDescent="0.2"/>
    <row r="176" customFormat="1" ht="44.25" customHeight="1" x14ac:dyDescent="0.2"/>
    <row r="177" customFormat="1" ht="44.25" customHeight="1" x14ac:dyDescent="0.2"/>
    <row r="178" customFormat="1" ht="44.25" customHeight="1" x14ac:dyDescent="0.2"/>
    <row r="179" customFormat="1" ht="44.25" customHeight="1" x14ac:dyDescent="0.2"/>
    <row r="180" customFormat="1" ht="44.25" customHeight="1" x14ac:dyDescent="0.2"/>
    <row r="181" customFormat="1" ht="44.25" customHeight="1" x14ac:dyDescent="0.2"/>
    <row r="182" customFormat="1" ht="44.25" customHeight="1" x14ac:dyDescent="0.2"/>
    <row r="183" customFormat="1" ht="44.25" customHeight="1" x14ac:dyDescent="0.2"/>
    <row r="184" customFormat="1" ht="44.25" customHeight="1" x14ac:dyDescent="0.2"/>
    <row r="185" customFormat="1" ht="44.25" customHeight="1" x14ac:dyDescent="0.2"/>
    <row r="186" customFormat="1" ht="44.25" customHeight="1" x14ac:dyDescent="0.2"/>
    <row r="187" customFormat="1" ht="44.25" customHeight="1" x14ac:dyDescent="0.2"/>
    <row r="188" customFormat="1" ht="44.25" customHeight="1" x14ac:dyDescent="0.2"/>
    <row r="189" customFormat="1" ht="44.25" customHeight="1" x14ac:dyDescent="0.2"/>
    <row r="190" customFormat="1" ht="44.25" customHeight="1" x14ac:dyDescent="0.2"/>
    <row r="191" customFormat="1" ht="44.25" customHeight="1" x14ac:dyDescent="0.2"/>
    <row r="192" customFormat="1" ht="44.25" customHeight="1" x14ac:dyDescent="0.2"/>
    <row r="193" customFormat="1" ht="44.25" customHeight="1" x14ac:dyDescent="0.2"/>
    <row r="194" customFormat="1" ht="44.25" customHeight="1" x14ac:dyDescent="0.2"/>
    <row r="195" customFormat="1" ht="44.25" customHeight="1" x14ac:dyDescent="0.2"/>
    <row r="196" customFormat="1" ht="44.25" customHeight="1" x14ac:dyDescent="0.2"/>
    <row r="197" customFormat="1" ht="44.25" customHeight="1" x14ac:dyDescent="0.2"/>
    <row r="198" customFormat="1" ht="44.25" customHeight="1" x14ac:dyDescent="0.2"/>
    <row r="199" customFormat="1" ht="44.25" customHeight="1" x14ac:dyDescent="0.2"/>
    <row r="200" customFormat="1" ht="44.25" customHeight="1" x14ac:dyDescent="0.2"/>
    <row r="201" customFormat="1" ht="44.25" customHeight="1" x14ac:dyDescent="0.2"/>
    <row r="202" customFormat="1" ht="44.25" customHeight="1" x14ac:dyDescent="0.2"/>
    <row r="203" customFormat="1" ht="44.25" customHeight="1" x14ac:dyDescent="0.2"/>
    <row r="204" customFormat="1" ht="44.25" customHeight="1" x14ac:dyDescent="0.2"/>
    <row r="205" customFormat="1" ht="44.25" customHeight="1" x14ac:dyDescent="0.2"/>
    <row r="206" customFormat="1" ht="44.25" customHeight="1" x14ac:dyDescent="0.2"/>
    <row r="207" customFormat="1" ht="44.25" customHeight="1" x14ac:dyDescent="0.2"/>
    <row r="208" customFormat="1" ht="44.25" customHeight="1" x14ac:dyDescent="0.2"/>
    <row r="209" customFormat="1" ht="44.25" customHeight="1" x14ac:dyDescent="0.2"/>
    <row r="210" customFormat="1" ht="44.25" customHeight="1" x14ac:dyDescent="0.2"/>
    <row r="211" customFormat="1" ht="44.25" customHeight="1" x14ac:dyDescent="0.2"/>
    <row r="212" customFormat="1" ht="44.25" customHeight="1" x14ac:dyDescent="0.2"/>
    <row r="213" customFormat="1" ht="44.25" customHeight="1" x14ac:dyDescent="0.2"/>
    <row r="214" customFormat="1" ht="44.25" customHeight="1" x14ac:dyDescent="0.2"/>
    <row r="215" customFormat="1" ht="44.25" customHeight="1" x14ac:dyDescent="0.2"/>
    <row r="216" customFormat="1" ht="44.25" customHeight="1" x14ac:dyDescent="0.2"/>
    <row r="217" customFormat="1" ht="44.25" customHeight="1" x14ac:dyDescent="0.2"/>
    <row r="218" customFormat="1" ht="44.25" customHeight="1" x14ac:dyDescent="0.2"/>
    <row r="219" customFormat="1" ht="44.25" customHeight="1" x14ac:dyDescent="0.2"/>
    <row r="220" customFormat="1" ht="44.25" customHeight="1" x14ac:dyDescent="0.2"/>
    <row r="221" customFormat="1" ht="44.25" customHeight="1" x14ac:dyDescent="0.2"/>
    <row r="222" customFormat="1" ht="44.25" customHeight="1" x14ac:dyDescent="0.2"/>
    <row r="223" customFormat="1" ht="44.25" customHeight="1" x14ac:dyDescent="0.2"/>
    <row r="224" customFormat="1" ht="44.25" customHeight="1" x14ac:dyDescent="0.2"/>
    <row r="225" customFormat="1" ht="44.25" customHeight="1" x14ac:dyDescent="0.2"/>
    <row r="226" customFormat="1" ht="44.25" customHeight="1" x14ac:dyDescent="0.2"/>
    <row r="227" customFormat="1" ht="44.25" customHeight="1" x14ac:dyDescent="0.2"/>
    <row r="228" customFormat="1" ht="44.25" customHeight="1" x14ac:dyDescent="0.2"/>
    <row r="229" customFormat="1" ht="44.25" customHeight="1" x14ac:dyDescent="0.2"/>
    <row r="230" customFormat="1" ht="44.25" customHeight="1" x14ac:dyDescent="0.2"/>
    <row r="231" customFormat="1" ht="44.25" customHeight="1" x14ac:dyDescent="0.2"/>
    <row r="232" customFormat="1" ht="44.25" customHeight="1" x14ac:dyDescent="0.2"/>
    <row r="233" customFormat="1" ht="44.25" customHeight="1" x14ac:dyDescent="0.2"/>
    <row r="234" customFormat="1" ht="44.25" customHeight="1" x14ac:dyDescent="0.2"/>
    <row r="235" customFormat="1" ht="44.25" customHeight="1" x14ac:dyDescent="0.2"/>
    <row r="236" customFormat="1" ht="44.25" customHeight="1" x14ac:dyDescent="0.2"/>
    <row r="237" customFormat="1" ht="44.25" customHeight="1" x14ac:dyDescent="0.2"/>
    <row r="238" customFormat="1" ht="44.25" customHeight="1" x14ac:dyDescent="0.2"/>
    <row r="239" customFormat="1" ht="44.25" customHeight="1" x14ac:dyDescent="0.2"/>
    <row r="240" customFormat="1" ht="44.25" customHeight="1" x14ac:dyDescent="0.2"/>
    <row r="241" customFormat="1" ht="44.25" customHeight="1" x14ac:dyDescent="0.2"/>
    <row r="242" customFormat="1" ht="44.25" customHeight="1" x14ac:dyDescent="0.2"/>
    <row r="243" customFormat="1" ht="44.25" customHeight="1" x14ac:dyDescent="0.2"/>
    <row r="244" customFormat="1" ht="44.25" customHeight="1" x14ac:dyDescent="0.2"/>
    <row r="245" customFormat="1" ht="44.25" customHeight="1" x14ac:dyDescent="0.2"/>
    <row r="246" customFormat="1" ht="44.25" customHeight="1" x14ac:dyDescent="0.2"/>
    <row r="247" customFormat="1" ht="44.25" customHeight="1" x14ac:dyDescent="0.2"/>
    <row r="248" customFormat="1" ht="44.25" customHeight="1" x14ac:dyDescent="0.2"/>
    <row r="249" customFormat="1" ht="44.25" customHeight="1" x14ac:dyDescent="0.2"/>
    <row r="250" customFormat="1" ht="44.25" customHeight="1" x14ac:dyDescent="0.2"/>
    <row r="251" customFormat="1" ht="44.25" customHeight="1" x14ac:dyDescent="0.2"/>
    <row r="252" customFormat="1" ht="44.25" customHeight="1" x14ac:dyDescent="0.2"/>
    <row r="253" customFormat="1" ht="44.25" customHeight="1" x14ac:dyDescent="0.2"/>
    <row r="254" customFormat="1" ht="44.25" customHeight="1" x14ac:dyDescent="0.2"/>
    <row r="255" customFormat="1" ht="44.25" customHeight="1" x14ac:dyDescent="0.2"/>
    <row r="256" customFormat="1" ht="44.25" customHeight="1" x14ac:dyDescent="0.2"/>
    <row r="257" customFormat="1" ht="44.25" customHeight="1" x14ac:dyDescent="0.2"/>
    <row r="258" customFormat="1" ht="44.25" customHeight="1" x14ac:dyDescent="0.2"/>
    <row r="259" customFormat="1" ht="44.25" customHeight="1" x14ac:dyDescent="0.2"/>
    <row r="260" customFormat="1" ht="44.25" customHeight="1" x14ac:dyDescent="0.2"/>
    <row r="261" customFormat="1" ht="44.25" customHeight="1" x14ac:dyDescent="0.2"/>
    <row r="262" customFormat="1" ht="44.25" customHeight="1" x14ac:dyDescent="0.2"/>
    <row r="263" customFormat="1" ht="44.25" customHeight="1" x14ac:dyDescent="0.2"/>
    <row r="264" customFormat="1" ht="44.25" customHeight="1" x14ac:dyDescent="0.2"/>
    <row r="265" customFormat="1" ht="44.25" customHeight="1" x14ac:dyDescent="0.2"/>
    <row r="266" customFormat="1" ht="44.25" customHeight="1" x14ac:dyDescent="0.2"/>
    <row r="267" customFormat="1" ht="44.25" customHeight="1" x14ac:dyDescent="0.2"/>
    <row r="268" customFormat="1" ht="44.25" customHeight="1" x14ac:dyDescent="0.2"/>
    <row r="269" customFormat="1" ht="44.25" customHeight="1" x14ac:dyDescent="0.2"/>
    <row r="270" customFormat="1" ht="44.25" customHeight="1" x14ac:dyDescent="0.2"/>
    <row r="271" customFormat="1" ht="44.25" customHeight="1" x14ac:dyDescent="0.2"/>
    <row r="272" customFormat="1" ht="44.25" customHeight="1" x14ac:dyDescent="0.2"/>
    <row r="273" customFormat="1" ht="44.25" customHeight="1" x14ac:dyDescent="0.2"/>
    <row r="274" customFormat="1" ht="44.25" customHeight="1" x14ac:dyDescent="0.2"/>
    <row r="275" customFormat="1" ht="44.25" customHeight="1" x14ac:dyDescent="0.2"/>
    <row r="276" customFormat="1" ht="44.25" customHeight="1" x14ac:dyDescent="0.2"/>
    <row r="277" customFormat="1" ht="44.25" customHeight="1" x14ac:dyDescent="0.2"/>
    <row r="278" customFormat="1" ht="44.25" customHeight="1" x14ac:dyDescent="0.2"/>
    <row r="279" customFormat="1" ht="44.25" customHeight="1" x14ac:dyDescent="0.2"/>
    <row r="280" customFormat="1" ht="44.25" customHeight="1" x14ac:dyDescent="0.2"/>
    <row r="281" customFormat="1" ht="44.25" customHeight="1" x14ac:dyDescent="0.2"/>
    <row r="282" customFormat="1" ht="44.25" customHeight="1" x14ac:dyDescent="0.2"/>
    <row r="283" customFormat="1" ht="44.25" customHeight="1" x14ac:dyDescent="0.2"/>
    <row r="284" customFormat="1" ht="44.25" customHeight="1" x14ac:dyDescent="0.2"/>
    <row r="285" customFormat="1" ht="44.25" customHeight="1" x14ac:dyDescent="0.2"/>
    <row r="286" customFormat="1" ht="44.25" customHeight="1" x14ac:dyDescent="0.2"/>
    <row r="287" customFormat="1" ht="44.25" customHeight="1" x14ac:dyDescent="0.2"/>
    <row r="288" customFormat="1" ht="44.25" customHeight="1" x14ac:dyDescent="0.2"/>
    <row r="289" customFormat="1" ht="44.25" customHeight="1" x14ac:dyDescent="0.2"/>
    <row r="290" customFormat="1" ht="44.25" customHeight="1" x14ac:dyDescent="0.2"/>
    <row r="291" customFormat="1" ht="44.25" customHeight="1" x14ac:dyDescent="0.2"/>
    <row r="292" customFormat="1" ht="44.25" customHeight="1" x14ac:dyDescent="0.2"/>
    <row r="293" customFormat="1" ht="44.25" customHeight="1" x14ac:dyDescent="0.2"/>
    <row r="294" customFormat="1" ht="44.25" customHeight="1" x14ac:dyDescent="0.2"/>
    <row r="295" customFormat="1" ht="44.25" customHeight="1" x14ac:dyDescent="0.2"/>
    <row r="296" customFormat="1" ht="44.25" customHeight="1" x14ac:dyDescent="0.2"/>
    <row r="297" customFormat="1" ht="44.25" customHeight="1" x14ac:dyDescent="0.2"/>
    <row r="298" customFormat="1" ht="44.25" customHeight="1" x14ac:dyDescent="0.2"/>
    <row r="299" customFormat="1" ht="44.25" customHeight="1" x14ac:dyDescent="0.2"/>
    <row r="300" customFormat="1" ht="44.25" customHeight="1" x14ac:dyDescent="0.2"/>
    <row r="301" customFormat="1" ht="44.25" customHeight="1" x14ac:dyDescent="0.2"/>
    <row r="302" customFormat="1" ht="44.25" customHeight="1" x14ac:dyDescent="0.2"/>
    <row r="303" customFormat="1" ht="44.25" customHeight="1" x14ac:dyDescent="0.2"/>
    <row r="304" customFormat="1" ht="44.25" customHeight="1" x14ac:dyDescent="0.2"/>
    <row r="305" customFormat="1" ht="44.25" customHeight="1" x14ac:dyDescent="0.2"/>
    <row r="306" customFormat="1" ht="44.25" customHeight="1" x14ac:dyDescent="0.2"/>
    <row r="307" customFormat="1" ht="44.25" customHeight="1" x14ac:dyDescent="0.2"/>
    <row r="308" customFormat="1" ht="44.25" customHeight="1" x14ac:dyDescent="0.2"/>
    <row r="309" customFormat="1" ht="44.25" customHeight="1" x14ac:dyDescent="0.2"/>
    <row r="310" customFormat="1" ht="44.25" customHeight="1" x14ac:dyDescent="0.2"/>
    <row r="311" customFormat="1" ht="44.25" customHeight="1" x14ac:dyDescent="0.2"/>
    <row r="312" customFormat="1" ht="44.25" customHeight="1" x14ac:dyDescent="0.2"/>
    <row r="313" customFormat="1" ht="44.25" customHeight="1" x14ac:dyDescent="0.2"/>
    <row r="314" customFormat="1" ht="44.25" customHeight="1" x14ac:dyDescent="0.2"/>
    <row r="315" customFormat="1" ht="44.25" customHeight="1" x14ac:dyDescent="0.2"/>
    <row r="316" customFormat="1" ht="44.25" customHeight="1" x14ac:dyDescent="0.2"/>
    <row r="317" customFormat="1" ht="44.25" customHeight="1" x14ac:dyDescent="0.2"/>
    <row r="318" customFormat="1" ht="44.25" customHeight="1" x14ac:dyDescent="0.2"/>
    <row r="319" customFormat="1" ht="44.25" customHeight="1" x14ac:dyDescent="0.2"/>
    <row r="320" customFormat="1" ht="44.25" customHeight="1" x14ac:dyDescent="0.2"/>
    <row r="321" customFormat="1" ht="44.25" customHeight="1" x14ac:dyDescent="0.2"/>
    <row r="322" customFormat="1" ht="44.25" customHeight="1" x14ac:dyDescent="0.2"/>
    <row r="323" customFormat="1" ht="44.25" customHeight="1" x14ac:dyDescent="0.2"/>
    <row r="324" customFormat="1" ht="44.25" customHeight="1" x14ac:dyDescent="0.2"/>
    <row r="325" customFormat="1" x14ac:dyDescent="0.2"/>
    <row r="326" customFormat="1" x14ac:dyDescent="0.2"/>
    <row r="327" customFormat="1" x14ac:dyDescent="0.2"/>
    <row r="328" customFormat="1" x14ac:dyDescent="0.2"/>
    <row r="329" customFormat="1" x14ac:dyDescent="0.2"/>
    <row r="330" customFormat="1" x14ac:dyDescent="0.2"/>
    <row r="331" customFormat="1" x14ac:dyDescent="0.2"/>
    <row r="332" customFormat="1" x14ac:dyDescent="0.2"/>
    <row r="333" customFormat="1" x14ac:dyDescent="0.2"/>
    <row r="334" customFormat="1" x14ac:dyDescent="0.2"/>
    <row r="335" customFormat="1" x14ac:dyDescent="0.2"/>
    <row r="336" customFormat="1" x14ac:dyDescent="0.2"/>
    <row r="337" customFormat="1" x14ac:dyDescent="0.2"/>
    <row r="338" customFormat="1" x14ac:dyDescent="0.2"/>
    <row r="339" customFormat="1" x14ac:dyDescent="0.2"/>
    <row r="340" customFormat="1" x14ac:dyDescent="0.2"/>
    <row r="341" customFormat="1" x14ac:dyDescent="0.2"/>
    <row r="342" customFormat="1" x14ac:dyDescent="0.2"/>
    <row r="343" customFormat="1" x14ac:dyDescent="0.2"/>
    <row r="344" customFormat="1" x14ac:dyDescent="0.2"/>
    <row r="345" customFormat="1" x14ac:dyDescent="0.2"/>
    <row r="346" customFormat="1" x14ac:dyDescent="0.2"/>
    <row r="347" customFormat="1" x14ac:dyDescent="0.2"/>
    <row r="348" customFormat="1" x14ac:dyDescent="0.2"/>
    <row r="349" customFormat="1" x14ac:dyDescent="0.2"/>
    <row r="350" customFormat="1" x14ac:dyDescent="0.2"/>
    <row r="351" customFormat="1" x14ac:dyDescent="0.2"/>
    <row r="352" customFormat="1" x14ac:dyDescent="0.2"/>
    <row r="353" customFormat="1" x14ac:dyDescent="0.2"/>
    <row r="354" customFormat="1" x14ac:dyDescent="0.2"/>
    <row r="355" customFormat="1" x14ac:dyDescent="0.2"/>
    <row r="356" customFormat="1" x14ac:dyDescent="0.2"/>
    <row r="357" customFormat="1" x14ac:dyDescent="0.2"/>
    <row r="358" customFormat="1" x14ac:dyDescent="0.2"/>
    <row r="359" customFormat="1" x14ac:dyDescent="0.2"/>
    <row r="360" customFormat="1" x14ac:dyDescent="0.2"/>
    <row r="361" customFormat="1" x14ac:dyDescent="0.2"/>
    <row r="362" customFormat="1" x14ac:dyDescent="0.2"/>
    <row r="363" customFormat="1" x14ac:dyDescent="0.2"/>
    <row r="364" customFormat="1" x14ac:dyDescent="0.2"/>
    <row r="365" customFormat="1" x14ac:dyDescent="0.2"/>
    <row r="366" customFormat="1" x14ac:dyDescent="0.2"/>
    <row r="367" customFormat="1" x14ac:dyDescent="0.2"/>
    <row r="368" customFormat="1" x14ac:dyDescent="0.2"/>
    <row r="369" customFormat="1" x14ac:dyDescent="0.2"/>
    <row r="370" customFormat="1" x14ac:dyDescent="0.2"/>
    <row r="371" customFormat="1" x14ac:dyDescent="0.2"/>
    <row r="372" customFormat="1" x14ac:dyDescent="0.2"/>
    <row r="373" customFormat="1" x14ac:dyDescent="0.2"/>
    <row r="374" customFormat="1" x14ac:dyDescent="0.2"/>
    <row r="375" customFormat="1" x14ac:dyDescent="0.2"/>
    <row r="376" customFormat="1" x14ac:dyDescent="0.2"/>
    <row r="377" customFormat="1" x14ac:dyDescent="0.2"/>
    <row r="378" customFormat="1" x14ac:dyDescent="0.2"/>
    <row r="379" customFormat="1" x14ac:dyDescent="0.2"/>
    <row r="380" customFormat="1" x14ac:dyDescent="0.2"/>
    <row r="381" customFormat="1" x14ac:dyDescent="0.2"/>
    <row r="382" customFormat="1" x14ac:dyDescent="0.2"/>
    <row r="383" customFormat="1" x14ac:dyDescent="0.2"/>
    <row r="384" customFormat="1" x14ac:dyDescent="0.2"/>
    <row r="385" customFormat="1" x14ac:dyDescent="0.2"/>
    <row r="386" customFormat="1" x14ac:dyDescent="0.2"/>
    <row r="387" customFormat="1" x14ac:dyDescent="0.2"/>
    <row r="388" customFormat="1" x14ac:dyDescent="0.2"/>
    <row r="389" customFormat="1" x14ac:dyDescent="0.2"/>
    <row r="390" customFormat="1" x14ac:dyDescent="0.2"/>
    <row r="391" customFormat="1" x14ac:dyDescent="0.2"/>
    <row r="392" customFormat="1" x14ac:dyDescent="0.2"/>
    <row r="393" customFormat="1" x14ac:dyDescent="0.2"/>
    <row r="394" customFormat="1" x14ac:dyDescent="0.2"/>
    <row r="395" customFormat="1" x14ac:dyDescent="0.2"/>
    <row r="396" customFormat="1" x14ac:dyDescent="0.2"/>
    <row r="397" customFormat="1" x14ac:dyDescent="0.2"/>
    <row r="398" customFormat="1" x14ac:dyDescent="0.2"/>
    <row r="399" customFormat="1" x14ac:dyDescent="0.2"/>
    <row r="400" customFormat="1" x14ac:dyDescent="0.2"/>
  </sheetData>
  <autoFilter ref="A1:AD93" xr:uid="{424754EB-77D4-44AC-A729-202F74AF0C24}"/>
  <sortState xmlns:xlrd2="http://schemas.microsoft.com/office/spreadsheetml/2017/richdata2" ref="A2:AD326">
    <sortCondition sortBy="cellColor" ref="E1:E500" dxfId="24"/>
  </sortState>
  <conditionalFormatting sqref="AD1:AD93">
    <cfRule type="cellIs" dxfId="23" priority="2" operator="equal">
      <formula>"NO"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3E4D49-1845-42D2-8B28-304298DF09B0}">
  <sheetPr codeName="Sheet6"/>
  <dimension ref="A1:AW400"/>
  <sheetViews>
    <sheetView topLeftCell="B1" zoomScale="55" zoomScaleNormal="55" workbookViewId="0">
      <selection activeCell="B2" sqref="A2:XFD400"/>
    </sheetView>
  </sheetViews>
  <sheetFormatPr defaultColWidth="0" defaultRowHeight="12.75" x14ac:dyDescent="0.2"/>
  <cols>
    <col min="2" max="2" width="14.85546875" customWidth="1"/>
    <col min="4" max="4" width="17.5703125" customWidth="1"/>
    <col min="5" max="5" width="17.28515625" customWidth="1"/>
    <col min="6" max="6" width="18.7109375" customWidth="1"/>
    <col min="7" max="7" width="16" customWidth="1"/>
    <col min="8" max="8" width="63.7109375" customWidth="1"/>
    <col min="9" max="9" width="48.42578125" customWidth="1"/>
    <col min="10" max="10" width="12.85546875" customWidth="1"/>
    <col min="11" max="11" width="16.42578125" customWidth="1"/>
    <col min="14" max="14" width="9.140625" customWidth="1"/>
    <col min="17" max="18" width="19.5703125" customWidth="1"/>
    <col min="30" max="30" width="19" customWidth="1"/>
  </cols>
  <sheetData>
    <row r="1" spans="1:49" s="8" customFormat="1" ht="33.950000000000003" customHeight="1" x14ac:dyDescent="0.25">
      <c r="A1" s="1" t="s">
        <v>10</v>
      </c>
      <c r="B1" s="2" t="s">
        <v>0</v>
      </c>
      <c r="C1" s="2" t="s">
        <v>1</v>
      </c>
      <c r="D1" s="1" t="s">
        <v>2</v>
      </c>
      <c r="E1" s="3" t="s">
        <v>3</v>
      </c>
      <c r="F1" s="3" t="s">
        <v>4</v>
      </c>
      <c r="G1" s="3" t="s">
        <v>5</v>
      </c>
      <c r="H1" s="1" t="s">
        <v>27</v>
      </c>
      <c r="I1" s="3" t="s">
        <v>11</v>
      </c>
      <c r="J1" s="1" t="s">
        <v>6</v>
      </c>
      <c r="K1" s="1" t="s">
        <v>26</v>
      </c>
      <c r="L1" s="4" t="s">
        <v>12</v>
      </c>
      <c r="M1" s="4" t="s">
        <v>13</v>
      </c>
      <c r="N1" s="1" t="s">
        <v>7</v>
      </c>
      <c r="O1" s="4" t="s">
        <v>14</v>
      </c>
      <c r="P1" s="6" t="s">
        <v>15</v>
      </c>
      <c r="Q1" s="1" t="s">
        <v>16</v>
      </c>
      <c r="R1" s="6" t="s">
        <v>8</v>
      </c>
      <c r="S1" s="1" t="s">
        <v>17</v>
      </c>
      <c r="T1" s="6" t="s">
        <v>18</v>
      </c>
      <c r="U1" s="5" t="s">
        <v>28</v>
      </c>
      <c r="V1" s="6" t="s">
        <v>19</v>
      </c>
      <c r="W1" s="1" t="s">
        <v>20</v>
      </c>
      <c r="X1" s="1" t="s">
        <v>21</v>
      </c>
      <c r="Y1" s="1" t="s">
        <v>22</v>
      </c>
      <c r="Z1" s="1" t="s">
        <v>9</v>
      </c>
      <c r="AA1" s="1" t="s">
        <v>23</v>
      </c>
      <c r="AB1" s="1" t="s">
        <v>24</v>
      </c>
      <c r="AC1" s="1" t="s">
        <v>25</v>
      </c>
      <c r="AD1" s="7" t="str">
        <f>IF(N1="PRG","",IF(I1&gt;=E1,IF(I1&lt;=F1,"","NO"),"NO"))</f>
        <v>NO</v>
      </c>
    </row>
    <row r="2" spans="1:49" s="48" customFormat="1" ht="35.1" customHeight="1" x14ac:dyDescent="0.25">
      <c r="A2" s="9" t="s">
        <v>29</v>
      </c>
      <c r="B2" s="10">
        <v>46053</v>
      </c>
      <c r="C2" s="10">
        <v>46053</v>
      </c>
      <c r="D2" s="11" t="s">
        <v>224</v>
      </c>
      <c r="E2" s="12">
        <v>0</v>
      </c>
      <c r="F2" s="12">
        <v>0.25</v>
      </c>
      <c r="G2" s="12">
        <v>0.25</v>
      </c>
      <c r="H2" s="9" t="s">
        <v>31</v>
      </c>
      <c r="I2" s="13"/>
      <c r="J2" s="9" t="s">
        <v>32</v>
      </c>
      <c r="K2" s="9" t="s">
        <v>31</v>
      </c>
      <c r="L2" s="14">
        <v>1</v>
      </c>
      <c r="M2" s="14">
        <v>1</v>
      </c>
      <c r="N2" s="9" t="s">
        <v>33</v>
      </c>
      <c r="O2" s="9"/>
      <c r="P2" s="15">
        <v>0</v>
      </c>
      <c r="Q2" s="14"/>
      <c r="R2" s="15">
        <v>0</v>
      </c>
      <c r="S2" s="9">
        <v>46054</v>
      </c>
      <c r="T2" s="16">
        <v>0</v>
      </c>
      <c r="U2" s="14">
        <v>1</v>
      </c>
      <c r="V2" s="16">
        <v>0</v>
      </c>
      <c r="W2" s="9" t="s">
        <v>34</v>
      </c>
      <c r="X2" s="9" t="s">
        <v>35</v>
      </c>
      <c r="Y2" s="9" t="s">
        <v>36</v>
      </c>
      <c r="Z2" s="9" t="s">
        <v>9</v>
      </c>
      <c r="AA2" s="9" t="s">
        <v>37</v>
      </c>
      <c r="AB2" s="9" t="s">
        <v>37</v>
      </c>
      <c r="AC2" s="9" t="s">
        <v>38</v>
      </c>
      <c r="AD2" s="7" t="str">
        <f t="shared" ref="AD2:AD65" si="0">IF(N2="PRG","",IF(I2&gt;=E2,IF(I2&lt;=F2,"","NO"),"NO"))</f>
        <v/>
      </c>
      <c r="AE2" s="26"/>
      <c r="AF2" s="26"/>
      <c r="AG2" s="26"/>
      <c r="AH2" s="26"/>
      <c r="AI2" s="27"/>
      <c r="AJ2" s="27"/>
      <c r="AK2" s="27"/>
      <c r="AL2" s="27"/>
      <c r="AM2" s="27"/>
      <c r="AN2" s="27"/>
      <c r="AO2" s="27"/>
      <c r="AP2" s="27"/>
      <c r="AQ2" s="27"/>
      <c r="AR2" s="27"/>
      <c r="AS2" s="27"/>
      <c r="AT2" s="27"/>
      <c r="AU2" s="27"/>
      <c r="AV2" s="27"/>
      <c r="AW2" s="27"/>
    </row>
    <row r="3" spans="1:49" s="48" customFormat="1" ht="35.1" customHeight="1" x14ac:dyDescent="0.2">
      <c r="A3" s="9" t="s">
        <v>39</v>
      </c>
      <c r="B3" s="10">
        <v>46053</v>
      </c>
      <c r="C3" s="10">
        <v>46053</v>
      </c>
      <c r="D3" s="11" t="s">
        <v>224</v>
      </c>
      <c r="E3" s="12">
        <v>0.25</v>
      </c>
      <c r="F3" s="12">
        <v>0.29166666666666669</v>
      </c>
      <c r="G3" s="12">
        <v>4.1666666666666664E-2</v>
      </c>
      <c r="H3" s="9" t="s">
        <v>40</v>
      </c>
      <c r="I3" s="13"/>
      <c r="J3" s="9" t="s">
        <v>41</v>
      </c>
      <c r="K3" s="9"/>
      <c r="L3" s="14">
        <v>1</v>
      </c>
      <c r="M3" s="14">
        <v>1</v>
      </c>
      <c r="N3" s="9" t="s">
        <v>33</v>
      </c>
      <c r="O3" s="9"/>
      <c r="P3" s="15">
        <v>0</v>
      </c>
      <c r="Q3" s="14"/>
      <c r="R3" s="15">
        <v>0</v>
      </c>
      <c r="S3" s="9">
        <v>46054</v>
      </c>
      <c r="T3" s="15">
        <v>0</v>
      </c>
      <c r="U3" s="14">
        <v>2</v>
      </c>
      <c r="V3" s="15">
        <v>0</v>
      </c>
      <c r="W3" s="9" t="s">
        <v>34</v>
      </c>
      <c r="X3" s="9" t="s">
        <v>42</v>
      </c>
      <c r="Y3" s="9" t="s">
        <v>36</v>
      </c>
      <c r="Z3" s="9" t="s">
        <v>43</v>
      </c>
      <c r="AA3" s="9" t="s">
        <v>37</v>
      </c>
      <c r="AB3" s="9" t="s">
        <v>37</v>
      </c>
      <c r="AC3" s="9" t="s">
        <v>38</v>
      </c>
      <c r="AD3" s="7" t="str">
        <f t="shared" si="0"/>
        <v/>
      </c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</row>
    <row r="4" spans="1:49" s="47" customFormat="1" ht="35.1" customHeight="1" x14ac:dyDescent="0.2">
      <c r="A4" s="18" t="s">
        <v>51</v>
      </c>
      <c r="B4" s="19">
        <v>46053</v>
      </c>
      <c r="C4" s="19">
        <v>46053</v>
      </c>
      <c r="D4" s="18" t="s">
        <v>224</v>
      </c>
      <c r="E4" s="20">
        <v>0.25</v>
      </c>
      <c r="F4" s="20">
        <v>0.29166666666666669</v>
      </c>
      <c r="G4" s="20">
        <v>3.4722222222222218E-4</v>
      </c>
      <c r="H4" s="18" t="s">
        <v>52</v>
      </c>
      <c r="I4" s="21">
        <v>0.28957175925925926</v>
      </c>
      <c r="J4" s="18" t="s">
        <v>41</v>
      </c>
      <c r="K4" s="18" t="s">
        <v>40</v>
      </c>
      <c r="L4" s="22">
        <v>1</v>
      </c>
      <c r="M4" s="22">
        <v>70365</v>
      </c>
      <c r="N4" s="18" t="s">
        <v>53</v>
      </c>
      <c r="O4" s="22" t="s">
        <v>54</v>
      </c>
      <c r="P4" s="23">
        <v>40</v>
      </c>
      <c r="Q4" s="22"/>
      <c r="R4" s="23">
        <v>40</v>
      </c>
      <c r="S4" s="24">
        <v>46054</v>
      </c>
      <c r="T4" s="23">
        <v>6</v>
      </c>
      <c r="U4" s="25">
        <v>4</v>
      </c>
      <c r="V4" s="23">
        <v>34</v>
      </c>
      <c r="W4" s="18" t="s">
        <v>47</v>
      </c>
      <c r="X4" s="18" t="s">
        <v>48</v>
      </c>
      <c r="Y4" s="18" t="s">
        <v>36</v>
      </c>
      <c r="Z4" s="18" t="s">
        <v>9</v>
      </c>
      <c r="AA4" s="18" t="s">
        <v>49</v>
      </c>
      <c r="AB4" s="18" t="s">
        <v>55</v>
      </c>
      <c r="AC4" s="18" t="s">
        <v>38</v>
      </c>
      <c r="AD4" s="7" t="str">
        <f t="shared" si="0"/>
        <v/>
      </c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</row>
    <row r="5" spans="1:49" s="48" customFormat="1" ht="35.1" customHeight="1" x14ac:dyDescent="0.25">
      <c r="A5" s="9" t="s">
        <v>65</v>
      </c>
      <c r="B5" s="10">
        <v>46053</v>
      </c>
      <c r="C5" s="10">
        <v>46053</v>
      </c>
      <c r="D5" s="11" t="s">
        <v>224</v>
      </c>
      <c r="E5" s="12">
        <v>0.29166666666666669</v>
      </c>
      <c r="F5" s="12">
        <v>0.3125</v>
      </c>
      <c r="G5" s="12">
        <v>2.0833333333333332E-2</v>
      </c>
      <c r="H5" s="9" t="s">
        <v>66</v>
      </c>
      <c r="I5" s="13" t="s">
        <v>225</v>
      </c>
      <c r="J5" s="9" t="s">
        <v>41</v>
      </c>
      <c r="K5" s="9"/>
      <c r="L5" s="14">
        <v>1</v>
      </c>
      <c r="M5" s="14">
        <v>1</v>
      </c>
      <c r="N5" s="9" t="s">
        <v>33</v>
      </c>
      <c r="O5" s="9"/>
      <c r="P5" s="16">
        <v>0</v>
      </c>
      <c r="Q5" s="14"/>
      <c r="R5" s="16">
        <v>0</v>
      </c>
      <c r="S5" s="9">
        <v>46054</v>
      </c>
      <c r="T5" s="16">
        <v>0</v>
      </c>
      <c r="U5" s="14">
        <v>2</v>
      </c>
      <c r="V5" s="16">
        <v>0</v>
      </c>
      <c r="W5" s="9" t="s">
        <v>34</v>
      </c>
      <c r="X5" s="9" t="s">
        <v>42</v>
      </c>
      <c r="Y5" s="9" t="s">
        <v>36</v>
      </c>
      <c r="Z5" s="9" t="s">
        <v>43</v>
      </c>
      <c r="AA5" s="9" t="s">
        <v>37</v>
      </c>
      <c r="AB5" s="9" t="s">
        <v>37</v>
      </c>
      <c r="AC5" s="9" t="s">
        <v>38</v>
      </c>
      <c r="AD5" s="7" t="str">
        <f t="shared" si="0"/>
        <v/>
      </c>
      <c r="AE5" s="26"/>
      <c r="AF5" s="26"/>
      <c r="AG5" s="26"/>
      <c r="AH5" s="26"/>
      <c r="AI5" s="26"/>
      <c r="AJ5" s="26"/>
      <c r="AK5" s="26"/>
      <c r="AL5" s="26"/>
      <c r="AM5" s="26"/>
      <c r="AN5" s="26"/>
      <c r="AO5" s="26"/>
      <c r="AP5" s="26"/>
      <c r="AQ5" s="26"/>
      <c r="AR5" s="26"/>
      <c r="AS5" s="26"/>
      <c r="AT5" s="26"/>
      <c r="AU5" s="26"/>
      <c r="AV5" s="26"/>
      <c r="AW5" s="26"/>
    </row>
    <row r="6" spans="1:49" s="48" customFormat="1" ht="35.1" customHeight="1" x14ac:dyDescent="0.25">
      <c r="A6" s="9" t="s">
        <v>65</v>
      </c>
      <c r="B6" s="10">
        <v>46053</v>
      </c>
      <c r="C6" s="10">
        <v>46053</v>
      </c>
      <c r="D6" s="11" t="s">
        <v>224</v>
      </c>
      <c r="E6" s="12">
        <v>0.3125</v>
      </c>
      <c r="F6" s="12">
        <v>0.33333333333333331</v>
      </c>
      <c r="G6" s="12">
        <v>2.0833333333333332E-2</v>
      </c>
      <c r="H6" s="9" t="s">
        <v>66</v>
      </c>
      <c r="I6" s="13" t="s">
        <v>225</v>
      </c>
      <c r="J6" s="9" t="s">
        <v>41</v>
      </c>
      <c r="K6" s="9"/>
      <c r="L6" s="14">
        <v>1</v>
      </c>
      <c r="M6" s="14">
        <v>1</v>
      </c>
      <c r="N6" s="9" t="s">
        <v>33</v>
      </c>
      <c r="O6" s="9"/>
      <c r="P6" s="16">
        <v>0</v>
      </c>
      <c r="Q6" s="14"/>
      <c r="R6" s="16">
        <v>0</v>
      </c>
      <c r="S6" s="9">
        <v>46054</v>
      </c>
      <c r="T6" s="16">
        <v>0</v>
      </c>
      <c r="U6" s="14">
        <v>2</v>
      </c>
      <c r="V6" s="16">
        <v>0</v>
      </c>
      <c r="W6" s="9" t="s">
        <v>34</v>
      </c>
      <c r="X6" s="9" t="s">
        <v>42</v>
      </c>
      <c r="Y6" s="9" t="s">
        <v>36</v>
      </c>
      <c r="Z6" s="9" t="s">
        <v>43</v>
      </c>
      <c r="AA6" s="9" t="s">
        <v>37</v>
      </c>
      <c r="AB6" s="9" t="s">
        <v>37</v>
      </c>
      <c r="AC6" s="9" t="s">
        <v>38</v>
      </c>
      <c r="AD6" s="7" t="str">
        <f t="shared" si="0"/>
        <v/>
      </c>
      <c r="AE6" s="26"/>
      <c r="AF6" s="26"/>
      <c r="AG6" s="26"/>
      <c r="AH6" s="26"/>
      <c r="AI6" s="26"/>
      <c r="AJ6" s="26"/>
      <c r="AK6" s="26"/>
      <c r="AL6" s="26"/>
      <c r="AM6" s="26"/>
      <c r="AN6" s="26"/>
      <c r="AO6" s="26"/>
      <c r="AP6" s="26"/>
      <c r="AQ6" s="26"/>
      <c r="AR6" s="26"/>
      <c r="AS6" s="26"/>
      <c r="AT6" s="26"/>
      <c r="AU6" s="26"/>
      <c r="AV6" s="26"/>
      <c r="AW6" s="26"/>
    </row>
    <row r="7" spans="1:49" s="48" customFormat="1" ht="35.1" customHeight="1" x14ac:dyDescent="0.25">
      <c r="A7" s="9" t="s">
        <v>68</v>
      </c>
      <c r="B7" s="10">
        <v>46053</v>
      </c>
      <c r="C7" s="10">
        <v>46053</v>
      </c>
      <c r="D7" s="11" t="s">
        <v>224</v>
      </c>
      <c r="E7" s="12">
        <v>0.33333333333333331</v>
      </c>
      <c r="F7" s="12">
        <v>0.41666666666666669</v>
      </c>
      <c r="G7" s="12">
        <v>8.3333333333333329E-2</v>
      </c>
      <c r="H7" s="9" t="s">
        <v>71</v>
      </c>
      <c r="I7" s="13" t="s">
        <v>226</v>
      </c>
      <c r="J7" s="9" t="s">
        <v>70</v>
      </c>
      <c r="K7" s="9"/>
      <c r="L7" s="14">
        <v>1</v>
      </c>
      <c r="M7" s="14">
        <v>1</v>
      </c>
      <c r="N7" s="9" t="s">
        <v>33</v>
      </c>
      <c r="O7" s="9"/>
      <c r="P7" s="16">
        <v>0</v>
      </c>
      <c r="Q7" s="14"/>
      <c r="R7" s="16">
        <v>0</v>
      </c>
      <c r="S7" s="9">
        <v>46054</v>
      </c>
      <c r="T7" s="16">
        <v>0</v>
      </c>
      <c r="U7" s="14">
        <v>2</v>
      </c>
      <c r="V7" s="16">
        <v>0</v>
      </c>
      <c r="W7" s="9" t="s">
        <v>34</v>
      </c>
      <c r="X7" s="9" t="s">
        <v>42</v>
      </c>
      <c r="Y7" s="9" t="s">
        <v>36</v>
      </c>
      <c r="Z7" s="9" t="s">
        <v>43</v>
      </c>
      <c r="AA7" s="9" t="s">
        <v>37</v>
      </c>
      <c r="AB7" s="9" t="s">
        <v>37</v>
      </c>
      <c r="AC7" s="9" t="s">
        <v>38</v>
      </c>
      <c r="AD7" s="7" t="str">
        <f t="shared" si="0"/>
        <v/>
      </c>
      <c r="AE7" s="26"/>
      <c r="AF7" s="26"/>
      <c r="AG7" s="26"/>
      <c r="AH7" s="26"/>
      <c r="AI7" s="27"/>
      <c r="AJ7" s="27"/>
      <c r="AK7" s="27"/>
      <c r="AL7" s="27"/>
      <c r="AM7" s="27"/>
      <c r="AN7" s="27"/>
      <c r="AO7" s="27"/>
      <c r="AP7" s="27"/>
      <c r="AQ7" s="27"/>
      <c r="AR7" s="27"/>
      <c r="AS7" s="27"/>
      <c r="AT7" s="27"/>
      <c r="AU7" s="27"/>
      <c r="AV7" s="27"/>
      <c r="AW7" s="27"/>
    </row>
    <row r="8" spans="1:49" s="48" customFormat="1" ht="35.1" customHeight="1" x14ac:dyDescent="0.25">
      <c r="A8" s="9" t="s">
        <v>100</v>
      </c>
      <c r="B8" s="10">
        <v>46053</v>
      </c>
      <c r="C8" s="10">
        <v>46053</v>
      </c>
      <c r="D8" s="11" t="s">
        <v>224</v>
      </c>
      <c r="E8" s="12">
        <v>0.41666666666666669</v>
      </c>
      <c r="F8" s="12">
        <v>0.45833333333333331</v>
      </c>
      <c r="G8" s="12">
        <v>4.1666666666666664E-2</v>
      </c>
      <c r="H8" s="9" t="s">
        <v>227</v>
      </c>
      <c r="I8" s="13"/>
      <c r="J8" s="9" t="s">
        <v>32</v>
      </c>
      <c r="K8" s="9"/>
      <c r="L8" s="14">
        <v>1</v>
      </c>
      <c r="M8" s="14">
        <v>1</v>
      </c>
      <c r="N8" s="9" t="s">
        <v>33</v>
      </c>
      <c r="O8" s="9"/>
      <c r="P8" s="16">
        <v>0</v>
      </c>
      <c r="Q8" s="14"/>
      <c r="R8" s="16">
        <v>0</v>
      </c>
      <c r="S8" s="9">
        <v>46054</v>
      </c>
      <c r="T8" s="16">
        <v>0</v>
      </c>
      <c r="U8" s="14">
        <v>1</v>
      </c>
      <c r="V8" s="16">
        <v>0</v>
      </c>
      <c r="W8" s="9" t="s">
        <v>34</v>
      </c>
      <c r="X8" s="9" t="s">
        <v>42</v>
      </c>
      <c r="Y8" s="9" t="s">
        <v>36</v>
      </c>
      <c r="Z8" s="9" t="s">
        <v>43</v>
      </c>
      <c r="AA8" s="9" t="s">
        <v>37</v>
      </c>
      <c r="AB8" s="9" t="s">
        <v>37</v>
      </c>
      <c r="AC8" s="9" t="s">
        <v>38</v>
      </c>
      <c r="AD8" s="7" t="str">
        <f t="shared" si="0"/>
        <v/>
      </c>
      <c r="AE8" s="26"/>
      <c r="AF8" s="26"/>
      <c r="AG8" s="26"/>
      <c r="AH8" s="26"/>
      <c r="AI8" s="26"/>
      <c r="AJ8" s="26"/>
      <c r="AK8" s="26"/>
      <c r="AL8" s="26"/>
      <c r="AM8" s="26"/>
      <c r="AN8" s="26"/>
      <c r="AO8" s="26"/>
      <c r="AP8" s="26"/>
      <c r="AQ8" s="26"/>
      <c r="AR8" s="26"/>
      <c r="AS8" s="26"/>
      <c r="AT8" s="26"/>
      <c r="AU8" s="26"/>
      <c r="AV8" s="26"/>
      <c r="AW8" s="26"/>
    </row>
    <row r="9" spans="1:49" s="48" customFormat="1" ht="35.1" customHeight="1" x14ac:dyDescent="0.25">
      <c r="A9" s="9" t="s">
        <v>75</v>
      </c>
      <c r="B9" s="10">
        <v>46053</v>
      </c>
      <c r="C9" s="10">
        <v>46053</v>
      </c>
      <c r="D9" s="11" t="s">
        <v>224</v>
      </c>
      <c r="E9" s="12">
        <v>0.45833333333333331</v>
      </c>
      <c r="F9" s="12">
        <v>0.47916666666666669</v>
      </c>
      <c r="G9" s="12">
        <v>2.0833333333333332E-2</v>
      </c>
      <c r="H9" s="9" t="s">
        <v>175</v>
      </c>
      <c r="I9" s="13"/>
      <c r="J9" s="9" t="s">
        <v>80</v>
      </c>
      <c r="K9" s="9"/>
      <c r="L9" s="14">
        <v>1</v>
      </c>
      <c r="M9" s="14">
        <v>1</v>
      </c>
      <c r="N9" s="9" t="s">
        <v>33</v>
      </c>
      <c r="O9" s="9"/>
      <c r="P9" s="16">
        <v>0</v>
      </c>
      <c r="Q9" s="14"/>
      <c r="R9" s="16">
        <v>0</v>
      </c>
      <c r="S9" s="9">
        <v>46054</v>
      </c>
      <c r="T9" s="16">
        <v>0</v>
      </c>
      <c r="U9" s="14">
        <v>2</v>
      </c>
      <c r="V9" s="16">
        <v>0</v>
      </c>
      <c r="W9" s="9" t="s">
        <v>34</v>
      </c>
      <c r="X9" s="9" t="s">
        <v>42</v>
      </c>
      <c r="Y9" s="9" t="s">
        <v>36</v>
      </c>
      <c r="Z9" s="9" t="s">
        <v>43</v>
      </c>
      <c r="AA9" s="9" t="s">
        <v>37</v>
      </c>
      <c r="AB9" s="9" t="s">
        <v>37</v>
      </c>
      <c r="AC9" s="9" t="s">
        <v>38</v>
      </c>
      <c r="AD9" s="7" t="str">
        <f t="shared" si="0"/>
        <v/>
      </c>
      <c r="AE9" s="26"/>
      <c r="AF9" s="26"/>
      <c r="AG9" s="26"/>
      <c r="AH9" s="26"/>
      <c r="AI9" s="26"/>
      <c r="AJ9" s="26"/>
      <c r="AK9" s="26"/>
      <c r="AL9" s="26"/>
      <c r="AM9" s="26"/>
      <c r="AN9" s="26"/>
      <c r="AO9" s="26"/>
      <c r="AP9" s="26"/>
      <c r="AQ9" s="26"/>
      <c r="AR9" s="26"/>
      <c r="AS9" s="26"/>
      <c r="AT9" s="26"/>
      <c r="AU9" s="26"/>
      <c r="AV9" s="26"/>
      <c r="AW9" s="26"/>
    </row>
    <row r="10" spans="1:49" s="47" customFormat="1" ht="35.1" customHeight="1" x14ac:dyDescent="0.2">
      <c r="A10" s="18" t="s">
        <v>82</v>
      </c>
      <c r="B10" s="19">
        <v>46053</v>
      </c>
      <c r="C10" s="19">
        <v>46053</v>
      </c>
      <c r="D10" s="18" t="s">
        <v>224</v>
      </c>
      <c r="E10" s="20">
        <v>0.45833333333333331</v>
      </c>
      <c r="F10" s="20">
        <v>0.5</v>
      </c>
      <c r="G10" s="20">
        <v>3.4722222222222218E-4</v>
      </c>
      <c r="H10" s="18" t="s">
        <v>83</v>
      </c>
      <c r="I10" s="21">
        <v>0.46556909722222223</v>
      </c>
      <c r="J10" s="18" t="s">
        <v>80</v>
      </c>
      <c r="K10" s="18" t="s">
        <v>175</v>
      </c>
      <c r="L10" s="22">
        <v>1</v>
      </c>
      <c r="M10" s="22">
        <v>70166</v>
      </c>
      <c r="N10" s="18" t="s">
        <v>53</v>
      </c>
      <c r="O10" s="22" t="s">
        <v>84</v>
      </c>
      <c r="P10" s="23">
        <v>35</v>
      </c>
      <c r="Q10" s="22"/>
      <c r="R10" s="23">
        <v>35</v>
      </c>
      <c r="S10" s="24">
        <v>46053</v>
      </c>
      <c r="T10" s="23">
        <v>0</v>
      </c>
      <c r="U10" s="25">
        <v>4</v>
      </c>
      <c r="V10" s="23">
        <v>35</v>
      </c>
      <c r="W10" s="18" t="s">
        <v>47</v>
      </c>
      <c r="X10" s="18" t="s">
        <v>48</v>
      </c>
      <c r="Y10" s="18" t="s">
        <v>58</v>
      </c>
      <c r="Z10" s="18" t="s">
        <v>43</v>
      </c>
      <c r="AA10" s="18" t="s">
        <v>49</v>
      </c>
      <c r="AB10" s="18" t="s">
        <v>85</v>
      </c>
      <c r="AC10" s="18" t="s">
        <v>38</v>
      </c>
      <c r="AD10" s="7" t="str">
        <f t="shared" si="0"/>
        <v/>
      </c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</row>
    <row r="11" spans="1:49" s="47" customFormat="1" ht="35.1" customHeight="1" x14ac:dyDescent="0.25">
      <c r="A11" s="18" t="s">
        <v>82</v>
      </c>
      <c r="B11" s="19">
        <v>46053</v>
      </c>
      <c r="C11" s="19">
        <v>46053</v>
      </c>
      <c r="D11" s="18" t="s">
        <v>224</v>
      </c>
      <c r="E11" s="20">
        <v>0.45833333333333331</v>
      </c>
      <c r="F11" s="20">
        <v>0.5</v>
      </c>
      <c r="G11" s="20">
        <v>3.4722222222222218E-4</v>
      </c>
      <c r="H11" s="18" t="s">
        <v>83</v>
      </c>
      <c r="I11" s="21">
        <v>0.47744305555555555</v>
      </c>
      <c r="J11" s="18" t="s">
        <v>80</v>
      </c>
      <c r="K11" s="18" t="s">
        <v>175</v>
      </c>
      <c r="L11" s="22">
        <v>1</v>
      </c>
      <c r="M11" s="22">
        <v>70166</v>
      </c>
      <c r="N11" s="18" t="s">
        <v>53</v>
      </c>
      <c r="O11" s="22" t="s">
        <v>84</v>
      </c>
      <c r="P11" s="23">
        <v>35</v>
      </c>
      <c r="Q11" s="22"/>
      <c r="R11" s="23">
        <v>35</v>
      </c>
      <c r="S11" s="24">
        <v>46053</v>
      </c>
      <c r="T11" s="23">
        <v>0</v>
      </c>
      <c r="U11" s="25">
        <v>4</v>
      </c>
      <c r="V11" s="23">
        <v>35</v>
      </c>
      <c r="W11" s="18" t="s">
        <v>47</v>
      </c>
      <c r="X11" s="18" t="s">
        <v>48</v>
      </c>
      <c r="Y11" s="18" t="s">
        <v>58</v>
      </c>
      <c r="Z11" s="18" t="s">
        <v>43</v>
      </c>
      <c r="AA11" s="18" t="s">
        <v>49</v>
      </c>
      <c r="AB11" s="18" t="s">
        <v>85</v>
      </c>
      <c r="AC11" s="18" t="s">
        <v>38</v>
      </c>
      <c r="AD11" s="7" t="str">
        <f t="shared" si="0"/>
        <v/>
      </c>
      <c r="AE11" s="26"/>
      <c r="AF11" s="26"/>
      <c r="AG11" s="26"/>
      <c r="AH11" s="26"/>
      <c r="AI11" s="27"/>
      <c r="AJ11" s="27"/>
      <c r="AK11" s="27"/>
      <c r="AL11" s="27"/>
      <c r="AM11" s="27"/>
      <c r="AN11" s="27"/>
      <c r="AO11" s="27"/>
      <c r="AP11" s="27"/>
      <c r="AQ11" s="27"/>
      <c r="AR11" s="27"/>
      <c r="AS11" s="27"/>
      <c r="AT11" s="27"/>
      <c r="AU11" s="27"/>
      <c r="AV11" s="27"/>
      <c r="AW11" s="27"/>
    </row>
    <row r="12" spans="1:49" s="48" customFormat="1" ht="35.1" customHeight="1" x14ac:dyDescent="0.25">
      <c r="A12" s="9" t="s">
        <v>75</v>
      </c>
      <c r="B12" s="10">
        <v>46053</v>
      </c>
      <c r="C12" s="10">
        <v>46053</v>
      </c>
      <c r="D12" s="11" t="s">
        <v>224</v>
      </c>
      <c r="E12" s="12">
        <v>0.47916666666666669</v>
      </c>
      <c r="F12" s="12">
        <v>0.48958333333333331</v>
      </c>
      <c r="G12" s="12">
        <v>1.0416666666666666E-2</v>
      </c>
      <c r="H12" s="9" t="s">
        <v>228</v>
      </c>
      <c r="I12" s="13"/>
      <c r="J12" s="9" t="s">
        <v>80</v>
      </c>
      <c r="K12" s="9"/>
      <c r="L12" s="14">
        <v>1</v>
      </c>
      <c r="M12" s="14">
        <v>1</v>
      </c>
      <c r="N12" s="9" t="s">
        <v>33</v>
      </c>
      <c r="O12" s="9"/>
      <c r="P12" s="16">
        <v>0</v>
      </c>
      <c r="Q12" s="14"/>
      <c r="R12" s="16">
        <v>0</v>
      </c>
      <c r="S12" s="9">
        <v>46054</v>
      </c>
      <c r="T12" s="16">
        <v>0</v>
      </c>
      <c r="U12" s="14">
        <v>2</v>
      </c>
      <c r="V12" s="16">
        <v>0</v>
      </c>
      <c r="W12" s="9" t="s">
        <v>34</v>
      </c>
      <c r="X12" s="9" t="s">
        <v>42</v>
      </c>
      <c r="Y12" s="9" t="s">
        <v>36</v>
      </c>
      <c r="Z12" s="9" t="s">
        <v>43</v>
      </c>
      <c r="AA12" s="9" t="s">
        <v>37</v>
      </c>
      <c r="AB12" s="9" t="s">
        <v>37</v>
      </c>
      <c r="AC12" s="9" t="s">
        <v>38</v>
      </c>
      <c r="AD12" s="7" t="str">
        <f t="shared" si="0"/>
        <v/>
      </c>
      <c r="AE12" s="26"/>
      <c r="AF12" s="26"/>
      <c r="AG12" s="26"/>
      <c r="AH12" s="26"/>
      <c r="AI12" s="26"/>
      <c r="AJ12" s="26"/>
      <c r="AK12" s="26"/>
      <c r="AL12" s="26"/>
      <c r="AM12" s="26"/>
      <c r="AN12" s="26"/>
      <c r="AO12" s="26"/>
      <c r="AP12" s="26"/>
      <c r="AQ12" s="26"/>
      <c r="AR12" s="26"/>
      <c r="AS12" s="26"/>
      <c r="AT12" s="26"/>
      <c r="AU12" s="26"/>
      <c r="AV12" s="26"/>
      <c r="AW12" s="26"/>
    </row>
    <row r="13" spans="1:49" s="47" customFormat="1" ht="35.1" customHeight="1" x14ac:dyDescent="0.25">
      <c r="A13" s="18" t="s">
        <v>44</v>
      </c>
      <c r="B13" s="19">
        <v>46053</v>
      </c>
      <c r="C13" s="19">
        <v>46053</v>
      </c>
      <c r="D13" s="18" t="s">
        <v>224</v>
      </c>
      <c r="E13" s="20">
        <v>0.45833333333333331</v>
      </c>
      <c r="F13" s="20">
        <v>0.54166666666666663</v>
      </c>
      <c r="G13" s="20">
        <v>3.4722222222222218E-4</v>
      </c>
      <c r="H13" s="18" t="s">
        <v>92</v>
      </c>
      <c r="I13" s="21">
        <v>0.48382094907407402</v>
      </c>
      <c r="J13" s="18" t="s">
        <v>80</v>
      </c>
      <c r="K13" s="18" t="s">
        <v>228</v>
      </c>
      <c r="L13" s="22">
        <v>1</v>
      </c>
      <c r="M13" s="22">
        <v>71000</v>
      </c>
      <c r="N13" s="18" t="s">
        <v>46</v>
      </c>
      <c r="O13" s="22" t="str">
        <f>AC13</f>
        <v>CVC</v>
      </c>
      <c r="P13" s="23">
        <v>0</v>
      </c>
      <c r="Q13" s="22"/>
      <c r="R13" s="23">
        <v>0</v>
      </c>
      <c r="S13" s="24">
        <v>46054</v>
      </c>
      <c r="T13" s="23">
        <v>0</v>
      </c>
      <c r="U13" s="25">
        <v>4</v>
      </c>
      <c r="V13" s="23">
        <v>0</v>
      </c>
      <c r="W13" s="18" t="s">
        <v>47</v>
      </c>
      <c r="X13" s="18" t="s">
        <v>48</v>
      </c>
      <c r="Y13" s="18" t="s">
        <v>36</v>
      </c>
      <c r="Z13" s="18" t="s">
        <v>9</v>
      </c>
      <c r="AA13" s="18" t="s">
        <v>49</v>
      </c>
      <c r="AB13" s="18" t="s">
        <v>50</v>
      </c>
      <c r="AC13" s="18" t="s">
        <v>38</v>
      </c>
      <c r="AD13" s="7" t="str">
        <f t="shared" si="0"/>
        <v/>
      </c>
      <c r="AE13" s="26"/>
      <c r="AF13" s="26"/>
      <c r="AG13" s="26"/>
      <c r="AH13" s="26"/>
      <c r="AI13" s="27"/>
      <c r="AJ13" s="27"/>
      <c r="AK13" s="27"/>
      <c r="AL13" s="27"/>
      <c r="AM13" s="27"/>
      <c r="AN13" s="27"/>
      <c r="AO13" s="27"/>
      <c r="AP13" s="27"/>
      <c r="AQ13" s="27"/>
      <c r="AR13" s="27"/>
      <c r="AS13" s="27"/>
      <c r="AT13" s="27"/>
      <c r="AU13" s="27"/>
      <c r="AV13" s="27"/>
      <c r="AW13" s="27"/>
    </row>
    <row r="14" spans="1:49" s="47" customFormat="1" ht="35.1" customHeight="1" x14ac:dyDescent="0.25">
      <c r="A14" s="18" t="s">
        <v>82</v>
      </c>
      <c r="B14" s="19">
        <v>46053</v>
      </c>
      <c r="C14" s="19">
        <v>46053</v>
      </c>
      <c r="D14" s="18" t="s">
        <v>224</v>
      </c>
      <c r="E14" s="20">
        <v>0.45833333333333331</v>
      </c>
      <c r="F14" s="20">
        <v>0.5</v>
      </c>
      <c r="G14" s="20">
        <v>3.4722222222222218E-4</v>
      </c>
      <c r="H14" s="18" t="s">
        <v>83</v>
      </c>
      <c r="I14" s="21">
        <v>0.48905150462962965</v>
      </c>
      <c r="J14" s="18" t="s">
        <v>80</v>
      </c>
      <c r="K14" s="18" t="s">
        <v>228</v>
      </c>
      <c r="L14" s="22">
        <v>1</v>
      </c>
      <c r="M14" s="22">
        <v>70166</v>
      </c>
      <c r="N14" s="18" t="s">
        <v>53</v>
      </c>
      <c r="O14" s="22" t="s">
        <v>84</v>
      </c>
      <c r="P14" s="23">
        <v>35</v>
      </c>
      <c r="Q14" s="22"/>
      <c r="R14" s="23">
        <v>35</v>
      </c>
      <c r="S14" s="24">
        <v>46053</v>
      </c>
      <c r="T14" s="23">
        <v>0</v>
      </c>
      <c r="U14" s="25">
        <v>4</v>
      </c>
      <c r="V14" s="23">
        <v>35</v>
      </c>
      <c r="W14" s="18" t="s">
        <v>47</v>
      </c>
      <c r="X14" s="18" t="s">
        <v>48</v>
      </c>
      <c r="Y14" s="18" t="s">
        <v>58</v>
      </c>
      <c r="Z14" s="18" t="s">
        <v>43</v>
      </c>
      <c r="AA14" s="18" t="s">
        <v>49</v>
      </c>
      <c r="AB14" s="18" t="s">
        <v>85</v>
      </c>
      <c r="AC14" s="18" t="s">
        <v>38</v>
      </c>
      <c r="AD14" s="7" t="str">
        <f t="shared" si="0"/>
        <v/>
      </c>
      <c r="AE14" s="31"/>
      <c r="AF14" s="31"/>
      <c r="AG14" s="31"/>
      <c r="AH14" s="31"/>
      <c r="AI14" s="30"/>
      <c r="AJ14" s="30"/>
      <c r="AK14" s="30"/>
      <c r="AL14" s="30"/>
      <c r="AM14" s="30"/>
      <c r="AN14" s="30"/>
      <c r="AO14" s="30"/>
      <c r="AP14" s="30"/>
      <c r="AQ14" s="30"/>
      <c r="AR14" s="30"/>
      <c r="AS14" s="30"/>
      <c r="AT14" s="30"/>
      <c r="AU14" s="30"/>
      <c r="AV14" s="30"/>
      <c r="AW14" s="30"/>
    </row>
    <row r="15" spans="1:49" s="47" customFormat="1" ht="35.1" customHeight="1" x14ac:dyDescent="0.25">
      <c r="A15" s="18" t="s">
        <v>51</v>
      </c>
      <c r="B15" s="19">
        <v>46053</v>
      </c>
      <c r="C15" s="19">
        <v>46053</v>
      </c>
      <c r="D15" s="18" t="s">
        <v>224</v>
      </c>
      <c r="E15" s="20">
        <v>0.45833333333333331</v>
      </c>
      <c r="F15" s="20">
        <v>0.5</v>
      </c>
      <c r="G15" s="20">
        <v>3.4722222222222218E-4</v>
      </c>
      <c r="H15" s="18" t="s">
        <v>102</v>
      </c>
      <c r="I15" s="21">
        <v>0.48870405092592589</v>
      </c>
      <c r="J15" s="18" t="s">
        <v>80</v>
      </c>
      <c r="K15" s="18" t="s">
        <v>228</v>
      </c>
      <c r="L15" s="22">
        <v>1</v>
      </c>
      <c r="M15" s="22">
        <v>70363</v>
      </c>
      <c r="N15" s="18" t="s">
        <v>53</v>
      </c>
      <c r="O15" s="22" t="s">
        <v>54</v>
      </c>
      <c r="P15" s="23">
        <v>50</v>
      </c>
      <c r="Q15" s="22"/>
      <c r="R15" s="23">
        <v>50</v>
      </c>
      <c r="S15" s="24">
        <v>46054</v>
      </c>
      <c r="T15" s="23">
        <v>7.5</v>
      </c>
      <c r="U15" s="25">
        <v>4</v>
      </c>
      <c r="V15" s="23">
        <v>42.5</v>
      </c>
      <c r="W15" s="18" t="s">
        <v>47</v>
      </c>
      <c r="X15" s="18" t="s">
        <v>48</v>
      </c>
      <c r="Y15" s="18" t="s">
        <v>36</v>
      </c>
      <c r="Z15" s="18" t="s">
        <v>9</v>
      </c>
      <c r="AA15" s="18" t="s">
        <v>49</v>
      </c>
      <c r="AB15" s="18" t="s">
        <v>55</v>
      </c>
      <c r="AC15" s="18" t="s">
        <v>38</v>
      </c>
      <c r="AD15" s="7" t="str">
        <f t="shared" si="0"/>
        <v/>
      </c>
      <c r="AE15" s="26"/>
      <c r="AF15" s="26"/>
      <c r="AG15" s="26"/>
      <c r="AH15" s="26"/>
      <c r="AI15" s="27"/>
      <c r="AJ15" s="27"/>
      <c r="AK15" s="27"/>
      <c r="AL15" s="27"/>
      <c r="AM15" s="27"/>
      <c r="AN15" s="27"/>
      <c r="AO15" s="27"/>
      <c r="AP15" s="27"/>
      <c r="AQ15" s="27"/>
      <c r="AR15" s="27"/>
      <c r="AS15" s="27"/>
      <c r="AT15" s="27"/>
      <c r="AU15" s="27"/>
      <c r="AV15" s="27"/>
      <c r="AW15" s="27"/>
    </row>
    <row r="16" spans="1:49" s="27" customFormat="1" ht="35.1" customHeight="1" x14ac:dyDescent="0.25">
      <c r="A16" s="9" t="s">
        <v>75</v>
      </c>
      <c r="B16" s="10">
        <v>46053</v>
      </c>
      <c r="C16" s="10">
        <v>46053</v>
      </c>
      <c r="D16" s="11" t="s">
        <v>224</v>
      </c>
      <c r="E16" s="12">
        <v>0.48958333333333331</v>
      </c>
      <c r="F16" s="12">
        <v>0.5</v>
      </c>
      <c r="G16" s="12">
        <v>1.0416666666666666E-2</v>
      </c>
      <c r="H16" s="9" t="s">
        <v>229</v>
      </c>
      <c r="I16" s="13"/>
      <c r="J16" s="9" t="s">
        <v>80</v>
      </c>
      <c r="K16" s="9"/>
      <c r="L16" s="14">
        <v>1</v>
      </c>
      <c r="M16" s="14">
        <v>1</v>
      </c>
      <c r="N16" s="9" t="s">
        <v>33</v>
      </c>
      <c r="O16" s="9"/>
      <c r="P16" s="16">
        <v>0</v>
      </c>
      <c r="Q16" s="14"/>
      <c r="R16" s="16">
        <v>0</v>
      </c>
      <c r="S16" s="9">
        <v>46054</v>
      </c>
      <c r="T16" s="16">
        <v>0</v>
      </c>
      <c r="U16" s="14">
        <v>2</v>
      </c>
      <c r="V16" s="16">
        <v>0</v>
      </c>
      <c r="W16" s="9" t="s">
        <v>34</v>
      </c>
      <c r="X16" s="9" t="s">
        <v>42</v>
      </c>
      <c r="Y16" s="9" t="s">
        <v>36</v>
      </c>
      <c r="Z16" s="9" t="s">
        <v>43</v>
      </c>
      <c r="AA16" s="9" t="s">
        <v>37</v>
      </c>
      <c r="AB16" s="9" t="s">
        <v>37</v>
      </c>
      <c r="AC16" s="9" t="s">
        <v>38</v>
      </c>
      <c r="AD16" s="7" t="str">
        <f t="shared" si="0"/>
        <v/>
      </c>
      <c r="AE16" s="26"/>
      <c r="AF16" s="26"/>
      <c r="AG16" s="26"/>
      <c r="AH16" s="26"/>
      <c r="AI16" s="26"/>
      <c r="AJ16" s="26"/>
      <c r="AK16" s="26"/>
      <c r="AL16" s="26"/>
      <c r="AM16" s="26"/>
      <c r="AN16" s="26"/>
      <c r="AO16" s="26"/>
      <c r="AP16" s="26"/>
      <c r="AQ16" s="26"/>
      <c r="AR16" s="26"/>
      <c r="AS16" s="26"/>
      <c r="AT16" s="26"/>
      <c r="AU16" s="26"/>
      <c r="AV16" s="26"/>
      <c r="AW16" s="26"/>
    </row>
    <row r="17" spans="1:49" s="48" customFormat="1" ht="35.1" customHeight="1" x14ac:dyDescent="0.25">
      <c r="A17" s="18" t="s">
        <v>87</v>
      </c>
      <c r="B17" s="19">
        <v>46053</v>
      </c>
      <c r="C17" s="19">
        <v>46053</v>
      </c>
      <c r="D17" s="18" t="s">
        <v>224</v>
      </c>
      <c r="E17" s="20">
        <v>0.45833333333333331</v>
      </c>
      <c r="F17" s="20">
        <v>0.54166666666666663</v>
      </c>
      <c r="G17" s="20">
        <v>3.4722222222222218E-4</v>
      </c>
      <c r="H17" s="18" t="s">
        <v>88</v>
      </c>
      <c r="I17" s="21">
        <v>0.49933148148148143</v>
      </c>
      <c r="J17" s="18" t="s">
        <v>80</v>
      </c>
      <c r="K17" s="18" t="s">
        <v>150</v>
      </c>
      <c r="L17" s="22">
        <v>1</v>
      </c>
      <c r="M17" s="22">
        <v>69609</v>
      </c>
      <c r="N17" s="18" t="s">
        <v>46</v>
      </c>
      <c r="O17" s="22" t="s">
        <v>89</v>
      </c>
      <c r="P17" s="23">
        <v>0</v>
      </c>
      <c r="Q17" s="22"/>
      <c r="R17" s="23">
        <v>0</v>
      </c>
      <c r="S17" s="24">
        <v>46053</v>
      </c>
      <c r="T17" s="23">
        <v>0</v>
      </c>
      <c r="U17" s="25">
        <v>4</v>
      </c>
      <c r="V17" s="23">
        <v>0</v>
      </c>
      <c r="W17" s="18" t="s">
        <v>47</v>
      </c>
      <c r="X17" s="18" t="s">
        <v>48</v>
      </c>
      <c r="Y17" s="18" t="s">
        <v>58</v>
      </c>
      <c r="Z17" s="18" t="s">
        <v>43</v>
      </c>
      <c r="AA17" s="18" t="s">
        <v>49</v>
      </c>
      <c r="AB17" s="18" t="s">
        <v>90</v>
      </c>
      <c r="AC17" s="18" t="s">
        <v>38</v>
      </c>
      <c r="AD17" s="7" t="str">
        <f t="shared" si="0"/>
        <v/>
      </c>
      <c r="AE17" s="26"/>
      <c r="AF17" s="26"/>
      <c r="AG17" s="26"/>
      <c r="AH17" s="26"/>
      <c r="AI17" s="27"/>
      <c r="AJ17" s="27"/>
      <c r="AK17" s="27"/>
      <c r="AL17" s="27"/>
      <c r="AM17" s="27"/>
      <c r="AN17" s="27"/>
      <c r="AO17" s="27"/>
      <c r="AP17" s="27"/>
      <c r="AQ17" s="27"/>
      <c r="AR17" s="27"/>
      <c r="AS17" s="27"/>
      <c r="AT17" s="27"/>
      <c r="AU17" s="27"/>
      <c r="AV17" s="27"/>
      <c r="AW17" s="27"/>
    </row>
    <row r="18" spans="1:49" s="48" customFormat="1" ht="35.1" customHeight="1" x14ac:dyDescent="0.2">
      <c r="A18" s="18" t="s">
        <v>82</v>
      </c>
      <c r="B18" s="19">
        <v>46053</v>
      </c>
      <c r="C18" s="19">
        <v>46053</v>
      </c>
      <c r="D18" s="18" t="s">
        <v>224</v>
      </c>
      <c r="E18" s="20">
        <v>0.45833333333333331</v>
      </c>
      <c r="F18" s="20">
        <v>0.5</v>
      </c>
      <c r="G18" s="20">
        <v>3.4722222222222218E-4</v>
      </c>
      <c r="H18" s="18" t="s">
        <v>83</v>
      </c>
      <c r="I18" s="21">
        <v>0.49846307870370371</v>
      </c>
      <c r="J18" s="18" t="s">
        <v>80</v>
      </c>
      <c r="K18" s="18" t="s">
        <v>150</v>
      </c>
      <c r="L18" s="22">
        <v>1</v>
      </c>
      <c r="M18" s="22">
        <v>70166</v>
      </c>
      <c r="N18" s="18" t="s">
        <v>53</v>
      </c>
      <c r="O18" s="22" t="s">
        <v>84</v>
      </c>
      <c r="P18" s="23">
        <v>35</v>
      </c>
      <c r="Q18" s="22"/>
      <c r="R18" s="23">
        <v>35</v>
      </c>
      <c r="S18" s="24">
        <v>46053</v>
      </c>
      <c r="T18" s="23">
        <v>0</v>
      </c>
      <c r="U18" s="25">
        <v>4</v>
      </c>
      <c r="V18" s="23">
        <v>35</v>
      </c>
      <c r="W18" s="18" t="s">
        <v>47</v>
      </c>
      <c r="X18" s="18" t="s">
        <v>48</v>
      </c>
      <c r="Y18" s="18" t="s">
        <v>58</v>
      </c>
      <c r="Z18" s="18" t="s">
        <v>43</v>
      </c>
      <c r="AA18" s="18" t="s">
        <v>49</v>
      </c>
      <c r="AB18" s="18" t="s">
        <v>85</v>
      </c>
      <c r="AC18" s="18" t="s">
        <v>38</v>
      </c>
      <c r="AD18" s="7" t="str">
        <f t="shared" si="0"/>
        <v/>
      </c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</row>
    <row r="19" spans="1:49" s="27" customFormat="1" ht="35.1" customHeight="1" x14ac:dyDescent="0.25">
      <c r="A19" s="9" t="s">
        <v>75</v>
      </c>
      <c r="B19" s="10">
        <v>46053</v>
      </c>
      <c r="C19" s="10">
        <v>46053</v>
      </c>
      <c r="D19" s="11" t="s">
        <v>224</v>
      </c>
      <c r="E19" s="12">
        <v>0.5</v>
      </c>
      <c r="F19" s="12">
        <v>0.54166666666666663</v>
      </c>
      <c r="G19" s="12">
        <v>4.1666666666666664E-2</v>
      </c>
      <c r="H19" s="9" t="s">
        <v>230</v>
      </c>
      <c r="I19" s="13"/>
      <c r="J19" s="9" t="s">
        <v>80</v>
      </c>
      <c r="K19" s="9"/>
      <c r="L19" s="14">
        <v>1</v>
      </c>
      <c r="M19" s="14">
        <v>1</v>
      </c>
      <c r="N19" s="9" t="s">
        <v>33</v>
      </c>
      <c r="O19" s="9"/>
      <c r="P19" s="16">
        <v>0</v>
      </c>
      <c r="Q19" s="14"/>
      <c r="R19" s="16">
        <v>0</v>
      </c>
      <c r="S19" s="9">
        <v>46054</v>
      </c>
      <c r="T19" s="16">
        <v>0</v>
      </c>
      <c r="U19" s="14">
        <v>2</v>
      </c>
      <c r="V19" s="16">
        <v>0</v>
      </c>
      <c r="W19" s="9" t="s">
        <v>34</v>
      </c>
      <c r="X19" s="9" t="s">
        <v>42</v>
      </c>
      <c r="Y19" s="9" t="s">
        <v>36</v>
      </c>
      <c r="Z19" s="9" t="s">
        <v>43</v>
      </c>
      <c r="AA19" s="9" t="s">
        <v>37</v>
      </c>
      <c r="AB19" s="9" t="s">
        <v>37</v>
      </c>
      <c r="AC19" s="9" t="s">
        <v>38</v>
      </c>
      <c r="AD19" s="7" t="str">
        <f t="shared" si="0"/>
        <v/>
      </c>
      <c r="AE19" s="26"/>
      <c r="AF19" s="26"/>
      <c r="AG19" s="26"/>
      <c r="AH19" s="26"/>
      <c r="AI19" s="26"/>
      <c r="AJ19" s="26"/>
      <c r="AK19" s="26"/>
      <c r="AL19" s="26"/>
      <c r="AM19" s="26"/>
      <c r="AN19" s="26"/>
      <c r="AO19" s="26"/>
      <c r="AP19" s="26"/>
      <c r="AQ19" s="26"/>
      <c r="AR19" s="26"/>
      <c r="AS19" s="26"/>
      <c r="AT19" s="26"/>
      <c r="AU19" s="26"/>
      <c r="AV19" s="26"/>
      <c r="AW19" s="26"/>
    </row>
    <row r="20" spans="1:49" s="48" customFormat="1" ht="35.1" customHeight="1" x14ac:dyDescent="0.2">
      <c r="A20" s="18" t="s">
        <v>93</v>
      </c>
      <c r="B20" s="19">
        <v>46053</v>
      </c>
      <c r="C20" s="19">
        <v>46053</v>
      </c>
      <c r="D20" s="18" t="s">
        <v>224</v>
      </c>
      <c r="E20" s="20">
        <v>0.45833333333333331</v>
      </c>
      <c r="F20" s="20">
        <v>0.54166666666666663</v>
      </c>
      <c r="G20" s="28">
        <v>1.7361111111111109E-4</v>
      </c>
      <c r="H20" s="29" t="s">
        <v>98</v>
      </c>
      <c r="I20" s="21">
        <v>0.51180601851851848</v>
      </c>
      <c r="J20" s="18" t="s">
        <v>80</v>
      </c>
      <c r="K20" s="18" t="s">
        <v>151</v>
      </c>
      <c r="L20" s="22">
        <v>1</v>
      </c>
      <c r="M20" s="22">
        <v>69571</v>
      </c>
      <c r="N20" s="18" t="s">
        <v>46</v>
      </c>
      <c r="O20" s="22" t="s">
        <v>95</v>
      </c>
      <c r="P20" s="23">
        <v>0</v>
      </c>
      <c r="Q20" s="22"/>
      <c r="R20" s="23">
        <v>0</v>
      </c>
      <c r="S20" s="24">
        <v>46054</v>
      </c>
      <c r="T20" s="23">
        <v>0</v>
      </c>
      <c r="U20" s="25">
        <v>4</v>
      </c>
      <c r="V20" s="23">
        <v>0</v>
      </c>
      <c r="W20" s="18" t="s">
        <v>47</v>
      </c>
      <c r="X20" s="18" t="s">
        <v>48</v>
      </c>
      <c r="Y20" s="18" t="s">
        <v>36</v>
      </c>
      <c r="Z20" s="18" t="s">
        <v>9</v>
      </c>
      <c r="AA20" s="18" t="s">
        <v>49</v>
      </c>
      <c r="AB20" s="18" t="s">
        <v>96</v>
      </c>
      <c r="AC20" s="18" t="s">
        <v>38</v>
      </c>
      <c r="AD20" s="7" t="str">
        <f t="shared" si="0"/>
        <v/>
      </c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</row>
    <row r="21" spans="1:49" s="48" customFormat="1" ht="35.1" customHeight="1" x14ac:dyDescent="0.2">
      <c r="A21" s="18" t="s">
        <v>93</v>
      </c>
      <c r="B21" s="19">
        <v>46053</v>
      </c>
      <c r="C21" s="19">
        <v>46053</v>
      </c>
      <c r="D21" s="18" t="s">
        <v>224</v>
      </c>
      <c r="E21" s="20">
        <v>0.45833333333333331</v>
      </c>
      <c r="F21" s="20">
        <v>0.54166666666666663</v>
      </c>
      <c r="G21" s="28">
        <v>1.7361111111111109E-4</v>
      </c>
      <c r="H21" s="29" t="s">
        <v>97</v>
      </c>
      <c r="I21" s="21">
        <v>0.51371574074074078</v>
      </c>
      <c r="J21" s="18" t="s">
        <v>80</v>
      </c>
      <c r="K21" s="18" t="s">
        <v>151</v>
      </c>
      <c r="L21" s="22">
        <v>1</v>
      </c>
      <c r="M21" s="22">
        <v>69571</v>
      </c>
      <c r="N21" s="18" t="s">
        <v>46</v>
      </c>
      <c r="O21" s="22" t="s">
        <v>95</v>
      </c>
      <c r="P21" s="23">
        <v>0</v>
      </c>
      <c r="Q21" s="22"/>
      <c r="R21" s="23">
        <v>0</v>
      </c>
      <c r="S21" s="24">
        <v>46054</v>
      </c>
      <c r="T21" s="23">
        <v>0</v>
      </c>
      <c r="U21" s="25">
        <v>4</v>
      </c>
      <c r="V21" s="23">
        <v>0</v>
      </c>
      <c r="W21" s="18" t="s">
        <v>47</v>
      </c>
      <c r="X21" s="18" t="s">
        <v>48</v>
      </c>
      <c r="Y21" s="18" t="s">
        <v>36</v>
      </c>
      <c r="Z21" s="18" t="s">
        <v>9</v>
      </c>
      <c r="AA21" s="18" t="s">
        <v>49</v>
      </c>
      <c r="AB21" s="18" t="s">
        <v>96</v>
      </c>
      <c r="AC21" s="18" t="s">
        <v>38</v>
      </c>
      <c r="AD21" s="7" t="str">
        <f t="shared" si="0"/>
        <v/>
      </c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</row>
    <row r="22" spans="1:49" s="48" customFormat="1" ht="35.1" customHeight="1" x14ac:dyDescent="0.2">
      <c r="A22" s="18" t="s">
        <v>51</v>
      </c>
      <c r="B22" s="19">
        <v>46053</v>
      </c>
      <c r="C22" s="19">
        <v>46053</v>
      </c>
      <c r="D22" s="18" t="s">
        <v>224</v>
      </c>
      <c r="E22" s="20">
        <v>0.5</v>
      </c>
      <c r="F22" s="20">
        <v>0.54166666666666663</v>
      </c>
      <c r="G22" s="20">
        <v>3.4722222222222218E-4</v>
      </c>
      <c r="H22" s="18" t="s">
        <v>102</v>
      </c>
      <c r="I22" s="21">
        <v>0.5133685185185185</v>
      </c>
      <c r="J22" s="18" t="s">
        <v>80</v>
      </c>
      <c r="K22" s="18" t="s">
        <v>151</v>
      </c>
      <c r="L22" s="22">
        <v>1</v>
      </c>
      <c r="M22" s="22">
        <v>70364</v>
      </c>
      <c r="N22" s="18" t="s">
        <v>53</v>
      </c>
      <c r="O22" s="22" t="s">
        <v>54</v>
      </c>
      <c r="P22" s="23">
        <v>50</v>
      </c>
      <c r="Q22" s="22"/>
      <c r="R22" s="23">
        <v>50</v>
      </c>
      <c r="S22" s="24">
        <v>46054</v>
      </c>
      <c r="T22" s="23">
        <v>7.5</v>
      </c>
      <c r="U22" s="25">
        <v>4</v>
      </c>
      <c r="V22" s="23">
        <v>42.5</v>
      </c>
      <c r="W22" s="18" t="s">
        <v>47</v>
      </c>
      <c r="X22" s="18" t="s">
        <v>48</v>
      </c>
      <c r="Y22" s="18" t="s">
        <v>36</v>
      </c>
      <c r="Z22" s="18" t="s">
        <v>9</v>
      </c>
      <c r="AA22" s="18" t="s">
        <v>49</v>
      </c>
      <c r="AB22" s="18" t="s">
        <v>55</v>
      </c>
      <c r="AC22" s="18" t="s">
        <v>38</v>
      </c>
      <c r="AD22" s="7" t="str">
        <f t="shared" si="0"/>
        <v/>
      </c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</row>
    <row r="23" spans="1:49" s="48" customFormat="1" ht="35.1" customHeight="1" x14ac:dyDescent="0.2">
      <c r="A23" s="18" t="s">
        <v>56</v>
      </c>
      <c r="B23" s="19">
        <v>46053</v>
      </c>
      <c r="C23" s="19">
        <v>46053</v>
      </c>
      <c r="D23" s="18" t="s">
        <v>224</v>
      </c>
      <c r="E23" s="20">
        <v>0.45833333333333331</v>
      </c>
      <c r="F23" s="20">
        <v>0.54166666666666663</v>
      </c>
      <c r="G23" s="28">
        <v>1.7361111111111112E-4</v>
      </c>
      <c r="H23" s="29" t="s">
        <v>176</v>
      </c>
      <c r="I23" s="21">
        <v>0.52569513888888886</v>
      </c>
      <c r="J23" s="18" t="s">
        <v>80</v>
      </c>
      <c r="K23" s="18" t="s">
        <v>151</v>
      </c>
      <c r="L23" s="22">
        <v>1</v>
      </c>
      <c r="M23" s="22">
        <v>69831</v>
      </c>
      <c r="N23" s="18" t="s">
        <v>53</v>
      </c>
      <c r="O23" s="22"/>
      <c r="P23" s="23">
        <v>21.75</v>
      </c>
      <c r="Q23" s="22"/>
      <c r="R23" s="23">
        <v>21.75</v>
      </c>
      <c r="S23" s="24">
        <v>46053</v>
      </c>
      <c r="T23" s="23">
        <v>0</v>
      </c>
      <c r="U23" s="25">
        <v>4</v>
      </c>
      <c r="V23" s="23">
        <v>21.75</v>
      </c>
      <c r="W23" s="18" t="s">
        <v>34</v>
      </c>
      <c r="X23" s="18" t="s">
        <v>48</v>
      </c>
      <c r="Y23" s="18" t="s">
        <v>58</v>
      </c>
      <c r="Z23" s="18" t="s">
        <v>43</v>
      </c>
      <c r="AA23" s="18" t="s">
        <v>49</v>
      </c>
      <c r="AB23" s="18" t="s">
        <v>59</v>
      </c>
      <c r="AC23" s="18" t="s">
        <v>38</v>
      </c>
      <c r="AD23" s="7" t="str">
        <f t="shared" si="0"/>
        <v/>
      </c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</row>
    <row r="24" spans="1:49" s="48" customFormat="1" ht="35.1" customHeight="1" x14ac:dyDescent="0.25">
      <c r="A24" s="18" t="s">
        <v>56</v>
      </c>
      <c r="B24" s="19">
        <v>46053</v>
      </c>
      <c r="C24" s="19">
        <v>46053</v>
      </c>
      <c r="D24" s="18" t="s">
        <v>224</v>
      </c>
      <c r="E24" s="20">
        <v>0.45833333333333331</v>
      </c>
      <c r="F24" s="20">
        <v>0.54166666666666663</v>
      </c>
      <c r="G24" s="28">
        <v>1.7361111111111112E-4</v>
      </c>
      <c r="H24" s="29" t="s">
        <v>177</v>
      </c>
      <c r="I24" s="21">
        <v>0.52743113425925925</v>
      </c>
      <c r="J24" s="18" t="s">
        <v>80</v>
      </c>
      <c r="K24" s="18" t="s">
        <v>151</v>
      </c>
      <c r="L24" s="22">
        <v>1</v>
      </c>
      <c r="M24" s="22">
        <v>69831</v>
      </c>
      <c r="N24" s="18" t="s">
        <v>53</v>
      </c>
      <c r="O24" s="22"/>
      <c r="P24" s="23">
        <v>0</v>
      </c>
      <c r="Q24" s="22"/>
      <c r="R24" s="23">
        <v>0</v>
      </c>
      <c r="S24" s="24">
        <v>46053</v>
      </c>
      <c r="T24" s="23">
        <v>0</v>
      </c>
      <c r="U24" s="25">
        <v>4</v>
      </c>
      <c r="V24" s="23">
        <v>0</v>
      </c>
      <c r="W24" s="18" t="s">
        <v>34</v>
      </c>
      <c r="X24" s="18" t="s">
        <v>48</v>
      </c>
      <c r="Y24" s="18" t="s">
        <v>58</v>
      </c>
      <c r="Z24" s="18" t="s">
        <v>43</v>
      </c>
      <c r="AA24" s="18" t="s">
        <v>49</v>
      </c>
      <c r="AB24" s="18" t="s">
        <v>59</v>
      </c>
      <c r="AC24" s="18" t="s">
        <v>38</v>
      </c>
      <c r="AD24" s="7" t="str">
        <f t="shared" si="0"/>
        <v/>
      </c>
      <c r="AE24" s="26"/>
      <c r="AF24" s="26"/>
      <c r="AG24" s="26"/>
      <c r="AH24" s="26"/>
      <c r="AI24" s="27"/>
      <c r="AJ24" s="27"/>
      <c r="AK24" s="27"/>
      <c r="AL24" s="27"/>
      <c r="AM24" s="27"/>
      <c r="AN24" s="27"/>
      <c r="AO24" s="27"/>
      <c r="AP24" s="27"/>
      <c r="AQ24" s="27"/>
      <c r="AR24" s="27"/>
      <c r="AS24" s="27"/>
      <c r="AT24" s="27"/>
      <c r="AU24" s="27"/>
      <c r="AV24" s="27"/>
      <c r="AW24" s="27"/>
    </row>
    <row r="25" spans="1:49" s="48" customFormat="1" ht="35.1" customHeight="1" x14ac:dyDescent="0.25">
      <c r="A25" s="18" t="s">
        <v>51</v>
      </c>
      <c r="B25" s="19">
        <v>46053</v>
      </c>
      <c r="C25" s="19">
        <v>46053</v>
      </c>
      <c r="D25" s="18" t="s">
        <v>224</v>
      </c>
      <c r="E25" s="20">
        <v>0.45833333333333331</v>
      </c>
      <c r="F25" s="20">
        <v>0.54166666666666663</v>
      </c>
      <c r="G25" s="20">
        <v>3.4722222222222218E-4</v>
      </c>
      <c r="H25" s="18" t="s">
        <v>102</v>
      </c>
      <c r="I25" s="21">
        <v>0.53125104166666659</v>
      </c>
      <c r="J25" s="18" t="s">
        <v>80</v>
      </c>
      <c r="K25" s="18" t="s">
        <v>151</v>
      </c>
      <c r="L25" s="22">
        <v>1</v>
      </c>
      <c r="M25" s="22">
        <v>70379</v>
      </c>
      <c r="N25" s="18" t="s">
        <v>46</v>
      </c>
      <c r="O25" s="22" t="s">
        <v>54</v>
      </c>
      <c r="P25" s="23">
        <v>0</v>
      </c>
      <c r="Q25" s="22"/>
      <c r="R25" s="23">
        <v>0</v>
      </c>
      <c r="S25" s="24">
        <v>46054</v>
      </c>
      <c r="T25" s="23">
        <v>0</v>
      </c>
      <c r="U25" s="25">
        <v>4</v>
      </c>
      <c r="V25" s="23">
        <v>0</v>
      </c>
      <c r="W25" s="18" t="s">
        <v>47</v>
      </c>
      <c r="X25" s="18" t="s">
        <v>48</v>
      </c>
      <c r="Y25" s="18" t="s">
        <v>36</v>
      </c>
      <c r="Z25" s="18" t="s">
        <v>9</v>
      </c>
      <c r="AA25" s="18" t="s">
        <v>49</v>
      </c>
      <c r="AB25" s="18" t="s">
        <v>55</v>
      </c>
      <c r="AC25" s="18" t="s">
        <v>38</v>
      </c>
      <c r="AD25" s="7" t="str">
        <f t="shared" si="0"/>
        <v/>
      </c>
      <c r="AE25" s="26"/>
      <c r="AF25" s="26"/>
      <c r="AG25" s="26"/>
      <c r="AH25" s="26"/>
      <c r="AI25" s="27"/>
      <c r="AJ25" s="27"/>
      <c r="AK25" s="27"/>
      <c r="AL25" s="27"/>
      <c r="AM25" s="27"/>
      <c r="AN25" s="27"/>
      <c r="AO25" s="27"/>
      <c r="AP25" s="27"/>
      <c r="AQ25" s="27"/>
      <c r="AR25" s="27"/>
      <c r="AS25" s="27"/>
      <c r="AT25" s="27"/>
      <c r="AU25" s="27"/>
      <c r="AV25" s="27"/>
      <c r="AW25" s="27"/>
    </row>
    <row r="26" spans="1:49" s="48" customFormat="1" ht="35.1" customHeight="1" x14ac:dyDescent="0.25">
      <c r="A26" s="18" t="s">
        <v>93</v>
      </c>
      <c r="B26" s="19">
        <v>46053</v>
      </c>
      <c r="C26" s="19">
        <v>46053</v>
      </c>
      <c r="D26" s="18" t="s">
        <v>224</v>
      </c>
      <c r="E26" s="20">
        <v>0.45833333333333331</v>
      </c>
      <c r="F26" s="20">
        <v>0.54166666666666663</v>
      </c>
      <c r="G26" s="28">
        <v>1.7361111111111109E-4</v>
      </c>
      <c r="H26" s="29" t="s">
        <v>94</v>
      </c>
      <c r="I26" s="21">
        <v>0.53934247685185188</v>
      </c>
      <c r="J26" s="18" t="s">
        <v>80</v>
      </c>
      <c r="K26" s="18" t="s">
        <v>151</v>
      </c>
      <c r="L26" s="22">
        <v>1</v>
      </c>
      <c r="M26" s="22">
        <v>69571</v>
      </c>
      <c r="N26" s="18" t="s">
        <v>46</v>
      </c>
      <c r="O26" s="22" t="s">
        <v>95</v>
      </c>
      <c r="P26" s="23">
        <v>0</v>
      </c>
      <c r="Q26" s="22"/>
      <c r="R26" s="23">
        <v>0</v>
      </c>
      <c r="S26" s="24">
        <v>46054</v>
      </c>
      <c r="T26" s="23">
        <v>0</v>
      </c>
      <c r="U26" s="25">
        <v>4</v>
      </c>
      <c r="V26" s="23">
        <v>0</v>
      </c>
      <c r="W26" s="18" t="s">
        <v>47</v>
      </c>
      <c r="X26" s="18" t="s">
        <v>48</v>
      </c>
      <c r="Y26" s="18" t="s">
        <v>36</v>
      </c>
      <c r="Z26" s="18" t="s">
        <v>9</v>
      </c>
      <c r="AA26" s="18" t="s">
        <v>49</v>
      </c>
      <c r="AB26" s="18" t="s">
        <v>96</v>
      </c>
      <c r="AC26" s="18" t="s">
        <v>38</v>
      </c>
      <c r="AD26" s="7" t="str">
        <f t="shared" si="0"/>
        <v/>
      </c>
      <c r="AE26" s="26"/>
      <c r="AF26" s="26"/>
      <c r="AG26" s="26"/>
      <c r="AH26" s="26"/>
      <c r="AI26" s="26"/>
      <c r="AJ26" s="26"/>
      <c r="AK26" s="26"/>
      <c r="AL26" s="26"/>
      <c r="AM26" s="26"/>
      <c r="AN26" s="26"/>
      <c r="AO26" s="26"/>
      <c r="AP26" s="26"/>
      <c r="AQ26" s="26"/>
      <c r="AR26" s="26"/>
      <c r="AS26" s="26"/>
      <c r="AT26" s="26"/>
      <c r="AU26" s="26"/>
      <c r="AV26" s="26"/>
      <c r="AW26" s="26"/>
    </row>
    <row r="27" spans="1:49" s="48" customFormat="1" ht="35.1" customHeight="1" x14ac:dyDescent="0.25">
      <c r="A27" s="18" t="s">
        <v>93</v>
      </c>
      <c r="B27" s="19">
        <v>46053</v>
      </c>
      <c r="C27" s="19">
        <v>46053</v>
      </c>
      <c r="D27" s="18" t="s">
        <v>224</v>
      </c>
      <c r="E27" s="20">
        <v>0.45833333333333331</v>
      </c>
      <c r="F27" s="20">
        <v>0.54166666666666663</v>
      </c>
      <c r="G27" s="28">
        <v>1.7361111111111109E-4</v>
      </c>
      <c r="H27" s="29" t="s">
        <v>97</v>
      </c>
      <c r="I27" s="21">
        <v>0.54125231481481473</v>
      </c>
      <c r="J27" s="18" t="s">
        <v>80</v>
      </c>
      <c r="K27" s="18" t="s">
        <v>151</v>
      </c>
      <c r="L27" s="22">
        <v>1</v>
      </c>
      <c r="M27" s="22">
        <v>69571</v>
      </c>
      <c r="N27" s="18" t="s">
        <v>46</v>
      </c>
      <c r="O27" s="22" t="s">
        <v>95</v>
      </c>
      <c r="P27" s="23">
        <v>0</v>
      </c>
      <c r="Q27" s="22"/>
      <c r="R27" s="23">
        <v>0</v>
      </c>
      <c r="S27" s="24">
        <v>46054</v>
      </c>
      <c r="T27" s="23">
        <v>0</v>
      </c>
      <c r="U27" s="25">
        <v>4</v>
      </c>
      <c r="V27" s="23">
        <v>0</v>
      </c>
      <c r="W27" s="18" t="s">
        <v>47</v>
      </c>
      <c r="X27" s="18" t="s">
        <v>48</v>
      </c>
      <c r="Y27" s="18" t="s">
        <v>36</v>
      </c>
      <c r="Z27" s="18" t="s">
        <v>9</v>
      </c>
      <c r="AA27" s="18" t="s">
        <v>49</v>
      </c>
      <c r="AB27" s="18" t="s">
        <v>96</v>
      </c>
      <c r="AC27" s="18" t="s">
        <v>38</v>
      </c>
      <c r="AD27" s="7" t="str">
        <f t="shared" si="0"/>
        <v/>
      </c>
      <c r="AE27" s="26"/>
      <c r="AF27" s="26"/>
      <c r="AG27" s="26"/>
      <c r="AH27" s="26"/>
      <c r="AI27" s="26"/>
      <c r="AJ27" s="26"/>
      <c r="AK27" s="26"/>
      <c r="AL27" s="26"/>
      <c r="AM27" s="26"/>
      <c r="AN27" s="26"/>
      <c r="AO27" s="26"/>
      <c r="AP27" s="26"/>
      <c r="AQ27" s="26"/>
      <c r="AR27" s="26"/>
      <c r="AS27" s="26"/>
      <c r="AT27" s="26"/>
      <c r="AU27" s="26"/>
      <c r="AV27" s="26"/>
      <c r="AW27" s="26"/>
    </row>
    <row r="28" spans="1:49" s="27" customFormat="1" ht="35.1" customHeight="1" x14ac:dyDescent="0.25">
      <c r="A28" s="9" t="s">
        <v>231</v>
      </c>
      <c r="B28" s="10">
        <v>46053</v>
      </c>
      <c r="C28" s="10">
        <v>46053</v>
      </c>
      <c r="D28" s="11" t="s">
        <v>224</v>
      </c>
      <c r="E28" s="12">
        <v>0.54166666666666663</v>
      </c>
      <c r="F28" s="12">
        <v>0.58333333333333337</v>
      </c>
      <c r="G28" s="12">
        <v>4.1666666666666664E-2</v>
      </c>
      <c r="H28" s="53" t="s">
        <v>231</v>
      </c>
      <c r="I28" s="13"/>
      <c r="J28" s="9" t="s">
        <v>105</v>
      </c>
      <c r="K28" s="9" t="s">
        <v>232</v>
      </c>
      <c r="L28" s="14">
        <v>1</v>
      </c>
      <c r="M28" s="14">
        <v>1</v>
      </c>
      <c r="N28" s="9" t="s">
        <v>33</v>
      </c>
      <c r="O28" s="9"/>
      <c r="P28" s="16">
        <v>0</v>
      </c>
      <c r="Q28" s="14"/>
      <c r="R28" s="16">
        <v>0</v>
      </c>
      <c r="S28" s="9">
        <v>46054</v>
      </c>
      <c r="T28" s="16">
        <v>0</v>
      </c>
      <c r="U28" s="14">
        <v>1</v>
      </c>
      <c r="V28" s="16">
        <v>0</v>
      </c>
      <c r="W28" s="9" t="s">
        <v>34</v>
      </c>
      <c r="X28" s="9" t="s">
        <v>35</v>
      </c>
      <c r="Y28" s="9" t="s">
        <v>36</v>
      </c>
      <c r="Z28" s="9" t="s">
        <v>174</v>
      </c>
      <c r="AA28" s="9" t="s">
        <v>37</v>
      </c>
      <c r="AB28" s="9" t="s">
        <v>37</v>
      </c>
      <c r="AC28" s="9" t="s">
        <v>38</v>
      </c>
      <c r="AD28" s="7" t="str">
        <f t="shared" si="0"/>
        <v/>
      </c>
      <c r="AE28" s="26"/>
      <c r="AF28" s="26"/>
      <c r="AG28" s="26"/>
      <c r="AH28" s="26"/>
      <c r="AI28" s="26"/>
      <c r="AJ28" s="26"/>
      <c r="AK28" s="26"/>
      <c r="AL28" s="26"/>
      <c r="AM28" s="26"/>
      <c r="AN28" s="26"/>
      <c r="AO28" s="26"/>
      <c r="AP28" s="26"/>
      <c r="AQ28" s="26"/>
      <c r="AR28" s="26"/>
      <c r="AS28" s="26"/>
      <c r="AT28" s="26"/>
      <c r="AU28" s="26"/>
      <c r="AV28" s="26"/>
      <c r="AW28" s="26"/>
    </row>
    <row r="29" spans="1:49" s="48" customFormat="1" ht="35.1" customHeight="1" x14ac:dyDescent="0.25">
      <c r="A29" s="18" t="s">
        <v>106</v>
      </c>
      <c r="B29" s="19">
        <v>46053</v>
      </c>
      <c r="C29" s="19">
        <v>46053</v>
      </c>
      <c r="D29" s="18" t="s">
        <v>224</v>
      </c>
      <c r="E29" s="20">
        <v>0.54166666666666663</v>
      </c>
      <c r="F29" s="20">
        <v>0.66666666666666663</v>
      </c>
      <c r="G29" s="20">
        <v>3.4722222222222218E-4</v>
      </c>
      <c r="H29" s="18" t="s">
        <v>107</v>
      </c>
      <c r="I29" s="21">
        <v>0.56952800925925928</v>
      </c>
      <c r="J29" s="18" t="s">
        <v>105</v>
      </c>
      <c r="K29" s="18" t="s">
        <v>248</v>
      </c>
      <c r="L29" s="22">
        <v>1</v>
      </c>
      <c r="M29" s="22">
        <v>58166</v>
      </c>
      <c r="N29" s="18" t="s">
        <v>53</v>
      </c>
      <c r="O29" s="22" t="s">
        <v>108</v>
      </c>
      <c r="P29" s="23">
        <v>29.411764705882355</v>
      </c>
      <c r="Q29" s="22"/>
      <c r="R29" s="23">
        <v>29.411764705882355</v>
      </c>
      <c r="S29" s="24">
        <v>46054</v>
      </c>
      <c r="T29" s="23">
        <v>4.4117647058823533</v>
      </c>
      <c r="U29" s="25">
        <v>4</v>
      </c>
      <c r="V29" s="23">
        <v>25</v>
      </c>
      <c r="W29" s="18" t="s">
        <v>34</v>
      </c>
      <c r="X29" s="18" t="s">
        <v>48</v>
      </c>
      <c r="Y29" s="18" t="s">
        <v>36</v>
      </c>
      <c r="Z29" s="18" t="s">
        <v>9</v>
      </c>
      <c r="AA29" s="18" t="s">
        <v>49</v>
      </c>
      <c r="AB29" s="18" t="s">
        <v>109</v>
      </c>
      <c r="AC29" s="18" t="s">
        <v>38</v>
      </c>
      <c r="AD29" s="7" t="str">
        <f t="shared" si="0"/>
        <v/>
      </c>
      <c r="AE29" s="26"/>
      <c r="AF29" s="26"/>
      <c r="AG29" s="26"/>
      <c r="AH29" s="26"/>
      <c r="AI29" s="27"/>
      <c r="AJ29" s="27"/>
      <c r="AK29" s="27"/>
      <c r="AL29" s="27"/>
      <c r="AM29" s="27"/>
      <c r="AN29" s="27"/>
      <c r="AO29" s="27"/>
      <c r="AP29" s="27"/>
      <c r="AQ29" s="27"/>
      <c r="AR29" s="27"/>
      <c r="AS29" s="27"/>
      <c r="AT29" s="27"/>
      <c r="AU29" s="27"/>
      <c r="AV29" s="27"/>
      <c r="AW29" s="27"/>
    </row>
    <row r="30" spans="1:49" s="48" customFormat="1" ht="35.1" customHeight="1" x14ac:dyDescent="0.25">
      <c r="A30" s="18" t="s">
        <v>159</v>
      </c>
      <c r="B30" s="19">
        <v>46053</v>
      </c>
      <c r="C30" s="19">
        <v>46053</v>
      </c>
      <c r="D30" s="18" t="s">
        <v>224</v>
      </c>
      <c r="E30" s="20">
        <v>0.54166666666666663</v>
      </c>
      <c r="F30" s="20">
        <v>0.66666666666666663</v>
      </c>
      <c r="G30" s="28">
        <v>1.7361111111111109E-4</v>
      </c>
      <c r="H30" s="29" t="s">
        <v>160</v>
      </c>
      <c r="I30" s="21">
        <v>0.58281273148148149</v>
      </c>
      <c r="J30" s="18" t="s">
        <v>105</v>
      </c>
      <c r="K30" s="18" t="s">
        <v>248</v>
      </c>
      <c r="L30" s="22">
        <v>1</v>
      </c>
      <c r="M30" s="22">
        <v>71011</v>
      </c>
      <c r="N30" s="18" t="s">
        <v>46</v>
      </c>
      <c r="O30" s="22" t="s">
        <v>161</v>
      </c>
      <c r="P30" s="23">
        <v>0</v>
      </c>
      <c r="Q30" s="22"/>
      <c r="R30" s="23">
        <v>0</v>
      </c>
      <c r="S30" s="24">
        <v>46054</v>
      </c>
      <c r="T30" s="23">
        <v>0</v>
      </c>
      <c r="U30" s="25">
        <v>4</v>
      </c>
      <c r="V30" s="23">
        <v>0</v>
      </c>
      <c r="W30" s="18" t="s">
        <v>47</v>
      </c>
      <c r="X30" s="18" t="s">
        <v>48</v>
      </c>
      <c r="Y30" s="18" t="s">
        <v>36</v>
      </c>
      <c r="Z30" s="18" t="s">
        <v>9</v>
      </c>
      <c r="AA30" s="18" t="s">
        <v>49</v>
      </c>
      <c r="AB30" s="18" t="s">
        <v>162</v>
      </c>
      <c r="AC30" s="18" t="s">
        <v>38</v>
      </c>
      <c r="AD30" s="7" t="str">
        <f t="shared" si="0"/>
        <v/>
      </c>
      <c r="AE30" s="26"/>
      <c r="AF30" s="26"/>
      <c r="AG30" s="26"/>
      <c r="AH30" s="26"/>
      <c r="AI30" s="26"/>
      <c r="AJ30" s="26"/>
      <c r="AK30" s="26"/>
      <c r="AL30" s="26"/>
      <c r="AM30" s="26"/>
      <c r="AN30" s="26"/>
      <c r="AO30" s="26"/>
      <c r="AP30" s="26"/>
      <c r="AQ30" s="26"/>
      <c r="AR30" s="26"/>
      <c r="AS30" s="26"/>
      <c r="AT30" s="26"/>
      <c r="AU30" s="26"/>
      <c r="AV30" s="26"/>
      <c r="AW30" s="26"/>
    </row>
    <row r="31" spans="1:49" s="48" customFormat="1" ht="35.1" customHeight="1" x14ac:dyDescent="0.25">
      <c r="A31" s="18" t="s">
        <v>159</v>
      </c>
      <c r="B31" s="19">
        <v>46053</v>
      </c>
      <c r="C31" s="19">
        <v>46053</v>
      </c>
      <c r="D31" s="18" t="s">
        <v>224</v>
      </c>
      <c r="E31" s="20">
        <v>0.54166666666666663</v>
      </c>
      <c r="F31" s="20">
        <v>0.66666666666666663</v>
      </c>
      <c r="G31" s="28">
        <v>1.7361111111111109E-4</v>
      </c>
      <c r="H31" s="29" t="s">
        <v>163</v>
      </c>
      <c r="I31" s="21">
        <v>0.58298634259259252</v>
      </c>
      <c r="J31" s="18" t="s">
        <v>105</v>
      </c>
      <c r="K31" s="18" t="s">
        <v>248</v>
      </c>
      <c r="L31" s="22">
        <v>1</v>
      </c>
      <c r="M31" s="22">
        <v>71011</v>
      </c>
      <c r="N31" s="18" t="s">
        <v>46</v>
      </c>
      <c r="O31" s="22" t="s">
        <v>161</v>
      </c>
      <c r="P31" s="23">
        <v>0</v>
      </c>
      <c r="Q31" s="22"/>
      <c r="R31" s="23">
        <v>0</v>
      </c>
      <c r="S31" s="24">
        <v>46054</v>
      </c>
      <c r="T31" s="23">
        <v>0</v>
      </c>
      <c r="U31" s="25">
        <v>4</v>
      </c>
      <c r="V31" s="23">
        <v>0</v>
      </c>
      <c r="W31" s="18" t="s">
        <v>47</v>
      </c>
      <c r="X31" s="18" t="s">
        <v>48</v>
      </c>
      <c r="Y31" s="18" t="s">
        <v>36</v>
      </c>
      <c r="Z31" s="18" t="s">
        <v>9</v>
      </c>
      <c r="AA31" s="18" t="s">
        <v>49</v>
      </c>
      <c r="AB31" s="18" t="s">
        <v>162</v>
      </c>
      <c r="AC31" s="18" t="s">
        <v>38</v>
      </c>
      <c r="AD31" s="7" t="str">
        <f t="shared" si="0"/>
        <v/>
      </c>
      <c r="AE31" s="26"/>
      <c r="AF31" s="26"/>
      <c r="AG31" s="26"/>
      <c r="AH31" s="26"/>
      <c r="AI31" s="26"/>
      <c r="AJ31" s="26"/>
      <c r="AK31" s="26"/>
      <c r="AL31" s="26"/>
      <c r="AM31" s="26"/>
      <c r="AN31" s="26"/>
      <c r="AO31" s="26"/>
      <c r="AP31" s="26"/>
      <c r="AQ31" s="26"/>
      <c r="AR31" s="26"/>
      <c r="AS31" s="26"/>
      <c r="AT31" s="26"/>
      <c r="AU31" s="26"/>
      <c r="AV31" s="26"/>
      <c r="AW31" s="26"/>
    </row>
    <row r="32" spans="1:49" s="46" customFormat="1" ht="35.1" customHeight="1" x14ac:dyDescent="0.25">
      <c r="A32" s="9" t="s">
        <v>233</v>
      </c>
      <c r="B32" s="10">
        <v>46053</v>
      </c>
      <c r="C32" s="10">
        <v>46053</v>
      </c>
      <c r="D32" s="11" t="s">
        <v>224</v>
      </c>
      <c r="E32" s="12">
        <v>0.58333333333333337</v>
      </c>
      <c r="F32" s="12">
        <v>0.625</v>
      </c>
      <c r="G32" s="12">
        <v>4.1666666666666664E-2</v>
      </c>
      <c r="H32" s="9" t="s">
        <v>234</v>
      </c>
      <c r="I32" s="13"/>
      <c r="J32" s="9" t="s">
        <v>105</v>
      </c>
      <c r="K32" s="9" t="s">
        <v>235</v>
      </c>
      <c r="L32" s="14">
        <v>1</v>
      </c>
      <c r="M32" s="14">
        <v>1</v>
      </c>
      <c r="N32" s="9" t="s">
        <v>33</v>
      </c>
      <c r="O32" s="9"/>
      <c r="P32" s="15">
        <v>0</v>
      </c>
      <c r="Q32" s="14"/>
      <c r="R32" s="16">
        <v>0</v>
      </c>
      <c r="S32" s="9">
        <v>46054</v>
      </c>
      <c r="T32" s="16">
        <v>0</v>
      </c>
      <c r="U32" s="14">
        <v>1</v>
      </c>
      <c r="V32" s="16">
        <v>0</v>
      </c>
      <c r="W32" s="9" t="s">
        <v>34</v>
      </c>
      <c r="X32" s="9" t="s">
        <v>35</v>
      </c>
      <c r="Y32" s="9" t="s">
        <v>36</v>
      </c>
      <c r="Z32" s="9" t="s">
        <v>174</v>
      </c>
      <c r="AA32" s="9" t="s">
        <v>37</v>
      </c>
      <c r="AB32" s="9" t="s">
        <v>37</v>
      </c>
      <c r="AC32" s="9" t="s">
        <v>38</v>
      </c>
      <c r="AD32" s="7" t="str">
        <f t="shared" si="0"/>
        <v/>
      </c>
      <c r="AE32" s="26"/>
      <c r="AF32" s="26"/>
      <c r="AG32" s="26"/>
      <c r="AH32" s="26"/>
      <c r="AI32" s="26"/>
      <c r="AJ32" s="26"/>
      <c r="AK32" s="26"/>
      <c r="AL32" s="26"/>
      <c r="AM32" s="26"/>
      <c r="AN32" s="26"/>
      <c r="AO32" s="26"/>
      <c r="AP32" s="26"/>
      <c r="AQ32" s="26"/>
      <c r="AR32" s="26"/>
      <c r="AS32" s="26"/>
      <c r="AT32" s="26"/>
      <c r="AU32" s="26"/>
      <c r="AV32" s="26"/>
      <c r="AW32" s="26"/>
    </row>
    <row r="33" spans="1:49" s="48" customFormat="1" ht="35.1" customHeight="1" x14ac:dyDescent="0.25">
      <c r="A33" s="18" t="s">
        <v>106</v>
      </c>
      <c r="B33" s="19">
        <v>46053</v>
      </c>
      <c r="C33" s="19">
        <v>46053</v>
      </c>
      <c r="D33" s="18" t="s">
        <v>224</v>
      </c>
      <c r="E33" s="20">
        <v>0.54166666666666663</v>
      </c>
      <c r="F33" s="20">
        <v>0.66666666666666663</v>
      </c>
      <c r="G33" s="20">
        <v>3.4722222222222218E-4</v>
      </c>
      <c r="H33" s="18" t="s">
        <v>107</v>
      </c>
      <c r="I33" s="21">
        <v>0.58426134259259255</v>
      </c>
      <c r="J33" s="18" t="s">
        <v>105</v>
      </c>
      <c r="K33" s="18" t="s">
        <v>248</v>
      </c>
      <c r="L33" s="22">
        <v>1</v>
      </c>
      <c r="M33" s="22">
        <v>58166</v>
      </c>
      <c r="N33" s="18" t="s">
        <v>53</v>
      </c>
      <c r="O33" s="22" t="s">
        <v>108</v>
      </c>
      <c r="P33" s="23">
        <v>29.411764705882355</v>
      </c>
      <c r="Q33" s="22"/>
      <c r="R33" s="23">
        <v>29.411764705882355</v>
      </c>
      <c r="S33" s="24">
        <v>46054</v>
      </c>
      <c r="T33" s="23">
        <v>4.4117647058823533</v>
      </c>
      <c r="U33" s="25">
        <v>4</v>
      </c>
      <c r="V33" s="23">
        <v>25</v>
      </c>
      <c r="W33" s="18" t="s">
        <v>34</v>
      </c>
      <c r="X33" s="18" t="s">
        <v>48</v>
      </c>
      <c r="Y33" s="18" t="s">
        <v>36</v>
      </c>
      <c r="Z33" s="18" t="s">
        <v>9</v>
      </c>
      <c r="AA33" s="18" t="s">
        <v>49</v>
      </c>
      <c r="AB33" s="18" t="s">
        <v>109</v>
      </c>
      <c r="AC33" s="18" t="s">
        <v>38</v>
      </c>
      <c r="AD33" s="7" t="str">
        <f t="shared" si="0"/>
        <v/>
      </c>
      <c r="AE33" s="26"/>
      <c r="AF33" s="26"/>
      <c r="AG33" s="26"/>
      <c r="AH33" s="26"/>
      <c r="AI33" s="27"/>
      <c r="AJ33" s="27"/>
      <c r="AK33" s="27"/>
      <c r="AL33" s="27"/>
      <c r="AM33" s="27"/>
      <c r="AN33" s="27"/>
      <c r="AO33" s="27"/>
      <c r="AP33" s="27"/>
      <c r="AQ33" s="27"/>
      <c r="AR33" s="27"/>
      <c r="AS33" s="27"/>
      <c r="AT33" s="27"/>
      <c r="AU33" s="27"/>
      <c r="AV33" s="27"/>
      <c r="AW33" s="27"/>
    </row>
    <row r="34" spans="1:49" s="48" customFormat="1" ht="35.1" customHeight="1" x14ac:dyDescent="0.25">
      <c r="A34" s="18" t="s">
        <v>106</v>
      </c>
      <c r="B34" s="19">
        <v>46053</v>
      </c>
      <c r="C34" s="19">
        <v>46053</v>
      </c>
      <c r="D34" s="18" t="s">
        <v>224</v>
      </c>
      <c r="E34" s="20">
        <v>0.54166666666666663</v>
      </c>
      <c r="F34" s="20">
        <v>0.66666666666666663</v>
      </c>
      <c r="G34" s="20">
        <v>3.4722222222222218E-4</v>
      </c>
      <c r="H34" s="18" t="s">
        <v>107</v>
      </c>
      <c r="I34" s="21">
        <v>0.62394907407407407</v>
      </c>
      <c r="J34" s="18" t="s">
        <v>105</v>
      </c>
      <c r="K34" s="18" t="s">
        <v>248</v>
      </c>
      <c r="L34" s="22">
        <v>1</v>
      </c>
      <c r="M34" s="22">
        <v>58166</v>
      </c>
      <c r="N34" s="18" t="s">
        <v>53</v>
      </c>
      <c r="O34" s="22" t="s">
        <v>108</v>
      </c>
      <c r="P34" s="23">
        <v>29.411764705882355</v>
      </c>
      <c r="Q34" s="22"/>
      <c r="R34" s="23">
        <v>29.411764705882355</v>
      </c>
      <c r="S34" s="24">
        <v>46054</v>
      </c>
      <c r="T34" s="23">
        <v>4.4117647058823533</v>
      </c>
      <c r="U34" s="25">
        <v>4</v>
      </c>
      <c r="V34" s="23">
        <v>25</v>
      </c>
      <c r="W34" s="18" t="s">
        <v>34</v>
      </c>
      <c r="X34" s="18" t="s">
        <v>48</v>
      </c>
      <c r="Y34" s="18" t="s">
        <v>36</v>
      </c>
      <c r="Z34" s="18" t="s">
        <v>9</v>
      </c>
      <c r="AA34" s="18" t="s">
        <v>49</v>
      </c>
      <c r="AB34" s="18" t="s">
        <v>109</v>
      </c>
      <c r="AC34" s="18" t="s">
        <v>38</v>
      </c>
      <c r="AD34" s="7" t="str">
        <f t="shared" si="0"/>
        <v/>
      </c>
      <c r="AE34" s="26"/>
      <c r="AF34" s="26"/>
      <c r="AG34" s="26"/>
      <c r="AH34" s="26"/>
      <c r="AI34" s="27"/>
      <c r="AJ34" s="27"/>
      <c r="AK34" s="27"/>
      <c r="AL34" s="27"/>
      <c r="AM34" s="27"/>
      <c r="AN34" s="27"/>
      <c r="AO34" s="27"/>
      <c r="AP34" s="27"/>
      <c r="AQ34" s="27"/>
      <c r="AR34" s="27"/>
      <c r="AS34" s="27"/>
      <c r="AT34" s="27"/>
      <c r="AU34" s="27"/>
      <c r="AV34" s="27"/>
      <c r="AW34" s="27"/>
    </row>
    <row r="35" spans="1:49" s="46" customFormat="1" ht="35.1" customHeight="1" x14ac:dyDescent="0.25">
      <c r="A35" s="9" t="s">
        <v>236</v>
      </c>
      <c r="B35" s="10">
        <v>46053</v>
      </c>
      <c r="C35" s="10">
        <v>46053</v>
      </c>
      <c r="D35" s="11" t="s">
        <v>224</v>
      </c>
      <c r="E35" s="12">
        <v>0.625</v>
      </c>
      <c r="F35" s="12">
        <v>0.66666666666666663</v>
      </c>
      <c r="G35" s="12">
        <v>4.1666666666666664E-2</v>
      </c>
      <c r="H35" s="9" t="s">
        <v>236</v>
      </c>
      <c r="I35" s="13"/>
      <c r="J35" s="9" t="s">
        <v>105</v>
      </c>
      <c r="K35" s="9" t="s">
        <v>236</v>
      </c>
      <c r="L35" s="14">
        <v>1</v>
      </c>
      <c r="M35" s="14">
        <v>1</v>
      </c>
      <c r="N35" s="9" t="s">
        <v>33</v>
      </c>
      <c r="O35" s="9"/>
      <c r="P35" s="16">
        <v>0</v>
      </c>
      <c r="Q35" s="14"/>
      <c r="R35" s="16">
        <v>0</v>
      </c>
      <c r="S35" s="9">
        <v>46053</v>
      </c>
      <c r="T35" s="16">
        <v>0</v>
      </c>
      <c r="U35" s="14">
        <v>1</v>
      </c>
      <c r="V35" s="16">
        <v>0</v>
      </c>
      <c r="W35" s="9" t="s">
        <v>34</v>
      </c>
      <c r="X35" s="9" t="s">
        <v>42</v>
      </c>
      <c r="Y35" s="9" t="s">
        <v>58</v>
      </c>
      <c r="Z35" s="9" t="s">
        <v>174</v>
      </c>
      <c r="AA35" s="9" t="s">
        <v>37</v>
      </c>
      <c r="AB35" s="9" t="s">
        <v>37</v>
      </c>
      <c r="AC35" s="9" t="s">
        <v>38</v>
      </c>
      <c r="AD35" s="7" t="str">
        <f t="shared" si="0"/>
        <v/>
      </c>
      <c r="AE35" s="26"/>
      <c r="AF35" s="26"/>
      <c r="AG35" s="26"/>
      <c r="AH35" s="26"/>
      <c r="AI35" s="26"/>
      <c r="AJ35" s="26"/>
      <c r="AK35" s="26"/>
      <c r="AL35" s="26"/>
      <c r="AM35" s="26"/>
      <c r="AN35" s="26"/>
      <c r="AO35" s="26"/>
      <c r="AP35" s="26"/>
      <c r="AQ35" s="26"/>
      <c r="AR35" s="26"/>
      <c r="AS35" s="26"/>
      <c r="AT35" s="26"/>
      <c r="AU35" s="26"/>
      <c r="AV35" s="26"/>
      <c r="AW35" s="26"/>
    </row>
    <row r="36" spans="1:49" s="48" customFormat="1" ht="35.1" customHeight="1" x14ac:dyDescent="0.25">
      <c r="A36" s="18" t="s">
        <v>159</v>
      </c>
      <c r="B36" s="19">
        <v>46053</v>
      </c>
      <c r="C36" s="19">
        <v>46053</v>
      </c>
      <c r="D36" s="18" t="s">
        <v>224</v>
      </c>
      <c r="E36" s="20">
        <v>0.54166666666666663</v>
      </c>
      <c r="F36" s="20">
        <v>0.66666666666666663</v>
      </c>
      <c r="G36" s="28">
        <v>1.7361111111111109E-4</v>
      </c>
      <c r="H36" s="29" t="s">
        <v>160</v>
      </c>
      <c r="I36" s="21">
        <v>0.65449374999999999</v>
      </c>
      <c r="J36" s="18" t="s">
        <v>105</v>
      </c>
      <c r="K36" s="18" t="s">
        <v>248</v>
      </c>
      <c r="L36" s="22">
        <v>1</v>
      </c>
      <c r="M36" s="22">
        <v>71006</v>
      </c>
      <c r="N36" s="18" t="s">
        <v>53</v>
      </c>
      <c r="O36" s="22" t="s">
        <v>161</v>
      </c>
      <c r="P36" s="23">
        <v>15</v>
      </c>
      <c r="Q36" s="22"/>
      <c r="R36" s="23">
        <v>15</v>
      </c>
      <c r="S36" s="24">
        <v>46054</v>
      </c>
      <c r="T36" s="23">
        <v>2.25</v>
      </c>
      <c r="U36" s="25">
        <v>4</v>
      </c>
      <c r="V36" s="23">
        <v>12.75</v>
      </c>
      <c r="W36" s="18" t="s">
        <v>47</v>
      </c>
      <c r="X36" s="18" t="s">
        <v>48</v>
      </c>
      <c r="Y36" s="18" t="s">
        <v>36</v>
      </c>
      <c r="Z36" s="18" t="s">
        <v>9</v>
      </c>
      <c r="AA36" s="18" t="s">
        <v>49</v>
      </c>
      <c r="AB36" s="18" t="s">
        <v>162</v>
      </c>
      <c r="AC36" s="18" t="s">
        <v>38</v>
      </c>
      <c r="AD36" s="7" t="str">
        <f t="shared" si="0"/>
        <v/>
      </c>
      <c r="AE36" s="26"/>
      <c r="AF36" s="26"/>
      <c r="AG36" s="26"/>
      <c r="AH36" s="26"/>
      <c r="AI36" s="27"/>
      <c r="AJ36" s="27"/>
      <c r="AK36" s="27"/>
      <c r="AL36" s="27"/>
      <c r="AM36" s="27"/>
      <c r="AN36" s="27"/>
      <c r="AO36" s="27"/>
      <c r="AP36" s="27"/>
      <c r="AQ36" s="27"/>
      <c r="AR36" s="27"/>
      <c r="AS36" s="27"/>
      <c r="AT36" s="27"/>
      <c r="AU36" s="27"/>
      <c r="AV36" s="27"/>
      <c r="AW36" s="27"/>
    </row>
    <row r="37" spans="1:49" s="48" customFormat="1" ht="35.1" customHeight="1" x14ac:dyDescent="0.25">
      <c r="A37" s="18" t="s">
        <v>159</v>
      </c>
      <c r="B37" s="19">
        <v>46053</v>
      </c>
      <c r="C37" s="19">
        <v>46053</v>
      </c>
      <c r="D37" s="18" t="s">
        <v>224</v>
      </c>
      <c r="E37" s="20">
        <v>0.54166666666666663</v>
      </c>
      <c r="F37" s="20">
        <v>0.66666666666666663</v>
      </c>
      <c r="G37" s="28">
        <v>1.7361111111111109E-4</v>
      </c>
      <c r="H37" s="29" t="s">
        <v>163</v>
      </c>
      <c r="I37" s="21">
        <v>0.65501481481481483</v>
      </c>
      <c r="J37" s="18" t="s">
        <v>105</v>
      </c>
      <c r="K37" s="18" t="s">
        <v>248</v>
      </c>
      <c r="L37" s="22">
        <v>1</v>
      </c>
      <c r="M37" s="22">
        <v>71006</v>
      </c>
      <c r="N37" s="18" t="s">
        <v>53</v>
      </c>
      <c r="O37" s="22" t="s">
        <v>161</v>
      </c>
      <c r="P37" s="23">
        <v>15</v>
      </c>
      <c r="Q37" s="22"/>
      <c r="R37" s="23">
        <v>15</v>
      </c>
      <c r="S37" s="24">
        <v>46054</v>
      </c>
      <c r="T37" s="23">
        <v>2.25</v>
      </c>
      <c r="U37" s="25">
        <v>4</v>
      </c>
      <c r="V37" s="23">
        <v>12.75</v>
      </c>
      <c r="W37" s="18" t="s">
        <v>47</v>
      </c>
      <c r="X37" s="18" t="s">
        <v>48</v>
      </c>
      <c r="Y37" s="18" t="s">
        <v>36</v>
      </c>
      <c r="Z37" s="18" t="s">
        <v>9</v>
      </c>
      <c r="AA37" s="18" t="s">
        <v>49</v>
      </c>
      <c r="AB37" s="18" t="s">
        <v>162</v>
      </c>
      <c r="AC37" s="18" t="s">
        <v>38</v>
      </c>
      <c r="AD37" s="7" t="str">
        <f t="shared" si="0"/>
        <v/>
      </c>
      <c r="AE37" s="26"/>
      <c r="AF37" s="26"/>
      <c r="AG37" s="26"/>
      <c r="AH37" s="26"/>
      <c r="AI37" s="27"/>
      <c r="AJ37" s="27"/>
      <c r="AK37" s="27"/>
      <c r="AL37" s="27"/>
      <c r="AM37" s="27"/>
      <c r="AN37" s="27"/>
      <c r="AO37" s="27"/>
      <c r="AP37" s="27"/>
      <c r="AQ37" s="27"/>
      <c r="AR37" s="27"/>
      <c r="AS37" s="27"/>
      <c r="AT37" s="27"/>
      <c r="AU37" s="27"/>
      <c r="AV37" s="27"/>
      <c r="AW37" s="27"/>
    </row>
    <row r="38" spans="1:49" s="48" customFormat="1" ht="35.1" customHeight="1" x14ac:dyDescent="0.25">
      <c r="A38" s="18" t="s">
        <v>159</v>
      </c>
      <c r="B38" s="19">
        <v>46053</v>
      </c>
      <c r="C38" s="19">
        <v>46053</v>
      </c>
      <c r="D38" s="18" t="s">
        <v>224</v>
      </c>
      <c r="E38" s="20">
        <v>0.54166666666666663</v>
      </c>
      <c r="F38" s="20">
        <v>0.66666666666666663</v>
      </c>
      <c r="G38" s="28">
        <v>1.7361111111111109E-4</v>
      </c>
      <c r="H38" s="29" t="s">
        <v>160</v>
      </c>
      <c r="I38" s="21">
        <v>0.66581354166666673</v>
      </c>
      <c r="J38" s="18" t="s">
        <v>105</v>
      </c>
      <c r="K38" s="18" t="s">
        <v>248</v>
      </c>
      <c r="L38" s="22">
        <v>1</v>
      </c>
      <c r="M38" s="22">
        <v>71011</v>
      </c>
      <c r="N38" s="18" t="s">
        <v>46</v>
      </c>
      <c r="O38" s="22" t="s">
        <v>161</v>
      </c>
      <c r="P38" s="23">
        <v>0</v>
      </c>
      <c r="Q38" s="22"/>
      <c r="R38" s="23">
        <v>0</v>
      </c>
      <c r="S38" s="24">
        <v>46054</v>
      </c>
      <c r="T38" s="23">
        <v>0</v>
      </c>
      <c r="U38" s="25">
        <v>4</v>
      </c>
      <c r="V38" s="23">
        <v>0</v>
      </c>
      <c r="W38" s="18" t="s">
        <v>47</v>
      </c>
      <c r="X38" s="18" t="s">
        <v>48</v>
      </c>
      <c r="Y38" s="18" t="s">
        <v>36</v>
      </c>
      <c r="Z38" s="18" t="s">
        <v>9</v>
      </c>
      <c r="AA38" s="18" t="s">
        <v>49</v>
      </c>
      <c r="AB38" s="18" t="s">
        <v>162</v>
      </c>
      <c r="AC38" s="18" t="s">
        <v>38</v>
      </c>
      <c r="AD38" s="7" t="str">
        <f t="shared" si="0"/>
        <v/>
      </c>
      <c r="AE38" s="26"/>
      <c r="AF38" s="26"/>
      <c r="AG38" s="26"/>
      <c r="AH38" s="26"/>
      <c r="AI38" s="27"/>
      <c r="AJ38" s="27"/>
      <c r="AK38" s="27"/>
      <c r="AL38" s="27"/>
      <c r="AM38" s="27"/>
      <c r="AN38" s="27"/>
      <c r="AO38" s="27"/>
      <c r="AP38" s="27"/>
      <c r="AQ38" s="27"/>
      <c r="AR38" s="27"/>
      <c r="AS38" s="27"/>
      <c r="AT38" s="27"/>
      <c r="AU38" s="27"/>
      <c r="AV38" s="27"/>
      <c r="AW38" s="27"/>
    </row>
    <row r="39" spans="1:49" s="48" customFormat="1" ht="35.1" customHeight="1" x14ac:dyDescent="0.25">
      <c r="A39" s="18" t="s">
        <v>106</v>
      </c>
      <c r="B39" s="19">
        <v>46053</v>
      </c>
      <c r="C39" s="19">
        <v>46053</v>
      </c>
      <c r="D39" s="18" t="s">
        <v>224</v>
      </c>
      <c r="E39" s="20">
        <v>0.54166666666666663</v>
      </c>
      <c r="F39" s="20">
        <v>0.66666666666666663</v>
      </c>
      <c r="G39" s="20">
        <v>3.4722222222222218E-4</v>
      </c>
      <c r="H39" s="18" t="s">
        <v>107</v>
      </c>
      <c r="I39" s="21">
        <v>0.66599548611111115</v>
      </c>
      <c r="J39" s="18" t="s">
        <v>105</v>
      </c>
      <c r="K39" s="18" t="s">
        <v>248</v>
      </c>
      <c r="L39" s="22">
        <v>1</v>
      </c>
      <c r="M39" s="22">
        <v>58166</v>
      </c>
      <c r="N39" s="18" t="s">
        <v>53</v>
      </c>
      <c r="O39" s="22" t="s">
        <v>108</v>
      </c>
      <c r="P39" s="23">
        <v>29.411764705882355</v>
      </c>
      <c r="Q39" s="22"/>
      <c r="R39" s="23">
        <v>29.411764705882355</v>
      </c>
      <c r="S39" s="24">
        <v>46054</v>
      </c>
      <c r="T39" s="23">
        <v>4.4117647058823533</v>
      </c>
      <c r="U39" s="25">
        <v>4</v>
      </c>
      <c r="V39" s="23">
        <v>25</v>
      </c>
      <c r="W39" s="18" t="s">
        <v>34</v>
      </c>
      <c r="X39" s="18" t="s">
        <v>48</v>
      </c>
      <c r="Y39" s="18" t="s">
        <v>36</v>
      </c>
      <c r="Z39" s="18" t="s">
        <v>9</v>
      </c>
      <c r="AA39" s="18" t="s">
        <v>49</v>
      </c>
      <c r="AB39" s="18" t="s">
        <v>109</v>
      </c>
      <c r="AC39" s="18" t="s">
        <v>38</v>
      </c>
      <c r="AD39" s="7" t="str">
        <f t="shared" si="0"/>
        <v/>
      </c>
      <c r="AE39" s="26"/>
      <c r="AF39" s="26"/>
      <c r="AG39" s="26"/>
      <c r="AH39" s="26"/>
      <c r="AI39" s="27"/>
      <c r="AJ39" s="27"/>
      <c r="AK39" s="27"/>
      <c r="AL39" s="27"/>
      <c r="AM39" s="27"/>
      <c r="AN39" s="27"/>
      <c r="AO39" s="27"/>
      <c r="AP39" s="27"/>
      <c r="AQ39" s="27"/>
      <c r="AR39" s="27"/>
      <c r="AS39" s="27"/>
      <c r="AT39" s="27"/>
      <c r="AU39" s="27"/>
      <c r="AV39" s="27"/>
      <c r="AW39" s="27"/>
    </row>
    <row r="40" spans="1:49" s="48" customFormat="1" ht="35.1" customHeight="1" x14ac:dyDescent="0.25">
      <c r="A40" s="18" t="s">
        <v>159</v>
      </c>
      <c r="B40" s="19">
        <v>46053</v>
      </c>
      <c r="C40" s="19">
        <v>46053</v>
      </c>
      <c r="D40" s="18" t="s">
        <v>224</v>
      </c>
      <c r="E40" s="20">
        <v>0.54166666666666663</v>
      </c>
      <c r="F40" s="20">
        <v>0.66666666666666663</v>
      </c>
      <c r="G40" s="28">
        <v>1.7361111111111109E-4</v>
      </c>
      <c r="H40" s="29" t="s">
        <v>163</v>
      </c>
      <c r="I40" s="21">
        <v>0.66634270833333331</v>
      </c>
      <c r="J40" s="18" t="s">
        <v>105</v>
      </c>
      <c r="K40" s="18" t="s">
        <v>248</v>
      </c>
      <c r="L40" s="22">
        <v>1</v>
      </c>
      <c r="M40" s="22">
        <v>71011</v>
      </c>
      <c r="N40" s="18" t="s">
        <v>46</v>
      </c>
      <c r="O40" s="22" t="s">
        <v>161</v>
      </c>
      <c r="P40" s="23">
        <v>0</v>
      </c>
      <c r="Q40" s="22"/>
      <c r="R40" s="23">
        <v>0</v>
      </c>
      <c r="S40" s="24">
        <v>46054</v>
      </c>
      <c r="T40" s="23">
        <v>0</v>
      </c>
      <c r="U40" s="25">
        <v>4</v>
      </c>
      <c r="V40" s="23">
        <v>0</v>
      </c>
      <c r="W40" s="18" t="s">
        <v>47</v>
      </c>
      <c r="X40" s="18" t="s">
        <v>48</v>
      </c>
      <c r="Y40" s="18" t="s">
        <v>36</v>
      </c>
      <c r="Z40" s="18" t="s">
        <v>9</v>
      </c>
      <c r="AA40" s="18" t="s">
        <v>49</v>
      </c>
      <c r="AB40" s="18" t="s">
        <v>162</v>
      </c>
      <c r="AC40" s="18" t="s">
        <v>38</v>
      </c>
      <c r="AD40" s="7" t="str">
        <f t="shared" si="0"/>
        <v/>
      </c>
      <c r="AE40" s="26"/>
      <c r="AF40" s="26"/>
      <c r="AG40" s="26"/>
      <c r="AH40" s="26"/>
      <c r="AI40" s="27"/>
      <c r="AJ40" s="27"/>
      <c r="AK40" s="27"/>
      <c r="AL40" s="27"/>
      <c r="AM40" s="27"/>
      <c r="AN40" s="27"/>
      <c r="AO40" s="27"/>
      <c r="AP40" s="27"/>
      <c r="AQ40" s="27"/>
      <c r="AR40" s="27"/>
      <c r="AS40" s="27"/>
      <c r="AT40" s="27"/>
      <c r="AU40" s="27"/>
      <c r="AV40" s="27"/>
      <c r="AW40" s="27"/>
    </row>
    <row r="41" spans="1:49" s="31" customFormat="1" ht="35.1" customHeight="1" x14ac:dyDescent="0.25">
      <c r="A41" s="9" t="s">
        <v>118</v>
      </c>
      <c r="B41" s="10">
        <v>46053</v>
      </c>
      <c r="C41" s="10">
        <v>46053</v>
      </c>
      <c r="D41" s="11" t="s">
        <v>224</v>
      </c>
      <c r="E41" s="12">
        <v>0.66666666666666663</v>
      </c>
      <c r="F41" s="12">
        <v>0.70833333333333337</v>
      </c>
      <c r="G41" s="12">
        <v>4.1666666666666664E-2</v>
      </c>
      <c r="H41" s="9" t="s">
        <v>125</v>
      </c>
      <c r="I41" s="13" t="s">
        <v>226</v>
      </c>
      <c r="J41" s="9" t="s">
        <v>120</v>
      </c>
      <c r="K41" s="9"/>
      <c r="L41" s="14">
        <v>1</v>
      </c>
      <c r="M41" s="14">
        <v>1</v>
      </c>
      <c r="N41" s="9" t="s">
        <v>33</v>
      </c>
      <c r="O41" s="9"/>
      <c r="P41" s="16">
        <v>0</v>
      </c>
      <c r="Q41" s="14"/>
      <c r="R41" s="16">
        <v>0</v>
      </c>
      <c r="S41" s="9">
        <v>46054</v>
      </c>
      <c r="T41" s="16">
        <v>0</v>
      </c>
      <c r="U41" s="14">
        <v>2</v>
      </c>
      <c r="V41" s="16">
        <v>0</v>
      </c>
      <c r="W41" s="9" t="s">
        <v>34</v>
      </c>
      <c r="X41" s="9" t="s">
        <v>42</v>
      </c>
      <c r="Y41" s="9" t="s">
        <v>36</v>
      </c>
      <c r="Z41" s="9" t="s">
        <v>43</v>
      </c>
      <c r="AA41" s="9" t="s">
        <v>37</v>
      </c>
      <c r="AB41" s="9" t="s">
        <v>37</v>
      </c>
      <c r="AC41" s="9" t="s">
        <v>38</v>
      </c>
      <c r="AD41" s="7" t="str">
        <f t="shared" si="0"/>
        <v/>
      </c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</row>
    <row r="42" spans="1:49" s="48" customFormat="1" ht="35.1" customHeight="1" x14ac:dyDescent="0.2">
      <c r="A42" s="18" t="s">
        <v>186</v>
      </c>
      <c r="B42" s="19">
        <v>46053</v>
      </c>
      <c r="C42" s="19">
        <v>46053</v>
      </c>
      <c r="D42" s="18" t="s">
        <v>224</v>
      </c>
      <c r="E42" s="20">
        <v>0.66666666666666663</v>
      </c>
      <c r="F42" s="20">
        <v>0.75</v>
      </c>
      <c r="G42" s="20">
        <v>3.4722222222222218E-4</v>
      </c>
      <c r="H42" s="18" t="s">
        <v>187</v>
      </c>
      <c r="I42" s="21">
        <v>0.68023449074074072</v>
      </c>
      <c r="J42" s="18" t="s">
        <v>120</v>
      </c>
      <c r="K42" s="18" t="s">
        <v>125</v>
      </c>
      <c r="L42" s="22">
        <v>1</v>
      </c>
      <c r="M42" s="22">
        <v>59761</v>
      </c>
      <c r="N42" s="18" t="s">
        <v>53</v>
      </c>
      <c r="O42" s="22"/>
      <c r="P42" s="23">
        <v>40</v>
      </c>
      <c r="Q42" s="22"/>
      <c r="R42" s="23">
        <v>40</v>
      </c>
      <c r="S42" s="24">
        <v>46054</v>
      </c>
      <c r="T42" s="23">
        <v>0</v>
      </c>
      <c r="U42" s="25">
        <v>4</v>
      </c>
      <c r="V42" s="23">
        <v>40</v>
      </c>
      <c r="W42" s="18" t="s">
        <v>47</v>
      </c>
      <c r="X42" s="18" t="s">
        <v>48</v>
      </c>
      <c r="Y42" s="18" t="s">
        <v>36</v>
      </c>
      <c r="Z42" s="18" t="s">
        <v>9</v>
      </c>
      <c r="AA42" s="18" t="s">
        <v>49</v>
      </c>
      <c r="AB42" s="18" t="s">
        <v>188</v>
      </c>
      <c r="AC42" s="18" t="s">
        <v>38</v>
      </c>
      <c r="AD42" s="7" t="str">
        <f t="shared" si="0"/>
        <v/>
      </c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</row>
    <row r="43" spans="1:49" s="48" customFormat="1" ht="35.1" customHeight="1" x14ac:dyDescent="0.2">
      <c r="A43" s="18" t="s">
        <v>159</v>
      </c>
      <c r="B43" s="19">
        <v>46053</v>
      </c>
      <c r="C43" s="19">
        <v>46053</v>
      </c>
      <c r="D43" s="18" t="s">
        <v>224</v>
      </c>
      <c r="E43" s="20">
        <v>0.66666666666666663</v>
      </c>
      <c r="F43" s="20">
        <v>0.79166666666666663</v>
      </c>
      <c r="G43" s="28">
        <v>1.7361111111111109E-4</v>
      </c>
      <c r="H43" s="29" t="s">
        <v>164</v>
      </c>
      <c r="I43" s="21">
        <v>0.68560428240740745</v>
      </c>
      <c r="J43" s="18" t="s">
        <v>120</v>
      </c>
      <c r="K43" s="18" t="s">
        <v>125</v>
      </c>
      <c r="L43" s="22">
        <v>1</v>
      </c>
      <c r="M43" s="22">
        <v>71004</v>
      </c>
      <c r="N43" s="18" t="s">
        <v>46</v>
      </c>
      <c r="O43" s="22" t="s">
        <v>161</v>
      </c>
      <c r="P43" s="23">
        <v>0</v>
      </c>
      <c r="Q43" s="22"/>
      <c r="R43" s="23">
        <v>0</v>
      </c>
      <c r="S43" s="24">
        <v>46054</v>
      </c>
      <c r="T43" s="23">
        <v>0</v>
      </c>
      <c r="U43" s="25">
        <v>4</v>
      </c>
      <c r="V43" s="23">
        <v>0</v>
      </c>
      <c r="W43" s="18" t="s">
        <v>47</v>
      </c>
      <c r="X43" s="18" t="s">
        <v>48</v>
      </c>
      <c r="Y43" s="18" t="s">
        <v>36</v>
      </c>
      <c r="Z43" s="18" t="s">
        <v>9</v>
      </c>
      <c r="AA43" s="18" t="s">
        <v>49</v>
      </c>
      <c r="AB43" s="18" t="s">
        <v>162</v>
      </c>
      <c r="AC43" s="18" t="s">
        <v>38</v>
      </c>
      <c r="AD43" s="7" t="str">
        <f t="shared" si="0"/>
        <v/>
      </c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</row>
    <row r="44" spans="1:49" s="48" customFormat="1" ht="35.1" customHeight="1" x14ac:dyDescent="0.2">
      <c r="A44" s="18" t="s">
        <v>159</v>
      </c>
      <c r="B44" s="19">
        <v>46053</v>
      </c>
      <c r="C44" s="19">
        <v>46053</v>
      </c>
      <c r="D44" s="18" t="s">
        <v>224</v>
      </c>
      <c r="E44" s="20">
        <v>0.66666666666666663</v>
      </c>
      <c r="F44" s="20">
        <v>0.79166666666666663</v>
      </c>
      <c r="G44" s="28">
        <v>1.7361111111111109E-4</v>
      </c>
      <c r="H44" s="29" t="s">
        <v>165</v>
      </c>
      <c r="I44" s="21">
        <v>0.68751400462962964</v>
      </c>
      <c r="J44" s="18" t="s">
        <v>120</v>
      </c>
      <c r="K44" s="18" t="s">
        <v>125</v>
      </c>
      <c r="L44" s="22">
        <v>1</v>
      </c>
      <c r="M44" s="22">
        <v>71004</v>
      </c>
      <c r="N44" s="18" t="s">
        <v>46</v>
      </c>
      <c r="O44" s="22" t="s">
        <v>161</v>
      </c>
      <c r="P44" s="23">
        <v>0</v>
      </c>
      <c r="Q44" s="22"/>
      <c r="R44" s="23">
        <v>0</v>
      </c>
      <c r="S44" s="24">
        <v>46054</v>
      </c>
      <c r="T44" s="23">
        <v>0</v>
      </c>
      <c r="U44" s="25">
        <v>4</v>
      </c>
      <c r="V44" s="23">
        <v>0</v>
      </c>
      <c r="W44" s="18" t="s">
        <v>47</v>
      </c>
      <c r="X44" s="18" t="s">
        <v>48</v>
      </c>
      <c r="Y44" s="18" t="s">
        <v>36</v>
      </c>
      <c r="Z44" s="18" t="s">
        <v>9</v>
      </c>
      <c r="AA44" s="18" t="s">
        <v>49</v>
      </c>
      <c r="AB44" s="18" t="s">
        <v>162</v>
      </c>
      <c r="AC44" s="18" t="s">
        <v>38</v>
      </c>
      <c r="AD44" s="7" t="str">
        <f t="shared" si="0"/>
        <v/>
      </c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</row>
    <row r="45" spans="1:49" s="31" customFormat="1" ht="35.1" customHeight="1" x14ac:dyDescent="0.25">
      <c r="A45" s="9" t="s">
        <v>123</v>
      </c>
      <c r="B45" s="10">
        <v>46053</v>
      </c>
      <c r="C45" s="10">
        <v>46053</v>
      </c>
      <c r="D45" s="11" t="s">
        <v>224</v>
      </c>
      <c r="E45" s="12">
        <v>0.70833333333333337</v>
      </c>
      <c r="F45" s="12">
        <v>0.75</v>
      </c>
      <c r="G45" s="12">
        <v>4.1666666666666664E-2</v>
      </c>
      <c r="H45" s="9" t="s">
        <v>189</v>
      </c>
      <c r="I45" s="13" t="s">
        <v>226</v>
      </c>
      <c r="J45" s="9" t="s">
        <v>120</v>
      </c>
      <c r="K45" s="9"/>
      <c r="L45" s="14">
        <v>1</v>
      </c>
      <c r="M45" s="14">
        <v>1</v>
      </c>
      <c r="N45" s="9" t="s">
        <v>33</v>
      </c>
      <c r="O45" s="9"/>
      <c r="P45" s="16">
        <v>0</v>
      </c>
      <c r="Q45" s="14"/>
      <c r="R45" s="16">
        <v>0</v>
      </c>
      <c r="S45" s="9">
        <v>46054</v>
      </c>
      <c r="T45" s="16">
        <v>0</v>
      </c>
      <c r="U45" s="14">
        <v>2</v>
      </c>
      <c r="V45" s="16">
        <v>0</v>
      </c>
      <c r="W45" s="9" t="s">
        <v>34</v>
      </c>
      <c r="X45" s="9" t="s">
        <v>42</v>
      </c>
      <c r="Y45" s="9" t="s">
        <v>36</v>
      </c>
      <c r="Z45" s="9" t="s">
        <v>43</v>
      </c>
      <c r="AA45" s="9" t="s">
        <v>37</v>
      </c>
      <c r="AB45" s="9" t="s">
        <v>37</v>
      </c>
      <c r="AC45" s="9" t="s">
        <v>38</v>
      </c>
      <c r="AD45" s="7" t="str">
        <f t="shared" si="0"/>
        <v/>
      </c>
      <c r="AE45" s="26"/>
      <c r="AF45" s="26"/>
      <c r="AG45" s="26"/>
      <c r="AH45" s="26"/>
      <c r="AI45" s="27"/>
      <c r="AJ45" s="27"/>
      <c r="AK45" s="27"/>
      <c r="AL45" s="27"/>
      <c r="AM45" s="27"/>
      <c r="AN45" s="27"/>
      <c r="AO45" s="27"/>
      <c r="AP45" s="27"/>
      <c r="AQ45" s="27"/>
      <c r="AR45" s="27"/>
      <c r="AS45" s="27"/>
      <c r="AT45" s="27"/>
      <c r="AU45" s="27"/>
      <c r="AV45" s="27"/>
      <c r="AW45" s="27"/>
    </row>
    <row r="46" spans="1:49" s="48" customFormat="1" ht="35.1" customHeight="1" x14ac:dyDescent="0.25">
      <c r="A46" s="18" t="s">
        <v>56</v>
      </c>
      <c r="B46" s="19">
        <v>46053</v>
      </c>
      <c r="C46" s="19">
        <v>46053</v>
      </c>
      <c r="D46" s="18" t="s">
        <v>224</v>
      </c>
      <c r="E46" s="20">
        <v>0.66666666666666663</v>
      </c>
      <c r="F46" s="20">
        <v>0.79166666666666663</v>
      </c>
      <c r="G46" s="28">
        <v>1.7361111111111112E-4</v>
      </c>
      <c r="H46" s="29" t="s">
        <v>121</v>
      </c>
      <c r="I46" s="21">
        <v>0.73949409722222226</v>
      </c>
      <c r="J46" s="18" t="s">
        <v>120</v>
      </c>
      <c r="K46" s="18" t="s">
        <v>189</v>
      </c>
      <c r="L46" s="22">
        <v>1</v>
      </c>
      <c r="M46" s="22">
        <v>69828</v>
      </c>
      <c r="N46" s="18" t="s">
        <v>53</v>
      </c>
      <c r="O46" s="22"/>
      <c r="P46" s="23">
        <v>28</v>
      </c>
      <c r="Q46" s="22"/>
      <c r="R46" s="23">
        <v>28</v>
      </c>
      <c r="S46" s="24">
        <v>46053</v>
      </c>
      <c r="T46" s="23">
        <v>0</v>
      </c>
      <c r="U46" s="25">
        <v>4</v>
      </c>
      <c r="V46" s="23">
        <v>28</v>
      </c>
      <c r="W46" s="18" t="s">
        <v>34</v>
      </c>
      <c r="X46" s="18" t="s">
        <v>48</v>
      </c>
      <c r="Y46" s="18" t="s">
        <v>58</v>
      </c>
      <c r="Z46" s="18" t="s">
        <v>43</v>
      </c>
      <c r="AA46" s="18" t="s">
        <v>49</v>
      </c>
      <c r="AB46" s="18" t="s">
        <v>59</v>
      </c>
      <c r="AC46" s="18" t="s">
        <v>38</v>
      </c>
      <c r="AD46" s="7" t="str">
        <f t="shared" si="0"/>
        <v/>
      </c>
      <c r="AE46" s="26"/>
      <c r="AF46" s="26"/>
      <c r="AG46" s="26"/>
      <c r="AH46" s="26"/>
      <c r="AI46" s="27"/>
      <c r="AJ46" s="27"/>
      <c r="AK46" s="27"/>
      <c r="AL46" s="27"/>
      <c r="AM46" s="27"/>
      <c r="AN46" s="27"/>
      <c r="AO46" s="27"/>
      <c r="AP46" s="27"/>
      <c r="AQ46" s="27"/>
      <c r="AR46" s="27"/>
      <c r="AS46" s="27"/>
      <c r="AT46" s="27"/>
      <c r="AU46" s="27"/>
      <c r="AV46" s="27"/>
      <c r="AW46" s="27"/>
    </row>
    <row r="47" spans="1:49" s="48" customFormat="1" ht="35.1" customHeight="1" x14ac:dyDescent="0.2">
      <c r="A47" s="18" t="s">
        <v>56</v>
      </c>
      <c r="B47" s="19">
        <v>46053</v>
      </c>
      <c r="C47" s="19">
        <v>46053</v>
      </c>
      <c r="D47" s="18" t="s">
        <v>224</v>
      </c>
      <c r="E47" s="20">
        <v>0.66666666666666663</v>
      </c>
      <c r="F47" s="20">
        <v>0.79166666666666663</v>
      </c>
      <c r="G47" s="28">
        <v>1.7361111111111112E-4</v>
      </c>
      <c r="H47" s="29" t="s">
        <v>122</v>
      </c>
      <c r="I47" s="21">
        <v>0.74140381944444445</v>
      </c>
      <c r="J47" s="18" t="s">
        <v>120</v>
      </c>
      <c r="K47" s="18" t="s">
        <v>189</v>
      </c>
      <c r="L47" s="22">
        <v>1</v>
      </c>
      <c r="M47" s="22">
        <v>69828</v>
      </c>
      <c r="N47" s="18" t="s">
        <v>53</v>
      </c>
      <c r="O47" s="22"/>
      <c r="P47" s="23">
        <v>0</v>
      </c>
      <c r="Q47" s="22"/>
      <c r="R47" s="23">
        <v>0</v>
      </c>
      <c r="S47" s="24">
        <v>46053</v>
      </c>
      <c r="T47" s="23">
        <v>0</v>
      </c>
      <c r="U47" s="25">
        <v>4</v>
      </c>
      <c r="V47" s="23">
        <v>0</v>
      </c>
      <c r="W47" s="18" t="s">
        <v>34</v>
      </c>
      <c r="X47" s="18" t="s">
        <v>48</v>
      </c>
      <c r="Y47" s="18" t="s">
        <v>58</v>
      </c>
      <c r="Z47" s="18" t="s">
        <v>43</v>
      </c>
      <c r="AA47" s="18" t="s">
        <v>49</v>
      </c>
      <c r="AB47" s="18" t="s">
        <v>59</v>
      </c>
      <c r="AC47" s="18" t="s">
        <v>38</v>
      </c>
      <c r="AD47" s="7" t="str">
        <f t="shared" si="0"/>
        <v/>
      </c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</row>
    <row r="48" spans="1:49" s="26" customFormat="1" ht="35.1" customHeight="1" x14ac:dyDescent="0.25">
      <c r="A48" s="9" t="s">
        <v>237</v>
      </c>
      <c r="B48" s="10">
        <v>46053</v>
      </c>
      <c r="C48" s="10">
        <v>46053</v>
      </c>
      <c r="D48" s="11" t="s">
        <v>224</v>
      </c>
      <c r="E48" s="12">
        <v>0.75</v>
      </c>
      <c r="F48" s="12">
        <v>0.79166666666666663</v>
      </c>
      <c r="G48" s="12">
        <v>4.1666666666666664E-2</v>
      </c>
      <c r="H48" s="9" t="s">
        <v>238</v>
      </c>
      <c r="I48" s="13"/>
      <c r="J48" s="9" t="s">
        <v>239</v>
      </c>
      <c r="K48" s="9"/>
      <c r="L48" s="14">
        <v>1</v>
      </c>
      <c r="M48" s="14">
        <v>1</v>
      </c>
      <c r="N48" s="9" t="s">
        <v>33</v>
      </c>
      <c r="O48" s="9"/>
      <c r="P48" s="16">
        <v>0</v>
      </c>
      <c r="Q48" s="14"/>
      <c r="R48" s="16">
        <v>0</v>
      </c>
      <c r="S48" s="9">
        <v>46054</v>
      </c>
      <c r="T48" s="16">
        <v>0</v>
      </c>
      <c r="U48" s="14">
        <v>2</v>
      </c>
      <c r="V48" s="16">
        <v>0</v>
      </c>
      <c r="W48" s="9" t="s">
        <v>34</v>
      </c>
      <c r="X48" s="9" t="s">
        <v>42</v>
      </c>
      <c r="Y48" s="9" t="s">
        <v>36</v>
      </c>
      <c r="Z48" s="9" t="s">
        <v>43</v>
      </c>
      <c r="AA48" s="9" t="s">
        <v>37</v>
      </c>
      <c r="AB48" s="9" t="s">
        <v>37</v>
      </c>
      <c r="AC48" s="9" t="s">
        <v>38</v>
      </c>
      <c r="AD48" s="7" t="str">
        <f t="shared" si="0"/>
        <v/>
      </c>
      <c r="AI48" s="27"/>
      <c r="AJ48" s="27"/>
      <c r="AK48" s="27"/>
      <c r="AL48" s="27"/>
      <c r="AM48" s="27"/>
      <c r="AN48" s="27"/>
      <c r="AO48" s="27"/>
      <c r="AP48" s="27"/>
      <c r="AQ48" s="27"/>
      <c r="AR48" s="27"/>
      <c r="AS48" s="27"/>
      <c r="AT48" s="27"/>
      <c r="AU48" s="27"/>
      <c r="AV48" s="27"/>
      <c r="AW48" s="27"/>
    </row>
    <row r="49" spans="1:49" s="48" customFormat="1" ht="35.1" customHeight="1" x14ac:dyDescent="0.25">
      <c r="A49" s="18" t="s">
        <v>56</v>
      </c>
      <c r="B49" s="19">
        <v>46053</v>
      </c>
      <c r="C49" s="19">
        <v>46053</v>
      </c>
      <c r="D49" s="18" t="s">
        <v>224</v>
      </c>
      <c r="E49" s="20">
        <v>0.75</v>
      </c>
      <c r="F49" s="20">
        <v>0.83333333333333337</v>
      </c>
      <c r="G49" s="28">
        <v>1.7361111111111112E-4</v>
      </c>
      <c r="H49" s="29" t="s">
        <v>245</v>
      </c>
      <c r="I49" s="21">
        <v>0.7590059027777778</v>
      </c>
      <c r="J49" s="18" t="s">
        <v>241</v>
      </c>
      <c r="K49" s="18" t="s">
        <v>237</v>
      </c>
      <c r="L49" s="22">
        <v>1</v>
      </c>
      <c r="M49" s="22">
        <v>69829</v>
      </c>
      <c r="N49" s="18" t="s">
        <v>53</v>
      </c>
      <c r="O49" s="22"/>
      <c r="P49" s="23">
        <v>34</v>
      </c>
      <c r="Q49" s="22"/>
      <c r="R49" s="23">
        <v>34</v>
      </c>
      <c r="S49" s="24">
        <v>46053</v>
      </c>
      <c r="T49" s="23">
        <v>0</v>
      </c>
      <c r="U49" s="25">
        <v>4</v>
      </c>
      <c r="V49" s="23">
        <v>34</v>
      </c>
      <c r="W49" s="18" t="s">
        <v>34</v>
      </c>
      <c r="X49" s="18" t="s">
        <v>48</v>
      </c>
      <c r="Y49" s="18" t="s">
        <v>58</v>
      </c>
      <c r="Z49" s="18" t="s">
        <v>43</v>
      </c>
      <c r="AA49" s="18" t="s">
        <v>49</v>
      </c>
      <c r="AB49" s="18" t="s">
        <v>59</v>
      </c>
      <c r="AC49" s="18" t="s">
        <v>38</v>
      </c>
      <c r="AD49" s="7" t="str">
        <f t="shared" si="0"/>
        <v/>
      </c>
      <c r="AE49" s="26"/>
      <c r="AF49" s="26"/>
      <c r="AG49" s="26"/>
      <c r="AH49" s="26"/>
      <c r="AI49" s="26"/>
      <c r="AJ49" s="26"/>
      <c r="AK49" s="26"/>
      <c r="AL49" s="26"/>
      <c r="AM49" s="26"/>
      <c r="AN49" s="26"/>
      <c r="AO49" s="26"/>
      <c r="AP49" s="26"/>
      <c r="AQ49" s="26"/>
      <c r="AR49" s="26"/>
      <c r="AS49" s="26"/>
      <c r="AT49" s="26"/>
      <c r="AU49" s="26"/>
      <c r="AV49" s="26"/>
      <c r="AW49" s="26"/>
    </row>
    <row r="50" spans="1:49" s="48" customFormat="1" ht="35.1" customHeight="1" x14ac:dyDescent="0.25">
      <c r="A50" s="18" t="s">
        <v>56</v>
      </c>
      <c r="B50" s="19">
        <v>46053</v>
      </c>
      <c r="C50" s="19">
        <v>46053</v>
      </c>
      <c r="D50" s="18" t="s">
        <v>224</v>
      </c>
      <c r="E50" s="20">
        <v>0.75</v>
      </c>
      <c r="F50" s="20">
        <v>0.83333333333333337</v>
      </c>
      <c r="G50" s="28">
        <v>1.7361111111111112E-4</v>
      </c>
      <c r="H50" s="29" t="s">
        <v>246</v>
      </c>
      <c r="I50" s="21">
        <v>0.76004768518518517</v>
      </c>
      <c r="J50" s="18" t="s">
        <v>241</v>
      </c>
      <c r="K50" s="18" t="s">
        <v>237</v>
      </c>
      <c r="L50" s="22">
        <v>1</v>
      </c>
      <c r="M50" s="22">
        <v>69829</v>
      </c>
      <c r="N50" s="18" t="s">
        <v>53</v>
      </c>
      <c r="O50" s="22"/>
      <c r="P50" s="23">
        <v>0</v>
      </c>
      <c r="Q50" s="22"/>
      <c r="R50" s="23">
        <v>0</v>
      </c>
      <c r="S50" s="24">
        <v>46053</v>
      </c>
      <c r="T50" s="23">
        <v>0</v>
      </c>
      <c r="U50" s="25">
        <v>4</v>
      </c>
      <c r="V50" s="23">
        <v>0</v>
      </c>
      <c r="W50" s="18" t="s">
        <v>34</v>
      </c>
      <c r="X50" s="18" t="s">
        <v>48</v>
      </c>
      <c r="Y50" s="18" t="s">
        <v>58</v>
      </c>
      <c r="Z50" s="18" t="s">
        <v>43</v>
      </c>
      <c r="AA50" s="18" t="s">
        <v>49</v>
      </c>
      <c r="AB50" s="18" t="s">
        <v>59</v>
      </c>
      <c r="AC50" s="18" t="s">
        <v>38</v>
      </c>
      <c r="AD50" s="7" t="str">
        <f t="shared" si="0"/>
        <v/>
      </c>
      <c r="AE50" s="26"/>
      <c r="AF50" s="26"/>
      <c r="AG50" s="26"/>
      <c r="AH50" s="26"/>
      <c r="AI50" s="26"/>
      <c r="AJ50" s="26"/>
      <c r="AK50" s="26"/>
      <c r="AL50" s="26"/>
      <c r="AM50" s="26"/>
      <c r="AN50" s="26"/>
      <c r="AO50" s="26"/>
      <c r="AP50" s="26"/>
      <c r="AQ50" s="26"/>
      <c r="AR50" s="26"/>
      <c r="AS50" s="26"/>
      <c r="AT50" s="26"/>
      <c r="AU50" s="26"/>
      <c r="AV50" s="26"/>
      <c r="AW50" s="26"/>
    </row>
    <row r="51" spans="1:49" s="48" customFormat="1" ht="35.1" customHeight="1" x14ac:dyDescent="0.25">
      <c r="A51" s="18" t="s">
        <v>167</v>
      </c>
      <c r="B51" s="19">
        <v>46053</v>
      </c>
      <c r="C51" s="19">
        <v>46053</v>
      </c>
      <c r="D51" s="18" t="s">
        <v>224</v>
      </c>
      <c r="E51" s="20">
        <v>0.25</v>
      </c>
      <c r="F51" s="20">
        <v>0.99930555555555556</v>
      </c>
      <c r="G51" s="20">
        <v>3.8194444444444446E-4</v>
      </c>
      <c r="H51" s="18" t="s">
        <v>168</v>
      </c>
      <c r="I51" s="21">
        <v>0.76743310185185187</v>
      </c>
      <c r="J51" s="18" t="s">
        <v>32</v>
      </c>
      <c r="K51" s="18" t="s">
        <v>237</v>
      </c>
      <c r="L51" s="22">
        <v>1</v>
      </c>
      <c r="M51" s="22">
        <v>61686</v>
      </c>
      <c r="N51" s="18" t="s">
        <v>53</v>
      </c>
      <c r="O51" s="22"/>
      <c r="P51" s="23">
        <v>92.592592592592595</v>
      </c>
      <c r="Q51" s="22"/>
      <c r="R51" s="23">
        <v>92.592592592592595</v>
      </c>
      <c r="S51" s="24">
        <v>46054</v>
      </c>
      <c r="T51" s="23">
        <v>0</v>
      </c>
      <c r="U51" s="25">
        <v>4</v>
      </c>
      <c r="V51" s="23">
        <v>92.592592592592595</v>
      </c>
      <c r="W51" s="18" t="s">
        <v>34</v>
      </c>
      <c r="X51" s="18" t="s">
        <v>169</v>
      </c>
      <c r="Y51" s="18" t="s">
        <v>36</v>
      </c>
      <c r="Z51" s="18" t="s">
        <v>169</v>
      </c>
      <c r="AA51" s="18" t="s">
        <v>49</v>
      </c>
      <c r="AB51" s="18" t="s">
        <v>170</v>
      </c>
      <c r="AC51" s="18" t="s">
        <v>38</v>
      </c>
      <c r="AD51" s="7" t="str">
        <f t="shared" si="0"/>
        <v/>
      </c>
      <c r="AE51" s="26"/>
      <c r="AF51" s="26"/>
      <c r="AG51" s="26"/>
      <c r="AH51" s="26"/>
      <c r="AI51" s="26"/>
      <c r="AJ51" s="26"/>
      <c r="AK51" s="26"/>
      <c r="AL51" s="26"/>
      <c r="AM51" s="26"/>
      <c r="AN51" s="26"/>
      <c r="AO51" s="26"/>
      <c r="AP51" s="26"/>
      <c r="AQ51" s="26"/>
      <c r="AR51" s="26"/>
      <c r="AS51" s="26"/>
      <c r="AT51" s="26"/>
      <c r="AU51" s="26"/>
      <c r="AV51" s="26"/>
      <c r="AW51" s="26"/>
    </row>
    <row r="52" spans="1:49" s="48" customFormat="1" ht="35.1" customHeight="1" x14ac:dyDescent="0.25">
      <c r="A52" s="18" t="s">
        <v>61</v>
      </c>
      <c r="B52" s="19">
        <v>46053</v>
      </c>
      <c r="C52" s="19">
        <v>46053</v>
      </c>
      <c r="D52" s="18" t="s">
        <v>224</v>
      </c>
      <c r="E52" s="20">
        <v>0.75</v>
      </c>
      <c r="F52" s="20">
        <v>0.83333333333333337</v>
      </c>
      <c r="G52" s="20">
        <v>3.4722222222222218E-4</v>
      </c>
      <c r="H52" s="18" t="s">
        <v>240</v>
      </c>
      <c r="I52" s="21">
        <v>0.76781504629629627</v>
      </c>
      <c r="J52" s="18" t="s">
        <v>241</v>
      </c>
      <c r="K52" s="18" t="s">
        <v>237</v>
      </c>
      <c r="L52" s="22">
        <v>1</v>
      </c>
      <c r="M52" s="22">
        <v>64418</v>
      </c>
      <c r="N52" s="18" t="s">
        <v>46</v>
      </c>
      <c r="O52" s="22" t="s">
        <v>63</v>
      </c>
      <c r="P52" s="23">
        <v>0</v>
      </c>
      <c r="Q52" s="22"/>
      <c r="R52" s="23">
        <v>0</v>
      </c>
      <c r="S52" s="24">
        <v>46054</v>
      </c>
      <c r="T52" s="23">
        <v>0</v>
      </c>
      <c r="U52" s="25">
        <v>4</v>
      </c>
      <c r="V52" s="23">
        <v>0</v>
      </c>
      <c r="W52" s="18" t="s">
        <v>47</v>
      </c>
      <c r="X52" s="18" t="s">
        <v>48</v>
      </c>
      <c r="Y52" s="18" t="s">
        <v>36</v>
      </c>
      <c r="Z52" s="18" t="s">
        <v>9</v>
      </c>
      <c r="AA52" s="18" t="s">
        <v>49</v>
      </c>
      <c r="AB52" s="18" t="s">
        <v>64</v>
      </c>
      <c r="AC52" s="18" t="s">
        <v>38</v>
      </c>
      <c r="AD52" s="7" t="str">
        <f t="shared" si="0"/>
        <v/>
      </c>
      <c r="AE52" s="26"/>
      <c r="AF52" s="26"/>
      <c r="AG52" s="26"/>
      <c r="AH52" s="26"/>
      <c r="AI52" s="26"/>
      <c r="AJ52" s="26"/>
      <c r="AK52" s="26"/>
      <c r="AL52" s="26"/>
      <c r="AM52" s="26"/>
      <c r="AN52" s="26"/>
      <c r="AO52" s="26"/>
      <c r="AP52" s="26"/>
      <c r="AQ52" s="26"/>
      <c r="AR52" s="26"/>
      <c r="AS52" s="26"/>
      <c r="AT52" s="26"/>
      <c r="AU52" s="26"/>
      <c r="AV52" s="26"/>
      <c r="AW52" s="26"/>
    </row>
    <row r="53" spans="1:49" s="48" customFormat="1" ht="35.1" customHeight="1" x14ac:dyDescent="0.25">
      <c r="A53" s="18" t="s">
        <v>182</v>
      </c>
      <c r="B53" s="19">
        <v>46053</v>
      </c>
      <c r="C53" s="19">
        <v>46053</v>
      </c>
      <c r="D53" s="18" t="s">
        <v>224</v>
      </c>
      <c r="E53" s="20">
        <v>0.75</v>
      </c>
      <c r="F53" s="20">
        <v>0.83333333333333337</v>
      </c>
      <c r="G53" s="20">
        <v>3.4722222222222218E-4</v>
      </c>
      <c r="H53" s="18" t="s">
        <v>183</v>
      </c>
      <c r="I53" s="21">
        <v>0.77549976851851843</v>
      </c>
      <c r="J53" s="18" t="s">
        <v>241</v>
      </c>
      <c r="K53" s="18" t="s">
        <v>237</v>
      </c>
      <c r="L53" s="22">
        <v>1</v>
      </c>
      <c r="M53" s="22">
        <v>69628</v>
      </c>
      <c r="N53" s="18" t="s">
        <v>53</v>
      </c>
      <c r="O53" s="22" t="s">
        <v>242</v>
      </c>
      <c r="P53" s="23">
        <v>52.941176470588232</v>
      </c>
      <c r="Q53" s="22"/>
      <c r="R53" s="23">
        <v>52.941176470588232</v>
      </c>
      <c r="S53" s="24">
        <v>46053</v>
      </c>
      <c r="T53" s="23">
        <v>7.9411764705882346</v>
      </c>
      <c r="U53" s="25">
        <v>4</v>
      </c>
      <c r="V53" s="23">
        <v>45</v>
      </c>
      <c r="W53" s="18" t="s">
        <v>47</v>
      </c>
      <c r="X53" s="18" t="s">
        <v>48</v>
      </c>
      <c r="Y53" s="18" t="s">
        <v>58</v>
      </c>
      <c r="Z53" s="18" t="s">
        <v>9</v>
      </c>
      <c r="AA53" s="18" t="s">
        <v>49</v>
      </c>
      <c r="AB53" s="18" t="s">
        <v>243</v>
      </c>
      <c r="AC53" s="18" t="s">
        <v>38</v>
      </c>
      <c r="AD53" s="7" t="str">
        <f t="shared" si="0"/>
        <v/>
      </c>
      <c r="AE53" s="26"/>
      <c r="AF53" s="26"/>
      <c r="AG53" s="26"/>
      <c r="AH53" s="26"/>
      <c r="AI53" s="30"/>
      <c r="AJ53" s="30"/>
      <c r="AK53" s="30"/>
      <c r="AL53" s="30"/>
      <c r="AM53" s="30"/>
      <c r="AN53" s="30"/>
      <c r="AO53" s="30"/>
      <c r="AP53" s="30"/>
      <c r="AQ53" s="30"/>
      <c r="AR53" s="30"/>
      <c r="AS53" s="30"/>
      <c r="AT53" s="30"/>
      <c r="AU53" s="30"/>
      <c r="AV53" s="30"/>
      <c r="AW53" s="30"/>
    </row>
    <row r="54" spans="1:49" s="48" customFormat="1" ht="35.1" customHeight="1" x14ac:dyDescent="0.25">
      <c r="A54" s="18" t="s">
        <v>159</v>
      </c>
      <c r="B54" s="19">
        <v>46053</v>
      </c>
      <c r="C54" s="19">
        <v>46053</v>
      </c>
      <c r="D54" s="18" t="s">
        <v>224</v>
      </c>
      <c r="E54" s="20">
        <v>0.75</v>
      </c>
      <c r="F54" s="20">
        <v>0.83333333333333337</v>
      </c>
      <c r="G54" s="28">
        <v>1.7361111111111109E-4</v>
      </c>
      <c r="H54" s="29" t="s">
        <v>160</v>
      </c>
      <c r="I54" s="21">
        <v>0.77393726851851841</v>
      </c>
      <c r="J54" s="18" t="s">
        <v>241</v>
      </c>
      <c r="K54" s="18" t="s">
        <v>237</v>
      </c>
      <c r="L54" s="22">
        <v>1</v>
      </c>
      <c r="M54" s="22">
        <v>71102</v>
      </c>
      <c r="N54" s="18" t="s">
        <v>53</v>
      </c>
      <c r="O54" s="22" t="s">
        <v>161</v>
      </c>
      <c r="P54" s="23">
        <v>15</v>
      </c>
      <c r="Q54" s="22"/>
      <c r="R54" s="23">
        <v>15</v>
      </c>
      <c r="S54" s="24">
        <v>46054</v>
      </c>
      <c r="T54" s="23">
        <v>2.25</v>
      </c>
      <c r="U54" s="25">
        <v>4</v>
      </c>
      <c r="V54" s="23">
        <v>12.75</v>
      </c>
      <c r="W54" s="18" t="s">
        <v>47</v>
      </c>
      <c r="X54" s="18" t="s">
        <v>48</v>
      </c>
      <c r="Y54" s="18" t="s">
        <v>36</v>
      </c>
      <c r="Z54" s="18" t="s">
        <v>9</v>
      </c>
      <c r="AA54" s="18" t="s">
        <v>49</v>
      </c>
      <c r="AB54" s="18" t="s">
        <v>162</v>
      </c>
      <c r="AC54" s="18" t="s">
        <v>38</v>
      </c>
      <c r="AD54" s="7" t="str">
        <f t="shared" si="0"/>
        <v/>
      </c>
      <c r="AE54" s="26"/>
      <c r="AF54" s="26"/>
      <c r="AG54" s="26"/>
      <c r="AH54" s="26"/>
      <c r="AI54" s="30"/>
      <c r="AJ54" s="30"/>
      <c r="AK54" s="30"/>
      <c r="AL54" s="30"/>
      <c r="AM54" s="30"/>
      <c r="AN54" s="30"/>
      <c r="AO54" s="30"/>
      <c r="AP54" s="30"/>
      <c r="AQ54" s="30"/>
      <c r="AR54" s="30"/>
      <c r="AS54" s="30"/>
      <c r="AT54" s="30"/>
      <c r="AU54" s="30"/>
      <c r="AV54" s="30"/>
      <c r="AW54" s="30"/>
    </row>
    <row r="55" spans="1:49" s="48" customFormat="1" ht="35.1" customHeight="1" x14ac:dyDescent="0.25">
      <c r="A55" s="18" t="s">
        <v>159</v>
      </c>
      <c r="B55" s="19">
        <v>46053</v>
      </c>
      <c r="C55" s="19">
        <v>46053</v>
      </c>
      <c r="D55" s="18" t="s">
        <v>224</v>
      </c>
      <c r="E55" s="20">
        <v>0.75</v>
      </c>
      <c r="F55" s="20">
        <v>0.83333333333333337</v>
      </c>
      <c r="G55" s="28">
        <v>1.7361111111111109E-4</v>
      </c>
      <c r="H55" s="29" t="s">
        <v>163</v>
      </c>
      <c r="I55" s="21">
        <v>0.77584722222222224</v>
      </c>
      <c r="J55" s="18" t="s">
        <v>241</v>
      </c>
      <c r="K55" s="18" t="s">
        <v>237</v>
      </c>
      <c r="L55" s="22">
        <v>1</v>
      </c>
      <c r="M55" s="22">
        <v>71102</v>
      </c>
      <c r="N55" s="18" t="s">
        <v>53</v>
      </c>
      <c r="O55" s="22" t="s">
        <v>161</v>
      </c>
      <c r="P55" s="23">
        <v>15</v>
      </c>
      <c r="Q55" s="22"/>
      <c r="R55" s="23">
        <v>15</v>
      </c>
      <c r="S55" s="24">
        <v>46054</v>
      </c>
      <c r="T55" s="23">
        <v>2.25</v>
      </c>
      <c r="U55" s="25">
        <v>4</v>
      </c>
      <c r="V55" s="23">
        <v>12.75</v>
      </c>
      <c r="W55" s="18" t="s">
        <v>47</v>
      </c>
      <c r="X55" s="18" t="s">
        <v>48</v>
      </c>
      <c r="Y55" s="18" t="s">
        <v>36</v>
      </c>
      <c r="Z55" s="18" t="s">
        <v>9</v>
      </c>
      <c r="AA55" s="18" t="s">
        <v>49</v>
      </c>
      <c r="AB55" s="18" t="s">
        <v>162</v>
      </c>
      <c r="AC55" s="18" t="s">
        <v>38</v>
      </c>
      <c r="AD55" s="7" t="str">
        <f t="shared" si="0"/>
        <v/>
      </c>
      <c r="AE55" s="26"/>
      <c r="AF55" s="26"/>
      <c r="AG55" s="26"/>
      <c r="AH55" s="26"/>
      <c r="AI55" s="30"/>
      <c r="AJ55" s="30"/>
      <c r="AK55" s="30"/>
      <c r="AL55" s="30"/>
      <c r="AM55" s="30"/>
      <c r="AN55" s="30"/>
      <c r="AO55" s="30"/>
      <c r="AP55" s="30"/>
      <c r="AQ55" s="30"/>
      <c r="AR55" s="30"/>
      <c r="AS55" s="30"/>
      <c r="AT55" s="30"/>
      <c r="AU55" s="30"/>
      <c r="AV55" s="30"/>
      <c r="AW55" s="30"/>
    </row>
    <row r="56" spans="1:49" s="48" customFormat="1" ht="35.1" customHeight="1" x14ac:dyDescent="0.25">
      <c r="A56" s="18" t="s">
        <v>44</v>
      </c>
      <c r="B56" s="19">
        <v>46053</v>
      </c>
      <c r="C56" s="19">
        <v>46053</v>
      </c>
      <c r="D56" s="18" t="s">
        <v>224</v>
      </c>
      <c r="E56" s="20">
        <v>0.75</v>
      </c>
      <c r="F56" s="20">
        <v>0.83333333333333337</v>
      </c>
      <c r="G56" s="20">
        <v>3.4722222222222218E-4</v>
      </c>
      <c r="H56" s="18" t="s">
        <v>244</v>
      </c>
      <c r="I56" s="21">
        <v>0.78143611111111111</v>
      </c>
      <c r="J56" s="18" t="s">
        <v>241</v>
      </c>
      <c r="K56" s="18" t="s">
        <v>237</v>
      </c>
      <c r="L56" s="22">
        <v>1</v>
      </c>
      <c r="M56" s="22">
        <v>70985</v>
      </c>
      <c r="N56" s="18" t="s">
        <v>53</v>
      </c>
      <c r="O56" s="22" t="str">
        <f>AC56</f>
        <v>CVC</v>
      </c>
      <c r="P56" s="23">
        <v>58.82</v>
      </c>
      <c r="Q56" s="22"/>
      <c r="R56" s="23">
        <v>58.82</v>
      </c>
      <c r="S56" s="24">
        <v>46054</v>
      </c>
      <c r="T56" s="23">
        <v>4.4115000000000002</v>
      </c>
      <c r="U56" s="25">
        <v>4</v>
      </c>
      <c r="V56" s="23">
        <v>54.408500000000004</v>
      </c>
      <c r="W56" s="18" t="s">
        <v>47</v>
      </c>
      <c r="X56" s="18" t="s">
        <v>48</v>
      </c>
      <c r="Y56" s="18" t="s">
        <v>36</v>
      </c>
      <c r="Z56" s="18" t="s">
        <v>9</v>
      </c>
      <c r="AA56" s="18" t="s">
        <v>49</v>
      </c>
      <c r="AB56" s="18" t="s">
        <v>50</v>
      </c>
      <c r="AC56" s="18" t="s">
        <v>38</v>
      </c>
      <c r="AD56" s="7" t="str">
        <f t="shared" si="0"/>
        <v/>
      </c>
      <c r="AE56" s="26"/>
      <c r="AF56" s="26"/>
      <c r="AG56" s="26"/>
      <c r="AH56" s="26"/>
      <c r="AI56" s="26"/>
      <c r="AJ56" s="26"/>
      <c r="AK56" s="26"/>
      <c r="AL56" s="26"/>
      <c r="AM56" s="26"/>
      <c r="AN56" s="26"/>
      <c r="AO56" s="26"/>
      <c r="AP56" s="26"/>
      <c r="AQ56" s="26"/>
      <c r="AR56" s="26"/>
      <c r="AS56" s="26"/>
      <c r="AT56" s="26"/>
      <c r="AU56" s="26"/>
      <c r="AV56" s="26"/>
      <c r="AW56" s="26"/>
    </row>
    <row r="57" spans="1:49" s="48" customFormat="1" ht="35.1" customHeight="1" x14ac:dyDescent="0.25">
      <c r="A57" s="18" t="s">
        <v>61</v>
      </c>
      <c r="B57" s="19">
        <v>46053</v>
      </c>
      <c r="C57" s="19">
        <v>46053</v>
      </c>
      <c r="D57" s="18" t="s">
        <v>224</v>
      </c>
      <c r="E57" s="20">
        <v>0.75</v>
      </c>
      <c r="F57" s="20">
        <v>0.83333333333333337</v>
      </c>
      <c r="G57" s="20">
        <v>3.4722222222222218E-4</v>
      </c>
      <c r="H57" s="18" t="s">
        <v>240</v>
      </c>
      <c r="I57" s="21">
        <v>0.78449270833333329</v>
      </c>
      <c r="J57" s="18" t="s">
        <v>241</v>
      </c>
      <c r="K57" s="18" t="s">
        <v>237</v>
      </c>
      <c r="L57" s="22">
        <v>1</v>
      </c>
      <c r="M57" s="22">
        <v>64410</v>
      </c>
      <c r="N57" s="18" t="s">
        <v>53</v>
      </c>
      <c r="O57" s="22" t="s">
        <v>63</v>
      </c>
      <c r="P57" s="23">
        <v>30</v>
      </c>
      <c r="Q57" s="22"/>
      <c r="R57" s="23">
        <v>30</v>
      </c>
      <c r="S57" s="24">
        <v>46054</v>
      </c>
      <c r="T57" s="23">
        <v>4.5</v>
      </c>
      <c r="U57" s="25">
        <v>4</v>
      </c>
      <c r="V57" s="23">
        <v>25.5</v>
      </c>
      <c r="W57" s="18" t="s">
        <v>47</v>
      </c>
      <c r="X57" s="18" t="s">
        <v>48</v>
      </c>
      <c r="Y57" s="18" t="s">
        <v>36</v>
      </c>
      <c r="Z57" s="18" t="s">
        <v>9</v>
      </c>
      <c r="AA57" s="18" t="s">
        <v>49</v>
      </c>
      <c r="AB57" s="18" t="s">
        <v>64</v>
      </c>
      <c r="AC57" s="18" t="s">
        <v>38</v>
      </c>
      <c r="AD57" s="7" t="str">
        <f t="shared" si="0"/>
        <v/>
      </c>
      <c r="AE57" s="26"/>
      <c r="AF57" s="26"/>
      <c r="AG57" s="26"/>
      <c r="AH57" s="26"/>
      <c r="AI57" s="26"/>
      <c r="AJ57" s="26"/>
      <c r="AK57" s="26"/>
      <c r="AL57" s="26"/>
      <c r="AM57" s="26"/>
      <c r="AN57" s="26"/>
      <c r="AO57" s="26"/>
      <c r="AP57" s="26"/>
      <c r="AQ57" s="26"/>
      <c r="AR57" s="26"/>
      <c r="AS57" s="26"/>
      <c r="AT57" s="26"/>
      <c r="AU57" s="26"/>
      <c r="AV57" s="26"/>
      <c r="AW57" s="26"/>
    </row>
    <row r="58" spans="1:49" s="48" customFormat="1" ht="35.1" customHeight="1" x14ac:dyDescent="0.25">
      <c r="A58" s="18" t="s">
        <v>56</v>
      </c>
      <c r="B58" s="19">
        <v>46053</v>
      </c>
      <c r="C58" s="19">
        <v>46053</v>
      </c>
      <c r="D58" s="18" t="s">
        <v>224</v>
      </c>
      <c r="E58" s="20">
        <v>0.75</v>
      </c>
      <c r="F58" s="20">
        <v>0.83333333333333337</v>
      </c>
      <c r="G58" s="28">
        <v>1.7361111111111112E-4</v>
      </c>
      <c r="H58" s="29" t="s">
        <v>245</v>
      </c>
      <c r="I58" s="21">
        <v>0.78431921296296292</v>
      </c>
      <c r="J58" s="18" t="s">
        <v>241</v>
      </c>
      <c r="K58" s="18" t="s">
        <v>237</v>
      </c>
      <c r="L58" s="22">
        <v>1</v>
      </c>
      <c r="M58" s="22">
        <v>69829</v>
      </c>
      <c r="N58" s="18" t="s">
        <v>53</v>
      </c>
      <c r="O58" s="22"/>
      <c r="P58" s="23">
        <v>34</v>
      </c>
      <c r="Q58" s="22"/>
      <c r="R58" s="23">
        <v>34</v>
      </c>
      <c r="S58" s="24">
        <v>46053</v>
      </c>
      <c r="T58" s="23">
        <v>0</v>
      </c>
      <c r="U58" s="25">
        <v>4</v>
      </c>
      <c r="V58" s="23">
        <v>34</v>
      </c>
      <c r="W58" s="18" t="s">
        <v>34</v>
      </c>
      <c r="X58" s="18" t="s">
        <v>48</v>
      </c>
      <c r="Y58" s="18" t="s">
        <v>58</v>
      </c>
      <c r="Z58" s="18" t="s">
        <v>43</v>
      </c>
      <c r="AA58" s="18" t="s">
        <v>49</v>
      </c>
      <c r="AB58" s="18" t="s">
        <v>59</v>
      </c>
      <c r="AC58" s="18" t="s">
        <v>38</v>
      </c>
      <c r="AD58" s="7" t="str">
        <f t="shared" si="0"/>
        <v/>
      </c>
      <c r="AE58" s="26"/>
      <c r="AF58" s="26"/>
      <c r="AG58" s="26"/>
      <c r="AH58" s="26"/>
      <c r="AI58" s="30"/>
      <c r="AJ58" s="30"/>
      <c r="AK58" s="30"/>
      <c r="AL58" s="30"/>
      <c r="AM58" s="30"/>
      <c r="AN58" s="30"/>
      <c r="AO58" s="30"/>
      <c r="AP58" s="30"/>
      <c r="AQ58" s="30"/>
      <c r="AR58" s="30"/>
      <c r="AS58" s="30"/>
      <c r="AT58" s="30"/>
      <c r="AU58" s="30"/>
      <c r="AV58" s="30"/>
      <c r="AW58" s="30"/>
    </row>
    <row r="59" spans="1:49" s="48" customFormat="1" ht="35.1" customHeight="1" x14ac:dyDescent="0.2">
      <c r="A59" s="18" t="s">
        <v>56</v>
      </c>
      <c r="B59" s="19">
        <v>46053</v>
      </c>
      <c r="C59" s="19">
        <v>46053</v>
      </c>
      <c r="D59" s="18" t="s">
        <v>224</v>
      </c>
      <c r="E59" s="20">
        <v>0.75</v>
      </c>
      <c r="F59" s="20">
        <v>0.83333333333333337</v>
      </c>
      <c r="G59" s="28">
        <v>1.7361111111111112E-4</v>
      </c>
      <c r="H59" s="29" t="s">
        <v>246</v>
      </c>
      <c r="I59" s="21">
        <v>0.78518715277777773</v>
      </c>
      <c r="J59" s="18" t="s">
        <v>241</v>
      </c>
      <c r="K59" s="18" t="s">
        <v>237</v>
      </c>
      <c r="L59" s="22">
        <v>1</v>
      </c>
      <c r="M59" s="22">
        <v>69829</v>
      </c>
      <c r="N59" s="18" t="s">
        <v>53</v>
      </c>
      <c r="O59" s="22"/>
      <c r="P59" s="23">
        <v>0</v>
      </c>
      <c r="Q59" s="22"/>
      <c r="R59" s="23">
        <v>0</v>
      </c>
      <c r="S59" s="24">
        <v>46053</v>
      </c>
      <c r="T59" s="23">
        <v>0</v>
      </c>
      <c r="U59" s="25">
        <v>4</v>
      </c>
      <c r="V59" s="23">
        <v>0</v>
      </c>
      <c r="W59" s="18" t="s">
        <v>34</v>
      </c>
      <c r="X59" s="18" t="s">
        <v>48</v>
      </c>
      <c r="Y59" s="18" t="s">
        <v>58</v>
      </c>
      <c r="Z59" s="18" t="s">
        <v>43</v>
      </c>
      <c r="AA59" s="18" t="s">
        <v>49</v>
      </c>
      <c r="AB59" s="18" t="s">
        <v>59</v>
      </c>
      <c r="AC59" s="18" t="s">
        <v>38</v>
      </c>
      <c r="AD59" s="7" t="str">
        <f t="shared" si="0"/>
        <v/>
      </c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</row>
    <row r="60" spans="1:49" s="26" customFormat="1" ht="35.1" customHeight="1" x14ac:dyDescent="0.25">
      <c r="A60" s="9" t="s">
        <v>237</v>
      </c>
      <c r="B60" s="10">
        <v>46053</v>
      </c>
      <c r="C60" s="10">
        <v>46053</v>
      </c>
      <c r="D60" s="11" t="s">
        <v>224</v>
      </c>
      <c r="E60" s="12">
        <v>0.79166666666666663</v>
      </c>
      <c r="F60" s="12">
        <v>0.83333333333333337</v>
      </c>
      <c r="G60" s="12">
        <v>4.1666666666666664E-2</v>
      </c>
      <c r="H60" s="9" t="s">
        <v>247</v>
      </c>
      <c r="I60" s="13"/>
      <c r="J60" s="9" t="s">
        <v>239</v>
      </c>
      <c r="K60" s="9"/>
      <c r="L60" s="14">
        <v>1</v>
      </c>
      <c r="M60" s="14">
        <v>1</v>
      </c>
      <c r="N60" s="9" t="s">
        <v>33</v>
      </c>
      <c r="O60" s="9"/>
      <c r="P60" s="16">
        <v>0</v>
      </c>
      <c r="Q60" s="14"/>
      <c r="R60" s="16">
        <v>0</v>
      </c>
      <c r="S60" s="9">
        <v>46054</v>
      </c>
      <c r="T60" s="16">
        <v>0</v>
      </c>
      <c r="U60" s="14">
        <v>2</v>
      </c>
      <c r="V60" s="16">
        <v>0</v>
      </c>
      <c r="W60" s="9" t="s">
        <v>34</v>
      </c>
      <c r="X60" s="9" t="s">
        <v>42</v>
      </c>
      <c r="Y60" s="9" t="s">
        <v>36</v>
      </c>
      <c r="Z60" s="9" t="s">
        <v>43</v>
      </c>
      <c r="AA60" s="9" t="s">
        <v>37</v>
      </c>
      <c r="AB60" s="9" t="s">
        <v>37</v>
      </c>
      <c r="AC60" s="9" t="s">
        <v>38</v>
      </c>
      <c r="AD60" s="7" t="str">
        <f t="shared" si="0"/>
        <v/>
      </c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</row>
    <row r="61" spans="1:49" s="48" customFormat="1" ht="35.1" customHeight="1" x14ac:dyDescent="0.2">
      <c r="A61" s="18" t="s">
        <v>182</v>
      </c>
      <c r="B61" s="19">
        <v>46053</v>
      </c>
      <c r="C61" s="19">
        <v>46053</v>
      </c>
      <c r="D61" s="18" t="s">
        <v>224</v>
      </c>
      <c r="E61" s="20">
        <v>0.75</v>
      </c>
      <c r="F61" s="20">
        <v>0.83333333333333337</v>
      </c>
      <c r="G61" s="20">
        <v>3.4722222222222218E-4</v>
      </c>
      <c r="H61" s="18" t="s">
        <v>183</v>
      </c>
      <c r="I61" s="21">
        <v>0.80701539351851859</v>
      </c>
      <c r="J61" s="18" t="s">
        <v>241</v>
      </c>
      <c r="K61" s="18" t="s">
        <v>247</v>
      </c>
      <c r="L61" s="22">
        <v>1</v>
      </c>
      <c r="M61" s="22">
        <v>69629</v>
      </c>
      <c r="N61" s="18" t="s">
        <v>46</v>
      </c>
      <c r="O61" s="22" t="s">
        <v>242</v>
      </c>
      <c r="P61" s="23">
        <v>0</v>
      </c>
      <c r="Q61" s="22"/>
      <c r="R61" s="23">
        <v>0</v>
      </c>
      <c r="S61" s="24">
        <v>46053</v>
      </c>
      <c r="T61" s="23">
        <v>0</v>
      </c>
      <c r="U61" s="25">
        <v>4</v>
      </c>
      <c r="V61" s="23">
        <v>0</v>
      </c>
      <c r="W61" s="18" t="s">
        <v>47</v>
      </c>
      <c r="X61" s="18" t="s">
        <v>48</v>
      </c>
      <c r="Y61" s="18" t="s">
        <v>58</v>
      </c>
      <c r="Z61" s="18" t="s">
        <v>9</v>
      </c>
      <c r="AA61" s="18" t="s">
        <v>49</v>
      </c>
      <c r="AB61" s="18" t="s">
        <v>243</v>
      </c>
      <c r="AC61" s="18" t="s">
        <v>38</v>
      </c>
      <c r="AD61" s="7" t="str">
        <f t="shared" si="0"/>
        <v/>
      </c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</row>
    <row r="62" spans="1:49" s="48" customFormat="1" ht="35.1" customHeight="1" x14ac:dyDescent="0.2">
      <c r="A62" s="18" t="s">
        <v>44</v>
      </c>
      <c r="B62" s="19">
        <v>46053</v>
      </c>
      <c r="C62" s="19">
        <v>46053</v>
      </c>
      <c r="D62" s="18" t="s">
        <v>224</v>
      </c>
      <c r="E62" s="20">
        <v>0.75</v>
      </c>
      <c r="F62" s="20">
        <v>0.83333333333333337</v>
      </c>
      <c r="G62" s="20">
        <v>3.4722222222222218E-4</v>
      </c>
      <c r="H62" s="18" t="s">
        <v>244</v>
      </c>
      <c r="I62" s="21">
        <v>0.80649432870370374</v>
      </c>
      <c r="J62" s="18" t="s">
        <v>241</v>
      </c>
      <c r="K62" s="18" t="s">
        <v>247</v>
      </c>
      <c r="L62" s="22">
        <v>1</v>
      </c>
      <c r="M62" s="22">
        <v>70987</v>
      </c>
      <c r="N62" s="18" t="s">
        <v>46</v>
      </c>
      <c r="O62" s="22" t="str">
        <f>AC62</f>
        <v>CVC</v>
      </c>
      <c r="P62" s="23">
        <v>0</v>
      </c>
      <c r="Q62" s="22"/>
      <c r="R62" s="23">
        <v>0</v>
      </c>
      <c r="S62" s="24">
        <v>46054</v>
      </c>
      <c r="T62" s="23">
        <v>0</v>
      </c>
      <c r="U62" s="25">
        <v>4</v>
      </c>
      <c r="V62" s="23">
        <v>0</v>
      </c>
      <c r="W62" s="18" t="s">
        <v>47</v>
      </c>
      <c r="X62" s="18" t="s">
        <v>48</v>
      </c>
      <c r="Y62" s="18" t="s">
        <v>36</v>
      </c>
      <c r="Z62" s="18" t="s">
        <v>9</v>
      </c>
      <c r="AA62" s="18" t="s">
        <v>49</v>
      </c>
      <c r="AB62" s="18" t="s">
        <v>50</v>
      </c>
      <c r="AC62" s="18" t="s">
        <v>38</v>
      </c>
      <c r="AD62" s="7" t="str">
        <f t="shared" si="0"/>
        <v/>
      </c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</row>
    <row r="63" spans="1:49" s="48" customFormat="1" ht="35.1" customHeight="1" x14ac:dyDescent="0.25">
      <c r="A63" s="18" t="s">
        <v>159</v>
      </c>
      <c r="B63" s="19">
        <v>46053</v>
      </c>
      <c r="C63" s="19">
        <v>46053</v>
      </c>
      <c r="D63" s="18" t="s">
        <v>224</v>
      </c>
      <c r="E63" s="20">
        <v>0.75</v>
      </c>
      <c r="F63" s="20">
        <v>0.83333333333333337</v>
      </c>
      <c r="G63" s="28">
        <v>1.7361111111111109E-4</v>
      </c>
      <c r="H63" s="29" t="s">
        <v>160</v>
      </c>
      <c r="I63" s="21">
        <v>0.80632071759259261</v>
      </c>
      <c r="J63" s="18" t="s">
        <v>241</v>
      </c>
      <c r="K63" s="18" t="s">
        <v>247</v>
      </c>
      <c r="L63" s="22">
        <v>1</v>
      </c>
      <c r="M63" s="22">
        <v>71021</v>
      </c>
      <c r="N63" s="18" t="s">
        <v>53</v>
      </c>
      <c r="O63" s="22" t="s">
        <v>161</v>
      </c>
      <c r="P63" s="23">
        <v>15</v>
      </c>
      <c r="Q63" s="22"/>
      <c r="R63" s="23">
        <v>15</v>
      </c>
      <c r="S63" s="24">
        <v>46054</v>
      </c>
      <c r="T63" s="23">
        <v>2.25</v>
      </c>
      <c r="U63" s="25">
        <v>4</v>
      </c>
      <c r="V63" s="23">
        <v>12.75</v>
      </c>
      <c r="W63" s="18" t="s">
        <v>47</v>
      </c>
      <c r="X63" s="18" t="s">
        <v>48</v>
      </c>
      <c r="Y63" s="18" t="s">
        <v>36</v>
      </c>
      <c r="Z63" s="18" t="s">
        <v>9</v>
      </c>
      <c r="AA63" s="18" t="s">
        <v>49</v>
      </c>
      <c r="AB63" s="18" t="s">
        <v>162</v>
      </c>
      <c r="AC63" s="18" t="s">
        <v>38</v>
      </c>
      <c r="AD63" s="7" t="str">
        <f t="shared" si="0"/>
        <v/>
      </c>
      <c r="AE63" s="26"/>
      <c r="AF63" s="26"/>
      <c r="AG63" s="26"/>
      <c r="AH63" s="26"/>
      <c r="AI63" s="26"/>
      <c r="AJ63" s="26"/>
      <c r="AK63" s="26"/>
      <c r="AL63" s="26"/>
      <c r="AM63" s="26"/>
      <c r="AN63" s="26"/>
      <c r="AO63" s="26"/>
      <c r="AP63" s="26"/>
      <c r="AQ63" s="26"/>
      <c r="AR63" s="26"/>
      <c r="AS63" s="26"/>
      <c r="AT63" s="26"/>
      <c r="AU63" s="26"/>
      <c r="AV63" s="26"/>
      <c r="AW63" s="26"/>
    </row>
    <row r="64" spans="1:49" s="48" customFormat="1" ht="35.1" customHeight="1" x14ac:dyDescent="0.25">
      <c r="A64" s="18" t="s">
        <v>159</v>
      </c>
      <c r="B64" s="19">
        <v>46053</v>
      </c>
      <c r="C64" s="19">
        <v>46053</v>
      </c>
      <c r="D64" s="18" t="s">
        <v>224</v>
      </c>
      <c r="E64" s="20">
        <v>0.75</v>
      </c>
      <c r="F64" s="20">
        <v>0.83333333333333337</v>
      </c>
      <c r="G64" s="28">
        <v>1.7361111111111109E-4</v>
      </c>
      <c r="H64" s="29" t="s">
        <v>163</v>
      </c>
      <c r="I64" s="21">
        <v>0.80736261574074075</v>
      </c>
      <c r="J64" s="18" t="s">
        <v>241</v>
      </c>
      <c r="K64" s="18" t="s">
        <v>247</v>
      </c>
      <c r="L64" s="22">
        <v>1</v>
      </c>
      <c r="M64" s="22">
        <v>71021</v>
      </c>
      <c r="N64" s="18" t="s">
        <v>53</v>
      </c>
      <c r="O64" s="22" t="s">
        <v>161</v>
      </c>
      <c r="P64" s="23">
        <v>15</v>
      </c>
      <c r="Q64" s="22"/>
      <c r="R64" s="23">
        <v>15</v>
      </c>
      <c r="S64" s="24">
        <v>46054</v>
      </c>
      <c r="T64" s="23">
        <v>2.25</v>
      </c>
      <c r="U64" s="25">
        <v>4</v>
      </c>
      <c r="V64" s="23">
        <v>12.75</v>
      </c>
      <c r="W64" s="18" t="s">
        <v>47</v>
      </c>
      <c r="X64" s="18" t="s">
        <v>48</v>
      </c>
      <c r="Y64" s="18" t="s">
        <v>36</v>
      </c>
      <c r="Z64" s="18" t="s">
        <v>9</v>
      </c>
      <c r="AA64" s="18" t="s">
        <v>49</v>
      </c>
      <c r="AB64" s="18" t="s">
        <v>162</v>
      </c>
      <c r="AC64" s="18" t="s">
        <v>38</v>
      </c>
      <c r="AD64" s="7" t="str">
        <f t="shared" si="0"/>
        <v/>
      </c>
      <c r="AE64" s="26"/>
      <c r="AF64" s="26"/>
      <c r="AG64" s="26"/>
      <c r="AH64" s="26"/>
      <c r="AI64" s="26"/>
      <c r="AJ64" s="26"/>
      <c r="AK64" s="26"/>
      <c r="AL64" s="26"/>
      <c r="AM64" s="26"/>
      <c r="AN64" s="26"/>
      <c r="AO64" s="26"/>
      <c r="AP64" s="26"/>
      <c r="AQ64" s="26"/>
      <c r="AR64" s="26"/>
      <c r="AS64" s="26"/>
      <c r="AT64" s="26"/>
      <c r="AU64" s="26"/>
      <c r="AV64" s="26"/>
      <c r="AW64" s="26"/>
    </row>
    <row r="65" spans="1:49" s="48" customFormat="1" ht="35.1" customHeight="1" x14ac:dyDescent="0.25">
      <c r="A65" s="18" t="s">
        <v>44</v>
      </c>
      <c r="B65" s="19">
        <v>46053</v>
      </c>
      <c r="C65" s="19">
        <v>46053</v>
      </c>
      <c r="D65" s="18" t="s">
        <v>224</v>
      </c>
      <c r="E65" s="20">
        <v>0.75</v>
      </c>
      <c r="F65" s="20">
        <v>0.83333333333333337</v>
      </c>
      <c r="G65" s="20">
        <v>3.4722222222222218E-4</v>
      </c>
      <c r="H65" s="18" t="s">
        <v>244</v>
      </c>
      <c r="I65" s="21">
        <v>0.82104467592592589</v>
      </c>
      <c r="J65" s="18" t="s">
        <v>241</v>
      </c>
      <c r="K65" s="18" t="s">
        <v>247</v>
      </c>
      <c r="L65" s="22">
        <v>1</v>
      </c>
      <c r="M65" s="22">
        <v>70985</v>
      </c>
      <c r="N65" s="18" t="s">
        <v>53</v>
      </c>
      <c r="O65" s="22" t="str">
        <f>AC65</f>
        <v>CVC</v>
      </c>
      <c r="P65" s="23">
        <v>58.82</v>
      </c>
      <c r="Q65" s="22"/>
      <c r="R65" s="23">
        <v>58.82</v>
      </c>
      <c r="S65" s="24">
        <v>46054</v>
      </c>
      <c r="T65" s="23">
        <v>4.4115000000000002</v>
      </c>
      <c r="U65" s="25">
        <v>4</v>
      </c>
      <c r="V65" s="23">
        <v>54.408500000000004</v>
      </c>
      <c r="W65" s="18" t="s">
        <v>47</v>
      </c>
      <c r="X65" s="18" t="s">
        <v>48</v>
      </c>
      <c r="Y65" s="18" t="s">
        <v>36</v>
      </c>
      <c r="Z65" s="18" t="s">
        <v>9</v>
      </c>
      <c r="AA65" s="18" t="s">
        <v>49</v>
      </c>
      <c r="AB65" s="18" t="s">
        <v>50</v>
      </c>
      <c r="AC65" s="18" t="s">
        <v>38</v>
      </c>
      <c r="AD65" s="7" t="str">
        <f t="shared" si="0"/>
        <v/>
      </c>
      <c r="AE65" s="34"/>
      <c r="AF65" s="34"/>
      <c r="AG65" s="34"/>
      <c r="AH65" s="34"/>
      <c r="AI65" s="30"/>
      <c r="AJ65" s="30"/>
      <c r="AK65" s="30"/>
      <c r="AL65" s="30"/>
      <c r="AM65" s="30"/>
      <c r="AN65" s="30"/>
      <c r="AO65" s="30"/>
      <c r="AP65" s="30"/>
      <c r="AQ65" s="30"/>
      <c r="AR65" s="30"/>
      <c r="AS65" s="30"/>
      <c r="AT65" s="30"/>
      <c r="AU65" s="30"/>
      <c r="AV65" s="30"/>
      <c r="AW65" s="30"/>
    </row>
    <row r="66" spans="1:49" s="48" customFormat="1" ht="35.1" customHeight="1" x14ac:dyDescent="0.25">
      <c r="A66" s="18" t="s">
        <v>182</v>
      </c>
      <c r="B66" s="19">
        <v>46053</v>
      </c>
      <c r="C66" s="19">
        <v>46053</v>
      </c>
      <c r="D66" s="18" t="s">
        <v>224</v>
      </c>
      <c r="E66" s="20">
        <v>0.75</v>
      </c>
      <c r="F66" s="20">
        <v>0.83333333333333337</v>
      </c>
      <c r="G66" s="20">
        <v>3.4722222222222218E-4</v>
      </c>
      <c r="H66" s="18" t="s">
        <v>183</v>
      </c>
      <c r="I66" s="21">
        <v>0.82649594907407409</v>
      </c>
      <c r="J66" s="18" t="s">
        <v>241</v>
      </c>
      <c r="K66" s="18" t="s">
        <v>247</v>
      </c>
      <c r="L66" s="22">
        <v>1</v>
      </c>
      <c r="M66" s="22">
        <v>69628</v>
      </c>
      <c r="N66" s="18" t="s">
        <v>53</v>
      </c>
      <c r="O66" s="22" t="s">
        <v>242</v>
      </c>
      <c r="P66" s="23">
        <v>52.941176470588232</v>
      </c>
      <c r="Q66" s="22"/>
      <c r="R66" s="23">
        <v>52.941176470588232</v>
      </c>
      <c r="S66" s="24">
        <v>46053</v>
      </c>
      <c r="T66" s="23">
        <v>7.9411764705882346</v>
      </c>
      <c r="U66" s="25">
        <v>4</v>
      </c>
      <c r="V66" s="23">
        <v>45</v>
      </c>
      <c r="W66" s="18" t="s">
        <v>47</v>
      </c>
      <c r="X66" s="18" t="s">
        <v>48</v>
      </c>
      <c r="Y66" s="18" t="s">
        <v>58</v>
      </c>
      <c r="Z66" s="18" t="s">
        <v>9</v>
      </c>
      <c r="AA66" s="18" t="s">
        <v>49</v>
      </c>
      <c r="AB66" s="18" t="s">
        <v>243</v>
      </c>
      <c r="AC66" s="18" t="s">
        <v>38</v>
      </c>
      <c r="AD66" s="7" t="str">
        <f t="shared" ref="AD66:AD88" si="1">IF(N66="PRG","",IF(I66&gt;=E66,IF(I66&lt;=F66,"","NO"),"NO"))</f>
        <v/>
      </c>
      <c r="AE66" s="26"/>
      <c r="AF66" s="26"/>
      <c r="AG66" s="26"/>
      <c r="AH66" s="26"/>
      <c r="AI66" s="27"/>
      <c r="AJ66" s="27"/>
      <c r="AK66" s="27"/>
      <c r="AL66" s="27"/>
      <c r="AM66" s="27"/>
      <c r="AN66" s="27"/>
      <c r="AO66" s="27"/>
      <c r="AP66" s="27"/>
      <c r="AQ66" s="27"/>
      <c r="AR66" s="27"/>
      <c r="AS66" s="27"/>
      <c r="AT66" s="27"/>
      <c r="AU66" s="27"/>
      <c r="AV66" s="27"/>
      <c r="AW66" s="27"/>
    </row>
    <row r="67" spans="1:49" s="48" customFormat="1" ht="35.1" customHeight="1" x14ac:dyDescent="0.25">
      <c r="A67" s="18" t="s">
        <v>44</v>
      </c>
      <c r="B67" s="19">
        <v>46053</v>
      </c>
      <c r="C67" s="19">
        <v>46053</v>
      </c>
      <c r="D67" s="18" t="s">
        <v>224</v>
      </c>
      <c r="E67" s="20">
        <v>0.75</v>
      </c>
      <c r="F67" s="20">
        <v>0.83333333333333337</v>
      </c>
      <c r="G67" s="20">
        <v>3.4722222222222218E-4</v>
      </c>
      <c r="H67" s="18" t="s">
        <v>244</v>
      </c>
      <c r="I67" s="21">
        <v>0.83241944444444438</v>
      </c>
      <c r="J67" s="18" t="s">
        <v>241</v>
      </c>
      <c r="K67" s="18" t="s">
        <v>247</v>
      </c>
      <c r="L67" s="22">
        <v>1</v>
      </c>
      <c r="M67" s="22">
        <v>70987</v>
      </c>
      <c r="N67" s="18" t="s">
        <v>46</v>
      </c>
      <c r="O67" s="22" t="str">
        <f>AC67</f>
        <v>CVC</v>
      </c>
      <c r="P67" s="23">
        <v>0</v>
      </c>
      <c r="Q67" s="22"/>
      <c r="R67" s="23">
        <v>0</v>
      </c>
      <c r="S67" s="24">
        <v>46054</v>
      </c>
      <c r="T67" s="23">
        <v>0</v>
      </c>
      <c r="U67" s="25">
        <v>4</v>
      </c>
      <c r="V67" s="23">
        <v>0</v>
      </c>
      <c r="W67" s="18" t="s">
        <v>47</v>
      </c>
      <c r="X67" s="18" t="s">
        <v>48</v>
      </c>
      <c r="Y67" s="18" t="s">
        <v>36</v>
      </c>
      <c r="Z67" s="18" t="s">
        <v>9</v>
      </c>
      <c r="AA67" s="18" t="s">
        <v>49</v>
      </c>
      <c r="AB67" s="18" t="s">
        <v>50</v>
      </c>
      <c r="AC67" s="18" t="s">
        <v>38</v>
      </c>
      <c r="AD67" s="7" t="str">
        <f t="shared" si="1"/>
        <v/>
      </c>
      <c r="AE67" s="26"/>
      <c r="AF67" s="26"/>
      <c r="AG67" s="26"/>
      <c r="AH67" s="26"/>
      <c r="AI67" s="27"/>
      <c r="AJ67" s="27"/>
      <c r="AK67" s="27"/>
      <c r="AL67" s="27"/>
      <c r="AM67" s="27"/>
      <c r="AN67" s="27"/>
      <c r="AO67" s="27"/>
      <c r="AP67" s="27"/>
      <c r="AQ67" s="27"/>
      <c r="AR67" s="27"/>
      <c r="AS67" s="27"/>
      <c r="AT67" s="27"/>
      <c r="AU67" s="27"/>
      <c r="AV67" s="27"/>
      <c r="AW67" s="27"/>
    </row>
    <row r="68" spans="1:49" s="26" customFormat="1" ht="35.1" customHeight="1" x14ac:dyDescent="0.25">
      <c r="A68" s="9" t="s">
        <v>144</v>
      </c>
      <c r="B68" s="10">
        <v>46053</v>
      </c>
      <c r="C68" s="10">
        <v>46053</v>
      </c>
      <c r="D68" s="11" t="s">
        <v>224</v>
      </c>
      <c r="E68" s="12">
        <v>0.83333333333333337</v>
      </c>
      <c r="F68" s="12">
        <v>0.875</v>
      </c>
      <c r="G68" s="12">
        <v>4.1666666666666664E-2</v>
      </c>
      <c r="H68" s="9" t="s">
        <v>145</v>
      </c>
      <c r="I68" s="13"/>
      <c r="J68" s="9" t="s">
        <v>41</v>
      </c>
      <c r="K68" s="9"/>
      <c r="L68" s="14">
        <v>1</v>
      </c>
      <c r="M68" s="14">
        <v>1</v>
      </c>
      <c r="N68" s="9" t="s">
        <v>33</v>
      </c>
      <c r="O68" s="9"/>
      <c r="P68" s="16">
        <v>0</v>
      </c>
      <c r="Q68" s="14"/>
      <c r="R68" s="16">
        <v>0</v>
      </c>
      <c r="S68" s="9">
        <v>46054</v>
      </c>
      <c r="T68" s="16">
        <v>0</v>
      </c>
      <c r="U68" s="14">
        <v>2</v>
      </c>
      <c r="V68" s="16">
        <v>0</v>
      </c>
      <c r="W68" s="9" t="s">
        <v>34</v>
      </c>
      <c r="X68" s="9" t="s">
        <v>42</v>
      </c>
      <c r="Y68" s="9" t="s">
        <v>36</v>
      </c>
      <c r="Z68" s="9" t="s">
        <v>43</v>
      </c>
      <c r="AA68" s="9" t="s">
        <v>37</v>
      </c>
      <c r="AB68" s="9" t="s">
        <v>37</v>
      </c>
      <c r="AC68" s="9" t="s">
        <v>38</v>
      </c>
      <c r="AD68" s="7" t="str">
        <f t="shared" si="1"/>
        <v/>
      </c>
      <c r="AI68" s="27"/>
      <c r="AJ68" s="27"/>
      <c r="AK68" s="27"/>
      <c r="AL68" s="27"/>
      <c r="AM68" s="27"/>
      <c r="AN68" s="27"/>
      <c r="AO68" s="27"/>
      <c r="AP68" s="27"/>
      <c r="AQ68" s="27"/>
      <c r="AR68" s="27"/>
      <c r="AS68" s="27"/>
      <c r="AT68" s="27"/>
      <c r="AU68" s="27"/>
      <c r="AV68" s="27"/>
      <c r="AW68" s="27"/>
    </row>
    <row r="69" spans="1:49" s="48" customFormat="1" ht="35.1" customHeight="1" x14ac:dyDescent="0.2">
      <c r="A69" s="18" t="s">
        <v>127</v>
      </c>
      <c r="B69" s="19">
        <v>46053</v>
      </c>
      <c r="C69" s="19">
        <v>46053</v>
      </c>
      <c r="D69" s="18" t="s">
        <v>224</v>
      </c>
      <c r="E69" s="20">
        <v>0.83333333333333337</v>
      </c>
      <c r="F69" s="20">
        <v>0.875</v>
      </c>
      <c r="G69" s="20">
        <v>3.4722222222222218E-4</v>
      </c>
      <c r="H69" s="18" t="s">
        <v>192</v>
      </c>
      <c r="I69" s="21">
        <v>0.84332245370370362</v>
      </c>
      <c r="J69" s="18" t="s">
        <v>41</v>
      </c>
      <c r="K69" s="18" t="s">
        <v>157</v>
      </c>
      <c r="L69" s="22">
        <v>1</v>
      </c>
      <c r="M69" s="22">
        <v>69752</v>
      </c>
      <c r="N69" s="18" t="s">
        <v>53</v>
      </c>
      <c r="O69" s="22" t="s">
        <v>129</v>
      </c>
      <c r="P69" s="23">
        <v>65</v>
      </c>
      <c r="Q69" s="22"/>
      <c r="R69" s="23">
        <v>65</v>
      </c>
      <c r="S69" s="24">
        <v>46054</v>
      </c>
      <c r="T69" s="23">
        <v>9.75</v>
      </c>
      <c r="U69" s="25">
        <v>4</v>
      </c>
      <c r="V69" s="23">
        <v>55.25</v>
      </c>
      <c r="W69" s="18" t="s">
        <v>47</v>
      </c>
      <c r="X69" s="18" t="s">
        <v>48</v>
      </c>
      <c r="Y69" s="18" t="s">
        <v>36</v>
      </c>
      <c r="Z69" s="18" t="s">
        <v>9</v>
      </c>
      <c r="AA69" s="18" t="s">
        <v>49</v>
      </c>
      <c r="AB69" s="18" t="s">
        <v>130</v>
      </c>
      <c r="AC69" s="18" t="s">
        <v>38</v>
      </c>
      <c r="AD69" s="7" t="str">
        <f t="shared" si="1"/>
        <v/>
      </c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</row>
    <row r="70" spans="1:49" s="48" customFormat="1" ht="35.1" customHeight="1" x14ac:dyDescent="0.2">
      <c r="A70" s="18" t="s">
        <v>44</v>
      </c>
      <c r="B70" s="19">
        <v>46053</v>
      </c>
      <c r="C70" s="19">
        <v>46053</v>
      </c>
      <c r="D70" s="18" t="s">
        <v>224</v>
      </c>
      <c r="E70" s="20">
        <v>0.83333333333333337</v>
      </c>
      <c r="F70" s="20">
        <v>0.875</v>
      </c>
      <c r="G70" s="20">
        <v>3.4722222222222218E-4</v>
      </c>
      <c r="H70" s="18" t="s">
        <v>205</v>
      </c>
      <c r="I70" s="21">
        <v>0.84436412037037034</v>
      </c>
      <c r="J70" s="18" t="s">
        <v>41</v>
      </c>
      <c r="K70" s="18" t="s">
        <v>157</v>
      </c>
      <c r="L70" s="22">
        <v>1</v>
      </c>
      <c r="M70" s="22">
        <v>70981</v>
      </c>
      <c r="N70" s="18" t="s">
        <v>53</v>
      </c>
      <c r="O70" s="22" t="str">
        <f>AC70</f>
        <v>CVC</v>
      </c>
      <c r="P70" s="23">
        <v>58.82</v>
      </c>
      <c r="Q70" s="22"/>
      <c r="R70" s="23">
        <v>58.82</v>
      </c>
      <c r="S70" s="24">
        <v>46054</v>
      </c>
      <c r="T70" s="23">
        <v>4.4115000000000002</v>
      </c>
      <c r="U70" s="25">
        <v>4</v>
      </c>
      <c r="V70" s="23">
        <v>54.408500000000004</v>
      </c>
      <c r="W70" s="18" t="s">
        <v>47</v>
      </c>
      <c r="X70" s="18" t="s">
        <v>48</v>
      </c>
      <c r="Y70" s="18" t="s">
        <v>36</v>
      </c>
      <c r="Z70" s="18" t="s">
        <v>9</v>
      </c>
      <c r="AA70" s="18" t="s">
        <v>49</v>
      </c>
      <c r="AB70" s="18" t="s">
        <v>50</v>
      </c>
      <c r="AC70" s="18" t="s">
        <v>38</v>
      </c>
      <c r="AD70" s="7" t="str">
        <f t="shared" si="1"/>
        <v/>
      </c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</row>
    <row r="71" spans="1:49" s="48" customFormat="1" ht="35.1" customHeight="1" x14ac:dyDescent="0.25">
      <c r="A71" s="18" t="s">
        <v>93</v>
      </c>
      <c r="B71" s="19">
        <v>46053</v>
      </c>
      <c r="C71" s="19">
        <v>46053</v>
      </c>
      <c r="D71" s="18" t="s">
        <v>224</v>
      </c>
      <c r="E71" s="20">
        <v>0.79166666666666663</v>
      </c>
      <c r="F71" s="20">
        <v>0.99930555555555556</v>
      </c>
      <c r="G71" s="28">
        <v>1.7361111111111109E-4</v>
      </c>
      <c r="H71" s="29" t="s">
        <v>135</v>
      </c>
      <c r="I71" s="21">
        <v>0.85376412037037042</v>
      </c>
      <c r="J71" s="18" t="s">
        <v>136</v>
      </c>
      <c r="K71" s="18" t="s">
        <v>157</v>
      </c>
      <c r="L71" s="22">
        <v>1</v>
      </c>
      <c r="M71" s="22">
        <v>69567</v>
      </c>
      <c r="N71" s="18" t="s">
        <v>46</v>
      </c>
      <c r="O71" s="22" t="s">
        <v>137</v>
      </c>
      <c r="P71" s="23">
        <v>0</v>
      </c>
      <c r="Q71" s="22"/>
      <c r="R71" s="23">
        <v>0</v>
      </c>
      <c r="S71" s="24">
        <v>46054</v>
      </c>
      <c r="T71" s="23">
        <v>0</v>
      </c>
      <c r="U71" s="25">
        <v>4</v>
      </c>
      <c r="V71" s="23">
        <v>0</v>
      </c>
      <c r="W71" s="18" t="s">
        <v>47</v>
      </c>
      <c r="X71" s="18" t="s">
        <v>48</v>
      </c>
      <c r="Y71" s="18" t="s">
        <v>36</v>
      </c>
      <c r="Z71" s="18" t="s">
        <v>9</v>
      </c>
      <c r="AA71" s="18" t="s">
        <v>49</v>
      </c>
      <c r="AB71" s="18" t="s">
        <v>138</v>
      </c>
      <c r="AC71" s="18" t="s">
        <v>38</v>
      </c>
      <c r="AD71" s="7" t="str">
        <f t="shared" si="1"/>
        <v/>
      </c>
      <c r="AE71" s="44"/>
      <c r="AF71" s="44"/>
      <c r="AG71" s="44"/>
      <c r="AH71" s="44"/>
      <c r="AI71" s="30"/>
      <c r="AJ71" s="30"/>
      <c r="AK71" s="30"/>
      <c r="AL71" s="30"/>
      <c r="AM71" s="30"/>
      <c r="AN71" s="30"/>
      <c r="AO71" s="30"/>
      <c r="AP71" s="30"/>
      <c r="AQ71" s="30"/>
      <c r="AR71" s="30"/>
      <c r="AS71" s="30"/>
      <c r="AT71" s="30"/>
      <c r="AU71" s="30"/>
      <c r="AV71" s="30"/>
      <c r="AW71" s="30"/>
    </row>
    <row r="72" spans="1:49" s="48" customFormat="1" ht="35.1" customHeight="1" x14ac:dyDescent="0.25">
      <c r="A72" s="18" t="s">
        <v>93</v>
      </c>
      <c r="B72" s="19">
        <v>46053</v>
      </c>
      <c r="C72" s="19">
        <v>46053</v>
      </c>
      <c r="D72" s="18" t="s">
        <v>224</v>
      </c>
      <c r="E72" s="20">
        <v>0.79166666666666663</v>
      </c>
      <c r="F72" s="20">
        <v>0.99930555555555556</v>
      </c>
      <c r="G72" s="28">
        <v>1.7361111111111109E-4</v>
      </c>
      <c r="H72" s="29" t="s">
        <v>139</v>
      </c>
      <c r="I72" s="21">
        <v>0.85497939814814816</v>
      </c>
      <c r="J72" s="18" t="s">
        <v>136</v>
      </c>
      <c r="K72" s="18" t="s">
        <v>157</v>
      </c>
      <c r="L72" s="22">
        <v>1</v>
      </c>
      <c r="M72" s="22">
        <v>69567</v>
      </c>
      <c r="N72" s="18" t="s">
        <v>46</v>
      </c>
      <c r="O72" s="22" t="s">
        <v>137</v>
      </c>
      <c r="P72" s="23">
        <v>0</v>
      </c>
      <c r="Q72" s="22"/>
      <c r="R72" s="23">
        <v>0</v>
      </c>
      <c r="S72" s="24">
        <v>46054</v>
      </c>
      <c r="T72" s="23">
        <v>0</v>
      </c>
      <c r="U72" s="25">
        <v>4</v>
      </c>
      <c r="V72" s="23">
        <v>0</v>
      </c>
      <c r="W72" s="18" t="s">
        <v>47</v>
      </c>
      <c r="X72" s="18" t="s">
        <v>48</v>
      </c>
      <c r="Y72" s="18" t="s">
        <v>36</v>
      </c>
      <c r="Z72" s="18" t="s">
        <v>9</v>
      </c>
      <c r="AA72" s="18" t="s">
        <v>49</v>
      </c>
      <c r="AB72" s="18" t="s">
        <v>138</v>
      </c>
      <c r="AC72" s="18" t="s">
        <v>38</v>
      </c>
      <c r="AD72" s="7" t="str">
        <f t="shared" si="1"/>
        <v/>
      </c>
      <c r="AE72" s="26"/>
      <c r="AF72" s="26"/>
      <c r="AG72" s="26"/>
      <c r="AH72" s="26"/>
      <c r="AI72" s="27"/>
      <c r="AJ72" s="27"/>
      <c r="AK72" s="27"/>
      <c r="AL72" s="27"/>
      <c r="AM72" s="27"/>
      <c r="AN72" s="27"/>
      <c r="AO72" s="27"/>
      <c r="AP72" s="27"/>
      <c r="AQ72" s="27"/>
      <c r="AR72" s="27"/>
      <c r="AS72" s="27"/>
      <c r="AT72" s="27"/>
      <c r="AU72" s="27"/>
      <c r="AV72" s="27"/>
      <c r="AW72" s="27"/>
    </row>
    <row r="73" spans="1:49" s="48" customFormat="1" ht="35.1" customHeight="1" x14ac:dyDescent="0.25">
      <c r="A73" s="18" t="s">
        <v>44</v>
      </c>
      <c r="B73" s="19">
        <v>46053</v>
      </c>
      <c r="C73" s="19">
        <v>46053</v>
      </c>
      <c r="D73" s="18" t="s">
        <v>224</v>
      </c>
      <c r="E73" s="20">
        <v>0.25</v>
      </c>
      <c r="F73" s="20">
        <v>0.99930555555555556</v>
      </c>
      <c r="G73" s="20">
        <v>3.4722222222222218E-4</v>
      </c>
      <c r="H73" s="18" t="s">
        <v>205</v>
      </c>
      <c r="I73" s="21">
        <v>0.86926041666666676</v>
      </c>
      <c r="J73" s="18" t="s">
        <v>41</v>
      </c>
      <c r="K73" s="18" t="s">
        <v>157</v>
      </c>
      <c r="L73" s="22">
        <v>1</v>
      </c>
      <c r="M73" s="22">
        <v>70983</v>
      </c>
      <c r="N73" s="18" t="s">
        <v>46</v>
      </c>
      <c r="O73" s="22" t="str">
        <f>AC73</f>
        <v>CVC</v>
      </c>
      <c r="P73" s="23">
        <v>0</v>
      </c>
      <c r="Q73" s="22"/>
      <c r="R73" s="23">
        <v>0</v>
      </c>
      <c r="S73" s="24">
        <v>46054</v>
      </c>
      <c r="T73" s="23">
        <v>0</v>
      </c>
      <c r="U73" s="25">
        <v>4</v>
      </c>
      <c r="V73" s="23">
        <v>0</v>
      </c>
      <c r="W73" s="18" t="s">
        <v>47</v>
      </c>
      <c r="X73" s="18" t="s">
        <v>48</v>
      </c>
      <c r="Y73" s="18" t="s">
        <v>36</v>
      </c>
      <c r="Z73" s="18" t="s">
        <v>9</v>
      </c>
      <c r="AA73" s="18" t="s">
        <v>49</v>
      </c>
      <c r="AB73" s="18" t="s">
        <v>50</v>
      </c>
      <c r="AC73" s="18" t="s">
        <v>38</v>
      </c>
      <c r="AD73" s="7" t="str">
        <f t="shared" si="1"/>
        <v/>
      </c>
      <c r="AE73" s="26"/>
      <c r="AF73" s="26"/>
      <c r="AG73" s="26"/>
      <c r="AH73" s="26"/>
      <c r="AI73" s="27"/>
      <c r="AJ73" s="27"/>
      <c r="AK73" s="27"/>
      <c r="AL73" s="27"/>
      <c r="AM73" s="27"/>
      <c r="AN73" s="27"/>
      <c r="AO73" s="27"/>
      <c r="AP73" s="27"/>
      <c r="AQ73" s="27"/>
      <c r="AR73" s="27"/>
      <c r="AS73" s="27"/>
      <c r="AT73" s="27"/>
      <c r="AU73" s="27"/>
      <c r="AV73" s="27"/>
      <c r="AW73" s="27"/>
    </row>
    <row r="74" spans="1:49" s="48" customFormat="1" ht="35.1" customHeight="1" x14ac:dyDescent="0.25">
      <c r="A74" s="18" t="s">
        <v>127</v>
      </c>
      <c r="B74" s="19">
        <v>46053</v>
      </c>
      <c r="C74" s="19">
        <v>46053</v>
      </c>
      <c r="D74" s="18" t="s">
        <v>224</v>
      </c>
      <c r="E74" s="20">
        <v>0.79166666666666663</v>
      </c>
      <c r="F74" s="20">
        <v>0.99930555555555556</v>
      </c>
      <c r="G74" s="20">
        <v>3.4722222222222218E-4</v>
      </c>
      <c r="H74" s="18" t="s">
        <v>192</v>
      </c>
      <c r="I74" s="21">
        <v>0.87435289351851853</v>
      </c>
      <c r="J74" s="18" t="s">
        <v>41</v>
      </c>
      <c r="K74" s="18" t="s">
        <v>157</v>
      </c>
      <c r="L74" s="22">
        <v>1</v>
      </c>
      <c r="M74" s="22">
        <v>69751</v>
      </c>
      <c r="N74" s="18" t="s">
        <v>46</v>
      </c>
      <c r="O74" s="22" t="s">
        <v>129</v>
      </c>
      <c r="P74" s="23">
        <v>0</v>
      </c>
      <c r="Q74" s="22"/>
      <c r="R74" s="23">
        <v>0</v>
      </c>
      <c r="S74" s="24">
        <v>46054</v>
      </c>
      <c r="T74" s="23">
        <v>0</v>
      </c>
      <c r="U74" s="25">
        <v>4</v>
      </c>
      <c r="V74" s="23">
        <v>0</v>
      </c>
      <c r="W74" s="18" t="s">
        <v>47</v>
      </c>
      <c r="X74" s="18" t="s">
        <v>48</v>
      </c>
      <c r="Y74" s="18" t="s">
        <v>36</v>
      </c>
      <c r="Z74" s="18" t="s">
        <v>9</v>
      </c>
      <c r="AA74" s="18" t="s">
        <v>49</v>
      </c>
      <c r="AB74" s="18" t="s">
        <v>130</v>
      </c>
      <c r="AC74" s="18" t="s">
        <v>38</v>
      </c>
      <c r="AD74" s="7" t="str">
        <f t="shared" si="1"/>
        <v/>
      </c>
      <c r="AE74" s="26"/>
      <c r="AF74" s="26"/>
      <c r="AG74" s="26"/>
      <c r="AH74" s="26"/>
      <c r="AI74" s="27"/>
      <c r="AJ74" s="27"/>
      <c r="AK74" s="27"/>
      <c r="AL74" s="27"/>
      <c r="AM74" s="27"/>
      <c r="AN74" s="27"/>
      <c r="AO74" s="27"/>
      <c r="AP74" s="27"/>
      <c r="AQ74" s="27"/>
      <c r="AR74" s="27"/>
      <c r="AS74" s="27"/>
      <c r="AT74" s="27"/>
      <c r="AU74" s="27"/>
      <c r="AV74" s="27"/>
      <c r="AW74" s="27"/>
    </row>
    <row r="75" spans="1:49" s="48" customFormat="1" ht="35.1" customHeight="1" x14ac:dyDescent="0.25">
      <c r="A75" s="18" t="s">
        <v>93</v>
      </c>
      <c r="B75" s="19">
        <v>46053</v>
      </c>
      <c r="C75" s="19">
        <v>46053</v>
      </c>
      <c r="D75" s="18" t="s">
        <v>224</v>
      </c>
      <c r="E75" s="20">
        <v>0.79166666666666663</v>
      </c>
      <c r="F75" s="20">
        <v>0.99930555555555556</v>
      </c>
      <c r="G75" s="28">
        <v>1.7361111111111109E-4</v>
      </c>
      <c r="H75" s="29" t="s">
        <v>135</v>
      </c>
      <c r="I75" s="21">
        <v>0.87417905092592596</v>
      </c>
      <c r="J75" s="18" t="s">
        <v>136</v>
      </c>
      <c r="K75" s="18" t="s">
        <v>157</v>
      </c>
      <c r="L75" s="22">
        <v>1</v>
      </c>
      <c r="M75" s="22">
        <v>69566</v>
      </c>
      <c r="N75" s="18" t="s">
        <v>53</v>
      </c>
      <c r="O75" s="22" t="s">
        <v>137</v>
      </c>
      <c r="P75" s="23">
        <v>0</v>
      </c>
      <c r="Q75" s="22"/>
      <c r="R75" s="23">
        <v>16.531831119544499</v>
      </c>
      <c r="S75" s="24">
        <v>46054</v>
      </c>
      <c r="T75" s="23">
        <v>0</v>
      </c>
      <c r="U75" s="25">
        <v>4</v>
      </c>
      <c r="V75" s="23">
        <v>0</v>
      </c>
      <c r="W75" s="18" t="s">
        <v>47</v>
      </c>
      <c r="X75" s="18" t="s">
        <v>48</v>
      </c>
      <c r="Y75" s="18" t="s">
        <v>36</v>
      </c>
      <c r="Z75" s="18" t="s">
        <v>9</v>
      </c>
      <c r="AA75" s="18" t="s">
        <v>49</v>
      </c>
      <c r="AB75" s="18" t="s">
        <v>138</v>
      </c>
      <c r="AC75" s="18" t="s">
        <v>38</v>
      </c>
      <c r="AD75" s="7" t="str">
        <f t="shared" si="1"/>
        <v/>
      </c>
      <c r="AE75" s="26"/>
      <c r="AF75" s="26"/>
      <c r="AG75" s="26"/>
      <c r="AH75" s="26"/>
      <c r="AI75" s="27"/>
      <c r="AJ75" s="27"/>
      <c r="AK75" s="27"/>
      <c r="AL75" s="27"/>
      <c r="AM75" s="27"/>
      <c r="AN75" s="27"/>
      <c r="AO75" s="27"/>
      <c r="AP75" s="27"/>
      <c r="AQ75" s="27"/>
      <c r="AR75" s="27"/>
      <c r="AS75" s="27"/>
      <c r="AT75" s="27"/>
      <c r="AU75" s="27"/>
      <c r="AV75" s="27"/>
      <c r="AW75" s="27"/>
    </row>
    <row r="76" spans="1:49" s="48" customFormat="1" ht="35.1" customHeight="1" x14ac:dyDescent="0.25">
      <c r="A76" s="18" t="s">
        <v>93</v>
      </c>
      <c r="B76" s="19">
        <v>46053</v>
      </c>
      <c r="C76" s="19">
        <v>46053</v>
      </c>
      <c r="D76" s="18" t="s">
        <v>224</v>
      </c>
      <c r="E76" s="20">
        <v>0.79166666666666663</v>
      </c>
      <c r="F76" s="20">
        <v>0.99930555555555556</v>
      </c>
      <c r="G76" s="28">
        <v>1.7361111111111109E-4</v>
      </c>
      <c r="H76" s="29" t="s">
        <v>139</v>
      </c>
      <c r="I76" s="21">
        <v>0.87470011574074069</v>
      </c>
      <c r="J76" s="18" t="s">
        <v>136</v>
      </c>
      <c r="K76" s="18" t="s">
        <v>157</v>
      </c>
      <c r="L76" s="22">
        <v>1</v>
      </c>
      <c r="M76" s="22">
        <v>69566</v>
      </c>
      <c r="N76" s="18" t="s">
        <v>53</v>
      </c>
      <c r="O76" s="22" t="s">
        <v>137</v>
      </c>
      <c r="P76" s="23">
        <v>0</v>
      </c>
      <c r="Q76" s="22"/>
      <c r="R76" s="23">
        <v>16.531831119544499</v>
      </c>
      <c r="S76" s="24">
        <v>46054</v>
      </c>
      <c r="T76" s="23">
        <v>0</v>
      </c>
      <c r="U76" s="25">
        <v>4</v>
      </c>
      <c r="V76" s="23">
        <v>0</v>
      </c>
      <c r="W76" s="18" t="s">
        <v>47</v>
      </c>
      <c r="X76" s="18" t="s">
        <v>48</v>
      </c>
      <c r="Y76" s="18" t="s">
        <v>36</v>
      </c>
      <c r="Z76" s="18" t="s">
        <v>9</v>
      </c>
      <c r="AA76" s="18" t="s">
        <v>49</v>
      </c>
      <c r="AB76" s="18" t="s">
        <v>138</v>
      </c>
      <c r="AC76" s="18" t="s">
        <v>38</v>
      </c>
      <c r="AD76" s="7" t="str">
        <f t="shared" si="1"/>
        <v/>
      </c>
      <c r="AE76" s="26"/>
      <c r="AF76" s="26"/>
      <c r="AG76" s="26"/>
      <c r="AH76" s="26"/>
      <c r="AI76" s="27"/>
      <c r="AJ76" s="27"/>
      <c r="AK76" s="27"/>
      <c r="AL76" s="27"/>
      <c r="AM76" s="27"/>
      <c r="AN76" s="27"/>
      <c r="AO76" s="27"/>
      <c r="AP76" s="27"/>
      <c r="AQ76" s="27"/>
      <c r="AR76" s="27"/>
      <c r="AS76" s="27"/>
      <c r="AT76" s="27"/>
      <c r="AU76" s="27"/>
      <c r="AV76" s="27"/>
      <c r="AW76" s="27"/>
    </row>
    <row r="77" spans="1:49" s="26" customFormat="1" ht="35.1" customHeight="1" x14ac:dyDescent="0.25">
      <c r="A77" s="9" t="s">
        <v>146</v>
      </c>
      <c r="B77" s="10">
        <v>46053</v>
      </c>
      <c r="C77" s="10">
        <v>46053</v>
      </c>
      <c r="D77" s="11" t="s">
        <v>224</v>
      </c>
      <c r="E77" s="12">
        <v>0.875</v>
      </c>
      <c r="F77" s="12">
        <v>0.9375</v>
      </c>
      <c r="G77" s="12">
        <v>6.25E-2</v>
      </c>
      <c r="H77" s="9" t="s">
        <v>148</v>
      </c>
      <c r="I77" s="13" t="s">
        <v>226</v>
      </c>
      <c r="J77" s="9" t="s">
        <v>41</v>
      </c>
      <c r="K77" s="9"/>
      <c r="L77" s="14">
        <v>1</v>
      </c>
      <c r="M77" s="14">
        <v>1</v>
      </c>
      <c r="N77" s="9" t="s">
        <v>33</v>
      </c>
      <c r="O77" s="9"/>
      <c r="P77" s="16">
        <v>0</v>
      </c>
      <c r="Q77" s="14"/>
      <c r="R77" s="16">
        <v>0</v>
      </c>
      <c r="S77" s="9">
        <v>46054</v>
      </c>
      <c r="T77" s="16">
        <v>0</v>
      </c>
      <c r="U77" s="14">
        <v>2</v>
      </c>
      <c r="V77" s="16">
        <v>0</v>
      </c>
      <c r="W77" s="9" t="s">
        <v>34</v>
      </c>
      <c r="X77" s="9" t="s">
        <v>42</v>
      </c>
      <c r="Y77" s="9" t="s">
        <v>36</v>
      </c>
      <c r="Z77" s="9" t="s">
        <v>43</v>
      </c>
      <c r="AA77" s="9" t="s">
        <v>37</v>
      </c>
      <c r="AB77" s="9" t="s">
        <v>37</v>
      </c>
      <c r="AC77" s="9" t="s">
        <v>38</v>
      </c>
      <c r="AD77" s="7" t="str">
        <f t="shared" si="1"/>
        <v/>
      </c>
      <c r="AI77" s="27"/>
      <c r="AJ77" s="27"/>
      <c r="AK77" s="27"/>
      <c r="AL77" s="27"/>
      <c r="AM77" s="27"/>
      <c r="AN77" s="27"/>
      <c r="AO77" s="27"/>
      <c r="AP77" s="27"/>
      <c r="AQ77" s="27"/>
      <c r="AR77" s="27"/>
      <c r="AS77" s="27"/>
      <c r="AT77" s="27"/>
      <c r="AU77" s="27"/>
      <c r="AV77" s="27"/>
      <c r="AW77" s="27"/>
    </row>
    <row r="78" spans="1:49" s="48" customFormat="1" ht="35.1" customHeight="1" x14ac:dyDescent="0.25">
      <c r="A78" s="18" t="s">
        <v>51</v>
      </c>
      <c r="B78" s="19">
        <v>46053</v>
      </c>
      <c r="C78" s="19">
        <v>46053</v>
      </c>
      <c r="D78" s="18" t="s">
        <v>224</v>
      </c>
      <c r="E78" s="20">
        <v>0.875</v>
      </c>
      <c r="F78" s="20">
        <v>0.99930555555555556</v>
      </c>
      <c r="G78" s="20">
        <v>3.4722222222222218E-4</v>
      </c>
      <c r="H78" s="18" t="s">
        <v>52</v>
      </c>
      <c r="I78" s="21">
        <v>0.91580092592592588</v>
      </c>
      <c r="J78" s="18" t="s">
        <v>41</v>
      </c>
      <c r="K78" s="18" t="s">
        <v>158</v>
      </c>
      <c r="L78" s="22">
        <v>1</v>
      </c>
      <c r="M78" s="22">
        <v>70368</v>
      </c>
      <c r="N78" s="18" t="s">
        <v>53</v>
      </c>
      <c r="O78" s="22" t="s">
        <v>54</v>
      </c>
      <c r="P78" s="23">
        <v>40</v>
      </c>
      <c r="Q78" s="22"/>
      <c r="R78" s="23">
        <v>40</v>
      </c>
      <c r="S78" s="24">
        <v>46054</v>
      </c>
      <c r="T78" s="23">
        <v>6</v>
      </c>
      <c r="U78" s="25">
        <v>4</v>
      </c>
      <c r="V78" s="23">
        <v>34</v>
      </c>
      <c r="W78" s="18" t="s">
        <v>47</v>
      </c>
      <c r="X78" s="18" t="s">
        <v>48</v>
      </c>
      <c r="Y78" s="18" t="s">
        <v>36</v>
      </c>
      <c r="Z78" s="18" t="s">
        <v>9</v>
      </c>
      <c r="AA78" s="18" t="s">
        <v>49</v>
      </c>
      <c r="AB78" s="18" t="s">
        <v>55</v>
      </c>
      <c r="AC78" s="18" t="s">
        <v>38</v>
      </c>
      <c r="AD78" s="7" t="str">
        <f t="shared" si="1"/>
        <v/>
      </c>
      <c r="AE78" s="26"/>
      <c r="AF78" s="26"/>
      <c r="AG78" s="26"/>
      <c r="AH78" s="26"/>
      <c r="AI78" s="27"/>
      <c r="AJ78" s="27"/>
      <c r="AK78" s="27"/>
      <c r="AL78" s="27"/>
      <c r="AM78" s="27"/>
      <c r="AN78" s="27"/>
      <c r="AO78" s="27"/>
      <c r="AP78" s="27"/>
      <c r="AQ78" s="27"/>
      <c r="AR78" s="27"/>
      <c r="AS78" s="27"/>
      <c r="AT78" s="27"/>
      <c r="AU78" s="27"/>
      <c r="AV78" s="27"/>
      <c r="AW78" s="27"/>
    </row>
    <row r="79" spans="1:49" s="26" customFormat="1" ht="35.1" customHeight="1" x14ac:dyDescent="0.25">
      <c r="A79" s="9" t="s">
        <v>146</v>
      </c>
      <c r="B79" s="10">
        <v>46053</v>
      </c>
      <c r="C79" s="10">
        <v>46053</v>
      </c>
      <c r="D79" s="11" t="s">
        <v>224</v>
      </c>
      <c r="E79" s="12">
        <v>0.9375</v>
      </c>
      <c r="F79" s="12">
        <v>1</v>
      </c>
      <c r="G79" s="12">
        <v>6.25E-2</v>
      </c>
      <c r="H79" s="9" t="s">
        <v>206</v>
      </c>
      <c r="I79" s="13" t="s">
        <v>226</v>
      </c>
      <c r="J79" s="9" t="s">
        <v>41</v>
      </c>
      <c r="K79" s="9"/>
      <c r="L79" s="14">
        <v>1</v>
      </c>
      <c r="M79" s="14">
        <v>1</v>
      </c>
      <c r="N79" s="9" t="s">
        <v>33</v>
      </c>
      <c r="O79" s="9"/>
      <c r="P79" s="16">
        <v>0</v>
      </c>
      <c r="Q79" s="14"/>
      <c r="R79" s="16">
        <v>0</v>
      </c>
      <c r="S79" s="9">
        <v>46054</v>
      </c>
      <c r="T79" s="16">
        <v>0</v>
      </c>
      <c r="U79" s="14">
        <v>2</v>
      </c>
      <c r="V79" s="16">
        <v>0</v>
      </c>
      <c r="W79" s="9" t="s">
        <v>34</v>
      </c>
      <c r="X79" s="9" t="s">
        <v>42</v>
      </c>
      <c r="Y79" s="9" t="s">
        <v>36</v>
      </c>
      <c r="Z79" s="9" t="s">
        <v>43</v>
      </c>
      <c r="AA79" s="9" t="s">
        <v>37</v>
      </c>
      <c r="AB79" s="9" t="s">
        <v>37</v>
      </c>
      <c r="AC79" s="9" t="s">
        <v>38</v>
      </c>
      <c r="AD79" s="7" t="str">
        <f t="shared" si="1"/>
        <v/>
      </c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</row>
    <row r="80" spans="1:49" s="48" customFormat="1" ht="35.1" customHeight="1" x14ac:dyDescent="0.25">
      <c r="A80" s="18" t="s">
        <v>93</v>
      </c>
      <c r="B80" s="19">
        <v>46053</v>
      </c>
      <c r="C80" s="19">
        <v>46053</v>
      </c>
      <c r="D80" s="18" t="s">
        <v>224</v>
      </c>
      <c r="E80" s="20">
        <v>0.79166666666666663</v>
      </c>
      <c r="F80" s="20">
        <v>0.99930555555555556</v>
      </c>
      <c r="G80" s="28">
        <v>1.7361111111111109E-4</v>
      </c>
      <c r="H80" s="29" t="s">
        <v>135</v>
      </c>
      <c r="I80" s="21">
        <v>0.95884293981481483</v>
      </c>
      <c r="J80" s="18" t="s">
        <v>136</v>
      </c>
      <c r="K80" s="18" t="s">
        <v>206</v>
      </c>
      <c r="L80" s="22">
        <v>1</v>
      </c>
      <c r="M80" s="22">
        <v>69566</v>
      </c>
      <c r="N80" s="18" t="s">
        <v>53</v>
      </c>
      <c r="O80" s="22" t="s">
        <v>137</v>
      </c>
      <c r="P80" s="23">
        <v>0</v>
      </c>
      <c r="Q80" s="22"/>
      <c r="R80" s="23">
        <v>16.531831119544499</v>
      </c>
      <c r="S80" s="24">
        <v>46054</v>
      </c>
      <c r="T80" s="23">
        <v>0</v>
      </c>
      <c r="U80" s="25">
        <v>4</v>
      </c>
      <c r="V80" s="23">
        <v>0</v>
      </c>
      <c r="W80" s="18" t="s">
        <v>47</v>
      </c>
      <c r="X80" s="18" t="s">
        <v>48</v>
      </c>
      <c r="Y80" s="18" t="s">
        <v>36</v>
      </c>
      <c r="Z80" s="18" t="s">
        <v>9</v>
      </c>
      <c r="AA80" s="18" t="s">
        <v>49</v>
      </c>
      <c r="AB80" s="18" t="s">
        <v>138</v>
      </c>
      <c r="AC80" s="18" t="s">
        <v>38</v>
      </c>
      <c r="AD80" s="7" t="str">
        <f t="shared" si="1"/>
        <v/>
      </c>
      <c r="AE80" s="26"/>
      <c r="AF80" s="26"/>
      <c r="AG80" s="26"/>
      <c r="AH80" s="26"/>
      <c r="AI80" s="26"/>
      <c r="AJ80" s="26"/>
      <c r="AK80" s="26"/>
      <c r="AL80" s="26"/>
      <c r="AM80" s="26"/>
      <c r="AN80" s="26"/>
      <c r="AO80" s="26"/>
      <c r="AP80" s="26"/>
      <c r="AQ80" s="26"/>
      <c r="AR80" s="26"/>
      <c r="AS80" s="26"/>
      <c r="AT80" s="26"/>
      <c r="AU80" s="26"/>
      <c r="AV80" s="26"/>
      <c r="AW80" s="26"/>
    </row>
    <row r="81" spans="1:49" s="48" customFormat="1" ht="35.1" customHeight="1" x14ac:dyDescent="0.25">
      <c r="A81" s="18" t="s">
        <v>93</v>
      </c>
      <c r="B81" s="19">
        <v>46053</v>
      </c>
      <c r="C81" s="19">
        <v>46053</v>
      </c>
      <c r="D81" s="18" t="s">
        <v>224</v>
      </c>
      <c r="E81" s="20">
        <v>0.79166666666666663</v>
      </c>
      <c r="F81" s="20">
        <v>0.99930555555555556</v>
      </c>
      <c r="G81" s="28">
        <v>1.7361111111111109E-4</v>
      </c>
      <c r="H81" s="29" t="s">
        <v>139</v>
      </c>
      <c r="I81" s="21">
        <v>0.96110034722222226</v>
      </c>
      <c r="J81" s="18" t="s">
        <v>136</v>
      </c>
      <c r="K81" s="18" t="s">
        <v>206</v>
      </c>
      <c r="L81" s="22">
        <v>1</v>
      </c>
      <c r="M81" s="22">
        <v>69566</v>
      </c>
      <c r="N81" s="18" t="s">
        <v>53</v>
      </c>
      <c r="O81" s="22" t="s">
        <v>137</v>
      </c>
      <c r="P81" s="23">
        <v>0</v>
      </c>
      <c r="Q81" s="22"/>
      <c r="R81" s="23">
        <v>16.531831119544499</v>
      </c>
      <c r="S81" s="24">
        <v>46054</v>
      </c>
      <c r="T81" s="23">
        <v>0</v>
      </c>
      <c r="U81" s="25">
        <v>4</v>
      </c>
      <c r="V81" s="23">
        <v>0</v>
      </c>
      <c r="W81" s="18" t="s">
        <v>47</v>
      </c>
      <c r="X81" s="18" t="s">
        <v>48</v>
      </c>
      <c r="Y81" s="18" t="s">
        <v>36</v>
      </c>
      <c r="Z81" s="18" t="s">
        <v>9</v>
      </c>
      <c r="AA81" s="18" t="s">
        <v>49</v>
      </c>
      <c r="AB81" s="18" t="s">
        <v>138</v>
      </c>
      <c r="AC81" s="18" t="s">
        <v>38</v>
      </c>
      <c r="AD81" s="7" t="str">
        <f t="shared" si="1"/>
        <v/>
      </c>
      <c r="AE81" s="26"/>
      <c r="AF81" s="26"/>
      <c r="AG81" s="26"/>
      <c r="AH81" s="26"/>
      <c r="AI81" s="26"/>
      <c r="AJ81" s="26"/>
      <c r="AK81" s="26"/>
      <c r="AL81" s="26"/>
      <c r="AM81" s="26"/>
      <c r="AN81" s="26"/>
      <c r="AO81" s="26"/>
      <c r="AP81" s="26"/>
      <c r="AQ81" s="26"/>
      <c r="AR81" s="26"/>
      <c r="AS81" s="26"/>
      <c r="AT81" s="26"/>
      <c r="AU81" s="26"/>
      <c r="AV81" s="26"/>
      <c r="AW81" s="26"/>
    </row>
    <row r="82" spans="1:49" s="54" customFormat="1" ht="35.1" customHeight="1" x14ac:dyDescent="0.25">
      <c r="A82" s="18" t="s">
        <v>93</v>
      </c>
      <c r="B82" s="19">
        <v>46053</v>
      </c>
      <c r="C82" s="19">
        <v>46053</v>
      </c>
      <c r="D82" s="18" t="s">
        <v>224</v>
      </c>
      <c r="E82" s="20">
        <v>0.79166666666666663</v>
      </c>
      <c r="F82" s="20">
        <v>0.99930555555555556</v>
      </c>
      <c r="G82" s="28">
        <v>1.7361111111111109E-4</v>
      </c>
      <c r="H82" s="29" t="s">
        <v>135</v>
      </c>
      <c r="I82" s="21">
        <v>0.9684042824074075</v>
      </c>
      <c r="J82" s="18" t="s">
        <v>136</v>
      </c>
      <c r="K82" s="18" t="s">
        <v>206</v>
      </c>
      <c r="L82" s="22">
        <v>1</v>
      </c>
      <c r="M82" s="22">
        <v>69567</v>
      </c>
      <c r="N82" s="18" t="s">
        <v>46</v>
      </c>
      <c r="O82" s="22" t="s">
        <v>137</v>
      </c>
      <c r="P82" s="23">
        <v>0</v>
      </c>
      <c r="Q82" s="22"/>
      <c r="R82" s="23">
        <v>0</v>
      </c>
      <c r="S82" s="24">
        <v>46054</v>
      </c>
      <c r="T82" s="23">
        <v>0</v>
      </c>
      <c r="U82" s="25">
        <v>4</v>
      </c>
      <c r="V82" s="23">
        <v>0</v>
      </c>
      <c r="W82" s="18" t="s">
        <v>47</v>
      </c>
      <c r="X82" s="18" t="s">
        <v>48</v>
      </c>
      <c r="Y82" s="18" t="s">
        <v>36</v>
      </c>
      <c r="Z82" s="18" t="s">
        <v>9</v>
      </c>
      <c r="AA82" s="18" t="s">
        <v>49</v>
      </c>
      <c r="AB82" s="18" t="s">
        <v>138</v>
      </c>
      <c r="AC82" s="18" t="s">
        <v>38</v>
      </c>
      <c r="AD82" s="7" t="str">
        <f t="shared" si="1"/>
        <v/>
      </c>
      <c r="AE82" s="26"/>
      <c r="AF82" s="26"/>
      <c r="AG82" s="26"/>
      <c r="AH82" s="26"/>
      <c r="AI82" s="27"/>
      <c r="AJ82" s="27"/>
      <c r="AK82" s="27"/>
      <c r="AL82" s="27"/>
      <c r="AM82" s="27"/>
      <c r="AN82" s="27"/>
      <c r="AO82" s="27"/>
      <c r="AP82" s="27"/>
      <c r="AQ82" s="27"/>
      <c r="AR82" s="27"/>
      <c r="AS82" s="27"/>
      <c r="AT82" s="27"/>
      <c r="AU82" s="27"/>
      <c r="AV82" s="27"/>
      <c r="AW82" s="27"/>
    </row>
    <row r="83" spans="1:49" s="54" customFormat="1" ht="35.1" customHeight="1" x14ac:dyDescent="0.25">
      <c r="A83" s="18" t="s">
        <v>93</v>
      </c>
      <c r="B83" s="19">
        <v>46053</v>
      </c>
      <c r="C83" s="19">
        <v>46053</v>
      </c>
      <c r="D83" s="18" t="s">
        <v>224</v>
      </c>
      <c r="E83" s="20">
        <v>0.79166666666666663</v>
      </c>
      <c r="F83" s="20">
        <v>0.99930555555555556</v>
      </c>
      <c r="G83" s="28">
        <v>1.7361111111111109E-4</v>
      </c>
      <c r="H83" s="29" t="s">
        <v>139</v>
      </c>
      <c r="I83" s="21">
        <v>0.97031423611111101</v>
      </c>
      <c r="J83" s="18" t="s">
        <v>136</v>
      </c>
      <c r="K83" s="18" t="s">
        <v>206</v>
      </c>
      <c r="L83" s="22">
        <v>1</v>
      </c>
      <c r="M83" s="22">
        <v>69567</v>
      </c>
      <c r="N83" s="18" t="s">
        <v>46</v>
      </c>
      <c r="O83" s="22" t="s">
        <v>137</v>
      </c>
      <c r="P83" s="23">
        <v>0</v>
      </c>
      <c r="Q83" s="22"/>
      <c r="R83" s="23">
        <v>0</v>
      </c>
      <c r="S83" s="24">
        <v>46054</v>
      </c>
      <c r="T83" s="23">
        <v>0</v>
      </c>
      <c r="U83" s="25">
        <v>4</v>
      </c>
      <c r="V83" s="23">
        <v>0</v>
      </c>
      <c r="W83" s="18" t="s">
        <v>47</v>
      </c>
      <c r="X83" s="18" t="s">
        <v>48</v>
      </c>
      <c r="Y83" s="18" t="s">
        <v>36</v>
      </c>
      <c r="Z83" s="18" t="s">
        <v>9</v>
      </c>
      <c r="AA83" s="18" t="s">
        <v>49</v>
      </c>
      <c r="AB83" s="18" t="s">
        <v>138</v>
      </c>
      <c r="AC83" s="18" t="s">
        <v>38</v>
      </c>
      <c r="AD83" s="7" t="str">
        <f t="shared" si="1"/>
        <v/>
      </c>
      <c r="AE83" s="44"/>
      <c r="AF83" s="44"/>
      <c r="AG83" s="44"/>
      <c r="AH83" s="44"/>
      <c r="AI83" s="30"/>
      <c r="AJ83" s="30"/>
      <c r="AK83" s="30"/>
      <c r="AL83" s="30"/>
      <c r="AM83" s="30"/>
      <c r="AN83" s="30"/>
      <c r="AO83" s="30"/>
      <c r="AP83" s="30"/>
      <c r="AQ83" s="30"/>
      <c r="AR83" s="30"/>
      <c r="AS83" s="30"/>
      <c r="AT83" s="30"/>
      <c r="AU83" s="30"/>
      <c r="AV83" s="30"/>
      <c r="AW83" s="30"/>
    </row>
    <row r="84" spans="1:49" s="47" customFormat="1" ht="35.1" customHeight="1" x14ac:dyDescent="0.25">
      <c r="A84" s="18" t="s">
        <v>93</v>
      </c>
      <c r="B84" s="19">
        <v>46053</v>
      </c>
      <c r="C84" s="19">
        <v>46053</v>
      </c>
      <c r="D84" s="18" t="s">
        <v>224</v>
      </c>
      <c r="E84" s="20">
        <v>0.79166666666666663</v>
      </c>
      <c r="F84" s="20">
        <v>0.99930555555555556</v>
      </c>
      <c r="G84" s="28">
        <v>1.7361111111111109E-4</v>
      </c>
      <c r="H84" s="29" t="s">
        <v>135</v>
      </c>
      <c r="I84" s="21">
        <v>0.98008425925925924</v>
      </c>
      <c r="J84" s="18" t="s">
        <v>136</v>
      </c>
      <c r="K84" s="18" t="s">
        <v>206</v>
      </c>
      <c r="L84" s="22">
        <v>1</v>
      </c>
      <c r="M84" s="22">
        <v>69566</v>
      </c>
      <c r="N84" s="18" t="s">
        <v>53</v>
      </c>
      <c r="O84" s="22" t="s">
        <v>137</v>
      </c>
      <c r="P84" s="23">
        <v>0</v>
      </c>
      <c r="Q84" s="22"/>
      <c r="R84" s="23">
        <v>16.531831119544499</v>
      </c>
      <c r="S84" s="24">
        <v>46054</v>
      </c>
      <c r="T84" s="23">
        <v>0</v>
      </c>
      <c r="U84" s="25">
        <v>4</v>
      </c>
      <c r="V84" s="23">
        <v>0</v>
      </c>
      <c r="W84" s="18" t="s">
        <v>47</v>
      </c>
      <c r="X84" s="18" t="s">
        <v>48</v>
      </c>
      <c r="Y84" s="18" t="s">
        <v>36</v>
      </c>
      <c r="Z84" s="18" t="s">
        <v>9</v>
      </c>
      <c r="AA84" s="18" t="s">
        <v>49</v>
      </c>
      <c r="AB84" s="18" t="s">
        <v>138</v>
      </c>
      <c r="AC84" s="18" t="s">
        <v>38</v>
      </c>
      <c r="AD84" s="7" t="str">
        <f t="shared" si="1"/>
        <v/>
      </c>
      <c r="AE84" s="26"/>
      <c r="AF84" s="26"/>
      <c r="AG84" s="26"/>
      <c r="AH84" s="26"/>
      <c r="AI84" s="27"/>
      <c r="AJ84" s="27"/>
      <c r="AK84" s="27"/>
      <c r="AL84" s="27"/>
      <c r="AM84" s="27"/>
      <c r="AN84" s="27"/>
      <c r="AO84" s="27"/>
      <c r="AP84" s="27"/>
      <c r="AQ84" s="27"/>
      <c r="AR84" s="27"/>
      <c r="AS84" s="27"/>
      <c r="AT84" s="27"/>
      <c r="AU84" s="27"/>
      <c r="AV84" s="27"/>
      <c r="AW84" s="27"/>
    </row>
    <row r="85" spans="1:49" s="48" customFormat="1" ht="35.1" customHeight="1" x14ac:dyDescent="0.25">
      <c r="A85" s="18" t="s">
        <v>93</v>
      </c>
      <c r="B85" s="19">
        <v>46053</v>
      </c>
      <c r="C85" s="19">
        <v>46053</v>
      </c>
      <c r="D85" s="18" t="s">
        <v>224</v>
      </c>
      <c r="E85" s="20">
        <v>0.79166666666666663</v>
      </c>
      <c r="F85" s="20">
        <v>0.99930555555555556</v>
      </c>
      <c r="G85" s="28">
        <v>1.7361111111111109E-4</v>
      </c>
      <c r="H85" s="29" t="s">
        <v>139</v>
      </c>
      <c r="I85" s="21">
        <v>0.98112604166666662</v>
      </c>
      <c r="J85" s="18" t="s">
        <v>136</v>
      </c>
      <c r="K85" s="18" t="s">
        <v>206</v>
      </c>
      <c r="L85" s="22">
        <v>1</v>
      </c>
      <c r="M85" s="22">
        <v>69566</v>
      </c>
      <c r="N85" s="18" t="s">
        <v>53</v>
      </c>
      <c r="O85" s="22" t="s">
        <v>137</v>
      </c>
      <c r="P85" s="23">
        <v>0</v>
      </c>
      <c r="Q85" s="22"/>
      <c r="R85" s="23">
        <v>16.531831119544499</v>
      </c>
      <c r="S85" s="24">
        <v>46054</v>
      </c>
      <c r="T85" s="23">
        <v>0</v>
      </c>
      <c r="U85" s="25">
        <v>4</v>
      </c>
      <c r="V85" s="23">
        <v>0</v>
      </c>
      <c r="W85" s="18" t="s">
        <v>47</v>
      </c>
      <c r="X85" s="18" t="s">
        <v>48</v>
      </c>
      <c r="Y85" s="18" t="s">
        <v>36</v>
      </c>
      <c r="Z85" s="18" t="s">
        <v>9</v>
      </c>
      <c r="AA85" s="18" t="s">
        <v>49</v>
      </c>
      <c r="AB85" s="18" t="s">
        <v>138</v>
      </c>
      <c r="AC85" s="18" t="s">
        <v>38</v>
      </c>
      <c r="AD85" s="7" t="str">
        <f t="shared" si="1"/>
        <v/>
      </c>
      <c r="AE85" s="26"/>
      <c r="AF85" s="26"/>
      <c r="AG85" s="26"/>
      <c r="AH85" s="26"/>
      <c r="AI85" s="27"/>
      <c r="AJ85" s="27"/>
      <c r="AK85" s="27"/>
      <c r="AL85" s="27"/>
      <c r="AM85" s="27"/>
      <c r="AN85" s="27"/>
      <c r="AO85" s="27"/>
      <c r="AP85" s="27"/>
      <c r="AQ85" s="27"/>
      <c r="AR85" s="27"/>
      <c r="AS85" s="27"/>
      <c r="AT85" s="27"/>
      <c r="AU85" s="27"/>
      <c r="AV85" s="27"/>
      <c r="AW85" s="27"/>
    </row>
    <row r="86" spans="1:49" s="48" customFormat="1" ht="35.1" customHeight="1" x14ac:dyDescent="0.25">
      <c r="A86" s="18" t="s">
        <v>51</v>
      </c>
      <c r="B86" s="19">
        <v>46053</v>
      </c>
      <c r="C86" s="19">
        <v>46053</v>
      </c>
      <c r="D86" s="18" t="s">
        <v>224</v>
      </c>
      <c r="E86" s="20">
        <v>0.875</v>
      </c>
      <c r="F86" s="20">
        <v>0.99930555555555556</v>
      </c>
      <c r="G86" s="20">
        <v>3.4722222222222218E-4</v>
      </c>
      <c r="H86" s="18" t="s">
        <v>52</v>
      </c>
      <c r="I86" s="21">
        <v>0.98997881944444444</v>
      </c>
      <c r="J86" s="18" t="s">
        <v>41</v>
      </c>
      <c r="K86" s="18" t="s">
        <v>206</v>
      </c>
      <c r="L86" s="22">
        <v>1</v>
      </c>
      <c r="M86" s="22">
        <v>70368</v>
      </c>
      <c r="N86" s="18" t="s">
        <v>53</v>
      </c>
      <c r="O86" s="22" t="s">
        <v>54</v>
      </c>
      <c r="P86" s="23">
        <v>40</v>
      </c>
      <c r="Q86" s="22"/>
      <c r="R86" s="23">
        <v>40</v>
      </c>
      <c r="S86" s="24">
        <v>46054</v>
      </c>
      <c r="T86" s="23">
        <v>6</v>
      </c>
      <c r="U86" s="25">
        <v>4</v>
      </c>
      <c r="V86" s="23">
        <v>34</v>
      </c>
      <c r="W86" s="18" t="s">
        <v>47</v>
      </c>
      <c r="X86" s="18" t="s">
        <v>48</v>
      </c>
      <c r="Y86" s="18" t="s">
        <v>36</v>
      </c>
      <c r="Z86" s="18" t="s">
        <v>9</v>
      </c>
      <c r="AA86" s="18" t="s">
        <v>49</v>
      </c>
      <c r="AB86" s="18" t="s">
        <v>55</v>
      </c>
      <c r="AC86" s="18" t="s">
        <v>38</v>
      </c>
      <c r="AD86" s="7" t="str">
        <f t="shared" si="1"/>
        <v/>
      </c>
      <c r="AE86" s="26"/>
      <c r="AF86" s="26"/>
      <c r="AG86" s="26"/>
      <c r="AH86" s="26"/>
      <c r="AI86" s="26"/>
      <c r="AJ86" s="26"/>
      <c r="AK86" s="26"/>
      <c r="AL86" s="26"/>
      <c r="AM86" s="26"/>
      <c r="AN86" s="26"/>
      <c r="AO86" s="26"/>
      <c r="AP86" s="26"/>
      <c r="AQ86" s="26"/>
      <c r="AR86" s="26"/>
      <c r="AS86" s="26"/>
      <c r="AT86" s="26"/>
      <c r="AU86" s="26"/>
      <c r="AV86" s="26"/>
      <c r="AW86" s="26"/>
    </row>
    <row r="87" spans="1:49" s="48" customFormat="1" ht="35.1" customHeight="1" x14ac:dyDescent="0.25">
      <c r="A87" s="18" t="s">
        <v>56</v>
      </c>
      <c r="B87" s="19">
        <v>46053</v>
      </c>
      <c r="C87" s="19">
        <v>46053</v>
      </c>
      <c r="D87" s="18" t="s">
        <v>224</v>
      </c>
      <c r="E87" s="20">
        <v>0.25</v>
      </c>
      <c r="F87" s="20">
        <v>0.99930555555555556</v>
      </c>
      <c r="G87" s="28">
        <v>1.7361111111111112E-4</v>
      </c>
      <c r="H87" s="29" t="s">
        <v>57</v>
      </c>
      <c r="I87" s="21">
        <v>0.99884259259259256</v>
      </c>
      <c r="J87" s="18" t="s">
        <v>41</v>
      </c>
      <c r="K87" s="18" t="s">
        <v>206</v>
      </c>
      <c r="L87" s="22">
        <v>1</v>
      </c>
      <c r="M87" s="22">
        <v>69827</v>
      </c>
      <c r="N87" s="18" t="s">
        <v>53</v>
      </c>
      <c r="O87" s="22"/>
      <c r="P87" s="23">
        <v>23</v>
      </c>
      <c r="Q87" s="22"/>
      <c r="R87" s="23">
        <v>23</v>
      </c>
      <c r="S87" s="24">
        <v>46053</v>
      </c>
      <c r="T87" s="23">
        <v>0</v>
      </c>
      <c r="U87" s="25">
        <v>4</v>
      </c>
      <c r="V87" s="23">
        <v>23</v>
      </c>
      <c r="W87" s="18" t="s">
        <v>34</v>
      </c>
      <c r="X87" s="18" t="s">
        <v>48</v>
      </c>
      <c r="Y87" s="18" t="s">
        <v>58</v>
      </c>
      <c r="Z87" s="18" t="s">
        <v>43</v>
      </c>
      <c r="AA87" s="18" t="s">
        <v>49</v>
      </c>
      <c r="AB87" s="18" t="s">
        <v>59</v>
      </c>
      <c r="AC87" s="18" t="s">
        <v>38</v>
      </c>
      <c r="AD87" s="7" t="str">
        <f t="shared" si="1"/>
        <v/>
      </c>
      <c r="AE87" s="26"/>
      <c r="AF87" s="26"/>
      <c r="AG87" s="26"/>
      <c r="AH87" s="26"/>
      <c r="AI87" s="26"/>
      <c r="AJ87" s="26"/>
      <c r="AK87" s="26"/>
      <c r="AL87" s="26"/>
      <c r="AM87" s="26"/>
      <c r="AN87" s="26"/>
      <c r="AO87" s="26"/>
      <c r="AP87" s="26"/>
      <c r="AQ87" s="26"/>
      <c r="AR87" s="26"/>
      <c r="AS87" s="26"/>
      <c r="AT87" s="26"/>
      <c r="AU87" s="26"/>
      <c r="AV87" s="26"/>
      <c r="AW87" s="26"/>
    </row>
    <row r="88" spans="1:49" s="48" customFormat="1" ht="35.1" customHeight="1" x14ac:dyDescent="0.25">
      <c r="A88" s="18" t="s">
        <v>56</v>
      </c>
      <c r="B88" s="19">
        <v>46053</v>
      </c>
      <c r="C88" s="19">
        <v>46053</v>
      </c>
      <c r="D88" s="18" t="s">
        <v>224</v>
      </c>
      <c r="E88" s="20">
        <v>0.25</v>
      </c>
      <c r="F88" s="20">
        <v>1</v>
      </c>
      <c r="G88" s="28">
        <v>1.7361111111111112E-4</v>
      </c>
      <c r="H88" s="29" t="s">
        <v>60</v>
      </c>
      <c r="I88" s="21">
        <v>0.99970243055555552</v>
      </c>
      <c r="J88" s="18" t="s">
        <v>41</v>
      </c>
      <c r="K88" s="18" t="s">
        <v>206</v>
      </c>
      <c r="L88" s="22">
        <v>1</v>
      </c>
      <c r="M88" s="22">
        <v>69827</v>
      </c>
      <c r="N88" s="18" t="s">
        <v>53</v>
      </c>
      <c r="O88" s="22"/>
      <c r="P88" s="23">
        <v>0</v>
      </c>
      <c r="Q88" s="22"/>
      <c r="R88" s="23">
        <v>0</v>
      </c>
      <c r="S88" s="24">
        <v>46053</v>
      </c>
      <c r="T88" s="23">
        <v>0</v>
      </c>
      <c r="U88" s="25">
        <v>4</v>
      </c>
      <c r="V88" s="23">
        <v>0</v>
      </c>
      <c r="W88" s="18" t="s">
        <v>34</v>
      </c>
      <c r="X88" s="18" t="s">
        <v>48</v>
      </c>
      <c r="Y88" s="18" t="s">
        <v>58</v>
      </c>
      <c r="Z88" s="18" t="s">
        <v>43</v>
      </c>
      <c r="AA88" s="18" t="s">
        <v>49</v>
      </c>
      <c r="AB88" s="18" t="s">
        <v>59</v>
      </c>
      <c r="AC88" s="18" t="s">
        <v>38</v>
      </c>
      <c r="AD88" s="7" t="str">
        <f t="shared" si="1"/>
        <v/>
      </c>
      <c r="AE88" s="26"/>
      <c r="AF88" s="26"/>
      <c r="AG88" s="26"/>
      <c r="AH88" s="26"/>
      <c r="AI88" s="27"/>
      <c r="AJ88" s="27"/>
      <c r="AK88" s="27"/>
      <c r="AL88" s="27"/>
      <c r="AM88" s="27"/>
      <c r="AN88" s="27"/>
      <c r="AO88" s="27"/>
      <c r="AP88" s="27"/>
      <c r="AQ88" s="27"/>
      <c r="AR88" s="27"/>
      <c r="AS88" s="27"/>
      <c r="AT88" s="27"/>
      <c r="AU88" s="27"/>
      <c r="AV88" s="27"/>
      <c r="AW88" s="27"/>
    </row>
    <row r="89" spans="1:49" ht="44.25" customHeight="1" x14ac:dyDescent="0.2"/>
    <row r="90" spans="1:49" ht="44.25" customHeight="1" x14ac:dyDescent="0.2"/>
    <row r="91" spans="1:49" ht="44.25" customHeight="1" x14ac:dyDescent="0.2"/>
    <row r="92" spans="1:49" ht="44.25" customHeight="1" x14ac:dyDescent="0.2"/>
    <row r="93" spans="1:49" ht="44.25" customHeight="1" x14ac:dyDescent="0.2"/>
    <row r="94" spans="1:49" ht="44.25" customHeight="1" x14ac:dyDescent="0.2"/>
    <row r="95" spans="1:49" ht="44.25" customHeight="1" x14ac:dyDescent="0.2"/>
    <row r="96" spans="1:49" ht="44.25" customHeight="1" x14ac:dyDescent="0.2"/>
    <row r="97" customFormat="1" ht="44.25" customHeight="1" x14ac:dyDescent="0.2"/>
    <row r="98" customFormat="1" ht="44.25" customHeight="1" x14ac:dyDescent="0.2"/>
    <row r="99" customFormat="1" ht="44.25" customHeight="1" x14ac:dyDescent="0.2"/>
    <row r="100" customFormat="1" ht="44.25" customHeight="1" x14ac:dyDescent="0.2"/>
    <row r="101" customFormat="1" ht="44.25" customHeight="1" x14ac:dyDescent="0.2"/>
    <row r="102" customFormat="1" ht="44.25" customHeight="1" x14ac:dyDescent="0.2"/>
    <row r="103" customFormat="1" ht="44.25" customHeight="1" x14ac:dyDescent="0.2"/>
    <row r="104" customFormat="1" ht="44.25" customHeight="1" x14ac:dyDescent="0.2"/>
    <row r="105" customFormat="1" ht="44.25" customHeight="1" x14ac:dyDescent="0.2"/>
    <row r="106" customFormat="1" ht="44.25" customHeight="1" x14ac:dyDescent="0.2"/>
    <row r="107" customFormat="1" ht="44.25" customHeight="1" x14ac:dyDescent="0.2"/>
    <row r="108" customFormat="1" ht="44.25" customHeight="1" x14ac:dyDescent="0.2"/>
    <row r="109" customFormat="1" ht="44.25" customHeight="1" x14ac:dyDescent="0.2"/>
    <row r="110" customFormat="1" ht="44.25" customHeight="1" x14ac:dyDescent="0.2"/>
    <row r="111" customFormat="1" ht="44.25" customHeight="1" x14ac:dyDescent="0.2"/>
    <row r="112" customFormat="1" ht="44.25" customHeight="1" x14ac:dyDescent="0.2"/>
    <row r="113" customFormat="1" ht="44.25" customHeight="1" x14ac:dyDescent="0.2"/>
    <row r="114" customFormat="1" ht="44.25" customHeight="1" x14ac:dyDescent="0.2"/>
    <row r="115" customFormat="1" ht="44.25" customHeight="1" x14ac:dyDescent="0.2"/>
    <row r="116" customFormat="1" ht="44.25" customHeight="1" x14ac:dyDescent="0.2"/>
    <row r="117" customFormat="1" ht="44.25" customHeight="1" x14ac:dyDescent="0.2"/>
    <row r="118" customFormat="1" ht="44.25" customHeight="1" x14ac:dyDescent="0.2"/>
    <row r="119" customFormat="1" ht="44.25" customHeight="1" x14ac:dyDescent="0.2"/>
    <row r="120" customFormat="1" ht="44.25" customHeight="1" x14ac:dyDescent="0.2"/>
    <row r="121" customFormat="1" ht="44.25" customHeight="1" x14ac:dyDescent="0.2"/>
    <row r="122" customFormat="1" ht="44.25" customHeight="1" x14ac:dyDescent="0.2"/>
    <row r="123" customFormat="1" ht="44.25" customHeight="1" x14ac:dyDescent="0.2"/>
    <row r="124" customFormat="1" ht="44.25" customHeight="1" x14ac:dyDescent="0.2"/>
    <row r="125" customFormat="1" ht="44.25" customHeight="1" x14ac:dyDescent="0.2"/>
    <row r="126" customFormat="1" ht="44.25" customHeight="1" x14ac:dyDescent="0.2"/>
    <row r="127" customFormat="1" ht="44.25" customHeight="1" x14ac:dyDescent="0.2"/>
    <row r="128" customFormat="1" ht="44.25" customHeight="1" x14ac:dyDescent="0.2"/>
    <row r="129" customFormat="1" ht="44.25" customHeight="1" x14ac:dyDescent="0.2"/>
    <row r="130" customFormat="1" ht="44.25" customHeight="1" x14ac:dyDescent="0.2"/>
    <row r="131" customFormat="1" ht="44.25" customHeight="1" x14ac:dyDescent="0.2"/>
    <row r="132" customFormat="1" ht="44.25" customHeight="1" x14ac:dyDescent="0.2"/>
    <row r="133" customFormat="1" ht="44.25" customHeight="1" x14ac:dyDescent="0.2"/>
    <row r="134" customFormat="1" ht="44.25" customHeight="1" x14ac:dyDescent="0.2"/>
    <row r="135" customFormat="1" ht="44.25" customHeight="1" x14ac:dyDescent="0.2"/>
    <row r="136" customFormat="1" ht="44.25" customHeight="1" x14ac:dyDescent="0.2"/>
    <row r="137" customFormat="1" ht="44.25" customHeight="1" x14ac:dyDescent="0.2"/>
    <row r="138" customFormat="1" ht="44.25" customHeight="1" x14ac:dyDescent="0.2"/>
    <row r="139" customFormat="1" ht="44.25" customHeight="1" x14ac:dyDescent="0.2"/>
    <row r="140" customFormat="1" ht="44.25" customHeight="1" x14ac:dyDescent="0.2"/>
    <row r="141" customFormat="1" ht="44.25" customHeight="1" x14ac:dyDescent="0.2"/>
    <row r="142" customFormat="1" ht="44.25" customHeight="1" x14ac:dyDescent="0.2"/>
    <row r="143" customFormat="1" ht="44.25" customHeight="1" x14ac:dyDescent="0.2"/>
    <row r="144" customFormat="1" ht="44.25" customHeight="1" x14ac:dyDescent="0.2"/>
    <row r="145" customFormat="1" ht="44.25" customHeight="1" x14ac:dyDescent="0.2"/>
    <row r="146" customFormat="1" ht="44.25" customHeight="1" x14ac:dyDescent="0.2"/>
    <row r="147" customFormat="1" ht="44.25" customHeight="1" x14ac:dyDescent="0.2"/>
    <row r="148" customFormat="1" ht="44.25" customHeight="1" x14ac:dyDescent="0.2"/>
    <row r="149" customFormat="1" ht="44.25" customHeight="1" x14ac:dyDescent="0.2"/>
    <row r="150" customFormat="1" ht="44.25" customHeight="1" x14ac:dyDescent="0.2"/>
    <row r="151" customFormat="1" ht="44.25" customHeight="1" x14ac:dyDescent="0.2"/>
    <row r="152" customFormat="1" ht="44.25" customHeight="1" x14ac:dyDescent="0.2"/>
    <row r="153" customFormat="1" ht="44.25" customHeight="1" x14ac:dyDescent="0.2"/>
    <row r="154" customFormat="1" ht="44.25" customHeight="1" x14ac:dyDescent="0.2"/>
    <row r="155" customFormat="1" ht="44.25" customHeight="1" x14ac:dyDescent="0.2"/>
    <row r="156" customFormat="1" ht="44.25" customHeight="1" x14ac:dyDescent="0.2"/>
    <row r="157" customFormat="1" ht="44.25" customHeight="1" x14ac:dyDescent="0.2"/>
    <row r="158" customFormat="1" ht="44.25" customHeight="1" x14ac:dyDescent="0.2"/>
    <row r="159" customFormat="1" ht="44.25" customHeight="1" x14ac:dyDescent="0.2"/>
    <row r="160" customFormat="1" ht="44.25" customHeight="1" x14ac:dyDescent="0.2"/>
    <row r="161" customFormat="1" ht="44.25" customHeight="1" x14ac:dyDescent="0.2"/>
    <row r="162" customFormat="1" ht="44.25" customHeight="1" x14ac:dyDescent="0.2"/>
    <row r="163" customFormat="1" ht="44.25" customHeight="1" x14ac:dyDescent="0.2"/>
    <row r="164" customFormat="1" ht="44.25" customHeight="1" x14ac:dyDescent="0.2"/>
    <row r="165" customFormat="1" ht="44.25" customHeight="1" x14ac:dyDescent="0.2"/>
    <row r="166" customFormat="1" ht="44.25" customHeight="1" x14ac:dyDescent="0.2"/>
    <row r="167" customFormat="1" ht="44.25" customHeight="1" x14ac:dyDescent="0.2"/>
    <row r="168" customFormat="1" ht="44.25" customHeight="1" x14ac:dyDescent="0.2"/>
    <row r="169" customFormat="1" ht="44.25" customHeight="1" x14ac:dyDescent="0.2"/>
    <row r="170" customFormat="1" ht="44.25" customHeight="1" x14ac:dyDescent="0.2"/>
    <row r="171" customFormat="1" ht="44.25" customHeight="1" x14ac:dyDescent="0.2"/>
    <row r="172" customFormat="1" ht="44.25" customHeight="1" x14ac:dyDescent="0.2"/>
    <row r="173" customFormat="1" ht="44.25" customHeight="1" x14ac:dyDescent="0.2"/>
    <row r="174" customFormat="1" ht="44.25" customHeight="1" x14ac:dyDescent="0.2"/>
    <row r="175" customFormat="1" ht="44.25" customHeight="1" x14ac:dyDescent="0.2"/>
    <row r="176" customFormat="1" ht="44.25" customHeight="1" x14ac:dyDescent="0.2"/>
    <row r="177" customFormat="1" ht="44.25" customHeight="1" x14ac:dyDescent="0.2"/>
    <row r="178" customFormat="1" ht="44.25" customHeight="1" x14ac:dyDescent="0.2"/>
    <row r="179" customFormat="1" ht="44.25" customHeight="1" x14ac:dyDescent="0.2"/>
    <row r="180" customFormat="1" ht="44.25" customHeight="1" x14ac:dyDescent="0.2"/>
    <row r="181" customFormat="1" ht="44.25" customHeight="1" x14ac:dyDescent="0.2"/>
    <row r="182" customFormat="1" ht="44.25" customHeight="1" x14ac:dyDescent="0.2"/>
    <row r="183" customFormat="1" ht="44.25" customHeight="1" x14ac:dyDescent="0.2"/>
    <row r="184" customFormat="1" ht="44.25" customHeight="1" x14ac:dyDescent="0.2"/>
    <row r="185" customFormat="1" ht="44.25" customHeight="1" x14ac:dyDescent="0.2"/>
    <row r="186" customFormat="1" ht="44.25" customHeight="1" x14ac:dyDescent="0.2"/>
    <row r="187" customFormat="1" ht="44.25" customHeight="1" x14ac:dyDescent="0.2"/>
    <row r="188" customFormat="1" ht="44.25" customHeight="1" x14ac:dyDescent="0.2"/>
    <row r="189" customFormat="1" ht="44.25" customHeight="1" x14ac:dyDescent="0.2"/>
    <row r="190" customFormat="1" ht="44.25" customHeight="1" x14ac:dyDescent="0.2"/>
    <row r="191" customFormat="1" ht="44.25" customHeight="1" x14ac:dyDescent="0.2"/>
    <row r="192" customFormat="1" ht="44.25" customHeight="1" x14ac:dyDescent="0.2"/>
    <row r="193" customFormat="1" ht="44.25" customHeight="1" x14ac:dyDescent="0.2"/>
    <row r="194" customFormat="1" ht="44.25" customHeight="1" x14ac:dyDescent="0.2"/>
    <row r="195" customFormat="1" ht="44.25" customHeight="1" x14ac:dyDescent="0.2"/>
    <row r="196" customFormat="1" ht="44.25" customHeight="1" x14ac:dyDescent="0.2"/>
    <row r="197" customFormat="1" ht="44.25" customHeight="1" x14ac:dyDescent="0.2"/>
    <row r="198" customFormat="1" ht="44.25" customHeight="1" x14ac:dyDescent="0.2"/>
    <row r="199" customFormat="1" ht="44.25" customHeight="1" x14ac:dyDescent="0.2"/>
    <row r="200" customFormat="1" ht="44.25" customHeight="1" x14ac:dyDescent="0.2"/>
    <row r="201" customFormat="1" ht="44.25" customHeight="1" x14ac:dyDescent="0.2"/>
    <row r="202" customFormat="1" ht="44.25" customHeight="1" x14ac:dyDescent="0.2"/>
    <row r="203" customFormat="1" ht="44.25" customHeight="1" x14ac:dyDescent="0.2"/>
    <row r="204" customFormat="1" ht="44.25" customHeight="1" x14ac:dyDescent="0.2"/>
    <row r="205" customFormat="1" ht="44.25" customHeight="1" x14ac:dyDescent="0.2"/>
    <row r="206" customFormat="1" ht="44.25" customHeight="1" x14ac:dyDescent="0.2"/>
    <row r="207" customFormat="1" ht="44.25" customHeight="1" x14ac:dyDescent="0.2"/>
    <row r="208" customFormat="1" ht="44.25" customHeight="1" x14ac:dyDescent="0.2"/>
    <row r="209" customFormat="1" ht="44.25" customHeight="1" x14ac:dyDescent="0.2"/>
    <row r="210" customFormat="1" ht="44.25" customHeight="1" x14ac:dyDescent="0.2"/>
    <row r="211" customFormat="1" ht="44.25" customHeight="1" x14ac:dyDescent="0.2"/>
    <row r="212" customFormat="1" ht="44.25" customHeight="1" x14ac:dyDescent="0.2"/>
    <row r="213" customFormat="1" ht="44.25" customHeight="1" x14ac:dyDescent="0.2"/>
    <row r="214" customFormat="1" ht="44.25" customHeight="1" x14ac:dyDescent="0.2"/>
    <row r="215" customFormat="1" ht="44.25" customHeight="1" x14ac:dyDescent="0.2"/>
    <row r="216" customFormat="1" ht="44.25" customHeight="1" x14ac:dyDescent="0.2"/>
    <row r="217" customFormat="1" ht="44.25" customHeight="1" x14ac:dyDescent="0.2"/>
    <row r="218" customFormat="1" ht="44.25" customHeight="1" x14ac:dyDescent="0.2"/>
    <row r="219" customFormat="1" ht="44.25" customHeight="1" x14ac:dyDescent="0.2"/>
    <row r="220" customFormat="1" ht="44.25" customHeight="1" x14ac:dyDescent="0.2"/>
    <row r="221" customFormat="1" ht="44.25" customHeight="1" x14ac:dyDescent="0.2"/>
    <row r="222" customFormat="1" ht="44.25" customHeight="1" x14ac:dyDescent="0.2"/>
    <row r="223" customFormat="1" ht="44.25" customHeight="1" x14ac:dyDescent="0.2"/>
    <row r="224" customFormat="1" ht="44.25" customHeight="1" x14ac:dyDescent="0.2"/>
    <row r="225" customFormat="1" ht="44.25" customHeight="1" x14ac:dyDescent="0.2"/>
    <row r="226" customFormat="1" ht="44.25" customHeight="1" x14ac:dyDescent="0.2"/>
    <row r="227" customFormat="1" ht="44.25" customHeight="1" x14ac:dyDescent="0.2"/>
    <row r="228" customFormat="1" ht="44.25" customHeight="1" x14ac:dyDescent="0.2"/>
    <row r="229" customFormat="1" ht="44.25" customHeight="1" x14ac:dyDescent="0.2"/>
    <row r="230" customFormat="1" ht="44.25" customHeight="1" x14ac:dyDescent="0.2"/>
    <row r="231" customFormat="1" ht="44.25" customHeight="1" x14ac:dyDescent="0.2"/>
    <row r="232" customFormat="1" ht="44.25" customHeight="1" x14ac:dyDescent="0.2"/>
    <row r="233" customFormat="1" ht="44.25" customHeight="1" x14ac:dyDescent="0.2"/>
    <row r="234" customFormat="1" ht="44.25" customHeight="1" x14ac:dyDescent="0.2"/>
    <row r="235" customFormat="1" ht="44.25" customHeight="1" x14ac:dyDescent="0.2"/>
    <row r="236" customFormat="1" ht="44.25" customHeight="1" x14ac:dyDescent="0.2"/>
    <row r="237" customFormat="1" ht="44.25" customHeight="1" x14ac:dyDescent="0.2"/>
    <row r="238" customFormat="1" ht="44.25" customHeight="1" x14ac:dyDescent="0.2"/>
    <row r="239" customFormat="1" ht="44.25" customHeight="1" x14ac:dyDescent="0.2"/>
    <row r="240" customFormat="1" ht="44.25" customHeight="1" x14ac:dyDescent="0.2"/>
    <row r="241" customFormat="1" ht="44.25" customHeight="1" x14ac:dyDescent="0.2"/>
    <row r="242" customFormat="1" ht="44.25" customHeight="1" x14ac:dyDescent="0.2"/>
    <row r="243" customFormat="1" ht="44.25" customHeight="1" x14ac:dyDescent="0.2"/>
    <row r="244" customFormat="1" ht="44.25" customHeight="1" x14ac:dyDescent="0.2"/>
    <row r="245" customFormat="1" ht="44.25" customHeight="1" x14ac:dyDescent="0.2"/>
    <row r="246" customFormat="1" ht="44.25" customHeight="1" x14ac:dyDescent="0.2"/>
    <row r="247" customFormat="1" ht="44.25" customHeight="1" x14ac:dyDescent="0.2"/>
    <row r="248" customFormat="1" ht="44.25" customHeight="1" x14ac:dyDescent="0.2"/>
    <row r="249" customFormat="1" ht="44.25" customHeight="1" x14ac:dyDescent="0.2"/>
    <row r="250" customFormat="1" ht="44.25" customHeight="1" x14ac:dyDescent="0.2"/>
    <row r="251" customFormat="1" ht="44.25" customHeight="1" x14ac:dyDescent="0.2"/>
    <row r="252" customFormat="1" ht="44.25" customHeight="1" x14ac:dyDescent="0.2"/>
    <row r="253" customFormat="1" ht="44.25" customHeight="1" x14ac:dyDescent="0.2"/>
    <row r="254" customFormat="1" ht="44.25" customHeight="1" x14ac:dyDescent="0.2"/>
    <row r="255" customFormat="1" ht="44.25" customHeight="1" x14ac:dyDescent="0.2"/>
    <row r="256" customFormat="1" ht="44.25" customHeight="1" x14ac:dyDescent="0.2"/>
    <row r="257" customFormat="1" ht="44.25" customHeight="1" x14ac:dyDescent="0.2"/>
    <row r="258" customFormat="1" ht="44.25" customHeight="1" x14ac:dyDescent="0.2"/>
    <row r="259" customFormat="1" ht="44.25" customHeight="1" x14ac:dyDescent="0.2"/>
    <row r="260" customFormat="1" ht="44.25" customHeight="1" x14ac:dyDescent="0.2"/>
    <row r="261" customFormat="1" ht="44.25" customHeight="1" x14ac:dyDescent="0.2"/>
    <row r="262" customFormat="1" ht="44.25" customHeight="1" x14ac:dyDescent="0.2"/>
    <row r="263" customFormat="1" ht="44.25" customHeight="1" x14ac:dyDescent="0.2"/>
    <row r="264" customFormat="1" ht="44.25" customHeight="1" x14ac:dyDescent="0.2"/>
    <row r="265" customFormat="1" ht="44.25" customHeight="1" x14ac:dyDescent="0.2"/>
    <row r="266" customFormat="1" ht="44.25" customHeight="1" x14ac:dyDescent="0.2"/>
    <row r="267" customFormat="1" ht="44.25" customHeight="1" x14ac:dyDescent="0.2"/>
    <row r="268" customFormat="1" ht="44.25" customHeight="1" x14ac:dyDescent="0.2"/>
    <row r="269" customFormat="1" ht="44.25" customHeight="1" x14ac:dyDescent="0.2"/>
    <row r="270" customFormat="1" ht="44.25" customHeight="1" x14ac:dyDescent="0.2"/>
    <row r="271" customFormat="1" ht="44.25" customHeight="1" x14ac:dyDescent="0.2"/>
    <row r="272" customFormat="1" ht="44.25" customHeight="1" x14ac:dyDescent="0.2"/>
    <row r="273" customFormat="1" ht="44.25" customHeight="1" x14ac:dyDescent="0.2"/>
    <row r="274" customFormat="1" ht="44.25" customHeight="1" x14ac:dyDescent="0.2"/>
    <row r="275" customFormat="1" ht="44.25" customHeight="1" x14ac:dyDescent="0.2"/>
    <row r="276" customFormat="1" ht="44.25" customHeight="1" x14ac:dyDescent="0.2"/>
    <row r="277" customFormat="1" ht="44.25" customHeight="1" x14ac:dyDescent="0.2"/>
    <row r="278" customFormat="1" ht="44.25" customHeight="1" x14ac:dyDescent="0.2"/>
    <row r="279" customFormat="1" ht="44.25" customHeight="1" x14ac:dyDescent="0.2"/>
    <row r="280" customFormat="1" ht="44.25" customHeight="1" x14ac:dyDescent="0.2"/>
    <row r="281" customFormat="1" ht="44.25" customHeight="1" x14ac:dyDescent="0.2"/>
    <row r="282" customFormat="1" ht="44.25" customHeight="1" x14ac:dyDescent="0.2"/>
    <row r="283" customFormat="1" ht="44.25" customHeight="1" x14ac:dyDescent="0.2"/>
    <row r="284" customFormat="1" ht="44.25" customHeight="1" x14ac:dyDescent="0.2"/>
    <row r="285" customFormat="1" ht="44.25" customHeight="1" x14ac:dyDescent="0.2"/>
    <row r="286" customFormat="1" ht="44.25" customHeight="1" x14ac:dyDescent="0.2"/>
    <row r="287" customFormat="1" ht="44.25" customHeight="1" x14ac:dyDescent="0.2"/>
    <row r="288" customFormat="1" ht="44.25" customHeight="1" x14ac:dyDescent="0.2"/>
    <row r="289" customFormat="1" ht="44.25" customHeight="1" x14ac:dyDescent="0.2"/>
    <row r="290" customFormat="1" ht="44.25" customHeight="1" x14ac:dyDescent="0.2"/>
    <row r="291" customFormat="1" ht="44.25" customHeight="1" x14ac:dyDescent="0.2"/>
    <row r="292" customFormat="1" ht="44.25" customHeight="1" x14ac:dyDescent="0.2"/>
    <row r="293" customFormat="1" ht="44.25" customHeight="1" x14ac:dyDescent="0.2"/>
    <row r="294" customFormat="1" ht="44.25" customHeight="1" x14ac:dyDescent="0.2"/>
    <row r="295" customFormat="1" ht="44.25" customHeight="1" x14ac:dyDescent="0.2"/>
    <row r="296" customFormat="1" ht="44.25" customHeight="1" x14ac:dyDescent="0.2"/>
    <row r="297" customFormat="1" ht="44.25" customHeight="1" x14ac:dyDescent="0.2"/>
    <row r="298" customFormat="1" ht="44.25" customHeight="1" x14ac:dyDescent="0.2"/>
    <row r="299" customFormat="1" ht="44.25" customHeight="1" x14ac:dyDescent="0.2"/>
    <row r="300" customFormat="1" ht="44.25" customHeight="1" x14ac:dyDescent="0.2"/>
    <row r="301" customFormat="1" ht="44.25" customHeight="1" x14ac:dyDescent="0.2"/>
    <row r="302" customFormat="1" ht="44.25" customHeight="1" x14ac:dyDescent="0.2"/>
    <row r="303" customFormat="1" ht="44.25" customHeight="1" x14ac:dyDescent="0.2"/>
    <row r="304" customFormat="1" ht="44.25" customHeight="1" x14ac:dyDescent="0.2"/>
    <row r="305" customFormat="1" ht="44.25" customHeight="1" x14ac:dyDescent="0.2"/>
    <row r="306" customFormat="1" ht="44.25" customHeight="1" x14ac:dyDescent="0.2"/>
    <row r="307" customFormat="1" ht="44.25" customHeight="1" x14ac:dyDescent="0.2"/>
    <row r="308" customFormat="1" ht="44.25" customHeight="1" x14ac:dyDescent="0.2"/>
    <row r="309" customFormat="1" ht="44.25" customHeight="1" x14ac:dyDescent="0.2"/>
    <row r="310" customFormat="1" ht="44.25" customHeight="1" x14ac:dyDescent="0.2"/>
    <row r="311" customFormat="1" ht="44.25" customHeight="1" x14ac:dyDescent="0.2"/>
    <row r="312" customFormat="1" ht="44.25" customHeight="1" x14ac:dyDescent="0.2"/>
    <row r="313" customFormat="1" ht="44.25" customHeight="1" x14ac:dyDescent="0.2"/>
    <row r="314" customFormat="1" ht="44.25" customHeight="1" x14ac:dyDescent="0.2"/>
    <row r="315" customFormat="1" ht="44.25" customHeight="1" x14ac:dyDescent="0.2"/>
    <row r="316" customFormat="1" ht="44.25" customHeight="1" x14ac:dyDescent="0.2"/>
    <row r="317" customFormat="1" ht="44.25" customHeight="1" x14ac:dyDescent="0.2"/>
    <row r="318" customFormat="1" ht="44.25" customHeight="1" x14ac:dyDescent="0.2"/>
    <row r="319" customFormat="1" ht="44.25" customHeight="1" x14ac:dyDescent="0.2"/>
    <row r="320" customFormat="1" ht="44.25" customHeight="1" x14ac:dyDescent="0.2"/>
    <row r="321" customFormat="1" ht="44.25" customHeight="1" x14ac:dyDescent="0.2"/>
    <row r="322" customFormat="1" ht="44.25" customHeight="1" x14ac:dyDescent="0.2"/>
    <row r="323" customFormat="1" ht="44.25" customHeight="1" x14ac:dyDescent="0.2"/>
    <row r="324" customFormat="1" ht="44.25" customHeight="1" x14ac:dyDescent="0.2"/>
    <row r="325" customFormat="1" x14ac:dyDescent="0.2"/>
    <row r="326" customFormat="1" x14ac:dyDescent="0.2"/>
    <row r="327" customFormat="1" x14ac:dyDescent="0.2"/>
    <row r="328" customFormat="1" x14ac:dyDescent="0.2"/>
    <row r="329" customFormat="1" x14ac:dyDescent="0.2"/>
    <row r="330" customFormat="1" x14ac:dyDescent="0.2"/>
    <row r="331" customFormat="1" x14ac:dyDescent="0.2"/>
    <row r="332" customFormat="1" x14ac:dyDescent="0.2"/>
    <row r="333" customFormat="1" x14ac:dyDescent="0.2"/>
    <row r="334" customFormat="1" x14ac:dyDescent="0.2"/>
    <row r="335" customFormat="1" x14ac:dyDescent="0.2"/>
    <row r="336" customFormat="1" x14ac:dyDescent="0.2"/>
    <row r="337" customFormat="1" x14ac:dyDescent="0.2"/>
    <row r="338" customFormat="1" x14ac:dyDescent="0.2"/>
    <row r="339" customFormat="1" x14ac:dyDescent="0.2"/>
    <row r="340" customFormat="1" x14ac:dyDescent="0.2"/>
    <row r="341" customFormat="1" x14ac:dyDescent="0.2"/>
    <row r="342" customFormat="1" x14ac:dyDescent="0.2"/>
    <row r="343" customFormat="1" x14ac:dyDescent="0.2"/>
    <row r="344" customFormat="1" x14ac:dyDescent="0.2"/>
    <row r="345" customFormat="1" x14ac:dyDescent="0.2"/>
    <row r="346" customFormat="1" x14ac:dyDescent="0.2"/>
    <row r="347" customFormat="1" x14ac:dyDescent="0.2"/>
    <row r="348" customFormat="1" x14ac:dyDescent="0.2"/>
    <row r="349" customFormat="1" x14ac:dyDescent="0.2"/>
    <row r="350" customFormat="1" x14ac:dyDescent="0.2"/>
    <row r="351" customFormat="1" x14ac:dyDescent="0.2"/>
    <row r="352" customFormat="1" x14ac:dyDescent="0.2"/>
    <row r="353" customFormat="1" x14ac:dyDescent="0.2"/>
    <row r="354" customFormat="1" x14ac:dyDescent="0.2"/>
    <row r="355" customFormat="1" x14ac:dyDescent="0.2"/>
    <row r="356" customFormat="1" x14ac:dyDescent="0.2"/>
    <row r="357" customFormat="1" x14ac:dyDescent="0.2"/>
    <row r="358" customFormat="1" x14ac:dyDescent="0.2"/>
    <row r="359" customFormat="1" x14ac:dyDescent="0.2"/>
    <row r="360" customFormat="1" x14ac:dyDescent="0.2"/>
    <row r="361" customFormat="1" x14ac:dyDescent="0.2"/>
    <row r="362" customFormat="1" x14ac:dyDescent="0.2"/>
    <row r="363" customFormat="1" x14ac:dyDescent="0.2"/>
    <row r="364" customFormat="1" x14ac:dyDescent="0.2"/>
    <row r="365" customFormat="1" x14ac:dyDescent="0.2"/>
    <row r="366" customFormat="1" x14ac:dyDescent="0.2"/>
    <row r="367" customFormat="1" x14ac:dyDescent="0.2"/>
    <row r="368" customFormat="1" x14ac:dyDescent="0.2"/>
    <row r="369" customFormat="1" x14ac:dyDescent="0.2"/>
    <row r="370" customFormat="1" x14ac:dyDescent="0.2"/>
    <row r="371" customFormat="1" x14ac:dyDescent="0.2"/>
    <row r="372" customFormat="1" x14ac:dyDescent="0.2"/>
    <row r="373" customFormat="1" x14ac:dyDescent="0.2"/>
    <row r="374" customFormat="1" x14ac:dyDescent="0.2"/>
    <row r="375" customFormat="1" x14ac:dyDescent="0.2"/>
    <row r="376" customFormat="1" x14ac:dyDescent="0.2"/>
    <row r="377" customFormat="1" x14ac:dyDescent="0.2"/>
    <row r="378" customFormat="1" x14ac:dyDescent="0.2"/>
    <row r="379" customFormat="1" x14ac:dyDescent="0.2"/>
    <row r="380" customFormat="1" x14ac:dyDescent="0.2"/>
    <row r="381" customFormat="1" x14ac:dyDescent="0.2"/>
    <row r="382" customFormat="1" x14ac:dyDescent="0.2"/>
    <row r="383" customFormat="1" x14ac:dyDescent="0.2"/>
    <row r="384" customFormat="1" x14ac:dyDescent="0.2"/>
    <row r="385" customFormat="1" x14ac:dyDescent="0.2"/>
    <row r="386" customFormat="1" x14ac:dyDescent="0.2"/>
    <row r="387" customFormat="1" x14ac:dyDescent="0.2"/>
    <row r="388" customFormat="1" x14ac:dyDescent="0.2"/>
    <row r="389" customFormat="1" x14ac:dyDescent="0.2"/>
    <row r="390" customFormat="1" x14ac:dyDescent="0.2"/>
    <row r="391" customFormat="1" x14ac:dyDescent="0.2"/>
    <row r="392" customFormat="1" x14ac:dyDescent="0.2"/>
    <row r="393" customFormat="1" x14ac:dyDescent="0.2"/>
    <row r="394" customFormat="1" x14ac:dyDescent="0.2"/>
    <row r="395" customFormat="1" x14ac:dyDescent="0.2"/>
    <row r="396" customFormat="1" x14ac:dyDescent="0.2"/>
    <row r="397" customFormat="1" x14ac:dyDescent="0.2"/>
    <row r="398" customFormat="1" x14ac:dyDescent="0.2"/>
    <row r="399" customFormat="1" x14ac:dyDescent="0.2"/>
    <row r="400" customFormat="1" x14ac:dyDescent="0.2"/>
  </sheetData>
  <autoFilter ref="A1:AD88" xr:uid="{4087B828-5BCE-491D-B547-64578E04FAFC}"/>
  <sortState xmlns:xlrd2="http://schemas.microsoft.com/office/spreadsheetml/2017/richdata2" ref="A2:AD326">
    <sortCondition sortBy="cellColor" ref="E1:E500" dxfId="22"/>
  </sortState>
  <conditionalFormatting sqref="AD1:AD88">
    <cfRule type="cellIs" dxfId="21" priority="3" operator="equal">
      <formula>"NO"</formula>
    </cfRule>
  </conditionalFormatting>
  <conditionalFormatting sqref="E32:F32 E35:F35 E41:F41 E45:F45 E48:F48 E60:F60 E68:F68 E79:F79 E77:F77">
    <cfRule type="timePeriod" dxfId="20" priority="1" timePeriod="lastWeek">
      <formula>AND(TODAY()-ROUNDDOWN(E32,0)&gt;=(WEEKDAY(TODAY())),TODAY()-ROUNDDOWN(E32,0)&lt;(WEEKDAY(TODAY())+7))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AF24B0-D5AA-4A77-A691-FD46B4BBD824}">
  <sheetPr codeName="Sheet7"/>
  <dimension ref="A1:AW400"/>
  <sheetViews>
    <sheetView topLeftCell="B1" zoomScale="55" zoomScaleNormal="55" workbookViewId="0">
      <selection activeCell="B2" sqref="A2:XFD400"/>
    </sheetView>
  </sheetViews>
  <sheetFormatPr defaultColWidth="0" defaultRowHeight="12.75" x14ac:dyDescent="0.2"/>
  <cols>
    <col min="2" max="2" width="14.85546875" customWidth="1"/>
    <col min="4" max="4" width="17.5703125" customWidth="1"/>
    <col min="5" max="5" width="17.28515625" customWidth="1"/>
    <col min="6" max="6" width="18.7109375" customWidth="1"/>
    <col min="7" max="7" width="16" customWidth="1"/>
    <col min="8" max="8" width="63.7109375" customWidth="1"/>
    <col min="9" max="9" width="48.42578125" customWidth="1"/>
    <col min="10" max="10" width="12.85546875" customWidth="1"/>
    <col min="11" max="11" width="16.42578125" customWidth="1"/>
    <col min="14" max="14" width="9.140625" customWidth="1"/>
    <col min="17" max="18" width="19.5703125" customWidth="1"/>
    <col min="30" max="30" width="19" customWidth="1"/>
  </cols>
  <sheetData>
    <row r="1" spans="1:49" s="8" customFormat="1" ht="33.950000000000003" customHeight="1" x14ac:dyDescent="0.25">
      <c r="A1" s="1" t="s">
        <v>10</v>
      </c>
      <c r="B1" s="2" t="s">
        <v>0</v>
      </c>
      <c r="C1" s="2" t="s">
        <v>1</v>
      </c>
      <c r="D1" s="1" t="s">
        <v>2</v>
      </c>
      <c r="E1" s="3" t="s">
        <v>3</v>
      </c>
      <c r="F1" s="3" t="s">
        <v>4</v>
      </c>
      <c r="G1" s="3" t="s">
        <v>5</v>
      </c>
      <c r="H1" s="1" t="s">
        <v>27</v>
      </c>
      <c r="I1" s="3" t="s">
        <v>11</v>
      </c>
      <c r="J1" s="1" t="s">
        <v>6</v>
      </c>
      <c r="K1" s="1" t="s">
        <v>26</v>
      </c>
      <c r="L1" s="4" t="s">
        <v>12</v>
      </c>
      <c r="M1" s="4" t="s">
        <v>13</v>
      </c>
      <c r="N1" s="1" t="s">
        <v>7</v>
      </c>
      <c r="O1" s="4" t="s">
        <v>14</v>
      </c>
      <c r="P1" s="6" t="s">
        <v>15</v>
      </c>
      <c r="Q1" s="1" t="s">
        <v>16</v>
      </c>
      <c r="R1" s="6" t="s">
        <v>8</v>
      </c>
      <c r="S1" s="1" t="s">
        <v>17</v>
      </c>
      <c r="T1" s="6" t="s">
        <v>18</v>
      </c>
      <c r="U1" s="5" t="s">
        <v>28</v>
      </c>
      <c r="V1" s="6" t="s">
        <v>19</v>
      </c>
      <c r="W1" s="1" t="s">
        <v>20</v>
      </c>
      <c r="X1" s="1" t="s">
        <v>21</v>
      </c>
      <c r="Y1" s="1" t="s">
        <v>22</v>
      </c>
      <c r="Z1" s="1" t="s">
        <v>9</v>
      </c>
      <c r="AA1" s="1" t="s">
        <v>23</v>
      </c>
      <c r="AB1" s="1" t="s">
        <v>24</v>
      </c>
      <c r="AC1" s="1" t="s">
        <v>25</v>
      </c>
      <c r="AD1" s="7" t="str">
        <f>IF(N1="PRG","",IF(I1&gt;=E1,IF(I1&lt;=F1,"","NO"),"NO"))</f>
        <v>NO</v>
      </c>
    </row>
    <row r="2" spans="1:49" s="26" customFormat="1" ht="35.1" customHeight="1" x14ac:dyDescent="0.25">
      <c r="A2" s="9" t="s">
        <v>29</v>
      </c>
      <c r="B2" s="10">
        <v>46054</v>
      </c>
      <c r="C2" s="10">
        <v>46054</v>
      </c>
      <c r="D2" s="11" t="s">
        <v>249</v>
      </c>
      <c r="E2" s="12">
        <v>0</v>
      </c>
      <c r="F2" s="12">
        <v>0.25</v>
      </c>
      <c r="G2" s="12">
        <v>0.25</v>
      </c>
      <c r="H2" s="9" t="s">
        <v>31</v>
      </c>
      <c r="I2" s="13"/>
      <c r="J2" s="9" t="s">
        <v>32</v>
      </c>
      <c r="K2" s="9" t="s">
        <v>31</v>
      </c>
      <c r="L2" s="14">
        <v>1</v>
      </c>
      <c r="M2" s="14">
        <v>1</v>
      </c>
      <c r="N2" s="9" t="s">
        <v>33</v>
      </c>
      <c r="O2" s="9"/>
      <c r="P2" s="15">
        <v>0</v>
      </c>
      <c r="Q2" s="14"/>
      <c r="R2" s="15">
        <v>0</v>
      </c>
      <c r="S2" s="9">
        <v>46054</v>
      </c>
      <c r="T2" s="16">
        <v>0</v>
      </c>
      <c r="U2" s="14">
        <v>1</v>
      </c>
      <c r="V2" s="16">
        <v>0</v>
      </c>
      <c r="W2" s="9" t="s">
        <v>34</v>
      </c>
      <c r="X2" s="9" t="s">
        <v>35</v>
      </c>
      <c r="Y2" s="9" t="s">
        <v>36</v>
      </c>
      <c r="Z2" s="9" t="s">
        <v>9</v>
      </c>
      <c r="AA2" s="9" t="s">
        <v>37</v>
      </c>
      <c r="AB2" s="9" t="s">
        <v>37</v>
      </c>
      <c r="AC2" s="9" t="s">
        <v>38</v>
      </c>
      <c r="AD2" s="7" t="str">
        <f t="shared" ref="AD2:AD65" si="0">IF(N2="PRG","",IF(I2&gt;=E2,IF(I2&lt;=F2,"","NO"),"NO"))</f>
        <v/>
      </c>
    </row>
    <row r="3" spans="1:49" s="26" customFormat="1" ht="35.1" customHeight="1" x14ac:dyDescent="0.25">
      <c r="A3" s="9" t="s">
        <v>250</v>
      </c>
      <c r="B3" s="10">
        <v>46054</v>
      </c>
      <c r="C3" s="10">
        <v>46054</v>
      </c>
      <c r="D3" s="11" t="s">
        <v>249</v>
      </c>
      <c r="E3" s="12">
        <v>0.25</v>
      </c>
      <c r="F3" s="12">
        <v>0.29166666666666669</v>
      </c>
      <c r="G3" s="12">
        <v>4.1666666666666664E-2</v>
      </c>
      <c r="H3" s="9" t="s">
        <v>251</v>
      </c>
      <c r="I3" s="13"/>
      <c r="J3" s="9" t="s">
        <v>32</v>
      </c>
      <c r="K3" s="9" t="s">
        <v>251</v>
      </c>
      <c r="L3" s="14">
        <v>1</v>
      </c>
      <c r="M3" s="14">
        <v>1</v>
      </c>
      <c r="N3" s="9" t="s">
        <v>33</v>
      </c>
      <c r="O3" s="9"/>
      <c r="P3" s="55">
        <v>183.33333333333334</v>
      </c>
      <c r="Q3" s="14"/>
      <c r="R3" s="16">
        <v>183.33333333333334</v>
      </c>
      <c r="S3" s="9">
        <v>46054</v>
      </c>
      <c r="T3" s="16">
        <v>27.5</v>
      </c>
      <c r="U3" s="14">
        <v>1</v>
      </c>
      <c r="V3" s="16">
        <v>155.83333333333334</v>
      </c>
      <c r="W3" s="9" t="s">
        <v>252</v>
      </c>
      <c r="X3" s="9" t="s">
        <v>35</v>
      </c>
      <c r="Y3" s="9" t="s">
        <v>36</v>
      </c>
      <c r="Z3" s="9" t="s">
        <v>9</v>
      </c>
      <c r="AA3" s="9" t="s">
        <v>49</v>
      </c>
      <c r="AB3" s="9" t="s">
        <v>37</v>
      </c>
      <c r="AC3" s="9" t="s">
        <v>38</v>
      </c>
      <c r="AD3" s="7" t="str">
        <f t="shared" si="0"/>
        <v/>
      </c>
      <c r="AE3" s="31"/>
      <c r="AF3" s="31"/>
      <c r="AG3" s="31"/>
      <c r="AH3" s="31"/>
      <c r="AI3" s="30"/>
      <c r="AJ3" s="30"/>
      <c r="AK3" s="30"/>
      <c r="AL3" s="30"/>
      <c r="AM3" s="30"/>
      <c r="AN3" s="30"/>
      <c r="AO3" s="30"/>
      <c r="AP3" s="30"/>
      <c r="AQ3" s="30"/>
      <c r="AR3" s="30"/>
      <c r="AS3" s="30"/>
      <c r="AT3" s="30"/>
      <c r="AU3" s="30"/>
      <c r="AV3" s="30"/>
      <c r="AW3" s="30"/>
    </row>
    <row r="4" spans="1:49" s="17" customFormat="1" ht="35.1" customHeight="1" x14ac:dyDescent="0.25">
      <c r="A4" s="9" t="s">
        <v>65</v>
      </c>
      <c r="B4" s="10">
        <v>46054</v>
      </c>
      <c r="C4" s="10">
        <v>46054</v>
      </c>
      <c r="D4" s="11" t="s">
        <v>249</v>
      </c>
      <c r="E4" s="12">
        <v>0.29166666666666669</v>
      </c>
      <c r="F4" s="12">
        <v>0.3125</v>
      </c>
      <c r="G4" s="12">
        <v>2.0833333333333332E-2</v>
      </c>
      <c r="H4" s="9" t="s">
        <v>197</v>
      </c>
      <c r="I4" s="13" t="s">
        <v>225</v>
      </c>
      <c r="J4" s="9" t="s">
        <v>41</v>
      </c>
      <c r="K4" s="9"/>
      <c r="L4" s="14">
        <v>1</v>
      </c>
      <c r="M4" s="14">
        <v>1</v>
      </c>
      <c r="N4" s="9" t="s">
        <v>33</v>
      </c>
      <c r="O4" s="9"/>
      <c r="P4" s="16">
        <v>0</v>
      </c>
      <c r="Q4" s="14"/>
      <c r="R4" s="16">
        <v>0</v>
      </c>
      <c r="S4" s="9">
        <v>46054</v>
      </c>
      <c r="T4" s="16">
        <v>0</v>
      </c>
      <c r="U4" s="14">
        <v>2</v>
      </c>
      <c r="V4" s="16">
        <v>0</v>
      </c>
      <c r="W4" s="9" t="s">
        <v>34</v>
      </c>
      <c r="X4" s="9" t="s">
        <v>42</v>
      </c>
      <c r="Y4" s="9" t="s">
        <v>36</v>
      </c>
      <c r="Z4" s="9" t="s">
        <v>43</v>
      </c>
      <c r="AA4" s="9" t="s">
        <v>37</v>
      </c>
      <c r="AB4" s="9" t="s">
        <v>37</v>
      </c>
      <c r="AC4" s="9" t="s">
        <v>38</v>
      </c>
      <c r="AD4" s="7" t="str">
        <f t="shared" si="0"/>
        <v/>
      </c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</row>
    <row r="5" spans="1:49" s="26" customFormat="1" ht="35.1" customHeight="1" x14ac:dyDescent="0.25">
      <c r="A5" s="9" t="s">
        <v>65</v>
      </c>
      <c r="B5" s="10">
        <v>46054</v>
      </c>
      <c r="C5" s="10">
        <v>46054</v>
      </c>
      <c r="D5" s="11" t="s">
        <v>249</v>
      </c>
      <c r="E5" s="12">
        <v>0.3125</v>
      </c>
      <c r="F5" s="12">
        <v>0.33333333333333331</v>
      </c>
      <c r="G5" s="12">
        <v>2.0833333333333332E-2</v>
      </c>
      <c r="H5" s="9" t="s">
        <v>197</v>
      </c>
      <c r="I5" s="13" t="s">
        <v>225</v>
      </c>
      <c r="J5" s="9" t="s">
        <v>41</v>
      </c>
      <c r="K5" s="9"/>
      <c r="L5" s="14">
        <v>1</v>
      </c>
      <c r="M5" s="14">
        <v>1</v>
      </c>
      <c r="N5" s="9" t="s">
        <v>33</v>
      </c>
      <c r="O5" s="9"/>
      <c r="P5" s="16">
        <v>0</v>
      </c>
      <c r="Q5" s="14"/>
      <c r="R5" s="16">
        <v>0</v>
      </c>
      <c r="S5" s="9">
        <v>46054</v>
      </c>
      <c r="T5" s="16">
        <v>0</v>
      </c>
      <c r="U5" s="14">
        <v>2</v>
      </c>
      <c r="V5" s="16">
        <v>0</v>
      </c>
      <c r="W5" s="9" t="s">
        <v>34</v>
      </c>
      <c r="X5" s="9" t="s">
        <v>42</v>
      </c>
      <c r="Y5" s="9" t="s">
        <v>36</v>
      </c>
      <c r="Z5" s="9" t="s">
        <v>43</v>
      </c>
      <c r="AA5" s="9" t="s">
        <v>37</v>
      </c>
      <c r="AB5" s="9" t="s">
        <v>37</v>
      </c>
      <c r="AC5" s="9" t="s">
        <v>38</v>
      </c>
      <c r="AD5" s="7" t="str">
        <f t="shared" si="0"/>
        <v/>
      </c>
      <c r="AI5" s="27"/>
      <c r="AJ5" s="27"/>
      <c r="AK5" s="27"/>
      <c r="AL5" s="27"/>
      <c r="AM5" s="27"/>
      <c r="AN5" s="27"/>
      <c r="AO5" s="27"/>
      <c r="AP5" s="27"/>
      <c r="AQ5" s="27"/>
      <c r="AR5" s="27"/>
      <c r="AS5" s="27"/>
      <c r="AT5" s="27"/>
      <c r="AU5" s="27"/>
      <c r="AV5" s="27"/>
      <c r="AW5" s="27"/>
    </row>
    <row r="6" spans="1:49" s="26" customFormat="1" ht="35.1" customHeight="1" x14ac:dyDescent="0.25">
      <c r="A6" s="18" t="s">
        <v>167</v>
      </c>
      <c r="B6" s="19">
        <v>46054</v>
      </c>
      <c r="C6" s="19">
        <v>46054</v>
      </c>
      <c r="D6" s="18" t="s">
        <v>249</v>
      </c>
      <c r="E6" s="20">
        <v>0.25</v>
      </c>
      <c r="F6" s="20">
        <v>0.99930555555555556</v>
      </c>
      <c r="G6" s="20">
        <v>3.8194444444444446E-4</v>
      </c>
      <c r="H6" s="18" t="s">
        <v>168</v>
      </c>
      <c r="I6" s="21">
        <v>0.33264016203703706</v>
      </c>
      <c r="J6" s="18" t="s">
        <v>32</v>
      </c>
      <c r="K6" s="18" t="s">
        <v>197</v>
      </c>
      <c r="L6" s="22">
        <v>1</v>
      </c>
      <c r="M6" s="22">
        <v>61686</v>
      </c>
      <c r="N6" s="18" t="s">
        <v>53</v>
      </c>
      <c r="O6" s="22"/>
      <c r="P6" s="23">
        <v>92.592592592592595</v>
      </c>
      <c r="Q6" s="22"/>
      <c r="R6" s="23">
        <v>92.592592592592595</v>
      </c>
      <c r="S6" s="24">
        <v>46054</v>
      </c>
      <c r="T6" s="23">
        <v>0</v>
      </c>
      <c r="U6" s="25">
        <v>4</v>
      </c>
      <c r="V6" s="23">
        <v>92.592592592592595</v>
      </c>
      <c r="W6" s="18" t="s">
        <v>34</v>
      </c>
      <c r="X6" s="18" t="s">
        <v>169</v>
      </c>
      <c r="Y6" s="18" t="s">
        <v>36</v>
      </c>
      <c r="Z6" s="18" t="s">
        <v>169</v>
      </c>
      <c r="AA6" s="18" t="s">
        <v>49</v>
      </c>
      <c r="AB6" s="18" t="s">
        <v>170</v>
      </c>
      <c r="AC6" s="18" t="s">
        <v>38</v>
      </c>
      <c r="AD6" s="7" t="str">
        <f t="shared" si="0"/>
        <v/>
      </c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</row>
    <row r="7" spans="1:49" s="26" customFormat="1" ht="35.1" customHeight="1" x14ac:dyDescent="0.25">
      <c r="A7" s="9" t="s">
        <v>68</v>
      </c>
      <c r="B7" s="10">
        <v>46054</v>
      </c>
      <c r="C7" s="10">
        <v>46054</v>
      </c>
      <c r="D7" s="11" t="s">
        <v>249</v>
      </c>
      <c r="E7" s="12">
        <v>0.33333333333333331</v>
      </c>
      <c r="F7" s="12">
        <v>0.41666666666666669</v>
      </c>
      <c r="G7" s="12">
        <v>8.3333333333333329E-2</v>
      </c>
      <c r="H7" s="9" t="s">
        <v>71</v>
      </c>
      <c r="I7" s="13" t="s">
        <v>226</v>
      </c>
      <c r="J7" s="9" t="s">
        <v>70</v>
      </c>
      <c r="K7" s="9"/>
      <c r="L7" s="14">
        <v>1</v>
      </c>
      <c r="M7" s="14">
        <v>1</v>
      </c>
      <c r="N7" s="9" t="s">
        <v>33</v>
      </c>
      <c r="O7" s="9"/>
      <c r="P7" s="16">
        <v>0</v>
      </c>
      <c r="Q7" s="14"/>
      <c r="R7" s="16">
        <v>0</v>
      </c>
      <c r="S7" s="9">
        <v>46054</v>
      </c>
      <c r="T7" s="16">
        <v>0</v>
      </c>
      <c r="U7" s="14">
        <v>2</v>
      </c>
      <c r="V7" s="16">
        <v>0</v>
      </c>
      <c r="W7" s="9" t="s">
        <v>34</v>
      </c>
      <c r="X7" s="9" t="s">
        <v>42</v>
      </c>
      <c r="Y7" s="9" t="s">
        <v>36</v>
      </c>
      <c r="Z7" s="9" t="s">
        <v>43</v>
      </c>
      <c r="AA7" s="9" t="s">
        <v>37</v>
      </c>
      <c r="AB7" s="9" t="s">
        <v>37</v>
      </c>
      <c r="AC7" s="9" t="s">
        <v>38</v>
      </c>
      <c r="AD7" s="7" t="str">
        <f t="shared" si="0"/>
        <v/>
      </c>
    </row>
    <row r="8" spans="1:49" s="26" customFormat="1" ht="35.1" customHeight="1" x14ac:dyDescent="0.25">
      <c r="A8" s="18" t="s">
        <v>44</v>
      </c>
      <c r="B8" s="19">
        <v>46054</v>
      </c>
      <c r="C8" s="19">
        <v>46054</v>
      </c>
      <c r="D8" s="18" t="s">
        <v>249</v>
      </c>
      <c r="E8" s="20">
        <v>0.33333333333333331</v>
      </c>
      <c r="F8" s="20">
        <v>0.41666666666666669</v>
      </c>
      <c r="G8" s="20">
        <v>3.4722222222222218E-4</v>
      </c>
      <c r="H8" s="18" t="s">
        <v>172</v>
      </c>
      <c r="I8" s="21">
        <v>0.34103252314814814</v>
      </c>
      <c r="J8" s="18" t="s">
        <v>70</v>
      </c>
      <c r="K8" s="18" t="s">
        <v>71</v>
      </c>
      <c r="L8" s="22">
        <v>1</v>
      </c>
      <c r="M8" s="22">
        <v>70996</v>
      </c>
      <c r="N8" s="18" t="s">
        <v>46</v>
      </c>
      <c r="O8" s="22" t="str">
        <f>AC8</f>
        <v>CVC</v>
      </c>
      <c r="P8" s="23">
        <v>0</v>
      </c>
      <c r="Q8" s="22"/>
      <c r="R8" s="23">
        <v>0</v>
      </c>
      <c r="S8" s="24">
        <v>46054</v>
      </c>
      <c r="T8" s="23">
        <v>0</v>
      </c>
      <c r="U8" s="25">
        <v>4</v>
      </c>
      <c r="V8" s="23">
        <v>0</v>
      </c>
      <c r="W8" s="18" t="s">
        <v>47</v>
      </c>
      <c r="X8" s="18" t="s">
        <v>48</v>
      </c>
      <c r="Y8" s="18" t="s">
        <v>36</v>
      </c>
      <c r="Z8" s="18" t="s">
        <v>9</v>
      </c>
      <c r="AA8" s="18" t="s">
        <v>49</v>
      </c>
      <c r="AB8" s="18" t="s">
        <v>50</v>
      </c>
      <c r="AC8" s="18" t="s">
        <v>38</v>
      </c>
      <c r="AD8" s="7" t="str">
        <f t="shared" si="0"/>
        <v/>
      </c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</row>
    <row r="9" spans="1:49" s="26" customFormat="1" ht="35.1" customHeight="1" x14ac:dyDescent="0.25">
      <c r="A9" s="18" t="s">
        <v>44</v>
      </c>
      <c r="B9" s="19">
        <v>46054</v>
      </c>
      <c r="C9" s="19">
        <v>46054</v>
      </c>
      <c r="D9" s="18" t="s">
        <v>249</v>
      </c>
      <c r="E9" s="20">
        <v>0.33333333333333331</v>
      </c>
      <c r="F9" s="20">
        <v>0.41666666666666669</v>
      </c>
      <c r="G9" s="20">
        <v>3.4722222222222218E-4</v>
      </c>
      <c r="H9" s="18" t="s">
        <v>172</v>
      </c>
      <c r="I9" s="21">
        <v>0.38531446759259258</v>
      </c>
      <c r="J9" s="18" t="s">
        <v>70</v>
      </c>
      <c r="K9" s="18" t="s">
        <v>71</v>
      </c>
      <c r="L9" s="22">
        <v>1</v>
      </c>
      <c r="M9" s="22">
        <v>70994</v>
      </c>
      <c r="N9" s="18" t="s">
        <v>53</v>
      </c>
      <c r="O9" s="22" t="str">
        <f>AC9</f>
        <v>CVC</v>
      </c>
      <c r="P9" s="23">
        <v>58.82</v>
      </c>
      <c r="Q9" s="22"/>
      <c r="R9" s="23">
        <v>58.82</v>
      </c>
      <c r="S9" s="24">
        <v>46054</v>
      </c>
      <c r="T9" s="23">
        <v>4.4115000000000002</v>
      </c>
      <c r="U9" s="25">
        <v>4</v>
      </c>
      <c r="V9" s="23">
        <v>54.408500000000004</v>
      </c>
      <c r="W9" s="18" t="s">
        <v>47</v>
      </c>
      <c r="X9" s="18" t="s">
        <v>48</v>
      </c>
      <c r="Y9" s="18" t="s">
        <v>36</v>
      </c>
      <c r="Z9" s="18" t="s">
        <v>9</v>
      </c>
      <c r="AA9" s="18" t="s">
        <v>49</v>
      </c>
      <c r="AB9" s="18" t="s">
        <v>50</v>
      </c>
      <c r="AC9" s="18" t="s">
        <v>38</v>
      </c>
      <c r="AD9" s="7" t="str">
        <f t="shared" si="0"/>
        <v/>
      </c>
      <c r="AI9" s="27"/>
      <c r="AJ9" s="27"/>
      <c r="AK9" s="27"/>
      <c r="AL9" s="27"/>
      <c r="AM9" s="27"/>
      <c r="AN9" s="27"/>
      <c r="AO9" s="27"/>
      <c r="AP9" s="27"/>
      <c r="AQ9" s="27"/>
      <c r="AR9" s="27"/>
      <c r="AS9" s="27"/>
      <c r="AT9" s="27"/>
      <c r="AU9" s="27"/>
      <c r="AV9" s="27"/>
      <c r="AW9" s="27"/>
    </row>
    <row r="10" spans="1:49" s="26" customFormat="1" ht="35.1" customHeight="1" x14ac:dyDescent="0.25">
      <c r="A10" s="9" t="s">
        <v>100</v>
      </c>
      <c r="B10" s="10">
        <v>46054</v>
      </c>
      <c r="C10" s="10">
        <v>46054</v>
      </c>
      <c r="D10" s="11" t="s">
        <v>249</v>
      </c>
      <c r="E10" s="12">
        <v>0.41666666666666669</v>
      </c>
      <c r="F10" s="12">
        <v>0.45833333333333331</v>
      </c>
      <c r="G10" s="12">
        <v>4.1666666666666664E-2</v>
      </c>
      <c r="H10" s="9" t="s">
        <v>227</v>
      </c>
      <c r="I10" s="13"/>
      <c r="J10" s="9" t="s">
        <v>32</v>
      </c>
      <c r="K10" s="9"/>
      <c r="L10" s="14">
        <v>1</v>
      </c>
      <c r="M10" s="14">
        <v>1</v>
      </c>
      <c r="N10" s="9" t="s">
        <v>33</v>
      </c>
      <c r="O10" s="9"/>
      <c r="P10" s="16">
        <v>0</v>
      </c>
      <c r="Q10" s="14"/>
      <c r="R10" s="16">
        <v>0</v>
      </c>
      <c r="S10" s="9">
        <v>46054</v>
      </c>
      <c r="T10" s="16">
        <v>0</v>
      </c>
      <c r="U10" s="14">
        <v>1</v>
      </c>
      <c r="V10" s="16">
        <v>0</v>
      </c>
      <c r="W10" s="9" t="s">
        <v>34</v>
      </c>
      <c r="X10" s="9" t="s">
        <v>42</v>
      </c>
      <c r="Y10" s="9" t="s">
        <v>36</v>
      </c>
      <c r="Z10" s="9" t="s">
        <v>43</v>
      </c>
      <c r="AA10" s="9" t="s">
        <v>37</v>
      </c>
      <c r="AB10" s="9" t="s">
        <v>37</v>
      </c>
      <c r="AC10" s="9" t="s">
        <v>38</v>
      </c>
      <c r="AD10" s="7" t="str">
        <f t="shared" si="0"/>
        <v/>
      </c>
    </row>
    <row r="11" spans="1:49" s="26" customFormat="1" ht="35.1" customHeight="1" x14ac:dyDescent="0.25">
      <c r="A11" s="9" t="s">
        <v>75</v>
      </c>
      <c r="B11" s="10">
        <v>46054</v>
      </c>
      <c r="C11" s="10">
        <v>46054</v>
      </c>
      <c r="D11" s="11" t="s">
        <v>249</v>
      </c>
      <c r="E11" s="12">
        <v>0.45833333333333331</v>
      </c>
      <c r="F11" s="12">
        <v>0.47916666666666669</v>
      </c>
      <c r="G11" s="12">
        <v>2.0833333333333332E-2</v>
      </c>
      <c r="H11" s="9" t="s">
        <v>76</v>
      </c>
      <c r="I11" s="13"/>
      <c r="J11" s="9" t="s">
        <v>80</v>
      </c>
      <c r="K11" s="9"/>
      <c r="L11" s="14">
        <v>1</v>
      </c>
      <c r="M11" s="14">
        <v>1</v>
      </c>
      <c r="N11" s="9" t="s">
        <v>33</v>
      </c>
      <c r="O11" s="9"/>
      <c r="P11" s="16">
        <v>0</v>
      </c>
      <c r="Q11" s="14"/>
      <c r="R11" s="16">
        <v>0</v>
      </c>
      <c r="S11" s="9">
        <v>46054</v>
      </c>
      <c r="T11" s="16">
        <v>0</v>
      </c>
      <c r="U11" s="14">
        <v>2</v>
      </c>
      <c r="V11" s="16">
        <v>0</v>
      </c>
      <c r="W11" s="9" t="s">
        <v>34</v>
      </c>
      <c r="X11" s="9" t="s">
        <v>42</v>
      </c>
      <c r="Y11" s="9" t="s">
        <v>36</v>
      </c>
      <c r="Z11" s="9" t="s">
        <v>43</v>
      </c>
      <c r="AA11" s="9" t="s">
        <v>37</v>
      </c>
      <c r="AB11" s="9" t="s">
        <v>37</v>
      </c>
      <c r="AC11" s="9" t="s">
        <v>38</v>
      </c>
      <c r="AD11" s="7" t="str">
        <f t="shared" si="0"/>
        <v/>
      </c>
    </row>
    <row r="12" spans="1:49" s="26" customFormat="1" ht="35.1" customHeight="1" x14ac:dyDescent="0.25">
      <c r="A12" s="18" t="s">
        <v>51</v>
      </c>
      <c r="B12" s="19">
        <v>46054</v>
      </c>
      <c r="C12" s="19">
        <v>46054</v>
      </c>
      <c r="D12" s="18" t="s">
        <v>249</v>
      </c>
      <c r="E12" s="20">
        <v>0.45833333333333331</v>
      </c>
      <c r="F12" s="20">
        <v>0.5</v>
      </c>
      <c r="G12" s="20">
        <v>3.4722222222222218E-4</v>
      </c>
      <c r="H12" s="18" t="s">
        <v>102</v>
      </c>
      <c r="I12" s="21">
        <v>0.46306817129629624</v>
      </c>
      <c r="J12" s="18" t="s">
        <v>80</v>
      </c>
      <c r="K12" s="18" t="s">
        <v>76</v>
      </c>
      <c r="L12" s="22">
        <v>1</v>
      </c>
      <c r="M12" s="22">
        <v>70363</v>
      </c>
      <c r="N12" s="18" t="s">
        <v>53</v>
      </c>
      <c r="O12" s="22" t="s">
        <v>54</v>
      </c>
      <c r="P12" s="23">
        <v>50</v>
      </c>
      <c r="Q12" s="22"/>
      <c r="R12" s="23">
        <v>50</v>
      </c>
      <c r="S12" s="24">
        <v>46054</v>
      </c>
      <c r="T12" s="23">
        <v>7.5</v>
      </c>
      <c r="U12" s="25">
        <v>4</v>
      </c>
      <c r="V12" s="23">
        <v>42.5</v>
      </c>
      <c r="W12" s="18" t="s">
        <v>47</v>
      </c>
      <c r="X12" s="18" t="s">
        <v>48</v>
      </c>
      <c r="Y12" s="18" t="s">
        <v>36</v>
      </c>
      <c r="Z12" s="18" t="s">
        <v>9</v>
      </c>
      <c r="AA12" s="18" t="s">
        <v>49</v>
      </c>
      <c r="AB12" s="18" t="s">
        <v>55</v>
      </c>
      <c r="AC12" s="18" t="s">
        <v>38</v>
      </c>
      <c r="AD12" s="7" t="str">
        <f t="shared" si="0"/>
        <v/>
      </c>
      <c r="AE12" s="44"/>
      <c r="AF12" s="44"/>
      <c r="AG12" s="44"/>
      <c r="AH12" s="44"/>
      <c r="AI12" s="30"/>
      <c r="AJ12" s="30"/>
      <c r="AK12" s="30"/>
      <c r="AL12" s="30"/>
      <c r="AM12" s="30"/>
      <c r="AN12" s="30"/>
      <c r="AO12" s="30"/>
      <c r="AP12" s="30"/>
      <c r="AQ12" s="30"/>
      <c r="AR12" s="30"/>
      <c r="AS12" s="30"/>
      <c r="AT12" s="30"/>
      <c r="AU12" s="30"/>
      <c r="AV12" s="30"/>
      <c r="AW12" s="30"/>
    </row>
    <row r="13" spans="1:49" s="26" customFormat="1" ht="35.1" customHeight="1" x14ac:dyDescent="0.25">
      <c r="A13" s="18" t="s">
        <v>93</v>
      </c>
      <c r="B13" s="19">
        <v>46054</v>
      </c>
      <c r="C13" s="19">
        <v>46054</v>
      </c>
      <c r="D13" s="18" t="s">
        <v>249</v>
      </c>
      <c r="E13" s="20">
        <v>0.45833333333333331</v>
      </c>
      <c r="F13" s="20">
        <v>0.54166666666666663</v>
      </c>
      <c r="G13" s="28">
        <v>1.7361111111111109E-4</v>
      </c>
      <c r="H13" s="29" t="s">
        <v>98</v>
      </c>
      <c r="I13" s="21">
        <v>0.46813715277777779</v>
      </c>
      <c r="J13" s="18" t="s">
        <v>80</v>
      </c>
      <c r="K13" s="18" t="s">
        <v>76</v>
      </c>
      <c r="L13" s="22">
        <v>1</v>
      </c>
      <c r="M13" s="22">
        <v>69571</v>
      </c>
      <c r="N13" s="18" t="s">
        <v>46</v>
      </c>
      <c r="O13" s="22" t="s">
        <v>95</v>
      </c>
      <c r="P13" s="23">
        <v>0</v>
      </c>
      <c r="Q13" s="22"/>
      <c r="R13" s="23">
        <v>0</v>
      </c>
      <c r="S13" s="24">
        <v>46054</v>
      </c>
      <c r="T13" s="23">
        <v>0</v>
      </c>
      <c r="U13" s="25">
        <v>4</v>
      </c>
      <c r="V13" s="23">
        <v>0</v>
      </c>
      <c r="W13" s="18" t="s">
        <v>47</v>
      </c>
      <c r="X13" s="18" t="s">
        <v>48</v>
      </c>
      <c r="Y13" s="18" t="s">
        <v>36</v>
      </c>
      <c r="Z13" s="18" t="s">
        <v>9</v>
      </c>
      <c r="AA13" s="18" t="s">
        <v>49</v>
      </c>
      <c r="AB13" s="18" t="s">
        <v>96</v>
      </c>
      <c r="AC13" s="18" t="s">
        <v>38</v>
      </c>
      <c r="AD13" s="7" t="str">
        <f t="shared" si="0"/>
        <v/>
      </c>
      <c r="AE13" s="17"/>
      <c r="AF13" s="17"/>
      <c r="AG13" s="17"/>
      <c r="AH13" s="17"/>
      <c r="AI13" s="30"/>
      <c r="AJ13" s="30"/>
      <c r="AK13" s="30"/>
      <c r="AL13" s="30"/>
      <c r="AM13" s="30"/>
      <c r="AN13" s="30"/>
      <c r="AO13" s="30"/>
      <c r="AP13" s="30"/>
      <c r="AQ13" s="30"/>
      <c r="AR13" s="30"/>
      <c r="AS13" s="30"/>
      <c r="AT13" s="30"/>
      <c r="AU13" s="30"/>
      <c r="AV13" s="30"/>
      <c r="AW13" s="30"/>
    </row>
    <row r="14" spans="1:49" s="26" customFormat="1" ht="35.1" customHeight="1" x14ac:dyDescent="0.25">
      <c r="A14" s="18" t="s">
        <v>93</v>
      </c>
      <c r="B14" s="19">
        <v>46054</v>
      </c>
      <c r="C14" s="19">
        <v>46054</v>
      </c>
      <c r="D14" s="18" t="s">
        <v>249</v>
      </c>
      <c r="E14" s="20">
        <v>0.45833333333333331</v>
      </c>
      <c r="F14" s="20">
        <v>0.54166666666666663</v>
      </c>
      <c r="G14" s="28">
        <v>1.7361111111111109E-4</v>
      </c>
      <c r="H14" s="29" t="s">
        <v>97</v>
      </c>
      <c r="I14" s="21">
        <v>0.4690054398148148</v>
      </c>
      <c r="J14" s="18" t="s">
        <v>80</v>
      </c>
      <c r="K14" s="18" t="s">
        <v>76</v>
      </c>
      <c r="L14" s="22">
        <v>1</v>
      </c>
      <c r="M14" s="22">
        <v>69571</v>
      </c>
      <c r="N14" s="18" t="s">
        <v>46</v>
      </c>
      <c r="O14" s="22" t="s">
        <v>95</v>
      </c>
      <c r="P14" s="23">
        <v>0</v>
      </c>
      <c r="Q14" s="22"/>
      <c r="R14" s="23">
        <v>0</v>
      </c>
      <c r="S14" s="24">
        <v>46054</v>
      </c>
      <c r="T14" s="23">
        <v>0</v>
      </c>
      <c r="U14" s="25">
        <v>4</v>
      </c>
      <c r="V14" s="23">
        <v>0</v>
      </c>
      <c r="W14" s="18" t="s">
        <v>47</v>
      </c>
      <c r="X14" s="18" t="s">
        <v>48</v>
      </c>
      <c r="Y14" s="18" t="s">
        <v>36</v>
      </c>
      <c r="Z14" s="18" t="s">
        <v>9</v>
      </c>
      <c r="AA14" s="18" t="s">
        <v>49</v>
      </c>
      <c r="AB14" s="18" t="s">
        <v>96</v>
      </c>
      <c r="AC14" s="18" t="s">
        <v>38</v>
      </c>
      <c r="AD14" s="7" t="str">
        <f t="shared" si="0"/>
        <v/>
      </c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</row>
    <row r="15" spans="1:49" s="26" customFormat="1" ht="35.1" customHeight="1" x14ac:dyDescent="0.25">
      <c r="A15" s="18" t="s">
        <v>44</v>
      </c>
      <c r="B15" s="19">
        <v>46054</v>
      </c>
      <c r="C15" s="19">
        <v>46054</v>
      </c>
      <c r="D15" s="18" t="s">
        <v>249</v>
      </c>
      <c r="E15" s="20">
        <v>0.45833333333333331</v>
      </c>
      <c r="F15" s="20">
        <v>0.5</v>
      </c>
      <c r="G15" s="20">
        <v>3.4722222222222218E-4</v>
      </c>
      <c r="H15" s="18" t="s">
        <v>92</v>
      </c>
      <c r="I15" s="21">
        <v>0.46865798611111115</v>
      </c>
      <c r="J15" s="18" t="s">
        <v>80</v>
      </c>
      <c r="K15" s="18" t="s">
        <v>76</v>
      </c>
      <c r="L15" s="22">
        <v>1</v>
      </c>
      <c r="M15" s="22">
        <v>70998</v>
      </c>
      <c r="N15" s="18" t="s">
        <v>53</v>
      </c>
      <c r="O15" s="22" t="str">
        <f>AC15</f>
        <v>CVC</v>
      </c>
      <c r="P15" s="23">
        <v>58.82</v>
      </c>
      <c r="Q15" s="22"/>
      <c r="R15" s="23">
        <v>58.82</v>
      </c>
      <c r="S15" s="24">
        <v>46054</v>
      </c>
      <c r="T15" s="23">
        <v>4.4115000000000002</v>
      </c>
      <c r="U15" s="25">
        <v>4</v>
      </c>
      <c r="V15" s="23">
        <v>54.408500000000004</v>
      </c>
      <c r="W15" s="18" t="s">
        <v>47</v>
      </c>
      <c r="X15" s="18" t="s">
        <v>48</v>
      </c>
      <c r="Y15" s="18" t="s">
        <v>36</v>
      </c>
      <c r="Z15" s="18" t="s">
        <v>9</v>
      </c>
      <c r="AA15" s="18" t="s">
        <v>49</v>
      </c>
      <c r="AB15" s="18" t="s">
        <v>50</v>
      </c>
      <c r="AC15" s="18" t="s">
        <v>38</v>
      </c>
      <c r="AD15" s="7" t="str">
        <f t="shared" si="0"/>
        <v/>
      </c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</row>
    <row r="16" spans="1:49" s="26" customFormat="1" ht="35.1" customHeight="1" x14ac:dyDescent="0.25">
      <c r="A16" s="18" t="s">
        <v>82</v>
      </c>
      <c r="B16" s="19">
        <v>46054</v>
      </c>
      <c r="C16" s="19">
        <v>46054</v>
      </c>
      <c r="D16" s="18" t="s">
        <v>249</v>
      </c>
      <c r="E16" s="20">
        <v>0.45833333333333331</v>
      </c>
      <c r="F16" s="20">
        <v>0.5</v>
      </c>
      <c r="G16" s="20">
        <v>3.4722222222222218E-4</v>
      </c>
      <c r="H16" s="18" t="s">
        <v>83</v>
      </c>
      <c r="I16" s="21">
        <v>0.47714143518518515</v>
      </c>
      <c r="J16" s="18" t="s">
        <v>80</v>
      </c>
      <c r="K16" s="18" t="s">
        <v>76</v>
      </c>
      <c r="L16" s="22">
        <v>1</v>
      </c>
      <c r="M16" s="22">
        <v>70169</v>
      </c>
      <c r="N16" s="18" t="s">
        <v>53</v>
      </c>
      <c r="O16" s="22" t="s">
        <v>84</v>
      </c>
      <c r="P16" s="23">
        <v>35</v>
      </c>
      <c r="Q16" s="22"/>
      <c r="R16" s="23">
        <v>35</v>
      </c>
      <c r="S16" s="24">
        <v>46054</v>
      </c>
      <c r="T16" s="23">
        <v>0</v>
      </c>
      <c r="U16" s="25">
        <v>4</v>
      </c>
      <c r="V16" s="23">
        <v>35</v>
      </c>
      <c r="W16" s="18" t="s">
        <v>47</v>
      </c>
      <c r="X16" s="18" t="s">
        <v>48</v>
      </c>
      <c r="Y16" s="18" t="s">
        <v>58</v>
      </c>
      <c r="Z16" s="18" t="s">
        <v>43</v>
      </c>
      <c r="AA16" s="18" t="s">
        <v>49</v>
      </c>
      <c r="AB16" s="18" t="s">
        <v>85</v>
      </c>
      <c r="AC16" s="18" t="s">
        <v>38</v>
      </c>
      <c r="AD16" s="7" t="str">
        <f t="shared" si="0"/>
        <v/>
      </c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</row>
    <row r="17" spans="1:49" s="26" customFormat="1" ht="35.1" customHeight="1" x14ac:dyDescent="0.25">
      <c r="A17" s="9" t="s">
        <v>75</v>
      </c>
      <c r="B17" s="10">
        <v>46054</v>
      </c>
      <c r="C17" s="10">
        <v>46054</v>
      </c>
      <c r="D17" s="11" t="s">
        <v>249</v>
      </c>
      <c r="E17" s="12">
        <v>0.47916666666666669</v>
      </c>
      <c r="F17" s="12">
        <v>0.48958333333333331</v>
      </c>
      <c r="G17" s="12">
        <v>1.0416666666666666E-2</v>
      </c>
      <c r="H17" s="9" t="s">
        <v>255</v>
      </c>
      <c r="I17" s="13"/>
      <c r="J17" s="9" t="s">
        <v>80</v>
      </c>
      <c r="K17" s="9"/>
      <c r="L17" s="14">
        <v>1</v>
      </c>
      <c r="M17" s="14">
        <v>1</v>
      </c>
      <c r="N17" s="9" t="s">
        <v>33</v>
      </c>
      <c r="O17" s="9"/>
      <c r="P17" s="16">
        <v>0</v>
      </c>
      <c r="Q17" s="14"/>
      <c r="R17" s="16">
        <v>0</v>
      </c>
      <c r="S17" s="9">
        <v>46054</v>
      </c>
      <c r="T17" s="16">
        <v>0</v>
      </c>
      <c r="U17" s="14">
        <v>2</v>
      </c>
      <c r="V17" s="16">
        <v>0</v>
      </c>
      <c r="W17" s="9" t="s">
        <v>34</v>
      </c>
      <c r="X17" s="9" t="s">
        <v>42</v>
      </c>
      <c r="Y17" s="9" t="s">
        <v>36</v>
      </c>
      <c r="Z17" s="9" t="s">
        <v>43</v>
      </c>
      <c r="AA17" s="9" t="s">
        <v>37</v>
      </c>
      <c r="AB17" s="9" t="s">
        <v>37</v>
      </c>
      <c r="AC17" s="9" t="s">
        <v>38</v>
      </c>
      <c r="AD17" s="7" t="str">
        <f t="shared" si="0"/>
        <v/>
      </c>
    </row>
    <row r="18" spans="1:49" s="26" customFormat="1" ht="35.1" customHeight="1" x14ac:dyDescent="0.25">
      <c r="A18" s="18" t="s">
        <v>44</v>
      </c>
      <c r="B18" s="19">
        <v>46054</v>
      </c>
      <c r="C18" s="19">
        <v>46054</v>
      </c>
      <c r="D18" s="18" t="s">
        <v>249</v>
      </c>
      <c r="E18" s="20">
        <v>0.45833333333333331</v>
      </c>
      <c r="F18" s="20">
        <v>0.54166666666666663</v>
      </c>
      <c r="G18" s="20">
        <v>3.4722222222222218E-4</v>
      </c>
      <c r="H18" s="18" t="s">
        <v>92</v>
      </c>
      <c r="I18" s="21">
        <v>0.488915162037037</v>
      </c>
      <c r="J18" s="18" t="s">
        <v>80</v>
      </c>
      <c r="K18" s="18" t="s">
        <v>150</v>
      </c>
      <c r="L18" s="22">
        <v>1</v>
      </c>
      <c r="M18" s="22">
        <v>71000</v>
      </c>
      <c r="N18" s="18" t="s">
        <v>46</v>
      </c>
      <c r="O18" s="22" t="str">
        <f>AC18</f>
        <v>CVC</v>
      </c>
      <c r="P18" s="23">
        <v>0</v>
      </c>
      <c r="Q18" s="22"/>
      <c r="R18" s="23">
        <v>0</v>
      </c>
      <c r="S18" s="24">
        <v>46054</v>
      </c>
      <c r="T18" s="23">
        <v>0</v>
      </c>
      <c r="U18" s="25">
        <v>4</v>
      </c>
      <c r="V18" s="23">
        <v>0</v>
      </c>
      <c r="W18" s="18" t="s">
        <v>47</v>
      </c>
      <c r="X18" s="18" t="s">
        <v>48</v>
      </c>
      <c r="Y18" s="18" t="s">
        <v>36</v>
      </c>
      <c r="Z18" s="18" t="s">
        <v>9</v>
      </c>
      <c r="AA18" s="18" t="s">
        <v>49</v>
      </c>
      <c r="AB18" s="18" t="s">
        <v>50</v>
      </c>
      <c r="AC18" s="18" t="s">
        <v>38</v>
      </c>
      <c r="AD18" s="7" t="str">
        <f t="shared" si="0"/>
        <v/>
      </c>
      <c r="AI18" s="27"/>
      <c r="AJ18" s="27"/>
      <c r="AK18" s="27"/>
      <c r="AL18" s="27"/>
      <c r="AM18" s="27"/>
      <c r="AN18" s="27"/>
      <c r="AO18" s="27"/>
      <c r="AP18" s="27"/>
      <c r="AQ18" s="27"/>
      <c r="AR18" s="27"/>
      <c r="AS18" s="27"/>
      <c r="AT18" s="27"/>
      <c r="AU18" s="27"/>
      <c r="AV18" s="27"/>
      <c r="AW18" s="27"/>
    </row>
    <row r="19" spans="1:49" s="26" customFormat="1" ht="35.1" customHeight="1" x14ac:dyDescent="0.25">
      <c r="A19" s="18" t="s">
        <v>87</v>
      </c>
      <c r="B19" s="19">
        <v>46054</v>
      </c>
      <c r="C19" s="19">
        <v>46054</v>
      </c>
      <c r="D19" s="18" t="s">
        <v>249</v>
      </c>
      <c r="E19" s="20">
        <v>0.45833333333333331</v>
      </c>
      <c r="F19" s="20">
        <v>0.54166666666666663</v>
      </c>
      <c r="G19" s="20">
        <v>3.4722222222222218E-4</v>
      </c>
      <c r="H19" s="18" t="s">
        <v>88</v>
      </c>
      <c r="I19" s="21">
        <v>0.4882206018518519</v>
      </c>
      <c r="J19" s="18" t="s">
        <v>80</v>
      </c>
      <c r="K19" s="18" t="s">
        <v>150</v>
      </c>
      <c r="L19" s="22">
        <v>1</v>
      </c>
      <c r="M19" s="22">
        <v>71252</v>
      </c>
      <c r="N19" s="18" t="s">
        <v>53</v>
      </c>
      <c r="O19" s="22" t="s">
        <v>253</v>
      </c>
      <c r="P19" s="23">
        <v>40</v>
      </c>
      <c r="Q19" s="22"/>
      <c r="R19" s="23">
        <v>40</v>
      </c>
      <c r="S19" s="24">
        <v>46054</v>
      </c>
      <c r="T19" s="23">
        <v>0</v>
      </c>
      <c r="U19" s="25">
        <v>4</v>
      </c>
      <c r="V19" s="23">
        <v>40</v>
      </c>
      <c r="W19" s="18" t="s">
        <v>47</v>
      </c>
      <c r="X19" s="18" t="s">
        <v>48</v>
      </c>
      <c r="Y19" s="18" t="s">
        <v>58</v>
      </c>
      <c r="Z19" s="18" t="s">
        <v>9</v>
      </c>
      <c r="AA19" s="18" t="s">
        <v>49</v>
      </c>
      <c r="AB19" s="18" t="s">
        <v>254</v>
      </c>
      <c r="AC19" s="18" t="s">
        <v>38</v>
      </c>
      <c r="AD19" s="7" t="str">
        <f t="shared" si="0"/>
        <v/>
      </c>
      <c r="AI19" s="27"/>
      <c r="AJ19" s="27"/>
      <c r="AK19" s="27"/>
      <c r="AL19" s="27"/>
      <c r="AM19" s="27"/>
      <c r="AN19" s="27"/>
      <c r="AO19" s="27"/>
      <c r="AP19" s="27"/>
      <c r="AQ19" s="27"/>
      <c r="AR19" s="27"/>
      <c r="AS19" s="27"/>
      <c r="AT19" s="27"/>
      <c r="AU19" s="27"/>
      <c r="AV19" s="27"/>
      <c r="AW19" s="27"/>
    </row>
    <row r="20" spans="1:49" s="26" customFormat="1" ht="35.1" customHeight="1" x14ac:dyDescent="0.25">
      <c r="A20" s="9" t="s">
        <v>75</v>
      </c>
      <c r="B20" s="10">
        <v>46054</v>
      </c>
      <c r="C20" s="10">
        <v>46054</v>
      </c>
      <c r="D20" s="11" t="s">
        <v>249</v>
      </c>
      <c r="E20" s="12">
        <v>0.48958333333333331</v>
      </c>
      <c r="F20" s="12">
        <v>0.5</v>
      </c>
      <c r="G20" s="12">
        <v>1.0416666666666666E-2</v>
      </c>
      <c r="H20" s="9" t="s">
        <v>256</v>
      </c>
      <c r="I20" s="13"/>
      <c r="J20" s="9" t="s">
        <v>80</v>
      </c>
      <c r="K20" s="9"/>
      <c r="L20" s="14">
        <v>1</v>
      </c>
      <c r="M20" s="14">
        <v>1</v>
      </c>
      <c r="N20" s="9" t="s">
        <v>33</v>
      </c>
      <c r="O20" s="9"/>
      <c r="P20" s="16">
        <v>0</v>
      </c>
      <c r="Q20" s="14"/>
      <c r="R20" s="16">
        <v>0</v>
      </c>
      <c r="S20" s="9">
        <v>46054</v>
      </c>
      <c r="T20" s="16">
        <v>0</v>
      </c>
      <c r="U20" s="14">
        <v>2</v>
      </c>
      <c r="V20" s="16">
        <v>0</v>
      </c>
      <c r="W20" s="9" t="s">
        <v>34</v>
      </c>
      <c r="X20" s="9" t="s">
        <v>42</v>
      </c>
      <c r="Y20" s="9" t="s">
        <v>36</v>
      </c>
      <c r="Z20" s="9" t="s">
        <v>43</v>
      </c>
      <c r="AA20" s="9" t="s">
        <v>37</v>
      </c>
      <c r="AB20" s="9" t="s">
        <v>37</v>
      </c>
      <c r="AC20" s="9" t="s">
        <v>38</v>
      </c>
      <c r="AD20" s="7" t="str">
        <f t="shared" si="0"/>
        <v/>
      </c>
    </row>
    <row r="21" spans="1:49" s="26" customFormat="1" ht="35.1" customHeight="1" x14ac:dyDescent="0.25">
      <c r="A21" s="18" t="s">
        <v>82</v>
      </c>
      <c r="B21" s="19">
        <v>46054</v>
      </c>
      <c r="C21" s="19">
        <v>46054</v>
      </c>
      <c r="D21" s="18" t="s">
        <v>249</v>
      </c>
      <c r="E21" s="20">
        <v>0.45833333333333331</v>
      </c>
      <c r="F21" s="20">
        <v>0.54166666666666663</v>
      </c>
      <c r="G21" s="20">
        <v>3.4722222222222218E-4</v>
      </c>
      <c r="H21" s="18" t="s">
        <v>83</v>
      </c>
      <c r="I21" s="21">
        <v>0.49361284722222226</v>
      </c>
      <c r="J21" s="18" t="s">
        <v>80</v>
      </c>
      <c r="K21" s="18" t="s">
        <v>150</v>
      </c>
      <c r="L21" s="22">
        <v>1</v>
      </c>
      <c r="M21" s="22">
        <v>70171</v>
      </c>
      <c r="N21" s="18" t="s">
        <v>46</v>
      </c>
      <c r="O21" s="22" t="s">
        <v>84</v>
      </c>
      <c r="P21" s="23">
        <v>0</v>
      </c>
      <c r="Q21" s="22"/>
      <c r="R21" s="23">
        <v>0</v>
      </c>
      <c r="S21" s="24">
        <v>46054</v>
      </c>
      <c r="T21" s="23">
        <v>0</v>
      </c>
      <c r="U21" s="25">
        <v>4</v>
      </c>
      <c r="V21" s="23">
        <v>0</v>
      </c>
      <c r="W21" s="18" t="s">
        <v>47</v>
      </c>
      <c r="X21" s="18" t="s">
        <v>48</v>
      </c>
      <c r="Y21" s="18" t="s">
        <v>58</v>
      </c>
      <c r="Z21" s="18" t="s">
        <v>43</v>
      </c>
      <c r="AA21" s="18" t="s">
        <v>49</v>
      </c>
      <c r="AB21" s="18" t="s">
        <v>85</v>
      </c>
      <c r="AC21" s="18" t="s">
        <v>38</v>
      </c>
      <c r="AD21" s="7" t="str">
        <f t="shared" si="0"/>
        <v/>
      </c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</row>
    <row r="22" spans="1:49" s="26" customFormat="1" ht="35.1" customHeight="1" x14ac:dyDescent="0.25">
      <c r="A22" s="18" t="s">
        <v>82</v>
      </c>
      <c r="B22" s="19">
        <v>46054</v>
      </c>
      <c r="C22" s="19">
        <v>46054</v>
      </c>
      <c r="D22" s="18" t="s">
        <v>249</v>
      </c>
      <c r="E22" s="20">
        <v>0.45833333333333331</v>
      </c>
      <c r="F22" s="20">
        <v>0.5</v>
      </c>
      <c r="G22" s="20">
        <v>3.4722222222222218E-4</v>
      </c>
      <c r="H22" s="18" t="s">
        <v>83</v>
      </c>
      <c r="I22" s="21">
        <v>0.49912071759259258</v>
      </c>
      <c r="J22" s="18" t="s">
        <v>80</v>
      </c>
      <c r="K22" s="18" t="s">
        <v>150</v>
      </c>
      <c r="L22" s="22">
        <v>1</v>
      </c>
      <c r="M22" s="22">
        <v>70169</v>
      </c>
      <c r="N22" s="18" t="s">
        <v>53</v>
      </c>
      <c r="O22" s="22" t="s">
        <v>84</v>
      </c>
      <c r="P22" s="23">
        <v>35</v>
      </c>
      <c r="Q22" s="22"/>
      <c r="R22" s="23">
        <v>35</v>
      </c>
      <c r="S22" s="24">
        <v>46054</v>
      </c>
      <c r="T22" s="23">
        <v>0</v>
      </c>
      <c r="U22" s="25">
        <v>4</v>
      </c>
      <c r="V22" s="23">
        <v>35</v>
      </c>
      <c r="W22" s="18" t="s">
        <v>47</v>
      </c>
      <c r="X22" s="18" t="s">
        <v>48</v>
      </c>
      <c r="Y22" s="18" t="s">
        <v>58</v>
      </c>
      <c r="Z22" s="18" t="s">
        <v>43</v>
      </c>
      <c r="AA22" s="18" t="s">
        <v>49</v>
      </c>
      <c r="AB22" s="18" t="s">
        <v>85</v>
      </c>
      <c r="AC22" s="18" t="s">
        <v>38</v>
      </c>
      <c r="AD22" s="7" t="str">
        <f t="shared" si="0"/>
        <v/>
      </c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</row>
    <row r="23" spans="1:49" s="26" customFormat="1" ht="35.1" customHeight="1" x14ac:dyDescent="0.25">
      <c r="A23" s="9" t="s">
        <v>75</v>
      </c>
      <c r="B23" s="10">
        <v>46054</v>
      </c>
      <c r="C23" s="10">
        <v>46054</v>
      </c>
      <c r="D23" s="11" t="s">
        <v>249</v>
      </c>
      <c r="E23" s="12">
        <v>0.5</v>
      </c>
      <c r="F23" s="12">
        <v>0.54166666666666663</v>
      </c>
      <c r="G23" s="12">
        <v>4.1666666666666664E-2</v>
      </c>
      <c r="H23" s="9" t="s">
        <v>230</v>
      </c>
      <c r="I23" s="13"/>
      <c r="J23" s="9" t="s">
        <v>80</v>
      </c>
      <c r="K23" s="9"/>
      <c r="L23" s="14">
        <v>1</v>
      </c>
      <c r="M23" s="14">
        <v>1</v>
      </c>
      <c r="N23" s="9" t="s">
        <v>33</v>
      </c>
      <c r="O23" s="9"/>
      <c r="P23" s="16">
        <v>0</v>
      </c>
      <c r="Q23" s="14"/>
      <c r="R23" s="16">
        <v>0</v>
      </c>
      <c r="S23" s="9">
        <v>46054</v>
      </c>
      <c r="T23" s="16">
        <v>0</v>
      </c>
      <c r="U23" s="14">
        <v>2</v>
      </c>
      <c r="V23" s="16">
        <v>0</v>
      </c>
      <c r="W23" s="9" t="s">
        <v>34</v>
      </c>
      <c r="X23" s="9" t="s">
        <v>42</v>
      </c>
      <c r="Y23" s="9" t="s">
        <v>36</v>
      </c>
      <c r="Z23" s="9" t="s">
        <v>43</v>
      </c>
      <c r="AA23" s="9" t="s">
        <v>37</v>
      </c>
      <c r="AB23" s="9" t="s">
        <v>37</v>
      </c>
      <c r="AC23" s="9" t="s">
        <v>38</v>
      </c>
      <c r="AD23" s="7" t="str">
        <f t="shared" si="0"/>
        <v/>
      </c>
    </row>
    <row r="24" spans="1:49" s="26" customFormat="1" ht="35.1" customHeight="1" x14ac:dyDescent="0.25">
      <c r="A24" s="18" t="s">
        <v>82</v>
      </c>
      <c r="B24" s="19">
        <v>46054</v>
      </c>
      <c r="C24" s="19">
        <v>46054</v>
      </c>
      <c r="D24" s="18" t="s">
        <v>249</v>
      </c>
      <c r="E24" s="20">
        <v>0.5</v>
      </c>
      <c r="F24" s="20">
        <v>0.54166666666666663</v>
      </c>
      <c r="G24" s="20">
        <v>3.4722222222222218E-4</v>
      </c>
      <c r="H24" s="18" t="s">
        <v>83</v>
      </c>
      <c r="I24" s="21">
        <v>0.51180578703703705</v>
      </c>
      <c r="J24" s="18" t="s">
        <v>80</v>
      </c>
      <c r="K24" s="18" t="s">
        <v>151</v>
      </c>
      <c r="L24" s="22">
        <v>1</v>
      </c>
      <c r="M24" s="22">
        <v>70170</v>
      </c>
      <c r="N24" s="18" t="s">
        <v>53</v>
      </c>
      <c r="O24" s="22" t="s">
        <v>84</v>
      </c>
      <c r="P24" s="23">
        <v>35</v>
      </c>
      <c r="Q24" s="22"/>
      <c r="R24" s="23">
        <v>35</v>
      </c>
      <c r="S24" s="24">
        <v>46054</v>
      </c>
      <c r="T24" s="23">
        <v>0</v>
      </c>
      <c r="U24" s="25">
        <v>4</v>
      </c>
      <c r="V24" s="23">
        <v>35</v>
      </c>
      <c r="W24" s="18" t="s">
        <v>47</v>
      </c>
      <c r="X24" s="18" t="s">
        <v>48</v>
      </c>
      <c r="Y24" s="18" t="s">
        <v>58</v>
      </c>
      <c r="Z24" s="18" t="s">
        <v>43</v>
      </c>
      <c r="AA24" s="18" t="s">
        <v>49</v>
      </c>
      <c r="AB24" s="18" t="s">
        <v>85</v>
      </c>
      <c r="AC24" s="18" t="s">
        <v>38</v>
      </c>
      <c r="AD24" s="7" t="str">
        <f t="shared" si="0"/>
        <v/>
      </c>
    </row>
    <row r="25" spans="1:49" s="26" customFormat="1" ht="35.1" customHeight="1" x14ac:dyDescent="0.25">
      <c r="A25" s="18" t="s">
        <v>87</v>
      </c>
      <c r="B25" s="19">
        <v>46054</v>
      </c>
      <c r="C25" s="19">
        <v>46054</v>
      </c>
      <c r="D25" s="18" t="s">
        <v>249</v>
      </c>
      <c r="E25" s="20">
        <v>0.45833333333333331</v>
      </c>
      <c r="F25" s="20">
        <v>0.54166666666666663</v>
      </c>
      <c r="G25" s="20">
        <v>3.4722222222222218E-4</v>
      </c>
      <c r="H25" s="18" t="s">
        <v>88</v>
      </c>
      <c r="I25" s="21">
        <v>0.52003541666666664</v>
      </c>
      <c r="J25" s="18" t="s">
        <v>80</v>
      </c>
      <c r="K25" s="18" t="s">
        <v>151</v>
      </c>
      <c r="L25" s="22">
        <v>1</v>
      </c>
      <c r="M25" s="22">
        <v>71252</v>
      </c>
      <c r="N25" s="18" t="s">
        <v>53</v>
      </c>
      <c r="O25" s="22" t="s">
        <v>253</v>
      </c>
      <c r="P25" s="23">
        <v>40</v>
      </c>
      <c r="Q25" s="22"/>
      <c r="R25" s="23">
        <v>40</v>
      </c>
      <c r="S25" s="24">
        <v>46054</v>
      </c>
      <c r="T25" s="23">
        <v>0</v>
      </c>
      <c r="U25" s="25">
        <v>4</v>
      </c>
      <c r="V25" s="23">
        <v>40</v>
      </c>
      <c r="W25" s="18" t="s">
        <v>47</v>
      </c>
      <c r="X25" s="18" t="s">
        <v>48</v>
      </c>
      <c r="Y25" s="18" t="s">
        <v>58</v>
      </c>
      <c r="Z25" s="18" t="s">
        <v>9</v>
      </c>
      <c r="AA25" s="18" t="s">
        <v>49</v>
      </c>
      <c r="AB25" s="18" t="s">
        <v>254</v>
      </c>
      <c r="AC25" s="18" t="s">
        <v>38</v>
      </c>
      <c r="AD25" s="7" t="str">
        <f t="shared" si="0"/>
        <v/>
      </c>
    </row>
    <row r="26" spans="1:49" s="26" customFormat="1" ht="35.1" customHeight="1" x14ac:dyDescent="0.25">
      <c r="A26" s="18" t="s">
        <v>51</v>
      </c>
      <c r="B26" s="19">
        <v>46054</v>
      </c>
      <c r="C26" s="19">
        <v>46054</v>
      </c>
      <c r="D26" s="18" t="s">
        <v>249</v>
      </c>
      <c r="E26" s="20">
        <v>0.5</v>
      </c>
      <c r="F26" s="20">
        <v>0.54166666666666663</v>
      </c>
      <c r="G26" s="20">
        <v>3.4722222222222218E-4</v>
      </c>
      <c r="H26" s="18" t="s">
        <v>102</v>
      </c>
      <c r="I26" s="21">
        <v>0.51968819444444436</v>
      </c>
      <c r="J26" s="18" t="s">
        <v>80</v>
      </c>
      <c r="K26" s="18" t="s">
        <v>151</v>
      </c>
      <c r="L26" s="22">
        <v>1</v>
      </c>
      <c r="M26" s="22">
        <v>70364</v>
      </c>
      <c r="N26" s="18" t="s">
        <v>53</v>
      </c>
      <c r="O26" s="22" t="s">
        <v>54</v>
      </c>
      <c r="P26" s="23">
        <v>50</v>
      </c>
      <c r="Q26" s="22"/>
      <c r="R26" s="23">
        <v>50</v>
      </c>
      <c r="S26" s="24">
        <v>46054</v>
      </c>
      <c r="T26" s="23">
        <v>7.5</v>
      </c>
      <c r="U26" s="25">
        <v>4</v>
      </c>
      <c r="V26" s="23">
        <v>42.5</v>
      </c>
      <c r="W26" s="18" t="s">
        <v>47</v>
      </c>
      <c r="X26" s="18" t="s">
        <v>48</v>
      </c>
      <c r="Y26" s="18" t="s">
        <v>36</v>
      </c>
      <c r="Z26" s="18" t="s">
        <v>9</v>
      </c>
      <c r="AA26" s="18" t="s">
        <v>49</v>
      </c>
      <c r="AB26" s="18" t="s">
        <v>55</v>
      </c>
      <c r="AC26" s="18" t="s">
        <v>38</v>
      </c>
      <c r="AD26" s="7" t="str">
        <f t="shared" si="0"/>
        <v/>
      </c>
      <c r="AI26" s="27"/>
      <c r="AJ26" s="27"/>
      <c r="AK26" s="27"/>
      <c r="AL26" s="27"/>
      <c r="AM26" s="27"/>
      <c r="AN26" s="27"/>
      <c r="AO26" s="27"/>
      <c r="AP26" s="27"/>
      <c r="AQ26" s="27"/>
      <c r="AR26" s="27"/>
      <c r="AS26" s="27"/>
      <c r="AT26" s="27"/>
      <c r="AU26" s="27"/>
      <c r="AV26" s="27"/>
      <c r="AW26" s="27"/>
    </row>
    <row r="27" spans="1:49" s="26" customFormat="1" ht="35.1" customHeight="1" x14ac:dyDescent="0.25">
      <c r="A27" s="18" t="s">
        <v>93</v>
      </c>
      <c r="B27" s="19">
        <v>46054</v>
      </c>
      <c r="C27" s="19">
        <v>46054</v>
      </c>
      <c r="D27" s="18" t="s">
        <v>249</v>
      </c>
      <c r="E27" s="20">
        <v>0.45833333333333331</v>
      </c>
      <c r="F27" s="20">
        <v>0.54166666666666663</v>
      </c>
      <c r="G27" s="28">
        <v>1.7361111111111109E-4</v>
      </c>
      <c r="H27" s="29" t="s">
        <v>94</v>
      </c>
      <c r="I27" s="21">
        <v>0.53224745370370374</v>
      </c>
      <c r="J27" s="18" t="s">
        <v>80</v>
      </c>
      <c r="K27" s="18" t="s">
        <v>151</v>
      </c>
      <c r="L27" s="22">
        <v>1</v>
      </c>
      <c r="M27" s="22">
        <v>69571</v>
      </c>
      <c r="N27" s="18" t="s">
        <v>46</v>
      </c>
      <c r="O27" s="22" t="s">
        <v>95</v>
      </c>
      <c r="P27" s="23">
        <v>0</v>
      </c>
      <c r="Q27" s="22"/>
      <c r="R27" s="23">
        <v>0</v>
      </c>
      <c r="S27" s="24">
        <v>46054</v>
      </c>
      <c r="T27" s="23">
        <v>0</v>
      </c>
      <c r="U27" s="25">
        <v>4</v>
      </c>
      <c r="V27" s="23">
        <v>0</v>
      </c>
      <c r="W27" s="18" t="s">
        <v>47</v>
      </c>
      <c r="X27" s="18" t="s">
        <v>48</v>
      </c>
      <c r="Y27" s="18" t="s">
        <v>36</v>
      </c>
      <c r="Z27" s="18" t="s">
        <v>9</v>
      </c>
      <c r="AA27" s="18" t="s">
        <v>49</v>
      </c>
      <c r="AB27" s="18" t="s">
        <v>96</v>
      </c>
      <c r="AC27" s="18" t="s">
        <v>38</v>
      </c>
      <c r="AD27" s="7" t="str">
        <f t="shared" si="0"/>
        <v/>
      </c>
      <c r="AI27" s="27"/>
      <c r="AJ27" s="27"/>
      <c r="AK27" s="27"/>
      <c r="AL27" s="27"/>
      <c r="AM27" s="27"/>
      <c r="AN27" s="27"/>
      <c r="AO27" s="27"/>
      <c r="AP27" s="27"/>
      <c r="AQ27" s="27"/>
      <c r="AR27" s="27"/>
      <c r="AS27" s="27"/>
      <c r="AT27" s="27"/>
      <c r="AU27" s="27"/>
      <c r="AV27" s="27"/>
      <c r="AW27" s="27"/>
    </row>
    <row r="28" spans="1:49" s="26" customFormat="1" ht="35.1" customHeight="1" x14ac:dyDescent="0.25">
      <c r="A28" s="18" t="s">
        <v>93</v>
      </c>
      <c r="B28" s="19">
        <v>46054</v>
      </c>
      <c r="C28" s="19">
        <v>46054</v>
      </c>
      <c r="D28" s="18" t="s">
        <v>249</v>
      </c>
      <c r="E28" s="20">
        <v>0.45833333333333331</v>
      </c>
      <c r="F28" s="20">
        <v>0.54166666666666663</v>
      </c>
      <c r="G28" s="28">
        <v>1.7361111111111109E-4</v>
      </c>
      <c r="H28" s="29" t="s">
        <v>97</v>
      </c>
      <c r="I28" s="21">
        <v>0.53415740740740736</v>
      </c>
      <c r="J28" s="18" t="s">
        <v>80</v>
      </c>
      <c r="K28" s="18" t="s">
        <v>151</v>
      </c>
      <c r="L28" s="22">
        <v>1</v>
      </c>
      <c r="M28" s="22">
        <v>69571</v>
      </c>
      <c r="N28" s="18" t="s">
        <v>46</v>
      </c>
      <c r="O28" s="22" t="s">
        <v>95</v>
      </c>
      <c r="P28" s="23">
        <v>0</v>
      </c>
      <c r="Q28" s="22"/>
      <c r="R28" s="23">
        <v>0</v>
      </c>
      <c r="S28" s="24">
        <v>46054</v>
      </c>
      <c r="T28" s="23">
        <v>0</v>
      </c>
      <c r="U28" s="25">
        <v>4</v>
      </c>
      <c r="V28" s="23">
        <v>0</v>
      </c>
      <c r="W28" s="18" t="s">
        <v>47</v>
      </c>
      <c r="X28" s="18" t="s">
        <v>48</v>
      </c>
      <c r="Y28" s="18" t="s">
        <v>36</v>
      </c>
      <c r="Z28" s="18" t="s">
        <v>9</v>
      </c>
      <c r="AA28" s="18" t="s">
        <v>49</v>
      </c>
      <c r="AB28" s="18" t="s">
        <v>96</v>
      </c>
      <c r="AC28" s="18" t="s">
        <v>38</v>
      </c>
      <c r="AD28" s="7" t="str">
        <f t="shared" si="0"/>
        <v/>
      </c>
    </row>
    <row r="29" spans="1:49" s="26" customFormat="1" ht="35.1" customHeight="1" x14ac:dyDescent="0.25">
      <c r="A29" s="18" t="s">
        <v>82</v>
      </c>
      <c r="B29" s="19">
        <v>46054</v>
      </c>
      <c r="C29" s="19">
        <v>46054</v>
      </c>
      <c r="D29" s="18" t="s">
        <v>249</v>
      </c>
      <c r="E29" s="20">
        <v>0.5</v>
      </c>
      <c r="F29" s="20">
        <v>0.54166666666666663</v>
      </c>
      <c r="G29" s="20">
        <v>3.4722222222222218E-4</v>
      </c>
      <c r="H29" s="18" t="s">
        <v>83</v>
      </c>
      <c r="I29" s="21">
        <v>0.53975694444444444</v>
      </c>
      <c r="J29" s="18" t="s">
        <v>80</v>
      </c>
      <c r="K29" s="18" t="s">
        <v>151</v>
      </c>
      <c r="L29" s="22">
        <v>1</v>
      </c>
      <c r="M29" s="22">
        <v>70170</v>
      </c>
      <c r="N29" s="18" t="s">
        <v>53</v>
      </c>
      <c r="O29" s="22" t="s">
        <v>84</v>
      </c>
      <c r="P29" s="23">
        <v>35</v>
      </c>
      <c r="Q29" s="22"/>
      <c r="R29" s="23">
        <v>35</v>
      </c>
      <c r="S29" s="24">
        <v>46054</v>
      </c>
      <c r="T29" s="23">
        <v>0</v>
      </c>
      <c r="U29" s="25">
        <v>4</v>
      </c>
      <c r="V29" s="23">
        <v>35</v>
      </c>
      <c r="W29" s="18" t="s">
        <v>47</v>
      </c>
      <c r="X29" s="18" t="s">
        <v>48</v>
      </c>
      <c r="Y29" s="18" t="s">
        <v>58</v>
      </c>
      <c r="Z29" s="18" t="s">
        <v>43</v>
      </c>
      <c r="AA29" s="18" t="s">
        <v>49</v>
      </c>
      <c r="AB29" s="18" t="s">
        <v>85</v>
      </c>
      <c r="AC29" s="18" t="s">
        <v>38</v>
      </c>
      <c r="AD29" s="7" t="str">
        <f t="shared" si="0"/>
        <v/>
      </c>
    </row>
    <row r="30" spans="1:49" s="26" customFormat="1" ht="35.1" customHeight="1" x14ac:dyDescent="0.25">
      <c r="A30" s="9" t="s">
        <v>257</v>
      </c>
      <c r="B30" s="10">
        <v>46054</v>
      </c>
      <c r="C30" s="10">
        <v>46054</v>
      </c>
      <c r="D30" s="11" t="s">
        <v>249</v>
      </c>
      <c r="E30" s="12">
        <v>0.54166666666666663</v>
      </c>
      <c r="F30" s="12">
        <v>0.58333333333333337</v>
      </c>
      <c r="G30" s="12">
        <v>4.1666666666666664E-2</v>
      </c>
      <c r="H30" s="9" t="s">
        <v>257</v>
      </c>
      <c r="I30" s="13"/>
      <c r="J30" s="9" t="s">
        <v>105</v>
      </c>
      <c r="K30" s="9"/>
      <c r="L30" s="14">
        <v>1</v>
      </c>
      <c r="M30" s="14">
        <v>1</v>
      </c>
      <c r="N30" s="9" t="s">
        <v>33</v>
      </c>
      <c r="O30" s="9"/>
      <c r="P30" s="16">
        <v>0</v>
      </c>
      <c r="Q30" s="14"/>
      <c r="R30" s="16">
        <v>0</v>
      </c>
      <c r="S30" s="9">
        <v>46054</v>
      </c>
      <c r="T30" s="16">
        <v>0</v>
      </c>
      <c r="U30" s="14">
        <v>2</v>
      </c>
      <c r="V30" s="16">
        <v>0</v>
      </c>
      <c r="W30" s="9" t="s">
        <v>34</v>
      </c>
      <c r="X30" s="9" t="s">
        <v>42</v>
      </c>
      <c r="Y30" s="9" t="s">
        <v>36</v>
      </c>
      <c r="Z30" s="9" t="s">
        <v>43</v>
      </c>
      <c r="AA30" s="9" t="s">
        <v>37</v>
      </c>
      <c r="AB30" s="9" t="s">
        <v>37</v>
      </c>
      <c r="AC30" s="9" t="s">
        <v>38</v>
      </c>
      <c r="AD30" s="7" t="str">
        <f t="shared" si="0"/>
        <v/>
      </c>
    </row>
    <row r="31" spans="1:49" s="26" customFormat="1" ht="35.1" customHeight="1" x14ac:dyDescent="0.25">
      <c r="A31" s="18" t="s">
        <v>106</v>
      </c>
      <c r="B31" s="19">
        <v>46054</v>
      </c>
      <c r="C31" s="19">
        <v>46054</v>
      </c>
      <c r="D31" s="18" t="s">
        <v>249</v>
      </c>
      <c r="E31" s="20">
        <v>0.54166666666666663</v>
      </c>
      <c r="F31" s="20">
        <v>0.66666666666666663</v>
      </c>
      <c r="G31" s="20">
        <v>3.4722222222222218E-4</v>
      </c>
      <c r="H31" s="18" t="s">
        <v>107</v>
      </c>
      <c r="I31" s="21">
        <v>0.56247928240740741</v>
      </c>
      <c r="J31" s="18" t="s">
        <v>105</v>
      </c>
      <c r="K31" s="18" t="s">
        <v>248</v>
      </c>
      <c r="L31" s="22">
        <v>1</v>
      </c>
      <c r="M31" s="22">
        <v>58166</v>
      </c>
      <c r="N31" s="18" t="s">
        <v>53</v>
      </c>
      <c r="O31" s="22" t="s">
        <v>108</v>
      </c>
      <c r="P31" s="23">
        <v>29.411764705882355</v>
      </c>
      <c r="Q31" s="22"/>
      <c r="R31" s="23">
        <v>29.411764705882355</v>
      </c>
      <c r="S31" s="24">
        <v>46054</v>
      </c>
      <c r="T31" s="23">
        <v>4.4117647058823533</v>
      </c>
      <c r="U31" s="25">
        <v>4</v>
      </c>
      <c r="V31" s="23">
        <v>25</v>
      </c>
      <c r="W31" s="18" t="s">
        <v>34</v>
      </c>
      <c r="X31" s="18" t="s">
        <v>48</v>
      </c>
      <c r="Y31" s="18" t="s">
        <v>36</v>
      </c>
      <c r="Z31" s="18" t="s">
        <v>9</v>
      </c>
      <c r="AA31" s="18" t="s">
        <v>49</v>
      </c>
      <c r="AB31" s="18" t="s">
        <v>109</v>
      </c>
      <c r="AC31" s="18" t="s">
        <v>38</v>
      </c>
      <c r="AD31" s="7" t="str">
        <f t="shared" si="0"/>
        <v/>
      </c>
      <c r="AI31" s="27"/>
      <c r="AJ31" s="27"/>
      <c r="AK31" s="27"/>
      <c r="AL31" s="27"/>
      <c r="AM31" s="27"/>
      <c r="AN31" s="27"/>
      <c r="AO31" s="27"/>
      <c r="AP31" s="27"/>
      <c r="AQ31" s="27"/>
      <c r="AR31" s="27"/>
      <c r="AS31" s="27"/>
      <c r="AT31" s="27"/>
      <c r="AU31" s="27"/>
      <c r="AV31" s="27"/>
      <c r="AW31" s="27"/>
    </row>
    <row r="32" spans="1:49" s="26" customFormat="1" ht="35.1" customHeight="1" x14ac:dyDescent="0.25">
      <c r="A32" s="18" t="s">
        <v>159</v>
      </c>
      <c r="B32" s="19">
        <v>46054</v>
      </c>
      <c r="C32" s="19">
        <v>46054</v>
      </c>
      <c r="D32" s="18" t="s">
        <v>249</v>
      </c>
      <c r="E32" s="20">
        <v>0.54166666666666663</v>
      </c>
      <c r="F32" s="20">
        <v>0.66666666666666663</v>
      </c>
      <c r="G32" s="28">
        <v>1.7361111111111109E-4</v>
      </c>
      <c r="H32" s="29" t="s">
        <v>160</v>
      </c>
      <c r="I32" s="21">
        <v>0.58251354166666669</v>
      </c>
      <c r="J32" s="18" t="s">
        <v>105</v>
      </c>
      <c r="K32" s="18" t="s">
        <v>248</v>
      </c>
      <c r="L32" s="22">
        <v>1</v>
      </c>
      <c r="M32" s="22">
        <v>71011</v>
      </c>
      <c r="N32" s="18" t="s">
        <v>46</v>
      </c>
      <c r="O32" s="22" t="s">
        <v>161</v>
      </c>
      <c r="P32" s="23">
        <v>0</v>
      </c>
      <c r="Q32" s="22"/>
      <c r="R32" s="23">
        <v>0</v>
      </c>
      <c r="S32" s="24">
        <v>46054</v>
      </c>
      <c r="T32" s="23">
        <v>0</v>
      </c>
      <c r="U32" s="25">
        <v>4</v>
      </c>
      <c r="V32" s="23">
        <v>0</v>
      </c>
      <c r="W32" s="18" t="s">
        <v>47</v>
      </c>
      <c r="X32" s="18" t="s">
        <v>48</v>
      </c>
      <c r="Y32" s="18" t="s">
        <v>36</v>
      </c>
      <c r="Z32" s="18" t="s">
        <v>9</v>
      </c>
      <c r="AA32" s="18" t="s">
        <v>49</v>
      </c>
      <c r="AB32" s="18" t="s">
        <v>162</v>
      </c>
      <c r="AC32" s="18" t="s">
        <v>38</v>
      </c>
      <c r="AD32" s="7" t="str">
        <f t="shared" si="0"/>
        <v/>
      </c>
      <c r="AI32" s="27"/>
      <c r="AJ32" s="27"/>
      <c r="AK32" s="27"/>
      <c r="AL32" s="27"/>
      <c r="AM32" s="27"/>
      <c r="AN32" s="27"/>
      <c r="AO32" s="27"/>
      <c r="AP32" s="27"/>
      <c r="AQ32" s="27"/>
      <c r="AR32" s="27"/>
      <c r="AS32" s="27"/>
      <c r="AT32" s="27"/>
      <c r="AU32" s="27"/>
      <c r="AV32" s="27"/>
      <c r="AW32" s="27"/>
    </row>
    <row r="33" spans="1:49" s="26" customFormat="1" ht="35.1" customHeight="1" x14ac:dyDescent="0.25">
      <c r="A33" s="18" t="s">
        <v>106</v>
      </c>
      <c r="B33" s="19">
        <v>46054</v>
      </c>
      <c r="C33" s="19">
        <v>46054</v>
      </c>
      <c r="D33" s="18" t="s">
        <v>249</v>
      </c>
      <c r="E33" s="20">
        <v>0.54166666666666663</v>
      </c>
      <c r="F33" s="20">
        <v>0.66666666666666663</v>
      </c>
      <c r="G33" s="20">
        <v>3.4722222222222218E-4</v>
      </c>
      <c r="H33" s="18" t="s">
        <v>107</v>
      </c>
      <c r="I33" s="21">
        <v>0.58268738425925926</v>
      </c>
      <c r="J33" s="18" t="s">
        <v>105</v>
      </c>
      <c r="K33" s="18" t="s">
        <v>248</v>
      </c>
      <c r="L33" s="22">
        <v>1</v>
      </c>
      <c r="M33" s="22">
        <v>58166</v>
      </c>
      <c r="N33" s="18" t="s">
        <v>53</v>
      </c>
      <c r="O33" s="22" t="s">
        <v>108</v>
      </c>
      <c r="P33" s="23">
        <v>29.411764705882355</v>
      </c>
      <c r="Q33" s="22"/>
      <c r="R33" s="23">
        <v>29.411764705882355</v>
      </c>
      <c r="S33" s="24">
        <v>46054</v>
      </c>
      <c r="T33" s="23">
        <v>4.4117647058823533</v>
      </c>
      <c r="U33" s="25">
        <v>4</v>
      </c>
      <c r="V33" s="23">
        <v>25</v>
      </c>
      <c r="W33" s="18" t="s">
        <v>34</v>
      </c>
      <c r="X33" s="18" t="s">
        <v>48</v>
      </c>
      <c r="Y33" s="18" t="s">
        <v>36</v>
      </c>
      <c r="Z33" s="18" t="s">
        <v>9</v>
      </c>
      <c r="AA33" s="18" t="s">
        <v>49</v>
      </c>
      <c r="AB33" s="18" t="s">
        <v>109</v>
      </c>
      <c r="AC33" s="18" t="s">
        <v>38</v>
      </c>
      <c r="AD33" s="7" t="str">
        <f t="shared" si="0"/>
        <v/>
      </c>
      <c r="AI33" s="27"/>
      <c r="AJ33" s="27"/>
      <c r="AK33" s="27"/>
      <c r="AL33" s="27"/>
      <c r="AM33" s="27"/>
      <c r="AN33" s="27"/>
      <c r="AO33" s="27"/>
      <c r="AP33" s="27"/>
      <c r="AQ33" s="27"/>
      <c r="AR33" s="27"/>
      <c r="AS33" s="27"/>
      <c r="AT33" s="27"/>
      <c r="AU33" s="27"/>
      <c r="AV33" s="27"/>
      <c r="AW33" s="27"/>
    </row>
    <row r="34" spans="1:49" s="26" customFormat="1" ht="35.1" customHeight="1" x14ac:dyDescent="0.25">
      <c r="A34" s="18" t="s">
        <v>159</v>
      </c>
      <c r="B34" s="19">
        <v>46054</v>
      </c>
      <c r="C34" s="19">
        <v>46054</v>
      </c>
      <c r="D34" s="18" t="s">
        <v>249</v>
      </c>
      <c r="E34" s="20">
        <v>0.54166666666666663</v>
      </c>
      <c r="F34" s="20">
        <v>0.66666666666666663</v>
      </c>
      <c r="G34" s="28">
        <v>1.7361111111111109E-4</v>
      </c>
      <c r="H34" s="29" t="s">
        <v>163</v>
      </c>
      <c r="I34" s="21">
        <v>0.58303460648148153</v>
      </c>
      <c r="J34" s="18" t="s">
        <v>105</v>
      </c>
      <c r="K34" s="18" t="s">
        <v>248</v>
      </c>
      <c r="L34" s="22">
        <v>1</v>
      </c>
      <c r="M34" s="22">
        <v>71011</v>
      </c>
      <c r="N34" s="18" t="s">
        <v>46</v>
      </c>
      <c r="O34" s="22" t="s">
        <v>161</v>
      </c>
      <c r="P34" s="23">
        <v>0</v>
      </c>
      <c r="Q34" s="22"/>
      <c r="R34" s="23">
        <v>0</v>
      </c>
      <c r="S34" s="24">
        <v>46054</v>
      </c>
      <c r="T34" s="23">
        <v>0</v>
      </c>
      <c r="U34" s="25">
        <v>4</v>
      </c>
      <c r="V34" s="23">
        <v>0</v>
      </c>
      <c r="W34" s="18" t="s">
        <v>47</v>
      </c>
      <c r="X34" s="18" t="s">
        <v>48</v>
      </c>
      <c r="Y34" s="18" t="s">
        <v>36</v>
      </c>
      <c r="Z34" s="18" t="s">
        <v>9</v>
      </c>
      <c r="AA34" s="18" t="s">
        <v>49</v>
      </c>
      <c r="AB34" s="18" t="s">
        <v>162</v>
      </c>
      <c r="AC34" s="18" t="s">
        <v>38</v>
      </c>
      <c r="AD34" s="7" t="str">
        <f t="shared" si="0"/>
        <v/>
      </c>
    </row>
    <row r="35" spans="1:49" s="26" customFormat="1" ht="35.1" customHeight="1" x14ac:dyDescent="0.25">
      <c r="A35" s="9" t="s">
        <v>258</v>
      </c>
      <c r="B35" s="10">
        <v>46054</v>
      </c>
      <c r="C35" s="10">
        <v>46054</v>
      </c>
      <c r="D35" s="11" t="s">
        <v>249</v>
      </c>
      <c r="E35" s="12">
        <v>0.58333333333333337</v>
      </c>
      <c r="F35" s="12">
        <v>0.625</v>
      </c>
      <c r="G35" s="12">
        <v>4.1666666666666664E-2</v>
      </c>
      <c r="H35" s="9" t="s">
        <v>258</v>
      </c>
      <c r="I35" s="13"/>
      <c r="J35" s="9" t="s">
        <v>105</v>
      </c>
      <c r="K35" s="9"/>
      <c r="L35" s="14">
        <v>1</v>
      </c>
      <c r="M35" s="14">
        <v>1</v>
      </c>
      <c r="N35" s="9" t="s">
        <v>33</v>
      </c>
      <c r="O35" s="9"/>
      <c r="P35" s="16">
        <v>0</v>
      </c>
      <c r="Q35" s="14"/>
      <c r="R35" s="16">
        <v>0</v>
      </c>
      <c r="S35" s="9">
        <v>46054</v>
      </c>
      <c r="T35" s="16">
        <v>0</v>
      </c>
      <c r="U35" s="14">
        <v>1</v>
      </c>
      <c r="V35" s="16">
        <v>0</v>
      </c>
      <c r="W35" s="9" t="s">
        <v>34</v>
      </c>
      <c r="X35" s="9" t="s">
        <v>35</v>
      </c>
      <c r="Y35" s="9" t="s">
        <v>58</v>
      </c>
      <c r="Z35" s="9" t="s">
        <v>174</v>
      </c>
      <c r="AA35" s="9" t="s">
        <v>37</v>
      </c>
      <c r="AB35" s="9" t="s">
        <v>37</v>
      </c>
      <c r="AC35" s="9" t="s">
        <v>38</v>
      </c>
      <c r="AD35" s="7" t="str">
        <f t="shared" si="0"/>
        <v/>
      </c>
    </row>
    <row r="36" spans="1:49" s="26" customFormat="1" ht="35.1" customHeight="1" x14ac:dyDescent="0.25">
      <c r="A36" s="18" t="s">
        <v>159</v>
      </c>
      <c r="B36" s="19">
        <v>46054</v>
      </c>
      <c r="C36" s="19">
        <v>46054</v>
      </c>
      <c r="D36" s="18" t="s">
        <v>249</v>
      </c>
      <c r="E36" s="20">
        <v>0.54166666666666663</v>
      </c>
      <c r="F36" s="20">
        <v>0.66666666666666663</v>
      </c>
      <c r="G36" s="28">
        <v>1.7361111111111109E-4</v>
      </c>
      <c r="H36" s="29" t="s">
        <v>164</v>
      </c>
      <c r="I36" s="21">
        <v>0.59841493055555561</v>
      </c>
      <c r="J36" s="18" t="s">
        <v>105</v>
      </c>
      <c r="K36" s="18" t="s">
        <v>248</v>
      </c>
      <c r="L36" s="22">
        <v>1</v>
      </c>
      <c r="M36" s="22">
        <v>71006</v>
      </c>
      <c r="N36" s="18" t="s">
        <v>53</v>
      </c>
      <c r="O36" s="22" t="s">
        <v>161</v>
      </c>
      <c r="P36" s="23">
        <v>15</v>
      </c>
      <c r="Q36" s="22"/>
      <c r="R36" s="23">
        <v>15</v>
      </c>
      <c r="S36" s="24">
        <v>46054</v>
      </c>
      <c r="T36" s="23">
        <v>2.25</v>
      </c>
      <c r="U36" s="25">
        <v>4</v>
      </c>
      <c r="V36" s="23">
        <v>12.75</v>
      </c>
      <c r="W36" s="18" t="s">
        <v>47</v>
      </c>
      <c r="X36" s="18" t="s">
        <v>48</v>
      </c>
      <c r="Y36" s="18" t="s">
        <v>36</v>
      </c>
      <c r="Z36" s="18" t="s">
        <v>9</v>
      </c>
      <c r="AA36" s="18" t="s">
        <v>49</v>
      </c>
      <c r="AB36" s="18" t="s">
        <v>162</v>
      </c>
      <c r="AC36" s="18" t="s">
        <v>38</v>
      </c>
      <c r="AD36" s="7" t="str">
        <f t="shared" si="0"/>
        <v/>
      </c>
      <c r="AI36" s="27"/>
      <c r="AJ36" s="27"/>
      <c r="AK36" s="27"/>
      <c r="AL36" s="27"/>
      <c r="AM36" s="27"/>
      <c r="AN36" s="27"/>
      <c r="AO36" s="27"/>
      <c r="AP36" s="27"/>
      <c r="AQ36" s="27"/>
      <c r="AR36" s="27"/>
      <c r="AS36" s="27"/>
      <c r="AT36" s="27"/>
      <c r="AU36" s="27"/>
      <c r="AV36" s="27"/>
      <c r="AW36" s="27"/>
    </row>
    <row r="37" spans="1:49" s="26" customFormat="1" ht="35.1" customHeight="1" x14ac:dyDescent="0.25">
      <c r="A37" s="18" t="s">
        <v>159</v>
      </c>
      <c r="B37" s="19">
        <v>46054</v>
      </c>
      <c r="C37" s="19">
        <v>46054</v>
      </c>
      <c r="D37" s="18" t="s">
        <v>249</v>
      </c>
      <c r="E37" s="20">
        <v>0.54166666666666663</v>
      </c>
      <c r="F37" s="20">
        <v>0.66666666666666663</v>
      </c>
      <c r="G37" s="28">
        <v>1.7361111111111109E-4</v>
      </c>
      <c r="H37" s="29" t="s">
        <v>165</v>
      </c>
      <c r="I37" s="21">
        <v>0.59893599537037034</v>
      </c>
      <c r="J37" s="18" t="s">
        <v>105</v>
      </c>
      <c r="K37" s="18" t="s">
        <v>248</v>
      </c>
      <c r="L37" s="22">
        <v>1</v>
      </c>
      <c r="M37" s="22">
        <v>71006</v>
      </c>
      <c r="N37" s="18" t="s">
        <v>53</v>
      </c>
      <c r="O37" s="22" t="s">
        <v>161</v>
      </c>
      <c r="P37" s="23">
        <v>15</v>
      </c>
      <c r="Q37" s="22"/>
      <c r="R37" s="23">
        <v>15</v>
      </c>
      <c r="S37" s="24">
        <v>46054</v>
      </c>
      <c r="T37" s="23">
        <v>2.25</v>
      </c>
      <c r="U37" s="25">
        <v>4</v>
      </c>
      <c r="V37" s="23">
        <v>12.75</v>
      </c>
      <c r="W37" s="18" t="s">
        <v>47</v>
      </c>
      <c r="X37" s="18" t="s">
        <v>48</v>
      </c>
      <c r="Y37" s="18" t="s">
        <v>36</v>
      </c>
      <c r="Z37" s="18" t="s">
        <v>9</v>
      </c>
      <c r="AA37" s="18" t="s">
        <v>49</v>
      </c>
      <c r="AB37" s="18" t="s">
        <v>162</v>
      </c>
      <c r="AC37" s="18" t="s">
        <v>38</v>
      </c>
      <c r="AD37" s="7" t="str">
        <f t="shared" si="0"/>
        <v/>
      </c>
    </row>
    <row r="38" spans="1:49" s="26" customFormat="1" ht="35.1" customHeight="1" x14ac:dyDescent="0.25">
      <c r="A38" s="18" t="s">
        <v>106</v>
      </c>
      <c r="B38" s="19">
        <v>46054</v>
      </c>
      <c r="C38" s="19">
        <v>46054</v>
      </c>
      <c r="D38" s="18" t="s">
        <v>249</v>
      </c>
      <c r="E38" s="20">
        <v>0.54166666666666663</v>
      </c>
      <c r="F38" s="20">
        <v>0.66666666666666663</v>
      </c>
      <c r="G38" s="20">
        <v>3.4722222222222218E-4</v>
      </c>
      <c r="H38" s="18" t="s">
        <v>107</v>
      </c>
      <c r="I38" s="21">
        <v>0.60489872685185186</v>
      </c>
      <c r="J38" s="18" t="s">
        <v>105</v>
      </c>
      <c r="K38" s="18" t="s">
        <v>248</v>
      </c>
      <c r="L38" s="22">
        <v>1</v>
      </c>
      <c r="M38" s="22">
        <v>58166</v>
      </c>
      <c r="N38" s="18" t="s">
        <v>53</v>
      </c>
      <c r="O38" s="22" t="s">
        <v>108</v>
      </c>
      <c r="P38" s="23">
        <v>29.411764705882355</v>
      </c>
      <c r="Q38" s="22"/>
      <c r="R38" s="23">
        <v>29.411764705882355</v>
      </c>
      <c r="S38" s="24">
        <v>46054</v>
      </c>
      <c r="T38" s="23">
        <v>4.4117647058823533</v>
      </c>
      <c r="U38" s="25">
        <v>4</v>
      </c>
      <c r="V38" s="23">
        <v>25</v>
      </c>
      <c r="W38" s="18" t="s">
        <v>34</v>
      </c>
      <c r="X38" s="18" t="s">
        <v>48</v>
      </c>
      <c r="Y38" s="18" t="s">
        <v>36</v>
      </c>
      <c r="Z38" s="18" t="s">
        <v>9</v>
      </c>
      <c r="AA38" s="18" t="s">
        <v>49</v>
      </c>
      <c r="AB38" s="18" t="s">
        <v>109</v>
      </c>
      <c r="AC38" s="18" t="s">
        <v>38</v>
      </c>
      <c r="AD38" s="7" t="str">
        <f t="shared" si="0"/>
        <v/>
      </c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</row>
    <row r="39" spans="1:49" s="26" customFormat="1" ht="35.1" customHeight="1" x14ac:dyDescent="0.25">
      <c r="A39" s="18" t="s">
        <v>106</v>
      </c>
      <c r="B39" s="19">
        <v>46054</v>
      </c>
      <c r="C39" s="19">
        <v>46054</v>
      </c>
      <c r="D39" s="18" t="s">
        <v>249</v>
      </c>
      <c r="E39" s="20">
        <v>0.54166666666666663</v>
      </c>
      <c r="F39" s="20">
        <v>0.66666666666666663</v>
      </c>
      <c r="G39" s="20">
        <v>3.4722222222222218E-4</v>
      </c>
      <c r="H39" s="18" t="s">
        <v>107</v>
      </c>
      <c r="I39" s="21">
        <v>0.62415659722222216</v>
      </c>
      <c r="J39" s="18" t="s">
        <v>105</v>
      </c>
      <c r="K39" s="18" t="s">
        <v>248</v>
      </c>
      <c r="L39" s="22">
        <v>1</v>
      </c>
      <c r="M39" s="22">
        <v>58167</v>
      </c>
      <c r="N39" s="18" t="s">
        <v>46</v>
      </c>
      <c r="O39" s="22" t="s">
        <v>108</v>
      </c>
      <c r="P39" s="23">
        <v>0</v>
      </c>
      <c r="Q39" s="22"/>
      <c r="R39" s="23">
        <v>0</v>
      </c>
      <c r="S39" s="24">
        <v>46054</v>
      </c>
      <c r="T39" s="23">
        <v>0</v>
      </c>
      <c r="U39" s="25">
        <v>4</v>
      </c>
      <c r="V39" s="23">
        <v>0</v>
      </c>
      <c r="W39" s="18" t="s">
        <v>34</v>
      </c>
      <c r="X39" s="18" t="s">
        <v>48</v>
      </c>
      <c r="Y39" s="18" t="s">
        <v>36</v>
      </c>
      <c r="Z39" s="18" t="s">
        <v>9</v>
      </c>
      <c r="AA39" s="18" t="s">
        <v>49</v>
      </c>
      <c r="AB39" s="18" t="s">
        <v>109</v>
      </c>
      <c r="AC39" s="18" t="s">
        <v>38</v>
      </c>
      <c r="AD39" s="7" t="str">
        <f t="shared" si="0"/>
        <v/>
      </c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</row>
    <row r="40" spans="1:49" s="26" customFormat="1" ht="35.1" customHeight="1" x14ac:dyDescent="0.25">
      <c r="A40" s="9" t="s">
        <v>259</v>
      </c>
      <c r="B40" s="10">
        <v>46054</v>
      </c>
      <c r="C40" s="10">
        <v>46054</v>
      </c>
      <c r="D40" s="11" t="s">
        <v>249</v>
      </c>
      <c r="E40" s="12">
        <v>0.625</v>
      </c>
      <c r="F40" s="12">
        <v>0.66666666666666663</v>
      </c>
      <c r="G40" s="12">
        <v>4.1666666666666664E-2</v>
      </c>
      <c r="H40" s="9" t="s">
        <v>260</v>
      </c>
      <c r="I40" s="13"/>
      <c r="J40" s="9" t="s">
        <v>105</v>
      </c>
      <c r="K40" s="9"/>
      <c r="L40" s="14">
        <v>1</v>
      </c>
      <c r="M40" s="14">
        <v>1</v>
      </c>
      <c r="N40" s="9" t="s">
        <v>33</v>
      </c>
      <c r="O40" s="9"/>
      <c r="P40" s="16">
        <v>0</v>
      </c>
      <c r="Q40" s="14"/>
      <c r="R40" s="16">
        <v>0</v>
      </c>
      <c r="S40" s="9">
        <v>46054</v>
      </c>
      <c r="T40" s="16">
        <v>0</v>
      </c>
      <c r="U40" s="14">
        <v>1</v>
      </c>
      <c r="V40" s="16">
        <v>0</v>
      </c>
      <c r="W40" s="9" t="s">
        <v>34</v>
      </c>
      <c r="X40" s="9" t="s">
        <v>42</v>
      </c>
      <c r="Y40" s="9" t="s">
        <v>58</v>
      </c>
      <c r="Z40" s="9" t="s">
        <v>174</v>
      </c>
      <c r="AA40" s="9" t="s">
        <v>37</v>
      </c>
      <c r="AB40" s="9" t="s">
        <v>37</v>
      </c>
      <c r="AC40" s="9" t="s">
        <v>38</v>
      </c>
      <c r="AD40" s="7" t="str">
        <f t="shared" si="0"/>
        <v/>
      </c>
    </row>
    <row r="41" spans="1:49" s="26" customFormat="1" ht="35.1" customHeight="1" x14ac:dyDescent="0.25">
      <c r="A41" s="18" t="s">
        <v>159</v>
      </c>
      <c r="B41" s="19">
        <v>46054</v>
      </c>
      <c r="C41" s="19">
        <v>46054</v>
      </c>
      <c r="D41" s="18" t="s">
        <v>249</v>
      </c>
      <c r="E41" s="20">
        <v>0.54166666666666663</v>
      </c>
      <c r="F41" s="20">
        <v>0.66666666666666663</v>
      </c>
      <c r="G41" s="28">
        <v>1.7361111111111109E-4</v>
      </c>
      <c r="H41" s="29" t="s">
        <v>160</v>
      </c>
      <c r="I41" s="21">
        <v>0.63349699074074073</v>
      </c>
      <c r="J41" s="18" t="s">
        <v>105</v>
      </c>
      <c r="K41" s="18" t="s">
        <v>260</v>
      </c>
      <c r="L41" s="22">
        <v>1</v>
      </c>
      <c r="M41" s="22">
        <v>71011</v>
      </c>
      <c r="N41" s="18" t="s">
        <v>46</v>
      </c>
      <c r="O41" s="22" t="s">
        <v>161</v>
      </c>
      <c r="P41" s="23">
        <v>0</v>
      </c>
      <c r="Q41" s="22"/>
      <c r="R41" s="23">
        <v>0</v>
      </c>
      <c r="S41" s="24">
        <v>46054</v>
      </c>
      <c r="T41" s="23">
        <v>0</v>
      </c>
      <c r="U41" s="25">
        <v>4</v>
      </c>
      <c r="V41" s="23">
        <v>0</v>
      </c>
      <c r="W41" s="18" t="s">
        <v>47</v>
      </c>
      <c r="X41" s="18" t="s">
        <v>48</v>
      </c>
      <c r="Y41" s="18" t="s">
        <v>36</v>
      </c>
      <c r="Z41" s="18" t="s">
        <v>9</v>
      </c>
      <c r="AA41" s="18" t="s">
        <v>49</v>
      </c>
      <c r="AB41" s="18" t="s">
        <v>162</v>
      </c>
      <c r="AC41" s="18" t="s">
        <v>38</v>
      </c>
      <c r="AD41" s="7" t="str">
        <f t="shared" si="0"/>
        <v/>
      </c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</row>
    <row r="42" spans="1:49" s="26" customFormat="1" ht="35.1" customHeight="1" x14ac:dyDescent="0.25">
      <c r="A42" s="18" t="s">
        <v>159</v>
      </c>
      <c r="B42" s="19">
        <v>46054</v>
      </c>
      <c r="C42" s="19">
        <v>46054</v>
      </c>
      <c r="D42" s="18" t="s">
        <v>249</v>
      </c>
      <c r="E42" s="20">
        <v>0.54166666666666663</v>
      </c>
      <c r="F42" s="20">
        <v>0.66666666666666663</v>
      </c>
      <c r="G42" s="28">
        <v>1.7361111111111109E-4</v>
      </c>
      <c r="H42" s="29" t="s">
        <v>163</v>
      </c>
      <c r="I42" s="21">
        <v>0.63505949074074075</v>
      </c>
      <c r="J42" s="18" t="s">
        <v>105</v>
      </c>
      <c r="K42" s="18" t="s">
        <v>260</v>
      </c>
      <c r="L42" s="22">
        <v>1</v>
      </c>
      <c r="M42" s="22">
        <v>71011</v>
      </c>
      <c r="N42" s="18" t="s">
        <v>46</v>
      </c>
      <c r="O42" s="22" t="s">
        <v>161</v>
      </c>
      <c r="P42" s="23">
        <v>0</v>
      </c>
      <c r="Q42" s="22"/>
      <c r="R42" s="23">
        <v>0</v>
      </c>
      <c r="S42" s="24">
        <v>46054</v>
      </c>
      <c r="T42" s="23">
        <v>0</v>
      </c>
      <c r="U42" s="25">
        <v>4</v>
      </c>
      <c r="V42" s="23">
        <v>0</v>
      </c>
      <c r="W42" s="18" t="s">
        <v>47</v>
      </c>
      <c r="X42" s="18" t="s">
        <v>48</v>
      </c>
      <c r="Y42" s="18" t="s">
        <v>36</v>
      </c>
      <c r="Z42" s="18" t="s">
        <v>9</v>
      </c>
      <c r="AA42" s="18" t="s">
        <v>49</v>
      </c>
      <c r="AB42" s="18" t="s">
        <v>162</v>
      </c>
      <c r="AC42" s="18" t="s">
        <v>38</v>
      </c>
      <c r="AD42" s="7" t="str">
        <f t="shared" si="0"/>
        <v/>
      </c>
      <c r="AI42" s="27"/>
      <c r="AJ42" s="27"/>
      <c r="AK42" s="27"/>
      <c r="AL42" s="27"/>
      <c r="AM42" s="27"/>
      <c r="AN42" s="27"/>
      <c r="AO42" s="27"/>
      <c r="AP42" s="27"/>
      <c r="AQ42" s="27"/>
      <c r="AR42" s="27"/>
      <c r="AS42" s="27"/>
      <c r="AT42" s="27"/>
      <c r="AU42" s="27"/>
      <c r="AV42" s="27"/>
      <c r="AW42" s="27"/>
    </row>
    <row r="43" spans="1:49" s="26" customFormat="1" ht="35.1" customHeight="1" x14ac:dyDescent="0.25">
      <c r="A43" s="18" t="s">
        <v>106</v>
      </c>
      <c r="B43" s="19">
        <v>46054</v>
      </c>
      <c r="C43" s="19">
        <v>46054</v>
      </c>
      <c r="D43" s="18" t="s">
        <v>249</v>
      </c>
      <c r="E43" s="20">
        <v>0.54166666666666663</v>
      </c>
      <c r="F43" s="20">
        <v>0.66666666666666663</v>
      </c>
      <c r="G43" s="20">
        <v>3.4722222222222218E-4</v>
      </c>
      <c r="H43" s="18" t="s">
        <v>107</v>
      </c>
      <c r="I43" s="21">
        <v>0.640290625</v>
      </c>
      <c r="J43" s="18" t="s">
        <v>105</v>
      </c>
      <c r="K43" s="18" t="s">
        <v>260</v>
      </c>
      <c r="L43" s="22">
        <v>1</v>
      </c>
      <c r="M43" s="22">
        <v>58166</v>
      </c>
      <c r="N43" s="18" t="s">
        <v>53</v>
      </c>
      <c r="O43" s="22" t="s">
        <v>108</v>
      </c>
      <c r="P43" s="23">
        <v>29.411764705882355</v>
      </c>
      <c r="Q43" s="22"/>
      <c r="R43" s="23">
        <v>29.411764705882355</v>
      </c>
      <c r="S43" s="24">
        <v>46054</v>
      </c>
      <c r="T43" s="23">
        <v>4.4117647058823533</v>
      </c>
      <c r="U43" s="25">
        <v>4</v>
      </c>
      <c r="V43" s="23">
        <v>25</v>
      </c>
      <c r="W43" s="18" t="s">
        <v>34</v>
      </c>
      <c r="X43" s="18" t="s">
        <v>48</v>
      </c>
      <c r="Y43" s="18" t="s">
        <v>36</v>
      </c>
      <c r="Z43" s="18" t="s">
        <v>9</v>
      </c>
      <c r="AA43" s="18" t="s">
        <v>49</v>
      </c>
      <c r="AB43" s="18" t="s">
        <v>109</v>
      </c>
      <c r="AC43" s="18" t="s">
        <v>38</v>
      </c>
      <c r="AD43" s="7" t="str">
        <f t="shared" si="0"/>
        <v/>
      </c>
      <c r="AI43" s="27"/>
      <c r="AJ43" s="27"/>
      <c r="AK43" s="27"/>
      <c r="AL43" s="27"/>
      <c r="AM43" s="27"/>
      <c r="AN43" s="27"/>
      <c r="AO43" s="27"/>
      <c r="AP43" s="27"/>
      <c r="AQ43" s="27"/>
      <c r="AR43" s="27"/>
      <c r="AS43" s="27"/>
      <c r="AT43" s="27"/>
      <c r="AU43" s="27"/>
      <c r="AV43" s="27"/>
      <c r="AW43" s="27"/>
    </row>
    <row r="44" spans="1:49" s="26" customFormat="1" ht="35.1" customHeight="1" x14ac:dyDescent="0.25">
      <c r="A44" s="9" t="s">
        <v>118</v>
      </c>
      <c r="B44" s="10">
        <v>46054</v>
      </c>
      <c r="C44" s="10">
        <v>46054</v>
      </c>
      <c r="D44" s="11" t="s">
        <v>249</v>
      </c>
      <c r="E44" s="12">
        <v>0.66666666666666663</v>
      </c>
      <c r="F44" s="12">
        <v>0.70833333333333337</v>
      </c>
      <c r="G44" s="12">
        <v>4.1666666666666664E-2</v>
      </c>
      <c r="H44" s="9" t="s">
        <v>200</v>
      </c>
      <c r="I44" s="13" t="s">
        <v>226</v>
      </c>
      <c r="J44" s="9" t="s">
        <v>120</v>
      </c>
      <c r="K44" s="9"/>
      <c r="L44" s="14">
        <v>1</v>
      </c>
      <c r="M44" s="14">
        <v>1</v>
      </c>
      <c r="N44" s="9" t="s">
        <v>33</v>
      </c>
      <c r="O44" s="9"/>
      <c r="P44" s="16">
        <v>0</v>
      </c>
      <c r="Q44" s="14"/>
      <c r="R44" s="16">
        <v>0</v>
      </c>
      <c r="S44" s="9">
        <v>46054</v>
      </c>
      <c r="T44" s="16">
        <v>0</v>
      </c>
      <c r="U44" s="14">
        <v>2</v>
      </c>
      <c r="V44" s="16">
        <v>0</v>
      </c>
      <c r="W44" s="9" t="s">
        <v>34</v>
      </c>
      <c r="X44" s="9" t="s">
        <v>42</v>
      </c>
      <c r="Y44" s="9" t="s">
        <v>36</v>
      </c>
      <c r="Z44" s="9" t="s">
        <v>43</v>
      </c>
      <c r="AA44" s="9" t="s">
        <v>37</v>
      </c>
      <c r="AB44" s="9" t="s">
        <v>37</v>
      </c>
      <c r="AC44" s="9" t="s">
        <v>38</v>
      </c>
      <c r="AD44" s="7" t="str">
        <f t="shared" si="0"/>
        <v/>
      </c>
    </row>
    <row r="45" spans="1:49" s="26" customFormat="1" ht="35.1" customHeight="1" x14ac:dyDescent="0.25">
      <c r="A45" s="9" t="s">
        <v>118</v>
      </c>
      <c r="B45" s="10">
        <v>46054</v>
      </c>
      <c r="C45" s="10">
        <v>46054</v>
      </c>
      <c r="D45" s="11" t="s">
        <v>249</v>
      </c>
      <c r="E45" s="12">
        <v>0.70833333333333337</v>
      </c>
      <c r="F45" s="12">
        <v>0.75</v>
      </c>
      <c r="G45" s="12">
        <v>4.1666666666666664E-2</v>
      </c>
      <c r="H45" s="9" t="s">
        <v>213</v>
      </c>
      <c r="I45" s="13" t="s">
        <v>226</v>
      </c>
      <c r="J45" s="9" t="s">
        <v>120</v>
      </c>
      <c r="K45" s="9"/>
      <c r="L45" s="14">
        <v>1</v>
      </c>
      <c r="M45" s="14">
        <v>1</v>
      </c>
      <c r="N45" s="9" t="s">
        <v>33</v>
      </c>
      <c r="O45" s="9"/>
      <c r="P45" s="16">
        <v>0</v>
      </c>
      <c r="Q45" s="14"/>
      <c r="R45" s="16">
        <v>0</v>
      </c>
      <c r="S45" s="9">
        <v>46054</v>
      </c>
      <c r="T45" s="16">
        <v>0</v>
      </c>
      <c r="U45" s="14">
        <v>2</v>
      </c>
      <c r="V45" s="16">
        <v>0</v>
      </c>
      <c r="W45" s="9" t="s">
        <v>34</v>
      </c>
      <c r="X45" s="9" t="s">
        <v>42</v>
      </c>
      <c r="Y45" s="9" t="s">
        <v>36</v>
      </c>
      <c r="Z45" s="9" t="s">
        <v>43</v>
      </c>
      <c r="AA45" s="9" t="s">
        <v>37</v>
      </c>
      <c r="AB45" s="9" t="s">
        <v>37</v>
      </c>
      <c r="AC45" s="9" t="s">
        <v>38</v>
      </c>
      <c r="AD45" s="7" t="str">
        <f t="shared" si="0"/>
        <v/>
      </c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</row>
    <row r="46" spans="1:49" s="26" customFormat="1" ht="35.1" customHeight="1" x14ac:dyDescent="0.25">
      <c r="A46" s="9" t="s">
        <v>237</v>
      </c>
      <c r="B46" s="10">
        <v>46054</v>
      </c>
      <c r="C46" s="10">
        <v>46054</v>
      </c>
      <c r="D46" s="11" t="s">
        <v>249</v>
      </c>
      <c r="E46" s="12">
        <v>0.75</v>
      </c>
      <c r="F46" s="12">
        <v>0.79166666666666663</v>
      </c>
      <c r="G46" s="12">
        <v>4.1666666666666664E-2</v>
      </c>
      <c r="H46" s="9" t="s">
        <v>238</v>
      </c>
      <c r="I46" s="13"/>
      <c r="J46" s="9" t="s">
        <v>239</v>
      </c>
      <c r="K46" s="9"/>
      <c r="L46" s="14">
        <v>1</v>
      </c>
      <c r="M46" s="14">
        <v>1</v>
      </c>
      <c r="N46" s="9" t="s">
        <v>33</v>
      </c>
      <c r="O46" s="9"/>
      <c r="P46" s="16">
        <v>0</v>
      </c>
      <c r="Q46" s="14"/>
      <c r="R46" s="16">
        <v>0</v>
      </c>
      <c r="S46" s="9">
        <v>46054</v>
      </c>
      <c r="T46" s="16">
        <v>0</v>
      </c>
      <c r="U46" s="14">
        <v>2</v>
      </c>
      <c r="V46" s="16">
        <v>0</v>
      </c>
      <c r="W46" s="9" t="s">
        <v>34</v>
      </c>
      <c r="X46" s="9" t="s">
        <v>42</v>
      </c>
      <c r="Y46" s="9" t="s">
        <v>36</v>
      </c>
      <c r="Z46" s="9" t="s">
        <v>43</v>
      </c>
      <c r="AA46" s="9" t="s">
        <v>37</v>
      </c>
      <c r="AB46" s="9" t="s">
        <v>37</v>
      </c>
      <c r="AC46" s="9" t="s">
        <v>38</v>
      </c>
      <c r="AD46" s="7" t="str">
        <f t="shared" si="0"/>
        <v/>
      </c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</row>
    <row r="47" spans="1:49" s="26" customFormat="1" ht="35.1" customHeight="1" x14ac:dyDescent="0.25">
      <c r="A47" s="18" t="s">
        <v>61</v>
      </c>
      <c r="B47" s="19">
        <v>46054</v>
      </c>
      <c r="C47" s="19">
        <v>46054</v>
      </c>
      <c r="D47" s="18" t="s">
        <v>249</v>
      </c>
      <c r="E47" s="20">
        <v>0.75</v>
      </c>
      <c r="F47" s="20">
        <v>0.83333333333333337</v>
      </c>
      <c r="G47" s="20">
        <v>3.4722222222222218E-4</v>
      </c>
      <c r="H47" s="18" t="s">
        <v>240</v>
      </c>
      <c r="I47" s="21">
        <v>0.76218773148148156</v>
      </c>
      <c r="J47" s="18" t="s">
        <v>241</v>
      </c>
      <c r="K47" s="18" t="s">
        <v>237</v>
      </c>
      <c r="L47" s="22">
        <v>1</v>
      </c>
      <c r="M47" s="22">
        <v>64418</v>
      </c>
      <c r="N47" s="18" t="s">
        <v>46</v>
      </c>
      <c r="O47" s="22" t="s">
        <v>63</v>
      </c>
      <c r="P47" s="23">
        <v>0</v>
      </c>
      <c r="Q47" s="22"/>
      <c r="R47" s="23">
        <v>0</v>
      </c>
      <c r="S47" s="24">
        <v>46054</v>
      </c>
      <c r="T47" s="23">
        <v>0</v>
      </c>
      <c r="U47" s="25">
        <v>4</v>
      </c>
      <c r="V47" s="23">
        <v>0</v>
      </c>
      <c r="W47" s="18" t="s">
        <v>47</v>
      </c>
      <c r="X47" s="18" t="s">
        <v>48</v>
      </c>
      <c r="Y47" s="18" t="s">
        <v>36</v>
      </c>
      <c r="Z47" s="18" t="s">
        <v>9</v>
      </c>
      <c r="AA47" s="18" t="s">
        <v>49</v>
      </c>
      <c r="AB47" s="18" t="s">
        <v>64</v>
      </c>
      <c r="AC47" s="18" t="s">
        <v>38</v>
      </c>
      <c r="AD47" s="7" t="str">
        <f t="shared" si="0"/>
        <v/>
      </c>
      <c r="AI47" s="27"/>
      <c r="AJ47" s="27"/>
      <c r="AK47" s="27"/>
      <c r="AL47" s="27"/>
      <c r="AM47" s="27"/>
      <c r="AN47" s="27"/>
      <c r="AO47" s="27"/>
      <c r="AP47" s="27"/>
      <c r="AQ47" s="27"/>
      <c r="AR47" s="27"/>
      <c r="AS47" s="27"/>
      <c r="AT47" s="27"/>
      <c r="AU47" s="27"/>
      <c r="AV47" s="27"/>
      <c r="AW47" s="27"/>
    </row>
    <row r="48" spans="1:49" s="26" customFormat="1" ht="35.1" customHeight="1" x14ac:dyDescent="0.25">
      <c r="A48" s="18" t="s">
        <v>182</v>
      </c>
      <c r="B48" s="19">
        <v>46054</v>
      </c>
      <c r="C48" s="19">
        <v>46054</v>
      </c>
      <c r="D48" s="18" t="s">
        <v>249</v>
      </c>
      <c r="E48" s="20">
        <v>0.75</v>
      </c>
      <c r="F48" s="20">
        <v>0.83333333333333337</v>
      </c>
      <c r="G48" s="20">
        <v>3.4722222222222218E-4</v>
      </c>
      <c r="H48" s="18" t="s">
        <v>261</v>
      </c>
      <c r="I48" s="21">
        <v>0.76288240740740731</v>
      </c>
      <c r="J48" s="18" t="s">
        <v>241</v>
      </c>
      <c r="K48" s="18" t="s">
        <v>237</v>
      </c>
      <c r="L48" s="22">
        <v>1</v>
      </c>
      <c r="M48" s="22">
        <v>71444</v>
      </c>
      <c r="N48" s="18" t="s">
        <v>46</v>
      </c>
      <c r="O48" s="22" t="s">
        <v>262</v>
      </c>
      <c r="P48" s="23">
        <v>0</v>
      </c>
      <c r="Q48" s="22"/>
      <c r="R48" s="23">
        <v>0</v>
      </c>
      <c r="S48" s="24">
        <v>46054</v>
      </c>
      <c r="T48" s="23">
        <v>0</v>
      </c>
      <c r="U48" s="25">
        <v>4</v>
      </c>
      <c r="V48" s="23">
        <v>0</v>
      </c>
      <c r="W48" s="18" t="s">
        <v>47</v>
      </c>
      <c r="X48" s="18" t="s">
        <v>48</v>
      </c>
      <c r="Y48" s="18" t="s">
        <v>58</v>
      </c>
      <c r="Z48" s="18" t="s">
        <v>9</v>
      </c>
      <c r="AA48" s="18" t="s">
        <v>49</v>
      </c>
      <c r="AB48" s="18" t="s">
        <v>263</v>
      </c>
      <c r="AC48" s="18" t="s">
        <v>38</v>
      </c>
      <c r="AD48" s="7" t="str">
        <f t="shared" si="0"/>
        <v/>
      </c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</row>
    <row r="49" spans="1:49" s="26" customFormat="1" ht="35.1" customHeight="1" x14ac:dyDescent="0.25">
      <c r="A49" s="18" t="s">
        <v>44</v>
      </c>
      <c r="B49" s="19">
        <v>46054</v>
      </c>
      <c r="C49" s="19">
        <v>46054</v>
      </c>
      <c r="D49" s="18" t="s">
        <v>249</v>
      </c>
      <c r="E49" s="20">
        <v>0.75</v>
      </c>
      <c r="F49" s="20">
        <v>0.83333333333333337</v>
      </c>
      <c r="G49" s="20">
        <v>3.4722222222222218E-4</v>
      </c>
      <c r="H49" s="18" t="s">
        <v>244</v>
      </c>
      <c r="I49" s="21">
        <v>0.76253518518518515</v>
      </c>
      <c r="J49" s="18" t="s">
        <v>241</v>
      </c>
      <c r="K49" s="18" t="s">
        <v>237</v>
      </c>
      <c r="L49" s="22">
        <v>1</v>
      </c>
      <c r="M49" s="22">
        <v>70985</v>
      </c>
      <c r="N49" s="18" t="s">
        <v>53</v>
      </c>
      <c r="O49" s="22" t="str">
        <f>AC49</f>
        <v>CVC</v>
      </c>
      <c r="P49" s="23">
        <v>58.82</v>
      </c>
      <c r="Q49" s="22"/>
      <c r="R49" s="23">
        <v>58.82</v>
      </c>
      <c r="S49" s="24">
        <v>46054</v>
      </c>
      <c r="T49" s="23">
        <v>4.4115000000000002</v>
      </c>
      <c r="U49" s="25">
        <v>4</v>
      </c>
      <c r="V49" s="23">
        <v>54.408500000000004</v>
      </c>
      <c r="W49" s="18" t="s">
        <v>47</v>
      </c>
      <c r="X49" s="18" t="s">
        <v>48</v>
      </c>
      <c r="Y49" s="18" t="s">
        <v>36</v>
      </c>
      <c r="Z49" s="18" t="s">
        <v>9</v>
      </c>
      <c r="AA49" s="18" t="s">
        <v>49</v>
      </c>
      <c r="AB49" s="18" t="s">
        <v>50</v>
      </c>
      <c r="AC49" s="18" t="s">
        <v>38</v>
      </c>
      <c r="AD49" s="7" t="str">
        <f t="shared" si="0"/>
        <v/>
      </c>
    </row>
    <row r="50" spans="1:49" s="26" customFormat="1" ht="35.1" customHeight="1" x14ac:dyDescent="0.25">
      <c r="A50" s="18" t="s">
        <v>186</v>
      </c>
      <c r="B50" s="19">
        <v>46054</v>
      </c>
      <c r="C50" s="19">
        <v>46054</v>
      </c>
      <c r="D50" s="18" t="s">
        <v>249</v>
      </c>
      <c r="E50" s="20">
        <v>0.75</v>
      </c>
      <c r="F50" s="20">
        <v>0.83333333333333337</v>
      </c>
      <c r="G50" s="20">
        <v>3.4722222222222218E-4</v>
      </c>
      <c r="H50" s="18" t="s">
        <v>264</v>
      </c>
      <c r="I50" s="21">
        <v>0.76613530092592586</v>
      </c>
      <c r="J50" s="18" t="s">
        <v>241</v>
      </c>
      <c r="K50" s="18" t="s">
        <v>237</v>
      </c>
      <c r="L50" s="22">
        <v>1</v>
      </c>
      <c r="M50" s="22">
        <v>59762</v>
      </c>
      <c r="N50" s="18" t="s">
        <v>53</v>
      </c>
      <c r="O50" s="22"/>
      <c r="P50" s="23">
        <v>50</v>
      </c>
      <c r="Q50" s="22"/>
      <c r="R50" s="23">
        <v>50</v>
      </c>
      <c r="S50" s="24">
        <v>46054</v>
      </c>
      <c r="T50" s="23">
        <v>0</v>
      </c>
      <c r="U50" s="25">
        <v>4</v>
      </c>
      <c r="V50" s="23">
        <v>50</v>
      </c>
      <c r="W50" s="18" t="s">
        <v>47</v>
      </c>
      <c r="X50" s="18" t="s">
        <v>48</v>
      </c>
      <c r="Y50" s="18" t="s">
        <v>36</v>
      </c>
      <c r="Z50" s="18" t="s">
        <v>9</v>
      </c>
      <c r="AA50" s="18" t="s">
        <v>49</v>
      </c>
      <c r="AB50" s="18" t="s">
        <v>188</v>
      </c>
      <c r="AC50" s="18" t="s">
        <v>38</v>
      </c>
      <c r="AD50" s="7" t="str">
        <f t="shared" si="0"/>
        <v/>
      </c>
    </row>
    <row r="51" spans="1:49" s="26" customFormat="1" ht="35.1" customHeight="1" x14ac:dyDescent="0.25">
      <c r="A51" s="18" t="s">
        <v>182</v>
      </c>
      <c r="B51" s="19">
        <v>46054</v>
      </c>
      <c r="C51" s="19">
        <v>46054</v>
      </c>
      <c r="D51" s="18" t="s">
        <v>249</v>
      </c>
      <c r="E51" s="20">
        <v>0.75</v>
      </c>
      <c r="F51" s="20">
        <v>0.83333333333333337</v>
      </c>
      <c r="G51" s="20">
        <v>3.4722222222222218E-4</v>
      </c>
      <c r="H51" s="18" t="s">
        <v>265</v>
      </c>
      <c r="I51" s="21">
        <v>0.77368263888888877</v>
      </c>
      <c r="J51" s="18" t="s">
        <v>241</v>
      </c>
      <c r="K51" s="18" t="s">
        <v>237</v>
      </c>
      <c r="L51" s="22">
        <v>1</v>
      </c>
      <c r="M51" s="22">
        <v>71442</v>
      </c>
      <c r="N51" s="18" t="s">
        <v>53</v>
      </c>
      <c r="O51" s="22" t="s">
        <v>262</v>
      </c>
      <c r="P51" s="23">
        <v>52.941176470588239</v>
      </c>
      <c r="Q51" s="22"/>
      <c r="R51" s="23">
        <v>52.941176470588239</v>
      </c>
      <c r="S51" s="24">
        <v>46054</v>
      </c>
      <c r="T51" s="23">
        <v>7.9411764705882355</v>
      </c>
      <c r="U51" s="25">
        <v>4</v>
      </c>
      <c r="V51" s="23">
        <v>45</v>
      </c>
      <c r="W51" s="18" t="s">
        <v>47</v>
      </c>
      <c r="X51" s="18" t="s">
        <v>48</v>
      </c>
      <c r="Y51" s="18" t="s">
        <v>58</v>
      </c>
      <c r="Z51" s="18" t="s">
        <v>9</v>
      </c>
      <c r="AA51" s="18" t="s">
        <v>49</v>
      </c>
      <c r="AB51" s="18" t="s">
        <v>263</v>
      </c>
      <c r="AC51" s="18" t="s">
        <v>38</v>
      </c>
      <c r="AD51" s="7" t="str">
        <f t="shared" si="0"/>
        <v/>
      </c>
      <c r="AE51" s="33"/>
      <c r="AF51" s="33"/>
      <c r="AG51" s="33"/>
      <c r="AH51" s="33"/>
      <c r="AI51" s="30"/>
      <c r="AJ51" s="30"/>
      <c r="AK51" s="30"/>
      <c r="AL51" s="30"/>
      <c r="AM51" s="30"/>
      <c r="AN51" s="30"/>
      <c r="AO51" s="30"/>
      <c r="AP51" s="30"/>
      <c r="AQ51" s="30"/>
      <c r="AR51" s="30"/>
      <c r="AS51" s="30"/>
      <c r="AT51" s="30"/>
      <c r="AU51" s="30"/>
      <c r="AV51" s="30"/>
      <c r="AW51" s="30"/>
    </row>
    <row r="52" spans="1:49" s="26" customFormat="1" ht="35.1" customHeight="1" x14ac:dyDescent="0.25">
      <c r="A52" s="18" t="s">
        <v>159</v>
      </c>
      <c r="B52" s="19">
        <v>46054</v>
      </c>
      <c r="C52" s="19">
        <v>46054</v>
      </c>
      <c r="D52" s="18" t="s">
        <v>249</v>
      </c>
      <c r="E52" s="20">
        <v>0.75</v>
      </c>
      <c r="F52" s="20">
        <v>0.83333333333333337</v>
      </c>
      <c r="G52" s="28">
        <v>1.7361111111111109E-4</v>
      </c>
      <c r="H52" s="29" t="s">
        <v>160</v>
      </c>
      <c r="I52" s="21">
        <v>0.77840520833333338</v>
      </c>
      <c r="J52" s="18" t="s">
        <v>241</v>
      </c>
      <c r="K52" s="18" t="s">
        <v>237</v>
      </c>
      <c r="L52" s="22">
        <v>1</v>
      </c>
      <c r="M52" s="22">
        <v>71021</v>
      </c>
      <c r="N52" s="18" t="s">
        <v>53</v>
      </c>
      <c r="O52" s="22" t="s">
        <v>161</v>
      </c>
      <c r="P52" s="23">
        <v>15</v>
      </c>
      <c r="Q52" s="22"/>
      <c r="R52" s="23">
        <v>15</v>
      </c>
      <c r="S52" s="24">
        <v>46054</v>
      </c>
      <c r="T52" s="23">
        <v>2.25</v>
      </c>
      <c r="U52" s="25">
        <v>4</v>
      </c>
      <c r="V52" s="23">
        <v>12.75</v>
      </c>
      <c r="W52" s="18" t="s">
        <v>47</v>
      </c>
      <c r="X52" s="18" t="s">
        <v>48</v>
      </c>
      <c r="Y52" s="18" t="s">
        <v>36</v>
      </c>
      <c r="Z52" s="18" t="s">
        <v>9</v>
      </c>
      <c r="AA52" s="18" t="s">
        <v>49</v>
      </c>
      <c r="AB52" s="18" t="s">
        <v>162</v>
      </c>
      <c r="AC52" s="18" t="s">
        <v>38</v>
      </c>
      <c r="AD52" s="7" t="str">
        <f t="shared" si="0"/>
        <v/>
      </c>
    </row>
    <row r="53" spans="1:49" s="26" customFormat="1" ht="35.1" customHeight="1" x14ac:dyDescent="0.25">
      <c r="A53" s="18" t="s">
        <v>159</v>
      </c>
      <c r="B53" s="19">
        <v>46054</v>
      </c>
      <c r="C53" s="19">
        <v>46054</v>
      </c>
      <c r="D53" s="18" t="s">
        <v>249</v>
      </c>
      <c r="E53" s="20">
        <v>0.75</v>
      </c>
      <c r="F53" s="20">
        <v>0.83333333333333337</v>
      </c>
      <c r="G53" s="28">
        <v>1.7361111111111109E-4</v>
      </c>
      <c r="H53" s="29" t="s">
        <v>163</v>
      </c>
      <c r="I53" s="21">
        <v>0.77909988425925925</v>
      </c>
      <c r="J53" s="18" t="s">
        <v>241</v>
      </c>
      <c r="K53" s="18" t="s">
        <v>237</v>
      </c>
      <c r="L53" s="22">
        <v>1</v>
      </c>
      <c r="M53" s="22">
        <v>71021</v>
      </c>
      <c r="N53" s="18" t="s">
        <v>53</v>
      </c>
      <c r="O53" s="22" t="s">
        <v>161</v>
      </c>
      <c r="P53" s="23">
        <v>15</v>
      </c>
      <c r="Q53" s="22"/>
      <c r="R53" s="23">
        <v>15</v>
      </c>
      <c r="S53" s="24">
        <v>46054</v>
      </c>
      <c r="T53" s="23">
        <v>2.25</v>
      </c>
      <c r="U53" s="25">
        <v>4</v>
      </c>
      <c r="V53" s="23">
        <v>12.75</v>
      </c>
      <c r="W53" s="18" t="s">
        <v>47</v>
      </c>
      <c r="X53" s="18" t="s">
        <v>48</v>
      </c>
      <c r="Y53" s="18" t="s">
        <v>36</v>
      </c>
      <c r="Z53" s="18" t="s">
        <v>9</v>
      </c>
      <c r="AA53" s="18" t="s">
        <v>49</v>
      </c>
      <c r="AB53" s="18" t="s">
        <v>162</v>
      </c>
      <c r="AC53" s="18" t="s">
        <v>38</v>
      </c>
      <c r="AD53" s="7" t="str">
        <f t="shared" si="0"/>
        <v/>
      </c>
    </row>
    <row r="54" spans="1:49" s="26" customFormat="1" ht="35.1" customHeight="1" x14ac:dyDescent="0.25">
      <c r="A54" s="18" t="s">
        <v>61</v>
      </c>
      <c r="B54" s="19">
        <v>46054</v>
      </c>
      <c r="C54" s="19">
        <v>46054</v>
      </c>
      <c r="D54" s="18" t="s">
        <v>249</v>
      </c>
      <c r="E54" s="20">
        <v>0.75</v>
      </c>
      <c r="F54" s="20">
        <v>0.83333333333333337</v>
      </c>
      <c r="G54" s="20">
        <v>3.4722222222222218E-4</v>
      </c>
      <c r="H54" s="18" t="s">
        <v>240</v>
      </c>
      <c r="I54" s="21">
        <v>0.79124097222222223</v>
      </c>
      <c r="J54" s="18" t="s">
        <v>241</v>
      </c>
      <c r="K54" s="18" t="s">
        <v>237</v>
      </c>
      <c r="L54" s="22">
        <v>1</v>
      </c>
      <c r="M54" s="22">
        <v>64410</v>
      </c>
      <c r="N54" s="18" t="s">
        <v>53</v>
      </c>
      <c r="O54" s="22" t="s">
        <v>63</v>
      </c>
      <c r="P54" s="23">
        <v>30</v>
      </c>
      <c r="Q54" s="22"/>
      <c r="R54" s="23">
        <v>30</v>
      </c>
      <c r="S54" s="24">
        <v>46054</v>
      </c>
      <c r="T54" s="23">
        <v>4.5</v>
      </c>
      <c r="U54" s="25">
        <v>4</v>
      </c>
      <c r="V54" s="23">
        <v>25.5</v>
      </c>
      <c r="W54" s="18" t="s">
        <v>47</v>
      </c>
      <c r="X54" s="18" t="s">
        <v>48</v>
      </c>
      <c r="Y54" s="18" t="s">
        <v>36</v>
      </c>
      <c r="Z54" s="18" t="s">
        <v>9</v>
      </c>
      <c r="AA54" s="18" t="s">
        <v>49</v>
      </c>
      <c r="AB54" s="18" t="s">
        <v>64</v>
      </c>
      <c r="AC54" s="18" t="s">
        <v>38</v>
      </c>
      <c r="AD54" s="7" t="str">
        <f t="shared" si="0"/>
        <v/>
      </c>
      <c r="AI54" s="30"/>
      <c r="AJ54" s="30"/>
      <c r="AK54" s="30"/>
      <c r="AL54" s="30"/>
      <c r="AM54" s="30"/>
      <c r="AN54" s="30"/>
      <c r="AO54" s="30"/>
      <c r="AP54" s="30"/>
      <c r="AQ54" s="30"/>
      <c r="AR54" s="30"/>
      <c r="AS54" s="30"/>
      <c r="AT54" s="30"/>
      <c r="AU54" s="30"/>
      <c r="AV54" s="30"/>
      <c r="AW54" s="30"/>
    </row>
    <row r="55" spans="1:49" s="26" customFormat="1" ht="35.1" customHeight="1" x14ac:dyDescent="0.25">
      <c r="A55" s="9" t="s">
        <v>237</v>
      </c>
      <c r="B55" s="10">
        <v>46054</v>
      </c>
      <c r="C55" s="10">
        <v>46054</v>
      </c>
      <c r="D55" s="11" t="s">
        <v>249</v>
      </c>
      <c r="E55" s="12">
        <v>0.79166666666666663</v>
      </c>
      <c r="F55" s="12">
        <v>0.83333333333333337</v>
      </c>
      <c r="G55" s="12">
        <v>4.1666666666666664E-2</v>
      </c>
      <c r="H55" s="9" t="s">
        <v>247</v>
      </c>
      <c r="I55" s="13"/>
      <c r="J55" s="9" t="s">
        <v>239</v>
      </c>
      <c r="K55" s="9"/>
      <c r="L55" s="14">
        <v>1</v>
      </c>
      <c r="M55" s="14">
        <v>1</v>
      </c>
      <c r="N55" s="9" t="s">
        <v>33</v>
      </c>
      <c r="O55" s="9"/>
      <c r="P55" s="16">
        <v>0</v>
      </c>
      <c r="Q55" s="14"/>
      <c r="R55" s="16">
        <v>0</v>
      </c>
      <c r="S55" s="9">
        <v>46054</v>
      </c>
      <c r="T55" s="16">
        <v>0</v>
      </c>
      <c r="U55" s="14">
        <v>2</v>
      </c>
      <c r="V55" s="16">
        <v>0</v>
      </c>
      <c r="W55" s="9" t="s">
        <v>34</v>
      </c>
      <c r="X55" s="9" t="s">
        <v>42</v>
      </c>
      <c r="Y55" s="9" t="s">
        <v>36</v>
      </c>
      <c r="Z55" s="9" t="s">
        <v>43</v>
      </c>
      <c r="AA55" s="9" t="s">
        <v>37</v>
      </c>
      <c r="AB55" s="9" t="s">
        <v>37</v>
      </c>
      <c r="AC55" s="9" t="s">
        <v>38</v>
      </c>
      <c r="AD55" s="7" t="str">
        <f t="shared" si="0"/>
        <v/>
      </c>
      <c r="AI55" s="27"/>
      <c r="AJ55" s="27"/>
      <c r="AK55" s="27"/>
      <c r="AL55" s="27"/>
      <c r="AM55" s="27"/>
      <c r="AN55" s="27"/>
      <c r="AO55" s="27"/>
      <c r="AP55" s="27"/>
      <c r="AQ55" s="27"/>
      <c r="AR55" s="27"/>
      <c r="AS55" s="27"/>
      <c r="AT55" s="27"/>
      <c r="AU55" s="27"/>
      <c r="AV55" s="27"/>
      <c r="AW55" s="27"/>
    </row>
    <row r="56" spans="1:49" s="26" customFormat="1" ht="35.1" customHeight="1" x14ac:dyDescent="0.25">
      <c r="A56" s="18" t="s">
        <v>44</v>
      </c>
      <c r="B56" s="19">
        <v>46054</v>
      </c>
      <c r="C56" s="19">
        <v>46054</v>
      </c>
      <c r="D56" s="18" t="s">
        <v>249</v>
      </c>
      <c r="E56" s="20">
        <v>0.75</v>
      </c>
      <c r="F56" s="20">
        <v>0.83333333333333337</v>
      </c>
      <c r="G56" s="20">
        <v>3.4722222222222218E-4</v>
      </c>
      <c r="H56" s="18" t="s">
        <v>244</v>
      </c>
      <c r="I56" s="21">
        <v>0.79346307870370381</v>
      </c>
      <c r="J56" s="18" t="s">
        <v>241</v>
      </c>
      <c r="K56" s="18" t="s">
        <v>247</v>
      </c>
      <c r="L56" s="22">
        <v>1</v>
      </c>
      <c r="M56" s="22">
        <v>70987</v>
      </c>
      <c r="N56" s="18" t="s">
        <v>46</v>
      </c>
      <c r="O56" s="22" t="str">
        <f>AC56</f>
        <v>CVC</v>
      </c>
      <c r="P56" s="23">
        <v>0</v>
      </c>
      <c r="Q56" s="22"/>
      <c r="R56" s="23">
        <v>0</v>
      </c>
      <c r="S56" s="24">
        <v>46054</v>
      </c>
      <c r="T56" s="23">
        <v>0</v>
      </c>
      <c r="U56" s="25">
        <v>4</v>
      </c>
      <c r="V56" s="23">
        <v>0</v>
      </c>
      <c r="W56" s="18" t="s">
        <v>47</v>
      </c>
      <c r="X56" s="18" t="s">
        <v>48</v>
      </c>
      <c r="Y56" s="18" t="s">
        <v>36</v>
      </c>
      <c r="Z56" s="18" t="s">
        <v>9</v>
      </c>
      <c r="AA56" s="18" t="s">
        <v>49</v>
      </c>
      <c r="AB56" s="18" t="s">
        <v>50</v>
      </c>
      <c r="AC56" s="18" t="s">
        <v>38</v>
      </c>
      <c r="AD56" s="7" t="str">
        <f t="shared" si="0"/>
        <v/>
      </c>
      <c r="AI56" s="30"/>
      <c r="AJ56" s="30"/>
      <c r="AK56" s="30"/>
      <c r="AL56" s="30"/>
      <c r="AM56" s="30"/>
      <c r="AN56" s="30"/>
      <c r="AO56" s="30"/>
      <c r="AP56" s="30"/>
      <c r="AQ56" s="30"/>
      <c r="AR56" s="30"/>
      <c r="AS56" s="30"/>
      <c r="AT56" s="30"/>
      <c r="AU56" s="30"/>
      <c r="AV56" s="30"/>
      <c r="AW56" s="30"/>
    </row>
    <row r="57" spans="1:49" s="26" customFormat="1" ht="35.1" customHeight="1" x14ac:dyDescent="0.25">
      <c r="A57" s="18" t="s">
        <v>44</v>
      </c>
      <c r="B57" s="19">
        <v>46054</v>
      </c>
      <c r="C57" s="19">
        <v>46054</v>
      </c>
      <c r="D57" s="18" t="s">
        <v>249</v>
      </c>
      <c r="E57" s="20">
        <v>0.75</v>
      </c>
      <c r="F57" s="20">
        <v>0.83333333333333337</v>
      </c>
      <c r="G57" s="20">
        <v>3.4722222222222218E-4</v>
      </c>
      <c r="H57" s="18" t="s">
        <v>244</v>
      </c>
      <c r="I57" s="21">
        <v>0.80930740740740748</v>
      </c>
      <c r="J57" s="18" t="s">
        <v>241</v>
      </c>
      <c r="K57" s="18" t="s">
        <v>247</v>
      </c>
      <c r="L57" s="22">
        <v>1</v>
      </c>
      <c r="M57" s="22">
        <v>70985</v>
      </c>
      <c r="N57" s="18" t="s">
        <v>53</v>
      </c>
      <c r="O57" s="22" t="str">
        <f>AC57</f>
        <v>CVC</v>
      </c>
      <c r="P57" s="23">
        <v>58.82</v>
      </c>
      <c r="Q57" s="22"/>
      <c r="R57" s="23">
        <v>58.82</v>
      </c>
      <c r="S57" s="24">
        <v>46054</v>
      </c>
      <c r="T57" s="23">
        <v>4.4115000000000002</v>
      </c>
      <c r="U57" s="25">
        <v>4</v>
      </c>
      <c r="V57" s="23">
        <v>54.408500000000004</v>
      </c>
      <c r="W57" s="18" t="s">
        <v>47</v>
      </c>
      <c r="X57" s="18" t="s">
        <v>48</v>
      </c>
      <c r="Y57" s="18" t="s">
        <v>36</v>
      </c>
      <c r="Z57" s="18" t="s">
        <v>9</v>
      </c>
      <c r="AA57" s="18" t="s">
        <v>49</v>
      </c>
      <c r="AB57" s="18" t="s">
        <v>50</v>
      </c>
      <c r="AC57" s="18" t="s">
        <v>38</v>
      </c>
      <c r="AD57" s="7" t="str">
        <f t="shared" si="0"/>
        <v/>
      </c>
    </row>
    <row r="58" spans="1:49" s="26" customFormat="1" ht="35.1" customHeight="1" x14ac:dyDescent="0.25">
      <c r="A58" s="18" t="s">
        <v>44</v>
      </c>
      <c r="B58" s="19">
        <v>46054</v>
      </c>
      <c r="C58" s="19">
        <v>46054</v>
      </c>
      <c r="D58" s="18" t="s">
        <v>249</v>
      </c>
      <c r="E58" s="20">
        <v>0.75</v>
      </c>
      <c r="F58" s="20">
        <v>0.83333333333333337</v>
      </c>
      <c r="G58" s="20">
        <v>3.4722222222222218E-4</v>
      </c>
      <c r="H58" s="18" t="s">
        <v>244</v>
      </c>
      <c r="I58" s="21">
        <v>0.82306736111111112</v>
      </c>
      <c r="J58" s="18" t="s">
        <v>241</v>
      </c>
      <c r="K58" s="18" t="s">
        <v>247</v>
      </c>
      <c r="L58" s="22">
        <v>1</v>
      </c>
      <c r="M58" s="22">
        <v>70987</v>
      </c>
      <c r="N58" s="18" t="s">
        <v>46</v>
      </c>
      <c r="O58" s="22" t="str">
        <f>AC58</f>
        <v>CVC</v>
      </c>
      <c r="P58" s="23">
        <v>0</v>
      </c>
      <c r="Q58" s="22"/>
      <c r="R58" s="23">
        <v>0</v>
      </c>
      <c r="S58" s="24">
        <v>46054</v>
      </c>
      <c r="T58" s="23">
        <v>0</v>
      </c>
      <c r="U58" s="25">
        <v>4</v>
      </c>
      <c r="V58" s="23">
        <v>0</v>
      </c>
      <c r="W58" s="18" t="s">
        <v>47</v>
      </c>
      <c r="X58" s="18" t="s">
        <v>48</v>
      </c>
      <c r="Y58" s="18" t="s">
        <v>36</v>
      </c>
      <c r="Z58" s="18" t="s">
        <v>9</v>
      </c>
      <c r="AA58" s="18" t="s">
        <v>49</v>
      </c>
      <c r="AB58" s="18" t="s">
        <v>50</v>
      </c>
      <c r="AC58" s="18" t="s">
        <v>38</v>
      </c>
      <c r="AD58" s="7" t="str">
        <f t="shared" si="0"/>
        <v/>
      </c>
    </row>
    <row r="59" spans="1:49" s="26" customFormat="1" ht="35.1" customHeight="1" x14ac:dyDescent="0.25">
      <c r="A59" s="18" t="s">
        <v>159</v>
      </c>
      <c r="B59" s="19">
        <v>46054</v>
      </c>
      <c r="C59" s="19">
        <v>46054</v>
      </c>
      <c r="D59" s="18" t="s">
        <v>249</v>
      </c>
      <c r="E59" s="20">
        <v>0.75</v>
      </c>
      <c r="F59" s="20">
        <v>0.83333333333333337</v>
      </c>
      <c r="G59" s="28">
        <v>1.7361111111111109E-4</v>
      </c>
      <c r="H59" s="29" t="s">
        <v>160</v>
      </c>
      <c r="I59" s="21">
        <v>0.82254629629629628</v>
      </c>
      <c r="J59" s="18" t="s">
        <v>241</v>
      </c>
      <c r="K59" s="18" t="s">
        <v>247</v>
      </c>
      <c r="L59" s="22">
        <v>1</v>
      </c>
      <c r="M59" s="22">
        <v>71023</v>
      </c>
      <c r="N59" s="18" t="s">
        <v>46</v>
      </c>
      <c r="O59" s="22" t="s">
        <v>161</v>
      </c>
      <c r="P59" s="23">
        <v>0</v>
      </c>
      <c r="Q59" s="22"/>
      <c r="R59" s="23">
        <v>0</v>
      </c>
      <c r="S59" s="24">
        <v>46054</v>
      </c>
      <c r="T59" s="23">
        <v>0</v>
      </c>
      <c r="U59" s="25">
        <v>4</v>
      </c>
      <c r="V59" s="23">
        <v>0</v>
      </c>
      <c r="W59" s="18" t="s">
        <v>47</v>
      </c>
      <c r="X59" s="18" t="s">
        <v>48</v>
      </c>
      <c r="Y59" s="18" t="s">
        <v>36</v>
      </c>
      <c r="Z59" s="18" t="s">
        <v>9</v>
      </c>
      <c r="AA59" s="18" t="s">
        <v>49</v>
      </c>
      <c r="AB59" s="18" t="s">
        <v>162</v>
      </c>
      <c r="AC59" s="18" t="s">
        <v>38</v>
      </c>
      <c r="AD59" s="7" t="str">
        <f t="shared" si="0"/>
        <v/>
      </c>
      <c r="AI59" s="30"/>
      <c r="AJ59" s="30"/>
      <c r="AK59" s="30"/>
      <c r="AL59" s="30"/>
      <c r="AM59" s="30"/>
      <c r="AN59" s="30"/>
      <c r="AO59" s="30"/>
      <c r="AP59" s="30"/>
      <c r="AQ59" s="30"/>
      <c r="AR59" s="30"/>
      <c r="AS59" s="30"/>
      <c r="AT59" s="30"/>
      <c r="AU59" s="30"/>
      <c r="AV59" s="30"/>
      <c r="AW59" s="30"/>
    </row>
    <row r="60" spans="1:49" s="26" customFormat="1" ht="35.1" customHeight="1" x14ac:dyDescent="0.25">
      <c r="A60" s="18" t="s">
        <v>182</v>
      </c>
      <c r="B60" s="19">
        <v>46054</v>
      </c>
      <c r="C60" s="19">
        <v>46054</v>
      </c>
      <c r="D60" s="18" t="s">
        <v>249</v>
      </c>
      <c r="E60" s="20">
        <v>0.75</v>
      </c>
      <c r="F60" s="20">
        <v>0.83333333333333337</v>
      </c>
      <c r="G60" s="20">
        <v>3.4722222222222218E-4</v>
      </c>
      <c r="H60" s="18" t="s">
        <v>265</v>
      </c>
      <c r="I60" s="21">
        <v>0.82271990740740741</v>
      </c>
      <c r="J60" s="18" t="s">
        <v>241</v>
      </c>
      <c r="K60" s="18" t="s">
        <v>247</v>
      </c>
      <c r="L60" s="22">
        <v>1</v>
      </c>
      <c r="M60" s="22">
        <v>71442</v>
      </c>
      <c r="N60" s="18" t="s">
        <v>53</v>
      </c>
      <c r="O60" s="22" t="s">
        <v>262</v>
      </c>
      <c r="P60" s="23">
        <v>52.941176470588239</v>
      </c>
      <c r="Q60" s="22"/>
      <c r="R60" s="23">
        <v>52.941176470588239</v>
      </c>
      <c r="S60" s="24">
        <v>46054</v>
      </c>
      <c r="T60" s="23">
        <v>7.9411764705882355</v>
      </c>
      <c r="U60" s="25">
        <v>4</v>
      </c>
      <c r="V60" s="23">
        <v>45</v>
      </c>
      <c r="W60" s="18" t="s">
        <v>47</v>
      </c>
      <c r="X60" s="18" t="s">
        <v>48</v>
      </c>
      <c r="Y60" s="18" t="s">
        <v>58</v>
      </c>
      <c r="Z60" s="18" t="s">
        <v>9</v>
      </c>
      <c r="AA60" s="18" t="s">
        <v>49</v>
      </c>
      <c r="AB60" s="18" t="s">
        <v>263</v>
      </c>
      <c r="AC60" s="18" t="s">
        <v>38</v>
      </c>
      <c r="AD60" s="7" t="str">
        <f t="shared" si="0"/>
        <v/>
      </c>
      <c r="AE60" s="44"/>
      <c r="AF60" s="44"/>
      <c r="AG60" s="44"/>
      <c r="AH60" s="44"/>
      <c r="AI60" s="30"/>
      <c r="AJ60" s="30"/>
      <c r="AK60" s="30"/>
      <c r="AL60" s="30"/>
      <c r="AM60" s="30"/>
      <c r="AN60" s="30"/>
      <c r="AO60" s="30"/>
      <c r="AP60" s="30"/>
      <c r="AQ60" s="30"/>
      <c r="AR60" s="30"/>
      <c r="AS60" s="30"/>
      <c r="AT60" s="30"/>
      <c r="AU60" s="30"/>
      <c r="AV60" s="30"/>
      <c r="AW60" s="30"/>
    </row>
    <row r="61" spans="1:49" s="26" customFormat="1" ht="35.1" customHeight="1" x14ac:dyDescent="0.25">
      <c r="A61" s="18" t="s">
        <v>159</v>
      </c>
      <c r="B61" s="19">
        <v>46054</v>
      </c>
      <c r="C61" s="19">
        <v>46054</v>
      </c>
      <c r="D61" s="18" t="s">
        <v>249</v>
      </c>
      <c r="E61" s="20">
        <v>0.75</v>
      </c>
      <c r="F61" s="20">
        <v>0.83333333333333337</v>
      </c>
      <c r="G61" s="28">
        <v>1.7361111111111109E-4</v>
      </c>
      <c r="H61" s="29" t="s">
        <v>163</v>
      </c>
      <c r="I61" s="21">
        <v>0.82341458333333339</v>
      </c>
      <c r="J61" s="18" t="s">
        <v>241</v>
      </c>
      <c r="K61" s="18" t="s">
        <v>247</v>
      </c>
      <c r="L61" s="22">
        <v>1</v>
      </c>
      <c r="M61" s="22">
        <v>71023</v>
      </c>
      <c r="N61" s="18" t="s">
        <v>46</v>
      </c>
      <c r="O61" s="22" t="s">
        <v>161</v>
      </c>
      <c r="P61" s="23">
        <v>0</v>
      </c>
      <c r="Q61" s="22"/>
      <c r="R61" s="23">
        <v>0</v>
      </c>
      <c r="S61" s="24">
        <v>46054</v>
      </c>
      <c r="T61" s="23">
        <v>0</v>
      </c>
      <c r="U61" s="25">
        <v>4</v>
      </c>
      <c r="V61" s="23">
        <v>0</v>
      </c>
      <c r="W61" s="18" t="s">
        <v>47</v>
      </c>
      <c r="X61" s="18" t="s">
        <v>48</v>
      </c>
      <c r="Y61" s="18" t="s">
        <v>36</v>
      </c>
      <c r="Z61" s="18" t="s">
        <v>9</v>
      </c>
      <c r="AA61" s="18" t="s">
        <v>49</v>
      </c>
      <c r="AB61" s="18" t="s">
        <v>162</v>
      </c>
      <c r="AC61" s="18" t="s">
        <v>38</v>
      </c>
      <c r="AD61" s="7" t="str">
        <f t="shared" si="0"/>
        <v/>
      </c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</row>
    <row r="62" spans="1:49" s="26" customFormat="1" ht="35.1" customHeight="1" x14ac:dyDescent="0.25">
      <c r="A62" s="18" t="s">
        <v>61</v>
      </c>
      <c r="B62" s="19">
        <v>46054</v>
      </c>
      <c r="C62" s="19">
        <v>46054</v>
      </c>
      <c r="D62" s="18" t="s">
        <v>249</v>
      </c>
      <c r="E62" s="20">
        <v>0.75</v>
      </c>
      <c r="F62" s="20">
        <v>0.83333333333333337</v>
      </c>
      <c r="G62" s="20">
        <v>3.4722222222222218E-4</v>
      </c>
      <c r="H62" s="18" t="s">
        <v>240</v>
      </c>
      <c r="I62" s="21">
        <v>0.83206249999999993</v>
      </c>
      <c r="J62" s="18" t="s">
        <v>241</v>
      </c>
      <c r="K62" s="18" t="s">
        <v>247</v>
      </c>
      <c r="L62" s="22">
        <v>1</v>
      </c>
      <c r="M62" s="22">
        <v>64410</v>
      </c>
      <c r="N62" s="18" t="s">
        <v>53</v>
      </c>
      <c r="O62" s="22" t="s">
        <v>63</v>
      </c>
      <c r="P62" s="23">
        <v>30</v>
      </c>
      <c r="Q62" s="22"/>
      <c r="R62" s="23">
        <v>30</v>
      </c>
      <c r="S62" s="24">
        <v>46054</v>
      </c>
      <c r="T62" s="23">
        <v>4.5</v>
      </c>
      <c r="U62" s="25">
        <v>4</v>
      </c>
      <c r="V62" s="23">
        <v>25.5</v>
      </c>
      <c r="W62" s="18" t="s">
        <v>47</v>
      </c>
      <c r="X62" s="18" t="s">
        <v>48</v>
      </c>
      <c r="Y62" s="18" t="s">
        <v>36</v>
      </c>
      <c r="Z62" s="18" t="s">
        <v>9</v>
      </c>
      <c r="AA62" s="18" t="s">
        <v>49</v>
      </c>
      <c r="AB62" s="18" t="s">
        <v>64</v>
      </c>
      <c r="AC62" s="18" t="s">
        <v>38</v>
      </c>
      <c r="AD62" s="7" t="str">
        <f t="shared" si="0"/>
        <v/>
      </c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</row>
    <row r="63" spans="1:49" s="26" customFormat="1" ht="35.1" customHeight="1" x14ac:dyDescent="0.25">
      <c r="A63" s="9" t="s">
        <v>144</v>
      </c>
      <c r="B63" s="10">
        <v>46054</v>
      </c>
      <c r="C63" s="10">
        <v>46054</v>
      </c>
      <c r="D63" s="11" t="s">
        <v>249</v>
      </c>
      <c r="E63" s="12">
        <v>0.83333333333333337</v>
      </c>
      <c r="F63" s="12">
        <v>0.875</v>
      </c>
      <c r="G63" s="12">
        <v>4.1666666666666664E-2</v>
      </c>
      <c r="H63" s="9" t="s">
        <v>145</v>
      </c>
      <c r="I63" s="13"/>
      <c r="J63" s="9" t="s">
        <v>41</v>
      </c>
      <c r="K63" s="9"/>
      <c r="L63" s="14">
        <v>1</v>
      </c>
      <c r="M63" s="14">
        <v>1</v>
      </c>
      <c r="N63" s="9" t="s">
        <v>33</v>
      </c>
      <c r="O63" s="9"/>
      <c r="P63" s="16">
        <v>0</v>
      </c>
      <c r="Q63" s="14"/>
      <c r="R63" s="16">
        <v>0</v>
      </c>
      <c r="S63" s="9">
        <v>46054</v>
      </c>
      <c r="T63" s="16">
        <v>0</v>
      </c>
      <c r="U63" s="14">
        <v>2</v>
      </c>
      <c r="V63" s="16">
        <v>0</v>
      </c>
      <c r="W63" s="9" t="s">
        <v>34</v>
      </c>
      <c r="X63" s="9" t="s">
        <v>42</v>
      </c>
      <c r="Y63" s="9" t="s">
        <v>36</v>
      </c>
      <c r="Z63" s="9" t="s">
        <v>43</v>
      </c>
      <c r="AA63" s="9" t="s">
        <v>37</v>
      </c>
      <c r="AB63" s="9" t="s">
        <v>37</v>
      </c>
      <c r="AC63" s="9" t="s">
        <v>38</v>
      </c>
      <c r="AD63" s="7" t="str">
        <f t="shared" si="0"/>
        <v/>
      </c>
      <c r="AI63" s="27"/>
      <c r="AJ63" s="27"/>
      <c r="AK63" s="27"/>
      <c r="AL63" s="27"/>
      <c r="AM63" s="27"/>
      <c r="AN63" s="27"/>
      <c r="AO63" s="27"/>
      <c r="AP63" s="27"/>
      <c r="AQ63" s="27"/>
      <c r="AR63" s="27"/>
      <c r="AS63" s="27"/>
      <c r="AT63" s="27"/>
      <c r="AU63" s="27"/>
      <c r="AV63" s="27"/>
      <c r="AW63" s="27"/>
    </row>
    <row r="64" spans="1:49" s="26" customFormat="1" ht="35.1" customHeight="1" x14ac:dyDescent="0.25">
      <c r="A64" s="18" t="s">
        <v>93</v>
      </c>
      <c r="B64" s="19">
        <v>46054</v>
      </c>
      <c r="C64" s="19">
        <v>46054</v>
      </c>
      <c r="D64" s="18" t="s">
        <v>249</v>
      </c>
      <c r="E64" s="20">
        <v>0.79166666666666663</v>
      </c>
      <c r="F64" s="20">
        <v>0.99930555555555556</v>
      </c>
      <c r="G64" s="28">
        <v>1.7361111111111109E-4</v>
      </c>
      <c r="H64" s="29" t="s">
        <v>135</v>
      </c>
      <c r="I64" s="21">
        <v>0.84141203703703704</v>
      </c>
      <c r="J64" s="18" t="s">
        <v>136</v>
      </c>
      <c r="K64" s="18" t="s">
        <v>157</v>
      </c>
      <c r="L64" s="22">
        <v>1</v>
      </c>
      <c r="M64" s="22">
        <v>69566</v>
      </c>
      <c r="N64" s="18" t="s">
        <v>53</v>
      </c>
      <c r="O64" s="22" t="s">
        <v>137</v>
      </c>
      <c r="P64" s="23">
        <v>0</v>
      </c>
      <c r="Q64" s="22"/>
      <c r="R64" s="23">
        <v>16.531831119544499</v>
      </c>
      <c r="S64" s="24">
        <v>46054</v>
      </c>
      <c r="T64" s="23">
        <v>0</v>
      </c>
      <c r="U64" s="25">
        <v>4</v>
      </c>
      <c r="V64" s="23">
        <v>0</v>
      </c>
      <c r="W64" s="18" t="s">
        <v>47</v>
      </c>
      <c r="X64" s="18" t="s">
        <v>48</v>
      </c>
      <c r="Y64" s="18" t="s">
        <v>36</v>
      </c>
      <c r="Z64" s="18" t="s">
        <v>9</v>
      </c>
      <c r="AA64" s="18" t="s">
        <v>49</v>
      </c>
      <c r="AB64" s="18" t="s">
        <v>138</v>
      </c>
      <c r="AC64" s="18" t="s">
        <v>38</v>
      </c>
      <c r="AD64" s="7" t="str">
        <f t="shared" si="0"/>
        <v/>
      </c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</row>
    <row r="65" spans="1:49" s="26" customFormat="1" ht="35.1" customHeight="1" x14ac:dyDescent="0.25">
      <c r="A65" s="18" t="s">
        <v>93</v>
      </c>
      <c r="B65" s="19">
        <v>46054</v>
      </c>
      <c r="C65" s="19">
        <v>46054</v>
      </c>
      <c r="D65" s="18" t="s">
        <v>249</v>
      </c>
      <c r="E65" s="20">
        <v>0.79166666666666663</v>
      </c>
      <c r="F65" s="20">
        <v>0.99930555555555556</v>
      </c>
      <c r="G65" s="28">
        <v>1.7361111111111109E-4</v>
      </c>
      <c r="H65" s="29" t="s">
        <v>139</v>
      </c>
      <c r="I65" s="21">
        <v>0.84262731481481479</v>
      </c>
      <c r="J65" s="18" t="s">
        <v>136</v>
      </c>
      <c r="K65" s="18" t="s">
        <v>157</v>
      </c>
      <c r="L65" s="22">
        <v>1</v>
      </c>
      <c r="M65" s="22">
        <v>69566</v>
      </c>
      <c r="N65" s="18" t="s">
        <v>53</v>
      </c>
      <c r="O65" s="22" t="s">
        <v>137</v>
      </c>
      <c r="P65" s="23">
        <v>0</v>
      </c>
      <c r="Q65" s="22"/>
      <c r="R65" s="23">
        <v>16.531831119544499</v>
      </c>
      <c r="S65" s="24">
        <v>46054</v>
      </c>
      <c r="T65" s="23">
        <v>0</v>
      </c>
      <c r="U65" s="25">
        <v>4</v>
      </c>
      <c r="V65" s="23">
        <v>0</v>
      </c>
      <c r="W65" s="18" t="s">
        <v>47</v>
      </c>
      <c r="X65" s="18" t="s">
        <v>48</v>
      </c>
      <c r="Y65" s="18" t="s">
        <v>36</v>
      </c>
      <c r="Z65" s="18" t="s">
        <v>9</v>
      </c>
      <c r="AA65" s="18" t="s">
        <v>49</v>
      </c>
      <c r="AB65" s="18" t="s">
        <v>138</v>
      </c>
      <c r="AC65" s="18" t="s">
        <v>38</v>
      </c>
      <c r="AD65" s="7" t="str">
        <f t="shared" si="0"/>
        <v/>
      </c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</row>
    <row r="66" spans="1:49" s="26" customFormat="1" ht="35.1" customHeight="1" x14ac:dyDescent="0.25">
      <c r="A66" s="18" t="s">
        <v>127</v>
      </c>
      <c r="B66" s="19">
        <v>46054</v>
      </c>
      <c r="C66" s="19">
        <v>46054</v>
      </c>
      <c r="D66" s="18" t="s">
        <v>249</v>
      </c>
      <c r="E66" s="20">
        <v>0.79166666666666663</v>
      </c>
      <c r="F66" s="20">
        <v>0.99930555555555556</v>
      </c>
      <c r="G66" s="20">
        <v>3.4722222222222218E-4</v>
      </c>
      <c r="H66" s="18" t="s">
        <v>192</v>
      </c>
      <c r="I66" s="21">
        <v>0.85591435185185183</v>
      </c>
      <c r="J66" s="18" t="s">
        <v>41</v>
      </c>
      <c r="K66" s="18" t="s">
        <v>157</v>
      </c>
      <c r="L66" s="22">
        <v>1</v>
      </c>
      <c r="M66" s="22">
        <v>69751</v>
      </c>
      <c r="N66" s="18" t="s">
        <v>46</v>
      </c>
      <c r="O66" s="22" t="s">
        <v>129</v>
      </c>
      <c r="P66" s="23">
        <v>0</v>
      </c>
      <c r="Q66" s="22"/>
      <c r="R66" s="23">
        <v>0</v>
      </c>
      <c r="S66" s="24">
        <v>46054</v>
      </c>
      <c r="T66" s="23">
        <v>0</v>
      </c>
      <c r="U66" s="25">
        <v>4</v>
      </c>
      <c r="V66" s="23">
        <v>0</v>
      </c>
      <c r="W66" s="18" t="s">
        <v>47</v>
      </c>
      <c r="X66" s="18" t="s">
        <v>48</v>
      </c>
      <c r="Y66" s="18" t="s">
        <v>36</v>
      </c>
      <c r="Z66" s="18" t="s">
        <v>9</v>
      </c>
      <c r="AA66" s="18" t="s">
        <v>49</v>
      </c>
      <c r="AB66" s="18" t="s">
        <v>130</v>
      </c>
      <c r="AC66" s="18" t="s">
        <v>38</v>
      </c>
      <c r="AD66" s="7" t="str">
        <f t="shared" ref="AD66:AD81" si="1">IF(N66="PRG","",IF(I66&gt;=E66,IF(I66&lt;=F66,"","NO"),"NO"))</f>
        <v/>
      </c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</row>
    <row r="67" spans="1:49" s="26" customFormat="1" ht="35.1" customHeight="1" x14ac:dyDescent="0.25">
      <c r="A67" s="9" t="s">
        <v>146</v>
      </c>
      <c r="B67" s="10">
        <v>46054</v>
      </c>
      <c r="C67" s="10">
        <v>46054</v>
      </c>
      <c r="D67" s="11" t="s">
        <v>249</v>
      </c>
      <c r="E67" s="12">
        <v>0.875</v>
      </c>
      <c r="F67" s="12">
        <v>0.9375</v>
      </c>
      <c r="G67" s="12">
        <v>6.25E-2</v>
      </c>
      <c r="H67" s="9" t="s">
        <v>193</v>
      </c>
      <c r="I67" s="13" t="s">
        <v>226</v>
      </c>
      <c r="J67" s="9" t="s">
        <v>41</v>
      </c>
      <c r="K67" s="9"/>
      <c r="L67" s="14">
        <v>1</v>
      </c>
      <c r="M67" s="14">
        <v>1</v>
      </c>
      <c r="N67" s="9" t="s">
        <v>33</v>
      </c>
      <c r="O67" s="9"/>
      <c r="P67" s="16">
        <v>0</v>
      </c>
      <c r="Q67" s="14"/>
      <c r="R67" s="16">
        <v>0</v>
      </c>
      <c r="S67" s="9">
        <v>46054</v>
      </c>
      <c r="T67" s="16">
        <v>0</v>
      </c>
      <c r="U67" s="14">
        <v>2</v>
      </c>
      <c r="V67" s="16">
        <v>0</v>
      </c>
      <c r="W67" s="9" t="s">
        <v>34</v>
      </c>
      <c r="X67" s="9" t="s">
        <v>42</v>
      </c>
      <c r="Y67" s="9" t="s">
        <v>36</v>
      </c>
      <c r="Z67" s="9" t="s">
        <v>43</v>
      </c>
      <c r="AA67" s="9" t="s">
        <v>37</v>
      </c>
      <c r="AB67" s="9" t="s">
        <v>37</v>
      </c>
      <c r="AC67" s="9" t="s">
        <v>38</v>
      </c>
      <c r="AD67" s="7" t="str">
        <f t="shared" si="1"/>
        <v/>
      </c>
      <c r="AI67" s="27"/>
      <c r="AJ67" s="27"/>
      <c r="AK67" s="27"/>
      <c r="AL67" s="27"/>
      <c r="AM67" s="27"/>
      <c r="AN67" s="27"/>
      <c r="AO67" s="27"/>
      <c r="AP67" s="27"/>
      <c r="AQ67" s="27"/>
      <c r="AR67" s="27"/>
      <c r="AS67" s="27"/>
      <c r="AT67" s="27"/>
      <c r="AU67" s="27"/>
      <c r="AV67" s="27"/>
      <c r="AW67" s="27"/>
    </row>
    <row r="68" spans="1:49" s="26" customFormat="1" ht="35.1" customHeight="1" x14ac:dyDescent="0.25">
      <c r="A68" s="18" t="s">
        <v>93</v>
      </c>
      <c r="B68" s="19">
        <v>46054</v>
      </c>
      <c r="C68" s="19">
        <v>46054</v>
      </c>
      <c r="D68" s="18" t="s">
        <v>249</v>
      </c>
      <c r="E68" s="20">
        <v>0.79166666666666663</v>
      </c>
      <c r="F68" s="20">
        <v>0.99930555555555556</v>
      </c>
      <c r="G68" s="28">
        <v>1.7361111111111109E-4</v>
      </c>
      <c r="H68" s="29" t="s">
        <v>135</v>
      </c>
      <c r="I68" s="21">
        <v>0.88783587962962973</v>
      </c>
      <c r="J68" s="18" t="s">
        <v>136</v>
      </c>
      <c r="K68" s="18" t="s">
        <v>193</v>
      </c>
      <c r="L68" s="22">
        <v>1</v>
      </c>
      <c r="M68" s="22">
        <v>69567</v>
      </c>
      <c r="N68" s="18" t="s">
        <v>46</v>
      </c>
      <c r="O68" s="22" t="s">
        <v>137</v>
      </c>
      <c r="P68" s="23">
        <v>0</v>
      </c>
      <c r="Q68" s="22"/>
      <c r="R68" s="23">
        <v>0</v>
      </c>
      <c r="S68" s="24">
        <v>46054</v>
      </c>
      <c r="T68" s="23">
        <v>0</v>
      </c>
      <c r="U68" s="25">
        <v>4</v>
      </c>
      <c r="V68" s="23">
        <v>0</v>
      </c>
      <c r="W68" s="18" t="s">
        <v>47</v>
      </c>
      <c r="X68" s="18" t="s">
        <v>48</v>
      </c>
      <c r="Y68" s="18" t="s">
        <v>36</v>
      </c>
      <c r="Z68" s="18" t="s">
        <v>9</v>
      </c>
      <c r="AA68" s="18" t="s">
        <v>49</v>
      </c>
      <c r="AB68" s="18" t="s">
        <v>138</v>
      </c>
      <c r="AC68" s="18" t="s">
        <v>38</v>
      </c>
      <c r="AD68" s="7" t="str">
        <f t="shared" si="1"/>
        <v/>
      </c>
      <c r="AE68" s="44"/>
      <c r="AF68" s="44"/>
      <c r="AG68" s="44"/>
      <c r="AH68" s="44"/>
      <c r="AI68" s="30"/>
      <c r="AJ68" s="30"/>
      <c r="AK68" s="30"/>
      <c r="AL68" s="30"/>
      <c r="AM68" s="30"/>
      <c r="AN68" s="30"/>
      <c r="AO68" s="30"/>
      <c r="AP68" s="30"/>
      <c r="AQ68" s="30"/>
      <c r="AR68" s="30"/>
      <c r="AS68" s="30"/>
      <c r="AT68" s="30"/>
      <c r="AU68" s="30"/>
      <c r="AV68" s="30"/>
      <c r="AW68" s="30"/>
    </row>
    <row r="69" spans="1:49" s="26" customFormat="1" ht="35.1" customHeight="1" x14ac:dyDescent="0.25">
      <c r="A69" s="18" t="s">
        <v>93</v>
      </c>
      <c r="B69" s="19">
        <v>46054</v>
      </c>
      <c r="C69" s="19">
        <v>46054</v>
      </c>
      <c r="D69" s="18" t="s">
        <v>249</v>
      </c>
      <c r="E69" s="20">
        <v>0.79166666666666663</v>
      </c>
      <c r="F69" s="20">
        <v>0.99930555555555556</v>
      </c>
      <c r="G69" s="28">
        <v>1.7361111111111109E-4</v>
      </c>
      <c r="H69" s="29" t="s">
        <v>139</v>
      </c>
      <c r="I69" s="21">
        <v>0.88835694444444435</v>
      </c>
      <c r="J69" s="18" t="s">
        <v>136</v>
      </c>
      <c r="K69" s="18" t="s">
        <v>193</v>
      </c>
      <c r="L69" s="22">
        <v>1</v>
      </c>
      <c r="M69" s="22">
        <v>69567</v>
      </c>
      <c r="N69" s="18" t="s">
        <v>46</v>
      </c>
      <c r="O69" s="22" t="s">
        <v>137</v>
      </c>
      <c r="P69" s="23">
        <v>0</v>
      </c>
      <c r="Q69" s="22"/>
      <c r="R69" s="23">
        <v>0</v>
      </c>
      <c r="S69" s="24">
        <v>46054</v>
      </c>
      <c r="T69" s="23">
        <v>0</v>
      </c>
      <c r="U69" s="25">
        <v>4</v>
      </c>
      <c r="V69" s="23">
        <v>0</v>
      </c>
      <c r="W69" s="18" t="s">
        <v>47</v>
      </c>
      <c r="X69" s="18" t="s">
        <v>48</v>
      </c>
      <c r="Y69" s="18" t="s">
        <v>36</v>
      </c>
      <c r="Z69" s="18" t="s">
        <v>9</v>
      </c>
      <c r="AA69" s="18" t="s">
        <v>49</v>
      </c>
      <c r="AB69" s="18" t="s">
        <v>138</v>
      </c>
      <c r="AC69" s="18" t="s">
        <v>38</v>
      </c>
      <c r="AD69" s="7" t="str">
        <f t="shared" si="1"/>
        <v/>
      </c>
    </row>
    <row r="70" spans="1:49" s="26" customFormat="1" ht="35.1" customHeight="1" x14ac:dyDescent="0.25">
      <c r="A70" s="18" t="s">
        <v>51</v>
      </c>
      <c r="B70" s="19">
        <v>46054</v>
      </c>
      <c r="C70" s="19">
        <v>46054</v>
      </c>
      <c r="D70" s="18" t="s">
        <v>249</v>
      </c>
      <c r="E70" s="20">
        <v>0.875</v>
      </c>
      <c r="F70" s="20">
        <v>0.99930555555555556</v>
      </c>
      <c r="G70" s="20">
        <v>3.4722222222222218E-4</v>
      </c>
      <c r="H70" s="18" t="s">
        <v>52</v>
      </c>
      <c r="I70" s="21">
        <v>0.89731655092592588</v>
      </c>
      <c r="J70" s="18" t="s">
        <v>41</v>
      </c>
      <c r="K70" s="18" t="s">
        <v>193</v>
      </c>
      <c r="L70" s="22">
        <v>1</v>
      </c>
      <c r="M70" s="22">
        <v>70368</v>
      </c>
      <c r="N70" s="18" t="s">
        <v>53</v>
      </c>
      <c r="O70" s="22" t="s">
        <v>54</v>
      </c>
      <c r="P70" s="23">
        <v>40</v>
      </c>
      <c r="Q70" s="22"/>
      <c r="R70" s="23">
        <v>40</v>
      </c>
      <c r="S70" s="24">
        <v>46054</v>
      </c>
      <c r="T70" s="23">
        <v>6</v>
      </c>
      <c r="U70" s="25">
        <v>4</v>
      </c>
      <c r="V70" s="23">
        <v>34</v>
      </c>
      <c r="W70" s="18" t="s">
        <v>47</v>
      </c>
      <c r="X70" s="18" t="s">
        <v>48</v>
      </c>
      <c r="Y70" s="18" t="s">
        <v>36</v>
      </c>
      <c r="Z70" s="18" t="s">
        <v>9</v>
      </c>
      <c r="AA70" s="18" t="s">
        <v>49</v>
      </c>
      <c r="AB70" s="18" t="s">
        <v>55</v>
      </c>
      <c r="AC70" s="18" t="s">
        <v>38</v>
      </c>
      <c r="AD70" s="7" t="str">
        <f t="shared" si="1"/>
        <v/>
      </c>
      <c r="AI70" s="27"/>
      <c r="AJ70" s="27"/>
      <c r="AK70" s="27"/>
      <c r="AL70" s="27"/>
      <c r="AM70" s="27"/>
      <c r="AN70" s="27"/>
      <c r="AO70" s="27"/>
      <c r="AP70" s="27"/>
      <c r="AQ70" s="27"/>
      <c r="AR70" s="27"/>
      <c r="AS70" s="27"/>
      <c r="AT70" s="27"/>
      <c r="AU70" s="27"/>
      <c r="AV70" s="27"/>
      <c r="AW70" s="27"/>
    </row>
    <row r="71" spans="1:49" s="26" customFormat="1" ht="35.1" customHeight="1" x14ac:dyDescent="0.25">
      <c r="A71" s="18" t="s">
        <v>93</v>
      </c>
      <c r="B71" s="19">
        <v>46054</v>
      </c>
      <c r="C71" s="19">
        <v>46054</v>
      </c>
      <c r="D71" s="18" t="s">
        <v>249</v>
      </c>
      <c r="E71" s="20">
        <v>0.79166666666666663</v>
      </c>
      <c r="F71" s="20">
        <v>0.99930555555555556</v>
      </c>
      <c r="G71" s="28">
        <v>1.7361111111111109E-4</v>
      </c>
      <c r="H71" s="29" t="s">
        <v>135</v>
      </c>
      <c r="I71" s="21">
        <v>0.912374074074074</v>
      </c>
      <c r="J71" s="18" t="s">
        <v>136</v>
      </c>
      <c r="K71" s="18" t="s">
        <v>193</v>
      </c>
      <c r="L71" s="22">
        <v>1</v>
      </c>
      <c r="M71" s="22">
        <v>69566</v>
      </c>
      <c r="N71" s="18" t="s">
        <v>53</v>
      </c>
      <c r="O71" s="22" t="s">
        <v>137</v>
      </c>
      <c r="P71" s="23">
        <v>0</v>
      </c>
      <c r="Q71" s="22"/>
      <c r="R71" s="23">
        <v>16.531831119544499</v>
      </c>
      <c r="S71" s="24">
        <v>46054</v>
      </c>
      <c r="T71" s="23">
        <v>0</v>
      </c>
      <c r="U71" s="25">
        <v>4</v>
      </c>
      <c r="V71" s="23">
        <v>0</v>
      </c>
      <c r="W71" s="18" t="s">
        <v>47</v>
      </c>
      <c r="X71" s="18" t="s">
        <v>48</v>
      </c>
      <c r="Y71" s="18" t="s">
        <v>36</v>
      </c>
      <c r="Z71" s="18" t="s">
        <v>9</v>
      </c>
      <c r="AA71" s="18" t="s">
        <v>49</v>
      </c>
      <c r="AB71" s="18" t="s">
        <v>138</v>
      </c>
      <c r="AC71" s="18" t="s">
        <v>38</v>
      </c>
      <c r="AD71" s="7" t="str">
        <f t="shared" si="1"/>
        <v/>
      </c>
      <c r="AI71" s="27"/>
      <c r="AJ71" s="27"/>
      <c r="AK71" s="27"/>
      <c r="AL71" s="27"/>
      <c r="AM71" s="27"/>
      <c r="AN71" s="27"/>
      <c r="AO71" s="27"/>
      <c r="AP71" s="27"/>
      <c r="AQ71" s="27"/>
      <c r="AR71" s="27"/>
      <c r="AS71" s="27"/>
      <c r="AT71" s="27"/>
      <c r="AU71" s="27"/>
      <c r="AV71" s="27"/>
      <c r="AW71" s="27"/>
    </row>
    <row r="72" spans="1:49" s="26" customFormat="1" ht="35.1" customHeight="1" x14ac:dyDescent="0.25">
      <c r="A72" s="18" t="s">
        <v>93</v>
      </c>
      <c r="B72" s="19">
        <v>46054</v>
      </c>
      <c r="C72" s="19">
        <v>46054</v>
      </c>
      <c r="D72" s="18" t="s">
        <v>249</v>
      </c>
      <c r="E72" s="20">
        <v>0.79166666666666663</v>
      </c>
      <c r="F72" s="20">
        <v>0.99930555555555556</v>
      </c>
      <c r="G72" s="28">
        <v>1.7361111111111109E-4</v>
      </c>
      <c r="H72" s="29" t="s">
        <v>139</v>
      </c>
      <c r="I72" s="21">
        <v>0.91358958333333329</v>
      </c>
      <c r="J72" s="18" t="s">
        <v>136</v>
      </c>
      <c r="K72" s="18" t="s">
        <v>193</v>
      </c>
      <c r="L72" s="22">
        <v>1</v>
      </c>
      <c r="M72" s="22">
        <v>69566</v>
      </c>
      <c r="N72" s="18" t="s">
        <v>53</v>
      </c>
      <c r="O72" s="22" t="s">
        <v>137</v>
      </c>
      <c r="P72" s="23">
        <v>0</v>
      </c>
      <c r="Q72" s="22"/>
      <c r="R72" s="23">
        <v>16.531831119544499</v>
      </c>
      <c r="S72" s="24">
        <v>46054</v>
      </c>
      <c r="T72" s="23">
        <v>0</v>
      </c>
      <c r="U72" s="25">
        <v>4</v>
      </c>
      <c r="V72" s="23">
        <v>0</v>
      </c>
      <c r="W72" s="18" t="s">
        <v>47</v>
      </c>
      <c r="X72" s="18" t="s">
        <v>48</v>
      </c>
      <c r="Y72" s="18" t="s">
        <v>36</v>
      </c>
      <c r="Z72" s="18" t="s">
        <v>9</v>
      </c>
      <c r="AA72" s="18" t="s">
        <v>49</v>
      </c>
      <c r="AB72" s="18" t="s">
        <v>138</v>
      </c>
      <c r="AC72" s="18" t="s">
        <v>38</v>
      </c>
      <c r="AD72" s="7" t="str">
        <f t="shared" si="1"/>
        <v/>
      </c>
    </row>
    <row r="73" spans="1:49" s="26" customFormat="1" ht="35.1" customHeight="1" x14ac:dyDescent="0.25">
      <c r="A73" s="18" t="s">
        <v>93</v>
      </c>
      <c r="B73" s="19">
        <v>46054</v>
      </c>
      <c r="C73" s="19">
        <v>46054</v>
      </c>
      <c r="D73" s="18" t="s">
        <v>249</v>
      </c>
      <c r="E73" s="20">
        <v>0.79166666666666663</v>
      </c>
      <c r="F73" s="20">
        <v>0.99930555555555556</v>
      </c>
      <c r="G73" s="28">
        <v>1.7361111111111109E-4</v>
      </c>
      <c r="H73" s="29" t="s">
        <v>135</v>
      </c>
      <c r="I73" s="21">
        <v>0.92989687499999996</v>
      </c>
      <c r="J73" s="18" t="s">
        <v>136</v>
      </c>
      <c r="K73" s="18" t="s">
        <v>193</v>
      </c>
      <c r="L73" s="22">
        <v>1</v>
      </c>
      <c r="M73" s="22">
        <v>69567</v>
      </c>
      <c r="N73" s="18" t="s">
        <v>46</v>
      </c>
      <c r="O73" s="22" t="s">
        <v>137</v>
      </c>
      <c r="P73" s="23">
        <v>0</v>
      </c>
      <c r="Q73" s="22"/>
      <c r="R73" s="23">
        <v>0</v>
      </c>
      <c r="S73" s="24">
        <v>46054</v>
      </c>
      <c r="T73" s="23">
        <v>0</v>
      </c>
      <c r="U73" s="25">
        <v>4</v>
      </c>
      <c r="V73" s="23">
        <v>0</v>
      </c>
      <c r="W73" s="18" t="s">
        <v>47</v>
      </c>
      <c r="X73" s="18" t="s">
        <v>48</v>
      </c>
      <c r="Y73" s="18" t="s">
        <v>36</v>
      </c>
      <c r="Z73" s="18" t="s">
        <v>9</v>
      </c>
      <c r="AA73" s="18" t="s">
        <v>49</v>
      </c>
      <c r="AB73" s="18" t="s">
        <v>138</v>
      </c>
      <c r="AC73" s="18" t="s">
        <v>38</v>
      </c>
      <c r="AD73" s="7" t="str">
        <f t="shared" si="1"/>
        <v/>
      </c>
    </row>
    <row r="74" spans="1:49" s="26" customFormat="1" ht="35.1" customHeight="1" x14ac:dyDescent="0.25">
      <c r="A74" s="18" t="s">
        <v>93</v>
      </c>
      <c r="B74" s="19">
        <v>46054</v>
      </c>
      <c r="C74" s="19">
        <v>46054</v>
      </c>
      <c r="D74" s="18" t="s">
        <v>249</v>
      </c>
      <c r="E74" s="20">
        <v>0.79166666666666663</v>
      </c>
      <c r="F74" s="20">
        <v>0.99930555555555556</v>
      </c>
      <c r="G74" s="28">
        <v>1.7361111111111109E-4</v>
      </c>
      <c r="H74" s="29" t="s">
        <v>139</v>
      </c>
      <c r="I74" s="21">
        <v>0.93111192129629639</v>
      </c>
      <c r="J74" s="18" t="s">
        <v>136</v>
      </c>
      <c r="K74" s="18" t="s">
        <v>193</v>
      </c>
      <c r="L74" s="22">
        <v>1</v>
      </c>
      <c r="M74" s="22">
        <v>69567</v>
      </c>
      <c r="N74" s="18" t="s">
        <v>46</v>
      </c>
      <c r="O74" s="22" t="s">
        <v>137</v>
      </c>
      <c r="P74" s="23">
        <v>0</v>
      </c>
      <c r="Q74" s="22"/>
      <c r="R74" s="23">
        <v>0</v>
      </c>
      <c r="S74" s="24">
        <v>46054</v>
      </c>
      <c r="T74" s="23">
        <v>0</v>
      </c>
      <c r="U74" s="25">
        <v>4</v>
      </c>
      <c r="V74" s="23">
        <v>0</v>
      </c>
      <c r="W74" s="18" t="s">
        <v>47</v>
      </c>
      <c r="X74" s="18" t="s">
        <v>48</v>
      </c>
      <c r="Y74" s="18" t="s">
        <v>36</v>
      </c>
      <c r="Z74" s="18" t="s">
        <v>9</v>
      </c>
      <c r="AA74" s="18" t="s">
        <v>49</v>
      </c>
      <c r="AB74" s="18" t="s">
        <v>138</v>
      </c>
      <c r="AC74" s="18" t="s">
        <v>38</v>
      </c>
      <c r="AD74" s="7" t="str">
        <f t="shared" si="1"/>
        <v/>
      </c>
      <c r="AI74" s="27"/>
      <c r="AJ74" s="27"/>
      <c r="AK74" s="27"/>
      <c r="AL74" s="27"/>
      <c r="AM74" s="27"/>
      <c r="AN74" s="27"/>
      <c r="AO74" s="27"/>
      <c r="AP74" s="27"/>
      <c r="AQ74" s="27"/>
      <c r="AR74" s="27"/>
      <c r="AS74" s="27"/>
      <c r="AT74" s="27"/>
      <c r="AU74" s="27"/>
      <c r="AV74" s="27"/>
      <c r="AW74" s="27"/>
    </row>
    <row r="75" spans="1:49" s="26" customFormat="1" ht="35.1" customHeight="1" x14ac:dyDescent="0.25">
      <c r="A75" s="18" t="s">
        <v>127</v>
      </c>
      <c r="B75" s="19">
        <v>46054</v>
      </c>
      <c r="C75" s="19">
        <v>46054</v>
      </c>
      <c r="D75" s="18" t="s">
        <v>249</v>
      </c>
      <c r="E75" s="20">
        <v>0.875</v>
      </c>
      <c r="F75" s="20">
        <v>0.99930555555555556</v>
      </c>
      <c r="G75" s="20">
        <v>3.4722222222222218E-4</v>
      </c>
      <c r="H75" s="18" t="s">
        <v>192</v>
      </c>
      <c r="I75" s="21">
        <v>0.93007048611111109</v>
      </c>
      <c r="J75" s="18" t="s">
        <v>41</v>
      </c>
      <c r="K75" s="18" t="s">
        <v>193</v>
      </c>
      <c r="L75" s="22">
        <v>1</v>
      </c>
      <c r="M75" s="22">
        <v>69754</v>
      </c>
      <c r="N75" s="18" t="s">
        <v>53</v>
      </c>
      <c r="O75" s="22" t="s">
        <v>129</v>
      </c>
      <c r="P75" s="23">
        <v>65</v>
      </c>
      <c r="Q75" s="22"/>
      <c r="R75" s="23">
        <v>65</v>
      </c>
      <c r="S75" s="24">
        <v>46054</v>
      </c>
      <c r="T75" s="23">
        <v>9.75</v>
      </c>
      <c r="U75" s="25">
        <v>4</v>
      </c>
      <c r="V75" s="23">
        <v>55.25</v>
      </c>
      <c r="W75" s="18" t="s">
        <v>47</v>
      </c>
      <c r="X75" s="18" t="s">
        <v>48</v>
      </c>
      <c r="Y75" s="18" t="s">
        <v>36</v>
      </c>
      <c r="Z75" s="18" t="s">
        <v>9</v>
      </c>
      <c r="AA75" s="18" t="s">
        <v>49</v>
      </c>
      <c r="AB75" s="18" t="s">
        <v>130</v>
      </c>
      <c r="AC75" s="18" t="s">
        <v>38</v>
      </c>
      <c r="AD75" s="7" t="str">
        <f t="shared" si="1"/>
        <v/>
      </c>
      <c r="AE75" s="34"/>
      <c r="AF75" s="34"/>
      <c r="AG75" s="34"/>
      <c r="AH75" s="34"/>
      <c r="AI75" s="30"/>
      <c r="AJ75" s="30"/>
      <c r="AK75" s="30"/>
      <c r="AL75" s="30"/>
      <c r="AM75" s="30"/>
      <c r="AN75" s="30"/>
      <c r="AO75" s="30"/>
      <c r="AP75" s="30"/>
      <c r="AQ75" s="30"/>
      <c r="AR75" s="30"/>
      <c r="AS75" s="30"/>
      <c r="AT75" s="30"/>
      <c r="AU75" s="30"/>
      <c r="AV75" s="30"/>
      <c r="AW75" s="30"/>
    </row>
    <row r="76" spans="1:49" s="26" customFormat="1" ht="35.1" customHeight="1" x14ac:dyDescent="0.25">
      <c r="A76" s="18" t="s">
        <v>44</v>
      </c>
      <c r="B76" s="19">
        <v>46054</v>
      </c>
      <c r="C76" s="19">
        <v>46054</v>
      </c>
      <c r="D76" s="18" t="s">
        <v>249</v>
      </c>
      <c r="E76" s="20">
        <v>0.25</v>
      </c>
      <c r="F76" s="20">
        <v>0.99930555555555556</v>
      </c>
      <c r="G76" s="20">
        <v>3.4722222222222218E-4</v>
      </c>
      <c r="H76" s="18" t="s">
        <v>205</v>
      </c>
      <c r="I76" s="21">
        <v>0.93691053240740751</v>
      </c>
      <c r="J76" s="18" t="s">
        <v>41</v>
      </c>
      <c r="K76" s="18" t="s">
        <v>193</v>
      </c>
      <c r="L76" s="22">
        <v>1</v>
      </c>
      <c r="M76" s="22">
        <v>70983</v>
      </c>
      <c r="N76" s="18" t="s">
        <v>46</v>
      </c>
      <c r="O76" s="22" t="str">
        <f>AC76</f>
        <v>CVC</v>
      </c>
      <c r="P76" s="23">
        <v>0</v>
      </c>
      <c r="Q76" s="22"/>
      <c r="R76" s="23">
        <v>0</v>
      </c>
      <c r="S76" s="24">
        <v>46054</v>
      </c>
      <c r="T76" s="23">
        <v>0</v>
      </c>
      <c r="U76" s="25">
        <v>4</v>
      </c>
      <c r="V76" s="23">
        <v>0</v>
      </c>
      <c r="W76" s="18" t="s">
        <v>47</v>
      </c>
      <c r="X76" s="18" t="s">
        <v>48</v>
      </c>
      <c r="Y76" s="18" t="s">
        <v>36</v>
      </c>
      <c r="Z76" s="18" t="s">
        <v>9</v>
      </c>
      <c r="AA76" s="18" t="s">
        <v>49</v>
      </c>
      <c r="AB76" s="18" t="s">
        <v>50</v>
      </c>
      <c r="AC76" s="18" t="s">
        <v>38</v>
      </c>
      <c r="AD76" s="7" t="str">
        <f t="shared" si="1"/>
        <v/>
      </c>
    </row>
    <row r="77" spans="1:49" s="26" customFormat="1" ht="35.1" customHeight="1" x14ac:dyDescent="0.25">
      <c r="A77" s="9" t="s">
        <v>146</v>
      </c>
      <c r="B77" s="10">
        <v>46054</v>
      </c>
      <c r="C77" s="10">
        <v>46054</v>
      </c>
      <c r="D77" s="11" t="s">
        <v>249</v>
      </c>
      <c r="E77" s="12">
        <v>0.9375</v>
      </c>
      <c r="F77" s="12">
        <v>1</v>
      </c>
      <c r="G77" s="12">
        <v>6.25E-2</v>
      </c>
      <c r="H77" s="9" t="s">
        <v>215</v>
      </c>
      <c r="I77" s="13" t="s">
        <v>226</v>
      </c>
      <c r="J77" s="9" t="s">
        <v>41</v>
      </c>
      <c r="K77" s="9"/>
      <c r="L77" s="14">
        <v>1</v>
      </c>
      <c r="M77" s="14">
        <v>1</v>
      </c>
      <c r="N77" s="9" t="s">
        <v>33</v>
      </c>
      <c r="O77" s="9"/>
      <c r="P77" s="16">
        <v>0</v>
      </c>
      <c r="Q77" s="14"/>
      <c r="R77" s="16">
        <v>0</v>
      </c>
      <c r="S77" s="9">
        <v>46054</v>
      </c>
      <c r="T77" s="16">
        <v>0</v>
      </c>
      <c r="U77" s="14">
        <v>2</v>
      </c>
      <c r="V77" s="16">
        <v>0</v>
      </c>
      <c r="W77" s="9" t="s">
        <v>34</v>
      </c>
      <c r="X77" s="9" t="s">
        <v>42</v>
      </c>
      <c r="Y77" s="9" t="s">
        <v>36</v>
      </c>
      <c r="Z77" s="9" t="s">
        <v>43</v>
      </c>
      <c r="AA77" s="9" t="s">
        <v>37</v>
      </c>
      <c r="AB77" s="9" t="s">
        <v>37</v>
      </c>
      <c r="AC77" s="9" t="s">
        <v>38</v>
      </c>
      <c r="AD77" s="7" t="str">
        <f t="shared" si="1"/>
        <v/>
      </c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</row>
    <row r="78" spans="1:49" s="26" customFormat="1" ht="35.1" customHeight="1" x14ac:dyDescent="0.25">
      <c r="A78" s="18" t="s">
        <v>93</v>
      </c>
      <c r="B78" s="19">
        <v>46054</v>
      </c>
      <c r="C78" s="19">
        <v>46054</v>
      </c>
      <c r="D78" s="18" t="s">
        <v>249</v>
      </c>
      <c r="E78" s="20">
        <v>0.79166666666666663</v>
      </c>
      <c r="F78" s="20">
        <v>0.99930555555555556</v>
      </c>
      <c r="G78" s="28">
        <v>1.7361111111111109E-4</v>
      </c>
      <c r="H78" s="29" t="s">
        <v>135</v>
      </c>
      <c r="I78" s="21">
        <v>0.94645891203703703</v>
      </c>
      <c r="J78" s="18" t="s">
        <v>136</v>
      </c>
      <c r="K78" s="18" t="s">
        <v>215</v>
      </c>
      <c r="L78" s="22">
        <v>1</v>
      </c>
      <c r="M78" s="22">
        <v>69566</v>
      </c>
      <c r="N78" s="18" t="s">
        <v>53</v>
      </c>
      <c r="O78" s="22" t="s">
        <v>137</v>
      </c>
      <c r="P78" s="23">
        <v>0</v>
      </c>
      <c r="Q78" s="22"/>
      <c r="R78" s="23">
        <v>16.531831119544499</v>
      </c>
      <c r="S78" s="24">
        <v>46054</v>
      </c>
      <c r="T78" s="23">
        <v>0</v>
      </c>
      <c r="U78" s="25">
        <v>4</v>
      </c>
      <c r="V78" s="23">
        <v>0</v>
      </c>
      <c r="W78" s="18" t="s">
        <v>47</v>
      </c>
      <c r="X78" s="18" t="s">
        <v>48</v>
      </c>
      <c r="Y78" s="18" t="s">
        <v>36</v>
      </c>
      <c r="Z78" s="18" t="s">
        <v>9</v>
      </c>
      <c r="AA78" s="18" t="s">
        <v>49</v>
      </c>
      <c r="AB78" s="18" t="s">
        <v>138</v>
      </c>
      <c r="AC78" s="18" t="s">
        <v>38</v>
      </c>
      <c r="AD78" s="7" t="str">
        <f t="shared" si="1"/>
        <v/>
      </c>
    </row>
    <row r="79" spans="1:49" s="26" customFormat="1" ht="35.1" customHeight="1" x14ac:dyDescent="0.25">
      <c r="A79" s="18" t="s">
        <v>93</v>
      </c>
      <c r="B79" s="19">
        <v>46054</v>
      </c>
      <c r="C79" s="19">
        <v>46054</v>
      </c>
      <c r="D79" s="18" t="s">
        <v>249</v>
      </c>
      <c r="E79" s="20">
        <v>0.79166666666666663</v>
      </c>
      <c r="F79" s="20">
        <v>0.99930555555555556</v>
      </c>
      <c r="G79" s="28">
        <v>1.7361111111111109E-4</v>
      </c>
      <c r="H79" s="29" t="s">
        <v>139</v>
      </c>
      <c r="I79" s="21">
        <v>0.94819525462962972</v>
      </c>
      <c r="J79" s="18" t="s">
        <v>136</v>
      </c>
      <c r="K79" s="18" t="s">
        <v>215</v>
      </c>
      <c r="L79" s="22">
        <v>1</v>
      </c>
      <c r="M79" s="22">
        <v>69566</v>
      </c>
      <c r="N79" s="18" t="s">
        <v>53</v>
      </c>
      <c r="O79" s="22" t="s">
        <v>137</v>
      </c>
      <c r="P79" s="23">
        <v>0</v>
      </c>
      <c r="Q79" s="22"/>
      <c r="R79" s="23">
        <v>16.531831119544499</v>
      </c>
      <c r="S79" s="24">
        <v>46054</v>
      </c>
      <c r="T79" s="23">
        <v>0</v>
      </c>
      <c r="U79" s="25">
        <v>4</v>
      </c>
      <c r="V79" s="23">
        <v>0</v>
      </c>
      <c r="W79" s="18" t="s">
        <v>47</v>
      </c>
      <c r="X79" s="18" t="s">
        <v>48</v>
      </c>
      <c r="Y79" s="18" t="s">
        <v>36</v>
      </c>
      <c r="Z79" s="18" t="s">
        <v>9</v>
      </c>
      <c r="AA79" s="18" t="s">
        <v>49</v>
      </c>
      <c r="AB79" s="18" t="s">
        <v>138</v>
      </c>
      <c r="AC79" s="18" t="s">
        <v>38</v>
      </c>
      <c r="AD79" s="7" t="str">
        <f t="shared" si="1"/>
        <v/>
      </c>
    </row>
    <row r="80" spans="1:49" s="26" customFormat="1" ht="35.1" customHeight="1" x14ac:dyDescent="0.25">
      <c r="A80" s="18" t="s">
        <v>61</v>
      </c>
      <c r="B80" s="19">
        <v>46054</v>
      </c>
      <c r="C80" s="19">
        <v>46054</v>
      </c>
      <c r="D80" s="18" t="s">
        <v>249</v>
      </c>
      <c r="E80" s="20">
        <v>0.25</v>
      </c>
      <c r="F80" s="20">
        <v>0.99930555555555556</v>
      </c>
      <c r="G80" s="20">
        <v>3.4722222222222218E-4</v>
      </c>
      <c r="H80" s="18" t="s">
        <v>62</v>
      </c>
      <c r="I80" s="21">
        <v>0.96378530092592596</v>
      </c>
      <c r="J80" s="18" t="s">
        <v>41</v>
      </c>
      <c r="K80" s="18" t="s">
        <v>215</v>
      </c>
      <c r="L80" s="22">
        <v>1</v>
      </c>
      <c r="M80" s="22">
        <v>64414</v>
      </c>
      <c r="N80" s="18" t="s">
        <v>46</v>
      </c>
      <c r="O80" s="22" t="s">
        <v>63</v>
      </c>
      <c r="P80" s="23">
        <v>0</v>
      </c>
      <c r="Q80" s="22"/>
      <c r="R80" s="23">
        <v>0</v>
      </c>
      <c r="S80" s="24">
        <v>46054</v>
      </c>
      <c r="T80" s="23">
        <v>0</v>
      </c>
      <c r="U80" s="25">
        <v>4</v>
      </c>
      <c r="V80" s="23">
        <v>0</v>
      </c>
      <c r="W80" s="18" t="s">
        <v>47</v>
      </c>
      <c r="X80" s="18" t="s">
        <v>48</v>
      </c>
      <c r="Y80" s="18" t="s">
        <v>36</v>
      </c>
      <c r="Z80" s="18" t="s">
        <v>9</v>
      </c>
      <c r="AA80" s="18" t="s">
        <v>49</v>
      </c>
      <c r="AB80" s="18" t="s">
        <v>64</v>
      </c>
      <c r="AC80" s="18" t="s">
        <v>38</v>
      </c>
      <c r="AD80" s="7" t="str">
        <f t="shared" si="1"/>
        <v/>
      </c>
      <c r="AE80" s="31"/>
      <c r="AF80" s="31"/>
      <c r="AG80" s="31"/>
      <c r="AH80" s="31"/>
      <c r="AI80" s="30"/>
      <c r="AJ80" s="30"/>
      <c r="AK80" s="30"/>
      <c r="AL80" s="30"/>
      <c r="AM80" s="30"/>
      <c r="AN80" s="30"/>
      <c r="AO80" s="30"/>
      <c r="AP80" s="30"/>
      <c r="AQ80" s="30"/>
      <c r="AR80" s="30"/>
      <c r="AS80" s="30"/>
      <c r="AT80" s="30"/>
      <c r="AU80" s="30"/>
      <c r="AV80" s="30"/>
      <c r="AW80" s="30"/>
    </row>
    <row r="81" spans="1:49" s="26" customFormat="1" ht="35.1" customHeight="1" x14ac:dyDescent="0.25">
      <c r="A81" s="18" t="s">
        <v>51</v>
      </c>
      <c r="B81" s="19">
        <v>46054</v>
      </c>
      <c r="C81" s="19">
        <v>46054</v>
      </c>
      <c r="D81" s="18" t="s">
        <v>249</v>
      </c>
      <c r="E81" s="20">
        <v>0.875</v>
      </c>
      <c r="F81" s="20">
        <v>0.99930555555555556</v>
      </c>
      <c r="G81" s="20">
        <v>3.4722222222222218E-4</v>
      </c>
      <c r="H81" s="18" t="s">
        <v>52</v>
      </c>
      <c r="I81" s="21">
        <v>0.99740740740740741</v>
      </c>
      <c r="J81" s="18" t="s">
        <v>41</v>
      </c>
      <c r="K81" s="18" t="s">
        <v>215</v>
      </c>
      <c r="L81" s="22">
        <v>1</v>
      </c>
      <c r="M81" s="22">
        <v>70368</v>
      </c>
      <c r="N81" s="18" t="s">
        <v>53</v>
      </c>
      <c r="O81" s="22" t="s">
        <v>54</v>
      </c>
      <c r="P81" s="23">
        <v>40</v>
      </c>
      <c r="Q81" s="22"/>
      <c r="R81" s="23">
        <v>40</v>
      </c>
      <c r="S81" s="24">
        <v>46054</v>
      </c>
      <c r="T81" s="23">
        <v>6</v>
      </c>
      <c r="U81" s="25">
        <v>4</v>
      </c>
      <c r="V81" s="23">
        <v>34</v>
      </c>
      <c r="W81" s="18" t="s">
        <v>47</v>
      </c>
      <c r="X81" s="18" t="s">
        <v>48</v>
      </c>
      <c r="Y81" s="18" t="s">
        <v>36</v>
      </c>
      <c r="Z81" s="18" t="s">
        <v>9</v>
      </c>
      <c r="AA81" s="18" t="s">
        <v>49</v>
      </c>
      <c r="AB81" s="18" t="s">
        <v>55</v>
      </c>
      <c r="AC81" s="18" t="s">
        <v>38</v>
      </c>
      <c r="AD81" s="7" t="str">
        <f t="shared" si="1"/>
        <v/>
      </c>
      <c r="AI81" s="27"/>
      <c r="AJ81" s="27"/>
      <c r="AK81" s="27"/>
      <c r="AL81" s="27"/>
      <c r="AM81" s="27"/>
      <c r="AN81" s="27"/>
      <c r="AO81" s="27"/>
      <c r="AP81" s="27"/>
      <c r="AQ81" s="27"/>
      <c r="AR81" s="27"/>
      <c r="AS81" s="27"/>
      <c r="AT81" s="27"/>
      <c r="AU81" s="27"/>
      <c r="AV81" s="27"/>
      <c r="AW81" s="27"/>
    </row>
    <row r="82" spans="1:49" ht="44.25" customHeight="1" x14ac:dyDescent="0.2"/>
    <row r="83" spans="1:49" ht="44.25" customHeight="1" x14ac:dyDescent="0.2"/>
    <row r="84" spans="1:49" ht="44.25" customHeight="1" x14ac:dyDescent="0.2"/>
    <row r="85" spans="1:49" ht="44.25" customHeight="1" x14ac:dyDescent="0.2"/>
    <row r="86" spans="1:49" ht="44.25" customHeight="1" x14ac:dyDescent="0.2"/>
    <row r="87" spans="1:49" ht="44.25" customHeight="1" x14ac:dyDescent="0.2"/>
    <row r="88" spans="1:49" ht="44.25" customHeight="1" x14ac:dyDescent="0.2"/>
    <row r="89" spans="1:49" ht="44.25" customHeight="1" x14ac:dyDescent="0.2"/>
    <row r="90" spans="1:49" ht="44.25" customHeight="1" x14ac:dyDescent="0.2"/>
    <row r="91" spans="1:49" ht="44.25" customHeight="1" x14ac:dyDescent="0.2"/>
    <row r="92" spans="1:49" ht="44.25" customHeight="1" x14ac:dyDescent="0.2"/>
    <row r="93" spans="1:49" ht="44.25" customHeight="1" x14ac:dyDescent="0.2"/>
    <row r="94" spans="1:49" ht="44.25" customHeight="1" x14ac:dyDescent="0.2"/>
    <row r="95" spans="1:49" ht="44.25" customHeight="1" x14ac:dyDescent="0.2"/>
    <row r="96" spans="1:49" ht="44.25" customHeight="1" x14ac:dyDescent="0.2"/>
    <row r="97" customFormat="1" ht="44.25" customHeight="1" x14ac:dyDescent="0.2"/>
    <row r="98" customFormat="1" ht="44.25" customHeight="1" x14ac:dyDescent="0.2"/>
    <row r="99" customFormat="1" ht="44.25" customHeight="1" x14ac:dyDescent="0.2"/>
    <row r="100" customFormat="1" ht="44.25" customHeight="1" x14ac:dyDescent="0.2"/>
    <row r="101" customFormat="1" ht="44.25" customHeight="1" x14ac:dyDescent="0.2"/>
    <row r="102" customFormat="1" ht="44.25" customHeight="1" x14ac:dyDescent="0.2"/>
    <row r="103" customFormat="1" ht="44.25" customHeight="1" x14ac:dyDescent="0.2"/>
    <row r="104" customFormat="1" ht="44.25" customHeight="1" x14ac:dyDescent="0.2"/>
    <row r="105" customFormat="1" ht="44.25" customHeight="1" x14ac:dyDescent="0.2"/>
    <row r="106" customFormat="1" ht="44.25" customHeight="1" x14ac:dyDescent="0.2"/>
    <row r="107" customFormat="1" ht="44.25" customHeight="1" x14ac:dyDescent="0.2"/>
    <row r="108" customFormat="1" ht="44.25" customHeight="1" x14ac:dyDescent="0.2"/>
    <row r="109" customFormat="1" ht="44.25" customHeight="1" x14ac:dyDescent="0.2"/>
    <row r="110" customFormat="1" ht="44.25" customHeight="1" x14ac:dyDescent="0.2"/>
    <row r="111" customFormat="1" ht="44.25" customHeight="1" x14ac:dyDescent="0.2"/>
    <row r="112" customFormat="1" ht="44.25" customHeight="1" x14ac:dyDescent="0.2"/>
    <row r="113" customFormat="1" ht="44.25" customHeight="1" x14ac:dyDescent="0.2"/>
    <row r="114" customFormat="1" ht="44.25" customHeight="1" x14ac:dyDescent="0.2"/>
    <row r="115" customFormat="1" ht="44.25" customHeight="1" x14ac:dyDescent="0.2"/>
    <row r="116" customFormat="1" ht="44.25" customHeight="1" x14ac:dyDescent="0.2"/>
    <row r="117" customFormat="1" ht="44.25" customHeight="1" x14ac:dyDescent="0.2"/>
    <row r="118" customFormat="1" ht="44.25" customHeight="1" x14ac:dyDescent="0.2"/>
    <row r="119" customFormat="1" ht="44.25" customHeight="1" x14ac:dyDescent="0.2"/>
    <row r="120" customFormat="1" ht="44.25" customHeight="1" x14ac:dyDescent="0.2"/>
    <row r="121" customFormat="1" ht="44.25" customHeight="1" x14ac:dyDescent="0.2"/>
    <row r="122" customFormat="1" ht="44.25" customHeight="1" x14ac:dyDescent="0.2"/>
    <row r="123" customFormat="1" ht="44.25" customHeight="1" x14ac:dyDescent="0.2"/>
    <row r="124" customFormat="1" ht="44.25" customHeight="1" x14ac:dyDescent="0.2"/>
    <row r="125" customFormat="1" ht="44.25" customHeight="1" x14ac:dyDescent="0.2"/>
    <row r="126" customFormat="1" ht="44.25" customHeight="1" x14ac:dyDescent="0.2"/>
    <row r="127" customFormat="1" ht="44.25" customHeight="1" x14ac:dyDescent="0.2"/>
    <row r="128" customFormat="1" ht="44.25" customHeight="1" x14ac:dyDescent="0.2"/>
    <row r="129" customFormat="1" ht="44.25" customHeight="1" x14ac:dyDescent="0.2"/>
    <row r="130" customFormat="1" ht="44.25" customHeight="1" x14ac:dyDescent="0.2"/>
    <row r="131" customFormat="1" ht="44.25" customHeight="1" x14ac:dyDescent="0.2"/>
    <row r="132" customFormat="1" ht="44.25" customHeight="1" x14ac:dyDescent="0.2"/>
    <row r="133" customFormat="1" ht="44.25" customHeight="1" x14ac:dyDescent="0.2"/>
    <row r="134" customFormat="1" ht="44.25" customHeight="1" x14ac:dyDescent="0.2"/>
    <row r="135" customFormat="1" ht="44.25" customHeight="1" x14ac:dyDescent="0.2"/>
    <row r="136" customFormat="1" ht="44.25" customHeight="1" x14ac:dyDescent="0.2"/>
    <row r="137" customFormat="1" ht="44.25" customHeight="1" x14ac:dyDescent="0.2"/>
    <row r="138" customFormat="1" ht="44.25" customHeight="1" x14ac:dyDescent="0.2"/>
    <row r="139" customFormat="1" ht="44.25" customHeight="1" x14ac:dyDescent="0.2"/>
    <row r="140" customFormat="1" ht="44.25" customHeight="1" x14ac:dyDescent="0.2"/>
    <row r="141" customFormat="1" ht="44.25" customHeight="1" x14ac:dyDescent="0.2"/>
    <row r="142" customFormat="1" ht="44.25" customHeight="1" x14ac:dyDescent="0.2"/>
    <row r="143" customFormat="1" ht="44.25" customHeight="1" x14ac:dyDescent="0.2"/>
    <row r="144" customFormat="1" ht="44.25" customHeight="1" x14ac:dyDescent="0.2"/>
    <row r="145" customFormat="1" ht="44.25" customHeight="1" x14ac:dyDescent="0.2"/>
    <row r="146" customFormat="1" ht="44.25" customHeight="1" x14ac:dyDescent="0.2"/>
    <row r="147" customFormat="1" ht="44.25" customHeight="1" x14ac:dyDescent="0.2"/>
    <row r="148" customFormat="1" ht="44.25" customHeight="1" x14ac:dyDescent="0.2"/>
    <row r="149" customFormat="1" ht="44.25" customHeight="1" x14ac:dyDescent="0.2"/>
    <row r="150" customFormat="1" ht="44.25" customHeight="1" x14ac:dyDescent="0.2"/>
    <row r="151" customFormat="1" ht="44.25" customHeight="1" x14ac:dyDescent="0.2"/>
    <row r="152" customFormat="1" ht="44.25" customHeight="1" x14ac:dyDescent="0.2"/>
    <row r="153" customFormat="1" ht="44.25" customHeight="1" x14ac:dyDescent="0.2"/>
    <row r="154" customFormat="1" ht="44.25" customHeight="1" x14ac:dyDescent="0.2"/>
    <row r="155" customFormat="1" ht="44.25" customHeight="1" x14ac:dyDescent="0.2"/>
    <row r="156" customFormat="1" ht="44.25" customHeight="1" x14ac:dyDescent="0.2"/>
    <row r="157" customFormat="1" ht="44.25" customHeight="1" x14ac:dyDescent="0.2"/>
    <row r="158" customFormat="1" ht="44.25" customHeight="1" x14ac:dyDescent="0.2"/>
    <row r="159" customFormat="1" ht="44.25" customHeight="1" x14ac:dyDescent="0.2"/>
    <row r="160" customFormat="1" ht="44.25" customHeight="1" x14ac:dyDescent="0.2"/>
    <row r="161" customFormat="1" ht="44.25" customHeight="1" x14ac:dyDescent="0.2"/>
    <row r="162" customFormat="1" ht="44.25" customHeight="1" x14ac:dyDescent="0.2"/>
    <row r="163" customFormat="1" ht="44.25" customHeight="1" x14ac:dyDescent="0.2"/>
    <row r="164" customFormat="1" ht="44.25" customHeight="1" x14ac:dyDescent="0.2"/>
    <row r="165" customFormat="1" ht="44.25" customHeight="1" x14ac:dyDescent="0.2"/>
    <row r="166" customFormat="1" ht="44.25" customHeight="1" x14ac:dyDescent="0.2"/>
    <row r="167" customFormat="1" ht="44.25" customHeight="1" x14ac:dyDescent="0.2"/>
    <row r="168" customFormat="1" ht="44.25" customHeight="1" x14ac:dyDescent="0.2"/>
    <row r="169" customFormat="1" ht="44.25" customHeight="1" x14ac:dyDescent="0.2"/>
    <row r="170" customFormat="1" ht="44.25" customHeight="1" x14ac:dyDescent="0.2"/>
    <row r="171" customFormat="1" ht="44.25" customHeight="1" x14ac:dyDescent="0.2"/>
    <row r="172" customFormat="1" ht="44.25" customHeight="1" x14ac:dyDescent="0.2"/>
    <row r="173" customFormat="1" ht="44.25" customHeight="1" x14ac:dyDescent="0.2"/>
    <row r="174" customFormat="1" ht="44.25" customHeight="1" x14ac:dyDescent="0.2"/>
    <row r="175" customFormat="1" ht="44.25" customHeight="1" x14ac:dyDescent="0.2"/>
    <row r="176" customFormat="1" ht="44.25" customHeight="1" x14ac:dyDescent="0.2"/>
    <row r="177" customFormat="1" ht="44.25" customHeight="1" x14ac:dyDescent="0.2"/>
    <row r="178" customFormat="1" ht="44.25" customHeight="1" x14ac:dyDescent="0.2"/>
    <row r="179" customFormat="1" ht="44.25" customHeight="1" x14ac:dyDescent="0.2"/>
    <row r="180" customFormat="1" ht="44.25" customHeight="1" x14ac:dyDescent="0.2"/>
    <row r="181" customFormat="1" ht="44.25" customHeight="1" x14ac:dyDescent="0.2"/>
    <row r="182" customFormat="1" ht="44.25" customHeight="1" x14ac:dyDescent="0.2"/>
    <row r="183" customFormat="1" ht="44.25" customHeight="1" x14ac:dyDescent="0.2"/>
    <row r="184" customFormat="1" ht="44.25" customHeight="1" x14ac:dyDescent="0.2"/>
    <row r="185" customFormat="1" ht="44.25" customHeight="1" x14ac:dyDescent="0.2"/>
    <row r="186" customFormat="1" ht="44.25" customHeight="1" x14ac:dyDescent="0.2"/>
    <row r="187" customFormat="1" ht="44.25" customHeight="1" x14ac:dyDescent="0.2"/>
    <row r="188" customFormat="1" ht="44.25" customHeight="1" x14ac:dyDescent="0.2"/>
    <row r="189" customFormat="1" ht="44.25" customHeight="1" x14ac:dyDescent="0.2"/>
    <row r="190" customFormat="1" ht="44.25" customHeight="1" x14ac:dyDescent="0.2"/>
    <row r="191" customFormat="1" ht="44.25" customHeight="1" x14ac:dyDescent="0.2"/>
    <row r="192" customFormat="1" ht="44.25" customHeight="1" x14ac:dyDescent="0.2"/>
    <row r="193" customFormat="1" ht="44.25" customHeight="1" x14ac:dyDescent="0.2"/>
    <row r="194" customFormat="1" ht="44.25" customHeight="1" x14ac:dyDescent="0.2"/>
    <row r="195" customFormat="1" ht="44.25" customHeight="1" x14ac:dyDescent="0.2"/>
    <row r="196" customFormat="1" ht="44.25" customHeight="1" x14ac:dyDescent="0.2"/>
    <row r="197" customFormat="1" ht="44.25" customHeight="1" x14ac:dyDescent="0.2"/>
    <row r="198" customFormat="1" ht="44.25" customHeight="1" x14ac:dyDescent="0.2"/>
    <row r="199" customFormat="1" ht="44.25" customHeight="1" x14ac:dyDescent="0.2"/>
    <row r="200" customFormat="1" ht="44.25" customHeight="1" x14ac:dyDescent="0.2"/>
    <row r="201" customFormat="1" ht="44.25" customHeight="1" x14ac:dyDescent="0.2"/>
    <row r="202" customFormat="1" ht="44.25" customHeight="1" x14ac:dyDescent="0.2"/>
    <row r="203" customFormat="1" ht="44.25" customHeight="1" x14ac:dyDescent="0.2"/>
    <row r="204" customFormat="1" ht="44.25" customHeight="1" x14ac:dyDescent="0.2"/>
    <row r="205" customFormat="1" ht="44.25" customHeight="1" x14ac:dyDescent="0.2"/>
    <row r="206" customFormat="1" ht="44.25" customHeight="1" x14ac:dyDescent="0.2"/>
    <row r="207" customFormat="1" ht="44.25" customHeight="1" x14ac:dyDescent="0.2"/>
    <row r="208" customFormat="1" ht="44.25" customHeight="1" x14ac:dyDescent="0.2"/>
    <row r="209" customFormat="1" ht="44.25" customHeight="1" x14ac:dyDescent="0.2"/>
    <row r="210" customFormat="1" ht="44.25" customHeight="1" x14ac:dyDescent="0.2"/>
    <row r="211" customFormat="1" ht="44.25" customHeight="1" x14ac:dyDescent="0.2"/>
    <row r="212" customFormat="1" ht="44.25" customHeight="1" x14ac:dyDescent="0.2"/>
    <row r="213" customFormat="1" ht="44.25" customHeight="1" x14ac:dyDescent="0.2"/>
    <row r="214" customFormat="1" ht="44.25" customHeight="1" x14ac:dyDescent="0.2"/>
    <row r="215" customFormat="1" ht="44.25" customHeight="1" x14ac:dyDescent="0.2"/>
    <row r="216" customFormat="1" ht="44.25" customHeight="1" x14ac:dyDescent="0.2"/>
    <row r="217" customFormat="1" ht="44.25" customHeight="1" x14ac:dyDescent="0.2"/>
    <row r="218" customFormat="1" ht="44.25" customHeight="1" x14ac:dyDescent="0.2"/>
    <row r="219" customFormat="1" ht="44.25" customHeight="1" x14ac:dyDescent="0.2"/>
    <row r="220" customFormat="1" ht="44.25" customHeight="1" x14ac:dyDescent="0.2"/>
    <row r="221" customFormat="1" ht="44.25" customHeight="1" x14ac:dyDescent="0.2"/>
    <row r="222" customFormat="1" ht="44.25" customHeight="1" x14ac:dyDescent="0.2"/>
    <row r="223" customFormat="1" ht="44.25" customHeight="1" x14ac:dyDescent="0.2"/>
    <row r="224" customFormat="1" ht="44.25" customHeight="1" x14ac:dyDescent="0.2"/>
    <row r="225" customFormat="1" ht="44.25" customHeight="1" x14ac:dyDescent="0.2"/>
    <row r="226" customFormat="1" ht="44.25" customHeight="1" x14ac:dyDescent="0.2"/>
    <row r="227" customFormat="1" ht="44.25" customHeight="1" x14ac:dyDescent="0.2"/>
    <row r="228" customFormat="1" ht="44.25" customHeight="1" x14ac:dyDescent="0.2"/>
    <row r="229" customFormat="1" ht="44.25" customHeight="1" x14ac:dyDescent="0.2"/>
    <row r="230" customFormat="1" ht="44.25" customHeight="1" x14ac:dyDescent="0.2"/>
    <row r="231" customFormat="1" ht="44.25" customHeight="1" x14ac:dyDescent="0.2"/>
    <row r="232" customFormat="1" ht="44.25" customHeight="1" x14ac:dyDescent="0.2"/>
    <row r="233" customFormat="1" ht="44.25" customHeight="1" x14ac:dyDescent="0.2"/>
    <row r="234" customFormat="1" ht="44.25" customHeight="1" x14ac:dyDescent="0.2"/>
    <row r="235" customFormat="1" ht="44.25" customHeight="1" x14ac:dyDescent="0.2"/>
    <row r="236" customFormat="1" ht="44.25" customHeight="1" x14ac:dyDescent="0.2"/>
    <row r="237" customFormat="1" ht="44.25" customHeight="1" x14ac:dyDescent="0.2"/>
    <row r="238" customFormat="1" ht="44.25" customHeight="1" x14ac:dyDescent="0.2"/>
    <row r="239" customFormat="1" ht="44.25" customHeight="1" x14ac:dyDescent="0.2"/>
    <row r="240" customFormat="1" ht="44.25" customHeight="1" x14ac:dyDescent="0.2"/>
    <row r="241" customFormat="1" ht="44.25" customHeight="1" x14ac:dyDescent="0.2"/>
    <row r="242" customFormat="1" ht="44.25" customHeight="1" x14ac:dyDescent="0.2"/>
    <row r="243" customFormat="1" ht="44.25" customHeight="1" x14ac:dyDescent="0.2"/>
    <row r="244" customFormat="1" ht="44.25" customHeight="1" x14ac:dyDescent="0.2"/>
    <row r="245" customFormat="1" ht="44.25" customHeight="1" x14ac:dyDescent="0.2"/>
    <row r="246" customFormat="1" ht="44.25" customHeight="1" x14ac:dyDescent="0.2"/>
    <row r="247" customFormat="1" ht="44.25" customHeight="1" x14ac:dyDescent="0.2"/>
    <row r="248" customFormat="1" ht="44.25" customHeight="1" x14ac:dyDescent="0.2"/>
    <row r="249" customFormat="1" ht="44.25" customHeight="1" x14ac:dyDescent="0.2"/>
    <row r="250" customFormat="1" ht="44.25" customHeight="1" x14ac:dyDescent="0.2"/>
    <row r="251" customFormat="1" ht="44.25" customHeight="1" x14ac:dyDescent="0.2"/>
    <row r="252" customFormat="1" ht="44.25" customHeight="1" x14ac:dyDescent="0.2"/>
    <row r="253" customFormat="1" ht="44.25" customHeight="1" x14ac:dyDescent="0.2"/>
    <row r="254" customFormat="1" ht="44.25" customHeight="1" x14ac:dyDescent="0.2"/>
    <row r="255" customFormat="1" ht="44.25" customHeight="1" x14ac:dyDescent="0.2"/>
    <row r="256" customFormat="1" ht="44.25" customHeight="1" x14ac:dyDescent="0.2"/>
    <row r="257" customFormat="1" ht="44.25" customHeight="1" x14ac:dyDescent="0.2"/>
    <row r="258" customFormat="1" ht="44.25" customHeight="1" x14ac:dyDescent="0.2"/>
    <row r="259" customFormat="1" ht="44.25" customHeight="1" x14ac:dyDescent="0.2"/>
    <row r="260" customFormat="1" ht="44.25" customHeight="1" x14ac:dyDescent="0.2"/>
    <row r="261" customFormat="1" ht="44.25" customHeight="1" x14ac:dyDescent="0.2"/>
    <row r="262" customFormat="1" ht="44.25" customHeight="1" x14ac:dyDescent="0.2"/>
    <row r="263" customFormat="1" ht="44.25" customHeight="1" x14ac:dyDescent="0.2"/>
    <row r="264" customFormat="1" ht="44.25" customHeight="1" x14ac:dyDescent="0.2"/>
    <row r="265" customFormat="1" ht="44.25" customHeight="1" x14ac:dyDescent="0.2"/>
    <row r="266" customFormat="1" ht="44.25" customHeight="1" x14ac:dyDescent="0.2"/>
    <row r="267" customFormat="1" ht="44.25" customHeight="1" x14ac:dyDescent="0.2"/>
    <row r="268" customFormat="1" ht="44.25" customHeight="1" x14ac:dyDescent="0.2"/>
    <row r="269" customFormat="1" ht="44.25" customHeight="1" x14ac:dyDescent="0.2"/>
    <row r="270" customFormat="1" ht="44.25" customHeight="1" x14ac:dyDescent="0.2"/>
    <row r="271" customFormat="1" ht="44.25" customHeight="1" x14ac:dyDescent="0.2"/>
    <row r="272" customFormat="1" ht="44.25" customHeight="1" x14ac:dyDescent="0.2"/>
    <row r="273" customFormat="1" ht="44.25" customHeight="1" x14ac:dyDescent="0.2"/>
    <row r="274" customFormat="1" ht="44.25" customHeight="1" x14ac:dyDescent="0.2"/>
    <row r="275" customFormat="1" ht="44.25" customHeight="1" x14ac:dyDescent="0.2"/>
    <row r="276" customFormat="1" ht="44.25" customHeight="1" x14ac:dyDescent="0.2"/>
    <row r="277" customFormat="1" ht="44.25" customHeight="1" x14ac:dyDescent="0.2"/>
    <row r="278" customFormat="1" ht="44.25" customHeight="1" x14ac:dyDescent="0.2"/>
    <row r="279" customFormat="1" ht="44.25" customHeight="1" x14ac:dyDescent="0.2"/>
    <row r="280" customFormat="1" ht="44.25" customHeight="1" x14ac:dyDescent="0.2"/>
    <row r="281" customFormat="1" ht="44.25" customHeight="1" x14ac:dyDescent="0.2"/>
    <row r="282" customFormat="1" ht="44.25" customHeight="1" x14ac:dyDescent="0.2"/>
    <row r="283" customFormat="1" ht="44.25" customHeight="1" x14ac:dyDescent="0.2"/>
    <row r="284" customFormat="1" ht="44.25" customHeight="1" x14ac:dyDescent="0.2"/>
    <row r="285" customFormat="1" ht="44.25" customHeight="1" x14ac:dyDescent="0.2"/>
    <row r="286" customFormat="1" ht="44.25" customHeight="1" x14ac:dyDescent="0.2"/>
    <row r="287" customFormat="1" ht="44.25" customHeight="1" x14ac:dyDescent="0.2"/>
    <row r="288" customFormat="1" ht="44.25" customHeight="1" x14ac:dyDescent="0.2"/>
    <row r="289" customFormat="1" ht="44.25" customHeight="1" x14ac:dyDescent="0.2"/>
    <row r="290" customFormat="1" ht="44.25" customHeight="1" x14ac:dyDescent="0.2"/>
    <row r="291" customFormat="1" ht="44.25" customHeight="1" x14ac:dyDescent="0.2"/>
    <row r="292" customFormat="1" ht="44.25" customHeight="1" x14ac:dyDescent="0.2"/>
    <row r="293" customFormat="1" ht="44.25" customHeight="1" x14ac:dyDescent="0.2"/>
    <row r="294" customFormat="1" ht="44.25" customHeight="1" x14ac:dyDescent="0.2"/>
    <row r="295" customFormat="1" ht="44.25" customHeight="1" x14ac:dyDescent="0.2"/>
    <row r="296" customFormat="1" ht="44.25" customHeight="1" x14ac:dyDescent="0.2"/>
    <row r="297" customFormat="1" ht="44.25" customHeight="1" x14ac:dyDescent="0.2"/>
    <row r="298" customFormat="1" ht="44.25" customHeight="1" x14ac:dyDescent="0.2"/>
    <row r="299" customFormat="1" ht="44.25" customHeight="1" x14ac:dyDescent="0.2"/>
    <row r="300" customFormat="1" ht="44.25" customHeight="1" x14ac:dyDescent="0.2"/>
    <row r="301" customFormat="1" ht="44.25" customHeight="1" x14ac:dyDescent="0.2"/>
    <row r="302" customFormat="1" ht="44.25" customHeight="1" x14ac:dyDescent="0.2"/>
    <row r="303" customFormat="1" ht="44.25" customHeight="1" x14ac:dyDescent="0.2"/>
    <row r="304" customFormat="1" ht="44.25" customHeight="1" x14ac:dyDescent="0.2"/>
    <row r="305" customFormat="1" ht="44.25" customHeight="1" x14ac:dyDescent="0.2"/>
    <row r="306" customFormat="1" ht="44.25" customHeight="1" x14ac:dyDescent="0.2"/>
    <row r="307" customFormat="1" ht="44.25" customHeight="1" x14ac:dyDescent="0.2"/>
    <row r="308" customFormat="1" ht="44.25" customHeight="1" x14ac:dyDescent="0.2"/>
    <row r="309" customFormat="1" ht="44.25" customHeight="1" x14ac:dyDescent="0.2"/>
    <row r="310" customFormat="1" ht="44.25" customHeight="1" x14ac:dyDescent="0.2"/>
    <row r="311" customFormat="1" ht="44.25" customHeight="1" x14ac:dyDescent="0.2"/>
    <row r="312" customFormat="1" ht="44.25" customHeight="1" x14ac:dyDescent="0.2"/>
    <row r="313" customFormat="1" ht="44.25" customHeight="1" x14ac:dyDescent="0.2"/>
    <row r="314" customFormat="1" ht="44.25" customHeight="1" x14ac:dyDescent="0.2"/>
    <row r="315" customFormat="1" ht="44.25" customHeight="1" x14ac:dyDescent="0.2"/>
    <row r="316" customFormat="1" ht="44.25" customHeight="1" x14ac:dyDescent="0.2"/>
    <row r="317" customFormat="1" ht="44.25" customHeight="1" x14ac:dyDescent="0.2"/>
    <row r="318" customFormat="1" ht="44.25" customHeight="1" x14ac:dyDescent="0.2"/>
    <row r="319" customFormat="1" ht="44.25" customHeight="1" x14ac:dyDescent="0.2"/>
    <row r="320" customFormat="1" ht="44.25" customHeight="1" x14ac:dyDescent="0.2"/>
    <row r="321" customFormat="1" ht="44.25" customHeight="1" x14ac:dyDescent="0.2"/>
    <row r="322" customFormat="1" ht="44.25" customHeight="1" x14ac:dyDescent="0.2"/>
    <row r="323" customFormat="1" ht="44.25" customHeight="1" x14ac:dyDescent="0.2"/>
    <row r="324" customFormat="1" ht="44.25" customHeight="1" x14ac:dyDescent="0.2"/>
    <row r="325" customFormat="1" x14ac:dyDescent="0.2"/>
    <row r="326" customFormat="1" x14ac:dyDescent="0.2"/>
    <row r="327" customFormat="1" x14ac:dyDescent="0.2"/>
    <row r="328" customFormat="1" x14ac:dyDescent="0.2"/>
    <row r="329" customFormat="1" x14ac:dyDescent="0.2"/>
    <row r="330" customFormat="1" x14ac:dyDescent="0.2"/>
    <row r="331" customFormat="1" x14ac:dyDescent="0.2"/>
    <row r="332" customFormat="1" x14ac:dyDescent="0.2"/>
    <row r="333" customFormat="1" x14ac:dyDescent="0.2"/>
    <row r="334" customFormat="1" x14ac:dyDescent="0.2"/>
    <row r="335" customFormat="1" x14ac:dyDescent="0.2"/>
    <row r="336" customFormat="1" x14ac:dyDescent="0.2"/>
    <row r="337" customFormat="1" x14ac:dyDescent="0.2"/>
    <row r="338" customFormat="1" x14ac:dyDescent="0.2"/>
    <row r="339" customFormat="1" x14ac:dyDescent="0.2"/>
    <row r="340" customFormat="1" x14ac:dyDescent="0.2"/>
    <row r="341" customFormat="1" x14ac:dyDescent="0.2"/>
    <row r="342" customFormat="1" x14ac:dyDescent="0.2"/>
    <row r="343" customFormat="1" x14ac:dyDescent="0.2"/>
    <row r="344" customFormat="1" x14ac:dyDescent="0.2"/>
    <row r="345" customFormat="1" x14ac:dyDescent="0.2"/>
    <row r="346" customFormat="1" x14ac:dyDescent="0.2"/>
    <row r="347" customFormat="1" x14ac:dyDescent="0.2"/>
    <row r="348" customFormat="1" x14ac:dyDescent="0.2"/>
    <row r="349" customFormat="1" x14ac:dyDescent="0.2"/>
    <row r="350" customFormat="1" x14ac:dyDescent="0.2"/>
    <row r="351" customFormat="1" x14ac:dyDescent="0.2"/>
    <row r="352" customFormat="1" x14ac:dyDescent="0.2"/>
    <row r="353" customFormat="1" x14ac:dyDescent="0.2"/>
    <row r="354" customFormat="1" x14ac:dyDescent="0.2"/>
    <row r="355" customFormat="1" x14ac:dyDescent="0.2"/>
    <row r="356" customFormat="1" x14ac:dyDescent="0.2"/>
    <row r="357" customFormat="1" x14ac:dyDescent="0.2"/>
    <row r="358" customFormat="1" x14ac:dyDescent="0.2"/>
    <row r="359" customFormat="1" x14ac:dyDescent="0.2"/>
    <row r="360" customFormat="1" x14ac:dyDescent="0.2"/>
    <row r="361" customFormat="1" x14ac:dyDescent="0.2"/>
    <row r="362" customFormat="1" x14ac:dyDescent="0.2"/>
    <row r="363" customFormat="1" x14ac:dyDescent="0.2"/>
    <row r="364" customFormat="1" x14ac:dyDescent="0.2"/>
    <row r="365" customFormat="1" x14ac:dyDescent="0.2"/>
    <row r="366" customFormat="1" x14ac:dyDescent="0.2"/>
    <row r="367" customFormat="1" x14ac:dyDescent="0.2"/>
    <row r="368" customFormat="1" x14ac:dyDescent="0.2"/>
    <row r="369" customFormat="1" x14ac:dyDescent="0.2"/>
    <row r="370" customFormat="1" x14ac:dyDescent="0.2"/>
    <row r="371" customFormat="1" x14ac:dyDescent="0.2"/>
    <row r="372" customFormat="1" x14ac:dyDescent="0.2"/>
    <row r="373" customFormat="1" x14ac:dyDescent="0.2"/>
    <row r="374" customFormat="1" x14ac:dyDescent="0.2"/>
    <row r="375" customFormat="1" x14ac:dyDescent="0.2"/>
    <row r="376" customFormat="1" x14ac:dyDescent="0.2"/>
    <row r="377" customFormat="1" x14ac:dyDescent="0.2"/>
    <row r="378" customFormat="1" x14ac:dyDescent="0.2"/>
    <row r="379" customFormat="1" x14ac:dyDescent="0.2"/>
    <row r="380" customFormat="1" x14ac:dyDescent="0.2"/>
    <row r="381" customFormat="1" x14ac:dyDescent="0.2"/>
    <row r="382" customFormat="1" x14ac:dyDescent="0.2"/>
    <row r="383" customFormat="1" x14ac:dyDescent="0.2"/>
    <row r="384" customFormat="1" x14ac:dyDescent="0.2"/>
    <row r="385" customFormat="1" x14ac:dyDescent="0.2"/>
    <row r="386" customFormat="1" x14ac:dyDescent="0.2"/>
    <row r="387" customFormat="1" x14ac:dyDescent="0.2"/>
    <row r="388" customFormat="1" x14ac:dyDescent="0.2"/>
    <row r="389" customFormat="1" x14ac:dyDescent="0.2"/>
    <row r="390" customFormat="1" x14ac:dyDescent="0.2"/>
    <row r="391" customFormat="1" x14ac:dyDescent="0.2"/>
    <row r="392" customFormat="1" x14ac:dyDescent="0.2"/>
    <row r="393" customFormat="1" x14ac:dyDescent="0.2"/>
    <row r="394" customFormat="1" x14ac:dyDescent="0.2"/>
    <row r="395" customFormat="1" x14ac:dyDescent="0.2"/>
    <row r="396" customFormat="1" x14ac:dyDescent="0.2"/>
    <row r="397" customFormat="1" x14ac:dyDescent="0.2"/>
    <row r="398" customFormat="1" x14ac:dyDescent="0.2"/>
    <row r="399" customFormat="1" x14ac:dyDescent="0.2"/>
    <row r="400" customFormat="1" x14ac:dyDescent="0.2"/>
  </sheetData>
  <autoFilter ref="A1:AD81" xr:uid="{BEFFF80A-39D5-4F34-BB07-38FF121BCB6A}"/>
  <sortState xmlns:xlrd2="http://schemas.microsoft.com/office/spreadsheetml/2017/richdata2" ref="A2:AD326">
    <sortCondition sortBy="cellColor" ref="E1:E500" dxfId="19"/>
  </sortState>
  <conditionalFormatting sqref="AD1:AD81">
    <cfRule type="cellIs" dxfId="18" priority="2" operator="equal">
      <formula>"NO"</formula>
    </cfRule>
  </conditionalFormatting>
  <conditionalFormatting sqref="E2:F81">
    <cfRule type="timePeriod" dxfId="17" priority="1" timePeriod="lastWeek">
      <formula>AND(TODAY()-ROUNDDOWN(E2,0)&gt;=(WEEKDAY(TODAY())),TODAY()-ROUNDDOWN(E2,0)&lt;(WEEKDAY(TODAY())+7))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MASTER FOR BILLING</vt:lpstr>
      <vt:lpstr>Monday</vt:lpstr>
      <vt:lpstr>Tuesday</vt:lpstr>
      <vt:lpstr>Wednesday</vt:lpstr>
      <vt:lpstr>Thursday</vt:lpstr>
      <vt:lpstr>Friday</vt:lpstr>
      <vt:lpstr>Saturday</vt:lpstr>
      <vt:lpstr>Sunday</vt:lpstr>
    </vt:vector>
  </TitlesOfParts>
  <Company>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Traffic Log - Crossings TV</dc:title>
  <dc:creator>Lee Hudson</dc:creator>
  <cp:lastModifiedBy>Maija Her</cp:lastModifiedBy>
  <cp:lastPrinted>2012-09-29T03:51:51Z</cp:lastPrinted>
  <dcterms:created xsi:type="dcterms:W3CDTF">2005-09-22T19:39:33Z</dcterms:created>
  <dcterms:modified xsi:type="dcterms:W3CDTF">2026-02-02T04:29:13Z</dcterms:modified>
</cp:coreProperties>
</file>