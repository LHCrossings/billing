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49212091-931F-4CE6-9477-64C6EFEAB9F7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Friday!$A$1:$AD$54</definedName>
    <definedName name="_xlnm._FilterDatabase" localSheetId="1" hidden="1">Monday!$A$1:$AD$65</definedName>
    <definedName name="_xlnm._FilterDatabase" localSheetId="6" hidden="1">Saturday!$A$1:$AD$36</definedName>
    <definedName name="_xlnm._FilterDatabase" localSheetId="7" hidden="1">Sunday!$A$1:$AD$36</definedName>
    <definedName name="_xlnm._FilterDatabase" localSheetId="4" hidden="1">Thursday!$A$1:$AD$63</definedName>
    <definedName name="_xlnm._FilterDatabase" localSheetId="2" hidden="1">Tuesday!$A$1:$AD$61</definedName>
    <definedName name="_xlnm._FilterDatabase" localSheetId="3" hidden="1">Wednesday!$A$1:$AD$61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6" i="63"/>
  <c r="AD27" i="63"/>
  <c r="AD28" i="63"/>
  <c r="AD29" i="63"/>
  <c r="AD30" i="63"/>
  <c r="AD31" i="63"/>
  <c r="AD32" i="63"/>
  <c r="AD33" i="63"/>
  <c r="AD34" i="63"/>
  <c r="AD35" i="63"/>
  <c r="AD36" i="63"/>
  <c r="O12" i="63"/>
  <c r="O34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6" i="62"/>
  <c r="AD27" i="62"/>
  <c r="AD28" i="62"/>
  <c r="AD29" i="62"/>
  <c r="AD30" i="62"/>
  <c r="AD31" i="62"/>
  <c r="AD32" i="62"/>
  <c r="AD33" i="62"/>
  <c r="AD34" i="62"/>
  <c r="AD35" i="62"/>
  <c r="AD36" i="62"/>
  <c r="O31" i="62"/>
  <c r="O8" i="62"/>
  <c r="O6" i="62"/>
  <c r="AD2" i="61"/>
  <c r="AD3" i="61"/>
  <c r="AD4" i="61"/>
  <c r="AD5" i="61"/>
  <c r="AD6" i="61"/>
  <c r="AD7" i="61"/>
  <c r="AD8" i="61"/>
  <c r="AD9" i="61"/>
  <c r="AD13" i="61"/>
  <c r="AD14" i="61"/>
  <c r="AD15" i="61"/>
  <c r="AD16" i="61"/>
  <c r="AD17" i="61"/>
  <c r="AD18" i="61"/>
  <c r="AD19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33" i="61"/>
  <c r="AD34" i="61"/>
  <c r="AD35" i="61"/>
  <c r="AD36" i="61"/>
  <c r="AD37" i="61"/>
  <c r="AD38" i="61"/>
  <c r="AD39" i="61"/>
  <c r="AD40" i="61"/>
  <c r="AD41" i="61"/>
  <c r="AD42" i="61"/>
  <c r="AD43" i="61"/>
  <c r="AD44" i="61"/>
  <c r="AD45" i="61"/>
  <c r="AD46" i="61"/>
  <c r="AD47" i="61"/>
  <c r="AD48" i="61"/>
  <c r="AD49" i="61"/>
  <c r="AD50" i="61"/>
  <c r="AD51" i="61"/>
  <c r="AD52" i="61"/>
  <c r="AD53" i="61"/>
  <c r="AD54" i="61"/>
  <c r="AD20" i="61"/>
  <c r="AD10" i="61"/>
  <c r="AD11" i="61"/>
  <c r="AD12" i="61"/>
  <c r="O38" i="61"/>
  <c r="O4" i="61"/>
  <c r="AD2" i="60"/>
  <c r="AD3" i="60"/>
  <c r="AD4" i="60"/>
  <c r="AD5" i="60"/>
  <c r="AD6" i="60"/>
  <c r="AD7" i="60"/>
  <c r="AD8" i="60"/>
  <c r="AD9" i="60"/>
  <c r="AD10" i="60"/>
  <c r="AD11" i="60"/>
  <c r="AD14" i="60"/>
  <c r="AD15" i="60"/>
  <c r="AD16" i="60"/>
  <c r="AD17" i="60"/>
  <c r="AD18" i="60"/>
  <c r="AD19" i="60"/>
  <c r="AD20" i="60"/>
  <c r="AD21" i="60"/>
  <c r="AD22" i="60"/>
  <c r="AD23" i="60"/>
  <c r="AD25" i="60"/>
  <c r="AD26" i="60"/>
  <c r="AD27" i="60"/>
  <c r="AD28" i="60"/>
  <c r="AD29" i="60"/>
  <c r="AD30" i="60"/>
  <c r="AD31" i="60"/>
  <c r="AD32" i="60"/>
  <c r="AD33" i="60"/>
  <c r="AD34" i="60"/>
  <c r="AD35" i="60"/>
  <c r="AD36" i="60"/>
  <c r="AD37" i="60"/>
  <c r="AD38" i="60"/>
  <c r="AD39" i="60"/>
  <c r="AD40" i="60"/>
  <c r="AD41" i="60"/>
  <c r="AD42" i="60"/>
  <c r="AD43" i="60"/>
  <c r="AD44" i="60"/>
  <c r="AD45" i="60"/>
  <c r="AD46" i="60"/>
  <c r="AD47" i="60"/>
  <c r="AD48" i="60"/>
  <c r="AD49" i="60"/>
  <c r="AD50" i="60"/>
  <c r="AD51" i="60"/>
  <c r="AD52" i="60"/>
  <c r="AD53" i="60"/>
  <c r="AD54" i="60"/>
  <c r="AD55" i="60"/>
  <c r="AD56" i="60"/>
  <c r="AD57" i="60"/>
  <c r="AD58" i="60"/>
  <c r="AD59" i="60"/>
  <c r="AD60" i="60"/>
  <c r="AD61" i="60"/>
  <c r="AD62" i="60"/>
  <c r="AD24" i="60"/>
  <c r="AD63" i="60"/>
  <c r="AD12" i="60"/>
  <c r="AD13" i="60"/>
  <c r="O52" i="60"/>
  <c r="O42" i="60"/>
  <c r="O47" i="60"/>
  <c r="O17" i="60"/>
  <c r="O26" i="60"/>
  <c r="O10" i="60"/>
  <c r="O8" i="60"/>
  <c r="O61" i="60"/>
  <c r="AD2" i="59"/>
  <c r="AD3" i="59"/>
  <c r="AD4" i="59"/>
  <c r="AD5" i="59"/>
  <c r="AD6" i="59"/>
  <c r="AD7" i="59"/>
  <c r="AD8" i="59"/>
  <c r="AD9" i="59"/>
  <c r="AD13" i="59"/>
  <c r="AD14" i="59"/>
  <c r="AD15" i="59"/>
  <c r="AD16" i="59"/>
  <c r="AD17" i="59"/>
  <c r="AD18" i="59"/>
  <c r="AD19" i="59"/>
  <c r="AD20" i="59"/>
  <c r="AD21" i="59"/>
  <c r="AD23" i="59"/>
  <c r="AD24" i="59"/>
  <c r="AD25" i="59"/>
  <c r="AD26" i="59"/>
  <c r="AD27" i="59"/>
  <c r="AD28" i="59"/>
  <c r="AD29" i="59"/>
  <c r="AD30" i="59"/>
  <c r="AD31" i="59"/>
  <c r="AD32" i="59"/>
  <c r="AD33" i="59"/>
  <c r="AD34" i="59"/>
  <c r="AD35" i="59"/>
  <c r="AD36" i="59"/>
  <c r="AD37" i="59"/>
  <c r="AD38" i="59"/>
  <c r="AD39" i="59"/>
  <c r="AD40" i="59"/>
  <c r="AD41" i="59"/>
  <c r="AD42" i="59"/>
  <c r="AD43" i="59"/>
  <c r="AD44" i="59"/>
  <c r="AD45" i="59"/>
  <c r="AD46" i="59"/>
  <c r="AD47" i="59"/>
  <c r="AD48" i="59"/>
  <c r="AD49" i="59"/>
  <c r="AD50" i="59"/>
  <c r="AD51" i="59"/>
  <c r="AD52" i="59"/>
  <c r="AD53" i="59"/>
  <c r="AD54" i="59"/>
  <c r="AD55" i="59"/>
  <c r="AD56" i="59"/>
  <c r="AD57" i="59"/>
  <c r="AD58" i="59"/>
  <c r="AD59" i="59"/>
  <c r="AD60" i="59"/>
  <c r="AD61" i="59"/>
  <c r="AD22" i="59"/>
  <c r="AD10" i="59"/>
  <c r="AD11" i="59"/>
  <c r="AD12" i="59"/>
  <c r="O53" i="59"/>
  <c r="O46" i="59"/>
  <c r="O43" i="59"/>
  <c r="O40" i="59"/>
  <c r="O19" i="59"/>
  <c r="O7" i="59"/>
  <c r="AD2" i="58"/>
  <c r="AD3" i="58"/>
  <c r="AD4" i="58"/>
  <c r="AD5" i="58"/>
  <c r="AD6" i="58"/>
  <c r="AD7" i="58"/>
  <c r="AD8" i="58"/>
  <c r="AD9" i="58"/>
  <c r="AD10" i="58"/>
  <c r="AD11" i="58"/>
  <c r="AD14" i="58"/>
  <c r="AD15" i="58"/>
  <c r="AD16" i="58"/>
  <c r="AD17" i="58"/>
  <c r="AD18" i="58"/>
  <c r="AD19" i="58"/>
  <c r="AD20" i="58"/>
  <c r="AD21" i="58"/>
  <c r="AD22" i="58"/>
  <c r="AD23" i="58"/>
  <c r="AD24" i="58"/>
  <c r="AD25" i="58"/>
  <c r="AD26" i="58"/>
  <c r="AD27" i="58"/>
  <c r="AD28" i="58"/>
  <c r="AD29" i="58"/>
  <c r="AD30" i="58"/>
  <c r="AD31" i="58"/>
  <c r="AD32" i="58"/>
  <c r="AD33" i="58"/>
  <c r="AD34" i="58"/>
  <c r="AD35" i="58"/>
  <c r="AD36" i="58"/>
  <c r="AD37" i="58"/>
  <c r="AD38" i="58"/>
  <c r="AD39" i="58"/>
  <c r="AD40" i="58"/>
  <c r="AD41" i="58"/>
  <c r="AD42" i="58"/>
  <c r="AD43" i="58"/>
  <c r="AD44" i="58"/>
  <c r="AD45" i="58"/>
  <c r="AD46" i="58"/>
  <c r="AD47" i="58"/>
  <c r="AD48" i="58"/>
  <c r="AD49" i="58"/>
  <c r="AD50" i="58"/>
  <c r="AD51" i="58"/>
  <c r="AD52" i="58"/>
  <c r="AD53" i="58"/>
  <c r="AD54" i="58"/>
  <c r="AD55" i="58"/>
  <c r="AD56" i="58"/>
  <c r="AD57" i="58"/>
  <c r="AD58" i="58"/>
  <c r="AD59" i="58"/>
  <c r="AD60" i="58"/>
  <c r="AD61" i="58"/>
  <c r="AD12" i="58"/>
  <c r="AD13" i="58"/>
  <c r="O17" i="58"/>
  <c r="O27" i="58"/>
  <c r="O6" i="58"/>
  <c r="AD2" i="57" l="1"/>
  <c r="AD3" i="57"/>
  <c r="AD4" i="57"/>
  <c r="AD5" i="57"/>
  <c r="AD6" i="57"/>
  <c r="AD7" i="57"/>
  <c r="AD8" i="57"/>
  <c r="AD9" i="57"/>
  <c r="AD10" i="57"/>
  <c r="AD11" i="57"/>
  <c r="AD12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33" i="57"/>
  <c r="AD34" i="57"/>
  <c r="AD35" i="57"/>
  <c r="AD36" i="57"/>
  <c r="AD37" i="57"/>
  <c r="AD38" i="57"/>
  <c r="AD39" i="57"/>
  <c r="AD40" i="57"/>
  <c r="AD41" i="57"/>
  <c r="AD42" i="57"/>
  <c r="AD43" i="57"/>
  <c r="AD44" i="57"/>
  <c r="AD45" i="57"/>
  <c r="AD46" i="57"/>
  <c r="AD47" i="57"/>
  <c r="AD48" i="57"/>
  <c r="AD49" i="57"/>
  <c r="AD50" i="57"/>
  <c r="AD51" i="57"/>
  <c r="AD52" i="57"/>
  <c r="AD53" i="57"/>
  <c r="AD54" i="57"/>
  <c r="AD55" i="57"/>
  <c r="AD56" i="57"/>
  <c r="AD57" i="57"/>
  <c r="AD58" i="57"/>
  <c r="AD59" i="57"/>
  <c r="AD60" i="57"/>
  <c r="AD61" i="57"/>
  <c r="AD62" i="57"/>
  <c r="AD63" i="57"/>
  <c r="AD64" i="57"/>
  <c r="AD65" i="57"/>
  <c r="AD13" i="57"/>
  <c r="AD14" i="57"/>
  <c r="AD15" i="57"/>
  <c r="O56" i="57"/>
  <c r="O53" i="57"/>
  <c r="O45" i="57"/>
  <c r="O10" i="57"/>
  <c r="O60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<sst xmlns="http://schemas.openxmlformats.org/spreadsheetml/2006/main" count="10245" uniqueCount="227">
  <si>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</si>
  <si>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</si>
  <si>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</si>
  <si>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</si>
  <si>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</si>
  <si>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</si>
  <si>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</si>
  <si>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</si>
  <si>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</si>
  <si>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</si>
  <si>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</si>
  <si>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</si>
  <si>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</si>
  <si>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</si>
  <si>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</si>
  <si>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</si>
  <si>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</si>
  <si>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</si>
  <si>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</si>
  <si>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</si>
  <si>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</si>
  <si>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</si>
  <si>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</si>
  <si>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</si>
  <si>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</si>
  <si>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</si>
  <si>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</si>
  <si>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</si>
  <si>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</si>
  <si>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NKB:Shop LC</t>
  </si>
  <si>
    <t>Monday</t>
  </si>
  <si>
    <t>Shop LC</t>
  </si>
  <si>
    <t>E</t>
  </si>
  <si>
    <t>PRG</t>
  </si>
  <si>
    <t>House</t>
  </si>
  <si>
    <t>Paid Programming</t>
  </si>
  <si>
    <t>Broadcast</t>
  </si>
  <si>
    <t>N</t>
  </si>
  <si>
    <t>SFO</t>
  </si>
  <si>
    <t>Phoenix TV</t>
  </si>
  <si>
    <t>Phoenix Evening Express</t>
  </si>
  <si>
    <t>M</t>
  </si>
  <si>
    <t>Programming</t>
  </si>
  <si>
    <t>Non-Agency</t>
  </si>
  <si>
    <t>VIVA Social Impact Partners:SF Dept of Early Childhood</t>
  </si>
  <si>
    <t>SFDEC15M01: Landscape 01 Mandarin (SFDEC15M01)</t>
  </si>
  <si>
    <t>BNS</t>
  </si>
  <si>
    <t>2602</t>
  </si>
  <si>
    <t>Charmaine Lane</t>
  </si>
  <si>
    <t>Internal Ad Sales</t>
  </si>
  <si>
    <t>Y</t>
  </si>
  <si>
    <t>2249</t>
  </si>
  <si>
    <t>Misfit:CA Community Colleges</t>
  </si>
  <si>
    <t>CALCC30M01: ICanGo AAPI MAN (CALCC30M01)</t>
  </si>
  <si>
    <t>2408</t>
  </si>
  <si>
    <t>SFDEC15M02: Landscape 02 Mandarin 0203 (SFDEC15M02)</t>
  </si>
  <si>
    <t>IW Group, Inc.:California Department of Food and Agriculture (CDFA)</t>
  </si>
  <si>
    <t>CDFA15M01: CDFA LNY Pests - Mandarin (CDFA15M01)</t>
  </si>
  <si>
    <t>COM</t>
  </si>
  <si>
    <t>CDFA LNY 2026</t>
  </si>
  <si>
    <t>2502</t>
  </si>
  <si>
    <t>Da Ai TV</t>
  </si>
  <si>
    <t>Calling Dr. Marvelous</t>
  </si>
  <si>
    <t xml:space="preserve">ID15KIDS BEFORE SHOW </t>
  </si>
  <si>
    <t>MBC</t>
  </si>
  <si>
    <t>MBC Newsdesk</t>
  </si>
  <si>
    <t>K</t>
  </si>
  <si>
    <t>CALCC30K01: ICanGo AAPI KOR (CALCC30K01)</t>
  </si>
  <si>
    <t>MBC Korean Drama</t>
  </si>
  <si>
    <t>Fujisankei</t>
  </si>
  <si>
    <t>FCI News Catch</t>
  </si>
  <si>
    <t>J</t>
  </si>
  <si>
    <t>FUJICM30J705:  Minamoto Kichoan (AH9052)</t>
  </si>
  <si>
    <t>Non-agency</t>
  </si>
  <si>
    <t>FUJICM30J495:  NIJIYA Mentsuyu (AL4086)</t>
  </si>
  <si>
    <t>FUJICM30J275:  Nippon Kodo Mainichi candle (AA2724)</t>
  </si>
  <si>
    <t>VieTV</t>
  </si>
  <si>
    <t>Life Entertainment Weekly</t>
  </si>
  <si>
    <t>repeat</t>
  </si>
  <si>
    <t>IW Group, Inc.:Lexus Dealer Association</t>
  </si>
  <si>
    <t>LEXUS15V271-SF: MY26 TX Non-New VVIPs VIE (TYIW26TL102HH)</t>
  </si>
  <si>
    <t>V</t>
  </si>
  <si>
    <t>210</t>
  </si>
  <si>
    <t>2373</t>
  </si>
  <si>
    <t>iGraphix:Sky River Casino</t>
  </si>
  <si>
    <t>SRC30V50: LNY Host Greeting VIE (SHG2026-V)</t>
  </si>
  <si>
    <t>30204</t>
  </si>
  <si>
    <t>Calendar</t>
  </si>
  <si>
    <t>2459</t>
  </si>
  <si>
    <t>SRC30V44: High Limit Refresh 2025 2025 VIE (SRC0925-V)</t>
  </si>
  <si>
    <t>CDFA15V01: CDFA LNY Pests - Vietnamese (CDFA15V01)</t>
  </si>
  <si>
    <t>LEXUS15V272-SF: MY26 RX Sustain Colors VIE (TYIW26TL150HH)</t>
  </si>
  <si>
    <t>Admerasia Inc.:McDonald's</t>
  </si>
  <si>
    <t>MD15V368: ACM Now We've Won_ Snack Wrap VIE (MCIV000526VH)</t>
  </si>
  <si>
    <t>15SF 2602</t>
  </si>
  <si>
    <t>2432</t>
  </si>
  <si>
    <t>SRC30V49: February Promotion VIE (FP0226-V)</t>
  </si>
  <si>
    <t>Oriental Medicine</t>
  </si>
  <si>
    <t>MD15V369: ACM AM Corrected_Biscuit VIE (MCIV002526VH)</t>
  </si>
  <si>
    <t>VSTV</t>
  </si>
  <si>
    <t>Vietnamese Daily Drama</t>
  </si>
  <si>
    <t>TV9</t>
  </si>
  <si>
    <t>Sakkath Spice</t>
  </si>
  <si>
    <t>SA</t>
  </si>
  <si>
    <t>LEXUS15E273-SF: MY26 TX Non-New Here ENG (TYIW26TL104HH)</t>
  </si>
  <si>
    <t>208</t>
  </si>
  <si>
    <t>2372</t>
  </si>
  <si>
    <t>LEXUS15E274-SF: MY26 RX Sustain Across the Line ENG (TYIW26TL152HH)</t>
  </si>
  <si>
    <t>Big News</t>
  </si>
  <si>
    <t>Jus Punjabi</t>
  </si>
  <si>
    <t>To the Point</t>
  </si>
  <si>
    <t>P</t>
  </si>
  <si>
    <t>Punjab Update</t>
  </si>
  <si>
    <t>World News</t>
  </si>
  <si>
    <t>TV5</t>
  </si>
  <si>
    <t>Frontline Pilipinas</t>
  </si>
  <si>
    <t>T</t>
  </si>
  <si>
    <t>CALCC30T01: ICanGo AAPI TAG (CALCC30T01)</t>
  </si>
  <si>
    <t>TFC</t>
  </si>
  <si>
    <t>TV Patrol World</t>
  </si>
  <si>
    <t>Ikaw Lang Ang Iibigin</t>
  </si>
  <si>
    <t>Magandang Buhay</t>
  </si>
  <si>
    <t>Phoenix News Express P1</t>
  </si>
  <si>
    <t>C</t>
  </si>
  <si>
    <t>SFDEC15C02: Landscape 02 Cantonese 0203 (SFDEC15C02)</t>
  </si>
  <si>
    <t>Time Advertising, Inc.:Graton Casino</t>
  </si>
  <si>
    <t>GRATON15C24: LNY 2026 Greeting 15 CAN</t>
  </si>
  <si>
    <t>2446</t>
  </si>
  <si>
    <t>CALCC30C01: ICanGo AAPI CAN (CALCC30C01)</t>
  </si>
  <si>
    <t>SFDEC15C01: Landscape 01 Cantonese (SFDEC15C01)</t>
  </si>
  <si>
    <t>News Decoder</t>
  </si>
  <si>
    <t>Shanghai TV</t>
  </si>
  <si>
    <t>Primetime News - Shanghai TV</t>
  </si>
  <si>
    <t>Jiangsu</t>
  </si>
  <si>
    <t>Chinese Drama</t>
  </si>
  <si>
    <t>If You Are the One</t>
  </si>
  <si>
    <t>Phoenix News Express P2</t>
  </si>
  <si>
    <t>Viet Variety</t>
  </si>
  <si>
    <t>Viet Drama</t>
  </si>
  <si>
    <t>Spice</t>
  </si>
  <si>
    <t>Big</t>
  </si>
  <si>
    <t>Punjabi News</t>
  </si>
  <si>
    <t>Filipino News</t>
  </si>
  <si>
    <t>Cantonese Variety</t>
  </si>
  <si>
    <t>Chinese News</t>
  </si>
  <si>
    <t>Jiangsu Variety</t>
  </si>
  <si>
    <t>Tuesday</t>
  </si>
  <si>
    <t>Science Around Us</t>
  </si>
  <si>
    <t>FUJICM30J714:  TOYOTA People are the Destination TWTW3477000H (AH9092)</t>
  </si>
  <si>
    <t>FUJICM30J511:  NIJIYA Dashi Kombu &amp; Dried Bonito Flakes (AL5024)</t>
  </si>
  <si>
    <t>Top News</t>
  </si>
  <si>
    <t>CALCC30V01: ICanGo AAPI VIE (CALCC30V01)</t>
  </si>
  <si>
    <t>Talk With Celebrities</t>
  </si>
  <si>
    <t>MD05BBV375: McD05BB - Vietnamese</t>
  </si>
  <si>
    <t>21XX 2602</t>
  </si>
  <si>
    <t>2490</t>
  </si>
  <si>
    <t>SRC30E44: High Limit Refresh 2025 V3 ENG (SRC0925-E)</t>
  </si>
  <si>
    <t>30217</t>
  </si>
  <si>
    <t>2457</t>
  </si>
  <si>
    <t>Till I Met You</t>
  </si>
  <si>
    <t xml:space="preserve">MD05BBC375: McD05BB - Cantonese </t>
  </si>
  <si>
    <t>GRATON15M24: LNY 2026 Greeting 15 MAN</t>
  </si>
  <si>
    <t>MD05BBM375: McD05BB - Mandarin</t>
  </si>
  <si>
    <t>Places We Must Go S3</t>
  </si>
  <si>
    <t>Wednesday</t>
  </si>
  <si>
    <t>Children's Time</t>
  </si>
  <si>
    <t>FUJICM30J650:  Nipponkodo Mainichi Mou Hitotsuno Imi (AH8040)</t>
  </si>
  <si>
    <t>FUJICM30J701:  NIJIYA Online Store (AL9044)</t>
  </si>
  <si>
    <t>FUJICM30J685:  Doshisha School Doshisha Int'l 2024 (30) (AH8105)</t>
  </si>
  <si>
    <t>MD15V363: ACM This This or This Ver C VIE (MCIV107525VH)</t>
  </si>
  <si>
    <t>14SF 2602</t>
  </si>
  <si>
    <t>2443</t>
  </si>
  <si>
    <t>Healthy Life</t>
  </si>
  <si>
    <t>SRC30E49: February Promotion ENG (FP0226-E)</t>
  </si>
  <si>
    <t>The Poor Heiress</t>
  </si>
  <si>
    <t>Who's Still Standing - Youth</t>
  </si>
  <si>
    <t>Filipino Variety</t>
  </si>
  <si>
    <t>Thursday</t>
  </si>
  <si>
    <t>Save Our Earth Together</t>
  </si>
  <si>
    <t>ID15KIDS BEFORE SHOW</t>
  </si>
  <si>
    <t>FUJICM30J717:  TOYOTA Super Hero Belt TYTW3921000H (AH9099)</t>
  </si>
  <si>
    <t>FUJICM30J448:  Nijiya Organic Sushi Nori New (AH2549)</t>
  </si>
  <si>
    <t>Vietnamese Past &amp; Present Culture</t>
  </si>
  <si>
    <t>MD15V370: ACM ROD Like? Love_ Snack Wrap VIE (MCIV001526VH)</t>
  </si>
  <si>
    <t>Never Say Goodbye</t>
  </si>
  <si>
    <t>M/C</t>
  </si>
  <si>
    <t>My Hong Kong Perspectives</t>
  </si>
  <si>
    <t>Love Never Comes Late</t>
  </si>
  <si>
    <t>Filipino Drama</t>
  </si>
  <si>
    <t>Friday</t>
  </si>
  <si>
    <t>Chinese Medicine</t>
  </si>
  <si>
    <t>FUJICM30J601:  Nijiya Market Shiitake Mushrooms (AL7007)</t>
  </si>
  <si>
    <t>FUJICM30J417:  RevMainichiKoukou2019_Tsuunen (AH3081)</t>
  </si>
  <si>
    <t>Technology in Our Life</t>
  </si>
  <si>
    <t>Hanggang Saan</t>
  </si>
  <si>
    <t>My Hong Kong Story</t>
  </si>
  <si>
    <t>The Hits</t>
  </si>
  <si>
    <t>Saturday</t>
  </si>
  <si>
    <t>ID15KIDS BEFORE SHOW (REPLAY)</t>
  </si>
  <si>
    <t>REPLAY</t>
  </si>
  <si>
    <t>Vietnamese Weekend AM Drama</t>
  </si>
  <si>
    <t>Headline News</t>
  </si>
  <si>
    <t>Culture &amp; Travel</t>
  </si>
  <si>
    <t>Vietnamese Weekend Drama</t>
  </si>
  <si>
    <t>AVS Television Network</t>
  </si>
  <si>
    <t>AVS</t>
  </si>
  <si>
    <t>JSM Media</t>
  </si>
  <si>
    <t>Namaste America</t>
  </si>
  <si>
    <t>Namaste</t>
  </si>
  <si>
    <t>India Waves</t>
  </si>
  <si>
    <t>Hmong</t>
  </si>
  <si>
    <t>Hmong Entertainment</t>
  </si>
  <si>
    <t>H</t>
  </si>
  <si>
    <t xml:space="preserve">Hmong Report </t>
  </si>
  <si>
    <t>South Asian Variety</t>
  </si>
  <si>
    <t>Sunday</t>
  </si>
  <si>
    <t>McHale Media:Kingdom of God</t>
  </si>
  <si>
    <t>Kingdom of God</t>
  </si>
  <si>
    <t>White Horse International</t>
  </si>
  <si>
    <t>Travel with Vietv</t>
  </si>
  <si>
    <t>What's Cooking Today</t>
  </si>
  <si>
    <t>Sitaarre TV</t>
  </si>
  <si>
    <t>Showbiz India</t>
  </si>
  <si>
    <t>Crossings TV</t>
  </si>
  <si>
    <t>Dil Ki Open Stage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</si>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</sst>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indexed="42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DD7EE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5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6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49" fontId="15" fillId="27" borderId="10" xfId="172" applyNumberFormat="1" applyFont="1" applyFill="1" applyBorder="1" applyAlignment="1">
      <alignment horizontal="center" vertical="top" wrapText="1"/>
    </xf>
    <xf numFmtId="167" fontId="15" fillId="27" borderId="10" xfId="172" applyNumberFormat="1" applyFont="1" applyFill="1" applyBorder="1" applyAlignment="1">
      <alignment horizontal="center" vertical="top" wrapText="1"/>
    </xf>
    <xf numFmtId="165" fontId="15" fillId="27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27" borderId="10" xfId="172" applyNumberFormat="1" applyFont="1" applyFill="1" applyBorder="1" applyAlignment="1">
      <alignment horizontal="center" vertical="top" wrapText="1"/>
    </xf>
    <xf numFmtId="44" fontId="15" fillId="27" borderId="10" xfId="40" applyFont="1" applyFill="1" applyBorder="1" applyAlignment="1">
      <alignment horizontal="center" vertical="top" wrapText="1"/>
    </xf>
    <xf numFmtId="166" fontId="15" fillId="27" borderId="10" xfId="172" applyFont="1" applyFill="1" applyBorder="1" applyAlignment="1">
      <alignment horizontal="center" vertical="top" wrapText="1"/>
    </xf>
    <xf numFmtId="1" fontId="15" fillId="27" borderId="10" xfId="173" applyNumberFormat="1" applyFont="1" applyFill="1" applyBorder="1" applyAlignment="1">
      <alignment horizontal="center" vertical="top" wrapText="1"/>
    </xf>
    <xf numFmtId="0" fontId="38" fillId="27" borderId="10" xfId="0" applyFont="1" applyFill="1" applyBorder="1"/>
    <xf numFmtId="0" fontId="15" fillId="27" borderId="10" xfId="0" applyFont="1" applyFill="1" applyBorder="1" applyAlignment="1">
      <alignment horizontal="center" vertical="center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38" fillId="30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49" fontId="15" fillId="32" borderId="10" xfId="172" applyNumberFormat="1" applyFont="1" applyFill="1" applyBorder="1" applyAlignment="1">
      <alignment horizontal="center" vertical="top" wrapText="1"/>
    </xf>
    <xf numFmtId="0" fontId="38" fillId="33" borderId="10" xfId="0" applyFont="1" applyFill="1" applyBorder="1"/>
    <xf numFmtId="0" fontId="15" fillId="0" borderId="10" xfId="174" applyFont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27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27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27" borderId="0" xfId="172" applyNumberFormat="1" applyFont="1" applyFill="1" applyBorder="1" applyAlignment="1">
      <alignment horizontal="center" vertical="top" wrapText="1"/>
    </xf>
    <xf numFmtId="165" fontId="37" fillId="26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27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27" borderId="0" xfId="40" applyFont="1" applyFill="1" applyBorder="1" applyAlignment="1">
      <alignment horizontal="center" vertical="top" wrapText="1"/>
    </xf>
    <xf numFmtId="166" fontId="15" fillId="27" borderId="0" xfId="172" applyFont="1" applyFill="1" applyBorder="1" applyAlignment="1">
      <alignment horizontal="center" vertical="top" wrapText="1"/>
    </xf>
    <xf numFmtId="1" fontId="15" fillId="27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27" borderId="0" xfId="0" applyFont="1" applyFill="1" applyBorder="1"/>
    <xf numFmtId="0" fontId="38" fillId="30" borderId="0" xfId="0" applyFont="1" applyFill="1" applyBorder="1"/>
    <xf numFmtId="0" fontId="38" fillId="28" borderId="0" xfId="0" applyFont="1" applyFill="1" applyBorder="1"/>
    <xf numFmtId="0" fontId="38" fillId="29" borderId="0" xfId="0" applyFont="1" applyFill="1" applyBorder="1"/>
    <xf numFmtId="0" fontId="15" fillId="27" borderId="0" xfId="0" applyFont="1" applyFill="1" applyBorder="1" applyAlignment="1">
      <alignment horizontal="center" vertical="center" wrapText="1"/>
    </xf>
  </cellXfs>
  <cellStyles count="175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2 3" xfId="174" xr:uid="{4F2193BB-1003-49DD-A450-D2D6C0621DEC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27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solid">
          <fgColor rgb="FFB2A1C7"/>
          <bgColor indexed="65"/>
        </patternFill>
      </fill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EA2ED-2290-4A56-934E-E667EBD357FC}">
  <dimension ref="A1:AW2431"/>
  <sheetViews>
    <sheetView tabSelected="1" zoomScale="55" zoomScaleNormal="55" workbookViewId="0"/>
  </sheetViews>
  <sheetFormatPr defaultColWidth="0" defaultRowHeight="12.75" x14ac:dyDescent="0.2"/>
  <cols>
    <col min="1" max="1" width="24.28515625" bestFit="1" customWidth="1"/>
    <col min="2" max="3" width="12.1406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7109375" customWidth="1"/>
    <col min="9" max="9" width="42" bestFit="1" customWidth="1"/>
    <col min="10" max="10" width="13.140625" bestFit="1" customWidth="1"/>
    <col min="11" max="11" width="27.140625" bestFit="1" customWidth="1"/>
    <col min="12" max="12" width="6.5703125" bestFit="1" customWidth="1"/>
    <col min="13" max="13" width="10" bestFit="1" customWidth="1"/>
    <col min="14" max="14" width="9" bestFit="1" customWidth="1"/>
    <col min="15" max="15" width="8.7109375" bestFit="1" customWidth="1"/>
    <col min="16" max="16" width="13.710937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13.7109375" bestFit="1" customWidth="1"/>
    <col min="23" max="23" width="13.14062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225</v>
      </c>
    </row>
    <row r="2" spans="1:49" s="9" customFormat="1" ht="31.5" x14ac:dyDescent="0.2">
      <c r="A2" s="17" t="s">
        <v>92</v>
      </c>
      <c r="B2" s="18">
        <v>46069</v>
      </c>
      <c r="C2" s="18">
        <v>46069</v>
      </c>
      <c r="D2" s="17" t="s">
        <v>30</v>
      </c>
      <c r="E2" s="19">
        <v>0.45833333333333331</v>
      </c>
      <c r="F2" s="19">
        <v>0.47916666666666669</v>
      </c>
      <c r="G2" s="19">
        <v>1.7361111111111109E-4</v>
      </c>
      <c r="H2" s="17" t="s">
        <v>93</v>
      </c>
      <c r="I2" s="20">
        <v>0.47729166666666667</v>
      </c>
      <c r="J2" s="17" t="s">
        <v>81</v>
      </c>
      <c r="K2" s="17" t="s">
        <v>77</v>
      </c>
      <c r="L2" s="21">
        <v>1</v>
      </c>
      <c r="M2" s="21">
        <v>71172</v>
      </c>
      <c r="N2" s="17" t="s">
        <v>58</v>
      </c>
      <c r="O2" s="21" t="s">
        <v>94</v>
      </c>
      <c r="P2" s="22">
        <v>70</v>
      </c>
      <c r="Q2" s="21"/>
      <c r="R2" s="22">
        <v>70</v>
      </c>
      <c r="S2" s="23">
        <v>46069</v>
      </c>
      <c r="T2" s="22">
        <v>10.5</v>
      </c>
      <c r="U2" s="24">
        <v>4</v>
      </c>
      <c r="V2" s="22">
        <v>59.5</v>
      </c>
      <c r="W2" s="17" t="s">
        <v>48</v>
      </c>
      <c r="X2" s="17" t="s">
        <v>49</v>
      </c>
      <c r="Y2" s="17" t="s">
        <v>87</v>
      </c>
      <c r="Z2" s="17" t="s">
        <v>9</v>
      </c>
      <c r="AA2" s="17" t="s">
        <v>50</v>
      </c>
      <c r="AB2" s="17" t="s">
        <v>95</v>
      </c>
      <c r="AC2" s="17" t="s">
        <v>38</v>
      </c>
      <c r="AD2" s="7" t="s">
        <v>226</v>
      </c>
    </row>
    <row r="3" spans="1:49" s="9" customFormat="1" ht="31.5" x14ac:dyDescent="0.2">
      <c r="A3" s="17" t="s">
        <v>92</v>
      </c>
      <c r="B3" s="18">
        <v>46069</v>
      </c>
      <c r="C3" s="18">
        <v>46069</v>
      </c>
      <c r="D3" s="17" t="s">
        <v>30</v>
      </c>
      <c r="E3" s="19">
        <v>0.47916666666666669</v>
      </c>
      <c r="F3" s="19">
        <v>0.5</v>
      </c>
      <c r="G3" s="19">
        <v>1.7361111111111109E-4</v>
      </c>
      <c r="H3" s="17" t="s">
        <v>98</v>
      </c>
      <c r="I3" s="20">
        <v>0.48276620370370371</v>
      </c>
      <c r="J3" s="17" t="s">
        <v>81</v>
      </c>
      <c r="K3" s="17" t="s">
        <v>137</v>
      </c>
      <c r="L3" s="21">
        <v>1</v>
      </c>
      <c r="M3" s="21">
        <v>71177</v>
      </c>
      <c r="N3" s="17" t="s">
        <v>58</v>
      </c>
      <c r="O3" s="21" t="s">
        <v>94</v>
      </c>
      <c r="P3" s="22">
        <v>70</v>
      </c>
      <c r="Q3" s="21"/>
      <c r="R3" s="22">
        <v>70</v>
      </c>
      <c r="S3" s="23">
        <v>46069</v>
      </c>
      <c r="T3" s="22">
        <v>10.5</v>
      </c>
      <c r="U3" s="24">
        <v>4</v>
      </c>
      <c r="V3" s="22">
        <v>59.5</v>
      </c>
      <c r="W3" s="17" t="s">
        <v>48</v>
      </c>
      <c r="X3" s="17" t="s">
        <v>49</v>
      </c>
      <c r="Y3" s="17" t="s">
        <v>87</v>
      </c>
      <c r="Z3" s="17" t="s">
        <v>9</v>
      </c>
      <c r="AA3" s="17" t="s">
        <v>50</v>
      </c>
      <c r="AB3" s="17" t="s">
        <v>95</v>
      </c>
      <c r="AC3" s="17" t="s">
        <v>38</v>
      </c>
      <c r="AD3" s="7" t="s">
        <v>226</v>
      </c>
    </row>
    <row r="4" spans="1:49" s="9" customFormat="1" ht="31.5" x14ac:dyDescent="0.2">
      <c r="A4" s="17" t="s">
        <v>92</v>
      </c>
      <c r="B4" s="18">
        <v>46069</v>
      </c>
      <c r="C4" s="18">
        <v>46069</v>
      </c>
      <c r="D4" s="17" t="s">
        <v>30</v>
      </c>
      <c r="E4" s="19">
        <v>0.47916666666666669</v>
      </c>
      <c r="F4" s="19">
        <v>0.5</v>
      </c>
      <c r="G4" s="19">
        <v>1.7361111111111109E-4</v>
      </c>
      <c r="H4" s="17" t="s">
        <v>98</v>
      </c>
      <c r="I4" s="20">
        <v>0.48930555555555555</v>
      </c>
      <c r="J4" s="17" t="s">
        <v>81</v>
      </c>
      <c r="K4" s="17" t="s">
        <v>137</v>
      </c>
      <c r="L4" s="21">
        <v>1</v>
      </c>
      <c r="M4" s="21">
        <v>71177</v>
      </c>
      <c r="N4" s="17" t="s">
        <v>58</v>
      </c>
      <c r="O4" s="21" t="s">
        <v>94</v>
      </c>
      <c r="P4" s="22">
        <v>70</v>
      </c>
      <c r="Q4" s="21"/>
      <c r="R4" s="22">
        <v>70</v>
      </c>
      <c r="S4" s="23">
        <v>46069</v>
      </c>
      <c r="T4" s="22">
        <v>10.5</v>
      </c>
      <c r="U4" s="24">
        <v>4</v>
      </c>
      <c r="V4" s="22">
        <v>59.5</v>
      </c>
      <c r="W4" s="17" t="s">
        <v>48</v>
      </c>
      <c r="X4" s="17" t="s">
        <v>49</v>
      </c>
      <c r="Y4" s="17" t="s">
        <v>87</v>
      </c>
      <c r="Z4" s="17" t="s">
        <v>9</v>
      </c>
      <c r="AA4" s="17" t="s">
        <v>50</v>
      </c>
      <c r="AB4" s="17" t="s">
        <v>95</v>
      </c>
      <c r="AC4" s="17" t="s">
        <v>38</v>
      </c>
      <c r="AD4" s="7" t="s">
        <v>226</v>
      </c>
    </row>
    <row r="5" spans="1:49" s="9" customFormat="1" ht="31.5" x14ac:dyDescent="0.25">
      <c r="A5" s="17" t="s">
        <v>92</v>
      </c>
      <c r="B5" s="18">
        <v>46069</v>
      </c>
      <c r="C5" s="18">
        <v>46069</v>
      </c>
      <c r="D5" s="17" t="s">
        <v>30</v>
      </c>
      <c r="E5" s="19">
        <v>0.5</v>
      </c>
      <c r="F5" s="19">
        <v>0.54166666666666663</v>
      </c>
      <c r="G5" s="19">
        <v>1.7361111111111109E-4</v>
      </c>
      <c r="H5" s="17" t="s">
        <v>93</v>
      </c>
      <c r="I5" s="20">
        <v>0.51997685185185183</v>
      </c>
      <c r="J5" s="17" t="s">
        <v>81</v>
      </c>
      <c r="K5" s="17" t="s">
        <v>138</v>
      </c>
      <c r="L5" s="21">
        <v>1</v>
      </c>
      <c r="M5" s="21">
        <v>71190</v>
      </c>
      <c r="N5" s="17" t="s">
        <v>58</v>
      </c>
      <c r="O5" s="21" t="s">
        <v>94</v>
      </c>
      <c r="P5" s="22">
        <v>70</v>
      </c>
      <c r="Q5" s="21"/>
      <c r="R5" s="22">
        <v>70</v>
      </c>
      <c r="S5" s="23">
        <v>46069</v>
      </c>
      <c r="T5" s="22">
        <v>10.5</v>
      </c>
      <c r="U5" s="24">
        <v>4</v>
      </c>
      <c r="V5" s="22">
        <v>59.5</v>
      </c>
      <c r="W5" s="17" t="s">
        <v>48</v>
      </c>
      <c r="X5" s="17" t="s">
        <v>49</v>
      </c>
      <c r="Y5" s="17" t="s">
        <v>87</v>
      </c>
      <c r="Z5" s="17" t="s">
        <v>9</v>
      </c>
      <c r="AA5" s="17" t="s">
        <v>50</v>
      </c>
      <c r="AB5" s="17" t="s">
        <v>95</v>
      </c>
      <c r="AC5" s="17" t="s">
        <v>38</v>
      </c>
      <c r="AD5" s="7" t="s">
        <v>226</v>
      </c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</row>
    <row r="6" spans="1:49" s="9" customFormat="1" ht="31.5" x14ac:dyDescent="0.25">
      <c r="A6" s="17" t="s">
        <v>92</v>
      </c>
      <c r="B6" s="18">
        <v>46069</v>
      </c>
      <c r="C6" s="18">
        <v>46069</v>
      </c>
      <c r="D6" s="17" t="s">
        <v>30</v>
      </c>
      <c r="E6" s="19">
        <v>0.5</v>
      </c>
      <c r="F6" s="19">
        <v>0.54166666666666663</v>
      </c>
      <c r="G6" s="19">
        <v>1.7361111111111109E-4</v>
      </c>
      <c r="H6" s="17" t="s">
        <v>93</v>
      </c>
      <c r="I6" s="20">
        <v>0.5329976851851852</v>
      </c>
      <c r="J6" s="17" t="s">
        <v>81</v>
      </c>
      <c r="K6" s="17" t="s">
        <v>138</v>
      </c>
      <c r="L6" s="21">
        <v>1</v>
      </c>
      <c r="M6" s="21">
        <v>71190</v>
      </c>
      <c r="N6" s="17" t="s">
        <v>58</v>
      </c>
      <c r="O6" s="21" t="s">
        <v>94</v>
      </c>
      <c r="P6" s="22">
        <v>70</v>
      </c>
      <c r="Q6" s="21"/>
      <c r="R6" s="22">
        <v>70</v>
      </c>
      <c r="S6" s="23">
        <v>46069</v>
      </c>
      <c r="T6" s="22">
        <v>10.5</v>
      </c>
      <c r="U6" s="24">
        <v>4</v>
      </c>
      <c r="V6" s="22">
        <v>59.5</v>
      </c>
      <c r="W6" s="17" t="s">
        <v>48</v>
      </c>
      <c r="X6" s="17" t="s">
        <v>49</v>
      </c>
      <c r="Y6" s="17" t="s">
        <v>87</v>
      </c>
      <c r="Z6" s="17" t="s">
        <v>9</v>
      </c>
      <c r="AA6" s="17" t="s">
        <v>50</v>
      </c>
      <c r="AB6" s="17" t="s">
        <v>95</v>
      </c>
      <c r="AC6" s="17" t="s">
        <v>38</v>
      </c>
      <c r="AD6" s="7" t="s">
        <v>226</v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9" customFormat="1" ht="31.5" x14ac:dyDescent="0.25">
      <c r="A7" s="17" t="s">
        <v>92</v>
      </c>
      <c r="B7" s="18">
        <v>46070</v>
      </c>
      <c r="C7" s="18">
        <v>46070</v>
      </c>
      <c r="D7" s="17" t="s">
        <v>146</v>
      </c>
      <c r="E7" s="19">
        <v>0.45833333333333331</v>
      </c>
      <c r="F7" s="19">
        <v>0.47916666666666669</v>
      </c>
      <c r="G7" s="19">
        <v>1.7361111111111109E-4</v>
      </c>
      <c r="H7" s="17" t="s">
        <v>93</v>
      </c>
      <c r="I7" s="20">
        <v>0.47768518518518521</v>
      </c>
      <c r="J7" s="17" t="s">
        <v>81</v>
      </c>
      <c r="K7" s="17" t="s">
        <v>150</v>
      </c>
      <c r="L7" s="21">
        <v>1</v>
      </c>
      <c r="M7" s="21">
        <v>71172</v>
      </c>
      <c r="N7" s="17" t="s">
        <v>58</v>
      </c>
      <c r="O7" s="21" t="s">
        <v>94</v>
      </c>
      <c r="P7" s="22">
        <v>70</v>
      </c>
      <c r="Q7" s="21"/>
      <c r="R7" s="22">
        <v>70</v>
      </c>
      <c r="S7" s="23">
        <v>46070</v>
      </c>
      <c r="T7" s="22">
        <v>10.5</v>
      </c>
      <c r="U7" s="24">
        <v>4</v>
      </c>
      <c r="V7" s="22">
        <v>59.5</v>
      </c>
      <c r="W7" s="17" t="s">
        <v>48</v>
      </c>
      <c r="X7" s="17" t="s">
        <v>49</v>
      </c>
      <c r="Y7" s="17" t="s">
        <v>87</v>
      </c>
      <c r="Z7" s="17" t="s">
        <v>9</v>
      </c>
      <c r="AA7" s="17" t="s">
        <v>50</v>
      </c>
      <c r="AB7" s="17" t="s">
        <v>95</v>
      </c>
      <c r="AC7" s="17" t="s">
        <v>38</v>
      </c>
      <c r="AD7" s="7" t="s">
        <v>226</v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9" customFormat="1" ht="31.5" x14ac:dyDescent="0.2">
      <c r="A8" s="17" t="s">
        <v>92</v>
      </c>
      <c r="B8" s="18">
        <v>46070</v>
      </c>
      <c r="C8" s="18">
        <v>46070</v>
      </c>
      <c r="D8" s="17" t="s">
        <v>146</v>
      </c>
      <c r="E8" s="19">
        <v>0.47916666666666669</v>
      </c>
      <c r="F8" s="19">
        <v>0.5</v>
      </c>
      <c r="G8" s="19">
        <v>1.7361111111111109E-4</v>
      </c>
      <c r="H8" s="17" t="s">
        <v>98</v>
      </c>
      <c r="I8" s="20">
        <v>0.48730324074074072</v>
      </c>
      <c r="J8" s="17" t="s">
        <v>81</v>
      </c>
      <c r="K8" s="17" t="s">
        <v>137</v>
      </c>
      <c r="L8" s="21">
        <v>1</v>
      </c>
      <c r="M8" s="21">
        <v>71178</v>
      </c>
      <c r="N8" s="17" t="s">
        <v>58</v>
      </c>
      <c r="O8" s="21" t="s">
        <v>94</v>
      </c>
      <c r="P8" s="22">
        <v>70</v>
      </c>
      <c r="Q8" s="21"/>
      <c r="R8" s="22">
        <v>70</v>
      </c>
      <c r="S8" s="23">
        <v>46070</v>
      </c>
      <c r="T8" s="22">
        <v>10.5</v>
      </c>
      <c r="U8" s="24">
        <v>4</v>
      </c>
      <c r="V8" s="22">
        <v>59.5</v>
      </c>
      <c r="W8" s="17" t="s">
        <v>48</v>
      </c>
      <c r="X8" s="17" t="s">
        <v>49</v>
      </c>
      <c r="Y8" s="17" t="s">
        <v>87</v>
      </c>
      <c r="Z8" s="17" t="s">
        <v>9</v>
      </c>
      <c r="AA8" s="17" t="s">
        <v>50</v>
      </c>
      <c r="AB8" s="17" t="s">
        <v>95</v>
      </c>
      <c r="AC8" s="17" t="s">
        <v>38</v>
      </c>
      <c r="AD8" s="7" t="s">
        <v>226</v>
      </c>
    </row>
    <row r="9" spans="1:49" s="9" customFormat="1" ht="31.5" x14ac:dyDescent="0.2">
      <c r="A9" s="17" t="s">
        <v>92</v>
      </c>
      <c r="B9" s="18">
        <v>46070</v>
      </c>
      <c r="C9" s="18">
        <v>46070</v>
      </c>
      <c r="D9" s="17" t="s">
        <v>146</v>
      </c>
      <c r="E9" s="19">
        <v>0.47916666666666669</v>
      </c>
      <c r="F9" s="19">
        <v>0.5</v>
      </c>
      <c r="G9" s="19">
        <v>5.7870370370370373E-5</v>
      </c>
      <c r="H9" s="17" t="s">
        <v>153</v>
      </c>
      <c r="I9" s="20">
        <v>0.48724537037037036</v>
      </c>
      <c r="J9" s="17" t="s">
        <v>81</v>
      </c>
      <c r="K9" s="17" t="s">
        <v>137</v>
      </c>
      <c r="L9" s="21">
        <v>1</v>
      </c>
      <c r="M9" s="21">
        <v>71837</v>
      </c>
      <c r="N9" s="17" t="s">
        <v>58</v>
      </c>
      <c r="O9" s="21" t="s">
        <v>154</v>
      </c>
      <c r="P9" s="22">
        <v>41.025641025641029</v>
      </c>
      <c r="Q9" s="21"/>
      <c r="R9" s="22">
        <v>41.025641025641029</v>
      </c>
      <c r="S9" s="23">
        <v>46070</v>
      </c>
      <c r="T9" s="22">
        <v>6.1538461538461542</v>
      </c>
      <c r="U9" s="24">
        <v>4</v>
      </c>
      <c r="V9" s="22">
        <v>34.871794871794876</v>
      </c>
      <c r="W9" s="17" t="s">
        <v>48</v>
      </c>
      <c r="X9" s="17" t="s">
        <v>49</v>
      </c>
      <c r="Y9" s="17" t="s">
        <v>87</v>
      </c>
      <c r="Z9" s="17" t="s">
        <v>9</v>
      </c>
      <c r="AA9" s="17" t="s">
        <v>50</v>
      </c>
      <c r="AB9" s="17" t="s">
        <v>155</v>
      </c>
      <c r="AC9" s="17" t="s">
        <v>38</v>
      </c>
      <c r="AD9" s="7" t="s">
        <v>226</v>
      </c>
    </row>
    <row r="10" spans="1:49" s="9" customFormat="1" ht="31.5" x14ac:dyDescent="0.25">
      <c r="A10" s="17" t="s">
        <v>92</v>
      </c>
      <c r="B10" s="18">
        <v>46070</v>
      </c>
      <c r="C10" s="18">
        <v>46070</v>
      </c>
      <c r="D10" s="17" t="s">
        <v>146</v>
      </c>
      <c r="E10" s="19">
        <v>0.5</v>
      </c>
      <c r="F10" s="19">
        <v>0.54166666666666663</v>
      </c>
      <c r="G10" s="19">
        <v>1.7361111111111109E-4</v>
      </c>
      <c r="H10" s="17" t="s">
        <v>93</v>
      </c>
      <c r="I10" s="20">
        <v>0.53723379629629631</v>
      </c>
      <c r="J10" s="17" t="s">
        <v>81</v>
      </c>
      <c r="K10" s="17" t="s">
        <v>138</v>
      </c>
      <c r="L10" s="21">
        <v>1</v>
      </c>
      <c r="M10" s="21">
        <v>71191</v>
      </c>
      <c r="N10" s="17" t="s">
        <v>58</v>
      </c>
      <c r="O10" s="21" t="s">
        <v>94</v>
      </c>
      <c r="P10" s="22">
        <v>70</v>
      </c>
      <c r="Q10" s="21"/>
      <c r="R10" s="22">
        <v>70</v>
      </c>
      <c r="S10" s="23">
        <v>46070</v>
      </c>
      <c r="T10" s="22">
        <v>10.5</v>
      </c>
      <c r="U10" s="24">
        <v>4</v>
      </c>
      <c r="V10" s="22">
        <v>59.5</v>
      </c>
      <c r="W10" s="17" t="s">
        <v>48</v>
      </c>
      <c r="X10" s="17" t="s">
        <v>49</v>
      </c>
      <c r="Y10" s="17" t="s">
        <v>87</v>
      </c>
      <c r="Z10" s="17" t="s">
        <v>9</v>
      </c>
      <c r="AA10" s="17" t="s">
        <v>50</v>
      </c>
      <c r="AB10" s="17" t="s">
        <v>95</v>
      </c>
      <c r="AC10" s="17" t="s">
        <v>38</v>
      </c>
      <c r="AD10" s="7" t="s">
        <v>226</v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9" customFormat="1" ht="31.5" x14ac:dyDescent="0.25">
      <c r="A11" s="17" t="s">
        <v>92</v>
      </c>
      <c r="B11" s="18">
        <v>46070</v>
      </c>
      <c r="C11" s="18">
        <v>46070</v>
      </c>
      <c r="D11" s="17" t="s">
        <v>146</v>
      </c>
      <c r="E11" s="19">
        <v>0.8125</v>
      </c>
      <c r="F11" s="19">
        <v>0.83333333333333337</v>
      </c>
      <c r="G11" s="19">
        <v>5.7870370370370373E-5</v>
      </c>
      <c r="H11" s="17" t="s">
        <v>160</v>
      </c>
      <c r="I11" s="20">
        <v>0.82243055555555555</v>
      </c>
      <c r="J11" s="17" t="s">
        <v>123</v>
      </c>
      <c r="K11" s="17" t="s">
        <v>143</v>
      </c>
      <c r="L11" s="21">
        <v>1</v>
      </c>
      <c r="M11" s="21">
        <v>71832</v>
      </c>
      <c r="N11" s="17" t="s">
        <v>58</v>
      </c>
      <c r="O11" s="21" t="s">
        <v>154</v>
      </c>
      <c r="P11" s="22">
        <v>41.025641025641029</v>
      </c>
      <c r="Q11" s="21"/>
      <c r="R11" s="22">
        <v>41.025641025641029</v>
      </c>
      <c r="S11" s="23">
        <v>46070</v>
      </c>
      <c r="T11" s="22">
        <v>6.1538461538461542</v>
      </c>
      <c r="U11" s="24">
        <v>4</v>
      </c>
      <c r="V11" s="22">
        <v>34.871794871794876</v>
      </c>
      <c r="W11" s="17" t="s">
        <v>48</v>
      </c>
      <c r="X11" s="17" t="s">
        <v>49</v>
      </c>
      <c r="Y11" s="17" t="s">
        <v>87</v>
      </c>
      <c r="Z11" s="17" t="s">
        <v>9</v>
      </c>
      <c r="AA11" s="17" t="s">
        <v>50</v>
      </c>
      <c r="AB11" s="17" t="s">
        <v>155</v>
      </c>
      <c r="AC11" s="17" t="s">
        <v>38</v>
      </c>
      <c r="AD11" s="7" t="s">
        <v>226</v>
      </c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</row>
    <row r="12" spans="1:49" s="9" customFormat="1" ht="31.5" x14ac:dyDescent="0.25">
      <c r="A12" s="17" t="s">
        <v>92</v>
      </c>
      <c r="B12" s="18">
        <v>46070</v>
      </c>
      <c r="C12" s="18">
        <v>46070</v>
      </c>
      <c r="D12" s="17" t="s">
        <v>146</v>
      </c>
      <c r="E12" s="19">
        <v>0.875</v>
      </c>
      <c r="F12" s="19">
        <v>0.91666666666666663</v>
      </c>
      <c r="G12" s="19">
        <v>5.7870370370370373E-5</v>
      </c>
      <c r="H12" s="17" t="s">
        <v>162</v>
      </c>
      <c r="I12" s="20">
        <v>0.91527777777777775</v>
      </c>
      <c r="J12" s="17" t="s">
        <v>41</v>
      </c>
      <c r="K12" s="17" t="s">
        <v>134</v>
      </c>
      <c r="L12" s="21">
        <v>1</v>
      </c>
      <c r="M12" s="21">
        <v>71822</v>
      </c>
      <c r="N12" s="17" t="s">
        <v>58</v>
      </c>
      <c r="O12" s="21" t="s">
        <v>154</v>
      </c>
      <c r="P12" s="22">
        <v>41.025641025641029</v>
      </c>
      <c r="Q12" s="21"/>
      <c r="R12" s="22">
        <v>41.025641025641029</v>
      </c>
      <c r="S12" s="23">
        <v>46070</v>
      </c>
      <c r="T12" s="22">
        <v>6.1538461538461542</v>
      </c>
      <c r="U12" s="24">
        <v>4</v>
      </c>
      <c r="V12" s="22">
        <v>34.871794871794876</v>
      </c>
      <c r="W12" s="17" t="s">
        <v>48</v>
      </c>
      <c r="X12" s="17" t="s">
        <v>49</v>
      </c>
      <c r="Y12" s="17" t="s">
        <v>87</v>
      </c>
      <c r="Z12" s="17" t="s">
        <v>9</v>
      </c>
      <c r="AA12" s="17" t="s">
        <v>50</v>
      </c>
      <c r="AB12" s="17" t="s">
        <v>155</v>
      </c>
      <c r="AC12" s="17" t="s">
        <v>38</v>
      </c>
      <c r="AD12" s="7" t="s">
        <v>226</v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9" customFormat="1" ht="31.5" x14ac:dyDescent="0.2">
      <c r="A13" s="17" t="s">
        <v>92</v>
      </c>
      <c r="B13" s="18">
        <v>46071</v>
      </c>
      <c r="C13" s="18">
        <v>46071</v>
      </c>
      <c r="D13" s="17" t="s">
        <v>164</v>
      </c>
      <c r="E13" s="19">
        <v>0.45833333333333331</v>
      </c>
      <c r="F13" s="19">
        <v>0.47916666666666669</v>
      </c>
      <c r="G13" s="19">
        <v>1.7361111111111109E-4</v>
      </c>
      <c r="H13" s="17" t="s">
        <v>93</v>
      </c>
      <c r="I13" s="20">
        <v>0.46434027777777775</v>
      </c>
      <c r="J13" s="17" t="s">
        <v>81</v>
      </c>
      <c r="K13" s="17" t="s">
        <v>150</v>
      </c>
      <c r="L13" s="21">
        <v>1</v>
      </c>
      <c r="M13" s="21">
        <v>71172</v>
      </c>
      <c r="N13" s="17" t="s">
        <v>58</v>
      </c>
      <c r="O13" s="21" t="s">
        <v>94</v>
      </c>
      <c r="P13" s="22">
        <v>70</v>
      </c>
      <c r="Q13" s="21"/>
      <c r="R13" s="22">
        <v>70</v>
      </c>
      <c r="S13" s="23">
        <v>46071</v>
      </c>
      <c r="T13" s="22">
        <v>10.5</v>
      </c>
      <c r="U13" s="24">
        <v>4</v>
      </c>
      <c r="V13" s="22">
        <v>59.5</v>
      </c>
      <c r="W13" s="17" t="s">
        <v>48</v>
      </c>
      <c r="X13" s="17" t="s">
        <v>49</v>
      </c>
      <c r="Y13" s="17" t="s">
        <v>87</v>
      </c>
      <c r="Z13" s="17" t="s">
        <v>9</v>
      </c>
      <c r="AA13" s="17" t="s">
        <v>50</v>
      </c>
      <c r="AB13" s="17" t="s">
        <v>95</v>
      </c>
      <c r="AC13" s="17" t="s">
        <v>38</v>
      </c>
      <c r="AD13" s="7" t="s">
        <v>226</v>
      </c>
    </row>
    <row r="14" spans="1:49" s="9" customFormat="1" ht="31.5" x14ac:dyDescent="0.2">
      <c r="A14" s="17" t="s">
        <v>92</v>
      </c>
      <c r="B14" s="18">
        <v>46071</v>
      </c>
      <c r="C14" s="18">
        <v>46071</v>
      </c>
      <c r="D14" s="17" t="s">
        <v>164</v>
      </c>
      <c r="E14" s="19">
        <v>0.45833333333333331</v>
      </c>
      <c r="F14" s="19">
        <v>0.47916666666666669</v>
      </c>
      <c r="G14" s="19">
        <v>1.7361111111111109E-4</v>
      </c>
      <c r="H14" s="17" t="s">
        <v>169</v>
      </c>
      <c r="I14" s="20">
        <v>0.47768518518518521</v>
      </c>
      <c r="J14" s="17" t="s">
        <v>81</v>
      </c>
      <c r="K14" s="17" t="s">
        <v>150</v>
      </c>
      <c r="L14" s="21">
        <v>1</v>
      </c>
      <c r="M14" s="21">
        <v>71244</v>
      </c>
      <c r="N14" s="17" t="s">
        <v>58</v>
      </c>
      <c r="O14" s="21" t="s">
        <v>170</v>
      </c>
      <c r="P14" s="22">
        <v>70</v>
      </c>
      <c r="Q14" s="21"/>
      <c r="R14" s="22">
        <v>70</v>
      </c>
      <c r="S14" s="23">
        <v>46071</v>
      </c>
      <c r="T14" s="22">
        <v>10.5</v>
      </c>
      <c r="U14" s="24">
        <v>4</v>
      </c>
      <c r="V14" s="22">
        <v>59.5</v>
      </c>
      <c r="W14" s="17" t="s">
        <v>48</v>
      </c>
      <c r="X14" s="17" t="s">
        <v>49</v>
      </c>
      <c r="Y14" s="17" t="s">
        <v>87</v>
      </c>
      <c r="Z14" s="17" t="s">
        <v>9</v>
      </c>
      <c r="AA14" s="17" t="s">
        <v>50</v>
      </c>
      <c r="AB14" s="17" t="s">
        <v>171</v>
      </c>
      <c r="AC14" s="17" t="s">
        <v>38</v>
      </c>
      <c r="AD14" s="7" t="s">
        <v>226</v>
      </c>
    </row>
    <row r="15" spans="1:49" s="9" customFormat="1" ht="31.5" x14ac:dyDescent="0.2">
      <c r="A15" s="17" t="s">
        <v>92</v>
      </c>
      <c r="B15" s="18">
        <v>46071</v>
      </c>
      <c r="C15" s="18">
        <v>46071</v>
      </c>
      <c r="D15" s="17" t="s">
        <v>164</v>
      </c>
      <c r="E15" s="19">
        <v>0.47916666666666669</v>
      </c>
      <c r="F15" s="19">
        <v>0.5</v>
      </c>
      <c r="G15" s="19">
        <v>1.7361111111111109E-4</v>
      </c>
      <c r="H15" s="17" t="s">
        <v>98</v>
      </c>
      <c r="I15" s="20">
        <v>0.49827546296296299</v>
      </c>
      <c r="J15" s="17" t="s">
        <v>81</v>
      </c>
      <c r="K15" s="17" t="s">
        <v>137</v>
      </c>
      <c r="L15" s="21">
        <v>1</v>
      </c>
      <c r="M15" s="21">
        <v>71178</v>
      </c>
      <c r="N15" s="17" t="s">
        <v>58</v>
      </c>
      <c r="O15" s="21" t="s">
        <v>94</v>
      </c>
      <c r="P15" s="22">
        <v>70</v>
      </c>
      <c r="Q15" s="21"/>
      <c r="R15" s="22">
        <v>70</v>
      </c>
      <c r="S15" s="23">
        <v>46071</v>
      </c>
      <c r="T15" s="22">
        <v>10.5</v>
      </c>
      <c r="U15" s="24">
        <v>4</v>
      </c>
      <c r="V15" s="22">
        <v>59.5</v>
      </c>
      <c r="W15" s="17" t="s">
        <v>48</v>
      </c>
      <c r="X15" s="17" t="s">
        <v>49</v>
      </c>
      <c r="Y15" s="17" t="s">
        <v>87</v>
      </c>
      <c r="Z15" s="17" t="s">
        <v>9</v>
      </c>
      <c r="AA15" s="17" t="s">
        <v>50</v>
      </c>
      <c r="AB15" s="17" t="s">
        <v>95</v>
      </c>
      <c r="AC15" s="17" t="s">
        <v>38</v>
      </c>
      <c r="AD15" s="7" t="s">
        <v>226</v>
      </c>
    </row>
    <row r="16" spans="1:49" s="9" customFormat="1" ht="31.5" x14ac:dyDescent="0.2">
      <c r="A16" s="17" t="s">
        <v>92</v>
      </c>
      <c r="B16" s="18">
        <v>46071</v>
      </c>
      <c r="C16" s="18">
        <v>46071</v>
      </c>
      <c r="D16" s="17" t="s">
        <v>164</v>
      </c>
      <c r="E16" s="19">
        <v>0.47916666666666669</v>
      </c>
      <c r="F16" s="19">
        <v>0.5</v>
      </c>
      <c r="G16" s="19">
        <v>1.7361111111111109E-4</v>
      </c>
      <c r="H16" s="31" t="s">
        <v>169</v>
      </c>
      <c r="I16" s="20">
        <v>0.48958333333333331</v>
      </c>
      <c r="J16" s="17" t="s">
        <v>81</v>
      </c>
      <c r="K16" s="17" t="s">
        <v>137</v>
      </c>
      <c r="L16" s="21">
        <v>1</v>
      </c>
      <c r="M16" s="21">
        <v>71246</v>
      </c>
      <c r="N16" s="17" t="s">
        <v>58</v>
      </c>
      <c r="O16" s="21" t="s">
        <v>170</v>
      </c>
      <c r="P16" s="22">
        <v>70</v>
      </c>
      <c r="Q16" s="21"/>
      <c r="R16" s="22">
        <v>70</v>
      </c>
      <c r="S16" s="23">
        <v>46071</v>
      </c>
      <c r="T16" s="22">
        <v>10.5</v>
      </c>
      <c r="U16" s="24">
        <v>4</v>
      </c>
      <c r="V16" s="22">
        <v>59.5</v>
      </c>
      <c r="W16" s="17" t="s">
        <v>48</v>
      </c>
      <c r="X16" s="17" t="s">
        <v>49</v>
      </c>
      <c r="Y16" s="17" t="s">
        <v>87</v>
      </c>
      <c r="Z16" s="17" t="s">
        <v>9</v>
      </c>
      <c r="AA16" s="17" t="s">
        <v>50</v>
      </c>
      <c r="AB16" s="17" t="s">
        <v>171</v>
      </c>
      <c r="AC16" s="17" t="s">
        <v>38</v>
      </c>
      <c r="AD16" s="7" t="s">
        <v>226</v>
      </c>
    </row>
    <row r="17" spans="1:49" s="9" customFormat="1" ht="31.5" x14ac:dyDescent="0.25">
      <c r="A17" s="17" t="s">
        <v>92</v>
      </c>
      <c r="B17" s="18">
        <v>46071</v>
      </c>
      <c r="C17" s="18">
        <v>46071</v>
      </c>
      <c r="D17" s="17" t="s">
        <v>164</v>
      </c>
      <c r="E17" s="19">
        <v>0.5</v>
      </c>
      <c r="F17" s="19">
        <v>0.54166666666666663</v>
      </c>
      <c r="G17" s="19">
        <v>1.7361111111111109E-4</v>
      </c>
      <c r="H17" s="17" t="s">
        <v>169</v>
      </c>
      <c r="I17" s="20">
        <v>0.50491898148148151</v>
      </c>
      <c r="J17" s="17" t="s">
        <v>81</v>
      </c>
      <c r="K17" s="17" t="s">
        <v>138</v>
      </c>
      <c r="L17" s="21">
        <v>1</v>
      </c>
      <c r="M17" s="21">
        <v>71249</v>
      </c>
      <c r="N17" s="17" t="s">
        <v>58</v>
      </c>
      <c r="O17" s="21" t="s">
        <v>170</v>
      </c>
      <c r="P17" s="22">
        <v>70</v>
      </c>
      <c r="Q17" s="21"/>
      <c r="R17" s="22">
        <v>70</v>
      </c>
      <c r="S17" s="23">
        <v>46071</v>
      </c>
      <c r="T17" s="22">
        <v>10.5</v>
      </c>
      <c r="U17" s="24">
        <v>4</v>
      </c>
      <c r="V17" s="22">
        <v>59.5</v>
      </c>
      <c r="W17" s="17" t="s">
        <v>48</v>
      </c>
      <c r="X17" s="17" t="s">
        <v>49</v>
      </c>
      <c r="Y17" s="17" t="s">
        <v>87</v>
      </c>
      <c r="Z17" s="17" t="s">
        <v>9</v>
      </c>
      <c r="AA17" s="17" t="s">
        <v>50</v>
      </c>
      <c r="AB17" s="17" t="s">
        <v>171</v>
      </c>
      <c r="AC17" s="17" t="s">
        <v>38</v>
      </c>
      <c r="AD17" s="7" t="s">
        <v>226</v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s="9" customFormat="1" ht="31.5" x14ac:dyDescent="0.25">
      <c r="A18" s="17" t="s">
        <v>92</v>
      </c>
      <c r="B18" s="18">
        <v>46071</v>
      </c>
      <c r="C18" s="18">
        <v>46071</v>
      </c>
      <c r="D18" s="17" t="s">
        <v>164</v>
      </c>
      <c r="E18" s="19">
        <v>0.5</v>
      </c>
      <c r="F18" s="19">
        <v>0.54166666666666663</v>
      </c>
      <c r="G18" s="19">
        <v>1.7361111111111109E-4</v>
      </c>
      <c r="H18" s="17" t="s">
        <v>93</v>
      </c>
      <c r="I18" s="20">
        <v>0.52028935185185188</v>
      </c>
      <c r="J18" s="17" t="s">
        <v>81</v>
      </c>
      <c r="K18" s="17" t="s">
        <v>138</v>
      </c>
      <c r="L18" s="21">
        <v>1</v>
      </c>
      <c r="M18" s="21">
        <v>71191</v>
      </c>
      <c r="N18" s="17" t="s">
        <v>58</v>
      </c>
      <c r="O18" s="21" t="s">
        <v>94</v>
      </c>
      <c r="P18" s="22">
        <v>70</v>
      </c>
      <c r="Q18" s="21"/>
      <c r="R18" s="22">
        <v>70</v>
      </c>
      <c r="S18" s="23">
        <v>46071</v>
      </c>
      <c r="T18" s="22">
        <v>10.5</v>
      </c>
      <c r="U18" s="24">
        <v>4</v>
      </c>
      <c r="V18" s="22">
        <v>59.5</v>
      </c>
      <c r="W18" s="17" t="s">
        <v>48</v>
      </c>
      <c r="X18" s="17" t="s">
        <v>49</v>
      </c>
      <c r="Y18" s="17" t="s">
        <v>87</v>
      </c>
      <c r="Z18" s="17" t="s">
        <v>9</v>
      </c>
      <c r="AA18" s="17" t="s">
        <v>50</v>
      </c>
      <c r="AB18" s="17" t="s">
        <v>95</v>
      </c>
      <c r="AC18" s="17" t="s">
        <v>38</v>
      </c>
      <c r="AD18" s="7" t="s">
        <v>226</v>
      </c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</row>
    <row r="19" spans="1:49" s="9" customFormat="1" ht="31.5" x14ac:dyDescent="0.25">
      <c r="A19" s="17" t="s">
        <v>92</v>
      </c>
      <c r="B19" s="18">
        <v>46071</v>
      </c>
      <c r="C19" s="18">
        <v>46071</v>
      </c>
      <c r="D19" s="17" t="s">
        <v>164</v>
      </c>
      <c r="E19" s="19">
        <v>0.8125</v>
      </c>
      <c r="F19" s="19">
        <v>0.83333333333333337</v>
      </c>
      <c r="G19" s="19">
        <v>5.7870370370370373E-5</v>
      </c>
      <c r="H19" s="17" t="s">
        <v>160</v>
      </c>
      <c r="I19" s="20">
        <v>0.81636574074074075</v>
      </c>
      <c r="J19" s="17" t="s">
        <v>123</v>
      </c>
      <c r="K19" s="17" t="s">
        <v>143</v>
      </c>
      <c r="L19" s="21">
        <v>1</v>
      </c>
      <c r="M19" s="21">
        <v>71832</v>
      </c>
      <c r="N19" s="17" t="s">
        <v>58</v>
      </c>
      <c r="O19" s="21" t="s">
        <v>154</v>
      </c>
      <c r="P19" s="22">
        <v>41.025641025641029</v>
      </c>
      <c r="Q19" s="21"/>
      <c r="R19" s="22">
        <v>41.025641025641029</v>
      </c>
      <c r="S19" s="23">
        <v>46071</v>
      </c>
      <c r="T19" s="22">
        <v>6.1538461538461542</v>
      </c>
      <c r="U19" s="24">
        <v>4</v>
      </c>
      <c r="V19" s="22">
        <v>34.871794871794876</v>
      </c>
      <c r="W19" s="17" t="s">
        <v>48</v>
      </c>
      <c r="X19" s="17" t="s">
        <v>49</v>
      </c>
      <c r="Y19" s="17" t="s">
        <v>87</v>
      </c>
      <c r="Z19" s="17" t="s">
        <v>9</v>
      </c>
      <c r="AA19" s="17" t="s">
        <v>50</v>
      </c>
      <c r="AB19" s="17" t="s">
        <v>155</v>
      </c>
      <c r="AC19" s="17" t="s">
        <v>38</v>
      </c>
      <c r="AD19" s="7" t="s">
        <v>226</v>
      </c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</row>
    <row r="20" spans="1:49" s="9" customFormat="1" ht="31.5" x14ac:dyDescent="0.2">
      <c r="A20" s="17" t="s">
        <v>92</v>
      </c>
      <c r="B20" s="18">
        <v>46071</v>
      </c>
      <c r="C20" s="18">
        <v>46071</v>
      </c>
      <c r="D20" s="17" t="s">
        <v>164</v>
      </c>
      <c r="E20" s="19">
        <v>0.875</v>
      </c>
      <c r="F20" s="19">
        <v>0.91666666666666663</v>
      </c>
      <c r="G20" s="19">
        <v>5.7870370370370373E-5</v>
      </c>
      <c r="H20" s="17" t="s">
        <v>162</v>
      </c>
      <c r="I20" s="20">
        <v>0.88850694444444445</v>
      </c>
      <c r="J20" s="17" t="s">
        <v>41</v>
      </c>
      <c r="K20" s="17" t="s">
        <v>134</v>
      </c>
      <c r="L20" s="21">
        <v>1</v>
      </c>
      <c r="M20" s="21">
        <v>71822</v>
      </c>
      <c r="N20" s="17" t="s">
        <v>58</v>
      </c>
      <c r="O20" s="21" t="s">
        <v>154</v>
      </c>
      <c r="P20" s="22">
        <v>41.025641025641029</v>
      </c>
      <c r="Q20" s="21"/>
      <c r="R20" s="22">
        <v>41.025641025641029</v>
      </c>
      <c r="S20" s="23">
        <v>46071</v>
      </c>
      <c r="T20" s="22">
        <v>6.1538461538461542</v>
      </c>
      <c r="U20" s="24">
        <v>4</v>
      </c>
      <c r="V20" s="22">
        <v>34.871794871794876</v>
      </c>
      <c r="W20" s="17" t="s">
        <v>48</v>
      </c>
      <c r="X20" s="17" t="s">
        <v>49</v>
      </c>
      <c r="Y20" s="17" t="s">
        <v>87</v>
      </c>
      <c r="Z20" s="17" t="s">
        <v>9</v>
      </c>
      <c r="AA20" s="17" t="s">
        <v>50</v>
      </c>
      <c r="AB20" s="17" t="s">
        <v>155</v>
      </c>
      <c r="AC20" s="17" t="s">
        <v>38</v>
      </c>
      <c r="AD20" s="7" t="s">
        <v>226</v>
      </c>
    </row>
    <row r="21" spans="1:49" s="9" customFormat="1" ht="31.5" x14ac:dyDescent="0.25">
      <c r="A21" s="17" t="s">
        <v>92</v>
      </c>
      <c r="B21" s="18">
        <v>46072</v>
      </c>
      <c r="C21" s="18">
        <v>46072</v>
      </c>
      <c r="D21" s="17" t="s">
        <v>177</v>
      </c>
      <c r="E21" s="19">
        <v>0.45833333333333331</v>
      </c>
      <c r="F21" s="19">
        <v>0.47916666666666669</v>
      </c>
      <c r="G21" s="19">
        <v>1.7361111111111109E-4</v>
      </c>
      <c r="H21" s="17" t="s">
        <v>169</v>
      </c>
      <c r="I21" s="20">
        <v>0.46587962962962964</v>
      </c>
      <c r="J21" s="17" t="s">
        <v>81</v>
      </c>
      <c r="K21" s="17" t="s">
        <v>150</v>
      </c>
      <c r="L21" s="21">
        <v>1</v>
      </c>
      <c r="M21" s="21">
        <v>71244</v>
      </c>
      <c r="N21" s="17" t="s">
        <v>58</v>
      </c>
      <c r="O21" s="21" t="s">
        <v>170</v>
      </c>
      <c r="P21" s="22">
        <v>70</v>
      </c>
      <c r="Q21" s="21"/>
      <c r="R21" s="22">
        <v>70</v>
      </c>
      <c r="S21" s="23">
        <v>46072</v>
      </c>
      <c r="T21" s="22">
        <v>10.5</v>
      </c>
      <c r="U21" s="24">
        <v>4</v>
      </c>
      <c r="V21" s="22">
        <v>59.5</v>
      </c>
      <c r="W21" s="17" t="s">
        <v>48</v>
      </c>
      <c r="X21" s="17" t="s">
        <v>49</v>
      </c>
      <c r="Y21" s="17" t="s">
        <v>87</v>
      </c>
      <c r="Z21" s="17" t="s">
        <v>9</v>
      </c>
      <c r="AA21" s="17" t="s">
        <v>50</v>
      </c>
      <c r="AB21" s="17" t="s">
        <v>171</v>
      </c>
      <c r="AC21" s="17" t="s">
        <v>38</v>
      </c>
      <c r="AD21" s="7" t="s">
        <v>226</v>
      </c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</row>
    <row r="22" spans="1:49" s="9" customFormat="1" ht="31.5" x14ac:dyDescent="0.25">
      <c r="A22" s="17" t="s">
        <v>92</v>
      </c>
      <c r="B22" s="18">
        <v>46072</v>
      </c>
      <c r="C22" s="18">
        <v>46072</v>
      </c>
      <c r="D22" s="17" t="s">
        <v>177</v>
      </c>
      <c r="E22" s="19">
        <v>0.45833333333333331</v>
      </c>
      <c r="F22" s="19">
        <v>0.47916666666666669</v>
      </c>
      <c r="G22" s="19">
        <v>1.7361111111111109E-4</v>
      </c>
      <c r="H22" s="17" t="s">
        <v>93</v>
      </c>
      <c r="I22" s="20">
        <v>0.47262731481481479</v>
      </c>
      <c r="J22" s="17" t="s">
        <v>81</v>
      </c>
      <c r="K22" s="17" t="s">
        <v>150</v>
      </c>
      <c r="L22" s="21">
        <v>1</v>
      </c>
      <c r="M22" s="21">
        <v>71172</v>
      </c>
      <c r="N22" s="17" t="s">
        <v>58</v>
      </c>
      <c r="O22" s="21" t="s">
        <v>94</v>
      </c>
      <c r="P22" s="22">
        <v>70</v>
      </c>
      <c r="Q22" s="21"/>
      <c r="R22" s="22">
        <v>70</v>
      </c>
      <c r="S22" s="23">
        <v>46072</v>
      </c>
      <c r="T22" s="22">
        <v>10.5</v>
      </c>
      <c r="U22" s="24">
        <v>4</v>
      </c>
      <c r="V22" s="22">
        <v>59.5</v>
      </c>
      <c r="W22" s="17" t="s">
        <v>48</v>
      </c>
      <c r="X22" s="17" t="s">
        <v>49</v>
      </c>
      <c r="Y22" s="17" t="s">
        <v>87</v>
      </c>
      <c r="Z22" s="17" t="s">
        <v>9</v>
      </c>
      <c r="AA22" s="17" t="s">
        <v>50</v>
      </c>
      <c r="AB22" s="17" t="s">
        <v>95</v>
      </c>
      <c r="AC22" s="17" t="s">
        <v>38</v>
      </c>
      <c r="AD22" s="7" t="s">
        <v>226</v>
      </c>
      <c r="AE22" s="25"/>
      <c r="AF22" s="25"/>
      <c r="AG22" s="25"/>
      <c r="AH22" s="25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9" customFormat="1" ht="31.5" x14ac:dyDescent="0.25">
      <c r="A23" s="17" t="s">
        <v>92</v>
      </c>
      <c r="B23" s="18">
        <v>46072</v>
      </c>
      <c r="C23" s="18">
        <v>46072</v>
      </c>
      <c r="D23" s="17" t="s">
        <v>177</v>
      </c>
      <c r="E23" s="19">
        <v>0.47916666666666669</v>
      </c>
      <c r="F23" s="19">
        <v>0.5</v>
      </c>
      <c r="G23" s="19">
        <v>5.7870370370370373E-5</v>
      </c>
      <c r="H23" s="17" t="s">
        <v>153</v>
      </c>
      <c r="I23" s="20">
        <v>0.48652777777777778</v>
      </c>
      <c r="J23" s="17" t="s">
        <v>81</v>
      </c>
      <c r="K23" s="17" t="s">
        <v>137</v>
      </c>
      <c r="L23" s="21">
        <v>1</v>
      </c>
      <c r="M23" s="21">
        <v>71837</v>
      </c>
      <c r="N23" s="17" t="s">
        <v>58</v>
      </c>
      <c r="O23" s="21" t="s">
        <v>154</v>
      </c>
      <c r="P23" s="22">
        <v>41.025641025641029</v>
      </c>
      <c r="Q23" s="21"/>
      <c r="R23" s="22">
        <v>41.025641025641029</v>
      </c>
      <c r="S23" s="23">
        <v>46072</v>
      </c>
      <c r="T23" s="22">
        <v>6.1538461538461542</v>
      </c>
      <c r="U23" s="24">
        <v>4</v>
      </c>
      <c r="V23" s="22">
        <v>34.871794871794876</v>
      </c>
      <c r="W23" s="17" t="s">
        <v>48</v>
      </c>
      <c r="X23" s="17" t="s">
        <v>49</v>
      </c>
      <c r="Y23" s="17" t="s">
        <v>87</v>
      </c>
      <c r="Z23" s="17" t="s">
        <v>9</v>
      </c>
      <c r="AA23" s="17" t="s">
        <v>50</v>
      </c>
      <c r="AB23" s="17" t="s">
        <v>155</v>
      </c>
      <c r="AC23" s="17" t="s">
        <v>38</v>
      </c>
      <c r="AD23" s="7" t="s">
        <v>226</v>
      </c>
      <c r="AE23" s="25"/>
      <c r="AF23" s="25"/>
      <c r="AG23" s="25"/>
      <c r="AH23" s="25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9" customFormat="1" ht="31.5" x14ac:dyDescent="0.25">
      <c r="A24" s="17" t="s">
        <v>92</v>
      </c>
      <c r="B24" s="18">
        <v>46072</v>
      </c>
      <c r="C24" s="18">
        <v>46072</v>
      </c>
      <c r="D24" s="17" t="s">
        <v>177</v>
      </c>
      <c r="E24" s="19">
        <v>0.47916666666666669</v>
      </c>
      <c r="F24" s="19">
        <v>0.5</v>
      </c>
      <c r="G24" s="19">
        <v>1.7361111111111109E-4</v>
      </c>
      <c r="H24" s="17" t="s">
        <v>183</v>
      </c>
      <c r="I24" s="20">
        <v>0.49739583333333331</v>
      </c>
      <c r="J24" s="17" t="s">
        <v>81</v>
      </c>
      <c r="K24" s="17" t="s">
        <v>137</v>
      </c>
      <c r="L24" s="21">
        <v>1</v>
      </c>
      <c r="M24" s="21">
        <v>71178</v>
      </c>
      <c r="N24" s="17" t="s">
        <v>58</v>
      </c>
      <c r="O24" s="21" t="s">
        <v>94</v>
      </c>
      <c r="P24" s="22">
        <v>70</v>
      </c>
      <c r="Q24" s="21"/>
      <c r="R24" s="22">
        <v>70</v>
      </c>
      <c r="S24" s="23">
        <v>46072</v>
      </c>
      <c r="T24" s="22">
        <v>10.5</v>
      </c>
      <c r="U24" s="24">
        <v>4</v>
      </c>
      <c r="V24" s="22">
        <v>59.5</v>
      </c>
      <c r="W24" s="17" t="s">
        <v>48</v>
      </c>
      <c r="X24" s="17" t="s">
        <v>49</v>
      </c>
      <c r="Y24" s="17" t="s">
        <v>87</v>
      </c>
      <c r="Z24" s="17" t="s">
        <v>9</v>
      </c>
      <c r="AA24" s="17" t="s">
        <v>50</v>
      </c>
      <c r="AB24" s="17" t="s">
        <v>95</v>
      </c>
      <c r="AC24" s="17" t="s">
        <v>38</v>
      </c>
      <c r="AD24" s="7" t="s">
        <v>226</v>
      </c>
      <c r="AE24" s="25"/>
      <c r="AF24" s="25"/>
      <c r="AG24" s="25"/>
      <c r="AH24" s="25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</row>
    <row r="25" spans="1:49" s="9" customFormat="1" ht="31.5" x14ac:dyDescent="0.25">
      <c r="A25" s="17" t="s">
        <v>92</v>
      </c>
      <c r="B25" s="18">
        <v>46072</v>
      </c>
      <c r="C25" s="18">
        <v>46072</v>
      </c>
      <c r="D25" s="17" t="s">
        <v>177</v>
      </c>
      <c r="E25" s="19">
        <v>0.47916666666666669</v>
      </c>
      <c r="F25" s="19">
        <v>0.5</v>
      </c>
      <c r="G25" s="19">
        <v>1.7361111111111109E-4</v>
      </c>
      <c r="H25" s="31" t="s">
        <v>169</v>
      </c>
      <c r="I25" s="20">
        <v>0.48936342592592591</v>
      </c>
      <c r="J25" s="17" t="s">
        <v>81</v>
      </c>
      <c r="K25" s="17" t="s">
        <v>137</v>
      </c>
      <c r="L25" s="21">
        <v>1</v>
      </c>
      <c r="M25" s="21">
        <v>71246</v>
      </c>
      <c r="N25" s="17" t="s">
        <v>58</v>
      </c>
      <c r="O25" s="21" t="s">
        <v>170</v>
      </c>
      <c r="P25" s="22">
        <v>70</v>
      </c>
      <c r="Q25" s="21"/>
      <c r="R25" s="22">
        <v>70</v>
      </c>
      <c r="S25" s="23">
        <v>46072</v>
      </c>
      <c r="T25" s="22">
        <v>10.5</v>
      </c>
      <c r="U25" s="24">
        <v>4</v>
      </c>
      <c r="V25" s="22">
        <v>59.5</v>
      </c>
      <c r="W25" s="17" t="s">
        <v>48</v>
      </c>
      <c r="X25" s="17" t="s">
        <v>49</v>
      </c>
      <c r="Y25" s="17" t="s">
        <v>87</v>
      </c>
      <c r="Z25" s="17" t="s">
        <v>9</v>
      </c>
      <c r="AA25" s="17" t="s">
        <v>50</v>
      </c>
      <c r="AB25" s="17" t="s">
        <v>171</v>
      </c>
      <c r="AC25" s="17" t="s">
        <v>38</v>
      </c>
      <c r="AD25" s="7" t="s">
        <v>226</v>
      </c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</row>
    <row r="26" spans="1:49" s="9" customFormat="1" ht="31.5" x14ac:dyDescent="0.25">
      <c r="A26" s="17" t="s">
        <v>92</v>
      </c>
      <c r="B26" s="18">
        <v>46072</v>
      </c>
      <c r="C26" s="18">
        <v>46072</v>
      </c>
      <c r="D26" s="17" t="s">
        <v>177</v>
      </c>
      <c r="E26" s="19">
        <v>0.5</v>
      </c>
      <c r="F26" s="19">
        <v>0.54166666666666663</v>
      </c>
      <c r="G26" s="19">
        <v>1.7361111111111109E-4</v>
      </c>
      <c r="H26" s="17" t="s">
        <v>93</v>
      </c>
      <c r="I26" s="20">
        <v>0.5141782407407407</v>
      </c>
      <c r="J26" s="17" t="s">
        <v>81</v>
      </c>
      <c r="K26" s="17" t="s">
        <v>138</v>
      </c>
      <c r="L26" s="21">
        <v>1</v>
      </c>
      <c r="M26" s="21">
        <v>71191</v>
      </c>
      <c r="N26" s="17" t="s">
        <v>58</v>
      </c>
      <c r="O26" s="21" t="s">
        <v>94</v>
      </c>
      <c r="P26" s="22">
        <v>70</v>
      </c>
      <c r="Q26" s="21"/>
      <c r="R26" s="22">
        <v>70</v>
      </c>
      <c r="S26" s="23">
        <v>46072</v>
      </c>
      <c r="T26" s="22">
        <v>10.5</v>
      </c>
      <c r="U26" s="24">
        <v>4</v>
      </c>
      <c r="V26" s="22">
        <v>59.5</v>
      </c>
      <c r="W26" s="17" t="s">
        <v>48</v>
      </c>
      <c r="X26" s="17" t="s">
        <v>49</v>
      </c>
      <c r="Y26" s="17" t="s">
        <v>87</v>
      </c>
      <c r="Z26" s="17" t="s">
        <v>9</v>
      </c>
      <c r="AA26" s="17" t="s">
        <v>50</v>
      </c>
      <c r="AB26" s="17" t="s">
        <v>95</v>
      </c>
      <c r="AC26" s="17" t="s">
        <v>38</v>
      </c>
      <c r="AD26" s="7" t="s">
        <v>226</v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9" customFormat="1" ht="31.5" x14ac:dyDescent="0.2">
      <c r="A27" s="17" t="s">
        <v>92</v>
      </c>
      <c r="B27" s="18">
        <v>46072</v>
      </c>
      <c r="C27" s="18">
        <v>46072</v>
      </c>
      <c r="D27" s="17" t="s">
        <v>177</v>
      </c>
      <c r="E27" s="19">
        <v>0.5</v>
      </c>
      <c r="F27" s="19">
        <v>0.54166666666666663</v>
      </c>
      <c r="G27" s="19">
        <v>1.7361111111111109E-4</v>
      </c>
      <c r="H27" s="17" t="s">
        <v>169</v>
      </c>
      <c r="I27" s="20">
        <v>0.52534722222222219</v>
      </c>
      <c r="J27" s="17" t="s">
        <v>81</v>
      </c>
      <c r="K27" s="17" t="s">
        <v>138</v>
      </c>
      <c r="L27" s="21">
        <v>1</v>
      </c>
      <c r="M27" s="21">
        <v>71249</v>
      </c>
      <c r="N27" s="17" t="s">
        <v>58</v>
      </c>
      <c r="O27" s="21" t="s">
        <v>170</v>
      </c>
      <c r="P27" s="22">
        <v>70</v>
      </c>
      <c r="Q27" s="21"/>
      <c r="R27" s="22">
        <v>70</v>
      </c>
      <c r="S27" s="23">
        <v>46072</v>
      </c>
      <c r="T27" s="22">
        <v>10.5</v>
      </c>
      <c r="U27" s="24">
        <v>4</v>
      </c>
      <c r="V27" s="22">
        <v>59.5</v>
      </c>
      <c r="W27" s="17" t="s">
        <v>48</v>
      </c>
      <c r="X27" s="17" t="s">
        <v>49</v>
      </c>
      <c r="Y27" s="17" t="s">
        <v>87</v>
      </c>
      <c r="Z27" s="17" t="s">
        <v>9</v>
      </c>
      <c r="AA27" s="17" t="s">
        <v>50</v>
      </c>
      <c r="AB27" s="17" t="s">
        <v>171</v>
      </c>
      <c r="AC27" s="17" t="s">
        <v>38</v>
      </c>
      <c r="AD27" s="7" t="s">
        <v>226</v>
      </c>
    </row>
    <row r="28" spans="1:49" s="9" customFormat="1" ht="31.5" x14ac:dyDescent="0.2">
      <c r="A28" s="17" t="s">
        <v>92</v>
      </c>
      <c r="B28" s="18">
        <v>46073</v>
      </c>
      <c r="C28" s="18">
        <v>46073</v>
      </c>
      <c r="D28" s="17" t="s">
        <v>189</v>
      </c>
      <c r="E28" s="19">
        <v>0.45833333333333331</v>
      </c>
      <c r="F28" s="19">
        <v>0.47916666666666669</v>
      </c>
      <c r="G28" s="19">
        <v>1.7361111111111109E-4</v>
      </c>
      <c r="H28" s="17" t="s">
        <v>169</v>
      </c>
      <c r="I28" s="20">
        <v>0.47113425925925928</v>
      </c>
      <c r="J28" s="17" t="s">
        <v>81</v>
      </c>
      <c r="K28" s="17" t="s">
        <v>150</v>
      </c>
      <c r="L28" s="21">
        <v>1</v>
      </c>
      <c r="M28" s="21">
        <v>71244</v>
      </c>
      <c r="N28" s="17" t="s">
        <v>58</v>
      </c>
      <c r="O28" s="21" t="s">
        <v>170</v>
      </c>
      <c r="P28" s="22">
        <v>70</v>
      </c>
      <c r="Q28" s="21"/>
      <c r="R28" s="22">
        <v>70</v>
      </c>
      <c r="S28" s="23">
        <v>46073</v>
      </c>
      <c r="T28" s="22">
        <v>10.5</v>
      </c>
      <c r="U28" s="24">
        <v>4</v>
      </c>
      <c r="V28" s="22">
        <v>59.5</v>
      </c>
      <c r="W28" s="17" t="s">
        <v>48</v>
      </c>
      <c r="X28" s="17" t="s">
        <v>49</v>
      </c>
      <c r="Y28" s="17" t="s">
        <v>87</v>
      </c>
      <c r="Z28" s="17" t="s">
        <v>9</v>
      </c>
      <c r="AA28" s="17" t="s">
        <v>50</v>
      </c>
      <c r="AB28" s="17" t="s">
        <v>171</v>
      </c>
      <c r="AC28" s="17" t="s">
        <v>38</v>
      </c>
      <c r="AD28" s="7" t="s">
        <v>226</v>
      </c>
    </row>
    <row r="29" spans="1:49" s="9" customFormat="1" ht="31.5" x14ac:dyDescent="0.25">
      <c r="A29" s="17" t="s">
        <v>92</v>
      </c>
      <c r="B29" s="18">
        <v>46073</v>
      </c>
      <c r="C29" s="18">
        <v>46073</v>
      </c>
      <c r="D29" s="17" t="s">
        <v>189</v>
      </c>
      <c r="E29" s="19">
        <v>0.45833333333333331</v>
      </c>
      <c r="F29" s="19">
        <v>0.47916666666666669</v>
      </c>
      <c r="G29" s="19">
        <v>1.7361111111111109E-4</v>
      </c>
      <c r="H29" s="17" t="s">
        <v>93</v>
      </c>
      <c r="I29" s="20">
        <v>0.47749999999999998</v>
      </c>
      <c r="J29" s="17" t="s">
        <v>81</v>
      </c>
      <c r="K29" s="17" t="s">
        <v>150</v>
      </c>
      <c r="L29" s="21">
        <v>1</v>
      </c>
      <c r="M29" s="21">
        <v>71172</v>
      </c>
      <c r="N29" s="17" t="s">
        <v>58</v>
      </c>
      <c r="O29" s="21" t="s">
        <v>94</v>
      </c>
      <c r="P29" s="22">
        <v>70</v>
      </c>
      <c r="Q29" s="21"/>
      <c r="R29" s="22">
        <v>70</v>
      </c>
      <c r="S29" s="23">
        <v>46073</v>
      </c>
      <c r="T29" s="22">
        <v>10.5</v>
      </c>
      <c r="U29" s="24">
        <v>4</v>
      </c>
      <c r="V29" s="22">
        <v>59.5</v>
      </c>
      <c r="W29" s="17" t="s">
        <v>48</v>
      </c>
      <c r="X29" s="17" t="s">
        <v>49</v>
      </c>
      <c r="Y29" s="17" t="s">
        <v>87</v>
      </c>
      <c r="Z29" s="17" t="s">
        <v>9</v>
      </c>
      <c r="AA29" s="17" t="s">
        <v>50</v>
      </c>
      <c r="AB29" s="17" t="s">
        <v>95</v>
      </c>
      <c r="AC29" s="17" t="s">
        <v>38</v>
      </c>
      <c r="AD29" s="7" t="s">
        <v>226</v>
      </c>
      <c r="AE29" s="25"/>
      <c r="AF29" s="25"/>
      <c r="AG29" s="25"/>
      <c r="AH29" s="25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9" customFormat="1" ht="31.5" x14ac:dyDescent="0.2">
      <c r="A30" s="17" t="s">
        <v>92</v>
      </c>
      <c r="B30" s="18">
        <v>46073</v>
      </c>
      <c r="C30" s="18">
        <v>46073</v>
      </c>
      <c r="D30" s="17" t="s">
        <v>189</v>
      </c>
      <c r="E30" s="19">
        <v>0.47916666666666669</v>
      </c>
      <c r="F30" s="19">
        <v>0.5</v>
      </c>
      <c r="G30" s="19">
        <v>5.7870370370370373E-5</v>
      </c>
      <c r="H30" s="17" t="s">
        <v>153</v>
      </c>
      <c r="I30" s="20">
        <v>0.48736111111111113</v>
      </c>
      <c r="J30" s="17" t="s">
        <v>81</v>
      </c>
      <c r="K30" s="17" t="s">
        <v>137</v>
      </c>
      <c r="L30" s="21">
        <v>1</v>
      </c>
      <c r="M30" s="21">
        <v>71837</v>
      </c>
      <c r="N30" s="17" t="s">
        <v>58</v>
      </c>
      <c r="O30" s="21" t="s">
        <v>154</v>
      </c>
      <c r="P30" s="22">
        <v>41.025641025641029</v>
      </c>
      <c r="Q30" s="21"/>
      <c r="R30" s="22">
        <v>41.025641025641029</v>
      </c>
      <c r="S30" s="23">
        <v>46073</v>
      </c>
      <c r="T30" s="22">
        <v>6.1538461538461542</v>
      </c>
      <c r="U30" s="24">
        <v>4</v>
      </c>
      <c r="V30" s="22">
        <v>34.871794871794876</v>
      </c>
      <c r="W30" s="17" t="s">
        <v>48</v>
      </c>
      <c r="X30" s="17" t="s">
        <v>49</v>
      </c>
      <c r="Y30" s="17" t="s">
        <v>87</v>
      </c>
      <c r="Z30" s="17" t="s">
        <v>9</v>
      </c>
      <c r="AA30" s="17" t="s">
        <v>50</v>
      </c>
      <c r="AB30" s="17" t="s">
        <v>155</v>
      </c>
      <c r="AC30" s="17" t="s">
        <v>38</v>
      </c>
      <c r="AD30" s="7" t="s">
        <v>226</v>
      </c>
    </row>
    <row r="31" spans="1:49" s="9" customFormat="1" ht="31.5" x14ac:dyDescent="0.2">
      <c r="A31" s="17" t="s">
        <v>92</v>
      </c>
      <c r="B31" s="18">
        <v>46073</v>
      </c>
      <c r="C31" s="18">
        <v>46073</v>
      </c>
      <c r="D31" s="17" t="s">
        <v>189</v>
      </c>
      <c r="E31" s="19">
        <v>0.47916666666666669</v>
      </c>
      <c r="F31" s="19">
        <v>0.5</v>
      </c>
      <c r="G31" s="19">
        <v>1.7361111111111109E-4</v>
      </c>
      <c r="H31" s="17" t="s">
        <v>169</v>
      </c>
      <c r="I31" s="20">
        <v>0.48898148148148146</v>
      </c>
      <c r="J31" s="17" t="s">
        <v>81</v>
      </c>
      <c r="K31" s="17" t="s">
        <v>137</v>
      </c>
      <c r="L31" s="21">
        <v>1</v>
      </c>
      <c r="M31" s="21">
        <v>71246</v>
      </c>
      <c r="N31" s="17" t="s">
        <v>58</v>
      </c>
      <c r="O31" s="21" t="s">
        <v>170</v>
      </c>
      <c r="P31" s="22">
        <v>70</v>
      </c>
      <c r="Q31" s="21"/>
      <c r="R31" s="22">
        <v>70</v>
      </c>
      <c r="S31" s="23">
        <v>46073</v>
      </c>
      <c r="T31" s="22">
        <v>10.5</v>
      </c>
      <c r="U31" s="24">
        <v>4</v>
      </c>
      <c r="V31" s="22">
        <v>59.5</v>
      </c>
      <c r="W31" s="17" t="s">
        <v>48</v>
      </c>
      <c r="X31" s="17" t="s">
        <v>49</v>
      </c>
      <c r="Y31" s="17" t="s">
        <v>87</v>
      </c>
      <c r="Z31" s="17" t="s">
        <v>9</v>
      </c>
      <c r="AA31" s="17" t="s">
        <v>50</v>
      </c>
      <c r="AB31" s="17" t="s">
        <v>171</v>
      </c>
      <c r="AC31" s="17" t="s">
        <v>38</v>
      </c>
      <c r="AD31" s="7" t="s">
        <v>226</v>
      </c>
    </row>
    <row r="32" spans="1:49" s="9" customFormat="1" ht="31.5" x14ac:dyDescent="0.2">
      <c r="A32" s="17" t="s">
        <v>92</v>
      </c>
      <c r="B32" s="18">
        <v>46073</v>
      </c>
      <c r="C32" s="18">
        <v>46073</v>
      </c>
      <c r="D32" s="17" t="s">
        <v>189</v>
      </c>
      <c r="E32" s="19">
        <v>0.47916666666666669</v>
      </c>
      <c r="F32" s="19">
        <v>0.5</v>
      </c>
      <c r="G32" s="19">
        <v>1.7361111111111109E-4</v>
      </c>
      <c r="H32" s="17" t="s">
        <v>183</v>
      </c>
      <c r="I32" s="20">
        <v>0.49755787037037036</v>
      </c>
      <c r="J32" s="17" t="s">
        <v>81</v>
      </c>
      <c r="K32" s="17" t="s">
        <v>137</v>
      </c>
      <c r="L32" s="21">
        <v>1</v>
      </c>
      <c r="M32" s="21">
        <v>71178</v>
      </c>
      <c r="N32" s="17" t="s">
        <v>58</v>
      </c>
      <c r="O32" s="21" t="s">
        <v>94</v>
      </c>
      <c r="P32" s="22">
        <v>70</v>
      </c>
      <c r="Q32" s="21"/>
      <c r="R32" s="22">
        <v>70</v>
      </c>
      <c r="S32" s="23">
        <v>46073</v>
      </c>
      <c r="T32" s="22">
        <v>10.5</v>
      </c>
      <c r="U32" s="24">
        <v>4</v>
      </c>
      <c r="V32" s="22">
        <v>59.5</v>
      </c>
      <c r="W32" s="17" t="s">
        <v>48</v>
      </c>
      <c r="X32" s="17" t="s">
        <v>49</v>
      </c>
      <c r="Y32" s="17" t="s">
        <v>87</v>
      </c>
      <c r="Z32" s="17" t="s">
        <v>9</v>
      </c>
      <c r="AA32" s="17" t="s">
        <v>50</v>
      </c>
      <c r="AB32" s="17" t="s">
        <v>95</v>
      </c>
      <c r="AC32" s="17" t="s">
        <v>38</v>
      </c>
      <c r="AD32" s="7" t="s">
        <v>226</v>
      </c>
    </row>
    <row r="33" spans="1:49" s="9" customFormat="1" ht="31.5" x14ac:dyDescent="0.2">
      <c r="A33" s="17" t="s">
        <v>92</v>
      </c>
      <c r="B33" s="18">
        <v>46073</v>
      </c>
      <c r="C33" s="18">
        <v>46073</v>
      </c>
      <c r="D33" s="17" t="s">
        <v>189</v>
      </c>
      <c r="E33" s="19">
        <v>0.5</v>
      </c>
      <c r="F33" s="19">
        <v>0.54166666666666663</v>
      </c>
      <c r="G33" s="19">
        <v>1.7361111111111109E-4</v>
      </c>
      <c r="H33" s="17" t="s">
        <v>93</v>
      </c>
      <c r="I33" s="20">
        <v>0.50717592592592597</v>
      </c>
      <c r="J33" s="17" t="s">
        <v>81</v>
      </c>
      <c r="K33" s="17" t="s">
        <v>138</v>
      </c>
      <c r="L33" s="21">
        <v>1</v>
      </c>
      <c r="M33" s="21">
        <v>71191</v>
      </c>
      <c r="N33" s="17" t="s">
        <v>58</v>
      </c>
      <c r="O33" s="21" t="s">
        <v>94</v>
      </c>
      <c r="P33" s="22">
        <v>70</v>
      </c>
      <c r="Q33" s="21"/>
      <c r="R33" s="22">
        <v>70</v>
      </c>
      <c r="S33" s="23">
        <v>46073</v>
      </c>
      <c r="T33" s="22">
        <v>10.5</v>
      </c>
      <c r="U33" s="24">
        <v>4</v>
      </c>
      <c r="V33" s="22">
        <v>59.5</v>
      </c>
      <c r="W33" s="17" t="s">
        <v>48</v>
      </c>
      <c r="X33" s="17" t="s">
        <v>49</v>
      </c>
      <c r="Y33" s="17" t="s">
        <v>87</v>
      </c>
      <c r="Z33" s="17" t="s">
        <v>9</v>
      </c>
      <c r="AA33" s="17" t="s">
        <v>50</v>
      </c>
      <c r="AB33" s="17" t="s">
        <v>95</v>
      </c>
      <c r="AC33" s="17" t="s">
        <v>38</v>
      </c>
      <c r="AD33" s="7" t="s">
        <v>226</v>
      </c>
    </row>
    <row r="34" spans="1:49" s="9" customFormat="1" ht="31.5" x14ac:dyDescent="0.25">
      <c r="A34" s="17" t="s">
        <v>92</v>
      </c>
      <c r="B34" s="18">
        <v>46073</v>
      </c>
      <c r="C34" s="18">
        <v>46073</v>
      </c>
      <c r="D34" s="17" t="s">
        <v>189</v>
      </c>
      <c r="E34" s="19">
        <v>0.5</v>
      </c>
      <c r="F34" s="19">
        <v>0.54166666666666663</v>
      </c>
      <c r="G34" s="19">
        <v>1.7361111111111109E-4</v>
      </c>
      <c r="H34" s="17" t="s">
        <v>169</v>
      </c>
      <c r="I34" s="20">
        <v>0.54085648148148147</v>
      </c>
      <c r="J34" s="17" t="s">
        <v>81</v>
      </c>
      <c r="K34" s="17" t="s">
        <v>138</v>
      </c>
      <c r="L34" s="21">
        <v>1</v>
      </c>
      <c r="M34" s="21">
        <v>71249</v>
      </c>
      <c r="N34" s="17" t="s">
        <v>58</v>
      </c>
      <c r="O34" s="21" t="s">
        <v>170</v>
      </c>
      <c r="P34" s="22">
        <v>70</v>
      </c>
      <c r="Q34" s="21"/>
      <c r="R34" s="22">
        <v>70</v>
      </c>
      <c r="S34" s="23">
        <v>46073</v>
      </c>
      <c r="T34" s="22">
        <v>10.5</v>
      </c>
      <c r="U34" s="24">
        <v>4</v>
      </c>
      <c r="V34" s="22">
        <v>59.5</v>
      </c>
      <c r="W34" s="17" t="s">
        <v>48</v>
      </c>
      <c r="X34" s="17" t="s">
        <v>49</v>
      </c>
      <c r="Y34" s="17" t="s">
        <v>87</v>
      </c>
      <c r="Z34" s="17" t="s">
        <v>9</v>
      </c>
      <c r="AA34" s="17" t="s">
        <v>50</v>
      </c>
      <c r="AB34" s="17" t="s">
        <v>171</v>
      </c>
      <c r="AC34" s="17" t="s">
        <v>38</v>
      </c>
      <c r="AD34" s="7" t="s">
        <v>226</v>
      </c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</row>
    <row r="35" spans="1:49" s="9" customFormat="1" ht="31.5" x14ac:dyDescent="0.25">
      <c r="A35" s="17" t="s">
        <v>92</v>
      </c>
      <c r="B35" s="18">
        <v>46073</v>
      </c>
      <c r="C35" s="18">
        <v>46073</v>
      </c>
      <c r="D35" s="17" t="s">
        <v>189</v>
      </c>
      <c r="E35" s="19">
        <v>0.91666666666666663</v>
      </c>
      <c r="F35" s="19">
        <v>0.97916666666666663</v>
      </c>
      <c r="G35" s="19">
        <v>5.7870370370370373E-5</v>
      </c>
      <c r="H35" s="17" t="s">
        <v>162</v>
      </c>
      <c r="I35" s="20">
        <v>0.93123842592592587</v>
      </c>
      <c r="J35" s="17" t="s">
        <v>41</v>
      </c>
      <c r="K35" s="17" t="s">
        <v>196</v>
      </c>
      <c r="L35" s="21">
        <v>1</v>
      </c>
      <c r="M35" s="21">
        <v>71827</v>
      </c>
      <c r="N35" s="17" t="s">
        <v>58</v>
      </c>
      <c r="O35" s="21" t="s">
        <v>154</v>
      </c>
      <c r="P35" s="22">
        <v>41.025641025641029</v>
      </c>
      <c r="Q35" s="21"/>
      <c r="R35" s="22">
        <v>41.025641025641029</v>
      </c>
      <c r="S35" s="23">
        <v>46073</v>
      </c>
      <c r="T35" s="22">
        <v>6.1538461538461542</v>
      </c>
      <c r="U35" s="24">
        <v>4</v>
      </c>
      <c r="V35" s="22">
        <v>34.871794871794876</v>
      </c>
      <c r="W35" s="17" t="s">
        <v>48</v>
      </c>
      <c r="X35" s="17" t="s">
        <v>49</v>
      </c>
      <c r="Y35" s="17" t="s">
        <v>87</v>
      </c>
      <c r="Z35" s="17" t="s">
        <v>9</v>
      </c>
      <c r="AA35" s="17" t="s">
        <v>50</v>
      </c>
      <c r="AB35" s="17" t="s">
        <v>155</v>
      </c>
      <c r="AC35" s="17" t="s">
        <v>38</v>
      </c>
      <c r="AD35" s="7" t="s">
        <v>226</v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s="9" customFormat="1" ht="31.5" x14ac:dyDescent="0.25">
      <c r="A36" s="17" t="s">
        <v>92</v>
      </c>
      <c r="B36" s="18">
        <v>46074</v>
      </c>
      <c r="C36" s="18">
        <v>46074</v>
      </c>
      <c r="D36" s="17" t="s">
        <v>197</v>
      </c>
      <c r="E36" s="19">
        <v>0.45833333333333331</v>
      </c>
      <c r="F36" s="19">
        <v>0.5</v>
      </c>
      <c r="G36" s="19">
        <v>1.7361111111111109E-4</v>
      </c>
      <c r="H36" s="17" t="s">
        <v>169</v>
      </c>
      <c r="I36" s="20">
        <v>0.4700347222222222</v>
      </c>
      <c r="J36" s="17" t="s">
        <v>81</v>
      </c>
      <c r="K36" s="17" t="s">
        <v>150</v>
      </c>
      <c r="L36" s="21">
        <v>1</v>
      </c>
      <c r="M36" s="21">
        <v>71248</v>
      </c>
      <c r="N36" s="17" t="s">
        <v>58</v>
      </c>
      <c r="O36" s="21" t="s">
        <v>170</v>
      </c>
      <c r="P36" s="22">
        <v>70</v>
      </c>
      <c r="Q36" s="21"/>
      <c r="R36" s="22">
        <v>70</v>
      </c>
      <c r="S36" s="23">
        <v>46074</v>
      </c>
      <c r="T36" s="22">
        <v>10.5</v>
      </c>
      <c r="U36" s="24">
        <v>4</v>
      </c>
      <c r="V36" s="22">
        <v>59.5</v>
      </c>
      <c r="W36" s="17" t="s">
        <v>48</v>
      </c>
      <c r="X36" s="17" t="s">
        <v>49</v>
      </c>
      <c r="Y36" s="17" t="s">
        <v>87</v>
      </c>
      <c r="Z36" s="17" t="s">
        <v>9</v>
      </c>
      <c r="AA36" s="17" t="s">
        <v>50</v>
      </c>
      <c r="AB36" s="17" t="s">
        <v>171</v>
      </c>
      <c r="AC36" s="17" t="s">
        <v>38</v>
      </c>
      <c r="AD36" s="7" t="s">
        <v>226</v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9" customFormat="1" ht="31.5" x14ac:dyDescent="0.25">
      <c r="A37" s="17" t="s">
        <v>92</v>
      </c>
      <c r="B37" s="18">
        <v>46074</v>
      </c>
      <c r="C37" s="18">
        <v>46074</v>
      </c>
      <c r="D37" s="17" t="s">
        <v>197</v>
      </c>
      <c r="E37" s="19">
        <v>0.45833333333333331</v>
      </c>
      <c r="F37" s="19">
        <v>0.5</v>
      </c>
      <c r="G37" s="19">
        <v>1.7361111111111109E-4</v>
      </c>
      <c r="H37" s="17" t="s">
        <v>98</v>
      </c>
      <c r="I37" s="20">
        <v>0.47797453703703702</v>
      </c>
      <c r="J37" s="17" t="s">
        <v>81</v>
      </c>
      <c r="K37" s="17" t="s">
        <v>150</v>
      </c>
      <c r="L37" s="21">
        <v>1</v>
      </c>
      <c r="M37" s="21">
        <v>71183</v>
      </c>
      <c r="N37" s="17" t="s">
        <v>58</v>
      </c>
      <c r="O37" s="21" t="s">
        <v>94</v>
      </c>
      <c r="P37" s="22">
        <v>70</v>
      </c>
      <c r="Q37" s="21"/>
      <c r="R37" s="22">
        <v>70</v>
      </c>
      <c r="S37" s="23">
        <v>46074</v>
      </c>
      <c r="T37" s="22">
        <v>10.5</v>
      </c>
      <c r="U37" s="24">
        <v>4</v>
      </c>
      <c r="V37" s="22">
        <v>59.5</v>
      </c>
      <c r="W37" s="17" t="s">
        <v>48</v>
      </c>
      <c r="X37" s="17" t="s">
        <v>49</v>
      </c>
      <c r="Y37" s="17" t="s">
        <v>87</v>
      </c>
      <c r="Z37" s="17" t="s">
        <v>9</v>
      </c>
      <c r="AA37" s="17" t="s">
        <v>50</v>
      </c>
      <c r="AB37" s="17" t="s">
        <v>95</v>
      </c>
      <c r="AC37" s="17" t="s">
        <v>38</v>
      </c>
      <c r="AD37" s="7" t="s">
        <v>226</v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9" customFormat="1" ht="31.5" x14ac:dyDescent="0.2">
      <c r="A38" s="17" t="s">
        <v>92</v>
      </c>
      <c r="B38" s="18">
        <v>46074</v>
      </c>
      <c r="C38" s="18">
        <v>46074</v>
      </c>
      <c r="D38" s="17" t="s">
        <v>197</v>
      </c>
      <c r="E38" s="19">
        <v>0.45833333333333331</v>
      </c>
      <c r="F38" s="19">
        <v>0.5</v>
      </c>
      <c r="G38" s="19">
        <v>1.7361111111111109E-4</v>
      </c>
      <c r="H38" s="17" t="s">
        <v>98</v>
      </c>
      <c r="I38" s="20">
        <v>0.49341435185185184</v>
      </c>
      <c r="J38" s="17" t="s">
        <v>81</v>
      </c>
      <c r="K38" s="17" t="s">
        <v>137</v>
      </c>
      <c r="L38" s="21">
        <v>1</v>
      </c>
      <c r="M38" s="21">
        <v>71183</v>
      </c>
      <c r="N38" s="17" t="s">
        <v>58</v>
      </c>
      <c r="O38" s="21" t="s">
        <v>94</v>
      </c>
      <c r="P38" s="22">
        <v>70</v>
      </c>
      <c r="Q38" s="21"/>
      <c r="R38" s="22">
        <v>70</v>
      </c>
      <c r="S38" s="23">
        <v>46074</v>
      </c>
      <c r="T38" s="22">
        <v>10.5</v>
      </c>
      <c r="U38" s="24">
        <v>4</v>
      </c>
      <c r="V38" s="22">
        <v>59.5</v>
      </c>
      <c r="W38" s="17" t="s">
        <v>48</v>
      </c>
      <c r="X38" s="17" t="s">
        <v>49</v>
      </c>
      <c r="Y38" s="17" t="s">
        <v>87</v>
      </c>
      <c r="Z38" s="17" t="s">
        <v>9</v>
      </c>
      <c r="AA38" s="17" t="s">
        <v>50</v>
      </c>
      <c r="AB38" s="17" t="s">
        <v>95</v>
      </c>
      <c r="AC38" s="17" t="s">
        <v>38</v>
      </c>
      <c r="AD38" s="7" t="s">
        <v>226</v>
      </c>
    </row>
    <row r="39" spans="1:49" s="9" customFormat="1" ht="31.5" x14ac:dyDescent="0.2">
      <c r="A39" s="17" t="s">
        <v>92</v>
      </c>
      <c r="B39" s="18">
        <v>46074</v>
      </c>
      <c r="C39" s="18">
        <v>46074</v>
      </c>
      <c r="D39" s="17" t="s">
        <v>197</v>
      </c>
      <c r="E39" s="19">
        <v>0.47916666666666669</v>
      </c>
      <c r="F39" s="19">
        <v>0.5</v>
      </c>
      <c r="G39" s="19">
        <v>5.7870370370370373E-5</v>
      </c>
      <c r="H39" s="17" t="s">
        <v>153</v>
      </c>
      <c r="I39" s="20">
        <v>0.49342592592592593</v>
      </c>
      <c r="J39" s="17" t="s">
        <v>81</v>
      </c>
      <c r="K39" s="17" t="s">
        <v>201</v>
      </c>
      <c r="L39" s="21">
        <v>1</v>
      </c>
      <c r="M39" s="21">
        <v>71842</v>
      </c>
      <c r="N39" s="17" t="s">
        <v>58</v>
      </c>
      <c r="O39" s="21" t="s">
        <v>154</v>
      </c>
      <c r="P39" s="22">
        <v>41.025641025641029</v>
      </c>
      <c r="Q39" s="21"/>
      <c r="R39" s="22">
        <v>41.025641025641029</v>
      </c>
      <c r="S39" s="23">
        <v>46074</v>
      </c>
      <c r="T39" s="22">
        <v>6.1538461538461542</v>
      </c>
      <c r="U39" s="24">
        <v>4</v>
      </c>
      <c r="V39" s="22">
        <v>34.871794871794876</v>
      </c>
      <c r="W39" s="17" t="s">
        <v>48</v>
      </c>
      <c r="X39" s="17" t="s">
        <v>49</v>
      </c>
      <c r="Y39" s="17" t="s">
        <v>87</v>
      </c>
      <c r="Z39" s="17" t="s">
        <v>9</v>
      </c>
      <c r="AA39" s="17" t="s">
        <v>50</v>
      </c>
      <c r="AB39" s="17" t="s">
        <v>155</v>
      </c>
      <c r="AC39" s="17" t="s">
        <v>38</v>
      </c>
      <c r="AD39" s="7" t="s">
        <v>226</v>
      </c>
    </row>
    <row r="40" spans="1:49" s="9" customFormat="1" ht="31.5" x14ac:dyDescent="0.25">
      <c r="A40" s="17" t="s">
        <v>92</v>
      </c>
      <c r="B40" s="18">
        <v>46074</v>
      </c>
      <c r="C40" s="18">
        <v>46074</v>
      </c>
      <c r="D40" s="17" t="s">
        <v>197</v>
      </c>
      <c r="E40" s="19">
        <v>0.91666666666666663</v>
      </c>
      <c r="F40" s="19">
        <v>0.97916666666666663</v>
      </c>
      <c r="G40" s="19">
        <v>5.7870370370370373E-5</v>
      </c>
      <c r="H40" s="17" t="s">
        <v>162</v>
      </c>
      <c r="I40" s="20">
        <v>0.93392361111111111</v>
      </c>
      <c r="J40" s="17" t="s">
        <v>41</v>
      </c>
      <c r="K40" s="17" t="s">
        <v>145</v>
      </c>
      <c r="L40" s="21">
        <v>1</v>
      </c>
      <c r="M40" s="21">
        <v>71827</v>
      </c>
      <c r="N40" s="17" t="s">
        <v>58</v>
      </c>
      <c r="O40" s="21" t="s">
        <v>154</v>
      </c>
      <c r="P40" s="22">
        <v>41.025641025641029</v>
      </c>
      <c r="Q40" s="21"/>
      <c r="R40" s="22">
        <v>41.025641025641029</v>
      </c>
      <c r="S40" s="23">
        <v>46074</v>
      </c>
      <c r="T40" s="22">
        <v>6.1538461538461542</v>
      </c>
      <c r="U40" s="24">
        <v>4</v>
      </c>
      <c r="V40" s="22">
        <v>34.871794871794876</v>
      </c>
      <c r="W40" s="17" t="s">
        <v>48</v>
      </c>
      <c r="X40" s="17" t="s">
        <v>49</v>
      </c>
      <c r="Y40" s="17" t="s">
        <v>87</v>
      </c>
      <c r="Z40" s="17" t="s">
        <v>9</v>
      </c>
      <c r="AA40" s="17" t="s">
        <v>50</v>
      </c>
      <c r="AB40" s="17" t="s">
        <v>155</v>
      </c>
      <c r="AC40" s="17" t="s">
        <v>38</v>
      </c>
      <c r="AD40" s="7" t="s">
        <v>226</v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9" customFormat="1" ht="31.5" x14ac:dyDescent="0.2">
      <c r="A41" s="17" t="s">
        <v>92</v>
      </c>
      <c r="B41" s="18">
        <v>46075</v>
      </c>
      <c r="C41" s="18">
        <v>46075</v>
      </c>
      <c r="D41" s="17" t="s">
        <v>215</v>
      </c>
      <c r="E41" s="19">
        <v>0.45833333333333331</v>
      </c>
      <c r="F41" s="19">
        <v>0.5</v>
      </c>
      <c r="G41" s="19">
        <v>1.7361111111111109E-4</v>
      </c>
      <c r="H41" s="17" t="s">
        <v>98</v>
      </c>
      <c r="I41" s="20">
        <v>0.46491898148148147</v>
      </c>
      <c r="J41" s="17" t="s">
        <v>81</v>
      </c>
      <c r="K41" s="17" t="s">
        <v>77</v>
      </c>
      <c r="L41" s="21">
        <v>1</v>
      </c>
      <c r="M41" s="21">
        <v>71184</v>
      </c>
      <c r="N41" s="17" t="s">
        <v>58</v>
      </c>
      <c r="O41" s="21" t="s">
        <v>94</v>
      </c>
      <c r="P41" s="22">
        <v>70</v>
      </c>
      <c r="Q41" s="21"/>
      <c r="R41" s="22">
        <v>70</v>
      </c>
      <c r="S41" s="23">
        <v>46075</v>
      </c>
      <c r="T41" s="22">
        <v>10.5</v>
      </c>
      <c r="U41" s="24">
        <v>4</v>
      </c>
      <c r="V41" s="22">
        <v>59.5</v>
      </c>
      <c r="W41" s="17" t="s">
        <v>48</v>
      </c>
      <c r="X41" s="17" t="s">
        <v>49</v>
      </c>
      <c r="Y41" s="17" t="s">
        <v>87</v>
      </c>
      <c r="Z41" s="17" t="s">
        <v>9</v>
      </c>
      <c r="AA41" s="17" t="s">
        <v>50</v>
      </c>
      <c r="AB41" s="17" t="s">
        <v>95</v>
      </c>
      <c r="AC41" s="17" t="s">
        <v>38</v>
      </c>
      <c r="AD41" s="7" t="s">
        <v>226</v>
      </c>
    </row>
    <row r="42" spans="1:49" s="9" customFormat="1" ht="31.5" x14ac:dyDescent="0.25">
      <c r="A42" s="17" t="s">
        <v>92</v>
      </c>
      <c r="B42" s="18">
        <v>46075</v>
      </c>
      <c r="C42" s="18">
        <v>46075</v>
      </c>
      <c r="D42" s="17" t="s">
        <v>215</v>
      </c>
      <c r="E42" s="19">
        <v>0.45833333333333331</v>
      </c>
      <c r="F42" s="19">
        <v>0.5</v>
      </c>
      <c r="G42" s="19">
        <v>1.7361111111111109E-4</v>
      </c>
      <c r="H42" s="17" t="s">
        <v>169</v>
      </c>
      <c r="I42" s="20">
        <v>0.48311342592592593</v>
      </c>
      <c r="J42" s="17" t="s">
        <v>81</v>
      </c>
      <c r="K42" s="17" t="s">
        <v>137</v>
      </c>
      <c r="L42" s="21">
        <v>1</v>
      </c>
      <c r="M42" s="21">
        <v>71248</v>
      </c>
      <c r="N42" s="17" t="s">
        <v>58</v>
      </c>
      <c r="O42" s="21" t="s">
        <v>170</v>
      </c>
      <c r="P42" s="22">
        <v>70</v>
      </c>
      <c r="Q42" s="21"/>
      <c r="R42" s="22">
        <v>70</v>
      </c>
      <c r="S42" s="23">
        <v>46075</v>
      </c>
      <c r="T42" s="22">
        <v>10.5</v>
      </c>
      <c r="U42" s="24">
        <v>4</v>
      </c>
      <c r="V42" s="22">
        <v>59.5</v>
      </c>
      <c r="W42" s="17" t="s">
        <v>48</v>
      </c>
      <c r="X42" s="17" t="s">
        <v>49</v>
      </c>
      <c r="Y42" s="17" t="s">
        <v>87</v>
      </c>
      <c r="Z42" s="17" t="s">
        <v>9</v>
      </c>
      <c r="AA42" s="17" t="s">
        <v>50</v>
      </c>
      <c r="AB42" s="17" t="s">
        <v>171</v>
      </c>
      <c r="AC42" s="17" t="s">
        <v>38</v>
      </c>
      <c r="AD42" s="7" t="s">
        <v>226</v>
      </c>
      <c r="AE42" s="25"/>
      <c r="AF42" s="25"/>
      <c r="AG42" s="25"/>
      <c r="AH42" s="25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9" customFormat="1" ht="31.5" x14ac:dyDescent="0.25">
      <c r="A43" s="17" t="s">
        <v>92</v>
      </c>
      <c r="B43" s="18">
        <v>46075</v>
      </c>
      <c r="C43" s="18">
        <v>46075</v>
      </c>
      <c r="D43" s="17" t="s">
        <v>215</v>
      </c>
      <c r="E43" s="19">
        <v>0.47916666666666669</v>
      </c>
      <c r="F43" s="19">
        <v>0.5</v>
      </c>
      <c r="G43" s="19">
        <v>5.7870370370370373E-5</v>
      </c>
      <c r="H43" s="17" t="s">
        <v>153</v>
      </c>
      <c r="I43" s="20">
        <v>0.48386574074074074</v>
      </c>
      <c r="J43" s="17" t="s">
        <v>81</v>
      </c>
      <c r="K43" s="17" t="s">
        <v>137</v>
      </c>
      <c r="L43" s="21">
        <v>1</v>
      </c>
      <c r="M43" s="21">
        <v>71842</v>
      </c>
      <c r="N43" s="17" t="s">
        <v>58</v>
      </c>
      <c r="O43" s="21" t="s">
        <v>154</v>
      </c>
      <c r="P43" s="22">
        <v>41.025641025641029</v>
      </c>
      <c r="Q43" s="21"/>
      <c r="R43" s="22">
        <v>41.025641025641029</v>
      </c>
      <c r="S43" s="23">
        <v>46075</v>
      </c>
      <c r="T43" s="22">
        <v>6.1538461538461542</v>
      </c>
      <c r="U43" s="24">
        <v>4</v>
      </c>
      <c r="V43" s="22">
        <v>34.871794871794876</v>
      </c>
      <c r="W43" s="17" t="s">
        <v>48</v>
      </c>
      <c r="X43" s="17" t="s">
        <v>49</v>
      </c>
      <c r="Y43" s="17" t="s">
        <v>87</v>
      </c>
      <c r="Z43" s="17" t="s">
        <v>9</v>
      </c>
      <c r="AA43" s="17" t="s">
        <v>50</v>
      </c>
      <c r="AB43" s="17" t="s">
        <v>155</v>
      </c>
      <c r="AC43" s="17" t="s">
        <v>38</v>
      </c>
      <c r="AD43" s="7" t="s">
        <v>226</v>
      </c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</row>
    <row r="44" spans="1:49" s="9" customFormat="1" ht="31.5" x14ac:dyDescent="0.2">
      <c r="A44" s="9" t="s">
        <v>204</v>
      </c>
      <c r="B44" s="10">
        <v>46074</v>
      </c>
      <c r="C44" s="10">
        <v>46074</v>
      </c>
      <c r="D44" s="11" t="s">
        <v>197</v>
      </c>
      <c r="E44" s="12">
        <v>0.54166666666666663</v>
      </c>
      <c r="F44" s="12">
        <v>0.58333333333333337</v>
      </c>
      <c r="G44" s="12">
        <v>4.1666666666666664E-2</v>
      </c>
      <c r="H44" s="33" t="s">
        <v>204</v>
      </c>
      <c r="I44" s="13"/>
      <c r="J44" s="9" t="s">
        <v>103</v>
      </c>
      <c r="K44" s="9" t="s">
        <v>205</v>
      </c>
      <c r="L44" s="14">
        <v>1</v>
      </c>
      <c r="M44" s="14">
        <v>1</v>
      </c>
      <c r="N44" s="9" t="s">
        <v>33</v>
      </c>
      <c r="P44" s="16">
        <v>0</v>
      </c>
      <c r="Q44" s="14"/>
      <c r="R44" s="16">
        <v>0</v>
      </c>
      <c r="S44" s="9">
        <v>46054</v>
      </c>
      <c r="T44" s="16">
        <v>0</v>
      </c>
      <c r="U44" s="14">
        <v>1</v>
      </c>
      <c r="V44" s="16">
        <v>0</v>
      </c>
      <c r="W44" s="9" t="s">
        <v>34</v>
      </c>
      <c r="X44" s="9" t="s">
        <v>35</v>
      </c>
      <c r="Y44" s="9" t="s">
        <v>36</v>
      </c>
      <c r="Z44" s="9" t="s">
        <v>73</v>
      </c>
      <c r="AA44" s="9" t="s">
        <v>37</v>
      </c>
      <c r="AB44" s="9" t="s">
        <v>37</v>
      </c>
      <c r="AC44" s="9" t="s">
        <v>38</v>
      </c>
      <c r="AD44" s="7" t="s">
        <v>226</v>
      </c>
    </row>
    <row r="45" spans="1:49" s="9" customFormat="1" ht="31.5" x14ac:dyDescent="0.2">
      <c r="A45" s="9" t="s">
        <v>223</v>
      </c>
      <c r="B45" s="10">
        <v>46075</v>
      </c>
      <c r="C45" s="10">
        <v>46075</v>
      </c>
      <c r="D45" s="11" t="s">
        <v>215</v>
      </c>
      <c r="E45" s="12">
        <v>0.625</v>
      </c>
      <c r="F45" s="12">
        <v>0.66666666666666663</v>
      </c>
      <c r="G45" s="12">
        <v>4.1666666666666664E-2</v>
      </c>
      <c r="H45" s="9" t="s">
        <v>224</v>
      </c>
      <c r="I45" s="13"/>
      <c r="J45" s="9" t="s">
        <v>103</v>
      </c>
      <c r="L45" s="14">
        <v>1</v>
      </c>
      <c r="M45" s="14">
        <v>1</v>
      </c>
      <c r="N45" s="9" t="s">
        <v>33</v>
      </c>
      <c r="P45" s="16">
        <v>0</v>
      </c>
      <c r="Q45" s="14"/>
      <c r="R45" s="16">
        <v>0</v>
      </c>
      <c r="S45" s="9">
        <v>46075</v>
      </c>
      <c r="T45" s="16">
        <v>0</v>
      </c>
      <c r="U45" s="14">
        <v>1</v>
      </c>
      <c r="V45" s="16">
        <v>0</v>
      </c>
      <c r="W45" s="9" t="s">
        <v>34</v>
      </c>
      <c r="X45" s="9" t="s">
        <v>42</v>
      </c>
      <c r="Y45" s="9" t="s">
        <v>87</v>
      </c>
      <c r="Z45" s="9" t="s">
        <v>73</v>
      </c>
      <c r="AA45" s="9" t="s">
        <v>37</v>
      </c>
      <c r="AB45" s="9" t="s">
        <v>37</v>
      </c>
      <c r="AC45" s="9" t="s">
        <v>38</v>
      </c>
      <c r="AD45" s="7" t="s">
        <v>226</v>
      </c>
    </row>
    <row r="46" spans="1:49" s="9" customFormat="1" ht="31.5" x14ac:dyDescent="0.2">
      <c r="A46" s="9" t="s">
        <v>61</v>
      </c>
      <c r="B46" s="10">
        <v>46069</v>
      </c>
      <c r="C46" s="10">
        <v>46069</v>
      </c>
      <c r="D46" s="11" t="s">
        <v>30</v>
      </c>
      <c r="E46" s="12">
        <v>0.29166666666666669</v>
      </c>
      <c r="F46" s="12">
        <v>0.3125</v>
      </c>
      <c r="G46" s="12">
        <v>2.0833333333333332E-2</v>
      </c>
      <c r="H46" s="9" t="s">
        <v>62</v>
      </c>
      <c r="I46" s="13" t="s">
        <v>63</v>
      </c>
      <c r="J46" s="9" t="s">
        <v>41</v>
      </c>
      <c r="L46" s="14">
        <v>1</v>
      </c>
      <c r="M46" s="14">
        <v>1</v>
      </c>
      <c r="N46" s="9" t="s">
        <v>33</v>
      </c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">
        <v>226</v>
      </c>
    </row>
    <row r="47" spans="1:49" s="9" customFormat="1" ht="31.5" x14ac:dyDescent="0.25">
      <c r="A47" s="9" t="s">
        <v>61</v>
      </c>
      <c r="B47" s="10">
        <v>46069</v>
      </c>
      <c r="C47" s="10">
        <v>46069</v>
      </c>
      <c r="D47" s="11" t="s">
        <v>30</v>
      </c>
      <c r="E47" s="12">
        <v>0.3125</v>
      </c>
      <c r="F47" s="12">
        <v>0.33333333333333331</v>
      </c>
      <c r="G47" s="12">
        <v>2.0833333333333332E-2</v>
      </c>
      <c r="H47" s="9" t="s">
        <v>62</v>
      </c>
      <c r="I47" s="13" t="s">
        <v>63</v>
      </c>
      <c r="J47" s="9" t="s">
        <v>41</v>
      </c>
      <c r="L47" s="14">
        <v>1</v>
      </c>
      <c r="M47" s="14">
        <v>1</v>
      </c>
      <c r="N47" s="9" t="s">
        <v>33</v>
      </c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">
        <v>226</v>
      </c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</row>
    <row r="48" spans="1:49" s="9" customFormat="1" ht="31.5" x14ac:dyDescent="0.2">
      <c r="A48" s="9" t="s">
        <v>61</v>
      </c>
      <c r="B48" s="10">
        <v>46070</v>
      </c>
      <c r="C48" s="10">
        <v>46070</v>
      </c>
      <c r="D48" s="11" t="s">
        <v>146</v>
      </c>
      <c r="E48" s="12">
        <v>0.29166666666666669</v>
      </c>
      <c r="F48" s="12">
        <v>0.3125</v>
      </c>
      <c r="G48" s="12">
        <v>2.0833333333333332E-2</v>
      </c>
      <c r="H48" s="9" t="s">
        <v>147</v>
      </c>
      <c r="I48" s="13" t="s">
        <v>63</v>
      </c>
      <c r="J48" s="9" t="s">
        <v>41</v>
      </c>
      <c r="L48" s="14">
        <v>1</v>
      </c>
      <c r="M48" s="14">
        <v>1</v>
      </c>
      <c r="N48" s="9" t="s">
        <v>33</v>
      </c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">
        <v>226</v>
      </c>
    </row>
    <row r="49" spans="1:49" s="9" customFormat="1" ht="31.5" x14ac:dyDescent="0.25">
      <c r="A49" s="9" t="s">
        <v>61</v>
      </c>
      <c r="B49" s="10">
        <v>46070</v>
      </c>
      <c r="C49" s="10">
        <v>46070</v>
      </c>
      <c r="D49" s="11" t="s">
        <v>146</v>
      </c>
      <c r="E49" s="12">
        <v>0.3125</v>
      </c>
      <c r="F49" s="12">
        <v>0.33333333333333331</v>
      </c>
      <c r="G49" s="12">
        <v>2.0833333333333332E-2</v>
      </c>
      <c r="H49" s="9" t="s">
        <v>147</v>
      </c>
      <c r="I49" s="13" t="s">
        <v>63</v>
      </c>
      <c r="J49" s="9" t="s">
        <v>41</v>
      </c>
      <c r="L49" s="14">
        <v>1</v>
      </c>
      <c r="M49" s="14">
        <v>1</v>
      </c>
      <c r="N49" s="9" t="s">
        <v>33</v>
      </c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">
        <v>226</v>
      </c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</row>
    <row r="50" spans="1:49" s="9" customFormat="1" ht="31.5" x14ac:dyDescent="0.25">
      <c r="A50" s="9" t="s">
        <v>61</v>
      </c>
      <c r="B50" s="10">
        <v>46071</v>
      </c>
      <c r="C50" s="10">
        <v>46071</v>
      </c>
      <c r="D50" s="11" t="s">
        <v>164</v>
      </c>
      <c r="E50" s="12">
        <v>0.29166666666666669</v>
      </c>
      <c r="F50" s="12">
        <v>0.3125</v>
      </c>
      <c r="G50" s="12">
        <v>2.0833333333333332E-2</v>
      </c>
      <c r="H50" s="9" t="s">
        <v>165</v>
      </c>
      <c r="I50" s="13" t="s">
        <v>63</v>
      </c>
      <c r="J50" s="9" t="s">
        <v>41</v>
      </c>
      <c r="L50" s="14">
        <v>1</v>
      </c>
      <c r="M50" s="14">
        <v>1</v>
      </c>
      <c r="N50" s="9" t="s">
        <v>33</v>
      </c>
      <c r="P50" s="16">
        <v>0</v>
      </c>
      <c r="Q50" s="14"/>
      <c r="R50" s="16">
        <v>0</v>
      </c>
      <c r="S50" s="9">
        <v>46054</v>
      </c>
      <c r="T50" s="16">
        <v>0</v>
      </c>
      <c r="U50" s="14">
        <v>2</v>
      </c>
      <c r="V50" s="16">
        <v>0</v>
      </c>
      <c r="W50" s="9" t="s">
        <v>34</v>
      </c>
      <c r="X50" s="9" t="s">
        <v>42</v>
      </c>
      <c r="Y50" s="9" t="s">
        <v>36</v>
      </c>
      <c r="Z50" s="9" t="s">
        <v>43</v>
      </c>
      <c r="AA50" s="9" t="s">
        <v>37</v>
      </c>
      <c r="AB50" s="9" t="s">
        <v>37</v>
      </c>
      <c r="AC50" s="9" t="s">
        <v>38</v>
      </c>
      <c r="AD50" s="7" t="s">
        <v>226</v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9" customFormat="1" ht="31.5" x14ac:dyDescent="0.25">
      <c r="A51" s="9" t="s">
        <v>61</v>
      </c>
      <c r="B51" s="10">
        <v>46071</v>
      </c>
      <c r="C51" s="10">
        <v>46071</v>
      </c>
      <c r="D51" s="11" t="s">
        <v>164</v>
      </c>
      <c r="E51" s="12">
        <v>0.3125</v>
      </c>
      <c r="F51" s="12">
        <v>0.33333333333333331</v>
      </c>
      <c r="G51" s="12">
        <v>2.0833333333333332E-2</v>
      </c>
      <c r="H51" s="9" t="s">
        <v>165</v>
      </c>
      <c r="I51" s="13" t="s">
        <v>63</v>
      </c>
      <c r="J51" s="9" t="s">
        <v>41</v>
      </c>
      <c r="L51" s="14">
        <v>1</v>
      </c>
      <c r="M51" s="14">
        <v>1</v>
      </c>
      <c r="N51" s="9" t="s">
        <v>33</v>
      </c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">
        <v>226</v>
      </c>
      <c r="AE51" s="25"/>
      <c r="AF51" s="25"/>
      <c r="AG51" s="25"/>
      <c r="AH51" s="25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1:49" s="9" customFormat="1" ht="31.5" x14ac:dyDescent="0.2">
      <c r="A52" s="9" t="s">
        <v>61</v>
      </c>
      <c r="B52" s="10">
        <v>46072</v>
      </c>
      <c r="C52" s="10">
        <v>46072</v>
      </c>
      <c r="D52" s="11" t="s">
        <v>177</v>
      </c>
      <c r="E52" s="12">
        <v>0.29166666666666669</v>
      </c>
      <c r="F52" s="12">
        <v>0.3125</v>
      </c>
      <c r="G52" s="12">
        <v>2.0833333333333332E-2</v>
      </c>
      <c r="H52" s="9" t="s">
        <v>178</v>
      </c>
      <c r="I52" s="13" t="s">
        <v>179</v>
      </c>
      <c r="J52" s="9" t="s">
        <v>41</v>
      </c>
      <c r="L52" s="14">
        <v>1</v>
      </c>
      <c r="M52" s="14">
        <v>1</v>
      </c>
      <c r="N52" s="9" t="s">
        <v>33</v>
      </c>
      <c r="P52" s="16">
        <v>0</v>
      </c>
      <c r="Q52" s="14"/>
      <c r="R52" s="16">
        <v>0</v>
      </c>
      <c r="S52" s="9">
        <v>46054</v>
      </c>
      <c r="T52" s="16">
        <v>0</v>
      </c>
      <c r="U52" s="14">
        <v>2</v>
      </c>
      <c r="V52" s="16">
        <v>0</v>
      </c>
      <c r="W52" s="9" t="s">
        <v>34</v>
      </c>
      <c r="X52" s="9" t="s">
        <v>42</v>
      </c>
      <c r="Y52" s="9" t="s">
        <v>36</v>
      </c>
      <c r="Z52" s="9" t="s">
        <v>43</v>
      </c>
      <c r="AA52" s="9" t="s">
        <v>37</v>
      </c>
      <c r="AB52" s="9" t="s">
        <v>37</v>
      </c>
      <c r="AC52" s="9" t="s">
        <v>38</v>
      </c>
      <c r="AD52" s="7" t="s">
        <v>226</v>
      </c>
    </row>
    <row r="53" spans="1:49" s="9" customFormat="1" ht="31.5" x14ac:dyDescent="0.2">
      <c r="A53" s="9" t="s">
        <v>61</v>
      </c>
      <c r="B53" s="10">
        <v>46072</v>
      </c>
      <c r="C53" s="10">
        <v>46072</v>
      </c>
      <c r="D53" s="11" t="s">
        <v>177</v>
      </c>
      <c r="E53" s="12">
        <v>0.3125</v>
      </c>
      <c r="F53" s="12">
        <v>0.33333333333333331</v>
      </c>
      <c r="G53" s="12">
        <v>2.0833333333333332E-2</v>
      </c>
      <c r="H53" s="9" t="s">
        <v>178</v>
      </c>
      <c r="I53" s="13" t="s">
        <v>179</v>
      </c>
      <c r="J53" s="9" t="s">
        <v>41</v>
      </c>
      <c r="L53" s="14">
        <v>1</v>
      </c>
      <c r="M53" s="14">
        <v>1</v>
      </c>
      <c r="N53" s="9" t="s">
        <v>33</v>
      </c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">
        <v>226</v>
      </c>
    </row>
    <row r="54" spans="1:49" s="9" customFormat="1" ht="31.5" x14ac:dyDescent="0.25">
      <c r="A54" s="9" t="s">
        <v>61</v>
      </c>
      <c r="B54" s="10">
        <v>46073</v>
      </c>
      <c r="C54" s="10">
        <v>46073</v>
      </c>
      <c r="D54" s="11" t="s">
        <v>189</v>
      </c>
      <c r="E54" s="12">
        <v>0.29166666666666669</v>
      </c>
      <c r="F54" s="12">
        <v>0.3125</v>
      </c>
      <c r="G54" s="12">
        <v>2.0833333333333332E-2</v>
      </c>
      <c r="H54" s="9" t="s">
        <v>190</v>
      </c>
      <c r="I54" s="13" t="s">
        <v>179</v>
      </c>
      <c r="J54" s="9" t="s">
        <v>41</v>
      </c>
      <c r="L54" s="14">
        <v>1</v>
      </c>
      <c r="M54" s="14">
        <v>1</v>
      </c>
      <c r="N54" s="9" t="s">
        <v>33</v>
      </c>
      <c r="P54" s="16">
        <v>0</v>
      </c>
      <c r="Q54" s="14"/>
      <c r="R54" s="16">
        <v>0</v>
      </c>
      <c r="S54" s="9">
        <v>46054</v>
      </c>
      <c r="T54" s="16">
        <v>0</v>
      </c>
      <c r="U54" s="14">
        <v>2</v>
      </c>
      <c r="V54" s="16">
        <v>0</v>
      </c>
      <c r="W54" s="9" t="s">
        <v>34</v>
      </c>
      <c r="X54" s="9" t="s">
        <v>42</v>
      </c>
      <c r="Y54" s="9" t="s">
        <v>36</v>
      </c>
      <c r="Z54" s="9" t="s">
        <v>43</v>
      </c>
      <c r="AA54" s="9" t="s">
        <v>37</v>
      </c>
      <c r="AB54" s="9" t="s">
        <v>37</v>
      </c>
      <c r="AC54" s="9" t="s">
        <v>38</v>
      </c>
      <c r="AD54" s="7" t="s">
        <v>226</v>
      </c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</row>
    <row r="55" spans="1:49" s="9" customFormat="1" ht="31.5" x14ac:dyDescent="0.2">
      <c r="A55" s="9" t="s">
        <v>61</v>
      </c>
      <c r="B55" s="10">
        <v>46073</v>
      </c>
      <c r="C55" s="10">
        <v>46073</v>
      </c>
      <c r="D55" s="11" t="s">
        <v>189</v>
      </c>
      <c r="E55" s="12">
        <v>0.3125</v>
      </c>
      <c r="F55" s="12">
        <v>0.33333333333333331</v>
      </c>
      <c r="G55" s="12">
        <v>2.0833333333333332E-2</v>
      </c>
      <c r="H55" s="9" t="s">
        <v>190</v>
      </c>
      <c r="I55" s="13" t="s">
        <v>179</v>
      </c>
      <c r="J55" s="9" t="s">
        <v>41</v>
      </c>
      <c r="L55" s="14">
        <v>1</v>
      </c>
      <c r="M55" s="14">
        <v>1</v>
      </c>
      <c r="N55" s="9" t="s">
        <v>33</v>
      </c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">
        <v>226</v>
      </c>
    </row>
    <row r="56" spans="1:49" s="9" customFormat="1" ht="31.5" x14ac:dyDescent="0.25">
      <c r="A56" s="9" t="s">
        <v>61</v>
      </c>
      <c r="B56" s="10">
        <v>46074</v>
      </c>
      <c r="C56" s="10">
        <v>46074</v>
      </c>
      <c r="D56" s="11" t="s">
        <v>197</v>
      </c>
      <c r="E56" s="12">
        <v>0.29166666666666669</v>
      </c>
      <c r="F56" s="12">
        <v>0.3125</v>
      </c>
      <c r="G56" s="12">
        <v>2.0833333333333332E-2</v>
      </c>
      <c r="H56" s="9" t="s">
        <v>62</v>
      </c>
      <c r="I56" s="13" t="s">
        <v>198</v>
      </c>
      <c r="J56" s="9" t="s">
        <v>41</v>
      </c>
      <c r="L56" s="14">
        <v>1</v>
      </c>
      <c r="M56" s="14">
        <v>1</v>
      </c>
      <c r="N56" s="9" t="s">
        <v>33</v>
      </c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">
        <v>226</v>
      </c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</row>
    <row r="57" spans="1:49" s="9" customFormat="1" ht="31.5" x14ac:dyDescent="0.25">
      <c r="A57" s="9" t="s">
        <v>61</v>
      </c>
      <c r="B57" s="10">
        <v>46074</v>
      </c>
      <c r="C57" s="10">
        <v>46074</v>
      </c>
      <c r="D57" s="11" t="s">
        <v>197</v>
      </c>
      <c r="E57" s="12">
        <v>0.3125</v>
      </c>
      <c r="F57" s="12">
        <v>0.33333333333333331</v>
      </c>
      <c r="G57" s="12">
        <v>2.0833333333333332E-2</v>
      </c>
      <c r="H57" s="9" t="s">
        <v>62</v>
      </c>
      <c r="I57" s="13" t="s">
        <v>198</v>
      </c>
      <c r="J57" s="9" t="s">
        <v>41</v>
      </c>
      <c r="L57" s="14">
        <v>1</v>
      </c>
      <c r="M57" s="14">
        <v>1</v>
      </c>
      <c r="N57" s="9" t="s">
        <v>33</v>
      </c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">
        <v>226</v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1:49" s="9" customFormat="1" ht="31.5" x14ac:dyDescent="0.25">
      <c r="A58" s="9" t="s">
        <v>61</v>
      </c>
      <c r="B58" s="10">
        <v>46075</v>
      </c>
      <c r="C58" s="10">
        <v>46075</v>
      </c>
      <c r="D58" s="11" t="s">
        <v>215</v>
      </c>
      <c r="E58" s="12">
        <v>0.29166666666666669</v>
      </c>
      <c r="F58" s="12">
        <v>0.3125</v>
      </c>
      <c r="G58" s="12">
        <v>2.0833333333333332E-2</v>
      </c>
      <c r="H58" s="9" t="s">
        <v>165</v>
      </c>
      <c r="I58" s="13" t="s">
        <v>198</v>
      </c>
      <c r="J58" s="9" t="s">
        <v>41</v>
      </c>
      <c r="L58" s="14">
        <v>1</v>
      </c>
      <c r="M58" s="14">
        <v>1</v>
      </c>
      <c r="N58" s="9" t="s">
        <v>33</v>
      </c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">
        <v>226</v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1:49" s="9" customFormat="1" ht="31.5" x14ac:dyDescent="0.2">
      <c r="A59" s="9" t="s">
        <v>61</v>
      </c>
      <c r="B59" s="10">
        <v>46075</v>
      </c>
      <c r="C59" s="10">
        <v>46075</v>
      </c>
      <c r="D59" s="11" t="s">
        <v>215</v>
      </c>
      <c r="E59" s="12">
        <v>0.3125</v>
      </c>
      <c r="F59" s="12">
        <v>0.33333333333333331</v>
      </c>
      <c r="G59" s="12">
        <v>2.0833333333333332E-2</v>
      </c>
      <c r="H59" s="9" t="s">
        <v>165</v>
      </c>
      <c r="I59" s="13" t="s">
        <v>198</v>
      </c>
      <c r="J59" s="9" t="s">
        <v>41</v>
      </c>
      <c r="L59" s="14">
        <v>1</v>
      </c>
      <c r="M59" s="14">
        <v>1</v>
      </c>
      <c r="N59" s="9" t="s">
        <v>33</v>
      </c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">
        <v>226</v>
      </c>
    </row>
    <row r="60" spans="1:49" s="9" customFormat="1" ht="31.5" x14ac:dyDescent="0.2">
      <c r="A60" s="9" t="s">
        <v>69</v>
      </c>
      <c r="B60" s="10">
        <v>46069</v>
      </c>
      <c r="C60" s="10">
        <v>46069</v>
      </c>
      <c r="D60" s="11" t="s">
        <v>30</v>
      </c>
      <c r="E60" s="12">
        <v>0.41666666666666669</v>
      </c>
      <c r="F60" s="12">
        <v>0.45833333333333331</v>
      </c>
      <c r="G60" s="12">
        <v>4.1666666666666664E-2</v>
      </c>
      <c r="H60" s="9" t="s">
        <v>70</v>
      </c>
      <c r="I60" s="13"/>
      <c r="J60" s="9" t="s">
        <v>71</v>
      </c>
      <c r="L60" s="14">
        <v>1</v>
      </c>
      <c r="M60" s="14">
        <v>1</v>
      </c>
      <c r="N60" s="9" t="s">
        <v>33</v>
      </c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">
        <v>226</v>
      </c>
    </row>
    <row r="61" spans="1:49" s="9" customFormat="1" ht="31.5" x14ac:dyDescent="0.2">
      <c r="A61" s="17" t="s">
        <v>69</v>
      </c>
      <c r="B61" s="18">
        <v>46069</v>
      </c>
      <c r="C61" s="18">
        <v>46069</v>
      </c>
      <c r="D61" s="17" t="s">
        <v>30</v>
      </c>
      <c r="E61" s="19">
        <v>0.41666666666666669</v>
      </c>
      <c r="F61" s="19">
        <v>0.45833333333333331</v>
      </c>
      <c r="G61" s="19">
        <v>3.4722222222222224E-4</v>
      </c>
      <c r="H61" s="17" t="s">
        <v>72</v>
      </c>
      <c r="I61" s="20">
        <v>0.42350694444444442</v>
      </c>
      <c r="J61" s="17" t="s">
        <v>71</v>
      </c>
      <c r="K61" s="17" t="s">
        <v>69</v>
      </c>
      <c r="L61" s="21">
        <v>1</v>
      </c>
      <c r="M61" s="21">
        <v>3</v>
      </c>
      <c r="N61" s="17" t="s">
        <v>58</v>
      </c>
      <c r="O61" s="21"/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34</v>
      </c>
      <c r="X61" s="17" t="s">
        <v>35</v>
      </c>
      <c r="Y61" s="17" t="s">
        <v>36</v>
      </c>
      <c r="Z61" s="17" t="s">
        <v>73</v>
      </c>
      <c r="AA61" s="17" t="s">
        <v>50</v>
      </c>
      <c r="AB61" s="17">
        <v>1109</v>
      </c>
      <c r="AC61" s="17" t="s">
        <v>38</v>
      </c>
      <c r="AD61" s="7" t="s">
        <v>226</v>
      </c>
    </row>
    <row r="62" spans="1:49" s="9" customFormat="1" ht="31.5" x14ac:dyDescent="0.25">
      <c r="A62" s="17" t="s">
        <v>69</v>
      </c>
      <c r="B62" s="18">
        <v>46069</v>
      </c>
      <c r="C62" s="18">
        <v>46069</v>
      </c>
      <c r="D62" s="17" t="s">
        <v>30</v>
      </c>
      <c r="E62" s="19">
        <v>0.41666666666666669</v>
      </c>
      <c r="F62" s="19">
        <v>0.45833333333333331</v>
      </c>
      <c r="G62" s="19">
        <v>3.4722222222222224E-4</v>
      </c>
      <c r="H62" s="17" t="s">
        <v>74</v>
      </c>
      <c r="I62" s="20">
        <v>0.42385416666666664</v>
      </c>
      <c r="J62" s="17" t="s">
        <v>71</v>
      </c>
      <c r="K62" s="17" t="s">
        <v>69</v>
      </c>
      <c r="L62" s="21">
        <v>1</v>
      </c>
      <c r="M62" s="21">
        <v>3</v>
      </c>
      <c r="N62" s="17" t="s">
        <v>58</v>
      </c>
      <c r="O62" s="21"/>
      <c r="P62" s="22">
        <v>0</v>
      </c>
      <c r="Q62" s="21"/>
      <c r="R62" s="22">
        <v>0</v>
      </c>
      <c r="S62" s="23">
        <v>46054</v>
      </c>
      <c r="T62" s="22">
        <v>0</v>
      </c>
      <c r="U62" s="24">
        <v>4</v>
      </c>
      <c r="V62" s="22">
        <v>0</v>
      </c>
      <c r="W62" s="17" t="s">
        <v>34</v>
      </c>
      <c r="X62" s="17" t="s">
        <v>35</v>
      </c>
      <c r="Y62" s="17" t="s">
        <v>36</v>
      </c>
      <c r="Z62" s="17" t="s">
        <v>73</v>
      </c>
      <c r="AA62" s="17" t="s">
        <v>50</v>
      </c>
      <c r="AB62" s="17">
        <v>1109</v>
      </c>
      <c r="AC62" s="17" t="s">
        <v>38</v>
      </c>
      <c r="AD62" s="7" t="s">
        <v>226</v>
      </c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</row>
    <row r="63" spans="1:49" s="9" customFormat="1" ht="31.5" x14ac:dyDescent="0.25">
      <c r="A63" s="17" t="s">
        <v>69</v>
      </c>
      <c r="B63" s="18">
        <v>46069</v>
      </c>
      <c r="C63" s="18">
        <v>46069</v>
      </c>
      <c r="D63" s="17" t="s">
        <v>30</v>
      </c>
      <c r="E63" s="19">
        <v>0.41666666666666669</v>
      </c>
      <c r="F63" s="19">
        <v>0.45833333333333331</v>
      </c>
      <c r="G63" s="19">
        <v>3.4722222222222224E-4</v>
      </c>
      <c r="H63" s="17" t="s">
        <v>75</v>
      </c>
      <c r="I63" s="20">
        <v>0.42420138888888892</v>
      </c>
      <c r="J63" s="17" t="s">
        <v>71</v>
      </c>
      <c r="K63" s="17" t="s">
        <v>69</v>
      </c>
      <c r="L63" s="21">
        <v>1</v>
      </c>
      <c r="M63" s="21">
        <v>3</v>
      </c>
      <c r="N63" s="17" t="s">
        <v>58</v>
      </c>
      <c r="O63" s="21"/>
      <c r="P63" s="22">
        <v>0</v>
      </c>
      <c r="Q63" s="21"/>
      <c r="R63" s="22">
        <v>0</v>
      </c>
      <c r="S63" s="23">
        <v>46054</v>
      </c>
      <c r="T63" s="22">
        <v>0</v>
      </c>
      <c r="U63" s="24">
        <v>4</v>
      </c>
      <c r="V63" s="22">
        <v>0</v>
      </c>
      <c r="W63" s="17" t="s">
        <v>34</v>
      </c>
      <c r="X63" s="17" t="s">
        <v>35</v>
      </c>
      <c r="Y63" s="17" t="s">
        <v>36</v>
      </c>
      <c r="Z63" s="17" t="s">
        <v>73</v>
      </c>
      <c r="AA63" s="17" t="s">
        <v>50</v>
      </c>
      <c r="AB63" s="17">
        <v>1109</v>
      </c>
      <c r="AC63" s="17" t="s">
        <v>38</v>
      </c>
      <c r="AD63" s="7" t="s">
        <v>226</v>
      </c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</row>
    <row r="64" spans="1:49" s="9" customFormat="1" ht="31.5" x14ac:dyDescent="0.2">
      <c r="A64" s="9" t="s">
        <v>69</v>
      </c>
      <c r="B64" s="10">
        <v>46070</v>
      </c>
      <c r="C64" s="10">
        <v>46070</v>
      </c>
      <c r="D64" s="11" t="s">
        <v>146</v>
      </c>
      <c r="E64" s="12">
        <v>0.41666666666666669</v>
      </c>
      <c r="F64" s="12">
        <v>0.45833333333333331</v>
      </c>
      <c r="G64" s="12">
        <v>4.1666666666666664E-2</v>
      </c>
      <c r="H64" s="9" t="s">
        <v>70</v>
      </c>
      <c r="I64" s="13"/>
      <c r="J64" s="9" t="s">
        <v>71</v>
      </c>
      <c r="L64" s="14">
        <v>1</v>
      </c>
      <c r="M64" s="14">
        <v>1</v>
      </c>
      <c r="N64" s="9" t="s">
        <v>33</v>
      </c>
      <c r="P64" s="16">
        <v>0</v>
      </c>
      <c r="Q64" s="14"/>
      <c r="R64" s="16">
        <v>0</v>
      </c>
      <c r="S64" s="9">
        <v>46054</v>
      </c>
      <c r="T64" s="16">
        <v>0</v>
      </c>
      <c r="U64" s="14">
        <v>2</v>
      </c>
      <c r="V64" s="16">
        <v>0</v>
      </c>
      <c r="W64" s="9" t="s">
        <v>34</v>
      </c>
      <c r="X64" s="9" t="s">
        <v>42</v>
      </c>
      <c r="Y64" s="9" t="s">
        <v>36</v>
      </c>
      <c r="Z64" s="9" t="s">
        <v>43</v>
      </c>
      <c r="AA64" s="9" t="s">
        <v>37</v>
      </c>
      <c r="AB64" s="9" t="s">
        <v>37</v>
      </c>
      <c r="AC64" s="9" t="s">
        <v>38</v>
      </c>
      <c r="AD64" s="7" t="s">
        <v>226</v>
      </c>
    </row>
    <row r="65" spans="1:49" s="9" customFormat="1" ht="31.5" x14ac:dyDescent="0.25">
      <c r="A65" s="17" t="s">
        <v>69</v>
      </c>
      <c r="B65" s="18">
        <v>46070</v>
      </c>
      <c r="C65" s="18">
        <v>46070</v>
      </c>
      <c r="D65" s="17" t="s">
        <v>146</v>
      </c>
      <c r="E65" s="19">
        <v>0.41666666666666669</v>
      </c>
      <c r="F65" s="19">
        <v>0.45833333333333331</v>
      </c>
      <c r="G65" s="19">
        <v>3.4722222222222224E-4</v>
      </c>
      <c r="H65" s="17" t="s">
        <v>148</v>
      </c>
      <c r="I65" s="20">
        <v>0.42370370370370369</v>
      </c>
      <c r="J65" s="17" t="s">
        <v>71</v>
      </c>
      <c r="K65" s="17" t="s">
        <v>69</v>
      </c>
      <c r="L65" s="21">
        <v>1</v>
      </c>
      <c r="M65" s="21">
        <v>3</v>
      </c>
      <c r="N65" s="17" t="s">
        <v>58</v>
      </c>
      <c r="O65" s="21"/>
      <c r="P65" s="22">
        <v>0</v>
      </c>
      <c r="Q65" s="21"/>
      <c r="R65" s="22">
        <v>0</v>
      </c>
      <c r="S65" s="23">
        <v>46054</v>
      </c>
      <c r="T65" s="22">
        <v>0</v>
      </c>
      <c r="U65" s="24">
        <v>4</v>
      </c>
      <c r="V65" s="22">
        <v>0</v>
      </c>
      <c r="W65" s="17" t="s">
        <v>34</v>
      </c>
      <c r="X65" s="17" t="s">
        <v>35</v>
      </c>
      <c r="Y65" s="17" t="s">
        <v>36</v>
      </c>
      <c r="Z65" s="17" t="s">
        <v>73</v>
      </c>
      <c r="AA65" s="17" t="s">
        <v>50</v>
      </c>
      <c r="AB65" s="17">
        <v>1109</v>
      </c>
      <c r="AC65" s="17" t="s">
        <v>38</v>
      </c>
      <c r="AD65" s="7" t="s">
        <v>226</v>
      </c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</row>
    <row r="66" spans="1:49" ht="31.5" x14ac:dyDescent="0.25">
      <c r="A66" s="36" t="s">
        <v>69</v>
      </c>
      <c r="B66" s="38">
        <v>46070</v>
      </c>
      <c r="C66" s="38">
        <v>46070</v>
      </c>
      <c r="D66" s="36" t="s">
        <v>146</v>
      </c>
      <c r="E66" s="41">
        <v>0.41666666666666669</v>
      </c>
      <c r="F66" s="41">
        <v>0.45833333333333331</v>
      </c>
      <c r="G66" s="41">
        <v>3.4722222222222224E-4</v>
      </c>
      <c r="H66" s="36" t="s">
        <v>149</v>
      </c>
      <c r="I66" s="43">
        <v>0.42405092592592591</v>
      </c>
      <c r="J66" s="36" t="s">
        <v>71</v>
      </c>
      <c r="K66" s="36" t="s">
        <v>69</v>
      </c>
      <c r="L66" s="45">
        <v>1</v>
      </c>
      <c r="M66" s="45">
        <v>3</v>
      </c>
      <c r="N66" s="36" t="s">
        <v>58</v>
      </c>
      <c r="O66" s="45"/>
      <c r="P66" s="48">
        <v>0</v>
      </c>
      <c r="Q66" s="45"/>
      <c r="R66" s="48">
        <v>0</v>
      </c>
      <c r="S66" s="49">
        <v>46054</v>
      </c>
      <c r="T66" s="48">
        <v>0</v>
      </c>
      <c r="U66" s="50">
        <v>4</v>
      </c>
      <c r="V66" s="48">
        <v>0</v>
      </c>
      <c r="W66" s="36" t="s">
        <v>34</v>
      </c>
      <c r="X66" s="36" t="s">
        <v>35</v>
      </c>
      <c r="Y66" s="36" t="s">
        <v>36</v>
      </c>
      <c r="Z66" s="36" t="s">
        <v>73</v>
      </c>
      <c r="AA66" s="36" t="s">
        <v>50</v>
      </c>
      <c r="AB66" s="36">
        <v>1109</v>
      </c>
      <c r="AC66" s="36" t="s">
        <v>38</v>
      </c>
      <c r="AD66" s="51" t="s">
        <v>226</v>
      </c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</row>
    <row r="67" spans="1:49" ht="31.5" x14ac:dyDescent="0.2">
      <c r="A67" s="35" t="s">
        <v>69</v>
      </c>
      <c r="B67" s="37">
        <v>46071</v>
      </c>
      <c r="C67" s="37">
        <v>46071</v>
      </c>
      <c r="D67" s="39" t="s">
        <v>164</v>
      </c>
      <c r="E67" s="40">
        <v>0.41666666666666669</v>
      </c>
      <c r="F67" s="40">
        <v>0.45833333333333331</v>
      </c>
      <c r="G67" s="40">
        <v>4.1666666666666664E-2</v>
      </c>
      <c r="H67" s="35" t="s">
        <v>70</v>
      </c>
      <c r="I67" s="42"/>
      <c r="J67" s="35" t="s">
        <v>71</v>
      </c>
      <c r="K67" s="35"/>
      <c r="L67" s="44">
        <v>1</v>
      </c>
      <c r="M67" s="44">
        <v>1</v>
      </c>
      <c r="N67" s="35" t="s">
        <v>33</v>
      </c>
      <c r="O67" s="35"/>
      <c r="P67" s="47">
        <v>0</v>
      </c>
      <c r="Q67" s="44"/>
      <c r="R67" s="47">
        <v>0</v>
      </c>
      <c r="S67" s="35">
        <v>46054</v>
      </c>
      <c r="T67" s="47">
        <v>0</v>
      </c>
      <c r="U67" s="44">
        <v>2</v>
      </c>
      <c r="V67" s="47">
        <v>0</v>
      </c>
      <c r="W67" s="35" t="s">
        <v>34</v>
      </c>
      <c r="X67" s="35" t="s">
        <v>42</v>
      </c>
      <c r="Y67" s="35" t="s">
        <v>36</v>
      </c>
      <c r="Z67" s="35" t="s">
        <v>43</v>
      </c>
      <c r="AA67" s="35" t="s">
        <v>37</v>
      </c>
      <c r="AB67" s="35" t="s">
        <v>37</v>
      </c>
      <c r="AC67" s="35" t="s">
        <v>38</v>
      </c>
      <c r="AD67" s="51" t="s">
        <v>226</v>
      </c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</row>
    <row r="68" spans="1:49" ht="31.5" x14ac:dyDescent="0.25">
      <c r="A68" s="36" t="s">
        <v>69</v>
      </c>
      <c r="B68" s="38">
        <v>46071</v>
      </c>
      <c r="C68" s="38">
        <v>46071</v>
      </c>
      <c r="D68" s="36" t="s">
        <v>164</v>
      </c>
      <c r="E68" s="41">
        <v>0.41666666666666669</v>
      </c>
      <c r="F68" s="41">
        <v>0.45833333333333331</v>
      </c>
      <c r="G68" s="41">
        <v>3.4722222222222224E-4</v>
      </c>
      <c r="H68" s="36" t="s">
        <v>166</v>
      </c>
      <c r="I68" s="43">
        <v>0.42425925925925928</v>
      </c>
      <c r="J68" s="36" t="s">
        <v>71</v>
      </c>
      <c r="K68" s="36" t="s">
        <v>69</v>
      </c>
      <c r="L68" s="45">
        <v>1</v>
      </c>
      <c r="M68" s="45">
        <v>3</v>
      </c>
      <c r="N68" s="36" t="s">
        <v>58</v>
      </c>
      <c r="O68" s="45"/>
      <c r="P68" s="48">
        <v>0</v>
      </c>
      <c r="Q68" s="45"/>
      <c r="R68" s="48">
        <v>0</v>
      </c>
      <c r="S68" s="49">
        <v>46054</v>
      </c>
      <c r="T68" s="48">
        <v>0</v>
      </c>
      <c r="U68" s="50">
        <v>4</v>
      </c>
      <c r="V68" s="48">
        <v>0</v>
      </c>
      <c r="W68" s="36" t="s">
        <v>34</v>
      </c>
      <c r="X68" s="36" t="s">
        <v>35</v>
      </c>
      <c r="Y68" s="36" t="s">
        <v>36</v>
      </c>
      <c r="Z68" s="36" t="s">
        <v>73</v>
      </c>
      <c r="AA68" s="36" t="s">
        <v>50</v>
      </c>
      <c r="AB68" s="36">
        <v>1109</v>
      </c>
      <c r="AC68" s="36" t="s">
        <v>38</v>
      </c>
      <c r="AD68" s="51" t="s">
        <v>226</v>
      </c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</row>
    <row r="69" spans="1:49" ht="31.5" x14ac:dyDescent="0.2">
      <c r="A69" s="36" t="s">
        <v>69</v>
      </c>
      <c r="B69" s="38">
        <v>46071</v>
      </c>
      <c r="C69" s="38">
        <v>46071</v>
      </c>
      <c r="D69" s="36" t="s">
        <v>164</v>
      </c>
      <c r="E69" s="41">
        <v>0.41666666666666669</v>
      </c>
      <c r="F69" s="41">
        <v>0.45833333333333331</v>
      </c>
      <c r="G69" s="41">
        <v>3.4722222222222224E-4</v>
      </c>
      <c r="H69" s="36" t="s">
        <v>167</v>
      </c>
      <c r="I69" s="43">
        <v>0.4246064814814815</v>
      </c>
      <c r="J69" s="36" t="s">
        <v>71</v>
      </c>
      <c r="K69" s="36" t="s">
        <v>69</v>
      </c>
      <c r="L69" s="45">
        <v>1</v>
      </c>
      <c r="M69" s="45">
        <v>3</v>
      </c>
      <c r="N69" s="36" t="s">
        <v>58</v>
      </c>
      <c r="O69" s="45"/>
      <c r="P69" s="48">
        <v>0</v>
      </c>
      <c r="Q69" s="45"/>
      <c r="R69" s="48">
        <v>0</v>
      </c>
      <c r="S69" s="49">
        <v>46054</v>
      </c>
      <c r="T69" s="48">
        <v>0</v>
      </c>
      <c r="U69" s="50">
        <v>4</v>
      </c>
      <c r="V69" s="48">
        <v>0</v>
      </c>
      <c r="W69" s="36" t="s">
        <v>34</v>
      </c>
      <c r="X69" s="36" t="s">
        <v>35</v>
      </c>
      <c r="Y69" s="36" t="s">
        <v>36</v>
      </c>
      <c r="Z69" s="36" t="s">
        <v>73</v>
      </c>
      <c r="AA69" s="36" t="s">
        <v>50</v>
      </c>
      <c r="AB69" s="36">
        <v>1109</v>
      </c>
      <c r="AC69" s="36" t="s">
        <v>38</v>
      </c>
      <c r="AD69" s="51" t="s">
        <v>226</v>
      </c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</row>
    <row r="70" spans="1:49" ht="31.5" x14ac:dyDescent="0.2">
      <c r="A70" s="36" t="s">
        <v>69</v>
      </c>
      <c r="B70" s="38">
        <v>46071</v>
      </c>
      <c r="C70" s="38">
        <v>46071</v>
      </c>
      <c r="D70" s="36" t="s">
        <v>164</v>
      </c>
      <c r="E70" s="41">
        <v>0.41666666666666669</v>
      </c>
      <c r="F70" s="41">
        <v>0.45833333333333331</v>
      </c>
      <c r="G70" s="41">
        <v>3.4722222222222224E-4</v>
      </c>
      <c r="H70" s="36" t="s">
        <v>168</v>
      </c>
      <c r="I70" s="43">
        <v>0.42495370370370372</v>
      </c>
      <c r="J70" s="36" t="s">
        <v>71</v>
      </c>
      <c r="K70" s="36" t="s">
        <v>69</v>
      </c>
      <c r="L70" s="45">
        <v>1</v>
      </c>
      <c r="M70" s="45">
        <v>3</v>
      </c>
      <c r="N70" s="36" t="s">
        <v>58</v>
      </c>
      <c r="O70" s="45"/>
      <c r="P70" s="48">
        <v>0</v>
      </c>
      <c r="Q70" s="45"/>
      <c r="R70" s="48">
        <v>0</v>
      </c>
      <c r="S70" s="49">
        <v>46054</v>
      </c>
      <c r="T70" s="48">
        <v>0</v>
      </c>
      <c r="U70" s="50">
        <v>4</v>
      </c>
      <c r="V70" s="48">
        <v>0</v>
      </c>
      <c r="W70" s="36" t="s">
        <v>34</v>
      </c>
      <c r="X70" s="36" t="s">
        <v>35</v>
      </c>
      <c r="Y70" s="36" t="s">
        <v>36</v>
      </c>
      <c r="Z70" s="36" t="s">
        <v>73</v>
      </c>
      <c r="AA70" s="36" t="s">
        <v>50</v>
      </c>
      <c r="AB70" s="36">
        <v>1109</v>
      </c>
      <c r="AC70" s="36" t="s">
        <v>38</v>
      </c>
      <c r="AD70" s="51" t="s">
        <v>226</v>
      </c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</row>
    <row r="71" spans="1:49" ht="31.5" x14ac:dyDescent="0.25">
      <c r="A71" s="35" t="s">
        <v>69</v>
      </c>
      <c r="B71" s="37">
        <v>46072</v>
      </c>
      <c r="C71" s="37">
        <v>46072</v>
      </c>
      <c r="D71" s="39" t="s">
        <v>177</v>
      </c>
      <c r="E71" s="40">
        <v>0.41666666666666669</v>
      </c>
      <c r="F71" s="40">
        <v>0.45833333333333331</v>
      </c>
      <c r="G71" s="40">
        <v>4.1666666666666664E-2</v>
      </c>
      <c r="H71" s="35" t="s">
        <v>70</v>
      </c>
      <c r="I71" s="42"/>
      <c r="J71" s="35" t="s">
        <v>71</v>
      </c>
      <c r="K71" s="35"/>
      <c r="L71" s="44">
        <v>1</v>
      </c>
      <c r="M71" s="44">
        <v>1</v>
      </c>
      <c r="N71" s="35" t="s">
        <v>33</v>
      </c>
      <c r="O71" s="35"/>
      <c r="P71" s="47">
        <v>0</v>
      </c>
      <c r="Q71" s="44"/>
      <c r="R71" s="47">
        <v>0</v>
      </c>
      <c r="S71" s="35">
        <v>46054</v>
      </c>
      <c r="T71" s="47">
        <v>0</v>
      </c>
      <c r="U71" s="44">
        <v>2</v>
      </c>
      <c r="V71" s="47">
        <v>0</v>
      </c>
      <c r="W71" s="35" t="s">
        <v>34</v>
      </c>
      <c r="X71" s="35" t="s">
        <v>42</v>
      </c>
      <c r="Y71" s="35" t="s">
        <v>36</v>
      </c>
      <c r="Z71" s="35" t="s">
        <v>43</v>
      </c>
      <c r="AA71" s="35" t="s">
        <v>37</v>
      </c>
      <c r="AB71" s="35" t="s">
        <v>37</v>
      </c>
      <c r="AC71" s="35" t="s">
        <v>38</v>
      </c>
      <c r="AD71" s="51" t="s">
        <v>226</v>
      </c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</row>
    <row r="72" spans="1:49" ht="31.5" x14ac:dyDescent="0.25">
      <c r="A72" s="36" t="s">
        <v>69</v>
      </c>
      <c r="B72" s="38">
        <v>46072</v>
      </c>
      <c r="C72" s="38">
        <v>46072</v>
      </c>
      <c r="D72" s="36" t="s">
        <v>177</v>
      </c>
      <c r="E72" s="41">
        <v>0.41666666666666669</v>
      </c>
      <c r="F72" s="41">
        <v>0.45833333333333331</v>
      </c>
      <c r="G72" s="41">
        <v>3.4722222222222224E-4</v>
      </c>
      <c r="H72" s="36" t="s">
        <v>180</v>
      </c>
      <c r="I72" s="43">
        <v>0.42243055555555553</v>
      </c>
      <c r="J72" s="36" t="s">
        <v>71</v>
      </c>
      <c r="K72" s="36" t="s">
        <v>69</v>
      </c>
      <c r="L72" s="45">
        <v>1</v>
      </c>
      <c r="M72" s="45">
        <v>3</v>
      </c>
      <c r="N72" s="36" t="s">
        <v>58</v>
      </c>
      <c r="O72" s="45"/>
      <c r="P72" s="48">
        <v>0</v>
      </c>
      <c r="Q72" s="45"/>
      <c r="R72" s="48">
        <v>0</v>
      </c>
      <c r="S72" s="49">
        <v>46054</v>
      </c>
      <c r="T72" s="48">
        <v>0</v>
      </c>
      <c r="U72" s="50">
        <v>4</v>
      </c>
      <c r="V72" s="48">
        <v>0</v>
      </c>
      <c r="W72" s="36" t="s">
        <v>34</v>
      </c>
      <c r="X72" s="36" t="s">
        <v>35</v>
      </c>
      <c r="Y72" s="36" t="s">
        <v>36</v>
      </c>
      <c r="Z72" s="36" t="s">
        <v>73</v>
      </c>
      <c r="AA72" s="36" t="s">
        <v>50</v>
      </c>
      <c r="AB72" s="36">
        <v>1109</v>
      </c>
      <c r="AC72" s="36" t="s">
        <v>38</v>
      </c>
      <c r="AD72" s="51" t="s">
        <v>226</v>
      </c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</row>
    <row r="73" spans="1:49" ht="31.5" x14ac:dyDescent="0.2">
      <c r="A73" s="36" t="s">
        <v>69</v>
      </c>
      <c r="B73" s="38">
        <v>46072</v>
      </c>
      <c r="C73" s="38">
        <v>46072</v>
      </c>
      <c r="D73" s="36" t="s">
        <v>177</v>
      </c>
      <c r="E73" s="41">
        <v>0.41666666666666669</v>
      </c>
      <c r="F73" s="41">
        <v>0.45833333333333331</v>
      </c>
      <c r="G73" s="41">
        <v>3.4722222222222224E-4</v>
      </c>
      <c r="H73" s="36" t="s">
        <v>181</v>
      </c>
      <c r="I73" s="43">
        <v>0.42277777777777775</v>
      </c>
      <c r="J73" s="36" t="s">
        <v>71</v>
      </c>
      <c r="K73" s="36" t="s">
        <v>69</v>
      </c>
      <c r="L73" s="45">
        <v>1</v>
      </c>
      <c r="M73" s="45">
        <v>3</v>
      </c>
      <c r="N73" s="36" t="s">
        <v>58</v>
      </c>
      <c r="O73" s="45"/>
      <c r="P73" s="48">
        <v>0</v>
      </c>
      <c r="Q73" s="45"/>
      <c r="R73" s="48">
        <v>0</v>
      </c>
      <c r="S73" s="49">
        <v>46054</v>
      </c>
      <c r="T73" s="48">
        <v>0</v>
      </c>
      <c r="U73" s="50">
        <v>4</v>
      </c>
      <c r="V73" s="48">
        <v>0</v>
      </c>
      <c r="W73" s="36" t="s">
        <v>34</v>
      </c>
      <c r="X73" s="36" t="s">
        <v>35</v>
      </c>
      <c r="Y73" s="36" t="s">
        <v>36</v>
      </c>
      <c r="Z73" s="36" t="s">
        <v>73</v>
      </c>
      <c r="AA73" s="36" t="s">
        <v>50</v>
      </c>
      <c r="AB73" s="36">
        <v>1109</v>
      </c>
      <c r="AC73" s="36" t="s">
        <v>38</v>
      </c>
      <c r="AD73" s="51" t="s">
        <v>226</v>
      </c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</row>
    <row r="74" spans="1:49" ht="31.5" x14ac:dyDescent="0.2">
      <c r="A74" s="35" t="s">
        <v>69</v>
      </c>
      <c r="B74" s="37">
        <v>46073</v>
      </c>
      <c r="C74" s="37">
        <v>46073</v>
      </c>
      <c r="D74" s="39" t="s">
        <v>189</v>
      </c>
      <c r="E74" s="40">
        <v>0.41666666666666669</v>
      </c>
      <c r="F74" s="40">
        <v>0.45833333333333331</v>
      </c>
      <c r="G74" s="40">
        <v>4.1666666666666664E-2</v>
      </c>
      <c r="H74" s="35" t="s">
        <v>70</v>
      </c>
      <c r="I74" s="42"/>
      <c r="J74" s="35" t="s">
        <v>71</v>
      </c>
      <c r="K74" s="35"/>
      <c r="L74" s="44">
        <v>1</v>
      </c>
      <c r="M74" s="44">
        <v>1</v>
      </c>
      <c r="N74" s="35" t="s">
        <v>33</v>
      </c>
      <c r="O74" s="35"/>
      <c r="P74" s="47">
        <v>0</v>
      </c>
      <c r="Q74" s="44"/>
      <c r="R74" s="47">
        <v>0</v>
      </c>
      <c r="S74" s="35">
        <v>46054</v>
      </c>
      <c r="T74" s="47">
        <v>0</v>
      </c>
      <c r="U74" s="44">
        <v>2</v>
      </c>
      <c r="V74" s="47">
        <v>0</v>
      </c>
      <c r="W74" s="35" t="s">
        <v>34</v>
      </c>
      <c r="X74" s="35" t="s">
        <v>42</v>
      </c>
      <c r="Y74" s="35" t="s">
        <v>36</v>
      </c>
      <c r="Z74" s="35" t="s">
        <v>43</v>
      </c>
      <c r="AA74" s="35" t="s">
        <v>37</v>
      </c>
      <c r="AB74" s="35" t="s">
        <v>37</v>
      </c>
      <c r="AC74" s="35" t="s">
        <v>38</v>
      </c>
      <c r="AD74" s="51" t="s">
        <v>226</v>
      </c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</row>
    <row r="75" spans="1:49" ht="31.5" x14ac:dyDescent="0.25">
      <c r="A75" s="36" t="s">
        <v>69</v>
      </c>
      <c r="B75" s="38">
        <v>46073</v>
      </c>
      <c r="C75" s="38">
        <v>46073</v>
      </c>
      <c r="D75" s="36" t="s">
        <v>189</v>
      </c>
      <c r="E75" s="41">
        <v>0.41666666666666669</v>
      </c>
      <c r="F75" s="41">
        <v>0.45833333333333331</v>
      </c>
      <c r="G75" s="41">
        <v>3.4722222222222224E-4</v>
      </c>
      <c r="H75" s="36" t="s">
        <v>191</v>
      </c>
      <c r="I75" s="43">
        <v>0.42300925925925925</v>
      </c>
      <c r="J75" s="36" t="s">
        <v>71</v>
      </c>
      <c r="K75" s="36" t="s">
        <v>69</v>
      </c>
      <c r="L75" s="45">
        <v>1</v>
      </c>
      <c r="M75" s="45">
        <v>3</v>
      </c>
      <c r="N75" s="36" t="s">
        <v>58</v>
      </c>
      <c r="O75" s="45"/>
      <c r="P75" s="48">
        <v>0</v>
      </c>
      <c r="Q75" s="45"/>
      <c r="R75" s="48">
        <v>0</v>
      </c>
      <c r="S75" s="49">
        <v>46054</v>
      </c>
      <c r="T75" s="48">
        <v>0</v>
      </c>
      <c r="U75" s="50">
        <v>4</v>
      </c>
      <c r="V75" s="48">
        <v>0</v>
      </c>
      <c r="W75" s="36" t="s">
        <v>34</v>
      </c>
      <c r="X75" s="36" t="s">
        <v>35</v>
      </c>
      <c r="Y75" s="36" t="s">
        <v>36</v>
      </c>
      <c r="Z75" s="36" t="s">
        <v>73</v>
      </c>
      <c r="AA75" s="36" t="s">
        <v>50</v>
      </c>
      <c r="AB75" s="36">
        <v>1109</v>
      </c>
      <c r="AC75" s="36" t="s">
        <v>38</v>
      </c>
      <c r="AD75" s="51" t="s">
        <v>226</v>
      </c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</row>
    <row r="76" spans="1:49" ht="31.5" x14ac:dyDescent="0.25">
      <c r="A76" s="36" t="s">
        <v>69</v>
      </c>
      <c r="B76" s="38">
        <v>46073</v>
      </c>
      <c r="C76" s="38">
        <v>46073</v>
      </c>
      <c r="D76" s="36" t="s">
        <v>189</v>
      </c>
      <c r="E76" s="41">
        <v>0.41666666666666669</v>
      </c>
      <c r="F76" s="41">
        <v>0.45833333333333331</v>
      </c>
      <c r="G76" s="41">
        <v>3.4722222222222224E-4</v>
      </c>
      <c r="H76" s="36" t="s">
        <v>192</v>
      </c>
      <c r="I76" s="43">
        <v>0.42335648148148147</v>
      </c>
      <c r="J76" s="36" t="s">
        <v>71</v>
      </c>
      <c r="K76" s="36" t="s">
        <v>69</v>
      </c>
      <c r="L76" s="45">
        <v>1</v>
      </c>
      <c r="M76" s="45">
        <v>3</v>
      </c>
      <c r="N76" s="36" t="s">
        <v>58</v>
      </c>
      <c r="O76" s="45"/>
      <c r="P76" s="48">
        <v>0</v>
      </c>
      <c r="Q76" s="45"/>
      <c r="R76" s="48">
        <v>0</v>
      </c>
      <c r="S76" s="49">
        <v>46054</v>
      </c>
      <c r="T76" s="48">
        <v>0</v>
      </c>
      <c r="U76" s="50">
        <v>4</v>
      </c>
      <c r="V76" s="48">
        <v>0</v>
      </c>
      <c r="W76" s="36" t="s">
        <v>34</v>
      </c>
      <c r="X76" s="36" t="s">
        <v>35</v>
      </c>
      <c r="Y76" s="36" t="s">
        <v>36</v>
      </c>
      <c r="Z76" s="36" t="s">
        <v>73</v>
      </c>
      <c r="AA76" s="36" t="s">
        <v>50</v>
      </c>
      <c r="AB76" s="36">
        <v>1109</v>
      </c>
      <c r="AC76" s="36" t="s">
        <v>38</v>
      </c>
      <c r="AD76" s="51" t="s">
        <v>226</v>
      </c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</row>
    <row r="77" spans="1:49" ht="31.5" x14ac:dyDescent="0.2">
      <c r="A77" s="36" t="s">
        <v>69</v>
      </c>
      <c r="B77" s="38">
        <v>46073</v>
      </c>
      <c r="C77" s="38">
        <v>46073</v>
      </c>
      <c r="D77" s="36" t="s">
        <v>189</v>
      </c>
      <c r="E77" s="41">
        <v>0.41666666666666669</v>
      </c>
      <c r="F77" s="41">
        <v>0.45833333333333331</v>
      </c>
      <c r="G77" s="41">
        <v>3.4722222222222224E-4</v>
      </c>
      <c r="H77" s="36" t="s">
        <v>72</v>
      </c>
      <c r="I77" s="43">
        <v>0.42370370370370369</v>
      </c>
      <c r="J77" s="36" t="s">
        <v>71</v>
      </c>
      <c r="K77" s="36" t="s">
        <v>69</v>
      </c>
      <c r="L77" s="45">
        <v>1</v>
      </c>
      <c r="M77" s="45">
        <v>3</v>
      </c>
      <c r="N77" s="36" t="s">
        <v>58</v>
      </c>
      <c r="O77" s="45"/>
      <c r="P77" s="48">
        <v>0</v>
      </c>
      <c r="Q77" s="45"/>
      <c r="R77" s="48">
        <v>0</v>
      </c>
      <c r="S77" s="49">
        <v>46054</v>
      </c>
      <c r="T77" s="48">
        <v>0</v>
      </c>
      <c r="U77" s="50">
        <v>4</v>
      </c>
      <c r="V77" s="48">
        <v>0</v>
      </c>
      <c r="W77" s="36" t="s">
        <v>34</v>
      </c>
      <c r="X77" s="36" t="s">
        <v>35</v>
      </c>
      <c r="Y77" s="36" t="s">
        <v>36</v>
      </c>
      <c r="Z77" s="36" t="s">
        <v>73</v>
      </c>
      <c r="AA77" s="36" t="s">
        <v>50</v>
      </c>
      <c r="AB77" s="36">
        <v>1109</v>
      </c>
      <c r="AC77" s="36" t="s">
        <v>38</v>
      </c>
      <c r="AD77" s="51" t="s">
        <v>226</v>
      </c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</row>
    <row r="78" spans="1:49" ht="31.5" x14ac:dyDescent="0.2">
      <c r="A78" s="35" t="s">
        <v>210</v>
      </c>
      <c r="B78" s="37">
        <v>46074</v>
      </c>
      <c r="C78" s="37">
        <v>46074</v>
      </c>
      <c r="D78" s="39" t="s">
        <v>197</v>
      </c>
      <c r="E78" s="40">
        <v>0.75</v>
      </c>
      <c r="F78" s="40">
        <v>0.79166666666666663</v>
      </c>
      <c r="G78" s="40">
        <v>4.1666666666666664E-2</v>
      </c>
      <c r="H78" s="35" t="s">
        <v>211</v>
      </c>
      <c r="I78" s="42"/>
      <c r="J78" s="35" t="s">
        <v>212</v>
      </c>
      <c r="K78" s="35"/>
      <c r="L78" s="44">
        <v>1</v>
      </c>
      <c r="M78" s="44">
        <v>1</v>
      </c>
      <c r="N78" s="35" t="s">
        <v>33</v>
      </c>
      <c r="O78" s="35"/>
      <c r="P78" s="47">
        <v>0</v>
      </c>
      <c r="Q78" s="44"/>
      <c r="R78" s="47">
        <v>0</v>
      </c>
      <c r="S78" s="35">
        <v>46054</v>
      </c>
      <c r="T78" s="47">
        <v>0</v>
      </c>
      <c r="U78" s="44">
        <v>2</v>
      </c>
      <c r="V78" s="47">
        <v>0</v>
      </c>
      <c r="W78" s="35" t="s">
        <v>34</v>
      </c>
      <c r="X78" s="35" t="s">
        <v>42</v>
      </c>
      <c r="Y78" s="35" t="s">
        <v>36</v>
      </c>
      <c r="Z78" s="35" t="s">
        <v>43</v>
      </c>
      <c r="AA78" s="35" t="s">
        <v>37</v>
      </c>
      <c r="AB78" s="35" t="s">
        <v>37</v>
      </c>
      <c r="AC78" s="35" t="s">
        <v>38</v>
      </c>
      <c r="AD78" s="51" t="s">
        <v>226</v>
      </c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</row>
    <row r="79" spans="1:49" ht="31.5" x14ac:dyDescent="0.25">
      <c r="A79" s="35" t="s">
        <v>210</v>
      </c>
      <c r="B79" s="37">
        <v>46074</v>
      </c>
      <c r="C79" s="37">
        <v>46074</v>
      </c>
      <c r="D79" s="39" t="s">
        <v>197</v>
      </c>
      <c r="E79" s="40">
        <v>0.79166666666666663</v>
      </c>
      <c r="F79" s="40">
        <v>0.83333333333333337</v>
      </c>
      <c r="G79" s="40">
        <v>4.1666666666666664E-2</v>
      </c>
      <c r="H79" s="35" t="s">
        <v>213</v>
      </c>
      <c r="I79" s="42"/>
      <c r="J79" s="35" t="s">
        <v>212</v>
      </c>
      <c r="K79" s="35"/>
      <c r="L79" s="44">
        <v>1</v>
      </c>
      <c r="M79" s="44">
        <v>1</v>
      </c>
      <c r="N79" s="35" t="s">
        <v>33</v>
      </c>
      <c r="O79" s="35"/>
      <c r="P79" s="47">
        <v>0</v>
      </c>
      <c r="Q79" s="44"/>
      <c r="R79" s="47">
        <v>0</v>
      </c>
      <c r="S79" s="35">
        <v>46054</v>
      </c>
      <c r="T79" s="47">
        <v>0</v>
      </c>
      <c r="U79" s="44">
        <v>2</v>
      </c>
      <c r="V79" s="47">
        <v>0</v>
      </c>
      <c r="W79" s="35" t="s">
        <v>34</v>
      </c>
      <c r="X79" s="35" t="s">
        <v>42</v>
      </c>
      <c r="Y79" s="35" t="s">
        <v>36</v>
      </c>
      <c r="Z79" s="35" t="s">
        <v>43</v>
      </c>
      <c r="AA79" s="35" t="s">
        <v>37</v>
      </c>
      <c r="AB79" s="35" t="s">
        <v>37</v>
      </c>
      <c r="AC79" s="35" t="s">
        <v>38</v>
      </c>
      <c r="AD79" s="51" t="s">
        <v>226</v>
      </c>
      <c r="AE79" s="52"/>
      <c r="AF79" s="52"/>
      <c r="AG79" s="52"/>
      <c r="AH79" s="52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</row>
    <row r="80" spans="1:49" ht="31.5" x14ac:dyDescent="0.2">
      <c r="A80" s="35" t="s">
        <v>210</v>
      </c>
      <c r="B80" s="37">
        <v>46075</v>
      </c>
      <c r="C80" s="37">
        <v>46075</v>
      </c>
      <c r="D80" s="39" t="s">
        <v>215</v>
      </c>
      <c r="E80" s="40">
        <v>0.75</v>
      </c>
      <c r="F80" s="40">
        <v>0.79166666666666663</v>
      </c>
      <c r="G80" s="40">
        <v>4.1666666666666664E-2</v>
      </c>
      <c r="H80" s="35" t="s">
        <v>211</v>
      </c>
      <c r="I80" s="42"/>
      <c r="J80" s="35" t="s">
        <v>212</v>
      </c>
      <c r="K80" s="35"/>
      <c r="L80" s="44">
        <v>1</v>
      </c>
      <c r="M80" s="44">
        <v>1</v>
      </c>
      <c r="N80" s="35" t="s">
        <v>33</v>
      </c>
      <c r="O80" s="35"/>
      <c r="P80" s="47">
        <v>0</v>
      </c>
      <c r="Q80" s="44"/>
      <c r="R80" s="47">
        <v>0</v>
      </c>
      <c r="S80" s="35">
        <v>46054</v>
      </c>
      <c r="T80" s="47">
        <v>0</v>
      </c>
      <c r="U80" s="44">
        <v>2</v>
      </c>
      <c r="V80" s="47">
        <v>0</v>
      </c>
      <c r="W80" s="35" t="s">
        <v>34</v>
      </c>
      <c r="X80" s="35" t="s">
        <v>42</v>
      </c>
      <c r="Y80" s="35" t="s">
        <v>36</v>
      </c>
      <c r="Z80" s="35" t="s">
        <v>43</v>
      </c>
      <c r="AA80" s="35" t="s">
        <v>37</v>
      </c>
      <c r="AB80" s="35" t="s">
        <v>37</v>
      </c>
      <c r="AC80" s="35" t="s">
        <v>38</v>
      </c>
      <c r="AD80" s="51" t="s">
        <v>226</v>
      </c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</row>
    <row r="81" spans="1:49" ht="31.5" x14ac:dyDescent="0.2">
      <c r="A81" s="35" t="s">
        <v>210</v>
      </c>
      <c r="B81" s="37">
        <v>46075</v>
      </c>
      <c r="C81" s="37">
        <v>46075</v>
      </c>
      <c r="D81" s="39" t="s">
        <v>215</v>
      </c>
      <c r="E81" s="40">
        <v>0.79166666666666663</v>
      </c>
      <c r="F81" s="40">
        <v>0.83333333333333337</v>
      </c>
      <c r="G81" s="40">
        <v>4.1666666666666664E-2</v>
      </c>
      <c r="H81" s="35" t="s">
        <v>213</v>
      </c>
      <c r="I81" s="42"/>
      <c r="J81" s="35" t="s">
        <v>212</v>
      </c>
      <c r="K81" s="35"/>
      <c r="L81" s="44">
        <v>1</v>
      </c>
      <c r="M81" s="44">
        <v>1</v>
      </c>
      <c r="N81" s="35" t="s">
        <v>33</v>
      </c>
      <c r="O81" s="35"/>
      <c r="P81" s="47">
        <v>0</v>
      </c>
      <c r="Q81" s="44"/>
      <c r="R81" s="47">
        <v>0</v>
      </c>
      <c r="S81" s="35">
        <v>46054</v>
      </c>
      <c r="T81" s="47">
        <v>0</v>
      </c>
      <c r="U81" s="44">
        <v>2</v>
      </c>
      <c r="V81" s="47">
        <v>0</v>
      </c>
      <c r="W81" s="35" t="s">
        <v>34</v>
      </c>
      <c r="X81" s="35" t="s">
        <v>42</v>
      </c>
      <c r="Y81" s="35" t="s">
        <v>36</v>
      </c>
      <c r="Z81" s="35" t="s">
        <v>43</v>
      </c>
      <c r="AA81" s="35" t="s">
        <v>37</v>
      </c>
      <c r="AB81" s="35" t="s">
        <v>37</v>
      </c>
      <c r="AC81" s="35" t="s">
        <v>38</v>
      </c>
      <c r="AD81" s="51" t="s">
        <v>226</v>
      </c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</row>
    <row r="82" spans="1:49" ht="31.5" x14ac:dyDescent="0.25">
      <c r="A82" s="36" t="s">
        <v>84</v>
      </c>
      <c r="B82" s="38">
        <v>46069</v>
      </c>
      <c r="C82" s="38">
        <v>46069</v>
      </c>
      <c r="D82" s="36" t="s">
        <v>30</v>
      </c>
      <c r="E82" s="41">
        <v>0.45833333333333331</v>
      </c>
      <c r="F82" s="41">
        <v>0.5</v>
      </c>
      <c r="G82" s="41">
        <v>3.4722222222222218E-4</v>
      </c>
      <c r="H82" s="36" t="s">
        <v>89</v>
      </c>
      <c r="I82" s="43">
        <v>0.46185185185185185</v>
      </c>
      <c r="J82" s="36" t="s">
        <v>81</v>
      </c>
      <c r="K82" s="36" t="s">
        <v>77</v>
      </c>
      <c r="L82" s="45">
        <v>1</v>
      </c>
      <c r="M82" s="45">
        <v>71446</v>
      </c>
      <c r="N82" s="36" t="s">
        <v>58</v>
      </c>
      <c r="O82" s="45" t="s">
        <v>86</v>
      </c>
      <c r="P82" s="48">
        <v>94.117647058823522</v>
      </c>
      <c r="Q82" s="45"/>
      <c r="R82" s="48">
        <v>94.117647058823522</v>
      </c>
      <c r="S82" s="49">
        <v>46069</v>
      </c>
      <c r="T82" s="48">
        <v>14.117647058823527</v>
      </c>
      <c r="U82" s="50">
        <v>4</v>
      </c>
      <c r="V82" s="48">
        <v>80</v>
      </c>
      <c r="W82" s="36" t="s">
        <v>48</v>
      </c>
      <c r="X82" s="36" t="s">
        <v>49</v>
      </c>
      <c r="Y82" s="36" t="s">
        <v>87</v>
      </c>
      <c r="Z82" s="36" t="s">
        <v>9</v>
      </c>
      <c r="AA82" s="36" t="s">
        <v>50</v>
      </c>
      <c r="AB82" s="36" t="s">
        <v>88</v>
      </c>
      <c r="AC82" s="36" t="s">
        <v>38</v>
      </c>
      <c r="AD82" s="51" t="s">
        <v>226</v>
      </c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</row>
    <row r="83" spans="1:49" ht="31.5" x14ac:dyDescent="0.25">
      <c r="A83" s="36" t="s">
        <v>84</v>
      </c>
      <c r="B83" s="38">
        <v>46069</v>
      </c>
      <c r="C83" s="38">
        <v>46069</v>
      </c>
      <c r="D83" s="36" t="s">
        <v>30</v>
      </c>
      <c r="E83" s="41">
        <v>0.45833333333333331</v>
      </c>
      <c r="F83" s="41">
        <v>0.5</v>
      </c>
      <c r="G83" s="41">
        <v>3.4722222222222218E-4</v>
      </c>
      <c r="H83" s="36" t="s">
        <v>96</v>
      </c>
      <c r="I83" s="43">
        <v>0.49780092592592595</v>
      </c>
      <c r="J83" s="36" t="s">
        <v>81</v>
      </c>
      <c r="K83" s="36" t="s">
        <v>137</v>
      </c>
      <c r="L83" s="45">
        <v>1</v>
      </c>
      <c r="M83" s="45">
        <v>71445</v>
      </c>
      <c r="N83" s="36" t="s">
        <v>58</v>
      </c>
      <c r="O83" s="45" t="s">
        <v>86</v>
      </c>
      <c r="P83" s="48">
        <v>94.117647058823522</v>
      </c>
      <c r="Q83" s="45"/>
      <c r="R83" s="48">
        <v>94.117647058823522</v>
      </c>
      <c r="S83" s="49">
        <v>46069</v>
      </c>
      <c r="T83" s="48">
        <v>14.117647058823527</v>
      </c>
      <c r="U83" s="50">
        <v>4</v>
      </c>
      <c r="V83" s="48">
        <v>80</v>
      </c>
      <c r="W83" s="36" t="s">
        <v>48</v>
      </c>
      <c r="X83" s="36" t="s">
        <v>49</v>
      </c>
      <c r="Y83" s="36" t="s">
        <v>87</v>
      </c>
      <c r="Z83" s="36" t="s">
        <v>9</v>
      </c>
      <c r="AA83" s="36" t="s">
        <v>50</v>
      </c>
      <c r="AB83" s="36" t="s">
        <v>88</v>
      </c>
      <c r="AC83" s="36" t="s">
        <v>38</v>
      </c>
      <c r="AD83" s="51" t="s">
        <v>226</v>
      </c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52"/>
      <c r="AQ83" s="52"/>
      <c r="AR83" s="52"/>
      <c r="AS83" s="52"/>
      <c r="AT83" s="52"/>
      <c r="AU83" s="52"/>
      <c r="AV83" s="52"/>
      <c r="AW83" s="52"/>
    </row>
    <row r="84" spans="1:49" ht="31.5" x14ac:dyDescent="0.2">
      <c r="A84" s="36" t="s">
        <v>84</v>
      </c>
      <c r="B84" s="38">
        <v>46069</v>
      </c>
      <c r="C84" s="38">
        <v>46069</v>
      </c>
      <c r="D84" s="36" t="s">
        <v>30</v>
      </c>
      <c r="E84" s="41">
        <v>0.45833333333333331</v>
      </c>
      <c r="F84" s="41">
        <v>0.54166666666666663</v>
      </c>
      <c r="G84" s="41">
        <v>3.4722222222222218E-4</v>
      </c>
      <c r="H84" s="36" t="s">
        <v>85</v>
      </c>
      <c r="I84" s="43">
        <v>0.54069444444444448</v>
      </c>
      <c r="J84" s="36" t="s">
        <v>81</v>
      </c>
      <c r="K84" s="36" t="s">
        <v>138</v>
      </c>
      <c r="L84" s="45">
        <v>1</v>
      </c>
      <c r="M84" s="45">
        <v>71448</v>
      </c>
      <c r="N84" s="36" t="s">
        <v>46</v>
      </c>
      <c r="O84" s="45" t="s">
        <v>86</v>
      </c>
      <c r="P84" s="48">
        <v>0</v>
      </c>
      <c r="Q84" s="45"/>
      <c r="R84" s="48">
        <v>0</v>
      </c>
      <c r="S84" s="49">
        <v>46069</v>
      </c>
      <c r="T84" s="48">
        <v>0</v>
      </c>
      <c r="U84" s="50">
        <v>4</v>
      </c>
      <c r="V84" s="48">
        <v>0</v>
      </c>
      <c r="W84" s="36" t="s">
        <v>48</v>
      </c>
      <c r="X84" s="36" t="s">
        <v>49</v>
      </c>
      <c r="Y84" s="36" t="s">
        <v>87</v>
      </c>
      <c r="Z84" s="36" t="s">
        <v>9</v>
      </c>
      <c r="AA84" s="36" t="s">
        <v>50</v>
      </c>
      <c r="AB84" s="36" t="s">
        <v>88</v>
      </c>
      <c r="AC84" s="36" t="s">
        <v>38</v>
      </c>
      <c r="AD84" s="51" t="s">
        <v>226</v>
      </c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</row>
    <row r="85" spans="1:49" ht="31.5" x14ac:dyDescent="0.25">
      <c r="A85" s="36" t="s">
        <v>84</v>
      </c>
      <c r="B85" s="38">
        <v>46070</v>
      </c>
      <c r="C85" s="38">
        <v>46070</v>
      </c>
      <c r="D85" s="36" t="s">
        <v>146</v>
      </c>
      <c r="E85" s="41">
        <v>0.45833333333333331</v>
      </c>
      <c r="F85" s="41">
        <v>0.5</v>
      </c>
      <c r="G85" s="41">
        <v>3.4722222222222218E-4</v>
      </c>
      <c r="H85" s="36" t="s">
        <v>89</v>
      </c>
      <c r="I85" s="43">
        <v>0.46856481481481482</v>
      </c>
      <c r="J85" s="36" t="s">
        <v>81</v>
      </c>
      <c r="K85" s="36" t="s">
        <v>150</v>
      </c>
      <c r="L85" s="45">
        <v>1</v>
      </c>
      <c r="M85" s="45">
        <v>71446</v>
      </c>
      <c r="N85" s="36" t="s">
        <v>58</v>
      </c>
      <c r="O85" s="45" t="s">
        <v>86</v>
      </c>
      <c r="P85" s="48">
        <v>94.117647058823522</v>
      </c>
      <c r="Q85" s="45"/>
      <c r="R85" s="48">
        <v>94.117647058823522</v>
      </c>
      <c r="S85" s="49">
        <v>46070</v>
      </c>
      <c r="T85" s="48">
        <v>14.117647058823527</v>
      </c>
      <c r="U85" s="50">
        <v>4</v>
      </c>
      <c r="V85" s="48">
        <v>80</v>
      </c>
      <c r="W85" s="36" t="s">
        <v>48</v>
      </c>
      <c r="X85" s="36" t="s">
        <v>49</v>
      </c>
      <c r="Y85" s="36" t="s">
        <v>87</v>
      </c>
      <c r="Z85" s="36" t="s">
        <v>9</v>
      </c>
      <c r="AA85" s="36" t="s">
        <v>50</v>
      </c>
      <c r="AB85" s="36" t="s">
        <v>88</v>
      </c>
      <c r="AC85" s="36" t="s">
        <v>38</v>
      </c>
      <c r="AD85" s="51" t="s">
        <v>226</v>
      </c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52"/>
      <c r="AQ85" s="52"/>
      <c r="AR85" s="52"/>
      <c r="AS85" s="52"/>
      <c r="AT85" s="52"/>
      <c r="AU85" s="52"/>
      <c r="AV85" s="52"/>
      <c r="AW85" s="52"/>
    </row>
    <row r="86" spans="1:49" ht="31.5" x14ac:dyDescent="0.2">
      <c r="A86" s="36" t="s">
        <v>84</v>
      </c>
      <c r="B86" s="38">
        <v>46070</v>
      </c>
      <c r="C86" s="38">
        <v>46070</v>
      </c>
      <c r="D86" s="36" t="s">
        <v>146</v>
      </c>
      <c r="E86" s="41">
        <v>0.45833333333333331</v>
      </c>
      <c r="F86" s="41">
        <v>0.5</v>
      </c>
      <c r="G86" s="41">
        <v>3.4722222222222218E-4</v>
      </c>
      <c r="H86" s="36" t="s">
        <v>96</v>
      </c>
      <c r="I86" s="43">
        <v>0.49849537037037039</v>
      </c>
      <c r="J86" s="36" t="s">
        <v>81</v>
      </c>
      <c r="K86" s="36" t="s">
        <v>137</v>
      </c>
      <c r="L86" s="45">
        <v>1</v>
      </c>
      <c r="M86" s="45">
        <v>71445</v>
      </c>
      <c r="N86" s="36" t="s">
        <v>58</v>
      </c>
      <c r="O86" s="45" t="s">
        <v>86</v>
      </c>
      <c r="P86" s="48">
        <v>94.117647058823522</v>
      </c>
      <c r="Q86" s="45"/>
      <c r="R86" s="48">
        <v>94.117647058823522</v>
      </c>
      <c r="S86" s="49">
        <v>46070</v>
      </c>
      <c r="T86" s="48">
        <v>14.117647058823527</v>
      </c>
      <c r="U86" s="50">
        <v>4</v>
      </c>
      <c r="V86" s="48">
        <v>80</v>
      </c>
      <c r="W86" s="36" t="s">
        <v>48</v>
      </c>
      <c r="X86" s="36" t="s">
        <v>49</v>
      </c>
      <c r="Y86" s="36" t="s">
        <v>87</v>
      </c>
      <c r="Z86" s="36" t="s">
        <v>9</v>
      </c>
      <c r="AA86" s="36" t="s">
        <v>50</v>
      </c>
      <c r="AB86" s="36" t="s">
        <v>88</v>
      </c>
      <c r="AC86" s="36" t="s">
        <v>38</v>
      </c>
      <c r="AD86" s="51" t="s">
        <v>226</v>
      </c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</row>
    <row r="87" spans="1:49" ht="31.5" x14ac:dyDescent="0.25">
      <c r="A87" s="36" t="s">
        <v>84</v>
      </c>
      <c r="B87" s="38">
        <v>46070</v>
      </c>
      <c r="C87" s="38">
        <v>46070</v>
      </c>
      <c r="D87" s="36" t="s">
        <v>146</v>
      </c>
      <c r="E87" s="41">
        <v>0.66666666666666663</v>
      </c>
      <c r="F87" s="41">
        <v>0.79166666666666663</v>
      </c>
      <c r="G87" s="41">
        <v>3.4722222222222218E-4</v>
      </c>
      <c r="H87" s="36" t="s">
        <v>156</v>
      </c>
      <c r="I87" s="43">
        <v>0.71233796296296292</v>
      </c>
      <c r="J87" s="36" t="s">
        <v>116</v>
      </c>
      <c r="K87" s="36" t="s">
        <v>159</v>
      </c>
      <c r="L87" s="45">
        <v>1</v>
      </c>
      <c r="M87" s="45">
        <v>71441</v>
      </c>
      <c r="N87" s="36" t="s">
        <v>46</v>
      </c>
      <c r="O87" s="45" t="s">
        <v>157</v>
      </c>
      <c r="P87" s="48">
        <v>0</v>
      </c>
      <c r="Q87" s="45"/>
      <c r="R87" s="48">
        <v>0</v>
      </c>
      <c r="S87" s="49">
        <v>46070</v>
      </c>
      <c r="T87" s="48">
        <v>0</v>
      </c>
      <c r="U87" s="50">
        <v>4</v>
      </c>
      <c r="V87" s="48">
        <v>0</v>
      </c>
      <c r="W87" s="36" t="s">
        <v>48</v>
      </c>
      <c r="X87" s="36" t="s">
        <v>49</v>
      </c>
      <c r="Y87" s="36" t="s">
        <v>87</v>
      </c>
      <c r="Z87" s="36" t="s">
        <v>9</v>
      </c>
      <c r="AA87" s="36" t="s">
        <v>50</v>
      </c>
      <c r="AB87" s="36" t="s">
        <v>158</v>
      </c>
      <c r="AC87" s="36" t="s">
        <v>38</v>
      </c>
      <c r="AD87" s="51" t="s">
        <v>226</v>
      </c>
      <c r="AE87" s="52"/>
      <c r="AF87" s="52"/>
      <c r="AG87" s="52"/>
      <c r="AH87" s="52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</row>
    <row r="88" spans="1:49" ht="31.5" x14ac:dyDescent="0.2">
      <c r="A88" s="36" t="s">
        <v>84</v>
      </c>
      <c r="B88" s="38">
        <v>46071</v>
      </c>
      <c r="C88" s="38">
        <v>46071</v>
      </c>
      <c r="D88" s="36" t="s">
        <v>164</v>
      </c>
      <c r="E88" s="41">
        <v>0.45833333333333331</v>
      </c>
      <c r="F88" s="41">
        <v>0.5</v>
      </c>
      <c r="G88" s="41">
        <v>3.4722222222222218E-4</v>
      </c>
      <c r="H88" s="36" t="s">
        <v>96</v>
      </c>
      <c r="I88" s="43">
        <v>0.49879629629629629</v>
      </c>
      <c r="J88" s="36" t="s">
        <v>81</v>
      </c>
      <c r="K88" s="36" t="s">
        <v>137</v>
      </c>
      <c r="L88" s="45">
        <v>1</v>
      </c>
      <c r="M88" s="45">
        <v>71445</v>
      </c>
      <c r="N88" s="36" t="s">
        <v>58</v>
      </c>
      <c r="O88" s="45" t="s">
        <v>86</v>
      </c>
      <c r="P88" s="48">
        <v>94.117647058823522</v>
      </c>
      <c r="Q88" s="45"/>
      <c r="R88" s="48">
        <v>94.117647058823522</v>
      </c>
      <c r="S88" s="49">
        <v>46071</v>
      </c>
      <c r="T88" s="48">
        <v>14.117647058823527</v>
      </c>
      <c r="U88" s="50">
        <v>4</v>
      </c>
      <c r="V88" s="48">
        <v>80</v>
      </c>
      <c r="W88" s="36" t="s">
        <v>48</v>
      </c>
      <c r="X88" s="36" t="s">
        <v>49</v>
      </c>
      <c r="Y88" s="36" t="s">
        <v>87</v>
      </c>
      <c r="Z88" s="36" t="s">
        <v>9</v>
      </c>
      <c r="AA88" s="36" t="s">
        <v>50</v>
      </c>
      <c r="AB88" s="36" t="s">
        <v>88</v>
      </c>
      <c r="AC88" s="36" t="s">
        <v>38</v>
      </c>
      <c r="AD88" s="51" t="s">
        <v>226</v>
      </c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</row>
    <row r="89" spans="1:49" ht="31.5" x14ac:dyDescent="0.25">
      <c r="A89" s="36" t="s">
        <v>84</v>
      </c>
      <c r="B89" s="38">
        <v>46071</v>
      </c>
      <c r="C89" s="38">
        <v>46071</v>
      </c>
      <c r="D89" s="36" t="s">
        <v>164</v>
      </c>
      <c r="E89" s="41">
        <v>0.45833333333333331</v>
      </c>
      <c r="F89" s="41">
        <v>0.54166666666666663</v>
      </c>
      <c r="G89" s="41">
        <v>3.4722222222222218E-4</v>
      </c>
      <c r="H89" s="36" t="s">
        <v>85</v>
      </c>
      <c r="I89" s="43">
        <v>0.51143518518518516</v>
      </c>
      <c r="J89" s="36" t="s">
        <v>81</v>
      </c>
      <c r="K89" s="36" t="s">
        <v>138</v>
      </c>
      <c r="L89" s="45">
        <v>1</v>
      </c>
      <c r="M89" s="45">
        <v>71448</v>
      </c>
      <c r="N89" s="36" t="s">
        <v>46</v>
      </c>
      <c r="O89" s="45" t="s">
        <v>86</v>
      </c>
      <c r="P89" s="48">
        <v>0</v>
      </c>
      <c r="Q89" s="45"/>
      <c r="R89" s="48">
        <v>0</v>
      </c>
      <c r="S89" s="49">
        <v>46071</v>
      </c>
      <c r="T89" s="48">
        <v>0</v>
      </c>
      <c r="U89" s="50">
        <v>4</v>
      </c>
      <c r="V89" s="48">
        <v>0</v>
      </c>
      <c r="W89" s="36" t="s">
        <v>48</v>
      </c>
      <c r="X89" s="36" t="s">
        <v>49</v>
      </c>
      <c r="Y89" s="36" t="s">
        <v>87</v>
      </c>
      <c r="Z89" s="36" t="s">
        <v>9</v>
      </c>
      <c r="AA89" s="36" t="s">
        <v>50</v>
      </c>
      <c r="AB89" s="36" t="s">
        <v>88</v>
      </c>
      <c r="AC89" s="36" t="s">
        <v>38</v>
      </c>
      <c r="AD89" s="51" t="s">
        <v>226</v>
      </c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2"/>
      <c r="AW89" s="52"/>
    </row>
    <row r="90" spans="1:49" ht="31.5" x14ac:dyDescent="0.25">
      <c r="A90" s="36" t="s">
        <v>84</v>
      </c>
      <c r="B90" s="38">
        <v>46071</v>
      </c>
      <c r="C90" s="38">
        <v>46071</v>
      </c>
      <c r="D90" s="36" t="s">
        <v>164</v>
      </c>
      <c r="E90" s="41">
        <v>0.66666666666666663</v>
      </c>
      <c r="F90" s="41">
        <v>0.79166666666666663</v>
      </c>
      <c r="G90" s="41">
        <v>3.4722222222222218E-4</v>
      </c>
      <c r="H90" s="36" t="s">
        <v>173</v>
      </c>
      <c r="I90" s="43">
        <v>0.7201157407407407</v>
      </c>
      <c r="J90" s="36" t="s">
        <v>116</v>
      </c>
      <c r="K90" s="36" t="s">
        <v>174</v>
      </c>
      <c r="L90" s="45">
        <v>1</v>
      </c>
      <c r="M90" s="45">
        <v>71439</v>
      </c>
      <c r="N90" s="36" t="s">
        <v>58</v>
      </c>
      <c r="O90" s="45" t="s">
        <v>157</v>
      </c>
      <c r="P90" s="48">
        <v>105.88235294117646</v>
      </c>
      <c r="Q90" s="45"/>
      <c r="R90" s="48">
        <v>105.88235294117646</v>
      </c>
      <c r="S90" s="49">
        <v>46071</v>
      </c>
      <c r="T90" s="48">
        <v>15.882352941176469</v>
      </c>
      <c r="U90" s="50">
        <v>4</v>
      </c>
      <c r="V90" s="48">
        <v>90</v>
      </c>
      <c r="W90" s="36" t="s">
        <v>48</v>
      </c>
      <c r="X90" s="36" t="s">
        <v>49</v>
      </c>
      <c r="Y90" s="36" t="s">
        <v>87</v>
      </c>
      <c r="Z90" s="36" t="s">
        <v>9</v>
      </c>
      <c r="AA90" s="36" t="s">
        <v>50</v>
      </c>
      <c r="AB90" s="36" t="s">
        <v>158</v>
      </c>
      <c r="AC90" s="36" t="s">
        <v>38</v>
      </c>
      <c r="AD90" s="51" t="s">
        <v>226</v>
      </c>
      <c r="AE90" s="52"/>
      <c r="AF90" s="52"/>
      <c r="AG90" s="52"/>
      <c r="AH90" s="52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</row>
    <row r="91" spans="1:49" ht="31.5" x14ac:dyDescent="0.2">
      <c r="A91" s="36" t="s">
        <v>84</v>
      </c>
      <c r="B91" s="38">
        <v>46072</v>
      </c>
      <c r="C91" s="38">
        <v>46072</v>
      </c>
      <c r="D91" s="36" t="s">
        <v>177</v>
      </c>
      <c r="E91" s="41">
        <v>0.45833333333333331</v>
      </c>
      <c r="F91" s="41">
        <v>0.5</v>
      </c>
      <c r="G91" s="41">
        <v>3.4722222222222218E-4</v>
      </c>
      <c r="H91" s="36" t="s">
        <v>96</v>
      </c>
      <c r="I91" s="43">
        <v>0.48658564814814814</v>
      </c>
      <c r="J91" s="36" t="s">
        <v>81</v>
      </c>
      <c r="K91" s="36" t="s">
        <v>137</v>
      </c>
      <c r="L91" s="45">
        <v>1</v>
      </c>
      <c r="M91" s="45">
        <v>71445</v>
      </c>
      <c r="N91" s="36" t="s">
        <v>58</v>
      </c>
      <c r="O91" s="45" t="s">
        <v>86</v>
      </c>
      <c r="P91" s="48">
        <v>94.117647058823522</v>
      </c>
      <c r="Q91" s="45"/>
      <c r="R91" s="48">
        <v>94.117647058823522</v>
      </c>
      <c r="S91" s="49">
        <v>46072</v>
      </c>
      <c r="T91" s="48">
        <v>14.117647058823527</v>
      </c>
      <c r="U91" s="50">
        <v>4</v>
      </c>
      <c r="V91" s="48">
        <v>80</v>
      </c>
      <c r="W91" s="36" t="s">
        <v>48</v>
      </c>
      <c r="X91" s="36" t="s">
        <v>49</v>
      </c>
      <c r="Y91" s="36" t="s">
        <v>87</v>
      </c>
      <c r="Z91" s="36" t="s">
        <v>9</v>
      </c>
      <c r="AA91" s="36" t="s">
        <v>50</v>
      </c>
      <c r="AB91" s="36" t="s">
        <v>88</v>
      </c>
      <c r="AC91" s="36" t="s">
        <v>38</v>
      </c>
      <c r="AD91" s="51" t="s">
        <v>226</v>
      </c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</row>
    <row r="92" spans="1:49" ht="31.5" x14ac:dyDescent="0.25">
      <c r="A92" s="36" t="s">
        <v>84</v>
      </c>
      <c r="B92" s="38">
        <v>46072</v>
      </c>
      <c r="C92" s="38">
        <v>46072</v>
      </c>
      <c r="D92" s="36" t="s">
        <v>177</v>
      </c>
      <c r="E92" s="41">
        <v>0.45833333333333331</v>
      </c>
      <c r="F92" s="41">
        <v>0.54166666666666663</v>
      </c>
      <c r="G92" s="41">
        <v>3.4722222222222218E-4</v>
      </c>
      <c r="H92" s="36" t="s">
        <v>85</v>
      </c>
      <c r="I92" s="43">
        <v>0.53238425925925925</v>
      </c>
      <c r="J92" s="36" t="s">
        <v>81</v>
      </c>
      <c r="K92" s="36" t="s">
        <v>138</v>
      </c>
      <c r="L92" s="45">
        <v>1</v>
      </c>
      <c r="M92" s="45">
        <v>71448</v>
      </c>
      <c r="N92" s="36" t="s">
        <v>46</v>
      </c>
      <c r="O92" s="45" t="s">
        <v>86</v>
      </c>
      <c r="P92" s="48">
        <v>0</v>
      </c>
      <c r="Q92" s="45"/>
      <c r="R92" s="48">
        <v>0</v>
      </c>
      <c r="S92" s="49">
        <v>46072</v>
      </c>
      <c r="T92" s="48">
        <v>0</v>
      </c>
      <c r="U92" s="50">
        <v>4</v>
      </c>
      <c r="V92" s="48">
        <v>0</v>
      </c>
      <c r="W92" s="36" t="s">
        <v>48</v>
      </c>
      <c r="X92" s="36" t="s">
        <v>49</v>
      </c>
      <c r="Y92" s="36" t="s">
        <v>87</v>
      </c>
      <c r="Z92" s="36" t="s">
        <v>9</v>
      </c>
      <c r="AA92" s="36" t="s">
        <v>50</v>
      </c>
      <c r="AB92" s="36" t="s">
        <v>88</v>
      </c>
      <c r="AC92" s="36" t="s">
        <v>38</v>
      </c>
      <c r="AD92" s="51" t="s">
        <v>226</v>
      </c>
      <c r="AE92" s="52"/>
      <c r="AF92" s="52"/>
      <c r="AG92" s="52"/>
      <c r="AH92" s="52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</row>
    <row r="93" spans="1:49" ht="31.5" x14ac:dyDescent="0.25">
      <c r="A93" s="36" t="s">
        <v>84</v>
      </c>
      <c r="B93" s="38">
        <v>46072</v>
      </c>
      <c r="C93" s="38">
        <v>46072</v>
      </c>
      <c r="D93" s="36" t="s">
        <v>177</v>
      </c>
      <c r="E93" s="41">
        <v>0.66666666666666663</v>
      </c>
      <c r="F93" s="41">
        <v>0.79166666666666663</v>
      </c>
      <c r="G93" s="41">
        <v>3.4722222222222218E-4</v>
      </c>
      <c r="H93" s="36" t="s">
        <v>173</v>
      </c>
      <c r="I93" s="43">
        <v>0.71598379629629627</v>
      </c>
      <c r="J93" s="36" t="s">
        <v>116</v>
      </c>
      <c r="K93" s="36" t="s">
        <v>188</v>
      </c>
      <c r="L93" s="45">
        <v>1</v>
      </c>
      <c r="M93" s="45">
        <v>71439</v>
      </c>
      <c r="N93" s="36" t="s">
        <v>58</v>
      </c>
      <c r="O93" s="45" t="s">
        <v>157</v>
      </c>
      <c r="P93" s="48">
        <v>105.88235294117646</v>
      </c>
      <c r="Q93" s="45"/>
      <c r="R93" s="48">
        <v>105.88235294117646</v>
      </c>
      <c r="S93" s="49">
        <v>46072</v>
      </c>
      <c r="T93" s="48">
        <v>15.882352941176469</v>
      </c>
      <c r="U93" s="50">
        <v>4</v>
      </c>
      <c r="V93" s="48">
        <v>90</v>
      </c>
      <c r="W93" s="36" t="s">
        <v>48</v>
      </c>
      <c r="X93" s="36" t="s">
        <v>49</v>
      </c>
      <c r="Y93" s="36" t="s">
        <v>87</v>
      </c>
      <c r="Z93" s="36" t="s">
        <v>9</v>
      </c>
      <c r="AA93" s="36" t="s">
        <v>50</v>
      </c>
      <c r="AB93" s="36" t="s">
        <v>158</v>
      </c>
      <c r="AC93" s="36" t="s">
        <v>38</v>
      </c>
      <c r="AD93" s="51" t="s">
        <v>226</v>
      </c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</row>
    <row r="94" spans="1:49" ht="31.5" x14ac:dyDescent="0.25">
      <c r="A94" s="36" t="s">
        <v>84</v>
      </c>
      <c r="B94" s="38">
        <v>46073</v>
      </c>
      <c r="C94" s="38">
        <v>46073</v>
      </c>
      <c r="D94" s="36" t="s">
        <v>189</v>
      </c>
      <c r="E94" s="41">
        <v>0.45833333333333331</v>
      </c>
      <c r="F94" s="41">
        <v>0.5</v>
      </c>
      <c r="G94" s="41">
        <v>3.4722222222222218E-4</v>
      </c>
      <c r="H94" s="36" t="s">
        <v>96</v>
      </c>
      <c r="I94" s="43">
        <v>0.47715277777777776</v>
      </c>
      <c r="J94" s="36" t="s">
        <v>81</v>
      </c>
      <c r="K94" s="36" t="s">
        <v>150</v>
      </c>
      <c r="L94" s="45">
        <v>1</v>
      </c>
      <c r="M94" s="45">
        <v>71445</v>
      </c>
      <c r="N94" s="36" t="s">
        <v>58</v>
      </c>
      <c r="O94" s="45" t="s">
        <v>86</v>
      </c>
      <c r="P94" s="48">
        <v>94.117647058823522</v>
      </c>
      <c r="Q94" s="45"/>
      <c r="R94" s="48">
        <v>94.117647058823522</v>
      </c>
      <c r="S94" s="49">
        <v>46073</v>
      </c>
      <c r="T94" s="48">
        <v>14.117647058823527</v>
      </c>
      <c r="U94" s="50">
        <v>4</v>
      </c>
      <c r="V94" s="48">
        <v>80</v>
      </c>
      <c r="W94" s="36" t="s">
        <v>48</v>
      </c>
      <c r="X94" s="36" t="s">
        <v>49</v>
      </c>
      <c r="Y94" s="36" t="s">
        <v>87</v>
      </c>
      <c r="Z94" s="36" t="s">
        <v>9</v>
      </c>
      <c r="AA94" s="36" t="s">
        <v>50</v>
      </c>
      <c r="AB94" s="36" t="s">
        <v>88</v>
      </c>
      <c r="AC94" s="36" t="s">
        <v>38</v>
      </c>
      <c r="AD94" s="51" t="s">
        <v>226</v>
      </c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</row>
    <row r="95" spans="1:49" ht="31.5" x14ac:dyDescent="0.2">
      <c r="A95" s="36" t="s">
        <v>84</v>
      </c>
      <c r="B95" s="38">
        <v>46073</v>
      </c>
      <c r="C95" s="38">
        <v>46073</v>
      </c>
      <c r="D95" s="36" t="s">
        <v>189</v>
      </c>
      <c r="E95" s="41">
        <v>0.45833333333333331</v>
      </c>
      <c r="F95" s="41">
        <v>0.54166666666666663</v>
      </c>
      <c r="G95" s="41">
        <v>3.4722222222222218E-4</v>
      </c>
      <c r="H95" s="36" t="s">
        <v>85</v>
      </c>
      <c r="I95" s="43">
        <v>0.52399305555555553</v>
      </c>
      <c r="J95" s="36" t="s">
        <v>81</v>
      </c>
      <c r="K95" s="36" t="s">
        <v>138</v>
      </c>
      <c r="L95" s="45">
        <v>1</v>
      </c>
      <c r="M95" s="45">
        <v>71448</v>
      </c>
      <c r="N95" s="36" t="s">
        <v>46</v>
      </c>
      <c r="O95" s="45" t="s">
        <v>86</v>
      </c>
      <c r="P95" s="48">
        <v>0</v>
      </c>
      <c r="Q95" s="45"/>
      <c r="R95" s="48">
        <v>0</v>
      </c>
      <c r="S95" s="49">
        <v>46073</v>
      </c>
      <c r="T95" s="48">
        <v>0</v>
      </c>
      <c r="U95" s="50">
        <v>4</v>
      </c>
      <c r="V95" s="48">
        <v>0</v>
      </c>
      <c r="W95" s="36" t="s">
        <v>48</v>
      </c>
      <c r="X95" s="36" t="s">
        <v>49</v>
      </c>
      <c r="Y95" s="36" t="s">
        <v>87</v>
      </c>
      <c r="Z95" s="36" t="s">
        <v>9</v>
      </c>
      <c r="AA95" s="36" t="s">
        <v>50</v>
      </c>
      <c r="AB95" s="36" t="s">
        <v>88</v>
      </c>
      <c r="AC95" s="36" t="s">
        <v>38</v>
      </c>
      <c r="AD95" s="51" t="s">
        <v>226</v>
      </c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</row>
    <row r="96" spans="1:49" ht="31.5" x14ac:dyDescent="0.25">
      <c r="A96" s="36" t="s">
        <v>84</v>
      </c>
      <c r="B96" s="38">
        <v>46073</v>
      </c>
      <c r="C96" s="38">
        <v>46073</v>
      </c>
      <c r="D96" s="36" t="s">
        <v>189</v>
      </c>
      <c r="E96" s="41">
        <v>0.66666666666666663</v>
      </c>
      <c r="F96" s="41">
        <v>0.79166666666666663</v>
      </c>
      <c r="G96" s="41">
        <v>3.4722222222222218E-4</v>
      </c>
      <c r="H96" s="36" t="s">
        <v>173</v>
      </c>
      <c r="I96" s="43">
        <v>0.79068287037037033</v>
      </c>
      <c r="J96" s="36" t="s">
        <v>116</v>
      </c>
      <c r="K96" s="36" t="s">
        <v>142</v>
      </c>
      <c r="L96" s="45">
        <v>1</v>
      </c>
      <c r="M96" s="45">
        <v>71439</v>
      </c>
      <c r="N96" s="36" t="s">
        <v>58</v>
      </c>
      <c r="O96" s="45" t="s">
        <v>157</v>
      </c>
      <c r="P96" s="48">
        <v>105.88235294117646</v>
      </c>
      <c r="Q96" s="45"/>
      <c r="R96" s="48">
        <v>105.88235294117646</v>
      </c>
      <c r="S96" s="49">
        <v>46073</v>
      </c>
      <c r="T96" s="48">
        <v>15.882352941176469</v>
      </c>
      <c r="U96" s="50">
        <v>4</v>
      </c>
      <c r="V96" s="48">
        <v>90</v>
      </c>
      <c r="W96" s="36" t="s">
        <v>48</v>
      </c>
      <c r="X96" s="36" t="s">
        <v>49</v>
      </c>
      <c r="Y96" s="36" t="s">
        <v>87</v>
      </c>
      <c r="Z96" s="36" t="s">
        <v>9</v>
      </c>
      <c r="AA96" s="36" t="s">
        <v>50</v>
      </c>
      <c r="AB96" s="36" t="s">
        <v>158</v>
      </c>
      <c r="AC96" s="36" t="s">
        <v>38</v>
      </c>
      <c r="AD96" s="51" t="s">
        <v>226</v>
      </c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52"/>
      <c r="AQ96" s="52"/>
      <c r="AR96" s="52"/>
      <c r="AS96" s="52"/>
      <c r="AT96" s="52"/>
      <c r="AU96" s="52"/>
      <c r="AV96" s="52"/>
      <c r="AW96" s="52"/>
    </row>
    <row r="97" spans="1:49" ht="31.5" x14ac:dyDescent="0.25">
      <c r="A97" s="36" t="s">
        <v>84</v>
      </c>
      <c r="B97" s="38">
        <v>46074</v>
      </c>
      <c r="C97" s="38">
        <v>46074</v>
      </c>
      <c r="D97" s="36" t="s">
        <v>197</v>
      </c>
      <c r="E97" s="41">
        <v>0.45833333333333331</v>
      </c>
      <c r="F97" s="41">
        <v>0.54166666666666663</v>
      </c>
      <c r="G97" s="41">
        <v>3.4722222222222218E-4</v>
      </c>
      <c r="H97" s="36" t="s">
        <v>85</v>
      </c>
      <c r="I97" s="43">
        <v>0.46968749999999998</v>
      </c>
      <c r="J97" s="36" t="s">
        <v>81</v>
      </c>
      <c r="K97" s="36" t="s">
        <v>150</v>
      </c>
      <c r="L97" s="45">
        <v>1</v>
      </c>
      <c r="M97" s="45">
        <v>71448</v>
      </c>
      <c r="N97" s="36" t="s">
        <v>46</v>
      </c>
      <c r="O97" s="45" t="s">
        <v>86</v>
      </c>
      <c r="P97" s="48">
        <v>0</v>
      </c>
      <c r="Q97" s="45"/>
      <c r="R97" s="48">
        <v>0</v>
      </c>
      <c r="S97" s="49">
        <v>46074</v>
      </c>
      <c r="T97" s="48">
        <v>0</v>
      </c>
      <c r="U97" s="50">
        <v>4</v>
      </c>
      <c r="V97" s="48">
        <v>0</v>
      </c>
      <c r="W97" s="36" t="s">
        <v>48</v>
      </c>
      <c r="X97" s="36" t="s">
        <v>49</v>
      </c>
      <c r="Y97" s="36" t="s">
        <v>87</v>
      </c>
      <c r="Z97" s="36" t="s">
        <v>9</v>
      </c>
      <c r="AA97" s="36" t="s">
        <v>50</v>
      </c>
      <c r="AB97" s="36" t="s">
        <v>88</v>
      </c>
      <c r="AC97" s="36" t="s">
        <v>38</v>
      </c>
      <c r="AD97" s="51" t="s">
        <v>226</v>
      </c>
      <c r="AE97" s="52"/>
      <c r="AF97" s="52"/>
      <c r="AG97" s="52"/>
      <c r="AH97" s="52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</row>
    <row r="98" spans="1:49" ht="31.5" x14ac:dyDescent="0.2">
      <c r="A98" s="36" t="s">
        <v>84</v>
      </c>
      <c r="B98" s="38">
        <v>46075</v>
      </c>
      <c r="C98" s="38">
        <v>46075</v>
      </c>
      <c r="D98" s="36" t="s">
        <v>215</v>
      </c>
      <c r="E98" s="41">
        <v>0.45833333333333331</v>
      </c>
      <c r="F98" s="41">
        <v>0.54166666666666663</v>
      </c>
      <c r="G98" s="41">
        <v>3.4722222222222218E-4</v>
      </c>
      <c r="H98" s="36" t="s">
        <v>85</v>
      </c>
      <c r="I98" s="43">
        <v>0.54013888888888884</v>
      </c>
      <c r="J98" s="36" t="s">
        <v>81</v>
      </c>
      <c r="K98" s="36" t="s">
        <v>138</v>
      </c>
      <c r="L98" s="45">
        <v>1</v>
      </c>
      <c r="M98" s="45">
        <v>71448</v>
      </c>
      <c r="N98" s="36" t="s">
        <v>46</v>
      </c>
      <c r="O98" s="45" t="s">
        <v>86</v>
      </c>
      <c r="P98" s="48">
        <v>0</v>
      </c>
      <c r="Q98" s="45"/>
      <c r="R98" s="48">
        <v>0</v>
      </c>
      <c r="S98" s="49">
        <v>46075</v>
      </c>
      <c r="T98" s="48">
        <v>0</v>
      </c>
      <c r="U98" s="50">
        <v>4</v>
      </c>
      <c r="V98" s="48">
        <v>0</v>
      </c>
      <c r="W98" s="36" t="s">
        <v>48</v>
      </c>
      <c r="X98" s="36" t="s">
        <v>49</v>
      </c>
      <c r="Y98" s="36" t="s">
        <v>87</v>
      </c>
      <c r="Z98" s="36" t="s">
        <v>9</v>
      </c>
      <c r="AA98" s="36" t="s">
        <v>50</v>
      </c>
      <c r="AB98" s="36" t="s">
        <v>88</v>
      </c>
      <c r="AC98" s="36" t="s">
        <v>38</v>
      </c>
      <c r="AD98" s="51" t="s">
        <v>226</v>
      </c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</row>
    <row r="99" spans="1:49" ht="31.5" x14ac:dyDescent="0.25">
      <c r="A99" s="36" t="s">
        <v>84</v>
      </c>
      <c r="B99" s="38">
        <v>46075</v>
      </c>
      <c r="C99" s="38">
        <v>46075</v>
      </c>
      <c r="D99" s="36" t="s">
        <v>215</v>
      </c>
      <c r="E99" s="41">
        <v>0.66666666666666663</v>
      </c>
      <c r="F99" s="41">
        <v>0.79166666666666663</v>
      </c>
      <c r="G99" s="41">
        <v>3.4722222222222218E-4</v>
      </c>
      <c r="H99" s="36" t="s">
        <v>156</v>
      </c>
      <c r="I99" s="43">
        <v>0.72177083333333336</v>
      </c>
      <c r="J99" s="36" t="s">
        <v>116</v>
      </c>
      <c r="K99" s="36" t="s">
        <v>188</v>
      </c>
      <c r="L99" s="45">
        <v>1</v>
      </c>
      <c r="M99" s="45">
        <v>71441</v>
      </c>
      <c r="N99" s="36" t="s">
        <v>46</v>
      </c>
      <c r="O99" s="45" t="s">
        <v>157</v>
      </c>
      <c r="P99" s="48">
        <v>0</v>
      </c>
      <c r="Q99" s="45"/>
      <c r="R99" s="48">
        <v>0</v>
      </c>
      <c r="S99" s="49">
        <v>46075</v>
      </c>
      <c r="T99" s="48">
        <v>0</v>
      </c>
      <c r="U99" s="50">
        <v>4</v>
      </c>
      <c r="V99" s="48">
        <v>0</v>
      </c>
      <c r="W99" s="36" t="s">
        <v>48</v>
      </c>
      <c r="X99" s="36" t="s">
        <v>49</v>
      </c>
      <c r="Y99" s="36" t="s">
        <v>87</v>
      </c>
      <c r="Z99" s="36" t="s">
        <v>9</v>
      </c>
      <c r="AA99" s="36" t="s">
        <v>50</v>
      </c>
      <c r="AB99" s="36" t="s">
        <v>158</v>
      </c>
      <c r="AC99" s="36" t="s">
        <v>38</v>
      </c>
      <c r="AD99" s="51" t="s">
        <v>226</v>
      </c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</row>
    <row r="100" spans="1:49" ht="31.5" x14ac:dyDescent="0.2">
      <c r="A100" s="35" t="s">
        <v>209</v>
      </c>
      <c r="B100" s="37">
        <v>46074</v>
      </c>
      <c r="C100" s="37">
        <v>46074</v>
      </c>
      <c r="D100" s="39" t="s">
        <v>197</v>
      </c>
      <c r="E100" s="40">
        <v>0.625</v>
      </c>
      <c r="F100" s="40">
        <v>0.66666666666666663</v>
      </c>
      <c r="G100" s="40">
        <v>4.1666666666666664E-2</v>
      </c>
      <c r="H100" s="35" t="s">
        <v>209</v>
      </c>
      <c r="I100" s="42"/>
      <c r="J100" s="35" t="s">
        <v>103</v>
      </c>
      <c r="K100" s="35" t="s">
        <v>209</v>
      </c>
      <c r="L100" s="44">
        <v>1</v>
      </c>
      <c r="M100" s="44">
        <v>1</v>
      </c>
      <c r="N100" s="35" t="s">
        <v>33</v>
      </c>
      <c r="O100" s="35"/>
      <c r="P100" s="47">
        <v>0</v>
      </c>
      <c r="Q100" s="44"/>
      <c r="R100" s="47">
        <v>0</v>
      </c>
      <c r="S100" s="35">
        <v>46074</v>
      </c>
      <c r="T100" s="47">
        <v>0</v>
      </c>
      <c r="U100" s="44">
        <v>1</v>
      </c>
      <c r="V100" s="47">
        <v>0</v>
      </c>
      <c r="W100" s="35" t="s">
        <v>34</v>
      </c>
      <c r="X100" s="35" t="s">
        <v>42</v>
      </c>
      <c r="Y100" s="35" t="s">
        <v>87</v>
      </c>
      <c r="Z100" s="35" t="s">
        <v>73</v>
      </c>
      <c r="AA100" s="35" t="s">
        <v>37</v>
      </c>
      <c r="AB100" s="35" t="s">
        <v>37</v>
      </c>
      <c r="AC100" s="35" t="s">
        <v>38</v>
      </c>
      <c r="AD100" s="51" t="s">
        <v>226</v>
      </c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</row>
    <row r="101" spans="1:49" ht="78.75" x14ac:dyDescent="0.2">
      <c r="A101" s="36" t="s">
        <v>56</v>
      </c>
      <c r="B101" s="38">
        <v>46069</v>
      </c>
      <c r="C101" s="38">
        <v>46069</v>
      </c>
      <c r="D101" s="36" t="s">
        <v>30</v>
      </c>
      <c r="E101" s="41">
        <v>0.25</v>
      </c>
      <c r="F101" s="41">
        <v>0.875</v>
      </c>
      <c r="G101" s="41">
        <v>1.7361111111111109E-4</v>
      </c>
      <c r="H101" s="36" t="s">
        <v>57</v>
      </c>
      <c r="I101" s="43">
        <v>0.28195601851851854</v>
      </c>
      <c r="J101" s="36" t="s">
        <v>41</v>
      </c>
      <c r="K101" s="36" t="s">
        <v>40</v>
      </c>
      <c r="L101" s="45">
        <v>1</v>
      </c>
      <c r="M101" s="45">
        <v>71977</v>
      </c>
      <c r="N101" s="36" t="s">
        <v>58</v>
      </c>
      <c r="O101" s="45" t="s">
        <v>59</v>
      </c>
      <c r="P101" s="48">
        <v>0</v>
      </c>
      <c r="Q101" s="45"/>
      <c r="R101" s="48">
        <v>90</v>
      </c>
      <c r="S101" s="49">
        <v>46054</v>
      </c>
      <c r="T101" s="48">
        <v>0</v>
      </c>
      <c r="U101" s="50">
        <v>4</v>
      </c>
      <c r="V101" s="48">
        <v>0</v>
      </c>
      <c r="W101" s="36" t="s">
        <v>48</v>
      </c>
      <c r="X101" s="36" t="s">
        <v>49</v>
      </c>
      <c r="Y101" s="36" t="s">
        <v>36</v>
      </c>
      <c r="Z101" s="36" t="s">
        <v>43</v>
      </c>
      <c r="AA101" s="36" t="s">
        <v>50</v>
      </c>
      <c r="AB101" s="36" t="s">
        <v>60</v>
      </c>
      <c r="AC101" s="36" t="s">
        <v>38</v>
      </c>
      <c r="AD101" s="51" t="s">
        <v>226</v>
      </c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</row>
    <row r="102" spans="1:49" ht="78.75" x14ac:dyDescent="0.25">
      <c r="A102" s="36" t="s">
        <v>56</v>
      </c>
      <c r="B102" s="38">
        <v>46069</v>
      </c>
      <c r="C102" s="38">
        <v>46069</v>
      </c>
      <c r="D102" s="36" t="s">
        <v>30</v>
      </c>
      <c r="E102" s="41">
        <v>0.25</v>
      </c>
      <c r="F102" s="41">
        <v>0.875</v>
      </c>
      <c r="G102" s="41">
        <v>1.7361111111111109E-4</v>
      </c>
      <c r="H102" s="36" t="s">
        <v>57</v>
      </c>
      <c r="I102" s="43">
        <v>0.28952546296296294</v>
      </c>
      <c r="J102" s="36" t="s">
        <v>41</v>
      </c>
      <c r="K102" s="36" t="s">
        <v>40</v>
      </c>
      <c r="L102" s="45">
        <v>1</v>
      </c>
      <c r="M102" s="45">
        <v>71977</v>
      </c>
      <c r="N102" s="36" t="s">
        <v>58</v>
      </c>
      <c r="O102" s="45" t="s">
        <v>59</v>
      </c>
      <c r="P102" s="48">
        <v>0</v>
      </c>
      <c r="Q102" s="45"/>
      <c r="R102" s="48">
        <v>90</v>
      </c>
      <c r="S102" s="49">
        <v>46054</v>
      </c>
      <c r="T102" s="48">
        <v>0</v>
      </c>
      <c r="U102" s="50">
        <v>4</v>
      </c>
      <c r="V102" s="48">
        <v>0</v>
      </c>
      <c r="W102" s="36" t="s">
        <v>48</v>
      </c>
      <c r="X102" s="36" t="s">
        <v>49</v>
      </c>
      <c r="Y102" s="36" t="s">
        <v>36</v>
      </c>
      <c r="Z102" s="36" t="s">
        <v>43</v>
      </c>
      <c r="AA102" s="36" t="s">
        <v>50</v>
      </c>
      <c r="AB102" s="36" t="s">
        <v>60</v>
      </c>
      <c r="AC102" s="36" t="s">
        <v>38</v>
      </c>
      <c r="AD102" s="51" t="s">
        <v>226</v>
      </c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2"/>
      <c r="AW102" s="52"/>
    </row>
    <row r="103" spans="1:49" ht="78.75" x14ac:dyDescent="0.25">
      <c r="A103" s="36" t="s">
        <v>56</v>
      </c>
      <c r="B103" s="38">
        <v>46069</v>
      </c>
      <c r="C103" s="38">
        <v>46069</v>
      </c>
      <c r="D103" s="36" t="s">
        <v>30</v>
      </c>
      <c r="E103" s="41">
        <v>0.25</v>
      </c>
      <c r="F103" s="41">
        <v>0.875</v>
      </c>
      <c r="G103" s="41">
        <v>1.7361111111111109E-4</v>
      </c>
      <c r="H103" s="36" t="s">
        <v>57</v>
      </c>
      <c r="I103" s="43">
        <v>0.87380787037037033</v>
      </c>
      <c r="J103" s="36" t="s">
        <v>41</v>
      </c>
      <c r="K103" s="36" t="s">
        <v>144</v>
      </c>
      <c r="L103" s="45">
        <v>1</v>
      </c>
      <c r="M103" s="45">
        <v>71977</v>
      </c>
      <c r="N103" s="36" t="s">
        <v>58</v>
      </c>
      <c r="O103" s="45" t="s">
        <v>59</v>
      </c>
      <c r="P103" s="48">
        <v>0</v>
      </c>
      <c r="Q103" s="45"/>
      <c r="R103" s="48">
        <v>90</v>
      </c>
      <c r="S103" s="49">
        <v>46054</v>
      </c>
      <c r="T103" s="48">
        <v>0</v>
      </c>
      <c r="U103" s="50">
        <v>4</v>
      </c>
      <c r="V103" s="48">
        <v>0</v>
      </c>
      <c r="W103" s="36" t="s">
        <v>48</v>
      </c>
      <c r="X103" s="36" t="s">
        <v>49</v>
      </c>
      <c r="Y103" s="36" t="s">
        <v>36</v>
      </c>
      <c r="Z103" s="36" t="s">
        <v>43</v>
      </c>
      <c r="AA103" s="36" t="s">
        <v>50</v>
      </c>
      <c r="AB103" s="36" t="s">
        <v>60</v>
      </c>
      <c r="AC103" s="36" t="s">
        <v>38</v>
      </c>
      <c r="AD103" s="51" t="s">
        <v>226</v>
      </c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</row>
    <row r="104" spans="1:49" ht="78.75" x14ac:dyDescent="0.25">
      <c r="A104" s="36" t="s">
        <v>56</v>
      </c>
      <c r="B104" s="38">
        <v>46069</v>
      </c>
      <c r="C104" s="38">
        <v>46069</v>
      </c>
      <c r="D104" s="36" t="s">
        <v>30</v>
      </c>
      <c r="E104" s="41">
        <v>0.45833333333333331</v>
      </c>
      <c r="F104" s="41">
        <v>0.5</v>
      </c>
      <c r="G104" s="41">
        <v>1.7361111111111109E-4</v>
      </c>
      <c r="H104" s="36" t="s">
        <v>90</v>
      </c>
      <c r="I104" s="43">
        <v>0.46167824074074076</v>
      </c>
      <c r="J104" s="36" t="s">
        <v>81</v>
      </c>
      <c r="K104" s="36" t="s">
        <v>77</v>
      </c>
      <c r="L104" s="45">
        <v>1</v>
      </c>
      <c r="M104" s="45">
        <v>71978</v>
      </c>
      <c r="N104" s="36" t="s">
        <v>58</v>
      </c>
      <c r="O104" s="45" t="s">
        <v>59</v>
      </c>
      <c r="P104" s="48">
        <v>0</v>
      </c>
      <c r="Q104" s="45"/>
      <c r="R104" s="48">
        <v>90</v>
      </c>
      <c r="S104" s="49">
        <v>46054</v>
      </c>
      <c r="T104" s="48">
        <v>0</v>
      </c>
      <c r="U104" s="50">
        <v>4</v>
      </c>
      <c r="V104" s="48">
        <v>0</v>
      </c>
      <c r="W104" s="36" t="s">
        <v>48</v>
      </c>
      <c r="X104" s="36" t="s">
        <v>49</v>
      </c>
      <c r="Y104" s="36" t="s">
        <v>36</v>
      </c>
      <c r="Z104" s="36" t="s">
        <v>43</v>
      </c>
      <c r="AA104" s="36" t="s">
        <v>50</v>
      </c>
      <c r="AB104" s="36" t="s">
        <v>60</v>
      </c>
      <c r="AC104" s="36" t="s">
        <v>38</v>
      </c>
      <c r="AD104" s="51" t="s">
        <v>226</v>
      </c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</row>
    <row r="105" spans="1:49" ht="78.75" x14ac:dyDescent="0.2">
      <c r="A105" s="36" t="s">
        <v>56</v>
      </c>
      <c r="B105" s="38">
        <v>46069</v>
      </c>
      <c r="C105" s="38">
        <v>46069</v>
      </c>
      <c r="D105" s="36" t="s">
        <v>30</v>
      </c>
      <c r="E105" s="41">
        <v>0.45833333333333331</v>
      </c>
      <c r="F105" s="41">
        <v>0.5</v>
      </c>
      <c r="G105" s="41">
        <v>1.7361111111111109E-4</v>
      </c>
      <c r="H105" s="36" t="s">
        <v>90</v>
      </c>
      <c r="I105" s="43">
        <v>0.48293981481481479</v>
      </c>
      <c r="J105" s="36" t="s">
        <v>81</v>
      </c>
      <c r="K105" s="36" t="s">
        <v>137</v>
      </c>
      <c r="L105" s="45">
        <v>1</v>
      </c>
      <c r="M105" s="45">
        <v>71978</v>
      </c>
      <c r="N105" s="36" t="s">
        <v>58</v>
      </c>
      <c r="O105" s="45" t="s">
        <v>59</v>
      </c>
      <c r="P105" s="48">
        <v>0</v>
      </c>
      <c r="Q105" s="45"/>
      <c r="R105" s="48">
        <v>90</v>
      </c>
      <c r="S105" s="49">
        <v>46054</v>
      </c>
      <c r="T105" s="48">
        <v>0</v>
      </c>
      <c r="U105" s="50">
        <v>4</v>
      </c>
      <c r="V105" s="48">
        <v>0</v>
      </c>
      <c r="W105" s="36" t="s">
        <v>48</v>
      </c>
      <c r="X105" s="36" t="s">
        <v>49</v>
      </c>
      <c r="Y105" s="36" t="s">
        <v>36</v>
      </c>
      <c r="Z105" s="36" t="s">
        <v>43</v>
      </c>
      <c r="AA105" s="36" t="s">
        <v>50</v>
      </c>
      <c r="AB105" s="36" t="s">
        <v>60</v>
      </c>
      <c r="AC105" s="36" t="s">
        <v>38</v>
      </c>
      <c r="AD105" s="51" t="s">
        <v>226</v>
      </c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</row>
    <row r="106" spans="1:49" ht="78.75" x14ac:dyDescent="0.25">
      <c r="A106" s="36" t="s">
        <v>56</v>
      </c>
      <c r="B106" s="38">
        <v>46069</v>
      </c>
      <c r="C106" s="38">
        <v>46069</v>
      </c>
      <c r="D106" s="36" t="s">
        <v>30</v>
      </c>
      <c r="E106" s="41">
        <v>0.45833333333333331</v>
      </c>
      <c r="F106" s="41">
        <v>0.5</v>
      </c>
      <c r="G106" s="41">
        <v>1.7361111111111109E-4</v>
      </c>
      <c r="H106" s="36" t="s">
        <v>90</v>
      </c>
      <c r="I106" s="43">
        <v>0.48878472222222225</v>
      </c>
      <c r="J106" s="36" t="s">
        <v>81</v>
      </c>
      <c r="K106" s="36" t="s">
        <v>137</v>
      </c>
      <c r="L106" s="45">
        <v>1</v>
      </c>
      <c r="M106" s="45">
        <v>71978</v>
      </c>
      <c r="N106" s="36" t="s">
        <v>58</v>
      </c>
      <c r="O106" s="45" t="s">
        <v>59</v>
      </c>
      <c r="P106" s="48">
        <v>0</v>
      </c>
      <c r="Q106" s="45"/>
      <c r="R106" s="48">
        <v>90</v>
      </c>
      <c r="S106" s="49">
        <v>46054</v>
      </c>
      <c r="T106" s="48">
        <v>0</v>
      </c>
      <c r="U106" s="50">
        <v>4</v>
      </c>
      <c r="V106" s="48">
        <v>0</v>
      </c>
      <c r="W106" s="36" t="s">
        <v>48</v>
      </c>
      <c r="X106" s="36" t="s">
        <v>49</v>
      </c>
      <c r="Y106" s="36" t="s">
        <v>36</v>
      </c>
      <c r="Z106" s="36" t="s">
        <v>43</v>
      </c>
      <c r="AA106" s="36" t="s">
        <v>50</v>
      </c>
      <c r="AB106" s="36" t="s">
        <v>60</v>
      </c>
      <c r="AC106" s="36" t="s">
        <v>38</v>
      </c>
      <c r="AD106" s="51" t="s">
        <v>226</v>
      </c>
      <c r="AE106" s="52"/>
      <c r="AF106" s="52"/>
      <c r="AG106" s="52"/>
      <c r="AH106" s="52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</row>
    <row r="107" spans="1:49" ht="78.75" x14ac:dyDescent="0.2">
      <c r="A107" s="36" t="s">
        <v>56</v>
      </c>
      <c r="B107" s="38">
        <v>46070</v>
      </c>
      <c r="C107" s="38">
        <v>46070</v>
      </c>
      <c r="D107" s="36" t="s">
        <v>146</v>
      </c>
      <c r="E107" s="41">
        <v>0.25</v>
      </c>
      <c r="F107" s="41">
        <v>0.875</v>
      </c>
      <c r="G107" s="41">
        <v>1.7361111111111109E-4</v>
      </c>
      <c r="H107" s="36" t="s">
        <v>57</v>
      </c>
      <c r="I107" s="43">
        <v>0.25989583333333333</v>
      </c>
      <c r="J107" s="36" t="s">
        <v>41</v>
      </c>
      <c r="K107" s="36" t="s">
        <v>40</v>
      </c>
      <c r="L107" s="45">
        <v>1</v>
      </c>
      <c r="M107" s="45">
        <v>71977</v>
      </c>
      <c r="N107" s="36" t="s">
        <v>58</v>
      </c>
      <c r="O107" s="45" t="s">
        <v>59</v>
      </c>
      <c r="P107" s="48">
        <v>0</v>
      </c>
      <c r="Q107" s="45"/>
      <c r="R107" s="48">
        <v>90</v>
      </c>
      <c r="S107" s="49">
        <v>46054</v>
      </c>
      <c r="T107" s="48">
        <v>0</v>
      </c>
      <c r="U107" s="50">
        <v>4</v>
      </c>
      <c r="V107" s="48">
        <v>0</v>
      </c>
      <c r="W107" s="36" t="s">
        <v>48</v>
      </c>
      <c r="X107" s="36" t="s">
        <v>49</v>
      </c>
      <c r="Y107" s="36" t="s">
        <v>36</v>
      </c>
      <c r="Z107" s="36" t="s">
        <v>43</v>
      </c>
      <c r="AA107" s="36" t="s">
        <v>50</v>
      </c>
      <c r="AB107" s="36" t="s">
        <v>60</v>
      </c>
      <c r="AC107" s="36" t="s">
        <v>38</v>
      </c>
      <c r="AD107" s="51" t="s">
        <v>226</v>
      </c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</row>
    <row r="108" spans="1:49" ht="78.75" x14ac:dyDescent="0.2">
      <c r="A108" s="36" t="s">
        <v>56</v>
      </c>
      <c r="B108" s="38">
        <v>46070</v>
      </c>
      <c r="C108" s="38">
        <v>46070</v>
      </c>
      <c r="D108" s="36" t="s">
        <v>146</v>
      </c>
      <c r="E108" s="41">
        <v>0.25</v>
      </c>
      <c r="F108" s="41">
        <v>0.875</v>
      </c>
      <c r="G108" s="41">
        <v>1.7361111111111109E-4</v>
      </c>
      <c r="H108" s="36" t="s">
        <v>57</v>
      </c>
      <c r="I108" s="43">
        <v>0.26846064814814813</v>
      </c>
      <c r="J108" s="36" t="s">
        <v>41</v>
      </c>
      <c r="K108" s="36" t="s">
        <v>40</v>
      </c>
      <c r="L108" s="45">
        <v>1</v>
      </c>
      <c r="M108" s="45">
        <v>71977</v>
      </c>
      <c r="N108" s="36" t="s">
        <v>58</v>
      </c>
      <c r="O108" s="45" t="s">
        <v>59</v>
      </c>
      <c r="P108" s="48">
        <v>0</v>
      </c>
      <c r="Q108" s="45"/>
      <c r="R108" s="48">
        <v>90</v>
      </c>
      <c r="S108" s="49">
        <v>46054</v>
      </c>
      <c r="T108" s="48">
        <v>0</v>
      </c>
      <c r="U108" s="50">
        <v>4</v>
      </c>
      <c r="V108" s="48">
        <v>0</v>
      </c>
      <c r="W108" s="36" t="s">
        <v>48</v>
      </c>
      <c r="X108" s="36" t="s">
        <v>49</v>
      </c>
      <c r="Y108" s="36" t="s">
        <v>36</v>
      </c>
      <c r="Z108" s="36" t="s">
        <v>43</v>
      </c>
      <c r="AA108" s="36" t="s">
        <v>50</v>
      </c>
      <c r="AB108" s="36" t="s">
        <v>60</v>
      </c>
      <c r="AC108" s="36" t="s">
        <v>38</v>
      </c>
      <c r="AD108" s="51" t="s">
        <v>226</v>
      </c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</row>
    <row r="109" spans="1:49" ht="78.75" x14ac:dyDescent="0.25">
      <c r="A109" s="36" t="s">
        <v>56</v>
      </c>
      <c r="B109" s="38">
        <v>46070</v>
      </c>
      <c r="C109" s="38">
        <v>46070</v>
      </c>
      <c r="D109" s="36" t="s">
        <v>146</v>
      </c>
      <c r="E109" s="41">
        <v>0.25</v>
      </c>
      <c r="F109" s="41">
        <v>0.875</v>
      </c>
      <c r="G109" s="41">
        <v>1.7361111111111109E-4</v>
      </c>
      <c r="H109" s="36" t="s">
        <v>57</v>
      </c>
      <c r="I109" s="43">
        <v>0.84444444444444444</v>
      </c>
      <c r="J109" s="36" t="s">
        <v>41</v>
      </c>
      <c r="K109" s="36" t="s">
        <v>144</v>
      </c>
      <c r="L109" s="45">
        <v>1</v>
      </c>
      <c r="M109" s="45">
        <v>71977</v>
      </c>
      <c r="N109" s="36" t="s">
        <v>58</v>
      </c>
      <c r="O109" s="45" t="s">
        <v>59</v>
      </c>
      <c r="P109" s="48">
        <v>0</v>
      </c>
      <c r="Q109" s="45"/>
      <c r="R109" s="48">
        <v>90</v>
      </c>
      <c r="S109" s="49">
        <v>46054</v>
      </c>
      <c r="T109" s="48">
        <v>0</v>
      </c>
      <c r="U109" s="50">
        <v>4</v>
      </c>
      <c r="V109" s="48">
        <v>0</v>
      </c>
      <c r="W109" s="36" t="s">
        <v>48</v>
      </c>
      <c r="X109" s="36" t="s">
        <v>49</v>
      </c>
      <c r="Y109" s="36" t="s">
        <v>36</v>
      </c>
      <c r="Z109" s="36" t="s">
        <v>43</v>
      </c>
      <c r="AA109" s="36" t="s">
        <v>50</v>
      </c>
      <c r="AB109" s="36" t="s">
        <v>60</v>
      </c>
      <c r="AC109" s="36" t="s">
        <v>38</v>
      </c>
      <c r="AD109" s="51" t="s">
        <v>226</v>
      </c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52"/>
      <c r="AQ109" s="52"/>
      <c r="AR109" s="52"/>
      <c r="AS109" s="52"/>
      <c r="AT109" s="52"/>
      <c r="AU109" s="52"/>
      <c r="AV109" s="52"/>
      <c r="AW109" s="52"/>
    </row>
    <row r="110" spans="1:49" ht="78.75" x14ac:dyDescent="0.25">
      <c r="A110" s="36" t="s">
        <v>56</v>
      </c>
      <c r="B110" s="38">
        <v>46070</v>
      </c>
      <c r="C110" s="38">
        <v>46070</v>
      </c>
      <c r="D110" s="36" t="s">
        <v>146</v>
      </c>
      <c r="E110" s="41">
        <v>0.45833333333333331</v>
      </c>
      <c r="F110" s="41">
        <v>0.5</v>
      </c>
      <c r="G110" s="41">
        <v>1.7361111111111109E-4</v>
      </c>
      <c r="H110" s="36" t="s">
        <v>90</v>
      </c>
      <c r="I110" s="43">
        <v>0.47803240740740743</v>
      </c>
      <c r="J110" s="36" t="s">
        <v>81</v>
      </c>
      <c r="K110" s="36" t="s">
        <v>150</v>
      </c>
      <c r="L110" s="45">
        <v>1</v>
      </c>
      <c r="M110" s="45">
        <v>71978</v>
      </c>
      <c r="N110" s="36" t="s">
        <v>58</v>
      </c>
      <c r="O110" s="45" t="s">
        <v>59</v>
      </c>
      <c r="P110" s="48">
        <v>0</v>
      </c>
      <c r="Q110" s="45"/>
      <c r="R110" s="48">
        <v>90</v>
      </c>
      <c r="S110" s="49">
        <v>46054</v>
      </c>
      <c r="T110" s="48">
        <v>0</v>
      </c>
      <c r="U110" s="50">
        <v>4</v>
      </c>
      <c r="V110" s="48">
        <v>0</v>
      </c>
      <c r="W110" s="36" t="s">
        <v>48</v>
      </c>
      <c r="X110" s="36" t="s">
        <v>49</v>
      </c>
      <c r="Y110" s="36" t="s">
        <v>36</v>
      </c>
      <c r="Z110" s="36" t="s">
        <v>43</v>
      </c>
      <c r="AA110" s="36" t="s">
        <v>50</v>
      </c>
      <c r="AB110" s="36" t="s">
        <v>60</v>
      </c>
      <c r="AC110" s="36" t="s">
        <v>38</v>
      </c>
      <c r="AD110" s="51" t="s">
        <v>226</v>
      </c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52"/>
      <c r="AQ110" s="52"/>
      <c r="AR110" s="52"/>
      <c r="AS110" s="52"/>
      <c r="AT110" s="52"/>
      <c r="AU110" s="52"/>
      <c r="AV110" s="52"/>
      <c r="AW110" s="52"/>
    </row>
    <row r="111" spans="1:49" ht="47.25" x14ac:dyDescent="0.25">
      <c r="A111" s="36" t="s">
        <v>79</v>
      </c>
      <c r="B111" s="38">
        <v>46069</v>
      </c>
      <c r="C111" s="38">
        <v>46069</v>
      </c>
      <c r="D111" s="36" t="s">
        <v>30</v>
      </c>
      <c r="E111" s="41">
        <v>0.45833333333333331</v>
      </c>
      <c r="F111" s="41">
        <v>0.47916666666666669</v>
      </c>
      <c r="G111" s="41">
        <v>1.7361111111111109E-4</v>
      </c>
      <c r="H111" s="36" t="s">
        <v>91</v>
      </c>
      <c r="I111" s="43">
        <v>0.46150462962962963</v>
      </c>
      <c r="J111" s="36" t="s">
        <v>81</v>
      </c>
      <c r="K111" s="36" t="s">
        <v>77</v>
      </c>
      <c r="L111" s="45">
        <v>1</v>
      </c>
      <c r="M111" s="45">
        <v>70008</v>
      </c>
      <c r="N111" s="36" t="s">
        <v>58</v>
      </c>
      <c r="O111" s="45" t="s">
        <v>82</v>
      </c>
      <c r="P111" s="48">
        <v>64.709999999999994</v>
      </c>
      <c r="Q111" s="45"/>
      <c r="R111" s="48">
        <v>64.709999999999994</v>
      </c>
      <c r="S111" s="49">
        <v>46054</v>
      </c>
      <c r="T111" s="48">
        <v>9.7064999999999984</v>
      </c>
      <c r="U111" s="50">
        <v>4</v>
      </c>
      <c r="V111" s="48">
        <v>55.003499999999995</v>
      </c>
      <c r="W111" s="36" t="s">
        <v>48</v>
      </c>
      <c r="X111" s="36" t="s">
        <v>49</v>
      </c>
      <c r="Y111" s="36" t="s">
        <v>36</v>
      </c>
      <c r="Z111" s="36" t="s">
        <v>9</v>
      </c>
      <c r="AA111" s="36" t="s">
        <v>50</v>
      </c>
      <c r="AB111" s="36" t="s">
        <v>83</v>
      </c>
      <c r="AC111" s="36" t="s">
        <v>38</v>
      </c>
      <c r="AD111" s="51" t="s">
        <v>226</v>
      </c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52"/>
      <c r="AQ111" s="52"/>
      <c r="AR111" s="52"/>
      <c r="AS111" s="52"/>
      <c r="AT111" s="52"/>
      <c r="AU111" s="52"/>
      <c r="AV111" s="52"/>
      <c r="AW111" s="52"/>
    </row>
    <row r="112" spans="1:49" ht="47.25" x14ac:dyDescent="0.25">
      <c r="A112" s="36" t="s">
        <v>79</v>
      </c>
      <c r="B112" s="38">
        <v>46069</v>
      </c>
      <c r="C112" s="38">
        <v>46069</v>
      </c>
      <c r="D112" s="36" t="s">
        <v>30</v>
      </c>
      <c r="E112" s="41">
        <v>0.45833333333333331</v>
      </c>
      <c r="F112" s="41">
        <v>0.54166666666666663</v>
      </c>
      <c r="G112" s="41">
        <v>1.7361111111111109E-4</v>
      </c>
      <c r="H112" s="36" t="s">
        <v>80</v>
      </c>
      <c r="I112" s="43">
        <v>0.47711805555555553</v>
      </c>
      <c r="J112" s="36" t="s">
        <v>81</v>
      </c>
      <c r="K112" s="36" t="s">
        <v>77</v>
      </c>
      <c r="L112" s="45">
        <v>1</v>
      </c>
      <c r="M112" s="45">
        <v>70037</v>
      </c>
      <c r="N112" s="36" t="s">
        <v>46</v>
      </c>
      <c r="O112" s="45" t="s">
        <v>82</v>
      </c>
      <c r="P112" s="48">
        <v>0</v>
      </c>
      <c r="Q112" s="45"/>
      <c r="R112" s="48">
        <v>0</v>
      </c>
      <c r="S112" s="49">
        <v>46054</v>
      </c>
      <c r="T112" s="48">
        <v>0</v>
      </c>
      <c r="U112" s="50">
        <v>4</v>
      </c>
      <c r="V112" s="48">
        <v>0</v>
      </c>
      <c r="W112" s="36" t="s">
        <v>48</v>
      </c>
      <c r="X112" s="36" t="s">
        <v>49</v>
      </c>
      <c r="Y112" s="36" t="s">
        <v>36</v>
      </c>
      <c r="Z112" s="36" t="s">
        <v>9</v>
      </c>
      <c r="AA112" s="36" t="s">
        <v>50</v>
      </c>
      <c r="AB112" s="36" t="s">
        <v>83</v>
      </c>
      <c r="AC112" s="36" t="s">
        <v>38</v>
      </c>
      <c r="AD112" s="51" t="s">
        <v>226</v>
      </c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52"/>
      <c r="AQ112" s="52"/>
      <c r="AR112" s="52"/>
      <c r="AS112" s="52"/>
      <c r="AT112" s="52"/>
      <c r="AU112" s="52"/>
      <c r="AV112" s="52"/>
      <c r="AW112" s="52"/>
    </row>
    <row r="113" spans="1:49" ht="47.25" x14ac:dyDescent="0.2">
      <c r="A113" s="36" t="s">
        <v>79</v>
      </c>
      <c r="B113" s="38">
        <v>46069</v>
      </c>
      <c r="C113" s="38">
        <v>46069</v>
      </c>
      <c r="D113" s="36" t="s">
        <v>30</v>
      </c>
      <c r="E113" s="41">
        <v>0.47916666666666669</v>
      </c>
      <c r="F113" s="41">
        <v>0.5</v>
      </c>
      <c r="G113" s="41">
        <v>1.7361111111111109E-4</v>
      </c>
      <c r="H113" s="36" t="s">
        <v>91</v>
      </c>
      <c r="I113" s="43">
        <v>0.48861111111111111</v>
      </c>
      <c r="J113" s="36" t="s">
        <v>81</v>
      </c>
      <c r="K113" s="36" t="s">
        <v>137</v>
      </c>
      <c r="L113" s="45">
        <v>1</v>
      </c>
      <c r="M113" s="45">
        <v>70009</v>
      </c>
      <c r="N113" s="36" t="s">
        <v>58</v>
      </c>
      <c r="O113" s="45" t="s">
        <v>82</v>
      </c>
      <c r="P113" s="48">
        <v>64.709999999999994</v>
      </c>
      <c r="Q113" s="45"/>
      <c r="R113" s="48">
        <v>64.709999999999994</v>
      </c>
      <c r="S113" s="49">
        <v>46054</v>
      </c>
      <c r="T113" s="48">
        <v>9.7064999999999984</v>
      </c>
      <c r="U113" s="50">
        <v>4</v>
      </c>
      <c r="V113" s="48">
        <v>55.003499999999995</v>
      </c>
      <c r="W113" s="36" t="s">
        <v>48</v>
      </c>
      <c r="X113" s="36" t="s">
        <v>49</v>
      </c>
      <c r="Y113" s="36" t="s">
        <v>36</v>
      </c>
      <c r="Z113" s="36" t="s">
        <v>9</v>
      </c>
      <c r="AA113" s="36" t="s">
        <v>50</v>
      </c>
      <c r="AB113" s="36" t="s">
        <v>83</v>
      </c>
      <c r="AC113" s="36" t="s">
        <v>38</v>
      </c>
      <c r="AD113" s="51" t="s">
        <v>226</v>
      </c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</row>
    <row r="114" spans="1:49" ht="47.25" x14ac:dyDescent="0.25">
      <c r="A114" s="36" t="s">
        <v>79</v>
      </c>
      <c r="B114" s="38">
        <v>46069</v>
      </c>
      <c r="C114" s="38">
        <v>46069</v>
      </c>
      <c r="D114" s="36" t="s">
        <v>30</v>
      </c>
      <c r="E114" s="41">
        <v>0.5</v>
      </c>
      <c r="F114" s="41">
        <v>0.54166666666666663</v>
      </c>
      <c r="G114" s="41">
        <v>1.7361111111111109E-4</v>
      </c>
      <c r="H114" s="36" t="s">
        <v>80</v>
      </c>
      <c r="I114" s="43">
        <v>0.54052083333333334</v>
      </c>
      <c r="J114" s="36" t="s">
        <v>81</v>
      </c>
      <c r="K114" s="36" t="s">
        <v>138</v>
      </c>
      <c r="L114" s="45">
        <v>1</v>
      </c>
      <c r="M114" s="45">
        <v>70011</v>
      </c>
      <c r="N114" s="36" t="s">
        <v>58</v>
      </c>
      <c r="O114" s="45" t="s">
        <v>82</v>
      </c>
      <c r="P114" s="48">
        <v>64.709999999999994</v>
      </c>
      <c r="Q114" s="45"/>
      <c r="R114" s="48">
        <v>64.709999999999994</v>
      </c>
      <c r="S114" s="49">
        <v>46054</v>
      </c>
      <c r="T114" s="48">
        <v>9.7064999999999984</v>
      </c>
      <c r="U114" s="50">
        <v>4</v>
      </c>
      <c r="V114" s="48">
        <v>55.003499999999995</v>
      </c>
      <c r="W114" s="36" t="s">
        <v>48</v>
      </c>
      <c r="X114" s="36" t="s">
        <v>49</v>
      </c>
      <c r="Y114" s="36" t="s">
        <v>36</v>
      </c>
      <c r="Z114" s="36" t="s">
        <v>9</v>
      </c>
      <c r="AA114" s="36" t="s">
        <v>50</v>
      </c>
      <c r="AB114" s="36" t="s">
        <v>83</v>
      </c>
      <c r="AC114" s="36" t="s">
        <v>38</v>
      </c>
      <c r="AD114" s="51" t="s">
        <v>226</v>
      </c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</row>
    <row r="115" spans="1:49" ht="47.25" x14ac:dyDescent="0.25">
      <c r="A115" s="36" t="s">
        <v>79</v>
      </c>
      <c r="B115" s="38">
        <v>46069</v>
      </c>
      <c r="C115" s="38">
        <v>46069</v>
      </c>
      <c r="D115" s="36" t="s">
        <v>30</v>
      </c>
      <c r="E115" s="41">
        <v>0.54166666666666663</v>
      </c>
      <c r="F115" s="41">
        <v>0.5625</v>
      </c>
      <c r="G115" s="41">
        <v>1.7361111111111109E-4</v>
      </c>
      <c r="H115" s="36" t="s">
        <v>107</v>
      </c>
      <c r="I115" s="43">
        <v>0.56175925925925929</v>
      </c>
      <c r="J115" s="36" t="s">
        <v>103</v>
      </c>
      <c r="K115" s="36" t="s">
        <v>139</v>
      </c>
      <c r="L115" s="45">
        <v>1</v>
      </c>
      <c r="M115" s="45">
        <v>69976</v>
      </c>
      <c r="N115" s="36" t="s">
        <v>58</v>
      </c>
      <c r="O115" s="45" t="s">
        <v>105</v>
      </c>
      <c r="P115" s="48">
        <v>64.709999999999994</v>
      </c>
      <c r="Q115" s="45"/>
      <c r="R115" s="48">
        <v>64.709999999999994</v>
      </c>
      <c r="S115" s="49">
        <v>46054</v>
      </c>
      <c r="T115" s="48">
        <v>9.7064999999999984</v>
      </c>
      <c r="U115" s="50">
        <v>4</v>
      </c>
      <c r="V115" s="48">
        <v>55.003499999999995</v>
      </c>
      <c r="W115" s="36" t="s">
        <v>48</v>
      </c>
      <c r="X115" s="36" t="s">
        <v>49</v>
      </c>
      <c r="Y115" s="36" t="s">
        <v>36</v>
      </c>
      <c r="Z115" s="36" t="s">
        <v>9</v>
      </c>
      <c r="AA115" s="36" t="s">
        <v>50</v>
      </c>
      <c r="AB115" s="36" t="s">
        <v>106</v>
      </c>
      <c r="AC115" s="36" t="s">
        <v>38</v>
      </c>
      <c r="AD115" s="51" t="s">
        <v>226</v>
      </c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2"/>
      <c r="AW115" s="52"/>
    </row>
    <row r="116" spans="1:49" ht="47.25" x14ac:dyDescent="0.25">
      <c r="A116" s="36" t="s">
        <v>79</v>
      </c>
      <c r="B116" s="38">
        <v>46069</v>
      </c>
      <c r="C116" s="38">
        <v>46069</v>
      </c>
      <c r="D116" s="36" t="s">
        <v>30</v>
      </c>
      <c r="E116" s="41">
        <v>0.54166666666666663</v>
      </c>
      <c r="F116" s="41">
        <v>0.66666666666666663</v>
      </c>
      <c r="G116" s="41">
        <v>1.7361111111111109E-4</v>
      </c>
      <c r="H116" s="36" t="s">
        <v>104</v>
      </c>
      <c r="I116" s="43">
        <v>0.65850694444444446</v>
      </c>
      <c r="J116" s="36" t="s">
        <v>103</v>
      </c>
      <c r="K116" s="36" t="s">
        <v>141</v>
      </c>
      <c r="L116" s="45">
        <v>1</v>
      </c>
      <c r="M116" s="45">
        <v>70033</v>
      </c>
      <c r="N116" s="36" t="s">
        <v>46</v>
      </c>
      <c r="O116" s="45" t="s">
        <v>105</v>
      </c>
      <c r="P116" s="48">
        <v>0</v>
      </c>
      <c r="Q116" s="45"/>
      <c r="R116" s="48">
        <v>0</v>
      </c>
      <c r="S116" s="49">
        <v>46054</v>
      </c>
      <c r="T116" s="48">
        <v>0</v>
      </c>
      <c r="U116" s="50">
        <v>4</v>
      </c>
      <c r="V116" s="48">
        <v>0</v>
      </c>
      <c r="W116" s="36" t="s">
        <v>48</v>
      </c>
      <c r="X116" s="36" t="s">
        <v>49</v>
      </c>
      <c r="Y116" s="36" t="s">
        <v>36</v>
      </c>
      <c r="Z116" s="36" t="s">
        <v>9</v>
      </c>
      <c r="AA116" s="36" t="s">
        <v>50</v>
      </c>
      <c r="AB116" s="36" t="s">
        <v>106</v>
      </c>
      <c r="AC116" s="36" t="s">
        <v>38</v>
      </c>
      <c r="AD116" s="51" t="s">
        <v>226</v>
      </c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</row>
    <row r="117" spans="1:49" ht="47.25" x14ac:dyDescent="0.25">
      <c r="A117" s="36" t="s">
        <v>79</v>
      </c>
      <c r="B117" s="38">
        <v>46069</v>
      </c>
      <c r="C117" s="38">
        <v>46069</v>
      </c>
      <c r="D117" s="36" t="s">
        <v>30</v>
      </c>
      <c r="E117" s="41">
        <v>0.5625</v>
      </c>
      <c r="F117" s="41">
        <v>0.58333333333333337</v>
      </c>
      <c r="G117" s="41">
        <v>1.7361111111111109E-4</v>
      </c>
      <c r="H117" s="36" t="s">
        <v>104</v>
      </c>
      <c r="I117" s="43">
        <v>0.58270833333333338</v>
      </c>
      <c r="J117" s="36" t="s">
        <v>103</v>
      </c>
      <c r="K117" s="36" t="s">
        <v>140</v>
      </c>
      <c r="L117" s="45">
        <v>1</v>
      </c>
      <c r="M117" s="45">
        <v>69977</v>
      </c>
      <c r="N117" s="36" t="s">
        <v>58</v>
      </c>
      <c r="O117" s="45" t="s">
        <v>105</v>
      </c>
      <c r="P117" s="48">
        <v>64.709999999999994</v>
      </c>
      <c r="Q117" s="45"/>
      <c r="R117" s="48">
        <v>64.709999999999994</v>
      </c>
      <c r="S117" s="49">
        <v>46054</v>
      </c>
      <c r="T117" s="48">
        <v>9.7064999999999984</v>
      </c>
      <c r="U117" s="50">
        <v>4</v>
      </c>
      <c r="V117" s="48">
        <v>55.003499999999995</v>
      </c>
      <c r="W117" s="36" t="s">
        <v>48</v>
      </c>
      <c r="X117" s="36" t="s">
        <v>49</v>
      </c>
      <c r="Y117" s="36" t="s">
        <v>36</v>
      </c>
      <c r="Z117" s="36" t="s">
        <v>9</v>
      </c>
      <c r="AA117" s="36" t="s">
        <v>50</v>
      </c>
      <c r="AB117" s="36" t="s">
        <v>106</v>
      </c>
      <c r="AC117" s="36" t="s">
        <v>38</v>
      </c>
      <c r="AD117" s="51" t="s">
        <v>226</v>
      </c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2"/>
      <c r="AW117" s="52"/>
    </row>
    <row r="118" spans="1:49" ht="47.25" x14ac:dyDescent="0.25">
      <c r="A118" s="36" t="s">
        <v>79</v>
      </c>
      <c r="B118" s="38">
        <v>46069</v>
      </c>
      <c r="C118" s="38">
        <v>46069</v>
      </c>
      <c r="D118" s="36" t="s">
        <v>30</v>
      </c>
      <c r="E118" s="41">
        <v>0.58333333333333337</v>
      </c>
      <c r="F118" s="41">
        <v>0.66666666666666663</v>
      </c>
      <c r="G118" s="41">
        <v>1.7361111111111109E-4</v>
      </c>
      <c r="H118" s="36" t="s">
        <v>107</v>
      </c>
      <c r="I118" s="43">
        <v>0.63840277777777776</v>
      </c>
      <c r="J118" s="36" t="s">
        <v>103</v>
      </c>
      <c r="K118" s="36" t="s">
        <v>141</v>
      </c>
      <c r="L118" s="45">
        <v>1</v>
      </c>
      <c r="M118" s="45">
        <v>69978</v>
      </c>
      <c r="N118" s="36" t="s">
        <v>58</v>
      </c>
      <c r="O118" s="45" t="s">
        <v>105</v>
      </c>
      <c r="P118" s="48">
        <v>64.709999999999994</v>
      </c>
      <c r="Q118" s="45"/>
      <c r="R118" s="48">
        <v>64.709999999999994</v>
      </c>
      <c r="S118" s="49">
        <v>46054</v>
      </c>
      <c r="T118" s="48">
        <v>9.7064999999999984</v>
      </c>
      <c r="U118" s="50">
        <v>4</v>
      </c>
      <c r="V118" s="48">
        <v>55.003499999999995</v>
      </c>
      <c r="W118" s="36" t="s">
        <v>48</v>
      </c>
      <c r="X118" s="36" t="s">
        <v>49</v>
      </c>
      <c r="Y118" s="36" t="s">
        <v>36</v>
      </c>
      <c r="Z118" s="36" t="s">
        <v>9</v>
      </c>
      <c r="AA118" s="36" t="s">
        <v>50</v>
      </c>
      <c r="AB118" s="36" t="s">
        <v>106</v>
      </c>
      <c r="AC118" s="36" t="s">
        <v>38</v>
      </c>
      <c r="AD118" s="51" t="s">
        <v>226</v>
      </c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</row>
    <row r="119" spans="1:49" ht="47.25" x14ac:dyDescent="0.25">
      <c r="A119" s="36" t="s">
        <v>79</v>
      </c>
      <c r="B119" s="38">
        <v>46070</v>
      </c>
      <c r="C119" s="38">
        <v>46070</v>
      </c>
      <c r="D119" s="36" t="s">
        <v>146</v>
      </c>
      <c r="E119" s="41">
        <v>0.45833333333333331</v>
      </c>
      <c r="F119" s="41">
        <v>0.47916666666666669</v>
      </c>
      <c r="G119" s="41">
        <v>1.7361111111111109E-4</v>
      </c>
      <c r="H119" s="36" t="s">
        <v>91</v>
      </c>
      <c r="I119" s="43">
        <v>0.46839120370370368</v>
      </c>
      <c r="J119" s="36" t="s">
        <v>81</v>
      </c>
      <c r="K119" s="36" t="s">
        <v>150</v>
      </c>
      <c r="L119" s="45">
        <v>1</v>
      </c>
      <c r="M119" s="45">
        <v>70008</v>
      </c>
      <c r="N119" s="36" t="s">
        <v>58</v>
      </c>
      <c r="O119" s="45" t="s">
        <v>82</v>
      </c>
      <c r="P119" s="48">
        <v>64.709999999999994</v>
      </c>
      <c r="Q119" s="45"/>
      <c r="R119" s="48">
        <v>64.709999999999994</v>
      </c>
      <c r="S119" s="49">
        <v>46054</v>
      </c>
      <c r="T119" s="48">
        <v>9.7064999999999984</v>
      </c>
      <c r="U119" s="50">
        <v>4</v>
      </c>
      <c r="V119" s="48">
        <v>55.003499999999995</v>
      </c>
      <c r="W119" s="36" t="s">
        <v>48</v>
      </c>
      <c r="X119" s="36" t="s">
        <v>49</v>
      </c>
      <c r="Y119" s="36" t="s">
        <v>36</v>
      </c>
      <c r="Z119" s="36" t="s">
        <v>9</v>
      </c>
      <c r="AA119" s="36" t="s">
        <v>50</v>
      </c>
      <c r="AB119" s="36" t="s">
        <v>83</v>
      </c>
      <c r="AC119" s="36" t="s">
        <v>38</v>
      </c>
      <c r="AD119" s="51" t="s">
        <v>226</v>
      </c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52"/>
      <c r="AQ119" s="52"/>
      <c r="AR119" s="52"/>
      <c r="AS119" s="52"/>
      <c r="AT119" s="52"/>
      <c r="AU119" s="52"/>
      <c r="AV119" s="52"/>
      <c r="AW119" s="52"/>
    </row>
    <row r="120" spans="1:49" ht="47.25" x14ac:dyDescent="0.2">
      <c r="A120" s="36" t="s">
        <v>79</v>
      </c>
      <c r="B120" s="38">
        <v>46070</v>
      </c>
      <c r="C120" s="38">
        <v>46070</v>
      </c>
      <c r="D120" s="36" t="s">
        <v>146</v>
      </c>
      <c r="E120" s="41">
        <v>0.45833333333333331</v>
      </c>
      <c r="F120" s="41">
        <v>0.54166666666666663</v>
      </c>
      <c r="G120" s="41">
        <v>1.7361111111111109E-4</v>
      </c>
      <c r="H120" s="36" t="s">
        <v>91</v>
      </c>
      <c r="I120" s="43">
        <v>0.51412037037037039</v>
      </c>
      <c r="J120" s="36" t="s">
        <v>81</v>
      </c>
      <c r="K120" s="36" t="s">
        <v>138</v>
      </c>
      <c r="L120" s="45">
        <v>1</v>
      </c>
      <c r="M120" s="45">
        <v>70037</v>
      </c>
      <c r="N120" s="36" t="s">
        <v>46</v>
      </c>
      <c r="O120" s="45" t="s">
        <v>82</v>
      </c>
      <c r="P120" s="48">
        <v>0</v>
      </c>
      <c r="Q120" s="45"/>
      <c r="R120" s="48">
        <v>0</v>
      </c>
      <c r="S120" s="49">
        <v>46054</v>
      </c>
      <c r="T120" s="48">
        <v>0</v>
      </c>
      <c r="U120" s="50">
        <v>4</v>
      </c>
      <c r="V120" s="48">
        <v>0</v>
      </c>
      <c r="W120" s="36" t="s">
        <v>48</v>
      </c>
      <c r="X120" s="36" t="s">
        <v>49</v>
      </c>
      <c r="Y120" s="36" t="s">
        <v>36</v>
      </c>
      <c r="Z120" s="36" t="s">
        <v>9</v>
      </c>
      <c r="AA120" s="36" t="s">
        <v>50</v>
      </c>
      <c r="AB120" s="36" t="s">
        <v>83</v>
      </c>
      <c r="AC120" s="36" t="s">
        <v>38</v>
      </c>
      <c r="AD120" s="51" t="s">
        <v>226</v>
      </c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</row>
    <row r="121" spans="1:49" ht="47.25" x14ac:dyDescent="0.2">
      <c r="A121" s="36" t="s">
        <v>79</v>
      </c>
      <c r="B121" s="38">
        <v>46070</v>
      </c>
      <c r="C121" s="38">
        <v>46070</v>
      </c>
      <c r="D121" s="36" t="s">
        <v>146</v>
      </c>
      <c r="E121" s="41">
        <v>0.47916666666666669</v>
      </c>
      <c r="F121" s="41">
        <v>0.5</v>
      </c>
      <c r="G121" s="41">
        <v>1.7361111111111109E-4</v>
      </c>
      <c r="H121" s="36" t="s">
        <v>80</v>
      </c>
      <c r="I121" s="43">
        <v>0.49832175925925926</v>
      </c>
      <c r="J121" s="36" t="s">
        <v>81</v>
      </c>
      <c r="K121" s="36" t="s">
        <v>137</v>
      </c>
      <c r="L121" s="45">
        <v>1</v>
      </c>
      <c r="M121" s="45">
        <v>70009</v>
      </c>
      <c r="N121" s="36" t="s">
        <v>58</v>
      </c>
      <c r="O121" s="45" t="s">
        <v>82</v>
      </c>
      <c r="P121" s="48">
        <v>64.709999999999994</v>
      </c>
      <c r="Q121" s="45"/>
      <c r="R121" s="48">
        <v>64.709999999999994</v>
      </c>
      <c r="S121" s="49">
        <v>46054</v>
      </c>
      <c r="T121" s="48">
        <v>9.7064999999999984</v>
      </c>
      <c r="U121" s="50">
        <v>4</v>
      </c>
      <c r="V121" s="48">
        <v>55.003499999999995</v>
      </c>
      <c r="W121" s="36" t="s">
        <v>48</v>
      </c>
      <c r="X121" s="36" t="s">
        <v>49</v>
      </c>
      <c r="Y121" s="36" t="s">
        <v>36</v>
      </c>
      <c r="Z121" s="36" t="s">
        <v>9</v>
      </c>
      <c r="AA121" s="36" t="s">
        <v>50</v>
      </c>
      <c r="AB121" s="36" t="s">
        <v>83</v>
      </c>
      <c r="AC121" s="36" t="s">
        <v>38</v>
      </c>
      <c r="AD121" s="51" t="s">
        <v>226</v>
      </c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</row>
    <row r="122" spans="1:49" ht="47.25" x14ac:dyDescent="0.2">
      <c r="A122" s="36" t="s">
        <v>79</v>
      </c>
      <c r="B122" s="38">
        <v>46070</v>
      </c>
      <c r="C122" s="38">
        <v>46070</v>
      </c>
      <c r="D122" s="36" t="s">
        <v>146</v>
      </c>
      <c r="E122" s="41">
        <v>0.5</v>
      </c>
      <c r="F122" s="41">
        <v>0.54166666666666663</v>
      </c>
      <c r="G122" s="41">
        <v>1.7361111111111109E-4</v>
      </c>
      <c r="H122" s="36" t="s">
        <v>80</v>
      </c>
      <c r="I122" s="43">
        <v>0.53706018518518517</v>
      </c>
      <c r="J122" s="36" t="s">
        <v>81</v>
      </c>
      <c r="K122" s="36" t="s">
        <v>138</v>
      </c>
      <c r="L122" s="45">
        <v>1</v>
      </c>
      <c r="M122" s="45">
        <v>70011</v>
      </c>
      <c r="N122" s="36" t="s">
        <v>58</v>
      </c>
      <c r="O122" s="45" t="s">
        <v>82</v>
      </c>
      <c r="P122" s="48">
        <v>64.709999999999994</v>
      </c>
      <c r="Q122" s="45"/>
      <c r="R122" s="48">
        <v>64.709999999999994</v>
      </c>
      <c r="S122" s="49">
        <v>46054</v>
      </c>
      <c r="T122" s="48">
        <v>9.7064999999999984</v>
      </c>
      <c r="U122" s="50">
        <v>4</v>
      </c>
      <c r="V122" s="48">
        <v>55.003499999999995</v>
      </c>
      <c r="W122" s="36" t="s">
        <v>48</v>
      </c>
      <c r="X122" s="36" t="s">
        <v>49</v>
      </c>
      <c r="Y122" s="36" t="s">
        <v>36</v>
      </c>
      <c r="Z122" s="36" t="s">
        <v>9</v>
      </c>
      <c r="AA122" s="36" t="s">
        <v>50</v>
      </c>
      <c r="AB122" s="36" t="s">
        <v>83</v>
      </c>
      <c r="AC122" s="36" t="s">
        <v>38</v>
      </c>
      <c r="AD122" s="51" t="s">
        <v>226</v>
      </c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</row>
    <row r="123" spans="1:49" ht="47.25" x14ac:dyDescent="0.25">
      <c r="A123" s="36" t="s">
        <v>79</v>
      </c>
      <c r="B123" s="38">
        <v>46070</v>
      </c>
      <c r="C123" s="38">
        <v>46070</v>
      </c>
      <c r="D123" s="36" t="s">
        <v>146</v>
      </c>
      <c r="E123" s="41">
        <v>0.54166666666666663</v>
      </c>
      <c r="F123" s="41">
        <v>0.5625</v>
      </c>
      <c r="G123" s="41">
        <v>1.7361111111111109E-4</v>
      </c>
      <c r="H123" s="36" t="s">
        <v>107</v>
      </c>
      <c r="I123" s="43">
        <v>0.55462962962962958</v>
      </c>
      <c r="J123" s="36" t="s">
        <v>103</v>
      </c>
      <c r="K123" s="36" t="s">
        <v>139</v>
      </c>
      <c r="L123" s="45">
        <v>1</v>
      </c>
      <c r="M123" s="45">
        <v>69976</v>
      </c>
      <c r="N123" s="36" t="s">
        <v>58</v>
      </c>
      <c r="O123" s="45" t="s">
        <v>105</v>
      </c>
      <c r="P123" s="48">
        <v>64.709999999999994</v>
      </c>
      <c r="Q123" s="45"/>
      <c r="R123" s="48">
        <v>64.709999999999994</v>
      </c>
      <c r="S123" s="49">
        <v>46054</v>
      </c>
      <c r="T123" s="48">
        <v>9.7064999999999984</v>
      </c>
      <c r="U123" s="50">
        <v>4</v>
      </c>
      <c r="V123" s="48">
        <v>55.003499999999995</v>
      </c>
      <c r="W123" s="36" t="s">
        <v>48</v>
      </c>
      <c r="X123" s="36" t="s">
        <v>49</v>
      </c>
      <c r="Y123" s="36" t="s">
        <v>36</v>
      </c>
      <c r="Z123" s="36" t="s">
        <v>9</v>
      </c>
      <c r="AA123" s="36" t="s">
        <v>50</v>
      </c>
      <c r="AB123" s="36" t="s">
        <v>106</v>
      </c>
      <c r="AC123" s="36" t="s">
        <v>38</v>
      </c>
      <c r="AD123" s="51" t="s">
        <v>226</v>
      </c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  <c r="AQ123" s="52"/>
      <c r="AR123" s="52"/>
      <c r="AS123" s="52"/>
      <c r="AT123" s="52"/>
      <c r="AU123" s="52"/>
      <c r="AV123" s="52"/>
      <c r="AW123" s="52"/>
    </row>
    <row r="124" spans="1:49" ht="47.25" x14ac:dyDescent="0.25">
      <c r="A124" s="36" t="s">
        <v>79</v>
      </c>
      <c r="B124" s="38">
        <v>46070</v>
      </c>
      <c r="C124" s="38">
        <v>46070</v>
      </c>
      <c r="D124" s="36" t="s">
        <v>146</v>
      </c>
      <c r="E124" s="41">
        <v>0.54166666666666663</v>
      </c>
      <c r="F124" s="41">
        <v>0.66666666666666663</v>
      </c>
      <c r="G124" s="41">
        <v>1.7361111111111109E-4</v>
      </c>
      <c r="H124" s="36" t="s">
        <v>107</v>
      </c>
      <c r="I124" s="43">
        <v>0.60013888888888889</v>
      </c>
      <c r="J124" s="36" t="s">
        <v>103</v>
      </c>
      <c r="K124" s="36" t="s">
        <v>141</v>
      </c>
      <c r="L124" s="45">
        <v>1</v>
      </c>
      <c r="M124" s="45">
        <v>70033</v>
      </c>
      <c r="N124" s="36" t="s">
        <v>46</v>
      </c>
      <c r="O124" s="45" t="s">
        <v>105</v>
      </c>
      <c r="P124" s="48">
        <v>0</v>
      </c>
      <c r="Q124" s="45"/>
      <c r="R124" s="48">
        <v>0</v>
      </c>
      <c r="S124" s="49">
        <v>46054</v>
      </c>
      <c r="T124" s="48">
        <v>0</v>
      </c>
      <c r="U124" s="50">
        <v>4</v>
      </c>
      <c r="V124" s="48">
        <v>0</v>
      </c>
      <c r="W124" s="36" t="s">
        <v>48</v>
      </c>
      <c r="X124" s="36" t="s">
        <v>49</v>
      </c>
      <c r="Y124" s="36" t="s">
        <v>36</v>
      </c>
      <c r="Z124" s="36" t="s">
        <v>9</v>
      </c>
      <c r="AA124" s="36" t="s">
        <v>50</v>
      </c>
      <c r="AB124" s="36" t="s">
        <v>106</v>
      </c>
      <c r="AC124" s="36" t="s">
        <v>38</v>
      </c>
      <c r="AD124" s="51" t="s">
        <v>226</v>
      </c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  <c r="AQ124" s="52"/>
      <c r="AR124" s="52"/>
      <c r="AS124" s="52"/>
      <c r="AT124" s="52"/>
      <c r="AU124" s="52"/>
      <c r="AV124" s="52"/>
      <c r="AW124" s="52"/>
    </row>
    <row r="125" spans="1:49" ht="47.25" x14ac:dyDescent="0.25">
      <c r="A125" s="36" t="s">
        <v>79</v>
      </c>
      <c r="B125" s="38">
        <v>46070</v>
      </c>
      <c r="C125" s="38">
        <v>46070</v>
      </c>
      <c r="D125" s="36" t="s">
        <v>146</v>
      </c>
      <c r="E125" s="41">
        <v>0.5625</v>
      </c>
      <c r="F125" s="41">
        <v>0.58333333333333337</v>
      </c>
      <c r="G125" s="41">
        <v>1.7361111111111109E-4</v>
      </c>
      <c r="H125" s="36" t="s">
        <v>104</v>
      </c>
      <c r="I125" s="43">
        <v>0.58233796296296292</v>
      </c>
      <c r="J125" s="36" t="s">
        <v>103</v>
      </c>
      <c r="K125" s="36" t="s">
        <v>140</v>
      </c>
      <c r="L125" s="45">
        <v>1</v>
      </c>
      <c r="M125" s="45">
        <v>69977</v>
      </c>
      <c r="N125" s="36" t="s">
        <v>58</v>
      </c>
      <c r="O125" s="45" t="s">
        <v>105</v>
      </c>
      <c r="P125" s="48">
        <v>64.709999999999994</v>
      </c>
      <c r="Q125" s="45"/>
      <c r="R125" s="48">
        <v>64.709999999999994</v>
      </c>
      <c r="S125" s="49">
        <v>46054</v>
      </c>
      <c r="T125" s="48">
        <v>9.7064999999999984</v>
      </c>
      <c r="U125" s="50">
        <v>4</v>
      </c>
      <c r="V125" s="48">
        <v>55.003499999999995</v>
      </c>
      <c r="W125" s="36" t="s">
        <v>48</v>
      </c>
      <c r="X125" s="36" t="s">
        <v>49</v>
      </c>
      <c r="Y125" s="36" t="s">
        <v>36</v>
      </c>
      <c r="Z125" s="36" t="s">
        <v>9</v>
      </c>
      <c r="AA125" s="36" t="s">
        <v>50</v>
      </c>
      <c r="AB125" s="36" t="s">
        <v>106</v>
      </c>
      <c r="AC125" s="36" t="s">
        <v>38</v>
      </c>
      <c r="AD125" s="51" t="s">
        <v>226</v>
      </c>
      <c r="AE125" s="52"/>
      <c r="AF125" s="52"/>
      <c r="AG125" s="52"/>
      <c r="AH125" s="52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</row>
    <row r="126" spans="1:49" ht="47.25" x14ac:dyDescent="0.25">
      <c r="A126" s="36" t="s">
        <v>79</v>
      </c>
      <c r="B126" s="38">
        <v>46070</v>
      </c>
      <c r="C126" s="38">
        <v>46070</v>
      </c>
      <c r="D126" s="36" t="s">
        <v>146</v>
      </c>
      <c r="E126" s="41">
        <v>0.58333333333333337</v>
      </c>
      <c r="F126" s="41">
        <v>0.66666666666666663</v>
      </c>
      <c r="G126" s="41">
        <v>1.7361111111111109E-4</v>
      </c>
      <c r="H126" s="36" t="s">
        <v>104</v>
      </c>
      <c r="I126" s="43">
        <v>0.65613425925925928</v>
      </c>
      <c r="J126" s="36" t="s">
        <v>103</v>
      </c>
      <c r="K126" s="36" t="s">
        <v>141</v>
      </c>
      <c r="L126" s="45">
        <v>1</v>
      </c>
      <c r="M126" s="45">
        <v>69978</v>
      </c>
      <c r="N126" s="36" t="s">
        <v>58</v>
      </c>
      <c r="O126" s="45" t="s">
        <v>105</v>
      </c>
      <c r="P126" s="48">
        <v>64.709999999999994</v>
      </c>
      <c r="Q126" s="45"/>
      <c r="R126" s="48">
        <v>64.709999999999994</v>
      </c>
      <c r="S126" s="49">
        <v>46054</v>
      </c>
      <c r="T126" s="48">
        <v>9.7064999999999984</v>
      </c>
      <c r="U126" s="50">
        <v>4</v>
      </c>
      <c r="V126" s="48">
        <v>55.003499999999995</v>
      </c>
      <c r="W126" s="36" t="s">
        <v>48</v>
      </c>
      <c r="X126" s="36" t="s">
        <v>49</v>
      </c>
      <c r="Y126" s="36" t="s">
        <v>36</v>
      </c>
      <c r="Z126" s="36" t="s">
        <v>9</v>
      </c>
      <c r="AA126" s="36" t="s">
        <v>50</v>
      </c>
      <c r="AB126" s="36" t="s">
        <v>106</v>
      </c>
      <c r="AC126" s="36" t="s">
        <v>38</v>
      </c>
      <c r="AD126" s="51" t="s">
        <v>226</v>
      </c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52"/>
      <c r="AQ126" s="52"/>
      <c r="AR126" s="52"/>
      <c r="AS126" s="52"/>
      <c r="AT126" s="52"/>
      <c r="AU126" s="52"/>
      <c r="AV126" s="52"/>
      <c r="AW126" s="52"/>
    </row>
    <row r="127" spans="1:49" ht="47.25" x14ac:dyDescent="0.2">
      <c r="A127" s="36" t="s">
        <v>79</v>
      </c>
      <c r="B127" s="38">
        <v>46071</v>
      </c>
      <c r="C127" s="38">
        <v>46071</v>
      </c>
      <c r="D127" s="36" t="s">
        <v>164</v>
      </c>
      <c r="E127" s="41">
        <v>0.45833333333333331</v>
      </c>
      <c r="F127" s="41">
        <v>0.54166666666666663</v>
      </c>
      <c r="G127" s="41">
        <v>1.7361111111111109E-4</v>
      </c>
      <c r="H127" s="36" t="s">
        <v>91</v>
      </c>
      <c r="I127" s="43">
        <v>0.46451388888888889</v>
      </c>
      <c r="J127" s="36" t="s">
        <v>81</v>
      </c>
      <c r="K127" s="36" t="s">
        <v>150</v>
      </c>
      <c r="L127" s="45">
        <v>1</v>
      </c>
      <c r="M127" s="45">
        <v>70037</v>
      </c>
      <c r="N127" s="36" t="s">
        <v>46</v>
      </c>
      <c r="O127" s="45" t="s">
        <v>82</v>
      </c>
      <c r="P127" s="48">
        <v>0</v>
      </c>
      <c r="Q127" s="45"/>
      <c r="R127" s="48">
        <v>0</v>
      </c>
      <c r="S127" s="49">
        <v>46054</v>
      </c>
      <c r="T127" s="48">
        <v>0</v>
      </c>
      <c r="U127" s="50">
        <v>4</v>
      </c>
      <c r="V127" s="48">
        <v>0</v>
      </c>
      <c r="W127" s="36" t="s">
        <v>48</v>
      </c>
      <c r="X127" s="36" t="s">
        <v>49</v>
      </c>
      <c r="Y127" s="36" t="s">
        <v>36</v>
      </c>
      <c r="Z127" s="36" t="s">
        <v>9</v>
      </c>
      <c r="AA127" s="36" t="s">
        <v>50</v>
      </c>
      <c r="AB127" s="36" t="s">
        <v>83</v>
      </c>
      <c r="AC127" s="36" t="s">
        <v>38</v>
      </c>
      <c r="AD127" s="51" t="s">
        <v>226</v>
      </c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</row>
    <row r="128" spans="1:49" ht="47.25" x14ac:dyDescent="0.2">
      <c r="A128" s="36" t="s">
        <v>79</v>
      </c>
      <c r="B128" s="38">
        <v>46071</v>
      </c>
      <c r="C128" s="38">
        <v>46071</v>
      </c>
      <c r="D128" s="36" t="s">
        <v>164</v>
      </c>
      <c r="E128" s="41">
        <v>0.45833333333333331</v>
      </c>
      <c r="F128" s="41">
        <v>0.47916666666666669</v>
      </c>
      <c r="G128" s="41">
        <v>1.7361111111111109E-4</v>
      </c>
      <c r="H128" s="36" t="s">
        <v>80</v>
      </c>
      <c r="I128" s="43">
        <v>0.4778587962962963</v>
      </c>
      <c r="J128" s="36" t="s">
        <v>81</v>
      </c>
      <c r="K128" s="36" t="s">
        <v>150</v>
      </c>
      <c r="L128" s="45">
        <v>1</v>
      </c>
      <c r="M128" s="45">
        <v>70008</v>
      </c>
      <c r="N128" s="36" t="s">
        <v>58</v>
      </c>
      <c r="O128" s="45" t="s">
        <v>82</v>
      </c>
      <c r="P128" s="48">
        <v>64.709999999999994</v>
      </c>
      <c r="Q128" s="45"/>
      <c r="R128" s="48">
        <v>64.709999999999994</v>
      </c>
      <c r="S128" s="49">
        <v>46054</v>
      </c>
      <c r="T128" s="48">
        <v>9.7064999999999984</v>
      </c>
      <c r="U128" s="50">
        <v>4</v>
      </c>
      <c r="V128" s="48">
        <v>55.003499999999995</v>
      </c>
      <c r="W128" s="36" t="s">
        <v>48</v>
      </c>
      <c r="X128" s="36" t="s">
        <v>49</v>
      </c>
      <c r="Y128" s="36" t="s">
        <v>36</v>
      </c>
      <c r="Z128" s="36" t="s">
        <v>9</v>
      </c>
      <c r="AA128" s="36" t="s">
        <v>50</v>
      </c>
      <c r="AB128" s="36" t="s">
        <v>83</v>
      </c>
      <c r="AC128" s="36" t="s">
        <v>38</v>
      </c>
      <c r="AD128" s="51" t="s">
        <v>226</v>
      </c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</row>
    <row r="129" spans="1:49" ht="47.25" x14ac:dyDescent="0.2">
      <c r="A129" s="36" t="s">
        <v>79</v>
      </c>
      <c r="B129" s="38">
        <v>46071</v>
      </c>
      <c r="C129" s="38">
        <v>46071</v>
      </c>
      <c r="D129" s="36" t="s">
        <v>164</v>
      </c>
      <c r="E129" s="41">
        <v>0.5</v>
      </c>
      <c r="F129" s="41">
        <v>0.54166666666666663</v>
      </c>
      <c r="G129" s="41">
        <v>1.7361111111111109E-4</v>
      </c>
      <c r="H129" s="36" t="s">
        <v>91</v>
      </c>
      <c r="I129" s="43">
        <v>0.52908564814814818</v>
      </c>
      <c r="J129" s="36" t="s">
        <v>81</v>
      </c>
      <c r="K129" s="36" t="s">
        <v>138</v>
      </c>
      <c r="L129" s="45">
        <v>1</v>
      </c>
      <c r="M129" s="45">
        <v>70011</v>
      </c>
      <c r="N129" s="36" t="s">
        <v>58</v>
      </c>
      <c r="O129" s="45" t="s">
        <v>82</v>
      </c>
      <c r="P129" s="48">
        <v>64.709999999999994</v>
      </c>
      <c r="Q129" s="45"/>
      <c r="R129" s="48">
        <v>64.709999999999994</v>
      </c>
      <c r="S129" s="49">
        <v>46054</v>
      </c>
      <c r="T129" s="48">
        <v>9.7064999999999984</v>
      </c>
      <c r="U129" s="50">
        <v>4</v>
      </c>
      <c r="V129" s="48">
        <v>55.003499999999995</v>
      </c>
      <c r="W129" s="36" t="s">
        <v>48</v>
      </c>
      <c r="X129" s="36" t="s">
        <v>49</v>
      </c>
      <c r="Y129" s="36" t="s">
        <v>36</v>
      </c>
      <c r="Z129" s="36" t="s">
        <v>9</v>
      </c>
      <c r="AA129" s="36" t="s">
        <v>50</v>
      </c>
      <c r="AB129" s="36" t="s">
        <v>83</v>
      </c>
      <c r="AC129" s="36" t="s">
        <v>38</v>
      </c>
      <c r="AD129" s="51" t="s">
        <v>226</v>
      </c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</row>
    <row r="130" spans="1:49" ht="47.25" x14ac:dyDescent="0.25">
      <c r="A130" s="36" t="s">
        <v>79</v>
      </c>
      <c r="B130" s="38">
        <v>46071</v>
      </c>
      <c r="C130" s="38">
        <v>46071</v>
      </c>
      <c r="D130" s="36" t="s">
        <v>164</v>
      </c>
      <c r="E130" s="41">
        <v>0.54166666666666663</v>
      </c>
      <c r="F130" s="41">
        <v>0.5625</v>
      </c>
      <c r="G130" s="41">
        <v>1.7361111111111109E-4</v>
      </c>
      <c r="H130" s="36" t="s">
        <v>107</v>
      </c>
      <c r="I130" s="43">
        <v>0.54748842592592595</v>
      </c>
      <c r="J130" s="36" t="s">
        <v>103</v>
      </c>
      <c r="K130" s="36" t="s">
        <v>139</v>
      </c>
      <c r="L130" s="45">
        <v>1</v>
      </c>
      <c r="M130" s="45">
        <v>69976</v>
      </c>
      <c r="N130" s="36" t="s">
        <v>58</v>
      </c>
      <c r="O130" s="45" t="s">
        <v>105</v>
      </c>
      <c r="P130" s="48">
        <v>64.709999999999994</v>
      </c>
      <c r="Q130" s="45"/>
      <c r="R130" s="48">
        <v>64.709999999999994</v>
      </c>
      <c r="S130" s="49">
        <v>46054</v>
      </c>
      <c r="T130" s="48">
        <v>9.7064999999999984</v>
      </c>
      <c r="U130" s="50">
        <v>4</v>
      </c>
      <c r="V130" s="48">
        <v>55.003499999999995</v>
      </c>
      <c r="W130" s="36" t="s">
        <v>48</v>
      </c>
      <c r="X130" s="36" t="s">
        <v>49</v>
      </c>
      <c r="Y130" s="36" t="s">
        <v>36</v>
      </c>
      <c r="Z130" s="36" t="s">
        <v>9</v>
      </c>
      <c r="AA130" s="36" t="s">
        <v>50</v>
      </c>
      <c r="AB130" s="36" t="s">
        <v>106</v>
      </c>
      <c r="AC130" s="36" t="s">
        <v>38</v>
      </c>
      <c r="AD130" s="51" t="s">
        <v>226</v>
      </c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</row>
    <row r="131" spans="1:49" ht="47.25" x14ac:dyDescent="0.25">
      <c r="A131" s="36" t="s">
        <v>79</v>
      </c>
      <c r="B131" s="38">
        <v>46071</v>
      </c>
      <c r="C131" s="38">
        <v>46071</v>
      </c>
      <c r="D131" s="36" t="s">
        <v>164</v>
      </c>
      <c r="E131" s="41">
        <v>0.54166666666666663</v>
      </c>
      <c r="F131" s="41">
        <v>0.66666666666666663</v>
      </c>
      <c r="G131" s="41">
        <v>1.7361111111111109E-4</v>
      </c>
      <c r="H131" s="36" t="s">
        <v>107</v>
      </c>
      <c r="I131" s="43">
        <v>0.60871527777777779</v>
      </c>
      <c r="J131" s="36" t="s">
        <v>103</v>
      </c>
      <c r="K131" s="36" t="s">
        <v>141</v>
      </c>
      <c r="L131" s="45">
        <v>1</v>
      </c>
      <c r="M131" s="45">
        <v>70033</v>
      </c>
      <c r="N131" s="36" t="s">
        <v>46</v>
      </c>
      <c r="O131" s="45" t="s">
        <v>105</v>
      </c>
      <c r="P131" s="48">
        <v>0</v>
      </c>
      <c r="Q131" s="45"/>
      <c r="R131" s="48">
        <v>0</v>
      </c>
      <c r="S131" s="49">
        <v>46054</v>
      </c>
      <c r="T131" s="48">
        <v>0</v>
      </c>
      <c r="U131" s="50">
        <v>4</v>
      </c>
      <c r="V131" s="48">
        <v>0</v>
      </c>
      <c r="W131" s="36" t="s">
        <v>48</v>
      </c>
      <c r="X131" s="36" t="s">
        <v>49</v>
      </c>
      <c r="Y131" s="36" t="s">
        <v>36</v>
      </c>
      <c r="Z131" s="36" t="s">
        <v>9</v>
      </c>
      <c r="AA131" s="36" t="s">
        <v>50</v>
      </c>
      <c r="AB131" s="36" t="s">
        <v>106</v>
      </c>
      <c r="AC131" s="36" t="s">
        <v>38</v>
      </c>
      <c r="AD131" s="51" t="s">
        <v>226</v>
      </c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2"/>
      <c r="AW131" s="52"/>
    </row>
    <row r="132" spans="1:49" ht="47.25" x14ac:dyDescent="0.25">
      <c r="A132" s="36" t="s">
        <v>79</v>
      </c>
      <c r="B132" s="38">
        <v>46071</v>
      </c>
      <c r="C132" s="38">
        <v>46071</v>
      </c>
      <c r="D132" s="36" t="s">
        <v>164</v>
      </c>
      <c r="E132" s="41">
        <v>0.5625</v>
      </c>
      <c r="F132" s="41">
        <v>0.58333333333333337</v>
      </c>
      <c r="G132" s="41">
        <v>1.7361111111111109E-4</v>
      </c>
      <c r="H132" s="36" t="s">
        <v>104</v>
      </c>
      <c r="I132" s="43">
        <v>0.57626157407407408</v>
      </c>
      <c r="J132" s="36" t="s">
        <v>103</v>
      </c>
      <c r="K132" s="36" t="s">
        <v>140</v>
      </c>
      <c r="L132" s="45">
        <v>1</v>
      </c>
      <c r="M132" s="45">
        <v>69977</v>
      </c>
      <c r="N132" s="36" t="s">
        <v>58</v>
      </c>
      <c r="O132" s="45" t="s">
        <v>105</v>
      </c>
      <c r="P132" s="48">
        <v>64.709999999999994</v>
      </c>
      <c r="Q132" s="45"/>
      <c r="R132" s="48">
        <v>64.709999999999994</v>
      </c>
      <c r="S132" s="49">
        <v>46054</v>
      </c>
      <c r="T132" s="48">
        <v>9.7064999999999984</v>
      </c>
      <c r="U132" s="50">
        <v>4</v>
      </c>
      <c r="V132" s="48">
        <v>55.003499999999995</v>
      </c>
      <c r="W132" s="36" t="s">
        <v>48</v>
      </c>
      <c r="X132" s="36" t="s">
        <v>49</v>
      </c>
      <c r="Y132" s="36" t="s">
        <v>36</v>
      </c>
      <c r="Z132" s="36" t="s">
        <v>9</v>
      </c>
      <c r="AA132" s="36" t="s">
        <v>50</v>
      </c>
      <c r="AB132" s="36" t="s">
        <v>106</v>
      </c>
      <c r="AC132" s="36" t="s">
        <v>38</v>
      </c>
      <c r="AD132" s="51" t="s">
        <v>226</v>
      </c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2"/>
      <c r="AW132" s="52"/>
    </row>
    <row r="133" spans="1:49" ht="47.25" x14ac:dyDescent="0.25">
      <c r="A133" s="36" t="s">
        <v>79</v>
      </c>
      <c r="B133" s="38">
        <v>46071</v>
      </c>
      <c r="C133" s="38">
        <v>46071</v>
      </c>
      <c r="D133" s="36" t="s">
        <v>164</v>
      </c>
      <c r="E133" s="41">
        <v>0.58333333333333337</v>
      </c>
      <c r="F133" s="41">
        <v>0.66666666666666663</v>
      </c>
      <c r="G133" s="41">
        <v>1.7361111111111109E-4</v>
      </c>
      <c r="H133" s="36" t="s">
        <v>104</v>
      </c>
      <c r="I133" s="43">
        <v>0.61793981481481486</v>
      </c>
      <c r="J133" s="36" t="s">
        <v>103</v>
      </c>
      <c r="K133" s="36" t="s">
        <v>141</v>
      </c>
      <c r="L133" s="45">
        <v>1</v>
      </c>
      <c r="M133" s="45">
        <v>69978</v>
      </c>
      <c r="N133" s="36" t="s">
        <v>58</v>
      </c>
      <c r="O133" s="45" t="s">
        <v>105</v>
      </c>
      <c r="P133" s="48">
        <v>64.709999999999994</v>
      </c>
      <c r="Q133" s="45"/>
      <c r="R133" s="48">
        <v>64.709999999999994</v>
      </c>
      <c r="S133" s="49">
        <v>46054</v>
      </c>
      <c r="T133" s="48">
        <v>9.7064999999999984</v>
      </c>
      <c r="U133" s="50">
        <v>4</v>
      </c>
      <c r="V133" s="48">
        <v>55.003499999999995</v>
      </c>
      <c r="W133" s="36" t="s">
        <v>48</v>
      </c>
      <c r="X133" s="36" t="s">
        <v>49</v>
      </c>
      <c r="Y133" s="36" t="s">
        <v>36</v>
      </c>
      <c r="Z133" s="36" t="s">
        <v>9</v>
      </c>
      <c r="AA133" s="36" t="s">
        <v>50</v>
      </c>
      <c r="AB133" s="36" t="s">
        <v>106</v>
      </c>
      <c r="AC133" s="36" t="s">
        <v>38</v>
      </c>
      <c r="AD133" s="51" t="s">
        <v>226</v>
      </c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</row>
    <row r="134" spans="1:49" ht="47.25" x14ac:dyDescent="0.2">
      <c r="A134" s="36" t="s">
        <v>79</v>
      </c>
      <c r="B134" s="38">
        <v>46072</v>
      </c>
      <c r="C134" s="38">
        <v>46072</v>
      </c>
      <c r="D134" s="36" t="s">
        <v>177</v>
      </c>
      <c r="E134" s="41">
        <v>0.45833333333333331</v>
      </c>
      <c r="F134" s="41">
        <v>0.47916666666666669</v>
      </c>
      <c r="G134" s="41">
        <v>1.7361111111111109E-4</v>
      </c>
      <c r="H134" s="36" t="s">
        <v>80</v>
      </c>
      <c r="I134" s="43">
        <v>0.47280092592592593</v>
      </c>
      <c r="J134" s="36" t="s">
        <v>81</v>
      </c>
      <c r="K134" s="36" t="s">
        <v>150</v>
      </c>
      <c r="L134" s="45">
        <v>1</v>
      </c>
      <c r="M134" s="45">
        <v>70008</v>
      </c>
      <c r="N134" s="36" t="s">
        <v>58</v>
      </c>
      <c r="O134" s="45" t="s">
        <v>82</v>
      </c>
      <c r="P134" s="48">
        <v>64.709999999999994</v>
      </c>
      <c r="Q134" s="45"/>
      <c r="R134" s="48">
        <v>64.709999999999994</v>
      </c>
      <c r="S134" s="49">
        <v>46054</v>
      </c>
      <c r="T134" s="48">
        <v>9.7064999999999984</v>
      </c>
      <c r="U134" s="50">
        <v>4</v>
      </c>
      <c r="V134" s="48">
        <v>55.003499999999995</v>
      </c>
      <c r="W134" s="36" t="s">
        <v>48</v>
      </c>
      <c r="X134" s="36" t="s">
        <v>49</v>
      </c>
      <c r="Y134" s="36" t="s">
        <v>36</v>
      </c>
      <c r="Z134" s="36" t="s">
        <v>9</v>
      </c>
      <c r="AA134" s="36" t="s">
        <v>50</v>
      </c>
      <c r="AB134" s="36" t="s">
        <v>83</v>
      </c>
      <c r="AC134" s="36" t="s">
        <v>38</v>
      </c>
      <c r="AD134" s="51" t="s">
        <v>226</v>
      </c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</row>
    <row r="135" spans="1:49" ht="47.25" x14ac:dyDescent="0.25">
      <c r="A135" s="36" t="s">
        <v>79</v>
      </c>
      <c r="B135" s="38">
        <v>46072</v>
      </c>
      <c r="C135" s="38">
        <v>46072</v>
      </c>
      <c r="D135" s="36" t="s">
        <v>177</v>
      </c>
      <c r="E135" s="41">
        <v>0.45833333333333331</v>
      </c>
      <c r="F135" s="41">
        <v>0.54166666666666663</v>
      </c>
      <c r="G135" s="41">
        <v>1.7361111111111109E-4</v>
      </c>
      <c r="H135" s="36" t="s">
        <v>80</v>
      </c>
      <c r="I135" s="43">
        <v>0.52077546296296295</v>
      </c>
      <c r="J135" s="36" t="s">
        <v>81</v>
      </c>
      <c r="K135" s="36" t="s">
        <v>138</v>
      </c>
      <c r="L135" s="45">
        <v>1</v>
      </c>
      <c r="M135" s="45">
        <v>70037</v>
      </c>
      <c r="N135" s="36" t="s">
        <v>46</v>
      </c>
      <c r="O135" s="45" t="s">
        <v>82</v>
      </c>
      <c r="P135" s="48">
        <v>0</v>
      </c>
      <c r="Q135" s="45"/>
      <c r="R135" s="48">
        <v>0</v>
      </c>
      <c r="S135" s="49">
        <v>46054</v>
      </c>
      <c r="T135" s="48">
        <v>0</v>
      </c>
      <c r="U135" s="50">
        <v>4</v>
      </c>
      <c r="V135" s="48">
        <v>0</v>
      </c>
      <c r="W135" s="36" t="s">
        <v>48</v>
      </c>
      <c r="X135" s="36" t="s">
        <v>49</v>
      </c>
      <c r="Y135" s="36" t="s">
        <v>36</v>
      </c>
      <c r="Z135" s="36" t="s">
        <v>9</v>
      </c>
      <c r="AA135" s="36" t="s">
        <v>50</v>
      </c>
      <c r="AB135" s="36" t="s">
        <v>83</v>
      </c>
      <c r="AC135" s="36" t="s">
        <v>38</v>
      </c>
      <c r="AD135" s="51" t="s">
        <v>226</v>
      </c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</row>
    <row r="136" spans="1:49" ht="47.25" x14ac:dyDescent="0.2">
      <c r="A136" s="36" t="s">
        <v>79</v>
      </c>
      <c r="B136" s="38">
        <v>46072</v>
      </c>
      <c r="C136" s="38">
        <v>46072</v>
      </c>
      <c r="D136" s="36" t="s">
        <v>177</v>
      </c>
      <c r="E136" s="41">
        <v>0.47916666666666669</v>
      </c>
      <c r="F136" s="41">
        <v>0.5</v>
      </c>
      <c r="G136" s="41">
        <v>1.7361111111111109E-4</v>
      </c>
      <c r="H136" s="36" t="s">
        <v>91</v>
      </c>
      <c r="I136" s="43">
        <v>0.49756944444444445</v>
      </c>
      <c r="J136" s="36" t="s">
        <v>81</v>
      </c>
      <c r="K136" s="36" t="s">
        <v>137</v>
      </c>
      <c r="L136" s="45">
        <v>1</v>
      </c>
      <c r="M136" s="45">
        <v>70009</v>
      </c>
      <c r="N136" s="36" t="s">
        <v>58</v>
      </c>
      <c r="O136" s="45" t="s">
        <v>82</v>
      </c>
      <c r="P136" s="48">
        <v>64.709999999999994</v>
      </c>
      <c r="Q136" s="45"/>
      <c r="R136" s="48">
        <v>64.709999999999994</v>
      </c>
      <c r="S136" s="49">
        <v>46054</v>
      </c>
      <c r="T136" s="48">
        <v>9.7064999999999984</v>
      </c>
      <c r="U136" s="50">
        <v>4</v>
      </c>
      <c r="V136" s="48">
        <v>55.003499999999995</v>
      </c>
      <c r="W136" s="36" t="s">
        <v>48</v>
      </c>
      <c r="X136" s="36" t="s">
        <v>49</v>
      </c>
      <c r="Y136" s="36" t="s">
        <v>36</v>
      </c>
      <c r="Z136" s="36" t="s">
        <v>9</v>
      </c>
      <c r="AA136" s="36" t="s">
        <v>50</v>
      </c>
      <c r="AB136" s="36" t="s">
        <v>83</v>
      </c>
      <c r="AC136" s="36" t="s">
        <v>38</v>
      </c>
      <c r="AD136" s="51" t="s">
        <v>226</v>
      </c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</row>
    <row r="137" spans="1:49" ht="47.25" x14ac:dyDescent="0.25">
      <c r="A137" s="36" t="s">
        <v>79</v>
      </c>
      <c r="B137" s="38">
        <v>46072</v>
      </c>
      <c r="C137" s="38">
        <v>46072</v>
      </c>
      <c r="D137" s="36" t="s">
        <v>177</v>
      </c>
      <c r="E137" s="41">
        <v>0.5</v>
      </c>
      <c r="F137" s="41">
        <v>0.54166666666666663</v>
      </c>
      <c r="G137" s="41">
        <v>1.7361111111111109E-4</v>
      </c>
      <c r="H137" s="36" t="s">
        <v>91</v>
      </c>
      <c r="I137" s="43">
        <v>0.53221064814814811</v>
      </c>
      <c r="J137" s="36" t="s">
        <v>81</v>
      </c>
      <c r="K137" s="36" t="s">
        <v>138</v>
      </c>
      <c r="L137" s="45">
        <v>1</v>
      </c>
      <c r="M137" s="45">
        <v>70011</v>
      </c>
      <c r="N137" s="36" t="s">
        <v>58</v>
      </c>
      <c r="O137" s="45" t="s">
        <v>82</v>
      </c>
      <c r="P137" s="48">
        <v>64.709999999999994</v>
      </c>
      <c r="Q137" s="45"/>
      <c r="R137" s="48">
        <v>64.709999999999994</v>
      </c>
      <c r="S137" s="49">
        <v>46054</v>
      </c>
      <c r="T137" s="48">
        <v>9.7064999999999984</v>
      </c>
      <c r="U137" s="50">
        <v>4</v>
      </c>
      <c r="V137" s="48">
        <v>55.003499999999995</v>
      </c>
      <c r="W137" s="36" t="s">
        <v>48</v>
      </c>
      <c r="X137" s="36" t="s">
        <v>49</v>
      </c>
      <c r="Y137" s="36" t="s">
        <v>36</v>
      </c>
      <c r="Z137" s="36" t="s">
        <v>9</v>
      </c>
      <c r="AA137" s="36" t="s">
        <v>50</v>
      </c>
      <c r="AB137" s="36" t="s">
        <v>83</v>
      </c>
      <c r="AC137" s="36" t="s">
        <v>38</v>
      </c>
      <c r="AD137" s="51" t="s">
        <v>226</v>
      </c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  <c r="AQ137" s="52"/>
      <c r="AR137" s="52"/>
      <c r="AS137" s="52"/>
      <c r="AT137" s="52"/>
      <c r="AU137" s="52"/>
      <c r="AV137" s="52"/>
      <c r="AW137" s="52"/>
    </row>
    <row r="138" spans="1:49" ht="47.25" x14ac:dyDescent="0.25">
      <c r="A138" s="36" t="s">
        <v>79</v>
      </c>
      <c r="B138" s="38">
        <v>46072</v>
      </c>
      <c r="C138" s="38">
        <v>46072</v>
      </c>
      <c r="D138" s="36" t="s">
        <v>177</v>
      </c>
      <c r="E138" s="41">
        <v>0.54166666666666663</v>
      </c>
      <c r="F138" s="41">
        <v>0.5625</v>
      </c>
      <c r="G138" s="41">
        <v>1.7361111111111109E-4</v>
      </c>
      <c r="H138" s="36" t="s">
        <v>107</v>
      </c>
      <c r="I138" s="43">
        <v>0.55641203703703701</v>
      </c>
      <c r="J138" s="36" t="s">
        <v>103</v>
      </c>
      <c r="K138" s="36" t="s">
        <v>139</v>
      </c>
      <c r="L138" s="45">
        <v>1</v>
      </c>
      <c r="M138" s="45">
        <v>69976</v>
      </c>
      <c r="N138" s="36" t="s">
        <v>58</v>
      </c>
      <c r="O138" s="45" t="s">
        <v>105</v>
      </c>
      <c r="P138" s="48">
        <v>64.709999999999994</v>
      </c>
      <c r="Q138" s="45"/>
      <c r="R138" s="48">
        <v>64.709999999999994</v>
      </c>
      <c r="S138" s="49">
        <v>46054</v>
      </c>
      <c r="T138" s="48">
        <v>9.7064999999999984</v>
      </c>
      <c r="U138" s="50">
        <v>4</v>
      </c>
      <c r="V138" s="48">
        <v>55.003499999999995</v>
      </c>
      <c r="W138" s="36" t="s">
        <v>48</v>
      </c>
      <c r="X138" s="36" t="s">
        <v>49</v>
      </c>
      <c r="Y138" s="36" t="s">
        <v>36</v>
      </c>
      <c r="Z138" s="36" t="s">
        <v>9</v>
      </c>
      <c r="AA138" s="36" t="s">
        <v>50</v>
      </c>
      <c r="AB138" s="36" t="s">
        <v>106</v>
      </c>
      <c r="AC138" s="36" t="s">
        <v>38</v>
      </c>
      <c r="AD138" s="51" t="s">
        <v>226</v>
      </c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</row>
    <row r="139" spans="1:49" ht="47.25" x14ac:dyDescent="0.25">
      <c r="A139" s="36" t="s">
        <v>79</v>
      </c>
      <c r="B139" s="38">
        <v>46072</v>
      </c>
      <c r="C139" s="38">
        <v>46072</v>
      </c>
      <c r="D139" s="36" t="s">
        <v>177</v>
      </c>
      <c r="E139" s="41">
        <v>0.5625</v>
      </c>
      <c r="F139" s="41">
        <v>0.58333333333333337</v>
      </c>
      <c r="G139" s="41">
        <v>1.7361111111111109E-4</v>
      </c>
      <c r="H139" s="36" t="s">
        <v>104</v>
      </c>
      <c r="I139" s="43">
        <v>0.58303240740740736</v>
      </c>
      <c r="J139" s="36" t="s">
        <v>103</v>
      </c>
      <c r="K139" s="36" t="s">
        <v>140</v>
      </c>
      <c r="L139" s="45">
        <v>1</v>
      </c>
      <c r="M139" s="45">
        <v>69977</v>
      </c>
      <c r="N139" s="36" t="s">
        <v>58</v>
      </c>
      <c r="O139" s="45" t="s">
        <v>105</v>
      </c>
      <c r="P139" s="48">
        <v>64.709999999999994</v>
      </c>
      <c r="Q139" s="45"/>
      <c r="R139" s="48">
        <v>64.709999999999994</v>
      </c>
      <c r="S139" s="49">
        <v>46054</v>
      </c>
      <c r="T139" s="48">
        <v>9.7064999999999984</v>
      </c>
      <c r="U139" s="50">
        <v>4</v>
      </c>
      <c r="V139" s="48">
        <v>55.003499999999995</v>
      </c>
      <c r="W139" s="36" t="s">
        <v>48</v>
      </c>
      <c r="X139" s="36" t="s">
        <v>49</v>
      </c>
      <c r="Y139" s="36" t="s">
        <v>36</v>
      </c>
      <c r="Z139" s="36" t="s">
        <v>9</v>
      </c>
      <c r="AA139" s="36" t="s">
        <v>50</v>
      </c>
      <c r="AB139" s="36" t="s">
        <v>106</v>
      </c>
      <c r="AC139" s="36" t="s">
        <v>38</v>
      </c>
      <c r="AD139" s="51" t="s">
        <v>226</v>
      </c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  <c r="AQ139" s="52"/>
      <c r="AR139" s="52"/>
      <c r="AS139" s="52"/>
      <c r="AT139" s="52"/>
      <c r="AU139" s="52"/>
      <c r="AV139" s="52"/>
      <c r="AW139" s="52"/>
    </row>
    <row r="140" spans="1:49" ht="47.25" x14ac:dyDescent="0.25">
      <c r="A140" s="36" t="s">
        <v>79</v>
      </c>
      <c r="B140" s="38">
        <v>46072</v>
      </c>
      <c r="C140" s="38">
        <v>46072</v>
      </c>
      <c r="D140" s="36" t="s">
        <v>177</v>
      </c>
      <c r="E140" s="41">
        <v>0.58333333333333337</v>
      </c>
      <c r="F140" s="41">
        <v>0.66666666666666663</v>
      </c>
      <c r="G140" s="41">
        <v>1.7361111111111109E-4</v>
      </c>
      <c r="H140" s="36" t="s">
        <v>107</v>
      </c>
      <c r="I140" s="43">
        <v>0.64996527777777779</v>
      </c>
      <c r="J140" s="36" t="s">
        <v>103</v>
      </c>
      <c r="K140" s="36" t="s">
        <v>141</v>
      </c>
      <c r="L140" s="45">
        <v>1</v>
      </c>
      <c r="M140" s="45">
        <v>69978</v>
      </c>
      <c r="N140" s="36" t="s">
        <v>58</v>
      </c>
      <c r="O140" s="45" t="s">
        <v>105</v>
      </c>
      <c r="P140" s="48">
        <v>64.709999999999994</v>
      </c>
      <c r="Q140" s="45"/>
      <c r="R140" s="48">
        <v>64.709999999999994</v>
      </c>
      <c r="S140" s="49">
        <v>46054</v>
      </c>
      <c r="T140" s="48">
        <v>9.7064999999999984</v>
      </c>
      <c r="U140" s="50">
        <v>4</v>
      </c>
      <c r="V140" s="48">
        <v>55.003499999999995</v>
      </c>
      <c r="W140" s="36" t="s">
        <v>48</v>
      </c>
      <c r="X140" s="36" t="s">
        <v>49</v>
      </c>
      <c r="Y140" s="36" t="s">
        <v>36</v>
      </c>
      <c r="Z140" s="36" t="s">
        <v>9</v>
      </c>
      <c r="AA140" s="36" t="s">
        <v>50</v>
      </c>
      <c r="AB140" s="36" t="s">
        <v>106</v>
      </c>
      <c r="AC140" s="36" t="s">
        <v>38</v>
      </c>
      <c r="AD140" s="51" t="s">
        <v>226</v>
      </c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  <c r="AQ140" s="52"/>
      <c r="AR140" s="52"/>
      <c r="AS140" s="52"/>
      <c r="AT140" s="52"/>
      <c r="AU140" s="52"/>
      <c r="AV140" s="52"/>
      <c r="AW140" s="52"/>
    </row>
    <row r="141" spans="1:49" ht="47.25" x14ac:dyDescent="0.2">
      <c r="A141" s="36" t="s">
        <v>79</v>
      </c>
      <c r="B141" s="38">
        <v>46073</v>
      </c>
      <c r="C141" s="38">
        <v>46073</v>
      </c>
      <c r="D141" s="36" t="s">
        <v>189</v>
      </c>
      <c r="E141" s="41">
        <v>0.45833333333333331</v>
      </c>
      <c r="F141" s="41">
        <v>0.54166666666666663</v>
      </c>
      <c r="G141" s="41">
        <v>1.7361111111111109E-4</v>
      </c>
      <c r="H141" s="36" t="s">
        <v>91</v>
      </c>
      <c r="I141" s="43">
        <v>0.53506944444444449</v>
      </c>
      <c r="J141" s="36" t="s">
        <v>81</v>
      </c>
      <c r="K141" s="36" t="s">
        <v>138</v>
      </c>
      <c r="L141" s="45">
        <v>1</v>
      </c>
      <c r="M141" s="45">
        <v>70037</v>
      </c>
      <c r="N141" s="36" t="s">
        <v>46</v>
      </c>
      <c r="O141" s="45" t="s">
        <v>82</v>
      </c>
      <c r="P141" s="48">
        <v>0</v>
      </c>
      <c r="Q141" s="45"/>
      <c r="R141" s="48">
        <v>0</v>
      </c>
      <c r="S141" s="49">
        <v>46054</v>
      </c>
      <c r="T141" s="48">
        <v>0</v>
      </c>
      <c r="U141" s="50">
        <v>4</v>
      </c>
      <c r="V141" s="48">
        <v>0</v>
      </c>
      <c r="W141" s="36" t="s">
        <v>48</v>
      </c>
      <c r="X141" s="36" t="s">
        <v>49</v>
      </c>
      <c r="Y141" s="36" t="s">
        <v>36</v>
      </c>
      <c r="Z141" s="36" t="s">
        <v>9</v>
      </c>
      <c r="AA141" s="36" t="s">
        <v>50</v>
      </c>
      <c r="AB141" s="36" t="s">
        <v>83</v>
      </c>
      <c r="AC141" s="36" t="s">
        <v>38</v>
      </c>
      <c r="AD141" s="51" t="s">
        <v>226</v>
      </c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</row>
    <row r="142" spans="1:49" ht="47.25" x14ac:dyDescent="0.25">
      <c r="A142" s="36" t="s">
        <v>79</v>
      </c>
      <c r="B142" s="38">
        <v>46073</v>
      </c>
      <c r="C142" s="38">
        <v>46073</v>
      </c>
      <c r="D142" s="36" t="s">
        <v>189</v>
      </c>
      <c r="E142" s="41">
        <v>0.47916666666666669</v>
      </c>
      <c r="F142" s="41">
        <v>0.5</v>
      </c>
      <c r="G142" s="41">
        <v>1.7361111111111109E-4</v>
      </c>
      <c r="H142" s="36" t="s">
        <v>80</v>
      </c>
      <c r="I142" s="43">
        <v>0.48741898148148149</v>
      </c>
      <c r="J142" s="36" t="s">
        <v>81</v>
      </c>
      <c r="K142" s="36" t="s">
        <v>137</v>
      </c>
      <c r="L142" s="45">
        <v>1</v>
      </c>
      <c r="M142" s="45">
        <v>70009</v>
      </c>
      <c r="N142" s="36" t="s">
        <v>58</v>
      </c>
      <c r="O142" s="45" t="s">
        <v>82</v>
      </c>
      <c r="P142" s="48">
        <v>64.709999999999994</v>
      </c>
      <c r="Q142" s="45"/>
      <c r="R142" s="48">
        <v>64.709999999999994</v>
      </c>
      <c r="S142" s="49">
        <v>46054</v>
      </c>
      <c r="T142" s="48">
        <v>9.7064999999999984</v>
      </c>
      <c r="U142" s="50">
        <v>4</v>
      </c>
      <c r="V142" s="48">
        <v>55.003499999999995</v>
      </c>
      <c r="W142" s="36" t="s">
        <v>48</v>
      </c>
      <c r="X142" s="36" t="s">
        <v>49</v>
      </c>
      <c r="Y142" s="36" t="s">
        <v>36</v>
      </c>
      <c r="Z142" s="36" t="s">
        <v>9</v>
      </c>
      <c r="AA142" s="36" t="s">
        <v>50</v>
      </c>
      <c r="AB142" s="36" t="s">
        <v>83</v>
      </c>
      <c r="AC142" s="36" t="s">
        <v>38</v>
      </c>
      <c r="AD142" s="51" t="s">
        <v>226</v>
      </c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  <c r="AQ142" s="52"/>
      <c r="AR142" s="52"/>
      <c r="AS142" s="52"/>
      <c r="AT142" s="52"/>
      <c r="AU142" s="52"/>
      <c r="AV142" s="52"/>
      <c r="AW142" s="52"/>
    </row>
    <row r="143" spans="1:49" ht="47.25" x14ac:dyDescent="0.25">
      <c r="A143" s="36" t="s">
        <v>79</v>
      </c>
      <c r="B143" s="38">
        <v>46073</v>
      </c>
      <c r="C143" s="38">
        <v>46073</v>
      </c>
      <c r="D143" s="36" t="s">
        <v>189</v>
      </c>
      <c r="E143" s="41">
        <v>0.54166666666666663</v>
      </c>
      <c r="F143" s="41">
        <v>0.5625</v>
      </c>
      <c r="G143" s="41">
        <v>1.7361111111111109E-4</v>
      </c>
      <c r="H143" s="36" t="s">
        <v>104</v>
      </c>
      <c r="I143" s="43">
        <v>0.54803240740740744</v>
      </c>
      <c r="J143" s="36" t="s">
        <v>103</v>
      </c>
      <c r="K143" s="36" t="s">
        <v>139</v>
      </c>
      <c r="L143" s="45">
        <v>1</v>
      </c>
      <c r="M143" s="45">
        <v>69976</v>
      </c>
      <c r="N143" s="36" t="s">
        <v>58</v>
      </c>
      <c r="O143" s="45" t="s">
        <v>105</v>
      </c>
      <c r="P143" s="48">
        <v>64.709999999999994</v>
      </c>
      <c r="Q143" s="45"/>
      <c r="R143" s="48">
        <v>64.709999999999994</v>
      </c>
      <c r="S143" s="49">
        <v>46054</v>
      </c>
      <c r="T143" s="48">
        <v>9.7064999999999984</v>
      </c>
      <c r="U143" s="50">
        <v>4</v>
      </c>
      <c r="V143" s="48">
        <v>55.003499999999995</v>
      </c>
      <c r="W143" s="36" t="s">
        <v>48</v>
      </c>
      <c r="X143" s="36" t="s">
        <v>49</v>
      </c>
      <c r="Y143" s="36" t="s">
        <v>36</v>
      </c>
      <c r="Z143" s="36" t="s">
        <v>9</v>
      </c>
      <c r="AA143" s="36" t="s">
        <v>50</v>
      </c>
      <c r="AB143" s="36" t="s">
        <v>106</v>
      </c>
      <c r="AC143" s="36" t="s">
        <v>38</v>
      </c>
      <c r="AD143" s="51" t="s">
        <v>226</v>
      </c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2"/>
      <c r="AT143" s="52"/>
      <c r="AU143" s="52"/>
      <c r="AV143" s="52"/>
      <c r="AW143" s="52"/>
    </row>
    <row r="144" spans="1:49" ht="47.25" x14ac:dyDescent="0.25">
      <c r="A144" s="36" t="s">
        <v>79</v>
      </c>
      <c r="B144" s="38">
        <v>46073</v>
      </c>
      <c r="C144" s="38">
        <v>46073</v>
      </c>
      <c r="D144" s="36" t="s">
        <v>189</v>
      </c>
      <c r="E144" s="41">
        <v>0.5625</v>
      </c>
      <c r="F144" s="41">
        <v>0.58333333333333337</v>
      </c>
      <c r="G144" s="41">
        <v>1.7361111111111109E-4</v>
      </c>
      <c r="H144" s="36" t="s">
        <v>107</v>
      </c>
      <c r="I144" s="43">
        <v>0.57665509259259262</v>
      </c>
      <c r="J144" s="36" t="s">
        <v>103</v>
      </c>
      <c r="K144" s="36" t="s">
        <v>140</v>
      </c>
      <c r="L144" s="45">
        <v>1</v>
      </c>
      <c r="M144" s="45">
        <v>69977</v>
      </c>
      <c r="N144" s="36" t="s">
        <v>58</v>
      </c>
      <c r="O144" s="45" t="s">
        <v>105</v>
      </c>
      <c r="P144" s="48">
        <v>64.709999999999994</v>
      </c>
      <c r="Q144" s="45"/>
      <c r="R144" s="48">
        <v>64.709999999999994</v>
      </c>
      <c r="S144" s="49">
        <v>46054</v>
      </c>
      <c r="T144" s="48">
        <v>9.7064999999999984</v>
      </c>
      <c r="U144" s="50">
        <v>4</v>
      </c>
      <c r="V144" s="48">
        <v>55.003499999999995</v>
      </c>
      <c r="W144" s="36" t="s">
        <v>48</v>
      </c>
      <c r="X144" s="36" t="s">
        <v>49</v>
      </c>
      <c r="Y144" s="36" t="s">
        <v>36</v>
      </c>
      <c r="Z144" s="36" t="s">
        <v>9</v>
      </c>
      <c r="AA144" s="36" t="s">
        <v>50</v>
      </c>
      <c r="AB144" s="36" t="s">
        <v>106</v>
      </c>
      <c r="AC144" s="36" t="s">
        <v>38</v>
      </c>
      <c r="AD144" s="51" t="s">
        <v>226</v>
      </c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2"/>
      <c r="AT144" s="52"/>
      <c r="AU144" s="52"/>
      <c r="AV144" s="52"/>
      <c r="AW144" s="52"/>
    </row>
    <row r="145" spans="1:49" ht="47.25" x14ac:dyDescent="0.2">
      <c r="A145" s="36" t="s">
        <v>79</v>
      </c>
      <c r="B145" s="38">
        <v>46073</v>
      </c>
      <c r="C145" s="38">
        <v>46073</v>
      </c>
      <c r="D145" s="36" t="s">
        <v>189</v>
      </c>
      <c r="E145" s="41">
        <v>0.58333333333333337</v>
      </c>
      <c r="F145" s="41">
        <v>0.66666666666666663</v>
      </c>
      <c r="G145" s="41">
        <v>1.7361111111111109E-4</v>
      </c>
      <c r="H145" s="36" t="s">
        <v>104</v>
      </c>
      <c r="I145" s="43">
        <v>0.64467592592592593</v>
      </c>
      <c r="J145" s="36" t="s">
        <v>103</v>
      </c>
      <c r="K145" s="36" t="s">
        <v>141</v>
      </c>
      <c r="L145" s="45">
        <v>1</v>
      </c>
      <c r="M145" s="45">
        <v>69978</v>
      </c>
      <c r="N145" s="36" t="s">
        <v>58</v>
      </c>
      <c r="O145" s="45" t="s">
        <v>105</v>
      </c>
      <c r="P145" s="48">
        <v>64.709999999999994</v>
      </c>
      <c r="Q145" s="45"/>
      <c r="R145" s="48">
        <v>64.709999999999994</v>
      </c>
      <c r="S145" s="49">
        <v>46054</v>
      </c>
      <c r="T145" s="48">
        <v>9.7064999999999984</v>
      </c>
      <c r="U145" s="50">
        <v>4</v>
      </c>
      <c r="V145" s="48">
        <v>55.003499999999995</v>
      </c>
      <c r="W145" s="36" t="s">
        <v>48</v>
      </c>
      <c r="X145" s="36" t="s">
        <v>49</v>
      </c>
      <c r="Y145" s="36" t="s">
        <v>36</v>
      </c>
      <c r="Z145" s="36" t="s">
        <v>9</v>
      </c>
      <c r="AA145" s="36" t="s">
        <v>50</v>
      </c>
      <c r="AB145" s="36" t="s">
        <v>106</v>
      </c>
      <c r="AC145" s="36" t="s">
        <v>38</v>
      </c>
      <c r="AD145" s="51" t="s">
        <v>226</v>
      </c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</row>
    <row r="146" spans="1:49" ht="47.25" x14ac:dyDescent="0.25">
      <c r="A146" s="36" t="s">
        <v>79</v>
      </c>
      <c r="B146" s="38">
        <v>46074</v>
      </c>
      <c r="C146" s="38">
        <v>46074</v>
      </c>
      <c r="D146" s="36" t="s">
        <v>197</v>
      </c>
      <c r="E146" s="41">
        <v>0.45833333333333331</v>
      </c>
      <c r="F146" s="41">
        <v>0.54166666666666663</v>
      </c>
      <c r="G146" s="41">
        <v>1.7361111111111109E-4</v>
      </c>
      <c r="H146" s="36" t="s">
        <v>91</v>
      </c>
      <c r="I146" s="43">
        <v>0.53196759259259263</v>
      </c>
      <c r="J146" s="36" t="s">
        <v>81</v>
      </c>
      <c r="K146" s="36" t="s">
        <v>138</v>
      </c>
      <c r="L146" s="45">
        <v>1</v>
      </c>
      <c r="M146" s="45">
        <v>70037</v>
      </c>
      <c r="N146" s="36" t="s">
        <v>46</v>
      </c>
      <c r="O146" s="45" t="s">
        <v>82</v>
      </c>
      <c r="P146" s="48">
        <v>0</v>
      </c>
      <c r="Q146" s="45"/>
      <c r="R146" s="48">
        <v>0</v>
      </c>
      <c r="S146" s="49">
        <v>46054</v>
      </c>
      <c r="T146" s="48">
        <v>0</v>
      </c>
      <c r="U146" s="50">
        <v>4</v>
      </c>
      <c r="V146" s="48">
        <v>0</v>
      </c>
      <c r="W146" s="36" t="s">
        <v>48</v>
      </c>
      <c r="X146" s="36" t="s">
        <v>49</v>
      </c>
      <c r="Y146" s="36" t="s">
        <v>36</v>
      </c>
      <c r="Z146" s="36" t="s">
        <v>9</v>
      </c>
      <c r="AA146" s="36" t="s">
        <v>50</v>
      </c>
      <c r="AB146" s="36" t="s">
        <v>83</v>
      </c>
      <c r="AC146" s="36" t="s">
        <v>38</v>
      </c>
      <c r="AD146" s="51" t="s">
        <v>226</v>
      </c>
      <c r="AE146" s="52"/>
      <c r="AF146" s="52"/>
      <c r="AG146" s="52"/>
      <c r="AH146" s="52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</row>
    <row r="147" spans="1:49" ht="47.25" x14ac:dyDescent="0.2">
      <c r="A147" s="36" t="s">
        <v>79</v>
      </c>
      <c r="B147" s="38">
        <v>46074</v>
      </c>
      <c r="C147" s="38">
        <v>46074</v>
      </c>
      <c r="D147" s="36" t="s">
        <v>197</v>
      </c>
      <c r="E147" s="41">
        <v>0.47916666666666669</v>
      </c>
      <c r="F147" s="41">
        <v>0.5</v>
      </c>
      <c r="G147" s="41">
        <v>1.7361111111111109E-4</v>
      </c>
      <c r="H147" s="36" t="s">
        <v>80</v>
      </c>
      <c r="I147" s="43">
        <v>0.48942129629629627</v>
      </c>
      <c r="J147" s="36" t="s">
        <v>81</v>
      </c>
      <c r="K147" s="36" t="s">
        <v>201</v>
      </c>
      <c r="L147" s="45">
        <v>1</v>
      </c>
      <c r="M147" s="45">
        <v>70034</v>
      </c>
      <c r="N147" s="36" t="s">
        <v>58</v>
      </c>
      <c r="O147" s="45" t="s">
        <v>82</v>
      </c>
      <c r="P147" s="48">
        <v>44.71</v>
      </c>
      <c r="Q147" s="45"/>
      <c r="R147" s="48">
        <v>44.71</v>
      </c>
      <c r="S147" s="49">
        <v>46054</v>
      </c>
      <c r="T147" s="48">
        <v>6.7065000000000001</v>
      </c>
      <c r="U147" s="50">
        <v>4</v>
      </c>
      <c r="V147" s="48">
        <v>38.003500000000003</v>
      </c>
      <c r="W147" s="36" t="s">
        <v>48</v>
      </c>
      <c r="X147" s="36" t="s">
        <v>49</v>
      </c>
      <c r="Y147" s="36" t="s">
        <v>36</v>
      </c>
      <c r="Z147" s="36" t="s">
        <v>9</v>
      </c>
      <c r="AA147" s="36" t="s">
        <v>50</v>
      </c>
      <c r="AB147" s="36" t="s">
        <v>83</v>
      </c>
      <c r="AC147" s="36" t="s">
        <v>38</v>
      </c>
      <c r="AD147" s="51" t="s">
        <v>226</v>
      </c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</row>
    <row r="148" spans="1:49" ht="47.25" x14ac:dyDescent="0.2">
      <c r="A148" s="36" t="s">
        <v>79</v>
      </c>
      <c r="B148" s="38">
        <v>46074</v>
      </c>
      <c r="C148" s="38">
        <v>46074</v>
      </c>
      <c r="D148" s="36" t="s">
        <v>197</v>
      </c>
      <c r="E148" s="41">
        <v>0.54166666666666663</v>
      </c>
      <c r="F148" s="41">
        <v>0.66666666666666663</v>
      </c>
      <c r="G148" s="41">
        <v>1.7361111111111109E-4</v>
      </c>
      <c r="H148" s="36" t="s">
        <v>107</v>
      </c>
      <c r="I148" s="43">
        <v>0.64366898148148144</v>
      </c>
      <c r="J148" s="36" t="s">
        <v>103</v>
      </c>
      <c r="K148" s="36" t="s">
        <v>214</v>
      </c>
      <c r="L148" s="45">
        <v>1</v>
      </c>
      <c r="M148" s="45">
        <v>70030</v>
      </c>
      <c r="N148" s="36" t="s">
        <v>58</v>
      </c>
      <c r="O148" s="45" t="s">
        <v>105</v>
      </c>
      <c r="P148" s="48">
        <v>44.71</v>
      </c>
      <c r="Q148" s="45"/>
      <c r="R148" s="48">
        <v>44.71</v>
      </c>
      <c r="S148" s="49">
        <v>46054</v>
      </c>
      <c r="T148" s="48">
        <v>6.7065000000000001</v>
      </c>
      <c r="U148" s="50">
        <v>4</v>
      </c>
      <c r="V148" s="48">
        <v>38.003500000000003</v>
      </c>
      <c r="W148" s="36" t="s">
        <v>48</v>
      </c>
      <c r="X148" s="36" t="s">
        <v>49</v>
      </c>
      <c r="Y148" s="36" t="s">
        <v>36</v>
      </c>
      <c r="Z148" s="36" t="s">
        <v>9</v>
      </c>
      <c r="AA148" s="36" t="s">
        <v>50</v>
      </c>
      <c r="AB148" s="36" t="s">
        <v>106</v>
      </c>
      <c r="AC148" s="36" t="s">
        <v>38</v>
      </c>
      <c r="AD148" s="51" t="s">
        <v>226</v>
      </c>
      <c r="AE148" s="35"/>
      <c r="AF148" s="35"/>
      <c r="AG148" s="35"/>
      <c r="AH148" s="35"/>
      <c r="AI148" s="35"/>
      <c r="AJ148" s="35"/>
      <c r="AK148" s="35"/>
      <c r="AL148" s="35"/>
      <c r="AM148" s="35"/>
      <c r="AN148" s="35"/>
      <c r="AO148" s="35"/>
      <c r="AP148" s="35"/>
      <c r="AQ148" s="35"/>
      <c r="AR148" s="35"/>
      <c r="AS148" s="35"/>
      <c r="AT148" s="35"/>
      <c r="AU148" s="35"/>
      <c r="AV148" s="35"/>
      <c r="AW148" s="35"/>
    </row>
    <row r="149" spans="1:49" ht="47.25" x14ac:dyDescent="0.2">
      <c r="A149" s="36" t="s">
        <v>79</v>
      </c>
      <c r="B149" s="38">
        <v>46074</v>
      </c>
      <c r="C149" s="38">
        <v>46074</v>
      </c>
      <c r="D149" s="36" t="s">
        <v>197</v>
      </c>
      <c r="E149" s="41">
        <v>0.54166666666666663</v>
      </c>
      <c r="F149" s="41">
        <v>0.66666666666666663</v>
      </c>
      <c r="G149" s="41">
        <v>1.7361111111111109E-4</v>
      </c>
      <c r="H149" s="36" t="s">
        <v>104</v>
      </c>
      <c r="I149" s="43">
        <v>0.66546296296296292</v>
      </c>
      <c r="J149" s="36" t="s">
        <v>103</v>
      </c>
      <c r="K149" s="36" t="s">
        <v>214</v>
      </c>
      <c r="L149" s="45">
        <v>1</v>
      </c>
      <c r="M149" s="45">
        <v>70030</v>
      </c>
      <c r="N149" s="36" t="s">
        <v>58</v>
      </c>
      <c r="O149" s="45" t="s">
        <v>105</v>
      </c>
      <c r="P149" s="48">
        <v>44.71</v>
      </c>
      <c r="Q149" s="45"/>
      <c r="R149" s="48">
        <v>44.71</v>
      </c>
      <c r="S149" s="49">
        <v>46054</v>
      </c>
      <c r="T149" s="48">
        <v>6.7065000000000001</v>
      </c>
      <c r="U149" s="50">
        <v>4</v>
      </c>
      <c r="V149" s="48">
        <v>38.003500000000003</v>
      </c>
      <c r="W149" s="36" t="s">
        <v>48</v>
      </c>
      <c r="X149" s="36" t="s">
        <v>49</v>
      </c>
      <c r="Y149" s="36" t="s">
        <v>36</v>
      </c>
      <c r="Z149" s="36" t="s">
        <v>9</v>
      </c>
      <c r="AA149" s="36" t="s">
        <v>50</v>
      </c>
      <c r="AB149" s="36" t="s">
        <v>106</v>
      </c>
      <c r="AC149" s="36" t="s">
        <v>38</v>
      </c>
      <c r="AD149" s="51" t="s">
        <v>226</v>
      </c>
      <c r="AE149" s="35"/>
      <c r="AF149" s="35"/>
      <c r="AG149" s="35"/>
      <c r="AH149" s="35"/>
      <c r="AI149" s="35"/>
      <c r="AJ149" s="35"/>
      <c r="AK149" s="35"/>
      <c r="AL149" s="35"/>
      <c r="AM149" s="35"/>
      <c r="AN149" s="35"/>
      <c r="AO149" s="35"/>
      <c r="AP149" s="35"/>
      <c r="AQ149" s="35"/>
      <c r="AR149" s="35"/>
      <c r="AS149" s="35"/>
      <c r="AT149" s="35"/>
      <c r="AU149" s="35"/>
      <c r="AV149" s="35"/>
      <c r="AW149" s="35"/>
    </row>
    <row r="150" spans="1:49" ht="47.25" x14ac:dyDescent="0.2">
      <c r="A150" s="36" t="s">
        <v>79</v>
      </c>
      <c r="B150" s="38">
        <v>46075</v>
      </c>
      <c r="C150" s="38">
        <v>46075</v>
      </c>
      <c r="D150" s="36" t="s">
        <v>215</v>
      </c>
      <c r="E150" s="41">
        <v>0.45833333333333331</v>
      </c>
      <c r="F150" s="41">
        <v>0.47916666666666669</v>
      </c>
      <c r="G150" s="41">
        <v>1.7361111111111109E-4</v>
      </c>
      <c r="H150" s="36" t="s">
        <v>80</v>
      </c>
      <c r="I150" s="43">
        <v>0.47780092592592593</v>
      </c>
      <c r="J150" s="36" t="s">
        <v>81</v>
      </c>
      <c r="K150" s="36" t="s">
        <v>77</v>
      </c>
      <c r="L150" s="45">
        <v>1</v>
      </c>
      <c r="M150" s="45">
        <v>70012</v>
      </c>
      <c r="N150" s="36" t="s">
        <v>58</v>
      </c>
      <c r="O150" s="45" t="s">
        <v>82</v>
      </c>
      <c r="P150" s="48">
        <v>44.71</v>
      </c>
      <c r="Q150" s="45"/>
      <c r="R150" s="48">
        <v>44.71</v>
      </c>
      <c r="S150" s="49">
        <v>46054</v>
      </c>
      <c r="T150" s="48">
        <v>6.7065000000000001</v>
      </c>
      <c r="U150" s="50">
        <v>4</v>
      </c>
      <c r="V150" s="48">
        <v>38.003500000000003</v>
      </c>
      <c r="W150" s="36" t="s">
        <v>48</v>
      </c>
      <c r="X150" s="36" t="s">
        <v>49</v>
      </c>
      <c r="Y150" s="36" t="s">
        <v>36</v>
      </c>
      <c r="Z150" s="36" t="s">
        <v>9</v>
      </c>
      <c r="AA150" s="36" t="s">
        <v>50</v>
      </c>
      <c r="AB150" s="36" t="s">
        <v>83</v>
      </c>
      <c r="AC150" s="36" t="s">
        <v>38</v>
      </c>
      <c r="AD150" s="51" t="s">
        <v>226</v>
      </c>
      <c r="AE150" s="35"/>
      <c r="AF150" s="35"/>
      <c r="AG150" s="35"/>
      <c r="AH150" s="35"/>
      <c r="AI150" s="35"/>
      <c r="AJ150" s="35"/>
      <c r="AK150" s="35"/>
      <c r="AL150" s="35"/>
      <c r="AM150" s="35"/>
      <c r="AN150" s="35"/>
      <c r="AO150" s="35"/>
      <c r="AP150" s="35"/>
      <c r="AQ150" s="35"/>
      <c r="AR150" s="35"/>
      <c r="AS150" s="35"/>
      <c r="AT150" s="35"/>
      <c r="AU150" s="35"/>
      <c r="AV150" s="35"/>
      <c r="AW150" s="35"/>
    </row>
    <row r="151" spans="1:49" ht="47.25" x14ac:dyDescent="0.2">
      <c r="A151" s="36" t="s">
        <v>79</v>
      </c>
      <c r="B151" s="38">
        <v>46075</v>
      </c>
      <c r="C151" s="38">
        <v>46075</v>
      </c>
      <c r="D151" s="36" t="s">
        <v>215</v>
      </c>
      <c r="E151" s="41">
        <v>0.45833333333333331</v>
      </c>
      <c r="F151" s="41">
        <v>0.54166666666666663</v>
      </c>
      <c r="G151" s="41">
        <v>1.7361111111111109E-4</v>
      </c>
      <c r="H151" s="36" t="s">
        <v>91</v>
      </c>
      <c r="I151" s="43">
        <v>0.48826388888888889</v>
      </c>
      <c r="J151" s="36" t="s">
        <v>81</v>
      </c>
      <c r="K151" s="36" t="s">
        <v>137</v>
      </c>
      <c r="L151" s="45">
        <v>1</v>
      </c>
      <c r="M151" s="45">
        <v>70037</v>
      </c>
      <c r="N151" s="36" t="s">
        <v>46</v>
      </c>
      <c r="O151" s="45" t="s">
        <v>82</v>
      </c>
      <c r="P151" s="48">
        <v>0</v>
      </c>
      <c r="Q151" s="45"/>
      <c r="R151" s="48">
        <v>0</v>
      </c>
      <c r="S151" s="49">
        <v>46054</v>
      </c>
      <c r="T151" s="48">
        <v>0</v>
      </c>
      <c r="U151" s="50">
        <v>4</v>
      </c>
      <c r="V151" s="48">
        <v>0</v>
      </c>
      <c r="W151" s="36" t="s">
        <v>48</v>
      </c>
      <c r="X151" s="36" t="s">
        <v>49</v>
      </c>
      <c r="Y151" s="36" t="s">
        <v>36</v>
      </c>
      <c r="Z151" s="36" t="s">
        <v>9</v>
      </c>
      <c r="AA151" s="36" t="s">
        <v>50</v>
      </c>
      <c r="AB151" s="36" t="s">
        <v>83</v>
      </c>
      <c r="AC151" s="36" t="s">
        <v>38</v>
      </c>
      <c r="AD151" s="51" t="s">
        <v>226</v>
      </c>
      <c r="AE151" s="35"/>
      <c r="AF151" s="35"/>
      <c r="AG151" s="35"/>
      <c r="AH151" s="35"/>
      <c r="AI151" s="35"/>
      <c r="AJ151" s="35"/>
      <c r="AK151" s="35"/>
      <c r="AL151" s="35"/>
      <c r="AM151" s="35"/>
      <c r="AN151" s="35"/>
      <c r="AO151" s="35"/>
      <c r="AP151" s="35"/>
      <c r="AQ151" s="35"/>
      <c r="AR151" s="35"/>
      <c r="AS151" s="35"/>
      <c r="AT151" s="35"/>
      <c r="AU151" s="35"/>
      <c r="AV151" s="35"/>
      <c r="AW151" s="35"/>
    </row>
    <row r="152" spans="1:49" ht="47.25" x14ac:dyDescent="0.2">
      <c r="A152" s="36" t="s">
        <v>79</v>
      </c>
      <c r="B152" s="38">
        <v>46075</v>
      </c>
      <c r="C152" s="38">
        <v>46075</v>
      </c>
      <c r="D152" s="36" t="s">
        <v>215</v>
      </c>
      <c r="E152" s="41">
        <v>0.5</v>
      </c>
      <c r="F152" s="41">
        <v>0.54166666666666663</v>
      </c>
      <c r="G152" s="41">
        <v>1.7361111111111109E-4</v>
      </c>
      <c r="H152" s="36" t="s">
        <v>80</v>
      </c>
      <c r="I152" s="43">
        <v>0.54048611111111111</v>
      </c>
      <c r="J152" s="36" t="s">
        <v>81</v>
      </c>
      <c r="K152" s="36" t="s">
        <v>138</v>
      </c>
      <c r="L152" s="45">
        <v>1</v>
      </c>
      <c r="M152" s="45">
        <v>70035</v>
      </c>
      <c r="N152" s="36" t="s">
        <v>58</v>
      </c>
      <c r="O152" s="45" t="s">
        <v>82</v>
      </c>
      <c r="P152" s="48">
        <v>44.71</v>
      </c>
      <c r="Q152" s="45"/>
      <c r="R152" s="48">
        <v>44.71</v>
      </c>
      <c r="S152" s="49">
        <v>46054</v>
      </c>
      <c r="T152" s="48">
        <v>6.7065000000000001</v>
      </c>
      <c r="U152" s="50">
        <v>4</v>
      </c>
      <c r="V152" s="48">
        <v>38.003500000000003</v>
      </c>
      <c r="W152" s="36" t="s">
        <v>48</v>
      </c>
      <c r="X152" s="36" t="s">
        <v>49</v>
      </c>
      <c r="Y152" s="36" t="s">
        <v>36</v>
      </c>
      <c r="Z152" s="36" t="s">
        <v>9</v>
      </c>
      <c r="AA152" s="36" t="s">
        <v>50</v>
      </c>
      <c r="AB152" s="36" t="s">
        <v>83</v>
      </c>
      <c r="AC152" s="36" t="s">
        <v>38</v>
      </c>
      <c r="AD152" s="51" t="s">
        <v>226</v>
      </c>
      <c r="AE152" s="35"/>
      <c r="AF152" s="35"/>
      <c r="AG152" s="35"/>
      <c r="AH152" s="35"/>
      <c r="AI152" s="35"/>
      <c r="AJ152" s="35"/>
      <c r="AK152" s="35"/>
      <c r="AL152" s="35"/>
      <c r="AM152" s="35"/>
      <c r="AN152" s="35"/>
      <c r="AO152" s="35"/>
      <c r="AP152" s="35"/>
      <c r="AQ152" s="35"/>
      <c r="AR152" s="35"/>
      <c r="AS152" s="35"/>
      <c r="AT152" s="35"/>
      <c r="AU152" s="35"/>
      <c r="AV152" s="35"/>
      <c r="AW152" s="35"/>
    </row>
    <row r="153" spans="1:49" ht="47.25" x14ac:dyDescent="0.2">
      <c r="A153" s="36" t="s">
        <v>79</v>
      </c>
      <c r="B153" s="38">
        <v>46075</v>
      </c>
      <c r="C153" s="38">
        <v>46075</v>
      </c>
      <c r="D153" s="36" t="s">
        <v>215</v>
      </c>
      <c r="E153" s="41">
        <v>0.54166666666666663</v>
      </c>
      <c r="F153" s="41">
        <v>0.66666666666666663</v>
      </c>
      <c r="G153" s="41">
        <v>1.7361111111111109E-4</v>
      </c>
      <c r="H153" s="36" t="s">
        <v>107</v>
      </c>
      <c r="I153" s="43">
        <v>0.55978009259259254</v>
      </c>
      <c r="J153" s="36" t="s">
        <v>103</v>
      </c>
      <c r="K153" s="36" t="s">
        <v>214</v>
      </c>
      <c r="L153" s="45">
        <v>1</v>
      </c>
      <c r="M153" s="45">
        <v>70033</v>
      </c>
      <c r="N153" s="36" t="s">
        <v>46</v>
      </c>
      <c r="O153" s="45" t="s">
        <v>105</v>
      </c>
      <c r="P153" s="48">
        <v>0</v>
      </c>
      <c r="Q153" s="45"/>
      <c r="R153" s="48">
        <v>0</v>
      </c>
      <c r="S153" s="49">
        <v>46054</v>
      </c>
      <c r="T153" s="48">
        <v>0</v>
      </c>
      <c r="U153" s="50">
        <v>4</v>
      </c>
      <c r="V153" s="48">
        <v>0</v>
      </c>
      <c r="W153" s="36" t="s">
        <v>48</v>
      </c>
      <c r="X153" s="36" t="s">
        <v>49</v>
      </c>
      <c r="Y153" s="36" t="s">
        <v>36</v>
      </c>
      <c r="Z153" s="36" t="s">
        <v>9</v>
      </c>
      <c r="AA153" s="36" t="s">
        <v>50</v>
      </c>
      <c r="AB153" s="36" t="s">
        <v>106</v>
      </c>
      <c r="AC153" s="36" t="s">
        <v>38</v>
      </c>
      <c r="AD153" s="51" t="s">
        <v>226</v>
      </c>
      <c r="AE153" s="35"/>
      <c r="AF153" s="35"/>
      <c r="AG153" s="35"/>
      <c r="AH153" s="35"/>
      <c r="AI153" s="35"/>
      <c r="AJ153" s="35"/>
      <c r="AK153" s="35"/>
      <c r="AL153" s="35"/>
      <c r="AM153" s="35"/>
      <c r="AN153" s="35"/>
      <c r="AO153" s="35"/>
      <c r="AP153" s="35"/>
      <c r="AQ153" s="35"/>
      <c r="AR153" s="35"/>
      <c r="AS153" s="35"/>
      <c r="AT153" s="35"/>
      <c r="AU153" s="35"/>
      <c r="AV153" s="35"/>
      <c r="AW153" s="35"/>
    </row>
    <row r="154" spans="1:49" ht="47.25" x14ac:dyDescent="0.2">
      <c r="A154" s="36" t="s">
        <v>79</v>
      </c>
      <c r="B154" s="38">
        <v>46075</v>
      </c>
      <c r="C154" s="38">
        <v>46075</v>
      </c>
      <c r="D154" s="36" t="s">
        <v>215</v>
      </c>
      <c r="E154" s="41">
        <v>0.54166666666666663</v>
      </c>
      <c r="F154" s="41">
        <v>0.66666666666666663</v>
      </c>
      <c r="G154" s="41">
        <v>1.7361111111111109E-4</v>
      </c>
      <c r="H154" s="36" t="s">
        <v>104</v>
      </c>
      <c r="I154" s="43">
        <v>0.60025462962962961</v>
      </c>
      <c r="J154" s="36" t="s">
        <v>103</v>
      </c>
      <c r="K154" s="36" t="s">
        <v>214</v>
      </c>
      <c r="L154" s="45">
        <v>1</v>
      </c>
      <c r="M154" s="45">
        <v>70031</v>
      </c>
      <c r="N154" s="36" t="s">
        <v>58</v>
      </c>
      <c r="O154" s="45" t="s">
        <v>105</v>
      </c>
      <c r="P154" s="48">
        <v>44.71</v>
      </c>
      <c r="Q154" s="45"/>
      <c r="R154" s="48">
        <v>44.71</v>
      </c>
      <c r="S154" s="49">
        <v>46054</v>
      </c>
      <c r="T154" s="48">
        <v>6.7065000000000001</v>
      </c>
      <c r="U154" s="50">
        <v>4</v>
      </c>
      <c r="V154" s="48">
        <v>38.003500000000003</v>
      </c>
      <c r="W154" s="36" t="s">
        <v>48</v>
      </c>
      <c r="X154" s="36" t="s">
        <v>49</v>
      </c>
      <c r="Y154" s="36" t="s">
        <v>36</v>
      </c>
      <c r="Z154" s="36" t="s">
        <v>9</v>
      </c>
      <c r="AA154" s="36" t="s">
        <v>50</v>
      </c>
      <c r="AB154" s="36" t="s">
        <v>106</v>
      </c>
      <c r="AC154" s="36" t="s">
        <v>38</v>
      </c>
      <c r="AD154" s="51" t="s">
        <v>226</v>
      </c>
      <c r="AE154" s="35"/>
      <c r="AF154" s="35"/>
      <c r="AG154" s="35"/>
      <c r="AH154" s="35"/>
      <c r="AI154" s="35"/>
      <c r="AJ154" s="35"/>
      <c r="AK154" s="35"/>
      <c r="AL154" s="35"/>
      <c r="AM154" s="35"/>
      <c r="AN154" s="35"/>
      <c r="AO154" s="35"/>
      <c r="AP154" s="35"/>
      <c r="AQ154" s="35"/>
      <c r="AR154" s="35"/>
      <c r="AS154" s="35"/>
      <c r="AT154" s="35"/>
      <c r="AU154" s="35"/>
      <c r="AV154" s="35"/>
      <c r="AW154" s="35"/>
    </row>
    <row r="155" spans="1:49" ht="47.25" x14ac:dyDescent="0.25">
      <c r="A155" s="36" t="s">
        <v>79</v>
      </c>
      <c r="B155" s="38">
        <v>46075</v>
      </c>
      <c r="C155" s="38">
        <v>46075</v>
      </c>
      <c r="D155" s="36" t="s">
        <v>215</v>
      </c>
      <c r="E155" s="41">
        <v>0.54166666666666663</v>
      </c>
      <c r="F155" s="41">
        <v>0.66666666666666663</v>
      </c>
      <c r="G155" s="41">
        <v>1.7361111111111109E-4</v>
      </c>
      <c r="H155" s="36" t="s">
        <v>107</v>
      </c>
      <c r="I155" s="43">
        <v>0.64447916666666671</v>
      </c>
      <c r="J155" s="36" t="s">
        <v>103</v>
      </c>
      <c r="K155" s="36" t="s">
        <v>224</v>
      </c>
      <c r="L155" s="45">
        <v>1</v>
      </c>
      <c r="M155" s="45">
        <v>70031</v>
      </c>
      <c r="N155" s="36" t="s">
        <v>58</v>
      </c>
      <c r="O155" s="45" t="s">
        <v>105</v>
      </c>
      <c r="P155" s="48">
        <v>44.71</v>
      </c>
      <c r="Q155" s="45"/>
      <c r="R155" s="48">
        <v>44.71</v>
      </c>
      <c r="S155" s="49">
        <v>46054</v>
      </c>
      <c r="T155" s="48">
        <v>6.7065000000000001</v>
      </c>
      <c r="U155" s="50">
        <v>4</v>
      </c>
      <c r="V155" s="48">
        <v>38.003500000000003</v>
      </c>
      <c r="W155" s="36" t="s">
        <v>48</v>
      </c>
      <c r="X155" s="36" t="s">
        <v>49</v>
      </c>
      <c r="Y155" s="36" t="s">
        <v>36</v>
      </c>
      <c r="Z155" s="36" t="s">
        <v>9</v>
      </c>
      <c r="AA155" s="36" t="s">
        <v>50</v>
      </c>
      <c r="AB155" s="36" t="s">
        <v>106</v>
      </c>
      <c r="AC155" s="36" t="s">
        <v>38</v>
      </c>
      <c r="AD155" s="51" t="s">
        <v>226</v>
      </c>
      <c r="AE155" s="52"/>
      <c r="AF155" s="52"/>
      <c r="AG155" s="52"/>
      <c r="AH155" s="52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</row>
    <row r="156" spans="1:49" ht="31.5" x14ac:dyDescent="0.2">
      <c r="A156" s="35" t="s">
        <v>133</v>
      </c>
      <c r="B156" s="37">
        <v>46069</v>
      </c>
      <c r="C156" s="37">
        <v>46069</v>
      </c>
      <c r="D156" s="39" t="s">
        <v>30</v>
      </c>
      <c r="E156" s="40">
        <v>0.875</v>
      </c>
      <c r="F156" s="40">
        <v>0.91666666666666663</v>
      </c>
      <c r="G156" s="40">
        <v>4.1666666666666664E-2</v>
      </c>
      <c r="H156" s="35" t="s">
        <v>134</v>
      </c>
      <c r="I156" s="42"/>
      <c r="J156" s="35" t="s">
        <v>41</v>
      </c>
      <c r="K156" s="35"/>
      <c r="L156" s="44">
        <v>1</v>
      </c>
      <c r="M156" s="44">
        <v>1</v>
      </c>
      <c r="N156" s="35" t="s">
        <v>33</v>
      </c>
      <c r="O156" s="35"/>
      <c r="P156" s="47">
        <v>0</v>
      </c>
      <c r="Q156" s="44"/>
      <c r="R156" s="47">
        <v>0</v>
      </c>
      <c r="S156" s="35">
        <v>46054</v>
      </c>
      <c r="T156" s="47">
        <v>0</v>
      </c>
      <c r="U156" s="44">
        <v>2</v>
      </c>
      <c r="V156" s="47">
        <v>0</v>
      </c>
      <c r="W156" s="35" t="s">
        <v>34</v>
      </c>
      <c r="X156" s="35" t="s">
        <v>42</v>
      </c>
      <c r="Y156" s="35" t="s">
        <v>36</v>
      </c>
      <c r="Z156" s="35" t="s">
        <v>43</v>
      </c>
      <c r="AA156" s="35" t="s">
        <v>37</v>
      </c>
      <c r="AB156" s="35" t="s">
        <v>37</v>
      </c>
      <c r="AC156" s="35" t="s">
        <v>38</v>
      </c>
      <c r="AD156" s="51" t="s">
        <v>226</v>
      </c>
      <c r="AE156" s="35"/>
      <c r="AF156" s="35"/>
      <c r="AG156" s="35"/>
      <c r="AH156" s="35"/>
      <c r="AI156" s="35"/>
      <c r="AJ156" s="35"/>
      <c r="AK156" s="35"/>
      <c r="AL156" s="35"/>
      <c r="AM156" s="35"/>
      <c r="AN156" s="35"/>
      <c r="AO156" s="35"/>
      <c r="AP156" s="35"/>
      <c r="AQ156" s="35"/>
      <c r="AR156" s="35"/>
      <c r="AS156" s="35"/>
      <c r="AT156" s="35"/>
      <c r="AU156" s="35"/>
      <c r="AV156" s="35"/>
      <c r="AW156" s="35"/>
    </row>
    <row r="157" spans="1:49" ht="31.5" x14ac:dyDescent="0.2">
      <c r="A157" s="35" t="s">
        <v>133</v>
      </c>
      <c r="B157" s="37">
        <v>46069</v>
      </c>
      <c r="C157" s="37">
        <v>46069</v>
      </c>
      <c r="D157" s="39" t="s">
        <v>30</v>
      </c>
      <c r="E157" s="40">
        <v>0.91666666666666663</v>
      </c>
      <c r="F157" s="40">
        <v>0.97916666666666663</v>
      </c>
      <c r="G157" s="40">
        <v>6.25E-2</v>
      </c>
      <c r="H157" s="35" t="s">
        <v>135</v>
      </c>
      <c r="I157" s="42"/>
      <c r="J157" s="35" t="s">
        <v>41</v>
      </c>
      <c r="K157" s="35"/>
      <c r="L157" s="44">
        <v>1</v>
      </c>
      <c r="M157" s="44">
        <v>1</v>
      </c>
      <c r="N157" s="35" t="s">
        <v>33</v>
      </c>
      <c r="O157" s="35"/>
      <c r="P157" s="47">
        <v>0</v>
      </c>
      <c r="Q157" s="44"/>
      <c r="R157" s="47">
        <v>0</v>
      </c>
      <c r="S157" s="35">
        <v>46054</v>
      </c>
      <c r="T157" s="47">
        <v>0</v>
      </c>
      <c r="U157" s="44">
        <v>2</v>
      </c>
      <c r="V157" s="47">
        <v>0</v>
      </c>
      <c r="W157" s="35" t="s">
        <v>34</v>
      </c>
      <c r="X157" s="35" t="s">
        <v>42</v>
      </c>
      <c r="Y157" s="35" t="s">
        <v>36</v>
      </c>
      <c r="Z157" s="35" t="s">
        <v>43</v>
      </c>
      <c r="AA157" s="35" t="s">
        <v>37</v>
      </c>
      <c r="AB157" s="35" t="s">
        <v>37</v>
      </c>
      <c r="AC157" s="35" t="s">
        <v>38</v>
      </c>
      <c r="AD157" s="51" t="s">
        <v>226</v>
      </c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</row>
    <row r="158" spans="1:49" ht="31.5" x14ac:dyDescent="0.25">
      <c r="A158" s="35" t="s">
        <v>133</v>
      </c>
      <c r="B158" s="37">
        <v>46070</v>
      </c>
      <c r="C158" s="37">
        <v>46070</v>
      </c>
      <c r="D158" s="39" t="s">
        <v>146</v>
      </c>
      <c r="E158" s="40">
        <v>0.875</v>
      </c>
      <c r="F158" s="40">
        <v>0.91666666666666663</v>
      </c>
      <c r="G158" s="40">
        <v>4.1666666666666664E-2</v>
      </c>
      <c r="H158" s="35" t="s">
        <v>134</v>
      </c>
      <c r="I158" s="42"/>
      <c r="J158" s="35" t="s">
        <v>41</v>
      </c>
      <c r="K158" s="35"/>
      <c r="L158" s="44">
        <v>1</v>
      </c>
      <c r="M158" s="44">
        <v>1</v>
      </c>
      <c r="N158" s="35" t="s">
        <v>33</v>
      </c>
      <c r="O158" s="35"/>
      <c r="P158" s="47">
        <v>0</v>
      </c>
      <c r="Q158" s="44"/>
      <c r="R158" s="47">
        <v>0</v>
      </c>
      <c r="S158" s="35">
        <v>46054</v>
      </c>
      <c r="T158" s="47">
        <v>0</v>
      </c>
      <c r="U158" s="44">
        <v>2</v>
      </c>
      <c r="V158" s="47">
        <v>0</v>
      </c>
      <c r="W158" s="35" t="s">
        <v>34</v>
      </c>
      <c r="X158" s="35" t="s">
        <v>42</v>
      </c>
      <c r="Y158" s="35" t="s">
        <v>36</v>
      </c>
      <c r="Z158" s="35" t="s">
        <v>43</v>
      </c>
      <c r="AA158" s="35" t="s">
        <v>37</v>
      </c>
      <c r="AB158" s="35" t="s">
        <v>37</v>
      </c>
      <c r="AC158" s="35" t="s">
        <v>38</v>
      </c>
      <c r="AD158" s="51" t="s">
        <v>226</v>
      </c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</row>
    <row r="159" spans="1:49" ht="31.5" x14ac:dyDescent="0.2">
      <c r="A159" s="35" t="s">
        <v>133</v>
      </c>
      <c r="B159" s="37">
        <v>46070</v>
      </c>
      <c r="C159" s="37">
        <v>46070</v>
      </c>
      <c r="D159" s="39" t="s">
        <v>146</v>
      </c>
      <c r="E159" s="40">
        <v>0.91666666666666663</v>
      </c>
      <c r="F159" s="40">
        <v>0.97916666666666663</v>
      </c>
      <c r="G159" s="40">
        <v>6.25E-2</v>
      </c>
      <c r="H159" s="35" t="s">
        <v>163</v>
      </c>
      <c r="I159" s="42"/>
      <c r="J159" s="35" t="s">
        <v>41</v>
      </c>
      <c r="K159" s="35"/>
      <c r="L159" s="44">
        <v>1</v>
      </c>
      <c r="M159" s="44">
        <v>1</v>
      </c>
      <c r="N159" s="35" t="s">
        <v>33</v>
      </c>
      <c r="O159" s="35"/>
      <c r="P159" s="47">
        <v>0</v>
      </c>
      <c r="Q159" s="44"/>
      <c r="R159" s="47">
        <v>0</v>
      </c>
      <c r="S159" s="35">
        <v>46054</v>
      </c>
      <c r="T159" s="47">
        <v>0</v>
      </c>
      <c r="U159" s="44">
        <v>2</v>
      </c>
      <c r="V159" s="47">
        <v>0</v>
      </c>
      <c r="W159" s="35" t="s">
        <v>34</v>
      </c>
      <c r="X159" s="35" t="s">
        <v>42</v>
      </c>
      <c r="Y159" s="35" t="s">
        <v>36</v>
      </c>
      <c r="Z159" s="35" t="s">
        <v>43</v>
      </c>
      <c r="AA159" s="35" t="s">
        <v>37</v>
      </c>
      <c r="AB159" s="35" t="s">
        <v>37</v>
      </c>
      <c r="AC159" s="35" t="s">
        <v>38</v>
      </c>
      <c r="AD159" s="51" t="s">
        <v>226</v>
      </c>
      <c r="AE159" s="35"/>
      <c r="AF159" s="35"/>
      <c r="AG159" s="35"/>
      <c r="AH159" s="35"/>
      <c r="AI159" s="35"/>
      <c r="AJ159" s="35"/>
      <c r="AK159" s="35"/>
      <c r="AL159" s="35"/>
      <c r="AM159" s="35"/>
      <c r="AN159" s="35"/>
      <c r="AO159" s="35"/>
      <c r="AP159" s="35"/>
      <c r="AQ159" s="35"/>
      <c r="AR159" s="35"/>
      <c r="AS159" s="35"/>
      <c r="AT159" s="35"/>
      <c r="AU159" s="35"/>
      <c r="AV159" s="35"/>
      <c r="AW159" s="35"/>
    </row>
    <row r="160" spans="1:49" ht="31.5" x14ac:dyDescent="0.2">
      <c r="A160" s="35" t="s">
        <v>133</v>
      </c>
      <c r="B160" s="37">
        <v>46071</v>
      </c>
      <c r="C160" s="37">
        <v>46071</v>
      </c>
      <c r="D160" s="39" t="s">
        <v>164</v>
      </c>
      <c r="E160" s="40">
        <v>0.875</v>
      </c>
      <c r="F160" s="40">
        <v>0.91666666666666663</v>
      </c>
      <c r="G160" s="40">
        <v>4.1666666666666664E-2</v>
      </c>
      <c r="H160" s="35" t="s">
        <v>134</v>
      </c>
      <c r="I160" s="42"/>
      <c r="J160" s="35" t="s">
        <v>41</v>
      </c>
      <c r="K160" s="35"/>
      <c r="L160" s="44">
        <v>1</v>
      </c>
      <c r="M160" s="44">
        <v>1</v>
      </c>
      <c r="N160" s="35" t="s">
        <v>33</v>
      </c>
      <c r="O160" s="35"/>
      <c r="P160" s="47">
        <v>0</v>
      </c>
      <c r="Q160" s="44"/>
      <c r="R160" s="47">
        <v>0</v>
      </c>
      <c r="S160" s="35">
        <v>46054</v>
      </c>
      <c r="T160" s="47">
        <v>0</v>
      </c>
      <c r="U160" s="44">
        <v>2</v>
      </c>
      <c r="V160" s="47">
        <v>0</v>
      </c>
      <c r="W160" s="35" t="s">
        <v>34</v>
      </c>
      <c r="X160" s="35" t="s">
        <v>42</v>
      </c>
      <c r="Y160" s="35" t="s">
        <v>36</v>
      </c>
      <c r="Z160" s="35" t="s">
        <v>43</v>
      </c>
      <c r="AA160" s="35" t="s">
        <v>37</v>
      </c>
      <c r="AB160" s="35" t="s">
        <v>37</v>
      </c>
      <c r="AC160" s="35" t="s">
        <v>38</v>
      </c>
      <c r="AD160" s="51" t="s">
        <v>226</v>
      </c>
      <c r="AE160" s="35"/>
      <c r="AF160" s="35"/>
      <c r="AG160" s="35"/>
      <c r="AH160" s="35"/>
      <c r="AI160" s="35"/>
      <c r="AJ160" s="35"/>
      <c r="AK160" s="35"/>
      <c r="AL160" s="35"/>
      <c r="AM160" s="35"/>
      <c r="AN160" s="35"/>
      <c r="AO160" s="35"/>
      <c r="AP160" s="35"/>
      <c r="AQ160" s="35"/>
      <c r="AR160" s="35"/>
      <c r="AS160" s="35"/>
      <c r="AT160" s="35"/>
      <c r="AU160" s="35"/>
      <c r="AV160" s="35"/>
      <c r="AW160" s="35"/>
    </row>
    <row r="161" spans="1:49" ht="31.5" x14ac:dyDescent="0.2">
      <c r="A161" s="35" t="s">
        <v>133</v>
      </c>
      <c r="B161" s="37">
        <v>46071</v>
      </c>
      <c r="C161" s="37">
        <v>46071</v>
      </c>
      <c r="D161" s="39" t="s">
        <v>164</v>
      </c>
      <c r="E161" s="40">
        <v>0.91666666666666663</v>
      </c>
      <c r="F161" s="40">
        <v>0.97916666666666663</v>
      </c>
      <c r="G161" s="40">
        <v>6.25E-2</v>
      </c>
      <c r="H161" s="35" t="s">
        <v>175</v>
      </c>
      <c r="I161" s="42"/>
      <c r="J161" s="35" t="s">
        <v>41</v>
      </c>
      <c r="K161" s="35"/>
      <c r="L161" s="44">
        <v>1</v>
      </c>
      <c r="M161" s="44">
        <v>1</v>
      </c>
      <c r="N161" s="35" t="s">
        <v>33</v>
      </c>
      <c r="O161" s="35"/>
      <c r="P161" s="47">
        <v>0</v>
      </c>
      <c r="Q161" s="44"/>
      <c r="R161" s="47">
        <v>0</v>
      </c>
      <c r="S161" s="35">
        <v>46054</v>
      </c>
      <c r="T161" s="47">
        <v>0</v>
      </c>
      <c r="U161" s="44">
        <v>2</v>
      </c>
      <c r="V161" s="47">
        <v>0</v>
      </c>
      <c r="W161" s="35" t="s">
        <v>34</v>
      </c>
      <c r="X161" s="35" t="s">
        <v>42</v>
      </c>
      <c r="Y161" s="35" t="s">
        <v>36</v>
      </c>
      <c r="Z161" s="35" t="s">
        <v>43</v>
      </c>
      <c r="AA161" s="35" t="s">
        <v>37</v>
      </c>
      <c r="AB161" s="35" t="s">
        <v>37</v>
      </c>
      <c r="AC161" s="35" t="s">
        <v>38</v>
      </c>
      <c r="AD161" s="51" t="s">
        <v>226</v>
      </c>
      <c r="AE161" s="35"/>
      <c r="AF161" s="35"/>
      <c r="AG161" s="35"/>
      <c r="AH161" s="35"/>
      <c r="AI161" s="35"/>
      <c r="AJ161" s="35"/>
      <c r="AK161" s="35"/>
      <c r="AL161" s="35"/>
      <c r="AM161" s="35"/>
      <c r="AN161" s="35"/>
      <c r="AO161" s="35"/>
      <c r="AP161" s="35"/>
      <c r="AQ161" s="35"/>
      <c r="AR161" s="35"/>
      <c r="AS161" s="35"/>
      <c r="AT161" s="35"/>
      <c r="AU161" s="35"/>
      <c r="AV161" s="35"/>
      <c r="AW161" s="35"/>
    </row>
    <row r="162" spans="1:49" ht="31.5" x14ac:dyDescent="0.2">
      <c r="A162" s="35" t="s">
        <v>133</v>
      </c>
      <c r="B162" s="37">
        <v>46072</v>
      </c>
      <c r="C162" s="37">
        <v>46072</v>
      </c>
      <c r="D162" s="39" t="s">
        <v>177</v>
      </c>
      <c r="E162" s="40">
        <v>0.875</v>
      </c>
      <c r="F162" s="40">
        <v>0.91666666666666663</v>
      </c>
      <c r="G162" s="40">
        <v>4.1666666666666664E-2</v>
      </c>
      <c r="H162" s="35" t="s">
        <v>134</v>
      </c>
      <c r="I162" s="42"/>
      <c r="J162" s="35" t="s">
        <v>41</v>
      </c>
      <c r="K162" s="35"/>
      <c r="L162" s="44">
        <v>1</v>
      </c>
      <c r="M162" s="44">
        <v>1</v>
      </c>
      <c r="N162" s="35" t="s">
        <v>33</v>
      </c>
      <c r="O162" s="35"/>
      <c r="P162" s="47">
        <v>0</v>
      </c>
      <c r="Q162" s="44"/>
      <c r="R162" s="47">
        <v>0</v>
      </c>
      <c r="S162" s="35">
        <v>46054</v>
      </c>
      <c r="T162" s="47">
        <v>0</v>
      </c>
      <c r="U162" s="44">
        <v>2</v>
      </c>
      <c r="V162" s="47">
        <v>0</v>
      </c>
      <c r="W162" s="35" t="s">
        <v>34</v>
      </c>
      <c r="X162" s="35" t="s">
        <v>42</v>
      </c>
      <c r="Y162" s="35" t="s">
        <v>36</v>
      </c>
      <c r="Z162" s="35" t="s">
        <v>43</v>
      </c>
      <c r="AA162" s="35" t="s">
        <v>37</v>
      </c>
      <c r="AB162" s="35" t="s">
        <v>37</v>
      </c>
      <c r="AC162" s="35" t="s">
        <v>38</v>
      </c>
      <c r="AD162" s="51" t="s">
        <v>226</v>
      </c>
      <c r="AE162" s="35"/>
      <c r="AF162" s="35"/>
      <c r="AG162" s="35"/>
      <c r="AH162" s="35"/>
      <c r="AI162" s="35"/>
      <c r="AJ162" s="35"/>
      <c r="AK162" s="35"/>
      <c r="AL162" s="35"/>
      <c r="AM162" s="35"/>
      <c r="AN162" s="35"/>
      <c r="AO162" s="35"/>
      <c r="AP162" s="35"/>
      <c r="AQ162" s="35"/>
      <c r="AR162" s="35"/>
      <c r="AS162" s="35"/>
      <c r="AT162" s="35"/>
      <c r="AU162" s="35"/>
      <c r="AV162" s="35"/>
      <c r="AW162" s="35"/>
    </row>
    <row r="163" spans="1:49" ht="31.5" x14ac:dyDescent="0.2">
      <c r="A163" s="35" t="s">
        <v>133</v>
      </c>
      <c r="B163" s="37">
        <v>46072</v>
      </c>
      <c r="C163" s="37">
        <v>46072</v>
      </c>
      <c r="D163" s="39" t="s">
        <v>177</v>
      </c>
      <c r="E163" s="40">
        <v>0.91666666666666663</v>
      </c>
      <c r="F163" s="40">
        <v>0.97916666666666663</v>
      </c>
      <c r="G163" s="40">
        <v>6.25E-2</v>
      </c>
      <c r="H163" s="35" t="s">
        <v>187</v>
      </c>
      <c r="I163" s="42"/>
      <c r="J163" s="35" t="s">
        <v>41</v>
      </c>
      <c r="K163" s="35"/>
      <c r="L163" s="44">
        <v>1</v>
      </c>
      <c r="M163" s="44">
        <v>1</v>
      </c>
      <c r="N163" s="35" t="s">
        <v>33</v>
      </c>
      <c r="O163" s="35"/>
      <c r="P163" s="47">
        <v>0</v>
      </c>
      <c r="Q163" s="44"/>
      <c r="R163" s="47">
        <v>0</v>
      </c>
      <c r="S163" s="35">
        <v>46054</v>
      </c>
      <c r="T163" s="47">
        <v>0</v>
      </c>
      <c r="U163" s="44">
        <v>2</v>
      </c>
      <c r="V163" s="47">
        <v>0</v>
      </c>
      <c r="W163" s="35" t="s">
        <v>34</v>
      </c>
      <c r="X163" s="35" t="s">
        <v>42</v>
      </c>
      <c r="Y163" s="35" t="s">
        <v>36</v>
      </c>
      <c r="Z163" s="35" t="s">
        <v>43</v>
      </c>
      <c r="AA163" s="35" t="s">
        <v>37</v>
      </c>
      <c r="AB163" s="35" t="s">
        <v>37</v>
      </c>
      <c r="AC163" s="35" t="s">
        <v>38</v>
      </c>
      <c r="AD163" s="51" t="s">
        <v>226</v>
      </c>
      <c r="AE163" s="35"/>
      <c r="AF163" s="35"/>
      <c r="AG163" s="35"/>
      <c r="AH163" s="35"/>
      <c r="AI163" s="35"/>
      <c r="AJ163" s="35"/>
      <c r="AK163" s="35"/>
      <c r="AL163" s="35"/>
      <c r="AM163" s="35"/>
      <c r="AN163" s="35"/>
      <c r="AO163" s="35"/>
      <c r="AP163" s="35"/>
      <c r="AQ163" s="35"/>
      <c r="AR163" s="35"/>
      <c r="AS163" s="35"/>
      <c r="AT163" s="35"/>
      <c r="AU163" s="35"/>
      <c r="AV163" s="35"/>
      <c r="AW163" s="35"/>
    </row>
    <row r="164" spans="1:49" ht="31.5" x14ac:dyDescent="0.25">
      <c r="A164" s="35" t="s">
        <v>133</v>
      </c>
      <c r="B164" s="37">
        <v>46073</v>
      </c>
      <c r="C164" s="37">
        <v>46073</v>
      </c>
      <c r="D164" s="39" t="s">
        <v>189</v>
      </c>
      <c r="E164" s="40">
        <v>0.875</v>
      </c>
      <c r="F164" s="40">
        <v>0.91666666666666663</v>
      </c>
      <c r="G164" s="40">
        <v>4.1666666666666664E-2</v>
      </c>
      <c r="H164" s="35" t="s">
        <v>134</v>
      </c>
      <c r="I164" s="42"/>
      <c r="J164" s="35" t="s">
        <v>41</v>
      </c>
      <c r="K164" s="35"/>
      <c r="L164" s="44">
        <v>1</v>
      </c>
      <c r="M164" s="44">
        <v>1</v>
      </c>
      <c r="N164" s="35" t="s">
        <v>33</v>
      </c>
      <c r="O164" s="35"/>
      <c r="P164" s="47">
        <v>0</v>
      </c>
      <c r="Q164" s="44"/>
      <c r="R164" s="47">
        <v>0</v>
      </c>
      <c r="S164" s="35">
        <v>46054</v>
      </c>
      <c r="T164" s="47">
        <v>0</v>
      </c>
      <c r="U164" s="44">
        <v>2</v>
      </c>
      <c r="V164" s="47">
        <v>0</v>
      </c>
      <c r="W164" s="35" t="s">
        <v>34</v>
      </c>
      <c r="X164" s="35" t="s">
        <v>42</v>
      </c>
      <c r="Y164" s="35" t="s">
        <v>36</v>
      </c>
      <c r="Z164" s="35" t="s">
        <v>43</v>
      </c>
      <c r="AA164" s="35" t="s">
        <v>37</v>
      </c>
      <c r="AB164" s="35" t="s">
        <v>37</v>
      </c>
      <c r="AC164" s="35" t="s">
        <v>38</v>
      </c>
      <c r="AD164" s="51" t="s">
        <v>226</v>
      </c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</row>
    <row r="165" spans="1:49" ht="31.5" x14ac:dyDescent="0.2">
      <c r="A165" s="35" t="s">
        <v>133</v>
      </c>
      <c r="B165" s="37">
        <v>46073</v>
      </c>
      <c r="C165" s="37">
        <v>46073</v>
      </c>
      <c r="D165" s="39" t="s">
        <v>189</v>
      </c>
      <c r="E165" s="40">
        <v>0.91666666666666663</v>
      </c>
      <c r="F165" s="40">
        <v>0.97916666666666663</v>
      </c>
      <c r="G165" s="40">
        <v>6.25E-2</v>
      </c>
      <c r="H165" s="35" t="s">
        <v>196</v>
      </c>
      <c r="I165" s="42"/>
      <c r="J165" s="35" t="s">
        <v>41</v>
      </c>
      <c r="K165" s="35"/>
      <c r="L165" s="44">
        <v>1</v>
      </c>
      <c r="M165" s="44">
        <v>1</v>
      </c>
      <c r="N165" s="35" t="s">
        <v>33</v>
      </c>
      <c r="O165" s="35"/>
      <c r="P165" s="47">
        <v>0</v>
      </c>
      <c r="Q165" s="44"/>
      <c r="R165" s="47">
        <v>0</v>
      </c>
      <c r="S165" s="35">
        <v>46054</v>
      </c>
      <c r="T165" s="47">
        <v>0</v>
      </c>
      <c r="U165" s="44">
        <v>2</v>
      </c>
      <c r="V165" s="47">
        <v>0</v>
      </c>
      <c r="W165" s="35" t="s">
        <v>34</v>
      </c>
      <c r="X165" s="35" t="s">
        <v>42</v>
      </c>
      <c r="Y165" s="35" t="s">
        <v>36</v>
      </c>
      <c r="Z165" s="35" t="s">
        <v>43</v>
      </c>
      <c r="AA165" s="35" t="s">
        <v>37</v>
      </c>
      <c r="AB165" s="35" t="s">
        <v>37</v>
      </c>
      <c r="AC165" s="35" t="s">
        <v>38</v>
      </c>
      <c r="AD165" s="51" t="s">
        <v>226</v>
      </c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5"/>
      <c r="AQ165" s="35"/>
      <c r="AR165" s="35"/>
      <c r="AS165" s="35"/>
      <c r="AT165" s="35"/>
      <c r="AU165" s="35"/>
      <c r="AV165" s="35"/>
      <c r="AW165" s="35"/>
    </row>
    <row r="166" spans="1:49" ht="31.5" x14ac:dyDescent="0.25">
      <c r="A166" s="35" t="s">
        <v>133</v>
      </c>
      <c r="B166" s="37">
        <v>46074</v>
      </c>
      <c r="C166" s="37">
        <v>46074</v>
      </c>
      <c r="D166" s="39" t="s">
        <v>197</v>
      </c>
      <c r="E166" s="40">
        <v>0.875</v>
      </c>
      <c r="F166" s="40">
        <v>0.9375</v>
      </c>
      <c r="G166" s="40">
        <v>6.25E-2</v>
      </c>
      <c r="H166" s="35" t="s">
        <v>135</v>
      </c>
      <c r="I166" s="42" t="s">
        <v>199</v>
      </c>
      <c r="J166" s="35" t="s">
        <v>41</v>
      </c>
      <c r="K166" s="35"/>
      <c r="L166" s="44">
        <v>1</v>
      </c>
      <c r="M166" s="44">
        <v>1</v>
      </c>
      <c r="N166" s="35" t="s">
        <v>33</v>
      </c>
      <c r="O166" s="35"/>
      <c r="P166" s="47">
        <v>0</v>
      </c>
      <c r="Q166" s="44"/>
      <c r="R166" s="47">
        <v>0</v>
      </c>
      <c r="S166" s="35">
        <v>46054</v>
      </c>
      <c r="T166" s="47">
        <v>0</v>
      </c>
      <c r="U166" s="44">
        <v>2</v>
      </c>
      <c r="V166" s="47">
        <v>0</v>
      </c>
      <c r="W166" s="35" t="s">
        <v>34</v>
      </c>
      <c r="X166" s="35" t="s">
        <v>42</v>
      </c>
      <c r="Y166" s="35" t="s">
        <v>36</v>
      </c>
      <c r="Z166" s="35" t="s">
        <v>43</v>
      </c>
      <c r="AA166" s="35" t="s">
        <v>37</v>
      </c>
      <c r="AB166" s="35" t="s">
        <v>37</v>
      </c>
      <c r="AC166" s="35" t="s">
        <v>38</v>
      </c>
      <c r="AD166" s="51" t="s">
        <v>226</v>
      </c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</row>
    <row r="167" spans="1:49" ht="31.5" x14ac:dyDescent="0.2">
      <c r="A167" s="35" t="s">
        <v>133</v>
      </c>
      <c r="B167" s="37">
        <v>46074</v>
      </c>
      <c r="C167" s="37">
        <v>46074</v>
      </c>
      <c r="D167" s="39" t="s">
        <v>197</v>
      </c>
      <c r="E167" s="40">
        <v>0.9375</v>
      </c>
      <c r="F167" s="40">
        <v>1</v>
      </c>
      <c r="G167" s="40">
        <v>6.25E-2</v>
      </c>
      <c r="H167" s="35" t="s">
        <v>175</v>
      </c>
      <c r="I167" s="42" t="s">
        <v>199</v>
      </c>
      <c r="J167" s="35" t="s">
        <v>41</v>
      </c>
      <c r="K167" s="35"/>
      <c r="L167" s="44">
        <v>1</v>
      </c>
      <c r="M167" s="44">
        <v>1</v>
      </c>
      <c r="N167" s="35" t="s">
        <v>33</v>
      </c>
      <c r="O167" s="35"/>
      <c r="P167" s="47">
        <v>0</v>
      </c>
      <c r="Q167" s="44"/>
      <c r="R167" s="47">
        <v>0</v>
      </c>
      <c r="S167" s="35">
        <v>46054</v>
      </c>
      <c r="T167" s="47">
        <v>0</v>
      </c>
      <c r="U167" s="44">
        <v>2</v>
      </c>
      <c r="V167" s="47">
        <v>0</v>
      </c>
      <c r="W167" s="35" t="s">
        <v>34</v>
      </c>
      <c r="X167" s="35" t="s">
        <v>42</v>
      </c>
      <c r="Y167" s="35" t="s">
        <v>36</v>
      </c>
      <c r="Z167" s="35" t="s">
        <v>43</v>
      </c>
      <c r="AA167" s="35" t="s">
        <v>37</v>
      </c>
      <c r="AB167" s="35" t="s">
        <v>37</v>
      </c>
      <c r="AC167" s="35" t="s">
        <v>38</v>
      </c>
      <c r="AD167" s="51" t="s">
        <v>226</v>
      </c>
      <c r="AE167" s="35"/>
      <c r="AF167" s="35"/>
      <c r="AG167" s="35"/>
      <c r="AH167" s="35"/>
      <c r="AI167" s="35"/>
      <c r="AJ167" s="35"/>
      <c r="AK167" s="35"/>
      <c r="AL167" s="35"/>
      <c r="AM167" s="35"/>
      <c r="AN167" s="35"/>
      <c r="AO167" s="35"/>
      <c r="AP167" s="35"/>
      <c r="AQ167" s="35"/>
      <c r="AR167" s="35"/>
      <c r="AS167" s="35"/>
      <c r="AT167" s="35"/>
      <c r="AU167" s="35"/>
      <c r="AV167" s="35"/>
      <c r="AW167" s="35"/>
    </row>
    <row r="168" spans="1:49" ht="31.5" x14ac:dyDescent="0.2">
      <c r="A168" s="35" t="s">
        <v>133</v>
      </c>
      <c r="B168" s="37">
        <v>46075</v>
      </c>
      <c r="C168" s="37">
        <v>46075</v>
      </c>
      <c r="D168" s="39" t="s">
        <v>215</v>
      </c>
      <c r="E168" s="40">
        <v>0.875</v>
      </c>
      <c r="F168" s="40">
        <v>0.9375</v>
      </c>
      <c r="G168" s="40">
        <v>6.25E-2</v>
      </c>
      <c r="H168" s="35" t="s">
        <v>163</v>
      </c>
      <c r="I168" s="42" t="s">
        <v>199</v>
      </c>
      <c r="J168" s="35" t="s">
        <v>41</v>
      </c>
      <c r="K168" s="35"/>
      <c r="L168" s="44">
        <v>1</v>
      </c>
      <c r="M168" s="44">
        <v>1</v>
      </c>
      <c r="N168" s="35" t="s">
        <v>33</v>
      </c>
      <c r="O168" s="35"/>
      <c r="P168" s="47">
        <v>0</v>
      </c>
      <c r="Q168" s="44"/>
      <c r="R168" s="47">
        <v>0</v>
      </c>
      <c r="S168" s="35">
        <v>46054</v>
      </c>
      <c r="T168" s="47">
        <v>0</v>
      </c>
      <c r="U168" s="44">
        <v>2</v>
      </c>
      <c r="V168" s="47">
        <v>0</v>
      </c>
      <c r="W168" s="35" t="s">
        <v>34</v>
      </c>
      <c r="X168" s="35" t="s">
        <v>42</v>
      </c>
      <c r="Y168" s="35" t="s">
        <v>36</v>
      </c>
      <c r="Z168" s="35" t="s">
        <v>43</v>
      </c>
      <c r="AA168" s="35" t="s">
        <v>37</v>
      </c>
      <c r="AB168" s="35" t="s">
        <v>37</v>
      </c>
      <c r="AC168" s="35" t="s">
        <v>38</v>
      </c>
      <c r="AD168" s="51" t="s">
        <v>226</v>
      </c>
      <c r="AE168" s="35"/>
      <c r="AF168" s="35"/>
      <c r="AG168" s="35"/>
      <c r="AH168" s="35"/>
      <c r="AI168" s="35"/>
      <c r="AJ168" s="35"/>
      <c r="AK168" s="35"/>
      <c r="AL168" s="35"/>
      <c r="AM168" s="35"/>
      <c r="AN168" s="35"/>
      <c r="AO168" s="35"/>
      <c r="AP168" s="35"/>
      <c r="AQ168" s="35"/>
      <c r="AR168" s="35"/>
      <c r="AS168" s="35"/>
      <c r="AT168" s="35"/>
      <c r="AU168" s="35"/>
      <c r="AV168" s="35"/>
      <c r="AW168" s="35"/>
    </row>
    <row r="169" spans="1:49" ht="31.5" x14ac:dyDescent="0.2">
      <c r="A169" s="35" t="s">
        <v>133</v>
      </c>
      <c r="B169" s="37">
        <v>46075</v>
      </c>
      <c r="C169" s="37">
        <v>46075</v>
      </c>
      <c r="D169" s="39" t="s">
        <v>215</v>
      </c>
      <c r="E169" s="40">
        <v>0.9375</v>
      </c>
      <c r="F169" s="40">
        <v>1</v>
      </c>
      <c r="G169" s="40">
        <v>6.25E-2</v>
      </c>
      <c r="H169" s="35" t="s">
        <v>187</v>
      </c>
      <c r="I169" s="42" t="s">
        <v>199</v>
      </c>
      <c r="J169" s="35" t="s">
        <v>41</v>
      </c>
      <c r="K169" s="35"/>
      <c r="L169" s="44">
        <v>1</v>
      </c>
      <c r="M169" s="44">
        <v>1</v>
      </c>
      <c r="N169" s="35" t="s">
        <v>33</v>
      </c>
      <c r="O169" s="35"/>
      <c r="P169" s="47">
        <v>0</v>
      </c>
      <c r="Q169" s="44"/>
      <c r="R169" s="47">
        <v>0</v>
      </c>
      <c r="S169" s="35">
        <v>46054</v>
      </c>
      <c r="T169" s="47">
        <v>0</v>
      </c>
      <c r="U169" s="44">
        <v>2</v>
      </c>
      <c r="V169" s="47">
        <v>0</v>
      </c>
      <c r="W169" s="35" t="s">
        <v>34</v>
      </c>
      <c r="X169" s="35" t="s">
        <v>42</v>
      </c>
      <c r="Y169" s="35" t="s">
        <v>36</v>
      </c>
      <c r="Z169" s="35" t="s">
        <v>43</v>
      </c>
      <c r="AA169" s="35" t="s">
        <v>37</v>
      </c>
      <c r="AB169" s="35" t="s">
        <v>37</v>
      </c>
      <c r="AC169" s="35" t="s">
        <v>38</v>
      </c>
      <c r="AD169" s="51" t="s">
        <v>226</v>
      </c>
      <c r="AE169" s="35"/>
      <c r="AF169" s="35"/>
      <c r="AG169" s="35"/>
      <c r="AH169" s="35"/>
      <c r="AI169" s="35"/>
      <c r="AJ169" s="35"/>
      <c r="AK169" s="35"/>
      <c r="AL169" s="35"/>
      <c r="AM169" s="35"/>
      <c r="AN169" s="35"/>
      <c r="AO169" s="35"/>
      <c r="AP169" s="35"/>
      <c r="AQ169" s="35"/>
      <c r="AR169" s="35"/>
      <c r="AS169" s="35"/>
      <c r="AT169" s="35"/>
      <c r="AU169" s="35"/>
      <c r="AV169" s="35"/>
      <c r="AW169" s="35"/>
    </row>
    <row r="170" spans="1:49" ht="31.5" x14ac:dyDescent="0.2">
      <c r="A170" s="35" t="s">
        <v>206</v>
      </c>
      <c r="B170" s="37">
        <v>46074</v>
      </c>
      <c r="C170" s="37">
        <v>46074</v>
      </c>
      <c r="D170" s="39" t="s">
        <v>197</v>
      </c>
      <c r="E170" s="40">
        <v>0.58333333333333337</v>
      </c>
      <c r="F170" s="40">
        <v>0.625</v>
      </c>
      <c r="G170" s="40">
        <v>4.1666666666666664E-2</v>
      </c>
      <c r="H170" s="35" t="s">
        <v>207</v>
      </c>
      <c r="I170" s="42"/>
      <c r="J170" s="35" t="s">
        <v>103</v>
      </c>
      <c r="K170" s="35" t="s">
        <v>208</v>
      </c>
      <c r="L170" s="44">
        <v>1</v>
      </c>
      <c r="M170" s="44">
        <v>1</v>
      </c>
      <c r="N170" s="35" t="s">
        <v>33</v>
      </c>
      <c r="O170" s="35"/>
      <c r="P170" s="46">
        <v>0</v>
      </c>
      <c r="Q170" s="44"/>
      <c r="R170" s="47">
        <v>0</v>
      </c>
      <c r="S170" s="35">
        <v>46054</v>
      </c>
      <c r="T170" s="47">
        <v>0</v>
      </c>
      <c r="U170" s="44">
        <v>1</v>
      </c>
      <c r="V170" s="47">
        <v>0</v>
      </c>
      <c r="W170" s="35" t="s">
        <v>34</v>
      </c>
      <c r="X170" s="35" t="s">
        <v>35</v>
      </c>
      <c r="Y170" s="35" t="s">
        <v>36</v>
      </c>
      <c r="Z170" s="35" t="s">
        <v>73</v>
      </c>
      <c r="AA170" s="35" t="s">
        <v>37</v>
      </c>
      <c r="AB170" s="35" t="s">
        <v>37</v>
      </c>
      <c r="AC170" s="35" t="s">
        <v>38</v>
      </c>
      <c r="AD170" s="51" t="s">
        <v>226</v>
      </c>
      <c r="AE170" s="35"/>
      <c r="AF170" s="35"/>
      <c r="AG170" s="35"/>
      <c r="AH170" s="35"/>
      <c r="AI170" s="35"/>
      <c r="AJ170" s="35"/>
      <c r="AK170" s="35"/>
      <c r="AL170" s="35"/>
      <c r="AM170" s="35"/>
      <c r="AN170" s="35"/>
      <c r="AO170" s="35"/>
      <c r="AP170" s="35"/>
      <c r="AQ170" s="35"/>
      <c r="AR170" s="35"/>
      <c r="AS170" s="35"/>
      <c r="AT170" s="35"/>
      <c r="AU170" s="35"/>
      <c r="AV170" s="35"/>
      <c r="AW170" s="35"/>
    </row>
    <row r="171" spans="1:49" ht="31.5" x14ac:dyDescent="0.2">
      <c r="A171" s="35" t="s">
        <v>109</v>
      </c>
      <c r="B171" s="37">
        <v>46069</v>
      </c>
      <c r="C171" s="37">
        <v>46069</v>
      </c>
      <c r="D171" s="39" t="s">
        <v>30</v>
      </c>
      <c r="E171" s="40">
        <v>0.58333333333333337</v>
      </c>
      <c r="F171" s="40">
        <v>0.625</v>
      </c>
      <c r="G171" s="40">
        <v>4.1666666666666664E-2</v>
      </c>
      <c r="H171" s="35" t="s">
        <v>110</v>
      </c>
      <c r="I171" s="42"/>
      <c r="J171" s="35" t="s">
        <v>111</v>
      </c>
      <c r="K171" s="35"/>
      <c r="L171" s="44">
        <v>1</v>
      </c>
      <c r="M171" s="44">
        <v>1</v>
      </c>
      <c r="N171" s="35" t="s">
        <v>33</v>
      </c>
      <c r="O171" s="35"/>
      <c r="P171" s="47">
        <v>0</v>
      </c>
      <c r="Q171" s="44"/>
      <c r="R171" s="47">
        <v>0</v>
      </c>
      <c r="S171" s="35">
        <v>46054</v>
      </c>
      <c r="T171" s="47">
        <v>0</v>
      </c>
      <c r="U171" s="44">
        <v>2</v>
      </c>
      <c r="V171" s="47">
        <v>0</v>
      </c>
      <c r="W171" s="35" t="s">
        <v>34</v>
      </c>
      <c r="X171" s="35" t="s">
        <v>42</v>
      </c>
      <c r="Y171" s="35" t="s">
        <v>36</v>
      </c>
      <c r="Z171" s="35" t="s">
        <v>43</v>
      </c>
      <c r="AA171" s="35" t="s">
        <v>37</v>
      </c>
      <c r="AB171" s="35" t="s">
        <v>37</v>
      </c>
      <c r="AC171" s="35" t="s">
        <v>38</v>
      </c>
      <c r="AD171" s="51" t="s">
        <v>226</v>
      </c>
      <c r="AE171" s="35"/>
      <c r="AF171" s="35"/>
      <c r="AG171" s="35"/>
      <c r="AH171" s="35"/>
      <c r="AI171" s="35"/>
      <c r="AJ171" s="35"/>
      <c r="AK171" s="35"/>
      <c r="AL171" s="35"/>
      <c r="AM171" s="35"/>
      <c r="AN171" s="35"/>
      <c r="AO171" s="35"/>
      <c r="AP171" s="35"/>
      <c r="AQ171" s="35"/>
      <c r="AR171" s="35"/>
      <c r="AS171" s="35"/>
      <c r="AT171" s="35"/>
      <c r="AU171" s="35"/>
      <c r="AV171" s="35"/>
      <c r="AW171" s="35"/>
    </row>
    <row r="172" spans="1:49" ht="31.5" x14ac:dyDescent="0.25">
      <c r="A172" s="35" t="s">
        <v>109</v>
      </c>
      <c r="B172" s="37">
        <v>46069</v>
      </c>
      <c r="C172" s="37">
        <v>46069</v>
      </c>
      <c r="D172" s="39" t="s">
        <v>30</v>
      </c>
      <c r="E172" s="40">
        <v>0.625</v>
      </c>
      <c r="F172" s="40">
        <v>0.64583333333333337</v>
      </c>
      <c r="G172" s="40">
        <v>2.0833333333333332E-2</v>
      </c>
      <c r="H172" s="35" t="s">
        <v>112</v>
      </c>
      <c r="I172" s="42"/>
      <c r="J172" s="35" t="s">
        <v>111</v>
      </c>
      <c r="K172" s="35"/>
      <c r="L172" s="44">
        <v>1</v>
      </c>
      <c r="M172" s="44">
        <v>1</v>
      </c>
      <c r="N172" s="35" t="s">
        <v>33</v>
      </c>
      <c r="O172" s="35"/>
      <c r="P172" s="47">
        <v>0</v>
      </c>
      <c r="Q172" s="44"/>
      <c r="R172" s="47">
        <v>0</v>
      </c>
      <c r="S172" s="35">
        <v>46054</v>
      </c>
      <c r="T172" s="47">
        <v>0</v>
      </c>
      <c r="U172" s="44">
        <v>2</v>
      </c>
      <c r="V172" s="47">
        <v>0</v>
      </c>
      <c r="W172" s="35" t="s">
        <v>34</v>
      </c>
      <c r="X172" s="35" t="s">
        <v>42</v>
      </c>
      <c r="Y172" s="35" t="s">
        <v>36</v>
      </c>
      <c r="Z172" s="35" t="s">
        <v>43</v>
      </c>
      <c r="AA172" s="35" t="s">
        <v>37</v>
      </c>
      <c r="AB172" s="35" t="s">
        <v>37</v>
      </c>
      <c r="AC172" s="35" t="s">
        <v>38</v>
      </c>
      <c r="AD172" s="51" t="s">
        <v>226</v>
      </c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</row>
    <row r="173" spans="1:49" ht="31.5" x14ac:dyDescent="0.25">
      <c r="A173" s="35" t="s">
        <v>109</v>
      </c>
      <c r="B173" s="37">
        <v>46069</v>
      </c>
      <c r="C173" s="37">
        <v>46069</v>
      </c>
      <c r="D173" s="39" t="s">
        <v>30</v>
      </c>
      <c r="E173" s="40">
        <v>0.64583333333333337</v>
      </c>
      <c r="F173" s="40">
        <v>0.66666666666666663</v>
      </c>
      <c r="G173" s="40">
        <v>2.0833333333333332E-2</v>
      </c>
      <c r="H173" s="35" t="s">
        <v>113</v>
      </c>
      <c r="I173" s="42"/>
      <c r="J173" s="35" t="s">
        <v>111</v>
      </c>
      <c r="K173" s="35"/>
      <c r="L173" s="44">
        <v>1</v>
      </c>
      <c r="M173" s="44">
        <v>1</v>
      </c>
      <c r="N173" s="35" t="s">
        <v>33</v>
      </c>
      <c r="O173" s="35"/>
      <c r="P173" s="47">
        <v>0</v>
      </c>
      <c r="Q173" s="44"/>
      <c r="R173" s="47">
        <v>0</v>
      </c>
      <c r="S173" s="35">
        <v>46054</v>
      </c>
      <c r="T173" s="47">
        <v>0</v>
      </c>
      <c r="U173" s="44">
        <v>2</v>
      </c>
      <c r="V173" s="47">
        <v>0</v>
      </c>
      <c r="W173" s="35" t="s">
        <v>34</v>
      </c>
      <c r="X173" s="35" t="s">
        <v>42</v>
      </c>
      <c r="Y173" s="35" t="s">
        <v>36</v>
      </c>
      <c r="Z173" s="35" t="s">
        <v>43</v>
      </c>
      <c r="AA173" s="35" t="s">
        <v>37</v>
      </c>
      <c r="AB173" s="35" t="s">
        <v>37</v>
      </c>
      <c r="AC173" s="35" t="s">
        <v>38</v>
      </c>
      <c r="AD173" s="51" t="s">
        <v>226</v>
      </c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</row>
    <row r="174" spans="1:49" ht="31.5" x14ac:dyDescent="0.2">
      <c r="A174" s="35" t="s">
        <v>109</v>
      </c>
      <c r="B174" s="37">
        <v>46070</v>
      </c>
      <c r="C174" s="37">
        <v>46070</v>
      </c>
      <c r="D174" s="39" t="s">
        <v>146</v>
      </c>
      <c r="E174" s="40">
        <v>0.58333333333333337</v>
      </c>
      <c r="F174" s="40">
        <v>0.625</v>
      </c>
      <c r="G174" s="40">
        <v>4.1666666666666664E-2</v>
      </c>
      <c r="H174" s="35" t="s">
        <v>110</v>
      </c>
      <c r="I174" s="42"/>
      <c r="J174" s="35" t="s">
        <v>111</v>
      </c>
      <c r="K174" s="35"/>
      <c r="L174" s="44">
        <v>1</v>
      </c>
      <c r="M174" s="44">
        <v>1</v>
      </c>
      <c r="N174" s="35" t="s">
        <v>33</v>
      </c>
      <c r="O174" s="35"/>
      <c r="P174" s="47">
        <v>0</v>
      </c>
      <c r="Q174" s="44"/>
      <c r="R174" s="47">
        <v>0</v>
      </c>
      <c r="S174" s="35">
        <v>46054</v>
      </c>
      <c r="T174" s="47">
        <v>0</v>
      </c>
      <c r="U174" s="44">
        <v>2</v>
      </c>
      <c r="V174" s="47">
        <v>0</v>
      </c>
      <c r="W174" s="35" t="s">
        <v>34</v>
      </c>
      <c r="X174" s="35" t="s">
        <v>42</v>
      </c>
      <c r="Y174" s="35" t="s">
        <v>36</v>
      </c>
      <c r="Z174" s="35" t="s">
        <v>43</v>
      </c>
      <c r="AA174" s="35" t="s">
        <v>37</v>
      </c>
      <c r="AB174" s="35" t="s">
        <v>37</v>
      </c>
      <c r="AC174" s="35" t="s">
        <v>38</v>
      </c>
      <c r="AD174" s="51" t="s">
        <v>226</v>
      </c>
      <c r="AE174" s="35"/>
      <c r="AF174" s="35"/>
      <c r="AG174" s="35"/>
      <c r="AH174" s="35"/>
      <c r="AI174" s="35"/>
      <c r="AJ174" s="35"/>
      <c r="AK174" s="35"/>
      <c r="AL174" s="35"/>
      <c r="AM174" s="35"/>
      <c r="AN174" s="35"/>
      <c r="AO174" s="35"/>
      <c r="AP174" s="35"/>
      <c r="AQ174" s="35"/>
      <c r="AR174" s="35"/>
      <c r="AS174" s="35"/>
      <c r="AT174" s="35"/>
      <c r="AU174" s="35"/>
      <c r="AV174" s="35"/>
      <c r="AW174" s="35"/>
    </row>
    <row r="175" spans="1:49" ht="31.5" x14ac:dyDescent="0.25">
      <c r="A175" s="35" t="s">
        <v>109</v>
      </c>
      <c r="B175" s="37">
        <v>46070</v>
      </c>
      <c r="C175" s="37">
        <v>46070</v>
      </c>
      <c r="D175" s="39" t="s">
        <v>146</v>
      </c>
      <c r="E175" s="40">
        <v>0.625</v>
      </c>
      <c r="F175" s="40">
        <v>0.64583333333333337</v>
      </c>
      <c r="G175" s="40">
        <v>2.0833333333333332E-2</v>
      </c>
      <c r="H175" s="35" t="s">
        <v>112</v>
      </c>
      <c r="I175" s="42"/>
      <c r="J175" s="35" t="s">
        <v>111</v>
      </c>
      <c r="K175" s="35"/>
      <c r="L175" s="44">
        <v>1</v>
      </c>
      <c r="M175" s="44">
        <v>1</v>
      </c>
      <c r="N175" s="35" t="s">
        <v>33</v>
      </c>
      <c r="O175" s="35"/>
      <c r="P175" s="47">
        <v>0</v>
      </c>
      <c r="Q175" s="44"/>
      <c r="R175" s="47">
        <v>0</v>
      </c>
      <c r="S175" s="35">
        <v>46054</v>
      </c>
      <c r="T175" s="47">
        <v>0</v>
      </c>
      <c r="U175" s="44">
        <v>2</v>
      </c>
      <c r="V175" s="47">
        <v>0</v>
      </c>
      <c r="W175" s="35" t="s">
        <v>34</v>
      </c>
      <c r="X175" s="35" t="s">
        <v>42</v>
      </c>
      <c r="Y175" s="35" t="s">
        <v>36</v>
      </c>
      <c r="Z175" s="35" t="s">
        <v>43</v>
      </c>
      <c r="AA175" s="35" t="s">
        <v>37</v>
      </c>
      <c r="AB175" s="35" t="s">
        <v>37</v>
      </c>
      <c r="AC175" s="35" t="s">
        <v>38</v>
      </c>
      <c r="AD175" s="51" t="s">
        <v>226</v>
      </c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</row>
    <row r="176" spans="1:49" ht="31.5" x14ac:dyDescent="0.25">
      <c r="A176" s="35" t="s">
        <v>109</v>
      </c>
      <c r="B176" s="37">
        <v>46070</v>
      </c>
      <c r="C176" s="37">
        <v>46070</v>
      </c>
      <c r="D176" s="39" t="s">
        <v>146</v>
      </c>
      <c r="E176" s="40">
        <v>0.64583333333333337</v>
      </c>
      <c r="F176" s="40">
        <v>0.66666666666666663</v>
      </c>
      <c r="G176" s="40">
        <v>2.0833333333333332E-2</v>
      </c>
      <c r="H176" s="35" t="s">
        <v>113</v>
      </c>
      <c r="I176" s="42"/>
      <c r="J176" s="35" t="s">
        <v>111</v>
      </c>
      <c r="K176" s="35"/>
      <c r="L176" s="44">
        <v>1</v>
      </c>
      <c r="M176" s="44">
        <v>1</v>
      </c>
      <c r="N176" s="35" t="s">
        <v>33</v>
      </c>
      <c r="O176" s="35"/>
      <c r="P176" s="47">
        <v>0</v>
      </c>
      <c r="Q176" s="44"/>
      <c r="R176" s="47">
        <v>0</v>
      </c>
      <c r="S176" s="35">
        <v>46054</v>
      </c>
      <c r="T176" s="47">
        <v>0</v>
      </c>
      <c r="U176" s="44">
        <v>2</v>
      </c>
      <c r="V176" s="47">
        <v>0</v>
      </c>
      <c r="W176" s="35" t="s">
        <v>34</v>
      </c>
      <c r="X176" s="35" t="s">
        <v>42</v>
      </c>
      <c r="Y176" s="35" t="s">
        <v>36</v>
      </c>
      <c r="Z176" s="35" t="s">
        <v>43</v>
      </c>
      <c r="AA176" s="35" t="s">
        <v>37</v>
      </c>
      <c r="AB176" s="35" t="s">
        <v>37</v>
      </c>
      <c r="AC176" s="35" t="s">
        <v>38</v>
      </c>
      <c r="AD176" s="51" t="s">
        <v>226</v>
      </c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</row>
    <row r="177" spans="1:49" ht="31.5" x14ac:dyDescent="0.25">
      <c r="A177" s="35" t="s">
        <v>109</v>
      </c>
      <c r="B177" s="37">
        <v>46071</v>
      </c>
      <c r="C177" s="37">
        <v>46071</v>
      </c>
      <c r="D177" s="39" t="s">
        <v>164</v>
      </c>
      <c r="E177" s="40">
        <v>0.58333333333333337</v>
      </c>
      <c r="F177" s="40">
        <v>0.625</v>
      </c>
      <c r="G177" s="40">
        <v>4.1666666666666664E-2</v>
      </c>
      <c r="H177" s="35" t="s">
        <v>110</v>
      </c>
      <c r="I177" s="42"/>
      <c r="J177" s="35" t="s">
        <v>111</v>
      </c>
      <c r="K177" s="35"/>
      <c r="L177" s="44">
        <v>1</v>
      </c>
      <c r="M177" s="44">
        <v>1</v>
      </c>
      <c r="N177" s="35" t="s">
        <v>33</v>
      </c>
      <c r="O177" s="35"/>
      <c r="P177" s="47">
        <v>0</v>
      </c>
      <c r="Q177" s="44"/>
      <c r="R177" s="47">
        <v>0</v>
      </c>
      <c r="S177" s="35">
        <v>46054</v>
      </c>
      <c r="T177" s="47">
        <v>0</v>
      </c>
      <c r="U177" s="44">
        <v>2</v>
      </c>
      <c r="V177" s="47">
        <v>0</v>
      </c>
      <c r="W177" s="35" t="s">
        <v>34</v>
      </c>
      <c r="X177" s="35" t="s">
        <v>42</v>
      </c>
      <c r="Y177" s="35" t="s">
        <v>36</v>
      </c>
      <c r="Z177" s="35" t="s">
        <v>43</v>
      </c>
      <c r="AA177" s="35" t="s">
        <v>37</v>
      </c>
      <c r="AB177" s="35" t="s">
        <v>37</v>
      </c>
      <c r="AC177" s="35" t="s">
        <v>38</v>
      </c>
      <c r="AD177" s="51" t="s">
        <v>226</v>
      </c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</row>
    <row r="178" spans="1:49" ht="31.5" x14ac:dyDescent="0.2">
      <c r="A178" s="35" t="s">
        <v>109</v>
      </c>
      <c r="B178" s="37">
        <v>46071</v>
      </c>
      <c r="C178" s="37">
        <v>46071</v>
      </c>
      <c r="D178" s="39" t="s">
        <v>164</v>
      </c>
      <c r="E178" s="40">
        <v>0.625</v>
      </c>
      <c r="F178" s="40">
        <v>0.64583333333333337</v>
      </c>
      <c r="G178" s="40">
        <v>2.0833333333333332E-2</v>
      </c>
      <c r="H178" s="35" t="s">
        <v>112</v>
      </c>
      <c r="I178" s="42"/>
      <c r="J178" s="35" t="s">
        <v>111</v>
      </c>
      <c r="K178" s="35"/>
      <c r="L178" s="44">
        <v>1</v>
      </c>
      <c r="M178" s="44">
        <v>1</v>
      </c>
      <c r="N178" s="35" t="s">
        <v>33</v>
      </c>
      <c r="O178" s="35"/>
      <c r="P178" s="47">
        <v>0</v>
      </c>
      <c r="Q178" s="44"/>
      <c r="R178" s="47">
        <v>0</v>
      </c>
      <c r="S178" s="35">
        <v>46054</v>
      </c>
      <c r="T178" s="47">
        <v>0</v>
      </c>
      <c r="U178" s="44">
        <v>2</v>
      </c>
      <c r="V178" s="47">
        <v>0</v>
      </c>
      <c r="W178" s="35" t="s">
        <v>34</v>
      </c>
      <c r="X178" s="35" t="s">
        <v>42</v>
      </c>
      <c r="Y178" s="35" t="s">
        <v>36</v>
      </c>
      <c r="Z178" s="35" t="s">
        <v>43</v>
      </c>
      <c r="AA178" s="35" t="s">
        <v>37</v>
      </c>
      <c r="AB178" s="35" t="s">
        <v>37</v>
      </c>
      <c r="AC178" s="35" t="s">
        <v>38</v>
      </c>
      <c r="AD178" s="51" t="s">
        <v>226</v>
      </c>
      <c r="AE178" s="35"/>
      <c r="AF178" s="35"/>
      <c r="AG178" s="35"/>
      <c r="AH178" s="35"/>
      <c r="AI178" s="35"/>
      <c r="AJ178" s="35"/>
      <c r="AK178" s="35"/>
      <c r="AL178" s="35"/>
      <c r="AM178" s="35"/>
      <c r="AN178" s="35"/>
      <c r="AO178" s="35"/>
      <c r="AP178" s="35"/>
      <c r="AQ178" s="35"/>
      <c r="AR178" s="35"/>
      <c r="AS178" s="35"/>
      <c r="AT178" s="35"/>
      <c r="AU178" s="35"/>
      <c r="AV178" s="35"/>
      <c r="AW178" s="35"/>
    </row>
    <row r="179" spans="1:49" ht="31.5" x14ac:dyDescent="0.25">
      <c r="A179" s="35" t="s">
        <v>109</v>
      </c>
      <c r="B179" s="37">
        <v>46071</v>
      </c>
      <c r="C179" s="37">
        <v>46071</v>
      </c>
      <c r="D179" s="39" t="s">
        <v>164</v>
      </c>
      <c r="E179" s="40">
        <v>0.64583333333333337</v>
      </c>
      <c r="F179" s="40">
        <v>0.66666666666666663</v>
      </c>
      <c r="G179" s="40">
        <v>2.0833333333333332E-2</v>
      </c>
      <c r="H179" s="35" t="s">
        <v>113</v>
      </c>
      <c r="I179" s="42"/>
      <c r="J179" s="35" t="s">
        <v>111</v>
      </c>
      <c r="K179" s="35"/>
      <c r="L179" s="44">
        <v>1</v>
      </c>
      <c r="M179" s="44">
        <v>1</v>
      </c>
      <c r="N179" s="35" t="s">
        <v>33</v>
      </c>
      <c r="O179" s="35"/>
      <c r="P179" s="47">
        <v>0</v>
      </c>
      <c r="Q179" s="44"/>
      <c r="R179" s="47">
        <v>0</v>
      </c>
      <c r="S179" s="35">
        <v>46054</v>
      </c>
      <c r="T179" s="47">
        <v>0</v>
      </c>
      <c r="U179" s="44">
        <v>2</v>
      </c>
      <c r="V179" s="47">
        <v>0</v>
      </c>
      <c r="W179" s="35" t="s">
        <v>34</v>
      </c>
      <c r="X179" s="35" t="s">
        <v>42</v>
      </c>
      <c r="Y179" s="35" t="s">
        <v>36</v>
      </c>
      <c r="Z179" s="35" t="s">
        <v>43</v>
      </c>
      <c r="AA179" s="35" t="s">
        <v>37</v>
      </c>
      <c r="AB179" s="35" t="s">
        <v>37</v>
      </c>
      <c r="AC179" s="35" t="s">
        <v>38</v>
      </c>
      <c r="AD179" s="51" t="s">
        <v>226</v>
      </c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</row>
    <row r="180" spans="1:49" ht="31.5" x14ac:dyDescent="0.25">
      <c r="A180" s="35" t="s">
        <v>109</v>
      </c>
      <c r="B180" s="37">
        <v>46072</v>
      </c>
      <c r="C180" s="37">
        <v>46072</v>
      </c>
      <c r="D180" s="39" t="s">
        <v>177</v>
      </c>
      <c r="E180" s="40">
        <v>0.58333333333333337</v>
      </c>
      <c r="F180" s="40">
        <v>0.625</v>
      </c>
      <c r="G180" s="40">
        <v>4.1666666666666664E-2</v>
      </c>
      <c r="H180" s="35" t="s">
        <v>110</v>
      </c>
      <c r="I180" s="42"/>
      <c r="J180" s="35" t="s">
        <v>111</v>
      </c>
      <c r="K180" s="35"/>
      <c r="L180" s="44">
        <v>1</v>
      </c>
      <c r="M180" s="44">
        <v>1</v>
      </c>
      <c r="N180" s="35" t="s">
        <v>33</v>
      </c>
      <c r="O180" s="35"/>
      <c r="P180" s="47">
        <v>0</v>
      </c>
      <c r="Q180" s="44"/>
      <c r="R180" s="47">
        <v>0</v>
      </c>
      <c r="S180" s="35">
        <v>46054</v>
      </c>
      <c r="T180" s="47">
        <v>0</v>
      </c>
      <c r="U180" s="44">
        <v>2</v>
      </c>
      <c r="V180" s="47">
        <v>0</v>
      </c>
      <c r="W180" s="35" t="s">
        <v>34</v>
      </c>
      <c r="X180" s="35" t="s">
        <v>42</v>
      </c>
      <c r="Y180" s="35" t="s">
        <v>36</v>
      </c>
      <c r="Z180" s="35" t="s">
        <v>43</v>
      </c>
      <c r="AA180" s="35" t="s">
        <v>37</v>
      </c>
      <c r="AB180" s="35" t="s">
        <v>37</v>
      </c>
      <c r="AC180" s="35" t="s">
        <v>38</v>
      </c>
      <c r="AD180" s="51" t="s">
        <v>226</v>
      </c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</row>
    <row r="181" spans="1:49" ht="31.5" x14ac:dyDescent="0.25">
      <c r="A181" s="35" t="s">
        <v>109</v>
      </c>
      <c r="B181" s="37">
        <v>46072</v>
      </c>
      <c r="C181" s="37">
        <v>46072</v>
      </c>
      <c r="D181" s="39" t="s">
        <v>177</v>
      </c>
      <c r="E181" s="40">
        <v>0.625</v>
      </c>
      <c r="F181" s="40">
        <v>0.64583333333333337</v>
      </c>
      <c r="G181" s="40">
        <v>2.0833333333333332E-2</v>
      </c>
      <c r="H181" s="35" t="s">
        <v>112</v>
      </c>
      <c r="I181" s="42"/>
      <c r="J181" s="35" t="s">
        <v>111</v>
      </c>
      <c r="K181" s="35"/>
      <c r="L181" s="44">
        <v>1</v>
      </c>
      <c r="M181" s="44">
        <v>1</v>
      </c>
      <c r="N181" s="35" t="s">
        <v>33</v>
      </c>
      <c r="O181" s="35"/>
      <c r="P181" s="47">
        <v>0</v>
      </c>
      <c r="Q181" s="44"/>
      <c r="R181" s="47">
        <v>0</v>
      </c>
      <c r="S181" s="35">
        <v>46054</v>
      </c>
      <c r="T181" s="47">
        <v>0</v>
      </c>
      <c r="U181" s="44">
        <v>2</v>
      </c>
      <c r="V181" s="47">
        <v>0</v>
      </c>
      <c r="W181" s="35" t="s">
        <v>34</v>
      </c>
      <c r="X181" s="35" t="s">
        <v>42</v>
      </c>
      <c r="Y181" s="35" t="s">
        <v>36</v>
      </c>
      <c r="Z181" s="35" t="s">
        <v>43</v>
      </c>
      <c r="AA181" s="35" t="s">
        <v>37</v>
      </c>
      <c r="AB181" s="35" t="s">
        <v>37</v>
      </c>
      <c r="AC181" s="35" t="s">
        <v>38</v>
      </c>
      <c r="AD181" s="51" t="s">
        <v>226</v>
      </c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</row>
    <row r="182" spans="1:49" ht="31.5" x14ac:dyDescent="0.25">
      <c r="A182" s="35" t="s">
        <v>109</v>
      </c>
      <c r="B182" s="37">
        <v>46072</v>
      </c>
      <c r="C182" s="37">
        <v>46072</v>
      </c>
      <c r="D182" s="39" t="s">
        <v>177</v>
      </c>
      <c r="E182" s="40">
        <v>0.64583333333333337</v>
      </c>
      <c r="F182" s="40">
        <v>0.66666666666666663</v>
      </c>
      <c r="G182" s="40">
        <v>2.0833333333333332E-2</v>
      </c>
      <c r="H182" s="35" t="s">
        <v>113</v>
      </c>
      <c r="I182" s="42"/>
      <c r="J182" s="35" t="s">
        <v>111</v>
      </c>
      <c r="K182" s="35"/>
      <c r="L182" s="44">
        <v>1</v>
      </c>
      <c r="M182" s="44">
        <v>1</v>
      </c>
      <c r="N182" s="35" t="s">
        <v>33</v>
      </c>
      <c r="O182" s="35"/>
      <c r="P182" s="47">
        <v>0</v>
      </c>
      <c r="Q182" s="44"/>
      <c r="R182" s="47">
        <v>0</v>
      </c>
      <c r="S182" s="35">
        <v>46054</v>
      </c>
      <c r="T182" s="47">
        <v>0</v>
      </c>
      <c r="U182" s="44">
        <v>2</v>
      </c>
      <c r="V182" s="47">
        <v>0</v>
      </c>
      <c r="W182" s="35" t="s">
        <v>34</v>
      </c>
      <c r="X182" s="35" t="s">
        <v>42</v>
      </c>
      <c r="Y182" s="35" t="s">
        <v>36</v>
      </c>
      <c r="Z182" s="35" t="s">
        <v>43</v>
      </c>
      <c r="AA182" s="35" t="s">
        <v>37</v>
      </c>
      <c r="AB182" s="35" t="s">
        <v>37</v>
      </c>
      <c r="AC182" s="35" t="s">
        <v>38</v>
      </c>
      <c r="AD182" s="51" t="s">
        <v>226</v>
      </c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</row>
    <row r="183" spans="1:49" ht="31.5" x14ac:dyDescent="0.2">
      <c r="A183" s="35" t="s">
        <v>109</v>
      </c>
      <c r="B183" s="37">
        <v>46073</v>
      </c>
      <c r="C183" s="37">
        <v>46073</v>
      </c>
      <c r="D183" s="39" t="s">
        <v>189</v>
      </c>
      <c r="E183" s="40">
        <v>0.58333333333333337</v>
      </c>
      <c r="F183" s="40">
        <v>0.625</v>
      </c>
      <c r="G183" s="40">
        <v>4.1666666666666664E-2</v>
      </c>
      <c r="H183" s="35" t="s">
        <v>110</v>
      </c>
      <c r="I183" s="42"/>
      <c r="J183" s="35" t="s">
        <v>111</v>
      </c>
      <c r="K183" s="35"/>
      <c r="L183" s="44">
        <v>1</v>
      </c>
      <c r="M183" s="44">
        <v>1</v>
      </c>
      <c r="N183" s="35" t="s">
        <v>33</v>
      </c>
      <c r="O183" s="35"/>
      <c r="P183" s="47">
        <v>0</v>
      </c>
      <c r="Q183" s="44"/>
      <c r="R183" s="47">
        <v>0</v>
      </c>
      <c r="S183" s="35">
        <v>46054</v>
      </c>
      <c r="T183" s="47">
        <v>0</v>
      </c>
      <c r="U183" s="44">
        <v>2</v>
      </c>
      <c r="V183" s="47">
        <v>0</v>
      </c>
      <c r="W183" s="35" t="s">
        <v>34</v>
      </c>
      <c r="X183" s="35" t="s">
        <v>42</v>
      </c>
      <c r="Y183" s="35" t="s">
        <v>36</v>
      </c>
      <c r="Z183" s="35" t="s">
        <v>43</v>
      </c>
      <c r="AA183" s="35" t="s">
        <v>37</v>
      </c>
      <c r="AB183" s="35" t="s">
        <v>37</v>
      </c>
      <c r="AC183" s="35" t="s">
        <v>38</v>
      </c>
      <c r="AD183" s="51" t="s">
        <v>226</v>
      </c>
      <c r="AE183" s="35"/>
      <c r="AF183" s="35"/>
      <c r="AG183" s="35"/>
      <c r="AH183" s="35"/>
      <c r="AI183" s="35"/>
      <c r="AJ183" s="35"/>
      <c r="AK183" s="35"/>
      <c r="AL183" s="35"/>
      <c r="AM183" s="35"/>
      <c r="AN183" s="35"/>
      <c r="AO183" s="35"/>
      <c r="AP183" s="35"/>
      <c r="AQ183" s="35"/>
      <c r="AR183" s="35"/>
      <c r="AS183" s="35"/>
      <c r="AT183" s="35"/>
      <c r="AU183" s="35"/>
      <c r="AV183" s="35"/>
      <c r="AW183" s="35"/>
    </row>
    <row r="184" spans="1:49" ht="31.5" x14ac:dyDescent="0.2">
      <c r="A184" s="35" t="s">
        <v>109</v>
      </c>
      <c r="B184" s="37">
        <v>46073</v>
      </c>
      <c r="C184" s="37">
        <v>46073</v>
      </c>
      <c r="D184" s="39" t="s">
        <v>189</v>
      </c>
      <c r="E184" s="40">
        <v>0.625</v>
      </c>
      <c r="F184" s="40">
        <v>0.64583333333333337</v>
      </c>
      <c r="G184" s="40">
        <v>2.0833333333333332E-2</v>
      </c>
      <c r="H184" s="35" t="s">
        <v>112</v>
      </c>
      <c r="I184" s="42"/>
      <c r="J184" s="35" t="s">
        <v>111</v>
      </c>
      <c r="K184" s="35"/>
      <c r="L184" s="44">
        <v>1</v>
      </c>
      <c r="M184" s="44">
        <v>1</v>
      </c>
      <c r="N184" s="35" t="s">
        <v>33</v>
      </c>
      <c r="O184" s="35"/>
      <c r="P184" s="47">
        <v>0</v>
      </c>
      <c r="Q184" s="44"/>
      <c r="R184" s="47">
        <v>0</v>
      </c>
      <c r="S184" s="35">
        <v>46054</v>
      </c>
      <c r="T184" s="47">
        <v>0</v>
      </c>
      <c r="U184" s="44">
        <v>2</v>
      </c>
      <c r="V184" s="47">
        <v>0</v>
      </c>
      <c r="W184" s="35" t="s">
        <v>34</v>
      </c>
      <c r="X184" s="35" t="s">
        <v>42</v>
      </c>
      <c r="Y184" s="35" t="s">
        <v>36</v>
      </c>
      <c r="Z184" s="35" t="s">
        <v>43</v>
      </c>
      <c r="AA184" s="35" t="s">
        <v>37</v>
      </c>
      <c r="AB184" s="35" t="s">
        <v>37</v>
      </c>
      <c r="AC184" s="35" t="s">
        <v>38</v>
      </c>
      <c r="AD184" s="51" t="s">
        <v>226</v>
      </c>
      <c r="AE184" s="35"/>
      <c r="AF184" s="35"/>
      <c r="AG184" s="35"/>
      <c r="AH184" s="35"/>
      <c r="AI184" s="35"/>
      <c r="AJ184" s="35"/>
      <c r="AK184" s="35"/>
      <c r="AL184" s="35"/>
      <c r="AM184" s="35"/>
      <c r="AN184" s="35"/>
      <c r="AO184" s="35"/>
      <c r="AP184" s="35"/>
      <c r="AQ184" s="35"/>
      <c r="AR184" s="35"/>
      <c r="AS184" s="35"/>
      <c r="AT184" s="35"/>
      <c r="AU184" s="35"/>
      <c r="AV184" s="35"/>
      <c r="AW184" s="35"/>
    </row>
    <row r="185" spans="1:49" ht="31.5" x14ac:dyDescent="0.2">
      <c r="A185" s="35" t="s">
        <v>109</v>
      </c>
      <c r="B185" s="37">
        <v>46073</v>
      </c>
      <c r="C185" s="37">
        <v>46073</v>
      </c>
      <c r="D185" s="39" t="s">
        <v>189</v>
      </c>
      <c r="E185" s="40">
        <v>0.64583333333333337</v>
      </c>
      <c r="F185" s="40">
        <v>0.66666666666666663</v>
      </c>
      <c r="G185" s="40">
        <v>2.0833333333333332E-2</v>
      </c>
      <c r="H185" s="35" t="s">
        <v>113</v>
      </c>
      <c r="I185" s="42"/>
      <c r="J185" s="35" t="s">
        <v>111</v>
      </c>
      <c r="K185" s="35"/>
      <c r="L185" s="44">
        <v>1</v>
      </c>
      <c r="M185" s="44">
        <v>1</v>
      </c>
      <c r="N185" s="35" t="s">
        <v>33</v>
      </c>
      <c r="O185" s="35"/>
      <c r="P185" s="47">
        <v>0</v>
      </c>
      <c r="Q185" s="44"/>
      <c r="R185" s="47">
        <v>0</v>
      </c>
      <c r="S185" s="35">
        <v>46054</v>
      </c>
      <c r="T185" s="47">
        <v>0</v>
      </c>
      <c r="U185" s="44">
        <v>2</v>
      </c>
      <c r="V185" s="47">
        <v>0</v>
      </c>
      <c r="W185" s="35" t="s">
        <v>34</v>
      </c>
      <c r="X185" s="35" t="s">
        <v>42</v>
      </c>
      <c r="Y185" s="35" t="s">
        <v>36</v>
      </c>
      <c r="Z185" s="35" t="s">
        <v>43</v>
      </c>
      <c r="AA185" s="35" t="s">
        <v>37</v>
      </c>
      <c r="AB185" s="35" t="s">
        <v>37</v>
      </c>
      <c r="AC185" s="35" t="s">
        <v>38</v>
      </c>
      <c r="AD185" s="51" t="s">
        <v>226</v>
      </c>
      <c r="AE185" s="35"/>
      <c r="AF185" s="35"/>
      <c r="AG185" s="35"/>
      <c r="AH185" s="35"/>
      <c r="AI185" s="35"/>
      <c r="AJ185" s="35"/>
      <c r="AK185" s="35"/>
      <c r="AL185" s="35"/>
      <c r="AM185" s="35"/>
      <c r="AN185" s="35"/>
      <c r="AO185" s="35"/>
      <c r="AP185" s="35"/>
      <c r="AQ185" s="35"/>
      <c r="AR185" s="35"/>
      <c r="AS185" s="35"/>
      <c r="AT185" s="35"/>
      <c r="AU185" s="35"/>
      <c r="AV185" s="35"/>
      <c r="AW185" s="35"/>
    </row>
    <row r="186" spans="1:49" ht="31.5" x14ac:dyDescent="0.2">
      <c r="A186" s="35" t="s">
        <v>64</v>
      </c>
      <c r="B186" s="37">
        <v>46069</v>
      </c>
      <c r="C186" s="37">
        <v>46069</v>
      </c>
      <c r="D186" s="39" t="s">
        <v>30</v>
      </c>
      <c r="E186" s="40">
        <v>0.33333333333333331</v>
      </c>
      <c r="F186" s="40">
        <v>0.375</v>
      </c>
      <c r="G186" s="40">
        <v>4.1666666666666664E-2</v>
      </c>
      <c r="H186" s="35" t="s">
        <v>65</v>
      </c>
      <c r="I186" s="42"/>
      <c r="J186" s="35" t="s">
        <v>66</v>
      </c>
      <c r="K186" s="35"/>
      <c r="L186" s="44">
        <v>1</v>
      </c>
      <c r="M186" s="44">
        <v>1</v>
      </c>
      <c r="N186" s="35" t="s">
        <v>33</v>
      </c>
      <c r="O186" s="35"/>
      <c r="P186" s="47">
        <v>0</v>
      </c>
      <c r="Q186" s="44"/>
      <c r="R186" s="47">
        <v>0</v>
      </c>
      <c r="S186" s="35">
        <v>46054</v>
      </c>
      <c r="T186" s="47">
        <v>0</v>
      </c>
      <c r="U186" s="44">
        <v>2</v>
      </c>
      <c r="V186" s="47">
        <v>0</v>
      </c>
      <c r="W186" s="35" t="s">
        <v>34</v>
      </c>
      <c r="X186" s="35" t="s">
        <v>42</v>
      </c>
      <c r="Y186" s="35" t="s">
        <v>36</v>
      </c>
      <c r="Z186" s="35" t="s">
        <v>43</v>
      </c>
      <c r="AA186" s="35" t="s">
        <v>37</v>
      </c>
      <c r="AB186" s="35" t="s">
        <v>37</v>
      </c>
      <c r="AC186" s="35" t="s">
        <v>38</v>
      </c>
      <c r="AD186" s="51" t="s">
        <v>226</v>
      </c>
      <c r="AE186" s="35"/>
      <c r="AF186" s="35"/>
      <c r="AG186" s="35"/>
      <c r="AH186" s="35"/>
      <c r="AI186" s="35"/>
      <c r="AJ186" s="35"/>
      <c r="AK186" s="35"/>
      <c r="AL186" s="35"/>
      <c r="AM186" s="35"/>
      <c r="AN186" s="35"/>
      <c r="AO186" s="35"/>
      <c r="AP186" s="35"/>
      <c r="AQ186" s="35"/>
      <c r="AR186" s="35"/>
      <c r="AS186" s="35"/>
      <c r="AT186" s="35"/>
      <c r="AU186" s="35"/>
      <c r="AV186" s="35"/>
      <c r="AW186" s="35"/>
    </row>
    <row r="187" spans="1:49" ht="31.5" x14ac:dyDescent="0.2">
      <c r="A187" s="35" t="s">
        <v>64</v>
      </c>
      <c r="B187" s="37">
        <v>46069</v>
      </c>
      <c r="C187" s="37">
        <v>46069</v>
      </c>
      <c r="D187" s="39" t="s">
        <v>30</v>
      </c>
      <c r="E187" s="40">
        <v>0.375</v>
      </c>
      <c r="F187" s="40">
        <v>0.41666666666666669</v>
      </c>
      <c r="G187" s="40">
        <v>4.1666666666666664E-2</v>
      </c>
      <c r="H187" s="35" t="s">
        <v>68</v>
      </c>
      <c r="I187" s="42"/>
      <c r="J187" s="35" t="s">
        <v>66</v>
      </c>
      <c r="K187" s="35"/>
      <c r="L187" s="44">
        <v>1</v>
      </c>
      <c r="M187" s="44">
        <v>1</v>
      </c>
      <c r="N187" s="35" t="s">
        <v>33</v>
      </c>
      <c r="O187" s="35"/>
      <c r="P187" s="47">
        <v>0</v>
      </c>
      <c r="Q187" s="44"/>
      <c r="R187" s="47">
        <v>0</v>
      </c>
      <c r="S187" s="35">
        <v>46054</v>
      </c>
      <c r="T187" s="47">
        <v>0</v>
      </c>
      <c r="U187" s="44">
        <v>2</v>
      </c>
      <c r="V187" s="47">
        <v>0</v>
      </c>
      <c r="W187" s="35" t="s">
        <v>34</v>
      </c>
      <c r="X187" s="35" t="s">
        <v>42</v>
      </c>
      <c r="Y187" s="35" t="s">
        <v>36</v>
      </c>
      <c r="Z187" s="35" t="s">
        <v>43</v>
      </c>
      <c r="AA187" s="35" t="s">
        <v>37</v>
      </c>
      <c r="AB187" s="35" t="s">
        <v>37</v>
      </c>
      <c r="AC187" s="35" t="s">
        <v>38</v>
      </c>
      <c r="AD187" s="51" t="s">
        <v>226</v>
      </c>
      <c r="AE187" s="35"/>
      <c r="AF187" s="35"/>
      <c r="AG187" s="35"/>
      <c r="AH187" s="35"/>
      <c r="AI187" s="35"/>
      <c r="AJ187" s="35"/>
      <c r="AK187" s="35"/>
      <c r="AL187" s="35"/>
      <c r="AM187" s="35"/>
      <c r="AN187" s="35"/>
      <c r="AO187" s="35"/>
      <c r="AP187" s="35"/>
      <c r="AQ187" s="35"/>
      <c r="AR187" s="35"/>
      <c r="AS187" s="35"/>
      <c r="AT187" s="35"/>
      <c r="AU187" s="35"/>
      <c r="AV187" s="35"/>
      <c r="AW187" s="35"/>
    </row>
    <row r="188" spans="1:49" ht="31.5" x14ac:dyDescent="0.2">
      <c r="A188" s="35" t="s">
        <v>64</v>
      </c>
      <c r="B188" s="37">
        <v>46070</v>
      </c>
      <c r="C188" s="37">
        <v>46070</v>
      </c>
      <c r="D188" s="39" t="s">
        <v>146</v>
      </c>
      <c r="E188" s="40">
        <v>0.33333333333333331</v>
      </c>
      <c r="F188" s="40">
        <v>0.375</v>
      </c>
      <c r="G188" s="40">
        <v>4.1666666666666664E-2</v>
      </c>
      <c r="H188" s="35" t="s">
        <v>65</v>
      </c>
      <c r="I188" s="42"/>
      <c r="J188" s="35" t="s">
        <v>66</v>
      </c>
      <c r="K188" s="35"/>
      <c r="L188" s="44">
        <v>1</v>
      </c>
      <c r="M188" s="44">
        <v>1</v>
      </c>
      <c r="N188" s="35" t="s">
        <v>33</v>
      </c>
      <c r="O188" s="35"/>
      <c r="P188" s="47">
        <v>0</v>
      </c>
      <c r="Q188" s="44"/>
      <c r="R188" s="47">
        <v>0</v>
      </c>
      <c r="S188" s="35">
        <v>46054</v>
      </c>
      <c r="T188" s="47">
        <v>0</v>
      </c>
      <c r="U188" s="44">
        <v>2</v>
      </c>
      <c r="V188" s="47">
        <v>0</v>
      </c>
      <c r="W188" s="35" t="s">
        <v>34</v>
      </c>
      <c r="X188" s="35" t="s">
        <v>42</v>
      </c>
      <c r="Y188" s="35" t="s">
        <v>36</v>
      </c>
      <c r="Z188" s="35" t="s">
        <v>43</v>
      </c>
      <c r="AA188" s="35" t="s">
        <v>37</v>
      </c>
      <c r="AB188" s="35" t="s">
        <v>37</v>
      </c>
      <c r="AC188" s="35" t="s">
        <v>38</v>
      </c>
      <c r="AD188" s="51" t="s">
        <v>226</v>
      </c>
      <c r="AE188" s="35"/>
      <c r="AF188" s="35"/>
      <c r="AG188" s="35"/>
      <c r="AH188" s="35"/>
      <c r="AI188" s="35"/>
      <c r="AJ188" s="35"/>
      <c r="AK188" s="35"/>
      <c r="AL188" s="35"/>
      <c r="AM188" s="35"/>
      <c r="AN188" s="35"/>
      <c r="AO188" s="35"/>
      <c r="AP188" s="35"/>
      <c r="AQ188" s="35"/>
      <c r="AR188" s="35"/>
      <c r="AS188" s="35"/>
      <c r="AT188" s="35"/>
      <c r="AU188" s="35"/>
      <c r="AV188" s="35"/>
      <c r="AW188" s="35"/>
    </row>
    <row r="189" spans="1:49" ht="31.5" x14ac:dyDescent="0.2">
      <c r="A189" s="35" t="s">
        <v>64</v>
      </c>
      <c r="B189" s="37">
        <v>46070</v>
      </c>
      <c r="C189" s="37">
        <v>46070</v>
      </c>
      <c r="D189" s="39" t="s">
        <v>146</v>
      </c>
      <c r="E189" s="40">
        <v>0.375</v>
      </c>
      <c r="F189" s="40">
        <v>0.41666666666666669</v>
      </c>
      <c r="G189" s="40">
        <v>4.1666666666666664E-2</v>
      </c>
      <c r="H189" s="35" t="s">
        <v>68</v>
      </c>
      <c r="I189" s="42"/>
      <c r="J189" s="35" t="s">
        <v>66</v>
      </c>
      <c r="K189" s="35"/>
      <c r="L189" s="44">
        <v>1</v>
      </c>
      <c r="M189" s="44">
        <v>1</v>
      </c>
      <c r="N189" s="35" t="s">
        <v>33</v>
      </c>
      <c r="O189" s="35"/>
      <c r="P189" s="47">
        <v>0</v>
      </c>
      <c r="Q189" s="44"/>
      <c r="R189" s="47">
        <v>0</v>
      </c>
      <c r="S189" s="35">
        <v>46054</v>
      </c>
      <c r="T189" s="47">
        <v>0</v>
      </c>
      <c r="U189" s="44">
        <v>2</v>
      </c>
      <c r="V189" s="47">
        <v>0</v>
      </c>
      <c r="W189" s="35" t="s">
        <v>34</v>
      </c>
      <c r="X189" s="35" t="s">
        <v>42</v>
      </c>
      <c r="Y189" s="35" t="s">
        <v>36</v>
      </c>
      <c r="Z189" s="35" t="s">
        <v>43</v>
      </c>
      <c r="AA189" s="35" t="s">
        <v>37</v>
      </c>
      <c r="AB189" s="35" t="s">
        <v>37</v>
      </c>
      <c r="AC189" s="35" t="s">
        <v>38</v>
      </c>
      <c r="AD189" s="51" t="s">
        <v>226</v>
      </c>
      <c r="AE189" s="35"/>
      <c r="AF189" s="35"/>
      <c r="AG189" s="35"/>
      <c r="AH189" s="35"/>
      <c r="AI189" s="35"/>
      <c r="AJ189" s="35"/>
      <c r="AK189" s="35"/>
      <c r="AL189" s="35"/>
      <c r="AM189" s="35"/>
      <c r="AN189" s="35"/>
      <c r="AO189" s="35"/>
      <c r="AP189" s="35"/>
      <c r="AQ189" s="35"/>
      <c r="AR189" s="35"/>
      <c r="AS189" s="35"/>
      <c r="AT189" s="35"/>
      <c r="AU189" s="35"/>
      <c r="AV189" s="35"/>
      <c r="AW189" s="35"/>
    </row>
    <row r="190" spans="1:49" ht="31.5" x14ac:dyDescent="0.2">
      <c r="A190" s="35" t="s">
        <v>64</v>
      </c>
      <c r="B190" s="37">
        <v>46071</v>
      </c>
      <c r="C190" s="37">
        <v>46071</v>
      </c>
      <c r="D190" s="39" t="s">
        <v>164</v>
      </c>
      <c r="E190" s="40">
        <v>0.33333333333333331</v>
      </c>
      <c r="F190" s="40">
        <v>0.375</v>
      </c>
      <c r="G190" s="40">
        <v>4.1666666666666664E-2</v>
      </c>
      <c r="H190" s="35" t="s">
        <v>65</v>
      </c>
      <c r="I190" s="42"/>
      <c r="J190" s="35" t="s">
        <v>66</v>
      </c>
      <c r="K190" s="35"/>
      <c r="L190" s="44">
        <v>1</v>
      </c>
      <c r="M190" s="44">
        <v>1</v>
      </c>
      <c r="N190" s="35" t="s">
        <v>33</v>
      </c>
      <c r="O190" s="35"/>
      <c r="P190" s="47">
        <v>0</v>
      </c>
      <c r="Q190" s="44"/>
      <c r="R190" s="47">
        <v>0</v>
      </c>
      <c r="S190" s="35">
        <v>46054</v>
      </c>
      <c r="T190" s="47">
        <v>0</v>
      </c>
      <c r="U190" s="44">
        <v>2</v>
      </c>
      <c r="V190" s="47">
        <v>0</v>
      </c>
      <c r="W190" s="35" t="s">
        <v>34</v>
      </c>
      <c r="X190" s="35" t="s">
        <v>42</v>
      </c>
      <c r="Y190" s="35" t="s">
        <v>36</v>
      </c>
      <c r="Z190" s="35" t="s">
        <v>43</v>
      </c>
      <c r="AA190" s="35" t="s">
        <v>37</v>
      </c>
      <c r="AB190" s="35" t="s">
        <v>37</v>
      </c>
      <c r="AC190" s="35" t="s">
        <v>38</v>
      </c>
      <c r="AD190" s="51" t="s">
        <v>226</v>
      </c>
      <c r="AE190" s="35"/>
      <c r="AF190" s="35"/>
      <c r="AG190" s="35"/>
      <c r="AH190" s="35"/>
      <c r="AI190" s="35"/>
      <c r="AJ190" s="35"/>
      <c r="AK190" s="35"/>
      <c r="AL190" s="35"/>
      <c r="AM190" s="35"/>
      <c r="AN190" s="35"/>
      <c r="AO190" s="35"/>
      <c r="AP190" s="35"/>
      <c r="AQ190" s="35"/>
      <c r="AR190" s="35"/>
      <c r="AS190" s="35"/>
      <c r="AT190" s="35"/>
      <c r="AU190" s="35"/>
      <c r="AV190" s="35"/>
      <c r="AW190" s="35"/>
    </row>
    <row r="191" spans="1:49" ht="31.5" x14ac:dyDescent="0.2">
      <c r="A191" s="35" t="s">
        <v>64</v>
      </c>
      <c r="B191" s="37">
        <v>46071</v>
      </c>
      <c r="C191" s="37">
        <v>46071</v>
      </c>
      <c r="D191" s="39" t="s">
        <v>164</v>
      </c>
      <c r="E191" s="40">
        <v>0.375</v>
      </c>
      <c r="F191" s="40">
        <v>0.41666666666666669</v>
      </c>
      <c r="G191" s="40">
        <v>4.1666666666666664E-2</v>
      </c>
      <c r="H191" s="35" t="s">
        <v>68</v>
      </c>
      <c r="I191" s="42"/>
      <c r="J191" s="35" t="s">
        <v>66</v>
      </c>
      <c r="K191" s="35"/>
      <c r="L191" s="44">
        <v>1</v>
      </c>
      <c r="M191" s="44">
        <v>1</v>
      </c>
      <c r="N191" s="35" t="s">
        <v>33</v>
      </c>
      <c r="O191" s="35"/>
      <c r="P191" s="47">
        <v>0</v>
      </c>
      <c r="Q191" s="44"/>
      <c r="R191" s="47">
        <v>0</v>
      </c>
      <c r="S191" s="35">
        <v>46054</v>
      </c>
      <c r="T191" s="47">
        <v>0</v>
      </c>
      <c r="U191" s="44">
        <v>2</v>
      </c>
      <c r="V191" s="47">
        <v>0</v>
      </c>
      <c r="W191" s="35" t="s">
        <v>34</v>
      </c>
      <c r="X191" s="35" t="s">
        <v>42</v>
      </c>
      <c r="Y191" s="35" t="s">
        <v>36</v>
      </c>
      <c r="Z191" s="35" t="s">
        <v>43</v>
      </c>
      <c r="AA191" s="35" t="s">
        <v>37</v>
      </c>
      <c r="AB191" s="35" t="s">
        <v>37</v>
      </c>
      <c r="AC191" s="35" t="s">
        <v>38</v>
      </c>
      <c r="AD191" s="51" t="s">
        <v>226</v>
      </c>
      <c r="AE191" s="35"/>
      <c r="AF191" s="35"/>
      <c r="AG191" s="35"/>
      <c r="AH191" s="35"/>
      <c r="AI191" s="35"/>
      <c r="AJ191" s="35"/>
      <c r="AK191" s="35"/>
      <c r="AL191" s="35"/>
      <c r="AM191" s="35"/>
      <c r="AN191" s="35"/>
      <c r="AO191" s="35"/>
      <c r="AP191" s="35"/>
      <c r="AQ191" s="35"/>
      <c r="AR191" s="35"/>
      <c r="AS191" s="35"/>
      <c r="AT191" s="35"/>
      <c r="AU191" s="35"/>
      <c r="AV191" s="35"/>
      <c r="AW191" s="35"/>
    </row>
    <row r="192" spans="1:49" ht="31.5" x14ac:dyDescent="0.25">
      <c r="A192" s="35" t="s">
        <v>64</v>
      </c>
      <c r="B192" s="37">
        <v>46072</v>
      </c>
      <c r="C192" s="37">
        <v>46072</v>
      </c>
      <c r="D192" s="39" t="s">
        <v>177</v>
      </c>
      <c r="E192" s="40">
        <v>0.33333333333333331</v>
      </c>
      <c r="F192" s="40">
        <v>0.375</v>
      </c>
      <c r="G192" s="40">
        <v>4.1666666666666664E-2</v>
      </c>
      <c r="H192" s="35" t="s">
        <v>65</v>
      </c>
      <c r="I192" s="42"/>
      <c r="J192" s="35" t="s">
        <v>66</v>
      </c>
      <c r="K192" s="35"/>
      <c r="L192" s="44">
        <v>1</v>
      </c>
      <c r="M192" s="44">
        <v>1</v>
      </c>
      <c r="N192" s="35" t="s">
        <v>33</v>
      </c>
      <c r="O192" s="35"/>
      <c r="P192" s="47">
        <v>0</v>
      </c>
      <c r="Q192" s="44"/>
      <c r="R192" s="47">
        <v>0</v>
      </c>
      <c r="S192" s="35">
        <v>46054</v>
      </c>
      <c r="T192" s="47">
        <v>0</v>
      </c>
      <c r="U192" s="44">
        <v>2</v>
      </c>
      <c r="V192" s="47">
        <v>0</v>
      </c>
      <c r="W192" s="35" t="s">
        <v>34</v>
      </c>
      <c r="X192" s="35" t="s">
        <v>42</v>
      </c>
      <c r="Y192" s="35" t="s">
        <v>36</v>
      </c>
      <c r="Z192" s="35" t="s">
        <v>43</v>
      </c>
      <c r="AA192" s="35" t="s">
        <v>37</v>
      </c>
      <c r="AB192" s="35" t="s">
        <v>37</v>
      </c>
      <c r="AC192" s="35" t="s">
        <v>38</v>
      </c>
      <c r="AD192" s="51" t="s">
        <v>226</v>
      </c>
      <c r="AE192" s="52"/>
      <c r="AF192" s="52"/>
      <c r="AG192" s="52"/>
      <c r="AH192" s="52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</row>
    <row r="193" spans="1:49" ht="31.5" x14ac:dyDescent="0.25">
      <c r="A193" s="35" t="s">
        <v>64</v>
      </c>
      <c r="B193" s="37">
        <v>46072</v>
      </c>
      <c r="C193" s="37">
        <v>46072</v>
      </c>
      <c r="D193" s="39" t="s">
        <v>177</v>
      </c>
      <c r="E193" s="40">
        <v>0.375</v>
      </c>
      <c r="F193" s="40">
        <v>0.41666666666666669</v>
      </c>
      <c r="G193" s="40">
        <v>4.1666666666666664E-2</v>
      </c>
      <c r="H193" s="35" t="s">
        <v>68</v>
      </c>
      <c r="I193" s="42"/>
      <c r="J193" s="35" t="s">
        <v>66</v>
      </c>
      <c r="K193" s="35"/>
      <c r="L193" s="44">
        <v>1</v>
      </c>
      <c r="M193" s="44">
        <v>1</v>
      </c>
      <c r="N193" s="35" t="s">
        <v>33</v>
      </c>
      <c r="O193" s="35"/>
      <c r="P193" s="47">
        <v>0</v>
      </c>
      <c r="Q193" s="44"/>
      <c r="R193" s="47">
        <v>0</v>
      </c>
      <c r="S193" s="35">
        <v>46054</v>
      </c>
      <c r="T193" s="47">
        <v>0</v>
      </c>
      <c r="U193" s="44">
        <v>2</v>
      </c>
      <c r="V193" s="47">
        <v>0</v>
      </c>
      <c r="W193" s="35" t="s">
        <v>34</v>
      </c>
      <c r="X193" s="35" t="s">
        <v>42</v>
      </c>
      <c r="Y193" s="35" t="s">
        <v>36</v>
      </c>
      <c r="Z193" s="35" t="s">
        <v>43</v>
      </c>
      <c r="AA193" s="35" t="s">
        <v>37</v>
      </c>
      <c r="AB193" s="35" t="s">
        <v>37</v>
      </c>
      <c r="AC193" s="35" t="s">
        <v>38</v>
      </c>
      <c r="AD193" s="51" t="s">
        <v>226</v>
      </c>
      <c r="AE193" s="52"/>
      <c r="AF193" s="52"/>
      <c r="AG193" s="52"/>
      <c r="AH193" s="52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</row>
    <row r="194" spans="1:49" ht="31.5" x14ac:dyDescent="0.25">
      <c r="A194" s="35" t="s">
        <v>64</v>
      </c>
      <c r="B194" s="37">
        <v>46073</v>
      </c>
      <c r="C194" s="37">
        <v>46073</v>
      </c>
      <c r="D194" s="39" t="s">
        <v>189</v>
      </c>
      <c r="E194" s="40">
        <v>0.33333333333333331</v>
      </c>
      <c r="F194" s="40">
        <v>0.375</v>
      </c>
      <c r="G194" s="40">
        <v>4.1666666666666664E-2</v>
      </c>
      <c r="H194" s="35" t="s">
        <v>65</v>
      </c>
      <c r="I194" s="42"/>
      <c r="J194" s="35" t="s">
        <v>66</v>
      </c>
      <c r="K194" s="35"/>
      <c r="L194" s="44">
        <v>1</v>
      </c>
      <c r="M194" s="44">
        <v>1</v>
      </c>
      <c r="N194" s="35" t="s">
        <v>33</v>
      </c>
      <c r="O194" s="35"/>
      <c r="P194" s="47">
        <v>0</v>
      </c>
      <c r="Q194" s="44"/>
      <c r="R194" s="47">
        <v>0</v>
      </c>
      <c r="S194" s="35">
        <v>46054</v>
      </c>
      <c r="T194" s="47">
        <v>0</v>
      </c>
      <c r="U194" s="44">
        <v>2</v>
      </c>
      <c r="V194" s="47">
        <v>0</v>
      </c>
      <c r="W194" s="35" t="s">
        <v>34</v>
      </c>
      <c r="X194" s="35" t="s">
        <v>42</v>
      </c>
      <c r="Y194" s="35" t="s">
        <v>36</v>
      </c>
      <c r="Z194" s="35" t="s">
        <v>43</v>
      </c>
      <c r="AA194" s="35" t="s">
        <v>37</v>
      </c>
      <c r="AB194" s="35" t="s">
        <v>37</v>
      </c>
      <c r="AC194" s="35" t="s">
        <v>38</v>
      </c>
      <c r="AD194" s="51" t="s">
        <v>226</v>
      </c>
      <c r="AE194" s="52"/>
      <c r="AF194" s="52"/>
      <c r="AG194" s="52"/>
      <c r="AH194" s="52"/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</row>
    <row r="195" spans="1:49" ht="31.5" x14ac:dyDescent="0.2">
      <c r="A195" s="35" t="s">
        <v>64</v>
      </c>
      <c r="B195" s="37">
        <v>46073</v>
      </c>
      <c r="C195" s="37">
        <v>46073</v>
      </c>
      <c r="D195" s="39" t="s">
        <v>189</v>
      </c>
      <c r="E195" s="40">
        <v>0.375</v>
      </c>
      <c r="F195" s="40">
        <v>0.41666666666666669</v>
      </c>
      <c r="G195" s="40">
        <v>4.1666666666666664E-2</v>
      </c>
      <c r="H195" s="35" t="s">
        <v>68</v>
      </c>
      <c r="I195" s="42"/>
      <c r="J195" s="35" t="s">
        <v>66</v>
      </c>
      <c r="K195" s="35"/>
      <c r="L195" s="44">
        <v>1</v>
      </c>
      <c r="M195" s="44">
        <v>1</v>
      </c>
      <c r="N195" s="35" t="s">
        <v>33</v>
      </c>
      <c r="O195" s="35"/>
      <c r="P195" s="47">
        <v>0</v>
      </c>
      <c r="Q195" s="44"/>
      <c r="R195" s="47">
        <v>0</v>
      </c>
      <c r="S195" s="35">
        <v>46054</v>
      </c>
      <c r="T195" s="47">
        <v>0</v>
      </c>
      <c r="U195" s="44">
        <v>2</v>
      </c>
      <c r="V195" s="47">
        <v>0</v>
      </c>
      <c r="W195" s="35" t="s">
        <v>34</v>
      </c>
      <c r="X195" s="35" t="s">
        <v>42</v>
      </c>
      <c r="Y195" s="35" t="s">
        <v>36</v>
      </c>
      <c r="Z195" s="35" t="s">
        <v>43</v>
      </c>
      <c r="AA195" s="35" t="s">
        <v>37</v>
      </c>
      <c r="AB195" s="35" t="s">
        <v>37</v>
      </c>
      <c r="AC195" s="35" t="s">
        <v>38</v>
      </c>
      <c r="AD195" s="51" t="s">
        <v>226</v>
      </c>
      <c r="AE195" s="35"/>
      <c r="AF195" s="35"/>
      <c r="AG195" s="35"/>
      <c r="AH195" s="35"/>
      <c r="AI195" s="35"/>
      <c r="AJ195" s="35"/>
      <c r="AK195" s="35"/>
      <c r="AL195" s="35"/>
      <c r="AM195" s="35"/>
      <c r="AN195" s="35"/>
      <c r="AO195" s="35"/>
      <c r="AP195" s="35"/>
      <c r="AQ195" s="35"/>
      <c r="AR195" s="35"/>
      <c r="AS195" s="35"/>
      <c r="AT195" s="35"/>
      <c r="AU195" s="35"/>
      <c r="AV195" s="35"/>
      <c r="AW195" s="35"/>
    </row>
    <row r="196" spans="1:49" ht="31.5" x14ac:dyDescent="0.2">
      <c r="A196" s="35" t="s">
        <v>64</v>
      </c>
      <c r="B196" s="37">
        <v>46074</v>
      </c>
      <c r="C196" s="37">
        <v>46074</v>
      </c>
      <c r="D196" s="39" t="s">
        <v>197</v>
      </c>
      <c r="E196" s="40">
        <v>0.33333333333333331</v>
      </c>
      <c r="F196" s="40">
        <v>0.41666666666666669</v>
      </c>
      <c r="G196" s="40">
        <v>8.3333333333333329E-2</v>
      </c>
      <c r="H196" s="35" t="s">
        <v>68</v>
      </c>
      <c r="I196" s="42" t="s">
        <v>199</v>
      </c>
      <c r="J196" s="35" t="s">
        <v>66</v>
      </c>
      <c r="K196" s="35"/>
      <c r="L196" s="44">
        <v>1</v>
      </c>
      <c r="M196" s="44">
        <v>1</v>
      </c>
      <c r="N196" s="35" t="s">
        <v>33</v>
      </c>
      <c r="O196" s="35"/>
      <c r="P196" s="47">
        <v>0</v>
      </c>
      <c r="Q196" s="44"/>
      <c r="R196" s="47">
        <v>0</v>
      </c>
      <c r="S196" s="35">
        <v>46054</v>
      </c>
      <c r="T196" s="47">
        <v>0</v>
      </c>
      <c r="U196" s="44">
        <v>2</v>
      </c>
      <c r="V196" s="47">
        <v>0</v>
      </c>
      <c r="W196" s="35" t="s">
        <v>34</v>
      </c>
      <c r="X196" s="35" t="s">
        <v>42</v>
      </c>
      <c r="Y196" s="35" t="s">
        <v>36</v>
      </c>
      <c r="Z196" s="35" t="s">
        <v>43</v>
      </c>
      <c r="AA196" s="35" t="s">
        <v>37</v>
      </c>
      <c r="AB196" s="35" t="s">
        <v>37</v>
      </c>
      <c r="AC196" s="35" t="s">
        <v>38</v>
      </c>
      <c r="AD196" s="51" t="s">
        <v>226</v>
      </c>
      <c r="AE196" s="35"/>
      <c r="AF196" s="35"/>
      <c r="AG196" s="35"/>
      <c r="AH196" s="35"/>
      <c r="AI196" s="35"/>
      <c r="AJ196" s="35"/>
      <c r="AK196" s="35"/>
      <c r="AL196" s="35"/>
      <c r="AM196" s="35"/>
      <c r="AN196" s="35"/>
      <c r="AO196" s="35"/>
      <c r="AP196" s="35"/>
      <c r="AQ196" s="35"/>
      <c r="AR196" s="35"/>
      <c r="AS196" s="35"/>
      <c r="AT196" s="35"/>
      <c r="AU196" s="35"/>
      <c r="AV196" s="35"/>
      <c r="AW196" s="35"/>
    </row>
    <row r="197" spans="1:49" ht="31.5" x14ac:dyDescent="0.2">
      <c r="A197" s="35" t="s">
        <v>64</v>
      </c>
      <c r="B197" s="37">
        <v>46075</v>
      </c>
      <c r="C197" s="37">
        <v>46075</v>
      </c>
      <c r="D197" s="39" t="s">
        <v>215</v>
      </c>
      <c r="E197" s="40">
        <v>0.33333333333333331</v>
      </c>
      <c r="F197" s="40">
        <v>0.41666666666666669</v>
      </c>
      <c r="G197" s="40">
        <v>8.3333333333333329E-2</v>
      </c>
      <c r="H197" s="35" t="s">
        <v>68</v>
      </c>
      <c r="I197" s="42" t="s">
        <v>199</v>
      </c>
      <c r="J197" s="35" t="s">
        <v>66</v>
      </c>
      <c r="K197" s="35"/>
      <c r="L197" s="44">
        <v>1</v>
      </c>
      <c r="M197" s="44">
        <v>1</v>
      </c>
      <c r="N197" s="35" t="s">
        <v>33</v>
      </c>
      <c r="O197" s="35"/>
      <c r="P197" s="47">
        <v>0</v>
      </c>
      <c r="Q197" s="44"/>
      <c r="R197" s="47">
        <v>0</v>
      </c>
      <c r="S197" s="35">
        <v>46054</v>
      </c>
      <c r="T197" s="47">
        <v>0</v>
      </c>
      <c r="U197" s="44">
        <v>2</v>
      </c>
      <c r="V197" s="47">
        <v>0</v>
      </c>
      <c r="W197" s="35" t="s">
        <v>34</v>
      </c>
      <c r="X197" s="35" t="s">
        <v>42</v>
      </c>
      <c r="Y197" s="35" t="s">
        <v>36</v>
      </c>
      <c r="Z197" s="35" t="s">
        <v>43</v>
      </c>
      <c r="AA197" s="35" t="s">
        <v>37</v>
      </c>
      <c r="AB197" s="35" t="s">
        <v>37</v>
      </c>
      <c r="AC197" s="35" t="s">
        <v>38</v>
      </c>
      <c r="AD197" s="51" t="s">
        <v>226</v>
      </c>
      <c r="AE197" s="35"/>
      <c r="AF197" s="35"/>
      <c r="AG197" s="35"/>
      <c r="AH197" s="35"/>
      <c r="AI197" s="35"/>
      <c r="AJ197" s="35"/>
      <c r="AK197" s="35"/>
      <c r="AL197" s="35"/>
      <c r="AM197" s="35"/>
      <c r="AN197" s="35"/>
      <c r="AO197" s="35"/>
      <c r="AP197" s="35"/>
      <c r="AQ197" s="35"/>
      <c r="AR197" s="35"/>
      <c r="AS197" s="35"/>
      <c r="AT197" s="35"/>
      <c r="AU197" s="35"/>
      <c r="AV197" s="35"/>
      <c r="AW197" s="35"/>
    </row>
    <row r="198" spans="1:49" ht="63" x14ac:dyDescent="0.2">
      <c r="A198" s="35" t="s">
        <v>216</v>
      </c>
      <c r="B198" s="37">
        <v>46075</v>
      </c>
      <c r="C198" s="37">
        <v>46075</v>
      </c>
      <c r="D198" s="39" t="s">
        <v>215</v>
      </c>
      <c r="E198" s="40">
        <v>0.25</v>
      </c>
      <c r="F198" s="40">
        <v>0.29166666666666669</v>
      </c>
      <c r="G198" s="40">
        <v>4.1666666666666664E-2</v>
      </c>
      <c r="H198" s="35" t="s">
        <v>217</v>
      </c>
      <c r="I198" s="42"/>
      <c r="J198" s="35" t="s">
        <v>32</v>
      </c>
      <c r="K198" s="35" t="s">
        <v>217</v>
      </c>
      <c r="L198" s="44">
        <v>1</v>
      </c>
      <c r="M198" s="44">
        <v>1</v>
      </c>
      <c r="N198" s="35" t="s">
        <v>33</v>
      </c>
      <c r="O198" s="35"/>
      <c r="P198" s="46">
        <v>0</v>
      </c>
      <c r="Q198" s="44"/>
      <c r="R198" s="47">
        <v>0</v>
      </c>
      <c r="S198" s="35">
        <v>46054</v>
      </c>
      <c r="T198" s="47">
        <v>0</v>
      </c>
      <c r="U198" s="44">
        <v>1</v>
      </c>
      <c r="V198" s="47">
        <v>0</v>
      </c>
      <c r="W198" s="35" t="s">
        <v>218</v>
      </c>
      <c r="X198" s="35" t="s">
        <v>35</v>
      </c>
      <c r="Y198" s="35" t="s">
        <v>36</v>
      </c>
      <c r="Z198" s="35" t="s">
        <v>9</v>
      </c>
      <c r="AA198" s="35" t="s">
        <v>50</v>
      </c>
      <c r="AB198" s="35" t="s">
        <v>37</v>
      </c>
      <c r="AC198" s="35" t="s">
        <v>38</v>
      </c>
      <c r="AD198" s="51" t="s">
        <v>226</v>
      </c>
      <c r="AE198" s="35"/>
      <c r="AF198" s="35"/>
      <c r="AG198" s="35"/>
      <c r="AH198" s="35"/>
      <c r="AI198" s="35"/>
      <c r="AJ198" s="35"/>
      <c r="AK198" s="35"/>
      <c r="AL198" s="35"/>
      <c r="AM198" s="35"/>
      <c r="AN198" s="35"/>
      <c r="AO198" s="35"/>
      <c r="AP198" s="35"/>
      <c r="AQ198" s="35"/>
      <c r="AR198" s="35"/>
      <c r="AS198" s="35"/>
      <c r="AT198" s="35"/>
      <c r="AU198" s="35"/>
      <c r="AV198" s="35"/>
      <c r="AW198" s="35"/>
    </row>
    <row r="199" spans="1:49" ht="47.25" x14ac:dyDescent="0.25">
      <c r="A199" s="36" t="s">
        <v>52</v>
      </c>
      <c r="B199" s="38">
        <v>46069</v>
      </c>
      <c r="C199" s="38">
        <v>46069</v>
      </c>
      <c r="D199" s="36" t="s">
        <v>30</v>
      </c>
      <c r="E199" s="41">
        <v>0.25</v>
      </c>
      <c r="F199" s="41">
        <v>0.99930555555555556</v>
      </c>
      <c r="G199" s="41">
        <v>3.4722222222222218E-4</v>
      </c>
      <c r="H199" s="36" t="s">
        <v>53</v>
      </c>
      <c r="I199" s="43">
        <v>0.86680555555555561</v>
      </c>
      <c r="J199" s="36" t="s">
        <v>41</v>
      </c>
      <c r="K199" s="36" t="s">
        <v>144</v>
      </c>
      <c r="L199" s="45">
        <v>1</v>
      </c>
      <c r="M199" s="45">
        <v>70964</v>
      </c>
      <c r="N199" s="36" t="s">
        <v>46</v>
      </c>
      <c r="O199" s="45" t="s">
        <v>38</v>
      </c>
      <c r="P199" s="48">
        <v>0</v>
      </c>
      <c r="Q199" s="45"/>
      <c r="R199" s="48">
        <v>0</v>
      </c>
      <c r="S199" s="49">
        <v>46054</v>
      </c>
      <c r="T199" s="48">
        <v>0</v>
      </c>
      <c r="U199" s="50">
        <v>4</v>
      </c>
      <c r="V199" s="48">
        <v>0</v>
      </c>
      <c r="W199" s="36" t="s">
        <v>48</v>
      </c>
      <c r="X199" s="36" t="s">
        <v>49</v>
      </c>
      <c r="Y199" s="36" t="s">
        <v>36</v>
      </c>
      <c r="Z199" s="36" t="s">
        <v>9</v>
      </c>
      <c r="AA199" s="36" t="s">
        <v>50</v>
      </c>
      <c r="AB199" s="36" t="s">
        <v>54</v>
      </c>
      <c r="AC199" s="36" t="s">
        <v>38</v>
      </c>
      <c r="AD199" s="51" t="s">
        <v>226</v>
      </c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</row>
    <row r="200" spans="1:49" ht="47.25" x14ac:dyDescent="0.25">
      <c r="A200" s="36" t="s">
        <v>52</v>
      </c>
      <c r="B200" s="38">
        <v>46069</v>
      </c>
      <c r="C200" s="38">
        <v>46069</v>
      </c>
      <c r="D200" s="36" t="s">
        <v>30</v>
      </c>
      <c r="E200" s="41">
        <v>0.33333333333333331</v>
      </c>
      <c r="F200" s="41">
        <v>0.41666666666666669</v>
      </c>
      <c r="G200" s="41">
        <v>3.4722222222222218E-4</v>
      </c>
      <c r="H200" s="36" t="s">
        <v>67</v>
      </c>
      <c r="I200" s="43">
        <v>0.33978009259259262</v>
      </c>
      <c r="J200" s="36" t="s">
        <v>66</v>
      </c>
      <c r="K200" s="36" t="s">
        <v>65</v>
      </c>
      <c r="L200" s="45">
        <v>1</v>
      </c>
      <c r="M200" s="45">
        <v>70972</v>
      </c>
      <c r="N200" s="36" t="s">
        <v>46</v>
      </c>
      <c r="O200" s="45" t="s">
        <v>38</v>
      </c>
      <c r="P200" s="48">
        <v>0</v>
      </c>
      <c r="Q200" s="45"/>
      <c r="R200" s="48">
        <v>0</v>
      </c>
      <c r="S200" s="49">
        <v>46054</v>
      </c>
      <c r="T200" s="48">
        <v>0</v>
      </c>
      <c r="U200" s="50">
        <v>4</v>
      </c>
      <c r="V200" s="48">
        <v>0</v>
      </c>
      <c r="W200" s="36" t="s">
        <v>48</v>
      </c>
      <c r="X200" s="36" t="s">
        <v>49</v>
      </c>
      <c r="Y200" s="36" t="s">
        <v>36</v>
      </c>
      <c r="Z200" s="36" t="s">
        <v>9</v>
      </c>
      <c r="AA200" s="36" t="s">
        <v>50</v>
      </c>
      <c r="AB200" s="36" t="s">
        <v>54</v>
      </c>
      <c r="AC200" s="36" t="s">
        <v>38</v>
      </c>
      <c r="AD200" s="51" t="s">
        <v>226</v>
      </c>
      <c r="AE200" s="52"/>
      <c r="AF200" s="52"/>
      <c r="AG200" s="52"/>
      <c r="AH200" s="52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</row>
    <row r="201" spans="1:49" ht="47.25" x14ac:dyDescent="0.25">
      <c r="A201" s="36" t="s">
        <v>52</v>
      </c>
      <c r="B201" s="38">
        <v>46069</v>
      </c>
      <c r="C201" s="38">
        <v>46069</v>
      </c>
      <c r="D201" s="36" t="s">
        <v>30</v>
      </c>
      <c r="E201" s="41">
        <v>0.66666666666666663</v>
      </c>
      <c r="F201" s="41">
        <v>0.79166666666666663</v>
      </c>
      <c r="G201" s="41">
        <v>3.4722222222222218E-4</v>
      </c>
      <c r="H201" s="36" t="s">
        <v>117</v>
      </c>
      <c r="I201" s="43">
        <v>0.69643518518518521</v>
      </c>
      <c r="J201" s="36" t="s">
        <v>116</v>
      </c>
      <c r="K201" s="36" t="s">
        <v>142</v>
      </c>
      <c r="L201" s="45">
        <v>1</v>
      </c>
      <c r="M201" s="45">
        <v>70966</v>
      </c>
      <c r="N201" s="36" t="s">
        <v>58</v>
      </c>
      <c r="O201" s="45" t="s">
        <v>38</v>
      </c>
      <c r="P201" s="48">
        <v>117.65</v>
      </c>
      <c r="Q201" s="45"/>
      <c r="R201" s="48">
        <v>117.65</v>
      </c>
      <c r="S201" s="49">
        <v>46054</v>
      </c>
      <c r="T201" s="48">
        <v>8.8237500000000004</v>
      </c>
      <c r="U201" s="50">
        <v>4</v>
      </c>
      <c r="V201" s="48">
        <v>108.82625</v>
      </c>
      <c r="W201" s="36" t="s">
        <v>48</v>
      </c>
      <c r="X201" s="36" t="s">
        <v>49</v>
      </c>
      <c r="Y201" s="36" t="s">
        <v>36</v>
      </c>
      <c r="Z201" s="36" t="s">
        <v>9</v>
      </c>
      <c r="AA201" s="36" t="s">
        <v>50</v>
      </c>
      <c r="AB201" s="36" t="s">
        <v>54</v>
      </c>
      <c r="AC201" s="36" t="s">
        <v>38</v>
      </c>
      <c r="AD201" s="51" t="s">
        <v>226</v>
      </c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</row>
    <row r="202" spans="1:49" ht="47.25" x14ac:dyDescent="0.25">
      <c r="A202" s="36" t="s">
        <v>52</v>
      </c>
      <c r="B202" s="38">
        <v>46069</v>
      </c>
      <c r="C202" s="38">
        <v>46069</v>
      </c>
      <c r="D202" s="36" t="s">
        <v>30</v>
      </c>
      <c r="E202" s="41">
        <v>0.79166666666666663</v>
      </c>
      <c r="F202" s="41">
        <v>0.83333333333333337</v>
      </c>
      <c r="G202" s="41">
        <v>3.4722222222222218E-4</v>
      </c>
      <c r="H202" s="36" t="s">
        <v>128</v>
      </c>
      <c r="I202" s="43">
        <v>0.83221064814814816</v>
      </c>
      <c r="J202" s="36" t="s">
        <v>123</v>
      </c>
      <c r="K202" s="36" t="s">
        <v>143</v>
      </c>
      <c r="L202" s="45">
        <v>1</v>
      </c>
      <c r="M202" s="45">
        <v>70960</v>
      </c>
      <c r="N202" s="36" t="s">
        <v>58</v>
      </c>
      <c r="O202" s="45" t="s">
        <v>38</v>
      </c>
      <c r="P202" s="48">
        <v>117.65</v>
      </c>
      <c r="Q202" s="45"/>
      <c r="R202" s="48">
        <v>117.65</v>
      </c>
      <c r="S202" s="49">
        <v>46054</v>
      </c>
      <c r="T202" s="48">
        <v>8.8237500000000004</v>
      </c>
      <c r="U202" s="50">
        <v>4</v>
      </c>
      <c r="V202" s="48">
        <v>108.82625</v>
      </c>
      <c r="W202" s="36" t="s">
        <v>48</v>
      </c>
      <c r="X202" s="36" t="s">
        <v>49</v>
      </c>
      <c r="Y202" s="36" t="s">
        <v>36</v>
      </c>
      <c r="Z202" s="36" t="s">
        <v>9</v>
      </c>
      <c r="AA202" s="36" t="s">
        <v>50</v>
      </c>
      <c r="AB202" s="36" t="s">
        <v>54</v>
      </c>
      <c r="AC202" s="36" t="s">
        <v>38</v>
      </c>
      <c r="AD202" s="51" t="s">
        <v>226</v>
      </c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</row>
    <row r="203" spans="1:49" ht="47.25" x14ac:dyDescent="0.25">
      <c r="A203" s="36" t="s">
        <v>52</v>
      </c>
      <c r="B203" s="38">
        <v>46069</v>
      </c>
      <c r="C203" s="38">
        <v>46069</v>
      </c>
      <c r="D203" s="36" t="s">
        <v>30</v>
      </c>
      <c r="E203" s="41">
        <v>0.83333333333333337</v>
      </c>
      <c r="F203" s="41">
        <v>0.875</v>
      </c>
      <c r="G203" s="41">
        <v>3.4722222222222218E-4</v>
      </c>
      <c r="H203" s="36" t="s">
        <v>53</v>
      </c>
      <c r="I203" s="43">
        <v>0.84424768518518523</v>
      </c>
      <c r="J203" s="36" t="s">
        <v>41</v>
      </c>
      <c r="K203" s="36" t="s">
        <v>144</v>
      </c>
      <c r="L203" s="45">
        <v>1</v>
      </c>
      <c r="M203" s="45">
        <v>70962</v>
      </c>
      <c r="N203" s="36" t="s">
        <v>58</v>
      </c>
      <c r="O203" s="45" t="s">
        <v>38</v>
      </c>
      <c r="P203" s="48">
        <v>117.65</v>
      </c>
      <c r="Q203" s="45"/>
      <c r="R203" s="48">
        <v>117.65</v>
      </c>
      <c r="S203" s="49">
        <v>46054</v>
      </c>
      <c r="T203" s="48">
        <v>8.8237500000000004</v>
      </c>
      <c r="U203" s="50">
        <v>4</v>
      </c>
      <c r="V203" s="48">
        <v>108.82625</v>
      </c>
      <c r="W203" s="36" t="s">
        <v>48</v>
      </c>
      <c r="X203" s="36" t="s">
        <v>49</v>
      </c>
      <c r="Y203" s="36" t="s">
        <v>36</v>
      </c>
      <c r="Z203" s="36" t="s">
        <v>9</v>
      </c>
      <c r="AA203" s="36" t="s">
        <v>50</v>
      </c>
      <c r="AB203" s="36" t="s">
        <v>54</v>
      </c>
      <c r="AC203" s="36" t="s">
        <v>38</v>
      </c>
      <c r="AD203" s="51" t="s">
        <v>226</v>
      </c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</row>
    <row r="204" spans="1:49" ht="47.25" x14ac:dyDescent="0.25">
      <c r="A204" s="36" t="s">
        <v>52</v>
      </c>
      <c r="B204" s="38">
        <v>46070</v>
      </c>
      <c r="C204" s="38">
        <v>46070</v>
      </c>
      <c r="D204" s="36" t="s">
        <v>146</v>
      </c>
      <c r="E204" s="41">
        <v>0.25</v>
      </c>
      <c r="F204" s="41">
        <v>0.99930555555555556</v>
      </c>
      <c r="G204" s="41">
        <v>3.4722222222222218E-4</v>
      </c>
      <c r="H204" s="36" t="s">
        <v>53</v>
      </c>
      <c r="I204" s="43">
        <v>0.29085648148148147</v>
      </c>
      <c r="J204" s="36" t="s">
        <v>41</v>
      </c>
      <c r="K204" s="36" t="s">
        <v>40</v>
      </c>
      <c r="L204" s="45">
        <v>1</v>
      </c>
      <c r="M204" s="45">
        <v>70964</v>
      </c>
      <c r="N204" s="36" t="s">
        <v>46</v>
      </c>
      <c r="O204" s="45" t="s">
        <v>38</v>
      </c>
      <c r="P204" s="48">
        <v>0</v>
      </c>
      <c r="Q204" s="45"/>
      <c r="R204" s="48">
        <v>0</v>
      </c>
      <c r="S204" s="49">
        <v>46054</v>
      </c>
      <c r="T204" s="48">
        <v>0</v>
      </c>
      <c r="U204" s="50">
        <v>4</v>
      </c>
      <c r="V204" s="48">
        <v>0</v>
      </c>
      <c r="W204" s="36" t="s">
        <v>48</v>
      </c>
      <c r="X204" s="36" t="s">
        <v>49</v>
      </c>
      <c r="Y204" s="36" t="s">
        <v>36</v>
      </c>
      <c r="Z204" s="36" t="s">
        <v>9</v>
      </c>
      <c r="AA204" s="36" t="s">
        <v>50</v>
      </c>
      <c r="AB204" s="36" t="s">
        <v>54</v>
      </c>
      <c r="AC204" s="36" t="s">
        <v>38</v>
      </c>
      <c r="AD204" s="51" t="s">
        <v>226</v>
      </c>
      <c r="AE204" s="52"/>
      <c r="AF204" s="52"/>
      <c r="AG204" s="52"/>
      <c r="AH204" s="52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</row>
    <row r="205" spans="1:49" ht="47.25" x14ac:dyDescent="0.25">
      <c r="A205" s="36" t="s">
        <v>52</v>
      </c>
      <c r="B205" s="38">
        <v>46070</v>
      </c>
      <c r="C205" s="38">
        <v>46070</v>
      </c>
      <c r="D205" s="36" t="s">
        <v>146</v>
      </c>
      <c r="E205" s="41">
        <v>0.45833333333333331</v>
      </c>
      <c r="F205" s="41">
        <v>0.5</v>
      </c>
      <c r="G205" s="41">
        <v>3.4722222222222218E-4</v>
      </c>
      <c r="H205" s="36" t="s">
        <v>151</v>
      </c>
      <c r="I205" s="43">
        <v>0.46925925925925926</v>
      </c>
      <c r="J205" s="36" t="s">
        <v>81</v>
      </c>
      <c r="K205" s="36" t="s">
        <v>150</v>
      </c>
      <c r="L205" s="45">
        <v>1</v>
      </c>
      <c r="M205" s="45">
        <v>70974</v>
      </c>
      <c r="N205" s="36" t="s">
        <v>58</v>
      </c>
      <c r="O205" s="45" t="s">
        <v>38</v>
      </c>
      <c r="P205" s="48">
        <v>117.65</v>
      </c>
      <c r="Q205" s="45"/>
      <c r="R205" s="48">
        <v>117.65</v>
      </c>
      <c r="S205" s="49">
        <v>46054</v>
      </c>
      <c r="T205" s="48">
        <v>8.8237500000000004</v>
      </c>
      <c r="U205" s="50">
        <v>4</v>
      </c>
      <c r="V205" s="48">
        <v>108.82625</v>
      </c>
      <c r="W205" s="36" t="s">
        <v>48</v>
      </c>
      <c r="X205" s="36" t="s">
        <v>49</v>
      </c>
      <c r="Y205" s="36" t="s">
        <v>36</v>
      </c>
      <c r="Z205" s="36" t="s">
        <v>9</v>
      </c>
      <c r="AA205" s="36" t="s">
        <v>50</v>
      </c>
      <c r="AB205" s="36" t="s">
        <v>54</v>
      </c>
      <c r="AC205" s="36" t="s">
        <v>38</v>
      </c>
      <c r="AD205" s="51" t="s">
        <v>226</v>
      </c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</row>
    <row r="206" spans="1:49" ht="47.25" x14ac:dyDescent="0.25">
      <c r="A206" s="36" t="s">
        <v>52</v>
      </c>
      <c r="B206" s="38">
        <v>46070</v>
      </c>
      <c r="C206" s="38">
        <v>46070</v>
      </c>
      <c r="D206" s="36" t="s">
        <v>146</v>
      </c>
      <c r="E206" s="41">
        <v>0.45833333333333331</v>
      </c>
      <c r="F206" s="41">
        <v>0.54166666666666663</v>
      </c>
      <c r="G206" s="41">
        <v>3.4722222222222218E-4</v>
      </c>
      <c r="H206" s="36" t="s">
        <v>151</v>
      </c>
      <c r="I206" s="43">
        <v>0.52009259259259255</v>
      </c>
      <c r="J206" s="36" t="s">
        <v>81</v>
      </c>
      <c r="K206" s="36" t="s">
        <v>138</v>
      </c>
      <c r="L206" s="45">
        <v>1</v>
      </c>
      <c r="M206" s="45">
        <v>70976</v>
      </c>
      <c r="N206" s="36" t="s">
        <v>46</v>
      </c>
      <c r="O206" s="45" t="s">
        <v>38</v>
      </c>
      <c r="P206" s="48">
        <v>0</v>
      </c>
      <c r="Q206" s="45"/>
      <c r="R206" s="48">
        <v>0</v>
      </c>
      <c r="S206" s="49">
        <v>46054</v>
      </c>
      <c r="T206" s="48">
        <v>0</v>
      </c>
      <c r="U206" s="50">
        <v>4</v>
      </c>
      <c r="V206" s="48">
        <v>0</v>
      </c>
      <c r="W206" s="36" t="s">
        <v>48</v>
      </c>
      <c r="X206" s="36" t="s">
        <v>49</v>
      </c>
      <c r="Y206" s="36" t="s">
        <v>36</v>
      </c>
      <c r="Z206" s="36" t="s">
        <v>9</v>
      </c>
      <c r="AA206" s="36" t="s">
        <v>50</v>
      </c>
      <c r="AB206" s="36" t="s">
        <v>54</v>
      </c>
      <c r="AC206" s="36" t="s">
        <v>38</v>
      </c>
      <c r="AD206" s="51" t="s">
        <v>226</v>
      </c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</row>
    <row r="207" spans="1:49" ht="47.25" x14ac:dyDescent="0.2">
      <c r="A207" s="36" t="s">
        <v>52</v>
      </c>
      <c r="B207" s="38">
        <v>46071</v>
      </c>
      <c r="C207" s="38">
        <v>46071</v>
      </c>
      <c r="D207" s="36" t="s">
        <v>164</v>
      </c>
      <c r="E207" s="41">
        <v>0.33333333333333331</v>
      </c>
      <c r="F207" s="41">
        <v>0.41666666666666669</v>
      </c>
      <c r="G207" s="41">
        <v>3.4722222222222218E-4</v>
      </c>
      <c r="H207" s="36" t="s">
        <v>67</v>
      </c>
      <c r="I207" s="43">
        <v>0.34577546296296297</v>
      </c>
      <c r="J207" s="36" t="s">
        <v>66</v>
      </c>
      <c r="K207" s="36" t="s">
        <v>65</v>
      </c>
      <c r="L207" s="45">
        <v>1</v>
      </c>
      <c r="M207" s="45">
        <v>70970</v>
      </c>
      <c r="N207" s="36" t="s">
        <v>58</v>
      </c>
      <c r="O207" s="45" t="s">
        <v>38</v>
      </c>
      <c r="P207" s="48">
        <v>117.65</v>
      </c>
      <c r="Q207" s="45"/>
      <c r="R207" s="48">
        <v>117.65</v>
      </c>
      <c r="S207" s="49">
        <v>46054</v>
      </c>
      <c r="T207" s="48">
        <v>8.8237500000000004</v>
      </c>
      <c r="U207" s="50">
        <v>4</v>
      </c>
      <c r="V207" s="48">
        <v>108.82625</v>
      </c>
      <c r="W207" s="36" t="s">
        <v>48</v>
      </c>
      <c r="X207" s="36" t="s">
        <v>49</v>
      </c>
      <c r="Y207" s="36" t="s">
        <v>36</v>
      </c>
      <c r="Z207" s="36" t="s">
        <v>9</v>
      </c>
      <c r="AA207" s="36" t="s">
        <v>50</v>
      </c>
      <c r="AB207" s="36" t="s">
        <v>54</v>
      </c>
      <c r="AC207" s="36" t="s">
        <v>38</v>
      </c>
      <c r="AD207" s="51" t="s">
        <v>226</v>
      </c>
      <c r="AE207" s="35"/>
      <c r="AF207" s="35"/>
      <c r="AG207" s="35"/>
      <c r="AH207" s="35"/>
      <c r="AI207" s="35"/>
      <c r="AJ207" s="35"/>
      <c r="AK207" s="35"/>
      <c r="AL207" s="35"/>
      <c r="AM207" s="35"/>
      <c r="AN207" s="35"/>
      <c r="AO207" s="35"/>
      <c r="AP207" s="35"/>
      <c r="AQ207" s="35"/>
      <c r="AR207" s="35"/>
      <c r="AS207" s="35"/>
      <c r="AT207" s="35"/>
      <c r="AU207" s="35"/>
      <c r="AV207" s="35"/>
      <c r="AW207" s="35"/>
    </row>
    <row r="208" spans="1:49" ht="47.25" x14ac:dyDescent="0.25">
      <c r="A208" s="36" t="s">
        <v>52</v>
      </c>
      <c r="B208" s="38">
        <v>46071</v>
      </c>
      <c r="C208" s="38">
        <v>46071</v>
      </c>
      <c r="D208" s="36" t="s">
        <v>164</v>
      </c>
      <c r="E208" s="41">
        <v>0.45833333333333331</v>
      </c>
      <c r="F208" s="41">
        <v>0.5</v>
      </c>
      <c r="G208" s="41">
        <v>3.4722222222222218E-4</v>
      </c>
      <c r="H208" s="36" t="s">
        <v>151</v>
      </c>
      <c r="I208" s="43">
        <v>0.4904513888888889</v>
      </c>
      <c r="J208" s="36" t="s">
        <v>81</v>
      </c>
      <c r="K208" s="36" t="s">
        <v>137</v>
      </c>
      <c r="L208" s="45">
        <v>1</v>
      </c>
      <c r="M208" s="45">
        <v>70974</v>
      </c>
      <c r="N208" s="36" t="s">
        <v>58</v>
      </c>
      <c r="O208" s="45" t="s">
        <v>38</v>
      </c>
      <c r="P208" s="48">
        <v>117.65</v>
      </c>
      <c r="Q208" s="45"/>
      <c r="R208" s="48">
        <v>117.65</v>
      </c>
      <c r="S208" s="49">
        <v>46054</v>
      </c>
      <c r="T208" s="48">
        <v>8.8237500000000004</v>
      </c>
      <c r="U208" s="50">
        <v>4</v>
      </c>
      <c r="V208" s="48">
        <v>108.82625</v>
      </c>
      <c r="W208" s="36" t="s">
        <v>48</v>
      </c>
      <c r="X208" s="36" t="s">
        <v>49</v>
      </c>
      <c r="Y208" s="36" t="s">
        <v>36</v>
      </c>
      <c r="Z208" s="36" t="s">
        <v>9</v>
      </c>
      <c r="AA208" s="36" t="s">
        <v>50</v>
      </c>
      <c r="AB208" s="36" t="s">
        <v>54</v>
      </c>
      <c r="AC208" s="36" t="s">
        <v>38</v>
      </c>
      <c r="AD208" s="51" t="s">
        <v>226</v>
      </c>
      <c r="AE208" s="52"/>
      <c r="AF208" s="52"/>
      <c r="AG208" s="52"/>
      <c r="AH208" s="52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</row>
    <row r="209" spans="1:49" ht="47.25" x14ac:dyDescent="0.25">
      <c r="A209" s="36" t="s">
        <v>52</v>
      </c>
      <c r="B209" s="38">
        <v>46071</v>
      </c>
      <c r="C209" s="38">
        <v>46071</v>
      </c>
      <c r="D209" s="36" t="s">
        <v>164</v>
      </c>
      <c r="E209" s="41">
        <v>0.66666666666666663</v>
      </c>
      <c r="F209" s="41">
        <v>0.79166666666666663</v>
      </c>
      <c r="G209" s="41">
        <v>3.4722222222222218E-4</v>
      </c>
      <c r="H209" s="36" t="s">
        <v>117</v>
      </c>
      <c r="I209" s="43">
        <v>0.71324074074074073</v>
      </c>
      <c r="J209" s="36" t="s">
        <v>116</v>
      </c>
      <c r="K209" s="36" t="s">
        <v>174</v>
      </c>
      <c r="L209" s="45">
        <v>1</v>
      </c>
      <c r="M209" s="45">
        <v>70968</v>
      </c>
      <c r="N209" s="36" t="s">
        <v>46</v>
      </c>
      <c r="O209" s="45" t="s">
        <v>38</v>
      </c>
      <c r="P209" s="48">
        <v>0</v>
      </c>
      <c r="Q209" s="45"/>
      <c r="R209" s="48">
        <v>0</v>
      </c>
      <c r="S209" s="49">
        <v>46054</v>
      </c>
      <c r="T209" s="48">
        <v>0</v>
      </c>
      <c r="U209" s="50">
        <v>4</v>
      </c>
      <c r="V209" s="48">
        <v>0</v>
      </c>
      <c r="W209" s="36" t="s">
        <v>48</v>
      </c>
      <c r="X209" s="36" t="s">
        <v>49</v>
      </c>
      <c r="Y209" s="36" t="s">
        <v>36</v>
      </c>
      <c r="Z209" s="36" t="s">
        <v>9</v>
      </c>
      <c r="AA209" s="36" t="s">
        <v>50</v>
      </c>
      <c r="AB209" s="36" t="s">
        <v>54</v>
      </c>
      <c r="AC209" s="36" t="s">
        <v>38</v>
      </c>
      <c r="AD209" s="51" t="s">
        <v>226</v>
      </c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</row>
    <row r="210" spans="1:49" ht="47.25" x14ac:dyDescent="0.25">
      <c r="A210" s="36" t="s">
        <v>52</v>
      </c>
      <c r="B210" s="38">
        <v>46071</v>
      </c>
      <c r="C210" s="38">
        <v>46071</v>
      </c>
      <c r="D210" s="36" t="s">
        <v>164</v>
      </c>
      <c r="E210" s="41">
        <v>0.66666666666666663</v>
      </c>
      <c r="F210" s="41">
        <v>0.79166666666666663</v>
      </c>
      <c r="G210" s="41">
        <v>3.4722222222222218E-4</v>
      </c>
      <c r="H210" s="36" t="s">
        <v>117</v>
      </c>
      <c r="I210" s="43">
        <v>0.765625</v>
      </c>
      <c r="J210" s="36" t="s">
        <v>116</v>
      </c>
      <c r="K210" s="36" t="s">
        <v>176</v>
      </c>
      <c r="L210" s="45">
        <v>1</v>
      </c>
      <c r="M210" s="45">
        <v>70966</v>
      </c>
      <c r="N210" s="36" t="s">
        <v>58</v>
      </c>
      <c r="O210" s="45" t="s">
        <v>38</v>
      </c>
      <c r="P210" s="48">
        <v>117.65</v>
      </c>
      <c r="Q210" s="45"/>
      <c r="R210" s="48">
        <v>117.65</v>
      </c>
      <c r="S210" s="49">
        <v>46054</v>
      </c>
      <c r="T210" s="48">
        <v>8.8237500000000004</v>
      </c>
      <c r="U210" s="50">
        <v>4</v>
      </c>
      <c r="V210" s="48">
        <v>108.82625</v>
      </c>
      <c r="W210" s="36" t="s">
        <v>48</v>
      </c>
      <c r="X210" s="36" t="s">
        <v>49</v>
      </c>
      <c r="Y210" s="36" t="s">
        <v>36</v>
      </c>
      <c r="Z210" s="36" t="s">
        <v>9</v>
      </c>
      <c r="AA210" s="36" t="s">
        <v>50</v>
      </c>
      <c r="AB210" s="36" t="s">
        <v>54</v>
      </c>
      <c r="AC210" s="36" t="s">
        <v>38</v>
      </c>
      <c r="AD210" s="51" t="s">
        <v>226</v>
      </c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</row>
    <row r="211" spans="1:49" ht="47.25" x14ac:dyDescent="0.2">
      <c r="A211" s="36" t="s">
        <v>52</v>
      </c>
      <c r="B211" s="38">
        <v>46071</v>
      </c>
      <c r="C211" s="38">
        <v>46071</v>
      </c>
      <c r="D211" s="36" t="s">
        <v>164</v>
      </c>
      <c r="E211" s="41">
        <v>0.79166666666666663</v>
      </c>
      <c r="F211" s="41">
        <v>0.83333333333333337</v>
      </c>
      <c r="G211" s="41">
        <v>3.4722222222222218E-4</v>
      </c>
      <c r="H211" s="36" t="s">
        <v>128</v>
      </c>
      <c r="I211" s="43">
        <v>0.81160879629629634</v>
      </c>
      <c r="J211" s="36" t="s">
        <v>123</v>
      </c>
      <c r="K211" s="36" t="s">
        <v>122</v>
      </c>
      <c r="L211" s="45">
        <v>1</v>
      </c>
      <c r="M211" s="45">
        <v>70960</v>
      </c>
      <c r="N211" s="36" t="s">
        <v>58</v>
      </c>
      <c r="O211" s="45" t="s">
        <v>38</v>
      </c>
      <c r="P211" s="48">
        <v>117.65</v>
      </c>
      <c r="Q211" s="45"/>
      <c r="R211" s="48">
        <v>117.65</v>
      </c>
      <c r="S211" s="49">
        <v>46054</v>
      </c>
      <c r="T211" s="48">
        <v>8.8237500000000004</v>
      </c>
      <c r="U211" s="50">
        <v>4</v>
      </c>
      <c r="V211" s="48">
        <v>108.82625</v>
      </c>
      <c r="W211" s="36" t="s">
        <v>48</v>
      </c>
      <c r="X211" s="36" t="s">
        <v>49</v>
      </c>
      <c r="Y211" s="36" t="s">
        <v>36</v>
      </c>
      <c r="Z211" s="36" t="s">
        <v>9</v>
      </c>
      <c r="AA211" s="36" t="s">
        <v>50</v>
      </c>
      <c r="AB211" s="36" t="s">
        <v>54</v>
      </c>
      <c r="AC211" s="36" t="s">
        <v>38</v>
      </c>
      <c r="AD211" s="51" t="s">
        <v>226</v>
      </c>
      <c r="AE211" s="35"/>
      <c r="AF211" s="35"/>
      <c r="AG211" s="35"/>
      <c r="AH211" s="35"/>
      <c r="AI211" s="35"/>
      <c r="AJ211" s="35"/>
      <c r="AK211" s="35"/>
      <c r="AL211" s="35"/>
      <c r="AM211" s="35"/>
      <c r="AN211" s="35"/>
      <c r="AO211" s="35"/>
      <c r="AP211" s="35"/>
      <c r="AQ211" s="35"/>
      <c r="AR211" s="35"/>
      <c r="AS211" s="35"/>
      <c r="AT211" s="35"/>
      <c r="AU211" s="35"/>
      <c r="AV211" s="35"/>
      <c r="AW211" s="35"/>
    </row>
    <row r="212" spans="1:49" ht="47.25" x14ac:dyDescent="0.25">
      <c r="A212" s="36" t="s">
        <v>52</v>
      </c>
      <c r="B212" s="38">
        <v>46071</v>
      </c>
      <c r="C212" s="38">
        <v>46071</v>
      </c>
      <c r="D212" s="36" t="s">
        <v>164</v>
      </c>
      <c r="E212" s="41">
        <v>0.83333333333333337</v>
      </c>
      <c r="F212" s="41">
        <v>0.875</v>
      </c>
      <c r="G212" s="41">
        <v>3.4722222222222218E-4</v>
      </c>
      <c r="H212" s="36" t="s">
        <v>53</v>
      </c>
      <c r="I212" s="43">
        <v>0.84491898148148148</v>
      </c>
      <c r="J212" s="36" t="s">
        <v>41</v>
      </c>
      <c r="K212" s="36" t="s">
        <v>144</v>
      </c>
      <c r="L212" s="45">
        <v>1</v>
      </c>
      <c r="M212" s="45">
        <v>70962</v>
      </c>
      <c r="N212" s="36" t="s">
        <v>58</v>
      </c>
      <c r="O212" s="45" t="s">
        <v>38</v>
      </c>
      <c r="P212" s="48">
        <v>117.65</v>
      </c>
      <c r="Q212" s="45"/>
      <c r="R212" s="48">
        <v>117.65</v>
      </c>
      <c r="S212" s="49">
        <v>46054</v>
      </c>
      <c r="T212" s="48">
        <v>8.8237500000000004</v>
      </c>
      <c r="U212" s="50">
        <v>4</v>
      </c>
      <c r="V212" s="48">
        <v>108.82625</v>
      </c>
      <c r="W212" s="36" t="s">
        <v>48</v>
      </c>
      <c r="X212" s="36" t="s">
        <v>49</v>
      </c>
      <c r="Y212" s="36" t="s">
        <v>36</v>
      </c>
      <c r="Z212" s="36" t="s">
        <v>9</v>
      </c>
      <c r="AA212" s="36" t="s">
        <v>50</v>
      </c>
      <c r="AB212" s="36" t="s">
        <v>54</v>
      </c>
      <c r="AC212" s="36" t="s">
        <v>38</v>
      </c>
      <c r="AD212" s="51" t="s">
        <v>226</v>
      </c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</row>
    <row r="213" spans="1:49" ht="47.25" x14ac:dyDescent="0.2">
      <c r="A213" s="36" t="s">
        <v>52</v>
      </c>
      <c r="B213" s="38">
        <v>46072</v>
      </c>
      <c r="C213" s="38">
        <v>46072</v>
      </c>
      <c r="D213" s="36" t="s">
        <v>177</v>
      </c>
      <c r="E213" s="41">
        <v>0.25</v>
      </c>
      <c r="F213" s="41">
        <v>0.99930555555555556</v>
      </c>
      <c r="G213" s="41">
        <v>3.4722222222222218E-4</v>
      </c>
      <c r="H213" s="36" t="s">
        <v>53</v>
      </c>
      <c r="I213" s="43">
        <v>0.93239583333333331</v>
      </c>
      <c r="J213" s="36" t="s">
        <v>41</v>
      </c>
      <c r="K213" s="36" t="s">
        <v>187</v>
      </c>
      <c r="L213" s="45">
        <v>1</v>
      </c>
      <c r="M213" s="45">
        <v>70964</v>
      </c>
      <c r="N213" s="36" t="s">
        <v>46</v>
      </c>
      <c r="O213" s="45" t="s">
        <v>38</v>
      </c>
      <c r="P213" s="48">
        <v>0</v>
      </c>
      <c r="Q213" s="45"/>
      <c r="R213" s="48">
        <v>0</v>
      </c>
      <c r="S213" s="49">
        <v>46054</v>
      </c>
      <c r="T213" s="48">
        <v>0</v>
      </c>
      <c r="U213" s="50">
        <v>4</v>
      </c>
      <c r="V213" s="48">
        <v>0</v>
      </c>
      <c r="W213" s="36" t="s">
        <v>48</v>
      </c>
      <c r="X213" s="36" t="s">
        <v>49</v>
      </c>
      <c r="Y213" s="36" t="s">
        <v>36</v>
      </c>
      <c r="Z213" s="36" t="s">
        <v>9</v>
      </c>
      <c r="AA213" s="36" t="s">
        <v>50</v>
      </c>
      <c r="AB213" s="36" t="s">
        <v>54</v>
      </c>
      <c r="AC213" s="36" t="s">
        <v>38</v>
      </c>
      <c r="AD213" s="51" t="s">
        <v>226</v>
      </c>
      <c r="AE213" s="35"/>
      <c r="AF213" s="35"/>
      <c r="AG213" s="35"/>
      <c r="AH213" s="35"/>
      <c r="AI213" s="35"/>
      <c r="AJ213" s="35"/>
      <c r="AK213" s="35"/>
      <c r="AL213" s="35"/>
      <c r="AM213" s="35"/>
      <c r="AN213" s="35"/>
      <c r="AO213" s="35"/>
      <c r="AP213" s="35"/>
      <c r="AQ213" s="35"/>
      <c r="AR213" s="35"/>
      <c r="AS213" s="35"/>
      <c r="AT213" s="35"/>
      <c r="AU213" s="35"/>
      <c r="AV213" s="35"/>
      <c r="AW213" s="35"/>
    </row>
    <row r="214" spans="1:49" ht="47.25" x14ac:dyDescent="0.2">
      <c r="A214" s="36" t="s">
        <v>52</v>
      </c>
      <c r="B214" s="38">
        <v>46072</v>
      </c>
      <c r="C214" s="38">
        <v>46072</v>
      </c>
      <c r="D214" s="36" t="s">
        <v>177</v>
      </c>
      <c r="E214" s="41">
        <v>0.33333333333333331</v>
      </c>
      <c r="F214" s="41">
        <v>0.41666666666666669</v>
      </c>
      <c r="G214" s="41">
        <v>3.4722222222222218E-4</v>
      </c>
      <c r="H214" s="36" t="s">
        <v>67</v>
      </c>
      <c r="I214" s="43">
        <v>0.35638888888888887</v>
      </c>
      <c r="J214" s="36" t="s">
        <v>66</v>
      </c>
      <c r="K214" s="36" t="s">
        <v>65</v>
      </c>
      <c r="L214" s="45">
        <v>1</v>
      </c>
      <c r="M214" s="45">
        <v>70972</v>
      </c>
      <c r="N214" s="36" t="s">
        <v>46</v>
      </c>
      <c r="O214" s="45" t="s">
        <v>38</v>
      </c>
      <c r="P214" s="48">
        <v>0</v>
      </c>
      <c r="Q214" s="45"/>
      <c r="R214" s="48">
        <v>0</v>
      </c>
      <c r="S214" s="49">
        <v>46054</v>
      </c>
      <c r="T214" s="48">
        <v>0</v>
      </c>
      <c r="U214" s="50">
        <v>4</v>
      </c>
      <c r="V214" s="48">
        <v>0</v>
      </c>
      <c r="W214" s="36" t="s">
        <v>48</v>
      </c>
      <c r="X214" s="36" t="s">
        <v>49</v>
      </c>
      <c r="Y214" s="36" t="s">
        <v>36</v>
      </c>
      <c r="Z214" s="36" t="s">
        <v>9</v>
      </c>
      <c r="AA214" s="36" t="s">
        <v>50</v>
      </c>
      <c r="AB214" s="36" t="s">
        <v>54</v>
      </c>
      <c r="AC214" s="36" t="s">
        <v>38</v>
      </c>
      <c r="AD214" s="51" t="s">
        <v>226</v>
      </c>
      <c r="AE214" s="35"/>
      <c r="AF214" s="35"/>
      <c r="AG214" s="35"/>
      <c r="AH214" s="35"/>
      <c r="AI214" s="35"/>
      <c r="AJ214" s="35"/>
      <c r="AK214" s="35"/>
      <c r="AL214" s="35"/>
      <c r="AM214" s="35"/>
      <c r="AN214" s="35"/>
      <c r="AO214" s="35"/>
      <c r="AP214" s="35"/>
      <c r="AQ214" s="35"/>
      <c r="AR214" s="35"/>
      <c r="AS214" s="35"/>
      <c r="AT214" s="35"/>
      <c r="AU214" s="35"/>
      <c r="AV214" s="35"/>
      <c r="AW214" s="35"/>
    </row>
    <row r="215" spans="1:49" ht="47.25" x14ac:dyDescent="0.25">
      <c r="A215" s="36" t="s">
        <v>52</v>
      </c>
      <c r="B215" s="38">
        <v>46072</v>
      </c>
      <c r="C215" s="38">
        <v>46072</v>
      </c>
      <c r="D215" s="36" t="s">
        <v>177</v>
      </c>
      <c r="E215" s="41">
        <v>0.33333333333333331</v>
      </c>
      <c r="F215" s="41">
        <v>0.41666666666666669</v>
      </c>
      <c r="G215" s="41">
        <v>3.4722222222222218E-4</v>
      </c>
      <c r="H215" s="36" t="s">
        <v>67</v>
      </c>
      <c r="I215" s="43">
        <v>0.4073148148148148</v>
      </c>
      <c r="J215" s="36" t="s">
        <v>66</v>
      </c>
      <c r="K215" s="36" t="s">
        <v>68</v>
      </c>
      <c r="L215" s="45">
        <v>1</v>
      </c>
      <c r="M215" s="45">
        <v>70970</v>
      </c>
      <c r="N215" s="36" t="s">
        <v>58</v>
      </c>
      <c r="O215" s="45" t="s">
        <v>38</v>
      </c>
      <c r="P215" s="48">
        <v>117.65</v>
      </c>
      <c r="Q215" s="45"/>
      <c r="R215" s="48">
        <v>117.65</v>
      </c>
      <c r="S215" s="49">
        <v>46054</v>
      </c>
      <c r="T215" s="48">
        <v>8.8237500000000004</v>
      </c>
      <c r="U215" s="50">
        <v>4</v>
      </c>
      <c r="V215" s="48">
        <v>108.82625</v>
      </c>
      <c r="W215" s="36" t="s">
        <v>48</v>
      </c>
      <c r="X215" s="36" t="s">
        <v>49</v>
      </c>
      <c r="Y215" s="36" t="s">
        <v>36</v>
      </c>
      <c r="Z215" s="36" t="s">
        <v>9</v>
      </c>
      <c r="AA215" s="36" t="s">
        <v>50</v>
      </c>
      <c r="AB215" s="36" t="s">
        <v>54</v>
      </c>
      <c r="AC215" s="36" t="s">
        <v>38</v>
      </c>
      <c r="AD215" s="51" t="s">
        <v>226</v>
      </c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</row>
    <row r="216" spans="1:49" ht="47.25" x14ac:dyDescent="0.2">
      <c r="A216" s="36" t="s">
        <v>52</v>
      </c>
      <c r="B216" s="38">
        <v>46072</v>
      </c>
      <c r="C216" s="38">
        <v>46072</v>
      </c>
      <c r="D216" s="36" t="s">
        <v>177</v>
      </c>
      <c r="E216" s="41">
        <v>0.45833333333333331</v>
      </c>
      <c r="F216" s="41">
        <v>0.5</v>
      </c>
      <c r="G216" s="41">
        <v>3.4722222222222218E-4</v>
      </c>
      <c r="H216" s="36" t="s">
        <v>151</v>
      </c>
      <c r="I216" s="43">
        <v>0.47314814814814815</v>
      </c>
      <c r="J216" s="36" t="s">
        <v>81</v>
      </c>
      <c r="K216" s="36" t="s">
        <v>150</v>
      </c>
      <c r="L216" s="45">
        <v>1</v>
      </c>
      <c r="M216" s="45">
        <v>70974</v>
      </c>
      <c r="N216" s="36" t="s">
        <v>58</v>
      </c>
      <c r="O216" s="45" t="s">
        <v>38</v>
      </c>
      <c r="P216" s="48">
        <v>117.65</v>
      </c>
      <c r="Q216" s="45"/>
      <c r="R216" s="48">
        <v>117.65</v>
      </c>
      <c r="S216" s="49">
        <v>46054</v>
      </c>
      <c r="T216" s="48">
        <v>8.8237500000000004</v>
      </c>
      <c r="U216" s="50">
        <v>4</v>
      </c>
      <c r="V216" s="48">
        <v>108.82625</v>
      </c>
      <c r="W216" s="36" t="s">
        <v>48</v>
      </c>
      <c r="X216" s="36" t="s">
        <v>49</v>
      </c>
      <c r="Y216" s="36" t="s">
        <v>36</v>
      </c>
      <c r="Z216" s="36" t="s">
        <v>9</v>
      </c>
      <c r="AA216" s="36" t="s">
        <v>50</v>
      </c>
      <c r="AB216" s="36" t="s">
        <v>54</v>
      </c>
      <c r="AC216" s="36" t="s">
        <v>38</v>
      </c>
      <c r="AD216" s="51" t="s">
        <v>226</v>
      </c>
      <c r="AE216" s="35"/>
      <c r="AF216" s="35"/>
      <c r="AG216" s="35"/>
      <c r="AH216" s="35"/>
      <c r="AI216" s="35"/>
      <c r="AJ216" s="35"/>
      <c r="AK216" s="35"/>
      <c r="AL216" s="35"/>
      <c r="AM216" s="35"/>
      <c r="AN216" s="35"/>
      <c r="AO216" s="35"/>
      <c r="AP216" s="35"/>
      <c r="AQ216" s="35"/>
      <c r="AR216" s="35"/>
      <c r="AS216" s="35"/>
      <c r="AT216" s="35"/>
      <c r="AU216" s="35"/>
      <c r="AV216" s="35"/>
      <c r="AW216" s="35"/>
    </row>
    <row r="217" spans="1:49" ht="47.25" x14ac:dyDescent="0.2">
      <c r="A217" s="36" t="s">
        <v>52</v>
      </c>
      <c r="B217" s="38">
        <v>46072</v>
      </c>
      <c r="C217" s="38">
        <v>46072</v>
      </c>
      <c r="D217" s="36" t="s">
        <v>177</v>
      </c>
      <c r="E217" s="41">
        <v>0.45833333333333331</v>
      </c>
      <c r="F217" s="41">
        <v>0.54166666666666663</v>
      </c>
      <c r="G217" s="41">
        <v>3.4722222222222218E-4</v>
      </c>
      <c r="H217" s="36" t="s">
        <v>151</v>
      </c>
      <c r="I217" s="43">
        <v>0.51435185185185184</v>
      </c>
      <c r="J217" s="36" t="s">
        <v>81</v>
      </c>
      <c r="K217" s="36" t="s">
        <v>138</v>
      </c>
      <c r="L217" s="45">
        <v>1</v>
      </c>
      <c r="M217" s="45">
        <v>70976</v>
      </c>
      <c r="N217" s="36" t="s">
        <v>46</v>
      </c>
      <c r="O217" s="45" t="s">
        <v>38</v>
      </c>
      <c r="P217" s="48">
        <v>0</v>
      </c>
      <c r="Q217" s="45"/>
      <c r="R217" s="48">
        <v>0</v>
      </c>
      <c r="S217" s="49">
        <v>46054</v>
      </c>
      <c r="T217" s="48">
        <v>0</v>
      </c>
      <c r="U217" s="50">
        <v>4</v>
      </c>
      <c r="V217" s="48">
        <v>0</v>
      </c>
      <c r="W217" s="36" t="s">
        <v>48</v>
      </c>
      <c r="X217" s="36" t="s">
        <v>49</v>
      </c>
      <c r="Y217" s="36" t="s">
        <v>36</v>
      </c>
      <c r="Z217" s="36" t="s">
        <v>9</v>
      </c>
      <c r="AA217" s="36" t="s">
        <v>50</v>
      </c>
      <c r="AB217" s="36" t="s">
        <v>54</v>
      </c>
      <c r="AC217" s="36" t="s">
        <v>38</v>
      </c>
      <c r="AD217" s="51" t="s">
        <v>226</v>
      </c>
      <c r="AE217" s="35"/>
      <c r="AF217" s="35"/>
      <c r="AG217" s="35"/>
      <c r="AH217" s="35"/>
      <c r="AI217" s="35"/>
      <c r="AJ217" s="35"/>
      <c r="AK217" s="35"/>
      <c r="AL217" s="35"/>
      <c r="AM217" s="35"/>
      <c r="AN217" s="35"/>
      <c r="AO217" s="35"/>
      <c r="AP217" s="35"/>
      <c r="AQ217" s="35"/>
      <c r="AR217" s="35"/>
      <c r="AS217" s="35"/>
      <c r="AT217" s="35"/>
      <c r="AU217" s="35"/>
      <c r="AV217" s="35"/>
      <c r="AW217" s="35"/>
    </row>
    <row r="218" spans="1:49" ht="47.25" x14ac:dyDescent="0.25">
      <c r="A218" s="36" t="s">
        <v>52</v>
      </c>
      <c r="B218" s="38">
        <v>46072</v>
      </c>
      <c r="C218" s="38">
        <v>46072</v>
      </c>
      <c r="D218" s="36" t="s">
        <v>177</v>
      </c>
      <c r="E218" s="41">
        <v>0.66666666666666663</v>
      </c>
      <c r="F218" s="41">
        <v>0.79166666666666663</v>
      </c>
      <c r="G218" s="41">
        <v>3.4722222222222218E-4</v>
      </c>
      <c r="H218" s="36" t="s">
        <v>117</v>
      </c>
      <c r="I218" s="43">
        <v>0.70725694444444442</v>
      </c>
      <c r="J218" s="36" t="s">
        <v>116</v>
      </c>
      <c r="K218" s="36" t="s">
        <v>142</v>
      </c>
      <c r="L218" s="45">
        <v>1</v>
      </c>
      <c r="M218" s="45">
        <v>70966</v>
      </c>
      <c r="N218" s="36" t="s">
        <v>58</v>
      </c>
      <c r="O218" s="45" t="s">
        <v>38</v>
      </c>
      <c r="P218" s="48">
        <v>117.65</v>
      </c>
      <c r="Q218" s="45"/>
      <c r="R218" s="48">
        <v>117.65</v>
      </c>
      <c r="S218" s="49">
        <v>46054</v>
      </c>
      <c r="T218" s="48">
        <v>8.8237500000000004</v>
      </c>
      <c r="U218" s="50">
        <v>4</v>
      </c>
      <c r="V218" s="48">
        <v>108.82625</v>
      </c>
      <c r="W218" s="36" t="s">
        <v>48</v>
      </c>
      <c r="X218" s="36" t="s">
        <v>49</v>
      </c>
      <c r="Y218" s="36" t="s">
        <v>36</v>
      </c>
      <c r="Z218" s="36" t="s">
        <v>9</v>
      </c>
      <c r="AA218" s="36" t="s">
        <v>50</v>
      </c>
      <c r="AB218" s="36" t="s">
        <v>54</v>
      </c>
      <c r="AC218" s="36" t="s">
        <v>38</v>
      </c>
      <c r="AD218" s="51" t="s">
        <v>226</v>
      </c>
      <c r="AE218" s="52"/>
      <c r="AF218" s="52"/>
      <c r="AG218" s="52"/>
      <c r="AH218" s="52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</row>
    <row r="219" spans="1:49" ht="47.25" x14ac:dyDescent="0.25">
      <c r="A219" s="36" t="s">
        <v>52</v>
      </c>
      <c r="B219" s="38">
        <v>46072</v>
      </c>
      <c r="C219" s="38">
        <v>46072</v>
      </c>
      <c r="D219" s="36" t="s">
        <v>177</v>
      </c>
      <c r="E219" s="41">
        <v>0.66666666666666663</v>
      </c>
      <c r="F219" s="41">
        <v>0.79166666666666663</v>
      </c>
      <c r="G219" s="41">
        <v>3.4722222222222218E-4</v>
      </c>
      <c r="H219" s="36" t="s">
        <v>117</v>
      </c>
      <c r="I219" s="43">
        <v>0.78601851851851856</v>
      </c>
      <c r="J219" s="36" t="s">
        <v>116</v>
      </c>
      <c r="K219" s="36" t="s">
        <v>142</v>
      </c>
      <c r="L219" s="45">
        <v>1</v>
      </c>
      <c r="M219" s="45">
        <v>70968</v>
      </c>
      <c r="N219" s="36" t="s">
        <v>46</v>
      </c>
      <c r="O219" s="45" t="s">
        <v>38</v>
      </c>
      <c r="P219" s="48">
        <v>0</v>
      </c>
      <c r="Q219" s="45"/>
      <c r="R219" s="48">
        <v>0</v>
      </c>
      <c r="S219" s="49">
        <v>46054</v>
      </c>
      <c r="T219" s="48">
        <v>0</v>
      </c>
      <c r="U219" s="50">
        <v>4</v>
      </c>
      <c r="V219" s="48">
        <v>0</v>
      </c>
      <c r="W219" s="36" t="s">
        <v>48</v>
      </c>
      <c r="X219" s="36" t="s">
        <v>49</v>
      </c>
      <c r="Y219" s="36" t="s">
        <v>36</v>
      </c>
      <c r="Z219" s="36" t="s">
        <v>9</v>
      </c>
      <c r="AA219" s="36" t="s">
        <v>50</v>
      </c>
      <c r="AB219" s="36" t="s">
        <v>54</v>
      </c>
      <c r="AC219" s="36" t="s">
        <v>38</v>
      </c>
      <c r="AD219" s="51" t="s">
        <v>226</v>
      </c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</row>
    <row r="220" spans="1:49" ht="47.25" x14ac:dyDescent="0.25">
      <c r="A220" s="36" t="s">
        <v>52</v>
      </c>
      <c r="B220" s="38">
        <v>46072</v>
      </c>
      <c r="C220" s="38">
        <v>46072</v>
      </c>
      <c r="D220" s="36" t="s">
        <v>177</v>
      </c>
      <c r="E220" s="41">
        <v>0.79166666666666663</v>
      </c>
      <c r="F220" s="41">
        <v>0.83333333333333337</v>
      </c>
      <c r="G220" s="41">
        <v>3.4722222222222218E-4</v>
      </c>
      <c r="H220" s="36" t="s">
        <v>128</v>
      </c>
      <c r="I220" s="43">
        <v>0.8319212962962963</v>
      </c>
      <c r="J220" s="36" t="s">
        <v>123</v>
      </c>
      <c r="K220" s="36" t="s">
        <v>186</v>
      </c>
      <c r="L220" s="45">
        <v>1</v>
      </c>
      <c r="M220" s="45">
        <v>70960</v>
      </c>
      <c r="N220" s="36" t="s">
        <v>58</v>
      </c>
      <c r="O220" s="45" t="s">
        <v>38</v>
      </c>
      <c r="P220" s="48">
        <v>117.65</v>
      </c>
      <c r="Q220" s="45"/>
      <c r="R220" s="48">
        <v>117.65</v>
      </c>
      <c r="S220" s="49">
        <v>46054</v>
      </c>
      <c r="T220" s="48">
        <v>8.8237500000000004</v>
      </c>
      <c r="U220" s="50">
        <v>4</v>
      </c>
      <c r="V220" s="48">
        <v>108.82625</v>
      </c>
      <c r="W220" s="36" t="s">
        <v>48</v>
      </c>
      <c r="X220" s="36" t="s">
        <v>49</v>
      </c>
      <c r="Y220" s="36" t="s">
        <v>36</v>
      </c>
      <c r="Z220" s="36" t="s">
        <v>9</v>
      </c>
      <c r="AA220" s="36" t="s">
        <v>50</v>
      </c>
      <c r="AB220" s="36" t="s">
        <v>54</v>
      </c>
      <c r="AC220" s="36" t="s">
        <v>38</v>
      </c>
      <c r="AD220" s="51" t="s">
        <v>226</v>
      </c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</row>
    <row r="221" spans="1:49" ht="47.25" x14ac:dyDescent="0.2">
      <c r="A221" s="36" t="s">
        <v>52</v>
      </c>
      <c r="B221" s="38">
        <v>46073</v>
      </c>
      <c r="C221" s="38">
        <v>46073</v>
      </c>
      <c r="D221" s="36" t="s">
        <v>189</v>
      </c>
      <c r="E221" s="41">
        <v>0.25</v>
      </c>
      <c r="F221" s="41">
        <v>0.99930555555555556</v>
      </c>
      <c r="G221" s="41">
        <v>3.4722222222222218E-4</v>
      </c>
      <c r="H221" s="36" t="s">
        <v>53</v>
      </c>
      <c r="I221" s="43">
        <v>0.27331018518518518</v>
      </c>
      <c r="J221" s="36" t="s">
        <v>41</v>
      </c>
      <c r="K221" s="36" t="s">
        <v>40</v>
      </c>
      <c r="L221" s="45">
        <v>1</v>
      </c>
      <c r="M221" s="45">
        <v>70964</v>
      </c>
      <c r="N221" s="36" t="s">
        <v>46</v>
      </c>
      <c r="O221" s="45" t="s">
        <v>38</v>
      </c>
      <c r="P221" s="48">
        <v>0</v>
      </c>
      <c r="Q221" s="45"/>
      <c r="R221" s="48">
        <v>0</v>
      </c>
      <c r="S221" s="49">
        <v>46054</v>
      </c>
      <c r="T221" s="48">
        <v>0</v>
      </c>
      <c r="U221" s="50">
        <v>4</v>
      </c>
      <c r="V221" s="48">
        <v>0</v>
      </c>
      <c r="W221" s="36" t="s">
        <v>48</v>
      </c>
      <c r="X221" s="36" t="s">
        <v>49</v>
      </c>
      <c r="Y221" s="36" t="s">
        <v>36</v>
      </c>
      <c r="Z221" s="36" t="s">
        <v>9</v>
      </c>
      <c r="AA221" s="36" t="s">
        <v>50</v>
      </c>
      <c r="AB221" s="36" t="s">
        <v>54</v>
      </c>
      <c r="AC221" s="36" t="s">
        <v>38</v>
      </c>
      <c r="AD221" s="51" t="s">
        <v>226</v>
      </c>
      <c r="AE221" s="35"/>
      <c r="AF221" s="35"/>
      <c r="AG221" s="35"/>
      <c r="AH221" s="35"/>
      <c r="AI221" s="35"/>
      <c r="AJ221" s="35"/>
      <c r="AK221" s="35"/>
      <c r="AL221" s="35"/>
      <c r="AM221" s="35"/>
      <c r="AN221" s="35"/>
      <c r="AO221" s="35"/>
      <c r="AP221" s="35"/>
      <c r="AQ221" s="35"/>
      <c r="AR221" s="35"/>
      <c r="AS221" s="35"/>
      <c r="AT221" s="35"/>
      <c r="AU221" s="35"/>
      <c r="AV221" s="35"/>
      <c r="AW221" s="35"/>
    </row>
    <row r="222" spans="1:49" ht="47.25" x14ac:dyDescent="0.25">
      <c r="A222" s="36" t="s">
        <v>52</v>
      </c>
      <c r="B222" s="38">
        <v>46073</v>
      </c>
      <c r="C222" s="38">
        <v>46073</v>
      </c>
      <c r="D222" s="36" t="s">
        <v>189</v>
      </c>
      <c r="E222" s="41">
        <v>0.66666666666666663</v>
      </c>
      <c r="F222" s="41">
        <v>0.79166666666666663</v>
      </c>
      <c r="G222" s="41">
        <v>3.4722222222222218E-4</v>
      </c>
      <c r="H222" s="36" t="s">
        <v>117</v>
      </c>
      <c r="I222" s="43">
        <v>0.71866898148148151</v>
      </c>
      <c r="J222" s="36" t="s">
        <v>116</v>
      </c>
      <c r="K222" s="36" t="s">
        <v>194</v>
      </c>
      <c r="L222" s="45">
        <v>1</v>
      </c>
      <c r="M222" s="45">
        <v>70968</v>
      </c>
      <c r="N222" s="36" t="s">
        <v>46</v>
      </c>
      <c r="O222" s="45" t="s">
        <v>38</v>
      </c>
      <c r="P222" s="48">
        <v>0</v>
      </c>
      <c r="Q222" s="45"/>
      <c r="R222" s="48">
        <v>0</v>
      </c>
      <c r="S222" s="49">
        <v>46054</v>
      </c>
      <c r="T222" s="48">
        <v>0</v>
      </c>
      <c r="U222" s="50">
        <v>4</v>
      </c>
      <c r="V222" s="48">
        <v>0</v>
      </c>
      <c r="W222" s="36" t="s">
        <v>48</v>
      </c>
      <c r="X222" s="36" t="s">
        <v>49</v>
      </c>
      <c r="Y222" s="36" t="s">
        <v>36</v>
      </c>
      <c r="Z222" s="36" t="s">
        <v>9</v>
      </c>
      <c r="AA222" s="36" t="s">
        <v>50</v>
      </c>
      <c r="AB222" s="36" t="s">
        <v>54</v>
      </c>
      <c r="AC222" s="36" t="s">
        <v>38</v>
      </c>
      <c r="AD222" s="51" t="s">
        <v>226</v>
      </c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</row>
    <row r="223" spans="1:49" ht="47.25" x14ac:dyDescent="0.2">
      <c r="A223" s="36" t="s">
        <v>52</v>
      </c>
      <c r="B223" s="38">
        <v>46074</v>
      </c>
      <c r="C223" s="38">
        <v>46074</v>
      </c>
      <c r="D223" s="36" t="s">
        <v>197</v>
      </c>
      <c r="E223" s="41">
        <v>0.25</v>
      </c>
      <c r="F223" s="41">
        <v>0.99930555555555556</v>
      </c>
      <c r="G223" s="41">
        <v>3.4722222222222218E-4</v>
      </c>
      <c r="H223" s="36" t="s">
        <v>53</v>
      </c>
      <c r="I223" s="43">
        <v>0.31714120370370369</v>
      </c>
      <c r="J223" s="36" t="s">
        <v>41</v>
      </c>
      <c r="K223" s="36" t="s">
        <v>61</v>
      </c>
      <c r="L223" s="45">
        <v>1</v>
      </c>
      <c r="M223" s="45">
        <v>70964</v>
      </c>
      <c r="N223" s="36" t="s">
        <v>46</v>
      </c>
      <c r="O223" s="45" t="s">
        <v>38</v>
      </c>
      <c r="P223" s="48">
        <v>0</v>
      </c>
      <c r="Q223" s="45"/>
      <c r="R223" s="48">
        <v>0</v>
      </c>
      <c r="S223" s="49">
        <v>46054</v>
      </c>
      <c r="T223" s="48">
        <v>0</v>
      </c>
      <c r="U223" s="50">
        <v>4</v>
      </c>
      <c r="V223" s="48">
        <v>0</v>
      </c>
      <c r="W223" s="36" t="s">
        <v>48</v>
      </c>
      <c r="X223" s="36" t="s">
        <v>49</v>
      </c>
      <c r="Y223" s="36" t="s">
        <v>36</v>
      </c>
      <c r="Z223" s="36" t="s">
        <v>9</v>
      </c>
      <c r="AA223" s="36" t="s">
        <v>50</v>
      </c>
      <c r="AB223" s="36" t="s">
        <v>54</v>
      </c>
      <c r="AC223" s="36" t="s">
        <v>38</v>
      </c>
      <c r="AD223" s="51" t="s">
        <v>226</v>
      </c>
      <c r="AE223" s="35"/>
      <c r="AF223" s="35"/>
      <c r="AG223" s="35"/>
      <c r="AH223" s="35"/>
      <c r="AI223" s="35"/>
      <c r="AJ223" s="35"/>
      <c r="AK223" s="35"/>
      <c r="AL223" s="35"/>
      <c r="AM223" s="35"/>
      <c r="AN223" s="35"/>
      <c r="AO223" s="35"/>
      <c r="AP223" s="35"/>
      <c r="AQ223" s="35"/>
      <c r="AR223" s="35"/>
      <c r="AS223" s="35"/>
      <c r="AT223" s="35"/>
      <c r="AU223" s="35"/>
      <c r="AV223" s="35"/>
      <c r="AW223" s="35"/>
    </row>
    <row r="224" spans="1:49" ht="47.25" x14ac:dyDescent="0.2">
      <c r="A224" s="36" t="s">
        <v>52</v>
      </c>
      <c r="B224" s="38">
        <v>46074</v>
      </c>
      <c r="C224" s="38">
        <v>46074</v>
      </c>
      <c r="D224" s="36" t="s">
        <v>197</v>
      </c>
      <c r="E224" s="41">
        <v>0.33333333333333331</v>
      </c>
      <c r="F224" s="41">
        <v>0.41666666666666669</v>
      </c>
      <c r="G224" s="41">
        <v>3.4722222222222218E-4</v>
      </c>
      <c r="H224" s="36" t="s">
        <v>67</v>
      </c>
      <c r="I224" s="43">
        <v>0.38612268518518517</v>
      </c>
      <c r="J224" s="36" t="s">
        <v>66</v>
      </c>
      <c r="K224" s="36" t="s">
        <v>68</v>
      </c>
      <c r="L224" s="45">
        <v>1</v>
      </c>
      <c r="M224" s="45">
        <v>70970</v>
      </c>
      <c r="N224" s="36" t="s">
        <v>58</v>
      </c>
      <c r="O224" s="45" t="s">
        <v>38</v>
      </c>
      <c r="P224" s="48">
        <v>117.65</v>
      </c>
      <c r="Q224" s="45"/>
      <c r="R224" s="48">
        <v>117.65</v>
      </c>
      <c r="S224" s="49">
        <v>46054</v>
      </c>
      <c r="T224" s="48">
        <v>8.8237500000000004</v>
      </c>
      <c r="U224" s="50">
        <v>4</v>
      </c>
      <c r="V224" s="48">
        <v>108.82625</v>
      </c>
      <c r="W224" s="36" t="s">
        <v>48</v>
      </c>
      <c r="X224" s="36" t="s">
        <v>49</v>
      </c>
      <c r="Y224" s="36" t="s">
        <v>36</v>
      </c>
      <c r="Z224" s="36" t="s">
        <v>9</v>
      </c>
      <c r="AA224" s="36" t="s">
        <v>50</v>
      </c>
      <c r="AB224" s="36" t="s">
        <v>54</v>
      </c>
      <c r="AC224" s="36" t="s">
        <v>38</v>
      </c>
      <c r="AD224" s="51" t="s">
        <v>226</v>
      </c>
      <c r="AE224" s="35"/>
      <c r="AF224" s="35"/>
      <c r="AG224" s="35"/>
      <c r="AH224" s="35"/>
      <c r="AI224" s="35"/>
      <c r="AJ224" s="35"/>
      <c r="AK224" s="35"/>
      <c r="AL224" s="35"/>
      <c r="AM224" s="35"/>
      <c r="AN224" s="35"/>
      <c r="AO224" s="35"/>
      <c r="AP224" s="35"/>
      <c r="AQ224" s="35"/>
      <c r="AR224" s="35"/>
      <c r="AS224" s="35"/>
      <c r="AT224" s="35"/>
      <c r="AU224" s="35"/>
      <c r="AV224" s="35"/>
      <c r="AW224" s="35"/>
    </row>
    <row r="225" spans="1:49" ht="47.25" x14ac:dyDescent="0.25">
      <c r="A225" s="36" t="s">
        <v>52</v>
      </c>
      <c r="B225" s="38">
        <v>46074</v>
      </c>
      <c r="C225" s="38">
        <v>46074</v>
      </c>
      <c r="D225" s="36" t="s">
        <v>197</v>
      </c>
      <c r="E225" s="41">
        <v>0.83333333333333337</v>
      </c>
      <c r="F225" s="41">
        <v>0.875</v>
      </c>
      <c r="G225" s="41">
        <v>3.4722222222222218E-4</v>
      </c>
      <c r="H225" s="36" t="s">
        <v>53</v>
      </c>
      <c r="I225" s="43">
        <v>0.86862268518518515</v>
      </c>
      <c r="J225" s="36" t="s">
        <v>41</v>
      </c>
      <c r="K225" s="36" t="s">
        <v>144</v>
      </c>
      <c r="L225" s="45">
        <v>1</v>
      </c>
      <c r="M225" s="45">
        <v>70962</v>
      </c>
      <c r="N225" s="36" t="s">
        <v>58</v>
      </c>
      <c r="O225" s="45" t="s">
        <v>38</v>
      </c>
      <c r="P225" s="48">
        <v>117.65</v>
      </c>
      <c r="Q225" s="45"/>
      <c r="R225" s="48">
        <v>117.65</v>
      </c>
      <c r="S225" s="49">
        <v>46054</v>
      </c>
      <c r="T225" s="48">
        <v>8.8237500000000004</v>
      </c>
      <c r="U225" s="50">
        <v>4</v>
      </c>
      <c r="V225" s="48">
        <v>108.82625</v>
      </c>
      <c r="W225" s="36" t="s">
        <v>48</v>
      </c>
      <c r="X225" s="36" t="s">
        <v>49</v>
      </c>
      <c r="Y225" s="36" t="s">
        <v>36</v>
      </c>
      <c r="Z225" s="36" t="s">
        <v>9</v>
      </c>
      <c r="AA225" s="36" t="s">
        <v>50</v>
      </c>
      <c r="AB225" s="36" t="s">
        <v>54</v>
      </c>
      <c r="AC225" s="36" t="s">
        <v>38</v>
      </c>
      <c r="AD225" s="51" t="s">
        <v>226</v>
      </c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</row>
    <row r="226" spans="1:49" ht="47.25" x14ac:dyDescent="0.25">
      <c r="A226" s="36" t="s">
        <v>52</v>
      </c>
      <c r="B226" s="38">
        <v>46075</v>
      </c>
      <c r="C226" s="38">
        <v>46075</v>
      </c>
      <c r="D226" s="36" t="s">
        <v>215</v>
      </c>
      <c r="E226" s="41">
        <v>0.25</v>
      </c>
      <c r="F226" s="41">
        <v>0.99930555555555556</v>
      </c>
      <c r="G226" s="41">
        <v>3.4722222222222218E-4</v>
      </c>
      <c r="H226" s="36" t="s">
        <v>53</v>
      </c>
      <c r="I226" s="43">
        <v>0.93619212962962961</v>
      </c>
      <c r="J226" s="36" t="s">
        <v>41</v>
      </c>
      <c r="K226" s="36" t="s">
        <v>163</v>
      </c>
      <c r="L226" s="45">
        <v>1</v>
      </c>
      <c r="M226" s="45">
        <v>70964</v>
      </c>
      <c r="N226" s="36" t="s">
        <v>46</v>
      </c>
      <c r="O226" s="45" t="s">
        <v>38</v>
      </c>
      <c r="P226" s="48">
        <v>0</v>
      </c>
      <c r="Q226" s="45"/>
      <c r="R226" s="48">
        <v>0</v>
      </c>
      <c r="S226" s="49">
        <v>46054</v>
      </c>
      <c r="T226" s="48">
        <v>0</v>
      </c>
      <c r="U226" s="50">
        <v>4</v>
      </c>
      <c r="V226" s="48">
        <v>0</v>
      </c>
      <c r="W226" s="36" t="s">
        <v>48</v>
      </c>
      <c r="X226" s="36" t="s">
        <v>49</v>
      </c>
      <c r="Y226" s="36" t="s">
        <v>36</v>
      </c>
      <c r="Z226" s="36" t="s">
        <v>9</v>
      </c>
      <c r="AA226" s="36" t="s">
        <v>50</v>
      </c>
      <c r="AB226" s="36" t="s">
        <v>54</v>
      </c>
      <c r="AC226" s="36" t="s">
        <v>38</v>
      </c>
      <c r="AD226" s="51" t="s">
        <v>226</v>
      </c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</row>
    <row r="227" spans="1:49" ht="47.25" x14ac:dyDescent="0.25">
      <c r="A227" s="36" t="s">
        <v>52</v>
      </c>
      <c r="B227" s="38">
        <v>46075</v>
      </c>
      <c r="C227" s="38">
        <v>46075</v>
      </c>
      <c r="D227" s="36" t="s">
        <v>215</v>
      </c>
      <c r="E227" s="41">
        <v>0.45833333333333331</v>
      </c>
      <c r="F227" s="41">
        <v>0.54166666666666663</v>
      </c>
      <c r="G227" s="41">
        <v>3.4722222222222218E-4</v>
      </c>
      <c r="H227" s="36" t="s">
        <v>151</v>
      </c>
      <c r="I227" s="43">
        <v>0.48351851851851851</v>
      </c>
      <c r="J227" s="36" t="s">
        <v>81</v>
      </c>
      <c r="K227" s="36" t="s">
        <v>137</v>
      </c>
      <c r="L227" s="45">
        <v>1</v>
      </c>
      <c r="M227" s="45">
        <v>70976</v>
      </c>
      <c r="N227" s="36" t="s">
        <v>46</v>
      </c>
      <c r="O227" s="45" t="s">
        <v>38</v>
      </c>
      <c r="P227" s="48">
        <v>0</v>
      </c>
      <c r="Q227" s="45"/>
      <c r="R227" s="48">
        <v>0</v>
      </c>
      <c r="S227" s="49">
        <v>46054</v>
      </c>
      <c r="T227" s="48">
        <v>0</v>
      </c>
      <c r="U227" s="50">
        <v>4</v>
      </c>
      <c r="V227" s="48">
        <v>0</v>
      </c>
      <c r="W227" s="36" t="s">
        <v>48</v>
      </c>
      <c r="X227" s="36" t="s">
        <v>49</v>
      </c>
      <c r="Y227" s="36" t="s">
        <v>36</v>
      </c>
      <c r="Z227" s="36" t="s">
        <v>9</v>
      </c>
      <c r="AA227" s="36" t="s">
        <v>50</v>
      </c>
      <c r="AB227" s="36" t="s">
        <v>54</v>
      </c>
      <c r="AC227" s="36" t="s">
        <v>38</v>
      </c>
      <c r="AD227" s="51" t="s">
        <v>226</v>
      </c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</row>
    <row r="228" spans="1:49" ht="31.5" x14ac:dyDescent="0.2">
      <c r="A228" s="35" t="s">
        <v>29</v>
      </c>
      <c r="B228" s="37">
        <v>46069</v>
      </c>
      <c r="C228" s="37">
        <v>46069</v>
      </c>
      <c r="D228" s="39" t="s">
        <v>30</v>
      </c>
      <c r="E228" s="40">
        <v>0</v>
      </c>
      <c r="F228" s="40">
        <v>0.25</v>
      </c>
      <c r="G228" s="40">
        <v>0.25</v>
      </c>
      <c r="H228" s="35" t="s">
        <v>31</v>
      </c>
      <c r="I228" s="42"/>
      <c r="J228" s="35" t="s">
        <v>32</v>
      </c>
      <c r="K228" s="35" t="s">
        <v>31</v>
      </c>
      <c r="L228" s="44">
        <v>1</v>
      </c>
      <c r="M228" s="44">
        <v>1</v>
      </c>
      <c r="N228" s="35" t="s">
        <v>33</v>
      </c>
      <c r="O228" s="35"/>
      <c r="P228" s="46">
        <v>0</v>
      </c>
      <c r="Q228" s="44"/>
      <c r="R228" s="46">
        <v>0</v>
      </c>
      <c r="S228" s="35">
        <v>46054</v>
      </c>
      <c r="T228" s="47">
        <v>0</v>
      </c>
      <c r="U228" s="44">
        <v>1</v>
      </c>
      <c r="V228" s="47">
        <v>0</v>
      </c>
      <c r="W228" s="35" t="s">
        <v>34</v>
      </c>
      <c r="X228" s="35" t="s">
        <v>35</v>
      </c>
      <c r="Y228" s="35" t="s">
        <v>36</v>
      </c>
      <c r="Z228" s="35" t="s">
        <v>9</v>
      </c>
      <c r="AA228" s="35" t="s">
        <v>37</v>
      </c>
      <c r="AB228" s="35" t="s">
        <v>37</v>
      </c>
      <c r="AC228" s="35" t="s">
        <v>38</v>
      </c>
      <c r="AD228" s="51" t="s">
        <v>226</v>
      </c>
      <c r="AE228" s="35"/>
      <c r="AF228" s="35"/>
      <c r="AG228" s="35"/>
      <c r="AH228" s="35"/>
      <c r="AI228" s="35"/>
      <c r="AJ228" s="35"/>
      <c r="AK228" s="35"/>
      <c r="AL228" s="35"/>
      <c r="AM228" s="35"/>
      <c r="AN228" s="35"/>
      <c r="AO228" s="35"/>
      <c r="AP228" s="35"/>
      <c r="AQ228" s="35"/>
      <c r="AR228" s="35"/>
      <c r="AS228" s="35"/>
      <c r="AT228" s="35"/>
      <c r="AU228" s="35"/>
      <c r="AV228" s="35"/>
      <c r="AW228" s="35"/>
    </row>
    <row r="229" spans="1:49" ht="31.5" x14ac:dyDescent="0.2">
      <c r="A229" s="35" t="s">
        <v>29</v>
      </c>
      <c r="B229" s="37">
        <v>46070</v>
      </c>
      <c r="C229" s="37">
        <v>46070</v>
      </c>
      <c r="D229" s="39" t="s">
        <v>146</v>
      </c>
      <c r="E229" s="40">
        <v>0</v>
      </c>
      <c r="F229" s="40">
        <v>0.25</v>
      </c>
      <c r="G229" s="40">
        <v>0.25</v>
      </c>
      <c r="H229" s="35" t="s">
        <v>31</v>
      </c>
      <c r="I229" s="42"/>
      <c r="J229" s="35" t="s">
        <v>32</v>
      </c>
      <c r="K229" s="35" t="s">
        <v>31</v>
      </c>
      <c r="L229" s="44">
        <v>1</v>
      </c>
      <c r="M229" s="44">
        <v>1</v>
      </c>
      <c r="N229" s="35" t="s">
        <v>33</v>
      </c>
      <c r="O229" s="35"/>
      <c r="P229" s="46">
        <v>0</v>
      </c>
      <c r="Q229" s="44"/>
      <c r="R229" s="46">
        <v>0</v>
      </c>
      <c r="S229" s="35">
        <v>46054</v>
      </c>
      <c r="T229" s="47">
        <v>0</v>
      </c>
      <c r="U229" s="44">
        <v>1</v>
      </c>
      <c r="V229" s="47">
        <v>0</v>
      </c>
      <c r="W229" s="35" t="s">
        <v>34</v>
      </c>
      <c r="X229" s="35" t="s">
        <v>35</v>
      </c>
      <c r="Y229" s="35" t="s">
        <v>36</v>
      </c>
      <c r="Z229" s="35" t="s">
        <v>9</v>
      </c>
      <c r="AA229" s="35" t="s">
        <v>37</v>
      </c>
      <c r="AB229" s="35" t="s">
        <v>37</v>
      </c>
      <c r="AC229" s="35" t="s">
        <v>38</v>
      </c>
      <c r="AD229" s="51" t="s">
        <v>226</v>
      </c>
      <c r="AE229" s="35"/>
      <c r="AF229" s="35"/>
      <c r="AG229" s="35"/>
      <c r="AH229" s="35"/>
      <c r="AI229" s="35"/>
      <c r="AJ229" s="35"/>
      <c r="AK229" s="35"/>
      <c r="AL229" s="35"/>
      <c r="AM229" s="35"/>
      <c r="AN229" s="35"/>
      <c r="AO229" s="35"/>
      <c r="AP229" s="35"/>
      <c r="AQ229" s="35"/>
      <c r="AR229" s="35"/>
      <c r="AS229" s="35"/>
      <c r="AT229" s="35"/>
      <c r="AU229" s="35"/>
      <c r="AV229" s="35"/>
      <c r="AW229" s="35"/>
    </row>
    <row r="230" spans="1:49" ht="31.5" x14ac:dyDescent="0.2">
      <c r="A230" s="35" t="s">
        <v>29</v>
      </c>
      <c r="B230" s="37">
        <v>46071</v>
      </c>
      <c r="C230" s="37">
        <v>46071</v>
      </c>
      <c r="D230" s="39" t="s">
        <v>164</v>
      </c>
      <c r="E230" s="40">
        <v>0</v>
      </c>
      <c r="F230" s="40">
        <v>0.25</v>
      </c>
      <c r="G230" s="40">
        <v>0.25</v>
      </c>
      <c r="H230" s="35" t="s">
        <v>31</v>
      </c>
      <c r="I230" s="42"/>
      <c r="J230" s="35" t="s">
        <v>32</v>
      </c>
      <c r="K230" s="35" t="s">
        <v>31</v>
      </c>
      <c r="L230" s="44">
        <v>1</v>
      </c>
      <c r="M230" s="44">
        <v>1</v>
      </c>
      <c r="N230" s="35" t="s">
        <v>33</v>
      </c>
      <c r="O230" s="35"/>
      <c r="P230" s="46">
        <v>0</v>
      </c>
      <c r="Q230" s="44"/>
      <c r="R230" s="46">
        <v>0</v>
      </c>
      <c r="S230" s="35">
        <v>46054</v>
      </c>
      <c r="T230" s="47">
        <v>0</v>
      </c>
      <c r="U230" s="44">
        <v>1</v>
      </c>
      <c r="V230" s="47">
        <v>0</v>
      </c>
      <c r="W230" s="35" t="s">
        <v>34</v>
      </c>
      <c r="X230" s="35" t="s">
        <v>35</v>
      </c>
      <c r="Y230" s="35" t="s">
        <v>36</v>
      </c>
      <c r="Z230" s="35" t="s">
        <v>9</v>
      </c>
      <c r="AA230" s="35" t="s">
        <v>37</v>
      </c>
      <c r="AB230" s="35" t="s">
        <v>37</v>
      </c>
      <c r="AC230" s="35" t="s">
        <v>38</v>
      </c>
      <c r="AD230" s="51" t="s">
        <v>226</v>
      </c>
      <c r="AE230" s="35"/>
      <c r="AF230" s="35"/>
      <c r="AG230" s="35"/>
      <c r="AH230" s="35"/>
      <c r="AI230" s="35"/>
      <c r="AJ230" s="35"/>
      <c r="AK230" s="35"/>
      <c r="AL230" s="35"/>
      <c r="AM230" s="35"/>
      <c r="AN230" s="35"/>
      <c r="AO230" s="35"/>
      <c r="AP230" s="35"/>
      <c r="AQ230" s="35"/>
      <c r="AR230" s="35"/>
      <c r="AS230" s="35"/>
      <c r="AT230" s="35"/>
      <c r="AU230" s="35"/>
      <c r="AV230" s="35"/>
      <c r="AW230" s="35"/>
    </row>
    <row r="231" spans="1:49" ht="31.5" x14ac:dyDescent="0.25">
      <c r="A231" s="35" t="s">
        <v>29</v>
      </c>
      <c r="B231" s="37">
        <v>46072</v>
      </c>
      <c r="C231" s="37">
        <v>46072</v>
      </c>
      <c r="D231" s="39" t="s">
        <v>177</v>
      </c>
      <c r="E231" s="40">
        <v>0</v>
      </c>
      <c r="F231" s="40">
        <v>0.25</v>
      </c>
      <c r="G231" s="40">
        <v>0.25</v>
      </c>
      <c r="H231" s="35" t="s">
        <v>31</v>
      </c>
      <c r="I231" s="42"/>
      <c r="J231" s="35" t="s">
        <v>32</v>
      </c>
      <c r="K231" s="35" t="s">
        <v>31</v>
      </c>
      <c r="L231" s="44">
        <v>1</v>
      </c>
      <c r="M231" s="44">
        <v>1</v>
      </c>
      <c r="N231" s="35" t="s">
        <v>33</v>
      </c>
      <c r="O231" s="35"/>
      <c r="P231" s="46">
        <v>0</v>
      </c>
      <c r="Q231" s="44"/>
      <c r="R231" s="46">
        <v>0</v>
      </c>
      <c r="S231" s="35">
        <v>46054</v>
      </c>
      <c r="T231" s="47">
        <v>0</v>
      </c>
      <c r="U231" s="44">
        <v>1</v>
      </c>
      <c r="V231" s="47">
        <v>0</v>
      </c>
      <c r="W231" s="35" t="s">
        <v>34</v>
      </c>
      <c r="X231" s="35" t="s">
        <v>35</v>
      </c>
      <c r="Y231" s="35" t="s">
        <v>36</v>
      </c>
      <c r="Z231" s="35" t="s">
        <v>9</v>
      </c>
      <c r="AA231" s="35" t="s">
        <v>37</v>
      </c>
      <c r="AB231" s="35" t="s">
        <v>37</v>
      </c>
      <c r="AC231" s="35" t="s">
        <v>38</v>
      </c>
      <c r="AD231" s="51" t="s">
        <v>226</v>
      </c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</row>
    <row r="232" spans="1:49" ht="31.5" x14ac:dyDescent="0.25">
      <c r="A232" s="35" t="s">
        <v>29</v>
      </c>
      <c r="B232" s="37">
        <v>46073</v>
      </c>
      <c r="C232" s="37">
        <v>46073</v>
      </c>
      <c r="D232" s="39" t="s">
        <v>189</v>
      </c>
      <c r="E232" s="40">
        <v>0</v>
      </c>
      <c r="F232" s="40">
        <v>0.25</v>
      </c>
      <c r="G232" s="40">
        <v>0.25</v>
      </c>
      <c r="H232" s="35" t="s">
        <v>31</v>
      </c>
      <c r="I232" s="42"/>
      <c r="J232" s="35" t="s">
        <v>32</v>
      </c>
      <c r="K232" s="35" t="s">
        <v>31</v>
      </c>
      <c r="L232" s="44">
        <v>1</v>
      </c>
      <c r="M232" s="44">
        <v>1</v>
      </c>
      <c r="N232" s="35" t="s">
        <v>33</v>
      </c>
      <c r="O232" s="35"/>
      <c r="P232" s="46">
        <v>0</v>
      </c>
      <c r="Q232" s="44"/>
      <c r="R232" s="46">
        <v>0</v>
      </c>
      <c r="S232" s="35">
        <v>46054</v>
      </c>
      <c r="T232" s="47">
        <v>0</v>
      </c>
      <c r="U232" s="44">
        <v>1</v>
      </c>
      <c r="V232" s="47">
        <v>0</v>
      </c>
      <c r="W232" s="35" t="s">
        <v>34</v>
      </c>
      <c r="X232" s="35" t="s">
        <v>35</v>
      </c>
      <c r="Y232" s="35" t="s">
        <v>36</v>
      </c>
      <c r="Z232" s="35" t="s">
        <v>9</v>
      </c>
      <c r="AA232" s="35" t="s">
        <v>37</v>
      </c>
      <c r="AB232" s="35" t="s">
        <v>37</v>
      </c>
      <c r="AC232" s="35" t="s">
        <v>38</v>
      </c>
      <c r="AD232" s="51" t="s">
        <v>226</v>
      </c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</row>
    <row r="233" spans="1:49" ht="31.5" x14ac:dyDescent="0.25">
      <c r="A233" s="35" t="s">
        <v>29</v>
      </c>
      <c r="B233" s="37">
        <v>46074</v>
      </c>
      <c r="C233" s="37">
        <v>46074</v>
      </c>
      <c r="D233" s="39" t="s">
        <v>197</v>
      </c>
      <c r="E233" s="40">
        <v>0</v>
      </c>
      <c r="F233" s="40">
        <v>0.25</v>
      </c>
      <c r="G233" s="40">
        <v>0.25</v>
      </c>
      <c r="H233" s="35" t="s">
        <v>31</v>
      </c>
      <c r="I233" s="42"/>
      <c r="J233" s="35" t="s">
        <v>32</v>
      </c>
      <c r="K233" s="35" t="s">
        <v>31</v>
      </c>
      <c r="L233" s="44">
        <v>1</v>
      </c>
      <c r="M233" s="44">
        <v>1</v>
      </c>
      <c r="N233" s="35" t="s">
        <v>33</v>
      </c>
      <c r="O233" s="35"/>
      <c r="P233" s="46">
        <v>0</v>
      </c>
      <c r="Q233" s="44"/>
      <c r="R233" s="46">
        <v>0</v>
      </c>
      <c r="S233" s="35">
        <v>46054</v>
      </c>
      <c r="T233" s="47">
        <v>0</v>
      </c>
      <c r="U233" s="44">
        <v>1</v>
      </c>
      <c r="V233" s="47">
        <v>0</v>
      </c>
      <c r="W233" s="35" t="s">
        <v>34</v>
      </c>
      <c r="X233" s="35" t="s">
        <v>35</v>
      </c>
      <c r="Y233" s="35" t="s">
        <v>36</v>
      </c>
      <c r="Z233" s="35" t="s">
        <v>9</v>
      </c>
      <c r="AA233" s="35" t="s">
        <v>37</v>
      </c>
      <c r="AB233" s="35" t="s">
        <v>37</v>
      </c>
      <c r="AC233" s="35" t="s">
        <v>38</v>
      </c>
      <c r="AD233" s="51" t="s">
        <v>226</v>
      </c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</row>
    <row r="234" spans="1:49" ht="31.5" x14ac:dyDescent="0.25">
      <c r="A234" s="35" t="s">
        <v>29</v>
      </c>
      <c r="B234" s="37">
        <v>46075</v>
      </c>
      <c r="C234" s="37">
        <v>46075</v>
      </c>
      <c r="D234" s="39" t="s">
        <v>215</v>
      </c>
      <c r="E234" s="40">
        <v>0</v>
      </c>
      <c r="F234" s="40">
        <v>0.25</v>
      </c>
      <c r="G234" s="40">
        <v>0.25</v>
      </c>
      <c r="H234" s="35" t="s">
        <v>31</v>
      </c>
      <c r="I234" s="42"/>
      <c r="J234" s="35" t="s">
        <v>32</v>
      </c>
      <c r="K234" s="35" t="s">
        <v>31</v>
      </c>
      <c r="L234" s="44">
        <v>1</v>
      </c>
      <c r="M234" s="44">
        <v>1</v>
      </c>
      <c r="N234" s="35" t="s">
        <v>33</v>
      </c>
      <c r="O234" s="35"/>
      <c r="P234" s="46">
        <v>0</v>
      </c>
      <c r="Q234" s="44"/>
      <c r="R234" s="46">
        <v>0</v>
      </c>
      <c r="S234" s="35">
        <v>46054</v>
      </c>
      <c r="T234" s="47">
        <v>0</v>
      </c>
      <c r="U234" s="44">
        <v>1</v>
      </c>
      <c r="V234" s="47">
        <v>0</v>
      </c>
      <c r="W234" s="35" t="s">
        <v>34</v>
      </c>
      <c r="X234" s="35" t="s">
        <v>35</v>
      </c>
      <c r="Y234" s="35" t="s">
        <v>36</v>
      </c>
      <c r="Z234" s="35" t="s">
        <v>9</v>
      </c>
      <c r="AA234" s="35" t="s">
        <v>37</v>
      </c>
      <c r="AB234" s="35" t="s">
        <v>37</v>
      </c>
      <c r="AC234" s="35" t="s">
        <v>38</v>
      </c>
      <c r="AD234" s="51" t="s">
        <v>226</v>
      </c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</row>
    <row r="235" spans="1:49" ht="31.5" x14ac:dyDescent="0.25">
      <c r="A235" s="35" t="s">
        <v>39</v>
      </c>
      <c r="B235" s="37">
        <v>46069</v>
      </c>
      <c r="C235" s="37">
        <v>46069</v>
      </c>
      <c r="D235" s="39" t="s">
        <v>30</v>
      </c>
      <c r="E235" s="40">
        <v>0.25</v>
      </c>
      <c r="F235" s="40">
        <v>0.29166666666666669</v>
      </c>
      <c r="G235" s="40">
        <v>4.1666666666666664E-2</v>
      </c>
      <c r="H235" s="35" t="s">
        <v>40</v>
      </c>
      <c r="I235" s="42"/>
      <c r="J235" s="35" t="s">
        <v>41</v>
      </c>
      <c r="K235" s="35"/>
      <c r="L235" s="44">
        <v>1</v>
      </c>
      <c r="M235" s="44">
        <v>1</v>
      </c>
      <c r="N235" s="35" t="s">
        <v>33</v>
      </c>
      <c r="O235" s="35"/>
      <c r="P235" s="46">
        <v>0</v>
      </c>
      <c r="Q235" s="44"/>
      <c r="R235" s="46">
        <v>0</v>
      </c>
      <c r="S235" s="35">
        <v>46054</v>
      </c>
      <c r="T235" s="46">
        <v>0</v>
      </c>
      <c r="U235" s="44">
        <v>2</v>
      </c>
      <c r="V235" s="46">
        <v>0</v>
      </c>
      <c r="W235" s="35" t="s">
        <v>34</v>
      </c>
      <c r="X235" s="35" t="s">
        <v>42</v>
      </c>
      <c r="Y235" s="35" t="s">
        <v>36</v>
      </c>
      <c r="Z235" s="35" t="s">
        <v>43</v>
      </c>
      <c r="AA235" s="35" t="s">
        <v>37</v>
      </c>
      <c r="AB235" s="35" t="s">
        <v>37</v>
      </c>
      <c r="AC235" s="35" t="s">
        <v>38</v>
      </c>
      <c r="AD235" s="51" t="s">
        <v>226</v>
      </c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</row>
    <row r="236" spans="1:49" ht="31.5" x14ac:dyDescent="0.25">
      <c r="A236" s="35" t="s">
        <v>39</v>
      </c>
      <c r="B236" s="37">
        <v>46069</v>
      </c>
      <c r="C236" s="37">
        <v>46069</v>
      </c>
      <c r="D236" s="39" t="s">
        <v>30</v>
      </c>
      <c r="E236" s="40">
        <v>0.79166666666666663</v>
      </c>
      <c r="F236" s="40">
        <v>0.8125</v>
      </c>
      <c r="G236" s="40">
        <v>2.0833333333333332E-2</v>
      </c>
      <c r="H236" s="35" t="s">
        <v>122</v>
      </c>
      <c r="I236" s="42"/>
      <c r="J236" s="35" t="s">
        <v>123</v>
      </c>
      <c r="K236" s="35"/>
      <c r="L236" s="44">
        <v>1</v>
      </c>
      <c r="M236" s="44">
        <v>1</v>
      </c>
      <c r="N236" s="35" t="s">
        <v>33</v>
      </c>
      <c r="O236" s="35"/>
      <c r="P236" s="47">
        <v>0</v>
      </c>
      <c r="Q236" s="44"/>
      <c r="R236" s="47">
        <v>0</v>
      </c>
      <c r="S236" s="35">
        <v>46054</v>
      </c>
      <c r="T236" s="47">
        <v>0</v>
      </c>
      <c r="U236" s="44">
        <v>2</v>
      </c>
      <c r="V236" s="47">
        <v>0</v>
      </c>
      <c r="W236" s="35" t="s">
        <v>34</v>
      </c>
      <c r="X236" s="35" t="s">
        <v>42</v>
      </c>
      <c r="Y236" s="35" t="s">
        <v>36</v>
      </c>
      <c r="Z236" s="35" t="s">
        <v>43</v>
      </c>
      <c r="AA236" s="35" t="s">
        <v>37</v>
      </c>
      <c r="AB236" s="35" t="s">
        <v>37</v>
      </c>
      <c r="AC236" s="35" t="s">
        <v>38</v>
      </c>
      <c r="AD236" s="51" t="s">
        <v>226</v>
      </c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</row>
    <row r="237" spans="1:49" ht="31.5" x14ac:dyDescent="0.25">
      <c r="A237" s="35" t="s">
        <v>39</v>
      </c>
      <c r="B237" s="37">
        <v>46069</v>
      </c>
      <c r="C237" s="37">
        <v>46069</v>
      </c>
      <c r="D237" s="39" t="s">
        <v>30</v>
      </c>
      <c r="E237" s="40">
        <v>0.8125</v>
      </c>
      <c r="F237" s="40">
        <v>0.83333333333333337</v>
      </c>
      <c r="G237" s="40">
        <v>2.0833333333333332E-2</v>
      </c>
      <c r="H237" s="35" t="s">
        <v>130</v>
      </c>
      <c r="I237" s="42"/>
      <c r="J237" s="35" t="s">
        <v>123</v>
      </c>
      <c r="K237" s="35"/>
      <c r="L237" s="44">
        <v>1</v>
      </c>
      <c r="M237" s="44">
        <v>1</v>
      </c>
      <c r="N237" s="35" t="s">
        <v>33</v>
      </c>
      <c r="O237" s="35"/>
      <c r="P237" s="47">
        <v>0</v>
      </c>
      <c r="Q237" s="44"/>
      <c r="R237" s="47">
        <v>0</v>
      </c>
      <c r="S237" s="35">
        <v>46054</v>
      </c>
      <c r="T237" s="47">
        <v>0</v>
      </c>
      <c r="U237" s="44">
        <v>2</v>
      </c>
      <c r="V237" s="47">
        <v>0</v>
      </c>
      <c r="W237" s="35" t="s">
        <v>34</v>
      </c>
      <c r="X237" s="35" t="s">
        <v>42</v>
      </c>
      <c r="Y237" s="35" t="s">
        <v>36</v>
      </c>
      <c r="Z237" s="35" t="s">
        <v>43</v>
      </c>
      <c r="AA237" s="35" t="s">
        <v>37</v>
      </c>
      <c r="AB237" s="35" t="s">
        <v>37</v>
      </c>
      <c r="AC237" s="35" t="s">
        <v>38</v>
      </c>
      <c r="AD237" s="51" t="s">
        <v>226</v>
      </c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</row>
    <row r="238" spans="1:49" ht="31.5" x14ac:dyDescent="0.2">
      <c r="A238" s="35" t="s">
        <v>39</v>
      </c>
      <c r="B238" s="37">
        <v>46069</v>
      </c>
      <c r="C238" s="37">
        <v>46069</v>
      </c>
      <c r="D238" s="39" t="s">
        <v>30</v>
      </c>
      <c r="E238" s="40">
        <v>0.97916666666666663</v>
      </c>
      <c r="F238" s="40">
        <v>1</v>
      </c>
      <c r="G238" s="40">
        <v>2.0833333333333332E-2</v>
      </c>
      <c r="H238" s="35" t="s">
        <v>136</v>
      </c>
      <c r="I238" s="42"/>
      <c r="J238" s="35" t="s">
        <v>123</v>
      </c>
      <c r="K238" s="35"/>
      <c r="L238" s="44">
        <v>1</v>
      </c>
      <c r="M238" s="44">
        <v>1</v>
      </c>
      <c r="N238" s="35" t="s">
        <v>33</v>
      </c>
      <c r="O238" s="35"/>
      <c r="P238" s="47">
        <v>0</v>
      </c>
      <c r="Q238" s="44"/>
      <c r="R238" s="47">
        <v>0</v>
      </c>
      <c r="S238" s="35">
        <v>46054</v>
      </c>
      <c r="T238" s="47">
        <v>0</v>
      </c>
      <c r="U238" s="44">
        <v>2</v>
      </c>
      <c r="V238" s="47">
        <v>0</v>
      </c>
      <c r="W238" s="35" t="s">
        <v>34</v>
      </c>
      <c r="X238" s="35" t="s">
        <v>42</v>
      </c>
      <c r="Y238" s="35" t="s">
        <v>36</v>
      </c>
      <c r="Z238" s="35" t="s">
        <v>43</v>
      </c>
      <c r="AA238" s="35" t="s">
        <v>37</v>
      </c>
      <c r="AB238" s="35" t="s">
        <v>37</v>
      </c>
      <c r="AC238" s="35" t="s">
        <v>38</v>
      </c>
      <c r="AD238" s="51" t="s">
        <v>226</v>
      </c>
      <c r="AE238" s="35"/>
      <c r="AF238" s="35"/>
      <c r="AG238" s="35"/>
      <c r="AH238" s="35"/>
      <c r="AI238" s="35"/>
      <c r="AJ238" s="35"/>
      <c r="AK238" s="35"/>
      <c r="AL238" s="35"/>
      <c r="AM238" s="35"/>
      <c r="AN238" s="35"/>
      <c r="AO238" s="35"/>
      <c r="AP238" s="35"/>
      <c r="AQ238" s="35"/>
      <c r="AR238" s="35"/>
      <c r="AS238" s="35"/>
      <c r="AT238" s="35"/>
      <c r="AU238" s="35"/>
      <c r="AV238" s="35"/>
      <c r="AW238" s="35"/>
    </row>
    <row r="239" spans="1:49" ht="31.5" x14ac:dyDescent="0.25">
      <c r="A239" s="35" t="s">
        <v>39</v>
      </c>
      <c r="B239" s="37">
        <v>46070</v>
      </c>
      <c r="C239" s="37">
        <v>46070</v>
      </c>
      <c r="D239" s="39" t="s">
        <v>146</v>
      </c>
      <c r="E239" s="40">
        <v>0.25</v>
      </c>
      <c r="F239" s="40">
        <v>0.29166666666666669</v>
      </c>
      <c r="G239" s="40">
        <v>4.1666666666666664E-2</v>
      </c>
      <c r="H239" s="35" t="s">
        <v>40</v>
      </c>
      <c r="I239" s="42"/>
      <c r="J239" s="35" t="s">
        <v>41</v>
      </c>
      <c r="K239" s="35"/>
      <c r="L239" s="44">
        <v>1</v>
      </c>
      <c r="M239" s="44">
        <v>1</v>
      </c>
      <c r="N239" s="35" t="s">
        <v>33</v>
      </c>
      <c r="O239" s="35"/>
      <c r="P239" s="46">
        <v>0</v>
      </c>
      <c r="Q239" s="44"/>
      <c r="R239" s="46">
        <v>0</v>
      </c>
      <c r="S239" s="35">
        <v>46054</v>
      </c>
      <c r="T239" s="46">
        <v>0</v>
      </c>
      <c r="U239" s="44">
        <v>2</v>
      </c>
      <c r="V239" s="46">
        <v>0</v>
      </c>
      <c r="W239" s="35" t="s">
        <v>34</v>
      </c>
      <c r="X239" s="35" t="s">
        <v>42</v>
      </c>
      <c r="Y239" s="35" t="s">
        <v>36</v>
      </c>
      <c r="Z239" s="35" t="s">
        <v>43</v>
      </c>
      <c r="AA239" s="35" t="s">
        <v>37</v>
      </c>
      <c r="AB239" s="35" t="s">
        <v>37</v>
      </c>
      <c r="AC239" s="35" t="s">
        <v>38</v>
      </c>
      <c r="AD239" s="51" t="s">
        <v>226</v>
      </c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</row>
    <row r="240" spans="1:49" ht="31.5" x14ac:dyDescent="0.25">
      <c r="A240" s="35" t="s">
        <v>39</v>
      </c>
      <c r="B240" s="37">
        <v>46070</v>
      </c>
      <c r="C240" s="37">
        <v>46070</v>
      </c>
      <c r="D240" s="39" t="s">
        <v>146</v>
      </c>
      <c r="E240" s="40">
        <v>0.79166666666666663</v>
      </c>
      <c r="F240" s="40">
        <v>0.8125</v>
      </c>
      <c r="G240" s="40">
        <v>2.0833333333333332E-2</v>
      </c>
      <c r="H240" s="35" t="s">
        <v>122</v>
      </c>
      <c r="I240" s="42"/>
      <c r="J240" s="35" t="s">
        <v>123</v>
      </c>
      <c r="K240" s="35"/>
      <c r="L240" s="44">
        <v>1</v>
      </c>
      <c r="M240" s="44">
        <v>1</v>
      </c>
      <c r="N240" s="35" t="s">
        <v>33</v>
      </c>
      <c r="O240" s="35"/>
      <c r="P240" s="47">
        <v>0</v>
      </c>
      <c r="Q240" s="44"/>
      <c r="R240" s="47">
        <v>0</v>
      </c>
      <c r="S240" s="35">
        <v>46054</v>
      </c>
      <c r="T240" s="47">
        <v>0</v>
      </c>
      <c r="U240" s="44">
        <v>2</v>
      </c>
      <c r="V240" s="47">
        <v>0</v>
      </c>
      <c r="W240" s="35" t="s">
        <v>34</v>
      </c>
      <c r="X240" s="35" t="s">
        <v>42</v>
      </c>
      <c r="Y240" s="35" t="s">
        <v>36</v>
      </c>
      <c r="Z240" s="35" t="s">
        <v>43</v>
      </c>
      <c r="AA240" s="35" t="s">
        <v>37</v>
      </c>
      <c r="AB240" s="35" t="s">
        <v>37</v>
      </c>
      <c r="AC240" s="35" t="s">
        <v>38</v>
      </c>
      <c r="AD240" s="51" t="s">
        <v>226</v>
      </c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</row>
    <row r="241" spans="1:49" ht="31.5" x14ac:dyDescent="0.25">
      <c r="A241" s="35" t="s">
        <v>39</v>
      </c>
      <c r="B241" s="37">
        <v>46070</v>
      </c>
      <c r="C241" s="37">
        <v>46070</v>
      </c>
      <c r="D241" s="39" t="s">
        <v>146</v>
      </c>
      <c r="E241" s="40">
        <v>0.8125</v>
      </c>
      <c r="F241" s="40">
        <v>0.83333333333333337</v>
      </c>
      <c r="G241" s="40">
        <v>2.0833333333333332E-2</v>
      </c>
      <c r="H241" s="35" t="s">
        <v>130</v>
      </c>
      <c r="I241" s="42"/>
      <c r="J241" s="35" t="s">
        <v>123</v>
      </c>
      <c r="K241" s="35"/>
      <c r="L241" s="44">
        <v>1</v>
      </c>
      <c r="M241" s="44">
        <v>1</v>
      </c>
      <c r="N241" s="35" t="s">
        <v>33</v>
      </c>
      <c r="O241" s="35"/>
      <c r="P241" s="47">
        <v>0</v>
      </c>
      <c r="Q241" s="44"/>
      <c r="R241" s="47">
        <v>0</v>
      </c>
      <c r="S241" s="35">
        <v>46054</v>
      </c>
      <c r="T241" s="47">
        <v>0</v>
      </c>
      <c r="U241" s="44">
        <v>2</v>
      </c>
      <c r="V241" s="47">
        <v>0</v>
      </c>
      <c r="W241" s="35" t="s">
        <v>34</v>
      </c>
      <c r="X241" s="35" t="s">
        <v>42</v>
      </c>
      <c r="Y241" s="35" t="s">
        <v>36</v>
      </c>
      <c r="Z241" s="35" t="s">
        <v>43</v>
      </c>
      <c r="AA241" s="35" t="s">
        <v>37</v>
      </c>
      <c r="AB241" s="35" t="s">
        <v>37</v>
      </c>
      <c r="AC241" s="35" t="s">
        <v>38</v>
      </c>
      <c r="AD241" s="51" t="s">
        <v>226</v>
      </c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</row>
    <row r="242" spans="1:49" ht="31.5" x14ac:dyDescent="0.2">
      <c r="A242" s="35" t="s">
        <v>39</v>
      </c>
      <c r="B242" s="37">
        <v>46070</v>
      </c>
      <c r="C242" s="37">
        <v>46070</v>
      </c>
      <c r="D242" s="39" t="s">
        <v>146</v>
      </c>
      <c r="E242" s="40">
        <v>0.97916666666666663</v>
      </c>
      <c r="F242" s="40">
        <v>1</v>
      </c>
      <c r="G242" s="40">
        <v>2.0833333333333332E-2</v>
      </c>
      <c r="H242" s="35" t="s">
        <v>136</v>
      </c>
      <c r="I242" s="42"/>
      <c r="J242" s="35" t="s">
        <v>123</v>
      </c>
      <c r="K242" s="35"/>
      <c r="L242" s="44">
        <v>1</v>
      </c>
      <c r="M242" s="44">
        <v>1</v>
      </c>
      <c r="N242" s="35" t="s">
        <v>33</v>
      </c>
      <c r="O242" s="35"/>
      <c r="P242" s="47">
        <v>0</v>
      </c>
      <c r="Q242" s="44"/>
      <c r="R242" s="47">
        <v>0</v>
      </c>
      <c r="S242" s="35">
        <v>46054</v>
      </c>
      <c r="T242" s="47">
        <v>0</v>
      </c>
      <c r="U242" s="44">
        <v>2</v>
      </c>
      <c r="V242" s="47">
        <v>0</v>
      </c>
      <c r="W242" s="35" t="s">
        <v>34</v>
      </c>
      <c r="X242" s="35" t="s">
        <v>42</v>
      </c>
      <c r="Y242" s="35" t="s">
        <v>36</v>
      </c>
      <c r="Z242" s="35" t="s">
        <v>43</v>
      </c>
      <c r="AA242" s="35" t="s">
        <v>37</v>
      </c>
      <c r="AB242" s="35" t="s">
        <v>37</v>
      </c>
      <c r="AC242" s="35" t="s">
        <v>38</v>
      </c>
      <c r="AD242" s="51" t="s">
        <v>226</v>
      </c>
      <c r="AE242" s="35"/>
      <c r="AF242" s="35"/>
      <c r="AG242" s="35"/>
      <c r="AH242" s="35"/>
      <c r="AI242" s="35"/>
      <c r="AJ242" s="35"/>
      <c r="AK242" s="35"/>
      <c r="AL242" s="35"/>
      <c r="AM242" s="35"/>
      <c r="AN242" s="35"/>
      <c r="AO242" s="35"/>
      <c r="AP242" s="35"/>
      <c r="AQ242" s="35"/>
      <c r="AR242" s="35"/>
      <c r="AS242" s="35"/>
      <c r="AT242" s="35"/>
      <c r="AU242" s="35"/>
      <c r="AV242" s="35"/>
      <c r="AW242" s="35"/>
    </row>
    <row r="243" spans="1:49" ht="31.5" x14ac:dyDescent="0.25">
      <c r="A243" s="35" t="s">
        <v>39</v>
      </c>
      <c r="B243" s="37">
        <v>46071</v>
      </c>
      <c r="C243" s="37">
        <v>46071</v>
      </c>
      <c r="D243" s="39" t="s">
        <v>164</v>
      </c>
      <c r="E243" s="40">
        <v>0.25</v>
      </c>
      <c r="F243" s="40">
        <v>0.29166666666666669</v>
      </c>
      <c r="G243" s="40">
        <v>4.1666666666666664E-2</v>
      </c>
      <c r="H243" s="35" t="s">
        <v>40</v>
      </c>
      <c r="I243" s="42"/>
      <c r="J243" s="35" t="s">
        <v>41</v>
      </c>
      <c r="K243" s="35"/>
      <c r="L243" s="44">
        <v>1</v>
      </c>
      <c r="M243" s="44">
        <v>1</v>
      </c>
      <c r="N243" s="35" t="s">
        <v>33</v>
      </c>
      <c r="O243" s="35"/>
      <c r="P243" s="46">
        <v>0</v>
      </c>
      <c r="Q243" s="44"/>
      <c r="R243" s="46">
        <v>0</v>
      </c>
      <c r="S243" s="35">
        <v>46054</v>
      </c>
      <c r="T243" s="46">
        <v>0</v>
      </c>
      <c r="U243" s="44">
        <v>2</v>
      </c>
      <c r="V243" s="46">
        <v>0</v>
      </c>
      <c r="W243" s="35" t="s">
        <v>34</v>
      </c>
      <c r="X243" s="35" t="s">
        <v>42</v>
      </c>
      <c r="Y243" s="35" t="s">
        <v>36</v>
      </c>
      <c r="Z243" s="35" t="s">
        <v>43</v>
      </c>
      <c r="AA243" s="35" t="s">
        <v>37</v>
      </c>
      <c r="AB243" s="35" t="s">
        <v>37</v>
      </c>
      <c r="AC243" s="35" t="s">
        <v>38</v>
      </c>
      <c r="AD243" s="51" t="s">
        <v>226</v>
      </c>
      <c r="AE243" s="52"/>
      <c r="AF243" s="52"/>
      <c r="AG243" s="52"/>
      <c r="AH243" s="52"/>
      <c r="AI243" s="56"/>
      <c r="AJ243" s="56"/>
      <c r="AK243" s="56"/>
      <c r="AL243" s="56"/>
      <c r="AM243" s="56"/>
      <c r="AN243" s="56"/>
      <c r="AO243" s="56"/>
      <c r="AP243" s="56"/>
      <c r="AQ243" s="56"/>
      <c r="AR243" s="56"/>
      <c r="AS243" s="56"/>
      <c r="AT243" s="56"/>
      <c r="AU243" s="56"/>
      <c r="AV243" s="56"/>
      <c r="AW243" s="56"/>
    </row>
    <row r="244" spans="1:49" ht="31.5" x14ac:dyDescent="0.25">
      <c r="A244" s="35" t="s">
        <v>39</v>
      </c>
      <c r="B244" s="37">
        <v>46071</v>
      </c>
      <c r="C244" s="37">
        <v>46071</v>
      </c>
      <c r="D244" s="39" t="s">
        <v>164</v>
      </c>
      <c r="E244" s="40">
        <v>0.79166666666666663</v>
      </c>
      <c r="F244" s="40">
        <v>0.8125</v>
      </c>
      <c r="G244" s="40">
        <v>2.0833333333333332E-2</v>
      </c>
      <c r="H244" s="35" t="s">
        <v>122</v>
      </c>
      <c r="I244" s="42"/>
      <c r="J244" s="35" t="s">
        <v>123</v>
      </c>
      <c r="K244" s="35"/>
      <c r="L244" s="44">
        <v>1</v>
      </c>
      <c r="M244" s="44">
        <v>1</v>
      </c>
      <c r="N244" s="35" t="s">
        <v>33</v>
      </c>
      <c r="O244" s="35"/>
      <c r="P244" s="47">
        <v>0</v>
      </c>
      <c r="Q244" s="44"/>
      <c r="R244" s="47">
        <v>0</v>
      </c>
      <c r="S244" s="35">
        <v>46054</v>
      </c>
      <c r="T244" s="47">
        <v>0</v>
      </c>
      <c r="U244" s="44">
        <v>2</v>
      </c>
      <c r="V244" s="47">
        <v>0</v>
      </c>
      <c r="W244" s="35" t="s">
        <v>34</v>
      </c>
      <c r="X244" s="35" t="s">
        <v>42</v>
      </c>
      <c r="Y244" s="35" t="s">
        <v>36</v>
      </c>
      <c r="Z244" s="35" t="s">
        <v>43</v>
      </c>
      <c r="AA244" s="35" t="s">
        <v>37</v>
      </c>
      <c r="AB244" s="35" t="s">
        <v>37</v>
      </c>
      <c r="AC244" s="35" t="s">
        <v>38</v>
      </c>
      <c r="AD244" s="51" t="s">
        <v>226</v>
      </c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</row>
    <row r="245" spans="1:49" ht="31.5" x14ac:dyDescent="0.2">
      <c r="A245" s="35" t="s">
        <v>39</v>
      </c>
      <c r="B245" s="37">
        <v>46071</v>
      </c>
      <c r="C245" s="37">
        <v>46071</v>
      </c>
      <c r="D245" s="39" t="s">
        <v>164</v>
      </c>
      <c r="E245" s="40">
        <v>0.8125</v>
      </c>
      <c r="F245" s="40">
        <v>0.83333333333333337</v>
      </c>
      <c r="G245" s="40">
        <v>2.0833333333333332E-2</v>
      </c>
      <c r="H245" s="35" t="s">
        <v>130</v>
      </c>
      <c r="I245" s="42"/>
      <c r="J245" s="35" t="s">
        <v>123</v>
      </c>
      <c r="K245" s="35"/>
      <c r="L245" s="44">
        <v>1</v>
      </c>
      <c r="M245" s="44">
        <v>1</v>
      </c>
      <c r="N245" s="35" t="s">
        <v>33</v>
      </c>
      <c r="O245" s="35"/>
      <c r="P245" s="47">
        <v>0</v>
      </c>
      <c r="Q245" s="44"/>
      <c r="R245" s="47">
        <v>0</v>
      </c>
      <c r="S245" s="35">
        <v>46054</v>
      </c>
      <c r="T245" s="47">
        <v>0</v>
      </c>
      <c r="U245" s="44">
        <v>2</v>
      </c>
      <c r="V245" s="47">
        <v>0</v>
      </c>
      <c r="W245" s="35" t="s">
        <v>34</v>
      </c>
      <c r="X245" s="35" t="s">
        <v>42</v>
      </c>
      <c r="Y245" s="35" t="s">
        <v>36</v>
      </c>
      <c r="Z245" s="35" t="s">
        <v>43</v>
      </c>
      <c r="AA245" s="35" t="s">
        <v>37</v>
      </c>
      <c r="AB245" s="35" t="s">
        <v>37</v>
      </c>
      <c r="AC245" s="35" t="s">
        <v>38</v>
      </c>
      <c r="AD245" s="51" t="s">
        <v>226</v>
      </c>
      <c r="AE245" s="35"/>
      <c r="AF245" s="35"/>
      <c r="AG245" s="35"/>
      <c r="AH245" s="35"/>
      <c r="AI245" s="35"/>
      <c r="AJ245" s="35"/>
      <c r="AK245" s="35"/>
      <c r="AL245" s="35"/>
      <c r="AM245" s="35"/>
      <c r="AN245" s="35"/>
      <c r="AO245" s="35"/>
      <c r="AP245" s="35"/>
      <c r="AQ245" s="35"/>
      <c r="AR245" s="35"/>
      <c r="AS245" s="35"/>
      <c r="AT245" s="35"/>
      <c r="AU245" s="35"/>
      <c r="AV245" s="35"/>
      <c r="AW245" s="35"/>
    </row>
    <row r="246" spans="1:49" ht="31.5" x14ac:dyDescent="0.25">
      <c r="A246" s="35" t="s">
        <v>39</v>
      </c>
      <c r="B246" s="37">
        <v>46071</v>
      </c>
      <c r="C246" s="37">
        <v>46071</v>
      </c>
      <c r="D246" s="39" t="s">
        <v>164</v>
      </c>
      <c r="E246" s="40">
        <v>0.97916666666666663</v>
      </c>
      <c r="F246" s="40">
        <v>1</v>
      </c>
      <c r="G246" s="40">
        <v>2.0833333333333332E-2</v>
      </c>
      <c r="H246" s="35" t="s">
        <v>136</v>
      </c>
      <c r="I246" s="42"/>
      <c r="J246" s="35" t="s">
        <v>123</v>
      </c>
      <c r="K246" s="35"/>
      <c r="L246" s="44">
        <v>1</v>
      </c>
      <c r="M246" s="44">
        <v>1</v>
      </c>
      <c r="N246" s="35" t="s">
        <v>33</v>
      </c>
      <c r="O246" s="35"/>
      <c r="P246" s="47">
        <v>0</v>
      </c>
      <c r="Q246" s="44"/>
      <c r="R246" s="47">
        <v>0</v>
      </c>
      <c r="S246" s="35">
        <v>46054</v>
      </c>
      <c r="T246" s="47">
        <v>0</v>
      </c>
      <c r="U246" s="44">
        <v>2</v>
      </c>
      <c r="V246" s="47">
        <v>0</v>
      </c>
      <c r="W246" s="35" t="s">
        <v>34</v>
      </c>
      <c r="X246" s="35" t="s">
        <v>42</v>
      </c>
      <c r="Y246" s="35" t="s">
        <v>36</v>
      </c>
      <c r="Z246" s="35" t="s">
        <v>43</v>
      </c>
      <c r="AA246" s="35" t="s">
        <v>37</v>
      </c>
      <c r="AB246" s="35" t="s">
        <v>37</v>
      </c>
      <c r="AC246" s="35" t="s">
        <v>38</v>
      </c>
      <c r="AD246" s="51" t="s">
        <v>226</v>
      </c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</row>
    <row r="247" spans="1:49" ht="31.5" x14ac:dyDescent="0.2">
      <c r="A247" s="35" t="s">
        <v>39</v>
      </c>
      <c r="B247" s="37">
        <v>46072</v>
      </c>
      <c r="C247" s="37">
        <v>46072</v>
      </c>
      <c r="D247" s="39" t="s">
        <v>177</v>
      </c>
      <c r="E247" s="40">
        <v>0.25</v>
      </c>
      <c r="F247" s="40">
        <v>0.29166666666666669</v>
      </c>
      <c r="G247" s="40">
        <v>4.1666666666666664E-2</v>
      </c>
      <c r="H247" s="35" t="s">
        <v>40</v>
      </c>
      <c r="I247" s="42"/>
      <c r="J247" s="35" t="s">
        <v>41</v>
      </c>
      <c r="K247" s="35"/>
      <c r="L247" s="44">
        <v>1</v>
      </c>
      <c r="M247" s="44">
        <v>1</v>
      </c>
      <c r="N247" s="35" t="s">
        <v>33</v>
      </c>
      <c r="O247" s="35"/>
      <c r="P247" s="46">
        <v>0</v>
      </c>
      <c r="Q247" s="44"/>
      <c r="R247" s="46">
        <v>0</v>
      </c>
      <c r="S247" s="35">
        <v>46054</v>
      </c>
      <c r="T247" s="46">
        <v>0</v>
      </c>
      <c r="U247" s="44">
        <v>2</v>
      </c>
      <c r="V247" s="46">
        <v>0</v>
      </c>
      <c r="W247" s="35" t="s">
        <v>34</v>
      </c>
      <c r="X247" s="35" t="s">
        <v>42</v>
      </c>
      <c r="Y247" s="35" t="s">
        <v>36</v>
      </c>
      <c r="Z247" s="35" t="s">
        <v>43</v>
      </c>
      <c r="AA247" s="35" t="s">
        <v>37</v>
      </c>
      <c r="AB247" s="35" t="s">
        <v>37</v>
      </c>
      <c r="AC247" s="35" t="s">
        <v>38</v>
      </c>
      <c r="AD247" s="51" t="s">
        <v>226</v>
      </c>
      <c r="AE247" s="35"/>
      <c r="AF247" s="35"/>
      <c r="AG247" s="35"/>
      <c r="AH247" s="35"/>
      <c r="AI247" s="35"/>
      <c r="AJ247" s="35"/>
      <c r="AK247" s="35"/>
      <c r="AL247" s="35"/>
      <c r="AM247" s="35"/>
      <c r="AN247" s="35"/>
      <c r="AO247" s="35"/>
      <c r="AP247" s="35"/>
      <c r="AQ247" s="35"/>
      <c r="AR247" s="35"/>
      <c r="AS247" s="35"/>
      <c r="AT247" s="35"/>
      <c r="AU247" s="35"/>
      <c r="AV247" s="35"/>
      <c r="AW247" s="35"/>
    </row>
    <row r="248" spans="1:49" ht="31.5" x14ac:dyDescent="0.25">
      <c r="A248" s="35" t="s">
        <v>39</v>
      </c>
      <c r="B248" s="37">
        <v>46072</v>
      </c>
      <c r="C248" s="37">
        <v>46072</v>
      </c>
      <c r="D248" s="39" t="s">
        <v>177</v>
      </c>
      <c r="E248" s="40">
        <v>0.79166666666666663</v>
      </c>
      <c r="F248" s="40">
        <v>0.8125</v>
      </c>
      <c r="G248" s="40">
        <v>2.0833333333333332E-2</v>
      </c>
      <c r="H248" s="35" t="s">
        <v>122</v>
      </c>
      <c r="I248" s="42"/>
      <c r="J248" s="35" t="s">
        <v>123</v>
      </c>
      <c r="K248" s="35"/>
      <c r="L248" s="44">
        <v>1</v>
      </c>
      <c r="M248" s="44">
        <v>1</v>
      </c>
      <c r="N248" s="35" t="s">
        <v>33</v>
      </c>
      <c r="O248" s="35"/>
      <c r="P248" s="47">
        <v>0</v>
      </c>
      <c r="Q248" s="44"/>
      <c r="R248" s="47">
        <v>0</v>
      </c>
      <c r="S248" s="35">
        <v>46054</v>
      </c>
      <c r="T248" s="47">
        <v>0</v>
      </c>
      <c r="U248" s="44">
        <v>2</v>
      </c>
      <c r="V248" s="47">
        <v>0</v>
      </c>
      <c r="W248" s="35" t="s">
        <v>34</v>
      </c>
      <c r="X248" s="35" t="s">
        <v>42</v>
      </c>
      <c r="Y248" s="35" t="s">
        <v>36</v>
      </c>
      <c r="Z248" s="35" t="s">
        <v>43</v>
      </c>
      <c r="AA248" s="35" t="s">
        <v>37</v>
      </c>
      <c r="AB248" s="35" t="s">
        <v>37</v>
      </c>
      <c r="AC248" s="35" t="s">
        <v>38</v>
      </c>
      <c r="AD248" s="51" t="s">
        <v>226</v>
      </c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</row>
    <row r="249" spans="1:49" ht="31.5" x14ac:dyDescent="0.25">
      <c r="A249" s="35" t="s">
        <v>39</v>
      </c>
      <c r="B249" s="37">
        <v>46072</v>
      </c>
      <c r="C249" s="37">
        <v>46072</v>
      </c>
      <c r="D249" s="39" t="s">
        <v>177</v>
      </c>
      <c r="E249" s="40">
        <v>0.8125</v>
      </c>
      <c r="F249" s="40">
        <v>0.83333333333333337</v>
      </c>
      <c r="G249" s="40">
        <v>2.0833333333333332E-2</v>
      </c>
      <c r="H249" s="35" t="s">
        <v>186</v>
      </c>
      <c r="I249" s="42"/>
      <c r="J249" s="35" t="s">
        <v>123</v>
      </c>
      <c r="K249" s="35"/>
      <c r="L249" s="44">
        <v>1</v>
      </c>
      <c r="M249" s="44">
        <v>1</v>
      </c>
      <c r="N249" s="35" t="s">
        <v>33</v>
      </c>
      <c r="O249" s="35"/>
      <c r="P249" s="47">
        <v>0</v>
      </c>
      <c r="Q249" s="44"/>
      <c r="R249" s="47">
        <v>0</v>
      </c>
      <c r="S249" s="35">
        <v>46054</v>
      </c>
      <c r="T249" s="47">
        <v>0</v>
      </c>
      <c r="U249" s="44">
        <v>2</v>
      </c>
      <c r="V249" s="47">
        <v>0</v>
      </c>
      <c r="W249" s="35" t="s">
        <v>34</v>
      </c>
      <c r="X249" s="35" t="s">
        <v>42</v>
      </c>
      <c r="Y249" s="35" t="s">
        <v>36</v>
      </c>
      <c r="Z249" s="35" t="s">
        <v>43</v>
      </c>
      <c r="AA249" s="35" t="s">
        <v>37</v>
      </c>
      <c r="AB249" s="35" t="s">
        <v>37</v>
      </c>
      <c r="AC249" s="35" t="s">
        <v>38</v>
      </c>
      <c r="AD249" s="51" t="s">
        <v>226</v>
      </c>
      <c r="AE249" s="52"/>
      <c r="AF249" s="52"/>
      <c r="AG249" s="52"/>
      <c r="AH249" s="52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</row>
    <row r="250" spans="1:49" ht="31.5" x14ac:dyDescent="0.25">
      <c r="A250" s="35" t="s">
        <v>39</v>
      </c>
      <c r="B250" s="37">
        <v>46072</v>
      </c>
      <c r="C250" s="37">
        <v>46072</v>
      </c>
      <c r="D250" s="39" t="s">
        <v>177</v>
      </c>
      <c r="E250" s="40">
        <v>0.97916666666666663</v>
      </c>
      <c r="F250" s="40">
        <v>1</v>
      </c>
      <c r="G250" s="40">
        <v>2.0833333333333332E-2</v>
      </c>
      <c r="H250" s="35" t="s">
        <v>136</v>
      </c>
      <c r="I250" s="42"/>
      <c r="J250" s="35" t="s">
        <v>123</v>
      </c>
      <c r="K250" s="35"/>
      <c r="L250" s="44">
        <v>1</v>
      </c>
      <c r="M250" s="44">
        <v>1</v>
      </c>
      <c r="N250" s="35" t="s">
        <v>33</v>
      </c>
      <c r="O250" s="35"/>
      <c r="P250" s="47">
        <v>0</v>
      </c>
      <c r="Q250" s="44"/>
      <c r="R250" s="47">
        <v>0</v>
      </c>
      <c r="S250" s="35">
        <v>46054</v>
      </c>
      <c r="T250" s="47">
        <v>0</v>
      </c>
      <c r="U250" s="44">
        <v>2</v>
      </c>
      <c r="V250" s="47">
        <v>0</v>
      </c>
      <c r="W250" s="35" t="s">
        <v>34</v>
      </c>
      <c r="X250" s="35" t="s">
        <v>42</v>
      </c>
      <c r="Y250" s="35" t="s">
        <v>36</v>
      </c>
      <c r="Z250" s="35" t="s">
        <v>43</v>
      </c>
      <c r="AA250" s="35" t="s">
        <v>37</v>
      </c>
      <c r="AB250" s="35" t="s">
        <v>37</v>
      </c>
      <c r="AC250" s="35" t="s">
        <v>38</v>
      </c>
      <c r="AD250" s="51" t="s">
        <v>226</v>
      </c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</row>
    <row r="251" spans="1:49" ht="31.5" x14ac:dyDescent="0.2">
      <c r="A251" s="35" t="s">
        <v>39</v>
      </c>
      <c r="B251" s="37">
        <v>46073</v>
      </c>
      <c r="C251" s="37">
        <v>46073</v>
      </c>
      <c r="D251" s="39" t="s">
        <v>189</v>
      </c>
      <c r="E251" s="40">
        <v>0.25</v>
      </c>
      <c r="F251" s="40">
        <v>0.29166666666666669</v>
      </c>
      <c r="G251" s="40">
        <v>4.1666666666666664E-2</v>
      </c>
      <c r="H251" s="35" t="s">
        <v>40</v>
      </c>
      <c r="I251" s="42"/>
      <c r="J251" s="35" t="s">
        <v>41</v>
      </c>
      <c r="K251" s="35"/>
      <c r="L251" s="44">
        <v>1</v>
      </c>
      <c r="M251" s="44">
        <v>1</v>
      </c>
      <c r="N251" s="35" t="s">
        <v>33</v>
      </c>
      <c r="O251" s="35"/>
      <c r="P251" s="46">
        <v>0</v>
      </c>
      <c r="Q251" s="44"/>
      <c r="R251" s="46">
        <v>0</v>
      </c>
      <c r="S251" s="35">
        <v>46054</v>
      </c>
      <c r="T251" s="46">
        <v>0</v>
      </c>
      <c r="U251" s="44">
        <v>2</v>
      </c>
      <c r="V251" s="46">
        <v>0</v>
      </c>
      <c r="W251" s="35" t="s">
        <v>34</v>
      </c>
      <c r="X251" s="35" t="s">
        <v>42</v>
      </c>
      <c r="Y251" s="35" t="s">
        <v>36</v>
      </c>
      <c r="Z251" s="35" t="s">
        <v>43</v>
      </c>
      <c r="AA251" s="35" t="s">
        <v>37</v>
      </c>
      <c r="AB251" s="35" t="s">
        <v>37</v>
      </c>
      <c r="AC251" s="35" t="s">
        <v>38</v>
      </c>
      <c r="AD251" s="51" t="s">
        <v>226</v>
      </c>
      <c r="AE251" s="35"/>
      <c r="AF251" s="35"/>
      <c r="AG251" s="35"/>
      <c r="AH251" s="35"/>
      <c r="AI251" s="35"/>
      <c r="AJ251" s="35"/>
      <c r="AK251" s="35"/>
      <c r="AL251" s="35"/>
      <c r="AM251" s="35"/>
      <c r="AN251" s="35"/>
      <c r="AO251" s="35"/>
      <c r="AP251" s="35"/>
      <c r="AQ251" s="35"/>
      <c r="AR251" s="35"/>
      <c r="AS251" s="35"/>
      <c r="AT251" s="35"/>
      <c r="AU251" s="35"/>
      <c r="AV251" s="35"/>
      <c r="AW251" s="35"/>
    </row>
    <row r="252" spans="1:49" ht="31.5" x14ac:dyDescent="0.25">
      <c r="A252" s="35" t="s">
        <v>39</v>
      </c>
      <c r="B252" s="37">
        <v>46073</v>
      </c>
      <c r="C252" s="37">
        <v>46073</v>
      </c>
      <c r="D252" s="39" t="s">
        <v>189</v>
      </c>
      <c r="E252" s="40">
        <v>0.79166666666666663</v>
      </c>
      <c r="F252" s="40">
        <v>0.8125</v>
      </c>
      <c r="G252" s="40">
        <v>2.0833333333333332E-2</v>
      </c>
      <c r="H252" s="35" t="s">
        <v>122</v>
      </c>
      <c r="I252" s="42"/>
      <c r="J252" s="35" t="s">
        <v>123</v>
      </c>
      <c r="K252" s="35"/>
      <c r="L252" s="44">
        <v>1</v>
      </c>
      <c r="M252" s="44">
        <v>1</v>
      </c>
      <c r="N252" s="35" t="s">
        <v>33</v>
      </c>
      <c r="O252" s="35"/>
      <c r="P252" s="47">
        <v>0</v>
      </c>
      <c r="Q252" s="44"/>
      <c r="R252" s="47">
        <v>0</v>
      </c>
      <c r="S252" s="35">
        <v>46054</v>
      </c>
      <c r="T252" s="47">
        <v>0</v>
      </c>
      <c r="U252" s="44">
        <v>2</v>
      </c>
      <c r="V252" s="47">
        <v>0</v>
      </c>
      <c r="W252" s="35" t="s">
        <v>34</v>
      </c>
      <c r="X252" s="35" t="s">
        <v>42</v>
      </c>
      <c r="Y252" s="35" t="s">
        <v>36</v>
      </c>
      <c r="Z252" s="35" t="s">
        <v>43</v>
      </c>
      <c r="AA252" s="35" t="s">
        <v>37</v>
      </c>
      <c r="AB252" s="35" t="s">
        <v>37</v>
      </c>
      <c r="AC252" s="35" t="s">
        <v>38</v>
      </c>
      <c r="AD252" s="51" t="s">
        <v>226</v>
      </c>
      <c r="AE252" s="52"/>
      <c r="AF252" s="52"/>
      <c r="AG252" s="52"/>
      <c r="AH252" s="52"/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</row>
    <row r="253" spans="1:49" ht="31.5" x14ac:dyDescent="0.2">
      <c r="A253" s="35" t="s">
        <v>39</v>
      </c>
      <c r="B253" s="37">
        <v>46073</v>
      </c>
      <c r="C253" s="37">
        <v>46073</v>
      </c>
      <c r="D253" s="39" t="s">
        <v>189</v>
      </c>
      <c r="E253" s="40">
        <v>0.8125</v>
      </c>
      <c r="F253" s="40">
        <v>0.83333333333333337</v>
      </c>
      <c r="G253" s="40">
        <v>2.0833333333333332E-2</v>
      </c>
      <c r="H253" s="35" t="s">
        <v>195</v>
      </c>
      <c r="I253" s="42"/>
      <c r="J253" s="35" t="s">
        <v>123</v>
      </c>
      <c r="K253" s="35"/>
      <c r="L253" s="44">
        <v>1</v>
      </c>
      <c r="M253" s="44">
        <v>1</v>
      </c>
      <c r="N253" s="35" t="s">
        <v>33</v>
      </c>
      <c r="O253" s="35"/>
      <c r="P253" s="47">
        <v>0</v>
      </c>
      <c r="Q253" s="44"/>
      <c r="R253" s="47">
        <v>0</v>
      </c>
      <c r="S253" s="35">
        <v>46054</v>
      </c>
      <c r="T253" s="47">
        <v>0</v>
      </c>
      <c r="U253" s="44">
        <v>2</v>
      </c>
      <c r="V253" s="47">
        <v>0</v>
      </c>
      <c r="W253" s="35" t="s">
        <v>34</v>
      </c>
      <c r="X253" s="35" t="s">
        <v>42</v>
      </c>
      <c r="Y253" s="35" t="s">
        <v>36</v>
      </c>
      <c r="Z253" s="35" t="s">
        <v>43</v>
      </c>
      <c r="AA253" s="35" t="s">
        <v>37</v>
      </c>
      <c r="AB253" s="35" t="s">
        <v>37</v>
      </c>
      <c r="AC253" s="35" t="s">
        <v>38</v>
      </c>
      <c r="AD253" s="51" t="s">
        <v>226</v>
      </c>
      <c r="AE253" s="35"/>
      <c r="AF253" s="35"/>
      <c r="AG253" s="35"/>
      <c r="AH253" s="35"/>
      <c r="AI253" s="35"/>
      <c r="AJ253" s="35"/>
      <c r="AK253" s="35"/>
      <c r="AL253" s="35"/>
      <c r="AM253" s="35"/>
      <c r="AN253" s="35"/>
      <c r="AO253" s="35"/>
      <c r="AP253" s="35"/>
      <c r="AQ253" s="35"/>
      <c r="AR253" s="35"/>
      <c r="AS253" s="35"/>
      <c r="AT253" s="35"/>
      <c r="AU253" s="35"/>
      <c r="AV253" s="35"/>
      <c r="AW253" s="35"/>
    </row>
    <row r="254" spans="1:49" ht="31.5" x14ac:dyDescent="0.25">
      <c r="A254" s="35" t="s">
        <v>39</v>
      </c>
      <c r="B254" s="37">
        <v>46073</v>
      </c>
      <c r="C254" s="37">
        <v>46073</v>
      </c>
      <c r="D254" s="39" t="s">
        <v>189</v>
      </c>
      <c r="E254" s="40">
        <v>0.97916666666666663</v>
      </c>
      <c r="F254" s="40">
        <v>1</v>
      </c>
      <c r="G254" s="40">
        <v>2.0833333333333332E-2</v>
      </c>
      <c r="H254" s="35" t="s">
        <v>136</v>
      </c>
      <c r="I254" s="42"/>
      <c r="J254" s="35" t="s">
        <v>123</v>
      </c>
      <c r="K254" s="35"/>
      <c r="L254" s="44">
        <v>1</v>
      </c>
      <c r="M254" s="44">
        <v>1</v>
      </c>
      <c r="N254" s="35" t="s">
        <v>33</v>
      </c>
      <c r="O254" s="35"/>
      <c r="P254" s="47">
        <v>0</v>
      </c>
      <c r="Q254" s="44"/>
      <c r="R254" s="47">
        <v>0</v>
      </c>
      <c r="S254" s="35">
        <v>46054</v>
      </c>
      <c r="T254" s="47">
        <v>0</v>
      </c>
      <c r="U254" s="44">
        <v>2</v>
      </c>
      <c r="V254" s="47">
        <v>0</v>
      </c>
      <c r="W254" s="35" t="s">
        <v>34</v>
      </c>
      <c r="X254" s="35" t="s">
        <v>42</v>
      </c>
      <c r="Y254" s="35" t="s">
        <v>36</v>
      </c>
      <c r="Z254" s="35" t="s">
        <v>43</v>
      </c>
      <c r="AA254" s="35" t="s">
        <v>37</v>
      </c>
      <c r="AB254" s="35" t="s">
        <v>37</v>
      </c>
      <c r="AC254" s="35" t="s">
        <v>38</v>
      </c>
      <c r="AD254" s="51" t="s">
        <v>226</v>
      </c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</row>
    <row r="255" spans="1:49" ht="31.5" x14ac:dyDescent="0.2">
      <c r="A255" s="35" t="s">
        <v>39</v>
      </c>
      <c r="B255" s="37">
        <v>46074</v>
      </c>
      <c r="C255" s="37">
        <v>46074</v>
      </c>
      <c r="D255" s="39" t="s">
        <v>197</v>
      </c>
      <c r="E255" s="40">
        <v>0.25</v>
      </c>
      <c r="F255" s="40">
        <v>0.29166666666666669</v>
      </c>
      <c r="G255" s="40">
        <v>4.1666666666666664E-2</v>
      </c>
      <c r="H255" s="35" t="s">
        <v>40</v>
      </c>
      <c r="I255" s="42"/>
      <c r="J255" s="35" t="s">
        <v>41</v>
      </c>
      <c r="K255" s="35"/>
      <c r="L255" s="44">
        <v>1</v>
      </c>
      <c r="M255" s="44">
        <v>1</v>
      </c>
      <c r="N255" s="35" t="s">
        <v>33</v>
      </c>
      <c r="O255" s="35"/>
      <c r="P255" s="46">
        <v>0</v>
      </c>
      <c r="Q255" s="44"/>
      <c r="R255" s="46">
        <v>0</v>
      </c>
      <c r="S255" s="35">
        <v>46054</v>
      </c>
      <c r="T255" s="46">
        <v>0</v>
      </c>
      <c r="U255" s="44">
        <v>2</v>
      </c>
      <c r="V255" s="46">
        <v>0</v>
      </c>
      <c r="W255" s="35" t="s">
        <v>34</v>
      </c>
      <c r="X255" s="35" t="s">
        <v>42</v>
      </c>
      <c r="Y255" s="35" t="s">
        <v>36</v>
      </c>
      <c r="Z255" s="35" t="s">
        <v>43</v>
      </c>
      <c r="AA255" s="35" t="s">
        <v>37</v>
      </c>
      <c r="AB255" s="35" t="s">
        <v>37</v>
      </c>
      <c r="AC255" s="35" t="s">
        <v>38</v>
      </c>
      <c r="AD255" s="51" t="s">
        <v>226</v>
      </c>
      <c r="AE255" s="35"/>
      <c r="AF255" s="35"/>
      <c r="AG255" s="35"/>
      <c r="AH255" s="35"/>
      <c r="AI255" s="35"/>
      <c r="AJ255" s="35"/>
      <c r="AK255" s="35"/>
      <c r="AL255" s="35"/>
      <c r="AM255" s="35"/>
      <c r="AN255" s="35"/>
      <c r="AO255" s="35"/>
      <c r="AP255" s="35"/>
      <c r="AQ255" s="35"/>
      <c r="AR255" s="35"/>
      <c r="AS255" s="35"/>
      <c r="AT255" s="35"/>
      <c r="AU255" s="35"/>
      <c r="AV255" s="35"/>
      <c r="AW255" s="35"/>
    </row>
    <row r="256" spans="1:49" ht="31.5" x14ac:dyDescent="0.25">
      <c r="A256" s="35" t="s">
        <v>131</v>
      </c>
      <c r="B256" s="37">
        <v>46069</v>
      </c>
      <c r="C256" s="37">
        <v>46069</v>
      </c>
      <c r="D256" s="39" t="s">
        <v>30</v>
      </c>
      <c r="E256" s="40">
        <v>0.83333333333333337</v>
      </c>
      <c r="F256" s="40">
        <v>0.875</v>
      </c>
      <c r="G256" s="40">
        <v>4.1666666666666664E-2</v>
      </c>
      <c r="H256" s="35" t="s">
        <v>132</v>
      </c>
      <c r="I256" s="42"/>
      <c r="J256" s="35" t="s">
        <v>41</v>
      </c>
      <c r="K256" s="35"/>
      <c r="L256" s="44">
        <v>1</v>
      </c>
      <c r="M256" s="44">
        <v>1</v>
      </c>
      <c r="N256" s="35" t="s">
        <v>33</v>
      </c>
      <c r="O256" s="35"/>
      <c r="P256" s="47">
        <v>0</v>
      </c>
      <c r="Q256" s="44"/>
      <c r="R256" s="47">
        <v>0</v>
      </c>
      <c r="S256" s="35">
        <v>46054</v>
      </c>
      <c r="T256" s="47">
        <v>0</v>
      </c>
      <c r="U256" s="44">
        <v>2</v>
      </c>
      <c r="V256" s="47">
        <v>0</v>
      </c>
      <c r="W256" s="35" t="s">
        <v>34</v>
      </c>
      <c r="X256" s="35" t="s">
        <v>42</v>
      </c>
      <c r="Y256" s="35" t="s">
        <v>36</v>
      </c>
      <c r="Z256" s="35" t="s">
        <v>43</v>
      </c>
      <c r="AA256" s="35" t="s">
        <v>37</v>
      </c>
      <c r="AB256" s="35" t="s">
        <v>37</v>
      </c>
      <c r="AC256" s="35" t="s">
        <v>38</v>
      </c>
      <c r="AD256" s="51" t="s">
        <v>226</v>
      </c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</row>
    <row r="257" spans="1:49" ht="31.5" x14ac:dyDescent="0.2">
      <c r="A257" s="35" t="s">
        <v>131</v>
      </c>
      <c r="B257" s="37">
        <v>46070</v>
      </c>
      <c r="C257" s="37">
        <v>46070</v>
      </c>
      <c r="D257" s="39" t="s">
        <v>146</v>
      </c>
      <c r="E257" s="40">
        <v>0.83333333333333337</v>
      </c>
      <c r="F257" s="40">
        <v>0.875</v>
      </c>
      <c r="G257" s="40">
        <v>4.1666666666666664E-2</v>
      </c>
      <c r="H257" s="35" t="s">
        <v>132</v>
      </c>
      <c r="I257" s="42"/>
      <c r="J257" s="35" t="s">
        <v>41</v>
      </c>
      <c r="K257" s="35"/>
      <c r="L257" s="44">
        <v>1</v>
      </c>
      <c r="M257" s="44">
        <v>1</v>
      </c>
      <c r="N257" s="35" t="s">
        <v>33</v>
      </c>
      <c r="O257" s="35"/>
      <c r="P257" s="47">
        <v>0</v>
      </c>
      <c r="Q257" s="44"/>
      <c r="R257" s="47">
        <v>0</v>
      </c>
      <c r="S257" s="35">
        <v>46054</v>
      </c>
      <c r="T257" s="47">
        <v>0</v>
      </c>
      <c r="U257" s="44">
        <v>2</v>
      </c>
      <c r="V257" s="47">
        <v>0</v>
      </c>
      <c r="W257" s="35" t="s">
        <v>34</v>
      </c>
      <c r="X257" s="35" t="s">
        <v>42</v>
      </c>
      <c r="Y257" s="35" t="s">
        <v>36</v>
      </c>
      <c r="Z257" s="35" t="s">
        <v>43</v>
      </c>
      <c r="AA257" s="35" t="s">
        <v>37</v>
      </c>
      <c r="AB257" s="35" t="s">
        <v>37</v>
      </c>
      <c r="AC257" s="35" t="s">
        <v>38</v>
      </c>
      <c r="AD257" s="51" t="s">
        <v>226</v>
      </c>
      <c r="AE257" s="35"/>
      <c r="AF257" s="35"/>
      <c r="AG257" s="35"/>
      <c r="AH257" s="35"/>
      <c r="AI257" s="35"/>
      <c r="AJ257" s="35"/>
      <c r="AK257" s="35"/>
      <c r="AL257" s="35"/>
      <c r="AM257" s="35"/>
      <c r="AN257" s="35"/>
      <c r="AO257" s="35"/>
      <c r="AP257" s="35"/>
      <c r="AQ257" s="35"/>
      <c r="AR257" s="35"/>
      <c r="AS257" s="35"/>
      <c r="AT257" s="35"/>
      <c r="AU257" s="35"/>
      <c r="AV257" s="35"/>
      <c r="AW257" s="35"/>
    </row>
    <row r="258" spans="1:49" ht="31.5" x14ac:dyDescent="0.25">
      <c r="A258" s="35" t="s">
        <v>131</v>
      </c>
      <c r="B258" s="37">
        <v>46071</v>
      </c>
      <c r="C258" s="37">
        <v>46071</v>
      </c>
      <c r="D258" s="39" t="s">
        <v>164</v>
      </c>
      <c r="E258" s="40">
        <v>0.83333333333333337</v>
      </c>
      <c r="F258" s="40">
        <v>0.875</v>
      </c>
      <c r="G258" s="40">
        <v>4.1666666666666664E-2</v>
      </c>
      <c r="H258" s="35" t="s">
        <v>132</v>
      </c>
      <c r="I258" s="42"/>
      <c r="J258" s="35" t="s">
        <v>41</v>
      </c>
      <c r="K258" s="35"/>
      <c r="L258" s="44">
        <v>1</v>
      </c>
      <c r="M258" s="44">
        <v>1</v>
      </c>
      <c r="N258" s="35" t="s">
        <v>33</v>
      </c>
      <c r="O258" s="35"/>
      <c r="P258" s="47">
        <v>0</v>
      </c>
      <c r="Q258" s="44"/>
      <c r="R258" s="47">
        <v>0</v>
      </c>
      <c r="S258" s="35">
        <v>46054</v>
      </c>
      <c r="T258" s="47">
        <v>0</v>
      </c>
      <c r="U258" s="44">
        <v>2</v>
      </c>
      <c r="V258" s="47">
        <v>0</v>
      </c>
      <c r="W258" s="35" t="s">
        <v>34</v>
      </c>
      <c r="X258" s="35" t="s">
        <v>42</v>
      </c>
      <c r="Y258" s="35" t="s">
        <v>36</v>
      </c>
      <c r="Z258" s="35" t="s">
        <v>43</v>
      </c>
      <c r="AA258" s="35" t="s">
        <v>37</v>
      </c>
      <c r="AB258" s="35" t="s">
        <v>37</v>
      </c>
      <c r="AC258" s="35" t="s">
        <v>38</v>
      </c>
      <c r="AD258" s="51" t="s">
        <v>226</v>
      </c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</row>
    <row r="259" spans="1:49" ht="31.5" x14ac:dyDescent="0.2">
      <c r="A259" s="35" t="s">
        <v>131</v>
      </c>
      <c r="B259" s="37">
        <v>46072</v>
      </c>
      <c r="C259" s="37">
        <v>46072</v>
      </c>
      <c r="D259" s="39" t="s">
        <v>177</v>
      </c>
      <c r="E259" s="40">
        <v>0.83333333333333337</v>
      </c>
      <c r="F259" s="40">
        <v>0.875</v>
      </c>
      <c r="G259" s="40">
        <v>4.1666666666666664E-2</v>
      </c>
      <c r="H259" s="35" t="s">
        <v>132</v>
      </c>
      <c r="I259" s="42"/>
      <c r="J259" s="35" t="s">
        <v>41</v>
      </c>
      <c r="K259" s="35"/>
      <c r="L259" s="44">
        <v>1</v>
      </c>
      <c r="M259" s="44">
        <v>1</v>
      </c>
      <c r="N259" s="35" t="s">
        <v>33</v>
      </c>
      <c r="O259" s="35"/>
      <c r="P259" s="47">
        <v>0</v>
      </c>
      <c r="Q259" s="44"/>
      <c r="R259" s="47">
        <v>0</v>
      </c>
      <c r="S259" s="35">
        <v>46054</v>
      </c>
      <c r="T259" s="47">
        <v>0</v>
      </c>
      <c r="U259" s="44">
        <v>2</v>
      </c>
      <c r="V259" s="47">
        <v>0</v>
      </c>
      <c r="W259" s="35" t="s">
        <v>34</v>
      </c>
      <c r="X259" s="35" t="s">
        <v>42</v>
      </c>
      <c r="Y259" s="35" t="s">
        <v>36</v>
      </c>
      <c r="Z259" s="35" t="s">
        <v>43</v>
      </c>
      <c r="AA259" s="35" t="s">
        <v>37</v>
      </c>
      <c r="AB259" s="35" t="s">
        <v>37</v>
      </c>
      <c r="AC259" s="35" t="s">
        <v>38</v>
      </c>
      <c r="AD259" s="51" t="s">
        <v>226</v>
      </c>
      <c r="AE259" s="35"/>
      <c r="AF259" s="35"/>
      <c r="AG259" s="35"/>
      <c r="AH259" s="35"/>
      <c r="AI259" s="35"/>
      <c r="AJ259" s="35"/>
      <c r="AK259" s="35"/>
      <c r="AL259" s="35"/>
      <c r="AM259" s="35"/>
      <c r="AN259" s="35"/>
      <c r="AO259" s="35"/>
      <c r="AP259" s="35"/>
      <c r="AQ259" s="35"/>
      <c r="AR259" s="35"/>
      <c r="AS259" s="35"/>
      <c r="AT259" s="35"/>
      <c r="AU259" s="35"/>
      <c r="AV259" s="35"/>
      <c r="AW259" s="35"/>
    </row>
    <row r="260" spans="1:49" ht="31.5" x14ac:dyDescent="0.2">
      <c r="A260" s="35" t="s">
        <v>131</v>
      </c>
      <c r="B260" s="37">
        <v>46073</v>
      </c>
      <c r="C260" s="37">
        <v>46073</v>
      </c>
      <c r="D260" s="39" t="s">
        <v>189</v>
      </c>
      <c r="E260" s="40">
        <v>0.83333333333333337</v>
      </c>
      <c r="F260" s="40">
        <v>0.875</v>
      </c>
      <c r="G260" s="40">
        <v>4.1666666666666664E-2</v>
      </c>
      <c r="H260" s="35" t="s">
        <v>132</v>
      </c>
      <c r="I260" s="42"/>
      <c r="J260" s="35" t="s">
        <v>41</v>
      </c>
      <c r="K260" s="35"/>
      <c r="L260" s="44">
        <v>1</v>
      </c>
      <c r="M260" s="44">
        <v>1</v>
      </c>
      <c r="N260" s="35" t="s">
        <v>33</v>
      </c>
      <c r="O260" s="35"/>
      <c r="P260" s="47">
        <v>0</v>
      </c>
      <c r="Q260" s="44"/>
      <c r="R260" s="47">
        <v>0</v>
      </c>
      <c r="S260" s="35">
        <v>46054</v>
      </c>
      <c r="T260" s="47">
        <v>0</v>
      </c>
      <c r="U260" s="44">
        <v>2</v>
      </c>
      <c r="V260" s="47">
        <v>0</v>
      </c>
      <c r="W260" s="35" t="s">
        <v>34</v>
      </c>
      <c r="X260" s="35" t="s">
        <v>42</v>
      </c>
      <c r="Y260" s="35" t="s">
        <v>36</v>
      </c>
      <c r="Z260" s="35" t="s">
        <v>43</v>
      </c>
      <c r="AA260" s="35" t="s">
        <v>37</v>
      </c>
      <c r="AB260" s="35" t="s">
        <v>37</v>
      </c>
      <c r="AC260" s="35" t="s">
        <v>38</v>
      </c>
      <c r="AD260" s="51" t="s">
        <v>226</v>
      </c>
      <c r="AE260" s="35"/>
      <c r="AF260" s="35"/>
      <c r="AG260" s="35"/>
      <c r="AH260" s="35"/>
      <c r="AI260" s="35"/>
      <c r="AJ260" s="35"/>
      <c r="AK260" s="35"/>
      <c r="AL260" s="35"/>
      <c r="AM260" s="35"/>
      <c r="AN260" s="35"/>
      <c r="AO260" s="35"/>
      <c r="AP260" s="35"/>
      <c r="AQ260" s="35"/>
      <c r="AR260" s="35"/>
      <c r="AS260" s="35"/>
      <c r="AT260" s="35"/>
      <c r="AU260" s="35"/>
      <c r="AV260" s="35"/>
      <c r="AW260" s="35"/>
    </row>
    <row r="261" spans="1:49" ht="31.5" x14ac:dyDescent="0.2">
      <c r="A261" s="35" t="s">
        <v>131</v>
      </c>
      <c r="B261" s="37">
        <v>46074</v>
      </c>
      <c r="C261" s="37">
        <v>46074</v>
      </c>
      <c r="D261" s="39" t="s">
        <v>197</v>
      </c>
      <c r="E261" s="40">
        <v>0.83333333333333337</v>
      </c>
      <c r="F261" s="40">
        <v>0.875</v>
      </c>
      <c r="G261" s="40">
        <v>4.1666666666666664E-2</v>
      </c>
      <c r="H261" s="35" t="s">
        <v>132</v>
      </c>
      <c r="I261" s="42"/>
      <c r="J261" s="35" t="s">
        <v>41</v>
      </c>
      <c r="K261" s="35"/>
      <c r="L261" s="44">
        <v>1</v>
      </c>
      <c r="M261" s="44">
        <v>1</v>
      </c>
      <c r="N261" s="35" t="s">
        <v>33</v>
      </c>
      <c r="O261" s="35"/>
      <c r="P261" s="47">
        <v>0</v>
      </c>
      <c r="Q261" s="44"/>
      <c r="R261" s="47">
        <v>0</v>
      </c>
      <c r="S261" s="35">
        <v>46054</v>
      </c>
      <c r="T261" s="47">
        <v>0</v>
      </c>
      <c r="U261" s="44">
        <v>2</v>
      </c>
      <c r="V261" s="47">
        <v>0</v>
      </c>
      <c r="W261" s="35" t="s">
        <v>34</v>
      </c>
      <c r="X261" s="35" t="s">
        <v>42</v>
      </c>
      <c r="Y261" s="35" t="s">
        <v>36</v>
      </c>
      <c r="Z261" s="35" t="s">
        <v>43</v>
      </c>
      <c r="AA261" s="35" t="s">
        <v>37</v>
      </c>
      <c r="AB261" s="35" t="s">
        <v>37</v>
      </c>
      <c r="AC261" s="35" t="s">
        <v>38</v>
      </c>
      <c r="AD261" s="51" t="s">
        <v>226</v>
      </c>
      <c r="AE261" s="35"/>
      <c r="AF261" s="35"/>
      <c r="AG261" s="35"/>
      <c r="AH261" s="35"/>
      <c r="AI261" s="35"/>
      <c r="AJ261" s="35"/>
      <c r="AK261" s="35"/>
      <c r="AL261" s="35"/>
      <c r="AM261" s="35"/>
      <c r="AN261" s="35"/>
      <c r="AO261" s="35"/>
      <c r="AP261" s="35"/>
      <c r="AQ261" s="35"/>
      <c r="AR261" s="35"/>
      <c r="AS261" s="35"/>
      <c r="AT261" s="35"/>
      <c r="AU261" s="35"/>
      <c r="AV261" s="35"/>
      <c r="AW261" s="35"/>
    </row>
    <row r="262" spans="1:49" ht="31.5" x14ac:dyDescent="0.2">
      <c r="A262" s="35" t="s">
        <v>131</v>
      </c>
      <c r="B262" s="37">
        <v>46075</v>
      </c>
      <c r="C262" s="37">
        <v>46075</v>
      </c>
      <c r="D262" s="39" t="s">
        <v>215</v>
      </c>
      <c r="E262" s="40">
        <v>0.83333333333333337</v>
      </c>
      <c r="F262" s="40">
        <v>0.875</v>
      </c>
      <c r="G262" s="40">
        <v>4.1666666666666664E-2</v>
      </c>
      <c r="H262" s="35" t="s">
        <v>132</v>
      </c>
      <c r="I262" s="42"/>
      <c r="J262" s="35" t="s">
        <v>41</v>
      </c>
      <c r="K262" s="35"/>
      <c r="L262" s="44">
        <v>1</v>
      </c>
      <c r="M262" s="44">
        <v>1</v>
      </c>
      <c r="N262" s="35" t="s">
        <v>33</v>
      </c>
      <c r="O262" s="35"/>
      <c r="P262" s="47">
        <v>0</v>
      </c>
      <c r="Q262" s="44"/>
      <c r="R262" s="47">
        <v>0</v>
      </c>
      <c r="S262" s="35">
        <v>46054</v>
      </c>
      <c r="T262" s="47">
        <v>0</v>
      </c>
      <c r="U262" s="44">
        <v>2</v>
      </c>
      <c r="V262" s="47">
        <v>0</v>
      </c>
      <c r="W262" s="35" t="s">
        <v>34</v>
      </c>
      <c r="X262" s="35" t="s">
        <v>42</v>
      </c>
      <c r="Y262" s="35" t="s">
        <v>36</v>
      </c>
      <c r="Z262" s="35" t="s">
        <v>43</v>
      </c>
      <c r="AA262" s="35" t="s">
        <v>37</v>
      </c>
      <c r="AB262" s="35" t="s">
        <v>37</v>
      </c>
      <c r="AC262" s="35" t="s">
        <v>38</v>
      </c>
      <c r="AD262" s="51" t="s">
        <v>226</v>
      </c>
      <c r="AE262" s="35"/>
      <c r="AF262" s="35"/>
      <c r="AG262" s="35"/>
      <c r="AH262" s="35"/>
      <c r="AI262" s="35"/>
      <c r="AJ262" s="35"/>
      <c r="AK262" s="35"/>
      <c r="AL262" s="35"/>
      <c r="AM262" s="35"/>
      <c r="AN262" s="35"/>
      <c r="AO262" s="35"/>
      <c r="AP262" s="35"/>
      <c r="AQ262" s="35"/>
      <c r="AR262" s="35"/>
      <c r="AS262" s="35"/>
      <c r="AT262" s="35"/>
      <c r="AU262" s="35"/>
      <c r="AV262" s="35"/>
      <c r="AW262" s="35"/>
    </row>
    <row r="263" spans="1:49" ht="31.5" x14ac:dyDescent="0.2">
      <c r="A263" s="35" t="s">
        <v>222</v>
      </c>
      <c r="B263" s="37">
        <v>46075</v>
      </c>
      <c r="C263" s="37">
        <v>46075</v>
      </c>
      <c r="D263" s="39" t="s">
        <v>215</v>
      </c>
      <c r="E263" s="40">
        <v>0.58333333333333337</v>
      </c>
      <c r="F263" s="40">
        <v>0.625</v>
      </c>
      <c r="G263" s="40">
        <v>4.1666666666666664E-2</v>
      </c>
      <c r="H263" s="35" t="s">
        <v>222</v>
      </c>
      <c r="I263" s="42"/>
      <c r="J263" s="35" t="s">
        <v>103</v>
      </c>
      <c r="K263" s="35"/>
      <c r="L263" s="44">
        <v>1</v>
      </c>
      <c r="M263" s="44">
        <v>1</v>
      </c>
      <c r="N263" s="35" t="s">
        <v>33</v>
      </c>
      <c r="O263" s="35"/>
      <c r="P263" s="47">
        <v>0</v>
      </c>
      <c r="Q263" s="44"/>
      <c r="R263" s="47">
        <v>0</v>
      </c>
      <c r="S263" s="35">
        <v>46075</v>
      </c>
      <c r="T263" s="47">
        <v>0</v>
      </c>
      <c r="U263" s="44">
        <v>1</v>
      </c>
      <c r="V263" s="47">
        <v>0</v>
      </c>
      <c r="W263" s="35" t="s">
        <v>34</v>
      </c>
      <c r="X263" s="35" t="s">
        <v>35</v>
      </c>
      <c r="Y263" s="35" t="s">
        <v>87</v>
      </c>
      <c r="Z263" s="35" t="s">
        <v>73</v>
      </c>
      <c r="AA263" s="35" t="s">
        <v>37</v>
      </c>
      <c r="AB263" s="35" t="s">
        <v>37</v>
      </c>
      <c r="AC263" s="35" t="s">
        <v>38</v>
      </c>
      <c r="AD263" s="51" t="s">
        <v>226</v>
      </c>
      <c r="AE263" s="35"/>
      <c r="AF263" s="35"/>
      <c r="AG263" s="35"/>
      <c r="AH263" s="35"/>
      <c r="AI263" s="35"/>
      <c r="AJ263" s="35"/>
      <c r="AK263" s="35"/>
      <c r="AL263" s="35"/>
      <c r="AM263" s="35"/>
      <c r="AN263" s="35"/>
      <c r="AO263" s="35"/>
      <c r="AP263" s="35"/>
      <c r="AQ263" s="35"/>
      <c r="AR263" s="35"/>
      <c r="AS263" s="35"/>
      <c r="AT263" s="35"/>
      <c r="AU263" s="35"/>
      <c r="AV263" s="35"/>
      <c r="AW263" s="35"/>
    </row>
    <row r="264" spans="1:49" ht="31.5" x14ac:dyDescent="0.2">
      <c r="A264" s="35" t="s">
        <v>221</v>
      </c>
      <c r="B264" s="37">
        <v>46075</v>
      </c>
      <c r="C264" s="37">
        <v>46075</v>
      </c>
      <c r="D264" s="39" t="s">
        <v>215</v>
      </c>
      <c r="E264" s="40">
        <v>0.54166666666666663</v>
      </c>
      <c r="F264" s="40">
        <v>0.58333333333333337</v>
      </c>
      <c r="G264" s="40">
        <v>4.1666666666666664E-2</v>
      </c>
      <c r="H264" s="35" t="s">
        <v>221</v>
      </c>
      <c r="I264" s="42"/>
      <c r="J264" s="35" t="s">
        <v>103</v>
      </c>
      <c r="K264" s="35"/>
      <c r="L264" s="44">
        <v>1</v>
      </c>
      <c r="M264" s="44">
        <v>1</v>
      </c>
      <c r="N264" s="35" t="s">
        <v>33</v>
      </c>
      <c r="O264" s="35"/>
      <c r="P264" s="47">
        <v>0</v>
      </c>
      <c r="Q264" s="44"/>
      <c r="R264" s="47">
        <v>0</v>
      </c>
      <c r="S264" s="35">
        <v>46054</v>
      </c>
      <c r="T264" s="47">
        <v>0</v>
      </c>
      <c r="U264" s="44">
        <v>2</v>
      </c>
      <c r="V264" s="47">
        <v>0</v>
      </c>
      <c r="W264" s="35" t="s">
        <v>34</v>
      </c>
      <c r="X264" s="35" t="s">
        <v>42</v>
      </c>
      <c r="Y264" s="35" t="s">
        <v>36</v>
      </c>
      <c r="Z264" s="35" t="s">
        <v>43</v>
      </c>
      <c r="AA264" s="35" t="s">
        <v>37</v>
      </c>
      <c r="AB264" s="35" t="s">
        <v>37</v>
      </c>
      <c r="AC264" s="35" t="s">
        <v>38</v>
      </c>
      <c r="AD264" s="51" t="s">
        <v>226</v>
      </c>
      <c r="AE264" s="35"/>
      <c r="AF264" s="35"/>
      <c r="AG264" s="35"/>
      <c r="AH264" s="35"/>
      <c r="AI264" s="35"/>
      <c r="AJ264" s="35"/>
      <c r="AK264" s="35"/>
      <c r="AL264" s="35"/>
      <c r="AM264" s="35"/>
      <c r="AN264" s="35"/>
      <c r="AO264" s="35"/>
      <c r="AP264" s="35"/>
      <c r="AQ264" s="35"/>
      <c r="AR264" s="35"/>
      <c r="AS264" s="35"/>
      <c r="AT264" s="35"/>
      <c r="AU264" s="35"/>
      <c r="AV264" s="35"/>
      <c r="AW264" s="35"/>
    </row>
    <row r="265" spans="1:49" ht="31.5" x14ac:dyDescent="0.25">
      <c r="A265" s="35" t="s">
        <v>118</v>
      </c>
      <c r="B265" s="37">
        <v>46069</v>
      </c>
      <c r="C265" s="37">
        <v>46069</v>
      </c>
      <c r="D265" s="39" t="s">
        <v>30</v>
      </c>
      <c r="E265" s="40">
        <v>0.6875</v>
      </c>
      <c r="F265" s="40">
        <v>0.70833333333333337</v>
      </c>
      <c r="G265" s="40">
        <v>2.0833333333333332E-2</v>
      </c>
      <c r="H265" s="35" t="s">
        <v>119</v>
      </c>
      <c r="I265" s="42"/>
      <c r="J265" s="35" t="s">
        <v>116</v>
      </c>
      <c r="K265" s="35"/>
      <c r="L265" s="44">
        <v>1</v>
      </c>
      <c r="M265" s="44">
        <v>1</v>
      </c>
      <c r="N265" s="35" t="s">
        <v>33</v>
      </c>
      <c r="O265" s="35"/>
      <c r="P265" s="47">
        <v>0</v>
      </c>
      <c r="Q265" s="44"/>
      <c r="R265" s="47">
        <v>0</v>
      </c>
      <c r="S265" s="35">
        <v>46054</v>
      </c>
      <c r="T265" s="47">
        <v>0</v>
      </c>
      <c r="U265" s="44">
        <v>2</v>
      </c>
      <c r="V265" s="47">
        <v>0</v>
      </c>
      <c r="W265" s="35" t="s">
        <v>34</v>
      </c>
      <c r="X265" s="35" t="s">
        <v>42</v>
      </c>
      <c r="Y265" s="35" t="s">
        <v>36</v>
      </c>
      <c r="Z265" s="35" t="s">
        <v>43</v>
      </c>
      <c r="AA265" s="35" t="s">
        <v>37</v>
      </c>
      <c r="AB265" s="35" t="s">
        <v>37</v>
      </c>
      <c r="AC265" s="35" t="s">
        <v>38</v>
      </c>
      <c r="AD265" s="51" t="s">
        <v>226</v>
      </c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</row>
    <row r="266" spans="1:49" ht="31.5" x14ac:dyDescent="0.2">
      <c r="A266" s="35" t="s">
        <v>118</v>
      </c>
      <c r="B266" s="37">
        <v>46069</v>
      </c>
      <c r="C266" s="37">
        <v>46069</v>
      </c>
      <c r="D266" s="39" t="s">
        <v>30</v>
      </c>
      <c r="E266" s="40">
        <v>0.75</v>
      </c>
      <c r="F266" s="40">
        <v>0.77083333333333337</v>
      </c>
      <c r="G266" s="40">
        <v>2.0833333333333332E-2</v>
      </c>
      <c r="H266" s="35" t="s">
        <v>121</v>
      </c>
      <c r="I266" s="42"/>
      <c r="J266" s="35" t="s">
        <v>116</v>
      </c>
      <c r="K266" s="35"/>
      <c r="L266" s="44">
        <v>1</v>
      </c>
      <c r="M266" s="44">
        <v>1</v>
      </c>
      <c r="N266" s="35" t="s">
        <v>33</v>
      </c>
      <c r="O266" s="35"/>
      <c r="P266" s="47">
        <v>0</v>
      </c>
      <c r="Q266" s="44"/>
      <c r="R266" s="47">
        <v>0</v>
      </c>
      <c r="S266" s="35">
        <v>46054</v>
      </c>
      <c r="T266" s="47">
        <v>0</v>
      </c>
      <c r="U266" s="44">
        <v>2</v>
      </c>
      <c r="V266" s="47">
        <v>0</v>
      </c>
      <c r="W266" s="35" t="s">
        <v>34</v>
      </c>
      <c r="X266" s="35" t="s">
        <v>42</v>
      </c>
      <c r="Y266" s="35" t="s">
        <v>36</v>
      </c>
      <c r="Z266" s="35" t="s">
        <v>43</v>
      </c>
      <c r="AA266" s="35" t="s">
        <v>37</v>
      </c>
      <c r="AB266" s="35" t="s">
        <v>37</v>
      </c>
      <c r="AC266" s="35" t="s">
        <v>38</v>
      </c>
      <c r="AD266" s="51" t="s">
        <v>226</v>
      </c>
      <c r="AE266" s="35"/>
      <c r="AF266" s="35"/>
      <c r="AG266" s="35"/>
      <c r="AH266" s="35"/>
      <c r="AI266" s="35"/>
      <c r="AJ266" s="35"/>
      <c r="AK266" s="35"/>
      <c r="AL266" s="35"/>
      <c r="AM266" s="35"/>
      <c r="AN266" s="35"/>
      <c r="AO266" s="35"/>
      <c r="AP266" s="35"/>
      <c r="AQ266" s="35"/>
      <c r="AR266" s="35"/>
      <c r="AS266" s="35"/>
      <c r="AT266" s="35"/>
      <c r="AU266" s="35"/>
      <c r="AV266" s="35"/>
      <c r="AW266" s="35"/>
    </row>
    <row r="267" spans="1:49" ht="31.5" x14ac:dyDescent="0.25">
      <c r="A267" s="35" t="s">
        <v>118</v>
      </c>
      <c r="B267" s="37">
        <v>46069</v>
      </c>
      <c r="C267" s="37">
        <v>46069</v>
      </c>
      <c r="D267" s="39" t="s">
        <v>30</v>
      </c>
      <c r="E267" s="40">
        <v>0.77083333333333337</v>
      </c>
      <c r="F267" s="40">
        <v>0.79166666666666663</v>
      </c>
      <c r="G267" s="40">
        <v>2.0833333333333332E-2</v>
      </c>
      <c r="H267" s="35" t="s">
        <v>119</v>
      </c>
      <c r="I267" s="42"/>
      <c r="J267" s="35" t="s">
        <v>116</v>
      </c>
      <c r="K267" s="35"/>
      <c r="L267" s="44">
        <v>1</v>
      </c>
      <c r="M267" s="44">
        <v>1</v>
      </c>
      <c r="N267" s="35" t="s">
        <v>33</v>
      </c>
      <c r="O267" s="35"/>
      <c r="P267" s="47">
        <v>0</v>
      </c>
      <c r="Q267" s="44"/>
      <c r="R267" s="47">
        <v>0</v>
      </c>
      <c r="S267" s="35">
        <v>46054</v>
      </c>
      <c r="T267" s="47">
        <v>0</v>
      </c>
      <c r="U267" s="44">
        <v>2</v>
      </c>
      <c r="V267" s="47">
        <v>0</v>
      </c>
      <c r="W267" s="35" t="s">
        <v>34</v>
      </c>
      <c r="X267" s="35" t="s">
        <v>42</v>
      </c>
      <c r="Y267" s="35" t="s">
        <v>36</v>
      </c>
      <c r="Z267" s="35" t="s">
        <v>43</v>
      </c>
      <c r="AA267" s="35" t="s">
        <v>37</v>
      </c>
      <c r="AB267" s="35" t="s">
        <v>37</v>
      </c>
      <c r="AC267" s="35" t="s">
        <v>38</v>
      </c>
      <c r="AD267" s="51" t="s">
        <v>226</v>
      </c>
      <c r="AE267" s="52"/>
      <c r="AF267" s="52"/>
      <c r="AG267" s="52"/>
      <c r="AH267" s="52"/>
      <c r="AI267" s="56"/>
      <c r="AJ267" s="56"/>
      <c r="AK267" s="56"/>
      <c r="AL267" s="56"/>
      <c r="AM267" s="56"/>
      <c r="AN267" s="56"/>
      <c r="AO267" s="56"/>
      <c r="AP267" s="56"/>
      <c r="AQ267" s="56"/>
      <c r="AR267" s="56"/>
      <c r="AS267" s="56"/>
      <c r="AT267" s="56"/>
      <c r="AU267" s="56"/>
      <c r="AV267" s="56"/>
      <c r="AW267" s="56"/>
    </row>
    <row r="268" spans="1:49" ht="31.5" x14ac:dyDescent="0.2">
      <c r="A268" s="35" t="s">
        <v>118</v>
      </c>
      <c r="B268" s="37">
        <v>46070</v>
      </c>
      <c r="C268" s="37">
        <v>46070</v>
      </c>
      <c r="D268" s="39" t="s">
        <v>146</v>
      </c>
      <c r="E268" s="40">
        <v>0.6875</v>
      </c>
      <c r="F268" s="40">
        <v>0.70833333333333337</v>
      </c>
      <c r="G268" s="40">
        <v>2.0833333333333332E-2</v>
      </c>
      <c r="H268" s="35" t="s">
        <v>119</v>
      </c>
      <c r="I268" s="42"/>
      <c r="J268" s="35" t="s">
        <v>116</v>
      </c>
      <c r="K268" s="35"/>
      <c r="L268" s="44">
        <v>1</v>
      </c>
      <c r="M268" s="44">
        <v>1</v>
      </c>
      <c r="N268" s="35" t="s">
        <v>33</v>
      </c>
      <c r="O268" s="35"/>
      <c r="P268" s="47">
        <v>0</v>
      </c>
      <c r="Q268" s="44"/>
      <c r="R268" s="47">
        <v>0</v>
      </c>
      <c r="S268" s="35">
        <v>46054</v>
      </c>
      <c r="T268" s="47">
        <v>0</v>
      </c>
      <c r="U268" s="44">
        <v>2</v>
      </c>
      <c r="V268" s="47">
        <v>0</v>
      </c>
      <c r="W268" s="35" t="s">
        <v>34</v>
      </c>
      <c r="X268" s="35" t="s">
        <v>42</v>
      </c>
      <c r="Y268" s="35" t="s">
        <v>36</v>
      </c>
      <c r="Z268" s="35" t="s">
        <v>43</v>
      </c>
      <c r="AA268" s="35" t="s">
        <v>37</v>
      </c>
      <c r="AB268" s="35" t="s">
        <v>37</v>
      </c>
      <c r="AC268" s="35" t="s">
        <v>38</v>
      </c>
      <c r="AD268" s="51" t="s">
        <v>226</v>
      </c>
      <c r="AE268" s="35"/>
      <c r="AF268" s="35"/>
      <c r="AG268" s="35"/>
      <c r="AH268" s="35"/>
      <c r="AI268" s="35"/>
      <c r="AJ268" s="35"/>
      <c r="AK268" s="35"/>
      <c r="AL268" s="35"/>
      <c r="AM268" s="35"/>
      <c r="AN268" s="35"/>
      <c r="AO268" s="35"/>
      <c r="AP268" s="35"/>
      <c r="AQ268" s="35"/>
      <c r="AR268" s="35"/>
      <c r="AS268" s="35"/>
      <c r="AT268" s="35"/>
      <c r="AU268" s="35"/>
      <c r="AV268" s="35"/>
      <c r="AW268" s="35"/>
    </row>
    <row r="269" spans="1:49" ht="31.5" x14ac:dyDescent="0.2">
      <c r="A269" s="35" t="s">
        <v>118</v>
      </c>
      <c r="B269" s="37">
        <v>46070</v>
      </c>
      <c r="C269" s="37">
        <v>46070</v>
      </c>
      <c r="D269" s="39" t="s">
        <v>146</v>
      </c>
      <c r="E269" s="40">
        <v>0.75</v>
      </c>
      <c r="F269" s="40">
        <v>0.77083333333333337</v>
      </c>
      <c r="G269" s="40">
        <v>2.0833333333333332E-2</v>
      </c>
      <c r="H269" s="35" t="s">
        <v>121</v>
      </c>
      <c r="I269" s="42"/>
      <c r="J269" s="35" t="s">
        <v>116</v>
      </c>
      <c r="K269" s="35"/>
      <c r="L269" s="44">
        <v>1</v>
      </c>
      <c r="M269" s="44">
        <v>1</v>
      </c>
      <c r="N269" s="35" t="s">
        <v>33</v>
      </c>
      <c r="O269" s="35"/>
      <c r="P269" s="47">
        <v>0</v>
      </c>
      <c r="Q269" s="44"/>
      <c r="R269" s="47">
        <v>0</v>
      </c>
      <c r="S269" s="35">
        <v>46054</v>
      </c>
      <c r="T269" s="47">
        <v>0</v>
      </c>
      <c r="U269" s="44">
        <v>2</v>
      </c>
      <c r="V269" s="47">
        <v>0</v>
      </c>
      <c r="W269" s="35" t="s">
        <v>34</v>
      </c>
      <c r="X269" s="35" t="s">
        <v>42</v>
      </c>
      <c r="Y269" s="35" t="s">
        <v>36</v>
      </c>
      <c r="Z269" s="35" t="s">
        <v>43</v>
      </c>
      <c r="AA269" s="35" t="s">
        <v>37</v>
      </c>
      <c r="AB269" s="35" t="s">
        <v>37</v>
      </c>
      <c r="AC269" s="35" t="s">
        <v>38</v>
      </c>
      <c r="AD269" s="51" t="s">
        <v>226</v>
      </c>
      <c r="AE269" s="35"/>
      <c r="AF269" s="35"/>
      <c r="AG269" s="35"/>
      <c r="AH269" s="35"/>
      <c r="AI269" s="35"/>
      <c r="AJ269" s="35"/>
      <c r="AK269" s="35"/>
      <c r="AL269" s="35"/>
      <c r="AM269" s="35"/>
      <c r="AN269" s="35"/>
      <c r="AO269" s="35"/>
      <c r="AP269" s="35"/>
      <c r="AQ269" s="35"/>
      <c r="AR269" s="35"/>
      <c r="AS269" s="35"/>
      <c r="AT269" s="35"/>
      <c r="AU269" s="35"/>
      <c r="AV269" s="35"/>
      <c r="AW269" s="35"/>
    </row>
    <row r="270" spans="1:49" ht="31.5" x14ac:dyDescent="0.25">
      <c r="A270" s="35" t="s">
        <v>118</v>
      </c>
      <c r="B270" s="37">
        <v>46070</v>
      </c>
      <c r="C270" s="37">
        <v>46070</v>
      </c>
      <c r="D270" s="39" t="s">
        <v>146</v>
      </c>
      <c r="E270" s="40">
        <v>0.77083333333333337</v>
      </c>
      <c r="F270" s="40">
        <v>0.79166666666666663</v>
      </c>
      <c r="G270" s="40">
        <v>2.0833333333333332E-2</v>
      </c>
      <c r="H270" s="35" t="s">
        <v>119</v>
      </c>
      <c r="I270" s="42"/>
      <c r="J270" s="35" t="s">
        <v>116</v>
      </c>
      <c r="K270" s="35"/>
      <c r="L270" s="44">
        <v>1</v>
      </c>
      <c r="M270" s="44">
        <v>1</v>
      </c>
      <c r="N270" s="35" t="s">
        <v>33</v>
      </c>
      <c r="O270" s="35"/>
      <c r="P270" s="47">
        <v>0</v>
      </c>
      <c r="Q270" s="44"/>
      <c r="R270" s="47">
        <v>0</v>
      </c>
      <c r="S270" s="35">
        <v>46054</v>
      </c>
      <c r="T270" s="47">
        <v>0</v>
      </c>
      <c r="U270" s="44">
        <v>2</v>
      </c>
      <c r="V270" s="47">
        <v>0</v>
      </c>
      <c r="W270" s="35" t="s">
        <v>34</v>
      </c>
      <c r="X270" s="35" t="s">
        <v>42</v>
      </c>
      <c r="Y270" s="35" t="s">
        <v>36</v>
      </c>
      <c r="Z270" s="35" t="s">
        <v>43</v>
      </c>
      <c r="AA270" s="35" t="s">
        <v>37</v>
      </c>
      <c r="AB270" s="35" t="s">
        <v>37</v>
      </c>
      <c r="AC270" s="35" t="s">
        <v>38</v>
      </c>
      <c r="AD270" s="51" t="s">
        <v>226</v>
      </c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</row>
    <row r="271" spans="1:49" ht="31.5" x14ac:dyDescent="0.25">
      <c r="A271" s="35" t="s">
        <v>118</v>
      </c>
      <c r="B271" s="37">
        <v>46071</v>
      </c>
      <c r="C271" s="37">
        <v>46071</v>
      </c>
      <c r="D271" s="39" t="s">
        <v>164</v>
      </c>
      <c r="E271" s="40">
        <v>0.6875</v>
      </c>
      <c r="F271" s="40">
        <v>0.70833333333333337</v>
      </c>
      <c r="G271" s="40">
        <v>2.0833333333333332E-2</v>
      </c>
      <c r="H271" s="35" t="s">
        <v>119</v>
      </c>
      <c r="I271" s="42"/>
      <c r="J271" s="35" t="s">
        <v>116</v>
      </c>
      <c r="K271" s="35"/>
      <c r="L271" s="44">
        <v>1</v>
      </c>
      <c r="M271" s="44">
        <v>1</v>
      </c>
      <c r="N271" s="35" t="s">
        <v>33</v>
      </c>
      <c r="O271" s="35"/>
      <c r="P271" s="47">
        <v>0</v>
      </c>
      <c r="Q271" s="44"/>
      <c r="R271" s="47">
        <v>0</v>
      </c>
      <c r="S271" s="35">
        <v>46054</v>
      </c>
      <c r="T271" s="47">
        <v>0</v>
      </c>
      <c r="U271" s="44">
        <v>2</v>
      </c>
      <c r="V271" s="47">
        <v>0</v>
      </c>
      <c r="W271" s="35" t="s">
        <v>34</v>
      </c>
      <c r="X271" s="35" t="s">
        <v>42</v>
      </c>
      <c r="Y271" s="35" t="s">
        <v>36</v>
      </c>
      <c r="Z271" s="35" t="s">
        <v>43</v>
      </c>
      <c r="AA271" s="35" t="s">
        <v>37</v>
      </c>
      <c r="AB271" s="35" t="s">
        <v>37</v>
      </c>
      <c r="AC271" s="35" t="s">
        <v>38</v>
      </c>
      <c r="AD271" s="51" t="s">
        <v>226</v>
      </c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</row>
    <row r="272" spans="1:49" ht="31.5" x14ac:dyDescent="0.25">
      <c r="A272" s="35" t="s">
        <v>118</v>
      </c>
      <c r="B272" s="37">
        <v>46071</v>
      </c>
      <c r="C272" s="37">
        <v>46071</v>
      </c>
      <c r="D272" s="39" t="s">
        <v>164</v>
      </c>
      <c r="E272" s="40">
        <v>0.75</v>
      </c>
      <c r="F272" s="40">
        <v>0.77083333333333337</v>
      </c>
      <c r="G272" s="40">
        <v>2.0833333333333332E-2</v>
      </c>
      <c r="H272" s="35" t="s">
        <v>121</v>
      </c>
      <c r="I272" s="42"/>
      <c r="J272" s="35" t="s">
        <v>116</v>
      </c>
      <c r="K272" s="35"/>
      <c r="L272" s="44">
        <v>1</v>
      </c>
      <c r="M272" s="44">
        <v>1</v>
      </c>
      <c r="N272" s="35" t="s">
        <v>33</v>
      </c>
      <c r="O272" s="35"/>
      <c r="P272" s="47">
        <v>0</v>
      </c>
      <c r="Q272" s="44"/>
      <c r="R272" s="47">
        <v>0</v>
      </c>
      <c r="S272" s="35">
        <v>46054</v>
      </c>
      <c r="T272" s="47">
        <v>0</v>
      </c>
      <c r="U272" s="44">
        <v>2</v>
      </c>
      <c r="V272" s="47">
        <v>0</v>
      </c>
      <c r="W272" s="35" t="s">
        <v>34</v>
      </c>
      <c r="X272" s="35" t="s">
        <v>42</v>
      </c>
      <c r="Y272" s="35" t="s">
        <v>36</v>
      </c>
      <c r="Z272" s="35" t="s">
        <v>43</v>
      </c>
      <c r="AA272" s="35" t="s">
        <v>37</v>
      </c>
      <c r="AB272" s="35" t="s">
        <v>37</v>
      </c>
      <c r="AC272" s="35" t="s">
        <v>38</v>
      </c>
      <c r="AD272" s="51" t="s">
        <v>226</v>
      </c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</row>
    <row r="273" spans="1:49" ht="31.5" x14ac:dyDescent="0.25">
      <c r="A273" s="35" t="s">
        <v>118</v>
      </c>
      <c r="B273" s="37">
        <v>46071</v>
      </c>
      <c r="C273" s="37">
        <v>46071</v>
      </c>
      <c r="D273" s="39" t="s">
        <v>164</v>
      </c>
      <c r="E273" s="40">
        <v>0.77083333333333337</v>
      </c>
      <c r="F273" s="40">
        <v>0.79166666666666663</v>
      </c>
      <c r="G273" s="40">
        <v>2.0833333333333332E-2</v>
      </c>
      <c r="H273" s="35" t="s">
        <v>119</v>
      </c>
      <c r="I273" s="42"/>
      <c r="J273" s="35" t="s">
        <v>116</v>
      </c>
      <c r="K273" s="35"/>
      <c r="L273" s="44">
        <v>1</v>
      </c>
      <c r="M273" s="44">
        <v>1</v>
      </c>
      <c r="N273" s="35" t="s">
        <v>33</v>
      </c>
      <c r="O273" s="35"/>
      <c r="P273" s="47">
        <v>0</v>
      </c>
      <c r="Q273" s="44"/>
      <c r="R273" s="47">
        <v>0</v>
      </c>
      <c r="S273" s="35">
        <v>46054</v>
      </c>
      <c r="T273" s="47">
        <v>0</v>
      </c>
      <c r="U273" s="44">
        <v>2</v>
      </c>
      <c r="V273" s="47">
        <v>0</v>
      </c>
      <c r="W273" s="35" t="s">
        <v>34</v>
      </c>
      <c r="X273" s="35" t="s">
        <v>42</v>
      </c>
      <c r="Y273" s="35" t="s">
        <v>36</v>
      </c>
      <c r="Z273" s="35" t="s">
        <v>43</v>
      </c>
      <c r="AA273" s="35" t="s">
        <v>37</v>
      </c>
      <c r="AB273" s="35" t="s">
        <v>37</v>
      </c>
      <c r="AC273" s="35" t="s">
        <v>38</v>
      </c>
      <c r="AD273" s="51" t="s">
        <v>226</v>
      </c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</row>
    <row r="274" spans="1:49" ht="31.5" x14ac:dyDescent="0.25">
      <c r="A274" s="35" t="s">
        <v>118</v>
      </c>
      <c r="B274" s="37">
        <v>46072</v>
      </c>
      <c r="C274" s="37">
        <v>46072</v>
      </c>
      <c r="D274" s="39" t="s">
        <v>177</v>
      </c>
      <c r="E274" s="40">
        <v>0.6875</v>
      </c>
      <c r="F274" s="40">
        <v>0.70833333333333337</v>
      </c>
      <c r="G274" s="40">
        <v>2.0833333333333332E-2</v>
      </c>
      <c r="H274" s="35" t="s">
        <v>119</v>
      </c>
      <c r="I274" s="42"/>
      <c r="J274" s="35" t="s">
        <v>116</v>
      </c>
      <c r="K274" s="35"/>
      <c r="L274" s="44">
        <v>1</v>
      </c>
      <c r="M274" s="44">
        <v>1</v>
      </c>
      <c r="N274" s="35" t="s">
        <v>33</v>
      </c>
      <c r="O274" s="35"/>
      <c r="P274" s="47">
        <v>0</v>
      </c>
      <c r="Q274" s="44"/>
      <c r="R274" s="47">
        <v>0</v>
      </c>
      <c r="S274" s="35">
        <v>46054</v>
      </c>
      <c r="T274" s="47">
        <v>0</v>
      </c>
      <c r="U274" s="44">
        <v>2</v>
      </c>
      <c r="V274" s="47">
        <v>0</v>
      </c>
      <c r="W274" s="35" t="s">
        <v>34</v>
      </c>
      <c r="X274" s="35" t="s">
        <v>42</v>
      </c>
      <c r="Y274" s="35" t="s">
        <v>36</v>
      </c>
      <c r="Z274" s="35" t="s">
        <v>43</v>
      </c>
      <c r="AA274" s="35" t="s">
        <v>37</v>
      </c>
      <c r="AB274" s="35" t="s">
        <v>37</v>
      </c>
      <c r="AC274" s="35" t="s">
        <v>38</v>
      </c>
      <c r="AD274" s="51" t="s">
        <v>226</v>
      </c>
      <c r="AE274" s="52"/>
      <c r="AF274" s="52"/>
      <c r="AG274" s="52"/>
      <c r="AH274" s="52"/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</row>
    <row r="275" spans="1:49" ht="31.5" x14ac:dyDescent="0.2">
      <c r="A275" s="35" t="s">
        <v>118</v>
      </c>
      <c r="B275" s="37">
        <v>46072</v>
      </c>
      <c r="C275" s="37">
        <v>46072</v>
      </c>
      <c r="D275" s="39" t="s">
        <v>177</v>
      </c>
      <c r="E275" s="40">
        <v>0.75</v>
      </c>
      <c r="F275" s="40">
        <v>0.77083333333333337</v>
      </c>
      <c r="G275" s="40">
        <v>2.0833333333333332E-2</v>
      </c>
      <c r="H275" s="35" t="s">
        <v>121</v>
      </c>
      <c r="I275" s="42"/>
      <c r="J275" s="35" t="s">
        <v>116</v>
      </c>
      <c r="K275" s="35"/>
      <c r="L275" s="44">
        <v>1</v>
      </c>
      <c r="M275" s="44">
        <v>1</v>
      </c>
      <c r="N275" s="35" t="s">
        <v>33</v>
      </c>
      <c r="O275" s="35"/>
      <c r="P275" s="47">
        <v>0</v>
      </c>
      <c r="Q275" s="44"/>
      <c r="R275" s="47">
        <v>0</v>
      </c>
      <c r="S275" s="35">
        <v>46054</v>
      </c>
      <c r="T275" s="47">
        <v>0</v>
      </c>
      <c r="U275" s="44">
        <v>2</v>
      </c>
      <c r="V275" s="47">
        <v>0</v>
      </c>
      <c r="W275" s="35" t="s">
        <v>34</v>
      </c>
      <c r="X275" s="35" t="s">
        <v>42</v>
      </c>
      <c r="Y275" s="35" t="s">
        <v>36</v>
      </c>
      <c r="Z275" s="35" t="s">
        <v>43</v>
      </c>
      <c r="AA275" s="35" t="s">
        <v>37</v>
      </c>
      <c r="AB275" s="35" t="s">
        <v>37</v>
      </c>
      <c r="AC275" s="35" t="s">
        <v>38</v>
      </c>
      <c r="AD275" s="51" t="s">
        <v>226</v>
      </c>
      <c r="AE275" s="35"/>
      <c r="AF275" s="35"/>
      <c r="AG275" s="35"/>
      <c r="AH275" s="35"/>
      <c r="AI275" s="35"/>
      <c r="AJ275" s="35"/>
      <c r="AK275" s="35"/>
      <c r="AL275" s="35"/>
      <c r="AM275" s="35"/>
      <c r="AN275" s="35"/>
      <c r="AO275" s="35"/>
      <c r="AP275" s="35"/>
      <c r="AQ275" s="35"/>
      <c r="AR275" s="35"/>
      <c r="AS275" s="35"/>
      <c r="AT275" s="35"/>
      <c r="AU275" s="35"/>
      <c r="AV275" s="35"/>
      <c r="AW275" s="35"/>
    </row>
    <row r="276" spans="1:49" ht="31.5" x14ac:dyDescent="0.25">
      <c r="A276" s="35" t="s">
        <v>118</v>
      </c>
      <c r="B276" s="37">
        <v>46072</v>
      </c>
      <c r="C276" s="37">
        <v>46072</v>
      </c>
      <c r="D276" s="39" t="s">
        <v>177</v>
      </c>
      <c r="E276" s="40">
        <v>0.77083333333333337</v>
      </c>
      <c r="F276" s="40">
        <v>0.79166666666666663</v>
      </c>
      <c r="G276" s="40">
        <v>2.0833333333333332E-2</v>
      </c>
      <c r="H276" s="35" t="s">
        <v>119</v>
      </c>
      <c r="I276" s="42"/>
      <c r="J276" s="35" t="s">
        <v>116</v>
      </c>
      <c r="K276" s="35"/>
      <c r="L276" s="44">
        <v>1</v>
      </c>
      <c r="M276" s="44">
        <v>1</v>
      </c>
      <c r="N276" s="35" t="s">
        <v>33</v>
      </c>
      <c r="O276" s="35"/>
      <c r="P276" s="47">
        <v>0</v>
      </c>
      <c r="Q276" s="44"/>
      <c r="R276" s="47">
        <v>0</v>
      </c>
      <c r="S276" s="35">
        <v>46054</v>
      </c>
      <c r="T276" s="47">
        <v>0</v>
      </c>
      <c r="U276" s="44">
        <v>2</v>
      </c>
      <c r="V276" s="47">
        <v>0</v>
      </c>
      <c r="W276" s="35" t="s">
        <v>34</v>
      </c>
      <c r="X276" s="35" t="s">
        <v>42</v>
      </c>
      <c r="Y276" s="35" t="s">
        <v>36</v>
      </c>
      <c r="Z276" s="35" t="s">
        <v>43</v>
      </c>
      <c r="AA276" s="35" t="s">
        <v>37</v>
      </c>
      <c r="AB276" s="35" t="s">
        <v>37</v>
      </c>
      <c r="AC276" s="35" t="s">
        <v>38</v>
      </c>
      <c r="AD276" s="51" t="s">
        <v>226</v>
      </c>
      <c r="AE276" s="52"/>
      <c r="AF276" s="52"/>
      <c r="AG276" s="52"/>
      <c r="AH276" s="52"/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</row>
    <row r="277" spans="1:49" ht="31.5" x14ac:dyDescent="0.25">
      <c r="A277" s="35" t="s">
        <v>118</v>
      </c>
      <c r="B277" s="37">
        <v>46073</v>
      </c>
      <c r="C277" s="37">
        <v>46073</v>
      </c>
      <c r="D277" s="39" t="s">
        <v>189</v>
      </c>
      <c r="E277" s="40">
        <v>0.6875</v>
      </c>
      <c r="F277" s="40">
        <v>0.70833333333333337</v>
      </c>
      <c r="G277" s="40">
        <v>2.0833333333333332E-2</v>
      </c>
      <c r="H277" s="35" t="s">
        <v>119</v>
      </c>
      <c r="I277" s="42"/>
      <c r="J277" s="35" t="s">
        <v>116</v>
      </c>
      <c r="K277" s="35"/>
      <c r="L277" s="44">
        <v>1</v>
      </c>
      <c r="M277" s="44">
        <v>1</v>
      </c>
      <c r="N277" s="35" t="s">
        <v>33</v>
      </c>
      <c r="O277" s="35"/>
      <c r="P277" s="47">
        <v>0</v>
      </c>
      <c r="Q277" s="44"/>
      <c r="R277" s="47">
        <v>0</v>
      </c>
      <c r="S277" s="35">
        <v>46054</v>
      </c>
      <c r="T277" s="47">
        <v>0</v>
      </c>
      <c r="U277" s="44">
        <v>2</v>
      </c>
      <c r="V277" s="47">
        <v>0</v>
      </c>
      <c r="W277" s="35" t="s">
        <v>34</v>
      </c>
      <c r="X277" s="35" t="s">
        <v>42</v>
      </c>
      <c r="Y277" s="35" t="s">
        <v>36</v>
      </c>
      <c r="Z277" s="35" t="s">
        <v>43</v>
      </c>
      <c r="AA277" s="35" t="s">
        <v>37</v>
      </c>
      <c r="AB277" s="35" t="s">
        <v>37</v>
      </c>
      <c r="AC277" s="35" t="s">
        <v>38</v>
      </c>
      <c r="AD277" s="51" t="s">
        <v>226</v>
      </c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</row>
    <row r="278" spans="1:49" ht="31.5" x14ac:dyDescent="0.2">
      <c r="A278" s="35" t="s">
        <v>118</v>
      </c>
      <c r="B278" s="37">
        <v>46073</v>
      </c>
      <c r="C278" s="37">
        <v>46073</v>
      </c>
      <c r="D278" s="39" t="s">
        <v>189</v>
      </c>
      <c r="E278" s="40">
        <v>0.75</v>
      </c>
      <c r="F278" s="40">
        <v>0.77083333333333337</v>
      </c>
      <c r="G278" s="40">
        <v>2.0833333333333332E-2</v>
      </c>
      <c r="H278" s="35" t="s">
        <v>121</v>
      </c>
      <c r="I278" s="42"/>
      <c r="J278" s="35" t="s">
        <v>116</v>
      </c>
      <c r="K278" s="35"/>
      <c r="L278" s="44">
        <v>1</v>
      </c>
      <c r="M278" s="44">
        <v>1</v>
      </c>
      <c r="N278" s="35" t="s">
        <v>33</v>
      </c>
      <c r="O278" s="35"/>
      <c r="P278" s="47">
        <v>0</v>
      </c>
      <c r="Q278" s="44"/>
      <c r="R278" s="47">
        <v>0</v>
      </c>
      <c r="S278" s="35">
        <v>46054</v>
      </c>
      <c r="T278" s="47">
        <v>0</v>
      </c>
      <c r="U278" s="44">
        <v>2</v>
      </c>
      <c r="V278" s="47">
        <v>0</v>
      </c>
      <c r="W278" s="35" t="s">
        <v>34</v>
      </c>
      <c r="X278" s="35" t="s">
        <v>42</v>
      </c>
      <c r="Y278" s="35" t="s">
        <v>36</v>
      </c>
      <c r="Z278" s="35" t="s">
        <v>43</v>
      </c>
      <c r="AA278" s="35" t="s">
        <v>37</v>
      </c>
      <c r="AB278" s="35" t="s">
        <v>37</v>
      </c>
      <c r="AC278" s="35" t="s">
        <v>38</v>
      </c>
      <c r="AD278" s="51" t="s">
        <v>226</v>
      </c>
      <c r="AE278" s="35"/>
      <c r="AF278" s="35"/>
      <c r="AG278" s="35"/>
      <c r="AH278" s="35"/>
      <c r="AI278" s="35"/>
      <c r="AJ278" s="35"/>
      <c r="AK278" s="35"/>
      <c r="AL278" s="35"/>
      <c r="AM278" s="35"/>
      <c r="AN278" s="35"/>
      <c r="AO278" s="35"/>
      <c r="AP278" s="35"/>
      <c r="AQ278" s="35"/>
      <c r="AR278" s="35"/>
      <c r="AS278" s="35"/>
      <c r="AT278" s="35"/>
      <c r="AU278" s="35"/>
      <c r="AV278" s="35"/>
      <c r="AW278" s="35"/>
    </row>
    <row r="279" spans="1:49" ht="31.5" x14ac:dyDescent="0.2">
      <c r="A279" s="35" t="s">
        <v>118</v>
      </c>
      <c r="B279" s="37">
        <v>46073</v>
      </c>
      <c r="C279" s="37">
        <v>46073</v>
      </c>
      <c r="D279" s="39" t="s">
        <v>189</v>
      </c>
      <c r="E279" s="40">
        <v>0.77083333333333337</v>
      </c>
      <c r="F279" s="40">
        <v>0.79166666666666663</v>
      </c>
      <c r="G279" s="40">
        <v>2.0833333333333332E-2</v>
      </c>
      <c r="H279" s="35" t="s">
        <v>119</v>
      </c>
      <c r="I279" s="42"/>
      <c r="J279" s="35" t="s">
        <v>116</v>
      </c>
      <c r="K279" s="35"/>
      <c r="L279" s="44">
        <v>1</v>
      </c>
      <c r="M279" s="44">
        <v>1</v>
      </c>
      <c r="N279" s="35" t="s">
        <v>33</v>
      </c>
      <c r="O279" s="35"/>
      <c r="P279" s="47">
        <v>0</v>
      </c>
      <c r="Q279" s="44"/>
      <c r="R279" s="47">
        <v>0</v>
      </c>
      <c r="S279" s="35">
        <v>46054</v>
      </c>
      <c r="T279" s="47">
        <v>0</v>
      </c>
      <c r="U279" s="44">
        <v>2</v>
      </c>
      <c r="V279" s="47">
        <v>0</v>
      </c>
      <c r="W279" s="35" t="s">
        <v>34</v>
      </c>
      <c r="X279" s="35" t="s">
        <v>42</v>
      </c>
      <c r="Y279" s="35" t="s">
        <v>36</v>
      </c>
      <c r="Z279" s="35" t="s">
        <v>43</v>
      </c>
      <c r="AA279" s="35" t="s">
        <v>37</v>
      </c>
      <c r="AB279" s="35" t="s">
        <v>37</v>
      </c>
      <c r="AC279" s="35" t="s">
        <v>38</v>
      </c>
      <c r="AD279" s="51" t="s">
        <v>226</v>
      </c>
      <c r="AE279" s="35"/>
      <c r="AF279" s="35"/>
      <c r="AG279" s="35"/>
      <c r="AH279" s="35"/>
      <c r="AI279" s="35"/>
      <c r="AJ279" s="35"/>
      <c r="AK279" s="35"/>
      <c r="AL279" s="35"/>
      <c r="AM279" s="35"/>
      <c r="AN279" s="35"/>
      <c r="AO279" s="35"/>
      <c r="AP279" s="35"/>
      <c r="AQ279" s="35"/>
      <c r="AR279" s="35"/>
      <c r="AS279" s="35"/>
      <c r="AT279" s="35"/>
      <c r="AU279" s="35"/>
      <c r="AV279" s="35"/>
      <c r="AW279" s="35"/>
    </row>
    <row r="280" spans="1:49" ht="31.5" x14ac:dyDescent="0.2">
      <c r="A280" s="35" t="s">
        <v>118</v>
      </c>
      <c r="B280" s="37">
        <v>46074</v>
      </c>
      <c r="C280" s="37">
        <v>46074</v>
      </c>
      <c r="D280" s="39" t="s">
        <v>197</v>
      </c>
      <c r="E280" s="40">
        <v>0.70833333333333337</v>
      </c>
      <c r="F280" s="40">
        <v>0.75</v>
      </c>
      <c r="G280" s="40">
        <v>4.1666666666666664E-2</v>
      </c>
      <c r="H280" s="35" t="s">
        <v>159</v>
      </c>
      <c r="I280" s="42" t="s">
        <v>199</v>
      </c>
      <c r="J280" s="35" t="s">
        <v>116</v>
      </c>
      <c r="K280" s="35"/>
      <c r="L280" s="44">
        <v>1</v>
      </c>
      <c r="M280" s="44">
        <v>1</v>
      </c>
      <c r="N280" s="35" t="s">
        <v>33</v>
      </c>
      <c r="O280" s="35"/>
      <c r="P280" s="47">
        <v>0</v>
      </c>
      <c r="Q280" s="44"/>
      <c r="R280" s="47">
        <v>0</v>
      </c>
      <c r="S280" s="35">
        <v>46054</v>
      </c>
      <c r="T280" s="47">
        <v>0</v>
      </c>
      <c r="U280" s="44">
        <v>2</v>
      </c>
      <c r="V280" s="47">
        <v>0</v>
      </c>
      <c r="W280" s="35" t="s">
        <v>34</v>
      </c>
      <c r="X280" s="35" t="s">
        <v>42</v>
      </c>
      <c r="Y280" s="35" t="s">
        <v>36</v>
      </c>
      <c r="Z280" s="35" t="s">
        <v>43</v>
      </c>
      <c r="AA280" s="35" t="s">
        <v>37</v>
      </c>
      <c r="AB280" s="35" t="s">
        <v>37</v>
      </c>
      <c r="AC280" s="35" t="s">
        <v>38</v>
      </c>
      <c r="AD280" s="51" t="s">
        <v>226</v>
      </c>
      <c r="AE280" s="35"/>
      <c r="AF280" s="35"/>
      <c r="AG280" s="35"/>
      <c r="AH280" s="35"/>
      <c r="AI280" s="35"/>
      <c r="AJ280" s="35"/>
      <c r="AK280" s="35"/>
      <c r="AL280" s="35"/>
      <c r="AM280" s="35"/>
      <c r="AN280" s="35"/>
      <c r="AO280" s="35"/>
      <c r="AP280" s="35"/>
      <c r="AQ280" s="35"/>
      <c r="AR280" s="35"/>
      <c r="AS280" s="35"/>
      <c r="AT280" s="35"/>
      <c r="AU280" s="35"/>
      <c r="AV280" s="35"/>
      <c r="AW280" s="35"/>
    </row>
    <row r="281" spans="1:49" ht="31.5" x14ac:dyDescent="0.25">
      <c r="A281" s="36" t="s">
        <v>125</v>
      </c>
      <c r="B281" s="38">
        <v>46069</v>
      </c>
      <c r="C281" s="38">
        <v>46069</v>
      </c>
      <c r="D281" s="36" t="s">
        <v>30</v>
      </c>
      <c r="E281" s="41">
        <v>0.79166666666666663</v>
      </c>
      <c r="F281" s="41">
        <v>0.83333333333333337</v>
      </c>
      <c r="G281" s="41">
        <v>1.7361111111111109E-4</v>
      </c>
      <c r="H281" s="36" t="s">
        <v>126</v>
      </c>
      <c r="I281" s="43">
        <v>0.82224537037037038</v>
      </c>
      <c r="J281" s="36" t="s">
        <v>123</v>
      </c>
      <c r="K281" s="36" t="s">
        <v>143</v>
      </c>
      <c r="L281" s="45">
        <v>1</v>
      </c>
      <c r="M281" s="45">
        <v>71281</v>
      </c>
      <c r="N281" s="36" t="s">
        <v>58</v>
      </c>
      <c r="O281" s="45" t="s">
        <v>38</v>
      </c>
      <c r="P281" s="48">
        <v>90</v>
      </c>
      <c r="Q281" s="45"/>
      <c r="R281" s="48">
        <v>90</v>
      </c>
      <c r="S281" s="49">
        <v>46069</v>
      </c>
      <c r="T281" s="48">
        <v>13.5</v>
      </c>
      <c r="U281" s="50">
        <v>4</v>
      </c>
      <c r="V281" s="48">
        <v>76.5</v>
      </c>
      <c r="W281" s="36" t="s">
        <v>48</v>
      </c>
      <c r="X281" s="36" t="s">
        <v>49</v>
      </c>
      <c r="Y281" s="36" t="s">
        <v>87</v>
      </c>
      <c r="Z281" s="36" t="s">
        <v>9</v>
      </c>
      <c r="AA281" s="36" t="s">
        <v>50</v>
      </c>
      <c r="AB281" s="36" t="s">
        <v>127</v>
      </c>
      <c r="AC281" s="36" t="s">
        <v>38</v>
      </c>
      <c r="AD281" s="51" t="s">
        <v>226</v>
      </c>
      <c r="AE281" s="52"/>
      <c r="AF281" s="52"/>
      <c r="AG281" s="52"/>
      <c r="AH281" s="52"/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</row>
    <row r="282" spans="1:49" ht="31.5" x14ac:dyDescent="0.25">
      <c r="A282" s="36" t="s">
        <v>125</v>
      </c>
      <c r="B282" s="38">
        <v>46070</v>
      </c>
      <c r="C282" s="38">
        <v>46070</v>
      </c>
      <c r="D282" s="36" t="s">
        <v>146</v>
      </c>
      <c r="E282" s="41">
        <v>0.79166666666666663</v>
      </c>
      <c r="F282" s="41">
        <v>0.83333333333333337</v>
      </c>
      <c r="G282" s="41">
        <v>1.7361111111111109E-4</v>
      </c>
      <c r="H282" s="36" t="s">
        <v>126</v>
      </c>
      <c r="I282" s="43">
        <v>0.80483796296296295</v>
      </c>
      <c r="J282" s="36" t="s">
        <v>123</v>
      </c>
      <c r="K282" s="36" t="s">
        <v>122</v>
      </c>
      <c r="L282" s="45">
        <v>1</v>
      </c>
      <c r="M282" s="45">
        <v>71281</v>
      </c>
      <c r="N282" s="36" t="s">
        <v>58</v>
      </c>
      <c r="O282" s="45" t="s">
        <v>38</v>
      </c>
      <c r="P282" s="48">
        <v>90</v>
      </c>
      <c r="Q282" s="45"/>
      <c r="R282" s="48">
        <v>90</v>
      </c>
      <c r="S282" s="49">
        <v>46070</v>
      </c>
      <c r="T282" s="48">
        <v>13.5</v>
      </c>
      <c r="U282" s="50">
        <v>4</v>
      </c>
      <c r="V282" s="48">
        <v>76.5</v>
      </c>
      <c r="W282" s="36" t="s">
        <v>48</v>
      </c>
      <c r="X282" s="36" t="s">
        <v>49</v>
      </c>
      <c r="Y282" s="36" t="s">
        <v>87</v>
      </c>
      <c r="Z282" s="36" t="s">
        <v>9</v>
      </c>
      <c r="AA282" s="36" t="s">
        <v>50</v>
      </c>
      <c r="AB282" s="36" t="s">
        <v>127</v>
      </c>
      <c r="AC282" s="36" t="s">
        <v>38</v>
      </c>
      <c r="AD282" s="51" t="s">
        <v>226</v>
      </c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</row>
    <row r="283" spans="1:49" ht="31.5" x14ac:dyDescent="0.2">
      <c r="A283" s="36" t="s">
        <v>125</v>
      </c>
      <c r="B283" s="38">
        <v>46070</v>
      </c>
      <c r="C283" s="38">
        <v>46070</v>
      </c>
      <c r="D283" s="36" t="s">
        <v>146</v>
      </c>
      <c r="E283" s="41">
        <v>0.83333333333333337</v>
      </c>
      <c r="F283" s="41">
        <v>0.91666666666666663</v>
      </c>
      <c r="G283" s="41">
        <v>1.7361111111111112E-4</v>
      </c>
      <c r="H283" s="36" t="s">
        <v>161</v>
      </c>
      <c r="I283" s="43">
        <v>0.90026620370370369</v>
      </c>
      <c r="J283" s="36" t="s">
        <v>41</v>
      </c>
      <c r="K283" s="36" t="s">
        <v>134</v>
      </c>
      <c r="L283" s="45">
        <v>1</v>
      </c>
      <c r="M283" s="45">
        <v>71282</v>
      </c>
      <c r="N283" s="36" t="s">
        <v>58</v>
      </c>
      <c r="O283" s="45" t="s">
        <v>38</v>
      </c>
      <c r="P283" s="48">
        <v>90</v>
      </c>
      <c r="Q283" s="45"/>
      <c r="R283" s="48">
        <v>90</v>
      </c>
      <c r="S283" s="49">
        <v>46070</v>
      </c>
      <c r="T283" s="48">
        <v>13.5</v>
      </c>
      <c r="U283" s="50">
        <v>4</v>
      </c>
      <c r="V283" s="48">
        <v>76.5</v>
      </c>
      <c r="W283" s="36" t="s">
        <v>48</v>
      </c>
      <c r="X283" s="36" t="s">
        <v>49</v>
      </c>
      <c r="Y283" s="36" t="s">
        <v>87</v>
      </c>
      <c r="Z283" s="36" t="s">
        <v>9</v>
      </c>
      <c r="AA283" s="36" t="s">
        <v>50</v>
      </c>
      <c r="AB283" s="36" t="s">
        <v>127</v>
      </c>
      <c r="AC283" s="36" t="s">
        <v>38</v>
      </c>
      <c r="AD283" s="51" t="s">
        <v>226</v>
      </c>
      <c r="AE283" s="35"/>
      <c r="AF283" s="35"/>
      <c r="AG283" s="35"/>
      <c r="AH283" s="35"/>
      <c r="AI283" s="35"/>
      <c r="AJ283" s="35"/>
      <c r="AK283" s="35"/>
      <c r="AL283" s="35"/>
      <c r="AM283" s="35"/>
      <c r="AN283" s="35"/>
      <c r="AO283" s="35"/>
      <c r="AP283" s="35"/>
      <c r="AQ283" s="35"/>
      <c r="AR283" s="35"/>
      <c r="AS283" s="35"/>
      <c r="AT283" s="35"/>
      <c r="AU283" s="35"/>
      <c r="AV283" s="35"/>
      <c r="AW283" s="35"/>
    </row>
    <row r="284" spans="1:49" ht="31.5" x14ac:dyDescent="0.25">
      <c r="A284" s="36" t="s">
        <v>125</v>
      </c>
      <c r="B284" s="38">
        <v>46071</v>
      </c>
      <c r="C284" s="38">
        <v>46071</v>
      </c>
      <c r="D284" s="36" t="s">
        <v>164</v>
      </c>
      <c r="E284" s="41">
        <v>0.79166666666666663</v>
      </c>
      <c r="F284" s="41">
        <v>0.83333333333333337</v>
      </c>
      <c r="G284" s="41">
        <v>1.7361111111111109E-4</v>
      </c>
      <c r="H284" s="36" t="s">
        <v>126</v>
      </c>
      <c r="I284" s="43">
        <v>0.83230324074074069</v>
      </c>
      <c r="J284" s="36" t="s">
        <v>123</v>
      </c>
      <c r="K284" s="36" t="s">
        <v>143</v>
      </c>
      <c r="L284" s="45">
        <v>1</v>
      </c>
      <c r="M284" s="45">
        <v>71281</v>
      </c>
      <c r="N284" s="36" t="s">
        <v>58</v>
      </c>
      <c r="O284" s="45" t="s">
        <v>38</v>
      </c>
      <c r="P284" s="48">
        <v>90</v>
      </c>
      <c r="Q284" s="45"/>
      <c r="R284" s="48">
        <v>90</v>
      </c>
      <c r="S284" s="49">
        <v>46071</v>
      </c>
      <c r="T284" s="48">
        <v>13.5</v>
      </c>
      <c r="U284" s="50">
        <v>4</v>
      </c>
      <c r="V284" s="48">
        <v>76.5</v>
      </c>
      <c r="W284" s="36" t="s">
        <v>48</v>
      </c>
      <c r="X284" s="36" t="s">
        <v>49</v>
      </c>
      <c r="Y284" s="36" t="s">
        <v>87</v>
      </c>
      <c r="Z284" s="36" t="s">
        <v>9</v>
      </c>
      <c r="AA284" s="36" t="s">
        <v>50</v>
      </c>
      <c r="AB284" s="36" t="s">
        <v>127</v>
      </c>
      <c r="AC284" s="36" t="s">
        <v>38</v>
      </c>
      <c r="AD284" s="51" t="s">
        <v>226</v>
      </c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</row>
    <row r="285" spans="1:49" ht="31.5" x14ac:dyDescent="0.25">
      <c r="A285" s="36" t="s">
        <v>125</v>
      </c>
      <c r="B285" s="38">
        <v>46071</v>
      </c>
      <c r="C285" s="38">
        <v>46071</v>
      </c>
      <c r="D285" s="36" t="s">
        <v>164</v>
      </c>
      <c r="E285" s="41">
        <v>0.83333333333333337</v>
      </c>
      <c r="F285" s="41">
        <v>0.91666666666666663</v>
      </c>
      <c r="G285" s="41">
        <v>1.7361111111111109E-4</v>
      </c>
      <c r="H285" s="36" t="s">
        <v>161</v>
      </c>
      <c r="I285" s="43">
        <v>0.87936342592592598</v>
      </c>
      <c r="J285" s="36" t="s">
        <v>41</v>
      </c>
      <c r="K285" s="36" t="s">
        <v>134</v>
      </c>
      <c r="L285" s="45">
        <v>1</v>
      </c>
      <c r="M285" s="45">
        <v>71282</v>
      </c>
      <c r="N285" s="36" t="s">
        <v>58</v>
      </c>
      <c r="O285" s="45" t="s">
        <v>38</v>
      </c>
      <c r="P285" s="48">
        <v>90</v>
      </c>
      <c r="Q285" s="45"/>
      <c r="R285" s="48">
        <v>90</v>
      </c>
      <c r="S285" s="49">
        <v>46071</v>
      </c>
      <c r="T285" s="48">
        <v>13.5</v>
      </c>
      <c r="U285" s="50">
        <v>4</v>
      </c>
      <c r="V285" s="48">
        <v>76.5</v>
      </c>
      <c r="W285" s="36" t="s">
        <v>48</v>
      </c>
      <c r="X285" s="36" t="s">
        <v>49</v>
      </c>
      <c r="Y285" s="36" t="s">
        <v>87</v>
      </c>
      <c r="Z285" s="36" t="s">
        <v>9</v>
      </c>
      <c r="AA285" s="36" t="s">
        <v>50</v>
      </c>
      <c r="AB285" s="36" t="s">
        <v>127</v>
      </c>
      <c r="AC285" s="36" t="s">
        <v>38</v>
      </c>
      <c r="AD285" s="51" t="s">
        <v>226</v>
      </c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</row>
    <row r="286" spans="1:49" ht="31.5" x14ac:dyDescent="0.2">
      <c r="A286" s="36" t="s">
        <v>125</v>
      </c>
      <c r="B286" s="38">
        <v>46072</v>
      </c>
      <c r="C286" s="38">
        <v>46072</v>
      </c>
      <c r="D286" s="36" t="s">
        <v>177</v>
      </c>
      <c r="E286" s="41">
        <v>0.79166666666666663</v>
      </c>
      <c r="F286" s="41">
        <v>0.83333333333333337</v>
      </c>
      <c r="G286" s="41">
        <v>1.7361111111111109E-4</v>
      </c>
      <c r="H286" s="36" t="s">
        <v>126</v>
      </c>
      <c r="I286" s="43">
        <v>0.79682870370370373</v>
      </c>
      <c r="J286" s="36" t="s">
        <v>123</v>
      </c>
      <c r="K286" s="36" t="s">
        <v>122</v>
      </c>
      <c r="L286" s="45">
        <v>1</v>
      </c>
      <c r="M286" s="45">
        <v>71281</v>
      </c>
      <c r="N286" s="36" t="s">
        <v>58</v>
      </c>
      <c r="O286" s="45" t="s">
        <v>38</v>
      </c>
      <c r="P286" s="48">
        <v>90</v>
      </c>
      <c r="Q286" s="45"/>
      <c r="R286" s="48">
        <v>90</v>
      </c>
      <c r="S286" s="49">
        <v>46072</v>
      </c>
      <c r="T286" s="48">
        <v>13.5</v>
      </c>
      <c r="U286" s="50">
        <v>4</v>
      </c>
      <c r="V286" s="48">
        <v>76.5</v>
      </c>
      <c r="W286" s="36" t="s">
        <v>48</v>
      </c>
      <c r="X286" s="36" t="s">
        <v>49</v>
      </c>
      <c r="Y286" s="36" t="s">
        <v>87</v>
      </c>
      <c r="Z286" s="36" t="s">
        <v>9</v>
      </c>
      <c r="AA286" s="36" t="s">
        <v>50</v>
      </c>
      <c r="AB286" s="36" t="s">
        <v>127</v>
      </c>
      <c r="AC286" s="36" t="s">
        <v>38</v>
      </c>
      <c r="AD286" s="51" t="s">
        <v>226</v>
      </c>
      <c r="AE286" s="35"/>
      <c r="AF286" s="35"/>
      <c r="AG286" s="35"/>
      <c r="AH286" s="35"/>
      <c r="AI286" s="35"/>
      <c r="AJ286" s="35"/>
      <c r="AK286" s="35"/>
      <c r="AL286" s="35"/>
      <c r="AM286" s="35"/>
      <c r="AN286" s="35"/>
      <c r="AO286" s="35"/>
      <c r="AP286" s="35"/>
      <c r="AQ286" s="35"/>
      <c r="AR286" s="35"/>
      <c r="AS286" s="35"/>
      <c r="AT286" s="35"/>
      <c r="AU286" s="35"/>
      <c r="AV286" s="35"/>
      <c r="AW286" s="35"/>
    </row>
    <row r="287" spans="1:49" ht="31.5" x14ac:dyDescent="0.25">
      <c r="A287" s="36" t="s">
        <v>125</v>
      </c>
      <c r="B287" s="38">
        <v>46072</v>
      </c>
      <c r="C287" s="38">
        <v>46072</v>
      </c>
      <c r="D287" s="36" t="s">
        <v>177</v>
      </c>
      <c r="E287" s="41">
        <v>0.79166666666666663</v>
      </c>
      <c r="F287" s="41">
        <v>0.99930555555555556</v>
      </c>
      <c r="G287" s="41">
        <v>1.7361111111111109E-4</v>
      </c>
      <c r="H287" s="36" t="s">
        <v>161</v>
      </c>
      <c r="I287" s="43">
        <v>0.93204861111111115</v>
      </c>
      <c r="J287" s="36" t="s">
        <v>185</v>
      </c>
      <c r="K287" s="36" t="s">
        <v>187</v>
      </c>
      <c r="L287" s="45">
        <v>1</v>
      </c>
      <c r="M287" s="45">
        <v>71283</v>
      </c>
      <c r="N287" s="36" t="s">
        <v>46</v>
      </c>
      <c r="O287" s="45" t="s">
        <v>38</v>
      </c>
      <c r="P287" s="48">
        <v>0</v>
      </c>
      <c r="Q287" s="45"/>
      <c r="R287" s="48">
        <v>0</v>
      </c>
      <c r="S287" s="49">
        <v>46072</v>
      </c>
      <c r="T287" s="48">
        <v>0</v>
      </c>
      <c r="U287" s="50">
        <v>4</v>
      </c>
      <c r="V287" s="48">
        <v>0</v>
      </c>
      <c r="W287" s="36" t="s">
        <v>48</v>
      </c>
      <c r="X287" s="36" t="s">
        <v>49</v>
      </c>
      <c r="Y287" s="36" t="s">
        <v>87</v>
      </c>
      <c r="Z287" s="36" t="s">
        <v>9</v>
      </c>
      <c r="AA287" s="36" t="s">
        <v>50</v>
      </c>
      <c r="AB287" s="36" t="s">
        <v>127</v>
      </c>
      <c r="AC287" s="36" t="s">
        <v>38</v>
      </c>
      <c r="AD287" s="51" t="s">
        <v>226</v>
      </c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</row>
    <row r="288" spans="1:49" ht="31.5" x14ac:dyDescent="0.25">
      <c r="A288" s="36" t="s">
        <v>125</v>
      </c>
      <c r="B288" s="38">
        <v>46073</v>
      </c>
      <c r="C288" s="38">
        <v>46073</v>
      </c>
      <c r="D288" s="36" t="s">
        <v>189</v>
      </c>
      <c r="E288" s="41">
        <v>0.79166666666666663</v>
      </c>
      <c r="F288" s="41">
        <v>0.83333333333333337</v>
      </c>
      <c r="G288" s="41">
        <v>1.7361111111111109E-4</v>
      </c>
      <c r="H288" s="36" t="s">
        <v>126</v>
      </c>
      <c r="I288" s="43">
        <v>0.83253472222222225</v>
      </c>
      <c r="J288" s="36" t="s">
        <v>123</v>
      </c>
      <c r="K288" s="36" t="s">
        <v>195</v>
      </c>
      <c r="L288" s="45">
        <v>1</v>
      </c>
      <c r="M288" s="45">
        <v>71281</v>
      </c>
      <c r="N288" s="36" t="s">
        <v>58</v>
      </c>
      <c r="O288" s="45" t="s">
        <v>38</v>
      </c>
      <c r="P288" s="48">
        <v>90</v>
      </c>
      <c r="Q288" s="45"/>
      <c r="R288" s="48">
        <v>90</v>
      </c>
      <c r="S288" s="49">
        <v>46073</v>
      </c>
      <c r="T288" s="48">
        <v>13.5</v>
      </c>
      <c r="U288" s="50">
        <v>4</v>
      </c>
      <c r="V288" s="48">
        <v>76.5</v>
      </c>
      <c r="W288" s="36" t="s">
        <v>48</v>
      </c>
      <c r="X288" s="36" t="s">
        <v>49</v>
      </c>
      <c r="Y288" s="36" t="s">
        <v>87</v>
      </c>
      <c r="Z288" s="36" t="s">
        <v>9</v>
      </c>
      <c r="AA288" s="36" t="s">
        <v>50</v>
      </c>
      <c r="AB288" s="36" t="s">
        <v>127</v>
      </c>
      <c r="AC288" s="36" t="s">
        <v>38</v>
      </c>
      <c r="AD288" s="51" t="s">
        <v>226</v>
      </c>
      <c r="AE288" s="52"/>
      <c r="AF288" s="52"/>
      <c r="AG288" s="52"/>
      <c r="AH288" s="52"/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</row>
    <row r="289" spans="1:49" ht="31.5" x14ac:dyDescent="0.25">
      <c r="A289" s="36" t="s">
        <v>125</v>
      </c>
      <c r="B289" s="38">
        <v>46073</v>
      </c>
      <c r="C289" s="38">
        <v>46073</v>
      </c>
      <c r="D289" s="36" t="s">
        <v>189</v>
      </c>
      <c r="E289" s="41">
        <v>0.83333333333333337</v>
      </c>
      <c r="F289" s="41">
        <v>0.91666666666666663</v>
      </c>
      <c r="G289" s="41">
        <v>1.7361111111111109E-4</v>
      </c>
      <c r="H289" s="36" t="s">
        <v>161</v>
      </c>
      <c r="I289" s="43">
        <v>0.90902777777777777</v>
      </c>
      <c r="J289" s="36" t="s">
        <v>41</v>
      </c>
      <c r="K289" s="36" t="s">
        <v>134</v>
      </c>
      <c r="L289" s="45">
        <v>1</v>
      </c>
      <c r="M289" s="45">
        <v>71282</v>
      </c>
      <c r="N289" s="36" t="s">
        <v>58</v>
      </c>
      <c r="O289" s="45" t="s">
        <v>38</v>
      </c>
      <c r="P289" s="48">
        <v>90</v>
      </c>
      <c r="Q289" s="45"/>
      <c r="R289" s="48">
        <v>90</v>
      </c>
      <c r="S289" s="49">
        <v>46073</v>
      </c>
      <c r="T289" s="48">
        <v>13.5</v>
      </c>
      <c r="U289" s="50">
        <v>4</v>
      </c>
      <c r="V289" s="48">
        <v>76.5</v>
      </c>
      <c r="W289" s="36" t="s">
        <v>48</v>
      </c>
      <c r="X289" s="36" t="s">
        <v>49</v>
      </c>
      <c r="Y289" s="36" t="s">
        <v>87</v>
      </c>
      <c r="Z289" s="36" t="s">
        <v>9</v>
      </c>
      <c r="AA289" s="36" t="s">
        <v>50</v>
      </c>
      <c r="AB289" s="36" t="s">
        <v>127</v>
      </c>
      <c r="AC289" s="36" t="s">
        <v>38</v>
      </c>
      <c r="AD289" s="51" t="s">
        <v>226</v>
      </c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</row>
    <row r="290" spans="1:49" ht="31.5" x14ac:dyDescent="0.25">
      <c r="A290" s="35" t="s">
        <v>114</v>
      </c>
      <c r="B290" s="37">
        <v>46069</v>
      </c>
      <c r="C290" s="37">
        <v>46069</v>
      </c>
      <c r="D290" s="39" t="s">
        <v>30</v>
      </c>
      <c r="E290" s="40">
        <v>0.66666666666666663</v>
      </c>
      <c r="F290" s="40">
        <v>0.6875</v>
      </c>
      <c r="G290" s="40">
        <v>2.0833333333333332E-2</v>
      </c>
      <c r="H290" s="35" t="s">
        <v>115</v>
      </c>
      <c r="I290" s="42"/>
      <c r="J290" s="35" t="s">
        <v>116</v>
      </c>
      <c r="K290" s="35"/>
      <c r="L290" s="44">
        <v>1</v>
      </c>
      <c r="M290" s="44">
        <v>1</v>
      </c>
      <c r="N290" s="35" t="s">
        <v>33</v>
      </c>
      <c r="O290" s="35"/>
      <c r="P290" s="47">
        <v>0</v>
      </c>
      <c r="Q290" s="44"/>
      <c r="R290" s="47">
        <v>0</v>
      </c>
      <c r="S290" s="35">
        <v>46054</v>
      </c>
      <c r="T290" s="47">
        <v>0</v>
      </c>
      <c r="U290" s="44">
        <v>2</v>
      </c>
      <c r="V290" s="47">
        <v>0</v>
      </c>
      <c r="W290" s="35" t="s">
        <v>34</v>
      </c>
      <c r="X290" s="35" t="s">
        <v>42</v>
      </c>
      <c r="Y290" s="35" t="s">
        <v>36</v>
      </c>
      <c r="Z290" s="35" t="s">
        <v>43</v>
      </c>
      <c r="AA290" s="35" t="s">
        <v>37</v>
      </c>
      <c r="AB290" s="35" t="s">
        <v>37</v>
      </c>
      <c r="AC290" s="35" t="s">
        <v>38</v>
      </c>
      <c r="AD290" s="51" t="s">
        <v>226</v>
      </c>
      <c r="AE290" s="52"/>
      <c r="AF290" s="52"/>
      <c r="AG290" s="52"/>
      <c r="AH290" s="52"/>
      <c r="AI290" s="56"/>
      <c r="AJ290" s="56"/>
      <c r="AK290" s="56"/>
      <c r="AL290" s="56"/>
      <c r="AM290" s="56"/>
      <c r="AN290" s="56"/>
      <c r="AO290" s="56"/>
      <c r="AP290" s="56"/>
      <c r="AQ290" s="56"/>
      <c r="AR290" s="56"/>
      <c r="AS290" s="56"/>
      <c r="AT290" s="56"/>
      <c r="AU290" s="56"/>
      <c r="AV290" s="56"/>
      <c r="AW290" s="56"/>
    </row>
    <row r="291" spans="1:49" ht="31.5" x14ac:dyDescent="0.2">
      <c r="A291" s="35" t="s">
        <v>114</v>
      </c>
      <c r="B291" s="37">
        <v>46069</v>
      </c>
      <c r="C291" s="37">
        <v>46069</v>
      </c>
      <c r="D291" s="39" t="s">
        <v>30</v>
      </c>
      <c r="E291" s="40">
        <v>0.70833333333333337</v>
      </c>
      <c r="F291" s="40">
        <v>0.75</v>
      </c>
      <c r="G291" s="40">
        <v>4.1666666666666664E-2</v>
      </c>
      <c r="H291" s="35" t="s">
        <v>120</v>
      </c>
      <c r="I291" s="42"/>
      <c r="J291" s="35" t="s">
        <v>116</v>
      </c>
      <c r="K291" s="35"/>
      <c r="L291" s="44">
        <v>1</v>
      </c>
      <c r="M291" s="44">
        <v>1</v>
      </c>
      <c r="N291" s="35" t="s">
        <v>33</v>
      </c>
      <c r="O291" s="35"/>
      <c r="P291" s="47">
        <v>0</v>
      </c>
      <c r="Q291" s="44"/>
      <c r="R291" s="47">
        <v>0</v>
      </c>
      <c r="S291" s="35">
        <v>46054</v>
      </c>
      <c r="T291" s="47">
        <v>0</v>
      </c>
      <c r="U291" s="44">
        <v>2</v>
      </c>
      <c r="V291" s="47">
        <v>0</v>
      </c>
      <c r="W291" s="35" t="s">
        <v>34</v>
      </c>
      <c r="X291" s="35" t="s">
        <v>42</v>
      </c>
      <c r="Y291" s="35" t="s">
        <v>36</v>
      </c>
      <c r="Z291" s="35" t="s">
        <v>43</v>
      </c>
      <c r="AA291" s="35" t="s">
        <v>37</v>
      </c>
      <c r="AB291" s="35" t="s">
        <v>37</v>
      </c>
      <c r="AC291" s="35" t="s">
        <v>38</v>
      </c>
      <c r="AD291" s="51" t="s">
        <v>226</v>
      </c>
      <c r="AE291" s="35"/>
      <c r="AF291" s="35"/>
      <c r="AG291" s="35"/>
      <c r="AH291" s="35"/>
      <c r="AI291" s="35"/>
      <c r="AJ291" s="35"/>
      <c r="AK291" s="35"/>
      <c r="AL291" s="35"/>
      <c r="AM291" s="35"/>
      <c r="AN291" s="35"/>
      <c r="AO291" s="35"/>
      <c r="AP291" s="35"/>
      <c r="AQ291" s="35"/>
      <c r="AR291" s="35"/>
      <c r="AS291" s="35"/>
      <c r="AT291" s="35"/>
      <c r="AU291" s="35"/>
      <c r="AV291" s="35"/>
      <c r="AW291" s="35"/>
    </row>
    <row r="292" spans="1:49" ht="31.5" x14ac:dyDescent="0.25">
      <c r="A292" s="35" t="s">
        <v>114</v>
      </c>
      <c r="B292" s="37">
        <v>46070</v>
      </c>
      <c r="C292" s="37">
        <v>46070</v>
      </c>
      <c r="D292" s="39" t="s">
        <v>146</v>
      </c>
      <c r="E292" s="40">
        <v>0.66666666666666663</v>
      </c>
      <c r="F292" s="40">
        <v>0.6875</v>
      </c>
      <c r="G292" s="40">
        <v>2.0833333333333332E-2</v>
      </c>
      <c r="H292" s="35" t="s">
        <v>115</v>
      </c>
      <c r="I292" s="42"/>
      <c r="J292" s="35" t="s">
        <v>116</v>
      </c>
      <c r="K292" s="35"/>
      <c r="L292" s="44">
        <v>1</v>
      </c>
      <c r="M292" s="44">
        <v>1</v>
      </c>
      <c r="N292" s="35" t="s">
        <v>33</v>
      </c>
      <c r="O292" s="35"/>
      <c r="P292" s="47">
        <v>0</v>
      </c>
      <c r="Q292" s="44"/>
      <c r="R292" s="47">
        <v>0</v>
      </c>
      <c r="S292" s="35">
        <v>46054</v>
      </c>
      <c r="T292" s="47">
        <v>0</v>
      </c>
      <c r="U292" s="44">
        <v>2</v>
      </c>
      <c r="V292" s="47">
        <v>0</v>
      </c>
      <c r="W292" s="35" t="s">
        <v>34</v>
      </c>
      <c r="X292" s="35" t="s">
        <v>42</v>
      </c>
      <c r="Y292" s="35" t="s">
        <v>36</v>
      </c>
      <c r="Z292" s="35" t="s">
        <v>43</v>
      </c>
      <c r="AA292" s="35" t="s">
        <v>37</v>
      </c>
      <c r="AB292" s="35" t="s">
        <v>37</v>
      </c>
      <c r="AC292" s="35" t="s">
        <v>38</v>
      </c>
      <c r="AD292" s="51" t="s">
        <v>226</v>
      </c>
      <c r="AE292" s="52"/>
      <c r="AF292" s="52"/>
      <c r="AG292" s="52"/>
      <c r="AH292" s="52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</row>
    <row r="293" spans="1:49" ht="31.5" x14ac:dyDescent="0.25">
      <c r="A293" s="35" t="s">
        <v>114</v>
      </c>
      <c r="B293" s="37">
        <v>46070</v>
      </c>
      <c r="C293" s="37">
        <v>46070</v>
      </c>
      <c r="D293" s="39" t="s">
        <v>146</v>
      </c>
      <c r="E293" s="40">
        <v>0.70833333333333337</v>
      </c>
      <c r="F293" s="40">
        <v>0.75</v>
      </c>
      <c r="G293" s="40">
        <v>4.1666666666666664E-2</v>
      </c>
      <c r="H293" s="35" t="s">
        <v>159</v>
      </c>
      <c r="I293" s="42"/>
      <c r="J293" s="35" t="s">
        <v>116</v>
      </c>
      <c r="K293" s="35"/>
      <c r="L293" s="44">
        <v>1</v>
      </c>
      <c r="M293" s="44">
        <v>1</v>
      </c>
      <c r="N293" s="35" t="s">
        <v>33</v>
      </c>
      <c r="O293" s="35"/>
      <c r="P293" s="47">
        <v>0</v>
      </c>
      <c r="Q293" s="44"/>
      <c r="R293" s="47">
        <v>0</v>
      </c>
      <c r="S293" s="35">
        <v>46054</v>
      </c>
      <c r="T293" s="47">
        <v>0</v>
      </c>
      <c r="U293" s="44">
        <v>2</v>
      </c>
      <c r="V293" s="47">
        <v>0</v>
      </c>
      <c r="W293" s="35" t="s">
        <v>34</v>
      </c>
      <c r="X293" s="35" t="s">
        <v>42</v>
      </c>
      <c r="Y293" s="35" t="s">
        <v>36</v>
      </c>
      <c r="Z293" s="35" t="s">
        <v>43</v>
      </c>
      <c r="AA293" s="35" t="s">
        <v>37</v>
      </c>
      <c r="AB293" s="35" t="s">
        <v>37</v>
      </c>
      <c r="AC293" s="35" t="s">
        <v>38</v>
      </c>
      <c r="AD293" s="51" t="s">
        <v>226</v>
      </c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</row>
    <row r="294" spans="1:49" ht="31.5" x14ac:dyDescent="0.2">
      <c r="A294" s="35" t="s">
        <v>114</v>
      </c>
      <c r="B294" s="37">
        <v>46071</v>
      </c>
      <c r="C294" s="37">
        <v>46071</v>
      </c>
      <c r="D294" s="39" t="s">
        <v>164</v>
      </c>
      <c r="E294" s="40">
        <v>0.66666666666666663</v>
      </c>
      <c r="F294" s="40">
        <v>0.6875</v>
      </c>
      <c r="G294" s="40">
        <v>2.0833333333333332E-2</v>
      </c>
      <c r="H294" s="35" t="s">
        <v>115</v>
      </c>
      <c r="I294" s="42"/>
      <c r="J294" s="35" t="s">
        <v>116</v>
      </c>
      <c r="K294" s="35"/>
      <c r="L294" s="44">
        <v>1</v>
      </c>
      <c r="M294" s="44">
        <v>1</v>
      </c>
      <c r="N294" s="35" t="s">
        <v>33</v>
      </c>
      <c r="O294" s="35"/>
      <c r="P294" s="47">
        <v>0</v>
      </c>
      <c r="Q294" s="44"/>
      <c r="R294" s="47">
        <v>0</v>
      </c>
      <c r="S294" s="35">
        <v>46054</v>
      </c>
      <c r="T294" s="47">
        <v>0</v>
      </c>
      <c r="U294" s="44">
        <v>2</v>
      </c>
      <c r="V294" s="47">
        <v>0</v>
      </c>
      <c r="W294" s="35" t="s">
        <v>34</v>
      </c>
      <c r="X294" s="35" t="s">
        <v>42</v>
      </c>
      <c r="Y294" s="35" t="s">
        <v>36</v>
      </c>
      <c r="Z294" s="35" t="s">
        <v>43</v>
      </c>
      <c r="AA294" s="35" t="s">
        <v>37</v>
      </c>
      <c r="AB294" s="35" t="s">
        <v>37</v>
      </c>
      <c r="AC294" s="35" t="s">
        <v>38</v>
      </c>
      <c r="AD294" s="51" t="s">
        <v>226</v>
      </c>
      <c r="AE294" s="35"/>
      <c r="AF294" s="35"/>
      <c r="AG294" s="35"/>
      <c r="AH294" s="35"/>
      <c r="AI294" s="35"/>
      <c r="AJ294" s="35"/>
      <c r="AK294" s="35"/>
      <c r="AL294" s="35"/>
      <c r="AM294" s="35"/>
      <c r="AN294" s="35"/>
      <c r="AO294" s="35"/>
      <c r="AP294" s="35"/>
      <c r="AQ294" s="35"/>
      <c r="AR294" s="35"/>
      <c r="AS294" s="35"/>
      <c r="AT294" s="35"/>
      <c r="AU294" s="35"/>
      <c r="AV294" s="35"/>
      <c r="AW294" s="35"/>
    </row>
    <row r="295" spans="1:49" ht="31.5" x14ac:dyDescent="0.25">
      <c r="A295" s="35" t="s">
        <v>114</v>
      </c>
      <c r="B295" s="37">
        <v>46071</v>
      </c>
      <c r="C295" s="37">
        <v>46071</v>
      </c>
      <c r="D295" s="39" t="s">
        <v>164</v>
      </c>
      <c r="E295" s="40">
        <v>0.70833333333333337</v>
      </c>
      <c r="F295" s="40">
        <v>0.75</v>
      </c>
      <c r="G295" s="40">
        <v>4.1666666666666664E-2</v>
      </c>
      <c r="H295" s="35" t="s">
        <v>174</v>
      </c>
      <c r="I295" s="42"/>
      <c r="J295" s="35" t="s">
        <v>116</v>
      </c>
      <c r="K295" s="35"/>
      <c r="L295" s="44">
        <v>1</v>
      </c>
      <c r="M295" s="44">
        <v>1</v>
      </c>
      <c r="N295" s="35" t="s">
        <v>33</v>
      </c>
      <c r="O295" s="35"/>
      <c r="P295" s="47">
        <v>0</v>
      </c>
      <c r="Q295" s="44"/>
      <c r="R295" s="47">
        <v>0</v>
      </c>
      <c r="S295" s="35">
        <v>46054</v>
      </c>
      <c r="T295" s="47">
        <v>0</v>
      </c>
      <c r="U295" s="44">
        <v>2</v>
      </c>
      <c r="V295" s="47">
        <v>0</v>
      </c>
      <c r="W295" s="35" t="s">
        <v>34</v>
      </c>
      <c r="X295" s="35" t="s">
        <v>42</v>
      </c>
      <c r="Y295" s="35" t="s">
        <v>36</v>
      </c>
      <c r="Z295" s="35" t="s">
        <v>43</v>
      </c>
      <c r="AA295" s="35" t="s">
        <v>37</v>
      </c>
      <c r="AB295" s="35" t="s">
        <v>37</v>
      </c>
      <c r="AC295" s="35" t="s">
        <v>38</v>
      </c>
      <c r="AD295" s="51" t="s">
        <v>226</v>
      </c>
      <c r="AE295" s="52"/>
      <c r="AF295" s="52"/>
      <c r="AG295" s="52"/>
      <c r="AH295" s="52"/>
      <c r="AI295" s="56"/>
      <c r="AJ295" s="56"/>
      <c r="AK295" s="56"/>
      <c r="AL295" s="56"/>
      <c r="AM295" s="56"/>
      <c r="AN295" s="56"/>
      <c r="AO295" s="56"/>
      <c r="AP295" s="56"/>
      <c r="AQ295" s="56"/>
      <c r="AR295" s="56"/>
      <c r="AS295" s="56"/>
      <c r="AT295" s="56"/>
      <c r="AU295" s="56"/>
      <c r="AV295" s="56"/>
      <c r="AW295" s="56"/>
    </row>
    <row r="296" spans="1:49" ht="31.5" x14ac:dyDescent="0.25">
      <c r="A296" s="35" t="s">
        <v>114</v>
      </c>
      <c r="B296" s="37">
        <v>46072</v>
      </c>
      <c r="C296" s="37">
        <v>46072</v>
      </c>
      <c r="D296" s="39" t="s">
        <v>177</v>
      </c>
      <c r="E296" s="40">
        <v>0.66666666666666663</v>
      </c>
      <c r="F296" s="40">
        <v>0.6875</v>
      </c>
      <c r="G296" s="40">
        <v>2.0833333333333332E-2</v>
      </c>
      <c r="H296" s="35" t="s">
        <v>115</v>
      </c>
      <c r="I296" s="42"/>
      <c r="J296" s="35" t="s">
        <v>116</v>
      </c>
      <c r="K296" s="35"/>
      <c r="L296" s="44">
        <v>1</v>
      </c>
      <c r="M296" s="44">
        <v>1</v>
      </c>
      <c r="N296" s="35" t="s">
        <v>33</v>
      </c>
      <c r="O296" s="35"/>
      <c r="P296" s="47">
        <v>0</v>
      </c>
      <c r="Q296" s="44"/>
      <c r="R296" s="47">
        <v>0</v>
      </c>
      <c r="S296" s="35">
        <v>46054</v>
      </c>
      <c r="T296" s="47">
        <v>0</v>
      </c>
      <c r="U296" s="44">
        <v>2</v>
      </c>
      <c r="V296" s="47">
        <v>0</v>
      </c>
      <c r="W296" s="35" t="s">
        <v>34</v>
      </c>
      <c r="X296" s="35" t="s">
        <v>42</v>
      </c>
      <c r="Y296" s="35" t="s">
        <v>36</v>
      </c>
      <c r="Z296" s="35" t="s">
        <v>43</v>
      </c>
      <c r="AA296" s="35" t="s">
        <v>37</v>
      </c>
      <c r="AB296" s="35" t="s">
        <v>37</v>
      </c>
      <c r="AC296" s="35" t="s">
        <v>38</v>
      </c>
      <c r="AD296" s="51" t="s">
        <v>226</v>
      </c>
      <c r="AE296" s="52"/>
      <c r="AF296" s="52"/>
      <c r="AG296" s="52"/>
      <c r="AH296" s="52"/>
      <c r="AI296" s="56"/>
      <c r="AJ296" s="56"/>
      <c r="AK296" s="56"/>
      <c r="AL296" s="56"/>
      <c r="AM296" s="56"/>
      <c r="AN296" s="56"/>
      <c r="AO296" s="56"/>
      <c r="AP296" s="56"/>
      <c r="AQ296" s="56"/>
      <c r="AR296" s="56"/>
      <c r="AS296" s="56"/>
      <c r="AT296" s="56"/>
      <c r="AU296" s="56"/>
      <c r="AV296" s="56"/>
      <c r="AW296" s="56"/>
    </row>
    <row r="297" spans="1:49" ht="31.5" x14ac:dyDescent="0.2">
      <c r="A297" s="35" t="s">
        <v>114</v>
      </c>
      <c r="B297" s="37">
        <v>46072</v>
      </c>
      <c r="C297" s="37">
        <v>46072</v>
      </c>
      <c r="D297" s="39" t="s">
        <v>177</v>
      </c>
      <c r="E297" s="40">
        <v>0.70833333333333337</v>
      </c>
      <c r="F297" s="40">
        <v>0.75</v>
      </c>
      <c r="G297" s="40">
        <v>4.1666666666666664E-2</v>
      </c>
      <c r="H297" s="35" t="s">
        <v>184</v>
      </c>
      <c r="I297" s="42"/>
      <c r="J297" s="35" t="s">
        <v>116</v>
      </c>
      <c r="K297" s="35"/>
      <c r="L297" s="44">
        <v>1</v>
      </c>
      <c r="M297" s="44">
        <v>1</v>
      </c>
      <c r="N297" s="35" t="s">
        <v>33</v>
      </c>
      <c r="O297" s="35"/>
      <c r="P297" s="47">
        <v>0</v>
      </c>
      <c r="Q297" s="44"/>
      <c r="R297" s="47">
        <v>0</v>
      </c>
      <c r="S297" s="35">
        <v>46054</v>
      </c>
      <c r="T297" s="47">
        <v>0</v>
      </c>
      <c r="U297" s="44">
        <v>2</v>
      </c>
      <c r="V297" s="47">
        <v>0</v>
      </c>
      <c r="W297" s="35" t="s">
        <v>34</v>
      </c>
      <c r="X297" s="35" t="s">
        <v>42</v>
      </c>
      <c r="Y297" s="35" t="s">
        <v>36</v>
      </c>
      <c r="Z297" s="35" t="s">
        <v>43</v>
      </c>
      <c r="AA297" s="35" t="s">
        <v>37</v>
      </c>
      <c r="AB297" s="35" t="s">
        <v>37</v>
      </c>
      <c r="AC297" s="35" t="s">
        <v>38</v>
      </c>
      <c r="AD297" s="51" t="s">
        <v>226</v>
      </c>
      <c r="AE297" s="35"/>
      <c r="AF297" s="35"/>
      <c r="AG297" s="35"/>
      <c r="AH297" s="35"/>
      <c r="AI297" s="35"/>
      <c r="AJ297" s="35"/>
      <c r="AK297" s="35"/>
      <c r="AL297" s="35"/>
      <c r="AM297" s="35"/>
      <c r="AN297" s="35"/>
      <c r="AO297" s="35"/>
      <c r="AP297" s="35"/>
      <c r="AQ297" s="35"/>
      <c r="AR297" s="35"/>
      <c r="AS297" s="35"/>
      <c r="AT297" s="35"/>
      <c r="AU297" s="35"/>
      <c r="AV297" s="35"/>
      <c r="AW297" s="35"/>
    </row>
    <row r="298" spans="1:49" ht="31.5" x14ac:dyDescent="0.25">
      <c r="A298" s="35" t="s">
        <v>114</v>
      </c>
      <c r="B298" s="37">
        <v>46073</v>
      </c>
      <c r="C298" s="37">
        <v>46073</v>
      </c>
      <c r="D298" s="39" t="s">
        <v>189</v>
      </c>
      <c r="E298" s="40">
        <v>0.66666666666666663</v>
      </c>
      <c r="F298" s="40">
        <v>0.6875</v>
      </c>
      <c r="G298" s="40">
        <v>2.0833333333333332E-2</v>
      </c>
      <c r="H298" s="35" t="s">
        <v>115</v>
      </c>
      <c r="I298" s="42"/>
      <c r="J298" s="35" t="s">
        <v>116</v>
      </c>
      <c r="K298" s="35"/>
      <c r="L298" s="44">
        <v>1</v>
      </c>
      <c r="M298" s="44">
        <v>1</v>
      </c>
      <c r="N298" s="35" t="s">
        <v>33</v>
      </c>
      <c r="O298" s="35"/>
      <c r="P298" s="47">
        <v>0</v>
      </c>
      <c r="Q298" s="44"/>
      <c r="R298" s="47">
        <v>0</v>
      </c>
      <c r="S298" s="35">
        <v>46054</v>
      </c>
      <c r="T298" s="47">
        <v>0</v>
      </c>
      <c r="U298" s="44">
        <v>2</v>
      </c>
      <c r="V298" s="47">
        <v>0</v>
      </c>
      <c r="W298" s="35" t="s">
        <v>34</v>
      </c>
      <c r="X298" s="35" t="s">
        <v>42</v>
      </c>
      <c r="Y298" s="35" t="s">
        <v>36</v>
      </c>
      <c r="Z298" s="35" t="s">
        <v>43</v>
      </c>
      <c r="AA298" s="35" t="s">
        <v>37</v>
      </c>
      <c r="AB298" s="35" t="s">
        <v>37</v>
      </c>
      <c r="AC298" s="35" t="s">
        <v>38</v>
      </c>
      <c r="AD298" s="51" t="s">
        <v>226</v>
      </c>
      <c r="AE298" s="52"/>
      <c r="AF298" s="52"/>
      <c r="AG298" s="52"/>
      <c r="AH298" s="52"/>
      <c r="AI298" s="52"/>
      <c r="AJ298" s="52"/>
      <c r="AK298" s="52"/>
      <c r="AL298" s="52"/>
      <c r="AM298" s="52"/>
      <c r="AN298" s="52"/>
      <c r="AO298" s="52"/>
      <c r="AP298" s="52"/>
      <c r="AQ298" s="52"/>
      <c r="AR298" s="52"/>
      <c r="AS298" s="52"/>
      <c r="AT298" s="52"/>
      <c r="AU298" s="52"/>
      <c r="AV298" s="52"/>
      <c r="AW298" s="52"/>
    </row>
    <row r="299" spans="1:49" ht="31.5" x14ac:dyDescent="0.25">
      <c r="A299" s="35" t="s">
        <v>114</v>
      </c>
      <c r="B299" s="37">
        <v>46073</v>
      </c>
      <c r="C299" s="37">
        <v>46073</v>
      </c>
      <c r="D299" s="39" t="s">
        <v>189</v>
      </c>
      <c r="E299" s="40">
        <v>0.70833333333333337</v>
      </c>
      <c r="F299" s="40">
        <v>0.75</v>
      </c>
      <c r="G299" s="40">
        <v>4.1666666666666664E-2</v>
      </c>
      <c r="H299" s="35" t="s">
        <v>194</v>
      </c>
      <c r="I299" s="42"/>
      <c r="J299" s="35" t="s">
        <v>116</v>
      </c>
      <c r="K299" s="35"/>
      <c r="L299" s="44">
        <v>1</v>
      </c>
      <c r="M299" s="44">
        <v>1</v>
      </c>
      <c r="N299" s="35" t="s">
        <v>33</v>
      </c>
      <c r="O299" s="35"/>
      <c r="P299" s="47">
        <v>0</v>
      </c>
      <c r="Q299" s="44"/>
      <c r="R299" s="47">
        <v>0</v>
      </c>
      <c r="S299" s="35">
        <v>46054</v>
      </c>
      <c r="T299" s="47">
        <v>0</v>
      </c>
      <c r="U299" s="44">
        <v>2</v>
      </c>
      <c r="V299" s="47">
        <v>0</v>
      </c>
      <c r="W299" s="35" t="s">
        <v>34</v>
      </c>
      <c r="X299" s="35" t="s">
        <v>42</v>
      </c>
      <c r="Y299" s="35" t="s">
        <v>36</v>
      </c>
      <c r="Z299" s="35" t="s">
        <v>43</v>
      </c>
      <c r="AA299" s="35" t="s">
        <v>37</v>
      </c>
      <c r="AB299" s="35" t="s">
        <v>37</v>
      </c>
      <c r="AC299" s="35" t="s">
        <v>38</v>
      </c>
      <c r="AD299" s="51" t="s">
        <v>226</v>
      </c>
      <c r="AE299" s="52"/>
      <c r="AF299" s="52"/>
      <c r="AG299" s="52"/>
      <c r="AH299" s="52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2"/>
      <c r="AT299" s="52"/>
      <c r="AU299" s="52"/>
      <c r="AV299" s="52"/>
      <c r="AW299" s="52"/>
    </row>
    <row r="300" spans="1:49" ht="31.5" x14ac:dyDescent="0.2">
      <c r="A300" s="35" t="s">
        <v>114</v>
      </c>
      <c r="B300" s="37">
        <v>46074</v>
      </c>
      <c r="C300" s="37">
        <v>46074</v>
      </c>
      <c r="D300" s="39" t="s">
        <v>197</v>
      </c>
      <c r="E300" s="40">
        <v>0.66666666666666663</v>
      </c>
      <c r="F300" s="40">
        <v>0.70833333333333337</v>
      </c>
      <c r="G300" s="40">
        <v>4.1666666666666664E-2</v>
      </c>
      <c r="H300" s="35" t="s">
        <v>120</v>
      </c>
      <c r="I300" s="42" t="s">
        <v>199</v>
      </c>
      <c r="J300" s="35" t="s">
        <v>116</v>
      </c>
      <c r="K300" s="35"/>
      <c r="L300" s="44">
        <v>1</v>
      </c>
      <c r="M300" s="44">
        <v>1</v>
      </c>
      <c r="N300" s="35" t="s">
        <v>33</v>
      </c>
      <c r="O300" s="35"/>
      <c r="P300" s="47">
        <v>0</v>
      </c>
      <c r="Q300" s="44"/>
      <c r="R300" s="47">
        <v>0</v>
      </c>
      <c r="S300" s="35">
        <v>46054</v>
      </c>
      <c r="T300" s="47">
        <v>0</v>
      </c>
      <c r="U300" s="44">
        <v>2</v>
      </c>
      <c r="V300" s="47">
        <v>0</v>
      </c>
      <c r="W300" s="35" t="s">
        <v>34</v>
      </c>
      <c r="X300" s="35" t="s">
        <v>42</v>
      </c>
      <c r="Y300" s="35" t="s">
        <v>36</v>
      </c>
      <c r="Z300" s="35" t="s">
        <v>43</v>
      </c>
      <c r="AA300" s="35" t="s">
        <v>37</v>
      </c>
      <c r="AB300" s="35" t="s">
        <v>37</v>
      </c>
      <c r="AC300" s="35" t="s">
        <v>38</v>
      </c>
      <c r="AD300" s="51" t="s">
        <v>226</v>
      </c>
      <c r="AE300" s="35"/>
      <c r="AF300" s="35"/>
      <c r="AG300" s="35"/>
      <c r="AH300" s="35"/>
      <c r="AI300" s="35"/>
      <c r="AJ300" s="35"/>
      <c r="AK300" s="35"/>
      <c r="AL300" s="35"/>
      <c r="AM300" s="35"/>
      <c r="AN300" s="35"/>
      <c r="AO300" s="35"/>
      <c r="AP300" s="35"/>
      <c r="AQ300" s="35"/>
      <c r="AR300" s="35"/>
      <c r="AS300" s="35"/>
      <c r="AT300" s="35"/>
      <c r="AU300" s="35"/>
      <c r="AV300" s="35"/>
      <c r="AW300" s="35"/>
    </row>
    <row r="301" spans="1:49" ht="31.5" x14ac:dyDescent="0.25">
      <c r="A301" s="35" t="s">
        <v>114</v>
      </c>
      <c r="B301" s="37">
        <v>46075</v>
      </c>
      <c r="C301" s="37">
        <v>46075</v>
      </c>
      <c r="D301" s="39" t="s">
        <v>215</v>
      </c>
      <c r="E301" s="40">
        <v>0.66666666666666663</v>
      </c>
      <c r="F301" s="40">
        <v>0.70833333333333337</v>
      </c>
      <c r="G301" s="40">
        <v>4.1666666666666664E-2</v>
      </c>
      <c r="H301" s="35" t="s">
        <v>174</v>
      </c>
      <c r="I301" s="42" t="s">
        <v>199</v>
      </c>
      <c r="J301" s="35" t="s">
        <v>116</v>
      </c>
      <c r="K301" s="35"/>
      <c r="L301" s="44">
        <v>1</v>
      </c>
      <c r="M301" s="44">
        <v>1</v>
      </c>
      <c r="N301" s="35" t="s">
        <v>33</v>
      </c>
      <c r="O301" s="35"/>
      <c r="P301" s="47">
        <v>0</v>
      </c>
      <c r="Q301" s="44"/>
      <c r="R301" s="47">
        <v>0</v>
      </c>
      <c r="S301" s="35">
        <v>46054</v>
      </c>
      <c r="T301" s="47">
        <v>0</v>
      </c>
      <c r="U301" s="44">
        <v>2</v>
      </c>
      <c r="V301" s="47">
        <v>0</v>
      </c>
      <c r="W301" s="35" t="s">
        <v>34</v>
      </c>
      <c r="X301" s="35" t="s">
        <v>42</v>
      </c>
      <c r="Y301" s="35" t="s">
        <v>36</v>
      </c>
      <c r="Z301" s="35" t="s">
        <v>43</v>
      </c>
      <c r="AA301" s="35" t="s">
        <v>37</v>
      </c>
      <c r="AB301" s="35" t="s">
        <v>37</v>
      </c>
      <c r="AC301" s="35" t="s">
        <v>38</v>
      </c>
      <c r="AD301" s="51" t="s">
        <v>226</v>
      </c>
      <c r="AE301" s="52"/>
      <c r="AF301" s="52"/>
      <c r="AG301" s="52"/>
      <c r="AH301" s="52"/>
      <c r="AI301" s="52"/>
      <c r="AJ301" s="52"/>
      <c r="AK301" s="52"/>
      <c r="AL301" s="52"/>
      <c r="AM301" s="52"/>
      <c r="AN301" s="52"/>
      <c r="AO301" s="52"/>
      <c r="AP301" s="52"/>
      <c r="AQ301" s="52"/>
      <c r="AR301" s="52"/>
      <c r="AS301" s="52"/>
      <c r="AT301" s="52"/>
      <c r="AU301" s="52"/>
      <c r="AV301" s="52"/>
      <c r="AW301" s="52"/>
    </row>
    <row r="302" spans="1:49" ht="31.5" x14ac:dyDescent="0.2">
      <c r="A302" s="35" t="s">
        <v>114</v>
      </c>
      <c r="B302" s="37">
        <v>46075</v>
      </c>
      <c r="C302" s="37">
        <v>46075</v>
      </c>
      <c r="D302" s="39" t="s">
        <v>215</v>
      </c>
      <c r="E302" s="40">
        <v>0.70833333333333337</v>
      </c>
      <c r="F302" s="40">
        <v>0.75</v>
      </c>
      <c r="G302" s="40">
        <v>4.1666666666666664E-2</v>
      </c>
      <c r="H302" s="35" t="s">
        <v>184</v>
      </c>
      <c r="I302" s="42" t="s">
        <v>199</v>
      </c>
      <c r="J302" s="35" t="s">
        <v>32</v>
      </c>
      <c r="K302" s="35"/>
      <c r="L302" s="44">
        <v>1</v>
      </c>
      <c r="M302" s="44">
        <v>1</v>
      </c>
      <c r="N302" s="35" t="s">
        <v>33</v>
      </c>
      <c r="O302" s="35"/>
      <c r="P302" s="47">
        <v>0</v>
      </c>
      <c r="Q302" s="44"/>
      <c r="R302" s="47">
        <v>0</v>
      </c>
      <c r="S302" s="35">
        <v>46054</v>
      </c>
      <c r="T302" s="47">
        <v>0</v>
      </c>
      <c r="U302" s="44">
        <v>2</v>
      </c>
      <c r="V302" s="47">
        <v>0</v>
      </c>
      <c r="W302" s="35" t="s">
        <v>34</v>
      </c>
      <c r="X302" s="35" t="s">
        <v>42</v>
      </c>
      <c r="Y302" s="35" t="s">
        <v>36</v>
      </c>
      <c r="Z302" s="35" t="s">
        <v>43</v>
      </c>
      <c r="AA302" s="35" t="s">
        <v>37</v>
      </c>
      <c r="AB302" s="35" t="s">
        <v>37</v>
      </c>
      <c r="AC302" s="35" t="s">
        <v>38</v>
      </c>
      <c r="AD302" s="51" t="s">
        <v>226</v>
      </c>
      <c r="AE302" s="35"/>
      <c r="AF302" s="35"/>
      <c r="AG302" s="35"/>
      <c r="AH302" s="35"/>
      <c r="AI302" s="35"/>
      <c r="AJ302" s="35"/>
      <c r="AK302" s="35"/>
      <c r="AL302" s="35"/>
      <c r="AM302" s="35"/>
      <c r="AN302" s="35"/>
      <c r="AO302" s="35"/>
      <c r="AP302" s="35"/>
      <c r="AQ302" s="35"/>
      <c r="AR302" s="35"/>
      <c r="AS302" s="35"/>
      <c r="AT302" s="35"/>
      <c r="AU302" s="35"/>
      <c r="AV302" s="35"/>
      <c r="AW302" s="35"/>
    </row>
    <row r="303" spans="1:49" ht="31.5" x14ac:dyDescent="0.2">
      <c r="A303" s="35" t="s">
        <v>101</v>
      </c>
      <c r="B303" s="37">
        <v>46069</v>
      </c>
      <c r="C303" s="37">
        <v>46069</v>
      </c>
      <c r="D303" s="39" t="s">
        <v>30</v>
      </c>
      <c r="E303" s="40">
        <v>0.54166666666666663</v>
      </c>
      <c r="F303" s="40">
        <v>0.5625</v>
      </c>
      <c r="G303" s="40">
        <v>2.0833333333333332E-2</v>
      </c>
      <c r="H303" s="35" t="s">
        <v>102</v>
      </c>
      <c r="I303" s="42"/>
      <c r="J303" s="35" t="s">
        <v>103</v>
      </c>
      <c r="K303" s="35"/>
      <c r="L303" s="44">
        <v>1</v>
      </c>
      <c r="M303" s="44">
        <v>1</v>
      </c>
      <c r="N303" s="35" t="s">
        <v>33</v>
      </c>
      <c r="O303" s="35"/>
      <c r="P303" s="47">
        <v>0</v>
      </c>
      <c r="Q303" s="44"/>
      <c r="R303" s="47">
        <v>0</v>
      </c>
      <c r="S303" s="35">
        <v>46054</v>
      </c>
      <c r="T303" s="47">
        <v>0</v>
      </c>
      <c r="U303" s="44">
        <v>2</v>
      </c>
      <c r="V303" s="47">
        <v>0</v>
      </c>
      <c r="W303" s="35" t="s">
        <v>34</v>
      </c>
      <c r="X303" s="35" t="s">
        <v>42</v>
      </c>
      <c r="Y303" s="35" t="s">
        <v>36</v>
      </c>
      <c r="Z303" s="35" t="s">
        <v>43</v>
      </c>
      <c r="AA303" s="35" t="s">
        <v>37</v>
      </c>
      <c r="AB303" s="35" t="s">
        <v>37</v>
      </c>
      <c r="AC303" s="35" t="s">
        <v>38</v>
      </c>
      <c r="AD303" s="51" t="s">
        <v>226</v>
      </c>
      <c r="AE303" s="35"/>
      <c r="AF303" s="35"/>
      <c r="AG303" s="35"/>
      <c r="AH303" s="35"/>
      <c r="AI303" s="35"/>
      <c r="AJ303" s="35"/>
      <c r="AK303" s="35"/>
      <c r="AL303" s="35"/>
      <c r="AM303" s="35"/>
      <c r="AN303" s="35"/>
      <c r="AO303" s="35"/>
      <c r="AP303" s="35"/>
      <c r="AQ303" s="35"/>
      <c r="AR303" s="35"/>
      <c r="AS303" s="35"/>
      <c r="AT303" s="35"/>
      <c r="AU303" s="35"/>
      <c r="AV303" s="35"/>
      <c r="AW303" s="35"/>
    </row>
    <row r="304" spans="1:49" ht="31.5" x14ac:dyDescent="0.2">
      <c r="A304" s="35" t="s">
        <v>101</v>
      </c>
      <c r="B304" s="37">
        <v>46069</v>
      </c>
      <c r="C304" s="37">
        <v>46069</v>
      </c>
      <c r="D304" s="39" t="s">
        <v>30</v>
      </c>
      <c r="E304" s="40">
        <v>0.5625</v>
      </c>
      <c r="F304" s="40">
        <v>0.58333333333333337</v>
      </c>
      <c r="G304" s="40">
        <v>2.0833333333333332E-2</v>
      </c>
      <c r="H304" s="35" t="s">
        <v>108</v>
      </c>
      <c r="I304" s="42"/>
      <c r="J304" s="35" t="s">
        <v>103</v>
      </c>
      <c r="K304" s="35"/>
      <c r="L304" s="44">
        <v>1</v>
      </c>
      <c r="M304" s="44">
        <v>1</v>
      </c>
      <c r="N304" s="35" t="s">
        <v>33</v>
      </c>
      <c r="O304" s="35"/>
      <c r="P304" s="47">
        <v>0</v>
      </c>
      <c r="Q304" s="44"/>
      <c r="R304" s="47">
        <v>0</v>
      </c>
      <c r="S304" s="35">
        <v>46054</v>
      </c>
      <c r="T304" s="47">
        <v>0</v>
      </c>
      <c r="U304" s="44">
        <v>2</v>
      </c>
      <c r="V304" s="47">
        <v>0</v>
      </c>
      <c r="W304" s="35" t="s">
        <v>34</v>
      </c>
      <c r="X304" s="35" t="s">
        <v>42</v>
      </c>
      <c r="Y304" s="35" t="s">
        <v>36</v>
      </c>
      <c r="Z304" s="35" t="s">
        <v>43</v>
      </c>
      <c r="AA304" s="35" t="s">
        <v>37</v>
      </c>
      <c r="AB304" s="35" t="s">
        <v>37</v>
      </c>
      <c r="AC304" s="35" t="s">
        <v>38</v>
      </c>
      <c r="AD304" s="51" t="s">
        <v>226</v>
      </c>
      <c r="AE304" s="35"/>
      <c r="AF304" s="35"/>
      <c r="AG304" s="35"/>
      <c r="AH304" s="35"/>
      <c r="AI304" s="35"/>
      <c r="AJ304" s="35"/>
      <c r="AK304" s="35"/>
      <c r="AL304" s="35"/>
      <c r="AM304" s="35"/>
      <c r="AN304" s="35"/>
      <c r="AO304" s="35"/>
      <c r="AP304" s="35"/>
      <c r="AQ304" s="35"/>
      <c r="AR304" s="35"/>
      <c r="AS304" s="35"/>
      <c r="AT304" s="35"/>
      <c r="AU304" s="35"/>
      <c r="AV304" s="35"/>
      <c r="AW304" s="35"/>
    </row>
    <row r="305" spans="1:49" ht="31.5" x14ac:dyDescent="0.2">
      <c r="A305" s="35" t="s">
        <v>101</v>
      </c>
      <c r="B305" s="37">
        <v>46070</v>
      </c>
      <c r="C305" s="37">
        <v>46070</v>
      </c>
      <c r="D305" s="39" t="s">
        <v>146</v>
      </c>
      <c r="E305" s="40">
        <v>0.54166666666666663</v>
      </c>
      <c r="F305" s="40">
        <v>0.5625</v>
      </c>
      <c r="G305" s="40">
        <v>2.0833333333333332E-2</v>
      </c>
      <c r="H305" s="35" t="s">
        <v>102</v>
      </c>
      <c r="I305" s="42"/>
      <c r="J305" s="35" t="s">
        <v>103</v>
      </c>
      <c r="K305" s="35"/>
      <c r="L305" s="44">
        <v>1</v>
      </c>
      <c r="M305" s="44">
        <v>1</v>
      </c>
      <c r="N305" s="35" t="s">
        <v>33</v>
      </c>
      <c r="O305" s="35"/>
      <c r="P305" s="47">
        <v>0</v>
      </c>
      <c r="Q305" s="44"/>
      <c r="R305" s="47">
        <v>0</v>
      </c>
      <c r="S305" s="35">
        <v>46054</v>
      </c>
      <c r="T305" s="47">
        <v>0</v>
      </c>
      <c r="U305" s="44">
        <v>2</v>
      </c>
      <c r="V305" s="47">
        <v>0</v>
      </c>
      <c r="W305" s="35" t="s">
        <v>34</v>
      </c>
      <c r="X305" s="35" t="s">
        <v>42</v>
      </c>
      <c r="Y305" s="35" t="s">
        <v>36</v>
      </c>
      <c r="Z305" s="35" t="s">
        <v>43</v>
      </c>
      <c r="AA305" s="35" t="s">
        <v>37</v>
      </c>
      <c r="AB305" s="35" t="s">
        <v>37</v>
      </c>
      <c r="AC305" s="35" t="s">
        <v>38</v>
      </c>
      <c r="AD305" s="51" t="s">
        <v>226</v>
      </c>
      <c r="AE305" s="35"/>
      <c r="AF305" s="35"/>
      <c r="AG305" s="35"/>
      <c r="AH305" s="35"/>
      <c r="AI305" s="35"/>
      <c r="AJ305" s="35"/>
      <c r="AK305" s="35"/>
      <c r="AL305" s="35"/>
      <c r="AM305" s="35"/>
      <c r="AN305" s="35"/>
      <c r="AO305" s="35"/>
      <c r="AP305" s="35"/>
      <c r="AQ305" s="35"/>
      <c r="AR305" s="35"/>
      <c r="AS305" s="35"/>
      <c r="AT305" s="35"/>
      <c r="AU305" s="35"/>
      <c r="AV305" s="35"/>
      <c r="AW305" s="35"/>
    </row>
    <row r="306" spans="1:49" ht="31.5" x14ac:dyDescent="0.2">
      <c r="A306" s="35" t="s">
        <v>101</v>
      </c>
      <c r="B306" s="37">
        <v>46070</v>
      </c>
      <c r="C306" s="37">
        <v>46070</v>
      </c>
      <c r="D306" s="39" t="s">
        <v>146</v>
      </c>
      <c r="E306" s="40">
        <v>0.5625</v>
      </c>
      <c r="F306" s="40">
        <v>0.58333333333333337</v>
      </c>
      <c r="G306" s="40">
        <v>2.0833333333333332E-2</v>
      </c>
      <c r="H306" s="35" t="s">
        <v>108</v>
      </c>
      <c r="I306" s="42"/>
      <c r="J306" s="35" t="s">
        <v>103</v>
      </c>
      <c r="K306" s="35"/>
      <c r="L306" s="44">
        <v>1</v>
      </c>
      <c r="M306" s="44">
        <v>1</v>
      </c>
      <c r="N306" s="35" t="s">
        <v>33</v>
      </c>
      <c r="O306" s="35"/>
      <c r="P306" s="47">
        <v>0</v>
      </c>
      <c r="Q306" s="44"/>
      <c r="R306" s="47">
        <v>0</v>
      </c>
      <c r="S306" s="35">
        <v>46054</v>
      </c>
      <c r="T306" s="47">
        <v>0</v>
      </c>
      <c r="U306" s="44">
        <v>2</v>
      </c>
      <c r="V306" s="47">
        <v>0</v>
      </c>
      <c r="W306" s="35" t="s">
        <v>34</v>
      </c>
      <c r="X306" s="35" t="s">
        <v>42</v>
      </c>
      <c r="Y306" s="35" t="s">
        <v>36</v>
      </c>
      <c r="Z306" s="35" t="s">
        <v>43</v>
      </c>
      <c r="AA306" s="35" t="s">
        <v>37</v>
      </c>
      <c r="AB306" s="35" t="s">
        <v>37</v>
      </c>
      <c r="AC306" s="35" t="s">
        <v>38</v>
      </c>
      <c r="AD306" s="51" t="s">
        <v>226</v>
      </c>
      <c r="AE306" s="35"/>
      <c r="AF306" s="35"/>
      <c r="AG306" s="35"/>
      <c r="AH306" s="35"/>
      <c r="AI306" s="35"/>
      <c r="AJ306" s="35"/>
      <c r="AK306" s="35"/>
      <c r="AL306" s="35"/>
      <c r="AM306" s="35"/>
      <c r="AN306" s="35"/>
      <c r="AO306" s="35"/>
      <c r="AP306" s="35"/>
      <c r="AQ306" s="35"/>
      <c r="AR306" s="35"/>
      <c r="AS306" s="35"/>
      <c r="AT306" s="35"/>
      <c r="AU306" s="35"/>
      <c r="AV306" s="35"/>
      <c r="AW306" s="35"/>
    </row>
    <row r="307" spans="1:49" ht="31.5" x14ac:dyDescent="0.25">
      <c r="A307" s="35" t="s">
        <v>101</v>
      </c>
      <c r="B307" s="37">
        <v>46071</v>
      </c>
      <c r="C307" s="37">
        <v>46071</v>
      </c>
      <c r="D307" s="39" t="s">
        <v>164</v>
      </c>
      <c r="E307" s="40">
        <v>0.54166666666666663</v>
      </c>
      <c r="F307" s="40">
        <v>0.5625</v>
      </c>
      <c r="G307" s="40">
        <v>2.0833333333333332E-2</v>
      </c>
      <c r="H307" s="35" t="s">
        <v>102</v>
      </c>
      <c r="I307" s="42"/>
      <c r="J307" s="35" t="s">
        <v>103</v>
      </c>
      <c r="K307" s="35"/>
      <c r="L307" s="44">
        <v>1</v>
      </c>
      <c r="M307" s="44">
        <v>1</v>
      </c>
      <c r="N307" s="35" t="s">
        <v>33</v>
      </c>
      <c r="O307" s="35"/>
      <c r="P307" s="47">
        <v>0</v>
      </c>
      <c r="Q307" s="44"/>
      <c r="R307" s="47">
        <v>0</v>
      </c>
      <c r="S307" s="35">
        <v>46054</v>
      </c>
      <c r="T307" s="47">
        <v>0</v>
      </c>
      <c r="U307" s="44">
        <v>2</v>
      </c>
      <c r="V307" s="47">
        <v>0</v>
      </c>
      <c r="W307" s="35" t="s">
        <v>34</v>
      </c>
      <c r="X307" s="35" t="s">
        <v>42</v>
      </c>
      <c r="Y307" s="35" t="s">
        <v>36</v>
      </c>
      <c r="Z307" s="35" t="s">
        <v>43</v>
      </c>
      <c r="AA307" s="35" t="s">
        <v>37</v>
      </c>
      <c r="AB307" s="35" t="s">
        <v>37</v>
      </c>
      <c r="AC307" s="35" t="s">
        <v>38</v>
      </c>
      <c r="AD307" s="51" t="s">
        <v>226</v>
      </c>
      <c r="AE307" s="52"/>
      <c r="AF307" s="52"/>
      <c r="AG307" s="52"/>
      <c r="AH307" s="52"/>
      <c r="AI307" s="52"/>
      <c r="AJ307" s="52"/>
      <c r="AK307" s="52"/>
      <c r="AL307" s="52"/>
      <c r="AM307" s="52"/>
      <c r="AN307" s="52"/>
      <c r="AO307" s="52"/>
      <c r="AP307" s="52"/>
      <c r="AQ307" s="52"/>
      <c r="AR307" s="52"/>
      <c r="AS307" s="52"/>
      <c r="AT307" s="52"/>
      <c r="AU307" s="52"/>
      <c r="AV307" s="52"/>
      <c r="AW307" s="52"/>
    </row>
    <row r="308" spans="1:49" ht="31.5" x14ac:dyDescent="0.25">
      <c r="A308" s="35" t="s">
        <v>101</v>
      </c>
      <c r="B308" s="37">
        <v>46071</v>
      </c>
      <c r="C308" s="37">
        <v>46071</v>
      </c>
      <c r="D308" s="39" t="s">
        <v>164</v>
      </c>
      <c r="E308" s="40">
        <v>0.5625</v>
      </c>
      <c r="F308" s="40">
        <v>0.58333333333333337</v>
      </c>
      <c r="G308" s="40">
        <v>2.0833333333333332E-2</v>
      </c>
      <c r="H308" s="35" t="s">
        <v>108</v>
      </c>
      <c r="I308" s="42"/>
      <c r="J308" s="35" t="s">
        <v>103</v>
      </c>
      <c r="K308" s="35"/>
      <c r="L308" s="44">
        <v>1</v>
      </c>
      <c r="M308" s="44">
        <v>1</v>
      </c>
      <c r="N308" s="35" t="s">
        <v>33</v>
      </c>
      <c r="O308" s="35"/>
      <c r="P308" s="47">
        <v>0</v>
      </c>
      <c r="Q308" s="44"/>
      <c r="R308" s="47">
        <v>0</v>
      </c>
      <c r="S308" s="35">
        <v>46054</v>
      </c>
      <c r="T308" s="47">
        <v>0</v>
      </c>
      <c r="U308" s="44">
        <v>2</v>
      </c>
      <c r="V308" s="47">
        <v>0</v>
      </c>
      <c r="W308" s="35" t="s">
        <v>34</v>
      </c>
      <c r="X308" s="35" t="s">
        <v>42</v>
      </c>
      <c r="Y308" s="35" t="s">
        <v>36</v>
      </c>
      <c r="Z308" s="35" t="s">
        <v>43</v>
      </c>
      <c r="AA308" s="35" t="s">
        <v>37</v>
      </c>
      <c r="AB308" s="35" t="s">
        <v>37</v>
      </c>
      <c r="AC308" s="35" t="s">
        <v>38</v>
      </c>
      <c r="AD308" s="51" t="s">
        <v>226</v>
      </c>
      <c r="AE308" s="52"/>
      <c r="AF308" s="52"/>
      <c r="AG308" s="52"/>
      <c r="AH308" s="52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2"/>
      <c r="AT308" s="52"/>
      <c r="AU308" s="52"/>
      <c r="AV308" s="52"/>
      <c r="AW308" s="52"/>
    </row>
    <row r="309" spans="1:49" ht="31.5" x14ac:dyDescent="0.2">
      <c r="A309" s="35" t="s">
        <v>101</v>
      </c>
      <c r="B309" s="37">
        <v>46072</v>
      </c>
      <c r="C309" s="37">
        <v>46072</v>
      </c>
      <c r="D309" s="39" t="s">
        <v>177</v>
      </c>
      <c r="E309" s="40">
        <v>0.54166666666666663</v>
      </c>
      <c r="F309" s="40">
        <v>0.5625</v>
      </c>
      <c r="G309" s="40">
        <v>2.0833333333333332E-2</v>
      </c>
      <c r="H309" s="35" t="s">
        <v>102</v>
      </c>
      <c r="I309" s="42"/>
      <c r="J309" s="35" t="s">
        <v>103</v>
      </c>
      <c r="K309" s="35"/>
      <c r="L309" s="44">
        <v>1</v>
      </c>
      <c r="M309" s="44">
        <v>1</v>
      </c>
      <c r="N309" s="35" t="s">
        <v>33</v>
      </c>
      <c r="O309" s="35"/>
      <c r="P309" s="47">
        <v>0</v>
      </c>
      <c r="Q309" s="44"/>
      <c r="R309" s="47">
        <v>0</v>
      </c>
      <c r="S309" s="35">
        <v>46054</v>
      </c>
      <c r="T309" s="47">
        <v>0</v>
      </c>
      <c r="U309" s="44">
        <v>2</v>
      </c>
      <c r="V309" s="47">
        <v>0</v>
      </c>
      <c r="W309" s="35" t="s">
        <v>34</v>
      </c>
      <c r="X309" s="35" t="s">
        <v>42</v>
      </c>
      <c r="Y309" s="35" t="s">
        <v>36</v>
      </c>
      <c r="Z309" s="35" t="s">
        <v>43</v>
      </c>
      <c r="AA309" s="35" t="s">
        <v>37</v>
      </c>
      <c r="AB309" s="35" t="s">
        <v>37</v>
      </c>
      <c r="AC309" s="35" t="s">
        <v>38</v>
      </c>
      <c r="AD309" s="51" t="s">
        <v>226</v>
      </c>
      <c r="AE309" s="35"/>
      <c r="AF309" s="35"/>
      <c r="AG309" s="35"/>
      <c r="AH309" s="35"/>
      <c r="AI309" s="35"/>
      <c r="AJ309" s="35"/>
      <c r="AK309" s="35"/>
      <c r="AL309" s="35"/>
      <c r="AM309" s="35"/>
      <c r="AN309" s="35"/>
      <c r="AO309" s="35"/>
      <c r="AP309" s="35"/>
      <c r="AQ309" s="35"/>
      <c r="AR309" s="35"/>
      <c r="AS309" s="35"/>
      <c r="AT309" s="35"/>
      <c r="AU309" s="35"/>
      <c r="AV309" s="35"/>
      <c r="AW309" s="35"/>
    </row>
    <row r="310" spans="1:49" ht="31.5" x14ac:dyDescent="0.2">
      <c r="A310" s="35" t="s">
        <v>101</v>
      </c>
      <c r="B310" s="37">
        <v>46072</v>
      </c>
      <c r="C310" s="37">
        <v>46072</v>
      </c>
      <c r="D310" s="39" t="s">
        <v>177</v>
      </c>
      <c r="E310" s="40">
        <v>0.5625</v>
      </c>
      <c r="F310" s="40">
        <v>0.58333333333333337</v>
      </c>
      <c r="G310" s="40">
        <v>2.0833333333333332E-2</v>
      </c>
      <c r="H310" s="35" t="s">
        <v>108</v>
      </c>
      <c r="I310" s="42"/>
      <c r="J310" s="35" t="s">
        <v>103</v>
      </c>
      <c r="K310" s="35"/>
      <c r="L310" s="44">
        <v>1</v>
      </c>
      <c r="M310" s="44">
        <v>1</v>
      </c>
      <c r="N310" s="35" t="s">
        <v>33</v>
      </c>
      <c r="O310" s="35"/>
      <c r="P310" s="47">
        <v>0</v>
      </c>
      <c r="Q310" s="44"/>
      <c r="R310" s="47">
        <v>0</v>
      </c>
      <c r="S310" s="35">
        <v>46054</v>
      </c>
      <c r="T310" s="47">
        <v>0</v>
      </c>
      <c r="U310" s="44">
        <v>2</v>
      </c>
      <c r="V310" s="47">
        <v>0</v>
      </c>
      <c r="W310" s="35" t="s">
        <v>34</v>
      </c>
      <c r="X310" s="35" t="s">
        <v>42</v>
      </c>
      <c r="Y310" s="35" t="s">
        <v>36</v>
      </c>
      <c r="Z310" s="35" t="s">
        <v>43</v>
      </c>
      <c r="AA310" s="35" t="s">
        <v>37</v>
      </c>
      <c r="AB310" s="35" t="s">
        <v>37</v>
      </c>
      <c r="AC310" s="35" t="s">
        <v>38</v>
      </c>
      <c r="AD310" s="51" t="s">
        <v>226</v>
      </c>
      <c r="AE310" s="35"/>
      <c r="AF310" s="35"/>
      <c r="AG310" s="35"/>
      <c r="AH310" s="35"/>
      <c r="AI310" s="35"/>
      <c r="AJ310" s="35"/>
      <c r="AK310" s="35"/>
      <c r="AL310" s="35"/>
      <c r="AM310" s="35"/>
      <c r="AN310" s="35"/>
      <c r="AO310" s="35"/>
      <c r="AP310" s="35"/>
      <c r="AQ310" s="35"/>
      <c r="AR310" s="35"/>
      <c r="AS310" s="35"/>
      <c r="AT310" s="35"/>
      <c r="AU310" s="35"/>
      <c r="AV310" s="35"/>
      <c r="AW310" s="35"/>
    </row>
    <row r="311" spans="1:49" ht="31.5" x14ac:dyDescent="0.2">
      <c r="A311" s="35" t="s">
        <v>101</v>
      </c>
      <c r="B311" s="37">
        <v>46073</v>
      </c>
      <c r="C311" s="37">
        <v>46073</v>
      </c>
      <c r="D311" s="39" t="s">
        <v>189</v>
      </c>
      <c r="E311" s="40">
        <v>0.54166666666666663</v>
      </c>
      <c r="F311" s="40">
        <v>0.5625</v>
      </c>
      <c r="G311" s="40">
        <v>2.0833333333333332E-2</v>
      </c>
      <c r="H311" s="35" t="s">
        <v>102</v>
      </c>
      <c r="I311" s="42"/>
      <c r="J311" s="35" t="s">
        <v>103</v>
      </c>
      <c r="K311" s="35"/>
      <c r="L311" s="44">
        <v>1</v>
      </c>
      <c r="M311" s="44">
        <v>1</v>
      </c>
      <c r="N311" s="35" t="s">
        <v>33</v>
      </c>
      <c r="O311" s="35"/>
      <c r="P311" s="47">
        <v>0</v>
      </c>
      <c r="Q311" s="44"/>
      <c r="R311" s="47">
        <v>0</v>
      </c>
      <c r="S311" s="35">
        <v>46054</v>
      </c>
      <c r="T311" s="47">
        <v>0</v>
      </c>
      <c r="U311" s="44">
        <v>2</v>
      </c>
      <c r="V311" s="47">
        <v>0</v>
      </c>
      <c r="W311" s="35" t="s">
        <v>34</v>
      </c>
      <c r="X311" s="35" t="s">
        <v>42</v>
      </c>
      <c r="Y311" s="35" t="s">
        <v>36</v>
      </c>
      <c r="Z311" s="35" t="s">
        <v>43</v>
      </c>
      <c r="AA311" s="35" t="s">
        <v>37</v>
      </c>
      <c r="AB311" s="35" t="s">
        <v>37</v>
      </c>
      <c r="AC311" s="35" t="s">
        <v>38</v>
      </c>
      <c r="AD311" s="51" t="s">
        <v>226</v>
      </c>
      <c r="AE311" s="35"/>
      <c r="AF311" s="35"/>
      <c r="AG311" s="35"/>
      <c r="AH311" s="35"/>
      <c r="AI311" s="35"/>
      <c r="AJ311" s="35"/>
      <c r="AK311" s="35"/>
      <c r="AL311" s="35"/>
      <c r="AM311" s="35"/>
      <c r="AN311" s="35"/>
      <c r="AO311" s="35"/>
      <c r="AP311" s="35"/>
      <c r="AQ311" s="35"/>
      <c r="AR311" s="35"/>
      <c r="AS311" s="35"/>
      <c r="AT311" s="35"/>
      <c r="AU311" s="35"/>
      <c r="AV311" s="35"/>
      <c r="AW311" s="35"/>
    </row>
    <row r="312" spans="1:49" ht="31.5" x14ac:dyDescent="0.2">
      <c r="A312" s="35" t="s">
        <v>101</v>
      </c>
      <c r="B312" s="37">
        <v>46073</v>
      </c>
      <c r="C312" s="37">
        <v>46073</v>
      </c>
      <c r="D312" s="39" t="s">
        <v>189</v>
      </c>
      <c r="E312" s="40">
        <v>0.5625</v>
      </c>
      <c r="F312" s="40">
        <v>0.58333333333333337</v>
      </c>
      <c r="G312" s="40">
        <v>2.0833333333333332E-2</v>
      </c>
      <c r="H312" s="35" t="s">
        <v>108</v>
      </c>
      <c r="I312" s="42"/>
      <c r="J312" s="35" t="s">
        <v>103</v>
      </c>
      <c r="K312" s="35"/>
      <c r="L312" s="44">
        <v>1</v>
      </c>
      <c r="M312" s="44">
        <v>1</v>
      </c>
      <c r="N312" s="35" t="s">
        <v>33</v>
      </c>
      <c r="O312" s="35"/>
      <c r="P312" s="47">
        <v>0</v>
      </c>
      <c r="Q312" s="44"/>
      <c r="R312" s="47">
        <v>0</v>
      </c>
      <c r="S312" s="35">
        <v>46054</v>
      </c>
      <c r="T312" s="47">
        <v>0</v>
      </c>
      <c r="U312" s="44">
        <v>2</v>
      </c>
      <c r="V312" s="47">
        <v>0</v>
      </c>
      <c r="W312" s="35" t="s">
        <v>34</v>
      </c>
      <c r="X312" s="35" t="s">
        <v>42</v>
      </c>
      <c r="Y312" s="35" t="s">
        <v>36</v>
      </c>
      <c r="Z312" s="35" t="s">
        <v>43</v>
      </c>
      <c r="AA312" s="35" t="s">
        <v>37</v>
      </c>
      <c r="AB312" s="35" t="s">
        <v>37</v>
      </c>
      <c r="AC312" s="35" t="s">
        <v>38</v>
      </c>
      <c r="AD312" s="51" t="s">
        <v>226</v>
      </c>
      <c r="AE312" s="35"/>
      <c r="AF312" s="35"/>
      <c r="AG312" s="35"/>
      <c r="AH312" s="35"/>
      <c r="AI312" s="35"/>
      <c r="AJ312" s="35"/>
      <c r="AK312" s="35"/>
      <c r="AL312" s="35"/>
      <c r="AM312" s="35"/>
      <c r="AN312" s="35"/>
      <c r="AO312" s="35"/>
      <c r="AP312" s="35"/>
      <c r="AQ312" s="35"/>
      <c r="AR312" s="35"/>
      <c r="AS312" s="35"/>
      <c r="AT312" s="35"/>
      <c r="AU312" s="35"/>
      <c r="AV312" s="35"/>
      <c r="AW312" s="35"/>
    </row>
    <row r="313" spans="1:49" ht="31.5" x14ac:dyDescent="0.25">
      <c r="A313" s="35" t="s">
        <v>76</v>
      </c>
      <c r="B313" s="37">
        <v>46069</v>
      </c>
      <c r="C313" s="37">
        <v>46069</v>
      </c>
      <c r="D313" s="39" t="s">
        <v>30</v>
      </c>
      <c r="E313" s="40">
        <v>0.45833333333333331</v>
      </c>
      <c r="F313" s="40">
        <v>0.47916666666666669</v>
      </c>
      <c r="G313" s="40">
        <v>2.0833333333333332E-2</v>
      </c>
      <c r="H313" s="35" t="s">
        <v>77</v>
      </c>
      <c r="I313" s="42" t="s">
        <v>78</v>
      </c>
      <c r="J313" s="35" t="s">
        <v>71</v>
      </c>
      <c r="K313" s="35"/>
      <c r="L313" s="44">
        <v>1</v>
      </c>
      <c r="M313" s="44">
        <v>1</v>
      </c>
      <c r="N313" s="35" t="s">
        <v>33</v>
      </c>
      <c r="O313" s="35"/>
      <c r="P313" s="47">
        <v>0</v>
      </c>
      <c r="Q313" s="44"/>
      <c r="R313" s="47">
        <v>0</v>
      </c>
      <c r="S313" s="35">
        <v>46054</v>
      </c>
      <c r="T313" s="47">
        <v>0</v>
      </c>
      <c r="U313" s="44">
        <v>2</v>
      </c>
      <c r="V313" s="47">
        <v>0</v>
      </c>
      <c r="W313" s="35" t="s">
        <v>34</v>
      </c>
      <c r="X313" s="35" t="s">
        <v>42</v>
      </c>
      <c r="Y313" s="35" t="s">
        <v>36</v>
      </c>
      <c r="Z313" s="35" t="s">
        <v>43</v>
      </c>
      <c r="AA313" s="35" t="s">
        <v>37</v>
      </c>
      <c r="AB313" s="35" t="s">
        <v>37</v>
      </c>
      <c r="AC313" s="35" t="s">
        <v>38</v>
      </c>
      <c r="AD313" s="51" t="s">
        <v>226</v>
      </c>
      <c r="AE313" s="52"/>
      <c r="AF313" s="52"/>
      <c r="AG313" s="52"/>
      <c r="AH313" s="52"/>
      <c r="AI313" s="56"/>
      <c r="AJ313" s="56"/>
      <c r="AK313" s="56"/>
      <c r="AL313" s="56"/>
      <c r="AM313" s="56"/>
      <c r="AN313" s="56"/>
      <c r="AO313" s="56"/>
      <c r="AP313" s="56"/>
      <c r="AQ313" s="56"/>
      <c r="AR313" s="56"/>
      <c r="AS313" s="56"/>
      <c r="AT313" s="56"/>
      <c r="AU313" s="56"/>
      <c r="AV313" s="56"/>
      <c r="AW313" s="56"/>
    </row>
    <row r="314" spans="1:49" ht="31.5" x14ac:dyDescent="0.2">
      <c r="A314" s="35" t="s">
        <v>76</v>
      </c>
      <c r="B314" s="37">
        <v>46069</v>
      </c>
      <c r="C314" s="37">
        <v>46069</v>
      </c>
      <c r="D314" s="39" t="s">
        <v>30</v>
      </c>
      <c r="E314" s="40">
        <v>0.47916666666666669</v>
      </c>
      <c r="F314" s="40">
        <v>0.5</v>
      </c>
      <c r="G314" s="40">
        <v>2.0833333333333332E-2</v>
      </c>
      <c r="H314" s="35" t="s">
        <v>97</v>
      </c>
      <c r="I314" s="42"/>
      <c r="J314" s="35" t="s">
        <v>81</v>
      </c>
      <c r="K314" s="35"/>
      <c r="L314" s="44">
        <v>1</v>
      </c>
      <c r="M314" s="44">
        <v>1</v>
      </c>
      <c r="N314" s="35" t="s">
        <v>33</v>
      </c>
      <c r="O314" s="35"/>
      <c r="P314" s="47">
        <v>0</v>
      </c>
      <c r="Q314" s="44"/>
      <c r="R314" s="47">
        <v>0</v>
      </c>
      <c r="S314" s="35">
        <v>46054</v>
      </c>
      <c r="T314" s="47">
        <v>0</v>
      </c>
      <c r="U314" s="44">
        <v>2</v>
      </c>
      <c r="V314" s="47">
        <v>0</v>
      </c>
      <c r="W314" s="35" t="s">
        <v>34</v>
      </c>
      <c r="X314" s="35" t="s">
        <v>42</v>
      </c>
      <c r="Y314" s="35" t="s">
        <v>36</v>
      </c>
      <c r="Z314" s="35" t="s">
        <v>43</v>
      </c>
      <c r="AA314" s="35" t="s">
        <v>37</v>
      </c>
      <c r="AB314" s="35" t="s">
        <v>37</v>
      </c>
      <c r="AC314" s="35" t="s">
        <v>38</v>
      </c>
      <c r="AD314" s="51" t="s">
        <v>226</v>
      </c>
      <c r="AE314" s="35"/>
      <c r="AF314" s="35"/>
      <c r="AG314" s="35"/>
      <c r="AH314" s="35"/>
      <c r="AI314" s="35"/>
      <c r="AJ314" s="35"/>
      <c r="AK314" s="35"/>
      <c r="AL314" s="35"/>
      <c r="AM314" s="35"/>
      <c r="AN314" s="35"/>
      <c r="AO314" s="35"/>
      <c r="AP314" s="35"/>
      <c r="AQ314" s="35"/>
      <c r="AR314" s="35"/>
      <c r="AS314" s="35"/>
      <c r="AT314" s="35"/>
      <c r="AU314" s="35"/>
      <c r="AV314" s="35"/>
      <c r="AW314" s="35"/>
    </row>
    <row r="315" spans="1:49" ht="31.5" x14ac:dyDescent="0.25">
      <c r="A315" s="35" t="s">
        <v>76</v>
      </c>
      <c r="B315" s="37">
        <v>46070</v>
      </c>
      <c r="C315" s="37">
        <v>46070</v>
      </c>
      <c r="D315" s="39" t="s">
        <v>146</v>
      </c>
      <c r="E315" s="40">
        <v>0.45833333333333331</v>
      </c>
      <c r="F315" s="40">
        <v>0.47916666666666669</v>
      </c>
      <c r="G315" s="40">
        <v>2.0833333333333332E-2</v>
      </c>
      <c r="H315" s="35" t="s">
        <v>150</v>
      </c>
      <c r="I315" s="42"/>
      <c r="J315" s="35" t="s">
        <v>81</v>
      </c>
      <c r="K315" s="35"/>
      <c r="L315" s="44">
        <v>1</v>
      </c>
      <c r="M315" s="44">
        <v>1</v>
      </c>
      <c r="N315" s="35" t="s">
        <v>33</v>
      </c>
      <c r="O315" s="35"/>
      <c r="P315" s="47">
        <v>0</v>
      </c>
      <c r="Q315" s="44"/>
      <c r="R315" s="47">
        <v>0</v>
      </c>
      <c r="S315" s="35">
        <v>46054</v>
      </c>
      <c r="T315" s="47">
        <v>0</v>
      </c>
      <c r="U315" s="44">
        <v>2</v>
      </c>
      <c r="V315" s="47">
        <v>0</v>
      </c>
      <c r="W315" s="35" t="s">
        <v>34</v>
      </c>
      <c r="X315" s="35" t="s">
        <v>42</v>
      </c>
      <c r="Y315" s="35" t="s">
        <v>36</v>
      </c>
      <c r="Z315" s="35" t="s">
        <v>43</v>
      </c>
      <c r="AA315" s="35" t="s">
        <v>37</v>
      </c>
      <c r="AB315" s="35" t="s">
        <v>37</v>
      </c>
      <c r="AC315" s="35" t="s">
        <v>38</v>
      </c>
      <c r="AD315" s="51" t="s">
        <v>226</v>
      </c>
      <c r="AE315" s="52"/>
      <c r="AF315" s="52"/>
      <c r="AG315" s="52"/>
      <c r="AH315" s="52"/>
      <c r="AI315" s="52"/>
      <c r="AJ315" s="52"/>
      <c r="AK315" s="52"/>
      <c r="AL315" s="52"/>
      <c r="AM315" s="52"/>
      <c r="AN315" s="52"/>
      <c r="AO315" s="52"/>
      <c r="AP315" s="52"/>
      <c r="AQ315" s="52"/>
      <c r="AR315" s="52"/>
      <c r="AS315" s="52"/>
      <c r="AT315" s="52"/>
      <c r="AU315" s="52"/>
      <c r="AV315" s="52"/>
      <c r="AW315" s="52"/>
    </row>
    <row r="316" spans="1:49" ht="31.5" x14ac:dyDescent="0.2">
      <c r="A316" s="35" t="s">
        <v>76</v>
      </c>
      <c r="B316" s="37">
        <v>46070</v>
      </c>
      <c r="C316" s="37">
        <v>46070</v>
      </c>
      <c r="D316" s="39" t="s">
        <v>146</v>
      </c>
      <c r="E316" s="40">
        <v>0.47916666666666669</v>
      </c>
      <c r="F316" s="40">
        <v>0.5</v>
      </c>
      <c r="G316" s="40">
        <v>2.0833333333333332E-2</v>
      </c>
      <c r="H316" s="35" t="s">
        <v>152</v>
      </c>
      <c r="I316" s="42"/>
      <c r="J316" s="35" t="s">
        <v>81</v>
      </c>
      <c r="K316" s="35"/>
      <c r="L316" s="44">
        <v>1</v>
      </c>
      <c r="M316" s="44">
        <v>1</v>
      </c>
      <c r="N316" s="35" t="s">
        <v>33</v>
      </c>
      <c r="O316" s="35"/>
      <c r="P316" s="47">
        <v>0</v>
      </c>
      <c r="Q316" s="44"/>
      <c r="R316" s="47">
        <v>0</v>
      </c>
      <c r="S316" s="35">
        <v>46054</v>
      </c>
      <c r="T316" s="47">
        <v>0</v>
      </c>
      <c r="U316" s="44">
        <v>2</v>
      </c>
      <c r="V316" s="47">
        <v>0</v>
      </c>
      <c r="W316" s="35" t="s">
        <v>34</v>
      </c>
      <c r="X316" s="35" t="s">
        <v>42</v>
      </c>
      <c r="Y316" s="35" t="s">
        <v>36</v>
      </c>
      <c r="Z316" s="35" t="s">
        <v>43</v>
      </c>
      <c r="AA316" s="35" t="s">
        <v>37</v>
      </c>
      <c r="AB316" s="35" t="s">
        <v>37</v>
      </c>
      <c r="AC316" s="35" t="s">
        <v>38</v>
      </c>
      <c r="AD316" s="51" t="s">
        <v>226</v>
      </c>
      <c r="AE316" s="35"/>
      <c r="AF316" s="35"/>
      <c r="AG316" s="35"/>
      <c r="AH316" s="35"/>
      <c r="AI316" s="35"/>
      <c r="AJ316" s="35"/>
      <c r="AK316" s="35"/>
      <c r="AL316" s="35"/>
      <c r="AM316" s="35"/>
      <c r="AN316" s="35"/>
      <c r="AO316" s="35"/>
      <c r="AP316" s="35"/>
      <c r="AQ316" s="35"/>
      <c r="AR316" s="35"/>
      <c r="AS316" s="35"/>
      <c r="AT316" s="35"/>
      <c r="AU316" s="35"/>
      <c r="AV316" s="35"/>
      <c r="AW316" s="35"/>
    </row>
    <row r="317" spans="1:49" ht="31.5" x14ac:dyDescent="0.2">
      <c r="A317" s="35" t="s">
        <v>76</v>
      </c>
      <c r="B317" s="37">
        <v>46071</v>
      </c>
      <c r="C317" s="37">
        <v>46071</v>
      </c>
      <c r="D317" s="39" t="s">
        <v>164</v>
      </c>
      <c r="E317" s="40">
        <v>0.45833333333333331</v>
      </c>
      <c r="F317" s="40">
        <v>0.47916666666666669</v>
      </c>
      <c r="G317" s="40">
        <v>2.0833333333333332E-2</v>
      </c>
      <c r="H317" s="35" t="s">
        <v>150</v>
      </c>
      <c r="I317" s="42"/>
      <c r="J317" s="35" t="s">
        <v>81</v>
      </c>
      <c r="K317" s="35"/>
      <c r="L317" s="44">
        <v>1</v>
      </c>
      <c r="M317" s="44">
        <v>1</v>
      </c>
      <c r="N317" s="35" t="s">
        <v>33</v>
      </c>
      <c r="O317" s="35"/>
      <c r="P317" s="47">
        <v>0</v>
      </c>
      <c r="Q317" s="44"/>
      <c r="R317" s="47">
        <v>0</v>
      </c>
      <c r="S317" s="35">
        <v>46054</v>
      </c>
      <c r="T317" s="47">
        <v>0</v>
      </c>
      <c r="U317" s="44">
        <v>2</v>
      </c>
      <c r="V317" s="47">
        <v>0</v>
      </c>
      <c r="W317" s="35" t="s">
        <v>34</v>
      </c>
      <c r="X317" s="35" t="s">
        <v>42</v>
      </c>
      <c r="Y317" s="35" t="s">
        <v>36</v>
      </c>
      <c r="Z317" s="35" t="s">
        <v>43</v>
      </c>
      <c r="AA317" s="35" t="s">
        <v>37</v>
      </c>
      <c r="AB317" s="35" t="s">
        <v>37</v>
      </c>
      <c r="AC317" s="35" t="s">
        <v>38</v>
      </c>
      <c r="AD317" s="51" t="s">
        <v>226</v>
      </c>
      <c r="AE317" s="35"/>
      <c r="AF317" s="35"/>
      <c r="AG317" s="35"/>
      <c r="AH317" s="35"/>
      <c r="AI317" s="35"/>
      <c r="AJ317" s="35"/>
      <c r="AK317" s="35"/>
      <c r="AL317" s="35"/>
      <c r="AM317" s="35"/>
      <c r="AN317" s="35"/>
      <c r="AO317" s="35"/>
      <c r="AP317" s="35"/>
      <c r="AQ317" s="35"/>
      <c r="AR317" s="35"/>
      <c r="AS317" s="35"/>
      <c r="AT317" s="35"/>
      <c r="AU317" s="35"/>
      <c r="AV317" s="35"/>
      <c r="AW317" s="35"/>
    </row>
    <row r="318" spans="1:49" ht="31.5" x14ac:dyDescent="0.2">
      <c r="A318" s="35" t="s">
        <v>76</v>
      </c>
      <c r="B318" s="37">
        <v>46071</v>
      </c>
      <c r="C318" s="37">
        <v>46071</v>
      </c>
      <c r="D318" s="39" t="s">
        <v>164</v>
      </c>
      <c r="E318" s="40">
        <v>0.47916666666666669</v>
      </c>
      <c r="F318" s="40">
        <v>0.5</v>
      </c>
      <c r="G318" s="40">
        <v>2.0833333333333332E-2</v>
      </c>
      <c r="H318" s="35" t="s">
        <v>172</v>
      </c>
      <c r="I318" s="42"/>
      <c r="J318" s="35" t="s">
        <v>81</v>
      </c>
      <c r="K318" s="35"/>
      <c r="L318" s="44">
        <v>1</v>
      </c>
      <c r="M318" s="44">
        <v>1</v>
      </c>
      <c r="N318" s="35" t="s">
        <v>33</v>
      </c>
      <c r="O318" s="35"/>
      <c r="P318" s="47">
        <v>0</v>
      </c>
      <c r="Q318" s="44"/>
      <c r="R318" s="47">
        <v>0</v>
      </c>
      <c r="S318" s="35">
        <v>46054</v>
      </c>
      <c r="T318" s="47">
        <v>0</v>
      </c>
      <c r="U318" s="44">
        <v>2</v>
      </c>
      <c r="V318" s="47">
        <v>0</v>
      </c>
      <c r="W318" s="35" t="s">
        <v>34</v>
      </c>
      <c r="X318" s="35" t="s">
        <v>42</v>
      </c>
      <c r="Y318" s="35" t="s">
        <v>36</v>
      </c>
      <c r="Z318" s="35" t="s">
        <v>43</v>
      </c>
      <c r="AA318" s="35" t="s">
        <v>37</v>
      </c>
      <c r="AB318" s="35" t="s">
        <v>37</v>
      </c>
      <c r="AC318" s="35" t="s">
        <v>38</v>
      </c>
      <c r="AD318" s="51" t="s">
        <v>226</v>
      </c>
      <c r="AE318" s="35"/>
      <c r="AF318" s="35"/>
      <c r="AG318" s="35"/>
      <c r="AH318" s="35"/>
      <c r="AI318" s="35"/>
      <c r="AJ318" s="35"/>
      <c r="AK318" s="35"/>
      <c r="AL318" s="35"/>
      <c r="AM318" s="35"/>
      <c r="AN318" s="35"/>
      <c r="AO318" s="35"/>
      <c r="AP318" s="35"/>
      <c r="AQ318" s="35"/>
      <c r="AR318" s="35"/>
      <c r="AS318" s="35"/>
      <c r="AT318" s="35"/>
      <c r="AU318" s="35"/>
      <c r="AV318" s="35"/>
      <c r="AW318" s="35"/>
    </row>
    <row r="319" spans="1:49" ht="31.5" x14ac:dyDescent="0.2">
      <c r="A319" s="35" t="s">
        <v>76</v>
      </c>
      <c r="B319" s="37">
        <v>46072</v>
      </c>
      <c r="C319" s="37">
        <v>46072</v>
      </c>
      <c r="D319" s="39" t="s">
        <v>177</v>
      </c>
      <c r="E319" s="40">
        <v>0.45833333333333331</v>
      </c>
      <c r="F319" s="40">
        <v>0.47916666666666669</v>
      </c>
      <c r="G319" s="40">
        <v>2.0833333333333332E-2</v>
      </c>
      <c r="H319" s="35" t="s">
        <v>150</v>
      </c>
      <c r="I319" s="42"/>
      <c r="J319" s="35" t="s">
        <v>81</v>
      </c>
      <c r="K319" s="35"/>
      <c r="L319" s="44">
        <v>1</v>
      </c>
      <c r="M319" s="44">
        <v>1</v>
      </c>
      <c r="N319" s="35" t="s">
        <v>33</v>
      </c>
      <c r="O319" s="35"/>
      <c r="P319" s="47">
        <v>0</v>
      </c>
      <c r="Q319" s="44"/>
      <c r="R319" s="47">
        <v>0</v>
      </c>
      <c r="S319" s="35">
        <v>46054</v>
      </c>
      <c r="T319" s="47">
        <v>0</v>
      </c>
      <c r="U319" s="44">
        <v>2</v>
      </c>
      <c r="V319" s="47">
        <v>0</v>
      </c>
      <c r="W319" s="35" t="s">
        <v>34</v>
      </c>
      <c r="X319" s="35" t="s">
        <v>42</v>
      </c>
      <c r="Y319" s="35" t="s">
        <v>36</v>
      </c>
      <c r="Z319" s="35" t="s">
        <v>43</v>
      </c>
      <c r="AA319" s="35" t="s">
        <v>37</v>
      </c>
      <c r="AB319" s="35" t="s">
        <v>37</v>
      </c>
      <c r="AC319" s="35" t="s">
        <v>38</v>
      </c>
      <c r="AD319" s="51" t="s">
        <v>226</v>
      </c>
      <c r="AE319" s="35"/>
      <c r="AF319" s="35"/>
      <c r="AG319" s="35"/>
      <c r="AH319" s="35"/>
      <c r="AI319" s="35"/>
      <c r="AJ319" s="35"/>
      <c r="AK319" s="35"/>
      <c r="AL319" s="35"/>
      <c r="AM319" s="35"/>
      <c r="AN319" s="35"/>
      <c r="AO319" s="35"/>
      <c r="AP319" s="35"/>
      <c r="AQ319" s="35"/>
      <c r="AR319" s="35"/>
      <c r="AS319" s="35"/>
      <c r="AT319" s="35"/>
      <c r="AU319" s="35"/>
      <c r="AV319" s="35"/>
      <c r="AW319" s="35"/>
    </row>
    <row r="320" spans="1:49" ht="31.5" x14ac:dyDescent="0.2">
      <c r="A320" s="35" t="s">
        <v>76</v>
      </c>
      <c r="B320" s="37">
        <v>46072</v>
      </c>
      <c r="C320" s="37">
        <v>46072</v>
      </c>
      <c r="D320" s="39" t="s">
        <v>177</v>
      </c>
      <c r="E320" s="40">
        <v>0.47916666666666669</v>
      </c>
      <c r="F320" s="40">
        <v>0.5</v>
      </c>
      <c r="G320" s="40">
        <v>2.0833333333333332E-2</v>
      </c>
      <c r="H320" s="35" t="s">
        <v>182</v>
      </c>
      <c r="I320" s="42"/>
      <c r="J320" s="35" t="s">
        <v>81</v>
      </c>
      <c r="K320" s="35"/>
      <c r="L320" s="44">
        <v>1</v>
      </c>
      <c r="M320" s="44">
        <v>1</v>
      </c>
      <c r="N320" s="35" t="s">
        <v>33</v>
      </c>
      <c r="O320" s="35"/>
      <c r="P320" s="47">
        <v>0</v>
      </c>
      <c r="Q320" s="44"/>
      <c r="R320" s="47">
        <v>0</v>
      </c>
      <c r="S320" s="35">
        <v>46054</v>
      </c>
      <c r="T320" s="47">
        <v>0</v>
      </c>
      <c r="U320" s="44">
        <v>2</v>
      </c>
      <c r="V320" s="47">
        <v>0</v>
      </c>
      <c r="W320" s="35" t="s">
        <v>34</v>
      </c>
      <c r="X320" s="35" t="s">
        <v>42</v>
      </c>
      <c r="Y320" s="35" t="s">
        <v>36</v>
      </c>
      <c r="Z320" s="35" t="s">
        <v>43</v>
      </c>
      <c r="AA320" s="35" t="s">
        <v>37</v>
      </c>
      <c r="AB320" s="35" t="s">
        <v>37</v>
      </c>
      <c r="AC320" s="35" t="s">
        <v>38</v>
      </c>
      <c r="AD320" s="51" t="s">
        <v>226</v>
      </c>
      <c r="AE320" s="35"/>
      <c r="AF320" s="35"/>
      <c r="AG320" s="35"/>
      <c r="AH320" s="35"/>
      <c r="AI320" s="35"/>
      <c r="AJ320" s="35"/>
      <c r="AK320" s="35"/>
      <c r="AL320" s="35"/>
      <c r="AM320" s="35"/>
      <c r="AN320" s="35"/>
      <c r="AO320" s="35"/>
      <c r="AP320" s="35"/>
      <c r="AQ320" s="35"/>
      <c r="AR320" s="35"/>
      <c r="AS320" s="35"/>
      <c r="AT320" s="35"/>
      <c r="AU320" s="35"/>
      <c r="AV320" s="35"/>
      <c r="AW320" s="35"/>
    </row>
    <row r="321" spans="1:49" ht="31.5" x14ac:dyDescent="0.2">
      <c r="A321" s="35" t="s">
        <v>76</v>
      </c>
      <c r="B321" s="37">
        <v>46073</v>
      </c>
      <c r="C321" s="37">
        <v>46073</v>
      </c>
      <c r="D321" s="39" t="s">
        <v>189</v>
      </c>
      <c r="E321" s="40">
        <v>0.45833333333333331</v>
      </c>
      <c r="F321" s="40">
        <v>0.47916666666666669</v>
      </c>
      <c r="G321" s="40">
        <v>2.0833333333333332E-2</v>
      </c>
      <c r="H321" s="35" t="s">
        <v>150</v>
      </c>
      <c r="I321" s="42"/>
      <c r="J321" s="35" t="s">
        <v>81</v>
      </c>
      <c r="K321" s="35"/>
      <c r="L321" s="44">
        <v>1</v>
      </c>
      <c r="M321" s="44">
        <v>1</v>
      </c>
      <c r="N321" s="35" t="s">
        <v>33</v>
      </c>
      <c r="O321" s="35"/>
      <c r="P321" s="47">
        <v>0</v>
      </c>
      <c r="Q321" s="44"/>
      <c r="R321" s="47">
        <v>0</v>
      </c>
      <c r="S321" s="35">
        <v>46054</v>
      </c>
      <c r="T321" s="47">
        <v>0</v>
      </c>
      <c r="U321" s="44">
        <v>2</v>
      </c>
      <c r="V321" s="47">
        <v>0</v>
      </c>
      <c r="W321" s="35" t="s">
        <v>34</v>
      </c>
      <c r="X321" s="35" t="s">
        <v>42</v>
      </c>
      <c r="Y321" s="35" t="s">
        <v>36</v>
      </c>
      <c r="Z321" s="35" t="s">
        <v>43</v>
      </c>
      <c r="AA321" s="35" t="s">
        <v>37</v>
      </c>
      <c r="AB321" s="35" t="s">
        <v>37</v>
      </c>
      <c r="AC321" s="35" t="s">
        <v>38</v>
      </c>
      <c r="AD321" s="51" t="s">
        <v>226</v>
      </c>
      <c r="AE321" s="35"/>
      <c r="AF321" s="35"/>
      <c r="AG321" s="35"/>
      <c r="AH321" s="35"/>
      <c r="AI321" s="35"/>
      <c r="AJ321" s="35"/>
      <c r="AK321" s="35"/>
      <c r="AL321" s="35"/>
      <c r="AM321" s="35"/>
      <c r="AN321" s="35"/>
      <c r="AO321" s="35"/>
      <c r="AP321" s="35"/>
      <c r="AQ321" s="35"/>
      <c r="AR321" s="35"/>
      <c r="AS321" s="35"/>
      <c r="AT321" s="35"/>
      <c r="AU321" s="35"/>
      <c r="AV321" s="35"/>
      <c r="AW321" s="35"/>
    </row>
    <row r="322" spans="1:49" ht="31.5" x14ac:dyDescent="0.25">
      <c r="A322" s="35" t="s">
        <v>76</v>
      </c>
      <c r="B322" s="37">
        <v>46073</v>
      </c>
      <c r="C322" s="37">
        <v>46073</v>
      </c>
      <c r="D322" s="39" t="s">
        <v>189</v>
      </c>
      <c r="E322" s="40">
        <v>0.47916666666666669</v>
      </c>
      <c r="F322" s="40">
        <v>0.5</v>
      </c>
      <c r="G322" s="40">
        <v>2.0833333333333332E-2</v>
      </c>
      <c r="H322" s="35" t="s">
        <v>193</v>
      </c>
      <c r="I322" s="42"/>
      <c r="J322" s="35" t="s">
        <v>81</v>
      </c>
      <c r="K322" s="35"/>
      <c r="L322" s="44">
        <v>1</v>
      </c>
      <c r="M322" s="44">
        <v>1</v>
      </c>
      <c r="N322" s="35" t="s">
        <v>33</v>
      </c>
      <c r="O322" s="35"/>
      <c r="P322" s="47">
        <v>0</v>
      </c>
      <c r="Q322" s="44"/>
      <c r="R322" s="47">
        <v>0</v>
      </c>
      <c r="S322" s="35">
        <v>46054</v>
      </c>
      <c r="T322" s="47">
        <v>0</v>
      </c>
      <c r="U322" s="44">
        <v>2</v>
      </c>
      <c r="V322" s="47">
        <v>0</v>
      </c>
      <c r="W322" s="35" t="s">
        <v>34</v>
      </c>
      <c r="X322" s="35" t="s">
        <v>42</v>
      </c>
      <c r="Y322" s="35" t="s">
        <v>36</v>
      </c>
      <c r="Z322" s="35" t="s">
        <v>43</v>
      </c>
      <c r="AA322" s="35" t="s">
        <v>37</v>
      </c>
      <c r="AB322" s="35" t="s">
        <v>37</v>
      </c>
      <c r="AC322" s="35" t="s">
        <v>38</v>
      </c>
      <c r="AD322" s="51" t="s">
        <v>226</v>
      </c>
      <c r="AE322" s="52"/>
      <c r="AF322" s="52"/>
      <c r="AG322" s="52"/>
      <c r="AH322" s="52"/>
      <c r="AI322" s="56"/>
      <c r="AJ322" s="56"/>
      <c r="AK322" s="56"/>
      <c r="AL322" s="56"/>
      <c r="AM322" s="56"/>
      <c r="AN322" s="56"/>
      <c r="AO322" s="56"/>
      <c r="AP322" s="56"/>
      <c r="AQ322" s="56"/>
      <c r="AR322" s="56"/>
      <c r="AS322" s="56"/>
      <c r="AT322" s="56"/>
      <c r="AU322" s="56"/>
      <c r="AV322" s="56"/>
      <c r="AW322" s="56"/>
    </row>
    <row r="323" spans="1:49" ht="31.5" x14ac:dyDescent="0.2">
      <c r="A323" s="35" t="s">
        <v>76</v>
      </c>
      <c r="B323" s="37">
        <v>46074</v>
      </c>
      <c r="C323" s="37">
        <v>46074</v>
      </c>
      <c r="D323" s="39" t="s">
        <v>197</v>
      </c>
      <c r="E323" s="40">
        <v>0.45833333333333331</v>
      </c>
      <c r="F323" s="40">
        <v>0.47916666666666669</v>
      </c>
      <c r="G323" s="40">
        <v>2.0833333333333332E-2</v>
      </c>
      <c r="H323" s="35" t="s">
        <v>150</v>
      </c>
      <c r="I323" s="42"/>
      <c r="J323" s="35" t="s">
        <v>81</v>
      </c>
      <c r="K323" s="35"/>
      <c r="L323" s="44">
        <v>1</v>
      </c>
      <c r="M323" s="44">
        <v>1</v>
      </c>
      <c r="N323" s="35" t="s">
        <v>33</v>
      </c>
      <c r="O323" s="35"/>
      <c r="P323" s="47">
        <v>0</v>
      </c>
      <c r="Q323" s="44"/>
      <c r="R323" s="47">
        <v>0</v>
      </c>
      <c r="S323" s="35">
        <v>46054</v>
      </c>
      <c r="T323" s="47">
        <v>0</v>
      </c>
      <c r="U323" s="44">
        <v>2</v>
      </c>
      <c r="V323" s="47">
        <v>0</v>
      </c>
      <c r="W323" s="35" t="s">
        <v>34</v>
      </c>
      <c r="X323" s="35" t="s">
        <v>42</v>
      </c>
      <c r="Y323" s="35" t="s">
        <v>36</v>
      </c>
      <c r="Z323" s="35" t="s">
        <v>43</v>
      </c>
      <c r="AA323" s="35" t="s">
        <v>37</v>
      </c>
      <c r="AB323" s="35" t="s">
        <v>37</v>
      </c>
      <c r="AC323" s="35" t="s">
        <v>38</v>
      </c>
      <c r="AD323" s="51" t="s">
        <v>226</v>
      </c>
      <c r="AE323" s="35"/>
      <c r="AF323" s="35"/>
      <c r="AG323" s="35"/>
      <c r="AH323" s="35"/>
      <c r="AI323" s="35"/>
      <c r="AJ323" s="35"/>
      <c r="AK323" s="35"/>
      <c r="AL323" s="35"/>
      <c r="AM323" s="35"/>
      <c r="AN323" s="35"/>
      <c r="AO323" s="35"/>
      <c r="AP323" s="35"/>
      <c r="AQ323" s="35"/>
      <c r="AR323" s="35"/>
      <c r="AS323" s="35"/>
      <c r="AT323" s="35"/>
      <c r="AU323" s="35"/>
      <c r="AV323" s="35"/>
      <c r="AW323" s="35"/>
    </row>
    <row r="324" spans="1:49" ht="31.5" x14ac:dyDescent="0.25">
      <c r="A324" s="35" t="s">
        <v>76</v>
      </c>
      <c r="B324" s="37">
        <v>46074</v>
      </c>
      <c r="C324" s="37">
        <v>46074</v>
      </c>
      <c r="D324" s="39" t="s">
        <v>197</v>
      </c>
      <c r="E324" s="40">
        <v>0.47916666666666669</v>
      </c>
      <c r="F324" s="40">
        <v>0.48958333333333331</v>
      </c>
      <c r="G324" s="40">
        <v>1.0416666666666666E-2</v>
      </c>
      <c r="H324" s="35" t="s">
        <v>201</v>
      </c>
      <c r="I324" s="42"/>
      <c r="J324" s="35" t="s">
        <v>81</v>
      </c>
      <c r="K324" s="35"/>
      <c r="L324" s="44">
        <v>1</v>
      </c>
      <c r="M324" s="44">
        <v>1</v>
      </c>
      <c r="N324" s="35" t="s">
        <v>33</v>
      </c>
      <c r="O324" s="35"/>
      <c r="P324" s="47">
        <v>0</v>
      </c>
      <c r="Q324" s="44"/>
      <c r="R324" s="47">
        <v>0</v>
      </c>
      <c r="S324" s="35">
        <v>46054</v>
      </c>
      <c r="T324" s="47">
        <v>0</v>
      </c>
      <c r="U324" s="44">
        <v>2</v>
      </c>
      <c r="V324" s="47">
        <v>0</v>
      </c>
      <c r="W324" s="35" t="s">
        <v>34</v>
      </c>
      <c r="X324" s="35" t="s">
        <v>42</v>
      </c>
      <c r="Y324" s="35" t="s">
        <v>36</v>
      </c>
      <c r="Z324" s="35" t="s">
        <v>43</v>
      </c>
      <c r="AA324" s="35" t="s">
        <v>37</v>
      </c>
      <c r="AB324" s="35" t="s">
        <v>37</v>
      </c>
      <c r="AC324" s="35" t="s">
        <v>38</v>
      </c>
      <c r="AD324" s="51" t="s">
        <v>226</v>
      </c>
      <c r="AE324" s="52"/>
      <c r="AF324" s="52"/>
      <c r="AG324" s="52"/>
      <c r="AH324" s="52"/>
      <c r="AI324" s="52"/>
      <c r="AJ324" s="52"/>
      <c r="AK324" s="52"/>
      <c r="AL324" s="52"/>
      <c r="AM324" s="52"/>
      <c r="AN324" s="52"/>
      <c r="AO324" s="52"/>
      <c r="AP324" s="52"/>
      <c r="AQ324" s="52"/>
      <c r="AR324" s="52"/>
      <c r="AS324" s="52"/>
      <c r="AT324" s="52"/>
      <c r="AU324" s="52"/>
      <c r="AV324" s="52"/>
      <c r="AW324" s="52"/>
    </row>
    <row r="325" spans="1:49" ht="31.5" x14ac:dyDescent="0.25">
      <c r="A325" s="35" t="s">
        <v>76</v>
      </c>
      <c r="B325" s="37">
        <v>46074</v>
      </c>
      <c r="C325" s="37">
        <v>46074</v>
      </c>
      <c r="D325" s="39" t="s">
        <v>197</v>
      </c>
      <c r="E325" s="40">
        <v>0.48958333333333331</v>
      </c>
      <c r="F325" s="40">
        <v>0.5</v>
      </c>
      <c r="G325" s="40">
        <v>1.0416666666666666E-2</v>
      </c>
      <c r="H325" s="35" t="s">
        <v>202</v>
      </c>
      <c r="I325" s="42"/>
      <c r="J325" s="35" t="s">
        <v>81</v>
      </c>
      <c r="K325" s="35"/>
      <c r="L325" s="44">
        <v>1</v>
      </c>
      <c r="M325" s="44">
        <v>1</v>
      </c>
      <c r="N325" s="35" t="s">
        <v>33</v>
      </c>
      <c r="O325" s="35"/>
      <c r="P325" s="47">
        <v>0</v>
      </c>
      <c r="Q325" s="44"/>
      <c r="R325" s="47">
        <v>0</v>
      </c>
      <c r="S325" s="35">
        <v>46054</v>
      </c>
      <c r="T325" s="47">
        <v>0</v>
      </c>
      <c r="U325" s="44">
        <v>2</v>
      </c>
      <c r="V325" s="47">
        <v>0</v>
      </c>
      <c r="W325" s="35" t="s">
        <v>34</v>
      </c>
      <c r="X325" s="35" t="s">
        <v>42</v>
      </c>
      <c r="Y325" s="35" t="s">
        <v>36</v>
      </c>
      <c r="Z325" s="35" t="s">
        <v>43</v>
      </c>
      <c r="AA325" s="35" t="s">
        <v>37</v>
      </c>
      <c r="AB325" s="35" t="s">
        <v>37</v>
      </c>
      <c r="AC325" s="35" t="s">
        <v>38</v>
      </c>
      <c r="AD325" s="51" t="s">
        <v>226</v>
      </c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</row>
    <row r="326" spans="1:49" ht="31.5" x14ac:dyDescent="0.2">
      <c r="A326" s="35" t="s">
        <v>76</v>
      </c>
      <c r="B326" s="37">
        <v>46074</v>
      </c>
      <c r="C326" s="37">
        <v>46074</v>
      </c>
      <c r="D326" s="39" t="s">
        <v>197</v>
      </c>
      <c r="E326" s="40">
        <v>0.5</v>
      </c>
      <c r="F326" s="40">
        <v>0.54166666666666663</v>
      </c>
      <c r="G326" s="40">
        <v>4.1666666666666664E-2</v>
      </c>
      <c r="H326" s="35" t="s">
        <v>203</v>
      </c>
      <c r="I326" s="42"/>
      <c r="J326" s="35" t="s">
        <v>81</v>
      </c>
      <c r="K326" s="35"/>
      <c r="L326" s="44">
        <v>1</v>
      </c>
      <c r="M326" s="44">
        <v>1</v>
      </c>
      <c r="N326" s="35" t="s">
        <v>33</v>
      </c>
      <c r="O326" s="35"/>
      <c r="P326" s="47">
        <v>0</v>
      </c>
      <c r="Q326" s="44"/>
      <c r="R326" s="47">
        <v>0</v>
      </c>
      <c r="S326" s="35">
        <v>46054</v>
      </c>
      <c r="T326" s="47">
        <v>0</v>
      </c>
      <c r="U326" s="44">
        <v>2</v>
      </c>
      <c r="V326" s="47">
        <v>0</v>
      </c>
      <c r="W326" s="35" t="s">
        <v>34</v>
      </c>
      <c r="X326" s="35" t="s">
        <v>42</v>
      </c>
      <c r="Y326" s="35" t="s">
        <v>36</v>
      </c>
      <c r="Z326" s="35" t="s">
        <v>43</v>
      </c>
      <c r="AA326" s="35" t="s">
        <v>37</v>
      </c>
      <c r="AB326" s="35" t="s">
        <v>37</v>
      </c>
      <c r="AC326" s="35" t="s">
        <v>38</v>
      </c>
      <c r="AD326" s="51" t="s">
        <v>226</v>
      </c>
      <c r="AE326" s="35"/>
      <c r="AF326" s="35"/>
      <c r="AG326" s="35"/>
      <c r="AH326" s="35"/>
      <c r="AI326" s="35"/>
      <c r="AJ326" s="35"/>
      <c r="AK326" s="35"/>
      <c r="AL326" s="35"/>
      <c r="AM326" s="35"/>
      <c r="AN326" s="35"/>
      <c r="AO326" s="35"/>
      <c r="AP326" s="35"/>
      <c r="AQ326" s="35"/>
      <c r="AR326" s="35"/>
      <c r="AS326" s="35"/>
      <c r="AT326" s="35"/>
      <c r="AU326" s="35"/>
      <c r="AV326" s="35"/>
      <c r="AW326" s="35"/>
    </row>
    <row r="327" spans="1:49" ht="31.5" x14ac:dyDescent="0.2">
      <c r="A327" s="35" t="s">
        <v>76</v>
      </c>
      <c r="B327" s="37">
        <v>46075</v>
      </c>
      <c r="C327" s="37">
        <v>46075</v>
      </c>
      <c r="D327" s="39" t="s">
        <v>215</v>
      </c>
      <c r="E327" s="40">
        <v>0.45833333333333331</v>
      </c>
      <c r="F327" s="40">
        <v>0.47916666666666669</v>
      </c>
      <c r="G327" s="40">
        <v>2.0833333333333332E-2</v>
      </c>
      <c r="H327" s="35" t="s">
        <v>77</v>
      </c>
      <c r="I327" s="42"/>
      <c r="J327" s="35" t="s">
        <v>81</v>
      </c>
      <c r="K327" s="35"/>
      <c r="L327" s="44">
        <v>1</v>
      </c>
      <c r="M327" s="44">
        <v>1</v>
      </c>
      <c r="N327" s="35" t="s">
        <v>33</v>
      </c>
      <c r="O327" s="35"/>
      <c r="P327" s="47">
        <v>0</v>
      </c>
      <c r="Q327" s="44"/>
      <c r="R327" s="47">
        <v>0</v>
      </c>
      <c r="S327" s="35">
        <v>46054</v>
      </c>
      <c r="T327" s="47">
        <v>0</v>
      </c>
      <c r="U327" s="44">
        <v>2</v>
      </c>
      <c r="V327" s="47">
        <v>0</v>
      </c>
      <c r="W327" s="35" t="s">
        <v>34</v>
      </c>
      <c r="X327" s="35" t="s">
        <v>42</v>
      </c>
      <c r="Y327" s="35" t="s">
        <v>36</v>
      </c>
      <c r="Z327" s="35" t="s">
        <v>43</v>
      </c>
      <c r="AA327" s="35" t="s">
        <v>37</v>
      </c>
      <c r="AB327" s="35" t="s">
        <v>37</v>
      </c>
      <c r="AC327" s="35" t="s">
        <v>38</v>
      </c>
      <c r="AD327" s="51" t="s">
        <v>226</v>
      </c>
      <c r="AE327" s="35"/>
      <c r="AF327" s="35"/>
      <c r="AG327" s="35"/>
      <c r="AH327" s="35"/>
      <c r="AI327" s="35"/>
      <c r="AJ327" s="35"/>
      <c r="AK327" s="35"/>
      <c r="AL327" s="35"/>
      <c r="AM327" s="35"/>
      <c r="AN327" s="35"/>
      <c r="AO327" s="35"/>
      <c r="AP327" s="35"/>
      <c r="AQ327" s="35"/>
      <c r="AR327" s="35"/>
      <c r="AS327" s="35"/>
      <c r="AT327" s="35"/>
      <c r="AU327" s="35"/>
      <c r="AV327" s="35"/>
      <c r="AW327" s="35"/>
    </row>
    <row r="328" spans="1:49" ht="31.5" x14ac:dyDescent="0.25">
      <c r="A328" s="35" t="s">
        <v>76</v>
      </c>
      <c r="B328" s="37">
        <v>46075</v>
      </c>
      <c r="C328" s="37">
        <v>46075</v>
      </c>
      <c r="D328" s="39" t="s">
        <v>215</v>
      </c>
      <c r="E328" s="40">
        <v>0.47916666666666669</v>
      </c>
      <c r="F328" s="40">
        <v>0.48958333333333331</v>
      </c>
      <c r="G328" s="40">
        <v>1.0416666666666666E-2</v>
      </c>
      <c r="H328" s="35" t="s">
        <v>219</v>
      </c>
      <c r="I328" s="42"/>
      <c r="J328" s="35" t="s">
        <v>81</v>
      </c>
      <c r="K328" s="35"/>
      <c r="L328" s="44">
        <v>1</v>
      </c>
      <c r="M328" s="44">
        <v>1</v>
      </c>
      <c r="N328" s="35" t="s">
        <v>33</v>
      </c>
      <c r="O328" s="35"/>
      <c r="P328" s="47">
        <v>0</v>
      </c>
      <c r="Q328" s="44"/>
      <c r="R328" s="47">
        <v>0</v>
      </c>
      <c r="S328" s="35">
        <v>46054</v>
      </c>
      <c r="T328" s="47">
        <v>0</v>
      </c>
      <c r="U328" s="44">
        <v>2</v>
      </c>
      <c r="V328" s="47">
        <v>0</v>
      </c>
      <c r="W328" s="35" t="s">
        <v>34</v>
      </c>
      <c r="X328" s="35" t="s">
        <v>42</v>
      </c>
      <c r="Y328" s="35" t="s">
        <v>36</v>
      </c>
      <c r="Z328" s="35" t="s">
        <v>43</v>
      </c>
      <c r="AA328" s="35" t="s">
        <v>37</v>
      </c>
      <c r="AB328" s="35" t="s">
        <v>37</v>
      </c>
      <c r="AC328" s="35" t="s">
        <v>38</v>
      </c>
      <c r="AD328" s="51" t="s">
        <v>226</v>
      </c>
      <c r="AE328" s="52"/>
      <c r="AF328" s="52"/>
      <c r="AG328" s="52"/>
      <c r="AH328" s="52"/>
      <c r="AI328" s="52"/>
      <c r="AJ328" s="52"/>
      <c r="AK328" s="52"/>
      <c r="AL328" s="52"/>
      <c r="AM328" s="52"/>
      <c r="AN328" s="52"/>
      <c r="AO328" s="52"/>
      <c r="AP328" s="52"/>
      <c r="AQ328" s="52"/>
      <c r="AR328" s="52"/>
      <c r="AS328" s="52"/>
      <c r="AT328" s="52"/>
      <c r="AU328" s="52"/>
      <c r="AV328" s="52"/>
      <c r="AW328" s="52"/>
    </row>
    <row r="329" spans="1:49" ht="31.5" x14ac:dyDescent="0.25">
      <c r="A329" s="35" t="s">
        <v>76</v>
      </c>
      <c r="B329" s="37">
        <v>46075</v>
      </c>
      <c r="C329" s="37">
        <v>46075</v>
      </c>
      <c r="D329" s="39" t="s">
        <v>215</v>
      </c>
      <c r="E329" s="40">
        <v>0.48958333333333331</v>
      </c>
      <c r="F329" s="40">
        <v>0.5</v>
      </c>
      <c r="G329" s="40">
        <v>1.0416666666666666E-2</v>
      </c>
      <c r="H329" s="35" t="s">
        <v>220</v>
      </c>
      <c r="I329" s="42"/>
      <c r="J329" s="35" t="s">
        <v>81</v>
      </c>
      <c r="K329" s="35"/>
      <c r="L329" s="44">
        <v>1</v>
      </c>
      <c r="M329" s="44">
        <v>1</v>
      </c>
      <c r="N329" s="35" t="s">
        <v>33</v>
      </c>
      <c r="O329" s="35"/>
      <c r="P329" s="47">
        <v>0</v>
      </c>
      <c r="Q329" s="44"/>
      <c r="R329" s="47">
        <v>0</v>
      </c>
      <c r="S329" s="35">
        <v>46054</v>
      </c>
      <c r="T329" s="47">
        <v>0</v>
      </c>
      <c r="U329" s="44">
        <v>2</v>
      </c>
      <c r="V329" s="47">
        <v>0</v>
      </c>
      <c r="W329" s="35" t="s">
        <v>34</v>
      </c>
      <c r="X329" s="35" t="s">
        <v>42</v>
      </c>
      <c r="Y329" s="35" t="s">
        <v>36</v>
      </c>
      <c r="Z329" s="35" t="s">
        <v>43</v>
      </c>
      <c r="AA329" s="35" t="s">
        <v>37</v>
      </c>
      <c r="AB329" s="35" t="s">
        <v>37</v>
      </c>
      <c r="AC329" s="35" t="s">
        <v>38</v>
      </c>
      <c r="AD329" s="51" t="s">
        <v>226</v>
      </c>
      <c r="AE329" s="52"/>
      <c r="AF329" s="52"/>
      <c r="AG329" s="52"/>
      <c r="AH329" s="52"/>
      <c r="AI329" s="52"/>
      <c r="AJ329" s="52"/>
      <c r="AK329" s="52"/>
      <c r="AL329" s="52"/>
      <c r="AM329" s="52"/>
      <c r="AN329" s="52"/>
      <c r="AO329" s="52"/>
      <c r="AP329" s="52"/>
      <c r="AQ329" s="52"/>
      <c r="AR329" s="52"/>
      <c r="AS329" s="52"/>
      <c r="AT329" s="52"/>
      <c r="AU329" s="52"/>
      <c r="AV329" s="52"/>
      <c r="AW329" s="52"/>
    </row>
    <row r="330" spans="1:49" ht="31.5" x14ac:dyDescent="0.25">
      <c r="A330" s="35" t="s">
        <v>76</v>
      </c>
      <c r="B330" s="37">
        <v>46075</v>
      </c>
      <c r="C330" s="37">
        <v>46075</v>
      </c>
      <c r="D330" s="39" t="s">
        <v>215</v>
      </c>
      <c r="E330" s="40">
        <v>0.5</v>
      </c>
      <c r="F330" s="40">
        <v>0.54166666666666663</v>
      </c>
      <c r="G330" s="40">
        <v>4.1666666666666664E-2</v>
      </c>
      <c r="H330" s="35" t="s">
        <v>203</v>
      </c>
      <c r="I330" s="42"/>
      <c r="J330" s="35" t="s">
        <v>81</v>
      </c>
      <c r="K330" s="35"/>
      <c r="L330" s="44">
        <v>1</v>
      </c>
      <c r="M330" s="44">
        <v>1</v>
      </c>
      <c r="N330" s="35" t="s">
        <v>33</v>
      </c>
      <c r="O330" s="35"/>
      <c r="P330" s="47">
        <v>0</v>
      </c>
      <c r="Q330" s="44"/>
      <c r="R330" s="47">
        <v>0</v>
      </c>
      <c r="S330" s="35">
        <v>46054</v>
      </c>
      <c r="T330" s="47">
        <v>0</v>
      </c>
      <c r="U330" s="44">
        <v>2</v>
      </c>
      <c r="V330" s="47">
        <v>0</v>
      </c>
      <c r="W330" s="35" t="s">
        <v>34</v>
      </c>
      <c r="X330" s="35" t="s">
        <v>42</v>
      </c>
      <c r="Y330" s="35" t="s">
        <v>36</v>
      </c>
      <c r="Z330" s="35" t="s">
        <v>43</v>
      </c>
      <c r="AA330" s="35" t="s">
        <v>37</v>
      </c>
      <c r="AB330" s="35" t="s">
        <v>37</v>
      </c>
      <c r="AC330" s="35" t="s">
        <v>38</v>
      </c>
      <c r="AD330" s="51" t="s">
        <v>226</v>
      </c>
      <c r="AE330" s="52"/>
      <c r="AF330" s="52"/>
      <c r="AG330" s="52"/>
      <c r="AH330" s="52"/>
      <c r="AI330" s="52"/>
      <c r="AJ330" s="52"/>
      <c r="AK330" s="52"/>
      <c r="AL330" s="52"/>
      <c r="AM330" s="52"/>
      <c r="AN330" s="52"/>
      <c r="AO330" s="52"/>
      <c r="AP330" s="52"/>
      <c r="AQ330" s="52"/>
      <c r="AR330" s="52"/>
      <c r="AS330" s="52"/>
      <c r="AT330" s="52"/>
      <c r="AU330" s="52"/>
      <c r="AV330" s="52"/>
      <c r="AW330" s="52"/>
    </row>
    <row r="331" spans="1:49" ht="47.25" x14ac:dyDescent="0.2">
      <c r="A331" s="36" t="s">
        <v>44</v>
      </c>
      <c r="B331" s="38">
        <v>46069</v>
      </c>
      <c r="C331" s="38">
        <v>46069</v>
      </c>
      <c r="D331" s="36" t="s">
        <v>30</v>
      </c>
      <c r="E331" s="41">
        <v>0.25</v>
      </c>
      <c r="F331" s="41">
        <v>0.99930555555555556</v>
      </c>
      <c r="G331" s="41">
        <v>1.6203703703703701E-4</v>
      </c>
      <c r="H331" s="36" t="s">
        <v>45</v>
      </c>
      <c r="I331" s="43">
        <v>0.2817824074074074</v>
      </c>
      <c r="J331" s="36" t="s">
        <v>41</v>
      </c>
      <c r="K331" s="36" t="s">
        <v>40</v>
      </c>
      <c r="L331" s="45">
        <v>1</v>
      </c>
      <c r="M331" s="45">
        <v>66852</v>
      </c>
      <c r="N331" s="36" t="s">
        <v>46</v>
      </c>
      <c r="O331" s="45" t="s">
        <v>47</v>
      </c>
      <c r="P331" s="48">
        <v>0</v>
      </c>
      <c r="Q331" s="45"/>
      <c r="R331" s="48">
        <v>0</v>
      </c>
      <c r="S331" s="49">
        <v>46054</v>
      </c>
      <c r="T331" s="48">
        <v>0</v>
      </c>
      <c r="U331" s="50">
        <v>4</v>
      </c>
      <c r="V331" s="48">
        <v>0</v>
      </c>
      <c r="W331" s="36" t="s">
        <v>48</v>
      </c>
      <c r="X331" s="36" t="s">
        <v>49</v>
      </c>
      <c r="Y331" s="36" t="s">
        <v>36</v>
      </c>
      <c r="Z331" s="36" t="s">
        <v>9</v>
      </c>
      <c r="AA331" s="36" t="s">
        <v>50</v>
      </c>
      <c r="AB331" s="36" t="s">
        <v>51</v>
      </c>
      <c r="AC331" s="36" t="s">
        <v>38</v>
      </c>
      <c r="AD331" s="51" t="s">
        <v>226</v>
      </c>
      <c r="AE331" s="35"/>
      <c r="AF331" s="35"/>
      <c r="AG331" s="35"/>
      <c r="AH331" s="35"/>
      <c r="AI331" s="35"/>
      <c r="AJ331" s="35"/>
      <c r="AK331" s="35"/>
      <c r="AL331" s="35"/>
      <c r="AM331" s="35"/>
      <c r="AN331" s="35"/>
      <c r="AO331" s="35"/>
      <c r="AP331" s="35"/>
      <c r="AQ331" s="35"/>
      <c r="AR331" s="35"/>
      <c r="AS331" s="35"/>
      <c r="AT331" s="35"/>
      <c r="AU331" s="35"/>
      <c r="AV331" s="35"/>
      <c r="AW331" s="35"/>
    </row>
    <row r="332" spans="1:49" ht="47.25" x14ac:dyDescent="0.25">
      <c r="A332" s="36" t="s">
        <v>44</v>
      </c>
      <c r="B332" s="38">
        <v>46069</v>
      </c>
      <c r="C332" s="38">
        <v>46069</v>
      </c>
      <c r="D332" s="36" t="s">
        <v>30</v>
      </c>
      <c r="E332" s="41">
        <v>0.25</v>
      </c>
      <c r="F332" s="41">
        <v>0.99930555555555556</v>
      </c>
      <c r="G332" s="41">
        <v>1.7361111111111109E-4</v>
      </c>
      <c r="H332" s="36" t="s">
        <v>55</v>
      </c>
      <c r="I332" s="43">
        <v>0.95473379629629629</v>
      </c>
      <c r="J332" s="36" t="s">
        <v>41</v>
      </c>
      <c r="K332" s="36" t="s">
        <v>145</v>
      </c>
      <c r="L332" s="45">
        <v>1</v>
      </c>
      <c r="M332" s="45">
        <v>66852</v>
      </c>
      <c r="N332" s="36" t="s">
        <v>46</v>
      </c>
      <c r="O332" s="45" t="s">
        <v>47</v>
      </c>
      <c r="P332" s="48">
        <v>0</v>
      </c>
      <c r="Q332" s="45"/>
      <c r="R332" s="48">
        <v>0</v>
      </c>
      <c r="S332" s="49">
        <v>46054</v>
      </c>
      <c r="T332" s="48">
        <v>0</v>
      </c>
      <c r="U332" s="50">
        <v>4</v>
      </c>
      <c r="V332" s="48">
        <v>0</v>
      </c>
      <c r="W332" s="36" t="s">
        <v>48</v>
      </c>
      <c r="X332" s="36" t="s">
        <v>49</v>
      </c>
      <c r="Y332" s="36" t="s">
        <v>36</v>
      </c>
      <c r="Z332" s="36" t="s">
        <v>9</v>
      </c>
      <c r="AA332" s="36" t="s">
        <v>50</v>
      </c>
      <c r="AB332" s="36" t="s">
        <v>51</v>
      </c>
      <c r="AC332" s="36" t="s">
        <v>38</v>
      </c>
      <c r="AD332" s="51" t="s">
        <v>226</v>
      </c>
      <c r="AE332" s="52"/>
      <c r="AF332" s="52"/>
      <c r="AG332" s="52"/>
      <c r="AH332" s="52"/>
      <c r="AI332" s="52"/>
      <c r="AJ332" s="52"/>
      <c r="AK332" s="52"/>
      <c r="AL332" s="52"/>
      <c r="AM332" s="52"/>
      <c r="AN332" s="52"/>
      <c r="AO332" s="52"/>
      <c r="AP332" s="52"/>
      <c r="AQ332" s="52"/>
      <c r="AR332" s="52"/>
      <c r="AS332" s="52"/>
      <c r="AT332" s="52"/>
      <c r="AU332" s="52"/>
      <c r="AV332" s="52"/>
      <c r="AW332" s="52"/>
    </row>
    <row r="333" spans="1:49" ht="47.25" x14ac:dyDescent="0.25">
      <c r="A333" s="36" t="s">
        <v>44</v>
      </c>
      <c r="B333" s="38">
        <v>46069</v>
      </c>
      <c r="C333" s="38">
        <v>46069</v>
      </c>
      <c r="D333" s="36" t="s">
        <v>30</v>
      </c>
      <c r="E333" s="41">
        <v>0.79166666666666663</v>
      </c>
      <c r="F333" s="41">
        <v>0.99930555555555556</v>
      </c>
      <c r="G333" s="41">
        <v>1.7361111111111109E-4</v>
      </c>
      <c r="H333" s="36" t="s">
        <v>124</v>
      </c>
      <c r="I333" s="43">
        <v>0.80503472222222228</v>
      </c>
      <c r="J333" s="36" t="s">
        <v>123</v>
      </c>
      <c r="K333" s="36" t="s">
        <v>122</v>
      </c>
      <c r="L333" s="45">
        <v>1</v>
      </c>
      <c r="M333" s="45">
        <v>66849</v>
      </c>
      <c r="N333" s="36" t="s">
        <v>58</v>
      </c>
      <c r="O333" s="45" t="s">
        <v>47</v>
      </c>
      <c r="P333" s="48">
        <v>0</v>
      </c>
      <c r="Q333" s="45"/>
      <c r="R333" s="48">
        <v>0</v>
      </c>
      <c r="S333" s="49">
        <v>46054</v>
      </c>
      <c r="T333" s="48">
        <v>0</v>
      </c>
      <c r="U333" s="50">
        <v>4</v>
      </c>
      <c r="V333" s="48">
        <v>59.5</v>
      </c>
      <c r="W333" s="36" t="s">
        <v>48</v>
      </c>
      <c r="X333" s="36" t="s">
        <v>49</v>
      </c>
      <c r="Y333" s="36" t="s">
        <v>36</v>
      </c>
      <c r="Z333" s="36" t="s">
        <v>9</v>
      </c>
      <c r="AA333" s="36" t="s">
        <v>50</v>
      </c>
      <c r="AB333" s="36" t="s">
        <v>51</v>
      </c>
      <c r="AC333" s="36" t="s">
        <v>38</v>
      </c>
      <c r="AD333" s="51" t="s">
        <v>226</v>
      </c>
      <c r="AE333" s="52"/>
      <c r="AF333" s="52"/>
      <c r="AG333" s="52"/>
      <c r="AH333" s="52"/>
      <c r="AI333" s="52"/>
      <c r="AJ333" s="52"/>
      <c r="AK333" s="52"/>
      <c r="AL333" s="52"/>
      <c r="AM333" s="52"/>
      <c r="AN333" s="52"/>
      <c r="AO333" s="52"/>
      <c r="AP333" s="52"/>
      <c r="AQ333" s="52"/>
      <c r="AR333" s="52"/>
      <c r="AS333" s="52"/>
      <c r="AT333" s="52"/>
      <c r="AU333" s="52"/>
      <c r="AV333" s="52"/>
      <c r="AW333" s="52"/>
    </row>
    <row r="334" spans="1:49" ht="47.25" x14ac:dyDescent="0.2">
      <c r="A334" s="36" t="s">
        <v>44</v>
      </c>
      <c r="B334" s="38">
        <v>46069</v>
      </c>
      <c r="C334" s="38">
        <v>46069</v>
      </c>
      <c r="D334" s="36" t="s">
        <v>30</v>
      </c>
      <c r="E334" s="41">
        <v>0.79166666666666663</v>
      </c>
      <c r="F334" s="41">
        <v>0.99930555555555556</v>
      </c>
      <c r="G334" s="41">
        <v>1.6203703703703701E-4</v>
      </c>
      <c r="H334" s="36" t="s">
        <v>129</v>
      </c>
      <c r="I334" s="43">
        <v>0.82241898148148151</v>
      </c>
      <c r="J334" s="36" t="s">
        <v>123</v>
      </c>
      <c r="K334" s="36" t="s">
        <v>143</v>
      </c>
      <c r="L334" s="45">
        <v>1</v>
      </c>
      <c r="M334" s="45">
        <v>66849</v>
      </c>
      <c r="N334" s="36" t="s">
        <v>58</v>
      </c>
      <c r="O334" s="45" t="s">
        <v>47</v>
      </c>
      <c r="P334" s="48">
        <v>0</v>
      </c>
      <c r="Q334" s="45"/>
      <c r="R334" s="48">
        <v>0</v>
      </c>
      <c r="S334" s="49">
        <v>46054</v>
      </c>
      <c r="T334" s="48">
        <v>0</v>
      </c>
      <c r="U334" s="50">
        <v>4</v>
      </c>
      <c r="V334" s="48">
        <v>59.5</v>
      </c>
      <c r="W334" s="36" t="s">
        <v>48</v>
      </c>
      <c r="X334" s="36" t="s">
        <v>49</v>
      </c>
      <c r="Y334" s="36" t="s">
        <v>36</v>
      </c>
      <c r="Z334" s="36" t="s">
        <v>9</v>
      </c>
      <c r="AA334" s="36" t="s">
        <v>50</v>
      </c>
      <c r="AB334" s="36" t="s">
        <v>51</v>
      </c>
      <c r="AC334" s="36" t="s">
        <v>38</v>
      </c>
      <c r="AD334" s="51" t="s">
        <v>226</v>
      </c>
      <c r="AE334" s="35"/>
      <c r="AF334" s="35"/>
      <c r="AG334" s="35"/>
      <c r="AH334" s="35"/>
      <c r="AI334" s="35"/>
      <c r="AJ334" s="35"/>
      <c r="AK334" s="35"/>
      <c r="AL334" s="35"/>
      <c r="AM334" s="35"/>
      <c r="AN334" s="35"/>
      <c r="AO334" s="35"/>
      <c r="AP334" s="35"/>
      <c r="AQ334" s="35"/>
      <c r="AR334" s="35"/>
      <c r="AS334" s="35"/>
      <c r="AT334" s="35"/>
      <c r="AU334" s="35"/>
      <c r="AV334" s="35"/>
      <c r="AW334" s="35"/>
    </row>
    <row r="335" spans="1:49" ht="47.25" x14ac:dyDescent="0.25">
      <c r="A335" s="36" t="s">
        <v>44</v>
      </c>
      <c r="B335" s="38">
        <v>46069</v>
      </c>
      <c r="C335" s="38">
        <v>46069</v>
      </c>
      <c r="D335" s="36" t="s">
        <v>30</v>
      </c>
      <c r="E335" s="41">
        <v>0.83333333333333337</v>
      </c>
      <c r="F335" s="41">
        <v>0.875</v>
      </c>
      <c r="G335" s="41">
        <v>1.6203703703703701E-4</v>
      </c>
      <c r="H335" s="36" t="s">
        <v>45</v>
      </c>
      <c r="I335" s="43">
        <v>0.84460648148148143</v>
      </c>
      <c r="J335" s="36" t="s">
        <v>41</v>
      </c>
      <c r="K335" s="36" t="s">
        <v>144</v>
      </c>
      <c r="L335" s="45">
        <v>1</v>
      </c>
      <c r="M335" s="45">
        <v>66850</v>
      </c>
      <c r="N335" s="36" t="s">
        <v>58</v>
      </c>
      <c r="O335" s="45" t="s">
        <v>47</v>
      </c>
      <c r="P335" s="48">
        <v>0</v>
      </c>
      <c r="Q335" s="45"/>
      <c r="R335" s="48">
        <v>0</v>
      </c>
      <c r="S335" s="49">
        <v>46054</v>
      </c>
      <c r="T335" s="48">
        <v>0</v>
      </c>
      <c r="U335" s="50">
        <v>4</v>
      </c>
      <c r="V335" s="48">
        <v>59.5</v>
      </c>
      <c r="W335" s="36" t="s">
        <v>48</v>
      </c>
      <c r="X335" s="36" t="s">
        <v>49</v>
      </c>
      <c r="Y335" s="36" t="s">
        <v>36</v>
      </c>
      <c r="Z335" s="36" t="s">
        <v>9</v>
      </c>
      <c r="AA335" s="36" t="s">
        <v>50</v>
      </c>
      <c r="AB335" s="36" t="s">
        <v>51</v>
      </c>
      <c r="AC335" s="36" t="s">
        <v>38</v>
      </c>
      <c r="AD335" s="51" t="s">
        <v>226</v>
      </c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  <c r="AQ335" s="52"/>
      <c r="AR335" s="52"/>
      <c r="AS335" s="52"/>
      <c r="AT335" s="52"/>
      <c r="AU335" s="52"/>
      <c r="AV335" s="52"/>
      <c r="AW335" s="52"/>
    </row>
    <row r="336" spans="1:49" ht="47.25" x14ac:dyDescent="0.25">
      <c r="A336" s="36" t="s">
        <v>44</v>
      </c>
      <c r="B336" s="38">
        <v>46069</v>
      </c>
      <c r="C336" s="38">
        <v>46069</v>
      </c>
      <c r="D336" s="36" t="s">
        <v>30</v>
      </c>
      <c r="E336" s="41">
        <v>0.83333333333333337</v>
      </c>
      <c r="F336" s="41">
        <v>0.875</v>
      </c>
      <c r="G336" s="41">
        <v>1.7361111111111109E-4</v>
      </c>
      <c r="H336" s="36" t="s">
        <v>55</v>
      </c>
      <c r="I336" s="43">
        <v>0.85509259259259263</v>
      </c>
      <c r="J336" s="36" t="s">
        <v>41</v>
      </c>
      <c r="K336" s="36" t="s">
        <v>144</v>
      </c>
      <c r="L336" s="45">
        <v>1</v>
      </c>
      <c r="M336" s="45">
        <v>66850</v>
      </c>
      <c r="N336" s="36" t="s">
        <v>58</v>
      </c>
      <c r="O336" s="45" t="s">
        <v>47</v>
      </c>
      <c r="P336" s="48">
        <v>0</v>
      </c>
      <c r="Q336" s="45"/>
      <c r="R336" s="48">
        <v>0</v>
      </c>
      <c r="S336" s="49">
        <v>46054</v>
      </c>
      <c r="T336" s="48">
        <v>0</v>
      </c>
      <c r="U336" s="50">
        <v>4</v>
      </c>
      <c r="V336" s="48">
        <v>59.5</v>
      </c>
      <c r="W336" s="36" t="s">
        <v>48</v>
      </c>
      <c r="X336" s="36" t="s">
        <v>49</v>
      </c>
      <c r="Y336" s="36" t="s">
        <v>36</v>
      </c>
      <c r="Z336" s="36" t="s">
        <v>9</v>
      </c>
      <c r="AA336" s="36" t="s">
        <v>50</v>
      </c>
      <c r="AB336" s="36" t="s">
        <v>51</v>
      </c>
      <c r="AC336" s="36" t="s">
        <v>38</v>
      </c>
      <c r="AD336" s="51" t="s">
        <v>226</v>
      </c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</row>
    <row r="337" spans="1:49" ht="47.25" x14ac:dyDescent="0.2">
      <c r="A337" s="36" t="s">
        <v>44</v>
      </c>
      <c r="B337" s="38">
        <v>46069</v>
      </c>
      <c r="C337" s="38">
        <v>46069</v>
      </c>
      <c r="D337" s="36" t="s">
        <v>30</v>
      </c>
      <c r="E337" s="41">
        <v>0.83333333333333337</v>
      </c>
      <c r="F337" s="41">
        <v>0.875</v>
      </c>
      <c r="G337" s="41">
        <v>1.6203703703703701E-4</v>
      </c>
      <c r="H337" s="36" t="s">
        <v>45</v>
      </c>
      <c r="I337" s="43">
        <v>0.86715277777777777</v>
      </c>
      <c r="J337" s="36" t="s">
        <v>41</v>
      </c>
      <c r="K337" s="36" t="s">
        <v>144</v>
      </c>
      <c r="L337" s="45">
        <v>1</v>
      </c>
      <c r="M337" s="45">
        <v>66850</v>
      </c>
      <c r="N337" s="36" t="s">
        <v>58</v>
      </c>
      <c r="O337" s="45" t="s">
        <v>47</v>
      </c>
      <c r="P337" s="48">
        <v>0</v>
      </c>
      <c r="Q337" s="45"/>
      <c r="R337" s="48">
        <v>0</v>
      </c>
      <c r="S337" s="49">
        <v>46054</v>
      </c>
      <c r="T337" s="48">
        <v>0</v>
      </c>
      <c r="U337" s="50">
        <v>4</v>
      </c>
      <c r="V337" s="48">
        <v>59.5</v>
      </c>
      <c r="W337" s="36" t="s">
        <v>48</v>
      </c>
      <c r="X337" s="36" t="s">
        <v>49</v>
      </c>
      <c r="Y337" s="36" t="s">
        <v>36</v>
      </c>
      <c r="Z337" s="36" t="s">
        <v>9</v>
      </c>
      <c r="AA337" s="36" t="s">
        <v>50</v>
      </c>
      <c r="AB337" s="36" t="s">
        <v>51</v>
      </c>
      <c r="AC337" s="36" t="s">
        <v>38</v>
      </c>
      <c r="AD337" s="51" t="s">
        <v>226</v>
      </c>
      <c r="AE337" s="35"/>
      <c r="AF337" s="35"/>
      <c r="AG337" s="35"/>
      <c r="AH337" s="35"/>
      <c r="AI337" s="35"/>
      <c r="AJ337" s="35"/>
      <c r="AK337" s="35"/>
      <c r="AL337" s="35"/>
      <c r="AM337" s="35"/>
      <c r="AN337" s="35"/>
      <c r="AO337" s="35"/>
      <c r="AP337" s="35"/>
      <c r="AQ337" s="35"/>
      <c r="AR337" s="35"/>
      <c r="AS337" s="35"/>
      <c r="AT337" s="35"/>
      <c r="AU337" s="35"/>
      <c r="AV337" s="35"/>
      <c r="AW337" s="35"/>
    </row>
    <row r="338" spans="1:49" ht="47.25" x14ac:dyDescent="0.25">
      <c r="A338" s="36" t="s">
        <v>44</v>
      </c>
      <c r="B338" s="38">
        <v>46070</v>
      </c>
      <c r="C338" s="38">
        <v>46070</v>
      </c>
      <c r="D338" s="36" t="s">
        <v>146</v>
      </c>
      <c r="E338" s="41">
        <v>0.25</v>
      </c>
      <c r="F338" s="41">
        <v>0.99930555555555556</v>
      </c>
      <c r="G338" s="41">
        <v>1.7361111111111109E-4</v>
      </c>
      <c r="H338" s="36" t="s">
        <v>124</v>
      </c>
      <c r="I338" s="43">
        <v>0.81178240740740737</v>
      </c>
      <c r="J338" s="36" t="s">
        <v>41</v>
      </c>
      <c r="K338" s="36" t="s">
        <v>122</v>
      </c>
      <c r="L338" s="45">
        <v>1</v>
      </c>
      <c r="M338" s="45">
        <v>66852</v>
      </c>
      <c r="N338" s="36" t="s">
        <v>46</v>
      </c>
      <c r="O338" s="45" t="s">
        <v>47</v>
      </c>
      <c r="P338" s="48">
        <v>0</v>
      </c>
      <c r="Q338" s="45"/>
      <c r="R338" s="48">
        <v>0</v>
      </c>
      <c r="S338" s="49">
        <v>46054</v>
      </c>
      <c r="T338" s="48">
        <v>0</v>
      </c>
      <c r="U338" s="50">
        <v>4</v>
      </c>
      <c r="V338" s="48">
        <v>0</v>
      </c>
      <c r="W338" s="36" t="s">
        <v>48</v>
      </c>
      <c r="X338" s="36" t="s">
        <v>49</v>
      </c>
      <c r="Y338" s="36" t="s">
        <v>36</v>
      </c>
      <c r="Z338" s="36" t="s">
        <v>9</v>
      </c>
      <c r="AA338" s="36" t="s">
        <v>50</v>
      </c>
      <c r="AB338" s="36" t="s">
        <v>51</v>
      </c>
      <c r="AC338" s="36" t="s">
        <v>38</v>
      </c>
      <c r="AD338" s="51" t="s">
        <v>226</v>
      </c>
      <c r="AE338" s="52"/>
      <c r="AF338" s="52"/>
      <c r="AG338" s="52"/>
      <c r="AH338" s="52"/>
      <c r="AI338" s="52"/>
      <c r="AJ338" s="52"/>
      <c r="AK338" s="52"/>
      <c r="AL338" s="52"/>
      <c r="AM338" s="52"/>
      <c r="AN338" s="52"/>
      <c r="AO338" s="52"/>
      <c r="AP338" s="52"/>
      <c r="AQ338" s="52"/>
      <c r="AR338" s="52"/>
      <c r="AS338" s="52"/>
      <c r="AT338" s="52"/>
      <c r="AU338" s="52"/>
      <c r="AV338" s="52"/>
      <c r="AW338" s="52"/>
    </row>
    <row r="339" spans="1:49" ht="47.25" x14ac:dyDescent="0.25">
      <c r="A339" s="36" t="s">
        <v>44</v>
      </c>
      <c r="B339" s="38">
        <v>46070</v>
      </c>
      <c r="C339" s="38">
        <v>46070</v>
      </c>
      <c r="D339" s="36" t="s">
        <v>146</v>
      </c>
      <c r="E339" s="41">
        <v>0.25</v>
      </c>
      <c r="F339" s="41">
        <v>0.99930555555555556</v>
      </c>
      <c r="G339" s="41">
        <v>1.6203703703703701E-4</v>
      </c>
      <c r="H339" s="36" t="s">
        <v>45</v>
      </c>
      <c r="I339" s="43">
        <v>0.94719907407407411</v>
      </c>
      <c r="J339" s="36" t="s">
        <v>41</v>
      </c>
      <c r="K339" s="36" t="s">
        <v>163</v>
      </c>
      <c r="L339" s="45">
        <v>1</v>
      </c>
      <c r="M339" s="45">
        <v>66852</v>
      </c>
      <c r="N339" s="36" t="s">
        <v>46</v>
      </c>
      <c r="O339" s="45" t="s">
        <v>47</v>
      </c>
      <c r="P339" s="48">
        <v>0</v>
      </c>
      <c r="Q339" s="45"/>
      <c r="R339" s="48">
        <v>0</v>
      </c>
      <c r="S339" s="49">
        <v>46054</v>
      </c>
      <c r="T339" s="48">
        <v>0</v>
      </c>
      <c r="U339" s="50">
        <v>4</v>
      </c>
      <c r="V339" s="48">
        <v>0</v>
      </c>
      <c r="W339" s="36" t="s">
        <v>48</v>
      </c>
      <c r="X339" s="36" t="s">
        <v>49</v>
      </c>
      <c r="Y339" s="36" t="s">
        <v>36</v>
      </c>
      <c r="Z339" s="36" t="s">
        <v>9</v>
      </c>
      <c r="AA339" s="36" t="s">
        <v>50</v>
      </c>
      <c r="AB339" s="36" t="s">
        <v>51</v>
      </c>
      <c r="AC339" s="36" t="s">
        <v>38</v>
      </c>
      <c r="AD339" s="51" t="s">
        <v>226</v>
      </c>
      <c r="AE339" s="52"/>
      <c r="AF339" s="52"/>
      <c r="AG339" s="52"/>
      <c r="AH339" s="52"/>
      <c r="AI339" s="52"/>
      <c r="AJ339" s="52"/>
      <c r="AK339" s="52"/>
      <c r="AL339" s="52"/>
      <c r="AM339" s="52"/>
      <c r="AN339" s="52"/>
      <c r="AO339" s="52"/>
      <c r="AP339" s="52"/>
      <c r="AQ339" s="52"/>
      <c r="AR339" s="52"/>
      <c r="AS339" s="52"/>
      <c r="AT339" s="52"/>
      <c r="AU339" s="52"/>
      <c r="AV339" s="52"/>
      <c r="AW339" s="52"/>
    </row>
    <row r="340" spans="1:49" ht="47.25" x14ac:dyDescent="0.2">
      <c r="A340" s="36" t="s">
        <v>44</v>
      </c>
      <c r="B340" s="38">
        <v>46070</v>
      </c>
      <c r="C340" s="38">
        <v>46070</v>
      </c>
      <c r="D340" s="36" t="s">
        <v>146</v>
      </c>
      <c r="E340" s="41">
        <v>0.79166666666666663</v>
      </c>
      <c r="F340" s="41">
        <v>0.99930555555555556</v>
      </c>
      <c r="G340" s="41">
        <v>1.6203703703703701E-4</v>
      </c>
      <c r="H340" s="36" t="s">
        <v>129</v>
      </c>
      <c r="I340" s="43">
        <v>0.83246527777777779</v>
      </c>
      <c r="J340" s="36" t="s">
        <v>123</v>
      </c>
      <c r="K340" s="36" t="s">
        <v>143</v>
      </c>
      <c r="L340" s="45">
        <v>1</v>
      </c>
      <c r="M340" s="45">
        <v>66849</v>
      </c>
      <c r="N340" s="36" t="s">
        <v>58</v>
      </c>
      <c r="O340" s="45" t="s">
        <v>47</v>
      </c>
      <c r="P340" s="48">
        <v>0</v>
      </c>
      <c r="Q340" s="45"/>
      <c r="R340" s="48">
        <v>0</v>
      </c>
      <c r="S340" s="49">
        <v>46054</v>
      </c>
      <c r="T340" s="48">
        <v>0</v>
      </c>
      <c r="U340" s="50">
        <v>4</v>
      </c>
      <c r="V340" s="48">
        <v>59.5</v>
      </c>
      <c r="W340" s="36" t="s">
        <v>48</v>
      </c>
      <c r="X340" s="36" t="s">
        <v>49</v>
      </c>
      <c r="Y340" s="36" t="s">
        <v>36</v>
      </c>
      <c r="Z340" s="36" t="s">
        <v>9</v>
      </c>
      <c r="AA340" s="36" t="s">
        <v>50</v>
      </c>
      <c r="AB340" s="36" t="s">
        <v>51</v>
      </c>
      <c r="AC340" s="36" t="s">
        <v>38</v>
      </c>
      <c r="AD340" s="51" t="s">
        <v>226</v>
      </c>
      <c r="AE340" s="35"/>
      <c r="AF340" s="35"/>
      <c r="AG340" s="35"/>
      <c r="AH340" s="35"/>
      <c r="AI340" s="35"/>
      <c r="AJ340" s="35"/>
      <c r="AK340" s="35"/>
      <c r="AL340" s="35"/>
      <c r="AM340" s="35"/>
      <c r="AN340" s="35"/>
      <c r="AO340" s="35"/>
      <c r="AP340" s="35"/>
      <c r="AQ340" s="35"/>
      <c r="AR340" s="35"/>
      <c r="AS340" s="35"/>
      <c r="AT340" s="35"/>
      <c r="AU340" s="35"/>
      <c r="AV340" s="35"/>
      <c r="AW340" s="35"/>
    </row>
    <row r="341" spans="1:49" ht="47.25" x14ac:dyDescent="0.2">
      <c r="A341" s="36" t="s">
        <v>44</v>
      </c>
      <c r="B341" s="38">
        <v>46070</v>
      </c>
      <c r="C341" s="38">
        <v>46070</v>
      </c>
      <c r="D341" s="36" t="s">
        <v>146</v>
      </c>
      <c r="E341" s="41">
        <v>0.79166666666666663</v>
      </c>
      <c r="F341" s="41">
        <v>0.99930555555555556</v>
      </c>
      <c r="G341" s="41">
        <v>1.6203703703703701E-4</v>
      </c>
      <c r="H341" s="36" t="s">
        <v>129</v>
      </c>
      <c r="I341" s="43">
        <v>0.99089120370370365</v>
      </c>
      <c r="J341" s="36" t="s">
        <v>123</v>
      </c>
      <c r="K341" s="36" t="s">
        <v>136</v>
      </c>
      <c r="L341" s="45">
        <v>1</v>
      </c>
      <c r="M341" s="45">
        <v>66849</v>
      </c>
      <c r="N341" s="36" t="s">
        <v>58</v>
      </c>
      <c r="O341" s="45" t="s">
        <v>47</v>
      </c>
      <c r="P341" s="48">
        <v>0</v>
      </c>
      <c r="Q341" s="45"/>
      <c r="R341" s="48">
        <v>0</v>
      </c>
      <c r="S341" s="49">
        <v>46054</v>
      </c>
      <c r="T341" s="48">
        <v>0</v>
      </c>
      <c r="U341" s="50">
        <v>4</v>
      </c>
      <c r="V341" s="48">
        <v>59.5</v>
      </c>
      <c r="W341" s="36" t="s">
        <v>48</v>
      </c>
      <c r="X341" s="36" t="s">
        <v>49</v>
      </c>
      <c r="Y341" s="36" t="s">
        <v>36</v>
      </c>
      <c r="Z341" s="36" t="s">
        <v>9</v>
      </c>
      <c r="AA341" s="36" t="s">
        <v>50</v>
      </c>
      <c r="AB341" s="36" t="s">
        <v>51</v>
      </c>
      <c r="AC341" s="36" t="s">
        <v>38</v>
      </c>
      <c r="AD341" s="51" t="s">
        <v>226</v>
      </c>
      <c r="AE341" s="35"/>
      <c r="AF341" s="35"/>
      <c r="AG341" s="35"/>
      <c r="AH341" s="35"/>
      <c r="AI341" s="35"/>
      <c r="AJ341" s="35"/>
      <c r="AK341" s="35"/>
      <c r="AL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</row>
    <row r="342" spans="1:49" ht="47.25" x14ac:dyDescent="0.25">
      <c r="A342" s="36" t="s">
        <v>44</v>
      </c>
      <c r="B342" s="38">
        <v>46070</v>
      </c>
      <c r="C342" s="38">
        <v>46070</v>
      </c>
      <c r="D342" s="36" t="s">
        <v>146</v>
      </c>
      <c r="E342" s="41">
        <v>0.83333333333333337</v>
      </c>
      <c r="F342" s="41">
        <v>0.875</v>
      </c>
      <c r="G342" s="41">
        <v>1.6203703703703701E-4</v>
      </c>
      <c r="H342" s="36" t="s">
        <v>45</v>
      </c>
      <c r="I342" s="43">
        <v>0.84461805555555558</v>
      </c>
      <c r="J342" s="36" t="s">
        <v>41</v>
      </c>
      <c r="K342" s="36" t="s">
        <v>144</v>
      </c>
      <c r="L342" s="45">
        <v>1</v>
      </c>
      <c r="M342" s="45">
        <v>66850</v>
      </c>
      <c r="N342" s="36" t="s">
        <v>58</v>
      </c>
      <c r="O342" s="45" t="s">
        <v>47</v>
      </c>
      <c r="P342" s="48">
        <v>0</v>
      </c>
      <c r="Q342" s="45"/>
      <c r="R342" s="48">
        <v>0</v>
      </c>
      <c r="S342" s="49">
        <v>46054</v>
      </c>
      <c r="T342" s="48">
        <v>0</v>
      </c>
      <c r="U342" s="50">
        <v>4</v>
      </c>
      <c r="V342" s="48">
        <v>59.5</v>
      </c>
      <c r="W342" s="36" t="s">
        <v>48</v>
      </c>
      <c r="X342" s="36" t="s">
        <v>49</v>
      </c>
      <c r="Y342" s="36" t="s">
        <v>36</v>
      </c>
      <c r="Z342" s="36" t="s">
        <v>9</v>
      </c>
      <c r="AA342" s="36" t="s">
        <v>50</v>
      </c>
      <c r="AB342" s="36" t="s">
        <v>51</v>
      </c>
      <c r="AC342" s="36" t="s">
        <v>38</v>
      </c>
      <c r="AD342" s="51" t="s">
        <v>226</v>
      </c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</row>
    <row r="343" spans="1:49" ht="47.25" x14ac:dyDescent="0.25">
      <c r="A343" s="36" t="s">
        <v>44</v>
      </c>
      <c r="B343" s="38">
        <v>46070</v>
      </c>
      <c r="C343" s="38">
        <v>46070</v>
      </c>
      <c r="D343" s="36" t="s">
        <v>146</v>
      </c>
      <c r="E343" s="41">
        <v>0.83333333333333337</v>
      </c>
      <c r="F343" s="41">
        <v>0.875</v>
      </c>
      <c r="G343" s="41">
        <v>1.7361111111111109E-4</v>
      </c>
      <c r="H343" s="36" t="s">
        <v>55</v>
      </c>
      <c r="I343" s="43">
        <v>0.87472222222222218</v>
      </c>
      <c r="J343" s="36" t="s">
        <v>41</v>
      </c>
      <c r="K343" s="36" t="s">
        <v>144</v>
      </c>
      <c r="L343" s="45">
        <v>1</v>
      </c>
      <c r="M343" s="45">
        <v>66850</v>
      </c>
      <c r="N343" s="36" t="s">
        <v>58</v>
      </c>
      <c r="O343" s="45" t="s">
        <v>47</v>
      </c>
      <c r="P343" s="48">
        <v>0</v>
      </c>
      <c r="Q343" s="45"/>
      <c r="R343" s="48">
        <v>0</v>
      </c>
      <c r="S343" s="49">
        <v>46054</v>
      </c>
      <c r="T343" s="48">
        <v>0</v>
      </c>
      <c r="U343" s="50">
        <v>4</v>
      </c>
      <c r="V343" s="48">
        <v>59.5</v>
      </c>
      <c r="W343" s="36" t="s">
        <v>48</v>
      </c>
      <c r="X343" s="36" t="s">
        <v>49</v>
      </c>
      <c r="Y343" s="36" t="s">
        <v>36</v>
      </c>
      <c r="Z343" s="36" t="s">
        <v>9</v>
      </c>
      <c r="AA343" s="36" t="s">
        <v>50</v>
      </c>
      <c r="AB343" s="36" t="s">
        <v>51</v>
      </c>
      <c r="AC343" s="36" t="s">
        <v>38</v>
      </c>
      <c r="AD343" s="51" t="s">
        <v>226</v>
      </c>
      <c r="AE343" s="52"/>
      <c r="AF343" s="52"/>
      <c r="AG343" s="52"/>
      <c r="AH343" s="52"/>
      <c r="AI343" s="52"/>
      <c r="AJ343" s="52"/>
      <c r="AK343" s="52"/>
      <c r="AL343" s="52"/>
      <c r="AM343" s="52"/>
      <c r="AN343" s="52"/>
      <c r="AO343" s="52"/>
      <c r="AP343" s="52"/>
      <c r="AQ343" s="52"/>
      <c r="AR343" s="52"/>
      <c r="AS343" s="52"/>
      <c r="AT343" s="52"/>
      <c r="AU343" s="52"/>
      <c r="AV343" s="52"/>
      <c r="AW343" s="52"/>
    </row>
    <row r="344" spans="1:49" ht="47.25" x14ac:dyDescent="0.2">
      <c r="A344" s="36" t="s">
        <v>44</v>
      </c>
      <c r="B344" s="38">
        <v>46071</v>
      </c>
      <c r="C344" s="38">
        <v>46071</v>
      </c>
      <c r="D344" s="36" t="s">
        <v>164</v>
      </c>
      <c r="E344" s="41">
        <v>0.79166666666666663</v>
      </c>
      <c r="F344" s="41">
        <v>0.99930555555555556</v>
      </c>
      <c r="G344" s="41">
        <v>1.7361111111111109E-4</v>
      </c>
      <c r="H344" s="36" t="s">
        <v>124</v>
      </c>
      <c r="I344" s="43">
        <v>0.82179398148148153</v>
      </c>
      <c r="J344" s="36" t="s">
        <v>123</v>
      </c>
      <c r="K344" s="36" t="s">
        <v>143</v>
      </c>
      <c r="L344" s="45">
        <v>1</v>
      </c>
      <c r="M344" s="45">
        <v>66849</v>
      </c>
      <c r="N344" s="36" t="s">
        <v>58</v>
      </c>
      <c r="O344" s="45" t="s">
        <v>47</v>
      </c>
      <c r="P344" s="48">
        <v>0</v>
      </c>
      <c r="Q344" s="45"/>
      <c r="R344" s="48">
        <v>0</v>
      </c>
      <c r="S344" s="49">
        <v>46054</v>
      </c>
      <c r="T344" s="48">
        <v>0</v>
      </c>
      <c r="U344" s="50">
        <v>4</v>
      </c>
      <c r="V344" s="48">
        <v>59.5</v>
      </c>
      <c r="W344" s="36" t="s">
        <v>48</v>
      </c>
      <c r="X344" s="36" t="s">
        <v>49</v>
      </c>
      <c r="Y344" s="36" t="s">
        <v>36</v>
      </c>
      <c r="Z344" s="36" t="s">
        <v>9</v>
      </c>
      <c r="AA344" s="36" t="s">
        <v>50</v>
      </c>
      <c r="AB344" s="36" t="s">
        <v>51</v>
      </c>
      <c r="AC344" s="36" t="s">
        <v>38</v>
      </c>
      <c r="AD344" s="51" t="s">
        <v>226</v>
      </c>
      <c r="AE344" s="35"/>
      <c r="AF344" s="35"/>
      <c r="AG344" s="35"/>
      <c r="AH344" s="35"/>
      <c r="AI344" s="35"/>
      <c r="AJ344" s="35"/>
      <c r="AK344" s="35"/>
      <c r="AL344" s="35"/>
      <c r="AM344" s="35"/>
      <c r="AN344" s="35"/>
      <c r="AO344" s="35"/>
      <c r="AP344" s="35"/>
      <c r="AQ344" s="35"/>
      <c r="AR344" s="35"/>
      <c r="AS344" s="35"/>
      <c r="AT344" s="35"/>
      <c r="AU344" s="35"/>
      <c r="AV344" s="35"/>
      <c r="AW344" s="35"/>
    </row>
    <row r="345" spans="1:49" ht="47.25" x14ac:dyDescent="0.25">
      <c r="A345" s="36" t="s">
        <v>44</v>
      </c>
      <c r="B345" s="38">
        <v>46071</v>
      </c>
      <c r="C345" s="38">
        <v>46071</v>
      </c>
      <c r="D345" s="36" t="s">
        <v>164</v>
      </c>
      <c r="E345" s="41">
        <v>0.79166666666666663</v>
      </c>
      <c r="F345" s="41">
        <v>0.99930555555555556</v>
      </c>
      <c r="G345" s="41">
        <v>1.7361111111111109E-4</v>
      </c>
      <c r="H345" s="36" t="s">
        <v>124</v>
      </c>
      <c r="I345" s="43">
        <v>0.98640046296296291</v>
      </c>
      <c r="J345" s="36" t="s">
        <v>123</v>
      </c>
      <c r="K345" s="36" t="s">
        <v>136</v>
      </c>
      <c r="L345" s="45">
        <v>1</v>
      </c>
      <c r="M345" s="45">
        <v>66849</v>
      </c>
      <c r="N345" s="36" t="s">
        <v>58</v>
      </c>
      <c r="O345" s="45" t="s">
        <v>47</v>
      </c>
      <c r="P345" s="48">
        <v>0</v>
      </c>
      <c r="Q345" s="45"/>
      <c r="R345" s="48">
        <v>0</v>
      </c>
      <c r="S345" s="49">
        <v>46054</v>
      </c>
      <c r="T345" s="48">
        <v>0</v>
      </c>
      <c r="U345" s="50">
        <v>4</v>
      </c>
      <c r="V345" s="48">
        <v>59.5</v>
      </c>
      <c r="W345" s="36" t="s">
        <v>48</v>
      </c>
      <c r="X345" s="36" t="s">
        <v>49</v>
      </c>
      <c r="Y345" s="36" t="s">
        <v>36</v>
      </c>
      <c r="Z345" s="36" t="s">
        <v>9</v>
      </c>
      <c r="AA345" s="36" t="s">
        <v>50</v>
      </c>
      <c r="AB345" s="36" t="s">
        <v>51</v>
      </c>
      <c r="AC345" s="36" t="s">
        <v>38</v>
      </c>
      <c r="AD345" s="51" t="s">
        <v>226</v>
      </c>
      <c r="AE345" s="52"/>
      <c r="AF345" s="52"/>
      <c r="AG345" s="52"/>
      <c r="AH345" s="52"/>
      <c r="AI345" s="52"/>
      <c r="AJ345" s="52"/>
      <c r="AK345" s="52"/>
      <c r="AL345" s="52"/>
      <c r="AM345" s="52"/>
      <c r="AN345" s="52"/>
      <c r="AO345" s="52"/>
      <c r="AP345" s="52"/>
      <c r="AQ345" s="52"/>
      <c r="AR345" s="52"/>
      <c r="AS345" s="52"/>
      <c r="AT345" s="52"/>
      <c r="AU345" s="52"/>
      <c r="AV345" s="52"/>
      <c r="AW345" s="52"/>
    </row>
    <row r="346" spans="1:49" ht="47.25" x14ac:dyDescent="0.25">
      <c r="A346" s="36" t="s">
        <v>44</v>
      </c>
      <c r="B346" s="38">
        <v>46071</v>
      </c>
      <c r="C346" s="38">
        <v>46071</v>
      </c>
      <c r="D346" s="36" t="s">
        <v>164</v>
      </c>
      <c r="E346" s="41">
        <v>0.83333333333333337</v>
      </c>
      <c r="F346" s="41">
        <v>0.875</v>
      </c>
      <c r="G346" s="41">
        <v>1.7361111111111109E-4</v>
      </c>
      <c r="H346" s="36" t="s">
        <v>55</v>
      </c>
      <c r="I346" s="43">
        <v>0.84474537037037034</v>
      </c>
      <c r="J346" s="36" t="s">
        <v>41</v>
      </c>
      <c r="K346" s="36" t="s">
        <v>144</v>
      </c>
      <c r="L346" s="45">
        <v>1</v>
      </c>
      <c r="M346" s="45">
        <v>66850</v>
      </c>
      <c r="N346" s="36" t="s">
        <v>58</v>
      </c>
      <c r="O346" s="45" t="s">
        <v>47</v>
      </c>
      <c r="P346" s="48">
        <v>0</v>
      </c>
      <c r="Q346" s="45"/>
      <c r="R346" s="48">
        <v>0</v>
      </c>
      <c r="S346" s="49">
        <v>46054</v>
      </c>
      <c r="T346" s="48">
        <v>0</v>
      </c>
      <c r="U346" s="50">
        <v>4</v>
      </c>
      <c r="V346" s="48">
        <v>59.5</v>
      </c>
      <c r="W346" s="36" t="s">
        <v>48</v>
      </c>
      <c r="X346" s="36" t="s">
        <v>49</v>
      </c>
      <c r="Y346" s="36" t="s">
        <v>36</v>
      </c>
      <c r="Z346" s="36" t="s">
        <v>9</v>
      </c>
      <c r="AA346" s="36" t="s">
        <v>50</v>
      </c>
      <c r="AB346" s="36" t="s">
        <v>51</v>
      </c>
      <c r="AC346" s="36" t="s">
        <v>38</v>
      </c>
      <c r="AD346" s="51" t="s">
        <v>226</v>
      </c>
      <c r="AE346" s="52"/>
      <c r="AF346" s="52"/>
      <c r="AG346" s="52"/>
      <c r="AH346" s="52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2"/>
      <c r="AT346" s="52"/>
      <c r="AU346" s="52"/>
      <c r="AV346" s="52"/>
      <c r="AW346" s="52"/>
    </row>
    <row r="347" spans="1:49" ht="47.25" x14ac:dyDescent="0.2">
      <c r="A347" s="36" t="s">
        <v>44</v>
      </c>
      <c r="B347" s="38">
        <v>46071</v>
      </c>
      <c r="C347" s="38">
        <v>46071</v>
      </c>
      <c r="D347" s="36" t="s">
        <v>164</v>
      </c>
      <c r="E347" s="41">
        <v>0.83333333333333337</v>
      </c>
      <c r="F347" s="41">
        <v>0.875</v>
      </c>
      <c r="G347" s="41">
        <v>1.6203703703703701E-4</v>
      </c>
      <c r="H347" s="36" t="s">
        <v>45</v>
      </c>
      <c r="I347" s="43">
        <v>0.85309027777777779</v>
      </c>
      <c r="J347" s="36" t="s">
        <v>41</v>
      </c>
      <c r="K347" s="36" t="s">
        <v>144</v>
      </c>
      <c r="L347" s="45">
        <v>1</v>
      </c>
      <c r="M347" s="45">
        <v>66850</v>
      </c>
      <c r="N347" s="36" t="s">
        <v>58</v>
      </c>
      <c r="O347" s="45" t="s">
        <v>47</v>
      </c>
      <c r="P347" s="48">
        <v>0</v>
      </c>
      <c r="Q347" s="45"/>
      <c r="R347" s="48">
        <v>0</v>
      </c>
      <c r="S347" s="49">
        <v>46054</v>
      </c>
      <c r="T347" s="48">
        <v>0</v>
      </c>
      <c r="U347" s="50">
        <v>4</v>
      </c>
      <c r="V347" s="48">
        <v>59.5</v>
      </c>
      <c r="W347" s="36" t="s">
        <v>48</v>
      </c>
      <c r="X347" s="36" t="s">
        <v>49</v>
      </c>
      <c r="Y347" s="36" t="s">
        <v>36</v>
      </c>
      <c r="Z347" s="36" t="s">
        <v>9</v>
      </c>
      <c r="AA347" s="36" t="s">
        <v>50</v>
      </c>
      <c r="AB347" s="36" t="s">
        <v>51</v>
      </c>
      <c r="AC347" s="36" t="s">
        <v>38</v>
      </c>
      <c r="AD347" s="51" t="s">
        <v>226</v>
      </c>
      <c r="AE347" s="35"/>
      <c r="AF347" s="35"/>
      <c r="AG347" s="35"/>
      <c r="AH347" s="35"/>
      <c r="AI347" s="35"/>
      <c r="AJ347" s="35"/>
      <c r="AK347" s="35"/>
      <c r="AL347" s="35"/>
      <c r="AM347" s="35"/>
      <c r="AN347" s="35"/>
      <c r="AO347" s="35"/>
      <c r="AP347" s="35"/>
      <c r="AQ347" s="35"/>
      <c r="AR347" s="35"/>
      <c r="AS347" s="35"/>
      <c r="AT347" s="35"/>
      <c r="AU347" s="35"/>
      <c r="AV347" s="35"/>
      <c r="AW347" s="35"/>
    </row>
    <row r="348" spans="1:49" ht="47.25" x14ac:dyDescent="0.25">
      <c r="A348" s="36" t="s">
        <v>44</v>
      </c>
      <c r="B348" s="38">
        <v>46071</v>
      </c>
      <c r="C348" s="38">
        <v>46071</v>
      </c>
      <c r="D348" s="36" t="s">
        <v>164</v>
      </c>
      <c r="E348" s="41">
        <v>0.83333333333333337</v>
      </c>
      <c r="F348" s="41">
        <v>0.875</v>
      </c>
      <c r="G348" s="41">
        <v>1.7361111111111109E-4</v>
      </c>
      <c r="H348" s="36" t="s">
        <v>55</v>
      </c>
      <c r="I348" s="43">
        <v>0.86597222222222225</v>
      </c>
      <c r="J348" s="36" t="s">
        <v>41</v>
      </c>
      <c r="K348" s="36" t="s">
        <v>144</v>
      </c>
      <c r="L348" s="45">
        <v>1</v>
      </c>
      <c r="M348" s="45">
        <v>66850</v>
      </c>
      <c r="N348" s="36" t="s">
        <v>58</v>
      </c>
      <c r="O348" s="45" t="s">
        <v>47</v>
      </c>
      <c r="P348" s="48">
        <v>0</v>
      </c>
      <c r="Q348" s="45"/>
      <c r="R348" s="48">
        <v>0</v>
      </c>
      <c r="S348" s="49">
        <v>46054</v>
      </c>
      <c r="T348" s="48">
        <v>0</v>
      </c>
      <c r="U348" s="50">
        <v>4</v>
      </c>
      <c r="V348" s="48">
        <v>59.5</v>
      </c>
      <c r="W348" s="36" t="s">
        <v>48</v>
      </c>
      <c r="X348" s="36" t="s">
        <v>49</v>
      </c>
      <c r="Y348" s="36" t="s">
        <v>36</v>
      </c>
      <c r="Z348" s="36" t="s">
        <v>9</v>
      </c>
      <c r="AA348" s="36" t="s">
        <v>50</v>
      </c>
      <c r="AB348" s="36" t="s">
        <v>51</v>
      </c>
      <c r="AC348" s="36" t="s">
        <v>38</v>
      </c>
      <c r="AD348" s="51" t="s">
        <v>226</v>
      </c>
      <c r="AE348" s="52"/>
      <c r="AF348" s="52"/>
      <c r="AG348" s="52"/>
      <c r="AH348" s="52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2"/>
      <c r="AT348" s="52"/>
      <c r="AU348" s="52"/>
      <c r="AV348" s="52"/>
      <c r="AW348" s="52"/>
    </row>
    <row r="349" spans="1:49" ht="47.25" x14ac:dyDescent="0.2">
      <c r="A349" s="36" t="s">
        <v>44</v>
      </c>
      <c r="B349" s="38">
        <v>46072</v>
      </c>
      <c r="C349" s="38">
        <v>46072</v>
      </c>
      <c r="D349" s="36" t="s">
        <v>177</v>
      </c>
      <c r="E349" s="41">
        <v>0.25</v>
      </c>
      <c r="F349" s="41">
        <v>0.99930555555555556</v>
      </c>
      <c r="G349" s="41">
        <v>1.7361111111111109E-4</v>
      </c>
      <c r="H349" s="36" t="s">
        <v>55</v>
      </c>
      <c r="I349" s="43">
        <v>0.32341435185185186</v>
      </c>
      <c r="J349" s="36" t="s">
        <v>41</v>
      </c>
      <c r="K349" s="36" t="s">
        <v>178</v>
      </c>
      <c r="L349" s="45">
        <v>1</v>
      </c>
      <c r="M349" s="45">
        <v>66852</v>
      </c>
      <c r="N349" s="36" t="s">
        <v>46</v>
      </c>
      <c r="O349" s="45" t="s">
        <v>47</v>
      </c>
      <c r="P349" s="48">
        <v>0</v>
      </c>
      <c r="Q349" s="45"/>
      <c r="R349" s="48">
        <v>0</v>
      </c>
      <c r="S349" s="49">
        <v>46054</v>
      </c>
      <c r="T349" s="48">
        <v>0</v>
      </c>
      <c r="U349" s="50">
        <v>4</v>
      </c>
      <c r="V349" s="48">
        <v>0</v>
      </c>
      <c r="W349" s="36" t="s">
        <v>48</v>
      </c>
      <c r="X349" s="36" t="s">
        <v>49</v>
      </c>
      <c r="Y349" s="36" t="s">
        <v>36</v>
      </c>
      <c r="Z349" s="36" t="s">
        <v>9</v>
      </c>
      <c r="AA349" s="36" t="s">
        <v>50</v>
      </c>
      <c r="AB349" s="36" t="s">
        <v>51</v>
      </c>
      <c r="AC349" s="36" t="s">
        <v>38</v>
      </c>
      <c r="AD349" s="51" t="s">
        <v>226</v>
      </c>
      <c r="AE349" s="35"/>
      <c r="AF349" s="35"/>
      <c r="AG349" s="35"/>
      <c r="AH349" s="35"/>
      <c r="AI349" s="35"/>
      <c r="AJ349" s="35"/>
      <c r="AK349" s="35"/>
      <c r="AL349" s="35"/>
      <c r="AM349" s="35"/>
      <c r="AN349" s="35"/>
      <c r="AO349" s="35"/>
      <c r="AP349" s="35"/>
      <c r="AQ349" s="35"/>
      <c r="AR349" s="35"/>
      <c r="AS349" s="35"/>
      <c r="AT349" s="35"/>
      <c r="AU349" s="35"/>
      <c r="AV349" s="35"/>
      <c r="AW349" s="35"/>
    </row>
    <row r="350" spans="1:49" ht="47.25" x14ac:dyDescent="0.25">
      <c r="A350" s="36" t="s">
        <v>44</v>
      </c>
      <c r="B350" s="38">
        <v>46072</v>
      </c>
      <c r="C350" s="38">
        <v>46072</v>
      </c>
      <c r="D350" s="36" t="s">
        <v>177</v>
      </c>
      <c r="E350" s="41">
        <v>0.25</v>
      </c>
      <c r="F350" s="41">
        <v>0.99930555555555556</v>
      </c>
      <c r="G350" s="41">
        <v>1.7361111111111109E-4</v>
      </c>
      <c r="H350" s="36" t="s">
        <v>55</v>
      </c>
      <c r="I350" s="43">
        <v>0.92347222222222225</v>
      </c>
      <c r="J350" s="36" t="s">
        <v>41</v>
      </c>
      <c r="K350" s="36" t="s">
        <v>187</v>
      </c>
      <c r="L350" s="45">
        <v>1</v>
      </c>
      <c r="M350" s="45">
        <v>66852</v>
      </c>
      <c r="N350" s="36" t="s">
        <v>46</v>
      </c>
      <c r="O350" s="45" t="s">
        <v>47</v>
      </c>
      <c r="P350" s="48">
        <v>0</v>
      </c>
      <c r="Q350" s="45"/>
      <c r="R350" s="48">
        <v>0</v>
      </c>
      <c r="S350" s="49">
        <v>46054</v>
      </c>
      <c r="T350" s="48">
        <v>0</v>
      </c>
      <c r="U350" s="50">
        <v>4</v>
      </c>
      <c r="V350" s="48">
        <v>0</v>
      </c>
      <c r="W350" s="36" t="s">
        <v>48</v>
      </c>
      <c r="X350" s="36" t="s">
        <v>49</v>
      </c>
      <c r="Y350" s="36" t="s">
        <v>36</v>
      </c>
      <c r="Z350" s="36" t="s">
        <v>9</v>
      </c>
      <c r="AA350" s="36" t="s">
        <v>50</v>
      </c>
      <c r="AB350" s="36" t="s">
        <v>51</v>
      </c>
      <c r="AC350" s="36" t="s">
        <v>38</v>
      </c>
      <c r="AD350" s="51" t="s">
        <v>226</v>
      </c>
      <c r="AE350" s="52"/>
      <c r="AF350" s="52"/>
      <c r="AG350" s="52"/>
      <c r="AH350" s="52"/>
      <c r="AI350" s="52"/>
      <c r="AJ350" s="52"/>
      <c r="AK350" s="52"/>
      <c r="AL350" s="52"/>
      <c r="AM350" s="52"/>
      <c r="AN350" s="52"/>
      <c r="AO350" s="52"/>
      <c r="AP350" s="52"/>
      <c r="AQ350" s="52"/>
      <c r="AR350" s="52"/>
      <c r="AS350" s="52"/>
      <c r="AT350" s="52"/>
      <c r="AU350" s="52"/>
      <c r="AV350" s="52"/>
      <c r="AW350" s="52"/>
    </row>
    <row r="351" spans="1:49" ht="47.25" x14ac:dyDescent="0.25">
      <c r="A351" s="36" t="s">
        <v>44</v>
      </c>
      <c r="B351" s="38">
        <v>46072</v>
      </c>
      <c r="C351" s="38">
        <v>46072</v>
      </c>
      <c r="D351" s="36" t="s">
        <v>177</v>
      </c>
      <c r="E351" s="41">
        <v>0.79166666666666663</v>
      </c>
      <c r="F351" s="41">
        <v>0.99930555555555556</v>
      </c>
      <c r="G351" s="41">
        <v>1.6203703703703701E-4</v>
      </c>
      <c r="H351" s="36" t="s">
        <v>129</v>
      </c>
      <c r="I351" s="43">
        <v>0.80251157407407403</v>
      </c>
      <c r="J351" s="36" t="s">
        <v>123</v>
      </c>
      <c r="K351" s="36" t="s">
        <v>122</v>
      </c>
      <c r="L351" s="45">
        <v>1</v>
      </c>
      <c r="M351" s="45">
        <v>66849</v>
      </c>
      <c r="N351" s="36" t="s">
        <v>58</v>
      </c>
      <c r="O351" s="45" t="s">
        <v>47</v>
      </c>
      <c r="P351" s="48">
        <v>0</v>
      </c>
      <c r="Q351" s="45"/>
      <c r="R351" s="48">
        <v>0</v>
      </c>
      <c r="S351" s="49">
        <v>46054</v>
      </c>
      <c r="T351" s="48">
        <v>0</v>
      </c>
      <c r="U351" s="50">
        <v>4</v>
      </c>
      <c r="V351" s="48">
        <v>59.5</v>
      </c>
      <c r="W351" s="36" t="s">
        <v>48</v>
      </c>
      <c r="X351" s="36" t="s">
        <v>49</v>
      </c>
      <c r="Y351" s="36" t="s">
        <v>36</v>
      </c>
      <c r="Z351" s="36" t="s">
        <v>9</v>
      </c>
      <c r="AA351" s="36" t="s">
        <v>50</v>
      </c>
      <c r="AB351" s="36" t="s">
        <v>51</v>
      </c>
      <c r="AC351" s="36" t="s">
        <v>38</v>
      </c>
      <c r="AD351" s="51" t="s">
        <v>226</v>
      </c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</row>
    <row r="352" spans="1:49" ht="47.25" x14ac:dyDescent="0.2">
      <c r="A352" s="36" t="s">
        <v>44</v>
      </c>
      <c r="B352" s="38">
        <v>46072</v>
      </c>
      <c r="C352" s="38">
        <v>46072</v>
      </c>
      <c r="D352" s="36" t="s">
        <v>177</v>
      </c>
      <c r="E352" s="41">
        <v>0.79166666666666663</v>
      </c>
      <c r="F352" s="41">
        <v>0.99930555555555556</v>
      </c>
      <c r="G352" s="41">
        <v>1.6203703703703701E-4</v>
      </c>
      <c r="H352" s="36" t="s">
        <v>129</v>
      </c>
      <c r="I352" s="43">
        <v>0.99836805555555552</v>
      </c>
      <c r="J352" s="36" t="s">
        <v>123</v>
      </c>
      <c r="K352" s="36" t="s">
        <v>136</v>
      </c>
      <c r="L352" s="45">
        <v>1</v>
      </c>
      <c r="M352" s="45">
        <v>66849</v>
      </c>
      <c r="N352" s="36" t="s">
        <v>58</v>
      </c>
      <c r="O352" s="45" t="s">
        <v>47</v>
      </c>
      <c r="P352" s="48">
        <v>0</v>
      </c>
      <c r="Q352" s="45"/>
      <c r="R352" s="48">
        <v>0</v>
      </c>
      <c r="S352" s="49">
        <v>46054</v>
      </c>
      <c r="T352" s="48">
        <v>0</v>
      </c>
      <c r="U352" s="50">
        <v>4</v>
      </c>
      <c r="V352" s="48">
        <v>59.5</v>
      </c>
      <c r="W352" s="36" t="s">
        <v>48</v>
      </c>
      <c r="X352" s="36" t="s">
        <v>49</v>
      </c>
      <c r="Y352" s="36" t="s">
        <v>36</v>
      </c>
      <c r="Z352" s="36" t="s">
        <v>9</v>
      </c>
      <c r="AA352" s="36" t="s">
        <v>50</v>
      </c>
      <c r="AB352" s="36" t="s">
        <v>51</v>
      </c>
      <c r="AC352" s="36" t="s">
        <v>38</v>
      </c>
      <c r="AD352" s="51" t="s">
        <v>226</v>
      </c>
      <c r="AE352" s="35"/>
      <c r="AF352" s="35"/>
      <c r="AG352" s="35"/>
      <c r="AH352" s="35"/>
      <c r="AI352" s="35"/>
      <c r="AJ352" s="35"/>
      <c r="AK352" s="35"/>
      <c r="AL352" s="35"/>
      <c r="AM352" s="35"/>
      <c r="AN352" s="35"/>
      <c r="AO352" s="35"/>
      <c r="AP352" s="35"/>
      <c r="AQ352" s="35"/>
      <c r="AR352" s="35"/>
      <c r="AS352" s="35"/>
      <c r="AT352" s="35"/>
      <c r="AU352" s="35"/>
      <c r="AV352" s="35"/>
      <c r="AW352" s="35"/>
    </row>
    <row r="353" spans="1:49" ht="47.25" x14ac:dyDescent="0.25">
      <c r="A353" s="36" t="s">
        <v>44</v>
      </c>
      <c r="B353" s="38">
        <v>46072</v>
      </c>
      <c r="C353" s="38">
        <v>46072</v>
      </c>
      <c r="D353" s="36" t="s">
        <v>177</v>
      </c>
      <c r="E353" s="41">
        <v>0.83333333333333337</v>
      </c>
      <c r="F353" s="41">
        <v>0.875</v>
      </c>
      <c r="G353" s="41">
        <v>1.6203703703703701E-4</v>
      </c>
      <c r="H353" s="36" t="s">
        <v>45</v>
      </c>
      <c r="I353" s="43">
        <v>0.84209490740740744</v>
      </c>
      <c r="J353" s="36" t="s">
        <v>41</v>
      </c>
      <c r="K353" s="36" t="s">
        <v>144</v>
      </c>
      <c r="L353" s="45">
        <v>1</v>
      </c>
      <c r="M353" s="45">
        <v>66850</v>
      </c>
      <c r="N353" s="36" t="s">
        <v>58</v>
      </c>
      <c r="O353" s="45" t="s">
        <v>47</v>
      </c>
      <c r="P353" s="48">
        <v>0</v>
      </c>
      <c r="Q353" s="45"/>
      <c r="R353" s="48">
        <v>0</v>
      </c>
      <c r="S353" s="49">
        <v>46054</v>
      </c>
      <c r="T353" s="48">
        <v>0</v>
      </c>
      <c r="U353" s="50">
        <v>4</v>
      </c>
      <c r="V353" s="48">
        <v>59.5</v>
      </c>
      <c r="W353" s="36" t="s">
        <v>48</v>
      </c>
      <c r="X353" s="36" t="s">
        <v>49</v>
      </c>
      <c r="Y353" s="36" t="s">
        <v>36</v>
      </c>
      <c r="Z353" s="36" t="s">
        <v>9</v>
      </c>
      <c r="AA353" s="36" t="s">
        <v>50</v>
      </c>
      <c r="AB353" s="36" t="s">
        <v>51</v>
      </c>
      <c r="AC353" s="36" t="s">
        <v>38</v>
      </c>
      <c r="AD353" s="51" t="s">
        <v>226</v>
      </c>
      <c r="AE353" s="52"/>
      <c r="AF353" s="52"/>
      <c r="AG353" s="52"/>
      <c r="AH353" s="52"/>
      <c r="AI353" s="52"/>
      <c r="AJ353" s="52"/>
      <c r="AK353" s="52"/>
      <c r="AL353" s="52"/>
      <c r="AM353" s="52"/>
      <c r="AN353" s="52"/>
      <c r="AO353" s="52"/>
      <c r="AP353" s="52"/>
      <c r="AQ353" s="52"/>
      <c r="AR353" s="52"/>
      <c r="AS353" s="52"/>
      <c r="AT353" s="52"/>
      <c r="AU353" s="52"/>
      <c r="AV353" s="52"/>
      <c r="AW353" s="52"/>
    </row>
    <row r="354" spans="1:49" ht="47.25" x14ac:dyDescent="0.2">
      <c r="A354" s="36" t="s">
        <v>44</v>
      </c>
      <c r="B354" s="38">
        <v>46072</v>
      </c>
      <c r="C354" s="38">
        <v>46072</v>
      </c>
      <c r="D354" s="36" t="s">
        <v>177</v>
      </c>
      <c r="E354" s="41">
        <v>0.83333333333333337</v>
      </c>
      <c r="F354" s="41">
        <v>0.875</v>
      </c>
      <c r="G354" s="41">
        <v>1.7361111111111109E-4</v>
      </c>
      <c r="H354" s="36" t="s">
        <v>55</v>
      </c>
      <c r="I354" s="43">
        <v>0.8653819444444445</v>
      </c>
      <c r="J354" s="36" t="s">
        <v>41</v>
      </c>
      <c r="K354" s="36" t="s">
        <v>144</v>
      </c>
      <c r="L354" s="45">
        <v>1</v>
      </c>
      <c r="M354" s="45">
        <v>66850</v>
      </c>
      <c r="N354" s="36" t="s">
        <v>58</v>
      </c>
      <c r="O354" s="45" t="s">
        <v>47</v>
      </c>
      <c r="P354" s="48">
        <v>0</v>
      </c>
      <c r="Q354" s="45"/>
      <c r="R354" s="48">
        <v>0</v>
      </c>
      <c r="S354" s="49">
        <v>46054</v>
      </c>
      <c r="T354" s="48">
        <v>0</v>
      </c>
      <c r="U354" s="50">
        <v>4</v>
      </c>
      <c r="V354" s="48">
        <v>59.5</v>
      </c>
      <c r="W354" s="36" t="s">
        <v>48</v>
      </c>
      <c r="X354" s="36" t="s">
        <v>49</v>
      </c>
      <c r="Y354" s="36" t="s">
        <v>36</v>
      </c>
      <c r="Z354" s="36" t="s">
        <v>9</v>
      </c>
      <c r="AA354" s="36" t="s">
        <v>50</v>
      </c>
      <c r="AB354" s="36" t="s">
        <v>51</v>
      </c>
      <c r="AC354" s="36" t="s">
        <v>38</v>
      </c>
      <c r="AD354" s="51" t="s">
        <v>226</v>
      </c>
      <c r="AE354" s="35"/>
      <c r="AF354" s="35"/>
      <c r="AG354" s="35"/>
      <c r="AH354" s="35"/>
      <c r="AI354" s="35"/>
      <c r="AJ354" s="35"/>
      <c r="AK354" s="35"/>
      <c r="AL354" s="35"/>
      <c r="AM354" s="35"/>
      <c r="AN354" s="35"/>
      <c r="AO354" s="35"/>
      <c r="AP354" s="35"/>
      <c r="AQ354" s="35"/>
      <c r="AR354" s="35"/>
      <c r="AS354" s="35"/>
      <c r="AT354" s="35"/>
      <c r="AU354" s="35"/>
      <c r="AV354" s="35"/>
      <c r="AW354" s="35"/>
    </row>
    <row r="355" spans="1:49" ht="47.25" x14ac:dyDescent="0.25">
      <c r="A355" s="36" t="s">
        <v>44</v>
      </c>
      <c r="B355" s="38">
        <v>46072</v>
      </c>
      <c r="C355" s="38">
        <v>46072</v>
      </c>
      <c r="D355" s="36" t="s">
        <v>177</v>
      </c>
      <c r="E355" s="41">
        <v>0.83333333333333337</v>
      </c>
      <c r="F355" s="41">
        <v>0.875</v>
      </c>
      <c r="G355" s="41">
        <v>1.6203703703703701E-4</v>
      </c>
      <c r="H355" s="36" t="s">
        <v>45</v>
      </c>
      <c r="I355" s="43">
        <v>0.87400462962962966</v>
      </c>
      <c r="J355" s="36" t="s">
        <v>41</v>
      </c>
      <c r="K355" s="36" t="s">
        <v>144</v>
      </c>
      <c r="L355" s="45">
        <v>1</v>
      </c>
      <c r="M355" s="45">
        <v>66850</v>
      </c>
      <c r="N355" s="36" t="s">
        <v>58</v>
      </c>
      <c r="O355" s="45" t="s">
        <v>47</v>
      </c>
      <c r="P355" s="48">
        <v>0</v>
      </c>
      <c r="Q355" s="45"/>
      <c r="R355" s="48">
        <v>0</v>
      </c>
      <c r="S355" s="49">
        <v>46054</v>
      </c>
      <c r="T355" s="48">
        <v>0</v>
      </c>
      <c r="U355" s="50">
        <v>4</v>
      </c>
      <c r="V355" s="48">
        <v>59.5</v>
      </c>
      <c r="W355" s="36" t="s">
        <v>48</v>
      </c>
      <c r="X355" s="36" t="s">
        <v>49</v>
      </c>
      <c r="Y355" s="36" t="s">
        <v>36</v>
      </c>
      <c r="Z355" s="36" t="s">
        <v>9</v>
      </c>
      <c r="AA355" s="36" t="s">
        <v>50</v>
      </c>
      <c r="AB355" s="36" t="s">
        <v>51</v>
      </c>
      <c r="AC355" s="36" t="s">
        <v>38</v>
      </c>
      <c r="AD355" s="51" t="s">
        <v>226</v>
      </c>
      <c r="AE355" s="52"/>
      <c r="AF355" s="52"/>
      <c r="AG355" s="52"/>
      <c r="AH355" s="52"/>
      <c r="AI355" s="52"/>
      <c r="AJ355" s="52"/>
      <c r="AK355" s="52"/>
      <c r="AL355" s="52"/>
      <c r="AM355" s="52"/>
      <c r="AN355" s="52"/>
      <c r="AO355" s="52"/>
      <c r="AP355" s="52"/>
      <c r="AQ355" s="52"/>
      <c r="AR355" s="52"/>
      <c r="AS355" s="52"/>
      <c r="AT355" s="52"/>
      <c r="AU355" s="52"/>
      <c r="AV355" s="52"/>
      <c r="AW355" s="52"/>
    </row>
    <row r="356" spans="1:49" ht="47.25" x14ac:dyDescent="0.25">
      <c r="A356" s="36" t="s">
        <v>44</v>
      </c>
      <c r="B356" s="38">
        <v>46073</v>
      </c>
      <c r="C356" s="38">
        <v>46073</v>
      </c>
      <c r="D356" s="36" t="s">
        <v>189</v>
      </c>
      <c r="E356" s="41">
        <v>0.25</v>
      </c>
      <c r="F356" s="41">
        <v>0.99930555555555556</v>
      </c>
      <c r="G356" s="41">
        <v>1.6203703703703701E-4</v>
      </c>
      <c r="H356" s="36" t="s">
        <v>45</v>
      </c>
      <c r="I356" s="43">
        <v>0.88671296296296298</v>
      </c>
      <c r="J356" s="36" t="s">
        <v>41</v>
      </c>
      <c r="K356" s="36" t="s">
        <v>134</v>
      </c>
      <c r="L356" s="45">
        <v>1</v>
      </c>
      <c r="M356" s="45">
        <v>66852</v>
      </c>
      <c r="N356" s="36" t="s">
        <v>46</v>
      </c>
      <c r="O356" s="45" t="s">
        <v>47</v>
      </c>
      <c r="P356" s="48">
        <v>0</v>
      </c>
      <c r="Q356" s="45"/>
      <c r="R356" s="48">
        <v>0</v>
      </c>
      <c r="S356" s="49">
        <v>46054</v>
      </c>
      <c r="T356" s="48">
        <v>0</v>
      </c>
      <c r="U356" s="50">
        <v>4</v>
      </c>
      <c r="V356" s="48">
        <v>0</v>
      </c>
      <c r="W356" s="36" t="s">
        <v>48</v>
      </c>
      <c r="X356" s="36" t="s">
        <v>49</v>
      </c>
      <c r="Y356" s="36" t="s">
        <v>36</v>
      </c>
      <c r="Z356" s="36" t="s">
        <v>9</v>
      </c>
      <c r="AA356" s="36" t="s">
        <v>50</v>
      </c>
      <c r="AB356" s="36" t="s">
        <v>51</v>
      </c>
      <c r="AC356" s="36" t="s">
        <v>38</v>
      </c>
      <c r="AD356" s="51" t="s">
        <v>226</v>
      </c>
      <c r="AE356" s="52"/>
      <c r="AF356" s="52"/>
      <c r="AG356" s="52"/>
      <c r="AH356" s="52"/>
      <c r="AI356" s="52"/>
      <c r="AJ356" s="52"/>
      <c r="AK356" s="52"/>
      <c r="AL356" s="52"/>
      <c r="AM356" s="52"/>
      <c r="AN356" s="52"/>
      <c r="AO356" s="52"/>
      <c r="AP356" s="52"/>
      <c r="AQ356" s="52"/>
      <c r="AR356" s="52"/>
      <c r="AS356" s="52"/>
      <c r="AT356" s="52"/>
      <c r="AU356" s="52"/>
      <c r="AV356" s="52"/>
      <c r="AW356" s="52"/>
    </row>
    <row r="357" spans="1:49" ht="47.25" x14ac:dyDescent="0.2">
      <c r="A357" s="36" t="s">
        <v>44</v>
      </c>
      <c r="B357" s="38">
        <v>46073</v>
      </c>
      <c r="C357" s="38">
        <v>46073</v>
      </c>
      <c r="D357" s="36" t="s">
        <v>189</v>
      </c>
      <c r="E357" s="41">
        <v>0.25</v>
      </c>
      <c r="F357" s="41">
        <v>0.99930555555555556</v>
      </c>
      <c r="G357" s="41">
        <v>1.7361111111111109E-4</v>
      </c>
      <c r="H357" s="36" t="s">
        <v>55</v>
      </c>
      <c r="I357" s="43">
        <v>0.9086805555555556</v>
      </c>
      <c r="J357" s="36" t="s">
        <v>41</v>
      </c>
      <c r="K357" s="36" t="s">
        <v>134</v>
      </c>
      <c r="L357" s="45">
        <v>1</v>
      </c>
      <c r="M357" s="45">
        <v>66852</v>
      </c>
      <c r="N357" s="36" t="s">
        <v>46</v>
      </c>
      <c r="O357" s="45" t="s">
        <v>47</v>
      </c>
      <c r="P357" s="48">
        <v>0</v>
      </c>
      <c r="Q357" s="45"/>
      <c r="R357" s="48">
        <v>0</v>
      </c>
      <c r="S357" s="49">
        <v>46054</v>
      </c>
      <c r="T357" s="48">
        <v>0</v>
      </c>
      <c r="U357" s="50">
        <v>4</v>
      </c>
      <c r="V357" s="48">
        <v>0</v>
      </c>
      <c r="W357" s="36" t="s">
        <v>48</v>
      </c>
      <c r="X357" s="36" t="s">
        <v>49</v>
      </c>
      <c r="Y357" s="36" t="s">
        <v>36</v>
      </c>
      <c r="Z357" s="36" t="s">
        <v>9</v>
      </c>
      <c r="AA357" s="36" t="s">
        <v>50</v>
      </c>
      <c r="AB357" s="36" t="s">
        <v>51</v>
      </c>
      <c r="AC357" s="36" t="s">
        <v>38</v>
      </c>
      <c r="AD357" s="51" t="s">
        <v>226</v>
      </c>
      <c r="AE357" s="35"/>
      <c r="AF357" s="35"/>
      <c r="AG357" s="35"/>
      <c r="AH357" s="35"/>
      <c r="AI357" s="35"/>
      <c r="AJ357" s="35"/>
      <c r="AK357" s="35"/>
      <c r="AL357" s="35"/>
      <c r="AM357" s="35"/>
      <c r="AN357" s="35"/>
      <c r="AO357" s="35"/>
      <c r="AP357" s="35"/>
      <c r="AQ357" s="35"/>
      <c r="AR357" s="35"/>
      <c r="AS357" s="35"/>
      <c r="AT357" s="35"/>
      <c r="AU357" s="35"/>
      <c r="AV357" s="35"/>
      <c r="AW357" s="35"/>
    </row>
    <row r="358" spans="1:49" ht="47.25" x14ac:dyDescent="0.25">
      <c r="A358" s="36" t="s">
        <v>44</v>
      </c>
      <c r="B358" s="38">
        <v>46073</v>
      </c>
      <c r="C358" s="38">
        <v>46073</v>
      </c>
      <c r="D358" s="36" t="s">
        <v>189</v>
      </c>
      <c r="E358" s="41">
        <v>0.79166666666666663</v>
      </c>
      <c r="F358" s="41">
        <v>0.99930555555555556</v>
      </c>
      <c r="G358" s="41">
        <v>1.7361111111111109E-4</v>
      </c>
      <c r="H358" s="36" t="s">
        <v>124</v>
      </c>
      <c r="I358" s="43">
        <v>0.81108796296296293</v>
      </c>
      <c r="J358" s="36" t="s">
        <v>123</v>
      </c>
      <c r="K358" s="36" t="s">
        <v>122</v>
      </c>
      <c r="L358" s="45">
        <v>1</v>
      </c>
      <c r="M358" s="45">
        <v>66849</v>
      </c>
      <c r="N358" s="36" t="s">
        <v>58</v>
      </c>
      <c r="O358" s="45" t="s">
        <v>47</v>
      </c>
      <c r="P358" s="48">
        <v>0</v>
      </c>
      <c r="Q358" s="45"/>
      <c r="R358" s="48">
        <v>0</v>
      </c>
      <c r="S358" s="49">
        <v>46054</v>
      </c>
      <c r="T358" s="48">
        <v>0</v>
      </c>
      <c r="U358" s="50">
        <v>4</v>
      </c>
      <c r="V358" s="48">
        <v>59.5</v>
      </c>
      <c r="W358" s="36" t="s">
        <v>48</v>
      </c>
      <c r="X358" s="36" t="s">
        <v>49</v>
      </c>
      <c r="Y358" s="36" t="s">
        <v>36</v>
      </c>
      <c r="Z358" s="36" t="s">
        <v>9</v>
      </c>
      <c r="AA358" s="36" t="s">
        <v>50</v>
      </c>
      <c r="AB358" s="36" t="s">
        <v>51</v>
      </c>
      <c r="AC358" s="36" t="s">
        <v>38</v>
      </c>
      <c r="AD358" s="51" t="s">
        <v>226</v>
      </c>
      <c r="AE358" s="52"/>
      <c r="AF358" s="52"/>
      <c r="AG358" s="52"/>
      <c r="AH358" s="52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2"/>
      <c r="AT358" s="52"/>
      <c r="AU358" s="52"/>
      <c r="AV358" s="52"/>
      <c r="AW358" s="52"/>
    </row>
    <row r="359" spans="1:49" ht="47.25" x14ac:dyDescent="0.25">
      <c r="A359" s="36" t="s">
        <v>44</v>
      </c>
      <c r="B359" s="38">
        <v>46073</v>
      </c>
      <c r="C359" s="38">
        <v>46073</v>
      </c>
      <c r="D359" s="36" t="s">
        <v>189</v>
      </c>
      <c r="E359" s="41">
        <v>0.79166666666666663</v>
      </c>
      <c r="F359" s="41">
        <v>0.99930555555555556</v>
      </c>
      <c r="G359" s="41">
        <v>1.7361111111111109E-4</v>
      </c>
      <c r="H359" s="36" t="s">
        <v>124</v>
      </c>
      <c r="I359" s="43">
        <v>0.98230324074074071</v>
      </c>
      <c r="J359" s="36" t="s">
        <v>123</v>
      </c>
      <c r="K359" s="36" t="s">
        <v>136</v>
      </c>
      <c r="L359" s="45">
        <v>1</v>
      </c>
      <c r="M359" s="45">
        <v>66849</v>
      </c>
      <c r="N359" s="36" t="s">
        <v>58</v>
      </c>
      <c r="O359" s="45" t="s">
        <v>47</v>
      </c>
      <c r="P359" s="48">
        <v>0</v>
      </c>
      <c r="Q359" s="45"/>
      <c r="R359" s="48">
        <v>0</v>
      </c>
      <c r="S359" s="49">
        <v>46054</v>
      </c>
      <c r="T359" s="48">
        <v>0</v>
      </c>
      <c r="U359" s="50">
        <v>4</v>
      </c>
      <c r="V359" s="48">
        <v>59.5</v>
      </c>
      <c r="W359" s="36" t="s">
        <v>48</v>
      </c>
      <c r="X359" s="36" t="s">
        <v>49</v>
      </c>
      <c r="Y359" s="36" t="s">
        <v>36</v>
      </c>
      <c r="Z359" s="36" t="s">
        <v>9</v>
      </c>
      <c r="AA359" s="36" t="s">
        <v>50</v>
      </c>
      <c r="AB359" s="36" t="s">
        <v>51</v>
      </c>
      <c r="AC359" s="36" t="s">
        <v>38</v>
      </c>
      <c r="AD359" s="51" t="s">
        <v>226</v>
      </c>
      <c r="AE359" s="52"/>
      <c r="AF359" s="52"/>
      <c r="AG359" s="52"/>
      <c r="AH359" s="52"/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2"/>
      <c r="AT359" s="52"/>
      <c r="AU359" s="52"/>
      <c r="AV359" s="52"/>
      <c r="AW359" s="52"/>
    </row>
    <row r="360" spans="1:49" ht="47.25" x14ac:dyDescent="0.25">
      <c r="A360" s="36" t="s">
        <v>44</v>
      </c>
      <c r="B360" s="38">
        <v>46074</v>
      </c>
      <c r="C360" s="38">
        <v>46074</v>
      </c>
      <c r="D360" s="36" t="s">
        <v>197</v>
      </c>
      <c r="E360" s="41">
        <v>0.25</v>
      </c>
      <c r="F360" s="41">
        <v>0.99930555555555556</v>
      </c>
      <c r="G360" s="41">
        <v>1.6203703703703701E-4</v>
      </c>
      <c r="H360" s="36" t="s">
        <v>45</v>
      </c>
      <c r="I360" s="43">
        <v>0.87445601851851851</v>
      </c>
      <c r="J360" s="36" t="s">
        <v>41</v>
      </c>
      <c r="K360" s="36" t="s">
        <v>144</v>
      </c>
      <c r="L360" s="45">
        <v>1</v>
      </c>
      <c r="M360" s="45">
        <v>66852</v>
      </c>
      <c r="N360" s="36" t="s">
        <v>46</v>
      </c>
      <c r="O360" s="45" t="s">
        <v>47</v>
      </c>
      <c r="P360" s="48">
        <v>0</v>
      </c>
      <c r="Q360" s="45"/>
      <c r="R360" s="48">
        <v>0</v>
      </c>
      <c r="S360" s="49">
        <v>46054</v>
      </c>
      <c r="T360" s="48">
        <v>0</v>
      </c>
      <c r="U360" s="50">
        <v>4</v>
      </c>
      <c r="V360" s="48">
        <v>0</v>
      </c>
      <c r="W360" s="36" t="s">
        <v>48</v>
      </c>
      <c r="X360" s="36" t="s">
        <v>49</v>
      </c>
      <c r="Y360" s="36" t="s">
        <v>36</v>
      </c>
      <c r="Z360" s="36" t="s">
        <v>9</v>
      </c>
      <c r="AA360" s="36" t="s">
        <v>50</v>
      </c>
      <c r="AB360" s="36" t="s">
        <v>51</v>
      </c>
      <c r="AC360" s="36" t="s">
        <v>38</v>
      </c>
      <c r="AD360" s="51" t="s">
        <v>226</v>
      </c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2"/>
      <c r="AT360" s="52"/>
      <c r="AU360" s="52"/>
      <c r="AV360" s="52"/>
      <c r="AW360" s="52"/>
    </row>
    <row r="361" spans="1:49" ht="47.25" x14ac:dyDescent="0.25">
      <c r="A361" s="36" t="s">
        <v>44</v>
      </c>
      <c r="B361" s="38">
        <v>46074</v>
      </c>
      <c r="C361" s="38">
        <v>46074</v>
      </c>
      <c r="D361" s="36" t="s">
        <v>197</v>
      </c>
      <c r="E361" s="41">
        <v>0.25</v>
      </c>
      <c r="F361" s="41">
        <v>0.99930555555555556</v>
      </c>
      <c r="G361" s="41">
        <v>1.7361111111111109E-4</v>
      </c>
      <c r="H361" s="36" t="s">
        <v>55</v>
      </c>
      <c r="I361" s="43">
        <v>0.99723379629629627</v>
      </c>
      <c r="J361" s="36" t="s">
        <v>41</v>
      </c>
      <c r="K361" s="36" t="s">
        <v>175</v>
      </c>
      <c r="L361" s="45">
        <v>1</v>
      </c>
      <c r="M361" s="45">
        <v>66852</v>
      </c>
      <c r="N361" s="36" t="s">
        <v>46</v>
      </c>
      <c r="O361" s="45" t="s">
        <v>47</v>
      </c>
      <c r="P361" s="48">
        <v>0</v>
      </c>
      <c r="Q361" s="45"/>
      <c r="R361" s="48">
        <v>0</v>
      </c>
      <c r="S361" s="49">
        <v>46054</v>
      </c>
      <c r="T361" s="48">
        <v>0</v>
      </c>
      <c r="U361" s="50">
        <v>4</v>
      </c>
      <c r="V361" s="48">
        <v>0</v>
      </c>
      <c r="W361" s="36" t="s">
        <v>48</v>
      </c>
      <c r="X361" s="36" t="s">
        <v>49</v>
      </c>
      <c r="Y361" s="36" t="s">
        <v>36</v>
      </c>
      <c r="Z361" s="36" t="s">
        <v>9</v>
      </c>
      <c r="AA361" s="36" t="s">
        <v>50</v>
      </c>
      <c r="AB361" s="36" t="s">
        <v>51</v>
      </c>
      <c r="AC361" s="36" t="s">
        <v>38</v>
      </c>
      <c r="AD361" s="51" t="s">
        <v>226</v>
      </c>
      <c r="AE361" s="52"/>
      <c r="AF361" s="52"/>
      <c r="AG361" s="52"/>
      <c r="AH361" s="52"/>
      <c r="AI361" s="52"/>
      <c r="AJ361" s="52"/>
      <c r="AK361" s="52"/>
      <c r="AL361" s="52"/>
      <c r="AM361" s="52"/>
      <c r="AN361" s="52"/>
      <c r="AO361" s="52"/>
      <c r="AP361" s="52"/>
      <c r="AQ361" s="52"/>
      <c r="AR361" s="52"/>
      <c r="AS361" s="52"/>
      <c r="AT361" s="52"/>
      <c r="AU361" s="52"/>
      <c r="AV361" s="52"/>
      <c r="AW361" s="52"/>
    </row>
    <row r="362" spans="1:49" ht="47.25" x14ac:dyDescent="0.25">
      <c r="A362" s="36" t="s">
        <v>44</v>
      </c>
      <c r="B362" s="38">
        <v>46075</v>
      </c>
      <c r="C362" s="38">
        <v>46075</v>
      </c>
      <c r="D362" s="36" t="s">
        <v>215</v>
      </c>
      <c r="E362" s="41">
        <v>0.25</v>
      </c>
      <c r="F362" s="41">
        <v>0.99930555555555556</v>
      </c>
      <c r="G362" s="41">
        <v>1.7361111111111109E-4</v>
      </c>
      <c r="H362" s="36" t="s">
        <v>55</v>
      </c>
      <c r="I362" s="43">
        <v>0.92434027777777783</v>
      </c>
      <c r="J362" s="36" t="s">
        <v>41</v>
      </c>
      <c r="K362" s="36" t="s">
        <v>163</v>
      </c>
      <c r="L362" s="45">
        <v>1</v>
      </c>
      <c r="M362" s="45">
        <v>66852</v>
      </c>
      <c r="N362" s="36" t="s">
        <v>46</v>
      </c>
      <c r="O362" s="45" t="s">
        <v>47</v>
      </c>
      <c r="P362" s="48">
        <v>0</v>
      </c>
      <c r="Q362" s="45"/>
      <c r="R362" s="48">
        <v>0</v>
      </c>
      <c r="S362" s="49">
        <v>46054</v>
      </c>
      <c r="T362" s="48">
        <v>0</v>
      </c>
      <c r="U362" s="50">
        <v>4</v>
      </c>
      <c r="V362" s="48">
        <v>0</v>
      </c>
      <c r="W362" s="36" t="s">
        <v>48</v>
      </c>
      <c r="X362" s="36" t="s">
        <v>49</v>
      </c>
      <c r="Y362" s="36" t="s">
        <v>36</v>
      </c>
      <c r="Z362" s="36" t="s">
        <v>9</v>
      </c>
      <c r="AA362" s="36" t="s">
        <v>50</v>
      </c>
      <c r="AB362" s="36" t="s">
        <v>51</v>
      </c>
      <c r="AC362" s="36" t="s">
        <v>38</v>
      </c>
      <c r="AD362" s="51" t="s">
        <v>226</v>
      </c>
      <c r="AE362" s="52"/>
      <c r="AF362" s="52"/>
      <c r="AG362" s="52"/>
      <c r="AH362" s="52"/>
      <c r="AI362" s="52"/>
      <c r="AJ362" s="52"/>
      <c r="AK362" s="52"/>
      <c r="AL362" s="52"/>
      <c r="AM362" s="52"/>
      <c r="AN362" s="52"/>
      <c r="AO362" s="52"/>
      <c r="AP362" s="52"/>
      <c r="AQ362" s="52"/>
      <c r="AR362" s="52"/>
      <c r="AS362" s="52"/>
      <c r="AT362" s="52"/>
      <c r="AU362" s="52"/>
      <c r="AV362" s="52"/>
      <c r="AW362" s="52"/>
    </row>
    <row r="363" spans="1:49" ht="47.25" x14ac:dyDescent="0.25">
      <c r="A363" s="36" t="s">
        <v>44</v>
      </c>
      <c r="B363" s="38">
        <v>46075</v>
      </c>
      <c r="C363" s="38">
        <v>46075</v>
      </c>
      <c r="D363" s="36" t="s">
        <v>215</v>
      </c>
      <c r="E363" s="41">
        <v>0.25</v>
      </c>
      <c r="F363" s="41">
        <v>0.99930555555555556</v>
      </c>
      <c r="G363" s="41">
        <v>1.7361111111111109E-4</v>
      </c>
      <c r="H363" s="36" t="s">
        <v>45</v>
      </c>
      <c r="I363" s="43">
        <v>0.98076388888888888</v>
      </c>
      <c r="J363" s="36" t="s">
        <v>41</v>
      </c>
      <c r="K363" s="36" t="s">
        <v>187</v>
      </c>
      <c r="L363" s="45">
        <v>1</v>
      </c>
      <c r="M363" s="45">
        <v>66852</v>
      </c>
      <c r="N363" s="36" t="s">
        <v>46</v>
      </c>
      <c r="O363" s="45" t="s">
        <v>47</v>
      </c>
      <c r="P363" s="48">
        <v>0</v>
      </c>
      <c r="Q363" s="45"/>
      <c r="R363" s="48">
        <v>0</v>
      </c>
      <c r="S363" s="49">
        <v>46054</v>
      </c>
      <c r="T363" s="48">
        <v>0</v>
      </c>
      <c r="U363" s="50">
        <v>4</v>
      </c>
      <c r="V363" s="48">
        <v>0</v>
      </c>
      <c r="W363" s="36" t="s">
        <v>48</v>
      </c>
      <c r="X363" s="36" t="s">
        <v>49</v>
      </c>
      <c r="Y363" s="36" t="s">
        <v>36</v>
      </c>
      <c r="Z363" s="36" t="s">
        <v>9</v>
      </c>
      <c r="AA363" s="36" t="s">
        <v>50</v>
      </c>
      <c r="AB363" s="36" t="s">
        <v>51</v>
      </c>
      <c r="AC363" s="36" t="s">
        <v>38</v>
      </c>
      <c r="AD363" s="51" t="s">
        <v>226</v>
      </c>
      <c r="AE363" s="52"/>
      <c r="AF363" s="52"/>
      <c r="AG363" s="52"/>
      <c r="AH363" s="52"/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</row>
    <row r="364" spans="1:49" ht="31.5" x14ac:dyDescent="0.2">
      <c r="A364" s="35" t="s">
        <v>99</v>
      </c>
      <c r="B364" s="37">
        <v>46069</v>
      </c>
      <c r="C364" s="37">
        <v>46069</v>
      </c>
      <c r="D364" s="39" t="s">
        <v>30</v>
      </c>
      <c r="E364" s="40">
        <v>0.5</v>
      </c>
      <c r="F364" s="40">
        <v>0.54166666666666663</v>
      </c>
      <c r="G364" s="40">
        <v>4.1666666666666664E-2</v>
      </c>
      <c r="H364" s="35" t="s">
        <v>100</v>
      </c>
      <c r="I364" s="42"/>
      <c r="J364" s="35" t="s">
        <v>81</v>
      </c>
      <c r="K364" s="35"/>
      <c r="L364" s="44">
        <v>1</v>
      </c>
      <c r="M364" s="44">
        <v>1</v>
      </c>
      <c r="N364" s="35" t="s">
        <v>33</v>
      </c>
      <c r="O364" s="35"/>
      <c r="P364" s="47">
        <v>0</v>
      </c>
      <c r="Q364" s="44"/>
      <c r="R364" s="47">
        <v>0</v>
      </c>
      <c r="S364" s="35">
        <v>46054</v>
      </c>
      <c r="T364" s="47">
        <v>0</v>
      </c>
      <c r="U364" s="44">
        <v>2</v>
      </c>
      <c r="V364" s="47">
        <v>0</v>
      </c>
      <c r="W364" s="35" t="s">
        <v>34</v>
      </c>
      <c r="X364" s="35" t="s">
        <v>42</v>
      </c>
      <c r="Y364" s="35" t="s">
        <v>36</v>
      </c>
      <c r="Z364" s="35" t="s">
        <v>43</v>
      </c>
      <c r="AA364" s="35" t="s">
        <v>37</v>
      </c>
      <c r="AB364" s="35" t="s">
        <v>37</v>
      </c>
      <c r="AC364" s="35" t="s">
        <v>38</v>
      </c>
      <c r="AD364" s="51" t="s">
        <v>226</v>
      </c>
      <c r="AE364" s="35"/>
      <c r="AF364" s="35"/>
      <c r="AG364" s="35"/>
      <c r="AH364" s="35"/>
      <c r="AI364" s="35"/>
      <c r="AJ364" s="35"/>
      <c r="AK364" s="35"/>
      <c r="AL364" s="35"/>
      <c r="AM364" s="35"/>
      <c r="AN364" s="35"/>
      <c r="AO364" s="35"/>
      <c r="AP364" s="35"/>
      <c r="AQ364" s="35"/>
      <c r="AR364" s="35"/>
      <c r="AS364" s="35"/>
      <c r="AT364" s="35"/>
      <c r="AU364" s="35"/>
      <c r="AV364" s="35"/>
      <c r="AW364" s="35"/>
    </row>
    <row r="365" spans="1:49" ht="31.5" x14ac:dyDescent="0.2">
      <c r="A365" s="35" t="s">
        <v>99</v>
      </c>
      <c r="B365" s="37">
        <v>46070</v>
      </c>
      <c r="C365" s="37">
        <v>46070</v>
      </c>
      <c r="D365" s="39" t="s">
        <v>146</v>
      </c>
      <c r="E365" s="40">
        <v>0.5</v>
      </c>
      <c r="F365" s="40">
        <v>0.54166666666666663</v>
      </c>
      <c r="G365" s="40">
        <v>4.1666666666666664E-2</v>
      </c>
      <c r="H365" s="35" t="s">
        <v>100</v>
      </c>
      <c r="I365" s="42"/>
      <c r="J365" s="35" t="s">
        <v>81</v>
      </c>
      <c r="K365" s="35"/>
      <c r="L365" s="44">
        <v>1</v>
      </c>
      <c r="M365" s="44">
        <v>1</v>
      </c>
      <c r="N365" s="35" t="s">
        <v>33</v>
      </c>
      <c r="O365" s="35"/>
      <c r="P365" s="47">
        <v>0</v>
      </c>
      <c r="Q365" s="44"/>
      <c r="R365" s="47">
        <v>0</v>
      </c>
      <c r="S365" s="35">
        <v>46054</v>
      </c>
      <c r="T365" s="47">
        <v>0</v>
      </c>
      <c r="U365" s="44">
        <v>2</v>
      </c>
      <c r="V365" s="47">
        <v>0</v>
      </c>
      <c r="W365" s="35" t="s">
        <v>34</v>
      </c>
      <c r="X365" s="35" t="s">
        <v>42</v>
      </c>
      <c r="Y365" s="35" t="s">
        <v>36</v>
      </c>
      <c r="Z365" s="35" t="s">
        <v>43</v>
      </c>
      <c r="AA365" s="35" t="s">
        <v>37</v>
      </c>
      <c r="AB365" s="35" t="s">
        <v>37</v>
      </c>
      <c r="AC365" s="35" t="s">
        <v>38</v>
      </c>
      <c r="AD365" s="51" t="s">
        <v>226</v>
      </c>
      <c r="AE365" s="35"/>
      <c r="AF365" s="35"/>
      <c r="AG365" s="35"/>
      <c r="AH365" s="35"/>
      <c r="AI365" s="35"/>
      <c r="AJ365" s="35"/>
      <c r="AK365" s="35"/>
      <c r="AL365" s="35"/>
      <c r="AM365" s="35"/>
      <c r="AN365" s="35"/>
      <c r="AO365" s="35"/>
      <c r="AP365" s="35"/>
      <c r="AQ365" s="35"/>
      <c r="AR365" s="35"/>
      <c r="AS365" s="35"/>
      <c r="AT365" s="35"/>
      <c r="AU365" s="35"/>
      <c r="AV365" s="35"/>
      <c r="AW365" s="35"/>
    </row>
    <row r="366" spans="1:49" ht="31.5" x14ac:dyDescent="0.25">
      <c r="A366" s="35" t="s">
        <v>99</v>
      </c>
      <c r="B366" s="37">
        <v>46071</v>
      </c>
      <c r="C366" s="37">
        <v>46071</v>
      </c>
      <c r="D366" s="39" t="s">
        <v>164</v>
      </c>
      <c r="E366" s="40">
        <v>0.5</v>
      </c>
      <c r="F366" s="40">
        <v>0.54166666666666663</v>
      </c>
      <c r="G366" s="40">
        <v>4.1666666666666664E-2</v>
      </c>
      <c r="H366" s="35" t="s">
        <v>100</v>
      </c>
      <c r="I366" s="42"/>
      <c r="J366" s="35" t="s">
        <v>81</v>
      </c>
      <c r="K366" s="35"/>
      <c r="L366" s="44">
        <v>1</v>
      </c>
      <c r="M366" s="44">
        <v>1</v>
      </c>
      <c r="N366" s="35" t="s">
        <v>33</v>
      </c>
      <c r="O366" s="35"/>
      <c r="P366" s="47">
        <v>0</v>
      </c>
      <c r="Q366" s="44"/>
      <c r="R366" s="47">
        <v>0</v>
      </c>
      <c r="S366" s="35">
        <v>46054</v>
      </c>
      <c r="T366" s="47">
        <v>0</v>
      </c>
      <c r="U366" s="44">
        <v>2</v>
      </c>
      <c r="V366" s="47">
        <v>0</v>
      </c>
      <c r="W366" s="35" t="s">
        <v>34</v>
      </c>
      <c r="X366" s="35" t="s">
        <v>42</v>
      </c>
      <c r="Y366" s="35" t="s">
        <v>36</v>
      </c>
      <c r="Z366" s="35" t="s">
        <v>43</v>
      </c>
      <c r="AA366" s="35" t="s">
        <v>37</v>
      </c>
      <c r="AB366" s="35" t="s">
        <v>37</v>
      </c>
      <c r="AC366" s="35" t="s">
        <v>38</v>
      </c>
      <c r="AD366" s="51" t="s">
        <v>226</v>
      </c>
      <c r="AE366" s="52"/>
      <c r="AF366" s="52"/>
      <c r="AG366" s="52"/>
      <c r="AH366" s="52"/>
      <c r="AI366" s="56"/>
      <c r="AJ366" s="56"/>
      <c r="AK366" s="56"/>
      <c r="AL366" s="56"/>
      <c r="AM366" s="56"/>
      <c r="AN366" s="56"/>
      <c r="AO366" s="56"/>
      <c r="AP366" s="56"/>
      <c r="AQ366" s="56"/>
      <c r="AR366" s="56"/>
      <c r="AS366" s="56"/>
      <c r="AT366" s="56"/>
      <c r="AU366" s="56"/>
      <c r="AV366" s="56"/>
      <c r="AW366" s="56"/>
    </row>
    <row r="367" spans="1:49" ht="31.5" x14ac:dyDescent="0.2">
      <c r="A367" s="35" t="s">
        <v>99</v>
      </c>
      <c r="B367" s="37">
        <v>46072</v>
      </c>
      <c r="C367" s="37">
        <v>46072</v>
      </c>
      <c r="D367" s="39" t="s">
        <v>177</v>
      </c>
      <c r="E367" s="40">
        <v>0.5</v>
      </c>
      <c r="F367" s="40">
        <v>0.54166666666666663</v>
      </c>
      <c r="G367" s="40">
        <v>4.1666666666666664E-2</v>
      </c>
      <c r="H367" s="35" t="s">
        <v>100</v>
      </c>
      <c r="I367" s="42"/>
      <c r="J367" s="35" t="s">
        <v>81</v>
      </c>
      <c r="K367" s="35"/>
      <c r="L367" s="44">
        <v>1</v>
      </c>
      <c r="M367" s="44">
        <v>1</v>
      </c>
      <c r="N367" s="35" t="s">
        <v>33</v>
      </c>
      <c r="O367" s="35"/>
      <c r="P367" s="47">
        <v>0</v>
      </c>
      <c r="Q367" s="44"/>
      <c r="R367" s="47">
        <v>0</v>
      </c>
      <c r="S367" s="35">
        <v>46054</v>
      </c>
      <c r="T367" s="47">
        <v>0</v>
      </c>
      <c r="U367" s="44">
        <v>2</v>
      </c>
      <c r="V367" s="47">
        <v>0</v>
      </c>
      <c r="W367" s="35" t="s">
        <v>34</v>
      </c>
      <c r="X367" s="35" t="s">
        <v>42</v>
      </c>
      <c r="Y367" s="35" t="s">
        <v>36</v>
      </c>
      <c r="Z367" s="35" t="s">
        <v>43</v>
      </c>
      <c r="AA367" s="35" t="s">
        <v>37</v>
      </c>
      <c r="AB367" s="35" t="s">
        <v>37</v>
      </c>
      <c r="AC367" s="35" t="s">
        <v>38</v>
      </c>
      <c r="AD367" s="51" t="s">
        <v>226</v>
      </c>
      <c r="AE367" s="35"/>
      <c r="AF367" s="35"/>
      <c r="AG367" s="35"/>
      <c r="AH367" s="35"/>
      <c r="AI367" s="35"/>
      <c r="AJ367" s="35"/>
      <c r="AK367" s="35"/>
      <c r="AL367" s="35"/>
      <c r="AM367" s="35"/>
      <c r="AN367" s="35"/>
      <c r="AO367" s="35"/>
      <c r="AP367" s="35"/>
      <c r="AQ367" s="35"/>
      <c r="AR367" s="35"/>
      <c r="AS367" s="35"/>
      <c r="AT367" s="35"/>
      <c r="AU367" s="35"/>
      <c r="AV367" s="35"/>
      <c r="AW367" s="35"/>
    </row>
    <row r="368" spans="1:49" ht="31.5" x14ac:dyDescent="0.25">
      <c r="A368" s="35" t="s">
        <v>99</v>
      </c>
      <c r="B368" s="37">
        <v>46073</v>
      </c>
      <c r="C368" s="37">
        <v>46073</v>
      </c>
      <c r="D368" s="39" t="s">
        <v>189</v>
      </c>
      <c r="E368" s="40">
        <v>0.5</v>
      </c>
      <c r="F368" s="40">
        <v>0.54166666666666663</v>
      </c>
      <c r="G368" s="40">
        <v>4.1666666666666664E-2</v>
      </c>
      <c r="H368" s="35" t="s">
        <v>100</v>
      </c>
      <c r="I368" s="42"/>
      <c r="J368" s="35" t="s">
        <v>81</v>
      </c>
      <c r="K368" s="35"/>
      <c r="L368" s="44">
        <v>1</v>
      </c>
      <c r="M368" s="44">
        <v>1</v>
      </c>
      <c r="N368" s="35" t="s">
        <v>33</v>
      </c>
      <c r="O368" s="35"/>
      <c r="P368" s="47">
        <v>0</v>
      </c>
      <c r="Q368" s="44"/>
      <c r="R368" s="47">
        <v>0</v>
      </c>
      <c r="S368" s="35">
        <v>46054</v>
      </c>
      <c r="T368" s="47">
        <v>0</v>
      </c>
      <c r="U368" s="44">
        <v>2</v>
      </c>
      <c r="V368" s="47">
        <v>0</v>
      </c>
      <c r="W368" s="35" t="s">
        <v>34</v>
      </c>
      <c r="X368" s="35" t="s">
        <v>42</v>
      </c>
      <c r="Y368" s="35" t="s">
        <v>36</v>
      </c>
      <c r="Z368" s="35" t="s">
        <v>43</v>
      </c>
      <c r="AA368" s="35" t="s">
        <v>37</v>
      </c>
      <c r="AB368" s="35" t="s">
        <v>37</v>
      </c>
      <c r="AC368" s="35" t="s">
        <v>38</v>
      </c>
      <c r="AD368" s="51" t="s">
        <v>226</v>
      </c>
      <c r="AE368" s="52"/>
      <c r="AF368" s="52"/>
      <c r="AG368" s="52"/>
      <c r="AH368" s="52"/>
      <c r="AI368" s="52"/>
      <c r="AJ368" s="52"/>
      <c r="AK368" s="52"/>
      <c r="AL368" s="52"/>
      <c r="AM368" s="52"/>
      <c r="AN368" s="52"/>
      <c r="AO368" s="52"/>
      <c r="AP368" s="52"/>
      <c r="AQ368" s="52"/>
      <c r="AR368" s="52"/>
      <c r="AS368" s="52"/>
      <c r="AT368" s="52"/>
      <c r="AU368" s="52"/>
      <c r="AV368" s="52"/>
      <c r="AW368" s="52"/>
    </row>
    <row r="369" spans="1:49" ht="31.5" x14ac:dyDescent="0.2">
      <c r="A369" s="35" t="s">
        <v>99</v>
      </c>
      <c r="B369" s="37">
        <v>46074</v>
      </c>
      <c r="C369" s="37">
        <v>46074</v>
      </c>
      <c r="D369" s="39" t="s">
        <v>197</v>
      </c>
      <c r="E369" s="40">
        <v>0.41666666666666669</v>
      </c>
      <c r="F369" s="40">
        <v>0.45833333333333331</v>
      </c>
      <c r="G369" s="40">
        <v>4.1666666666666664E-2</v>
      </c>
      <c r="H369" s="35" t="s">
        <v>200</v>
      </c>
      <c r="I369" s="42"/>
      <c r="J369" s="35" t="s">
        <v>32</v>
      </c>
      <c r="K369" s="35"/>
      <c r="L369" s="44">
        <v>1</v>
      </c>
      <c r="M369" s="44">
        <v>1</v>
      </c>
      <c r="N369" s="35" t="s">
        <v>33</v>
      </c>
      <c r="O369" s="35"/>
      <c r="P369" s="47">
        <v>0</v>
      </c>
      <c r="Q369" s="44"/>
      <c r="R369" s="47">
        <v>0</v>
      </c>
      <c r="S369" s="35">
        <v>46054</v>
      </c>
      <c r="T369" s="47">
        <v>0</v>
      </c>
      <c r="U369" s="44">
        <v>1</v>
      </c>
      <c r="V369" s="47">
        <v>0</v>
      </c>
      <c r="W369" s="35" t="s">
        <v>34</v>
      </c>
      <c r="X369" s="35" t="s">
        <v>42</v>
      </c>
      <c r="Y369" s="35" t="s">
        <v>36</v>
      </c>
      <c r="Z369" s="35" t="s">
        <v>43</v>
      </c>
      <c r="AA369" s="35" t="s">
        <v>37</v>
      </c>
      <c r="AB369" s="35" t="s">
        <v>37</v>
      </c>
      <c r="AC369" s="35" t="s">
        <v>38</v>
      </c>
      <c r="AD369" s="51" t="s">
        <v>226</v>
      </c>
      <c r="AE369" s="35"/>
      <c r="AF369" s="35"/>
      <c r="AG369" s="35"/>
      <c r="AH369" s="35"/>
      <c r="AI369" s="35"/>
      <c r="AJ369" s="35"/>
      <c r="AK369" s="35"/>
      <c r="AL369" s="35"/>
      <c r="AM369" s="35"/>
      <c r="AN369" s="35"/>
      <c r="AO369" s="35"/>
      <c r="AP369" s="35"/>
      <c r="AQ369" s="35"/>
      <c r="AR369" s="35"/>
      <c r="AS369" s="35"/>
      <c r="AT369" s="35"/>
      <c r="AU369" s="35"/>
      <c r="AV369" s="35"/>
      <c r="AW369" s="35"/>
    </row>
    <row r="370" spans="1:49" ht="31.5" x14ac:dyDescent="0.25">
      <c r="A370" s="35" t="s">
        <v>99</v>
      </c>
      <c r="B370" s="37">
        <v>46075</v>
      </c>
      <c r="C370" s="37">
        <v>46075</v>
      </c>
      <c r="D370" s="39" t="s">
        <v>215</v>
      </c>
      <c r="E370" s="40">
        <v>0.41666666666666669</v>
      </c>
      <c r="F370" s="40">
        <v>0.45833333333333331</v>
      </c>
      <c r="G370" s="40">
        <v>4.1666666666666664E-2</v>
      </c>
      <c r="H370" s="35" t="s">
        <v>200</v>
      </c>
      <c r="I370" s="42"/>
      <c r="J370" s="35" t="s">
        <v>32</v>
      </c>
      <c r="K370" s="35"/>
      <c r="L370" s="44">
        <v>1</v>
      </c>
      <c r="M370" s="44">
        <v>1</v>
      </c>
      <c r="N370" s="35" t="s">
        <v>33</v>
      </c>
      <c r="O370" s="35"/>
      <c r="P370" s="47">
        <v>0</v>
      </c>
      <c r="Q370" s="44"/>
      <c r="R370" s="47">
        <v>0</v>
      </c>
      <c r="S370" s="35">
        <v>46054</v>
      </c>
      <c r="T370" s="47">
        <v>0</v>
      </c>
      <c r="U370" s="44">
        <v>1</v>
      </c>
      <c r="V370" s="47">
        <v>0</v>
      </c>
      <c r="W370" s="35" t="s">
        <v>34</v>
      </c>
      <c r="X370" s="35" t="s">
        <v>42</v>
      </c>
      <c r="Y370" s="35" t="s">
        <v>36</v>
      </c>
      <c r="Z370" s="35" t="s">
        <v>43</v>
      </c>
      <c r="AA370" s="35" t="s">
        <v>37</v>
      </c>
      <c r="AB370" s="35" t="s">
        <v>37</v>
      </c>
      <c r="AC370" s="35" t="s">
        <v>38</v>
      </c>
      <c r="AD370" s="51" t="s">
        <v>226</v>
      </c>
      <c r="AE370" s="52"/>
      <c r="AF370" s="52"/>
      <c r="AG370" s="52"/>
      <c r="AH370" s="52"/>
      <c r="AI370" s="52"/>
      <c r="AJ370" s="52"/>
      <c r="AK370" s="52"/>
      <c r="AL370" s="52"/>
      <c r="AM370" s="52"/>
      <c r="AN370" s="52"/>
      <c r="AO370" s="52"/>
      <c r="AP370" s="52"/>
      <c r="AQ370" s="52"/>
      <c r="AR370" s="52"/>
      <c r="AS370" s="52"/>
      <c r="AT370" s="52"/>
      <c r="AU370" s="52"/>
      <c r="AV370" s="52"/>
      <c r="AW370" s="52"/>
    </row>
    <row r="401" spans="1:49" s="9" customFormat="1" ht="15.75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1:49" s="9" customFormat="1" ht="15.75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1:49" s="9" customFormat="1" ht="15.75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1:49" s="9" customFormat="1" ht="15.75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1:49" s="9" customFormat="1" ht="15.75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1:49" s="9" customFormat="1" ht="15.75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1:49" s="9" customFormat="1" ht="15.75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1:49" s="9" customFormat="1" ht="15.75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1:49" s="9" customFormat="1" ht="15.75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1:49" s="9" customFormat="1" ht="15.75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1:49" s="9" customFormat="1" ht="15.75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1:49" s="9" customFormat="1" ht="15.75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1:49" s="9" customFormat="1" ht="15.75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1:49" s="9" customFormat="1" ht="15.75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1:49" s="9" customFormat="1" ht="15.75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1:49" s="9" customFormat="1" ht="15.75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1:49" s="9" customFormat="1" ht="15.75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1:49" s="9" customFormat="1" ht="15.75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1:49" s="9" customFormat="1" ht="15.75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1:49" s="9" customFormat="1" ht="15.75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1:49" s="9" customFormat="1" ht="15.75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1:49" s="9" customFormat="1" ht="15.75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1:49" s="9" customFormat="1" ht="15.75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1:49" s="9" customFormat="1" ht="15.75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1:49" s="9" customFormat="1" ht="15.75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1:49" s="9" customFormat="1" ht="15.75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1:49" s="9" customFormat="1" ht="15.75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1:49" s="9" customFormat="1" ht="15.75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1:49" s="9" customFormat="1" ht="15.75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1:49" s="9" customFormat="1" ht="15.75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1:49" s="9" customFormat="1" ht="15.75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1:49" s="9" customFormat="1" ht="15.75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1:49" s="9" customFormat="1" ht="15.75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1:49" s="9" customFormat="1" ht="15.75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1:49" s="9" customFormat="1" ht="15.75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1:49" s="9" customFormat="1" ht="15.75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1:49" s="9" customFormat="1" ht="15.75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1:49" s="9" customFormat="1" ht="15.75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1:49" s="9" customFormat="1" ht="15.75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1:49" s="9" customFormat="1" ht="15.75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1:49" s="9" customFormat="1" ht="15.75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1:49" s="9" customFormat="1" ht="15.75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1:49" s="9" customFormat="1" ht="15.75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1:49" s="9" customFormat="1" ht="15.75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1:49" s="9" customFormat="1" ht="15.75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1:49" s="9" customFormat="1" ht="15.75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1:49" s="9" customFormat="1" ht="15.75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1:49" s="9" customFormat="1" ht="15.75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1:49" s="9" customFormat="1" ht="15.75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1:49" s="9" customFormat="1" ht="15.75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1:49" s="9" customFormat="1" ht="15.75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1:49" s="9" customFormat="1" ht="15.75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1:49" s="9" customFormat="1" ht="15.75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1:49" s="9" customFormat="1" ht="15.75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1:49" s="9" customFormat="1" ht="15.75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1:49" s="9" customFormat="1" ht="15.75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1:49" s="9" customFormat="1" ht="15.75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1:49" s="9" customFormat="1" ht="15.75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1:49" s="9" customFormat="1" ht="15.75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1:49" s="9" customFormat="1" ht="15.75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801" spans="1:49" s="30" customFormat="1" ht="15.75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</row>
    <row r="802" spans="1:49" s="30" customFormat="1" ht="15.75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</row>
    <row r="803" spans="1:49" s="30" customFormat="1" ht="15.75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</row>
    <row r="804" spans="1:49" s="30" customFormat="1" ht="15.75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</row>
    <row r="805" spans="1:49" s="30" customFormat="1" ht="15.75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</row>
    <row r="806" spans="1:49" s="30" customFormat="1" ht="15.75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</row>
    <row r="807" spans="1:49" s="30" customFormat="1" ht="15.75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</row>
    <row r="808" spans="1:49" s="30" customFormat="1" ht="15.75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</row>
    <row r="809" spans="1:49" s="30" customFormat="1" ht="15.75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</row>
    <row r="810" spans="1:49" s="30" customFormat="1" ht="15.75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</row>
    <row r="811" spans="1:49" s="30" customFormat="1" ht="15.75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</row>
    <row r="812" spans="1:49" s="30" customFormat="1" ht="15.75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</row>
    <row r="813" spans="1:49" s="30" customFormat="1" ht="15.75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</row>
    <row r="814" spans="1:49" s="30" customFormat="1" ht="15.75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</row>
    <row r="815" spans="1:49" s="30" customFormat="1" ht="15.75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</row>
    <row r="816" spans="1:49" s="30" customFormat="1" ht="15.75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</row>
    <row r="817" spans="1:49" s="30" customFormat="1" ht="15.75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</row>
    <row r="818" spans="1:49" s="30" customFormat="1" ht="15.75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</row>
    <row r="819" spans="1:49" s="30" customFormat="1" ht="15.75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</row>
    <row r="820" spans="1:49" s="30" customFormat="1" ht="15.75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</row>
    <row r="821" spans="1:49" s="30" customFormat="1" ht="15.75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</row>
    <row r="822" spans="1:49" s="30" customFormat="1" ht="15.75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</row>
    <row r="823" spans="1:49" s="30" customFormat="1" ht="15.75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</row>
    <row r="824" spans="1:49" s="30" customFormat="1" ht="15.75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</row>
    <row r="825" spans="1:49" s="30" customFormat="1" ht="15.75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</row>
    <row r="826" spans="1:49" s="30" customFormat="1" ht="15.75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</row>
    <row r="827" spans="1:49" s="30" customFormat="1" ht="15.75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</row>
    <row r="828" spans="1:49" s="30" customFormat="1" ht="15.75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</row>
    <row r="829" spans="1:49" s="30" customFormat="1" ht="15.75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</row>
    <row r="830" spans="1:49" s="30" customFormat="1" ht="15.75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</row>
    <row r="831" spans="1:49" s="30" customFormat="1" ht="15.75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</row>
    <row r="832" spans="1:49" s="30" customFormat="1" ht="15.75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</row>
    <row r="833" spans="1:49" s="30" customFormat="1" ht="15.75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</row>
    <row r="834" spans="1:49" s="30" customFormat="1" ht="15.75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</row>
    <row r="835" spans="1:49" s="30" customFormat="1" ht="15.75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</row>
    <row r="836" spans="1:49" s="30" customFormat="1" ht="15.75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</row>
    <row r="837" spans="1:49" s="30" customFormat="1" ht="15.75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</row>
    <row r="838" spans="1:49" s="30" customFormat="1" ht="15.75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</row>
    <row r="839" spans="1:49" s="30" customFormat="1" ht="15.75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</row>
    <row r="840" spans="1:49" s="30" customFormat="1" ht="15.75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</row>
    <row r="841" spans="1:49" s="30" customFormat="1" ht="15.75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</row>
    <row r="842" spans="1:49" s="30" customFormat="1" ht="15.75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</row>
    <row r="843" spans="1:49" s="30" customFormat="1" ht="15.75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</row>
    <row r="844" spans="1:49" s="30" customFormat="1" ht="15.75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</row>
    <row r="845" spans="1:49" s="30" customFormat="1" ht="15.75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</row>
    <row r="846" spans="1:49" s="30" customFormat="1" ht="15.75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</row>
    <row r="847" spans="1:49" s="30" customFormat="1" ht="15.75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</row>
    <row r="848" spans="1:49" s="30" customFormat="1" ht="15.75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</row>
    <row r="849" spans="1:49" s="30" customFormat="1" ht="15.75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</row>
    <row r="850" spans="1:49" s="30" customFormat="1" ht="15.75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</row>
    <row r="851" spans="1:49" s="30" customFormat="1" ht="15.75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</row>
    <row r="852" spans="1:49" s="30" customFormat="1" ht="15.75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</row>
    <row r="853" spans="1:49" s="30" customFormat="1" ht="15.75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</row>
    <row r="854" spans="1:49" s="30" customFormat="1" ht="15.75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</row>
    <row r="855" spans="1:49" s="30" customFormat="1" ht="15.75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</row>
    <row r="856" spans="1:49" s="30" customFormat="1" ht="15.75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</row>
    <row r="857" spans="1:49" s="30" customFormat="1" ht="15.75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</row>
    <row r="858" spans="1:49" s="30" customFormat="1" ht="15.75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</row>
    <row r="859" spans="1:49" s="30" customFormat="1" ht="15.75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</row>
    <row r="860" spans="1:49" s="30" customFormat="1" ht="15.75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</row>
    <row r="1200" spans="1:49" s="30" customFormat="1" ht="15.75" x14ac:dyDescent="0.2">
      <c r="A1200" s="34"/>
      <c r="B1200" s="34"/>
      <c r="C1200" s="34"/>
      <c r="D1200" s="34"/>
      <c r="E1200" s="34"/>
      <c r="F1200" s="34"/>
      <c r="G1200" s="34"/>
      <c r="H1200" s="34"/>
      <c r="I1200" s="34"/>
      <c r="J1200" s="34"/>
      <c r="K1200" s="34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</row>
    <row r="1201" spans="1:49" s="30" customFormat="1" ht="15.75" x14ac:dyDescent="0.2">
      <c r="A1201" s="34"/>
      <c r="B1201" s="34"/>
      <c r="C1201" s="34"/>
      <c r="D1201" s="34"/>
      <c r="E1201" s="34"/>
      <c r="F1201" s="34"/>
      <c r="G1201" s="34"/>
      <c r="H1201" s="34"/>
      <c r="I1201" s="34"/>
      <c r="J1201" s="34"/>
      <c r="K1201" s="34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</row>
    <row r="1202" spans="1:49" s="30" customFormat="1" ht="15.75" x14ac:dyDescent="0.2">
      <c r="A1202" s="34"/>
      <c r="B1202" s="34"/>
      <c r="C1202" s="34"/>
      <c r="D1202" s="34"/>
      <c r="E1202" s="34"/>
      <c r="F1202" s="34"/>
      <c r="G1202" s="34"/>
      <c r="H1202" s="34"/>
      <c r="I1202" s="34"/>
      <c r="J1202" s="34"/>
      <c r="K1202" s="34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</row>
    <row r="1203" spans="1:49" s="30" customFormat="1" ht="15.75" x14ac:dyDescent="0.2">
      <c r="A1203" s="34"/>
      <c r="B1203" s="34"/>
      <c r="C1203" s="34"/>
      <c r="D1203" s="34"/>
      <c r="E1203" s="34"/>
      <c r="F1203" s="34"/>
      <c r="G1203" s="34"/>
      <c r="H1203" s="34"/>
      <c r="I1203" s="34"/>
      <c r="J1203" s="34"/>
      <c r="K1203" s="34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</row>
    <row r="1204" spans="1:49" s="30" customFormat="1" ht="15.75" x14ac:dyDescent="0.2">
      <c r="A1204" s="34"/>
      <c r="B1204" s="34"/>
      <c r="C1204" s="34"/>
      <c r="D1204" s="34"/>
      <c r="E1204" s="34"/>
      <c r="F1204" s="34"/>
      <c r="G1204" s="34"/>
      <c r="H1204" s="34"/>
      <c r="I1204" s="34"/>
      <c r="J1204" s="34"/>
      <c r="K1204" s="34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</row>
    <row r="1205" spans="1:49" s="30" customFormat="1" ht="15.75" x14ac:dyDescent="0.2">
      <c r="A1205" s="34"/>
      <c r="B1205" s="34"/>
      <c r="C1205" s="34"/>
      <c r="D1205" s="34"/>
      <c r="E1205" s="34"/>
      <c r="F1205" s="34"/>
      <c r="G1205" s="34"/>
      <c r="H1205" s="34"/>
      <c r="I1205" s="34"/>
      <c r="J1205" s="34"/>
      <c r="K1205" s="34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</row>
    <row r="1206" spans="1:49" s="30" customFormat="1" ht="15.75" x14ac:dyDescent="0.2">
      <c r="A1206" s="34"/>
      <c r="B1206" s="34"/>
      <c r="C1206" s="34"/>
      <c r="D1206" s="34"/>
      <c r="E1206" s="34"/>
      <c r="F1206" s="34"/>
      <c r="G1206" s="34"/>
      <c r="H1206" s="34"/>
      <c r="I1206" s="34"/>
      <c r="J1206" s="34"/>
      <c r="K1206" s="34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</row>
    <row r="1207" spans="1:49" s="30" customFormat="1" ht="15.75" x14ac:dyDescent="0.2">
      <c r="A1207" s="34"/>
      <c r="B1207" s="34"/>
      <c r="C1207" s="34"/>
      <c r="D1207" s="34"/>
      <c r="E1207" s="34"/>
      <c r="F1207" s="34"/>
      <c r="G1207" s="34"/>
      <c r="H1207" s="34"/>
      <c r="I1207" s="34"/>
      <c r="J1207" s="34"/>
      <c r="K1207" s="34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</row>
    <row r="1208" spans="1:49" s="30" customFormat="1" ht="15.75" x14ac:dyDescent="0.2">
      <c r="A1208" s="34"/>
      <c r="B1208" s="34"/>
      <c r="C1208" s="34"/>
      <c r="D1208" s="34"/>
      <c r="E1208" s="34"/>
      <c r="F1208" s="34"/>
      <c r="G1208" s="34"/>
      <c r="H1208" s="34"/>
      <c r="I1208" s="34"/>
      <c r="J1208" s="34"/>
      <c r="K1208" s="34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</row>
    <row r="1209" spans="1:49" s="30" customFormat="1" ht="15.75" x14ac:dyDescent="0.2">
      <c r="A1209" s="34"/>
      <c r="B1209" s="34"/>
      <c r="C1209" s="34"/>
      <c r="D1209" s="34"/>
      <c r="E1209" s="34"/>
      <c r="F1209" s="34"/>
      <c r="G1209" s="34"/>
      <c r="H1209" s="34"/>
      <c r="I1209" s="34"/>
      <c r="J1209" s="34"/>
      <c r="K1209" s="34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</row>
    <row r="1210" spans="1:49" s="30" customFormat="1" ht="15.75" x14ac:dyDescent="0.2">
      <c r="A1210" s="34"/>
      <c r="B1210" s="34"/>
      <c r="C1210" s="34"/>
      <c r="D1210" s="34"/>
      <c r="E1210" s="34"/>
      <c r="F1210" s="34"/>
      <c r="G1210" s="34"/>
      <c r="H1210" s="34"/>
      <c r="I1210" s="34"/>
      <c r="J1210" s="34"/>
      <c r="K1210" s="34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</row>
    <row r="1211" spans="1:49" s="30" customFormat="1" ht="15.75" x14ac:dyDescent="0.2">
      <c r="A1211" s="34"/>
      <c r="B1211" s="34"/>
      <c r="C1211" s="34"/>
      <c r="D1211" s="34"/>
      <c r="E1211" s="34"/>
      <c r="F1211" s="34"/>
      <c r="G1211" s="34"/>
      <c r="H1211" s="34"/>
      <c r="I1211" s="34"/>
      <c r="J1211" s="34"/>
      <c r="K1211" s="34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</row>
    <row r="1212" spans="1:49" s="30" customFormat="1" ht="15.75" x14ac:dyDescent="0.2">
      <c r="A1212" s="34"/>
      <c r="B1212" s="34"/>
      <c r="C1212" s="34"/>
      <c r="D1212" s="34"/>
      <c r="E1212" s="34"/>
      <c r="F1212" s="34"/>
      <c r="G1212" s="34"/>
      <c r="H1212" s="34"/>
      <c r="I1212" s="34"/>
      <c r="J1212" s="34"/>
      <c r="K1212" s="34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</row>
    <row r="1213" spans="1:49" s="30" customFormat="1" ht="15.75" x14ac:dyDescent="0.2">
      <c r="A1213" s="34"/>
      <c r="B1213" s="34"/>
      <c r="C1213" s="34"/>
      <c r="D1213" s="34"/>
      <c r="E1213" s="34"/>
      <c r="F1213" s="34"/>
      <c r="G1213" s="34"/>
      <c r="H1213" s="34"/>
      <c r="I1213" s="34"/>
      <c r="J1213" s="34"/>
      <c r="K1213" s="34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</row>
    <row r="1214" spans="1:49" s="30" customFormat="1" ht="15.75" x14ac:dyDescent="0.2">
      <c r="A1214" s="34"/>
      <c r="B1214" s="34"/>
      <c r="C1214" s="34"/>
      <c r="D1214" s="34"/>
      <c r="E1214" s="34"/>
      <c r="F1214" s="34"/>
      <c r="G1214" s="34"/>
      <c r="H1214" s="34"/>
      <c r="I1214" s="34"/>
      <c r="J1214" s="34"/>
      <c r="K1214" s="34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</row>
    <row r="1215" spans="1:49" s="30" customFormat="1" ht="15.75" x14ac:dyDescent="0.2">
      <c r="A1215" s="34"/>
      <c r="B1215" s="34"/>
      <c r="C1215" s="34"/>
      <c r="D1215" s="34"/>
      <c r="E1215" s="34"/>
      <c r="F1215" s="34"/>
      <c r="G1215" s="34"/>
      <c r="H1215" s="34"/>
      <c r="I1215" s="34"/>
      <c r="J1215" s="34"/>
      <c r="K1215" s="34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</row>
    <row r="1216" spans="1:49" s="30" customFormat="1" ht="15.75" x14ac:dyDescent="0.2">
      <c r="A1216" s="34"/>
      <c r="B1216" s="34"/>
      <c r="C1216" s="34"/>
      <c r="D1216" s="34"/>
      <c r="E1216" s="34"/>
      <c r="F1216" s="34"/>
      <c r="G1216" s="34"/>
      <c r="H1216" s="34"/>
      <c r="I1216" s="34"/>
      <c r="J1216" s="34"/>
      <c r="K1216" s="34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</row>
    <row r="1217" spans="1:49" s="30" customFormat="1" ht="15.75" x14ac:dyDescent="0.2">
      <c r="A1217" s="34"/>
      <c r="B1217" s="34"/>
      <c r="C1217" s="34"/>
      <c r="D1217" s="34"/>
      <c r="E1217" s="34"/>
      <c r="F1217" s="34"/>
      <c r="G1217" s="34"/>
      <c r="H1217" s="34"/>
      <c r="I1217" s="34"/>
      <c r="J1217" s="34"/>
      <c r="K1217" s="34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</row>
    <row r="1218" spans="1:49" s="30" customFormat="1" ht="15.75" x14ac:dyDescent="0.2">
      <c r="A1218" s="34"/>
      <c r="B1218" s="34"/>
      <c r="C1218" s="34"/>
      <c r="D1218" s="34"/>
      <c r="E1218" s="34"/>
      <c r="F1218" s="34"/>
      <c r="G1218" s="34"/>
      <c r="H1218" s="34"/>
      <c r="I1218" s="34"/>
      <c r="J1218" s="34"/>
      <c r="K1218" s="34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</row>
    <row r="1219" spans="1:49" s="30" customFormat="1" ht="15.75" x14ac:dyDescent="0.2">
      <c r="A1219" s="34"/>
      <c r="B1219" s="34"/>
      <c r="C1219" s="34"/>
      <c r="D1219" s="34"/>
      <c r="E1219" s="34"/>
      <c r="F1219" s="34"/>
      <c r="G1219" s="34"/>
      <c r="H1219" s="34"/>
      <c r="I1219" s="34"/>
      <c r="J1219" s="34"/>
      <c r="K1219" s="34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</row>
    <row r="1220" spans="1:49" s="30" customFormat="1" ht="15.75" x14ac:dyDescent="0.2">
      <c r="A1220" s="34"/>
      <c r="B1220" s="34"/>
      <c r="C1220" s="34"/>
      <c r="D1220" s="34"/>
      <c r="E1220" s="34"/>
      <c r="F1220" s="34"/>
      <c r="G1220" s="34"/>
      <c r="H1220" s="34"/>
      <c r="I1220" s="34"/>
      <c r="J1220" s="34"/>
      <c r="K1220" s="34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</row>
    <row r="1221" spans="1:49" s="30" customFormat="1" ht="15.75" x14ac:dyDescent="0.2">
      <c r="A1221" s="34"/>
      <c r="B1221" s="34"/>
      <c r="C1221" s="34"/>
      <c r="D1221" s="34"/>
      <c r="E1221" s="34"/>
      <c r="F1221" s="34"/>
      <c r="G1221" s="34"/>
      <c r="H1221" s="34"/>
      <c r="I1221" s="34"/>
      <c r="J1221" s="34"/>
      <c r="K1221" s="34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</row>
    <row r="1222" spans="1:49" s="30" customFormat="1" ht="15.75" x14ac:dyDescent="0.2">
      <c r="A1222" s="34"/>
      <c r="B1222" s="34"/>
      <c r="C1222" s="34"/>
      <c r="D1222" s="34"/>
      <c r="E1222" s="34"/>
      <c r="F1222" s="34"/>
      <c r="G1222" s="34"/>
      <c r="H1222" s="34"/>
      <c r="I1222" s="34"/>
      <c r="J1222" s="34"/>
      <c r="K1222" s="34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</row>
    <row r="1223" spans="1:49" s="30" customFormat="1" ht="15.75" x14ac:dyDescent="0.2">
      <c r="A1223" s="34"/>
      <c r="B1223" s="34"/>
      <c r="C1223" s="34"/>
      <c r="D1223" s="34"/>
      <c r="E1223" s="34"/>
      <c r="F1223" s="34"/>
      <c r="G1223" s="34"/>
      <c r="H1223" s="34"/>
      <c r="I1223" s="34"/>
      <c r="J1223" s="34"/>
      <c r="K1223" s="34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</row>
    <row r="1224" spans="1:49" s="30" customFormat="1" ht="15.75" x14ac:dyDescent="0.2">
      <c r="A1224" s="34"/>
      <c r="B1224" s="34"/>
      <c r="C1224" s="34"/>
      <c r="D1224" s="34"/>
      <c r="E1224" s="34"/>
      <c r="F1224" s="34"/>
      <c r="G1224" s="34"/>
      <c r="H1224" s="34"/>
      <c r="I1224" s="34"/>
      <c r="J1224" s="34"/>
      <c r="K1224" s="34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</row>
    <row r="1225" spans="1:49" s="30" customFormat="1" ht="15.75" x14ac:dyDescent="0.2">
      <c r="A1225" s="34"/>
      <c r="B1225" s="34"/>
      <c r="C1225" s="34"/>
      <c r="D1225" s="34"/>
      <c r="E1225" s="34"/>
      <c r="F1225" s="34"/>
      <c r="G1225" s="34"/>
      <c r="H1225" s="34"/>
      <c r="I1225" s="34"/>
      <c r="J1225" s="34"/>
      <c r="K1225" s="34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</row>
    <row r="1226" spans="1:49" s="30" customFormat="1" ht="15.75" x14ac:dyDescent="0.2">
      <c r="A1226" s="34"/>
      <c r="B1226" s="34"/>
      <c r="C1226" s="34"/>
      <c r="D1226" s="34"/>
      <c r="E1226" s="34"/>
      <c r="F1226" s="34"/>
      <c r="G1226" s="34"/>
      <c r="H1226" s="34"/>
      <c r="I1226" s="34"/>
      <c r="J1226" s="34"/>
      <c r="K1226" s="34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</row>
    <row r="1227" spans="1:49" s="30" customFormat="1" ht="15.75" x14ac:dyDescent="0.2">
      <c r="A1227" s="34"/>
      <c r="B1227" s="34"/>
      <c r="C1227" s="34"/>
      <c r="D1227" s="34"/>
      <c r="E1227" s="34"/>
      <c r="F1227" s="34"/>
      <c r="G1227" s="34"/>
      <c r="H1227" s="34"/>
      <c r="I1227" s="34"/>
      <c r="J1227" s="34"/>
      <c r="K1227" s="34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</row>
    <row r="1228" spans="1:49" s="30" customFormat="1" ht="15.75" x14ac:dyDescent="0.2">
      <c r="A1228" s="34"/>
      <c r="B1228" s="34"/>
      <c r="C1228" s="34"/>
      <c r="D1228" s="34"/>
      <c r="E1228" s="34"/>
      <c r="F1228" s="34"/>
      <c r="G1228" s="34"/>
      <c r="H1228" s="34"/>
      <c r="I1228" s="34"/>
      <c r="J1228" s="34"/>
      <c r="K1228" s="34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</row>
    <row r="1229" spans="1:49" s="30" customFormat="1" ht="15.75" x14ac:dyDescent="0.2">
      <c r="A1229" s="34"/>
      <c r="B1229" s="34"/>
      <c r="C1229" s="34"/>
      <c r="D1229" s="34"/>
      <c r="E1229" s="34"/>
      <c r="F1229" s="34"/>
      <c r="G1229" s="34"/>
      <c r="H1229" s="34"/>
      <c r="I1229" s="34"/>
      <c r="J1229" s="34"/>
      <c r="K1229" s="34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</row>
    <row r="1230" spans="1:49" s="30" customFormat="1" ht="15.75" x14ac:dyDescent="0.2">
      <c r="A1230" s="34"/>
      <c r="B1230" s="34"/>
      <c r="C1230" s="34"/>
      <c r="D1230" s="34"/>
      <c r="E1230" s="34"/>
      <c r="F1230" s="34"/>
      <c r="G1230" s="34"/>
      <c r="H1230" s="34"/>
      <c r="I1230" s="34"/>
      <c r="J1230" s="34"/>
      <c r="K1230" s="34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</row>
    <row r="1231" spans="1:49" s="30" customFormat="1" ht="15.75" x14ac:dyDescent="0.2">
      <c r="A1231" s="34"/>
      <c r="B1231" s="34"/>
      <c r="C1231" s="34"/>
      <c r="D1231" s="34"/>
      <c r="E1231" s="34"/>
      <c r="F1231" s="34"/>
      <c r="G1231" s="34"/>
      <c r="H1231" s="34"/>
      <c r="I1231" s="34"/>
      <c r="J1231" s="34"/>
      <c r="K1231" s="34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</row>
    <row r="1232" spans="1:49" s="30" customFormat="1" ht="15.75" x14ac:dyDescent="0.2">
      <c r="A1232" s="34"/>
      <c r="B1232" s="34"/>
      <c r="C1232" s="34"/>
      <c r="D1232" s="34"/>
      <c r="E1232" s="34"/>
      <c r="F1232" s="34"/>
      <c r="G1232" s="34"/>
      <c r="H1232" s="34"/>
      <c r="I1232" s="34"/>
      <c r="J1232" s="34"/>
      <c r="K1232" s="34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</row>
    <row r="1233" spans="1:49" s="30" customFormat="1" ht="15.75" x14ac:dyDescent="0.2">
      <c r="A1233" s="34"/>
      <c r="B1233" s="34"/>
      <c r="C1233" s="34"/>
      <c r="D1233" s="34"/>
      <c r="E1233" s="34"/>
      <c r="F1233" s="34"/>
      <c r="G1233" s="34"/>
      <c r="H1233" s="34"/>
      <c r="I1233" s="34"/>
      <c r="J1233" s="34"/>
      <c r="K1233" s="34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</row>
    <row r="1234" spans="1:49" s="30" customFormat="1" ht="15.75" x14ac:dyDescent="0.2">
      <c r="A1234" s="34"/>
      <c r="B1234" s="34"/>
      <c r="C1234" s="34"/>
      <c r="D1234" s="34"/>
      <c r="E1234" s="34"/>
      <c r="F1234" s="34"/>
      <c r="G1234" s="34"/>
      <c r="H1234" s="34"/>
      <c r="I1234" s="34"/>
      <c r="J1234" s="34"/>
      <c r="K1234" s="34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</row>
    <row r="1235" spans="1:49" s="30" customFormat="1" ht="15.75" x14ac:dyDescent="0.2">
      <c r="A1235" s="34"/>
      <c r="B1235" s="34"/>
      <c r="C1235" s="34"/>
      <c r="D1235" s="34"/>
      <c r="E1235" s="34"/>
      <c r="F1235" s="34"/>
      <c r="G1235" s="34"/>
      <c r="H1235" s="34"/>
      <c r="I1235" s="34"/>
      <c r="J1235" s="34"/>
      <c r="K1235" s="34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</row>
    <row r="1236" spans="1:49" s="30" customFormat="1" ht="15.75" x14ac:dyDescent="0.2">
      <c r="A1236" s="34"/>
      <c r="B1236" s="34"/>
      <c r="C1236" s="34"/>
      <c r="D1236" s="34"/>
      <c r="E1236" s="34"/>
      <c r="F1236" s="34"/>
      <c r="G1236" s="34"/>
      <c r="H1236" s="34"/>
      <c r="I1236" s="34"/>
      <c r="J1236" s="34"/>
      <c r="K1236" s="34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</row>
    <row r="1237" spans="1:49" s="30" customFormat="1" ht="15.75" x14ac:dyDescent="0.2">
      <c r="A1237" s="34"/>
      <c r="B1237" s="34"/>
      <c r="C1237" s="34"/>
      <c r="D1237" s="34"/>
      <c r="E1237" s="34"/>
      <c r="F1237" s="34"/>
      <c r="G1237" s="34"/>
      <c r="H1237" s="34"/>
      <c r="I1237" s="34"/>
      <c r="J1237" s="34"/>
      <c r="K1237" s="34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</row>
    <row r="1238" spans="1:49" s="30" customFormat="1" ht="15.75" x14ac:dyDescent="0.2">
      <c r="A1238" s="34"/>
      <c r="B1238" s="34"/>
      <c r="C1238" s="34"/>
      <c r="D1238" s="34"/>
      <c r="E1238" s="34"/>
      <c r="F1238" s="34"/>
      <c r="G1238" s="34"/>
      <c r="H1238" s="34"/>
      <c r="I1238" s="34"/>
      <c r="J1238" s="34"/>
      <c r="K1238" s="34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</row>
    <row r="1239" spans="1:49" s="30" customFormat="1" ht="15.75" x14ac:dyDescent="0.2">
      <c r="A1239" s="34"/>
      <c r="B1239" s="34"/>
      <c r="C1239" s="34"/>
      <c r="D1239" s="34"/>
      <c r="E1239" s="34"/>
      <c r="F1239" s="34"/>
      <c r="G1239" s="34"/>
      <c r="H1239" s="34"/>
      <c r="I1239" s="34"/>
      <c r="J1239" s="34"/>
      <c r="K1239" s="34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</row>
    <row r="1240" spans="1:49" s="30" customFormat="1" ht="15.75" x14ac:dyDescent="0.2">
      <c r="A1240" s="34"/>
      <c r="B1240" s="34"/>
      <c r="C1240" s="34"/>
      <c r="D1240" s="34"/>
      <c r="E1240" s="34"/>
      <c r="F1240" s="34"/>
      <c r="G1240" s="34"/>
      <c r="H1240" s="34"/>
      <c r="I1240" s="34"/>
      <c r="J1240" s="34"/>
      <c r="K1240" s="34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</row>
    <row r="1241" spans="1:49" s="30" customFormat="1" ht="15.75" x14ac:dyDescent="0.2">
      <c r="A1241" s="34"/>
      <c r="B1241" s="34"/>
      <c r="C1241" s="34"/>
      <c r="D1241" s="34"/>
      <c r="E1241" s="34"/>
      <c r="F1241" s="34"/>
      <c r="G1241" s="34"/>
      <c r="H1241" s="34"/>
      <c r="I1241" s="34"/>
      <c r="J1241" s="34"/>
      <c r="K1241" s="34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</row>
    <row r="1242" spans="1:49" s="30" customFormat="1" ht="15.75" x14ac:dyDescent="0.2">
      <c r="A1242" s="34"/>
      <c r="B1242" s="34"/>
      <c r="C1242" s="34"/>
      <c r="D1242" s="34"/>
      <c r="E1242" s="34"/>
      <c r="F1242" s="34"/>
      <c r="G1242" s="34"/>
      <c r="H1242" s="34"/>
      <c r="I1242" s="34"/>
      <c r="J1242" s="34"/>
      <c r="K1242" s="34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</row>
    <row r="1243" spans="1:49" s="30" customFormat="1" ht="15.75" x14ac:dyDescent="0.2">
      <c r="A1243" s="34"/>
      <c r="B1243" s="34"/>
      <c r="C1243" s="34"/>
      <c r="D1243" s="34"/>
      <c r="E1243" s="34"/>
      <c r="F1243" s="34"/>
      <c r="G1243" s="34"/>
      <c r="H1243" s="34"/>
      <c r="I1243" s="34"/>
      <c r="J1243" s="34"/>
      <c r="K1243" s="34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</row>
    <row r="1244" spans="1:49" s="30" customFormat="1" ht="15.75" x14ac:dyDescent="0.2">
      <c r="A1244" s="34"/>
      <c r="B1244" s="34"/>
      <c r="C1244" s="34"/>
      <c r="D1244" s="34"/>
      <c r="E1244" s="34"/>
      <c r="F1244" s="34"/>
      <c r="G1244" s="34"/>
      <c r="H1244" s="34"/>
      <c r="I1244" s="34"/>
      <c r="J1244" s="34"/>
      <c r="K1244" s="34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</row>
    <row r="1245" spans="1:49" s="30" customFormat="1" ht="15.75" x14ac:dyDescent="0.2">
      <c r="A1245" s="34"/>
      <c r="B1245" s="34"/>
      <c r="C1245" s="34"/>
      <c r="D1245" s="34"/>
      <c r="E1245" s="34"/>
      <c r="F1245" s="34"/>
      <c r="G1245" s="34"/>
      <c r="H1245" s="34"/>
      <c r="I1245" s="34"/>
      <c r="J1245" s="34"/>
      <c r="K1245" s="34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</row>
    <row r="1246" spans="1:49" s="30" customFormat="1" ht="15.75" x14ac:dyDescent="0.2">
      <c r="A1246" s="34"/>
      <c r="B1246" s="34"/>
      <c r="C1246" s="34"/>
      <c r="D1246" s="34"/>
      <c r="E1246" s="34"/>
      <c r="F1246" s="34"/>
      <c r="G1246" s="34"/>
      <c r="H1246" s="34"/>
      <c r="I1246" s="34"/>
      <c r="J1246" s="34"/>
      <c r="K1246" s="34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</row>
    <row r="1247" spans="1:49" s="30" customFormat="1" ht="15.75" x14ac:dyDescent="0.2">
      <c r="A1247" s="34"/>
      <c r="B1247" s="34"/>
      <c r="C1247" s="34"/>
      <c r="D1247" s="34"/>
      <c r="E1247" s="34"/>
      <c r="F1247" s="34"/>
      <c r="G1247" s="34"/>
      <c r="H1247" s="34"/>
      <c r="I1247" s="34"/>
      <c r="J1247" s="34"/>
      <c r="K1247" s="34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</row>
    <row r="1248" spans="1:49" s="30" customFormat="1" ht="15.75" x14ac:dyDescent="0.2">
      <c r="A1248" s="34"/>
      <c r="B1248" s="34"/>
      <c r="C1248" s="34"/>
      <c r="D1248" s="34"/>
      <c r="E1248" s="34"/>
      <c r="F1248" s="34"/>
      <c r="G1248" s="34"/>
      <c r="H1248" s="34"/>
      <c r="I1248" s="34"/>
      <c r="J1248" s="34"/>
      <c r="K1248" s="34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</row>
    <row r="1249" spans="1:49" s="30" customFormat="1" ht="15.75" x14ac:dyDescent="0.2">
      <c r="A1249" s="34"/>
      <c r="B1249" s="34"/>
      <c r="C1249" s="34"/>
      <c r="D1249" s="34"/>
      <c r="E1249" s="34"/>
      <c r="F1249" s="34"/>
      <c r="G1249" s="34"/>
      <c r="H1249" s="34"/>
      <c r="I1249" s="34"/>
      <c r="J1249" s="34"/>
      <c r="K1249" s="34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</row>
    <row r="1250" spans="1:49" s="30" customFormat="1" ht="15.75" x14ac:dyDescent="0.2">
      <c r="A1250" s="34"/>
      <c r="B1250" s="34"/>
      <c r="C1250" s="34"/>
      <c r="D1250" s="34"/>
      <c r="E1250" s="34"/>
      <c r="F1250" s="34"/>
      <c r="G1250" s="34"/>
      <c r="H1250" s="34"/>
      <c r="I1250" s="34"/>
      <c r="J1250" s="34"/>
      <c r="K1250" s="34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</row>
    <row r="1251" spans="1:49" s="30" customFormat="1" ht="15.75" x14ac:dyDescent="0.2">
      <c r="A1251" s="34"/>
      <c r="B1251" s="34"/>
      <c r="C1251" s="34"/>
      <c r="D1251" s="34"/>
      <c r="E1251" s="34"/>
      <c r="F1251" s="34"/>
      <c r="G1251" s="34"/>
      <c r="H1251" s="34"/>
      <c r="I1251" s="34"/>
      <c r="J1251" s="34"/>
      <c r="K1251" s="34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</row>
    <row r="1252" spans="1:49" s="30" customFormat="1" ht="15.75" x14ac:dyDescent="0.2">
      <c r="A1252" s="34"/>
      <c r="B1252" s="34"/>
      <c r="C1252" s="34"/>
      <c r="D1252" s="34"/>
      <c r="E1252" s="34"/>
      <c r="F1252" s="34"/>
      <c r="G1252" s="34"/>
      <c r="H1252" s="34"/>
      <c r="I1252" s="34"/>
      <c r="J1252" s="34"/>
      <c r="K1252" s="34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</row>
    <row r="1253" spans="1:49" s="30" customFormat="1" ht="15.75" x14ac:dyDescent="0.2">
      <c r="A1253" s="34"/>
      <c r="B1253" s="34"/>
      <c r="C1253" s="34"/>
      <c r="D1253" s="34"/>
      <c r="E1253" s="34"/>
      <c r="F1253" s="34"/>
      <c r="G1253" s="34"/>
      <c r="H1253" s="34"/>
      <c r="I1253" s="34"/>
      <c r="J1253" s="34"/>
      <c r="K1253" s="34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</row>
    <row r="1254" spans="1:49" s="30" customFormat="1" ht="15.75" x14ac:dyDescent="0.2">
      <c r="A1254" s="34"/>
      <c r="B1254" s="34"/>
      <c r="C1254" s="34"/>
      <c r="D1254" s="34"/>
      <c r="E1254" s="34"/>
      <c r="F1254" s="34"/>
      <c r="G1254" s="34"/>
      <c r="H1254" s="34"/>
      <c r="I1254" s="34"/>
      <c r="J1254" s="34"/>
      <c r="K1254" s="34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</row>
    <row r="1255" spans="1:49" s="30" customFormat="1" ht="15.75" x14ac:dyDescent="0.2">
      <c r="A1255" s="34"/>
      <c r="B1255" s="34"/>
      <c r="C1255" s="34"/>
      <c r="D1255" s="34"/>
      <c r="E1255" s="34"/>
      <c r="F1255" s="34"/>
      <c r="G1255" s="34"/>
      <c r="H1255" s="34"/>
      <c r="I1255" s="34"/>
      <c r="J1255" s="34"/>
      <c r="K1255" s="34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</row>
    <row r="1256" spans="1:49" s="30" customFormat="1" ht="15.75" x14ac:dyDescent="0.2">
      <c r="A1256" s="34"/>
      <c r="B1256" s="34"/>
      <c r="C1256" s="34"/>
      <c r="D1256" s="34"/>
      <c r="E1256" s="34"/>
      <c r="F1256" s="34"/>
      <c r="G1256" s="34"/>
      <c r="H1256" s="34"/>
      <c r="I1256" s="34"/>
      <c r="J1256" s="34"/>
      <c r="K1256" s="34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</row>
    <row r="1257" spans="1:49" s="30" customFormat="1" ht="15.75" x14ac:dyDescent="0.2">
      <c r="A1257" s="34"/>
      <c r="B1257" s="34"/>
      <c r="C1257" s="34"/>
      <c r="D1257" s="34"/>
      <c r="E1257" s="34"/>
      <c r="F1257" s="34"/>
      <c r="G1257" s="34"/>
      <c r="H1257" s="34"/>
      <c r="I1257" s="34"/>
      <c r="J1257" s="34"/>
      <c r="K1257" s="34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</row>
    <row r="1258" spans="1:49" s="30" customFormat="1" ht="15.75" x14ac:dyDescent="0.2">
      <c r="A1258" s="34"/>
      <c r="B1258" s="34"/>
      <c r="C1258" s="34"/>
      <c r="D1258" s="34"/>
      <c r="E1258" s="34"/>
      <c r="F1258" s="34"/>
      <c r="G1258" s="34"/>
      <c r="H1258" s="34"/>
      <c r="I1258" s="34"/>
      <c r="J1258" s="34"/>
      <c r="K1258" s="34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</row>
    <row r="1259" spans="1:49" s="30" customFormat="1" ht="15.75" x14ac:dyDescent="0.2">
      <c r="A1259" s="34"/>
      <c r="B1259" s="34"/>
      <c r="C1259" s="34"/>
      <c r="D1259" s="34"/>
      <c r="E1259" s="34"/>
      <c r="F1259" s="34"/>
      <c r="G1259" s="34"/>
      <c r="H1259" s="34"/>
      <c r="I1259" s="34"/>
      <c r="J1259" s="34"/>
      <c r="K1259" s="34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</row>
    <row r="1260" spans="1:49" s="30" customFormat="1" ht="15.75" x14ac:dyDescent="0.2">
      <c r="A1260" s="34"/>
      <c r="B1260" s="34"/>
      <c r="C1260" s="34"/>
      <c r="D1260" s="34"/>
      <c r="E1260" s="34"/>
      <c r="F1260" s="34"/>
      <c r="G1260" s="34"/>
      <c r="H1260" s="34"/>
      <c r="I1260" s="34"/>
      <c r="J1260" s="34"/>
      <c r="K1260" s="34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</row>
    <row r="1261" spans="1:49" s="30" customFormat="1" ht="15.75" x14ac:dyDescent="0.2">
      <c r="A1261" s="34"/>
      <c r="B1261" s="34"/>
      <c r="C1261" s="34"/>
      <c r="D1261" s="34"/>
      <c r="E1261" s="34"/>
      <c r="F1261" s="34"/>
      <c r="G1261" s="34"/>
      <c r="H1261" s="34"/>
      <c r="I1261" s="34"/>
      <c r="J1261" s="34"/>
      <c r="K1261" s="34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</row>
    <row r="1599" spans="1:49" s="30" customFormat="1" ht="15.75" x14ac:dyDescent="0.2">
      <c r="A1599" s="34"/>
      <c r="B1599" s="34"/>
      <c r="C1599" s="34"/>
      <c r="D1599" s="34"/>
      <c r="E1599" s="34"/>
      <c r="F1599" s="34"/>
      <c r="G1599" s="34"/>
      <c r="H1599" s="34"/>
      <c r="I1599" s="34"/>
      <c r="J1599" s="34"/>
      <c r="K1599" s="34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</row>
    <row r="1600" spans="1:49" s="30" customFormat="1" ht="15.75" x14ac:dyDescent="0.2">
      <c r="A1600" s="34"/>
      <c r="B1600" s="34"/>
      <c r="C1600" s="34"/>
      <c r="D1600" s="34"/>
      <c r="E1600" s="34"/>
      <c r="F1600" s="34"/>
      <c r="G1600" s="34"/>
      <c r="H1600" s="34"/>
      <c r="I1600" s="34"/>
      <c r="J1600" s="34"/>
      <c r="K1600" s="34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</row>
    <row r="1601" spans="1:49" s="30" customFormat="1" ht="15.75" x14ac:dyDescent="0.2">
      <c r="A1601" s="34"/>
      <c r="B1601" s="34"/>
      <c r="C1601" s="34"/>
      <c r="D1601" s="34"/>
      <c r="E1601" s="34"/>
      <c r="F1601" s="34"/>
      <c r="G1601" s="34"/>
      <c r="H1601" s="34"/>
      <c r="I1601" s="34"/>
      <c r="J1601" s="34"/>
      <c r="K1601" s="34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</row>
    <row r="1602" spans="1:49" s="30" customFormat="1" ht="15.75" x14ac:dyDescent="0.2">
      <c r="A1602" s="34"/>
      <c r="B1602" s="34"/>
      <c r="C1602" s="34"/>
      <c r="D1602" s="34"/>
      <c r="E1602" s="34"/>
      <c r="F1602" s="34"/>
      <c r="G1602" s="34"/>
      <c r="H1602" s="34"/>
      <c r="I1602" s="34"/>
      <c r="J1602" s="34"/>
      <c r="K1602" s="34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</row>
    <row r="1603" spans="1:49" s="30" customFormat="1" ht="15.75" x14ac:dyDescent="0.2">
      <c r="A1603" s="34"/>
      <c r="B1603" s="34"/>
      <c r="C1603" s="34"/>
      <c r="D1603" s="34"/>
      <c r="E1603" s="34"/>
      <c r="F1603" s="34"/>
      <c r="G1603" s="34"/>
      <c r="H1603" s="34"/>
      <c r="I1603" s="34"/>
      <c r="J1603" s="34"/>
      <c r="K1603" s="34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</row>
    <row r="1604" spans="1:49" s="30" customFormat="1" ht="15.75" x14ac:dyDescent="0.2">
      <c r="A1604" s="34"/>
      <c r="B1604" s="34"/>
      <c r="C1604" s="34"/>
      <c r="D1604" s="34"/>
      <c r="E1604" s="34"/>
      <c r="F1604" s="34"/>
      <c r="G1604" s="34"/>
      <c r="H1604" s="34"/>
      <c r="I1604" s="34"/>
      <c r="J1604" s="34"/>
      <c r="K1604" s="34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</row>
    <row r="1605" spans="1:49" s="30" customFormat="1" ht="15.75" x14ac:dyDescent="0.2">
      <c r="A1605" s="34"/>
      <c r="B1605" s="34"/>
      <c r="C1605" s="34"/>
      <c r="D1605" s="34"/>
      <c r="E1605" s="34"/>
      <c r="F1605" s="34"/>
      <c r="G1605" s="34"/>
      <c r="H1605" s="34"/>
      <c r="I1605" s="34"/>
      <c r="J1605" s="34"/>
      <c r="K1605" s="34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</row>
    <row r="1606" spans="1:49" s="30" customFormat="1" ht="15.75" x14ac:dyDescent="0.2">
      <c r="A1606" s="34"/>
      <c r="B1606" s="34"/>
      <c r="C1606" s="34"/>
      <c r="D1606" s="34"/>
      <c r="E1606" s="34"/>
      <c r="F1606" s="34"/>
      <c r="G1606" s="34"/>
      <c r="H1606" s="34"/>
      <c r="I1606" s="34"/>
      <c r="J1606" s="34"/>
      <c r="K1606" s="34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</row>
    <row r="1607" spans="1:49" s="30" customFormat="1" ht="15.75" x14ac:dyDescent="0.2">
      <c r="A1607" s="34"/>
      <c r="B1607" s="34"/>
      <c r="C1607" s="34"/>
      <c r="D1607" s="34"/>
      <c r="E1607" s="34"/>
      <c r="F1607" s="34"/>
      <c r="G1607" s="34"/>
      <c r="H1607" s="34"/>
      <c r="I1607" s="34"/>
      <c r="J1607" s="34"/>
      <c r="K1607" s="34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</row>
    <row r="1608" spans="1:49" s="30" customFormat="1" ht="15.75" x14ac:dyDescent="0.2">
      <c r="A1608" s="34"/>
      <c r="B1608" s="34"/>
      <c r="C1608" s="34"/>
      <c r="D1608" s="34"/>
      <c r="E1608" s="34"/>
      <c r="F1608" s="34"/>
      <c r="G1608" s="34"/>
      <c r="H1608" s="34"/>
      <c r="I1608" s="34"/>
      <c r="J1608" s="34"/>
      <c r="K1608" s="34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</row>
    <row r="1609" spans="1:49" s="30" customFormat="1" ht="15.75" x14ac:dyDescent="0.2">
      <c r="A1609" s="34"/>
      <c r="B1609" s="34"/>
      <c r="C1609" s="34"/>
      <c r="D1609" s="34"/>
      <c r="E1609" s="34"/>
      <c r="F1609" s="34"/>
      <c r="G1609" s="34"/>
      <c r="H1609" s="34"/>
      <c r="I1609" s="34"/>
      <c r="J1609" s="34"/>
      <c r="K1609" s="34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</row>
    <row r="1610" spans="1:49" s="30" customFormat="1" ht="15.75" x14ac:dyDescent="0.2">
      <c r="A1610" s="34"/>
      <c r="B1610" s="34"/>
      <c r="C1610" s="34"/>
      <c r="D1610" s="34"/>
      <c r="E1610" s="34"/>
      <c r="F1610" s="34"/>
      <c r="G1610" s="34"/>
      <c r="H1610" s="34"/>
      <c r="I1610" s="34"/>
      <c r="J1610" s="34"/>
      <c r="K1610" s="34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</row>
    <row r="1611" spans="1:49" s="30" customFormat="1" ht="15.75" x14ac:dyDescent="0.2">
      <c r="A1611" s="34"/>
      <c r="B1611" s="34"/>
      <c r="C1611" s="34"/>
      <c r="D1611" s="34"/>
      <c r="E1611" s="34"/>
      <c r="F1611" s="34"/>
      <c r="G1611" s="34"/>
      <c r="H1611" s="34"/>
      <c r="I1611" s="34"/>
      <c r="J1611" s="34"/>
      <c r="K1611" s="34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</row>
    <row r="1612" spans="1:49" s="30" customFormat="1" ht="15.75" x14ac:dyDescent="0.2">
      <c r="A1612" s="34"/>
      <c r="B1612" s="34"/>
      <c r="C1612" s="34"/>
      <c r="D1612" s="34"/>
      <c r="E1612" s="34"/>
      <c r="F1612" s="34"/>
      <c r="G1612" s="34"/>
      <c r="H1612" s="34"/>
      <c r="I1612" s="34"/>
      <c r="J1612" s="34"/>
      <c r="K1612" s="34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</row>
    <row r="1613" spans="1:49" s="30" customFormat="1" ht="15.75" x14ac:dyDescent="0.2">
      <c r="A1613" s="34"/>
      <c r="B1613" s="34"/>
      <c r="C1613" s="34"/>
      <c r="D1613" s="34"/>
      <c r="E1613" s="34"/>
      <c r="F1613" s="34"/>
      <c r="G1613" s="34"/>
      <c r="H1613" s="34"/>
      <c r="I1613" s="34"/>
      <c r="J1613" s="34"/>
      <c r="K1613" s="34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</row>
    <row r="1614" spans="1:49" s="30" customFormat="1" ht="15.75" x14ac:dyDescent="0.2">
      <c r="A1614" s="34"/>
      <c r="B1614" s="34"/>
      <c r="C1614" s="34"/>
      <c r="D1614" s="34"/>
      <c r="E1614" s="34"/>
      <c r="F1614" s="34"/>
      <c r="G1614" s="34"/>
      <c r="H1614" s="34"/>
      <c r="I1614" s="34"/>
      <c r="J1614" s="34"/>
      <c r="K1614" s="34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</row>
    <row r="1615" spans="1:49" s="30" customFormat="1" ht="15.75" x14ac:dyDescent="0.2">
      <c r="A1615" s="34"/>
      <c r="B1615" s="34"/>
      <c r="C1615" s="34"/>
      <c r="D1615" s="34"/>
      <c r="E1615" s="34"/>
      <c r="F1615" s="34"/>
      <c r="G1615" s="34"/>
      <c r="H1615" s="34"/>
      <c r="I1615" s="34"/>
      <c r="J1615" s="34"/>
      <c r="K1615" s="34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</row>
    <row r="1616" spans="1:49" s="30" customFormat="1" ht="15.75" x14ac:dyDescent="0.2">
      <c r="A1616" s="34"/>
      <c r="B1616" s="34"/>
      <c r="C1616" s="34"/>
      <c r="D1616" s="34"/>
      <c r="E1616" s="34"/>
      <c r="F1616" s="34"/>
      <c r="G1616" s="34"/>
      <c r="H1616" s="34"/>
      <c r="I1616" s="34"/>
      <c r="J1616" s="34"/>
      <c r="K1616" s="34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</row>
    <row r="1617" spans="1:49" s="30" customFormat="1" ht="15.75" x14ac:dyDescent="0.2">
      <c r="A1617" s="34"/>
      <c r="B1617" s="34"/>
      <c r="C1617" s="34"/>
      <c r="D1617" s="34"/>
      <c r="E1617" s="34"/>
      <c r="F1617" s="34"/>
      <c r="G1617" s="34"/>
      <c r="H1617" s="34"/>
      <c r="I1617" s="34"/>
      <c r="J1617" s="34"/>
      <c r="K1617" s="34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</row>
    <row r="1618" spans="1:49" s="30" customFormat="1" ht="15.75" x14ac:dyDescent="0.2">
      <c r="A1618" s="34"/>
      <c r="B1618" s="34"/>
      <c r="C1618" s="34"/>
      <c r="D1618" s="34"/>
      <c r="E1618" s="34"/>
      <c r="F1618" s="34"/>
      <c r="G1618" s="34"/>
      <c r="H1618" s="34"/>
      <c r="I1618" s="34"/>
      <c r="J1618" s="34"/>
      <c r="K1618" s="34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</row>
    <row r="1619" spans="1:49" s="30" customFormat="1" ht="15.75" x14ac:dyDescent="0.2">
      <c r="A1619" s="34"/>
      <c r="B1619" s="34"/>
      <c r="C1619" s="34"/>
      <c r="D1619" s="34"/>
      <c r="E1619" s="34"/>
      <c r="F1619" s="34"/>
      <c r="G1619" s="34"/>
      <c r="H1619" s="34"/>
      <c r="I1619" s="34"/>
      <c r="J1619" s="34"/>
      <c r="K1619" s="34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</row>
    <row r="1620" spans="1:49" s="30" customFormat="1" ht="15.75" x14ac:dyDescent="0.2">
      <c r="A1620" s="34"/>
      <c r="B1620" s="34"/>
      <c r="C1620" s="34"/>
      <c r="D1620" s="34"/>
      <c r="E1620" s="34"/>
      <c r="F1620" s="34"/>
      <c r="G1620" s="34"/>
      <c r="H1620" s="34"/>
      <c r="I1620" s="34"/>
      <c r="J1620" s="34"/>
      <c r="K1620" s="34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</row>
    <row r="1621" spans="1:49" s="30" customFormat="1" ht="15.75" x14ac:dyDescent="0.2">
      <c r="A1621" s="34"/>
      <c r="B1621" s="34"/>
      <c r="C1621" s="34"/>
      <c r="D1621" s="34"/>
      <c r="E1621" s="34"/>
      <c r="F1621" s="34"/>
      <c r="G1621" s="34"/>
      <c r="H1621" s="34"/>
      <c r="I1621" s="34"/>
      <c r="J1621" s="34"/>
      <c r="K1621" s="34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</row>
    <row r="1622" spans="1:49" s="30" customFormat="1" ht="15.75" x14ac:dyDescent="0.2">
      <c r="A1622" s="34"/>
      <c r="B1622" s="34"/>
      <c r="C1622" s="34"/>
      <c r="D1622" s="34"/>
      <c r="E1622" s="34"/>
      <c r="F1622" s="34"/>
      <c r="G1622" s="34"/>
      <c r="H1622" s="34"/>
      <c r="I1622" s="34"/>
      <c r="J1622" s="34"/>
      <c r="K1622" s="34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</row>
    <row r="1623" spans="1:49" s="30" customFormat="1" ht="15.75" x14ac:dyDescent="0.2">
      <c r="A1623" s="34"/>
      <c r="B1623" s="34"/>
      <c r="C1623" s="34"/>
      <c r="D1623" s="34"/>
      <c r="E1623" s="34"/>
      <c r="F1623" s="34"/>
      <c r="G1623" s="34"/>
      <c r="H1623" s="34"/>
      <c r="I1623" s="34"/>
      <c r="J1623" s="34"/>
      <c r="K1623" s="34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</row>
    <row r="1624" spans="1:49" s="30" customFormat="1" ht="15.75" x14ac:dyDescent="0.2">
      <c r="A1624" s="34"/>
      <c r="B1624" s="34"/>
      <c r="C1624" s="34"/>
      <c r="D1624" s="34"/>
      <c r="E1624" s="34"/>
      <c r="F1624" s="34"/>
      <c r="G1624" s="34"/>
      <c r="H1624" s="34"/>
      <c r="I1624" s="34"/>
      <c r="J1624" s="34"/>
      <c r="K1624" s="34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</row>
    <row r="1625" spans="1:49" s="30" customFormat="1" ht="15.75" x14ac:dyDescent="0.2">
      <c r="A1625" s="34"/>
      <c r="B1625" s="34"/>
      <c r="C1625" s="34"/>
      <c r="D1625" s="34"/>
      <c r="E1625" s="34"/>
      <c r="F1625" s="34"/>
      <c r="G1625" s="34"/>
      <c r="H1625" s="34"/>
      <c r="I1625" s="34"/>
      <c r="J1625" s="34"/>
      <c r="K1625" s="34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</row>
    <row r="1626" spans="1:49" s="30" customFormat="1" ht="15.75" x14ac:dyDescent="0.2">
      <c r="A1626" s="34"/>
      <c r="B1626" s="34"/>
      <c r="C1626" s="34"/>
      <c r="D1626" s="34"/>
      <c r="E1626" s="34"/>
      <c r="F1626" s="34"/>
      <c r="G1626" s="34"/>
      <c r="H1626" s="34"/>
      <c r="I1626" s="34"/>
      <c r="J1626" s="34"/>
      <c r="K1626" s="34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</row>
    <row r="1627" spans="1:49" s="30" customFormat="1" ht="15.75" x14ac:dyDescent="0.2">
      <c r="A1627" s="34"/>
      <c r="B1627" s="34"/>
      <c r="C1627" s="34"/>
      <c r="D1627" s="34"/>
      <c r="E1627" s="34"/>
      <c r="F1627" s="34"/>
      <c r="G1627" s="34"/>
      <c r="H1627" s="34"/>
      <c r="I1627" s="34"/>
      <c r="J1627" s="34"/>
      <c r="K1627" s="34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</row>
    <row r="1628" spans="1:49" s="30" customFormat="1" ht="15.75" x14ac:dyDescent="0.2">
      <c r="A1628" s="34"/>
      <c r="B1628" s="34"/>
      <c r="C1628" s="34"/>
      <c r="D1628" s="34"/>
      <c r="E1628" s="34"/>
      <c r="F1628" s="34"/>
      <c r="G1628" s="34"/>
      <c r="H1628" s="34"/>
      <c r="I1628" s="34"/>
      <c r="J1628" s="34"/>
      <c r="K1628" s="34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</row>
    <row r="1629" spans="1:49" s="30" customFormat="1" ht="15.75" x14ac:dyDescent="0.2">
      <c r="A1629" s="34"/>
      <c r="B1629" s="34"/>
      <c r="C1629" s="34"/>
      <c r="D1629" s="34"/>
      <c r="E1629" s="34"/>
      <c r="F1629" s="34"/>
      <c r="G1629" s="34"/>
      <c r="H1629" s="34"/>
      <c r="I1629" s="34"/>
      <c r="J1629" s="34"/>
      <c r="K1629" s="34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</row>
    <row r="1630" spans="1:49" s="30" customFormat="1" ht="15.75" x14ac:dyDescent="0.2">
      <c r="A1630" s="34"/>
      <c r="B1630" s="34"/>
      <c r="C1630" s="34"/>
      <c r="D1630" s="34"/>
      <c r="E1630" s="34"/>
      <c r="F1630" s="34"/>
      <c r="G1630" s="34"/>
      <c r="H1630" s="34"/>
      <c r="I1630" s="34"/>
      <c r="J1630" s="34"/>
      <c r="K1630" s="34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</row>
    <row r="1631" spans="1:49" s="30" customFormat="1" ht="15.75" x14ac:dyDescent="0.2">
      <c r="A1631" s="34"/>
      <c r="B1631" s="34"/>
      <c r="C1631" s="34"/>
      <c r="D1631" s="34"/>
      <c r="E1631" s="34"/>
      <c r="F1631" s="34"/>
      <c r="G1631" s="34"/>
      <c r="H1631" s="34"/>
      <c r="I1631" s="34"/>
      <c r="J1631" s="34"/>
      <c r="K1631" s="34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</row>
    <row r="1632" spans="1:49" s="30" customFormat="1" ht="15.75" x14ac:dyDescent="0.2">
      <c r="A1632" s="34"/>
      <c r="B1632" s="34"/>
      <c r="C1632" s="34"/>
      <c r="D1632" s="34"/>
      <c r="E1632" s="34"/>
      <c r="F1632" s="34"/>
      <c r="G1632" s="34"/>
      <c r="H1632" s="34"/>
      <c r="I1632" s="34"/>
      <c r="J1632" s="34"/>
      <c r="K1632" s="34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</row>
    <row r="1633" spans="1:49" s="30" customFormat="1" ht="15.75" x14ac:dyDescent="0.2">
      <c r="A1633" s="34"/>
      <c r="B1633" s="34"/>
      <c r="C1633" s="34"/>
      <c r="D1633" s="34"/>
      <c r="E1633" s="34"/>
      <c r="F1633" s="34"/>
      <c r="G1633" s="34"/>
      <c r="H1633" s="34"/>
      <c r="I1633" s="34"/>
      <c r="J1633" s="34"/>
      <c r="K1633" s="34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</row>
    <row r="1634" spans="1:49" s="30" customFormat="1" ht="15.75" x14ac:dyDescent="0.2">
      <c r="A1634" s="34"/>
      <c r="B1634" s="34"/>
      <c r="C1634" s="34"/>
      <c r="D1634" s="34"/>
      <c r="E1634" s="34"/>
      <c r="F1634" s="34"/>
      <c r="G1634" s="34"/>
      <c r="H1634" s="34"/>
      <c r="I1634" s="34"/>
      <c r="J1634" s="34"/>
      <c r="K1634" s="34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</row>
    <row r="1635" spans="1:49" s="30" customFormat="1" ht="15.75" x14ac:dyDescent="0.2">
      <c r="A1635" s="34"/>
      <c r="B1635" s="34"/>
      <c r="C1635" s="34"/>
      <c r="D1635" s="34"/>
      <c r="E1635" s="34"/>
      <c r="F1635" s="34"/>
      <c r="G1635" s="34"/>
      <c r="H1635" s="34"/>
      <c r="I1635" s="34"/>
      <c r="J1635" s="34"/>
      <c r="K1635" s="34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</row>
    <row r="1636" spans="1:49" s="30" customFormat="1" ht="15.75" x14ac:dyDescent="0.2">
      <c r="A1636" s="34"/>
      <c r="B1636" s="34"/>
      <c r="C1636" s="34"/>
      <c r="D1636" s="34"/>
      <c r="E1636" s="34"/>
      <c r="F1636" s="34"/>
      <c r="G1636" s="34"/>
      <c r="H1636" s="34"/>
      <c r="I1636" s="34"/>
      <c r="J1636" s="34"/>
      <c r="K1636" s="34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</row>
    <row r="1637" spans="1:49" s="30" customFormat="1" ht="15.75" x14ac:dyDescent="0.2">
      <c r="A1637" s="34"/>
      <c r="B1637" s="34"/>
      <c r="C1637" s="34"/>
      <c r="D1637" s="34"/>
      <c r="E1637" s="34"/>
      <c r="F1637" s="34"/>
      <c r="G1637" s="34"/>
      <c r="H1637" s="34"/>
      <c r="I1637" s="34"/>
      <c r="J1637" s="34"/>
      <c r="K1637" s="34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</row>
    <row r="1638" spans="1:49" s="30" customFormat="1" ht="15.75" x14ac:dyDescent="0.2">
      <c r="A1638" s="34"/>
      <c r="B1638" s="34"/>
      <c r="C1638" s="34"/>
      <c r="D1638" s="34"/>
      <c r="E1638" s="34"/>
      <c r="F1638" s="34"/>
      <c r="G1638" s="34"/>
      <c r="H1638" s="34"/>
      <c r="I1638" s="34"/>
      <c r="J1638" s="34"/>
      <c r="K1638" s="34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</row>
    <row r="1639" spans="1:49" s="30" customFormat="1" ht="15.75" x14ac:dyDescent="0.2">
      <c r="A1639" s="34"/>
      <c r="B1639" s="34"/>
      <c r="C1639" s="34"/>
      <c r="D1639" s="34"/>
      <c r="E1639" s="34"/>
      <c r="F1639" s="34"/>
      <c r="G1639" s="34"/>
      <c r="H1639" s="34"/>
      <c r="I1639" s="34"/>
      <c r="J1639" s="34"/>
      <c r="K1639" s="34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</row>
    <row r="1640" spans="1:49" s="30" customFormat="1" ht="15.75" x14ac:dyDescent="0.2">
      <c r="A1640" s="34"/>
      <c r="B1640" s="34"/>
      <c r="C1640" s="34"/>
      <c r="D1640" s="34"/>
      <c r="E1640" s="34"/>
      <c r="F1640" s="34"/>
      <c r="G1640" s="34"/>
      <c r="H1640" s="34"/>
      <c r="I1640" s="34"/>
      <c r="J1640" s="34"/>
      <c r="K1640" s="34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</row>
    <row r="1641" spans="1:49" s="30" customFormat="1" ht="15.75" x14ac:dyDescent="0.2">
      <c r="A1641" s="34"/>
      <c r="B1641" s="34"/>
      <c r="C1641" s="34"/>
      <c r="D1641" s="34"/>
      <c r="E1641" s="34"/>
      <c r="F1641" s="34"/>
      <c r="G1641" s="34"/>
      <c r="H1641" s="34"/>
      <c r="I1641" s="34"/>
      <c r="J1641" s="34"/>
      <c r="K1641" s="34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</row>
    <row r="1642" spans="1:49" s="30" customFormat="1" ht="15.75" x14ac:dyDescent="0.2">
      <c r="A1642" s="34"/>
      <c r="B1642" s="34"/>
      <c r="C1642" s="34"/>
      <c r="D1642" s="34"/>
      <c r="E1642" s="34"/>
      <c r="F1642" s="34"/>
      <c r="G1642" s="34"/>
      <c r="H1642" s="34"/>
      <c r="I1642" s="34"/>
      <c r="J1642" s="34"/>
      <c r="K1642" s="34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</row>
    <row r="1643" spans="1:49" s="30" customFormat="1" ht="15.75" x14ac:dyDescent="0.2">
      <c r="A1643" s="34"/>
      <c r="B1643" s="34"/>
      <c r="C1643" s="34"/>
      <c r="D1643" s="34"/>
      <c r="E1643" s="34"/>
      <c r="F1643" s="34"/>
      <c r="G1643" s="34"/>
      <c r="H1643" s="34"/>
      <c r="I1643" s="34"/>
      <c r="J1643" s="34"/>
      <c r="K1643" s="34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</row>
    <row r="1644" spans="1:49" s="30" customFormat="1" ht="15.75" x14ac:dyDescent="0.2">
      <c r="A1644" s="34"/>
      <c r="B1644" s="34"/>
      <c r="C1644" s="34"/>
      <c r="D1644" s="34"/>
      <c r="E1644" s="34"/>
      <c r="F1644" s="34"/>
      <c r="G1644" s="34"/>
      <c r="H1644" s="34"/>
      <c r="I1644" s="34"/>
      <c r="J1644" s="34"/>
      <c r="K1644" s="34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</row>
    <row r="1645" spans="1:49" s="30" customFormat="1" ht="15.75" x14ac:dyDescent="0.2">
      <c r="A1645" s="34"/>
      <c r="B1645" s="34"/>
      <c r="C1645" s="34"/>
      <c r="D1645" s="34"/>
      <c r="E1645" s="34"/>
      <c r="F1645" s="34"/>
      <c r="G1645" s="34"/>
      <c r="H1645" s="34"/>
      <c r="I1645" s="34"/>
      <c r="J1645" s="34"/>
      <c r="K1645" s="34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</row>
    <row r="1646" spans="1:49" s="30" customFormat="1" ht="15.75" x14ac:dyDescent="0.2">
      <c r="A1646" s="34"/>
      <c r="B1646" s="34"/>
      <c r="C1646" s="34"/>
      <c r="D1646" s="34"/>
      <c r="E1646" s="34"/>
      <c r="F1646" s="34"/>
      <c r="G1646" s="34"/>
      <c r="H1646" s="34"/>
      <c r="I1646" s="34"/>
      <c r="J1646" s="34"/>
      <c r="K1646" s="34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</row>
    <row r="1647" spans="1:49" s="30" customFormat="1" ht="15.75" x14ac:dyDescent="0.2">
      <c r="A1647" s="34"/>
      <c r="B1647" s="34"/>
      <c r="C1647" s="34"/>
      <c r="D1647" s="34"/>
      <c r="E1647" s="34"/>
      <c r="F1647" s="34"/>
      <c r="G1647" s="34"/>
      <c r="H1647" s="34"/>
      <c r="I1647" s="34"/>
      <c r="J1647" s="34"/>
      <c r="K1647" s="34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</row>
    <row r="1648" spans="1:49" s="30" customFormat="1" ht="15.75" x14ac:dyDescent="0.2">
      <c r="A1648" s="34"/>
      <c r="B1648" s="34"/>
      <c r="C1648" s="34"/>
      <c r="D1648" s="34"/>
      <c r="E1648" s="34"/>
      <c r="F1648" s="34"/>
      <c r="G1648" s="34"/>
      <c r="H1648" s="34"/>
      <c r="I1648" s="34"/>
      <c r="J1648" s="34"/>
      <c r="K1648" s="34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</row>
    <row r="1649" spans="1:49" s="30" customFormat="1" ht="15.75" x14ac:dyDescent="0.2">
      <c r="A1649" s="34"/>
      <c r="B1649" s="34"/>
      <c r="C1649" s="34"/>
      <c r="D1649" s="34"/>
      <c r="E1649" s="34"/>
      <c r="F1649" s="34"/>
      <c r="G1649" s="34"/>
      <c r="H1649" s="34"/>
      <c r="I1649" s="34"/>
      <c r="J1649" s="34"/>
      <c r="K1649" s="34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</row>
    <row r="1650" spans="1:49" s="30" customFormat="1" ht="15.75" x14ac:dyDescent="0.2">
      <c r="A1650" s="34"/>
      <c r="B1650" s="34"/>
      <c r="C1650" s="34"/>
      <c r="D1650" s="34"/>
      <c r="E1650" s="34"/>
      <c r="F1650" s="34"/>
      <c r="G1650" s="34"/>
      <c r="H1650" s="34"/>
      <c r="I1650" s="34"/>
      <c r="J1650" s="34"/>
      <c r="K1650" s="34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</row>
    <row r="1651" spans="1:49" s="30" customFormat="1" ht="15.75" x14ac:dyDescent="0.2">
      <c r="A1651" s="34"/>
      <c r="B1651" s="34"/>
      <c r="C1651" s="34"/>
      <c r="D1651" s="34"/>
      <c r="E1651" s="34"/>
      <c r="F1651" s="34"/>
      <c r="G1651" s="34"/>
      <c r="H1651" s="34"/>
      <c r="I1651" s="34"/>
      <c r="J1651" s="34"/>
      <c r="K1651" s="34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</row>
    <row r="1998" spans="1:49" s="32" customFormat="1" ht="15" x14ac:dyDescent="0.25">
      <c r="A1998" s="34"/>
      <c r="B1998" s="34"/>
      <c r="C1998" s="34"/>
      <c r="D1998" s="34"/>
      <c r="E1998" s="34"/>
      <c r="F1998" s="34"/>
      <c r="G1998" s="34"/>
      <c r="H1998" s="34"/>
      <c r="I1998" s="34"/>
      <c r="J1998" s="34"/>
      <c r="K1998" s="34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</row>
    <row r="1999" spans="1:49" s="32" customFormat="1" ht="15" x14ac:dyDescent="0.25">
      <c r="A1999" s="34"/>
      <c r="B1999" s="34"/>
      <c r="C1999" s="34"/>
      <c r="D1999" s="34"/>
      <c r="E1999" s="34"/>
      <c r="F1999" s="34"/>
      <c r="G1999" s="34"/>
      <c r="H1999" s="34"/>
      <c r="I1999" s="34"/>
      <c r="J1999" s="34"/>
      <c r="K1999" s="34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</row>
    <row r="2000" spans="1:49" s="32" customFormat="1" ht="15" x14ac:dyDescent="0.25">
      <c r="A2000" s="34"/>
      <c r="B2000" s="34"/>
      <c r="C2000" s="34"/>
      <c r="D2000" s="34"/>
      <c r="E2000" s="34"/>
      <c r="F2000" s="34"/>
      <c r="G2000" s="34"/>
      <c r="H2000" s="34"/>
      <c r="I2000" s="34"/>
      <c r="J2000" s="34"/>
      <c r="K2000" s="34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</row>
    <row r="2001" spans="1:49" s="32" customFormat="1" ht="15" x14ac:dyDescent="0.25">
      <c r="A2001" s="34"/>
      <c r="B2001" s="34"/>
      <c r="C2001" s="34"/>
      <c r="D2001" s="34"/>
      <c r="E2001" s="34"/>
      <c r="F2001" s="34"/>
      <c r="G2001" s="34"/>
      <c r="H2001" s="34"/>
      <c r="I2001" s="34"/>
      <c r="J2001" s="34"/>
      <c r="K2001" s="34"/>
      <c r="L2001" s="34"/>
      <c r="M2001" s="34"/>
      <c r="N2001" s="34"/>
      <c r="O2001" s="34"/>
      <c r="P2001" s="34"/>
      <c r="Q2001" s="34"/>
      <c r="R2001" s="34"/>
      <c r="S2001" s="34"/>
      <c r="T2001" s="34"/>
      <c r="U2001" s="34"/>
      <c r="V2001" s="34"/>
      <c r="W2001" s="34"/>
      <c r="X2001" s="34"/>
      <c r="Y2001" s="34"/>
      <c r="Z2001" s="34"/>
      <c r="AA2001" s="34"/>
      <c r="AB2001" s="34"/>
      <c r="AC2001" s="34"/>
      <c r="AD2001" s="34"/>
      <c r="AE2001" s="34"/>
      <c r="AF2001" s="34"/>
      <c r="AG2001" s="34"/>
      <c r="AH2001" s="34"/>
      <c r="AI2001" s="34"/>
      <c r="AJ2001" s="34"/>
      <c r="AK2001" s="34"/>
      <c r="AL2001" s="34"/>
      <c r="AM2001" s="34"/>
      <c r="AN2001" s="34"/>
      <c r="AO2001" s="34"/>
      <c r="AP2001" s="34"/>
      <c r="AQ2001" s="34"/>
      <c r="AR2001" s="34"/>
      <c r="AS2001" s="34"/>
      <c r="AT2001" s="34"/>
      <c r="AU2001" s="34"/>
      <c r="AV2001" s="34"/>
      <c r="AW2001" s="34"/>
    </row>
    <row r="2002" spans="1:49" s="32" customFormat="1" ht="15" x14ac:dyDescent="0.25">
      <c r="A2002" s="34"/>
      <c r="B2002" s="34"/>
      <c r="C2002" s="34"/>
      <c r="D2002" s="34"/>
      <c r="E2002" s="34"/>
      <c r="F2002" s="34"/>
      <c r="G2002" s="34"/>
      <c r="H2002" s="34"/>
      <c r="I2002" s="34"/>
      <c r="J2002" s="34"/>
      <c r="K2002" s="34"/>
      <c r="L2002" s="34"/>
      <c r="M2002" s="34"/>
      <c r="N2002" s="34"/>
      <c r="O2002" s="34"/>
      <c r="P2002" s="34"/>
      <c r="Q2002" s="34"/>
      <c r="R2002" s="34"/>
      <c r="S2002" s="34"/>
      <c r="T2002" s="34"/>
      <c r="U2002" s="34"/>
      <c r="V2002" s="34"/>
      <c r="W2002" s="34"/>
      <c r="X2002" s="34"/>
      <c r="Y2002" s="34"/>
      <c r="Z2002" s="34"/>
      <c r="AA2002" s="34"/>
      <c r="AB2002" s="34"/>
      <c r="AC2002" s="34"/>
      <c r="AD2002" s="34"/>
      <c r="AE2002" s="34"/>
      <c r="AF2002" s="34"/>
      <c r="AG2002" s="34"/>
      <c r="AH2002" s="34"/>
      <c r="AI2002" s="34"/>
      <c r="AJ2002" s="34"/>
      <c r="AK2002" s="34"/>
      <c r="AL2002" s="34"/>
      <c r="AM2002" s="34"/>
      <c r="AN2002" s="34"/>
      <c r="AO2002" s="34"/>
      <c r="AP2002" s="34"/>
      <c r="AQ2002" s="34"/>
      <c r="AR2002" s="34"/>
      <c r="AS2002" s="34"/>
      <c r="AT2002" s="34"/>
      <c r="AU2002" s="34"/>
      <c r="AV2002" s="34"/>
      <c r="AW2002" s="34"/>
    </row>
    <row r="2003" spans="1:49" s="32" customFormat="1" ht="15" x14ac:dyDescent="0.25">
      <c r="A2003" s="34"/>
      <c r="B2003" s="34"/>
      <c r="C2003" s="34"/>
      <c r="D2003" s="34"/>
      <c r="E2003" s="34"/>
      <c r="F2003" s="34"/>
      <c r="G2003" s="34"/>
      <c r="H2003" s="34"/>
      <c r="I2003" s="34"/>
      <c r="J2003" s="34"/>
      <c r="K2003" s="34"/>
      <c r="L2003" s="34"/>
      <c r="M2003" s="34"/>
      <c r="N2003" s="34"/>
      <c r="O2003" s="34"/>
      <c r="P2003" s="34"/>
      <c r="Q2003" s="34"/>
      <c r="R2003" s="34"/>
      <c r="S2003" s="34"/>
      <c r="T2003" s="34"/>
      <c r="U2003" s="34"/>
      <c r="V2003" s="34"/>
      <c r="W2003" s="34"/>
      <c r="X2003" s="34"/>
      <c r="Y2003" s="34"/>
      <c r="Z2003" s="34"/>
      <c r="AA2003" s="34"/>
      <c r="AB2003" s="34"/>
      <c r="AC2003" s="34"/>
      <c r="AD2003" s="34"/>
      <c r="AE2003" s="34"/>
      <c r="AF2003" s="34"/>
      <c r="AG2003" s="34"/>
      <c r="AH2003" s="34"/>
      <c r="AI2003" s="34"/>
      <c r="AJ2003" s="34"/>
      <c r="AK2003" s="34"/>
      <c r="AL2003" s="34"/>
      <c r="AM2003" s="34"/>
      <c r="AN2003" s="34"/>
      <c r="AO2003" s="34"/>
      <c r="AP2003" s="34"/>
      <c r="AQ2003" s="34"/>
      <c r="AR2003" s="34"/>
      <c r="AS2003" s="34"/>
      <c r="AT2003" s="34"/>
      <c r="AU2003" s="34"/>
      <c r="AV2003" s="34"/>
      <c r="AW2003" s="34"/>
    </row>
    <row r="2004" spans="1:49" s="32" customFormat="1" ht="15" x14ac:dyDescent="0.25">
      <c r="A2004" s="34"/>
      <c r="B2004" s="34"/>
      <c r="C2004" s="34"/>
      <c r="D2004" s="34"/>
      <c r="E2004" s="34"/>
      <c r="F2004" s="34"/>
      <c r="G2004" s="34"/>
      <c r="H2004" s="34"/>
      <c r="I2004" s="34"/>
      <c r="J2004" s="34"/>
      <c r="K2004" s="34"/>
      <c r="L2004" s="34"/>
      <c r="M2004" s="34"/>
      <c r="N2004" s="34"/>
      <c r="O2004" s="34"/>
      <c r="P2004" s="34"/>
      <c r="Q2004" s="34"/>
      <c r="R2004" s="34"/>
      <c r="S2004" s="34"/>
      <c r="T2004" s="34"/>
      <c r="U2004" s="34"/>
      <c r="V2004" s="34"/>
      <c r="W2004" s="34"/>
      <c r="X2004" s="34"/>
      <c r="Y2004" s="34"/>
      <c r="Z2004" s="34"/>
      <c r="AA2004" s="34"/>
      <c r="AB2004" s="34"/>
      <c r="AC2004" s="34"/>
      <c r="AD2004" s="34"/>
      <c r="AE2004" s="34"/>
      <c r="AF2004" s="34"/>
      <c r="AG2004" s="34"/>
      <c r="AH2004" s="34"/>
      <c r="AI2004" s="34"/>
      <c r="AJ2004" s="34"/>
      <c r="AK2004" s="34"/>
      <c r="AL2004" s="34"/>
      <c r="AM2004" s="34"/>
      <c r="AN2004" s="34"/>
      <c r="AO2004" s="34"/>
      <c r="AP2004" s="34"/>
      <c r="AQ2004" s="34"/>
      <c r="AR2004" s="34"/>
      <c r="AS2004" s="34"/>
      <c r="AT2004" s="34"/>
      <c r="AU2004" s="34"/>
      <c r="AV2004" s="34"/>
      <c r="AW2004" s="34"/>
    </row>
    <row r="2005" spans="1:49" s="32" customFormat="1" ht="15" x14ac:dyDescent="0.25">
      <c r="A2005" s="34"/>
      <c r="B2005" s="34"/>
      <c r="C2005" s="34"/>
      <c r="D2005" s="34"/>
      <c r="E2005" s="34"/>
      <c r="F2005" s="34"/>
      <c r="G2005" s="34"/>
      <c r="H2005" s="34"/>
      <c r="I2005" s="34"/>
      <c r="J2005" s="34"/>
      <c r="K2005" s="34"/>
      <c r="L2005" s="34"/>
      <c r="M2005" s="34"/>
      <c r="N2005" s="34"/>
      <c r="O2005" s="34"/>
      <c r="P2005" s="34"/>
      <c r="Q2005" s="34"/>
      <c r="R2005" s="34"/>
      <c r="S2005" s="34"/>
      <c r="T2005" s="34"/>
      <c r="U2005" s="34"/>
      <c r="V2005" s="34"/>
      <c r="W2005" s="34"/>
      <c r="X2005" s="34"/>
      <c r="Y2005" s="34"/>
      <c r="Z2005" s="34"/>
      <c r="AA2005" s="34"/>
      <c r="AB2005" s="34"/>
      <c r="AC2005" s="34"/>
      <c r="AD2005" s="34"/>
      <c r="AE2005" s="34"/>
      <c r="AF2005" s="34"/>
      <c r="AG2005" s="34"/>
      <c r="AH2005" s="34"/>
      <c r="AI2005" s="34"/>
      <c r="AJ2005" s="34"/>
      <c r="AK2005" s="34"/>
      <c r="AL2005" s="34"/>
      <c r="AM2005" s="34"/>
      <c r="AN2005" s="34"/>
      <c r="AO2005" s="34"/>
      <c r="AP2005" s="34"/>
      <c r="AQ2005" s="34"/>
      <c r="AR2005" s="34"/>
      <c r="AS2005" s="34"/>
      <c r="AT2005" s="34"/>
      <c r="AU2005" s="34"/>
      <c r="AV2005" s="34"/>
      <c r="AW2005" s="34"/>
    </row>
    <row r="2006" spans="1:49" s="32" customFormat="1" ht="15" x14ac:dyDescent="0.25">
      <c r="A2006" s="34"/>
      <c r="B2006" s="34"/>
      <c r="C2006" s="34"/>
      <c r="D2006" s="34"/>
      <c r="E2006" s="34"/>
      <c r="F2006" s="34"/>
      <c r="G2006" s="34"/>
      <c r="H2006" s="34"/>
      <c r="I2006" s="34"/>
      <c r="J2006" s="34"/>
      <c r="K2006" s="34"/>
      <c r="L2006" s="34"/>
      <c r="M2006" s="34"/>
      <c r="N2006" s="34"/>
      <c r="O2006" s="34"/>
      <c r="P2006" s="34"/>
      <c r="Q2006" s="34"/>
      <c r="R2006" s="34"/>
      <c r="S2006" s="34"/>
      <c r="T2006" s="34"/>
      <c r="U2006" s="34"/>
      <c r="V2006" s="34"/>
      <c r="W2006" s="34"/>
      <c r="X2006" s="34"/>
      <c r="Y2006" s="34"/>
      <c r="Z2006" s="34"/>
      <c r="AA2006" s="34"/>
      <c r="AB2006" s="34"/>
      <c r="AC2006" s="34"/>
      <c r="AD2006" s="34"/>
      <c r="AE2006" s="34"/>
      <c r="AF2006" s="34"/>
      <c r="AG2006" s="34"/>
      <c r="AH2006" s="34"/>
      <c r="AI2006" s="34"/>
      <c r="AJ2006" s="34"/>
      <c r="AK2006" s="34"/>
      <c r="AL2006" s="34"/>
      <c r="AM2006" s="34"/>
      <c r="AN2006" s="34"/>
      <c r="AO2006" s="34"/>
      <c r="AP2006" s="34"/>
      <c r="AQ2006" s="34"/>
      <c r="AR2006" s="34"/>
      <c r="AS2006" s="34"/>
      <c r="AT2006" s="34"/>
      <c r="AU2006" s="34"/>
      <c r="AV2006" s="34"/>
      <c r="AW2006" s="34"/>
    </row>
    <row r="2007" spans="1:49" s="32" customFormat="1" ht="15" x14ac:dyDescent="0.25">
      <c r="A2007" s="34"/>
      <c r="B2007" s="34"/>
      <c r="C2007" s="34"/>
      <c r="D2007" s="34"/>
      <c r="E2007" s="34"/>
      <c r="F2007" s="34"/>
      <c r="G2007" s="34"/>
      <c r="H2007" s="34"/>
      <c r="I2007" s="34"/>
      <c r="J2007" s="34"/>
      <c r="K2007" s="34"/>
      <c r="L2007" s="34"/>
      <c r="M2007" s="34"/>
      <c r="N2007" s="34"/>
      <c r="O2007" s="34"/>
      <c r="P2007" s="34"/>
      <c r="Q2007" s="34"/>
      <c r="R2007" s="34"/>
      <c r="S2007" s="34"/>
      <c r="T2007" s="34"/>
      <c r="U2007" s="34"/>
      <c r="V2007" s="34"/>
      <c r="W2007" s="34"/>
      <c r="X2007" s="34"/>
      <c r="Y2007" s="34"/>
      <c r="Z2007" s="34"/>
      <c r="AA2007" s="34"/>
      <c r="AB2007" s="34"/>
      <c r="AC2007" s="34"/>
      <c r="AD2007" s="34"/>
      <c r="AE2007" s="34"/>
      <c r="AF2007" s="34"/>
      <c r="AG2007" s="34"/>
      <c r="AH2007" s="34"/>
      <c r="AI2007" s="34"/>
      <c r="AJ2007" s="34"/>
      <c r="AK2007" s="34"/>
      <c r="AL2007" s="34"/>
      <c r="AM2007" s="34"/>
      <c r="AN2007" s="34"/>
      <c r="AO2007" s="34"/>
      <c r="AP2007" s="34"/>
      <c r="AQ2007" s="34"/>
      <c r="AR2007" s="34"/>
      <c r="AS2007" s="34"/>
      <c r="AT2007" s="34"/>
      <c r="AU2007" s="34"/>
      <c r="AV2007" s="34"/>
      <c r="AW2007" s="34"/>
    </row>
    <row r="2008" spans="1:49" s="32" customFormat="1" ht="15" x14ac:dyDescent="0.25">
      <c r="A2008" s="34"/>
      <c r="B2008" s="34"/>
      <c r="C2008" s="34"/>
      <c r="D2008" s="34"/>
      <c r="E2008" s="34"/>
      <c r="F2008" s="34"/>
      <c r="G2008" s="34"/>
      <c r="H2008" s="34"/>
      <c r="I2008" s="34"/>
      <c r="J2008" s="34"/>
      <c r="K2008" s="34"/>
      <c r="L2008" s="34"/>
      <c r="M2008" s="34"/>
      <c r="N2008" s="34"/>
      <c r="O2008" s="34"/>
      <c r="P2008" s="34"/>
      <c r="Q2008" s="34"/>
      <c r="R2008" s="34"/>
      <c r="S2008" s="34"/>
      <c r="T2008" s="34"/>
      <c r="U2008" s="34"/>
      <c r="V2008" s="34"/>
      <c r="W2008" s="34"/>
      <c r="X2008" s="34"/>
      <c r="Y2008" s="34"/>
      <c r="Z2008" s="34"/>
      <c r="AA2008" s="34"/>
      <c r="AB2008" s="34"/>
      <c r="AC2008" s="34"/>
      <c r="AD2008" s="34"/>
      <c r="AE2008" s="34"/>
      <c r="AF2008" s="34"/>
      <c r="AG2008" s="34"/>
      <c r="AH2008" s="34"/>
      <c r="AI2008" s="34"/>
      <c r="AJ2008" s="34"/>
      <c r="AK2008" s="34"/>
      <c r="AL2008" s="34"/>
      <c r="AM2008" s="34"/>
      <c r="AN2008" s="34"/>
      <c r="AO2008" s="34"/>
      <c r="AP2008" s="34"/>
      <c r="AQ2008" s="34"/>
      <c r="AR2008" s="34"/>
      <c r="AS2008" s="34"/>
      <c r="AT2008" s="34"/>
      <c r="AU2008" s="34"/>
      <c r="AV2008" s="34"/>
      <c r="AW2008" s="34"/>
    </row>
    <row r="2009" spans="1:49" s="32" customFormat="1" ht="15" x14ac:dyDescent="0.25">
      <c r="A2009" s="34"/>
      <c r="B2009" s="34"/>
      <c r="C2009" s="34"/>
      <c r="D2009" s="34"/>
      <c r="E2009" s="34"/>
      <c r="F2009" s="34"/>
      <c r="G2009" s="34"/>
      <c r="H2009" s="34"/>
      <c r="I2009" s="34"/>
      <c r="J2009" s="34"/>
      <c r="K2009" s="34"/>
      <c r="L2009" s="34"/>
      <c r="M2009" s="34"/>
      <c r="N2009" s="34"/>
      <c r="O2009" s="34"/>
      <c r="P2009" s="34"/>
      <c r="Q2009" s="34"/>
      <c r="R2009" s="34"/>
      <c r="S2009" s="34"/>
      <c r="T2009" s="34"/>
      <c r="U2009" s="34"/>
      <c r="V2009" s="34"/>
      <c r="W2009" s="34"/>
      <c r="X2009" s="34"/>
      <c r="Y2009" s="34"/>
      <c r="Z2009" s="34"/>
      <c r="AA2009" s="34"/>
      <c r="AB2009" s="34"/>
      <c r="AC2009" s="34"/>
      <c r="AD2009" s="34"/>
      <c r="AE2009" s="34"/>
      <c r="AF2009" s="34"/>
      <c r="AG2009" s="34"/>
      <c r="AH2009" s="34"/>
      <c r="AI2009" s="34"/>
      <c r="AJ2009" s="34"/>
      <c r="AK2009" s="34"/>
      <c r="AL2009" s="34"/>
      <c r="AM2009" s="34"/>
      <c r="AN2009" s="34"/>
      <c r="AO2009" s="34"/>
      <c r="AP2009" s="34"/>
      <c r="AQ2009" s="34"/>
      <c r="AR2009" s="34"/>
      <c r="AS2009" s="34"/>
      <c r="AT2009" s="34"/>
      <c r="AU2009" s="34"/>
      <c r="AV2009" s="34"/>
      <c r="AW2009" s="34"/>
    </row>
    <row r="2010" spans="1:49" s="32" customFormat="1" ht="15" x14ac:dyDescent="0.25">
      <c r="A2010" s="34"/>
      <c r="B2010" s="34"/>
      <c r="C2010" s="34"/>
      <c r="D2010" s="34"/>
      <c r="E2010" s="34"/>
      <c r="F2010" s="34"/>
      <c r="G2010" s="34"/>
      <c r="H2010" s="34"/>
      <c r="I2010" s="34"/>
      <c r="J2010" s="34"/>
      <c r="K2010" s="34"/>
      <c r="L2010" s="34"/>
      <c r="M2010" s="34"/>
      <c r="N2010" s="34"/>
      <c r="O2010" s="34"/>
      <c r="P2010" s="34"/>
      <c r="Q2010" s="34"/>
      <c r="R2010" s="34"/>
      <c r="S2010" s="34"/>
      <c r="T2010" s="34"/>
      <c r="U2010" s="34"/>
      <c r="V2010" s="34"/>
      <c r="W2010" s="34"/>
      <c r="X2010" s="34"/>
      <c r="Y2010" s="34"/>
      <c r="Z2010" s="34"/>
      <c r="AA2010" s="34"/>
      <c r="AB2010" s="34"/>
      <c r="AC2010" s="34"/>
      <c r="AD2010" s="34"/>
      <c r="AE2010" s="34"/>
      <c r="AF2010" s="34"/>
      <c r="AG2010" s="34"/>
      <c r="AH2010" s="34"/>
      <c r="AI2010" s="34"/>
      <c r="AJ2010" s="34"/>
      <c r="AK2010" s="34"/>
      <c r="AL2010" s="34"/>
      <c r="AM2010" s="34"/>
      <c r="AN2010" s="34"/>
      <c r="AO2010" s="34"/>
      <c r="AP2010" s="34"/>
      <c r="AQ2010" s="34"/>
      <c r="AR2010" s="34"/>
      <c r="AS2010" s="34"/>
      <c r="AT2010" s="34"/>
      <c r="AU2010" s="34"/>
      <c r="AV2010" s="34"/>
      <c r="AW2010" s="34"/>
    </row>
    <row r="2011" spans="1:49" s="32" customFormat="1" ht="15" x14ac:dyDescent="0.25">
      <c r="A2011" s="34"/>
      <c r="B2011" s="34"/>
      <c r="C2011" s="34"/>
      <c r="D2011" s="34"/>
      <c r="E2011" s="34"/>
      <c r="F2011" s="34"/>
      <c r="G2011" s="34"/>
      <c r="H2011" s="34"/>
      <c r="I2011" s="34"/>
      <c r="J2011" s="34"/>
      <c r="K2011" s="34"/>
      <c r="L2011" s="34"/>
      <c r="M2011" s="34"/>
      <c r="N2011" s="34"/>
      <c r="O2011" s="34"/>
      <c r="P2011" s="34"/>
      <c r="Q2011" s="34"/>
      <c r="R2011" s="34"/>
      <c r="S2011" s="34"/>
      <c r="T2011" s="34"/>
      <c r="U2011" s="34"/>
      <c r="V2011" s="34"/>
      <c r="W2011" s="34"/>
      <c r="X2011" s="34"/>
      <c r="Y2011" s="34"/>
      <c r="Z2011" s="34"/>
      <c r="AA2011" s="34"/>
      <c r="AB2011" s="34"/>
      <c r="AC2011" s="34"/>
      <c r="AD2011" s="34"/>
      <c r="AE2011" s="34"/>
      <c r="AF2011" s="34"/>
      <c r="AG2011" s="34"/>
      <c r="AH2011" s="34"/>
      <c r="AI2011" s="34"/>
      <c r="AJ2011" s="34"/>
      <c r="AK2011" s="34"/>
      <c r="AL2011" s="34"/>
      <c r="AM2011" s="34"/>
      <c r="AN2011" s="34"/>
      <c r="AO2011" s="34"/>
      <c r="AP2011" s="34"/>
      <c r="AQ2011" s="34"/>
      <c r="AR2011" s="34"/>
      <c r="AS2011" s="34"/>
      <c r="AT2011" s="34"/>
      <c r="AU2011" s="34"/>
      <c r="AV2011" s="34"/>
      <c r="AW2011" s="34"/>
    </row>
    <row r="2012" spans="1:49" s="32" customFormat="1" ht="15" x14ac:dyDescent="0.25">
      <c r="A2012" s="34"/>
      <c r="B2012" s="34"/>
      <c r="C2012" s="34"/>
      <c r="D2012" s="34"/>
      <c r="E2012" s="34"/>
      <c r="F2012" s="34"/>
      <c r="G2012" s="34"/>
      <c r="H2012" s="34"/>
      <c r="I2012" s="34"/>
      <c r="J2012" s="34"/>
      <c r="K2012" s="34"/>
      <c r="L2012" s="34"/>
      <c r="M2012" s="34"/>
      <c r="N2012" s="34"/>
      <c r="O2012" s="34"/>
      <c r="P2012" s="34"/>
      <c r="Q2012" s="34"/>
      <c r="R2012" s="34"/>
      <c r="S2012" s="34"/>
      <c r="T2012" s="34"/>
      <c r="U2012" s="34"/>
      <c r="V2012" s="34"/>
      <c r="W2012" s="34"/>
      <c r="X2012" s="34"/>
      <c r="Y2012" s="34"/>
      <c r="Z2012" s="34"/>
      <c r="AA2012" s="34"/>
      <c r="AB2012" s="34"/>
      <c r="AC2012" s="34"/>
      <c r="AD2012" s="34"/>
      <c r="AE2012" s="34"/>
      <c r="AF2012" s="34"/>
      <c r="AG2012" s="34"/>
      <c r="AH2012" s="34"/>
      <c r="AI2012" s="34"/>
      <c r="AJ2012" s="34"/>
      <c r="AK2012" s="34"/>
      <c r="AL2012" s="34"/>
      <c r="AM2012" s="34"/>
      <c r="AN2012" s="34"/>
      <c r="AO2012" s="34"/>
      <c r="AP2012" s="34"/>
      <c r="AQ2012" s="34"/>
      <c r="AR2012" s="34"/>
      <c r="AS2012" s="34"/>
      <c r="AT2012" s="34"/>
      <c r="AU2012" s="34"/>
      <c r="AV2012" s="34"/>
      <c r="AW2012" s="34"/>
    </row>
    <row r="2013" spans="1:49" s="32" customFormat="1" ht="15" x14ac:dyDescent="0.25">
      <c r="A2013" s="34"/>
      <c r="B2013" s="34"/>
      <c r="C2013" s="34"/>
      <c r="D2013" s="34"/>
      <c r="E2013" s="34"/>
      <c r="F2013" s="34"/>
      <c r="G2013" s="34"/>
      <c r="H2013" s="34"/>
      <c r="I2013" s="34"/>
      <c r="J2013" s="34"/>
      <c r="K2013" s="34"/>
      <c r="L2013" s="34"/>
      <c r="M2013" s="34"/>
      <c r="N2013" s="34"/>
      <c r="O2013" s="34"/>
      <c r="P2013" s="34"/>
      <c r="Q2013" s="34"/>
      <c r="R2013" s="34"/>
      <c r="S2013" s="34"/>
      <c r="T2013" s="34"/>
      <c r="U2013" s="34"/>
      <c r="V2013" s="34"/>
      <c r="W2013" s="34"/>
      <c r="X2013" s="34"/>
      <c r="Y2013" s="34"/>
      <c r="Z2013" s="34"/>
      <c r="AA2013" s="34"/>
      <c r="AB2013" s="34"/>
      <c r="AC2013" s="34"/>
      <c r="AD2013" s="34"/>
      <c r="AE2013" s="34"/>
      <c r="AF2013" s="34"/>
      <c r="AG2013" s="34"/>
      <c r="AH2013" s="34"/>
      <c r="AI2013" s="34"/>
      <c r="AJ2013" s="34"/>
      <c r="AK2013" s="34"/>
      <c r="AL2013" s="34"/>
      <c r="AM2013" s="34"/>
      <c r="AN2013" s="34"/>
      <c r="AO2013" s="34"/>
      <c r="AP2013" s="34"/>
      <c r="AQ2013" s="34"/>
      <c r="AR2013" s="34"/>
      <c r="AS2013" s="34"/>
      <c r="AT2013" s="34"/>
      <c r="AU2013" s="34"/>
      <c r="AV2013" s="34"/>
      <c r="AW2013" s="34"/>
    </row>
    <row r="2014" spans="1:49" s="32" customFormat="1" ht="15" x14ac:dyDescent="0.25">
      <c r="A2014" s="34"/>
      <c r="B2014" s="34"/>
      <c r="C2014" s="34"/>
      <c r="D2014" s="34"/>
      <c r="E2014" s="34"/>
      <c r="F2014" s="34"/>
      <c r="G2014" s="34"/>
      <c r="H2014" s="34"/>
      <c r="I2014" s="34"/>
      <c r="J2014" s="34"/>
      <c r="K2014" s="34"/>
      <c r="L2014" s="34"/>
      <c r="M2014" s="34"/>
      <c r="N2014" s="34"/>
      <c r="O2014" s="34"/>
      <c r="P2014" s="34"/>
      <c r="Q2014" s="34"/>
      <c r="R2014" s="34"/>
      <c r="S2014" s="34"/>
      <c r="T2014" s="34"/>
      <c r="U2014" s="34"/>
      <c r="V2014" s="34"/>
      <c r="W2014" s="34"/>
      <c r="X2014" s="34"/>
      <c r="Y2014" s="34"/>
      <c r="Z2014" s="34"/>
      <c r="AA2014" s="34"/>
      <c r="AB2014" s="34"/>
      <c r="AC2014" s="34"/>
      <c r="AD2014" s="34"/>
      <c r="AE2014" s="34"/>
      <c r="AF2014" s="34"/>
      <c r="AG2014" s="34"/>
      <c r="AH2014" s="34"/>
      <c r="AI2014" s="34"/>
      <c r="AJ2014" s="34"/>
      <c r="AK2014" s="34"/>
      <c r="AL2014" s="34"/>
      <c r="AM2014" s="34"/>
      <c r="AN2014" s="34"/>
      <c r="AO2014" s="34"/>
      <c r="AP2014" s="34"/>
      <c r="AQ2014" s="34"/>
      <c r="AR2014" s="34"/>
      <c r="AS2014" s="34"/>
      <c r="AT2014" s="34"/>
      <c r="AU2014" s="34"/>
      <c r="AV2014" s="34"/>
      <c r="AW2014" s="34"/>
    </row>
    <row r="2015" spans="1:49" s="32" customFormat="1" ht="15" x14ac:dyDescent="0.25">
      <c r="A2015" s="34"/>
      <c r="B2015" s="34"/>
      <c r="C2015" s="34"/>
      <c r="D2015" s="34"/>
      <c r="E2015" s="34"/>
      <c r="F2015" s="34"/>
      <c r="G2015" s="34"/>
      <c r="H2015" s="34"/>
      <c r="I2015" s="34"/>
      <c r="J2015" s="34"/>
      <c r="K2015" s="34"/>
      <c r="L2015" s="34"/>
      <c r="M2015" s="34"/>
      <c r="N2015" s="34"/>
      <c r="O2015" s="34"/>
      <c r="P2015" s="34"/>
      <c r="Q2015" s="34"/>
      <c r="R2015" s="34"/>
      <c r="S2015" s="34"/>
      <c r="T2015" s="34"/>
      <c r="U2015" s="34"/>
      <c r="V2015" s="34"/>
      <c r="W2015" s="34"/>
      <c r="X2015" s="34"/>
      <c r="Y2015" s="34"/>
      <c r="Z2015" s="34"/>
      <c r="AA2015" s="34"/>
      <c r="AB2015" s="34"/>
      <c r="AC2015" s="34"/>
      <c r="AD2015" s="34"/>
      <c r="AE2015" s="34"/>
      <c r="AF2015" s="34"/>
      <c r="AG2015" s="34"/>
      <c r="AH2015" s="34"/>
      <c r="AI2015" s="34"/>
      <c r="AJ2015" s="34"/>
      <c r="AK2015" s="34"/>
      <c r="AL2015" s="34"/>
      <c r="AM2015" s="34"/>
      <c r="AN2015" s="34"/>
      <c r="AO2015" s="34"/>
      <c r="AP2015" s="34"/>
      <c r="AQ2015" s="34"/>
      <c r="AR2015" s="34"/>
      <c r="AS2015" s="34"/>
      <c r="AT2015" s="34"/>
      <c r="AU2015" s="34"/>
      <c r="AV2015" s="34"/>
      <c r="AW2015" s="34"/>
    </row>
    <row r="2016" spans="1:49" s="32" customFormat="1" ht="15" x14ac:dyDescent="0.25">
      <c r="A2016" s="34"/>
      <c r="B2016" s="34"/>
      <c r="C2016" s="34"/>
      <c r="D2016" s="34"/>
      <c r="E2016" s="34"/>
      <c r="F2016" s="34"/>
      <c r="G2016" s="34"/>
      <c r="H2016" s="34"/>
      <c r="I2016" s="34"/>
      <c r="J2016" s="34"/>
      <c r="K2016" s="34"/>
      <c r="L2016" s="34"/>
      <c r="M2016" s="34"/>
      <c r="N2016" s="34"/>
      <c r="O2016" s="34"/>
      <c r="P2016" s="34"/>
      <c r="Q2016" s="34"/>
      <c r="R2016" s="34"/>
      <c r="S2016" s="34"/>
      <c r="T2016" s="34"/>
      <c r="U2016" s="34"/>
      <c r="V2016" s="34"/>
      <c r="W2016" s="34"/>
      <c r="X2016" s="34"/>
      <c r="Y2016" s="34"/>
      <c r="Z2016" s="34"/>
      <c r="AA2016" s="34"/>
      <c r="AB2016" s="34"/>
      <c r="AC2016" s="34"/>
      <c r="AD2016" s="34"/>
      <c r="AE2016" s="34"/>
      <c r="AF2016" s="34"/>
      <c r="AG2016" s="34"/>
      <c r="AH2016" s="34"/>
      <c r="AI2016" s="34"/>
      <c r="AJ2016" s="34"/>
      <c r="AK2016" s="34"/>
      <c r="AL2016" s="34"/>
      <c r="AM2016" s="34"/>
      <c r="AN2016" s="34"/>
      <c r="AO2016" s="34"/>
      <c r="AP2016" s="34"/>
      <c r="AQ2016" s="34"/>
      <c r="AR2016" s="34"/>
      <c r="AS2016" s="34"/>
      <c r="AT2016" s="34"/>
      <c r="AU2016" s="34"/>
      <c r="AV2016" s="34"/>
      <c r="AW2016" s="34"/>
    </row>
    <row r="2017" spans="1:49" s="32" customFormat="1" ht="15" x14ac:dyDescent="0.25">
      <c r="A2017" s="34"/>
      <c r="B2017" s="34"/>
      <c r="C2017" s="34"/>
      <c r="D2017" s="34"/>
      <c r="E2017" s="34"/>
      <c r="F2017" s="34"/>
      <c r="G2017" s="34"/>
      <c r="H2017" s="34"/>
      <c r="I2017" s="34"/>
      <c r="J2017" s="34"/>
      <c r="K2017" s="34"/>
      <c r="L2017" s="34"/>
      <c r="M2017" s="34"/>
      <c r="N2017" s="34"/>
      <c r="O2017" s="34"/>
      <c r="P2017" s="34"/>
      <c r="Q2017" s="34"/>
      <c r="R2017" s="34"/>
      <c r="S2017" s="34"/>
      <c r="T2017" s="34"/>
      <c r="U2017" s="34"/>
      <c r="V2017" s="34"/>
      <c r="W2017" s="34"/>
      <c r="X2017" s="34"/>
      <c r="Y2017" s="34"/>
      <c r="Z2017" s="34"/>
      <c r="AA2017" s="34"/>
      <c r="AB2017" s="34"/>
      <c r="AC2017" s="34"/>
      <c r="AD2017" s="34"/>
      <c r="AE2017" s="34"/>
      <c r="AF2017" s="34"/>
      <c r="AG2017" s="34"/>
      <c r="AH2017" s="34"/>
      <c r="AI2017" s="34"/>
      <c r="AJ2017" s="34"/>
      <c r="AK2017" s="34"/>
      <c r="AL2017" s="34"/>
      <c r="AM2017" s="34"/>
      <c r="AN2017" s="34"/>
      <c r="AO2017" s="34"/>
      <c r="AP2017" s="34"/>
      <c r="AQ2017" s="34"/>
      <c r="AR2017" s="34"/>
      <c r="AS2017" s="34"/>
      <c r="AT2017" s="34"/>
      <c r="AU2017" s="34"/>
      <c r="AV2017" s="34"/>
      <c r="AW2017" s="34"/>
    </row>
    <row r="2018" spans="1:49" s="32" customFormat="1" ht="15" x14ac:dyDescent="0.25">
      <c r="A2018" s="34"/>
      <c r="B2018" s="34"/>
      <c r="C2018" s="34"/>
      <c r="D2018" s="34"/>
      <c r="E2018" s="34"/>
      <c r="F2018" s="34"/>
      <c r="G2018" s="34"/>
      <c r="H2018" s="34"/>
      <c r="I2018" s="34"/>
      <c r="J2018" s="34"/>
      <c r="K2018" s="34"/>
      <c r="L2018" s="34"/>
      <c r="M2018" s="34"/>
      <c r="N2018" s="34"/>
      <c r="O2018" s="34"/>
      <c r="P2018" s="34"/>
      <c r="Q2018" s="34"/>
      <c r="R2018" s="34"/>
      <c r="S2018" s="34"/>
      <c r="T2018" s="34"/>
      <c r="U2018" s="34"/>
      <c r="V2018" s="34"/>
      <c r="W2018" s="34"/>
      <c r="X2018" s="34"/>
      <c r="Y2018" s="34"/>
      <c r="Z2018" s="34"/>
      <c r="AA2018" s="34"/>
      <c r="AB2018" s="34"/>
      <c r="AC2018" s="34"/>
      <c r="AD2018" s="34"/>
      <c r="AE2018" s="34"/>
      <c r="AF2018" s="34"/>
      <c r="AG2018" s="34"/>
      <c r="AH2018" s="34"/>
      <c r="AI2018" s="34"/>
      <c r="AJ2018" s="34"/>
      <c r="AK2018" s="34"/>
      <c r="AL2018" s="34"/>
      <c r="AM2018" s="34"/>
      <c r="AN2018" s="34"/>
      <c r="AO2018" s="34"/>
      <c r="AP2018" s="34"/>
      <c r="AQ2018" s="34"/>
      <c r="AR2018" s="34"/>
      <c r="AS2018" s="34"/>
      <c r="AT2018" s="34"/>
      <c r="AU2018" s="34"/>
      <c r="AV2018" s="34"/>
      <c r="AW2018" s="34"/>
    </row>
    <row r="2019" spans="1:49" s="32" customFormat="1" ht="15" x14ac:dyDescent="0.25">
      <c r="A2019" s="34"/>
      <c r="B2019" s="34"/>
      <c r="C2019" s="34"/>
      <c r="D2019" s="34"/>
      <c r="E2019" s="34"/>
      <c r="F2019" s="34"/>
      <c r="G2019" s="34"/>
      <c r="H2019" s="34"/>
      <c r="I2019" s="34"/>
      <c r="J2019" s="34"/>
      <c r="K2019" s="34"/>
      <c r="L2019" s="34"/>
      <c r="M2019" s="34"/>
      <c r="N2019" s="34"/>
      <c r="O2019" s="34"/>
      <c r="P2019" s="34"/>
      <c r="Q2019" s="34"/>
      <c r="R2019" s="34"/>
      <c r="S2019" s="34"/>
      <c r="T2019" s="34"/>
      <c r="U2019" s="34"/>
      <c r="V2019" s="34"/>
      <c r="W2019" s="34"/>
      <c r="X2019" s="34"/>
      <c r="Y2019" s="34"/>
      <c r="Z2019" s="34"/>
      <c r="AA2019" s="34"/>
      <c r="AB2019" s="34"/>
      <c r="AC2019" s="34"/>
      <c r="AD2019" s="34"/>
      <c r="AE2019" s="34"/>
      <c r="AF2019" s="34"/>
      <c r="AG2019" s="34"/>
      <c r="AH2019" s="34"/>
      <c r="AI2019" s="34"/>
      <c r="AJ2019" s="34"/>
      <c r="AK2019" s="34"/>
      <c r="AL2019" s="34"/>
      <c r="AM2019" s="34"/>
      <c r="AN2019" s="34"/>
      <c r="AO2019" s="34"/>
      <c r="AP2019" s="34"/>
      <c r="AQ2019" s="34"/>
      <c r="AR2019" s="34"/>
      <c r="AS2019" s="34"/>
      <c r="AT2019" s="34"/>
      <c r="AU2019" s="34"/>
      <c r="AV2019" s="34"/>
      <c r="AW2019" s="34"/>
    </row>
    <row r="2020" spans="1:49" s="32" customFormat="1" ht="15" x14ac:dyDescent="0.25">
      <c r="A2020" s="34"/>
      <c r="B2020" s="34"/>
      <c r="C2020" s="34"/>
      <c r="D2020" s="34"/>
      <c r="E2020" s="34"/>
      <c r="F2020" s="34"/>
      <c r="G2020" s="34"/>
      <c r="H2020" s="34"/>
      <c r="I2020" s="34"/>
      <c r="J2020" s="34"/>
      <c r="K2020" s="34"/>
      <c r="L2020" s="34"/>
      <c r="M2020" s="34"/>
      <c r="N2020" s="34"/>
      <c r="O2020" s="34"/>
      <c r="P2020" s="34"/>
      <c r="Q2020" s="34"/>
      <c r="R2020" s="34"/>
      <c r="S2020" s="34"/>
      <c r="T2020" s="34"/>
      <c r="U2020" s="34"/>
      <c r="V2020" s="34"/>
      <c r="W2020" s="34"/>
      <c r="X2020" s="34"/>
      <c r="Y2020" s="34"/>
      <c r="Z2020" s="34"/>
      <c r="AA2020" s="34"/>
      <c r="AB2020" s="34"/>
      <c r="AC2020" s="34"/>
      <c r="AD2020" s="34"/>
      <c r="AE2020" s="34"/>
      <c r="AF2020" s="34"/>
      <c r="AG2020" s="34"/>
      <c r="AH2020" s="34"/>
      <c r="AI2020" s="34"/>
      <c r="AJ2020" s="34"/>
      <c r="AK2020" s="34"/>
      <c r="AL2020" s="34"/>
      <c r="AM2020" s="34"/>
      <c r="AN2020" s="34"/>
      <c r="AO2020" s="34"/>
      <c r="AP2020" s="34"/>
      <c r="AQ2020" s="34"/>
      <c r="AR2020" s="34"/>
      <c r="AS2020" s="34"/>
      <c r="AT2020" s="34"/>
      <c r="AU2020" s="34"/>
      <c r="AV2020" s="34"/>
      <c r="AW2020" s="34"/>
    </row>
    <row r="2021" spans="1:49" s="32" customFormat="1" ht="15" x14ac:dyDescent="0.25">
      <c r="A2021" s="34"/>
      <c r="B2021" s="34"/>
      <c r="C2021" s="34"/>
      <c r="D2021" s="34"/>
      <c r="E2021" s="34"/>
      <c r="F2021" s="34"/>
      <c r="G2021" s="34"/>
      <c r="H2021" s="34"/>
      <c r="I2021" s="34"/>
      <c r="J2021" s="34"/>
      <c r="K2021" s="34"/>
      <c r="L2021" s="34"/>
      <c r="M2021" s="34"/>
      <c r="N2021" s="34"/>
      <c r="O2021" s="34"/>
      <c r="P2021" s="34"/>
      <c r="Q2021" s="34"/>
      <c r="R2021" s="34"/>
      <c r="S2021" s="34"/>
      <c r="T2021" s="34"/>
      <c r="U2021" s="34"/>
      <c r="V2021" s="34"/>
      <c r="W2021" s="34"/>
      <c r="X2021" s="34"/>
      <c r="Y2021" s="34"/>
      <c r="Z2021" s="34"/>
      <c r="AA2021" s="34"/>
      <c r="AB2021" s="34"/>
      <c r="AC2021" s="34"/>
      <c r="AD2021" s="34"/>
      <c r="AE2021" s="34"/>
      <c r="AF2021" s="34"/>
      <c r="AG2021" s="34"/>
      <c r="AH2021" s="34"/>
      <c r="AI2021" s="34"/>
      <c r="AJ2021" s="34"/>
      <c r="AK2021" s="34"/>
      <c r="AL2021" s="34"/>
      <c r="AM2021" s="34"/>
      <c r="AN2021" s="34"/>
      <c r="AO2021" s="34"/>
      <c r="AP2021" s="34"/>
      <c r="AQ2021" s="34"/>
      <c r="AR2021" s="34"/>
      <c r="AS2021" s="34"/>
      <c r="AT2021" s="34"/>
      <c r="AU2021" s="34"/>
      <c r="AV2021" s="34"/>
      <c r="AW2021" s="34"/>
    </row>
    <row r="2022" spans="1:49" s="32" customFormat="1" ht="15" x14ac:dyDescent="0.25">
      <c r="A2022" s="34"/>
      <c r="B2022" s="34"/>
      <c r="C2022" s="34"/>
      <c r="D2022" s="34"/>
      <c r="E2022" s="34"/>
      <c r="F2022" s="34"/>
      <c r="G2022" s="34"/>
      <c r="H2022" s="34"/>
      <c r="I2022" s="34"/>
      <c r="J2022" s="34"/>
      <c r="K2022" s="34"/>
      <c r="L2022" s="34"/>
      <c r="M2022" s="34"/>
      <c r="N2022" s="34"/>
      <c r="O2022" s="34"/>
      <c r="P2022" s="34"/>
      <c r="Q2022" s="34"/>
      <c r="R2022" s="34"/>
      <c r="S2022" s="34"/>
      <c r="T2022" s="34"/>
      <c r="U2022" s="34"/>
      <c r="V2022" s="34"/>
      <c r="W2022" s="34"/>
      <c r="X2022" s="34"/>
      <c r="Y2022" s="34"/>
      <c r="Z2022" s="34"/>
      <c r="AA2022" s="34"/>
      <c r="AB2022" s="34"/>
      <c r="AC2022" s="34"/>
      <c r="AD2022" s="34"/>
      <c r="AE2022" s="34"/>
      <c r="AF2022" s="34"/>
      <c r="AG2022" s="34"/>
      <c r="AH2022" s="34"/>
      <c r="AI2022" s="34"/>
      <c r="AJ2022" s="34"/>
      <c r="AK2022" s="34"/>
      <c r="AL2022" s="34"/>
      <c r="AM2022" s="34"/>
      <c r="AN2022" s="34"/>
      <c r="AO2022" s="34"/>
      <c r="AP2022" s="34"/>
      <c r="AQ2022" s="34"/>
      <c r="AR2022" s="34"/>
      <c r="AS2022" s="34"/>
      <c r="AT2022" s="34"/>
      <c r="AU2022" s="34"/>
      <c r="AV2022" s="34"/>
      <c r="AW2022" s="34"/>
    </row>
    <row r="2023" spans="1:49" s="32" customFormat="1" ht="15" x14ac:dyDescent="0.25">
      <c r="A2023" s="34"/>
      <c r="B2023" s="34"/>
      <c r="C2023" s="34"/>
      <c r="D2023" s="34"/>
      <c r="E2023" s="34"/>
      <c r="F2023" s="34"/>
      <c r="G2023" s="34"/>
      <c r="H2023" s="34"/>
      <c r="I2023" s="34"/>
      <c r="J2023" s="34"/>
      <c r="K2023" s="34"/>
      <c r="L2023" s="34"/>
      <c r="M2023" s="34"/>
      <c r="N2023" s="34"/>
      <c r="O2023" s="34"/>
      <c r="P2023" s="34"/>
      <c r="Q2023" s="34"/>
      <c r="R2023" s="34"/>
      <c r="S2023" s="34"/>
      <c r="T2023" s="34"/>
      <c r="U2023" s="34"/>
      <c r="V2023" s="34"/>
      <c r="W2023" s="34"/>
      <c r="X2023" s="34"/>
      <c r="Y2023" s="34"/>
      <c r="Z2023" s="34"/>
      <c r="AA2023" s="34"/>
      <c r="AB2023" s="34"/>
      <c r="AC2023" s="34"/>
      <c r="AD2023" s="34"/>
      <c r="AE2023" s="34"/>
      <c r="AF2023" s="34"/>
      <c r="AG2023" s="34"/>
      <c r="AH2023" s="34"/>
      <c r="AI2023" s="34"/>
      <c r="AJ2023" s="34"/>
      <c r="AK2023" s="34"/>
      <c r="AL2023" s="34"/>
      <c r="AM2023" s="34"/>
      <c r="AN2023" s="34"/>
      <c r="AO2023" s="34"/>
      <c r="AP2023" s="34"/>
      <c r="AQ2023" s="34"/>
      <c r="AR2023" s="34"/>
      <c r="AS2023" s="34"/>
      <c r="AT2023" s="34"/>
      <c r="AU2023" s="34"/>
      <c r="AV2023" s="34"/>
      <c r="AW2023" s="34"/>
    </row>
    <row r="2024" spans="1:49" s="32" customFormat="1" ht="15" x14ac:dyDescent="0.25">
      <c r="A2024" s="34"/>
      <c r="B2024" s="34"/>
      <c r="C2024" s="34"/>
      <c r="D2024" s="34"/>
      <c r="E2024" s="34"/>
      <c r="F2024" s="34"/>
      <c r="G2024" s="34"/>
      <c r="H2024" s="34"/>
      <c r="I2024" s="34"/>
      <c r="J2024" s="34"/>
      <c r="K2024" s="34"/>
      <c r="L2024" s="34"/>
      <c r="M2024" s="34"/>
      <c r="N2024" s="34"/>
      <c r="O2024" s="34"/>
      <c r="P2024" s="34"/>
      <c r="Q2024" s="34"/>
      <c r="R2024" s="34"/>
      <c r="S2024" s="34"/>
      <c r="T2024" s="34"/>
      <c r="U2024" s="34"/>
      <c r="V2024" s="34"/>
      <c r="W2024" s="34"/>
      <c r="X2024" s="34"/>
      <c r="Y2024" s="34"/>
      <c r="Z2024" s="34"/>
      <c r="AA2024" s="34"/>
      <c r="AB2024" s="34"/>
      <c r="AC2024" s="34"/>
      <c r="AD2024" s="34"/>
      <c r="AE2024" s="34"/>
      <c r="AF2024" s="34"/>
      <c r="AG2024" s="34"/>
      <c r="AH2024" s="34"/>
      <c r="AI2024" s="34"/>
      <c r="AJ2024" s="34"/>
      <c r="AK2024" s="34"/>
      <c r="AL2024" s="34"/>
      <c r="AM2024" s="34"/>
      <c r="AN2024" s="34"/>
      <c r="AO2024" s="34"/>
      <c r="AP2024" s="34"/>
      <c r="AQ2024" s="34"/>
      <c r="AR2024" s="34"/>
      <c r="AS2024" s="34"/>
      <c r="AT2024" s="34"/>
      <c r="AU2024" s="34"/>
      <c r="AV2024" s="34"/>
      <c r="AW2024" s="34"/>
    </row>
    <row r="2025" spans="1:49" s="32" customFormat="1" ht="15" x14ac:dyDescent="0.25">
      <c r="A2025" s="34"/>
      <c r="B2025" s="34"/>
      <c r="C2025" s="34"/>
      <c r="D2025" s="34"/>
      <c r="E2025" s="34"/>
      <c r="F2025" s="34"/>
      <c r="G2025" s="34"/>
      <c r="H2025" s="34"/>
      <c r="I2025" s="34"/>
      <c r="J2025" s="34"/>
      <c r="K2025" s="34"/>
      <c r="L2025" s="34"/>
      <c r="M2025" s="34"/>
      <c r="N2025" s="34"/>
      <c r="O2025" s="34"/>
      <c r="P2025" s="34"/>
      <c r="Q2025" s="34"/>
      <c r="R2025" s="34"/>
      <c r="S2025" s="34"/>
      <c r="T2025" s="34"/>
      <c r="U2025" s="34"/>
      <c r="V2025" s="34"/>
      <c r="W2025" s="34"/>
      <c r="X2025" s="34"/>
      <c r="Y2025" s="34"/>
      <c r="Z2025" s="34"/>
      <c r="AA2025" s="34"/>
      <c r="AB2025" s="34"/>
      <c r="AC2025" s="34"/>
      <c r="AD2025" s="34"/>
      <c r="AE2025" s="34"/>
      <c r="AF2025" s="34"/>
      <c r="AG2025" s="34"/>
      <c r="AH2025" s="34"/>
      <c r="AI2025" s="34"/>
      <c r="AJ2025" s="34"/>
      <c r="AK2025" s="34"/>
      <c r="AL2025" s="34"/>
      <c r="AM2025" s="34"/>
      <c r="AN2025" s="34"/>
      <c r="AO2025" s="34"/>
      <c r="AP2025" s="34"/>
      <c r="AQ2025" s="34"/>
      <c r="AR2025" s="34"/>
      <c r="AS2025" s="34"/>
      <c r="AT2025" s="34"/>
      <c r="AU2025" s="34"/>
      <c r="AV2025" s="34"/>
      <c r="AW2025" s="34"/>
    </row>
    <row r="2026" spans="1:49" s="32" customFormat="1" ht="15" x14ac:dyDescent="0.25">
      <c r="A2026" s="34"/>
      <c r="B2026" s="34"/>
      <c r="C2026" s="34"/>
      <c r="D2026" s="34"/>
      <c r="E2026" s="34"/>
      <c r="F2026" s="34"/>
      <c r="G2026" s="34"/>
      <c r="H2026" s="34"/>
      <c r="I2026" s="34"/>
      <c r="J2026" s="34"/>
      <c r="K2026" s="34"/>
      <c r="L2026" s="34"/>
      <c r="M2026" s="34"/>
      <c r="N2026" s="34"/>
      <c r="O2026" s="34"/>
      <c r="P2026" s="34"/>
      <c r="Q2026" s="34"/>
      <c r="R2026" s="34"/>
      <c r="S2026" s="34"/>
      <c r="T2026" s="34"/>
      <c r="U2026" s="34"/>
      <c r="V2026" s="34"/>
      <c r="W2026" s="34"/>
      <c r="X2026" s="34"/>
      <c r="Y2026" s="34"/>
      <c r="Z2026" s="34"/>
      <c r="AA2026" s="34"/>
      <c r="AB2026" s="34"/>
      <c r="AC2026" s="34"/>
      <c r="AD2026" s="34"/>
      <c r="AE2026" s="34"/>
      <c r="AF2026" s="34"/>
      <c r="AG2026" s="34"/>
      <c r="AH2026" s="34"/>
      <c r="AI2026" s="34"/>
      <c r="AJ2026" s="34"/>
      <c r="AK2026" s="34"/>
      <c r="AL2026" s="34"/>
      <c r="AM2026" s="34"/>
      <c r="AN2026" s="34"/>
      <c r="AO2026" s="34"/>
      <c r="AP2026" s="34"/>
      <c r="AQ2026" s="34"/>
      <c r="AR2026" s="34"/>
      <c r="AS2026" s="34"/>
      <c r="AT2026" s="34"/>
      <c r="AU2026" s="34"/>
      <c r="AV2026" s="34"/>
      <c r="AW2026" s="34"/>
    </row>
    <row r="2027" spans="1:49" s="32" customFormat="1" ht="15" x14ac:dyDescent="0.25">
      <c r="A2027" s="34"/>
      <c r="B2027" s="34"/>
      <c r="C2027" s="34"/>
      <c r="D2027" s="34"/>
      <c r="E2027" s="34"/>
      <c r="F2027" s="34"/>
      <c r="G2027" s="34"/>
      <c r="H2027" s="34"/>
      <c r="I2027" s="34"/>
      <c r="J2027" s="34"/>
      <c r="K2027" s="34"/>
      <c r="L2027" s="34"/>
      <c r="M2027" s="34"/>
      <c r="N2027" s="34"/>
      <c r="O2027" s="34"/>
      <c r="P2027" s="34"/>
      <c r="Q2027" s="34"/>
      <c r="R2027" s="34"/>
      <c r="S2027" s="34"/>
      <c r="T2027" s="34"/>
      <c r="U2027" s="34"/>
      <c r="V2027" s="34"/>
      <c r="W2027" s="34"/>
      <c r="X2027" s="34"/>
      <c r="Y2027" s="34"/>
      <c r="Z2027" s="34"/>
      <c r="AA2027" s="34"/>
      <c r="AB2027" s="34"/>
      <c r="AC2027" s="34"/>
      <c r="AD2027" s="34"/>
      <c r="AE2027" s="34"/>
      <c r="AF2027" s="34"/>
      <c r="AG2027" s="34"/>
      <c r="AH2027" s="34"/>
      <c r="AI2027" s="34"/>
      <c r="AJ2027" s="34"/>
      <c r="AK2027" s="34"/>
      <c r="AL2027" s="34"/>
      <c r="AM2027" s="34"/>
      <c r="AN2027" s="34"/>
      <c r="AO2027" s="34"/>
      <c r="AP2027" s="34"/>
      <c r="AQ2027" s="34"/>
      <c r="AR2027" s="34"/>
      <c r="AS2027" s="34"/>
      <c r="AT2027" s="34"/>
      <c r="AU2027" s="34"/>
      <c r="AV2027" s="34"/>
      <c r="AW2027" s="34"/>
    </row>
    <row r="2028" spans="1:49" s="32" customFormat="1" ht="15" x14ac:dyDescent="0.25">
      <c r="A2028" s="34"/>
      <c r="B2028" s="34"/>
      <c r="C2028" s="34"/>
      <c r="D2028" s="34"/>
      <c r="E2028" s="34"/>
      <c r="F2028" s="34"/>
      <c r="G2028" s="34"/>
      <c r="H2028" s="34"/>
      <c r="I2028" s="34"/>
      <c r="J2028" s="34"/>
      <c r="K2028" s="34"/>
      <c r="L2028" s="34"/>
      <c r="M2028" s="34"/>
      <c r="N2028" s="34"/>
      <c r="O2028" s="34"/>
      <c r="P2028" s="34"/>
      <c r="Q2028" s="34"/>
      <c r="R2028" s="34"/>
      <c r="S2028" s="34"/>
      <c r="T2028" s="34"/>
      <c r="U2028" s="34"/>
      <c r="V2028" s="34"/>
      <c r="W2028" s="34"/>
      <c r="X2028" s="34"/>
      <c r="Y2028" s="34"/>
      <c r="Z2028" s="34"/>
      <c r="AA2028" s="34"/>
      <c r="AB2028" s="34"/>
      <c r="AC2028" s="34"/>
      <c r="AD2028" s="34"/>
      <c r="AE2028" s="34"/>
      <c r="AF2028" s="34"/>
      <c r="AG2028" s="34"/>
      <c r="AH2028" s="34"/>
      <c r="AI2028" s="34"/>
      <c r="AJ2028" s="34"/>
      <c r="AK2028" s="34"/>
      <c r="AL2028" s="34"/>
      <c r="AM2028" s="34"/>
      <c r="AN2028" s="34"/>
      <c r="AO2028" s="34"/>
      <c r="AP2028" s="34"/>
      <c r="AQ2028" s="34"/>
      <c r="AR2028" s="34"/>
      <c r="AS2028" s="34"/>
      <c r="AT2028" s="34"/>
      <c r="AU2028" s="34"/>
      <c r="AV2028" s="34"/>
      <c r="AW2028" s="34"/>
    </row>
    <row r="2029" spans="1:49" s="32" customFormat="1" ht="15" x14ac:dyDescent="0.25">
      <c r="A2029" s="34"/>
      <c r="B2029" s="34"/>
      <c r="C2029" s="34"/>
      <c r="D2029" s="34"/>
      <c r="E2029" s="34"/>
      <c r="F2029" s="34"/>
      <c r="G2029" s="34"/>
      <c r="H2029" s="34"/>
      <c r="I2029" s="34"/>
      <c r="J2029" s="34"/>
      <c r="K2029" s="34"/>
      <c r="L2029" s="34"/>
      <c r="M2029" s="34"/>
      <c r="N2029" s="34"/>
      <c r="O2029" s="34"/>
      <c r="P2029" s="34"/>
      <c r="Q2029" s="34"/>
      <c r="R2029" s="34"/>
      <c r="S2029" s="34"/>
      <c r="T2029" s="34"/>
      <c r="U2029" s="34"/>
      <c r="V2029" s="34"/>
      <c r="W2029" s="34"/>
      <c r="X2029" s="34"/>
      <c r="Y2029" s="34"/>
      <c r="Z2029" s="34"/>
      <c r="AA2029" s="34"/>
      <c r="AB2029" s="34"/>
      <c r="AC2029" s="34"/>
      <c r="AD2029" s="34"/>
      <c r="AE2029" s="34"/>
      <c r="AF2029" s="34"/>
      <c r="AG2029" s="34"/>
      <c r="AH2029" s="34"/>
      <c r="AI2029" s="34"/>
      <c r="AJ2029" s="34"/>
      <c r="AK2029" s="34"/>
      <c r="AL2029" s="34"/>
      <c r="AM2029" s="34"/>
      <c r="AN2029" s="34"/>
      <c r="AO2029" s="34"/>
      <c r="AP2029" s="34"/>
      <c r="AQ2029" s="34"/>
      <c r="AR2029" s="34"/>
      <c r="AS2029" s="34"/>
      <c r="AT2029" s="34"/>
      <c r="AU2029" s="34"/>
      <c r="AV2029" s="34"/>
      <c r="AW2029" s="34"/>
    </row>
    <row r="2030" spans="1:49" s="32" customFormat="1" ht="15" x14ac:dyDescent="0.25">
      <c r="A2030" s="34"/>
      <c r="B2030" s="34"/>
      <c r="C2030" s="34"/>
      <c r="D2030" s="34"/>
      <c r="E2030" s="34"/>
      <c r="F2030" s="34"/>
      <c r="G2030" s="34"/>
      <c r="H2030" s="34"/>
      <c r="I2030" s="34"/>
      <c r="J2030" s="34"/>
      <c r="K2030" s="34"/>
      <c r="L2030" s="34"/>
      <c r="M2030" s="34"/>
      <c r="N2030" s="34"/>
      <c r="O2030" s="34"/>
      <c r="P2030" s="34"/>
      <c r="Q2030" s="34"/>
      <c r="R2030" s="34"/>
      <c r="S2030" s="34"/>
      <c r="T2030" s="34"/>
      <c r="U2030" s="34"/>
      <c r="V2030" s="34"/>
      <c r="W2030" s="34"/>
      <c r="X2030" s="34"/>
      <c r="Y2030" s="34"/>
      <c r="Z2030" s="34"/>
      <c r="AA2030" s="34"/>
      <c r="AB2030" s="34"/>
      <c r="AC2030" s="34"/>
      <c r="AD2030" s="34"/>
      <c r="AE2030" s="34"/>
      <c r="AF2030" s="34"/>
      <c r="AG2030" s="34"/>
      <c r="AH2030" s="34"/>
      <c r="AI2030" s="34"/>
      <c r="AJ2030" s="34"/>
      <c r="AK2030" s="34"/>
      <c r="AL2030" s="34"/>
      <c r="AM2030" s="34"/>
      <c r="AN2030" s="34"/>
      <c r="AO2030" s="34"/>
      <c r="AP2030" s="34"/>
      <c r="AQ2030" s="34"/>
      <c r="AR2030" s="34"/>
      <c r="AS2030" s="34"/>
      <c r="AT2030" s="34"/>
      <c r="AU2030" s="34"/>
      <c r="AV2030" s="34"/>
      <c r="AW2030" s="34"/>
    </row>
    <row r="2031" spans="1:49" s="32" customFormat="1" ht="15" x14ac:dyDescent="0.25">
      <c r="A2031" s="34"/>
      <c r="B2031" s="34"/>
      <c r="C2031" s="34"/>
      <c r="D2031" s="34"/>
      <c r="E2031" s="34"/>
      <c r="F2031" s="34"/>
      <c r="G2031" s="34"/>
      <c r="H2031" s="34"/>
      <c r="I2031" s="34"/>
      <c r="J2031" s="34"/>
      <c r="K2031" s="34"/>
      <c r="L2031" s="34"/>
      <c r="M2031" s="34"/>
      <c r="N2031" s="34"/>
      <c r="O2031" s="34"/>
      <c r="P2031" s="34"/>
      <c r="Q2031" s="34"/>
      <c r="R2031" s="34"/>
      <c r="S2031" s="34"/>
      <c r="T2031" s="34"/>
      <c r="U2031" s="34"/>
      <c r="V2031" s="34"/>
      <c r="W2031" s="34"/>
      <c r="X2031" s="34"/>
      <c r="Y2031" s="34"/>
      <c r="Z2031" s="34"/>
      <c r="AA2031" s="34"/>
      <c r="AB2031" s="34"/>
      <c r="AC2031" s="34"/>
      <c r="AD2031" s="34"/>
      <c r="AE2031" s="34"/>
      <c r="AF2031" s="34"/>
      <c r="AG2031" s="34"/>
      <c r="AH2031" s="34"/>
      <c r="AI2031" s="34"/>
      <c r="AJ2031" s="34"/>
      <c r="AK2031" s="34"/>
      <c r="AL2031" s="34"/>
      <c r="AM2031" s="34"/>
      <c r="AN2031" s="34"/>
      <c r="AO2031" s="34"/>
      <c r="AP2031" s="34"/>
      <c r="AQ2031" s="34"/>
      <c r="AR2031" s="34"/>
      <c r="AS2031" s="34"/>
      <c r="AT2031" s="34"/>
      <c r="AU2031" s="34"/>
      <c r="AV2031" s="34"/>
      <c r="AW2031" s="34"/>
    </row>
    <row r="2032" spans="1:49" s="32" customFormat="1" ht="15" x14ac:dyDescent="0.25">
      <c r="A2032" s="34"/>
      <c r="B2032" s="34"/>
      <c r="C2032" s="34"/>
      <c r="D2032" s="34"/>
      <c r="E2032" s="34"/>
      <c r="F2032" s="34"/>
      <c r="G2032" s="34"/>
      <c r="H2032" s="34"/>
      <c r="I2032" s="34"/>
      <c r="J2032" s="34"/>
      <c r="K2032" s="34"/>
      <c r="L2032" s="34"/>
      <c r="M2032" s="34"/>
      <c r="N2032" s="34"/>
      <c r="O2032" s="34"/>
      <c r="P2032" s="34"/>
      <c r="Q2032" s="34"/>
      <c r="R2032" s="34"/>
      <c r="S2032" s="34"/>
      <c r="T2032" s="34"/>
      <c r="U2032" s="34"/>
      <c r="V2032" s="34"/>
      <c r="W2032" s="34"/>
      <c r="X2032" s="34"/>
      <c r="Y2032" s="34"/>
      <c r="Z2032" s="34"/>
      <c r="AA2032" s="34"/>
      <c r="AB2032" s="34"/>
      <c r="AC2032" s="34"/>
      <c r="AD2032" s="34"/>
      <c r="AE2032" s="34"/>
      <c r="AF2032" s="34"/>
      <c r="AG2032" s="34"/>
      <c r="AH2032" s="34"/>
      <c r="AI2032" s="34"/>
      <c r="AJ2032" s="34"/>
      <c r="AK2032" s="34"/>
      <c r="AL2032" s="34"/>
      <c r="AM2032" s="34"/>
      <c r="AN2032" s="34"/>
      <c r="AO2032" s="34"/>
      <c r="AP2032" s="34"/>
      <c r="AQ2032" s="34"/>
      <c r="AR2032" s="34"/>
      <c r="AS2032" s="34"/>
      <c r="AT2032" s="34"/>
      <c r="AU2032" s="34"/>
      <c r="AV2032" s="34"/>
      <c r="AW2032" s="34"/>
    </row>
    <row r="2397" spans="1:49" s="32" customFormat="1" ht="15" x14ac:dyDescent="0.25">
      <c r="A2397" s="34"/>
      <c r="B2397" s="34"/>
      <c r="C2397" s="34"/>
      <c r="D2397" s="34"/>
      <c r="E2397" s="34"/>
      <c r="F2397" s="34"/>
      <c r="G2397" s="34"/>
      <c r="H2397" s="34"/>
      <c r="I2397" s="34"/>
      <c r="J2397" s="34"/>
      <c r="K2397" s="34"/>
      <c r="L2397" s="34"/>
      <c r="M2397" s="34"/>
      <c r="N2397" s="34"/>
      <c r="O2397" s="34"/>
      <c r="P2397" s="34"/>
      <c r="Q2397" s="34"/>
      <c r="R2397" s="34"/>
      <c r="S2397" s="34"/>
      <c r="T2397" s="34"/>
      <c r="U2397" s="34"/>
      <c r="V2397" s="34"/>
      <c r="W2397" s="34"/>
      <c r="X2397" s="34"/>
      <c r="Y2397" s="34"/>
      <c r="Z2397" s="34"/>
      <c r="AA2397" s="34"/>
      <c r="AB2397" s="34"/>
      <c r="AC2397" s="34"/>
      <c r="AD2397" s="34"/>
      <c r="AE2397" s="34"/>
      <c r="AF2397" s="34"/>
      <c r="AG2397" s="34"/>
      <c r="AH2397" s="34"/>
      <c r="AI2397" s="34"/>
      <c r="AJ2397" s="34"/>
      <c r="AK2397" s="34"/>
      <c r="AL2397" s="34"/>
      <c r="AM2397" s="34"/>
      <c r="AN2397" s="34"/>
      <c r="AO2397" s="34"/>
      <c r="AP2397" s="34"/>
      <c r="AQ2397" s="34"/>
      <c r="AR2397" s="34"/>
      <c r="AS2397" s="34"/>
      <c r="AT2397" s="34"/>
      <c r="AU2397" s="34"/>
      <c r="AV2397" s="34"/>
      <c r="AW2397" s="34"/>
    </row>
    <row r="2398" spans="1:49" s="32" customFormat="1" ht="15" x14ac:dyDescent="0.25">
      <c r="A2398" s="34"/>
      <c r="B2398" s="34"/>
      <c r="C2398" s="34"/>
      <c r="D2398" s="34"/>
      <c r="E2398" s="34"/>
      <c r="F2398" s="34"/>
      <c r="G2398" s="34"/>
      <c r="H2398" s="34"/>
      <c r="I2398" s="34"/>
      <c r="J2398" s="34"/>
      <c r="K2398" s="34"/>
      <c r="L2398" s="34"/>
      <c r="M2398" s="34"/>
      <c r="N2398" s="34"/>
      <c r="O2398" s="34"/>
      <c r="P2398" s="34"/>
      <c r="Q2398" s="34"/>
      <c r="R2398" s="34"/>
      <c r="S2398" s="34"/>
      <c r="T2398" s="34"/>
      <c r="U2398" s="34"/>
      <c r="V2398" s="34"/>
      <c r="W2398" s="34"/>
      <c r="X2398" s="34"/>
      <c r="Y2398" s="34"/>
      <c r="Z2398" s="34"/>
      <c r="AA2398" s="34"/>
      <c r="AB2398" s="34"/>
      <c r="AC2398" s="34"/>
      <c r="AD2398" s="34"/>
      <c r="AE2398" s="34"/>
      <c r="AF2398" s="34"/>
      <c r="AG2398" s="34"/>
      <c r="AH2398" s="34"/>
      <c r="AI2398" s="34"/>
      <c r="AJ2398" s="34"/>
      <c r="AK2398" s="34"/>
      <c r="AL2398" s="34"/>
      <c r="AM2398" s="34"/>
      <c r="AN2398" s="34"/>
      <c r="AO2398" s="34"/>
      <c r="AP2398" s="34"/>
      <c r="AQ2398" s="34"/>
      <c r="AR2398" s="34"/>
      <c r="AS2398" s="34"/>
      <c r="AT2398" s="34"/>
      <c r="AU2398" s="34"/>
      <c r="AV2398" s="34"/>
      <c r="AW2398" s="34"/>
    </row>
    <row r="2399" spans="1:49" s="32" customFormat="1" ht="15" x14ac:dyDescent="0.25">
      <c r="A2399" s="34"/>
      <c r="B2399" s="34"/>
      <c r="C2399" s="34"/>
      <c r="D2399" s="34"/>
      <c r="E2399" s="34"/>
      <c r="F2399" s="34"/>
      <c r="G2399" s="34"/>
      <c r="H2399" s="34"/>
      <c r="I2399" s="34"/>
      <c r="J2399" s="34"/>
      <c r="K2399" s="34"/>
      <c r="L2399" s="34"/>
      <c r="M2399" s="34"/>
      <c r="N2399" s="34"/>
      <c r="O2399" s="34"/>
      <c r="P2399" s="34"/>
      <c r="Q2399" s="34"/>
      <c r="R2399" s="34"/>
      <c r="S2399" s="34"/>
      <c r="T2399" s="34"/>
      <c r="U2399" s="34"/>
      <c r="V2399" s="34"/>
      <c r="W2399" s="34"/>
      <c r="X2399" s="34"/>
      <c r="Y2399" s="34"/>
      <c r="Z2399" s="34"/>
      <c r="AA2399" s="34"/>
      <c r="AB2399" s="34"/>
      <c r="AC2399" s="34"/>
      <c r="AD2399" s="34"/>
      <c r="AE2399" s="34"/>
      <c r="AF2399" s="34"/>
      <c r="AG2399" s="34"/>
      <c r="AH2399" s="34"/>
      <c r="AI2399" s="34"/>
      <c r="AJ2399" s="34"/>
      <c r="AK2399" s="34"/>
      <c r="AL2399" s="34"/>
      <c r="AM2399" s="34"/>
      <c r="AN2399" s="34"/>
      <c r="AO2399" s="34"/>
      <c r="AP2399" s="34"/>
      <c r="AQ2399" s="34"/>
      <c r="AR2399" s="34"/>
      <c r="AS2399" s="34"/>
      <c r="AT2399" s="34"/>
      <c r="AU2399" s="34"/>
      <c r="AV2399" s="34"/>
      <c r="AW2399" s="34"/>
    </row>
    <row r="2400" spans="1:49" s="32" customFormat="1" ht="15" x14ac:dyDescent="0.25">
      <c r="A2400" s="34"/>
      <c r="B2400" s="34"/>
      <c r="C2400" s="34"/>
      <c r="D2400" s="34"/>
      <c r="E2400" s="34"/>
      <c r="F2400" s="34"/>
      <c r="G2400" s="34"/>
      <c r="H2400" s="34"/>
      <c r="I2400" s="34"/>
      <c r="J2400" s="34"/>
      <c r="K2400" s="34"/>
      <c r="L2400" s="34"/>
      <c r="M2400" s="34"/>
      <c r="N2400" s="34"/>
      <c r="O2400" s="34"/>
      <c r="P2400" s="34"/>
      <c r="Q2400" s="34"/>
      <c r="R2400" s="34"/>
      <c r="S2400" s="34"/>
      <c r="T2400" s="34"/>
      <c r="U2400" s="34"/>
      <c r="V2400" s="34"/>
      <c r="W2400" s="34"/>
      <c r="X2400" s="34"/>
      <c r="Y2400" s="34"/>
      <c r="Z2400" s="34"/>
      <c r="AA2400" s="34"/>
      <c r="AB2400" s="34"/>
      <c r="AC2400" s="34"/>
      <c r="AD2400" s="34"/>
      <c r="AE2400" s="34"/>
      <c r="AF2400" s="34"/>
      <c r="AG2400" s="34"/>
      <c r="AH2400" s="34"/>
      <c r="AI2400" s="34"/>
      <c r="AJ2400" s="34"/>
      <c r="AK2400" s="34"/>
      <c r="AL2400" s="34"/>
      <c r="AM2400" s="34"/>
      <c r="AN2400" s="34"/>
      <c r="AO2400" s="34"/>
      <c r="AP2400" s="34"/>
      <c r="AQ2400" s="34"/>
      <c r="AR2400" s="34"/>
      <c r="AS2400" s="34"/>
      <c r="AT2400" s="34"/>
      <c r="AU2400" s="34"/>
      <c r="AV2400" s="34"/>
      <c r="AW2400" s="34"/>
    </row>
    <row r="2401" spans="1:49" s="32" customFormat="1" ht="15" x14ac:dyDescent="0.25">
      <c r="A2401" s="34"/>
      <c r="B2401" s="34"/>
      <c r="C2401" s="34"/>
      <c r="D2401" s="34"/>
      <c r="E2401" s="34"/>
      <c r="F2401" s="34"/>
      <c r="G2401" s="34"/>
      <c r="H2401" s="34"/>
      <c r="I2401" s="34"/>
      <c r="J2401" s="34"/>
      <c r="K2401" s="34"/>
      <c r="L2401" s="34"/>
      <c r="M2401" s="34"/>
      <c r="N2401" s="34"/>
      <c r="O2401" s="34"/>
      <c r="P2401" s="34"/>
      <c r="Q2401" s="34"/>
      <c r="R2401" s="34"/>
      <c r="S2401" s="34"/>
      <c r="T2401" s="34"/>
      <c r="U2401" s="34"/>
      <c r="V2401" s="34"/>
      <c r="W2401" s="34"/>
      <c r="X2401" s="34"/>
      <c r="Y2401" s="34"/>
      <c r="Z2401" s="34"/>
      <c r="AA2401" s="34"/>
      <c r="AB2401" s="34"/>
      <c r="AC2401" s="34"/>
      <c r="AD2401" s="34"/>
      <c r="AE2401" s="34"/>
      <c r="AF2401" s="34"/>
      <c r="AG2401" s="34"/>
      <c r="AH2401" s="34"/>
      <c r="AI2401" s="34"/>
      <c r="AJ2401" s="34"/>
      <c r="AK2401" s="34"/>
      <c r="AL2401" s="34"/>
      <c r="AM2401" s="34"/>
      <c r="AN2401" s="34"/>
      <c r="AO2401" s="34"/>
      <c r="AP2401" s="34"/>
      <c r="AQ2401" s="34"/>
      <c r="AR2401" s="34"/>
      <c r="AS2401" s="34"/>
      <c r="AT2401" s="34"/>
      <c r="AU2401" s="34"/>
      <c r="AV2401" s="34"/>
      <c r="AW2401" s="34"/>
    </row>
    <row r="2402" spans="1:49" s="32" customFormat="1" ht="15" x14ac:dyDescent="0.25">
      <c r="A2402" s="34"/>
      <c r="B2402" s="34"/>
      <c r="C2402" s="34"/>
      <c r="D2402" s="34"/>
      <c r="E2402" s="34"/>
      <c r="F2402" s="34"/>
      <c r="G2402" s="34"/>
      <c r="H2402" s="34"/>
      <c r="I2402" s="34"/>
      <c r="J2402" s="34"/>
      <c r="K2402" s="34"/>
      <c r="L2402" s="34"/>
      <c r="M2402" s="34"/>
      <c r="N2402" s="34"/>
      <c r="O2402" s="34"/>
      <c r="P2402" s="34"/>
      <c r="Q2402" s="34"/>
      <c r="R2402" s="34"/>
      <c r="S2402" s="34"/>
      <c r="T2402" s="34"/>
      <c r="U2402" s="34"/>
      <c r="V2402" s="34"/>
      <c r="W2402" s="34"/>
      <c r="X2402" s="34"/>
      <c r="Y2402" s="34"/>
      <c r="Z2402" s="34"/>
      <c r="AA2402" s="34"/>
      <c r="AB2402" s="34"/>
      <c r="AC2402" s="34"/>
      <c r="AD2402" s="34"/>
      <c r="AE2402" s="34"/>
      <c r="AF2402" s="34"/>
      <c r="AG2402" s="34"/>
      <c r="AH2402" s="34"/>
      <c r="AI2402" s="34"/>
      <c r="AJ2402" s="34"/>
      <c r="AK2402" s="34"/>
      <c r="AL2402" s="34"/>
      <c r="AM2402" s="34"/>
      <c r="AN2402" s="34"/>
      <c r="AO2402" s="34"/>
      <c r="AP2402" s="34"/>
      <c r="AQ2402" s="34"/>
      <c r="AR2402" s="34"/>
      <c r="AS2402" s="34"/>
      <c r="AT2402" s="34"/>
      <c r="AU2402" s="34"/>
      <c r="AV2402" s="34"/>
      <c r="AW2402" s="34"/>
    </row>
    <row r="2403" spans="1:49" s="32" customFormat="1" ht="15" x14ac:dyDescent="0.25">
      <c r="A2403" s="34"/>
      <c r="B2403" s="34"/>
      <c r="C2403" s="34"/>
      <c r="D2403" s="34"/>
      <c r="E2403" s="34"/>
      <c r="F2403" s="34"/>
      <c r="G2403" s="34"/>
      <c r="H2403" s="34"/>
      <c r="I2403" s="34"/>
      <c r="J2403" s="34"/>
      <c r="K2403" s="34"/>
      <c r="L2403" s="34"/>
      <c r="M2403" s="34"/>
      <c r="N2403" s="34"/>
      <c r="O2403" s="34"/>
      <c r="P2403" s="34"/>
      <c r="Q2403" s="34"/>
      <c r="R2403" s="34"/>
      <c r="S2403" s="34"/>
      <c r="T2403" s="34"/>
      <c r="U2403" s="34"/>
      <c r="V2403" s="34"/>
      <c r="W2403" s="34"/>
      <c r="X2403" s="34"/>
      <c r="Y2403" s="34"/>
      <c r="Z2403" s="34"/>
      <c r="AA2403" s="34"/>
      <c r="AB2403" s="34"/>
      <c r="AC2403" s="34"/>
      <c r="AD2403" s="34"/>
      <c r="AE2403" s="34"/>
      <c r="AF2403" s="34"/>
      <c r="AG2403" s="34"/>
      <c r="AH2403" s="34"/>
      <c r="AI2403" s="34"/>
      <c r="AJ2403" s="34"/>
      <c r="AK2403" s="34"/>
      <c r="AL2403" s="34"/>
      <c r="AM2403" s="34"/>
      <c r="AN2403" s="34"/>
      <c r="AO2403" s="34"/>
      <c r="AP2403" s="34"/>
      <c r="AQ2403" s="34"/>
      <c r="AR2403" s="34"/>
      <c r="AS2403" s="34"/>
      <c r="AT2403" s="34"/>
      <c r="AU2403" s="34"/>
      <c r="AV2403" s="34"/>
      <c r="AW2403" s="34"/>
    </row>
    <row r="2404" spans="1:49" s="32" customFormat="1" ht="15" x14ac:dyDescent="0.25">
      <c r="A2404" s="34"/>
      <c r="B2404" s="34"/>
      <c r="C2404" s="34"/>
      <c r="D2404" s="34"/>
      <c r="E2404" s="34"/>
      <c r="F2404" s="34"/>
      <c r="G2404" s="34"/>
      <c r="H2404" s="34"/>
      <c r="I2404" s="34"/>
      <c r="J2404" s="34"/>
      <c r="K2404" s="34"/>
      <c r="L2404" s="34"/>
      <c r="M2404" s="34"/>
      <c r="N2404" s="34"/>
      <c r="O2404" s="34"/>
      <c r="P2404" s="34"/>
      <c r="Q2404" s="34"/>
      <c r="R2404" s="34"/>
      <c r="S2404" s="34"/>
      <c r="T2404" s="34"/>
      <c r="U2404" s="34"/>
      <c r="V2404" s="34"/>
      <c r="W2404" s="34"/>
      <c r="X2404" s="34"/>
      <c r="Y2404" s="34"/>
      <c r="Z2404" s="34"/>
      <c r="AA2404" s="34"/>
      <c r="AB2404" s="34"/>
      <c r="AC2404" s="34"/>
      <c r="AD2404" s="34"/>
      <c r="AE2404" s="34"/>
      <c r="AF2404" s="34"/>
      <c r="AG2404" s="34"/>
      <c r="AH2404" s="34"/>
      <c r="AI2404" s="34"/>
      <c r="AJ2404" s="34"/>
      <c r="AK2404" s="34"/>
      <c r="AL2404" s="34"/>
      <c r="AM2404" s="34"/>
      <c r="AN2404" s="34"/>
      <c r="AO2404" s="34"/>
      <c r="AP2404" s="34"/>
      <c r="AQ2404" s="34"/>
      <c r="AR2404" s="34"/>
      <c r="AS2404" s="34"/>
      <c r="AT2404" s="34"/>
      <c r="AU2404" s="34"/>
      <c r="AV2404" s="34"/>
      <c r="AW2404" s="34"/>
    </row>
    <row r="2405" spans="1:49" s="32" customFormat="1" ht="15" x14ac:dyDescent="0.25">
      <c r="A2405" s="34"/>
      <c r="B2405" s="34"/>
      <c r="C2405" s="34"/>
      <c r="D2405" s="34"/>
      <c r="E2405" s="34"/>
      <c r="F2405" s="34"/>
      <c r="G2405" s="34"/>
      <c r="H2405" s="34"/>
      <c r="I2405" s="34"/>
      <c r="J2405" s="34"/>
      <c r="K2405" s="34"/>
      <c r="L2405" s="34"/>
      <c r="M2405" s="34"/>
      <c r="N2405" s="34"/>
      <c r="O2405" s="34"/>
      <c r="P2405" s="34"/>
      <c r="Q2405" s="34"/>
      <c r="R2405" s="34"/>
      <c r="S2405" s="34"/>
      <c r="T2405" s="34"/>
      <c r="U2405" s="34"/>
      <c r="V2405" s="34"/>
      <c r="W2405" s="34"/>
      <c r="X2405" s="34"/>
      <c r="Y2405" s="34"/>
      <c r="Z2405" s="34"/>
      <c r="AA2405" s="34"/>
      <c r="AB2405" s="34"/>
      <c r="AC2405" s="34"/>
      <c r="AD2405" s="34"/>
      <c r="AE2405" s="34"/>
      <c r="AF2405" s="34"/>
      <c r="AG2405" s="34"/>
      <c r="AH2405" s="34"/>
      <c r="AI2405" s="34"/>
      <c r="AJ2405" s="34"/>
      <c r="AK2405" s="34"/>
      <c r="AL2405" s="34"/>
      <c r="AM2405" s="34"/>
      <c r="AN2405" s="34"/>
      <c r="AO2405" s="34"/>
      <c r="AP2405" s="34"/>
      <c r="AQ2405" s="34"/>
      <c r="AR2405" s="34"/>
      <c r="AS2405" s="34"/>
      <c r="AT2405" s="34"/>
      <c r="AU2405" s="34"/>
      <c r="AV2405" s="34"/>
      <c r="AW2405" s="34"/>
    </row>
    <row r="2406" spans="1:49" s="32" customFormat="1" ht="15" x14ac:dyDescent="0.25">
      <c r="A2406" s="34"/>
      <c r="B2406" s="34"/>
      <c r="C2406" s="34"/>
      <c r="D2406" s="34"/>
      <c r="E2406" s="34"/>
      <c r="F2406" s="34"/>
      <c r="G2406" s="34"/>
      <c r="H2406" s="34"/>
      <c r="I2406" s="34"/>
      <c r="J2406" s="34"/>
      <c r="K2406" s="34"/>
      <c r="L2406" s="34"/>
      <c r="M2406" s="34"/>
      <c r="N2406" s="34"/>
      <c r="O2406" s="34"/>
      <c r="P2406" s="34"/>
      <c r="Q2406" s="34"/>
      <c r="R2406" s="34"/>
      <c r="S2406" s="34"/>
      <c r="T2406" s="34"/>
      <c r="U2406" s="34"/>
      <c r="V2406" s="34"/>
      <c r="W2406" s="34"/>
      <c r="X2406" s="34"/>
      <c r="Y2406" s="34"/>
      <c r="Z2406" s="34"/>
      <c r="AA2406" s="34"/>
      <c r="AB2406" s="34"/>
      <c r="AC2406" s="34"/>
      <c r="AD2406" s="34"/>
      <c r="AE2406" s="34"/>
      <c r="AF2406" s="34"/>
      <c r="AG2406" s="34"/>
      <c r="AH2406" s="34"/>
      <c r="AI2406" s="34"/>
      <c r="AJ2406" s="34"/>
      <c r="AK2406" s="34"/>
      <c r="AL2406" s="34"/>
      <c r="AM2406" s="34"/>
      <c r="AN2406" s="34"/>
      <c r="AO2406" s="34"/>
      <c r="AP2406" s="34"/>
      <c r="AQ2406" s="34"/>
      <c r="AR2406" s="34"/>
      <c r="AS2406" s="34"/>
      <c r="AT2406" s="34"/>
      <c r="AU2406" s="34"/>
      <c r="AV2406" s="34"/>
      <c r="AW2406" s="34"/>
    </row>
    <row r="2407" spans="1:49" s="32" customFormat="1" ht="15" x14ac:dyDescent="0.25">
      <c r="A2407" s="34"/>
      <c r="B2407" s="34"/>
      <c r="C2407" s="34"/>
      <c r="D2407" s="34"/>
      <c r="E2407" s="34"/>
      <c r="F2407" s="34"/>
      <c r="G2407" s="34"/>
      <c r="H2407" s="34"/>
      <c r="I2407" s="34"/>
      <c r="J2407" s="34"/>
      <c r="K2407" s="34"/>
      <c r="L2407" s="34"/>
      <c r="M2407" s="34"/>
      <c r="N2407" s="34"/>
      <c r="O2407" s="34"/>
      <c r="P2407" s="34"/>
      <c r="Q2407" s="34"/>
      <c r="R2407" s="34"/>
      <c r="S2407" s="34"/>
      <c r="T2407" s="34"/>
      <c r="U2407" s="34"/>
      <c r="V2407" s="34"/>
      <c r="W2407" s="34"/>
      <c r="X2407" s="34"/>
      <c r="Y2407" s="34"/>
      <c r="Z2407" s="34"/>
      <c r="AA2407" s="34"/>
      <c r="AB2407" s="34"/>
      <c r="AC2407" s="34"/>
      <c r="AD2407" s="34"/>
      <c r="AE2407" s="34"/>
      <c r="AF2407" s="34"/>
      <c r="AG2407" s="34"/>
      <c r="AH2407" s="34"/>
      <c r="AI2407" s="34"/>
      <c r="AJ2407" s="34"/>
      <c r="AK2407" s="34"/>
      <c r="AL2407" s="34"/>
      <c r="AM2407" s="34"/>
      <c r="AN2407" s="34"/>
      <c r="AO2407" s="34"/>
      <c r="AP2407" s="34"/>
      <c r="AQ2407" s="34"/>
      <c r="AR2407" s="34"/>
      <c r="AS2407" s="34"/>
      <c r="AT2407" s="34"/>
      <c r="AU2407" s="34"/>
      <c r="AV2407" s="34"/>
      <c r="AW2407" s="34"/>
    </row>
    <row r="2408" spans="1:49" s="32" customFormat="1" ht="15" x14ac:dyDescent="0.25">
      <c r="A2408" s="34"/>
      <c r="B2408" s="34"/>
      <c r="C2408" s="34"/>
      <c r="D2408" s="34"/>
      <c r="E2408" s="34"/>
      <c r="F2408" s="34"/>
      <c r="G2408" s="34"/>
      <c r="H2408" s="34"/>
      <c r="I2408" s="34"/>
      <c r="J2408" s="34"/>
      <c r="K2408" s="34"/>
      <c r="L2408" s="34"/>
      <c r="M2408" s="34"/>
      <c r="N2408" s="34"/>
      <c r="O2408" s="34"/>
      <c r="P2408" s="34"/>
      <c r="Q2408" s="34"/>
      <c r="R2408" s="34"/>
      <c r="S2408" s="34"/>
      <c r="T2408" s="34"/>
      <c r="U2408" s="34"/>
      <c r="V2408" s="34"/>
      <c r="W2408" s="34"/>
      <c r="X2408" s="34"/>
      <c r="Y2408" s="34"/>
      <c r="Z2408" s="34"/>
      <c r="AA2408" s="34"/>
      <c r="AB2408" s="34"/>
      <c r="AC2408" s="34"/>
      <c r="AD2408" s="34"/>
      <c r="AE2408" s="34"/>
      <c r="AF2408" s="34"/>
      <c r="AG2408" s="34"/>
      <c r="AH2408" s="34"/>
      <c r="AI2408" s="34"/>
      <c r="AJ2408" s="34"/>
      <c r="AK2408" s="34"/>
      <c r="AL2408" s="34"/>
      <c r="AM2408" s="34"/>
      <c r="AN2408" s="34"/>
      <c r="AO2408" s="34"/>
      <c r="AP2408" s="34"/>
      <c r="AQ2408" s="34"/>
      <c r="AR2408" s="34"/>
      <c r="AS2408" s="34"/>
      <c r="AT2408" s="34"/>
      <c r="AU2408" s="34"/>
      <c r="AV2408" s="34"/>
      <c r="AW2408" s="34"/>
    </row>
    <row r="2409" spans="1:49" s="32" customFormat="1" ht="15" x14ac:dyDescent="0.25">
      <c r="A2409" s="34"/>
      <c r="B2409" s="34"/>
      <c r="C2409" s="34"/>
      <c r="D2409" s="34"/>
      <c r="E2409" s="34"/>
      <c r="F2409" s="34"/>
      <c r="G2409" s="34"/>
      <c r="H2409" s="34"/>
      <c r="I2409" s="34"/>
      <c r="J2409" s="34"/>
      <c r="K2409" s="34"/>
      <c r="L2409" s="34"/>
      <c r="M2409" s="34"/>
      <c r="N2409" s="34"/>
      <c r="O2409" s="34"/>
      <c r="P2409" s="34"/>
      <c r="Q2409" s="34"/>
      <c r="R2409" s="34"/>
      <c r="S2409" s="34"/>
      <c r="T2409" s="34"/>
      <c r="U2409" s="34"/>
      <c r="V2409" s="34"/>
      <c r="W2409" s="34"/>
      <c r="X2409" s="34"/>
      <c r="Y2409" s="34"/>
      <c r="Z2409" s="34"/>
      <c r="AA2409" s="34"/>
      <c r="AB2409" s="34"/>
      <c r="AC2409" s="34"/>
      <c r="AD2409" s="34"/>
      <c r="AE2409" s="34"/>
      <c r="AF2409" s="34"/>
      <c r="AG2409" s="34"/>
      <c r="AH2409" s="34"/>
      <c r="AI2409" s="34"/>
      <c r="AJ2409" s="34"/>
      <c r="AK2409" s="34"/>
      <c r="AL2409" s="34"/>
      <c r="AM2409" s="34"/>
      <c r="AN2409" s="34"/>
      <c r="AO2409" s="34"/>
      <c r="AP2409" s="34"/>
      <c r="AQ2409" s="34"/>
      <c r="AR2409" s="34"/>
      <c r="AS2409" s="34"/>
      <c r="AT2409" s="34"/>
      <c r="AU2409" s="34"/>
      <c r="AV2409" s="34"/>
      <c r="AW2409" s="34"/>
    </row>
    <row r="2410" spans="1:49" s="32" customFormat="1" ht="15" x14ac:dyDescent="0.25">
      <c r="A2410" s="34"/>
      <c r="B2410" s="34"/>
      <c r="C2410" s="34"/>
      <c r="D2410" s="34"/>
      <c r="E2410" s="34"/>
      <c r="F2410" s="34"/>
      <c r="G2410" s="34"/>
      <c r="H2410" s="34"/>
      <c r="I2410" s="34"/>
      <c r="J2410" s="34"/>
      <c r="K2410" s="34"/>
      <c r="L2410" s="34"/>
      <c r="M2410" s="34"/>
      <c r="N2410" s="34"/>
      <c r="O2410" s="34"/>
      <c r="P2410" s="34"/>
      <c r="Q2410" s="34"/>
      <c r="R2410" s="34"/>
      <c r="S2410" s="34"/>
      <c r="T2410" s="34"/>
      <c r="U2410" s="34"/>
      <c r="V2410" s="34"/>
      <c r="W2410" s="34"/>
      <c r="X2410" s="34"/>
      <c r="Y2410" s="34"/>
      <c r="Z2410" s="34"/>
      <c r="AA2410" s="34"/>
      <c r="AB2410" s="34"/>
      <c r="AC2410" s="34"/>
      <c r="AD2410" s="34"/>
      <c r="AE2410" s="34"/>
      <c r="AF2410" s="34"/>
      <c r="AG2410" s="34"/>
      <c r="AH2410" s="34"/>
      <c r="AI2410" s="34"/>
      <c r="AJ2410" s="34"/>
      <c r="AK2410" s="34"/>
      <c r="AL2410" s="34"/>
      <c r="AM2410" s="34"/>
      <c r="AN2410" s="34"/>
      <c r="AO2410" s="34"/>
      <c r="AP2410" s="34"/>
      <c r="AQ2410" s="34"/>
      <c r="AR2410" s="34"/>
      <c r="AS2410" s="34"/>
      <c r="AT2410" s="34"/>
      <c r="AU2410" s="34"/>
      <c r="AV2410" s="34"/>
      <c r="AW2410" s="34"/>
    </row>
    <row r="2411" spans="1:49" s="32" customFormat="1" ht="15" x14ac:dyDescent="0.25">
      <c r="A2411" s="34"/>
      <c r="B2411" s="34"/>
      <c r="C2411" s="34"/>
      <c r="D2411" s="34"/>
      <c r="E2411" s="34"/>
      <c r="F2411" s="34"/>
      <c r="G2411" s="34"/>
      <c r="H2411" s="34"/>
      <c r="I2411" s="34"/>
      <c r="J2411" s="34"/>
      <c r="K2411" s="34"/>
      <c r="L2411" s="34"/>
      <c r="M2411" s="34"/>
      <c r="N2411" s="34"/>
      <c r="O2411" s="34"/>
      <c r="P2411" s="34"/>
      <c r="Q2411" s="34"/>
      <c r="R2411" s="34"/>
      <c r="S2411" s="34"/>
      <c r="T2411" s="34"/>
      <c r="U2411" s="34"/>
      <c r="V2411" s="34"/>
      <c r="W2411" s="34"/>
      <c r="X2411" s="34"/>
      <c r="Y2411" s="34"/>
      <c r="Z2411" s="34"/>
      <c r="AA2411" s="34"/>
      <c r="AB2411" s="34"/>
      <c r="AC2411" s="34"/>
      <c r="AD2411" s="34"/>
      <c r="AE2411" s="34"/>
      <c r="AF2411" s="34"/>
      <c r="AG2411" s="34"/>
      <c r="AH2411" s="34"/>
      <c r="AI2411" s="34"/>
      <c r="AJ2411" s="34"/>
      <c r="AK2411" s="34"/>
      <c r="AL2411" s="34"/>
      <c r="AM2411" s="34"/>
      <c r="AN2411" s="34"/>
      <c r="AO2411" s="34"/>
      <c r="AP2411" s="34"/>
      <c r="AQ2411" s="34"/>
      <c r="AR2411" s="34"/>
      <c r="AS2411" s="34"/>
      <c r="AT2411" s="34"/>
      <c r="AU2411" s="34"/>
      <c r="AV2411" s="34"/>
      <c r="AW2411" s="34"/>
    </row>
    <row r="2412" spans="1:49" s="32" customFormat="1" ht="15" x14ac:dyDescent="0.25">
      <c r="A2412" s="34"/>
      <c r="B2412" s="34"/>
      <c r="C2412" s="34"/>
      <c r="D2412" s="34"/>
      <c r="E2412" s="34"/>
      <c r="F2412" s="34"/>
      <c r="G2412" s="34"/>
      <c r="H2412" s="34"/>
      <c r="I2412" s="34"/>
      <c r="J2412" s="34"/>
      <c r="K2412" s="34"/>
      <c r="L2412" s="34"/>
      <c r="M2412" s="34"/>
      <c r="N2412" s="34"/>
      <c r="O2412" s="34"/>
      <c r="P2412" s="34"/>
      <c r="Q2412" s="34"/>
      <c r="R2412" s="34"/>
      <c r="S2412" s="34"/>
      <c r="T2412" s="34"/>
      <c r="U2412" s="34"/>
      <c r="V2412" s="34"/>
      <c r="W2412" s="34"/>
      <c r="X2412" s="34"/>
      <c r="Y2412" s="34"/>
      <c r="Z2412" s="34"/>
      <c r="AA2412" s="34"/>
      <c r="AB2412" s="34"/>
      <c r="AC2412" s="34"/>
      <c r="AD2412" s="34"/>
      <c r="AE2412" s="34"/>
      <c r="AF2412" s="34"/>
      <c r="AG2412" s="34"/>
      <c r="AH2412" s="34"/>
      <c r="AI2412" s="34"/>
      <c r="AJ2412" s="34"/>
      <c r="AK2412" s="34"/>
      <c r="AL2412" s="34"/>
      <c r="AM2412" s="34"/>
      <c r="AN2412" s="34"/>
      <c r="AO2412" s="34"/>
      <c r="AP2412" s="34"/>
      <c r="AQ2412" s="34"/>
      <c r="AR2412" s="34"/>
      <c r="AS2412" s="34"/>
      <c r="AT2412" s="34"/>
      <c r="AU2412" s="34"/>
      <c r="AV2412" s="34"/>
      <c r="AW2412" s="34"/>
    </row>
    <row r="2413" spans="1:49" s="32" customFormat="1" ht="15" x14ac:dyDescent="0.25">
      <c r="A2413" s="34"/>
      <c r="B2413" s="34"/>
      <c r="C2413" s="34"/>
      <c r="D2413" s="34"/>
      <c r="E2413" s="34"/>
      <c r="F2413" s="34"/>
      <c r="G2413" s="34"/>
      <c r="H2413" s="34"/>
      <c r="I2413" s="34"/>
      <c r="J2413" s="34"/>
      <c r="K2413" s="34"/>
      <c r="L2413" s="34"/>
      <c r="M2413" s="34"/>
      <c r="N2413" s="34"/>
      <c r="O2413" s="34"/>
      <c r="P2413" s="34"/>
      <c r="Q2413" s="34"/>
      <c r="R2413" s="34"/>
      <c r="S2413" s="34"/>
      <c r="T2413" s="34"/>
      <c r="U2413" s="34"/>
      <c r="V2413" s="34"/>
      <c r="W2413" s="34"/>
      <c r="X2413" s="34"/>
      <c r="Y2413" s="34"/>
      <c r="Z2413" s="34"/>
      <c r="AA2413" s="34"/>
      <c r="AB2413" s="34"/>
      <c r="AC2413" s="34"/>
      <c r="AD2413" s="34"/>
      <c r="AE2413" s="34"/>
      <c r="AF2413" s="34"/>
      <c r="AG2413" s="34"/>
      <c r="AH2413" s="34"/>
      <c r="AI2413" s="34"/>
      <c r="AJ2413" s="34"/>
      <c r="AK2413" s="34"/>
      <c r="AL2413" s="34"/>
      <c r="AM2413" s="34"/>
      <c r="AN2413" s="34"/>
      <c r="AO2413" s="34"/>
      <c r="AP2413" s="34"/>
      <c r="AQ2413" s="34"/>
      <c r="AR2413" s="34"/>
      <c r="AS2413" s="34"/>
      <c r="AT2413" s="34"/>
      <c r="AU2413" s="34"/>
      <c r="AV2413" s="34"/>
      <c r="AW2413" s="34"/>
    </row>
    <row r="2414" spans="1:49" s="32" customFormat="1" ht="15" x14ac:dyDescent="0.25">
      <c r="A2414" s="34"/>
      <c r="B2414" s="34"/>
      <c r="C2414" s="34"/>
      <c r="D2414" s="34"/>
      <c r="E2414" s="34"/>
      <c r="F2414" s="34"/>
      <c r="G2414" s="34"/>
      <c r="H2414" s="34"/>
      <c r="I2414" s="34"/>
      <c r="J2414" s="34"/>
      <c r="K2414" s="34"/>
      <c r="L2414" s="34"/>
      <c r="M2414" s="34"/>
      <c r="N2414" s="34"/>
      <c r="O2414" s="34"/>
      <c r="P2414" s="34"/>
      <c r="Q2414" s="34"/>
      <c r="R2414" s="34"/>
      <c r="S2414" s="34"/>
      <c r="T2414" s="34"/>
      <c r="U2414" s="34"/>
      <c r="V2414" s="34"/>
      <c r="W2414" s="34"/>
      <c r="X2414" s="34"/>
      <c r="Y2414" s="34"/>
      <c r="Z2414" s="34"/>
      <c r="AA2414" s="34"/>
      <c r="AB2414" s="34"/>
      <c r="AC2414" s="34"/>
      <c r="AD2414" s="34"/>
      <c r="AE2414" s="34"/>
      <c r="AF2414" s="34"/>
      <c r="AG2414" s="34"/>
      <c r="AH2414" s="34"/>
      <c r="AI2414" s="34"/>
      <c r="AJ2414" s="34"/>
      <c r="AK2414" s="34"/>
      <c r="AL2414" s="34"/>
      <c r="AM2414" s="34"/>
      <c r="AN2414" s="34"/>
      <c r="AO2414" s="34"/>
      <c r="AP2414" s="34"/>
      <c r="AQ2414" s="34"/>
      <c r="AR2414" s="34"/>
      <c r="AS2414" s="34"/>
      <c r="AT2414" s="34"/>
      <c r="AU2414" s="34"/>
      <c r="AV2414" s="34"/>
      <c r="AW2414" s="34"/>
    </row>
    <row r="2415" spans="1:49" s="32" customFormat="1" ht="15" x14ac:dyDescent="0.25">
      <c r="A2415" s="34"/>
      <c r="B2415" s="34"/>
      <c r="C2415" s="34"/>
      <c r="D2415" s="34"/>
      <c r="E2415" s="34"/>
      <c r="F2415" s="34"/>
      <c r="G2415" s="34"/>
      <c r="H2415" s="34"/>
      <c r="I2415" s="34"/>
      <c r="J2415" s="34"/>
      <c r="K2415" s="34"/>
      <c r="L2415" s="34"/>
      <c r="M2415" s="34"/>
      <c r="N2415" s="34"/>
      <c r="O2415" s="34"/>
      <c r="P2415" s="34"/>
      <c r="Q2415" s="34"/>
      <c r="R2415" s="34"/>
      <c r="S2415" s="34"/>
      <c r="T2415" s="34"/>
      <c r="U2415" s="34"/>
      <c r="V2415" s="34"/>
      <c r="W2415" s="34"/>
      <c r="X2415" s="34"/>
      <c r="Y2415" s="34"/>
      <c r="Z2415" s="34"/>
      <c r="AA2415" s="34"/>
      <c r="AB2415" s="34"/>
      <c r="AC2415" s="34"/>
      <c r="AD2415" s="34"/>
      <c r="AE2415" s="34"/>
      <c r="AF2415" s="34"/>
      <c r="AG2415" s="34"/>
      <c r="AH2415" s="34"/>
      <c r="AI2415" s="34"/>
      <c r="AJ2415" s="34"/>
      <c r="AK2415" s="34"/>
      <c r="AL2415" s="34"/>
      <c r="AM2415" s="34"/>
      <c r="AN2415" s="34"/>
      <c r="AO2415" s="34"/>
      <c r="AP2415" s="34"/>
      <c r="AQ2415" s="34"/>
      <c r="AR2415" s="34"/>
      <c r="AS2415" s="34"/>
      <c r="AT2415" s="34"/>
      <c r="AU2415" s="34"/>
      <c r="AV2415" s="34"/>
      <c r="AW2415" s="34"/>
    </row>
    <row r="2416" spans="1:49" s="32" customFormat="1" ht="15" x14ac:dyDescent="0.25">
      <c r="A2416" s="34"/>
      <c r="B2416" s="34"/>
      <c r="C2416" s="34"/>
      <c r="D2416" s="34"/>
      <c r="E2416" s="34"/>
      <c r="F2416" s="34"/>
      <c r="G2416" s="34"/>
      <c r="H2416" s="34"/>
      <c r="I2416" s="34"/>
      <c r="J2416" s="34"/>
      <c r="K2416" s="34"/>
      <c r="L2416" s="34"/>
      <c r="M2416" s="34"/>
      <c r="N2416" s="34"/>
      <c r="O2416" s="34"/>
      <c r="P2416" s="34"/>
      <c r="Q2416" s="34"/>
      <c r="R2416" s="34"/>
      <c r="S2416" s="34"/>
      <c r="T2416" s="34"/>
      <c r="U2416" s="34"/>
      <c r="V2416" s="34"/>
      <c r="W2416" s="34"/>
      <c r="X2416" s="34"/>
      <c r="Y2416" s="34"/>
      <c r="Z2416" s="34"/>
      <c r="AA2416" s="34"/>
      <c r="AB2416" s="34"/>
      <c r="AC2416" s="34"/>
      <c r="AD2416" s="34"/>
      <c r="AE2416" s="34"/>
      <c r="AF2416" s="34"/>
      <c r="AG2416" s="34"/>
      <c r="AH2416" s="34"/>
      <c r="AI2416" s="34"/>
      <c r="AJ2416" s="34"/>
      <c r="AK2416" s="34"/>
      <c r="AL2416" s="34"/>
      <c r="AM2416" s="34"/>
      <c r="AN2416" s="34"/>
      <c r="AO2416" s="34"/>
      <c r="AP2416" s="34"/>
      <c r="AQ2416" s="34"/>
      <c r="AR2416" s="34"/>
      <c r="AS2416" s="34"/>
      <c r="AT2416" s="34"/>
      <c r="AU2416" s="34"/>
      <c r="AV2416" s="34"/>
      <c r="AW2416" s="34"/>
    </row>
    <row r="2417" spans="1:49" s="32" customFormat="1" ht="15" x14ac:dyDescent="0.25">
      <c r="A2417" s="34"/>
      <c r="B2417" s="34"/>
      <c r="C2417" s="34"/>
      <c r="D2417" s="34"/>
      <c r="E2417" s="34"/>
      <c r="F2417" s="34"/>
      <c r="G2417" s="34"/>
      <c r="H2417" s="34"/>
      <c r="I2417" s="34"/>
      <c r="J2417" s="34"/>
      <c r="K2417" s="34"/>
      <c r="L2417" s="34"/>
      <c r="M2417" s="34"/>
      <c r="N2417" s="34"/>
      <c r="O2417" s="34"/>
      <c r="P2417" s="34"/>
      <c r="Q2417" s="34"/>
      <c r="R2417" s="34"/>
      <c r="S2417" s="34"/>
      <c r="T2417" s="34"/>
      <c r="U2417" s="34"/>
      <c r="V2417" s="34"/>
      <c r="W2417" s="34"/>
      <c r="X2417" s="34"/>
      <c r="Y2417" s="34"/>
      <c r="Z2417" s="34"/>
      <c r="AA2417" s="34"/>
      <c r="AB2417" s="34"/>
      <c r="AC2417" s="34"/>
      <c r="AD2417" s="34"/>
      <c r="AE2417" s="34"/>
      <c r="AF2417" s="34"/>
      <c r="AG2417" s="34"/>
      <c r="AH2417" s="34"/>
      <c r="AI2417" s="34"/>
      <c r="AJ2417" s="34"/>
      <c r="AK2417" s="34"/>
      <c r="AL2417" s="34"/>
      <c r="AM2417" s="34"/>
      <c r="AN2417" s="34"/>
      <c r="AO2417" s="34"/>
      <c r="AP2417" s="34"/>
      <c r="AQ2417" s="34"/>
      <c r="AR2417" s="34"/>
      <c r="AS2417" s="34"/>
      <c r="AT2417" s="34"/>
      <c r="AU2417" s="34"/>
      <c r="AV2417" s="34"/>
      <c r="AW2417" s="34"/>
    </row>
    <row r="2418" spans="1:49" s="32" customFormat="1" ht="15" x14ac:dyDescent="0.25">
      <c r="A2418" s="34"/>
      <c r="B2418" s="34"/>
      <c r="C2418" s="34"/>
      <c r="D2418" s="34"/>
      <c r="E2418" s="34"/>
      <c r="F2418" s="34"/>
      <c r="G2418" s="34"/>
      <c r="H2418" s="34"/>
      <c r="I2418" s="34"/>
      <c r="J2418" s="34"/>
      <c r="K2418" s="34"/>
      <c r="L2418" s="34"/>
      <c r="M2418" s="34"/>
      <c r="N2418" s="34"/>
      <c r="O2418" s="34"/>
      <c r="P2418" s="34"/>
      <c r="Q2418" s="34"/>
      <c r="R2418" s="34"/>
      <c r="S2418" s="34"/>
      <c r="T2418" s="34"/>
      <c r="U2418" s="34"/>
      <c r="V2418" s="34"/>
      <c r="W2418" s="34"/>
      <c r="X2418" s="34"/>
      <c r="Y2418" s="34"/>
      <c r="Z2418" s="34"/>
      <c r="AA2418" s="34"/>
      <c r="AB2418" s="34"/>
      <c r="AC2418" s="34"/>
      <c r="AD2418" s="34"/>
      <c r="AE2418" s="34"/>
      <c r="AF2418" s="34"/>
      <c r="AG2418" s="34"/>
      <c r="AH2418" s="34"/>
      <c r="AI2418" s="34"/>
      <c r="AJ2418" s="34"/>
      <c r="AK2418" s="34"/>
      <c r="AL2418" s="34"/>
      <c r="AM2418" s="34"/>
      <c r="AN2418" s="34"/>
      <c r="AO2418" s="34"/>
      <c r="AP2418" s="34"/>
      <c r="AQ2418" s="34"/>
      <c r="AR2418" s="34"/>
      <c r="AS2418" s="34"/>
      <c r="AT2418" s="34"/>
      <c r="AU2418" s="34"/>
      <c r="AV2418" s="34"/>
      <c r="AW2418" s="34"/>
    </row>
    <row r="2419" spans="1:49" s="32" customFormat="1" ht="15" x14ac:dyDescent="0.25">
      <c r="A2419" s="34"/>
      <c r="B2419" s="34"/>
      <c r="C2419" s="34"/>
      <c r="D2419" s="34"/>
      <c r="E2419" s="34"/>
      <c r="F2419" s="34"/>
      <c r="G2419" s="34"/>
      <c r="H2419" s="34"/>
      <c r="I2419" s="34"/>
      <c r="J2419" s="34"/>
      <c r="K2419" s="34"/>
      <c r="L2419" s="34"/>
      <c r="M2419" s="34"/>
      <c r="N2419" s="34"/>
      <c r="O2419" s="34"/>
      <c r="P2419" s="34"/>
      <c r="Q2419" s="34"/>
      <c r="R2419" s="34"/>
      <c r="S2419" s="34"/>
      <c r="T2419" s="34"/>
      <c r="U2419" s="34"/>
      <c r="V2419" s="34"/>
      <c r="W2419" s="34"/>
      <c r="X2419" s="34"/>
      <c r="Y2419" s="34"/>
      <c r="Z2419" s="34"/>
      <c r="AA2419" s="34"/>
      <c r="AB2419" s="34"/>
      <c r="AC2419" s="34"/>
      <c r="AD2419" s="34"/>
      <c r="AE2419" s="34"/>
      <c r="AF2419" s="34"/>
      <c r="AG2419" s="34"/>
      <c r="AH2419" s="34"/>
      <c r="AI2419" s="34"/>
      <c r="AJ2419" s="34"/>
      <c r="AK2419" s="34"/>
      <c r="AL2419" s="34"/>
      <c r="AM2419" s="34"/>
      <c r="AN2419" s="34"/>
      <c r="AO2419" s="34"/>
      <c r="AP2419" s="34"/>
      <c r="AQ2419" s="34"/>
      <c r="AR2419" s="34"/>
      <c r="AS2419" s="34"/>
      <c r="AT2419" s="34"/>
      <c r="AU2419" s="34"/>
      <c r="AV2419" s="34"/>
      <c r="AW2419" s="34"/>
    </row>
    <row r="2420" spans="1:49" s="32" customFormat="1" ht="15" x14ac:dyDescent="0.25">
      <c r="A2420" s="34"/>
      <c r="B2420" s="34"/>
      <c r="C2420" s="34"/>
      <c r="D2420" s="34"/>
      <c r="E2420" s="34"/>
      <c r="F2420" s="34"/>
      <c r="G2420" s="34"/>
      <c r="H2420" s="34"/>
      <c r="I2420" s="34"/>
      <c r="J2420" s="34"/>
      <c r="K2420" s="34"/>
      <c r="L2420" s="34"/>
      <c r="M2420" s="34"/>
      <c r="N2420" s="34"/>
      <c r="O2420" s="34"/>
      <c r="P2420" s="34"/>
      <c r="Q2420" s="34"/>
      <c r="R2420" s="34"/>
      <c r="S2420" s="34"/>
      <c r="T2420" s="34"/>
      <c r="U2420" s="34"/>
      <c r="V2420" s="34"/>
      <c r="W2420" s="34"/>
      <c r="X2420" s="34"/>
      <c r="Y2420" s="34"/>
      <c r="Z2420" s="34"/>
      <c r="AA2420" s="34"/>
      <c r="AB2420" s="34"/>
      <c r="AC2420" s="34"/>
      <c r="AD2420" s="34"/>
      <c r="AE2420" s="34"/>
      <c r="AF2420" s="34"/>
      <c r="AG2420" s="34"/>
      <c r="AH2420" s="34"/>
      <c r="AI2420" s="34"/>
      <c r="AJ2420" s="34"/>
      <c r="AK2420" s="34"/>
      <c r="AL2420" s="34"/>
      <c r="AM2420" s="34"/>
      <c r="AN2420" s="34"/>
      <c r="AO2420" s="34"/>
      <c r="AP2420" s="34"/>
      <c r="AQ2420" s="34"/>
      <c r="AR2420" s="34"/>
      <c r="AS2420" s="34"/>
      <c r="AT2420" s="34"/>
      <c r="AU2420" s="34"/>
      <c r="AV2420" s="34"/>
      <c r="AW2420" s="34"/>
    </row>
    <row r="2421" spans="1:49" s="32" customFormat="1" ht="15" x14ac:dyDescent="0.25">
      <c r="A2421" s="34"/>
      <c r="B2421" s="34"/>
      <c r="C2421" s="34"/>
      <c r="D2421" s="34"/>
      <c r="E2421" s="34"/>
      <c r="F2421" s="34"/>
      <c r="G2421" s="34"/>
      <c r="H2421" s="34"/>
      <c r="I2421" s="34"/>
      <c r="J2421" s="34"/>
      <c r="K2421" s="34"/>
      <c r="L2421" s="34"/>
      <c r="M2421" s="34"/>
      <c r="N2421" s="34"/>
      <c r="O2421" s="34"/>
      <c r="P2421" s="34"/>
      <c r="Q2421" s="34"/>
      <c r="R2421" s="34"/>
      <c r="S2421" s="34"/>
      <c r="T2421" s="34"/>
      <c r="U2421" s="34"/>
      <c r="V2421" s="34"/>
      <c r="W2421" s="34"/>
      <c r="X2421" s="34"/>
      <c r="Y2421" s="34"/>
      <c r="Z2421" s="34"/>
      <c r="AA2421" s="34"/>
      <c r="AB2421" s="34"/>
      <c r="AC2421" s="34"/>
      <c r="AD2421" s="34"/>
      <c r="AE2421" s="34"/>
      <c r="AF2421" s="34"/>
      <c r="AG2421" s="34"/>
      <c r="AH2421" s="34"/>
      <c r="AI2421" s="34"/>
      <c r="AJ2421" s="34"/>
      <c r="AK2421" s="34"/>
      <c r="AL2421" s="34"/>
      <c r="AM2421" s="34"/>
      <c r="AN2421" s="34"/>
      <c r="AO2421" s="34"/>
      <c r="AP2421" s="34"/>
      <c r="AQ2421" s="34"/>
      <c r="AR2421" s="34"/>
      <c r="AS2421" s="34"/>
      <c r="AT2421" s="34"/>
      <c r="AU2421" s="34"/>
      <c r="AV2421" s="34"/>
      <c r="AW2421" s="34"/>
    </row>
    <row r="2422" spans="1:49" s="32" customFormat="1" ht="15" x14ac:dyDescent="0.25">
      <c r="A2422" s="34"/>
      <c r="B2422" s="34"/>
      <c r="C2422" s="34"/>
      <c r="D2422" s="34"/>
      <c r="E2422" s="34"/>
      <c r="F2422" s="34"/>
      <c r="G2422" s="34"/>
      <c r="H2422" s="34"/>
      <c r="I2422" s="34"/>
      <c r="J2422" s="34"/>
      <c r="K2422" s="34"/>
      <c r="L2422" s="34"/>
      <c r="M2422" s="34"/>
      <c r="N2422" s="34"/>
      <c r="O2422" s="34"/>
      <c r="P2422" s="34"/>
      <c r="Q2422" s="34"/>
      <c r="R2422" s="34"/>
      <c r="S2422" s="34"/>
      <c r="T2422" s="34"/>
      <c r="U2422" s="34"/>
      <c r="V2422" s="34"/>
      <c r="W2422" s="34"/>
      <c r="X2422" s="34"/>
      <c r="Y2422" s="34"/>
      <c r="Z2422" s="34"/>
      <c r="AA2422" s="34"/>
      <c r="AB2422" s="34"/>
      <c r="AC2422" s="34"/>
      <c r="AD2422" s="34"/>
      <c r="AE2422" s="34"/>
      <c r="AF2422" s="34"/>
      <c r="AG2422" s="34"/>
      <c r="AH2422" s="34"/>
      <c r="AI2422" s="34"/>
      <c r="AJ2422" s="34"/>
      <c r="AK2422" s="34"/>
      <c r="AL2422" s="34"/>
      <c r="AM2422" s="34"/>
      <c r="AN2422" s="34"/>
      <c r="AO2422" s="34"/>
      <c r="AP2422" s="34"/>
      <c r="AQ2422" s="34"/>
      <c r="AR2422" s="34"/>
      <c r="AS2422" s="34"/>
      <c r="AT2422" s="34"/>
      <c r="AU2422" s="34"/>
      <c r="AV2422" s="34"/>
      <c r="AW2422" s="34"/>
    </row>
    <row r="2423" spans="1:49" s="32" customFormat="1" ht="15" x14ac:dyDescent="0.25">
      <c r="A2423" s="34"/>
      <c r="B2423" s="34"/>
      <c r="C2423" s="34"/>
      <c r="D2423" s="34"/>
      <c r="E2423" s="34"/>
      <c r="F2423" s="34"/>
      <c r="G2423" s="34"/>
      <c r="H2423" s="34"/>
      <c r="I2423" s="34"/>
      <c r="J2423" s="34"/>
      <c r="K2423" s="34"/>
      <c r="L2423" s="34"/>
      <c r="M2423" s="34"/>
      <c r="N2423" s="34"/>
      <c r="O2423" s="34"/>
      <c r="P2423" s="34"/>
      <c r="Q2423" s="34"/>
      <c r="R2423" s="34"/>
      <c r="S2423" s="34"/>
      <c r="T2423" s="34"/>
      <c r="U2423" s="34"/>
      <c r="V2423" s="34"/>
      <c r="W2423" s="34"/>
      <c r="X2423" s="34"/>
      <c r="Y2423" s="34"/>
      <c r="Z2423" s="34"/>
      <c r="AA2423" s="34"/>
      <c r="AB2423" s="34"/>
      <c r="AC2423" s="34"/>
      <c r="AD2423" s="34"/>
      <c r="AE2423" s="34"/>
      <c r="AF2423" s="34"/>
      <c r="AG2423" s="34"/>
      <c r="AH2423" s="34"/>
      <c r="AI2423" s="34"/>
      <c r="AJ2423" s="34"/>
      <c r="AK2423" s="34"/>
      <c r="AL2423" s="34"/>
      <c r="AM2423" s="34"/>
      <c r="AN2423" s="34"/>
      <c r="AO2423" s="34"/>
      <c r="AP2423" s="34"/>
      <c r="AQ2423" s="34"/>
      <c r="AR2423" s="34"/>
      <c r="AS2423" s="34"/>
      <c r="AT2423" s="34"/>
      <c r="AU2423" s="34"/>
      <c r="AV2423" s="34"/>
      <c r="AW2423" s="34"/>
    </row>
    <row r="2424" spans="1:49" s="32" customFormat="1" ht="15" x14ac:dyDescent="0.25">
      <c r="A2424" s="34"/>
      <c r="B2424" s="34"/>
      <c r="C2424" s="34"/>
      <c r="D2424" s="34"/>
      <c r="E2424" s="34"/>
      <c r="F2424" s="34"/>
      <c r="G2424" s="34"/>
      <c r="H2424" s="34"/>
      <c r="I2424" s="34"/>
      <c r="J2424" s="34"/>
      <c r="K2424" s="34"/>
      <c r="L2424" s="34"/>
      <c r="M2424" s="34"/>
      <c r="N2424" s="34"/>
      <c r="O2424" s="34"/>
      <c r="P2424" s="34"/>
      <c r="Q2424" s="34"/>
      <c r="R2424" s="34"/>
      <c r="S2424" s="34"/>
      <c r="T2424" s="34"/>
      <c r="U2424" s="34"/>
      <c r="V2424" s="34"/>
      <c r="W2424" s="34"/>
      <c r="X2424" s="34"/>
      <c r="Y2424" s="34"/>
      <c r="Z2424" s="34"/>
      <c r="AA2424" s="34"/>
      <c r="AB2424" s="34"/>
      <c r="AC2424" s="34"/>
      <c r="AD2424" s="34"/>
      <c r="AE2424" s="34"/>
      <c r="AF2424" s="34"/>
      <c r="AG2424" s="34"/>
      <c r="AH2424" s="34"/>
      <c r="AI2424" s="34"/>
      <c r="AJ2424" s="34"/>
      <c r="AK2424" s="34"/>
      <c r="AL2424" s="34"/>
      <c r="AM2424" s="34"/>
      <c r="AN2424" s="34"/>
      <c r="AO2424" s="34"/>
      <c r="AP2424" s="34"/>
      <c r="AQ2424" s="34"/>
      <c r="AR2424" s="34"/>
      <c r="AS2424" s="34"/>
      <c r="AT2424" s="34"/>
      <c r="AU2424" s="34"/>
      <c r="AV2424" s="34"/>
      <c r="AW2424" s="34"/>
    </row>
    <row r="2425" spans="1:49" s="32" customFormat="1" ht="15" x14ac:dyDescent="0.25">
      <c r="A2425" s="34"/>
      <c r="B2425" s="34"/>
      <c r="C2425" s="34"/>
      <c r="D2425" s="34"/>
      <c r="E2425" s="34"/>
      <c r="F2425" s="34"/>
      <c r="G2425" s="34"/>
      <c r="H2425" s="34"/>
      <c r="I2425" s="34"/>
      <c r="J2425" s="34"/>
      <c r="K2425" s="34"/>
      <c r="L2425" s="34"/>
      <c r="M2425" s="34"/>
      <c r="N2425" s="34"/>
      <c r="O2425" s="34"/>
      <c r="P2425" s="34"/>
      <c r="Q2425" s="34"/>
      <c r="R2425" s="34"/>
      <c r="S2425" s="34"/>
      <c r="T2425" s="34"/>
      <c r="U2425" s="34"/>
      <c r="V2425" s="34"/>
      <c r="W2425" s="34"/>
      <c r="X2425" s="34"/>
      <c r="Y2425" s="34"/>
      <c r="Z2425" s="34"/>
      <c r="AA2425" s="34"/>
      <c r="AB2425" s="34"/>
      <c r="AC2425" s="34"/>
      <c r="AD2425" s="34"/>
      <c r="AE2425" s="34"/>
      <c r="AF2425" s="34"/>
      <c r="AG2425" s="34"/>
      <c r="AH2425" s="34"/>
      <c r="AI2425" s="34"/>
      <c r="AJ2425" s="34"/>
      <c r="AK2425" s="34"/>
      <c r="AL2425" s="34"/>
      <c r="AM2425" s="34"/>
      <c r="AN2425" s="34"/>
      <c r="AO2425" s="34"/>
      <c r="AP2425" s="34"/>
      <c r="AQ2425" s="34"/>
      <c r="AR2425" s="34"/>
      <c r="AS2425" s="34"/>
      <c r="AT2425" s="34"/>
      <c r="AU2425" s="34"/>
      <c r="AV2425" s="34"/>
      <c r="AW2425" s="34"/>
    </row>
    <row r="2426" spans="1:49" s="32" customFormat="1" ht="15" x14ac:dyDescent="0.25">
      <c r="A2426" s="34"/>
      <c r="B2426" s="34"/>
      <c r="C2426" s="34"/>
      <c r="D2426" s="34"/>
      <c r="E2426" s="34"/>
      <c r="F2426" s="34"/>
      <c r="G2426" s="34"/>
      <c r="H2426" s="34"/>
      <c r="I2426" s="34"/>
      <c r="J2426" s="34"/>
      <c r="K2426" s="34"/>
      <c r="L2426" s="34"/>
      <c r="M2426" s="34"/>
      <c r="N2426" s="34"/>
      <c r="O2426" s="34"/>
      <c r="P2426" s="34"/>
      <c r="Q2426" s="34"/>
      <c r="R2426" s="34"/>
      <c r="S2426" s="34"/>
      <c r="T2426" s="34"/>
      <c r="U2426" s="34"/>
      <c r="V2426" s="34"/>
      <c r="W2426" s="34"/>
      <c r="X2426" s="34"/>
      <c r="Y2426" s="34"/>
      <c r="Z2426" s="34"/>
      <c r="AA2426" s="34"/>
      <c r="AB2426" s="34"/>
      <c r="AC2426" s="34"/>
      <c r="AD2426" s="34"/>
      <c r="AE2426" s="34"/>
      <c r="AF2426" s="34"/>
      <c r="AG2426" s="34"/>
      <c r="AH2426" s="34"/>
      <c r="AI2426" s="34"/>
      <c r="AJ2426" s="34"/>
      <c r="AK2426" s="34"/>
      <c r="AL2426" s="34"/>
      <c r="AM2426" s="34"/>
      <c r="AN2426" s="34"/>
      <c r="AO2426" s="34"/>
      <c r="AP2426" s="34"/>
      <c r="AQ2426" s="34"/>
      <c r="AR2426" s="34"/>
      <c r="AS2426" s="34"/>
      <c r="AT2426" s="34"/>
      <c r="AU2426" s="34"/>
      <c r="AV2426" s="34"/>
      <c r="AW2426" s="34"/>
    </row>
    <row r="2427" spans="1:49" s="32" customFormat="1" ht="15" x14ac:dyDescent="0.25">
      <c r="A2427" s="34"/>
      <c r="B2427" s="34"/>
      <c r="C2427" s="34"/>
      <c r="D2427" s="34"/>
      <c r="E2427" s="34"/>
      <c r="F2427" s="34"/>
      <c r="G2427" s="34"/>
      <c r="H2427" s="34"/>
      <c r="I2427" s="34"/>
      <c r="J2427" s="34"/>
      <c r="K2427" s="34"/>
      <c r="L2427" s="34"/>
      <c r="M2427" s="34"/>
      <c r="N2427" s="34"/>
      <c r="O2427" s="34"/>
      <c r="P2427" s="34"/>
      <c r="Q2427" s="34"/>
      <c r="R2427" s="34"/>
      <c r="S2427" s="34"/>
      <c r="T2427" s="34"/>
      <c r="U2427" s="34"/>
      <c r="V2427" s="34"/>
      <c r="W2427" s="34"/>
      <c r="X2427" s="34"/>
      <c r="Y2427" s="34"/>
      <c r="Z2427" s="34"/>
      <c r="AA2427" s="34"/>
      <c r="AB2427" s="34"/>
      <c r="AC2427" s="34"/>
      <c r="AD2427" s="34"/>
      <c r="AE2427" s="34"/>
      <c r="AF2427" s="34"/>
      <c r="AG2427" s="34"/>
      <c r="AH2427" s="34"/>
      <c r="AI2427" s="34"/>
      <c r="AJ2427" s="34"/>
      <c r="AK2427" s="34"/>
      <c r="AL2427" s="34"/>
      <c r="AM2427" s="34"/>
      <c r="AN2427" s="34"/>
      <c r="AO2427" s="34"/>
      <c r="AP2427" s="34"/>
      <c r="AQ2427" s="34"/>
      <c r="AR2427" s="34"/>
      <c r="AS2427" s="34"/>
      <c r="AT2427" s="34"/>
      <c r="AU2427" s="34"/>
      <c r="AV2427" s="34"/>
      <c r="AW2427" s="34"/>
    </row>
    <row r="2428" spans="1:49" s="32" customFormat="1" ht="15" x14ac:dyDescent="0.25">
      <c r="A2428" s="34"/>
      <c r="B2428" s="34"/>
      <c r="C2428" s="34"/>
      <c r="D2428" s="34"/>
      <c r="E2428" s="34"/>
      <c r="F2428" s="34"/>
      <c r="G2428" s="34"/>
      <c r="H2428" s="34"/>
      <c r="I2428" s="34"/>
      <c r="J2428" s="34"/>
      <c r="K2428" s="34"/>
      <c r="L2428" s="34"/>
      <c r="M2428" s="34"/>
      <c r="N2428" s="34"/>
      <c r="O2428" s="34"/>
      <c r="P2428" s="34"/>
      <c r="Q2428" s="34"/>
      <c r="R2428" s="34"/>
      <c r="S2428" s="34"/>
      <c r="T2428" s="34"/>
      <c r="U2428" s="34"/>
      <c r="V2428" s="34"/>
      <c r="W2428" s="34"/>
      <c r="X2428" s="34"/>
      <c r="Y2428" s="34"/>
      <c r="Z2428" s="34"/>
      <c r="AA2428" s="34"/>
      <c r="AB2428" s="34"/>
      <c r="AC2428" s="34"/>
      <c r="AD2428" s="34"/>
      <c r="AE2428" s="34"/>
      <c r="AF2428" s="34"/>
      <c r="AG2428" s="34"/>
      <c r="AH2428" s="34"/>
      <c r="AI2428" s="34"/>
      <c r="AJ2428" s="34"/>
      <c r="AK2428" s="34"/>
      <c r="AL2428" s="34"/>
      <c r="AM2428" s="34"/>
      <c r="AN2428" s="34"/>
      <c r="AO2428" s="34"/>
      <c r="AP2428" s="34"/>
      <c r="AQ2428" s="34"/>
      <c r="AR2428" s="34"/>
      <c r="AS2428" s="34"/>
      <c r="AT2428" s="34"/>
      <c r="AU2428" s="34"/>
      <c r="AV2428" s="34"/>
      <c r="AW2428" s="34"/>
    </row>
    <row r="2429" spans="1:49" s="32" customFormat="1" ht="15" x14ac:dyDescent="0.25">
      <c r="A2429" s="34"/>
      <c r="B2429" s="34"/>
      <c r="C2429" s="34"/>
      <c r="D2429" s="34"/>
      <c r="E2429" s="34"/>
      <c r="F2429" s="34"/>
      <c r="G2429" s="34"/>
      <c r="H2429" s="34"/>
      <c r="I2429" s="34"/>
      <c r="J2429" s="34"/>
      <c r="K2429" s="34"/>
      <c r="L2429" s="34"/>
      <c r="M2429" s="34"/>
      <c r="N2429" s="34"/>
      <c r="O2429" s="34"/>
      <c r="P2429" s="34"/>
      <c r="Q2429" s="34"/>
      <c r="R2429" s="34"/>
      <c r="S2429" s="34"/>
      <c r="T2429" s="34"/>
      <c r="U2429" s="34"/>
      <c r="V2429" s="34"/>
      <c r="W2429" s="34"/>
      <c r="X2429" s="34"/>
      <c r="Y2429" s="34"/>
      <c r="Z2429" s="34"/>
      <c r="AA2429" s="34"/>
      <c r="AB2429" s="34"/>
      <c r="AC2429" s="34"/>
      <c r="AD2429" s="34"/>
      <c r="AE2429" s="34"/>
      <c r="AF2429" s="34"/>
      <c r="AG2429" s="34"/>
      <c r="AH2429" s="34"/>
      <c r="AI2429" s="34"/>
      <c r="AJ2429" s="34"/>
      <c r="AK2429" s="34"/>
      <c r="AL2429" s="34"/>
      <c r="AM2429" s="34"/>
      <c r="AN2429" s="34"/>
      <c r="AO2429" s="34"/>
      <c r="AP2429" s="34"/>
      <c r="AQ2429" s="34"/>
      <c r="AR2429" s="34"/>
      <c r="AS2429" s="34"/>
      <c r="AT2429" s="34"/>
      <c r="AU2429" s="34"/>
      <c r="AV2429" s="34"/>
      <c r="AW2429" s="34"/>
    </row>
    <row r="2430" spans="1:49" s="32" customFormat="1" ht="15" x14ac:dyDescent="0.25">
      <c r="A2430" s="34"/>
      <c r="B2430" s="34"/>
      <c r="C2430" s="34"/>
      <c r="D2430" s="34"/>
      <c r="E2430" s="34"/>
      <c r="F2430" s="34"/>
      <c r="G2430" s="34"/>
      <c r="H2430" s="34"/>
      <c r="I2430" s="34"/>
      <c r="J2430" s="34"/>
      <c r="K2430" s="34"/>
      <c r="L2430" s="34"/>
      <c r="M2430" s="34"/>
      <c r="N2430" s="34"/>
      <c r="O2430" s="34"/>
      <c r="P2430" s="34"/>
      <c r="Q2430" s="34"/>
      <c r="R2430" s="34"/>
      <c r="S2430" s="34"/>
      <c r="T2430" s="34"/>
      <c r="U2430" s="34"/>
      <c r="V2430" s="34"/>
      <c r="W2430" s="34"/>
      <c r="X2430" s="34"/>
      <c r="Y2430" s="34"/>
      <c r="Z2430" s="34"/>
      <c r="AA2430" s="34"/>
      <c r="AB2430" s="34"/>
      <c r="AC2430" s="34"/>
      <c r="AD2430" s="34"/>
      <c r="AE2430" s="34"/>
      <c r="AF2430" s="34"/>
      <c r="AG2430" s="34"/>
      <c r="AH2430" s="34"/>
      <c r="AI2430" s="34"/>
      <c r="AJ2430" s="34"/>
      <c r="AK2430" s="34"/>
      <c r="AL2430" s="34"/>
      <c r="AM2430" s="34"/>
      <c r="AN2430" s="34"/>
      <c r="AO2430" s="34"/>
      <c r="AP2430" s="34"/>
      <c r="AQ2430" s="34"/>
      <c r="AR2430" s="34"/>
      <c r="AS2430" s="34"/>
      <c r="AT2430" s="34"/>
      <c r="AU2430" s="34"/>
      <c r="AV2430" s="34"/>
      <c r="AW2430" s="34"/>
    </row>
    <row r="2431" spans="1:49" s="32" customFormat="1" ht="15" x14ac:dyDescent="0.25">
      <c r="A2431" s="34"/>
      <c r="B2431" s="34"/>
      <c r="C2431" s="34"/>
      <c r="D2431" s="34"/>
      <c r="E2431" s="34"/>
      <c r="F2431" s="34"/>
      <c r="G2431" s="34"/>
      <c r="H2431" s="34"/>
      <c r="I2431" s="34"/>
      <c r="J2431" s="34"/>
      <c r="K2431" s="34"/>
      <c r="L2431" s="34"/>
      <c r="M2431" s="34"/>
      <c r="N2431" s="34"/>
      <c r="O2431" s="34"/>
      <c r="P2431" s="34"/>
      <c r="Q2431" s="34"/>
      <c r="R2431" s="34"/>
      <c r="S2431" s="34"/>
      <c r="T2431" s="34"/>
      <c r="U2431" s="34"/>
      <c r="V2431" s="34"/>
      <c r="W2431" s="34"/>
      <c r="X2431" s="34"/>
      <c r="Y2431" s="34"/>
      <c r="Z2431" s="34"/>
      <c r="AA2431" s="34"/>
      <c r="AB2431" s="34"/>
      <c r="AC2431" s="34"/>
      <c r="AD2431" s="34"/>
      <c r="AE2431" s="34"/>
      <c r="AF2431" s="34"/>
      <c r="AG2431" s="34"/>
      <c r="AH2431" s="34"/>
      <c r="AI2431" s="34"/>
      <c r="AJ2431" s="34"/>
      <c r="AK2431" s="34"/>
      <c r="AL2431" s="34"/>
      <c r="AM2431" s="34"/>
      <c r="AN2431" s="34"/>
      <c r="AO2431" s="34"/>
      <c r="AP2431" s="34"/>
      <c r="AQ2431" s="34"/>
      <c r="AR2431" s="34"/>
      <c r="AS2431" s="34"/>
      <c r="AT2431" s="34"/>
      <c r="AU2431" s="34"/>
      <c r="AV2431" s="34"/>
      <c r="AW2431" s="34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9" priority="10" operator="equal">
      <formula>"NO"</formula>
    </cfRule>
  </conditionalFormatting>
  <conditionalFormatting sqref="AD2:AD65">
    <cfRule type="cellIs" dxfId="8" priority="9" operator="equal">
      <formula>"NO"</formula>
    </cfRule>
  </conditionalFormatting>
  <conditionalFormatting sqref="AD401:AD460">
    <cfRule type="cellIs" dxfId="7" priority="8" operator="equal">
      <formula>"NO"</formula>
    </cfRule>
  </conditionalFormatting>
  <conditionalFormatting sqref="AD801:AD860">
    <cfRule type="cellIs" dxfId="6" priority="7" operator="equal">
      <formula>"NO"</formula>
    </cfRule>
  </conditionalFormatting>
  <conditionalFormatting sqref="AD1200:AD1261">
    <cfRule type="cellIs" dxfId="5" priority="6" operator="equal">
      <formula>"NO"</formula>
    </cfRule>
  </conditionalFormatting>
  <conditionalFormatting sqref="AD1599:AD1651">
    <cfRule type="cellIs" dxfId="4" priority="5" operator="equal">
      <formula>"NO"</formula>
    </cfRule>
  </conditionalFormatting>
  <conditionalFormatting sqref="AD1998:AD2032">
    <cfRule type="cellIs" dxfId="3" priority="4" operator="equal">
      <formula>"NO"</formula>
    </cfRule>
  </conditionalFormatting>
  <conditionalFormatting sqref="E1998:F2032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31">
    <cfRule type="cellIs" dxfId="1" priority="2" operator="equal">
      <formula>"NO"</formula>
    </cfRule>
  </conditionalFormatting>
  <conditionalFormatting sqref="E2397:F2431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">
      <c r="A2" s="9" t="s">
        <v>29</v>
      </c>
      <c r="B2" s="10">
        <v>46069</v>
      </c>
      <c r="C2" s="10">
        <v>46069</v>
      </c>
      <c r="D2" s="11" t="s">
        <v>30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5" si="0">IF(N2="PRG","",IF(I2&gt;=E2,IF(I2&lt;=F2,"","NO"),"NO"))</f>
        <v/>
      </c>
    </row>
    <row r="3" spans="1:49" s="9" customFormat="1" ht="35.1" customHeight="1" x14ac:dyDescent="0.25">
      <c r="A3" s="9" t="s">
        <v>39</v>
      </c>
      <c r="B3" s="10">
        <v>46069</v>
      </c>
      <c r="C3" s="10">
        <v>46069</v>
      </c>
      <c r="D3" s="11" t="s">
        <v>30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49" s="9" customFormat="1" ht="35.1" customHeight="1" x14ac:dyDescent="0.2">
      <c r="A4" s="17" t="s">
        <v>44</v>
      </c>
      <c r="B4" s="18">
        <v>46069</v>
      </c>
      <c r="C4" s="18">
        <v>46069</v>
      </c>
      <c r="D4" s="17" t="s">
        <v>30</v>
      </c>
      <c r="E4" s="19">
        <v>0.25</v>
      </c>
      <c r="F4" s="19">
        <v>0.99930555555555556</v>
      </c>
      <c r="G4" s="19">
        <v>1.6203703703703701E-4</v>
      </c>
      <c r="H4" s="17" t="s">
        <v>45</v>
      </c>
      <c r="I4" s="20">
        <v>0.2817824074074074</v>
      </c>
      <c r="J4" s="17" t="s">
        <v>41</v>
      </c>
      <c r="K4" s="17" t="s">
        <v>40</v>
      </c>
      <c r="L4" s="21">
        <v>1</v>
      </c>
      <c r="M4" s="21">
        <v>66852</v>
      </c>
      <c r="N4" s="17" t="s">
        <v>46</v>
      </c>
      <c r="O4" s="21" t="s">
        <v>47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51</v>
      </c>
      <c r="AC4" s="17" t="s">
        <v>38</v>
      </c>
      <c r="AD4" s="7" t="str">
        <f t="shared" si="0"/>
        <v/>
      </c>
    </row>
    <row r="5" spans="1:49" s="9" customFormat="1" ht="35.1" customHeight="1" x14ac:dyDescent="0.2">
      <c r="A5" s="17" t="s">
        <v>56</v>
      </c>
      <c r="B5" s="18">
        <v>46069</v>
      </c>
      <c r="C5" s="18">
        <v>46069</v>
      </c>
      <c r="D5" s="17" t="s">
        <v>30</v>
      </c>
      <c r="E5" s="19">
        <v>0.25</v>
      </c>
      <c r="F5" s="19">
        <v>0.875</v>
      </c>
      <c r="G5" s="19">
        <v>1.7361111111111109E-4</v>
      </c>
      <c r="H5" s="17" t="s">
        <v>57</v>
      </c>
      <c r="I5" s="20">
        <v>0.28195601851851854</v>
      </c>
      <c r="J5" s="17" t="s">
        <v>41</v>
      </c>
      <c r="K5" s="17" t="s">
        <v>40</v>
      </c>
      <c r="L5" s="21">
        <v>1</v>
      </c>
      <c r="M5" s="21">
        <v>71977</v>
      </c>
      <c r="N5" s="17" t="s">
        <v>58</v>
      </c>
      <c r="O5" s="21" t="s">
        <v>59</v>
      </c>
      <c r="P5" s="22">
        <v>0</v>
      </c>
      <c r="Q5" s="21"/>
      <c r="R5" s="22">
        <v>90</v>
      </c>
      <c r="S5" s="23">
        <v>46054</v>
      </c>
      <c r="T5" s="22">
        <v>0</v>
      </c>
      <c r="U5" s="24">
        <v>4</v>
      </c>
      <c r="V5" s="22">
        <v>0</v>
      </c>
      <c r="W5" s="17" t="s">
        <v>48</v>
      </c>
      <c r="X5" s="17" t="s">
        <v>49</v>
      </c>
      <c r="Y5" s="17" t="s">
        <v>36</v>
      </c>
      <c r="Z5" s="17" t="s">
        <v>43</v>
      </c>
      <c r="AA5" s="17" t="s">
        <v>50</v>
      </c>
      <c r="AB5" s="17" t="s">
        <v>60</v>
      </c>
      <c r="AC5" s="17" t="s">
        <v>38</v>
      </c>
      <c r="AD5" s="7" t="str">
        <f t="shared" si="0"/>
        <v/>
      </c>
    </row>
    <row r="6" spans="1:49" s="9" customFormat="1" ht="35.1" customHeight="1" x14ac:dyDescent="0.25">
      <c r="A6" s="17" t="s">
        <v>56</v>
      </c>
      <c r="B6" s="18">
        <v>46069</v>
      </c>
      <c r="C6" s="18">
        <v>46069</v>
      </c>
      <c r="D6" s="17" t="s">
        <v>30</v>
      </c>
      <c r="E6" s="19">
        <v>0.25</v>
      </c>
      <c r="F6" s="19">
        <v>0.875</v>
      </c>
      <c r="G6" s="19">
        <v>1.7361111111111109E-4</v>
      </c>
      <c r="H6" s="17" t="s">
        <v>57</v>
      </c>
      <c r="I6" s="20">
        <v>0.28952546296296294</v>
      </c>
      <c r="J6" s="17" t="s">
        <v>41</v>
      </c>
      <c r="K6" s="17" t="s">
        <v>40</v>
      </c>
      <c r="L6" s="21">
        <v>1</v>
      </c>
      <c r="M6" s="21">
        <v>71977</v>
      </c>
      <c r="N6" s="17" t="s">
        <v>58</v>
      </c>
      <c r="O6" s="21" t="s">
        <v>59</v>
      </c>
      <c r="P6" s="22">
        <v>0</v>
      </c>
      <c r="Q6" s="21"/>
      <c r="R6" s="22">
        <v>90</v>
      </c>
      <c r="S6" s="23">
        <v>46054</v>
      </c>
      <c r="T6" s="22">
        <v>0</v>
      </c>
      <c r="U6" s="24">
        <v>4</v>
      </c>
      <c r="V6" s="22">
        <v>0</v>
      </c>
      <c r="W6" s="17" t="s">
        <v>48</v>
      </c>
      <c r="X6" s="17" t="s">
        <v>49</v>
      </c>
      <c r="Y6" s="17" t="s">
        <v>36</v>
      </c>
      <c r="Z6" s="17" t="s">
        <v>43</v>
      </c>
      <c r="AA6" s="17" t="s">
        <v>50</v>
      </c>
      <c r="AB6" s="17" t="s">
        <v>60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s="9" customFormat="1" ht="35.1" customHeight="1" x14ac:dyDescent="0.2">
      <c r="A7" s="9" t="s">
        <v>61</v>
      </c>
      <c r="B7" s="10">
        <v>46069</v>
      </c>
      <c r="C7" s="10">
        <v>46069</v>
      </c>
      <c r="D7" s="11" t="s">
        <v>30</v>
      </c>
      <c r="E7" s="12">
        <v>0.29166666666666669</v>
      </c>
      <c r="F7" s="12">
        <v>0.3125</v>
      </c>
      <c r="G7" s="12">
        <v>2.0833333333333332E-2</v>
      </c>
      <c r="H7" s="9" t="s">
        <v>62</v>
      </c>
      <c r="I7" s="13" t="s">
        <v>63</v>
      </c>
      <c r="J7" s="9" t="s">
        <v>41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9" customFormat="1" ht="35.1" customHeight="1" x14ac:dyDescent="0.25">
      <c r="A8" s="9" t="s">
        <v>61</v>
      </c>
      <c r="B8" s="10">
        <v>46069</v>
      </c>
      <c r="C8" s="10">
        <v>46069</v>
      </c>
      <c r="D8" s="11" t="s">
        <v>30</v>
      </c>
      <c r="E8" s="12">
        <v>0.3125</v>
      </c>
      <c r="F8" s="12">
        <v>0.33333333333333331</v>
      </c>
      <c r="G8" s="12">
        <v>2.0833333333333332E-2</v>
      </c>
      <c r="H8" s="9" t="s">
        <v>62</v>
      </c>
      <c r="I8" s="13" t="s">
        <v>63</v>
      </c>
      <c r="J8" s="9" t="s">
        <v>41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s="9" customFormat="1" ht="35.1" customHeight="1" x14ac:dyDescent="0.2">
      <c r="A9" s="9" t="s">
        <v>64</v>
      </c>
      <c r="B9" s="10">
        <v>46069</v>
      </c>
      <c r="C9" s="10">
        <v>46069</v>
      </c>
      <c r="D9" s="11" t="s">
        <v>30</v>
      </c>
      <c r="E9" s="12">
        <v>0.33333333333333331</v>
      </c>
      <c r="F9" s="12">
        <v>0.375</v>
      </c>
      <c r="G9" s="12">
        <v>4.1666666666666664E-2</v>
      </c>
      <c r="H9" s="9" t="s">
        <v>65</v>
      </c>
      <c r="I9" s="13"/>
      <c r="J9" s="9" t="s">
        <v>66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9" customFormat="1" ht="35.1" customHeight="1" x14ac:dyDescent="0.25">
      <c r="A10" s="17" t="s">
        <v>52</v>
      </c>
      <c r="B10" s="18">
        <v>46069</v>
      </c>
      <c r="C10" s="18">
        <v>46069</v>
      </c>
      <c r="D10" s="17" t="s">
        <v>30</v>
      </c>
      <c r="E10" s="19">
        <v>0.33333333333333331</v>
      </c>
      <c r="F10" s="19">
        <v>0.41666666666666669</v>
      </c>
      <c r="G10" s="19">
        <v>3.4722222222222218E-4</v>
      </c>
      <c r="H10" s="17" t="s">
        <v>67</v>
      </c>
      <c r="I10" s="20">
        <v>0.33978009259259262</v>
      </c>
      <c r="J10" s="17" t="s">
        <v>66</v>
      </c>
      <c r="K10" s="17" t="s">
        <v>65</v>
      </c>
      <c r="L10" s="21">
        <v>1</v>
      </c>
      <c r="M10" s="21">
        <v>70972</v>
      </c>
      <c r="N10" s="17" t="s">
        <v>46</v>
      </c>
      <c r="O10" s="21" t="str">
        <f>AC10</f>
        <v>SFO</v>
      </c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54</v>
      </c>
      <c r="AC10" s="17" t="s">
        <v>38</v>
      </c>
      <c r="AD10" s="7" t="str">
        <f t="shared" si="0"/>
        <v/>
      </c>
      <c r="AE10" s="25"/>
      <c r="AF10" s="25"/>
      <c r="AG10" s="25"/>
      <c r="AH10" s="25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49" s="9" customFormat="1" ht="35.1" customHeight="1" x14ac:dyDescent="0.2">
      <c r="A11" s="9" t="s">
        <v>64</v>
      </c>
      <c r="B11" s="10">
        <v>46069</v>
      </c>
      <c r="C11" s="10">
        <v>46069</v>
      </c>
      <c r="D11" s="11" t="s">
        <v>30</v>
      </c>
      <c r="E11" s="12">
        <v>0.375</v>
      </c>
      <c r="F11" s="12">
        <v>0.41666666666666669</v>
      </c>
      <c r="G11" s="12">
        <v>4.1666666666666664E-2</v>
      </c>
      <c r="H11" s="9" t="s">
        <v>68</v>
      </c>
      <c r="I11" s="13"/>
      <c r="J11" s="9" t="s">
        <v>66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49" s="9" customFormat="1" ht="35.1" customHeight="1" x14ac:dyDescent="0.2">
      <c r="A12" s="9" t="s">
        <v>69</v>
      </c>
      <c r="B12" s="10">
        <v>46069</v>
      </c>
      <c r="C12" s="10">
        <v>46069</v>
      </c>
      <c r="D12" s="11" t="s">
        <v>30</v>
      </c>
      <c r="E12" s="12">
        <v>0.41666666666666669</v>
      </c>
      <c r="F12" s="12">
        <v>0.45833333333333331</v>
      </c>
      <c r="G12" s="12">
        <v>4.1666666666666664E-2</v>
      </c>
      <c r="H12" s="9" t="s">
        <v>70</v>
      </c>
      <c r="I12" s="13"/>
      <c r="J12" s="9" t="s">
        <v>71</v>
      </c>
      <c r="L12" s="14">
        <v>1</v>
      </c>
      <c r="M12" s="14">
        <v>1</v>
      </c>
      <c r="N12" s="9" t="s">
        <v>33</v>
      </c>
      <c r="P12" s="16">
        <v>0</v>
      </c>
      <c r="Q12" s="14"/>
      <c r="R12" s="16">
        <v>0</v>
      </c>
      <c r="S12" s="9">
        <v>46054</v>
      </c>
      <c r="T12" s="16">
        <v>0</v>
      </c>
      <c r="U12" s="14">
        <v>2</v>
      </c>
      <c r="V12" s="16">
        <v>0</v>
      </c>
      <c r="W12" s="9" t="s">
        <v>34</v>
      </c>
      <c r="X12" s="9" t="s">
        <v>42</v>
      </c>
      <c r="Y12" s="9" t="s">
        <v>36</v>
      </c>
      <c r="Z12" s="9" t="s">
        <v>43</v>
      </c>
      <c r="AA12" s="9" t="s">
        <v>37</v>
      </c>
      <c r="AB12" s="9" t="s">
        <v>37</v>
      </c>
      <c r="AC12" s="9" t="s">
        <v>38</v>
      </c>
      <c r="AD12" s="7" t="str">
        <f t="shared" si="0"/>
        <v/>
      </c>
    </row>
    <row r="13" spans="1:49" s="9" customFormat="1" ht="35.1" customHeight="1" x14ac:dyDescent="0.2">
      <c r="A13" s="17" t="s">
        <v>69</v>
      </c>
      <c r="B13" s="18">
        <v>46069</v>
      </c>
      <c r="C13" s="18">
        <v>46069</v>
      </c>
      <c r="D13" s="17" t="s">
        <v>30</v>
      </c>
      <c r="E13" s="19">
        <v>0.41666666666666669</v>
      </c>
      <c r="F13" s="19">
        <v>0.45833333333333331</v>
      </c>
      <c r="G13" s="19">
        <v>3.4722222222222224E-4</v>
      </c>
      <c r="H13" s="17" t="s">
        <v>72</v>
      </c>
      <c r="I13" s="20">
        <v>0.42350694444444442</v>
      </c>
      <c r="J13" s="17" t="s">
        <v>71</v>
      </c>
      <c r="K13" s="17" t="s">
        <v>69</v>
      </c>
      <c r="L13" s="21">
        <v>1</v>
      </c>
      <c r="M13" s="21">
        <v>3</v>
      </c>
      <c r="N13" s="17" t="s">
        <v>58</v>
      </c>
      <c r="O13" s="21"/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34</v>
      </c>
      <c r="X13" s="17" t="s">
        <v>35</v>
      </c>
      <c r="Y13" s="17" t="s">
        <v>36</v>
      </c>
      <c r="Z13" s="17" t="s">
        <v>73</v>
      </c>
      <c r="AA13" s="17" t="s">
        <v>50</v>
      </c>
      <c r="AB13" s="17">
        <v>1109</v>
      </c>
      <c r="AC13" s="17" t="s">
        <v>38</v>
      </c>
      <c r="AD13" s="7" t="str">
        <f>IF(N13="PRG","",IF(I13&gt;=E13,IF(I13&lt;=F13,"","NO"),"NO"))</f>
        <v/>
      </c>
    </row>
    <row r="14" spans="1:49" s="9" customFormat="1" ht="35.1" customHeight="1" x14ac:dyDescent="0.25">
      <c r="A14" s="17" t="s">
        <v>69</v>
      </c>
      <c r="B14" s="18">
        <v>46069</v>
      </c>
      <c r="C14" s="18">
        <v>46069</v>
      </c>
      <c r="D14" s="17" t="s">
        <v>30</v>
      </c>
      <c r="E14" s="19">
        <v>0.41666666666666669</v>
      </c>
      <c r="F14" s="19">
        <v>0.45833333333333331</v>
      </c>
      <c r="G14" s="19">
        <v>3.4722222222222224E-4</v>
      </c>
      <c r="H14" s="17" t="s">
        <v>74</v>
      </c>
      <c r="I14" s="20">
        <v>0.42385416666666664</v>
      </c>
      <c r="J14" s="17" t="s">
        <v>71</v>
      </c>
      <c r="K14" s="17" t="s">
        <v>69</v>
      </c>
      <c r="L14" s="21">
        <v>1</v>
      </c>
      <c r="M14" s="21">
        <v>3</v>
      </c>
      <c r="N14" s="17" t="s">
        <v>58</v>
      </c>
      <c r="O14" s="21"/>
      <c r="P14" s="22">
        <v>0</v>
      </c>
      <c r="Q14" s="21"/>
      <c r="R14" s="22">
        <v>0</v>
      </c>
      <c r="S14" s="23">
        <v>46054</v>
      </c>
      <c r="T14" s="22">
        <v>0</v>
      </c>
      <c r="U14" s="24">
        <v>4</v>
      </c>
      <c r="V14" s="22">
        <v>0</v>
      </c>
      <c r="W14" s="17" t="s">
        <v>34</v>
      </c>
      <c r="X14" s="17" t="s">
        <v>35</v>
      </c>
      <c r="Y14" s="17" t="s">
        <v>36</v>
      </c>
      <c r="Z14" s="17" t="s">
        <v>73</v>
      </c>
      <c r="AA14" s="17" t="s">
        <v>50</v>
      </c>
      <c r="AB14" s="17">
        <v>1109</v>
      </c>
      <c r="AC14" s="17" t="s">
        <v>38</v>
      </c>
      <c r="AD14" s="7" t="str">
        <f>IF(N14="PRG","",IF(I14&gt;=E14,IF(I14&lt;=F14,"","NO"),"NO"))</f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9" customFormat="1" ht="35.1" customHeight="1" x14ac:dyDescent="0.25">
      <c r="A15" s="17" t="s">
        <v>69</v>
      </c>
      <c r="B15" s="18">
        <v>46069</v>
      </c>
      <c r="C15" s="18">
        <v>46069</v>
      </c>
      <c r="D15" s="17" t="s">
        <v>30</v>
      </c>
      <c r="E15" s="19">
        <v>0.41666666666666669</v>
      </c>
      <c r="F15" s="19">
        <v>0.45833333333333331</v>
      </c>
      <c r="G15" s="19">
        <v>3.4722222222222224E-4</v>
      </c>
      <c r="H15" s="17" t="s">
        <v>75</v>
      </c>
      <c r="I15" s="20">
        <v>0.42420138888888892</v>
      </c>
      <c r="J15" s="17" t="s">
        <v>71</v>
      </c>
      <c r="K15" s="17" t="s">
        <v>69</v>
      </c>
      <c r="L15" s="21">
        <v>1</v>
      </c>
      <c r="M15" s="21">
        <v>3</v>
      </c>
      <c r="N15" s="17" t="s">
        <v>58</v>
      </c>
      <c r="O15" s="21"/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34</v>
      </c>
      <c r="X15" s="17" t="s">
        <v>35</v>
      </c>
      <c r="Y15" s="17" t="s">
        <v>36</v>
      </c>
      <c r="Z15" s="17" t="s">
        <v>73</v>
      </c>
      <c r="AA15" s="17" t="s">
        <v>50</v>
      </c>
      <c r="AB15" s="17">
        <v>1109</v>
      </c>
      <c r="AC15" s="17" t="s">
        <v>38</v>
      </c>
      <c r="AD15" s="7" t="str">
        <f>IF(N15="PRG","",IF(I15&gt;=E15,IF(I15&lt;=F15,"","NO"),"NO"))</f>
        <v/>
      </c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</row>
    <row r="16" spans="1:49" s="9" customFormat="1" ht="35.1" customHeight="1" x14ac:dyDescent="0.25">
      <c r="A16" s="9" t="s">
        <v>76</v>
      </c>
      <c r="B16" s="10">
        <v>46069</v>
      </c>
      <c r="C16" s="10">
        <v>46069</v>
      </c>
      <c r="D16" s="11" t="s">
        <v>30</v>
      </c>
      <c r="E16" s="12">
        <v>0.45833333333333331</v>
      </c>
      <c r="F16" s="12">
        <v>0.47916666666666669</v>
      </c>
      <c r="G16" s="12">
        <v>2.0833333333333332E-2</v>
      </c>
      <c r="H16" s="9" t="s">
        <v>77</v>
      </c>
      <c r="I16" s="13" t="s">
        <v>78</v>
      </c>
      <c r="J16" s="9" t="s">
        <v>71</v>
      </c>
      <c r="L16" s="14">
        <v>1</v>
      </c>
      <c r="M16" s="14">
        <v>1</v>
      </c>
      <c r="N16" s="9" t="s">
        <v>33</v>
      </c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5"/>
      <c r="AF16" s="25"/>
      <c r="AG16" s="25"/>
      <c r="AH16" s="25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9" customFormat="1" ht="35.1" customHeight="1" x14ac:dyDescent="0.25">
      <c r="A17" s="17" t="s">
        <v>84</v>
      </c>
      <c r="B17" s="18">
        <v>46069</v>
      </c>
      <c r="C17" s="18">
        <v>46069</v>
      </c>
      <c r="D17" s="17" t="s">
        <v>30</v>
      </c>
      <c r="E17" s="19">
        <v>0.45833333333333331</v>
      </c>
      <c r="F17" s="19">
        <v>0.5</v>
      </c>
      <c r="G17" s="19">
        <v>3.4722222222222218E-4</v>
      </c>
      <c r="H17" s="17" t="s">
        <v>89</v>
      </c>
      <c r="I17" s="20">
        <v>0.46185185185185185</v>
      </c>
      <c r="J17" s="17" t="s">
        <v>81</v>
      </c>
      <c r="K17" s="17" t="s">
        <v>77</v>
      </c>
      <c r="L17" s="21">
        <v>1</v>
      </c>
      <c r="M17" s="21">
        <v>71446</v>
      </c>
      <c r="N17" s="17" t="s">
        <v>58</v>
      </c>
      <c r="O17" s="21" t="s">
        <v>86</v>
      </c>
      <c r="P17" s="22">
        <v>94.117647058823522</v>
      </c>
      <c r="Q17" s="21"/>
      <c r="R17" s="22">
        <v>94.117647058823522</v>
      </c>
      <c r="S17" s="23">
        <v>46069</v>
      </c>
      <c r="T17" s="22">
        <v>14.117647058823527</v>
      </c>
      <c r="U17" s="24">
        <v>4</v>
      </c>
      <c r="V17" s="22">
        <v>80</v>
      </c>
      <c r="W17" s="17" t="s">
        <v>48</v>
      </c>
      <c r="X17" s="17" t="s">
        <v>49</v>
      </c>
      <c r="Y17" s="17" t="s">
        <v>87</v>
      </c>
      <c r="Z17" s="17" t="s">
        <v>9</v>
      </c>
      <c r="AA17" s="17" t="s">
        <v>50</v>
      </c>
      <c r="AB17" s="17" t="s">
        <v>88</v>
      </c>
      <c r="AC17" s="17" t="s">
        <v>38</v>
      </c>
      <c r="AD17" s="7" t="str">
        <f t="shared" si="0"/>
        <v/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s="9" customFormat="1" ht="35.1" customHeight="1" x14ac:dyDescent="0.25">
      <c r="A18" s="17" t="s">
        <v>56</v>
      </c>
      <c r="B18" s="18">
        <v>46069</v>
      </c>
      <c r="C18" s="18">
        <v>46069</v>
      </c>
      <c r="D18" s="17" t="s">
        <v>30</v>
      </c>
      <c r="E18" s="19">
        <v>0.45833333333333331</v>
      </c>
      <c r="F18" s="19">
        <v>0.5</v>
      </c>
      <c r="G18" s="19">
        <v>1.7361111111111109E-4</v>
      </c>
      <c r="H18" s="17" t="s">
        <v>90</v>
      </c>
      <c r="I18" s="20">
        <v>0.46167824074074076</v>
      </c>
      <c r="J18" s="17" t="s">
        <v>81</v>
      </c>
      <c r="K18" s="17" t="s">
        <v>77</v>
      </c>
      <c r="L18" s="21">
        <v>1</v>
      </c>
      <c r="M18" s="21">
        <v>71978</v>
      </c>
      <c r="N18" s="17" t="s">
        <v>58</v>
      </c>
      <c r="O18" s="21" t="s">
        <v>59</v>
      </c>
      <c r="P18" s="22">
        <v>0</v>
      </c>
      <c r="Q18" s="21"/>
      <c r="R18" s="22">
        <v>90</v>
      </c>
      <c r="S18" s="23">
        <v>46054</v>
      </c>
      <c r="T18" s="22">
        <v>0</v>
      </c>
      <c r="U18" s="24">
        <v>4</v>
      </c>
      <c r="V18" s="22">
        <v>0</v>
      </c>
      <c r="W18" s="17" t="s">
        <v>48</v>
      </c>
      <c r="X18" s="17" t="s">
        <v>49</v>
      </c>
      <c r="Y18" s="17" t="s">
        <v>36</v>
      </c>
      <c r="Z18" s="17" t="s">
        <v>43</v>
      </c>
      <c r="AA18" s="17" t="s">
        <v>50</v>
      </c>
      <c r="AB18" s="17" t="s">
        <v>60</v>
      </c>
      <c r="AC18" s="17" t="s">
        <v>38</v>
      </c>
      <c r="AD18" s="7" t="str">
        <f t="shared" si="0"/>
        <v/>
      </c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</row>
    <row r="19" spans="1:49" s="9" customFormat="1" ht="35.1" customHeight="1" x14ac:dyDescent="0.25">
      <c r="A19" s="17" t="s">
        <v>79</v>
      </c>
      <c r="B19" s="18">
        <v>46069</v>
      </c>
      <c r="C19" s="18">
        <v>46069</v>
      </c>
      <c r="D19" s="17" t="s">
        <v>30</v>
      </c>
      <c r="E19" s="19">
        <v>0.45833333333333331</v>
      </c>
      <c r="F19" s="19">
        <v>0.47916666666666669</v>
      </c>
      <c r="G19" s="19">
        <v>1.7361111111111109E-4</v>
      </c>
      <c r="H19" s="17" t="s">
        <v>91</v>
      </c>
      <c r="I19" s="20">
        <v>0.46150462962962963</v>
      </c>
      <c r="J19" s="17" t="s">
        <v>81</v>
      </c>
      <c r="K19" s="17" t="s">
        <v>77</v>
      </c>
      <c r="L19" s="21">
        <v>1</v>
      </c>
      <c r="M19" s="21">
        <v>70008</v>
      </c>
      <c r="N19" s="17" t="s">
        <v>58</v>
      </c>
      <c r="O19" s="21" t="s">
        <v>82</v>
      </c>
      <c r="P19" s="22">
        <v>64.709999999999994</v>
      </c>
      <c r="Q19" s="21"/>
      <c r="R19" s="22">
        <v>64.709999999999994</v>
      </c>
      <c r="S19" s="23">
        <v>46054</v>
      </c>
      <c r="T19" s="22">
        <v>9.7064999999999984</v>
      </c>
      <c r="U19" s="24">
        <v>4</v>
      </c>
      <c r="V19" s="22">
        <v>55.003499999999995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83</v>
      </c>
      <c r="AC19" s="17" t="s">
        <v>38</v>
      </c>
      <c r="AD19" s="7" t="str">
        <f t="shared" si="0"/>
        <v/>
      </c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</row>
    <row r="20" spans="1:49" s="9" customFormat="1" ht="35.1" customHeight="1" x14ac:dyDescent="0.25">
      <c r="A20" s="17" t="s">
        <v>79</v>
      </c>
      <c r="B20" s="18">
        <v>46069</v>
      </c>
      <c r="C20" s="18">
        <v>46069</v>
      </c>
      <c r="D20" s="17" t="s">
        <v>30</v>
      </c>
      <c r="E20" s="19">
        <v>0.45833333333333331</v>
      </c>
      <c r="F20" s="19">
        <v>0.54166666666666663</v>
      </c>
      <c r="G20" s="19">
        <v>1.7361111111111109E-4</v>
      </c>
      <c r="H20" s="17" t="s">
        <v>80</v>
      </c>
      <c r="I20" s="20">
        <v>0.47711805555555553</v>
      </c>
      <c r="J20" s="17" t="s">
        <v>81</v>
      </c>
      <c r="K20" s="17" t="s">
        <v>77</v>
      </c>
      <c r="L20" s="21">
        <v>1</v>
      </c>
      <c r="M20" s="21">
        <v>70037</v>
      </c>
      <c r="N20" s="17" t="s">
        <v>46</v>
      </c>
      <c r="O20" s="21" t="s">
        <v>82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83</v>
      </c>
      <c r="AC20" s="17" t="s">
        <v>38</v>
      </c>
      <c r="AD20" s="7" t="str">
        <f t="shared" si="0"/>
        <v/>
      </c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s="9" customFormat="1" ht="35.1" customHeight="1" x14ac:dyDescent="0.2">
      <c r="A21" s="17" t="s">
        <v>92</v>
      </c>
      <c r="B21" s="18">
        <v>46069</v>
      </c>
      <c r="C21" s="18">
        <v>46069</v>
      </c>
      <c r="D21" s="17" t="s">
        <v>30</v>
      </c>
      <c r="E21" s="19">
        <v>0.45833333333333331</v>
      </c>
      <c r="F21" s="19">
        <v>0.47916666666666669</v>
      </c>
      <c r="G21" s="19">
        <v>1.7361111111111109E-4</v>
      </c>
      <c r="H21" s="17" t="s">
        <v>93</v>
      </c>
      <c r="I21" s="20">
        <v>0.47729166666666667</v>
      </c>
      <c r="J21" s="17" t="s">
        <v>81</v>
      </c>
      <c r="K21" s="17" t="s">
        <v>77</v>
      </c>
      <c r="L21" s="21">
        <v>1</v>
      </c>
      <c r="M21" s="21">
        <v>71172</v>
      </c>
      <c r="N21" s="17" t="s">
        <v>58</v>
      </c>
      <c r="O21" s="21" t="s">
        <v>94</v>
      </c>
      <c r="P21" s="22">
        <v>70</v>
      </c>
      <c r="Q21" s="21"/>
      <c r="R21" s="22">
        <v>70</v>
      </c>
      <c r="S21" s="23">
        <v>46069</v>
      </c>
      <c r="T21" s="22">
        <v>10.5</v>
      </c>
      <c r="U21" s="24">
        <v>4</v>
      </c>
      <c r="V21" s="22">
        <v>59.5</v>
      </c>
      <c r="W21" s="17" t="s">
        <v>48</v>
      </c>
      <c r="X21" s="17" t="s">
        <v>49</v>
      </c>
      <c r="Y21" s="17" t="s">
        <v>87</v>
      </c>
      <c r="Z21" s="17" t="s">
        <v>9</v>
      </c>
      <c r="AA21" s="17" t="s">
        <v>50</v>
      </c>
      <c r="AB21" s="17" t="s">
        <v>95</v>
      </c>
      <c r="AC21" s="17" t="s">
        <v>38</v>
      </c>
      <c r="AD21" s="7" t="str">
        <f t="shared" si="0"/>
        <v/>
      </c>
    </row>
    <row r="22" spans="1:49" s="9" customFormat="1" ht="35.1" customHeight="1" x14ac:dyDescent="0.2">
      <c r="A22" s="9" t="s">
        <v>76</v>
      </c>
      <c r="B22" s="10">
        <v>46069</v>
      </c>
      <c r="C22" s="10">
        <v>46069</v>
      </c>
      <c r="D22" s="11" t="s">
        <v>30</v>
      </c>
      <c r="E22" s="12">
        <v>0.47916666666666669</v>
      </c>
      <c r="F22" s="12">
        <v>0.5</v>
      </c>
      <c r="G22" s="12">
        <v>2.0833333333333332E-2</v>
      </c>
      <c r="H22" s="9" t="s">
        <v>97</v>
      </c>
      <c r="I22" s="13"/>
      <c r="J22" s="9" t="s">
        <v>81</v>
      </c>
      <c r="L22" s="14">
        <v>1</v>
      </c>
      <c r="M22" s="14">
        <v>1</v>
      </c>
      <c r="N22" s="9" t="s">
        <v>33</v>
      </c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</row>
    <row r="23" spans="1:49" s="9" customFormat="1" ht="35.1" customHeight="1" x14ac:dyDescent="0.2">
      <c r="A23" s="17" t="s">
        <v>56</v>
      </c>
      <c r="B23" s="18">
        <v>46069</v>
      </c>
      <c r="C23" s="18">
        <v>46069</v>
      </c>
      <c r="D23" s="17" t="s">
        <v>30</v>
      </c>
      <c r="E23" s="19">
        <v>0.45833333333333331</v>
      </c>
      <c r="F23" s="19">
        <v>0.5</v>
      </c>
      <c r="G23" s="19">
        <v>1.7361111111111109E-4</v>
      </c>
      <c r="H23" s="17" t="s">
        <v>90</v>
      </c>
      <c r="I23" s="20">
        <v>0.48293981481481479</v>
      </c>
      <c r="J23" s="17" t="s">
        <v>81</v>
      </c>
      <c r="K23" s="17" t="s">
        <v>137</v>
      </c>
      <c r="L23" s="21">
        <v>1</v>
      </c>
      <c r="M23" s="21">
        <v>71978</v>
      </c>
      <c r="N23" s="17" t="s">
        <v>58</v>
      </c>
      <c r="O23" s="21" t="s">
        <v>59</v>
      </c>
      <c r="P23" s="22">
        <v>0</v>
      </c>
      <c r="Q23" s="21"/>
      <c r="R23" s="22">
        <v>90</v>
      </c>
      <c r="S23" s="23">
        <v>46054</v>
      </c>
      <c r="T23" s="22">
        <v>0</v>
      </c>
      <c r="U23" s="24">
        <v>4</v>
      </c>
      <c r="V23" s="22">
        <v>0</v>
      </c>
      <c r="W23" s="17" t="s">
        <v>48</v>
      </c>
      <c r="X23" s="17" t="s">
        <v>49</v>
      </c>
      <c r="Y23" s="17" t="s">
        <v>36</v>
      </c>
      <c r="Z23" s="17" t="s">
        <v>43</v>
      </c>
      <c r="AA23" s="17" t="s">
        <v>50</v>
      </c>
      <c r="AB23" s="17" t="s">
        <v>60</v>
      </c>
      <c r="AC23" s="17" t="s">
        <v>38</v>
      </c>
      <c r="AD23" s="7" t="str">
        <f t="shared" si="0"/>
        <v/>
      </c>
    </row>
    <row r="24" spans="1:49" s="9" customFormat="1" ht="35.1" customHeight="1" x14ac:dyDescent="0.2">
      <c r="A24" s="17" t="s">
        <v>92</v>
      </c>
      <c r="B24" s="18">
        <v>46069</v>
      </c>
      <c r="C24" s="18">
        <v>46069</v>
      </c>
      <c r="D24" s="17" t="s">
        <v>30</v>
      </c>
      <c r="E24" s="19">
        <v>0.47916666666666669</v>
      </c>
      <c r="F24" s="19">
        <v>0.5</v>
      </c>
      <c r="G24" s="19">
        <v>1.7361111111111109E-4</v>
      </c>
      <c r="H24" s="17" t="s">
        <v>98</v>
      </c>
      <c r="I24" s="20">
        <v>0.48276620370370371</v>
      </c>
      <c r="J24" s="17" t="s">
        <v>81</v>
      </c>
      <c r="K24" s="17" t="s">
        <v>137</v>
      </c>
      <c r="L24" s="21">
        <v>1</v>
      </c>
      <c r="M24" s="21">
        <v>71177</v>
      </c>
      <c r="N24" s="17" t="s">
        <v>58</v>
      </c>
      <c r="O24" s="21" t="s">
        <v>94</v>
      </c>
      <c r="P24" s="22">
        <v>70</v>
      </c>
      <c r="Q24" s="21"/>
      <c r="R24" s="22">
        <v>70</v>
      </c>
      <c r="S24" s="23">
        <v>46069</v>
      </c>
      <c r="T24" s="22">
        <v>10.5</v>
      </c>
      <c r="U24" s="24">
        <v>4</v>
      </c>
      <c r="V24" s="22">
        <v>59.5</v>
      </c>
      <c r="W24" s="17" t="s">
        <v>48</v>
      </c>
      <c r="X24" s="17" t="s">
        <v>49</v>
      </c>
      <c r="Y24" s="17" t="s">
        <v>87</v>
      </c>
      <c r="Z24" s="17" t="s">
        <v>9</v>
      </c>
      <c r="AA24" s="17" t="s">
        <v>50</v>
      </c>
      <c r="AB24" s="17" t="s">
        <v>95</v>
      </c>
      <c r="AC24" s="17" t="s">
        <v>38</v>
      </c>
      <c r="AD24" s="7" t="str">
        <f t="shared" si="0"/>
        <v/>
      </c>
    </row>
    <row r="25" spans="1:49" s="9" customFormat="1" ht="35.1" customHeight="1" x14ac:dyDescent="0.25">
      <c r="A25" s="17" t="s">
        <v>56</v>
      </c>
      <c r="B25" s="18">
        <v>46069</v>
      </c>
      <c r="C25" s="18">
        <v>46069</v>
      </c>
      <c r="D25" s="17" t="s">
        <v>30</v>
      </c>
      <c r="E25" s="19">
        <v>0.45833333333333331</v>
      </c>
      <c r="F25" s="19">
        <v>0.5</v>
      </c>
      <c r="G25" s="19">
        <v>1.7361111111111109E-4</v>
      </c>
      <c r="H25" s="17" t="s">
        <v>90</v>
      </c>
      <c r="I25" s="20">
        <v>0.48878472222222225</v>
      </c>
      <c r="J25" s="17" t="s">
        <v>81</v>
      </c>
      <c r="K25" s="17" t="s">
        <v>137</v>
      </c>
      <c r="L25" s="21">
        <v>1</v>
      </c>
      <c r="M25" s="21">
        <v>71978</v>
      </c>
      <c r="N25" s="17" t="s">
        <v>58</v>
      </c>
      <c r="O25" s="21" t="s">
        <v>59</v>
      </c>
      <c r="P25" s="22">
        <v>0</v>
      </c>
      <c r="Q25" s="21"/>
      <c r="R25" s="22">
        <v>90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43</v>
      </c>
      <c r="AA25" s="17" t="s">
        <v>50</v>
      </c>
      <c r="AB25" s="17" t="s">
        <v>60</v>
      </c>
      <c r="AC25" s="17" t="s">
        <v>38</v>
      </c>
      <c r="AD25" s="7" t="str">
        <f t="shared" si="0"/>
        <v/>
      </c>
      <c r="AE25" s="25"/>
      <c r="AF25" s="25"/>
      <c r="AG25" s="25"/>
      <c r="AH25" s="25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9" customFormat="1" ht="35.1" customHeight="1" x14ac:dyDescent="0.2">
      <c r="A26" s="17" t="s">
        <v>92</v>
      </c>
      <c r="B26" s="18">
        <v>46069</v>
      </c>
      <c r="C26" s="18">
        <v>46069</v>
      </c>
      <c r="D26" s="17" t="s">
        <v>30</v>
      </c>
      <c r="E26" s="19">
        <v>0.47916666666666669</v>
      </c>
      <c r="F26" s="19">
        <v>0.5</v>
      </c>
      <c r="G26" s="19">
        <v>1.7361111111111109E-4</v>
      </c>
      <c r="H26" s="17" t="s">
        <v>98</v>
      </c>
      <c r="I26" s="20">
        <v>0.48930555555555555</v>
      </c>
      <c r="J26" s="17" t="s">
        <v>81</v>
      </c>
      <c r="K26" s="17" t="s">
        <v>137</v>
      </c>
      <c r="L26" s="21">
        <v>1</v>
      </c>
      <c r="M26" s="21">
        <v>71177</v>
      </c>
      <c r="N26" s="17" t="s">
        <v>58</v>
      </c>
      <c r="O26" s="21" t="s">
        <v>94</v>
      </c>
      <c r="P26" s="22">
        <v>70</v>
      </c>
      <c r="Q26" s="21"/>
      <c r="R26" s="22">
        <v>70</v>
      </c>
      <c r="S26" s="23">
        <v>46069</v>
      </c>
      <c r="T26" s="22">
        <v>10.5</v>
      </c>
      <c r="U26" s="24">
        <v>4</v>
      </c>
      <c r="V26" s="22">
        <v>59.5</v>
      </c>
      <c r="W26" s="17" t="s">
        <v>48</v>
      </c>
      <c r="X26" s="17" t="s">
        <v>49</v>
      </c>
      <c r="Y26" s="17" t="s">
        <v>87</v>
      </c>
      <c r="Z26" s="17" t="s">
        <v>9</v>
      </c>
      <c r="AA26" s="17" t="s">
        <v>50</v>
      </c>
      <c r="AB26" s="17" t="s">
        <v>95</v>
      </c>
      <c r="AC26" s="17" t="s">
        <v>38</v>
      </c>
      <c r="AD26" s="7" t="str">
        <f t="shared" si="0"/>
        <v/>
      </c>
    </row>
    <row r="27" spans="1:49" s="9" customFormat="1" ht="35.1" customHeight="1" x14ac:dyDescent="0.2">
      <c r="A27" s="17" t="s">
        <v>79</v>
      </c>
      <c r="B27" s="18">
        <v>46069</v>
      </c>
      <c r="C27" s="18">
        <v>46069</v>
      </c>
      <c r="D27" s="17" t="s">
        <v>30</v>
      </c>
      <c r="E27" s="19">
        <v>0.47916666666666669</v>
      </c>
      <c r="F27" s="19">
        <v>0.5</v>
      </c>
      <c r="G27" s="19">
        <v>1.7361111111111109E-4</v>
      </c>
      <c r="H27" s="17" t="s">
        <v>91</v>
      </c>
      <c r="I27" s="20">
        <v>0.48861111111111111</v>
      </c>
      <c r="J27" s="17" t="s">
        <v>81</v>
      </c>
      <c r="K27" s="17" t="s">
        <v>137</v>
      </c>
      <c r="L27" s="21">
        <v>1</v>
      </c>
      <c r="M27" s="21">
        <v>70009</v>
      </c>
      <c r="N27" s="17" t="s">
        <v>58</v>
      </c>
      <c r="O27" s="21" t="s">
        <v>82</v>
      </c>
      <c r="P27" s="22">
        <v>64.709999999999994</v>
      </c>
      <c r="Q27" s="21"/>
      <c r="R27" s="22">
        <v>64.709999999999994</v>
      </c>
      <c r="S27" s="23">
        <v>46054</v>
      </c>
      <c r="T27" s="22">
        <v>9.7064999999999984</v>
      </c>
      <c r="U27" s="24">
        <v>4</v>
      </c>
      <c r="V27" s="22">
        <v>55.003499999999995</v>
      </c>
      <c r="W27" s="17" t="s">
        <v>48</v>
      </c>
      <c r="X27" s="17" t="s">
        <v>49</v>
      </c>
      <c r="Y27" s="17" t="s">
        <v>36</v>
      </c>
      <c r="Z27" s="17" t="s">
        <v>9</v>
      </c>
      <c r="AA27" s="17" t="s">
        <v>50</v>
      </c>
      <c r="AB27" s="17" t="s">
        <v>83</v>
      </c>
      <c r="AC27" s="17" t="s">
        <v>38</v>
      </c>
      <c r="AD27" s="7" t="str">
        <f t="shared" si="0"/>
        <v/>
      </c>
    </row>
    <row r="28" spans="1:49" s="9" customFormat="1" ht="35.1" customHeight="1" x14ac:dyDescent="0.25">
      <c r="A28" s="17" t="s">
        <v>84</v>
      </c>
      <c r="B28" s="18">
        <v>46069</v>
      </c>
      <c r="C28" s="18">
        <v>46069</v>
      </c>
      <c r="D28" s="17" t="s">
        <v>30</v>
      </c>
      <c r="E28" s="19">
        <v>0.45833333333333331</v>
      </c>
      <c r="F28" s="19">
        <v>0.5</v>
      </c>
      <c r="G28" s="19">
        <v>3.4722222222222218E-4</v>
      </c>
      <c r="H28" s="17" t="s">
        <v>96</v>
      </c>
      <c r="I28" s="20">
        <v>0.49780092592592595</v>
      </c>
      <c r="J28" s="17" t="s">
        <v>81</v>
      </c>
      <c r="K28" s="17" t="s">
        <v>137</v>
      </c>
      <c r="L28" s="21">
        <v>1</v>
      </c>
      <c r="M28" s="21">
        <v>71445</v>
      </c>
      <c r="N28" s="17" t="s">
        <v>58</v>
      </c>
      <c r="O28" s="21" t="s">
        <v>86</v>
      </c>
      <c r="P28" s="22">
        <v>94.117647058823522</v>
      </c>
      <c r="Q28" s="21"/>
      <c r="R28" s="22">
        <v>94.117647058823522</v>
      </c>
      <c r="S28" s="23">
        <v>46069</v>
      </c>
      <c r="T28" s="22">
        <v>14.117647058823527</v>
      </c>
      <c r="U28" s="24">
        <v>4</v>
      </c>
      <c r="V28" s="22">
        <v>80</v>
      </c>
      <c r="W28" s="17" t="s">
        <v>48</v>
      </c>
      <c r="X28" s="17" t="s">
        <v>49</v>
      </c>
      <c r="Y28" s="17" t="s">
        <v>87</v>
      </c>
      <c r="Z28" s="17" t="s">
        <v>9</v>
      </c>
      <c r="AA28" s="17" t="s">
        <v>50</v>
      </c>
      <c r="AB28" s="17" t="s">
        <v>88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9" customFormat="1" ht="35.1" customHeight="1" x14ac:dyDescent="0.2">
      <c r="A29" s="9" t="s">
        <v>99</v>
      </c>
      <c r="B29" s="10">
        <v>46069</v>
      </c>
      <c r="C29" s="10">
        <v>46069</v>
      </c>
      <c r="D29" s="11" t="s">
        <v>30</v>
      </c>
      <c r="E29" s="12">
        <v>0.5</v>
      </c>
      <c r="F29" s="12">
        <v>0.54166666666666663</v>
      </c>
      <c r="G29" s="12">
        <v>4.1666666666666664E-2</v>
      </c>
      <c r="H29" s="9" t="s">
        <v>100</v>
      </c>
      <c r="I29" s="13"/>
      <c r="J29" s="9" t="s">
        <v>81</v>
      </c>
      <c r="L29" s="14">
        <v>1</v>
      </c>
      <c r="M29" s="14">
        <v>1</v>
      </c>
      <c r="N29" s="9" t="s">
        <v>33</v>
      </c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</row>
    <row r="30" spans="1:49" s="9" customFormat="1" ht="35.1" customHeight="1" x14ac:dyDescent="0.25">
      <c r="A30" s="17" t="s">
        <v>92</v>
      </c>
      <c r="B30" s="18">
        <v>46069</v>
      </c>
      <c r="C30" s="18">
        <v>46069</v>
      </c>
      <c r="D30" s="17" t="s">
        <v>30</v>
      </c>
      <c r="E30" s="19">
        <v>0.5</v>
      </c>
      <c r="F30" s="19">
        <v>0.54166666666666663</v>
      </c>
      <c r="G30" s="19">
        <v>1.7361111111111109E-4</v>
      </c>
      <c r="H30" s="17" t="s">
        <v>93</v>
      </c>
      <c r="I30" s="20">
        <v>0.51997685185185183</v>
      </c>
      <c r="J30" s="17" t="s">
        <v>81</v>
      </c>
      <c r="K30" s="17" t="s">
        <v>138</v>
      </c>
      <c r="L30" s="21">
        <v>1</v>
      </c>
      <c r="M30" s="21">
        <v>71190</v>
      </c>
      <c r="N30" s="17" t="s">
        <v>58</v>
      </c>
      <c r="O30" s="21" t="s">
        <v>94</v>
      </c>
      <c r="P30" s="22">
        <v>70</v>
      </c>
      <c r="Q30" s="21"/>
      <c r="R30" s="22">
        <v>70</v>
      </c>
      <c r="S30" s="23">
        <v>46069</v>
      </c>
      <c r="T30" s="22">
        <v>10.5</v>
      </c>
      <c r="U30" s="24">
        <v>4</v>
      </c>
      <c r="V30" s="22">
        <v>59.5</v>
      </c>
      <c r="W30" s="17" t="s">
        <v>48</v>
      </c>
      <c r="X30" s="17" t="s">
        <v>49</v>
      </c>
      <c r="Y30" s="17" t="s">
        <v>87</v>
      </c>
      <c r="Z30" s="17" t="s">
        <v>9</v>
      </c>
      <c r="AA30" s="17" t="s">
        <v>50</v>
      </c>
      <c r="AB30" s="17" t="s">
        <v>95</v>
      </c>
      <c r="AC30" s="17" t="s">
        <v>38</v>
      </c>
      <c r="AD30" s="7" t="str">
        <f t="shared" si="0"/>
        <v/>
      </c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</row>
    <row r="31" spans="1:49" s="9" customFormat="1" ht="35.1" customHeight="1" x14ac:dyDescent="0.25">
      <c r="A31" s="17" t="s">
        <v>92</v>
      </c>
      <c r="B31" s="18">
        <v>46069</v>
      </c>
      <c r="C31" s="18">
        <v>46069</v>
      </c>
      <c r="D31" s="17" t="s">
        <v>30</v>
      </c>
      <c r="E31" s="19">
        <v>0.5</v>
      </c>
      <c r="F31" s="19">
        <v>0.54166666666666663</v>
      </c>
      <c r="G31" s="19">
        <v>1.7361111111111109E-4</v>
      </c>
      <c r="H31" s="17" t="s">
        <v>93</v>
      </c>
      <c r="I31" s="20">
        <v>0.5329976851851852</v>
      </c>
      <c r="J31" s="17" t="s">
        <v>81</v>
      </c>
      <c r="K31" s="17" t="s">
        <v>138</v>
      </c>
      <c r="L31" s="21">
        <v>1</v>
      </c>
      <c r="M31" s="21">
        <v>71190</v>
      </c>
      <c r="N31" s="17" t="s">
        <v>58</v>
      </c>
      <c r="O31" s="21" t="s">
        <v>94</v>
      </c>
      <c r="P31" s="22">
        <v>70</v>
      </c>
      <c r="Q31" s="21"/>
      <c r="R31" s="22">
        <v>70</v>
      </c>
      <c r="S31" s="23">
        <v>46069</v>
      </c>
      <c r="T31" s="22">
        <v>10.5</v>
      </c>
      <c r="U31" s="24">
        <v>4</v>
      </c>
      <c r="V31" s="22">
        <v>59.5</v>
      </c>
      <c r="W31" s="17" t="s">
        <v>48</v>
      </c>
      <c r="X31" s="17" t="s">
        <v>49</v>
      </c>
      <c r="Y31" s="17" t="s">
        <v>87</v>
      </c>
      <c r="Z31" s="17" t="s">
        <v>9</v>
      </c>
      <c r="AA31" s="17" t="s">
        <v>50</v>
      </c>
      <c r="AB31" s="17" t="s">
        <v>95</v>
      </c>
      <c r="AC31" s="17" t="s">
        <v>38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9" customFormat="1" ht="35.1" customHeight="1" x14ac:dyDescent="0.2">
      <c r="A32" s="17" t="s">
        <v>84</v>
      </c>
      <c r="B32" s="18">
        <v>46069</v>
      </c>
      <c r="C32" s="18">
        <v>46069</v>
      </c>
      <c r="D32" s="17" t="s">
        <v>30</v>
      </c>
      <c r="E32" s="19">
        <v>0.45833333333333331</v>
      </c>
      <c r="F32" s="19">
        <v>0.54166666666666663</v>
      </c>
      <c r="G32" s="19">
        <v>3.4722222222222218E-4</v>
      </c>
      <c r="H32" s="17" t="s">
        <v>85</v>
      </c>
      <c r="I32" s="20">
        <v>0.54069444444444448</v>
      </c>
      <c r="J32" s="17" t="s">
        <v>81</v>
      </c>
      <c r="K32" s="17" t="s">
        <v>138</v>
      </c>
      <c r="L32" s="21">
        <v>1</v>
      </c>
      <c r="M32" s="21">
        <v>71448</v>
      </c>
      <c r="N32" s="17" t="s">
        <v>46</v>
      </c>
      <c r="O32" s="21" t="s">
        <v>86</v>
      </c>
      <c r="P32" s="22">
        <v>0</v>
      </c>
      <c r="Q32" s="21"/>
      <c r="R32" s="22">
        <v>0</v>
      </c>
      <c r="S32" s="23">
        <v>46069</v>
      </c>
      <c r="T32" s="22">
        <v>0</v>
      </c>
      <c r="U32" s="24">
        <v>4</v>
      </c>
      <c r="V32" s="22">
        <v>0</v>
      </c>
      <c r="W32" s="17" t="s">
        <v>48</v>
      </c>
      <c r="X32" s="17" t="s">
        <v>49</v>
      </c>
      <c r="Y32" s="17" t="s">
        <v>87</v>
      </c>
      <c r="Z32" s="17" t="s">
        <v>9</v>
      </c>
      <c r="AA32" s="17" t="s">
        <v>50</v>
      </c>
      <c r="AB32" s="17" t="s">
        <v>88</v>
      </c>
      <c r="AC32" s="17" t="s">
        <v>38</v>
      </c>
      <c r="AD32" s="7" t="str">
        <f t="shared" si="0"/>
        <v/>
      </c>
    </row>
    <row r="33" spans="1:49" s="9" customFormat="1" ht="35.1" customHeight="1" x14ac:dyDescent="0.25">
      <c r="A33" s="17" t="s">
        <v>79</v>
      </c>
      <c r="B33" s="18">
        <v>46069</v>
      </c>
      <c r="C33" s="18">
        <v>46069</v>
      </c>
      <c r="D33" s="17" t="s">
        <v>30</v>
      </c>
      <c r="E33" s="19">
        <v>0.5</v>
      </c>
      <c r="F33" s="19">
        <v>0.54166666666666663</v>
      </c>
      <c r="G33" s="19">
        <v>1.7361111111111109E-4</v>
      </c>
      <c r="H33" s="17" t="s">
        <v>80</v>
      </c>
      <c r="I33" s="20">
        <v>0.54052083333333334</v>
      </c>
      <c r="J33" s="17" t="s">
        <v>81</v>
      </c>
      <c r="K33" s="17" t="s">
        <v>138</v>
      </c>
      <c r="L33" s="21">
        <v>1</v>
      </c>
      <c r="M33" s="21">
        <v>70011</v>
      </c>
      <c r="N33" s="17" t="s">
        <v>58</v>
      </c>
      <c r="O33" s="21" t="s">
        <v>82</v>
      </c>
      <c r="P33" s="22">
        <v>64.709999999999994</v>
      </c>
      <c r="Q33" s="21"/>
      <c r="R33" s="22">
        <v>64.709999999999994</v>
      </c>
      <c r="S33" s="23">
        <v>46054</v>
      </c>
      <c r="T33" s="22">
        <v>9.7064999999999984</v>
      </c>
      <c r="U33" s="24">
        <v>4</v>
      </c>
      <c r="V33" s="22">
        <v>55.003499999999995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83</v>
      </c>
      <c r="AC33" s="17" t="s">
        <v>38</v>
      </c>
      <c r="AD33" s="7" t="str">
        <f t="shared" si="0"/>
        <v/>
      </c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</row>
    <row r="34" spans="1:49" s="9" customFormat="1" ht="35.1" customHeight="1" x14ac:dyDescent="0.2">
      <c r="A34" s="9" t="s">
        <v>101</v>
      </c>
      <c r="B34" s="10">
        <v>46069</v>
      </c>
      <c r="C34" s="10">
        <v>46069</v>
      </c>
      <c r="D34" s="11" t="s">
        <v>30</v>
      </c>
      <c r="E34" s="12">
        <v>0.54166666666666663</v>
      </c>
      <c r="F34" s="12">
        <v>0.5625</v>
      </c>
      <c r="G34" s="12">
        <v>2.0833333333333332E-2</v>
      </c>
      <c r="H34" s="9" t="s">
        <v>102</v>
      </c>
      <c r="I34" s="13"/>
      <c r="J34" s="9" t="s">
        <v>103</v>
      </c>
      <c r="L34" s="14">
        <v>1</v>
      </c>
      <c r="M34" s="14">
        <v>1</v>
      </c>
      <c r="N34" s="9" t="s">
        <v>33</v>
      </c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</row>
    <row r="35" spans="1:49" s="9" customFormat="1" ht="35.1" customHeight="1" x14ac:dyDescent="0.25">
      <c r="A35" s="17" t="s">
        <v>79</v>
      </c>
      <c r="B35" s="18">
        <v>46069</v>
      </c>
      <c r="C35" s="18">
        <v>46069</v>
      </c>
      <c r="D35" s="17" t="s">
        <v>30</v>
      </c>
      <c r="E35" s="19">
        <v>0.54166666666666663</v>
      </c>
      <c r="F35" s="19">
        <v>0.5625</v>
      </c>
      <c r="G35" s="19">
        <v>1.7361111111111109E-4</v>
      </c>
      <c r="H35" s="17" t="s">
        <v>107</v>
      </c>
      <c r="I35" s="20">
        <v>0.56175925925925929</v>
      </c>
      <c r="J35" s="17" t="s">
        <v>103</v>
      </c>
      <c r="K35" s="17" t="s">
        <v>139</v>
      </c>
      <c r="L35" s="21">
        <v>1</v>
      </c>
      <c r="M35" s="21">
        <v>69976</v>
      </c>
      <c r="N35" s="17" t="s">
        <v>58</v>
      </c>
      <c r="O35" s="21" t="s">
        <v>105</v>
      </c>
      <c r="P35" s="22">
        <v>64.709999999999994</v>
      </c>
      <c r="Q35" s="21"/>
      <c r="R35" s="22">
        <v>64.709999999999994</v>
      </c>
      <c r="S35" s="23">
        <v>46054</v>
      </c>
      <c r="T35" s="22">
        <v>9.7064999999999984</v>
      </c>
      <c r="U35" s="24">
        <v>4</v>
      </c>
      <c r="V35" s="22">
        <v>55.003499999999995</v>
      </c>
      <c r="W35" s="17" t="s">
        <v>48</v>
      </c>
      <c r="X35" s="17" t="s">
        <v>49</v>
      </c>
      <c r="Y35" s="17" t="s">
        <v>36</v>
      </c>
      <c r="Z35" s="17" t="s">
        <v>9</v>
      </c>
      <c r="AA35" s="17" t="s">
        <v>50</v>
      </c>
      <c r="AB35" s="17" t="s">
        <v>106</v>
      </c>
      <c r="AC35" s="17" t="s">
        <v>38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9" customFormat="1" ht="35.1" customHeight="1" x14ac:dyDescent="0.2">
      <c r="A36" s="9" t="s">
        <v>101</v>
      </c>
      <c r="B36" s="10">
        <v>46069</v>
      </c>
      <c r="C36" s="10">
        <v>46069</v>
      </c>
      <c r="D36" s="11" t="s">
        <v>30</v>
      </c>
      <c r="E36" s="12">
        <v>0.5625</v>
      </c>
      <c r="F36" s="12">
        <v>0.58333333333333337</v>
      </c>
      <c r="G36" s="12">
        <v>2.0833333333333332E-2</v>
      </c>
      <c r="H36" s="9" t="s">
        <v>108</v>
      </c>
      <c r="I36" s="13"/>
      <c r="J36" s="9" t="s">
        <v>103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</row>
    <row r="37" spans="1:49" s="9" customFormat="1" ht="35.1" customHeight="1" x14ac:dyDescent="0.25">
      <c r="A37" s="17" t="s">
        <v>79</v>
      </c>
      <c r="B37" s="18">
        <v>46069</v>
      </c>
      <c r="C37" s="18">
        <v>46069</v>
      </c>
      <c r="D37" s="17" t="s">
        <v>30</v>
      </c>
      <c r="E37" s="19">
        <v>0.5625</v>
      </c>
      <c r="F37" s="19">
        <v>0.58333333333333337</v>
      </c>
      <c r="G37" s="19">
        <v>1.7361111111111109E-4</v>
      </c>
      <c r="H37" s="17" t="s">
        <v>104</v>
      </c>
      <c r="I37" s="20">
        <v>0.58270833333333338</v>
      </c>
      <c r="J37" s="17" t="s">
        <v>103</v>
      </c>
      <c r="K37" s="17" t="s">
        <v>140</v>
      </c>
      <c r="L37" s="21">
        <v>1</v>
      </c>
      <c r="M37" s="21">
        <v>69977</v>
      </c>
      <c r="N37" s="17" t="s">
        <v>58</v>
      </c>
      <c r="O37" s="21" t="s">
        <v>105</v>
      </c>
      <c r="P37" s="22">
        <v>64.709999999999994</v>
      </c>
      <c r="Q37" s="21"/>
      <c r="R37" s="22">
        <v>64.709999999999994</v>
      </c>
      <c r="S37" s="23">
        <v>46054</v>
      </c>
      <c r="T37" s="22">
        <v>9.7064999999999984</v>
      </c>
      <c r="U37" s="24">
        <v>4</v>
      </c>
      <c r="V37" s="22">
        <v>55.003499999999995</v>
      </c>
      <c r="W37" s="17" t="s">
        <v>48</v>
      </c>
      <c r="X37" s="17" t="s">
        <v>49</v>
      </c>
      <c r="Y37" s="17" t="s">
        <v>36</v>
      </c>
      <c r="Z37" s="17" t="s">
        <v>9</v>
      </c>
      <c r="AA37" s="17" t="s">
        <v>50</v>
      </c>
      <c r="AB37" s="17" t="s">
        <v>106</v>
      </c>
      <c r="AC37" s="17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9" customFormat="1" ht="35.1" customHeight="1" x14ac:dyDescent="0.2">
      <c r="A38" s="9" t="s">
        <v>109</v>
      </c>
      <c r="B38" s="10">
        <v>46069</v>
      </c>
      <c r="C38" s="10">
        <v>46069</v>
      </c>
      <c r="D38" s="11" t="s">
        <v>30</v>
      </c>
      <c r="E38" s="12">
        <v>0.58333333333333337</v>
      </c>
      <c r="F38" s="12">
        <v>0.625</v>
      </c>
      <c r="G38" s="12">
        <v>4.1666666666666664E-2</v>
      </c>
      <c r="H38" s="9" t="s">
        <v>110</v>
      </c>
      <c r="I38" s="13"/>
      <c r="J38" s="9" t="s">
        <v>111</v>
      </c>
      <c r="L38" s="14">
        <v>1</v>
      </c>
      <c r="M38" s="14">
        <v>1</v>
      </c>
      <c r="N38" s="9" t="s">
        <v>33</v>
      </c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</row>
    <row r="39" spans="1:49" s="9" customFormat="1" ht="35.1" customHeight="1" x14ac:dyDescent="0.25">
      <c r="A39" s="9" t="s">
        <v>109</v>
      </c>
      <c r="B39" s="10">
        <v>46069</v>
      </c>
      <c r="C39" s="10">
        <v>46069</v>
      </c>
      <c r="D39" s="11" t="s">
        <v>30</v>
      </c>
      <c r="E39" s="12">
        <v>0.625</v>
      </c>
      <c r="F39" s="12">
        <v>0.64583333333333337</v>
      </c>
      <c r="G39" s="12">
        <v>2.0833333333333332E-2</v>
      </c>
      <c r="H39" s="9" t="s">
        <v>112</v>
      </c>
      <c r="I39" s="13"/>
      <c r="J39" s="9" t="s">
        <v>111</v>
      </c>
      <c r="L39" s="14">
        <v>1</v>
      </c>
      <c r="M39" s="14">
        <v>1</v>
      </c>
      <c r="N39" s="9" t="s">
        <v>33</v>
      </c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</row>
    <row r="40" spans="1:49" s="9" customFormat="1" ht="35.1" customHeight="1" x14ac:dyDescent="0.25">
      <c r="A40" s="17" t="s">
        <v>79</v>
      </c>
      <c r="B40" s="18">
        <v>46069</v>
      </c>
      <c r="C40" s="18">
        <v>46069</v>
      </c>
      <c r="D40" s="17" t="s">
        <v>30</v>
      </c>
      <c r="E40" s="19">
        <v>0.58333333333333337</v>
      </c>
      <c r="F40" s="19">
        <v>0.66666666666666663</v>
      </c>
      <c r="G40" s="19">
        <v>1.7361111111111109E-4</v>
      </c>
      <c r="H40" s="17" t="s">
        <v>107</v>
      </c>
      <c r="I40" s="20">
        <v>0.63840277777777776</v>
      </c>
      <c r="J40" s="17" t="s">
        <v>103</v>
      </c>
      <c r="K40" s="17" t="s">
        <v>141</v>
      </c>
      <c r="L40" s="21">
        <v>1</v>
      </c>
      <c r="M40" s="21">
        <v>69978</v>
      </c>
      <c r="N40" s="17" t="s">
        <v>58</v>
      </c>
      <c r="O40" s="21" t="s">
        <v>105</v>
      </c>
      <c r="P40" s="22">
        <v>64.709999999999994</v>
      </c>
      <c r="Q40" s="21"/>
      <c r="R40" s="22">
        <v>64.709999999999994</v>
      </c>
      <c r="S40" s="23">
        <v>46054</v>
      </c>
      <c r="T40" s="22">
        <v>9.7064999999999984</v>
      </c>
      <c r="U40" s="24">
        <v>4</v>
      </c>
      <c r="V40" s="22">
        <v>55.003499999999995</v>
      </c>
      <c r="W40" s="17" t="s">
        <v>48</v>
      </c>
      <c r="X40" s="17" t="s">
        <v>49</v>
      </c>
      <c r="Y40" s="17" t="s">
        <v>36</v>
      </c>
      <c r="Z40" s="17" t="s">
        <v>9</v>
      </c>
      <c r="AA40" s="17" t="s">
        <v>50</v>
      </c>
      <c r="AB40" s="17" t="s">
        <v>106</v>
      </c>
      <c r="AC40" s="17" t="s">
        <v>38</v>
      </c>
      <c r="AD40" s="7" t="str">
        <f t="shared" si="0"/>
        <v/>
      </c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</row>
    <row r="41" spans="1:49" s="9" customFormat="1" ht="35.1" customHeight="1" x14ac:dyDescent="0.25">
      <c r="A41" s="9" t="s">
        <v>109</v>
      </c>
      <c r="B41" s="10">
        <v>46069</v>
      </c>
      <c r="C41" s="10">
        <v>46069</v>
      </c>
      <c r="D41" s="11" t="s">
        <v>30</v>
      </c>
      <c r="E41" s="12">
        <v>0.64583333333333337</v>
      </c>
      <c r="F41" s="12">
        <v>0.66666666666666663</v>
      </c>
      <c r="G41" s="12">
        <v>2.0833333333333332E-2</v>
      </c>
      <c r="H41" s="9" t="s">
        <v>113</v>
      </c>
      <c r="I41" s="13"/>
      <c r="J41" s="9" t="s">
        <v>111</v>
      </c>
      <c r="L41" s="14">
        <v>1</v>
      </c>
      <c r="M41" s="14">
        <v>1</v>
      </c>
      <c r="N41" s="9" t="s">
        <v>33</v>
      </c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9" customFormat="1" ht="35.1" customHeight="1" x14ac:dyDescent="0.25">
      <c r="A42" s="17" t="s">
        <v>79</v>
      </c>
      <c r="B42" s="18">
        <v>46069</v>
      </c>
      <c r="C42" s="18">
        <v>46069</v>
      </c>
      <c r="D42" s="17" t="s">
        <v>30</v>
      </c>
      <c r="E42" s="19">
        <v>0.54166666666666663</v>
      </c>
      <c r="F42" s="19">
        <v>0.66666666666666663</v>
      </c>
      <c r="G42" s="19">
        <v>1.7361111111111109E-4</v>
      </c>
      <c r="H42" s="17" t="s">
        <v>104</v>
      </c>
      <c r="I42" s="20">
        <v>0.65850694444444446</v>
      </c>
      <c r="J42" s="17" t="s">
        <v>103</v>
      </c>
      <c r="K42" s="17" t="s">
        <v>141</v>
      </c>
      <c r="L42" s="21">
        <v>1</v>
      </c>
      <c r="M42" s="21">
        <v>70033</v>
      </c>
      <c r="N42" s="17" t="s">
        <v>46</v>
      </c>
      <c r="O42" s="21" t="s">
        <v>105</v>
      </c>
      <c r="P42" s="22">
        <v>0</v>
      </c>
      <c r="Q42" s="21"/>
      <c r="R42" s="22">
        <v>0</v>
      </c>
      <c r="S42" s="23">
        <v>46054</v>
      </c>
      <c r="T42" s="22">
        <v>0</v>
      </c>
      <c r="U42" s="24">
        <v>4</v>
      </c>
      <c r="V42" s="22">
        <v>0</v>
      </c>
      <c r="W42" s="17" t="s">
        <v>48</v>
      </c>
      <c r="X42" s="17" t="s">
        <v>49</v>
      </c>
      <c r="Y42" s="17" t="s">
        <v>36</v>
      </c>
      <c r="Z42" s="17" t="s">
        <v>9</v>
      </c>
      <c r="AA42" s="17" t="s">
        <v>50</v>
      </c>
      <c r="AB42" s="17" t="s">
        <v>106</v>
      </c>
      <c r="AC42" s="17" t="s">
        <v>38</v>
      </c>
      <c r="AD42" s="7" t="str">
        <f t="shared" si="0"/>
        <v/>
      </c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</row>
    <row r="43" spans="1:49" s="9" customFormat="1" ht="35.1" customHeight="1" x14ac:dyDescent="0.25">
      <c r="A43" s="9" t="s">
        <v>114</v>
      </c>
      <c r="B43" s="10">
        <v>46069</v>
      </c>
      <c r="C43" s="10">
        <v>46069</v>
      </c>
      <c r="D43" s="11" t="s">
        <v>30</v>
      </c>
      <c r="E43" s="12">
        <v>0.66666666666666663</v>
      </c>
      <c r="F43" s="12">
        <v>0.6875</v>
      </c>
      <c r="G43" s="12">
        <v>2.0833333333333332E-2</v>
      </c>
      <c r="H43" s="9" t="s">
        <v>115</v>
      </c>
      <c r="I43" s="13"/>
      <c r="J43" s="9" t="s">
        <v>116</v>
      </c>
      <c r="L43" s="14">
        <v>1</v>
      </c>
      <c r="M43" s="14">
        <v>1</v>
      </c>
      <c r="N43" s="9" t="s">
        <v>33</v>
      </c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25"/>
      <c r="AF43" s="25"/>
      <c r="AG43" s="25"/>
      <c r="AH43" s="25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</row>
    <row r="44" spans="1:49" s="9" customFormat="1" ht="35.1" customHeight="1" x14ac:dyDescent="0.25">
      <c r="A44" s="9" t="s">
        <v>118</v>
      </c>
      <c r="B44" s="10">
        <v>46069</v>
      </c>
      <c r="C44" s="10">
        <v>46069</v>
      </c>
      <c r="D44" s="11" t="s">
        <v>30</v>
      </c>
      <c r="E44" s="12">
        <v>0.6875</v>
      </c>
      <c r="F44" s="12">
        <v>0.70833333333333337</v>
      </c>
      <c r="G44" s="12">
        <v>2.0833333333333332E-2</v>
      </c>
      <c r="H44" s="9" t="s">
        <v>119</v>
      </c>
      <c r="I44" s="13"/>
      <c r="J44" s="9" t="s">
        <v>116</v>
      </c>
      <c r="L44" s="14">
        <v>1</v>
      </c>
      <c r="M44" s="14">
        <v>1</v>
      </c>
      <c r="N44" s="9" t="s">
        <v>33</v>
      </c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9" customFormat="1" ht="35.1" customHeight="1" x14ac:dyDescent="0.25">
      <c r="A45" s="17" t="s">
        <v>52</v>
      </c>
      <c r="B45" s="18">
        <v>46069</v>
      </c>
      <c r="C45" s="18">
        <v>46069</v>
      </c>
      <c r="D45" s="17" t="s">
        <v>30</v>
      </c>
      <c r="E45" s="19">
        <v>0.66666666666666663</v>
      </c>
      <c r="F45" s="19">
        <v>0.79166666666666663</v>
      </c>
      <c r="G45" s="19">
        <v>3.4722222222222218E-4</v>
      </c>
      <c r="H45" s="17" t="s">
        <v>117</v>
      </c>
      <c r="I45" s="20">
        <v>0.69643518518518521</v>
      </c>
      <c r="J45" s="17" t="s">
        <v>116</v>
      </c>
      <c r="K45" s="17" t="s">
        <v>142</v>
      </c>
      <c r="L45" s="21">
        <v>1</v>
      </c>
      <c r="M45" s="21">
        <v>70966</v>
      </c>
      <c r="N45" s="17" t="s">
        <v>58</v>
      </c>
      <c r="O45" s="21" t="str">
        <f>AC45</f>
        <v>SFO</v>
      </c>
      <c r="P45" s="22">
        <v>117.65</v>
      </c>
      <c r="Q45" s="21"/>
      <c r="R45" s="22">
        <v>117.65</v>
      </c>
      <c r="S45" s="23">
        <v>46054</v>
      </c>
      <c r="T45" s="22">
        <v>8.8237500000000004</v>
      </c>
      <c r="U45" s="24">
        <v>4</v>
      </c>
      <c r="V45" s="22">
        <v>108.82625</v>
      </c>
      <c r="W45" s="17" t="s">
        <v>48</v>
      </c>
      <c r="X45" s="17" t="s">
        <v>49</v>
      </c>
      <c r="Y45" s="17" t="s">
        <v>36</v>
      </c>
      <c r="Z45" s="17" t="s">
        <v>9</v>
      </c>
      <c r="AA45" s="17" t="s">
        <v>50</v>
      </c>
      <c r="AB45" s="17" t="s">
        <v>54</v>
      </c>
      <c r="AC45" s="17" t="s">
        <v>38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9" customFormat="1" ht="35.1" customHeight="1" x14ac:dyDescent="0.2">
      <c r="A46" s="9" t="s">
        <v>114</v>
      </c>
      <c r="B46" s="10">
        <v>46069</v>
      </c>
      <c r="C46" s="10">
        <v>46069</v>
      </c>
      <c r="D46" s="11" t="s">
        <v>30</v>
      </c>
      <c r="E46" s="12">
        <v>0.70833333333333337</v>
      </c>
      <c r="F46" s="12">
        <v>0.75</v>
      </c>
      <c r="G46" s="12">
        <v>4.1666666666666664E-2</v>
      </c>
      <c r="H46" s="9" t="s">
        <v>120</v>
      </c>
      <c r="I46" s="13"/>
      <c r="J46" s="9" t="s">
        <v>116</v>
      </c>
      <c r="L46" s="14">
        <v>1</v>
      </c>
      <c r="M46" s="14">
        <v>1</v>
      </c>
      <c r="N46" s="9" t="s">
        <v>33</v>
      </c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</row>
    <row r="47" spans="1:49" s="9" customFormat="1" ht="35.1" customHeight="1" x14ac:dyDescent="0.2">
      <c r="A47" s="9" t="s">
        <v>118</v>
      </c>
      <c r="B47" s="10">
        <v>46069</v>
      </c>
      <c r="C47" s="10">
        <v>46069</v>
      </c>
      <c r="D47" s="11" t="s">
        <v>30</v>
      </c>
      <c r="E47" s="12">
        <v>0.75</v>
      </c>
      <c r="F47" s="12">
        <v>0.77083333333333337</v>
      </c>
      <c r="G47" s="12">
        <v>2.0833333333333332E-2</v>
      </c>
      <c r="H47" s="9" t="s">
        <v>121</v>
      </c>
      <c r="I47" s="13"/>
      <c r="J47" s="9" t="s">
        <v>116</v>
      </c>
      <c r="L47" s="14">
        <v>1</v>
      </c>
      <c r="M47" s="14">
        <v>1</v>
      </c>
      <c r="N47" s="9" t="s">
        <v>33</v>
      </c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</row>
    <row r="48" spans="1:49" s="9" customFormat="1" ht="35.1" customHeight="1" x14ac:dyDescent="0.25">
      <c r="A48" s="9" t="s">
        <v>118</v>
      </c>
      <c r="B48" s="10">
        <v>46069</v>
      </c>
      <c r="C48" s="10">
        <v>46069</v>
      </c>
      <c r="D48" s="11" t="s">
        <v>30</v>
      </c>
      <c r="E48" s="12">
        <v>0.77083333333333337</v>
      </c>
      <c r="F48" s="12">
        <v>0.79166666666666663</v>
      </c>
      <c r="G48" s="12">
        <v>2.0833333333333332E-2</v>
      </c>
      <c r="H48" s="9" t="s">
        <v>119</v>
      </c>
      <c r="I48" s="13"/>
      <c r="J48" s="9" t="s">
        <v>116</v>
      </c>
      <c r="L48" s="14">
        <v>1</v>
      </c>
      <c r="M48" s="14">
        <v>1</v>
      </c>
      <c r="N48" s="9" t="s">
        <v>33</v>
      </c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5"/>
      <c r="AF48" s="25"/>
      <c r="AG48" s="25"/>
      <c r="AH48" s="25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1:49" s="9" customFormat="1" ht="35.1" customHeight="1" x14ac:dyDescent="0.25">
      <c r="A49" s="9" t="s">
        <v>39</v>
      </c>
      <c r="B49" s="10">
        <v>46069</v>
      </c>
      <c r="C49" s="10">
        <v>46069</v>
      </c>
      <c r="D49" s="11" t="s">
        <v>30</v>
      </c>
      <c r="E49" s="12">
        <v>0.79166666666666663</v>
      </c>
      <c r="F49" s="12">
        <v>0.8125</v>
      </c>
      <c r="G49" s="12">
        <v>2.0833333333333332E-2</v>
      </c>
      <c r="H49" s="9" t="s">
        <v>122</v>
      </c>
      <c r="I49" s="13"/>
      <c r="J49" s="9" t="s">
        <v>123</v>
      </c>
      <c r="L49" s="14">
        <v>1</v>
      </c>
      <c r="M49" s="14">
        <v>1</v>
      </c>
      <c r="N49" s="9" t="s">
        <v>33</v>
      </c>
      <c r="P49" s="16">
        <v>0</v>
      </c>
      <c r="Q49" s="14"/>
      <c r="R49" s="16">
        <v>0</v>
      </c>
      <c r="S49" s="9">
        <v>46054</v>
      </c>
      <c r="T49" s="16">
        <v>0</v>
      </c>
      <c r="U49" s="14">
        <v>2</v>
      </c>
      <c r="V49" s="16">
        <v>0</v>
      </c>
      <c r="W49" s="9" t="s">
        <v>34</v>
      </c>
      <c r="X49" s="9" t="s">
        <v>42</v>
      </c>
      <c r="Y49" s="9" t="s">
        <v>36</v>
      </c>
      <c r="Z49" s="9" t="s">
        <v>43</v>
      </c>
      <c r="AA49" s="9" t="s">
        <v>37</v>
      </c>
      <c r="AB49" s="9" t="s">
        <v>37</v>
      </c>
      <c r="AC49" s="9" t="s">
        <v>38</v>
      </c>
      <c r="AD49" s="7" t="str">
        <f t="shared" si="0"/>
        <v/>
      </c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</row>
    <row r="50" spans="1:49" s="9" customFormat="1" ht="35.1" customHeight="1" x14ac:dyDescent="0.25">
      <c r="A50" s="17" t="s">
        <v>44</v>
      </c>
      <c r="B50" s="18">
        <v>46069</v>
      </c>
      <c r="C50" s="18">
        <v>46069</v>
      </c>
      <c r="D50" s="17" t="s">
        <v>30</v>
      </c>
      <c r="E50" s="19">
        <v>0.79166666666666663</v>
      </c>
      <c r="F50" s="19">
        <v>0.99930555555555556</v>
      </c>
      <c r="G50" s="19">
        <v>1.7361111111111109E-4</v>
      </c>
      <c r="H50" s="17" t="s">
        <v>124</v>
      </c>
      <c r="I50" s="20">
        <v>0.80503472222222228</v>
      </c>
      <c r="J50" s="17" t="s">
        <v>123</v>
      </c>
      <c r="K50" s="17" t="s">
        <v>122</v>
      </c>
      <c r="L50" s="21">
        <v>1</v>
      </c>
      <c r="M50" s="21">
        <v>66849</v>
      </c>
      <c r="N50" s="17" t="s">
        <v>58</v>
      </c>
      <c r="O50" s="21" t="s">
        <v>47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59.5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51</v>
      </c>
      <c r="AC50" s="17" t="s">
        <v>38</v>
      </c>
      <c r="AD50" s="7" t="str">
        <f t="shared" si="0"/>
        <v/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9" customFormat="1" ht="35.1" customHeight="1" x14ac:dyDescent="0.25">
      <c r="A51" s="9" t="s">
        <v>39</v>
      </c>
      <c r="B51" s="10">
        <v>46069</v>
      </c>
      <c r="C51" s="10">
        <v>46069</v>
      </c>
      <c r="D51" s="11" t="s">
        <v>30</v>
      </c>
      <c r="E51" s="12">
        <v>0.8125</v>
      </c>
      <c r="F51" s="12">
        <v>0.83333333333333337</v>
      </c>
      <c r="G51" s="12">
        <v>2.0833333333333332E-2</v>
      </c>
      <c r="H51" s="9" t="s">
        <v>130</v>
      </c>
      <c r="I51" s="13"/>
      <c r="J51" s="9" t="s">
        <v>123</v>
      </c>
      <c r="L51" s="14">
        <v>1</v>
      </c>
      <c r="M51" s="14">
        <v>1</v>
      </c>
      <c r="N51" s="9" t="s">
        <v>33</v>
      </c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</row>
    <row r="52" spans="1:49" s="9" customFormat="1" ht="35.1" customHeight="1" x14ac:dyDescent="0.25">
      <c r="A52" s="17" t="s">
        <v>125</v>
      </c>
      <c r="B52" s="18">
        <v>46069</v>
      </c>
      <c r="C52" s="18">
        <v>46069</v>
      </c>
      <c r="D52" s="17" t="s">
        <v>30</v>
      </c>
      <c r="E52" s="19">
        <v>0.79166666666666663</v>
      </c>
      <c r="F52" s="19">
        <v>0.83333333333333337</v>
      </c>
      <c r="G52" s="19">
        <v>1.7361111111111109E-4</v>
      </c>
      <c r="H52" s="17" t="s">
        <v>126</v>
      </c>
      <c r="I52" s="20">
        <v>0.82224537037037038</v>
      </c>
      <c r="J52" s="17" t="s">
        <v>123</v>
      </c>
      <c r="K52" s="17" t="s">
        <v>143</v>
      </c>
      <c r="L52" s="21">
        <v>1</v>
      </c>
      <c r="M52" s="21">
        <v>71281</v>
      </c>
      <c r="N52" s="17" t="s">
        <v>58</v>
      </c>
      <c r="O52" s="21" t="s">
        <v>38</v>
      </c>
      <c r="P52" s="22">
        <v>90</v>
      </c>
      <c r="Q52" s="21"/>
      <c r="R52" s="22">
        <v>90</v>
      </c>
      <c r="S52" s="23">
        <v>46069</v>
      </c>
      <c r="T52" s="22">
        <v>13.5</v>
      </c>
      <c r="U52" s="24">
        <v>4</v>
      </c>
      <c r="V52" s="22">
        <v>76.5</v>
      </c>
      <c r="W52" s="17" t="s">
        <v>48</v>
      </c>
      <c r="X52" s="17" t="s">
        <v>49</v>
      </c>
      <c r="Y52" s="17" t="s">
        <v>87</v>
      </c>
      <c r="Z52" s="17" t="s">
        <v>9</v>
      </c>
      <c r="AA52" s="17" t="s">
        <v>50</v>
      </c>
      <c r="AB52" s="17" t="s">
        <v>127</v>
      </c>
      <c r="AC52" s="17" t="s">
        <v>38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9" customFormat="1" ht="35.1" customHeight="1" x14ac:dyDescent="0.25">
      <c r="A53" s="17" t="s">
        <v>52</v>
      </c>
      <c r="B53" s="18">
        <v>46069</v>
      </c>
      <c r="C53" s="18">
        <v>46069</v>
      </c>
      <c r="D53" s="17" t="s">
        <v>30</v>
      </c>
      <c r="E53" s="19">
        <v>0.79166666666666663</v>
      </c>
      <c r="F53" s="19">
        <v>0.83333333333333337</v>
      </c>
      <c r="G53" s="19">
        <v>3.4722222222222218E-4</v>
      </c>
      <c r="H53" s="17" t="s">
        <v>128</v>
      </c>
      <c r="I53" s="20">
        <v>0.83221064814814816</v>
      </c>
      <c r="J53" s="17" t="s">
        <v>123</v>
      </c>
      <c r="K53" s="17" t="s">
        <v>143</v>
      </c>
      <c r="L53" s="21">
        <v>1</v>
      </c>
      <c r="M53" s="21">
        <v>70960</v>
      </c>
      <c r="N53" s="17" t="s">
        <v>58</v>
      </c>
      <c r="O53" s="21" t="str">
        <f>AC53</f>
        <v>SFO</v>
      </c>
      <c r="P53" s="22">
        <v>117.65</v>
      </c>
      <c r="Q53" s="21"/>
      <c r="R53" s="22">
        <v>117.65</v>
      </c>
      <c r="S53" s="23">
        <v>46054</v>
      </c>
      <c r="T53" s="22">
        <v>8.8237500000000004</v>
      </c>
      <c r="U53" s="24">
        <v>4</v>
      </c>
      <c r="V53" s="22">
        <v>108.82625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 t="s">
        <v>54</v>
      </c>
      <c r="AC53" s="17" t="s">
        <v>38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9" customFormat="1" ht="35.1" customHeight="1" x14ac:dyDescent="0.2">
      <c r="A54" s="17" t="s">
        <v>44</v>
      </c>
      <c r="B54" s="18">
        <v>46069</v>
      </c>
      <c r="C54" s="18">
        <v>46069</v>
      </c>
      <c r="D54" s="17" t="s">
        <v>30</v>
      </c>
      <c r="E54" s="19">
        <v>0.79166666666666663</v>
      </c>
      <c r="F54" s="19">
        <v>0.99930555555555556</v>
      </c>
      <c r="G54" s="19">
        <v>1.6203703703703701E-4</v>
      </c>
      <c r="H54" s="17" t="s">
        <v>129</v>
      </c>
      <c r="I54" s="20">
        <v>0.82241898148148151</v>
      </c>
      <c r="J54" s="17" t="s">
        <v>123</v>
      </c>
      <c r="K54" s="17" t="s">
        <v>143</v>
      </c>
      <c r="L54" s="21">
        <v>1</v>
      </c>
      <c r="M54" s="21">
        <v>66849</v>
      </c>
      <c r="N54" s="17" t="s">
        <v>58</v>
      </c>
      <c r="O54" s="21" t="s">
        <v>47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59.5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51</v>
      </c>
      <c r="AC54" s="17" t="s">
        <v>38</v>
      </c>
      <c r="AD54" s="7" t="str">
        <f t="shared" si="0"/>
        <v/>
      </c>
    </row>
    <row r="55" spans="1:49" s="9" customFormat="1" ht="35.1" customHeight="1" x14ac:dyDescent="0.25">
      <c r="A55" s="9" t="s">
        <v>131</v>
      </c>
      <c r="B55" s="10">
        <v>46069</v>
      </c>
      <c r="C55" s="10">
        <v>46069</v>
      </c>
      <c r="D55" s="11" t="s">
        <v>30</v>
      </c>
      <c r="E55" s="12">
        <v>0.83333333333333337</v>
      </c>
      <c r="F55" s="12">
        <v>0.875</v>
      </c>
      <c r="G55" s="12">
        <v>4.1666666666666664E-2</v>
      </c>
      <c r="H55" s="9" t="s">
        <v>132</v>
      </c>
      <c r="I55" s="13"/>
      <c r="J55" s="9" t="s">
        <v>41</v>
      </c>
      <c r="L55" s="14">
        <v>1</v>
      </c>
      <c r="M55" s="14">
        <v>1</v>
      </c>
      <c r="N55" s="9" t="s">
        <v>33</v>
      </c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</row>
    <row r="56" spans="1:49" s="9" customFormat="1" ht="35.1" customHeight="1" x14ac:dyDescent="0.25">
      <c r="A56" s="17" t="s">
        <v>52</v>
      </c>
      <c r="B56" s="18">
        <v>46069</v>
      </c>
      <c r="C56" s="18">
        <v>46069</v>
      </c>
      <c r="D56" s="17" t="s">
        <v>30</v>
      </c>
      <c r="E56" s="19">
        <v>0.83333333333333337</v>
      </c>
      <c r="F56" s="19">
        <v>0.875</v>
      </c>
      <c r="G56" s="19">
        <v>3.4722222222222218E-4</v>
      </c>
      <c r="H56" s="17" t="s">
        <v>53</v>
      </c>
      <c r="I56" s="20">
        <v>0.84424768518518523</v>
      </c>
      <c r="J56" s="17" t="s">
        <v>41</v>
      </c>
      <c r="K56" s="17" t="s">
        <v>144</v>
      </c>
      <c r="L56" s="21">
        <v>1</v>
      </c>
      <c r="M56" s="21">
        <v>70962</v>
      </c>
      <c r="N56" s="17" t="s">
        <v>58</v>
      </c>
      <c r="O56" s="21" t="str">
        <f>AC56</f>
        <v>SFO</v>
      </c>
      <c r="P56" s="22">
        <v>117.65</v>
      </c>
      <c r="Q56" s="21"/>
      <c r="R56" s="22">
        <v>117.65</v>
      </c>
      <c r="S56" s="23">
        <v>46054</v>
      </c>
      <c r="T56" s="22">
        <v>8.8237500000000004</v>
      </c>
      <c r="U56" s="24">
        <v>4</v>
      </c>
      <c r="V56" s="22">
        <v>108.82625</v>
      </c>
      <c r="W56" s="17" t="s">
        <v>48</v>
      </c>
      <c r="X56" s="17" t="s">
        <v>49</v>
      </c>
      <c r="Y56" s="17" t="s">
        <v>36</v>
      </c>
      <c r="Z56" s="17" t="s">
        <v>9</v>
      </c>
      <c r="AA56" s="17" t="s">
        <v>50</v>
      </c>
      <c r="AB56" s="17" t="s">
        <v>54</v>
      </c>
      <c r="AC56" s="17" t="s">
        <v>38</v>
      </c>
      <c r="AD56" s="7" t="str">
        <f t="shared" si="0"/>
        <v/>
      </c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</row>
    <row r="57" spans="1:49" s="9" customFormat="1" ht="35.1" customHeight="1" x14ac:dyDescent="0.25">
      <c r="A57" s="17" t="s">
        <v>44</v>
      </c>
      <c r="B57" s="18">
        <v>46069</v>
      </c>
      <c r="C57" s="18">
        <v>46069</v>
      </c>
      <c r="D57" s="17" t="s">
        <v>30</v>
      </c>
      <c r="E57" s="19">
        <v>0.83333333333333337</v>
      </c>
      <c r="F57" s="19">
        <v>0.875</v>
      </c>
      <c r="G57" s="19">
        <v>1.6203703703703701E-4</v>
      </c>
      <c r="H57" s="17" t="s">
        <v>45</v>
      </c>
      <c r="I57" s="20">
        <v>0.84460648148148143</v>
      </c>
      <c r="J57" s="17" t="s">
        <v>41</v>
      </c>
      <c r="K57" s="17" t="s">
        <v>144</v>
      </c>
      <c r="L57" s="21">
        <v>1</v>
      </c>
      <c r="M57" s="21">
        <v>66850</v>
      </c>
      <c r="N57" s="17" t="s">
        <v>58</v>
      </c>
      <c r="O57" s="21" t="s">
        <v>47</v>
      </c>
      <c r="P57" s="22">
        <v>0</v>
      </c>
      <c r="Q57" s="21"/>
      <c r="R57" s="22">
        <v>0</v>
      </c>
      <c r="S57" s="23">
        <v>46054</v>
      </c>
      <c r="T57" s="22">
        <v>0</v>
      </c>
      <c r="U57" s="24">
        <v>4</v>
      </c>
      <c r="V57" s="22">
        <v>59.5</v>
      </c>
      <c r="W57" s="17" t="s">
        <v>48</v>
      </c>
      <c r="X57" s="17" t="s">
        <v>49</v>
      </c>
      <c r="Y57" s="17" t="s">
        <v>36</v>
      </c>
      <c r="Z57" s="17" t="s">
        <v>9</v>
      </c>
      <c r="AA57" s="17" t="s">
        <v>50</v>
      </c>
      <c r="AB57" s="17" t="s">
        <v>51</v>
      </c>
      <c r="AC57" s="17" t="s">
        <v>38</v>
      </c>
      <c r="AD57" s="7" t="str">
        <f t="shared" si="0"/>
        <v/>
      </c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</row>
    <row r="58" spans="1:49" s="9" customFormat="1" ht="35.1" customHeight="1" x14ac:dyDescent="0.25">
      <c r="A58" s="17" t="s">
        <v>44</v>
      </c>
      <c r="B58" s="18">
        <v>46069</v>
      </c>
      <c r="C58" s="18">
        <v>46069</v>
      </c>
      <c r="D58" s="17" t="s">
        <v>30</v>
      </c>
      <c r="E58" s="19">
        <v>0.83333333333333337</v>
      </c>
      <c r="F58" s="19">
        <v>0.875</v>
      </c>
      <c r="G58" s="19">
        <v>1.7361111111111109E-4</v>
      </c>
      <c r="H58" s="17" t="s">
        <v>55</v>
      </c>
      <c r="I58" s="20">
        <v>0.85509259259259263</v>
      </c>
      <c r="J58" s="17" t="s">
        <v>41</v>
      </c>
      <c r="K58" s="17" t="s">
        <v>144</v>
      </c>
      <c r="L58" s="21">
        <v>1</v>
      </c>
      <c r="M58" s="21">
        <v>66850</v>
      </c>
      <c r="N58" s="17" t="s">
        <v>58</v>
      </c>
      <c r="O58" s="21" t="s">
        <v>47</v>
      </c>
      <c r="P58" s="22">
        <v>0</v>
      </c>
      <c r="Q58" s="21"/>
      <c r="R58" s="22">
        <v>0</v>
      </c>
      <c r="S58" s="23">
        <v>46054</v>
      </c>
      <c r="T58" s="22">
        <v>0</v>
      </c>
      <c r="U58" s="24">
        <v>4</v>
      </c>
      <c r="V58" s="22">
        <v>59.5</v>
      </c>
      <c r="W58" s="17" t="s">
        <v>48</v>
      </c>
      <c r="X58" s="17" t="s">
        <v>49</v>
      </c>
      <c r="Y58" s="17" t="s">
        <v>36</v>
      </c>
      <c r="Z58" s="17" t="s">
        <v>9</v>
      </c>
      <c r="AA58" s="17" t="s">
        <v>50</v>
      </c>
      <c r="AB58" s="17" t="s">
        <v>51</v>
      </c>
      <c r="AC58" s="17" t="s">
        <v>38</v>
      </c>
      <c r="AD58" s="7" t="str">
        <f t="shared" si="0"/>
        <v/>
      </c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</row>
    <row r="59" spans="1:49" s="9" customFormat="1" ht="35.1" customHeight="1" x14ac:dyDescent="0.2">
      <c r="A59" s="17" t="s">
        <v>44</v>
      </c>
      <c r="B59" s="18">
        <v>46069</v>
      </c>
      <c r="C59" s="18">
        <v>46069</v>
      </c>
      <c r="D59" s="17" t="s">
        <v>30</v>
      </c>
      <c r="E59" s="19">
        <v>0.83333333333333337</v>
      </c>
      <c r="F59" s="19">
        <v>0.875</v>
      </c>
      <c r="G59" s="19">
        <v>1.6203703703703701E-4</v>
      </c>
      <c r="H59" s="17" t="s">
        <v>45</v>
      </c>
      <c r="I59" s="20">
        <v>0.86715277777777777</v>
      </c>
      <c r="J59" s="17" t="s">
        <v>41</v>
      </c>
      <c r="K59" s="17" t="s">
        <v>144</v>
      </c>
      <c r="L59" s="21">
        <v>1</v>
      </c>
      <c r="M59" s="21">
        <v>66850</v>
      </c>
      <c r="N59" s="17" t="s">
        <v>58</v>
      </c>
      <c r="O59" s="21" t="s">
        <v>47</v>
      </c>
      <c r="P59" s="22">
        <v>0</v>
      </c>
      <c r="Q59" s="21"/>
      <c r="R59" s="22">
        <v>0</v>
      </c>
      <c r="S59" s="23">
        <v>46054</v>
      </c>
      <c r="T59" s="22">
        <v>0</v>
      </c>
      <c r="U59" s="24">
        <v>4</v>
      </c>
      <c r="V59" s="22">
        <v>59.5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 t="s">
        <v>51</v>
      </c>
      <c r="AC59" s="17" t="s">
        <v>38</v>
      </c>
      <c r="AD59" s="7" t="str">
        <f t="shared" si="0"/>
        <v/>
      </c>
    </row>
    <row r="60" spans="1:49" s="9" customFormat="1" ht="35.1" customHeight="1" x14ac:dyDescent="0.25">
      <c r="A60" s="17" t="s">
        <v>52</v>
      </c>
      <c r="B60" s="18">
        <v>46069</v>
      </c>
      <c r="C60" s="18">
        <v>46069</v>
      </c>
      <c r="D60" s="17" t="s">
        <v>30</v>
      </c>
      <c r="E60" s="19">
        <v>0.25</v>
      </c>
      <c r="F60" s="19">
        <v>0.99930555555555556</v>
      </c>
      <c r="G60" s="19">
        <v>3.4722222222222218E-4</v>
      </c>
      <c r="H60" s="17" t="s">
        <v>53</v>
      </c>
      <c r="I60" s="20">
        <v>0.86680555555555561</v>
      </c>
      <c r="J60" s="17" t="s">
        <v>41</v>
      </c>
      <c r="K60" s="17" t="s">
        <v>144</v>
      </c>
      <c r="L60" s="21">
        <v>1</v>
      </c>
      <c r="M60" s="21">
        <v>70964</v>
      </c>
      <c r="N60" s="17" t="s">
        <v>46</v>
      </c>
      <c r="O60" s="21" t="str">
        <f>AC60</f>
        <v>SFO</v>
      </c>
      <c r="P60" s="22">
        <v>0</v>
      </c>
      <c r="Q60" s="21"/>
      <c r="R60" s="22">
        <v>0</v>
      </c>
      <c r="S60" s="23">
        <v>46054</v>
      </c>
      <c r="T60" s="22">
        <v>0</v>
      </c>
      <c r="U60" s="24">
        <v>4</v>
      </c>
      <c r="V60" s="22">
        <v>0</v>
      </c>
      <c r="W60" s="17" t="s">
        <v>48</v>
      </c>
      <c r="X60" s="17" t="s">
        <v>49</v>
      </c>
      <c r="Y60" s="17" t="s">
        <v>36</v>
      </c>
      <c r="Z60" s="17" t="s">
        <v>9</v>
      </c>
      <c r="AA60" s="17" t="s">
        <v>50</v>
      </c>
      <c r="AB60" s="17" t="s">
        <v>54</v>
      </c>
      <c r="AC60" s="17" t="s">
        <v>38</v>
      </c>
      <c r="AD60" s="7" t="str">
        <f t="shared" si="0"/>
        <v/>
      </c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</row>
    <row r="61" spans="1:49" s="9" customFormat="1" ht="35.1" customHeight="1" x14ac:dyDescent="0.25">
      <c r="A61" s="17" t="s">
        <v>56</v>
      </c>
      <c r="B61" s="18">
        <v>46069</v>
      </c>
      <c r="C61" s="18">
        <v>46069</v>
      </c>
      <c r="D61" s="17" t="s">
        <v>30</v>
      </c>
      <c r="E61" s="19">
        <v>0.25</v>
      </c>
      <c r="F61" s="19">
        <v>0.875</v>
      </c>
      <c r="G61" s="19">
        <v>1.7361111111111109E-4</v>
      </c>
      <c r="H61" s="17" t="s">
        <v>57</v>
      </c>
      <c r="I61" s="20">
        <v>0.87380787037037033</v>
      </c>
      <c r="J61" s="17" t="s">
        <v>41</v>
      </c>
      <c r="K61" s="17" t="s">
        <v>144</v>
      </c>
      <c r="L61" s="21">
        <v>1</v>
      </c>
      <c r="M61" s="21">
        <v>71977</v>
      </c>
      <c r="N61" s="17" t="s">
        <v>58</v>
      </c>
      <c r="O61" s="21" t="s">
        <v>59</v>
      </c>
      <c r="P61" s="22">
        <v>0</v>
      </c>
      <c r="Q61" s="21"/>
      <c r="R61" s="22">
        <v>90</v>
      </c>
      <c r="S61" s="23">
        <v>46054</v>
      </c>
      <c r="T61" s="22">
        <v>0</v>
      </c>
      <c r="U61" s="24">
        <v>4</v>
      </c>
      <c r="V61" s="22">
        <v>0</v>
      </c>
      <c r="W61" s="17" t="s">
        <v>48</v>
      </c>
      <c r="X61" s="17" t="s">
        <v>49</v>
      </c>
      <c r="Y61" s="17" t="s">
        <v>36</v>
      </c>
      <c r="Z61" s="17" t="s">
        <v>43</v>
      </c>
      <c r="AA61" s="17" t="s">
        <v>50</v>
      </c>
      <c r="AB61" s="17" t="s">
        <v>60</v>
      </c>
      <c r="AC61" s="17" t="s">
        <v>38</v>
      </c>
      <c r="AD61" s="7" t="str">
        <f t="shared" si="0"/>
        <v/>
      </c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</row>
    <row r="62" spans="1:49" s="9" customFormat="1" ht="35.1" customHeight="1" x14ac:dyDescent="0.2">
      <c r="A62" s="9" t="s">
        <v>133</v>
      </c>
      <c r="B62" s="10">
        <v>46069</v>
      </c>
      <c r="C62" s="10">
        <v>46069</v>
      </c>
      <c r="D62" s="11" t="s">
        <v>30</v>
      </c>
      <c r="E62" s="12">
        <v>0.875</v>
      </c>
      <c r="F62" s="12">
        <v>0.91666666666666663</v>
      </c>
      <c r="G62" s="12">
        <v>4.1666666666666664E-2</v>
      </c>
      <c r="H62" s="9" t="s">
        <v>134</v>
      </c>
      <c r="I62" s="13"/>
      <c r="J62" s="9" t="s">
        <v>41</v>
      </c>
      <c r="L62" s="14">
        <v>1</v>
      </c>
      <c r="M62" s="14">
        <v>1</v>
      </c>
      <c r="N62" s="9" t="s">
        <v>33</v>
      </c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</row>
    <row r="63" spans="1:49" s="9" customFormat="1" ht="35.1" customHeight="1" x14ac:dyDescent="0.2">
      <c r="A63" s="9" t="s">
        <v>133</v>
      </c>
      <c r="B63" s="10">
        <v>46069</v>
      </c>
      <c r="C63" s="10">
        <v>46069</v>
      </c>
      <c r="D63" s="11" t="s">
        <v>30</v>
      </c>
      <c r="E63" s="12">
        <v>0.91666666666666663</v>
      </c>
      <c r="F63" s="12">
        <v>0.97916666666666663</v>
      </c>
      <c r="G63" s="12">
        <v>6.25E-2</v>
      </c>
      <c r="H63" s="9" t="s">
        <v>135</v>
      </c>
      <c r="I63" s="13"/>
      <c r="J63" s="9" t="s">
        <v>41</v>
      </c>
      <c r="L63" s="14">
        <v>1</v>
      </c>
      <c r="M63" s="14">
        <v>1</v>
      </c>
      <c r="N63" s="9" t="s">
        <v>33</v>
      </c>
      <c r="P63" s="16">
        <v>0</v>
      </c>
      <c r="Q63" s="14"/>
      <c r="R63" s="16">
        <v>0</v>
      </c>
      <c r="S63" s="9">
        <v>46054</v>
      </c>
      <c r="T63" s="16">
        <v>0</v>
      </c>
      <c r="U63" s="14">
        <v>2</v>
      </c>
      <c r="V63" s="16">
        <v>0</v>
      </c>
      <c r="W63" s="9" t="s">
        <v>34</v>
      </c>
      <c r="X63" s="9" t="s">
        <v>42</v>
      </c>
      <c r="Y63" s="9" t="s">
        <v>36</v>
      </c>
      <c r="Z63" s="9" t="s">
        <v>43</v>
      </c>
      <c r="AA63" s="9" t="s">
        <v>37</v>
      </c>
      <c r="AB63" s="9" t="s">
        <v>37</v>
      </c>
      <c r="AC63" s="9" t="s">
        <v>38</v>
      </c>
      <c r="AD63" s="7" t="str">
        <f t="shared" si="0"/>
        <v/>
      </c>
    </row>
    <row r="64" spans="1:49" s="9" customFormat="1" ht="35.1" customHeight="1" x14ac:dyDescent="0.25">
      <c r="A64" s="17" t="s">
        <v>44</v>
      </c>
      <c r="B64" s="18">
        <v>46069</v>
      </c>
      <c r="C64" s="18">
        <v>46069</v>
      </c>
      <c r="D64" s="17" t="s">
        <v>30</v>
      </c>
      <c r="E64" s="19">
        <v>0.25</v>
      </c>
      <c r="F64" s="19">
        <v>0.99930555555555556</v>
      </c>
      <c r="G64" s="19">
        <v>1.7361111111111109E-4</v>
      </c>
      <c r="H64" s="17" t="s">
        <v>55</v>
      </c>
      <c r="I64" s="20">
        <v>0.95473379629629629</v>
      </c>
      <c r="J64" s="17" t="s">
        <v>41</v>
      </c>
      <c r="K64" s="17" t="s">
        <v>145</v>
      </c>
      <c r="L64" s="21">
        <v>1</v>
      </c>
      <c r="M64" s="21">
        <v>66852</v>
      </c>
      <c r="N64" s="17" t="s">
        <v>46</v>
      </c>
      <c r="O64" s="21" t="s">
        <v>47</v>
      </c>
      <c r="P64" s="22">
        <v>0</v>
      </c>
      <c r="Q64" s="21"/>
      <c r="R64" s="22">
        <v>0</v>
      </c>
      <c r="S64" s="23">
        <v>46054</v>
      </c>
      <c r="T64" s="22">
        <v>0</v>
      </c>
      <c r="U64" s="24">
        <v>4</v>
      </c>
      <c r="V64" s="22">
        <v>0</v>
      </c>
      <c r="W64" s="17" t="s">
        <v>48</v>
      </c>
      <c r="X64" s="17" t="s">
        <v>49</v>
      </c>
      <c r="Y64" s="17" t="s">
        <v>36</v>
      </c>
      <c r="Z64" s="17" t="s">
        <v>9</v>
      </c>
      <c r="AA64" s="17" t="s">
        <v>50</v>
      </c>
      <c r="AB64" s="17" t="s">
        <v>51</v>
      </c>
      <c r="AC64" s="17" t="s">
        <v>38</v>
      </c>
      <c r="AD64" s="7" t="str">
        <f t="shared" si="0"/>
        <v/>
      </c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</row>
    <row r="65" spans="1:30" s="9" customFormat="1" ht="35.1" customHeight="1" x14ac:dyDescent="0.2">
      <c r="A65" s="9" t="s">
        <v>39</v>
      </c>
      <c r="B65" s="10">
        <v>46069</v>
      </c>
      <c r="C65" s="10">
        <v>46069</v>
      </c>
      <c r="D65" s="11" t="s">
        <v>30</v>
      </c>
      <c r="E65" s="12">
        <v>0.97916666666666663</v>
      </c>
      <c r="F65" s="12">
        <v>1</v>
      </c>
      <c r="G65" s="12">
        <v>2.0833333333333332E-2</v>
      </c>
      <c r="H65" s="9" t="s">
        <v>136</v>
      </c>
      <c r="I65" s="13"/>
      <c r="J65" s="9" t="s">
        <v>123</v>
      </c>
      <c r="L65" s="14">
        <v>1</v>
      </c>
      <c r="M65" s="14">
        <v>1</v>
      </c>
      <c r="N65" s="9" t="s">
        <v>33</v>
      </c>
      <c r="P65" s="16">
        <v>0</v>
      </c>
      <c r="Q65" s="14"/>
      <c r="R65" s="16">
        <v>0</v>
      </c>
      <c r="S65" s="9">
        <v>46054</v>
      </c>
      <c r="T65" s="16">
        <v>0</v>
      </c>
      <c r="U65" s="14">
        <v>2</v>
      </c>
      <c r="V65" s="16">
        <v>0</v>
      </c>
      <c r="W65" s="9" t="s">
        <v>34</v>
      </c>
      <c r="X65" s="9" t="s">
        <v>42</v>
      </c>
      <c r="Y65" s="9" t="s">
        <v>36</v>
      </c>
      <c r="Z65" s="9" t="s">
        <v>43</v>
      </c>
      <c r="AA65" s="9" t="s">
        <v>37</v>
      </c>
      <c r="AB65" s="9" t="s">
        <v>37</v>
      </c>
      <c r="AC65" s="9" t="s">
        <v>38</v>
      </c>
      <c r="AD65" s="7" t="str">
        <f t="shared" si="0"/>
        <v/>
      </c>
    </row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  <row r="402" customFormat="1" ht="35.1" customHeight="1" x14ac:dyDescent="0.2"/>
    <row r="403" customFormat="1" ht="35.1" customHeight="1" x14ac:dyDescent="0.2"/>
    <row r="404" customFormat="1" ht="35.1" customHeight="1" x14ac:dyDescent="0.2"/>
    <row r="405" customFormat="1" ht="35.1" customHeight="1" x14ac:dyDescent="0.2"/>
    <row r="406" customFormat="1" ht="35.1" customHeight="1" x14ac:dyDescent="0.2"/>
    <row r="407" customFormat="1" ht="35.1" customHeight="1" x14ac:dyDescent="0.2"/>
    <row r="408" customFormat="1" ht="35.1" customHeight="1" x14ac:dyDescent="0.2"/>
    <row r="409" customFormat="1" ht="35.1" customHeight="1" x14ac:dyDescent="0.2"/>
    <row r="410" customFormat="1" ht="35.1" customHeight="1" x14ac:dyDescent="0.2"/>
    <row r="411" customFormat="1" ht="35.1" customHeight="1" x14ac:dyDescent="0.2"/>
    <row r="412" customFormat="1" ht="35.1" customHeight="1" x14ac:dyDescent="0.2"/>
    <row r="413" customFormat="1" ht="35.1" customHeight="1" x14ac:dyDescent="0.2"/>
    <row r="414" customFormat="1" ht="35.1" customHeight="1" x14ac:dyDescent="0.2"/>
    <row r="415" customFormat="1" ht="35.1" customHeight="1" x14ac:dyDescent="0.2"/>
    <row r="416" customFormat="1" ht="35.1" customHeight="1" x14ac:dyDescent="0.2"/>
    <row r="417" customFormat="1" ht="35.1" customHeight="1" x14ac:dyDescent="0.2"/>
    <row r="418" customFormat="1" ht="35.1" customHeight="1" x14ac:dyDescent="0.2"/>
    <row r="419" customFormat="1" ht="35.1" customHeight="1" x14ac:dyDescent="0.2"/>
    <row r="420" customFormat="1" ht="35.1" customHeight="1" x14ac:dyDescent="0.2"/>
    <row r="421" customFormat="1" ht="35.1" customHeight="1" x14ac:dyDescent="0.2"/>
    <row r="422" customFormat="1" ht="35.1" customHeight="1" x14ac:dyDescent="0.2"/>
    <row r="423" customFormat="1" ht="35.1" customHeight="1" x14ac:dyDescent="0.2"/>
    <row r="424" customFormat="1" ht="35.1" customHeight="1" x14ac:dyDescent="0.2"/>
    <row r="425" customFormat="1" ht="35.1" customHeight="1" x14ac:dyDescent="0.2"/>
    <row r="426" customFormat="1" ht="35.1" customHeight="1" x14ac:dyDescent="0.2"/>
    <row r="427" customFormat="1" ht="35.1" customHeight="1" x14ac:dyDescent="0.2"/>
    <row r="428" customFormat="1" ht="35.1" customHeight="1" x14ac:dyDescent="0.2"/>
    <row r="429" customFormat="1" ht="35.1" customHeight="1" x14ac:dyDescent="0.2"/>
    <row r="430" customFormat="1" ht="35.1" customHeight="1" x14ac:dyDescent="0.2"/>
    <row r="431" customFormat="1" ht="35.1" customHeight="1" x14ac:dyDescent="0.2"/>
    <row r="432" customFormat="1" ht="35.1" customHeight="1" x14ac:dyDescent="0.2"/>
    <row r="433" customFormat="1" ht="35.1" customHeight="1" x14ac:dyDescent="0.2"/>
    <row r="434" customFormat="1" ht="35.1" customHeight="1" x14ac:dyDescent="0.2"/>
    <row r="435" customFormat="1" ht="35.1" customHeight="1" x14ac:dyDescent="0.2"/>
    <row r="436" customFormat="1" ht="35.1" customHeight="1" x14ac:dyDescent="0.2"/>
    <row r="437" customFormat="1" ht="35.1" customHeight="1" x14ac:dyDescent="0.2"/>
    <row r="438" customFormat="1" ht="35.1" customHeight="1" x14ac:dyDescent="0.2"/>
    <row r="439" customFormat="1" ht="35.1" customHeight="1" x14ac:dyDescent="0.2"/>
    <row r="440" customFormat="1" ht="35.1" customHeight="1" x14ac:dyDescent="0.2"/>
    <row r="441" customFormat="1" ht="35.1" customHeight="1" x14ac:dyDescent="0.2"/>
    <row r="442" customFormat="1" ht="35.1" customHeight="1" x14ac:dyDescent="0.2"/>
    <row r="443" customFormat="1" ht="35.1" customHeight="1" x14ac:dyDescent="0.2"/>
    <row r="444" customFormat="1" ht="35.1" customHeight="1" x14ac:dyDescent="0.2"/>
    <row r="445" customFormat="1" ht="35.1" customHeight="1" x14ac:dyDescent="0.2"/>
    <row r="446" customFormat="1" ht="35.1" customHeight="1" x14ac:dyDescent="0.2"/>
    <row r="447" customFormat="1" ht="35.1" customHeight="1" x14ac:dyDescent="0.2"/>
    <row r="448" customFormat="1" ht="35.1" customHeight="1" x14ac:dyDescent="0.2"/>
    <row r="449" customFormat="1" ht="35.1" customHeight="1" x14ac:dyDescent="0.2"/>
    <row r="450" customFormat="1" ht="35.1" customHeight="1" x14ac:dyDescent="0.2"/>
    <row r="451" customFormat="1" ht="35.1" customHeight="1" x14ac:dyDescent="0.2"/>
    <row r="452" customFormat="1" ht="35.1" customHeight="1" x14ac:dyDescent="0.2"/>
    <row r="453" customFormat="1" ht="35.1" customHeight="1" x14ac:dyDescent="0.2"/>
    <row r="454" customFormat="1" ht="35.1" customHeight="1" x14ac:dyDescent="0.2"/>
    <row r="455" customFormat="1" ht="35.1" customHeight="1" x14ac:dyDescent="0.2"/>
    <row r="456" customFormat="1" ht="35.1" customHeight="1" x14ac:dyDescent="0.2"/>
    <row r="457" customFormat="1" ht="35.1" customHeight="1" x14ac:dyDescent="0.2"/>
    <row r="458" customFormat="1" ht="35.1" customHeight="1" x14ac:dyDescent="0.2"/>
    <row r="459" customFormat="1" ht="35.1" customHeight="1" x14ac:dyDescent="0.2"/>
    <row r="460" customFormat="1" ht="35.1" customHeight="1" x14ac:dyDescent="0.2"/>
    <row r="461" customFormat="1" ht="35.1" customHeight="1" x14ac:dyDescent="0.2"/>
    <row r="462" customFormat="1" ht="35.1" customHeight="1" x14ac:dyDescent="0.2"/>
    <row r="463" customFormat="1" ht="35.1" customHeight="1" x14ac:dyDescent="0.2"/>
    <row r="464" customFormat="1" ht="35.1" customHeight="1" x14ac:dyDescent="0.2"/>
    <row r="465" customFormat="1" ht="35.1" customHeight="1" x14ac:dyDescent="0.2"/>
    <row r="466" customFormat="1" ht="35.1" customHeight="1" x14ac:dyDescent="0.2"/>
    <row r="467" customFormat="1" ht="35.1" customHeight="1" x14ac:dyDescent="0.2"/>
    <row r="468" customFormat="1" ht="35.1" customHeight="1" x14ac:dyDescent="0.2"/>
    <row r="469" customFormat="1" ht="35.1" customHeight="1" x14ac:dyDescent="0.2"/>
    <row r="470" customFormat="1" ht="35.1" customHeight="1" x14ac:dyDescent="0.2"/>
    <row r="471" customFormat="1" ht="35.1" customHeight="1" x14ac:dyDescent="0.2"/>
    <row r="472" customFormat="1" ht="35.1" customHeight="1" x14ac:dyDescent="0.2"/>
    <row r="473" customFormat="1" ht="35.1" customHeight="1" x14ac:dyDescent="0.2"/>
    <row r="474" customFormat="1" ht="35.1" customHeight="1" x14ac:dyDescent="0.2"/>
    <row r="475" customFormat="1" ht="35.1" customHeight="1" x14ac:dyDescent="0.2"/>
    <row r="476" customFormat="1" ht="35.1" customHeight="1" x14ac:dyDescent="0.2"/>
    <row r="477" customFormat="1" ht="35.1" customHeight="1" x14ac:dyDescent="0.2"/>
    <row r="478" customFormat="1" ht="35.1" customHeight="1" x14ac:dyDescent="0.2"/>
    <row r="479" customFormat="1" ht="35.1" customHeight="1" x14ac:dyDescent="0.2"/>
    <row r="480" customFormat="1" ht="35.1" customHeight="1" x14ac:dyDescent="0.2"/>
    <row r="481" customFormat="1" ht="35.1" customHeight="1" x14ac:dyDescent="0.2"/>
    <row r="482" customFormat="1" ht="35.1" customHeight="1" x14ac:dyDescent="0.2"/>
    <row r="483" customFormat="1" ht="35.1" customHeight="1" x14ac:dyDescent="0.2"/>
    <row r="484" customFormat="1" ht="35.1" customHeight="1" x14ac:dyDescent="0.2"/>
    <row r="485" customFormat="1" ht="35.1" customHeight="1" x14ac:dyDescent="0.2"/>
    <row r="486" customFormat="1" ht="35.1" customHeight="1" x14ac:dyDescent="0.2"/>
    <row r="487" customFormat="1" ht="35.1" customHeight="1" x14ac:dyDescent="0.2"/>
    <row r="488" customFormat="1" ht="35.1" customHeight="1" x14ac:dyDescent="0.2"/>
    <row r="489" customFormat="1" ht="35.1" customHeight="1" x14ac:dyDescent="0.2"/>
    <row r="490" customFormat="1" ht="35.1" customHeight="1" x14ac:dyDescent="0.2"/>
    <row r="491" customFormat="1" ht="35.1" customHeight="1" x14ac:dyDescent="0.2"/>
    <row r="492" customFormat="1" ht="35.1" customHeight="1" x14ac:dyDescent="0.2"/>
    <row r="493" customFormat="1" ht="35.1" customHeight="1" x14ac:dyDescent="0.2"/>
    <row r="494" customFormat="1" ht="35.1" customHeight="1" x14ac:dyDescent="0.2"/>
    <row r="495" customFormat="1" ht="35.1" customHeight="1" x14ac:dyDescent="0.2"/>
    <row r="496" customFormat="1" ht="35.1" customHeight="1" x14ac:dyDescent="0.2"/>
    <row r="497" customFormat="1" ht="35.1" customHeight="1" x14ac:dyDescent="0.2"/>
    <row r="498" customFormat="1" ht="35.1" customHeight="1" x14ac:dyDescent="0.2"/>
    <row r="499" customFormat="1" ht="35.1" customHeight="1" x14ac:dyDescent="0.2"/>
    <row r="500" customFormat="1" ht="35.1" customHeight="1" x14ac:dyDescent="0.2"/>
    <row r="501" customFormat="1" ht="35.1" customHeight="1" x14ac:dyDescent="0.2"/>
    <row r="502" customFormat="1" ht="35.1" customHeight="1" x14ac:dyDescent="0.2"/>
    <row r="503" customFormat="1" ht="35.1" customHeight="1" x14ac:dyDescent="0.2"/>
    <row r="504" customFormat="1" ht="35.1" customHeight="1" x14ac:dyDescent="0.2"/>
    <row r="505" customFormat="1" ht="35.1" customHeight="1" x14ac:dyDescent="0.2"/>
    <row r="506" customFormat="1" ht="35.1" customHeight="1" x14ac:dyDescent="0.2"/>
    <row r="507" customFormat="1" ht="35.1" customHeight="1" x14ac:dyDescent="0.2"/>
    <row r="508" customFormat="1" ht="35.1" customHeight="1" x14ac:dyDescent="0.2"/>
    <row r="509" customFormat="1" ht="35.1" customHeight="1" x14ac:dyDescent="0.2"/>
    <row r="510" customFormat="1" ht="35.1" customHeight="1" x14ac:dyDescent="0.2"/>
    <row r="511" customFormat="1" ht="35.1" customHeight="1" x14ac:dyDescent="0.2"/>
    <row r="512" customFormat="1" ht="35.1" customHeight="1" x14ac:dyDescent="0.2"/>
    <row r="513" customFormat="1" ht="35.1" customHeight="1" x14ac:dyDescent="0.2"/>
    <row r="514" customFormat="1" ht="35.1" customHeight="1" x14ac:dyDescent="0.2"/>
    <row r="515" customFormat="1" ht="35.1" customHeight="1" x14ac:dyDescent="0.2"/>
    <row r="516" customFormat="1" ht="35.1" customHeight="1" x14ac:dyDescent="0.2"/>
    <row r="517" customFormat="1" ht="35.1" customHeight="1" x14ac:dyDescent="0.2"/>
    <row r="518" customFormat="1" ht="35.1" customHeight="1" x14ac:dyDescent="0.2"/>
    <row r="519" customFormat="1" ht="35.1" customHeight="1" x14ac:dyDescent="0.2"/>
    <row r="520" customFormat="1" ht="35.1" customHeight="1" x14ac:dyDescent="0.2"/>
    <row r="521" customFormat="1" ht="35.1" customHeight="1" x14ac:dyDescent="0.2"/>
    <row r="522" customFormat="1" ht="35.1" customHeight="1" x14ac:dyDescent="0.2"/>
    <row r="523" customFormat="1" ht="35.1" customHeight="1" x14ac:dyDescent="0.2"/>
    <row r="524" customFormat="1" ht="35.1" customHeight="1" x14ac:dyDescent="0.2"/>
    <row r="525" customFormat="1" ht="35.1" customHeight="1" x14ac:dyDescent="0.2"/>
    <row r="526" customFormat="1" ht="35.1" customHeight="1" x14ac:dyDescent="0.2"/>
    <row r="527" customFormat="1" ht="35.1" customHeight="1" x14ac:dyDescent="0.2"/>
    <row r="528" customFormat="1" ht="35.1" customHeight="1" x14ac:dyDescent="0.2"/>
    <row r="529" customFormat="1" ht="35.1" customHeight="1" x14ac:dyDescent="0.2"/>
    <row r="530" customFormat="1" ht="35.1" customHeight="1" x14ac:dyDescent="0.2"/>
    <row r="531" customFormat="1" ht="35.1" customHeight="1" x14ac:dyDescent="0.2"/>
    <row r="532" customFormat="1" ht="35.1" customHeight="1" x14ac:dyDescent="0.2"/>
    <row r="533" customFormat="1" ht="35.1" customHeight="1" x14ac:dyDescent="0.2"/>
    <row r="534" customFormat="1" ht="35.1" customHeight="1" x14ac:dyDescent="0.2"/>
    <row r="535" customFormat="1" ht="35.1" customHeight="1" x14ac:dyDescent="0.2"/>
    <row r="536" customFormat="1" ht="35.1" customHeight="1" x14ac:dyDescent="0.2"/>
    <row r="537" customFormat="1" ht="35.1" customHeight="1" x14ac:dyDescent="0.2"/>
    <row r="538" customFormat="1" ht="35.1" customHeight="1" x14ac:dyDescent="0.2"/>
    <row r="539" customFormat="1" ht="35.1" customHeight="1" x14ac:dyDescent="0.2"/>
    <row r="540" customFormat="1" ht="35.1" customHeight="1" x14ac:dyDescent="0.2"/>
    <row r="541" customFormat="1" ht="35.1" customHeight="1" x14ac:dyDescent="0.2"/>
    <row r="542" customFormat="1" ht="35.1" customHeight="1" x14ac:dyDescent="0.2"/>
    <row r="543" customFormat="1" ht="35.1" customHeight="1" x14ac:dyDescent="0.2"/>
    <row r="544" customFormat="1" ht="35.1" customHeight="1" x14ac:dyDescent="0.2"/>
    <row r="545" customFormat="1" ht="35.1" customHeight="1" x14ac:dyDescent="0.2"/>
    <row r="546" customFormat="1" ht="35.1" customHeight="1" x14ac:dyDescent="0.2"/>
    <row r="547" customFormat="1" ht="35.1" customHeight="1" x14ac:dyDescent="0.2"/>
    <row r="548" customFormat="1" ht="35.1" customHeight="1" x14ac:dyDescent="0.2"/>
    <row r="549" customFormat="1" ht="35.1" customHeight="1" x14ac:dyDescent="0.2"/>
    <row r="550" customFormat="1" ht="35.1" customHeight="1" x14ac:dyDescent="0.2"/>
    <row r="551" customFormat="1" ht="35.1" customHeight="1" x14ac:dyDescent="0.2"/>
    <row r="552" customFormat="1" ht="35.1" customHeight="1" x14ac:dyDescent="0.2"/>
    <row r="553" customFormat="1" ht="35.1" customHeight="1" x14ac:dyDescent="0.2"/>
    <row r="554" customFormat="1" ht="35.1" customHeight="1" x14ac:dyDescent="0.2"/>
    <row r="555" customFormat="1" ht="35.1" customHeight="1" x14ac:dyDescent="0.2"/>
    <row r="556" customFormat="1" ht="35.1" customHeight="1" x14ac:dyDescent="0.2"/>
    <row r="557" customFormat="1" ht="35.1" customHeight="1" x14ac:dyDescent="0.2"/>
    <row r="558" customFormat="1" ht="35.1" customHeight="1" x14ac:dyDescent="0.2"/>
    <row r="559" customFormat="1" ht="35.1" customHeight="1" x14ac:dyDescent="0.2"/>
    <row r="560" customFormat="1" ht="35.1" customHeight="1" x14ac:dyDescent="0.2"/>
    <row r="561" customFormat="1" ht="35.1" customHeight="1" x14ac:dyDescent="0.2"/>
    <row r="562" customFormat="1" ht="35.1" customHeight="1" x14ac:dyDescent="0.2"/>
    <row r="563" customFormat="1" ht="35.1" customHeight="1" x14ac:dyDescent="0.2"/>
    <row r="564" customFormat="1" ht="35.1" customHeight="1" x14ac:dyDescent="0.2"/>
    <row r="565" customFormat="1" ht="35.1" customHeight="1" x14ac:dyDescent="0.2"/>
    <row r="566" customFormat="1" ht="35.1" customHeight="1" x14ac:dyDescent="0.2"/>
    <row r="567" customFormat="1" ht="35.1" customHeight="1" x14ac:dyDescent="0.2"/>
    <row r="568" customFormat="1" ht="35.1" customHeight="1" x14ac:dyDescent="0.2"/>
    <row r="569" customFormat="1" ht="35.1" customHeight="1" x14ac:dyDescent="0.2"/>
    <row r="570" customFormat="1" ht="35.1" customHeight="1" x14ac:dyDescent="0.2"/>
    <row r="571" customFormat="1" ht="35.1" customHeight="1" x14ac:dyDescent="0.2"/>
    <row r="572" customFormat="1" ht="35.1" customHeight="1" x14ac:dyDescent="0.2"/>
    <row r="573" customFormat="1" ht="35.1" customHeight="1" x14ac:dyDescent="0.2"/>
    <row r="574" customFormat="1" ht="35.1" customHeight="1" x14ac:dyDescent="0.2"/>
    <row r="575" customFormat="1" ht="35.1" customHeight="1" x14ac:dyDescent="0.2"/>
    <row r="576" customFormat="1" ht="35.1" customHeight="1" x14ac:dyDescent="0.2"/>
    <row r="577" customFormat="1" ht="35.1" customHeight="1" x14ac:dyDescent="0.2"/>
    <row r="578" customFormat="1" ht="35.1" customHeight="1" x14ac:dyDescent="0.2"/>
    <row r="579" customFormat="1" ht="35.1" customHeight="1" x14ac:dyDescent="0.2"/>
    <row r="580" customFormat="1" ht="35.1" customHeight="1" x14ac:dyDescent="0.2"/>
    <row r="581" customFormat="1" ht="35.1" customHeight="1" x14ac:dyDescent="0.2"/>
    <row r="582" customFormat="1" ht="35.1" customHeight="1" x14ac:dyDescent="0.2"/>
    <row r="583" customFormat="1" ht="35.1" customHeight="1" x14ac:dyDescent="0.2"/>
    <row r="584" customFormat="1" ht="35.1" customHeight="1" x14ac:dyDescent="0.2"/>
    <row r="585" customFormat="1" ht="35.1" customHeight="1" x14ac:dyDescent="0.2"/>
    <row r="586" customFormat="1" ht="35.1" customHeight="1" x14ac:dyDescent="0.2"/>
    <row r="587" customFormat="1" ht="35.1" customHeight="1" x14ac:dyDescent="0.2"/>
    <row r="588" customFormat="1" ht="35.1" customHeight="1" x14ac:dyDescent="0.2"/>
    <row r="589" customFormat="1" ht="35.1" customHeight="1" x14ac:dyDescent="0.2"/>
    <row r="590" customFormat="1" ht="35.1" customHeight="1" x14ac:dyDescent="0.2"/>
    <row r="591" customFormat="1" ht="35.1" customHeight="1" x14ac:dyDescent="0.2"/>
    <row r="592" customFormat="1" ht="35.1" customHeight="1" x14ac:dyDescent="0.2"/>
    <row r="593" customFormat="1" ht="35.1" customHeight="1" x14ac:dyDescent="0.2"/>
    <row r="594" customFormat="1" ht="35.1" customHeight="1" x14ac:dyDescent="0.2"/>
    <row r="595" customFormat="1" ht="35.1" customHeight="1" x14ac:dyDescent="0.2"/>
    <row r="596" customFormat="1" ht="35.1" customHeight="1" x14ac:dyDescent="0.2"/>
    <row r="597" customFormat="1" ht="35.1" customHeight="1" x14ac:dyDescent="0.2"/>
    <row r="598" customFormat="1" ht="35.1" customHeight="1" x14ac:dyDescent="0.2"/>
    <row r="599" customFormat="1" ht="35.1" customHeight="1" x14ac:dyDescent="0.2"/>
    <row r="600" customFormat="1" ht="35.1" customHeight="1" x14ac:dyDescent="0.2"/>
    <row r="601" customFormat="1" ht="35.1" customHeight="1" x14ac:dyDescent="0.2"/>
    <row r="602" customFormat="1" ht="35.1" customHeight="1" x14ac:dyDescent="0.2"/>
    <row r="603" customFormat="1" ht="35.1" customHeight="1" x14ac:dyDescent="0.2"/>
    <row r="604" customFormat="1" ht="35.1" customHeight="1" x14ac:dyDescent="0.2"/>
    <row r="605" customFormat="1" ht="35.1" customHeight="1" x14ac:dyDescent="0.2"/>
    <row r="606" customFormat="1" ht="35.1" customHeight="1" x14ac:dyDescent="0.2"/>
    <row r="607" customFormat="1" ht="35.1" customHeight="1" x14ac:dyDescent="0.2"/>
    <row r="608" customFormat="1" ht="35.1" customHeight="1" x14ac:dyDescent="0.2"/>
    <row r="609" customFormat="1" ht="35.1" customHeight="1" x14ac:dyDescent="0.2"/>
    <row r="610" customFormat="1" ht="35.1" customHeight="1" x14ac:dyDescent="0.2"/>
    <row r="611" customFormat="1" ht="35.1" customHeight="1" x14ac:dyDescent="0.2"/>
    <row r="612" customFormat="1" ht="35.1" customHeight="1" x14ac:dyDescent="0.2"/>
    <row r="613" customFormat="1" ht="35.1" customHeight="1" x14ac:dyDescent="0.2"/>
    <row r="614" customFormat="1" ht="35.1" customHeight="1" x14ac:dyDescent="0.2"/>
    <row r="615" customFormat="1" ht="35.1" customHeight="1" x14ac:dyDescent="0.2"/>
    <row r="616" customFormat="1" ht="35.1" customHeight="1" x14ac:dyDescent="0.2"/>
    <row r="617" customFormat="1" ht="35.1" customHeight="1" x14ac:dyDescent="0.2"/>
    <row r="618" customFormat="1" ht="35.1" customHeight="1" x14ac:dyDescent="0.2"/>
    <row r="619" customFormat="1" ht="35.1" customHeight="1" x14ac:dyDescent="0.2"/>
    <row r="620" customFormat="1" ht="35.1" customHeight="1" x14ac:dyDescent="0.2"/>
    <row r="621" customFormat="1" ht="35.1" customHeight="1" x14ac:dyDescent="0.2"/>
    <row r="622" customFormat="1" ht="35.1" customHeight="1" x14ac:dyDescent="0.2"/>
    <row r="623" customFormat="1" ht="35.1" customHeight="1" x14ac:dyDescent="0.2"/>
    <row r="624" customFormat="1" ht="35.1" customHeight="1" x14ac:dyDescent="0.2"/>
    <row r="625" customFormat="1" ht="35.1" customHeight="1" x14ac:dyDescent="0.2"/>
    <row r="626" customFormat="1" ht="35.1" customHeight="1" x14ac:dyDescent="0.2"/>
    <row r="627" customFormat="1" ht="35.1" customHeight="1" x14ac:dyDescent="0.2"/>
    <row r="628" customFormat="1" ht="35.1" customHeight="1" x14ac:dyDescent="0.2"/>
    <row r="629" customFormat="1" ht="35.1" customHeight="1" x14ac:dyDescent="0.2"/>
    <row r="630" customFormat="1" ht="35.1" customHeight="1" x14ac:dyDescent="0.2"/>
    <row r="631" customFormat="1" ht="35.1" customHeight="1" x14ac:dyDescent="0.2"/>
    <row r="632" customFormat="1" ht="35.1" customHeight="1" x14ac:dyDescent="0.2"/>
    <row r="633" customFormat="1" ht="35.1" customHeight="1" x14ac:dyDescent="0.2"/>
    <row r="634" customFormat="1" ht="35.1" customHeight="1" x14ac:dyDescent="0.2"/>
    <row r="635" customFormat="1" ht="35.1" customHeight="1" x14ac:dyDescent="0.2"/>
    <row r="636" customFormat="1" ht="35.1" customHeight="1" x14ac:dyDescent="0.2"/>
    <row r="637" customFormat="1" ht="35.1" customHeight="1" x14ac:dyDescent="0.2"/>
    <row r="638" customFormat="1" ht="35.1" customHeight="1" x14ac:dyDescent="0.2"/>
    <row r="639" customFormat="1" ht="35.1" customHeight="1" x14ac:dyDescent="0.2"/>
    <row r="640" customFormat="1" ht="35.1" customHeight="1" x14ac:dyDescent="0.2"/>
    <row r="641" customFormat="1" ht="35.1" customHeight="1" x14ac:dyDescent="0.2"/>
    <row r="642" customFormat="1" ht="35.1" customHeight="1" x14ac:dyDescent="0.2"/>
    <row r="643" customFormat="1" ht="35.1" customHeight="1" x14ac:dyDescent="0.2"/>
    <row r="644" customFormat="1" ht="35.1" customHeight="1" x14ac:dyDescent="0.2"/>
    <row r="645" customFormat="1" ht="35.1" customHeight="1" x14ac:dyDescent="0.2"/>
    <row r="646" customFormat="1" ht="35.1" customHeight="1" x14ac:dyDescent="0.2"/>
    <row r="647" customFormat="1" ht="35.1" customHeight="1" x14ac:dyDescent="0.2"/>
    <row r="648" customFormat="1" ht="35.1" customHeight="1" x14ac:dyDescent="0.2"/>
    <row r="649" customFormat="1" ht="35.1" customHeight="1" x14ac:dyDescent="0.2"/>
    <row r="650" customFormat="1" ht="35.1" customHeight="1" x14ac:dyDescent="0.2"/>
    <row r="651" customFormat="1" ht="35.1" customHeight="1" x14ac:dyDescent="0.2"/>
    <row r="652" customFormat="1" ht="35.1" customHeight="1" x14ac:dyDescent="0.2"/>
    <row r="653" customFormat="1" ht="35.1" customHeight="1" x14ac:dyDescent="0.2"/>
    <row r="654" customFormat="1" ht="35.1" customHeight="1" x14ac:dyDescent="0.2"/>
    <row r="655" customFormat="1" ht="35.1" customHeight="1" x14ac:dyDescent="0.2"/>
    <row r="656" customFormat="1" ht="35.1" customHeight="1" x14ac:dyDescent="0.2"/>
    <row r="657" customFormat="1" ht="35.1" customHeight="1" x14ac:dyDescent="0.2"/>
    <row r="658" customFormat="1" ht="35.1" customHeight="1" x14ac:dyDescent="0.2"/>
    <row r="659" customFormat="1" ht="35.1" customHeight="1" x14ac:dyDescent="0.2"/>
    <row r="660" customFormat="1" ht="35.1" customHeight="1" x14ac:dyDescent="0.2"/>
    <row r="661" customFormat="1" ht="35.1" customHeight="1" x14ac:dyDescent="0.2"/>
    <row r="662" customFormat="1" ht="35.1" customHeight="1" x14ac:dyDescent="0.2"/>
    <row r="663" customFormat="1" ht="35.1" customHeight="1" x14ac:dyDescent="0.2"/>
    <row r="664" customFormat="1" ht="35.1" customHeight="1" x14ac:dyDescent="0.2"/>
    <row r="665" customFormat="1" ht="35.1" customHeight="1" x14ac:dyDescent="0.2"/>
    <row r="666" customFormat="1" ht="35.1" customHeight="1" x14ac:dyDescent="0.2"/>
    <row r="667" customFormat="1" ht="35.1" customHeight="1" x14ac:dyDescent="0.2"/>
    <row r="668" customFormat="1" ht="35.1" customHeight="1" x14ac:dyDescent="0.2"/>
    <row r="669" customFormat="1" ht="35.1" customHeight="1" x14ac:dyDescent="0.2"/>
    <row r="670" customFormat="1" ht="35.1" customHeight="1" x14ac:dyDescent="0.2"/>
    <row r="671" customFormat="1" ht="35.1" customHeight="1" x14ac:dyDescent="0.2"/>
    <row r="672" customFormat="1" ht="35.1" customHeight="1" x14ac:dyDescent="0.2"/>
    <row r="673" customFormat="1" ht="35.1" customHeight="1" x14ac:dyDescent="0.2"/>
    <row r="674" customFormat="1" ht="35.1" customHeight="1" x14ac:dyDescent="0.2"/>
    <row r="675" customFormat="1" ht="35.1" customHeight="1" x14ac:dyDescent="0.2"/>
    <row r="676" customFormat="1" ht="35.1" customHeight="1" x14ac:dyDescent="0.2"/>
    <row r="677" customFormat="1" ht="35.1" customHeight="1" x14ac:dyDescent="0.2"/>
    <row r="678" customFormat="1" ht="35.1" customHeight="1" x14ac:dyDescent="0.2"/>
    <row r="679" customFormat="1" ht="35.1" customHeight="1" x14ac:dyDescent="0.2"/>
    <row r="680" customFormat="1" ht="35.1" customHeight="1" x14ac:dyDescent="0.2"/>
    <row r="681" customFormat="1" ht="35.1" customHeight="1" x14ac:dyDescent="0.2"/>
    <row r="682" customFormat="1" ht="35.1" customHeight="1" x14ac:dyDescent="0.2"/>
    <row r="683" customFormat="1" ht="35.1" customHeight="1" x14ac:dyDescent="0.2"/>
    <row r="684" customFormat="1" ht="35.1" customHeight="1" x14ac:dyDescent="0.2"/>
    <row r="685" customFormat="1" ht="35.1" customHeight="1" x14ac:dyDescent="0.2"/>
    <row r="686" customFormat="1" ht="35.1" customHeight="1" x14ac:dyDescent="0.2"/>
    <row r="687" customFormat="1" ht="35.1" customHeight="1" x14ac:dyDescent="0.2"/>
    <row r="688" customFormat="1" ht="35.1" customHeight="1" x14ac:dyDescent="0.2"/>
    <row r="689" customFormat="1" ht="35.1" customHeight="1" x14ac:dyDescent="0.2"/>
    <row r="690" customFormat="1" ht="35.1" customHeight="1" x14ac:dyDescent="0.2"/>
    <row r="691" customFormat="1" ht="35.1" customHeight="1" x14ac:dyDescent="0.2"/>
    <row r="692" customFormat="1" ht="35.1" customHeight="1" x14ac:dyDescent="0.2"/>
    <row r="693" customFormat="1" ht="35.1" customHeight="1" x14ac:dyDescent="0.2"/>
    <row r="694" customFormat="1" ht="35.1" customHeight="1" x14ac:dyDescent="0.2"/>
    <row r="695" customFormat="1" ht="35.1" customHeight="1" x14ac:dyDescent="0.2"/>
    <row r="696" customFormat="1" ht="35.1" customHeight="1" x14ac:dyDescent="0.2"/>
    <row r="697" customFormat="1" ht="35.1" customHeight="1" x14ac:dyDescent="0.2"/>
    <row r="698" customFormat="1" ht="35.1" customHeight="1" x14ac:dyDescent="0.2"/>
    <row r="699" customFormat="1" ht="35.1" customHeight="1" x14ac:dyDescent="0.2"/>
    <row r="700" customFormat="1" ht="35.1" customHeight="1" x14ac:dyDescent="0.2"/>
    <row r="701" customFormat="1" ht="35.1" customHeight="1" x14ac:dyDescent="0.2"/>
    <row r="702" customFormat="1" ht="35.1" customHeight="1" x14ac:dyDescent="0.2"/>
    <row r="703" customFormat="1" ht="35.1" customHeight="1" x14ac:dyDescent="0.2"/>
    <row r="704" customFormat="1" ht="35.1" customHeight="1" x14ac:dyDescent="0.2"/>
    <row r="705" customFormat="1" ht="35.1" customHeight="1" x14ac:dyDescent="0.2"/>
    <row r="706" customFormat="1" ht="35.1" customHeight="1" x14ac:dyDescent="0.2"/>
    <row r="707" customFormat="1" ht="35.1" customHeight="1" x14ac:dyDescent="0.2"/>
    <row r="708" customFormat="1" ht="35.1" customHeight="1" x14ac:dyDescent="0.2"/>
    <row r="709" customFormat="1" ht="35.1" customHeight="1" x14ac:dyDescent="0.2"/>
    <row r="710" customFormat="1" ht="35.1" customHeight="1" x14ac:dyDescent="0.2"/>
    <row r="711" customFormat="1" ht="35.1" customHeight="1" x14ac:dyDescent="0.2"/>
    <row r="712" customFormat="1" ht="35.1" customHeight="1" x14ac:dyDescent="0.2"/>
    <row r="713" customFormat="1" ht="35.1" customHeight="1" x14ac:dyDescent="0.2"/>
    <row r="714" customFormat="1" ht="35.1" customHeight="1" x14ac:dyDescent="0.2"/>
    <row r="715" customFormat="1" ht="35.1" customHeight="1" x14ac:dyDescent="0.2"/>
    <row r="716" customFormat="1" ht="35.1" customHeight="1" x14ac:dyDescent="0.2"/>
    <row r="717" customFormat="1" ht="35.1" customHeight="1" x14ac:dyDescent="0.2"/>
    <row r="718" customFormat="1" ht="35.1" customHeight="1" x14ac:dyDescent="0.2"/>
    <row r="719" customFormat="1" ht="35.1" customHeight="1" x14ac:dyDescent="0.2"/>
    <row r="720" customFormat="1" ht="35.1" customHeight="1" x14ac:dyDescent="0.2"/>
    <row r="721" customFormat="1" ht="35.1" customHeight="1" x14ac:dyDescent="0.2"/>
    <row r="722" customFormat="1" ht="35.1" customHeight="1" x14ac:dyDescent="0.2"/>
    <row r="723" customFormat="1" ht="35.1" customHeight="1" x14ac:dyDescent="0.2"/>
    <row r="724" customFormat="1" ht="35.1" customHeight="1" x14ac:dyDescent="0.2"/>
    <row r="725" customFormat="1" ht="35.1" customHeight="1" x14ac:dyDescent="0.2"/>
    <row r="726" customFormat="1" ht="35.1" customHeight="1" x14ac:dyDescent="0.2"/>
    <row r="727" customFormat="1" ht="35.1" customHeight="1" x14ac:dyDescent="0.2"/>
    <row r="728" customFormat="1" ht="35.1" customHeight="1" x14ac:dyDescent="0.2"/>
    <row r="729" customFormat="1" ht="35.1" customHeight="1" x14ac:dyDescent="0.2"/>
    <row r="730" customFormat="1" ht="35.1" customHeight="1" x14ac:dyDescent="0.2"/>
    <row r="731" customFormat="1" ht="35.1" customHeight="1" x14ac:dyDescent="0.2"/>
    <row r="732" customFormat="1" ht="35.1" customHeight="1" x14ac:dyDescent="0.2"/>
    <row r="733" customFormat="1" ht="35.1" customHeight="1" x14ac:dyDescent="0.2"/>
    <row r="734" customFormat="1" ht="35.1" customHeight="1" x14ac:dyDescent="0.2"/>
    <row r="735" customFormat="1" ht="35.1" customHeight="1" x14ac:dyDescent="0.2"/>
    <row r="736" customFormat="1" ht="35.1" customHeight="1" x14ac:dyDescent="0.2"/>
    <row r="737" customFormat="1" ht="35.1" customHeight="1" x14ac:dyDescent="0.2"/>
    <row r="738" customFormat="1" ht="35.1" customHeight="1" x14ac:dyDescent="0.2"/>
    <row r="739" customFormat="1" ht="35.1" customHeight="1" x14ac:dyDescent="0.2"/>
    <row r="740" customFormat="1" ht="35.1" customHeight="1" x14ac:dyDescent="0.2"/>
    <row r="741" customFormat="1" ht="35.1" customHeight="1" x14ac:dyDescent="0.2"/>
    <row r="742" customFormat="1" ht="35.1" customHeight="1" x14ac:dyDescent="0.2"/>
    <row r="743" customFormat="1" ht="35.1" customHeight="1" x14ac:dyDescent="0.2"/>
    <row r="744" customFormat="1" ht="35.1" customHeight="1" x14ac:dyDescent="0.2"/>
    <row r="745" customFormat="1" ht="35.1" customHeight="1" x14ac:dyDescent="0.2"/>
    <row r="746" customFormat="1" ht="35.1" customHeight="1" x14ac:dyDescent="0.2"/>
    <row r="747" customFormat="1" ht="35.1" customHeight="1" x14ac:dyDescent="0.2"/>
    <row r="748" customFormat="1" ht="35.1" customHeight="1" x14ac:dyDescent="0.2"/>
    <row r="749" customFormat="1" ht="35.1" customHeight="1" x14ac:dyDescent="0.2"/>
    <row r="750" customFormat="1" ht="35.1" customHeight="1" x14ac:dyDescent="0.2"/>
    <row r="751" customFormat="1" ht="35.1" customHeight="1" x14ac:dyDescent="0.2"/>
    <row r="752" customFormat="1" ht="35.1" customHeight="1" x14ac:dyDescent="0.2"/>
    <row r="753" customFormat="1" ht="35.1" customHeight="1" x14ac:dyDescent="0.2"/>
    <row r="754" customFormat="1" ht="35.1" customHeight="1" x14ac:dyDescent="0.2"/>
    <row r="755" customFormat="1" ht="35.1" customHeight="1" x14ac:dyDescent="0.2"/>
    <row r="756" customFormat="1" ht="35.1" customHeight="1" x14ac:dyDescent="0.2"/>
    <row r="757" customFormat="1" ht="35.1" customHeight="1" x14ac:dyDescent="0.2"/>
    <row r="758" customFormat="1" ht="35.1" customHeight="1" x14ac:dyDescent="0.2"/>
    <row r="759" customFormat="1" ht="35.1" customHeight="1" x14ac:dyDescent="0.2"/>
    <row r="760" customFormat="1" ht="35.1" customHeight="1" x14ac:dyDescent="0.2"/>
    <row r="761" customFormat="1" ht="35.1" customHeight="1" x14ac:dyDescent="0.2"/>
    <row r="762" customFormat="1" ht="35.1" customHeight="1" x14ac:dyDescent="0.2"/>
    <row r="763" customFormat="1" ht="35.1" customHeight="1" x14ac:dyDescent="0.2"/>
    <row r="764" customFormat="1" ht="35.1" customHeight="1" x14ac:dyDescent="0.2"/>
    <row r="765" customFormat="1" ht="35.1" customHeight="1" x14ac:dyDescent="0.2"/>
    <row r="766" customFormat="1" ht="35.1" customHeight="1" x14ac:dyDescent="0.2"/>
    <row r="767" customFormat="1" ht="35.1" customHeight="1" x14ac:dyDescent="0.2"/>
    <row r="768" customFormat="1" ht="35.1" customHeight="1" x14ac:dyDescent="0.2"/>
    <row r="769" customFormat="1" ht="35.1" customHeight="1" x14ac:dyDescent="0.2"/>
    <row r="770" customFormat="1" ht="35.1" customHeight="1" x14ac:dyDescent="0.2"/>
    <row r="771" customFormat="1" ht="35.1" customHeight="1" x14ac:dyDescent="0.2"/>
    <row r="772" customFormat="1" ht="35.1" customHeight="1" x14ac:dyDescent="0.2"/>
    <row r="773" customFormat="1" ht="35.1" customHeight="1" x14ac:dyDescent="0.2"/>
    <row r="774" customFormat="1" ht="35.1" customHeight="1" x14ac:dyDescent="0.2"/>
    <row r="775" customFormat="1" ht="35.1" customHeight="1" x14ac:dyDescent="0.2"/>
    <row r="776" customFormat="1" ht="35.1" customHeight="1" x14ac:dyDescent="0.2"/>
    <row r="777" customFormat="1" ht="35.1" customHeight="1" x14ac:dyDescent="0.2"/>
    <row r="778" customFormat="1" ht="35.1" customHeight="1" x14ac:dyDescent="0.2"/>
    <row r="779" customFormat="1" ht="35.1" customHeight="1" x14ac:dyDescent="0.2"/>
    <row r="780" customFormat="1" ht="35.1" customHeight="1" x14ac:dyDescent="0.2"/>
    <row r="781" customFormat="1" ht="35.1" customHeight="1" x14ac:dyDescent="0.2"/>
    <row r="782" customFormat="1" ht="35.1" customHeight="1" x14ac:dyDescent="0.2"/>
    <row r="783" customFormat="1" ht="35.1" customHeight="1" x14ac:dyDescent="0.2"/>
    <row r="784" customFormat="1" ht="35.1" customHeight="1" x14ac:dyDescent="0.2"/>
    <row r="785" customFormat="1" ht="35.1" customHeight="1" x14ac:dyDescent="0.2"/>
    <row r="786" customFormat="1" ht="35.1" customHeight="1" x14ac:dyDescent="0.2"/>
    <row r="787" customFormat="1" ht="35.1" customHeight="1" x14ac:dyDescent="0.2"/>
    <row r="788" customFormat="1" ht="35.1" customHeight="1" x14ac:dyDescent="0.2"/>
    <row r="789" customFormat="1" ht="35.1" customHeight="1" x14ac:dyDescent="0.2"/>
    <row r="790" customFormat="1" ht="35.1" customHeight="1" x14ac:dyDescent="0.2"/>
    <row r="791" customFormat="1" ht="35.1" customHeight="1" x14ac:dyDescent="0.2"/>
    <row r="792" customFormat="1" ht="35.1" customHeight="1" x14ac:dyDescent="0.2"/>
    <row r="793" customFormat="1" ht="35.1" customHeight="1" x14ac:dyDescent="0.2"/>
    <row r="794" customFormat="1" ht="35.1" customHeight="1" x14ac:dyDescent="0.2"/>
    <row r="795" customFormat="1" ht="35.1" customHeight="1" x14ac:dyDescent="0.2"/>
    <row r="796" customFormat="1" ht="35.1" customHeight="1" x14ac:dyDescent="0.2"/>
    <row r="797" customFormat="1" ht="35.1" customHeight="1" x14ac:dyDescent="0.2"/>
    <row r="798" customFormat="1" ht="35.1" customHeight="1" x14ac:dyDescent="0.2"/>
    <row r="799" customFormat="1" ht="35.1" customHeight="1" x14ac:dyDescent="0.2"/>
    <row r="800" customFormat="1" ht="35.1" customHeight="1" x14ac:dyDescent="0.2"/>
    <row r="801" customFormat="1" ht="35.1" customHeight="1" x14ac:dyDescent="0.2"/>
    <row r="802" customFormat="1" ht="35.1" customHeight="1" x14ac:dyDescent="0.2"/>
    <row r="803" customFormat="1" ht="35.1" customHeight="1" x14ac:dyDescent="0.2"/>
    <row r="804" customFormat="1" ht="35.1" customHeight="1" x14ac:dyDescent="0.2"/>
    <row r="805" customFormat="1" ht="35.1" customHeight="1" x14ac:dyDescent="0.2"/>
    <row r="806" customFormat="1" ht="35.1" customHeight="1" x14ac:dyDescent="0.2"/>
    <row r="807" customFormat="1" ht="35.1" customHeight="1" x14ac:dyDescent="0.2"/>
    <row r="808" customFormat="1" ht="35.1" customHeight="1" x14ac:dyDescent="0.2"/>
    <row r="809" customFormat="1" ht="35.1" customHeight="1" x14ac:dyDescent="0.2"/>
    <row r="810" customFormat="1" ht="35.1" customHeight="1" x14ac:dyDescent="0.2"/>
    <row r="811" customFormat="1" ht="35.1" customHeight="1" x14ac:dyDescent="0.2"/>
    <row r="812" customFormat="1" ht="35.1" customHeight="1" x14ac:dyDescent="0.2"/>
    <row r="813" customFormat="1" ht="35.1" customHeight="1" x14ac:dyDescent="0.2"/>
    <row r="814" customFormat="1" ht="35.1" customHeight="1" x14ac:dyDescent="0.2"/>
    <row r="815" customFormat="1" ht="35.1" customHeight="1" x14ac:dyDescent="0.2"/>
    <row r="816" customFormat="1" ht="35.1" customHeight="1" x14ac:dyDescent="0.2"/>
    <row r="817" customFormat="1" ht="35.1" customHeight="1" x14ac:dyDescent="0.2"/>
    <row r="818" customFormat="1" ht="35.1" customHeight="1" x14ac:dyDescent="0.2"/>
    <row r="819" customFormat="1" ht="35.1" customHeight="1" x14ac:dyDescent="0.2"/>
    <row r="820" customFormat="1" ht="35.1" customHeight="1" x14ac:dyDescent="0.2"/>
    <row r="821" customFormat="1" ht="35.1" customHeight="1" x14ac:dyDescent="0.2"/>
    <row r="822" customFormat="1" ht="35.1" customHeight="1" x14ac:dyDescent="0.2"/>
    <row r="823" customFormat="1" ht="35.1" customHeight="1" x14ac:dyDescent="0.2"/>
    <row r="824" customFormat="1" ht="35.1" customHeight="1" x14ac:dyDescent="0.2"/>
    <row r="825" customFormat="1" ht="35.1" customHeight="1" x14ac:dyDescent="0.2"/>
    <row r="826" customFormat="1" ht="35.1" customHeight="1" x14ac:dyDescent="0.2"/>
    <row r="827" customFormat="1" ht="35.1" customHeight="1" x14ac:dyDescent="0.2"/>
    <row r="828" customFormat="1" ht="35.1" customHeight="1" x14ac:dyDescent="0.2"/>
    <row r="829" customFormat="1" ht="35.1" customHeight="1" x14ac:dyDescent="0.2"/>
    <row r="830" customFormat="1" ht="35.1" customHeight="1" x14ac:dyDescent="0.2"/>
    <row r="831" customFormat="1" ht="35.1" customHeight="1" x14ac:dyDescent="0.2"/>
    <row r="832" customFormat="1" ht="35.1" customHeight="1" x14ac:dyDescent="0.2"/>
    <row r="833" customFormat="1" ht="35.1" customHeight="1" x14ac:dyDescent="0.2"/>
    <row r="834" customFormat="1" ht="35.1" customHeight="1" x14ac:dyDescent="0.2"/>
    <row r="835" customFormat="1" ht="35.1" customHeight="1" x14ac:dyDescent="0.2"/>
    <row r="836" customFormat="1" ht="35.1" customHeight="1" x14ac:dyDescent="0.2"/>
    <row r="837" customFormat="1" ht="35.1" customHeight="1" x14ac:dyDescent="0.2"/>
    <row r="838" customFormat="1" ht="35.1" customHeight="1" x14ac:dyDescent="0.2"/>
    <row r="839" customFormat="1" ht="35.1" customHeight="1" x14ac:dyDescent="0.2"/>
    <row r="840" customFormat="1" ht="35.1" customHeight="1" x14ac:dyDescent="0.2"/>
    <row r="841" customFormat="1" ht="35.1" customHeight="1" x14ac:dyDescent="0.2"/>
    <row r="842" customFormat="1" ht="35.1" customHeight="1" x14ac:dyDescent="0.2"/>
    <row r="843" customFormat="1" ht="35.1" customHeight="1" x14ac:dyDescent="0.2"/>
    <row r="844" customFormat="1" ht="35.1" customHeight="1" x14ac:dyDescent="0.2"/>
    <row r="845" customFormat="1" ht="35.1" customHeight="1" x14ac:dyDescent="0.2"/>
    <row r="846" customFormat="1" ht="35.1" customHeight="1" x14ac:dyDescent="0.2"/>
    <row r="847" customFormat="1" ht="35.1" customHeight="1" x14ac:dyDescent="0.2"/>
    <row r="848" customFormat="1" ht="35.1" customHeight="1" x14ac:dyDescent="0.2"/>
    <row r="849" customFormat="1" ht="35.1" customHeight="1" x14ac:dyDescent="0.2"/>
    <row r="850" customFormat="1" ht="35.1" customHeight="1" x14ac:dyDescent="0.2"/>
    <row r="851" customFormat="1" ht="35.1" customHeight="1" x14ac:dyDescent="0.2"/>
    <row r="852" customFormat="1" ht="35.1" customHeight="1" x14ac:dyDescent="0.2"/>
    <row r="853" customFormat="1" ht="35.1" customHeight="1" x14ac:dyDescent="0.2"/>
    <row r="854" customFormat="1" ht="35.1" customHeight="1" x14ac:dyDescent="0.2"/>
    <row r="855" customFormat="1" ht="35.1" customHeight="1" x14ac:dyDescent="0.2"/>
    <row r="856" customFormat="1" ht="35.1" customHeight="1" x14ac:dyDescent="0.2"/>
    <row r="857" customFormat="1" ht="35.1" customHeight="1" x14ac:dyDescent="0.2"/>
    <row r="858" customFormat="1" ht="35.1" customHeight="1" x14ac:dyDescent="0.2"/>
    <row r="859" customFormat="1" ht="35.1" customHeight="1" x14ac:dyDescent="0.2"/>
    <row r="860" customFormat="1" ht="35.1" customHeight="1" x14ac:dyDescent="0.2"/>
    <row r="861" customFormat="1" ht="35.1" customHeight="1" x14ac:dyDescent="0.2"/>
    <row r="862" customFormat="1" ht="35.1" customHeight="1" x14ac:dyDescent="0.2"/>
    <row r="863" customFormat="1" ht="35.1" customHeight="1" x14ac:dyDescent="0.2"/>
    <row r="864" customFormat="1" ht="35.1" customHeight="1" x14ac:dyDescent="0.2"/>
    <row r="865" customFormat="1" ht="35.1" customHeight="1" x14ac:dyDescent="0.2"/>
    <row r="866" customFormat="1" ht="35.1" customHeight="1" x14ac:dyDescent="0.2"/>
    <row r="867" customFormat="1" ht="35.1" customHeight="1" x14ac:dyDescent="0.2"/>
    <row r="868" customFormat="1" ht="35.1" customHeight="1" x14ac:dyDescent="0.2"/>
    <row r="869" customFormat="1" ht="35.1" customHeight="1" x14ac:dyDescent="0.2"/>
    <row r="870" customFormat="1" ht="35.1" customHeight="1" x14ac:dyDescent="0.2"/>
    <row r="871" customFormat="1" ht="35.1" customHeight="1" x14ac:dyDescent="0.2"/>
    <row r="872" customFormat="1" ht="35.1" customHeight="1" x14ac:dyDescent="0.2"/>
    <row r="873" customFormat="1" ht="35.1" customHeight="1" x14ac:dyDescent="0.2"/>
    <row r="874" customFormat="1" ht="35.1" customHeight="1" x14ac:dyDescent="0.2"/>
    <row r="875" customFormat="1" ht="35.1" customHeight="1" x14ac:dyDescent="0.2"/>
    <row r="876" customFormat="1" ht="35.1" customHeight="1" x14ac:dyDescent="0.2"/>
    <row r="877" customFormat="1" ht="35.1" customHeight="1" x14ac:dyDescent="0.2"/>
    <row r="878" customFormat="1" ht="35.1" customHeight="1" x14ac:dyDescent="0.2"/>
    <row r="879" customFormat="1" ht="35.1" customHeight="1" x14ac:dyDescent="0.2"/>
    <row r="880" customFormat="1" ht="35.1" customHeight="1" x14ac:dyDescent="0.2"/>
    <row r="881" customFormat="1" ht="35.1" customHeight="1" x14ac:dyDescent="0.2"/>
    <row r="882" customFormat="1" ht="35.1" customHeight="1" x14ac:dyDescent="0.2"/>
    <row r="883" customFormat="1" ht="35.1" customHeight="1" x14ac:dyDescent="0.2"/>
    <row r="884" customFormat="1" ht="35.1" customHeight="1" x14ac:dyDescent="0.2"/>
    <row r="885" customFormat="1" ht="35.1" customHeight="1" x14ac:dyDescent="0.2"/>
    <row r="886" customFormat="1" ht="35.1" customHeight="1" x14ac:dyDescent="0.2"/>
    <row r="887" customFormat="1" ht="35.1" customHeight="1" x14ac:dyDescent="0.2"/>
    <row r="888" customFormat="1" ht="35.1" customHeight="1" x14ac:dyDescent="0.2"/>
    <row r="889" customFormat="1" ht="35.1" customHeight="1" x14ac:dyDescent="0.2"/>
    <row r="890" customFormat="1" ht="35.1" customHeight="1" x14ac:dyDescent="0.2"/>
    <row r="891" customFormat="1" ht="35.1" customHeight="1" x14ac:dyDescent="0.2"/>
    <row r="892" customFormat="1" ht="35.1" customHeight="1" x14ac:dyDescent="0.2"/>
    <row r="893" customFormat="1" ht="35.1" customHeight="1" x14ac:dyDescent="0.2"/>
    <row r="894" customFormat="1" ht="35.1" customHeight="1" x14ac:dyDescent="0.2"/>
    <row r="895" customFormat="1" ht="35.1" customHeight="1" x14ac:dyDescent="0.2"/>
    <row r="896" customFormat="1" ht="35.1" customHeight="1" x14ac:dyDescent="0.2"/>
    <row r="897" customFormat="1" ht="35.1" customHeight="1" x14ac:dyDescent="0.2"/>
    <row r="898" customFormat="1" ht="35.1" customHeight="1" x14ac:dyDescent="0.2"/>
    <row r="899" customFormat="1" ht="35.1" customHeight="1" x14ac:dyDescent="0.2"/>
    <row r="900" customFormat="1" ht="35.1" customHeight="1" x14ac:dyDescent="0.2"/>
    <row r="901" customFormat="1" ht="35.1" customHeight="1" x14ac:dyDescent="0.2"/>
    <row r="902" customFormat="1" ht="35.1" customHeight="1" x14ac:dyDescent="0.2"/>
    <row r="903" customFormat="1" ht="35.1" customHeight="1" x14ac:dyDescent="0.2"/>
    <row r="904" customFormat="1" ht="35.1" customHeight="1" x14ac:dyDescent="0.2"/>
    <row r="905" customFormat="1" ht="35.1" customHeight="1" x14ac:dyDescent="0.2"/>
    <row r="906" customFormat="1" ht="35.1" customHeight="1" x14ac:dyDescent="0.2"/>
    <row r="907" customFormat="1" ht="35.1" customHeight="1" x14ac:dyDescent="0.2"/>
    <row r="908" customFormat="1" ht="35.1" customHeight="1" x14ac:dyDescent="0.2"/>
    <row r="909" customFormat="1" ht="35.1" customHeight="1" x14ac:dyDescent="0.2"/>
    <row r="910" customFormat="1" ht="35.1" customHeight="1" x14ac:dyDescent="0.2"/>
    <row r="911" customFormat="1" ht="35.1" customHeight="1" x14ac:dyDescent="0.2"/>
    <row r="912" customFormat="1" ht="35.1" customHeight="1" x14ac:dyDescent="0.2"/>
    <row r="913" customFormat="1" ht="35.1" customHeight="1" x14ac:dyDescent="0.2"/>
    <row r="914" customFormat="1" ht="35.1" customHeight="1" x14ac:dyDescent="0.2"/>
    <row r="915" customFormat="1" ht="35.1" customHeight="1" x14ac:dyDescent="0.2"/>
    <row r="916" customFormat="1" ht="35.1" customHeight="1" x14ac:dyDescent="0.2"/>
    <row r="917" customFormat="1" ht="35.1" customHeight="1" x14ac:dyDescent="0.2"/>
    <row r="918" customFormat="1" ht="35.1" customHeight="1" x14ac:dyDescent="0.2"/>
    <row r="919" customFormat="1" ht="35.1" customHeight="1" x14ac:dyDescent="0.2"/>
    <row r="920" customFormat="1" ht="35.1" customHeight="1" x14ac:dyDescent="0.2"/>
    <row r="921" customFormat="1" ht="35.1" customHeight="1" x14ac:dyDescent="0.2"/>
    <row r="922" customFormat="1" ht="35.1" customHeight="1" x14ac:dyDescent="0.2"/>
    <row r="923" customFormat="1" ht="35.1" customHeight="1" x14ac:dyDescent="0.2"/>
    <row r="924" customFormat="1" ht="35.1" customHeight="1" x14ac:dyDescent="0.2"/>
    <row r="925" customFormat="1" ht="35.1" customHeight="1" x14ac:dyDescent="0.2"/>
    <row r="926" customFormat="1" ht="35.1" customHeight="1" x14ac:dyDescent="0.2"/>
    <row r="927" customFormat="1" ht="35.1" customHeight="1" x14ac:dyDescent="0.2"/>
    <row r="928" customFormat="1" ht="35.1" customHeight="1" x14ac:dyDescent="0.2"/>
    <row r="929" customFormat="1" ht="35.1" customHeight="1" x14ac:dyDescent="0.2"/>
    <row r="930" customFormat="1" ht="35.1" customHeight="1" x14ac:dyDescent="0.2"/>
    <row r="931" customFormat="1" ht="35.1" customHeight="1" x14ac:dyDescent="0.2"/>
    <row r="932" customFormat="1" ht="35.1" customHeight="1" x14ac:dyDescent="0.2"/>
    <row r="933" customFormat="1" ht="35.1" customHeight="1" x14ac:dyDescent="0.2"/>
    <row r="934" customFormat="1" ht="35.1" customHeight="1" x14ac:dyDescent="0.2"/>
    <row r="935" customFormat="1" ht="35.1" customHeight="1" x14ac:dyDescent="0.2"/>
    <row r="936" customFormat="1" ht="35.1" customHeight="1" x14ac:dyDescent="0.2"/>
    <row r="937" customFormat="1" ht="35.1" customHeight="1" x14ac:dyDescent="0.2"/>
    <row r="938" customFormat="1" ht="35.1" customHeight="1" x14ac:dyDescent="0.2"/>
    <row r="939" customFormat="1" ht="35.1" customHeight="1" x14ac:dyDescent="0.2"/>
    <row r="940" customFormat="1" ht="35.1" customHeight="1" x14ac:dyDescent="0.2"/>
    <row r="941" customFormat="1" ht="35.1" customHeight="1" x14ac:dyDescent="0.2"/>
    <row r="942" customFormat="1" ht="35.1" customHeight="1" x14ac:dyDescent="0.2"/>
    <row r="943" customFormat="1" ht="35.1" customHeight="1" x14ac:dyDescent="0.2"/>
    <row r="944" customFormat="1" ht="35.1" customHeight="1" x14ac:dyDescent="0.2"/>
    <row r="945" customFormat="1" ht="35.1" customHeight="1" x14ac:dyDescent="0.2"/>
    <row r="946" customFormat="1" ht="35.1" customHeight="1" x14ac:dyDescent="0.2"/>
    <row r="947" customFormat="1" ht="35.1" customHeight="1" x14ac:dyDescent="0.2"/>
    <row r="948" customFormat="1" ht="35.1" customHeight="1" x14ac:dyDescent="0.2"/>
    <row r="949" customFormat="1" ht="35.1" customHeight="1" x14ac:dyDescent="0.2"/>
    <row r="950" customFormat="1" ht="35.1" customHeight="1" x14ac:dyDescent="0.2"/>
    <row r="951" customFormat="1" ht="35.1" customHeight="1" x14ac:dyDescent="0.2"/>
    <row r="952" customFormat="1" ht="35.1" customHeight="1" x14ac:dyDescent="0.2"/>
    <row r="953" customFormat="1" ht="35.1" customHeight="1" x14ac:dyDescent="0.2"/>
    <row r="954" customFormat="1" ht="35.1" customHeight="1" x14ac:dyDescent="0.2"/>
    <row r="955" customFormat="1" ht="35.1" customHeight="1" x14ac:dyDescent="0.2"/>
    <row r="956" customFormat="1" ht="35.1" customHeight="1" x14ac:dyDescent="0.2"/>
    <row r="957" customFormat="1" ht="35.1" customHeight="1" x14ac:dyDescent="0.2"/>
    <row r="958" customFormat="1" ht="35.1" customHeight="1" x14ac:dyDescent="0.2"/>
    <row r="959" customFormat="1" ht="35.1" customHeight="1" x14ac:dyDescent="0.2"/>
    <row r="960" customFormat="1" ht="35.1" customHeight="1" x14ac:dyDescent="0.2"/>
    <row r="961" customFormat="1" ht="35.1" customHeight="1" x14ac:dyDescent="0.2"/>
    <row r="962" customFormat="1" ht="35.1" customHeight="1" x14ac:dyDescent="0.2"/>
    <row r="963" customFormat="1" ht="35.1" customHeight="1" x14ac:dyDescent="0.2"/>
    <row r="964" customFormat="1" ht="35.1" customHeight="1" x14ac:dyDescent="0.2"/>
    <row r="965" customFormat="1" ht="35.1" customHeight="1" x14ac:dyDescent="0.2"/>
    <row r="966" customFormat="1" ht="35.1" customHeight="1" x14ac:dyDescent="0.2"/>
    <row r="967" customFormat="1" ht="35.1" customHeight="1" x14ac:dyDescent="0.2"/>
    <row r="968" customFormat="1" ht="35.1" customHeight="1" x14ac:dyDescent="0.2"/>
    <row r="969" customFormat="1" ht="35.1" customHeight="1" x14ac:dyDescent="0.2"/>
    <row r="970" customFormat="1" ht="35.1" customHeight="1" x14ac:dyDescent="0.2"/>
    <row r="971" customFormat="1" ht="35.1" customHeight="1" x14ac:dyDescent="0.2"/>
    <row r="972" customFormat="1" ht="35.1" customHeight="1" x14ac:dyDescent="0.2"/>
    <row r="973" customFormat="1" ht="35.1" customHeight="1" x14ac:dyDescent="0.2"/>
    <row r="974" customFormat="1" ht="35.1" customHeight="1" x14ac:dyDescent="0.2"/>
    <row r="975" customFormat="1" ht="35.1" customHeight="1" x14ac:dyDescent="0.2"/>
    <row r="976" customFormat="1" ht="35.1" customHeight="1" x14ac:dyDescent="0.2"/>
    <row r="977" customFormat="1" ht="35.1" customHeight="1" x14ac:dyDescent="0.2"/>
    <row r="978" customFormat="1" ht="35.1" customHeight="1" x14ac:dyDescent="0.2"/>
    <row r="979" customFormat="1" ht="35.1" customHeight="1" x14ac:dyDescent="0.2"/>
    <row r="980" customFormat="1" ht="35.1" customHeight="1" x14ac:dyDescent="0.2"/>
    <row r="981" customFormat="1" ht="35.1" customHeight="1" x14ac:dyDescent="0.2"/>
    <row r="982" customFormat="1" ht="35.1" customHeight="1" x14ac:dyDescent="0.2"/>
    <row r="983" customFormat="1" ht="35.1" customHeight="1" x14ac:dyDescent="0.2"/>
    <row r="984" customFormat="1" ht="35.1" customHeight="1" x14ac:dyDescent="0.2"/>
    <row r="985" customFormat="1" ht="35.1" customHeight="1" x14ac:dyDescent="0.2"/>
    <row r="986" customFormat="1" ht="35.1" customHeight="1" x14ac:dyDescent="0.2"/>
    <row r="987" customFormat="1" ht="35.1" customHeight="1" x14ac:dyDescent="0.2"/>
    <row r="988" customFormat="1" ht="35.1" customHeight="1" x14ac:dyDescent="0.2"/>
    <row r="989" customFormat="1" ht="35.1" customHeight="1" x14ac:dyDescent="0.2"/>
    <row r="990" customFormat="1" ht="35.1" customHeight="1" x14ac:dyDescent="0.2"/>
    <row r="991" customFormat="1" ht="35.1" customHeight="1" x14ac:dyDescent="0.2"/>
    <row r="992" customFormat="1" ht="35.1" customHeight="1" x14ac:dyDescent="0.2"/>
    <row r="993" customFormat="1" ht="35.1" customHeight="1" x14ac:dyDescent="0.2"/>
    <row r="994" customFormat="1" ht="35.1" customHeight="1" x14ac:dyDescent="0.2"/>
    <row r="995" customFormat="1" ht="35.1" customHeight="1" x14ac:dyDescent="0.2"/>
    <row r="996" customFormat="1" ht="35.1" customHeight="1" x14ac:dyDescent="0.2"/>
    <row r="997" customFormat="1" ht="35.1" customHeight="1" x14ac:dyDescent="0.2"/>
    <row r="998" customFormat="1" ht="35.1" customHeight="1" x14ac:dyDescent="0.2"/>
    <row r="999" customFormat="1" ht="35.1" customHeight="1" x14ac:dyDescent="0.2"/>
    <row r="1000" customFormat="1" ht="35.1" customHeight="1" x14ac:dyDescent="0.2"/>
    <row r="1001" customFormat="1" ht="35.1" customHeight="1" x14ac:dyDescent="0.2"/>
    <row r="1002" customFormat="1" ht="35.1" customHeight="1" x14ac:dyDescent="0.2"/>
    <row r="1003" customFormat="1" ht="35.1" customHeight="1" x14ac:dyDescent="0.2"/>
    <row r="1004" customFormat="1" ht="35.1" customHeight="1" x14ac:dyDescent="0.2"/>
    <row r="1005" customFormat="1" ht="35.1" customHeight="1" x14ac:dyDescent="0.2"/>
    <row r="1006" customFormat="1" ht="35.1" customHeight="1" x14ac:dyDescent="0.2"/>
    <row r="1007" customFormat="1" ht="35.1" customHeight="1" x14ac:dyDescent="0.2"/>
    <row r="1008" customFormat="1" ht="35.1" customHeight="1" x14ac:dyDescent="0.2"/>
    <row r="1009" customFormat="1" ht="35.1" customHeight="1" x14ac:dyDescent="0.2"/>
    <row r="1010" customFormat="1" ht="35.1" customHeight="1" x14ac:dyDescent="0.2"/>
    <row r="1011" customFormat="1" ht="35.1" customHeight="1" x14ac:dyDescent="0.2"/>
    <row r="1012" customFormat="1" ht="35.1" customHeight="1" x14ac:dyDescent="0.2"/>
    <row r="1013" customFormat="1" ht="35.1" customHeight="1" x14ac:dyDescent="0.2"/>
    <row r="1014" customFormat="1" ht="35.1" customHeight="1" x14ac:dyDescent="0.2"/>
    <row r="1015" customFormat="1" ht="35.1" customHeight="1" x14ac:dyDescent="0.2"/>
    <row r="1016" customFormat="1" ht="35.1" customHeight="1" x14ac:dyDescent="0.2"/>
    <row r="1017" customFormat="1" ht="35.1" customHeight="1" x14ac:dyDescent="0.2"/>
    <row r="1018" customFormat="1" ht="35.1" customHeight="1" x14ac:dyDescent="0.2"/>
    <row r="1019" customFormat="1" ht="35.1" customHeight="1" x14ac:dyDescent="0.2"/>
    <row r="1020" customFormat="1" ht="35.1" customHeight="1" x14ac:dyDescent="0.2"/>
    <row r="1021" customFormat="1" ht="35.1" customHeight="1" x14ac:dyDescent="0.2"/>
    <row r="1022" customFormat="1" ht="35.1" customHeight="1" x14ac:dyDescent="0.2"/>
    <row r="1023" customFormat="1" ht="35.1" customHeight="1" x14ac:dyDescent="0.2"/>
    <row r="1024" customFormat="1" ht="35.1" customHeight="1" x14ac:dyDescent="0.2"/>
    <row r="1025" customFormat="1" ht="35.1" customHeight="1" x14ac:dyDescent="0.2"/>
    <row r="1026" customFormat="1" ht="35.1" customHeight="1" x14ac:dyDescent="0.2"/>
    <row r="1027" customFormat="1" ht="35.1" customHeight="1" x14ac:dyDescent="0.2"/>
    <row r="1028" customFormat="1" ht="35.1" customHeight="1" x14ac:dyDescent="0.2"/>
    <row r="1029" customFormat="1" ht="35.1" customHeight="1" x14ac:dyDescent="0.2"/>
    <row r="1030" customFormat="1" ht="35.1" customHeight="1" x14ac:dyDescent="0.2"/>
    <row r="1031" customFormat="1" ht="35.1" customHeight="1" x14ac:dyDescent="0.2"/>
    <row r="1032" customFormat="1" ht="35.1" customHeight="1" x14ac:dyDescent="0.2"/>
    <row r="1033" customFormat="1" ht="35.1" customHeight="1" x14ac:dyDescent="0.2"/>
    <row r="1034" customFormat="1" ht="35.1" customHeight="1" x14ac:dyDescent="0.2"/>
    <row r="1035" customFormat="1" ht="35.1" customHeight="1" x14ac:dyDescent="0.2"/>
    <row r="1036" customFormat="1" ht="35.1" customHeight="1" x14ac:dyDescent="0.2"/>
    <row r="1037" customFormat="1" ht="35.1" customHeight="1" x14ac:dyDescent="0.2"/>
    <row r="1038" customFormat="1" ht="35.1" customHeight="1" x14ac:dyDescent="0.2"/>
    <row r="1039" customFormat="1" ht="35.1" customHeight="1" x14ac:dyDescent="0.2"/>
    <row r="1040" customFormat="1" ht="35.1" customHeight="1" x14ac:dyDescent="0.2"/>
    <row r="1041" customFormat="1" ht="35.1" customHeight="1" x14ac:dyDescent="0.2"/>
    <row r="1042" customFormat="1" ht="35.1" customHeight="1" x14ac:dyDescent="0.2"/>
    <row r="1043" customFormat="1" ht="35.1" customHeight="1" x14ac:dyDescent="0.2"/>
    <row r="1044" customFormat="1" ht="35.1" customHeight="1" x14ac:dyDescent="0.2"/>
    <row r="1045" customFormat="1" ht="35.1" customHeight="1" x14ac:dyDescent="0.2"/>
    <row r="1046" customFormat="1" ht="35.1" customHeight="1" x14ac:dyDescent="0.2"/>
    <row r="1047" customFormat="1" ht="35.1" customHeight="1" x14ac:dyDescent="0.2"/>
    <row r="1048" customFormat="1" ht="35.1" customHeight="1" x14ac:dyDescent="0.2"/>
    <row r="1049" customFormat="1" ht="35.1" customHeight="1" x14ac:dyDescent="0.2"/>
    <row r="1050" customFormat="1" ht="35.1" customHeight="1" x14ac:dyDescent="0.2"/>
    <row r="1051" customFormat="1" ht="35.1" customHeight="1" x14ac:dyDescent="0.2"/>
    <row r="1052" customFormat="1" ht="35.1" customHeight="1" x14ac:dyDescent="0.2"/>
    <row r="1053" customFormat="1" ht="35.1" customHeight="1" x14ac:dyDescent="0.2"/>
    <row r="1054" customFormat="1" ht="35.1" customHeight="1" x14ac:dyDescent="0.2"/>
    <row r="1055" customFormat="1" ht="35.1" customHeight="1" x14ac:dyDescent="0.2"/>
    <row r="1056" customFormat="1" ht="35.1" customHeight="1" x14ac:dyDescent="0.2"/>
    <row r="1057" customFormat="1" ht="35.1" customHeight="1" x14ac:dyDescent="0.2"/>
    <row r="1058" customFormat="1" ht="35.1" customHeight="1" x14ac:dyDescent="0.2"/>
    <row r="1059" customFormat="1" ht="35.1" customHeight="1" x14ac:dyDescent="0.2"/>
    <row r="1060" customFormat="1" ht="35.1" customHeight="1" x14ac:dyDescent="0.2"/>
    <row r="1061" customFormat="1" ht="35.1" customHeight="1" x14ac:dyDescent="0.2"/>
    <row r="1062" customFormat="1" ht="35.1" customHeight="1" x14ac:dyDescent="0.2"/>
    <row r="1063" customFormat="1" ht="35.1" customHeight="1" x14ac:dyDescent="0.2"/>
    <row r="1064" customFormat="1" ht="35.1" customHeight="1" x14ac:dyDescent="0.2"/>
    <row r="1065" customFormat="1" ht="35.1" customHeight="1" x14ac:dyDescent="0.2"/>
    <row r="1066" customFormat="1" ht="35.1" customHeight="1" x14ac:dyDescent="0.2"/>
    <row r="1067" customFormat="1" ht="35.1" customHeight="1" x14ac:dyDescent="0.2"/>
    <row r="1068" customFormat="1" ht="35.1" customHeight="1" x14ac:dyDescent="0.2"/>
    <row r="1069" customFormat="1" ht="35.1" customHeight="1" x14ac:dyDescent="0.2"/>
    <row r="1070" customFormat="1" ht="35.1" customHeight="1" x14ac:dyDescent="0.2"/>
    <row r="1071" customFormat="1" ht="35.1" customHeight="1" x14ac:dyDescent="0.2"/>
    <row r="1072" customFormat="1" ht="35.1" customHeight="1" x14ac:dyDescent="0.2"/>
    <row r="1073" customFormat="1" ht="35.1" customHeight="1" x14ac:dyDescent="0.2"/>
    <row r="1074" customFormat="1" ht="35.1" customHeight="1" x14ac:dyDescent="0.2"/>
    <row r="1075" customFormat="1" ht="35.1" customHeight="1" x14ac:dyDescent="0.2"/>
    <row r="1076" customFormat="1" ht="35.1" customHeight="1" x14ac:dyDescent="0.2"/>
    <row r="1077" customFormat="1" ht="35.1" customHeight="1" x14ac:dyDescent="0.2"/>
    <row r="1078" customFormat="1" ht="35.1" customHeight="1" x14ac:dyDescent="0.2"/>
    <row r="1079" customFormat="1" ht="35.1" customHeight="1" x14ac:dyDescent="0.2"/>
    <row r="1080" customFormat="1" ht="35.1" customHeight="1" x14ac:dyDescent="0.2"/>
    <row r="1081" customFormat="1" ht="35.1" customHeight="1" x14ac:dyDescent="0.2"/>
    <row r="1082" customFormat="1" ht="35.1" customHeight="1" x14ac:dyDescent="0.2"/>
    <row r="1083" customFormat="1" ht="35.1" customHeight="1" x14ac:dyDescent="0.2"/>
    <row r="1084" customFormat="1" ht="35.1" customHeight="1" x14ac:dyDescent="0.2"/>
    <row r="1085" customFormat="1" ht="35.1" customHeight="1" x14ac:dyDescent="0.2"/>
    <row r="1086" customFormat="1" ht="35.1" customHeight="1" x14ac:dyDescent="0.2"/>
    <row r="1087" customFormat="1" ht="35.1" customHeight="1" x14ac:dyDescent="0.2"/>
    <row r="1088" customFormat="1" ht="35.1" customHeight="1" x14ac:dyDescent="0.2"/>
    <row r="1089" customFormat="1" ht="35.1" customHeight="1" x14ac:dyDescent="0.2"/>
    <row r="1090" customFormat="1" ht="35.1" customHeight="1" x14ac:dyDescent="0.2"/>
    <row r="1091" customFormat="1" ht="35.1" customHeight="1" x14ac:dyDescent="0.2"/>
    <row r="1092" customFormat="1" ht="35.1" customHeight="1" x14ac:dyDescent="0.2"/>
    <row r="1093" customFormat="1" ht="35.1" customHeight="1" x14ac:dyDescent="0.2"/>
    <row r="1094" customFormat="1" ht="35.1" customHeight="1" x14ac:dyDescent="0.2"/>
    <row r="1095" customFormat="1" ht="35.1" customHeight="1" x14ac:dyDescent="0.2"/>
    <row r="1096" customFormat="1" ht="35.1" customHeight="1" x14ac:dyDescent="0.2"/>
    <row r="1097" customFormat="1" ht="35.1" customHeight="1" x14ac:dyDescent="0.2"/>
    <row r="1098" customFormat="1" ht="35.1" customHeight="1" x14ac:dyDescent="0.2"/>
    <row r="1099" customFormat="1" ht="35.1" customHeight="1" x14ac:dyDescent="0.2"/>
    <row r="1100" customFormat="1" ht="35.1" customHeight="1" x14ac:dyDescent="0.2"/>
    <row r="1101" customFormat="1" ht="35.1" customHeight="1" x14ac:dyDescent="0.2"/>
    <row r="1102" customFormat="1" ht="35.1" customHeight="1" x14ac:dyDescent="0.2"/>
    <row r="1103" customFormat="1" ht="35.1" customHeight="1" x14ac:dyDescent="0.2"/>
    <row r="1104" customFormat="1" ht="35.1" customHeight="1" x14ac:dyDescent="0.2"/>
    <row r="1105" customFormat="1" ht="35.1" customHeight="1" x14ac:dyDescent="0.2"/>
    <row r="1106" customFormat="1" ht="35.1" customHeight="1" x14ac:dyDescent="0.2"/>
    <row r="1107" customFormat="1" ht="35.1" customHeight="1" x14ac:dyDescent="0.2"/>
    <row r="1108" customFormat="1" ht="35.1" customHeight="1" x14ac:dyDescent="0.2"/>
    <row r="1109" customFormat="1" ht="35.1" customHeight="1" x14ac:dyDescent="0.2"/>
    <row r="1110" customFormat="1" ht="35.1" customHeight="1" x14ac:dyDescent="0.2"/>
    <row r="1111" customFormat="1" ht="35.1" customHeight="1" x14ac:dyDescent="0.2"/>
    <row r="1112" customFormat="1" ht="35.1" customHeight="1" x14ac:dyDescent="0.2"/>
    <row r="1113" customFormat="1" ht="35.1" customHeight="1" x14ac:dyDescent="0.2"/>
    <row r="1114" customFormat="1" ht="35.1" customHeight="1" x14ac:dyDescent="0.2"/>
    <row r="1115" customFormat="1" ht="35.1" customHeight="1" x14ac:dyDescent="0.2"/>
    <row r="1116" customFormat="1" ht="35.1" customHeight="1" x14ac:dyDescent="0.2"/>
    <row r="1117" customFormat="1" ht="35.1" customHeight="1" x14ac:dyDescent="0.2"/>
    <row r="1118" customFormat="1" ht="35.1" customHeight="1" x14ac:dyDescent="0.2"/>
    <row r="1119" customFormat="1" ht="35.1" customHeight="1" x14ac:dyDescent="0.2"/>
    <row r="1120" customFormat="1" ht="35.1" customHeight="1" x14ac:dyDescent="0.2"/>
    <row r="1121" customFormat="1" ht="35.1" customHeight="1" x14ac:dyDescent="0.2"/>
    <row r="1122" customFormat="1" ht="35.1" customHeight="1" x14ac:dyDescent="0.2"/>
    <row r="1123" customFormat="1" ht="35.1" customHeight="1" x14ac:dyDescent="0.2"/>
    <row r="1124" customFormat="1" ht="35.1" customHeight="1" x14ac:dyDescent="0.2"/>
    <row r="1125" customFormat="1" ht="35.1" customHeight="1" x14ac:dyDescent="0.2"/>
    <row r="1126" customFormat="1" ht="35.1" customHeight="1" x14ac:dyDescent="0.2"/>
    <row r="1127" customFormat="1" ht="35.1" customHeight="1" x14ac:dyDescent="0.2"/>
    <row r="1128" customFormat="1" ht="35.1" customHeight="1" x14ac:dyDescent="0.2"/>
    <row r="1129" customFormat="1" ht="35.1" customHeight="1" x14ac:dyDescent="0.2"/>
    <row r="1130" customFormat="1" ht="35.1" customHeight="1" x14ac:dyDescent="0.2"/>
    <row r="1131" customFormat="1" ht="35.1" customHeight="1" x14ac:dyDescent="0.2"/>
    <row r="1132" customFormat="1" ht="35.1" customHeight="1" x14ac:dyDescent="0.2"/>
    <row r="1133" customFormat="1" ht="35.1" customHeight="1" x14ac:dyDescent="0.2"/>
    <row r="1134" customFormat="1" ht="35.1" customHeight="1" x14ac:dyDescent="0.2"/>
    <row r="1135" customFormat="1" ht="35.1" customHeight="1" x14ac:dyDescent="0.2"/>
    <row r="1136" customFormat="1" ht="35.1" customHeight="1" x14ac:dyDescent="0.2"/>
    <row r="1137" customFormat="1" ht="35.1" customHeight="1" x14ac:dyDescent="0.2"/>
    <row r="1138" customFormat="1" ht="35.1" customHeight="1" x14ac:dyDescent="0.2"/>
    <row r="1139" customFormat="1" ht="35.1" customHeight="1" x14ac:dyDescent="0.2"/>
    <row r="1140" customFormat="1" ht="35.1" customHeight="1" x14ac:dyDescent="0.2"/>
    <row r="1141" customFormat="1" ht="35.1" customHeight="1" x14ac:dyDescent="0.2"/>
    <row r="1142" customFormat="1" ht="35.1" customHeight="1" x14ac:dyDescent="0.2"/>
    <row r="1143" customFormat="1" ht="35.1" customHeight="1" x14ac:dyDescent="0.2"/>
    <row r="1144" customFormat="1" ht="35.1" customHeight="1" x14ac:dyDescent="0.2"/>
    <row r="1145" customFormat="1" ht="35.1" customHeight="1" x14ac:dyDescent="0.2"/>
    <row r="1146" customFormat="1" ht="35.1" customHeight="1" x14ac:dyDescent="0.2"/>
    <row r="1147" customFormat="1" ht="35.1" customHeight="1" x14ac:dyDescent="0.2"/>
    <row r="1148" customFormat="1" ht="35.1" customHeight="1" x14ac:dyDescent="0.2"/>
    <row r="1149" customFormat="1" ht="35.1" customHeight="1" x14ac:dyDescent="0.2"/>
    <row r="1150" customFormat="1" ht="35.1" customHeight="1" x14ac:dyDescent="0.2"/>
    <row r="1151" customFormat="1" ht="35.1" customHeight="1" x14ac:dyDescent="0.2"/>
    <row r="1152" customFormat="1" ht="35.1" customHeight="1" x14ac:dyDescent="0.2"/>
    <row r="1153" customFormat="1" ht="35.1" customHeight="1" x14ac:dyDescent="0.2"/>
    <row r="1154" customFormat="1" ht="35.1" customHeight="1" x14ac:dyDescent="0.2"/>
    <row r="1155" customFormat="1" ht="35.1" customHeight="1" x14ac:dyDescent="0.2"/>
    <row r="1156" customFormat="1" ht="35.1" customHeight="1" x14ac:dyDescent="0.2"/>
    <row r="1157" customFormat="1" ht="35.1" customHeight="1" x14ac:dyDescent="0.2"/>
    <row r="1158" customFormat="1" ht="35.1" customHeight="1" x14ac:dyDescent="0.2"/>
    <row r="1159" customFormat="1" ht="35.1" customHeight="1" x14ac:dyDescent="0.2"/>
    <row r="1160" customFormat="1" ht="35.1" customHeight="1" x14ac:dyDescent="0.2"/>
    <row r="1161" customFormat="1" ht="35.1" customHeight="1" x14ac:dyDescent="0.2"/>
    <row r="1162" customFormat="1" ht="35.1" customHeight="1" x14ac:dyDescent="0.2"/>
    <row r="1163" customFormat="1" ht="35.1" customHeight="1" x14ac:dyDescent="0.2"/>
    <row r="1164" customFormat="1" ht="35.1" customHeight="1" x14ac:dyDescent="0.2"/>
    <row r="1165" customFormat="1" ht="35.1" customHeight="1" x14ac:dyDescent="0.2"/>
    <row r="1166" customFormat="1" ht="35.1" customHeight="1" x14ac:dyDescent="0.2"/>
    <row r="1167" customFormat="1" ht="35.1" customHeight="1" x14ac:dyDescent="0.2"/>
    <row r="1168" customFormat="1" ht="35.1" customHeight="1" x14ac:dyDescent="0.2"/>
    <row r="1169" customFormat="1" ht="35.1" customHeight="1" x14ac:dyDescent="0.2"/>
    <row r="1170" customFormat="1" ht="35.1" customHeight="1" x14ac:dyDescent="0.2"/>
    <row r="1171" customFormat="1" ht="35.1" customHeight="1" x14ac:dyDescent="0.2"/>
    <row r="1172" customFormat="1" ht="35.1" customHeight="1" x14ac:dyDescent="0.2"/>
    <row r="1173" customFormat="1" ht="35.1" customHeight="1" x14ac:dyDescent="0.2"/>
    <row r="1174" customFormat="1" ht="35.1" customHeight="1" x14ac:dyDescent="0.2"/>
    <row r="1175" customFormat="1" ht="35.1" customHeight="1" x14ac:dyDescent="0.2"/>
    <row r="1176" customFormat="1" ht="35.1" customHeight="1" x14ac:dyDescent="0.2"/>
    <row r="1177" customFormat="1" ht="35.1" customHeight="1" x14ac:dyDescent="0.2"/>
    <row r="1178" customFormat="1" ht="35.1" customHeight="1" x14ac:dyDescent="0.2"/>
    <row r="1179" customFormat="1" ht="35.1" customHeight="1" x14ac:dyDescent="0.2"/>
    <row r="1180" customFormat="1" ht="35.1" customHeight="1" x14ac:dyDescent="0.2"/>
    <row r="1181" customFormat="1" ht="35.1" customHeight="1" x14ac:dyDescent="0.2"/>
    <row r="1182" customFormat="1" ht="35.1" customHeight="1" x14ac:dyDescent="0.2"/>
    <row r="1183" customFormat="1" ht="35.1" customHeight="1" x14ac:dyDescent="0.2"/>
    <row r="1184" customFormat="1" ht="35.1" customHeight="1" x14ac:dyDescent="0.2"/>
    <row r="1185" customFormat="1" ht="35.1" customHeight="1" x14ac:dyDescent="0.2"/>
    <row r="1186" customFormat="1" ht="35.1" customHeight="1" x14ac:dyDescent="0.2"/>
    <row r="1187" customFormat="1" ht="35.1" customHeight="1" x14ac:dyDescent="0.2"/>
    <row r="1188" customFormat="1" ht="35.1" customHeight="1" x14ac:dyDescent="0.2"/>
    <row r="1189" customFormat="1" ht="35.1" customHeight="1" x14ac:dyDescent="0.2"/>
    <row r="1190" customFormat="1" ht="35.1" customHeight="1" x14ac:dyDescent="0.2"/>
    <row r="1191" customFormat="1" ht="35.1" customHeight="1" x14ac:dyDescent="0.2"/>
    <row r="1192" customFormat="1" ht="35.1" customHeight="1" x14ac:dyDescent="0.2"/>
    <row r="1193" customFormat="1" ht="35.1" customHeight="1" x14ac:dyDescent="0.2"/>
    <row r="1194" customFormat="1" ht="35.1" customHeight="1" x14ac:dyDescent="0.2"/>
    <row r="1195" customFormat="1" ht="35.1" customHeight="1" x14ac:dyDescent="0.2"/>
    <row r="1196" customFormat="1" ht="35.1" customHeight="1" x14ac:dyDescent="0.2"/>
    <row r="1197" customFormat="1" ht="35.1" customHeight="1" x14ac:dyDescent="0.2"/>
    <row r="1198" customFormat="1" ht="35.1" customHeight="1" x14ac:dyDescent="0.2"/>
    <row r="1199" customFormat="1" ht="35.1" customHeight="1" x14ac:dyDescent="0.2"/>
    <row r="1200" customFormat="1" ht="35.1" customHeight="1" x14ac:dyDescent="0.2"/>
    <row r="1201" customFormat="1" ht="35.1" customHeight="1" x14ac:dyDescent="0.2"/>
    <row r="1202" customFormat="1" ht="35.1" customHeight="1" x14ac:dyDescent="0.2"/>
    <row r="1203" customFormat="1" ht="35.1" customHeight="1" x14ac:dyDescent="0.2"/>
    <row r="1204" customFormat="1" ht="35.1" customHeight="1" x14ac:dyDescent="0.2"/>
    <row r="1205" customFormat="1" ht="35.1" customHeight="1" x14ac:dyDescent="0.2"/>
    <row r="1206" customFormat="1" ht="35.1" customHeight="1" x14ac:dyDescent="0.2"/>
    <row r="1207" customFormat="1" ht="35.1" customHeight="1" x14ac:dyDescent="0.2"/>
    <row r="1208" customFormat="1" ht="35.1" customHeight="1" x14ac:dyDescent="0.2"/>
    <row r="1209" customFormat="1" ht="35.1" customHeight="1" x14ac:dyDescent="0.2"/>
    <row r="1210" customFormat="1" ht="35.1" customHeight="1" x14ac:dyDescent="0.2"/>
    <row r="1211" customFormat="1" ht="35.1" customHeight="1" x14ac:dyDescent="0.2"/>
    <row r="1212" customFormat="1" ht="35.1" customHeight="1" x14ac:dyDescent="0.2"/>
    <row r="1213" customFormat="1" ht="35.1" customHeight="1" x14ac:dyDescent="0.2"/>
    <row r="1214" customFormat="1" ht="35.1" customHeight="1" x14ac:dyDescent="0.2"/>
    <row r="1215" customFormat="1" ht="35.1" customHeight="1" x14ac:dyDescent="0.2"/>
    <row r="1216" customFormat="1" ht="35.1" customHeight="1" x14ac:dyDescent="0.2"/>
    <row r="1217" customFormat="1" ht="35.1" customHeight="1" x14ac:dyDescent="0.2"/>
    <row r="1218" customFormat="1" ht="35.1" customHeight="1" x14ac:dyDescent="0.2"/>
    <row r="1219" customFormat="1" ht="35.1" customHeight="1" x14ac:dyDescent="0.2"/>
    <row r="1220" customFormat="1" ht="35.1" customHeight="1" x14ac:dyDescent="0.2"/>
    <row r="1221" customFormat="1" ht="35.1" customHeight="1" x14ac:dyDescent="0.2"/>
    <row r="1222" customFormat="1" ht="35.1" customHeight="1" x14ac:dyDescent="0.2"/>
    <row r="1223" customFormat="1" ht="35.1" customHeight="1" x14ac:dyDescent="0.2"/>
    <row r="1224" customFormat="1" ht="35.1" customHeight="1" x14ac:dyDescent="0.2"/>
    <row r="1225" customFormat="1" ht="35.1" customHeight="1" x14ac:dyDescent="0.2"/>
    <row r="1226" customFormat="1" ht="35.1" customHeight="1" x14ac:dyDescent="0.2"/>
    <row r="1227" customFormat="1" ht="35.1" customHeight="1" x14ac:dyDescent="0.2"/>
    <row r="1228" customFormat="1" ht="35.1" customHeight="1" x14ac:dyDescent="0.2"/>
    <row r="1229" customFormat="1" ht="35.1" customHeight="1" x14ac:dyDescent="0.2"/>
    <row r="1230" customFormat="1" ht="35.1" customHeight="1" x14ac:dyDescent="0.2"/>
    <row r="1231" customFormat="1" ht="35.1" customHeight="1" x14ac:dyDescent="0.2"/>
    <row r="1232" customFormat="1" ht="35.1" customHeight="1" x14ac:dyDescent="0.2"/>
    <row r="1233" customFormat="1" ht="35.1" customHeight="1" x14ac:dyDescent="0.2"/>
    <row r="1234" customFormat="1" ht="35.1" customHeight="1" x14ac:dyDescent="0.2"/>
    <row r="1235" customFormat="1" ht="35.1" customHeight="1" x14ac:dyDescent="0.2"/>
    <row r="1236" customFormat="1" ht="35.1" customHeight="1" x14ac:dyDescent="0.2"/>
    <row r="1237" customFormat="1" ht="35.1" customHeight="1" x14ac:dyDescent="0.2"/>
    <row r="1238" customFormat="1" ht="35.1" customHeight="1" x14ac:dyDescent="0.2"/>
    <row r="1239" customFormat="1" ht="35.1" customHeight="1" x14ac:dyDescent="0.2"/>
    <row r="1240" customFormat="1" ht="35.1" customHeight="1" x14ac:dyDescent="0.2"/>
    <row r="1241" customFormat="1" ht="35.1" customHeight="1" x14ac:dyDescent="0.2"/>
    <row r="1242" customFormat="1" ht="35.1" customHeight="1" x14ac:dyDescent="0.2"/>
    <row r="1243" customFormat="1" ht="35.1" customHeight="1" x14ac:dyDescent="0.2"/>
    <row r="1244" customFormat="1" ht="35.1" customHeight="1" x14ac:dyDescent="0.2"/>
    <row r="1245" customFormat="1" ht="35.1" customHeight="1" x14ac:dyDescent="0.2"/>
    <row r="1246" customFormat="1" ht="35.1" customHeight="1" x14ac:dyDescent="0.2"/>
    <row r="1247" customFormat="1" ht="35.1" customHeight="1" x14ac:dyDescent="0.2"/>
    <row r="1248" customFormat="1" ht="35.1" customHeight="1" x14ac:dyDescent="0.2"/>
    <row r="1249" customFormat="1" ht="35.1" customHeight="1" x14ac:dyDescent="0.2"/>
    <row r="1250" customFormat="1" ht="35.1" customHeight="1" x14ac:dyDescent="0.2"/>
    <row r="1251" customFormat="1" ht="35.1" customHeight="1" x14ac:dyDescent="0.2"/>
    <row r="1252" customFormat="1" ht="35.1" customHeight="1" x14ac:dyDescent="0.2"/>
    <row r="1253" customFormat="1" ht="35.1" customHeight="1" x14ac:dyDescent="0.2"/>
    <row r="1254" customFormat="1" ht="35.1" customHeight="1" x14ac:dyDescent="0.2"/>
    <row r="1255" customFormat="1" ht="35.1" customHeight="1" x14ac:dyDescent="0.2"/>
    <row r="1256" customFormat="1" ht="35.1" customHeight="1" x14ac:dyDescent="0.2"/>
    <row r="1257" customFormat="1" ht="35.1" customHeight="1" x14ac:dyDescent="0.2"/>
    <row r="1258" customFormat="1" ht="35.1" customHeight="1" x14ac:dyDescent="0.2"/>
    <row r="1259" customFormat="1" ht="35.1" customHeight="1" x14ac:dyDescent="0.2"/>
    <row r="1260" customFormat="1" ht="35.1" customHeight="1" x14ac:dyDescent="0.2"/>
    <row r="1261" customFormat="1" ht="35.1" customHeight="1" x14ac:dyDescent="0.2"/>
    <row r="1262" customFormat="1" ht="35.1" customHeight="1" x14ac:dyDescent="0.2"/>
    <row r="1263" customFormat="1" ht="35.1" customHeight="1" x14ac:dyDescent="0.2"/>
    <row r="1264" customFormat="1" ht="35.1" customHeight="1" x14ac:dyDescent="0.2"/>
    <row r="1265" customFormat="1" ht="35.1" customHeight="1" x14ac:dyDescent="0.2"/>
    <row r="1266" customFormat="1" ht="35.1" customHeight="1" x14ac:dyDescent="0.2"/>
    <row r="1267" customFormat="1" ht="35.1" customHeight="1" x14ac:dyDescent="0.2"/>
    <row r="1268" customFormat="1" ht="35.1" customHeight="1" x14ac:dyDescent="0.2"/>
    <row r="1269" customFormat="1" ht="35.1" customHeight="1" x14ac:dyDescent="0.2"/>
    <row r="1270" customFormat="1" ht="35.1" customHeight="1" x14ac:dyDescent="0.2"/>
    <row r="1271" customFormat="1" ht="35.1" customHeight="1" x14ac:dyDescent="0.2"/>
    <row r="1272" customFormat="1" ht="35.1" customHeight="1" x14ac:dyDescent="0.2"/>
    <row r="1273" customFormat="1" ht="35.1" customHeight="1" x14ac:dyDescent="0.2"/>
    <row r="1274" customFormat="1" ht="35.1" customHeight="1" x14ac:dyDescent="0.2"/>
    <row r="1275" customFormat="1" ht="35.1" customHeight="1" x14ac:dyDescent="0.2"/>
    <row r="1276" customFormat="1" ht="35.1" customHeight="1" x14ac:dyDescent="0.2"/>
    <row r="1277" customFormat="1" ht="35.1" customHeight="1" x14ac:dyDescent="0.2"/>
    <row r="1278" customFormat="1" ht="35.1" customHeight="1" x14ac:dyDescent="0.2"/>
    <row r="1279" customFormat="1" ht="35.1" customHeight="1" x14ac:dyDescent="0.2"/>
    <row r="1280" customFormat="1" ht="35.1" customHeight="1" x14ac:dyDescent="0.2"/>
    <row r="1281" customFormat="1" ht="35.1" customHeight="1" x14ac:dyDescent="0.2"/>
    <row r="1282" customFormat="1" ht="35.1" customHeight="1" x14ac:dyDescent="0.2"/>
    <row r="1283" customFormat="1" ht="35.1" customHeight="1" x14ac:dyDescent="0.2"/>
    <row r="1284" customFormat="1" ht="35.1" customHeight="1" x14ac:dyDescent="0.2"/>
    <row r="1285" customFormat="1" ht="35.1" customHeight="1" x14ac:dyDescent="0.2"/>
    <row r="1286" customFormat="1" ht="35.1" customHeight="1" x14ac:dyDescent="0.2"/>
    <row r="1287" customFormat="1" ht="35.1" customHeight="1" x14ac:dyDescent="0.2"/>
    <row r="1288" customFormat="1" ht="35.1" customHeight="1" x14ac:dyDescent="0.2"/>
    <row r="1289" customFormat="1" ht="35.1" customHeight="1" x14ac:dyDescent="0.2"/>
    <row r="1290" customFormat="1" ht="35.1" customHeight="1" x14ac:dyDescent="0.2"/>
    <row r="1291" customFormat="1" ht="35.1" customHeight="1" x14ac:dyDescent="0.2"/>
    <row r="1292" customFormat="1" ht="35.1" customHeight="1" x14ac:dyDescent="0.2"/>
    <row r="1293" customFormat="1" ht="35.1" customHeight="1" x14ac:dyDescent="0.2"/>
    <row r="1294" customFormat="1" ht="35.1" customHeight="1" x14ac:dyDescent="0.2"/>
    <row r="1295" customFormat="1" ht="35.1" customHeight="1" x14ac:dyDescent="0.2"/>
    <row r="1296" customFormat="1" ht="35.1" customHeight="1" x14ac:dyDescent="0.2"/>
    <row r="1297" customFormat="1" ht="35.1" customHeight="1" x14ac:dyDescent="0.2"/>
    <row r="1298" customFormat="1" ht="35.1" customHeight="1" x14ac:dyDescent="0.2"/>
    <row r="1299" customFormat="1" ht="35.1" customHeight="1" x14ac:dyDescent="0.2"/>
    <row r="1300" customFormat="1" ht="35.1" customHeight="1" x14ac:dyDescent="0.2"/>
    <row r="1301" customFormat="1" ht="35.1" customHeight="1" x14ac:dyDescent="0.2"/>
    <row r="1302" customFormat="1" ht="35.1" customHeight="1" x14ac:dyDescent="0.2"/>
    <row r="1303" customFormat="1" ht="35.1" customHeight="1" x14ac:dyDescent="0.2"/>
    <row r="1304" customFormat="1" ht="35.1" customHeight="1" x14ac:dyDescent="0.2"/>
    <row r="1305" customFormat="1" ht="35.1" customHeight="1" x14ac:dyDescent="0.2"/>
    <row r="1306" customFormat="1" ht="35.1" customHeight="1" x14ac:dyDescent="0.2"/>
    <row r="1307" customFormat="1" ht="35.1" customHeight="1" x14ac:dyDescent="0.2"/>
    <row r="1308" customFormat="1" ht="35.1" customHeight="1" x14ac:dyDescent="0.2"/>
    <row r="1309" customFormat="1" ht="35.1" customHeight="1" x14ac:dyDescent="0.2"/>
    <row r="1310" customFormat="1" ht="35.1" customHeight="1" x14ac:dyDescent="0.2"/>
    <row r="1311" customFormat="1" ht="35.1" customHeight="1" x14ac:dyDescent="0.2"/>
    <row r="1312" customFormat="1" ht="35.1" customHeight="1" x14ac:dyDescent="0.2"/>
    <row r="1313" customFormat="1" ht="35.1" customHeight="1" x14ac:dyDescent="0.2"/>
    <row r="1314" customFormat="1" ht="35.1" customHeight="1" x14ac:dyDescent="0.2"/>
    <row r="1315" customFormat="1" ht="35.1" customHeight="1" x14ac:dyDescent="0.2"/>
    <row r="1316" customFormat="1" ht="35.1" customHeight="1" x14ac:dyDescent="0.2"/>
    <row r="1317" customFormat="1" ht="35.1" customHeight="1" x14ac:dyDescent="0.2"/>
    <row r="1318" customFormat="1" ht="35.1" customHeight="1" x14ac:dyDescent="0.2"/>
    <row r="1319" customFormat="1" ht="35.1" customHeight="1" x14ac:dyDescent="0.2"/>
    <row r="1320" customFormat="1" ht="35.1" customHeight="1" x14ac:dyDescent="0.2"/>
    <row r="1321" customFormat="1" ht="35.1" customHeight="1" x14ac:dyDescent="0.2"/>
    <row r="1322" customFormat="1" ht="35.1" customHeight="1" x14ac:dyDescent="0.2"/>
    <row r="1323" customFormat="1" ht="35.1" customHeight="1" x14ac:dyDescent="0.2"/>
    <row r="1324" customFormat="1" ht="35.1" customHeight="1" x14ac:dyDescent="0.2"/>
    <row r="1325" customFormat="1" ht="35.1" customHeight="1" x14ac:dyDescent="0.2"/>
    <row r="1326" customFormat="1" ht="35.1" customHeight="1" x14ac:dyDescent="0.2"/>
    <row r="1327" customFormat="1" ht="35.1" customHeight="1" x14ac:dyDescent="0.2"/>
    <row r="1328" customFormat="1" ht="35.1" customHeight="1" x14ac:dyDescent="0.2"/>
    <row r="1329" customFormat="1" ht="35.1" customHeight="1" x14ac:dyDescent="0.2"/>
    <row r="1330" customFormat="1" ht="35.1" customHeight="1" x14ac:dyDescent="0.2"/>
    <row r="1331" customFormat="1" ht="35.1" customHeight="1" x14ac:dyDescent="0.2"/>
    <row r="1332" customFormat="1" ht="35.1" customHeight="1" x14ac:dyDescent="0.2"/>
    <row r="1333" customFormat="1" ht="35.1" customHeight="1" x14ac:dyDescent="0.2"/>
    <row r="1334" customFormat="1" ht="35.1" customHeight="1" x14ac:dyDescent="0.2"/>
    <row r="1335" customFormat="1" ht="35.1" customHeight="1" x14ac:dyDescent="0.2"/>
    <row r="1336" customFormat="1" ht="35.1" customHeight="1" x14ac:dyDescent="0.2"/>
    <row r="1337" customFormat="1" ht="35.1" customHeight="1" x14ac:dyDescent="0.2"/>
    <row r="1338" customFormat="1" ht="35.1" customHeight="1" x14ac:dyDescent="0.2"/>
    <row r="1339" customFormat="1" ht="35.1" customHeight="1" x14ac:dyDescent="0.2"/>
    <row r="1340" customFormat="1" ht="35.1" customHeight="1" x14ac:dyDescent="0.2"/>
    <row r="1341" customFormat="1" ht="35.1" customHeight="1" x14ac:dyDescent="0.2"/>
    <row r="1342" customFormat="1" ht="35.1" customHeight="1" x14ac:dyDescent="0.2"/>
    <row r="1343" customFormat="1" ht="35.1" customHeight="1" x14ac:dyDescent="0.2"/>
    <row r="1344" customFormat="1" ht="35.1" customHeight="1" x14ac:dyDescent="0.2"/>
    <row r="1345" customFormat="1" ht="35.1" customHeight="1" x14ac:dyDescent="0.2"/>
    <row r="1346" customFormat="1" ht="35.1" customHeight="1" x14ac:dyDescent="0.2"/>
    <row r="1347" customFormat="1" ht="35.1" customHeight="1" x14ac:dyDescent="0.2"/>
    <row r="1348" customFormat="1" ht="35.1" customHeight="1" x14ac:dyDescent="0.2"/>
    <row r="1349" customFormat="1" ht="35.1" customHeight="1" x14ac:dyDescent="0.2"/>
    <row r="1350" customFormat="1" ht="35.1" customHeight="1" x14ac:dyDescent="0.2"/>
    <row r="1351" customFormat="1" ht="35.1" customHeight="1" x14ac:dyDescent="0.2"/>
    <row r="1352" customFormat="1" ht="35.1" customHeight="1" x14ac:dyDescent="0.2"/>
    <row r="1353" customFormat="1" ht="35.1" customHeight="1" x14ac:dyDescent="0.2"/>
    <row r="1354" customFormat="1" ht="35.1" customHeight="1" x14ac:dyDescent="0.2"/>
    <row r="1355" customFormat="1" ht="35.1" customHeight="1" x14ac:dyDescent="0.2"/>
    <row r="1356" customFormat="1" ht="35.1" customHeight="1" x14ac:dyDescent="0.2"/>
    <row r="1357" customFormat="1" ht="35.1" customHeight="1" x14ac:dyDescent="0.2"/>
    <row r="1358" customFormat="1" ht="35.1" customHeight="1" x14ac:dyDescent="0.2"/>
    <row r="1359" customFormat="1" ht="35.1" customHeight="1" x14ac:dyDescent="0.2"/>
    <row r="1360" customFormat="1" ht="35.1" customHeight="1" x14ac:dyDescent="0.2"/>
    <row r="1361" customFormat="1" ht="35.1" customHeight="1" x14ac:dyDescent="0.2"/>
    <row r="1362" customFormat="1" ht="35.1" customHeight="1" x14ac:dyDescent="0.2"/>
    <row r="1363" customFormat="1" ht="35.1" customHeight="1" x14ac:dyDescent="0.2"/>
    <row r="1364" customFormat="1" ht="35.1" customHeight="1" x14ac:dyDescent="0.2"/>
    <row r="1365" customFormat="1" ht="35.1" customHeight="1" x14ac:dyDescent="0.2"/>
    <row r="1366" customFormat="1" ht="35.1" customHeight="1" x14ac:dyDescent="0.2"/>
    <row r="1367" customFormat="1" ht="35.1" customHeight="1" x14ac:dyDescent="0.2"/>
    <row r="1368" customFormat="1" ht="35.1" customHeight="1" x14ac:dyDescent="0.2"/>
    <row r="1369" customFormat="1" ht="35.1" customHeight="1" x14ac:dyDescent="0.2"/>
    <row r="1370" customFormat="1" ht="35.1" customHeight="1" x14ac:dyDescent="0.2"/>
    <row r="1371" customFormat="1" ht="35.1" customHeight="1" x14ac:dyDescent="0.2"/>
    <row r="1372" customFormat="1" ht="35.1" customHeight="1" x14ac:dyDescent="0.2"/>
    <row r="1373" customFormat="1" ht="35.1" customHeight="1" x14ac:dyDescent="0.2"/>
    <row r="1374" customFormat="1" ht="35.1" customHeight="1" x14ac:dyDescent="0.2"/>
    <row r="1375" customFormat="1" ht="35.1" customHeight="1" x14ac:dyDescent="0.2"/>
    <row r="1376" customFormat="1" ht="35.1" customHeight="1" x14ac:dyDescent="0.2"/>
    <row r="1377" customFormat="1" ht="35.1" customHeight="1" x14ac:dyDescent="0.2"/>
    <row r="1378" customFormat="1" ht="35.1" customHeight="1" x14ac:dyDescent="0.2"/>
    <row r="1379" customFormat="1" ht="35.1" customHeight="1" x14ac:dyDescent="0.2"/>
    <row r="1380" customFormat="1" ht="35.1" customHeight="1" x14ac:dyDescent="0.2"/>
    <row r="1381" customFormat="1" ht="35.1" customHeight="1" x14ac:dyDescent="0.2"/>
    <row r="1382" customFormat="1" ht="35.1" customHeight="1" x14ac:dyDescent="0.2"/>
    <row r="1383" customFormat="1" ht="35.1" customHeight="1" x14ac:dyDescent="0.2"/>
    <row r="1384" customFormat="1" ht="35.1" customHeight="1" x14ac:dyDescent="0.2"/>
    <row r="1385" customFormat="1" ht="35.1" customHeight="1" x14ac:dyDescent="0.2"/>
    <row r="1386" customFormat="1" ht="35.1" customHeight="1" x14ac:dyDescent="0.2"/>
    <row r="1387" customFormat="1" ht="35.1" customHeight="1" x14ac:dyDescent="0.2"/>
    <row r="1388" customFormat="1" ht="35.1" customHeight="1" x14ac:dyDescent="0.2"/>
    <row r="1389" customFormat="1" ht="35.1" customHeight="1" x14ac:dyDescent="0.2"/>
    <row r="1390" customFormat="1" ht="35.1" customHeight="1" x14ac:dyDescent="0.2"/>
    <row r="1391" customFormat="1" ht="35.1" customHeight="1" x14ac:dyDescent="0.2"/>
    <row r="1392" customFormat="1" ht="35.1" customHeight="1" x14ac:dyDescent="0.2"/>
    <row r="1393" customFormat="1" ht="35.1" customHeight="1" x14ac:dyDescent="0.2"/>
    <row r="1394" customFormat="1" ht="35.1" customHeight="1" x14ac:dyDescent="0.2"/>
    <row r="1395" customFormat="1" ht="35.1" customHeight="1" x14ac:dyDescent="0.2"/>
    <row r="1396" customFormat="1" ht="35.1" customHeight="1" x14ac:dyDescent="0.2"/>
    <row r="1397" customFormat="1" ht="35.1" customHeight="1" x14ac:dyDescent="0.2"/>
    <row r="1398" customFormat="1" ht="35.1" customHeight="1" x14ac:dyDescent="0.2"/>
    <row r="1399" customFormat="1" ht="35.1" customHeight="1" x14ac:dyDescent="0.2"/>
    <row r="1400" customFormat="1" ht="35.1" customHeight="1" x14ac:dyDescent="0.2"/>
    <row r="1401" customFormat="1" ht="35.1" customHeight="1" x14ac:dyDescent="0.2"/>
    <row r="1402" customFormat="1" ht="35.1" customHeight="1" x14ac:dyDescent="0.2"/>
    <row r="1403" customFormat="1" ht="35.1" customHeight="1" x14ac:dyDescent="0.2"/>
    <row r="1404" customFormat="1" ht="35.1" customHeight="1" x14ac:dyDescent="0.2"/>
    <row r="1405" customFormat="1" ht="35.1" customHeight="1" x14ac:dyDescent="0.2"/>
    <row r="1406" customFormat="1" ht="35.1" customHeight="1" x14ac:dyDescent="0.2"/>
    <row r="1407" customFormat="1" ht="35.1" customHeight="1" x14ac:dyDescent="0.2"/>
    <row r="1408" customFormat="1" ht="35.1" customHeight="1" x14ac:dyDescent="0.2"/>
    <row r="1409" customFormat="1" ht="35.1" customHeight="1" x14ac:dyDescent="0.2"/>
    <row r="1410" customFormat="1" ht="35.1" customHeight="1" x14ac:dyDescent="0.2"/>
    <row r="1411" customFormat="1" ht="35.1" customHeight="1" x14ac:dyDescent="0.2"/>
    <row r="1412" customFormat="1" ht="35.1" customHeight="1" x14ac:dyDescent="0.2"/>
    <row r="1413" customFormat="1" ht="35.1" customHeight="1" x14ac:dyDescent="0.2"/>
    <row r="1414" customFormat="1" ht="35.1" customHeight="1" x14ac:dyDescent="0.2"/>
    <row r="1415" customFormat="1" ht="35.1" customHeight="1" x14ac:dyDescent="0.2"/>
    <row r="1416" customFormat="1" ht="35.1" customHeight="1" x14ac:dyDescent="0.2"/>
    <row r="1417" customFormat="1" ht="35.1" customHeight="1" x14ac:dyDescent="0.2"/>
    <row r="1418" customFormat="1" ht="35.1" customHeight="1" x14ac:dyDescent="0.2"/>
    <row r="1419" customFormat="1" ht="35.1" customHeight="1" x14ac:dyDescent="0.2"/>
    <row r="1420" customFormat="1" ht="35.1" customHeight="1" x14ac:dyDescent="0.2"/>
    <row r="1421" customFormat="1" ht="35.1" customHeight="1" x14ac:dyDescent="0.2"/>
    <row r="1422" customFormat="1" ht="35.1" customHeight="1" x14ac:dyDescent="0.2"/>
    <row r="1423" customFormat="1" ht="35.1" customHeight="1" x14ac:dyDescent="0.2"/>
    <row r="1424" customFormat="1" ht="35.1" customHeight="1" x14ac:dyDescent="0.2"/>
    <row r="1425" customFormat="1" ht="35.1" customHeight="1" x14ac:dyDescent="0.2"/>
    <row r="1426" customFormat="1" ht="35.1" customHeight="1" x14ac:dyDescent="0.2"/>
    <row r="1427" customFormat="1" ht="35.1" customHeight="1" x14ac:dyDescent="0.2"/>
    <row r="1428" customFormat="1" ht="35.1" customHeight="1" x14ac:dyDescent="0.2"/>
    <row r="1429" customFormat="1" ht="35.1" customHeight="1" x14ac:dyDescent="0.2"/>
    <row r="1430" customFormat="1" ht="35.1" customHeight="1" x14ac:dyDescent="0.2"/>
    <row r="1431" customFormat="1" ht="35.1" customHeight="1" x14ac:dyDescent="0.2"/>
    <row r="1432" customFormat="1" ht="35.1" customHeight="1" x14ac:dyDescent="0.2"/>
    <row r="1433" customFormat="1" ht="35.1" customHeight="1" x14ac:dyDescent="0.2"/>
    <row r="1434" customFormat="1" ht="35.1" customHeight="1" x14ac:dyDescent="0.2"/>
    <row r="1435" customFormat="1" ht="35.1" customHeight="1" x14ac:dyDescent="0.2"/>
    <row r="1436" customFormat="1" ht="35.1" customHeight="1" x14ac:dyDescent="0.2"/>
    <row r="1437" customFormat="1" ht="35.1" customHeight="1" x14ac:dyDescent="0.2"/>
    <row r="1438" customFormat="1" ht="35.1" customHeight="1" x14ac:dyDescent="0.2"/>
    <row r="1439" customFormat="1" ht="35.1" customHeight="1" x14ac:dyDescent="0.2"/>
    <row r="1440" customFormat="1" ht="35.1" customHeight="1" x14ac:dyDescent="0.2"/>
    <row r="1441" customFormat="1" ht="35.1" customHeight="1" x14ac:dyDescent="0.2"/>
    <row r="1442" customFormat="1" ht="35.1" customHeight="1" x14ac:dyDescent="0.2"/>
    <row r="1443" customFormat="1" ht="35.1" customHeight="1" x14ac:dyDescent="0.2"/>
    <row r="1444" customFormat="1" ht="35.1" customHeight="1" x14ac:dyDescent="0.2"/>
    <row r="1445" customFormat="1" ht="35.1" customHeight="1" x14ac:dyDescent="0.2"/>
    <row r="1446" customFormat="1" ht="35.1" customHeight="1" x14ac:dyDescent="0.2"/>
    <row r="1447" customFormat="1" ht="35.1" customHeight="1" x14ac:dyDescent="0.2"/>
    <row r="1448" customFormat="1" ht="35.1" customHeight="1" x14ac:dyDescent="0.2"/>
    <row r="1449" customFormat="1" ht="35.1" customHeight="1" x14ac:dyDescent="0.2"/>
    <row r="1450" customFormat="1" ht="35.1" customHeight="1" x14ac:dyDescent="0.2"/>
    <row r="1451" customFormat="1" ht="35.1" customHeight="1" x14ac:dyDescent="0.2"/>
    <row r="1452" customFormat="1" ht="35.1" customHeight="1" x14ac:dyDescent="0.2"/>
    <row r="1453" customFormat="1" ht="35.1" customHeight="1" x14ac:dyDescent="0.2"/>
    <row r="1454" customFormat="1" ht="35.1" customHeight="1" x14ac:dyDescent="0.2"/>
    <row r="1455" customFormat="1" ht="35.1" customHeight="1" x14ac:dyDescent="0.2"/>
    <row r="1456" customFormat="1" ht="35.1" customHeight="1" x14ac:dyDescent="0.2"/>
    <row r="1457" customFormat="1" ht="35.1" customHeight="1" x14ac:dyDescent="0.2"/>
    <row r="1458" customFormat="1" ht="35.1" customHeight="1" x14ac:dyDescent="0.2"/>
    <row r="1459" customFormat="1" ht="35.1" customHeight="1" x14ac:dyDescent="0.2"/>
    <row r="1460" customFormat="1" ht="35.1" customHeight="1" x14ac:dyDescent="0.2"/>
    <row r="1461" customFormat="1" ht="35.1" customHeight="1" x14ac:dyDescent="0.2"/>
    <row r="1462" customFormat="1" ht="35.1" customHeight="1" x14ac:dyDescent="0.2"/>
    <row r="1463" customFormat="1" ht="35.1" customHeight="1" x14ac:dyDescent="0.2"/>
    <row r="1464" customFormat="1" ht="35.1" customHeight="1" x14ac:dyDescent="0.2"/>
    <row r="1465" customFormat="1" ht="35.1" customHeight="1" x14ac:dyDescent="0.2"/>
    <row r="1466" customFormat="1" ht="35.1" customHeight="1" x14ac:dyDescent="0.2"/>
    <row r="1467" customFormat="1" ht="35.1" customHeight="1" x14ac:dyDescent="0.2"/>
    <row r="1468" customFormat="1" ht="35.1" customHeight="1" x14ac:dyDescent="0.2"/>
    <row r="1469" customFormat="1" ht="35.1" customHeight="1" x14ac:dyDescent="0.2"/>
    <row r="1470" customFormat="1" ht="35.1" customHeight="1" x14ac:dyDescent="0.2"/>
    <row r="1471" customFormat="1" ht="35.1" customHeight="1" x14ac:dyDescent="0.2"/>
    <row r="1472" customFormat="1" ht="35.1" customHeight="1" x14ac:dyDescent="0.2"/>
    <row r="1473" customFormat="1" ht="35.1" customHeight="1" x14ac:dyDescent="0.2"/>
    <row r="1474" customFormat="1" ht="35.1" customHeight="1" x14ac:dyDescent="0.2"/>
    <row r="1475" customFormat="1" ht="35.1" customHeight="1" x14ac:dyDescent="0.2"/>
    <row r="1476" customFormat="1" ht="35.1" customHeight="1" x14ac:dyDescent="0.2"/>
    <row r="1477" customFormat="1" ht="35.1" customHeight="1" x14ac:dyDescent="0.2"/>
    <row r="1478" customFormat="1" ht="35.1" customHeight="1" x14ac:dyDescent="0.2"/>
    <row r="1479" customFormat="1" ht="35.1" customHeight="1" x14ac:dyDescent="0.2"/>
    <row r="1480" customFormat="1" ht="35.1" customHeight="1" x14ac:dyDescent="0.2"/>
    <row r="1481" customFormat="1" ht="35.1" customHeight="1" x14ac:dyDescent="0.2"/>
    <row r="1482" customFormat="1" ht="35.1" customHeight="1" x14ac:dyDescent="0.2"/>
    <row r="1483" customFormat="1" ht="35.1" customHeight="1" x14ac:dyDescent="0.2"/>
    <row r="1484" customFormat="1" ht="35.1" customHeight="1" x14ac:dyDescent="0.2"/>
    <row r="1485" customFormat="1" ht="35.1" customHeight="1" x14ac:dyDescent="0.2"/>
    <row r="1486" customFormat="1" ht="35.1" customHeight="1" x14ac:dyDescent="0.2"/>
    <row r="1487" customFormat="1" ht="35.1" customHeight="1" x14ac:dyDescent="0.2"/>
    <row r="1488" customFormat="1" ht="35.1" customHeight="1" x14ac:dyDescent="0.2"/>
    <row r="1489" customFormat="1" ht="35.1" customHeight="1" x14ac:dyDescent="0.2"/>
    <row r="1490" customFormat="1" ht="35.1" customHeight="1" x14ac:dyDescent="0.2"/>
    <row r="1491" customFormat="1" ht="35.1" customHeight="1" x14ac:dyDescent="0.2"/>
    <row r="1492" customFormat="1" ht="35.1" customHeight="1" x14ac:dyDescent="0.2"/>
    <row r="1493" customFormat="1" ht="35.1" customHeight="1" x14ac:dyDescent="0.2"/>
    <row r="1494" customFormat="1" ht="35.1" customHeight="1" x14ac:dyDescent="0.2"/>
    <row r="1495" customFormat="1" ht="35.1" customHeight="1" x14ac:dyDescent="0.2"/>
    <row r="1496" customFormat="1" ht="35.1" customHeight="1" x14ac:dyDescent="0.2"/>
    <row r="1497" customFormat="1" ht="35.1" customHeight="1" x14ac:dyDescent="0.2"/>
    <row r="1498" customFormat="1" ht="35.1" customHeight="1" x14ac:dyDescent="0.2"/>
    <row r="1499" customFormat="1" ht="35.1" customHeight="1" x14ac:dyDescent="0.2"/>
    <row r="1500" customFormat="1" ht="35.1" customHeight="1" x14ac:dyDescent="0.2"/>
    <row r="1501" customFormat="1" ht="35.1" customHeight="1" x14ac:dyDescent="0.2"/>
    <row r="1502" customFormat="1" ht="35.1" customHeight="1" x14ac:dyDescent="0.2"/>
    <row r="1503" customFormat="1" ht="35.1" customHeight="1" x14ac:dyDescent="0.2"/>
    <row r="1504" customFormat="1" ht="35.1" customHeight="1" x14ac:dyDescent="0.2"/>
    <row r="1505" customFormat="1" ht="35.1" customHeight="1" x14ac:dyDescent="0.2"/>
    <row r="1506" customFormat="1" ht="35.1" customHeight="1" x14ac:dyDescent="0.2"/>
    <row r="1507" customFormat="1" ht="35.1" customHeight="1" x14ac:dyDescent="0.2"/>
    <row r="1508" customFormat="1" ht="35.1" customHeight="1" x14ac:dyDescent="0.2"/>
    <row r="1509" customFormat="1" ht="35.1" customHeight="1" x14ac:dyDescent="0.2"/>
    <row r="1510" customFormat="1" ht="35.1" customHeight="1" x14ac:dyDescent="0.2"/>
    <row r="1511" customFormat="1" ht="35.1" customHeight="1" x14ac:dyDescent="0.2"/>
    <row r="1512" customFormat="1" ht="35.1" customHeight="1" x14ac:dyDescent="0.2"/>
    <row r="1513" customFormat="1" ht="35.1" customHeight="1" x14ac:dyDescent="0.2"/>
    <row r="1514" customFormat="1" ht="35.1" customHeight="1" x14ac:dyDescent="0.2"/>
    <row r="1515" customFormat="1" ht="35.1" customHeight="1" x14ac:dyDescent="0.2"/>
    <row r="1516" customFormat="1" ht="35.1" customHeight="1" x14ac:dyDescent="0.2"/>
    <row r="1517" customFormat="1" ht="35.1" customHeight="1" x14ac:dyDescent="0.2"/>
    <row r="1518" customFormat="1" ht="35.1" customHeight="1" x14ac:dyDescent="0.2"/>
    <row r="1519" customFormat="1" ht="35.1" customHeight="1" x14ac:dyDescent="0.2"/>
    <row r="1520" customFormat="1" ht="35.1" customHeight="1" x14ac:dyDescent="0.2"/>
    <row r="1521" customFormat="1" ht="35.1" customHeight="1" x14ac:dyDescent="0.2"/>
    <row r="1522" customFormat="1" ht="35.1" customHeight="1" x14ac:dyDescent="0.2"/>
    <row r="1523" customFormat="1" ht="35.1" customHeight="1" x14ac:dyDescent="0.2"/>
    <row r="1524" customFormat="1" ht="35.1" customHeight="1" x14ac:dyDescent="0.2"/>
    <row r="1525" customFormat="1" ht="35.1" customHeight="1" x14ac:dyDescent="0.2"/>
    <row r="1526" customFormat="1" ht="35.1" customHeight="1" x14ac:dyDescent="0.2"/>
    <row r="1527" customFormat="1" ht="35.1" customHeight="1" x14ac:dyDescent="0.2"/>
    <row r="1528" customFormat="1" ht="35.1" customHeight="1" x14ac:dyDescent="0.2"/>
    <row r="1529" customFormat="1" ht="35.1" customHeight="1" x14ac:dyDescent="0.2"/>
    <row r="1530" customFormat="1" ht="35.1" customHeight="1" x14ac:dyDescent="0.2"/>
    <row r="1531" customFormat="1" ht="35.1" customHeight="1" x14ac:dyDescent="0.2"/>
    <row r="1532" customFormat="1" ht="35.1" customHeight="1" x14ac:dyDescent="0.2"/>
    <row r="1533" customFormat="1" ht="35.1" customHeight="1" x14ac:dyDescent="0.2"/>
    <row r="1534" customFormat="1" ht="35.1" customHeight="1" x14ac:dyDescent="0.2"/>
    <row r="1535" customFormat="1" ht="35.1" customHeight="1" x14ac:dyDescent="0.2"/>
    <row r="1536" customFormat="1" ht="35.1" customHeight="1" x14ac:dyDescent="0.2"/>
    <row r="1537" customFormat="1" ht="35.1" customHeight="1" x14ac:dyDescent="0.2"/>
    <row r="1538" customFormat="1" ht="35.1" customHeight="1" x14ac:dyDescent="0.2"/>
    <row r="1539" customFormat="1" ht="35.1" customHeight="1" x14ac:dyDescent="0.2"/>
    <row r="1540" customFormat="1" ht="35.1" customHeight="1" x14ac:dyDescent="0.2"/>
    <row r="1541" customFormat="1" ht="35.1" customHeight="1" x14ac:dyDescent="0.2"/>
    <row r="1542" customFormat="1" ht="35.1" customHeight="1" x14ac:dyDescent="0.2"/>
    <row r="1543" customFormat="1" ht="35.1" customHeight="1" x14ac:dyDescent="0.2"/>
    <row r="1544" customFormat="1" ht="35.1" customHeight="1" x14ac:dyDescent="0.2"/>
    <row r="1545" customFormat="1" ht="35.1" customHeight="1" x14ac:dyDescent="0.2"/>
    <row r="1546" customFormat="1" ht="35.1" customHeight="1" x14ac:dyDescent="0.2"/>
    <row r="1547" customFormat="1" ht="35.1" customHeight="1" x14ac:dyDescent="0.2"/>
    <row r="1548" customFormat="1" ht="35.1" customHeight="1" x14ac:dyDescent="0.2"/>
    <row r="1549" customFormat="1" ht="35.1" customHeight="1" x14ac:dyDescent="0.2"/>
    <row r="1550" customFormat="1" ht="35.1" customHeight="1" x14ac:dyDescent="0.2"/>
    <row r="1551" customFormat="1" ht="35.1" customHeight="1" x14ac:dyDescent="0.2"/>
    <row r="1552" customFormat="1" ht="35.1" customHeight="1" x14ac:dyDescent="0.2"/>
    <row r="1553" customFormat="1" ht="35.1" customHeight="1" x14ac:dyDescent="0.2"/>
    <row r="1554" customFormat="1" ht="35.1" customHeight="1" x14ac:dyDescent="0.2"/>
    <row r="1555" customFormat="1" ht="35.1" customHeight="1" x14ac:dyDescent="0.2"/>
    <row r="1556" customFormat="1" ht="35.1" customHeight="1" x14ac:dyDescent="0.2"/>
    <row r="1557" customFormat="1" ht="35.1" customHeight="1" x14ac:dyDescent="0.2"/>
    <row r="1558" customFormat="1" ht="35.1" customHeight="1" x14ac:dyDescent="0.2"/>
    <row r="1559" customFormat="1" ht="35.1" customHeight="1" x14ac:dyDescent="0.2"/>
    <row r="1560" customFormat="1" ht="35.1" customHeight="1" x14ac:dyDescent="0.2"/>
    <row r="1561" customFormat="1" ht="35.1" customHeight="1" x14ac:dyDescent="0.2"/>
    <row r="1562" customFormat="1" ht="35.1" customHeight="1" x14ac:dyDescent="0.2"/>
    <row r="1563" customFormat="1" ht="35.1" customHeight="1" x14ac:dyDescent="0.2"/>
    <row r="1564" customFormat="1" ht="35.1" customHeight="1" x14ac:dyDescent="0.2"/>
    <row r="1565" customFormat="1" ht="35.1" customHeight="1" x14ac:dyDescent="0.2"/>
    <row r="1566" customFormat="1" ht="35.1" customHeight="1" x14ac:dyDescent="0.2"/>
    <row r="1567" customFormat="1" ht="35.1" customHeight="1" x14ac:dyDescent="0.2"/>
    <row r="1568" customFormat="1" ht="35.1" customHeight="1" x14ac:dyDescent="0.2"/>
    <row r="1569" customFormat="1" ht="35.1" customHeight="1" x14ac:dyDescent="0.2"/>
    <row r="1570" customFormat="1" ht="35.1" customHeight="1" x14ac:dyDescent="0.2"/>
    <row r="1571" customFormat="1" ht="35.1" customHeight="1" x14ac:dyDescent="0.2"/>
    <row r="1572" customFormat="1" ht="35.1" customHeight="1" x14ac:dyDescent="0.2"/>
    <row r="1573" customFormat="1" ht="35.1" customHeight="1" x14ac:dyDescent="0.2"/>
    <row r="1574" customFormat="1" ht="35.1" customHeight="1" x14ac:dyDescent="0.2"/>
    <row r="1575" customFormat="1" ht="35.1" customHeight="1" x14ac:dyDescent="0.2"/>
    <row r="1576" customFormat="1" ht="35.1" customHeight="1" x14ac:dyDescent="0.2"/>
    <row r="1577" customFormat="1" ht="35.1" customHeight="1" x14ac:dyDescent="0.2"/>
    <row r="1578" customFormat="1" ht="35.1" customHeight="1" x14ac:dyDescent="0.2"/>
    <row r="1579" customFormat="1" ht="35.1" customHeight="1" x14ac:dyDescent="0.2"/>
    <row r="1580" customFormat="1" ht="35.1" customHeight="1" x14ac:dyDescent="0.2"/>
    <row r="1581" customFormat="1" ht="35.1" customHeight="1" x14ac:dyDescent="0.2"/>
    <row r="1582" customFormat="1" ht="35.1" customHeight="1" x14ac:dyDescent="0.2"/>
    <row r="1583" customFormat="1" ht="35.1" customHeight="1" x14ac:dyDescent="0.2"/>
    <row r="1584" customFormat="1" ht="35.1" customHeight="1" x14ac:dyDescent="0.2"/>
    <row r="1585" customFormat="1" ht="35.1" customHeight="1" x14ac:dyDescent="0.2"/>
    <row r="1586" customFormat="1" ht="35.1" customHeight="1" x14ac:dyDescent="0.2"/>
    <row r="1587" customFormat="1" ht="35.1" customHeight="1" x14ac:dyDescent="0.2"/>
    <row r="1588" customFormat="1" ht="35.1" customHeight="1" x14ac:dyDescent="0.2"/>
    <row r="1589" customFormat="1" ht="35.1" customHeight="1" x14ac:dyDescent="0.2"/>
    <row r="1590" customFormat="1" ht="35.1" customHeight="1" x14ac:dyDescent="0.2"/>
    <row r="1591" customFormat="1" ht="35.1" customHeight="1" x14ac:dyDescent="0.2"/>
    <row r="1592" customFormat="1" ht="35.1" customHeight="1" x14ac:dyDescent="0.2"/>
    <row r="1593" customFormat="1" ht="35.1" customHeight="1" x14ac:dyDescent="0.2"/>
    <row r="1594" customFormat="1" ht="35.1" customHeight="1" x14ac:dyDescent="0.2"/>
    <row r="1595" customFormat="1" ht="35.1" customHeight="1" x14ac:dyDescent="0.2"/>
    <row r="1596" customFormat="1" ht="35.1" customHeight="1" x14ac:dyDescent="0.2"/>
    <row r="1597" customFormat="1" ht="35.1" customHeight="1" x14ac:dyDescent="0.2"/>
    <row r="1598" customFormat="1" ht="35.1" customHeight="1" x14ac:dyDescent="0.2"/>
    <row r="1599" customFormat="1" ht="35.1" customHeight="1" x14ac:dyDescent="0.2"/>
    <row r="1600" customFormat="1" ht="35.1" customHeight="1" x14ac:dyDescent="0.2"/>
    <row r="1601" customFormat="1" ht="35.1" customHeight="1" x14ac:dyDescent="0.2"/>
    <row r="1602" customFormat="1" ht="35.1" customHeight="1" x14ac:dyDescent="0.2"/>
    <row r="1603" customFormat="1" ht="35.1" customHeight="1" x14ac:dyDescent="0.2"/>
    <row r="1604" customFormat="1" ht="35.1" customHeight="1" x14ac:dyDescent="0.2"/>
    <row r="1605" customFormat="1" ht="35.1" customHeight="1" x14ac:dyDescent="0.2"/>
    <row r="1606" customFormat="1" ht="35.1" customHeight="1" x14ac:dyDescent="0.2"/>
    <row r="1607" customFormat="1" ht="35.1" customHeight="1" x14ac:dyDescent="0.2"/>
    <row r="1608" customFormat="1" ht="35.1" customHeight="1" x14ac:dyDescent="0.2"/>
    <row r="1609" customFormat="1" ht="35.1" customHeight="1" x14ac:dyDescent="0.2"/>
    <row r="1610" customFormat="1" ht="35.1" customHeight="1" x14ac:dyDescent="0.2"/>
    <row r="1611" customFormat="1" ht="35.1" customHeight="1" x14ac:dyDescent="0.2"/>
    <row r="1612" customFormat="1" ht="35.1" customHeight="1" x14ac:dyDescent="0.2"/>
    <row r="1613" customFormat="1" ht="35.1" customHeight="1" x14ac:dyDescent="0.2"/>
    <row r="1614" customFormat="1" ht="35.1" customHeight="1" x14ac:dyDescent="0.2"/>
    <row r="1615" customFormat="1" ht="35.1" customHeight="1" x14ac:dyDescent="0.2"/>
    <row r="1616" customFormat="1" ht="35.1" customHeight="1" x14ac:dyDescent="0.2"/>
    <row r="1617" customFormat="1" ht="35.1" customHeight="1" x14ac:dyDescent="0.2"/>
    <row r="1618" customFormat="1" ht="35.1" customHeight="1" x14ac:dyDescent="0.2"/>
    <row r="1619" customFormat="1" ht="35.1" customHeight="1" x14ac:dyDescent="0.2"/>
    <row r="1620" customFormat="1" ht="35.1" customHeight="1" x14ac:dyDescent="0.2"/>
    <row r="1621" customFormat="1" ht="35.1" customHeight="1" x14ac:dyDescent="0.2"/>
    <row r="1622" customFormat="1" ht="35.1" customHeight="1" x14ac:dyDescent="0.2"/>
    <row r="1623" customFormat="1" ht="35.1" customHeight="1" x14ac:dyDescent="0.2"/>
    <row r="1624" customFormat="1" ht="35.1" customHeight="1" x14ac:dyDescent="0.2"/>
    <row r="1625" customFormat="1" ht="35.1" customHeight="1" x14ac:dyDescent="0.2"/>
    <row r="1626" customFormat="1" ht="35.1" customHeight="1" x14ac:dyDescent="0.2"/>
    <row r="1627" customFormat="1" ht="35.1" customHeight="1" x14ac:dyDescent="0.2"/>
    <row r="1628" customFormat="1" ht="35.1" customHeight="1" x14ac:dyDescent="0.2"/>
    <row r="1629" customFormat="1" ht="35.1" customHeight="1" x14ac:dyDescent="0.2"/>
    <row r="1630" customFormat="1" ht="35.1" customHeight="1" x14ac:dyDescent="0.2"/>
    <row r="1631" customFormat="1" ht="35.1" customHeight="1" x14ac:dyDescent="0.2"/>
    <row r="1632" customFormat="1" ht="35.1" customHeight="1" x14ac:dyDescent="0.2"/>
    <row r="1633" customFormat="1" ht="35.1" customHeight="1" x14ac:dyDescent="0.2"/>
    <row r="1634" customFormat="1" ht="35.1" customHeight="1" x14ac:dyDescent="0.2"/>
    <row r="1635" customFormat="1" ht="35.1" customHeight="1" x14ac:dyDescent="0.2"/>
    <row r="1636" customFormat="1" ht="35.1" customHeight="1" x14ac:dyDescent="0.2"/>
    <row r="1637" customFormat="1" ht="35.1" customHeight="1" x14ac:dyDescent="0.2"/>
    <row r="1638" customFormat="1" ht="35.1" customHeight="1" x14ac:dyDescent="0.2"/>
    <row r="1639" customFormat="1" ht="35.1" customHeight="1" x14ac:dyDescent="0.2"/>
    <row r="1640" customFormat="1" ht="35.1" customHeight="1" x14ac:dyDescent="0.2"/>
    <row r="1641" customFormat="1" ht="35.1" customHeight="1" x14ac:dyDescent="0.2"/>
    <row r="1642" customFormat="1" ht="35.1" customHeight="1" x14ac:dyDescent="0.2"/>
    <row r="1643" customFormat="1" ht="35.1" customHeight="1" x14ac:dyDescent="0.2"/>
    <row r="1644" customFormat="1" ht="35.1" customHeight="1" x14ac:dyDescent="0.2"/>
    <row r="1645" customFormat="1" ht="35.1" customHeight="1" x14ac:dyDescent="0.2"/>
    <row r="1646" customFormat="1" ht="35.1" customHeight="1" x14ac:dyDescent="0.2"/>
    <row r="1647" customFormat="1" ht="35.1" customHeight="1" x14ac:dyDescent="0.2"/>
    <row r="1648" customFormat="1" ht="35.1" customHeight="1" x14ac:dyDescent="0.2"/>
    <row r="1649" customFormat="1" ht="35.1" customHeight="1" x14ac:dyDescent="0.2"/>
    <row r="1650" customFormat="1" ht="35.1" customHeight="1" x14ac:dyDescent="0.2"/>
    <row r="1651" customFormat="1" ht="35.1" customHeight="1" x14ac:dyDescent="0.2"/>
    <row r="1652" customFormat="1" ht="35.1" customHeight="1" x14ac:dyDescent="0.2"/>
    <row r="1653" customFormat="1" ht="35.1" customHeight="1" x14ac:dyDescent="0.2"/>
    <row r="1654" customFormat="1" ht="35.1" customHeight="1" x14ac:dyDescent="0.2"/>
    <row r="1655" customFormat="1" ht="35.1" customHeight="1" x14ac:dyDescent="0.2"/>
    <row r="1656" customFormat="1" ht="35.1" customHeight="1" x14ac:dyDescent="0.2"/>
    <row r="1657" customFormat="1" ht="35.1" customHeight="1" x14ac:dyDescent="0.2"/>
    <row r="1658" customFormat="1" ht="35.1" customHeight="1" x14ac:dyDescent="0.2"/>
    <row r="1659" customFormat="1" ht="35.1" customHeight="1" x14ac:dyDescent="0.2"/>
    <row r="1660" customFormat="1" ht="35.1" customHeight="1" x14ac:dyDescent="0.2"/>
    <row r="1661" customFormat="1" ht="35.1" customHeight="1" x14ac:dyDescent="0.2"/>
    <row r="1662" customFormat="1" ht="35.1" customHeight="1" x14ac:dyDescent="0.2"/>
    <row r="1663" customFormat="1" ht="35.1" customHeight="1" x14ac:dyDescent="0.2"/>
    <row r="1664" customFormat="1" ht="35.1" customHeight="1" x14ac:dyDescent="0.2"/>
    <row r="1665" customFormat="1" ht="35.1" customHeight="1" x14ac:dyDescent="0.2"/>
    <row r="1666" customFormat="1" ht="35.1" customHeight="1" x14ac:dyDescent="0.2"/>
    <row r="1667" customFormat="1" ht="35.1" customHeight="1" x14ac:dyDescent="0.2"/>
    <row r="1668" customFormat="1" ht="35.1" customHeight="1" x14ac:dyDescent="0.2"/>
    <row r="1669" customFormat="1" ht="35.1" customHeight="1" x14ac:dyDescent="0.2"/>
    <row r="1670" customFormat="1" ht="35.1" customHeight="1" x14ac:dyDescent="0.2"/>
    <row r="1671" customFormat="1" ht="35.1" customHeight="1" x14ac:dyDescent="0.2"/>
    <row r="1672" customFormat="1" ht="35.1" customHeight="1" x14ac:dyDescent="0.2"/>
    <row r="1673" customFormat="1" ht="35.1" customHeight="1" x14ac:dyDescent="0.2"/>
    <row r="1674" customFormat="1" ht="35.1" customHeight="1" x14ac:dyDescent="0.2"/>
    <row r="1675" customFormat="1" ht="35.1" customHeight="1" x14ac:dyDescent="0.2"/>
    <row r="1676" customFormat="1" ht="35.1" customHeight="1" x14ac:dyDescent="0.2"/>
    <row r="1677" customFormat="1" ht="35.1" customHeight="1" x14ac:dyDescent="0.2"/>
    <row r="1678" customFormat="1" ht="35.1" customHeight="1" x14ac:dyDescent="0.2"/>
    <row r="1679" customFormat="1" ht="35.1" customHeight="1" x14ac:dyDescent="0.2"/>
    <row r="1680" customFormat="1" ht="35.1" customHeight="1" x14ac:dyDescent="0.2"/>
    <row r="1681" customFormat="1" ht="35.1" customHeight="1" x14ac:dyDescent="0.2"/>
    <row r="1682" customFormat="1" ht="35.1" customHeight="1" x14ac:dyDescent="0.2"/>
    <row r="1683" customFormat="1" ht="35.1" customHeight="1" x14ac:dyDescent="0.2"/>
    <row r="1684" customFormat="1" ht="35.1" customHeight="1" x14ac:dyDescent="0.2"/>
    <row r="1685" customFormat="1" ht="35.1" customHeight="1" x14ac:dyDescent="0.2"/>
    <row r="1686" customFormat="1" ht="35.1" customHeight="1" x14ac:dyDescent="0.2"/>
    <row r="1687" customFormat="1" ht="35.1" customHeight="1" x14ac:dyDescent="0.2"/>
    <row r="1688" customFormat="1" ht="35.1" customHeight="1" x14ac:dyDescent="0.2"/>
    <row r="1689" customFormat="1" ht="35.1" customHeight="1" x14ac:dyDescent="0.2"/>
    <row r="1690" customFormat="1" ht="35.1" customHeight="1" x14ac:dyDescent="0.2"/>
    <row r="1691" customFormat="1" ht="35.1" customHeight="1" x14ac:dyDescent="0.2"/>
    <row r="1692" customFormat="1" ht="35.1" customHeight="1" x14ac:dyDescent="0.2"/>
    <row r="1693" customFormat="1" ht="35.1" customHeight="1" x14ac:dyDescent="0.2"/>
    <row r="1694" customFormat="1" ht="35.1" customHeight="1" x14ac:dyDescent="0.2"/>
    <row r="1695" customFormat="1" ht="35.1" customHeight="1" x14ac:dyDescent="0.2"/>
    <row r="1696" customFormat="1" ht="35.1" customHeight="1" x14ac:dyDescent="0.2"/>
    <row r="1697" customFormat="1" ht="35.1" customHeight="1" x14ac:dyDescent="0.2"/>
    <row r="1698" customFormat="1" ht="35.1" customHeight="1" x14ac:dyDescent="0.2"/>
    <row r="1699" customFormat="1" ht="35.1" customHeight="1" x14ac:dyDescent="0.2"/>
    <row r="1700" customFormat="1" ht="35.1" customHeight="1" x14ac:dyDescent="0.2"/>
    <row r="1701" customFormat="1" ht="35.1" customHeight="1" x14ac:dyDescent="0.2"/>
    <row r="1702" customFormat="1" ht="35.1" customHeight="1" x14ac:dyDescent="0.2"/>
    <row r="1703" customFormat="1" ht="35.1" customHeight="1" x14ac:dyDescent="0.2"/>
    <row r="1704" customFormat="1" ht="35.1" customHeight="1" x14ac:dyDescent="0.2"/>
    <row r="1705" customFormat="1" ht="35.1" customHeight="1" x14ac:dyDescent="0.2"/>
    <row r="1706" customFormat="1" ht="35.1" customHeight="1" x14ac:dyDescent="0.2"/>
    <row r="1707" customFormat="1" ht="35.1" customHeight="1" x14ac:dyDescent="0.2"/>
    <row r="1708" customFormat="1" ht="35.1" customHeight="1" x14ac:dyDescent="0.2"/>
    <row r="1709" customFormat="1" ht="35.1" customHeight="1" x14ac:dyDescent="0.2"/>
    <row r="1710" customFormat="1" ht="35.1" customHeight="1" x14ac:dyDescent="0.2"/>
    <row r="1711" customFormat="1" ht="35.1" customHeight="1" x14ac:dyDescent="0.2"/>
    <row r="1712" customFormat="1" ht="35.1" customHeight="1" x14ac:dyDescent="0.2"/>
    <row r="1713" customFormat="1" ht="35.1" customHeight="1" x14ac:dyDescent="0.2"/>
    <row r="1714" customFormat="1" ht="35.1" customHeight="1" x14ac:dyDescent="0.2"/>
    <row r="1715" customFormat="1" ht="35.1" customHeight="1" x14ac:dyDescent="0.2"/>
    <row r="1716" customFormat="1" ht="35.1" customHeight="1" x14ac:dyDescent="0.2"/>
    <row r="1717" customFormat="1" ht="35.1" customHeight="1" x14ac:dyDescent="0.2"/>
    <row r="1718" customFormat="1" ht="35.1" customHeight="1" x14ac:dyDescent="0.2"/>
    <row r="1719" customFormat="1" ht="35.1" customHeight="1" x14ac:dyDescent="0.2"/>
    <row r="1720" customFormat="1" ht="35.1" customHeight="1" x14ac:dyDescent="0.2"/>
    <row r="1721" customFormat="1" ht="35.1" customHeight="1" x14ac:dyDescent="0.2"/>
    <row r="1722" customFormat="1" ht="35.1" customHeight="1" x14ac:dyDescent="0.2"/>
    <row r="1723" customFormat="1" ht="35.1" customHeight="1" x14ac:dyDescent="0.2"/>
    <row r="1724" customFormat="1" ht="35.1" customHeight="1" x14ac:dyDescent="0.2"/>
    <row r="1725" customFormat="1" ht="35.1" customHeight="1" x14ac:dyDescent="0.2"/>
    <row r="1726" customFormat="1" ht="35.1" customHeight="1" x14ac:dyDescent="0.2"/>
    <row r="1727" customFormat="1" ht="35.1" customHeight="1" x14ac:dyDescent="0.2"/>
    <row r="1728" customFormat="1" ht="35.1" customHeight="1" x14ac:dyDescent="0.2"/>
    <row r="1729" customFormat="1" ht="35.1" customHeight="1" x14ac:dyDescent="0.2"/>
    <row r="1730" customFormat="1" ht="35.1" customHeight="1" x14ac:dyDescent="0.2"/>
    <row r="1731" customFormat="1" ht="35.1" customHeight="1" x14ac:dyDescent="0.2"/>
    <row r="1732" customFormat="1" ht="35.1" customHeight="1" x14ac:dyDescent="0.2"/>
    <row r="1733" customFormat="1" ht="35.1" customHeight="1" x14ac:dyDescent="0.2"/>
    <row r="1734" customFormat="1" ht="35.1" customHeight="1" x14ac:dyDescent="0.2"/>
    <row r="1735" customFormat="1" ht="35.1" customHeight="1" x14ac:dyDescent="0.2"/>
    <row r="1736" customFormat="1" ht="35.1" customHeight="1" x14ac:dyDescent="0.2"/>
    <row r="1737" customFormat="1" ht="35.1" customHeight="1" x14ac:dyDescent="0.2"/>
    <row r="1738" customFormat="1" ht="35.1" customHeight="1" x14ac:dyDescent="0.2"/>
    <row r="1739" customFormat="1" ht="35.1" customHeight="1" x14ac:dyDescent="0.2"/>
    <row r="1740" customFormat="1" ht="35.1" customHeight="1" x14ac:dyDescent="0.2"/>
    <row r="1741" customFormat="1" ht="35.1" customHeight="1" x14ac:dyDescent="0.2"/>
    <row r="1742" customFormat="1" ht="35.1" customHeight="1" x14ac:dyDescent="0.2"/>
    <row r="1743" customFormat="1" ht="35.1" customHeight="1" x14ac:dyDescent="0.2"/>
    <row r="1744" customFormat="1" ht="35.1" customHeight="1" x14ac:dyDescent="0.2"/>
    <row r="1745" customFormat="1" ht="35.1" customHeight="1" x14ac:dyDescent="0.2"/>
    <row r="1746" customFormat="1" ht="35.1" customHeight="1" x14ac:dyDescent="0.2"/>
    <row r="1747" customFormat="1" ht="35.1" customHeight="1" x14ac:dyDescent="0.2"/>
    <row r="1748" customFormat="1" ht="35.1" customHeight="1" x14ac:dyDescent="0.2"/>
    <row r="1749" customFormat="1" ht="35.1" customHeight="1" x14ac:dyDescent="0.2"/>
    <row r="1750" customFormat="1" ht="35.1" customHeight="1" x14ac:dyDescent="0.2"/>
    <row r="1751" customFormat="1" ht="35.1" customHeight="1" x14ac:dyDescent="0.2"/>
    <row r="1752" customFormat="1" ht="35.1" customHeight="1" x14ac:dyDescent="0.2"/>
    <row r="1753" customFormat="1" ht="35.1" customHeight="1" x14ac:dyDescent="0.2"/>
    <row r="1754" customFormat="1" ht="35.1" customHeight="1" x14ac:dyDescent="0.2"/>
    <row r="1755" customFormat="1" ht="35.1" customHeight="1" x14ac:dyDescent="0.2"/>
    <row r="1756" customFormat="1" ht="35.1" customHeight="1" x14ac:dyDescent="0.2"/>
    <row r="1757" customFormat="1" ht="35.1" customHeight="1" x14ac:dyDescent="0.2"/>
    <row r="1758" customFormat="1" ht="35.1" customHeight="1" x14ac:dyDescent="0.2"/>
    <row r="1759" customFormat="1" ht="35.1" customHeight="1" x14ac:dyDescent="0.2"/>
    <row r="1760" customFormat="1" ht="35.1" customHeight="1" x14ac:dyDescent="0.2"/>
    <row r="1761" customFormat="1" ht="35.1" customHeight="1" x14ac:dyDescent="0.2"/>
    <row r="1762" customFormat="1" ht="35.1" customHeight="1" x14ac:dyDescent="0.2"/>
    <row r="1763" customFormat="1" ht="35.1" customHeight="1" x14ac:dyDescent="0.2"/>
    <row r="1764" customFormat="1" ht="35.1" customHeight="1" x14ac:dyDescent="0.2"/>
    <row r="1765" customFormat="1" ht="35.1" customHeight="1" x14ac:dyDescent="0.2"/>
    <row r="1766" customFormat="1" ht="35.1" customHeight="1" x14ac:dyDescent="0.2"/>
    <row r="1767" customFormat="1" ht="35.1" customHeight="1" x14ac:dyDescent="0.2"/>
    <row r="1768" customFormat="1" ht="35.1" customHeight="1" x14ac:dyDescent="0.2"/>
    <row r="1769" customFormat="1" ht="35.1" customHeight="1" x14ac:dyDescent="0.2"/>
    <row r="1770" customFormat="1" ht="35.1" customHeight="1" x14ac:dyDescent="0.2"/>
    <row r="1771" customFormat="1" ht="35.1" customHeight="1" x14ac:dyDescent="0.2"/>
    <row r="1772" customFormat="1" ht="35.1" customHeight="1" x14ac:dyDescent="0.2"/>
    <row r="1773" customFormat="1" ht="35.1" customHeight="1" x14ac:dyDescent="0.2"/>
    <row r="1774" customFormat="1" ht="35.1" customHeight="1" x14ac:dyDescent="0.2"/>
    <row r="1775" customFormat="1" ht="35.1" customHeight="1" x14ac:dyDescent="0.2"/>
    <row r="1776" customFormat="1" ht="35.1" customHeight="1" x14ac:dyDescent="0.2"/>
    <row r="1777" customFormat="1" ht="35.1" customHeight="1" x14ac:dyDescent="0.2"/>
    <row r="1778" customFormat="1" ht="35.1" customHeight="1" x14ac:dyDescent="0.2"/>
    <row r="1779" customFormat="1" ht="35.1" customHeight="1" x14ac:dyDescent="0.2"/>
    <row r="1780" customFormat="1" ht="35.1" customHeight="1" x14ac:dyDescent="0.2"/>
    <row r="1781" customFormat="1" ht="35.1" customHeight="1" x14ac:dyDescent="0.2"/>
    <row r="1782" customFormat="1" ht="35.1" customHeight="1" x14ac:dyDescent="0.2"/>
    <row r="1783" customFormat="1" ht="35.1" customHeight="1" x14ac:dyDescent="0.2"/>
    <row r="1784" customFormat="1" ht="35.1" customHeight="1" x14ac:dyDescent="0.2"/>
    <row r="1785" customFormat="1" ht="35.1" customHeight="1" x14ac:dyDescent="0.2"/>
    <row r="1786" customFormat="1" ht="35.1" customHeight="1" x14ac:dyDescent="0.2"/>
    <row r="1787" customFormat="1" ht="35.1" customHeight="1" x14ac:dyDescent="0.2"/>
    <row r="1788" customFormat="1" ht="35.1" customHeight="1" x14ac:dyDescent="0.2"/>
    <row r="1789" customFormat="1" ht="35.1" customHeight="1" x14ac:dyDescent="0.2"/>
    <row r="1790" customFormat="1" ht="35.1" customHeight="1" x14ac:dyDescent="0.2"/>
    <row r="1791" customFormat="1" ht="35.1" customHeight="1" x14ac:dyDescent="0.2"/>
    <row r="1792" customFormat="1" ht="35.1" customHeight="1" x14ac:dyDescent="0.2"/>
    <row r="1793" customFormat="1" ht="35.1" customHeight="1" x14ac:dyDescent="0.2"/>
    <row r="1794" customFormat="1" ht="35.1" customHeight="1" x14ac:dyDescent="0.2"/>
    <row r="1795" customFormat="1" ht="35.1" customHeight="1" x14ac:dyDescent="0.2"/>
    <row r="1796" customFormat="1" ht="35.1" customHeight="1" x14ac:dyDescent="0.2"/>
    <row r="1797" customFormat="1" ht="35.1" customHeight="1" x14ac:dyDescent="0.2"/>
    <row r="1798" customFormat="1" ht="35.1" customHeight="1" x14ac:dyDescent="0.2"/>
    <row r="1799" customFormat="1" ht="35.1" customHeight="1" x14ac:dyDescent="0.2"/>
    <row r="1800" customFormat="1" ht="35.1" customHeight="1" x14ac:dyDescent="0.2"/>
    <row r="1801" customFormat="1" ht="35.1" customHeight="1" x14ac:dyDescent="0.2"/>
    <row r="1802" customFormat="1" ht="35.1" customHeight="1" x14ac:dyDescent="0.2"/>
    <row r="1803" customFormat="1" ht="35.1" customHeight="1" x14ac:dyDescent="0.2"/>
    <row r="1804" customFormat="1" ht="35.1" customHeight="1" x14ac:dyDescent="0.2"/>
    <row r="1805" customFormat="1" ht="35.1" customHeight="1" x14ac:dyDescent="0.2"/>
    <row r="1806" customFormat="1" ht="35.1" customHeight="1" x14ac:dyDescent="0.2"/>
    <row r="1807" customFormat="1" ht="35.1" customHeight="1" x14ac:dyDescent="0.2"/>
    <row r="1808" customFormat="1" ht="35.1" customHeight="1" x14ac:dyDescent="0.2"/>
    <row r="1809" customFormat="1" ht="35.1" customHeight="1" x14ac:dyDescent="0.2"/>
    <row r="1810" customFormat="1" ht="35.1" customHeight="1" x14ac:dyDescent="0.2"/>
    <row r="1811" customFormat="1" ht="35.1" customHeight="1" x14ac:dyDescent="0.2"/>
    <row r="1812" customFormat="1" ht="35.1" customHeight="1" x14ac:dyDescent="0.2"/>
    <row r="1813" customFormat="1" ht="35.1" customHeight="1" x14ac:dyDescent="0.2"/>
    <row r="1814" customFormat="1" ht="35.1" customHeight="1" x14ac:dyDescent="0.2"/>
    <row r="1815" customFormat="1" ht="35.1" customHeight="1" x14ac:dyDescent="0.2"/>
    <row r="1816" customFormat="1" ht="35.1" customHeight="1" x14ac:dyDescent="0.2"/>
    <row r="1817" customFormat="1" ht="35.1" customHeight="1" x14ac:dyDescent="0.2"/>
    <row r="1818" customFormat="1" ht="35.1" customHeight="1" x14ac:dyDescent="0.2"/>
    <row r="1819" customFormat="1" ht="35.1" customHeight="1" x14ac:dyDescent="0.2"/>
    <row r="1820" customFormat="1" ht="35.1" customHeight="1" x14ac:dyDescent="0.2"/>
    <row r="1821" customFormat="1" ht="35.1" customHeight="1" x14ac:dyDescent="0.2"/>
    <row r="1822" customFormat="1" ht="35.1" customHeight="1" x14ac:dyDescent="0.2"/>
    <row r="1823" customFormat="1" ht="35.1" customHeight="1" x14ac:dyDescent="0.2"/>
    <row r="1824" customFormat="1" ht="35.1" customHeight="1" x14ac:dyDescent="0.2"/>
    <row r="1825" customFormat="1" ht="35.1" customHeight="1" x14ac:dyDescent="0.2"/>
    <row r="1826" customFormat="1" ht="35.1" customHeight="1" x14ac:dyDescent="0.2"/>
    <row r="1827" customFormat="1" ht="35.1" customHeight="1" x14ac:dyDescent="0.2"/>
    <row r="1828" customFormat="1" ht="35.1" customHeight="1" x14ac:dyDescent="0.2"/>
    <row r="1829" customFormat="1" ht="35.1" customHeight="1" x14ac:dyDescent="0.2"/>
    <row r="1830" customFormat="1" ht="35.1" customHeight="1" x14ac:dyDescent="0.2"/>
    <row r="1831" customFormat="1" ht="35.1" customHeight="1" x14ac:dyDescent="0.2"/>
    <row r="1832" customFormat="1" ht="35.1" customHeight="1" x14ac:dyDescent="0.2"/>
    <row r="1833" customFormat="1" ht="35.1" customHeight="1" x14ac:dyDescent="0.2"/>
    <row r="1834" customFormat="1" ht="35.1" customHeight="1" x14ac:dyDescent="0.2"/>
    <row r="1835" customFormat="1" ht="35.1" customHeight="1" x14ac:dyDescent="0.2"/>
    <row r="1836" customFormat="1" ht="35.1" customHeight="1" x14ac:dyDescent="0.2"/>
    <row r="1837" customFormat="1" ht="35.1" customHeight="1" x14ac:dyDescent="0.2"/>
    <row r="1838" customFormat="1" ht="35.1" customHeight="1" x14ac:dyDescent="0.2"/>
    <row r="1839" customFormat="1" ht="35.1" customHeight="1" x14ac:dyDescent="0.2"/>
    <row r="1840" customFormat="1" ht="35.1" customHeight="1" x14ac:dyDescent="0.2"/>
    <row r="1841" customFormat="1" ht="35.1" customHeight="1" x14ac:dyDescent="0.2"/>
    <row r="1842" customFormat="1" ht="35.1" customHeight="1" x14ac:dyDescent="0.2"/>
    <row r="1843" customFormat="1" ht="35.1" customHeight="1" x14ac:dyDescent="0.2"/>
    <row r="1844" customFormat="1" ht="35.1" customHeight="1" x14ac:dyDescent="0.2"/>
    <row r="1845" customFormat="1" ht="35.1" customHeight="1" x14ac:dyDescent="0.2"/>
    <row r="1846" customFormat="1" ht="35.1" customHeight="1" x14ac:dyDescent="0.2"/>
    <row r="1847" customFormat="1" ht="35.1" customHeight="1" x14ac:dyDescent="0.2"/>
    <row r="1848" customFormat="1" ht="35.1" customHeight="1" x14ac:dyDescent="0.2"/>
    <row r="1849" customFormat="1" ht="35.1" customHeight="1" x14ac:dyDescent="0.2"/>
    <row r="1850" customFormat="1" ht="35.1" customHeight="1" x14ac:dyDescent="0.2"/>
    <row r="1851" customFormat="1" ht="35.1" customHeight="1" x14ac:dyDescent="0.2"/>
    <row r="1852" customFormat="1" ht="35.1" customHeight="1" x14ac:dyDescent="0.2"/>
    <row r="1853" customFormat="1" ht="35.1" customHeight="1" x14ac:dyDescent="0.2"/>
    <row r="1854" customFormat="1" ht="35.1" customHeight="1" x14ac:dyDescent="0.2"/>
    <row r="1855" customFormat="1" ht="35.1" customHeight="1" x14ac:dyDescent="0.2"/>
    <row r="1856" customFormat="1" ht="35.1" customHeight="1" x14ac:dyDescent="0.2"/>
    <row r="1857" customFormat="1" ht="35.1" customHeight="1" x14ac:dyDescent="0.2"/>
    <row r="1858" customFormat="1" ht="35.1" customHeight="1" x14ac:dyDescent="0.2"/>
    <row r="1859" customFormat="1" ht="35.1" customHeight="1" x14ac:dyDescent="0.2"/>
    <row r="1860" customFormat="1" ht="35.1" customHeight="1" x14ac:dyDescent="0.2"/>
    <row r="1861" customFormat="1" ht="35.1" customHeight="1" x14ac:dyDescent="0.2"/>
    <row r="1862" customFormat="1" ht="35.1" customHeight="1" x14ac:dyDescent="0.2"/>
    <row r="1863" customFormat="1" ht="35.1" customHeight="1" x14ac:dyDescent="0.2"/>
    <row r="1864" customFormat="1" ht="35.1" customHeight="1" x14ac:dyDescent="0.2"/>
    <row r="1865" customFormat="1" ht="35.1" customHeight="1" x14ac:dyDescent="0.2"/>
    <row r="1866" customFormat="1" ht="35.1" customHeight="1" x14ac:dyDescent="0.2"/>
    <row r="1867" customFormat="1" ht="35.1" customHeight="1" x14ac:dyDescent="0.2"/>
    <row r="1868" customFormat="1" ht="35.1" customHeight="1" x14ac:dyDescent="0.2"/>
    <row r="1869" customFormat="1" ht="35.1" customHeight="1" x14ac:dyDescent="0.2"/>
    <row r="1870" customFormat="1" ht="35.1" customHeight="1" x14ac:dyDescent="0.2"/>
    <row r="1871" customFormat="1" ht="35.1" customHeight="1" x14ac:dyDescent="0.2"/>
    <row r="1872" customFormat="1" ht="35.1" customHeight="1" x14ac:dyDescent="0.2"/>
    <row r="1873" customFormat="1" ht="35.1" customHeight="1" x14ac:dyDescent="0.2"/>
    <row r="1874" customFormat="1" ht="35.1" customHeight="1" x14ac:dyDescent="0.2"/>
    <row r="1875" customFormat="1" ht="35.1" customHeight="1" x14ac:dyDescent="0.2"/>
    <row r="1876" customFormat="1" ht="35.1" customHeight="1" x14ac:dyDescent="0.2"/>
    <row r="1877" customFormat="1" ht="35.1" customHeight="1" x14ac:dyDescent="0.2"/>
    <row r="1878" customFormat="1" ht="35.1" customHeight="1" x14ac:dyDescent="0.2"/>
    <row r="1879" customFormat="1" ht="35.1" customHeight="1" x14ac:dyDescent="0.2"/>
    <row r="1880" customFormat="1" ht="35.1" customHeight="1" x14ac:dyDescent="0.2"/>
    <row r="1881" customFormat="1" ht="35.1" customHeight="1" x14ac:dyDescent="0.2"/>
    <row r="1882" customFormat="1" ht="35.1" customHeight="1" x14ac:dyDescent="0.2"/>
    <row r="1883" customFormat="1" ht="35.1" customHeight="1" x14ac:dyDescent="0.2"/>
    <row r="1884" customFormat="1" ht="35.1" customHeight="1" x14ac:dyDescent="0.2"/>
    <row r="1885" customFormat="1" ht="35.1" customHeight="1" x14ac:dyDescent="0.2"/>
    <row r="1886" customFormat="1" ht="35.1" customHeight="1" x14ac:dyDescent="0.2"/>
    <row r="1887" customFormat="1" ht="35.1" customHeight="1" x14ac:dyDescent="0.2"/>
    <row r="1888" customFormat="1" ht="35.1" customHeight="1" x14ac:dyDescent="0.2"/>
    <row r="1889" customFormat="1" ht="35.1" customHeight="1" x14ac:dyDescent="0.2"/>
    <row r="1890" customFormat="1" ht="35.1" customHeight="1" x14ac:dyDescent="0.2"/>
    <row r="1891" customFormat="1" ht="35.1" customHeight="1" x14ac:dyDescent="0.2"/>
    <row r="1892" customFormat="1" ht="35.1" customHeight="1" x14ac:dyDescent="0.2"/>
    <row r="1893" customFormat="1" ht="35.1" customHeight="1" x14ac:dyDescent="0.2"/>
    <row r="1894" customFormat="1" ht="35.1" customHeight="1" x14ac:dyDescent="0.2"/>
    <row r="1895" customFormat="1" ht="35.1" customHeight="1" x14ac:dyDescent="0.2"/>
    <row r="1896" customFormat="1" ht="35.1" customHeight="1" x14ac:dyDescent="0.2"/>
    <row r="1897" customFormat="1" ht="35.1" customHeight="1" x14ac:dyDescent="0.2"/>
    <row r="1898" customFormat="1" ht="35.1" customHeight="1" x14ac:dyDescent="0.2"/>
    <row r="1899" customFormat="1" ht="35.1" customHeight="1" x14ac:dyDescent="0.2"/>
    <row r="1900" customFormat="1" ht="35.1" customHeight="1" x14ac:dyDescent="0.2"/>
    <row r="1901" customFormat="1" ht="35.1" customHeight="1" x14ac:dyDescent="0.2"/>
    <row r="1902" customFormat="1" ht="35.1" customHeight="1" x14ac:dyDescent="0.2"/>
    <row r="1903" customFormat="1" ht="35.1" customHeight="1" x14ac:dyDescent="0.2"/>
    <row r="1904" customFormat="1" ht="35.1" customHeight="1" x14ac:dyDescent="0.2"/>
    <row r="1905" customFormat="1" ht="35.1" customHeight="1" x14ac:dyDescent="0.2"/>
    <row r="1906" customFormat="1" ht="35.1" customHeight="1" x14ac:dyDescent="0.2"/>
    <row r="1907" customFormat="1" ht="35.1" customHeight="1" x14ac:dyDescent="0.2"/>
    <row r="1908" customFormat="1" ht="35.1" customHeight="1" x14ac:dyDescent="0.2"/>
    <row r="1909" customFormat="1" ht="35.1" customHeight="1" x14ac:dyDescent="0.2"/>
    <row r="1910" customFormat="1" ht="35.1" customHeight="1" x14ac:dyDescent="0.2"/>
    <row r="1911" customFormat="1" ht="35.1" customHeight="1" x14ac:dyDescent="0.2"/>
    <row r="1912" customFormat="1" ht="35.1" customHeight="1" x14ac:dyDescent="0.2"/>
    <row r="1913" customFormat="1" ht="35.1" customHeight="1" x14ac:dyDescent="0.2"/>
    <row r="1914" customFormat="1" ht="35.1" customHeight="1" x14ac:dyDescent="0.2"/>
    <row r="1915" customFormat="1" ht="35.1" customHeight="1" x14ac:dyDescent="0.2"/>
    <row r="1916" customFormat="1" ht="35.1" customHeight="1" x14ac:dyDescent="0.2"/>
    <row r="1917" customFormat="1" ht="35.1" customHeight="1" x14ac:dyDescent="0.2"/>
    <row r="1918" customFormat="1" ht="35.1" customHeight="1" x14ac:dyDescent="0.2"/>
    <row r="1919" customFormat="1" ht="35.1" customHeight="1" x14ac:dyDescent="0.2"/>
    <row r="1920" customFormat="1" ht="35.1" customHeight="1" x14ac:dyDescent="0.2"/>
    <row r="1921" customFormat="1" ht="35.1" customHeight="1" x14ac:dyDescent="0.2"/>
    <row r="1922" customFormat="1" ht="35.1" customHeight="1" x14ac:dyDescent="0.2"/>
    <row r="1923" customFormat="1" ht="35.1" customHeight="1" x14ac:dyDescent="0.2"/>
    <row r="1924" customFormat="1" ht="35.1" customHeight="1" x14ac:dyDescent="0.2"/>
    <row r="1925" customFormat="1" ht="35.1" customHeight="1" x14ac:dyDescent="0.2"/>
    <row r="1926" customFormat="1" ht="35.1" customHeight="1" x14ac:dyDescent="0.2"/>
    <row r="1927" customFormat="1" ht="35.1" customHeight="1" x14ac:dyDescent="0.2"/>
    <row r="1928" customFormat="1" ht="35.1" customHeight="1" x14ac:dyDescent="0.2"/>
    <row r="1929" customFormat="1" ht="35.1" customHeight="1" x14ac:dyDescent="0.2"/>
    <row r="1930" customFormat="1" ht="35.1" customHeight="1" x14ac:dyDescent="0.2"/>
    <row r="1931" customFormat="1" ht="35.1" customHeight="1" x14ac:dyDescent="0.2"/>
    <row r="1932" customFormat="1" ht="35.1" customHeight="1" x14ac:dyDescent="0.2"/>
    <row r="1933" customFormat="1" ht="35.1" customHeight="1" x14ac:dyDescent="0.2"/>
    <row r="1934" customFormat="1" ht="35.1" customHeight="1" x14ac:dyDescent="0.2"/>
    <row r="1935" customFormat="1" ht="35.1" customHeight="1" x14ac:dyDescent="0.2"/>
    <row r="1936" customFormat="1" ht="35.1" customHeight="1" x14ac:dyDescent="0.2"/>
    <row r="1937" customFormat="1" ht="35.1" customHeight="1" x14ac:dyDescent="0.2"/>
    <row r="1938" customFormat="1" ht="35.1" customHeight="1" x14ac:dyDescent="0.2"/>
    <row r="1939" customFormat="1" ht="35.1" customHeight="1" x14ac:dyDescent="0.2"/>
    <row r="1940" customFormat="1" ht="35.1" customHeight="1" x14ac:dyDescent="0.2"/>
    <row r="1941" customFormat="1" ht="35.1" customHeight="1" x14ac:dyDescent="0.2"/>
    <row r="1942" customFormat="1" ht="35.1" customHeight="1" x14ac:dyDescent="0.2"/>
    <row r="1943" customFormat="1" ht="35.1" customHeight="1" x14ac:dyDescent="0.2"/>
    <row r="1944" customFormat="1" ht="35.1" customHeight="1" x14ac:dyDescent="0.2"/>
    <row r="1945" customFormat="1" ht="35.1" customHeight="1" x14ac:dyDescent="0.2"/>
    <row r="1946" customFormat="1" ht="35.1" customHeight="1" x14ac:dyDescent="0.2"/>
    <row r="1947" customFormat="1" ht="35.1" customHeight="1" x14ac:dyDescent="0.2"/>
    <row r="1948" customFormat="1" ht="35.1" customHeight="1" x14ac:dyDescent="0.2"/>
    <row r="1949" customFormat="1" ht="35.1" customHeight="1" x14ac:dyDescent="0.2"/>
    <row r="1950" customFormat="1" ht="35.1" customHeight="1" x14ac:dyDescent="0.2"/>
    <row r="1951" customFormat="1" ht="35.1" customHeight="1" x14ac:dyDescent="0.2"/>
    <row r="1952" customFormat="1" ht="35.1" customHeight="1" x14ac:dyDescent="0.2"/>
    <row r="1953" customFormat="1" ht="35.1" customHeight="1" x14ac:dyDescent="0.2"/>
    <row r="1954" customFormat="1" ht="35.1" customHeight="1" x14ac:dyDescent="0.2"/>
    <row r="1955" customFormat="1" ht="35.1" customHeight="1" x14ac:dyDescent="0.2"/>
    <row r="1956" customFormat="1" ht="35.1" customHeight="1" x14ac:dyDescent="0.2"/>
    <row r="1957" customFormat="1" ht="35.1" customHeight="1" x14ac:dyDescent="0.2"/>
    <row r="1958" customFormat="1" ht="35.1" customHeight="1" x14ac:dyDescent="0.2"/>
    <row r="1959" customFormat="1" ht="35.1" customHeight="1" x14ac:dyDescent="0.2"/>
    <row r="1960" customFormat="1" ht="35.1" customHeight="1" x14ac:dyDescent="0.2"/>
    <row r="1961" customFormat="1" ht="35.1" customHeight="1" x14ac:dyDescent="0.2"/>
    <row r="1962" customFormat="1" ht="35.1" customHeight="1" x14ac:dyDescent="0.2"/>
    <row r="1963" customFormat="1" ht="35.1" customHeight="1" x14ac:dyDescent="0.2"/>
    <row r="1964" customFormat="1" ht="35.1" customHeight="1" x14ac:dyDescent="0.2"/>
    <row r="1965" customFormat="1" ht="35.1" customHeight="1" x14ac:dyDescent="0.2"/>
    <row r="1966" customFormat="1" ht="35.1" customHeight="1" x14ac:dyDescent="0.2"/>
    <row r="1967" customFormat="1" ht="35.1" customHeight="1" x14ac:dyDescent="0.2"/>
    <row r="1968" customFormat="1" ht="35.1" customHeight="1" x14ac:dyDescent="0.2"/>
    <row r="1969" customFormat="1" ht="35.1" customHeight="1" x14ac:dyDescent="0.2"/>
    <row r="1970" customFormat="1" ht="35.1" customHeight="1" x14ac:dyDescent="0.2"/>
    <row r="1971" customFormat="1" ht="35.1" customHeight="1" x14ac:dyDescent="0.2"/>
    <row r="1972" customFormat="1" ht="35.1" customHeight="1" x14ac:dyDescent="0.2"/>
    <row r="1973" customFormat="1" ht="35.1" customHeight="1" x14ac:dyDescent="0.2"/>
    <row r="1974" customFormat="1" ht="35.1" customHeight="1" x14ac:dyDescent="0.2"/>
    <row r="1975" customFormat="1" ht="35.1" customHeight="1" x14ac:dyDescent="0.2"/>
    <row r="1976" customFormat="1" ht="35.1" customHeight="1" x14ac:dyDescent="0.2"/>
    <row r="1977" customFormat="1" ht="35.1" customHeight="1" x14ac:dyDescent="0.2"/>
    <row r="1978" customFormat="1" ht="35.1" customHeight="1" x14ac:dyDescent="0.2"/>
    <row r="1979" customFormat="1" ht="35.1" customHeight="1" x14ac:dyDescent="0.2"/>
    <row r="1980" customFormat="1" ht="35.1" customHeight="1" x14ac:dyDescent="0.2"/>
    <row r="1981" customFormat="1" ht="35.1" customHeight="1" x14ac:dyDescent="0.2"/>
    <row r="1982" customFormat="1" ht="35.1" customHeight="1" x14ac:dyDescent="0.2"/>
    <row r="1983" customFormat="1" ht="35.1" customHeight="1" x14ac:dyDescent="0.2"/>
    <row r="1984" customFormat="1" ht="35.1" customHeight="1" x14ac:dyDescent="0.2"/>
    <row r="1985" customFormat="1" ht="35.1" customHeight="1" x14ac:dyDescent="0.2"/>
    <row r="1986" customFormat="1" ht="35.1" customHeight="1" x14ac:dyDescent="0.2"/>
    <row r="1987" customFormat="1" ht="35.1" customHeight="1" x14ac:dyDescent="0.2"/>
    <row r="1988" customFormat="1" ht="35.1" customHeight="1" x14ac:dyDescent="0.2"/>
    <row r="1989" customFormat="1" ht="35.1" customHeight="1" x14ac:dyDescent="0.2"/>
    <row r="1990" customFormat="1" ht="35.1" customHeight="1" x14ac:dyDescent="0.2"/>
    <row r="1991" customFormat="1" ht="35.1" customHeight="1" x14ac:dyDescent="0.2"/>
    <row r="1992" customFormat="1" ht="35.1" customHeight="1" x14ac:dyDescent="0.2"/>
    <row r="1993" customFormat="1" ht="35.1" customHeight="1" x14ac:dyDescent="0.2"/>
    <row r="1994" customFormat="1" ht="35.1" customHeight="1" x14ac:dyDescent="0.2"/>
    <row r="1995" customFormat="1" ht="35.1" customHeight="1" x14ac:dyDescent="0.2"/>
    <row r="1996" customFormat="1" ht="35.1" customHeight="1" x14ac:dyDescent="0.2"/>
    <row r="1997" customFormat="1" ht="35.1" customHeight="1" x14ac:dyDescent="0.2"/>
    <row r="1998" customFormat="1" ht="35.1" customHeight="1" x14ac:dyDescent="0.2"/>
    <row r="1999" customFormat="1" ht="35.1" customHeight="1" x14ac:dyDescent="0.2"/>
    <row r="2000" customFormat="1" ht="35.1" customHeight="1" x14ac:dyDescent="0.2"/>
    <row r="2001" customFormat="1" ht="35.1" customHeight="1" x14ac:dyDescent="0.2"/>
    <row r="2002" customFormat="1" ht="35.1" customHeight="1" x14ac:dyDescent="0.2"/>
    <row r="2003" customFormat="1" ht="35.1" customHeight="1" x14ac:dyDescent="0.2"/>
    <row r="2004" customFormat="1" ht="35.1" customHeight="1" x14ac:dyDescent="0.2"/>
    <row r="2005" customFormat="1" ht="35.1" customHeight="1" x14ac:dyDescent="0.2"/>
    <row r="2006" customFormat="1" ht="35.1" customHeight="1" x14ac:dyDescent="0.2"/>
    <row r="2007" customFormat="1" ht="35.1" customHeight="1" x14ac:dyDescent="0.2"/>
    <row r="2008" customFormat="1" ht="35.1" customHeight="1" x14ac:dyDescent="0.2"/>
    <row r="2009" customFormat="1" ht="35.1" customHeight="1" x14ac:dyDescent="0.2"/>
    <row r="2010" customFormat="1" ht="35.1" customHeight="1" x14ac:dyDescent="0.2"/>
    <row r="2011" customFormat="1" ht="35.1" customHeight="1" x14ac:dyDescent="0.2"/>
    <row r="2012" customFormat="1" ht="35.1" customHeight="1" x14ac:dyDescent="0.2"/>
    <row r="2013" customFormat="1" ht="35.1" customHeight="1" x14ac:dyDescent="0.2"/>
    <row r="2014" customFormat="1" ht="35.1" customHeight="1" x14ac:dyDescent="0.2"/>
    <row r="2015" customFormat="1" ht="35.1" customHeight="1" x14ac:dyDescent="0.2"/>
    <row r="2016" customFormat="1" ht="35.1" customHeight="1" x14ac:dyDescent="0.2"/>
    <row r="2017" customFormat="1" ht="35.1" customHeight="1" x14ac:dyDescent="0.2"/>
    <row r="2018" customFormat="1" ht="35.1" customHeight="1" x14ac:dyDescent="0.2"/>
    <row r="2019" customFormat="1" ht="35.1" customHeight="1" x14ac:dyDescent="0.2"/>
    <row r="2020" customFormat="1" ht="35.1" customHeight="1" x14ac:dyDescent="0.2"/>
    <row r="2021" customFormat="1" ht="35.1" customHeight="1" x14ac:dyDescent="0.2"/>
    <row r="2022" customFormat="1" ht="35.1" customHeight="1" x14ac:dyDescent="0.2"/>
    <row r="2023" customFormat="1" ht="35.1" customHeight="1" x14ac:dyDescent="0.2"/>
    <row r="2024" customFormat="1" ht="35.1" customHeight="1" x14ac:dyDescent="0.2"/>
    <row r="2025" customFormat="1" ht="35.1" customHeight="1" x14ac:dyDescent="0.2"/>
    <row r="2026" customFormat="1" ht="35.1" customHeight="1" x14ac:dyDescent="0.2"/>
    <row r="2027" customFormat="1" ht="35.1" customHeight="1" x14ac:dyDescent="0.2"/>
    <row r="2028" customFormat="1" ht="35.1" customHeight="1" x14ac:dyDescent="0.2"/>
    <row r="2029" customFormat="1" ht="35.1" customHeight="1" x14ac:dyDescent="0.2"/>
    <row r="2030" customFormat="1" ht="35.1" customHeight="1" x14ac:dyDescent="0.2"/>
    <row r="2031" customFormat="1" ht="35.1" customHeight="1" x14ac:dyDescent="0.2"/>
    <row r="2032" customFormat="1" ht="35.1" customHeight="1" x14ac:dyDescent="0.2"/>
    <row r="2033" customFormat="1" ht="35.1" customHeight="1" x14ac:dyDescent="0.2"/>
    <row r="2034" customFormat="1" ht="35.1" customHeight="1" x14ac:dyDescent="0.2"/>
    <row r="2035" customFormat="1" ht="35.1" customHeight="1" x14ac:dyDescent="0.2"/>
    <row r="2036" customFormat="1" ht="35.1" customHeight="1" x14ac:dyDescent="0.2"/>
    <row r="2037" customFormat="1" ht="35.1" customHeight="1" x14ac:dyDescent="0.2"/>
    <row r="2038" customFormat="1" ht="35.1" customHeight="1" x14ac:dyDescent="0.2"/>
    <row r="2039" customFormat="1" ht="35.1" customHeight="1" x14ac:dyDescent="0.2"/>
    <row r="2040" customFormat="1" ht="35.1" customHeight="1" x14ac:dyDescent="0.2"/>
    <row r="2041" customFormat="1" ht="35.1" customHeight="1" x14ac:dyDescent="0.2"/>
    <row r="2042" customFormat="1" ht="35.1" customHeight="1" x14ac:dyDescent="0.2"/>
    <row r="2043" customFormat="1" ht="35.1" customHeight="1" x14ac:dyDescent="0.2"/>
    <row r="2044" customFormat="1" ht="35.1" customHeight="1" x14ac:dyDescent="0.2"/>
    <row r="2045" customFormat="1" ht="35.1" customHeight="1" x14ac:dyDescent="0.2"/>
    <row r="2046" customFormat="1" ht="35.1" customHeight="1" x14ac:dyDescent="0.2"/>
    <row r="2047" customFormat="1" ht="35.1" customHeight="1" x14ac:dyDescent="0.2"/>
    <row r="2048" customFormat="1" ht="35.1" customHeight="1" x14ac:dyDescent="0.2"/>
    <row r="2049" customFormat="1" ht="35.1" customHeight="1" x14ac:dyDescent="0.2"/>
    <row r="2050" customFormat="1" ht="35.1" customHeight="1" x14ac:dyDescent="0.2"/>
    <row r="2051" customFormat="1" ht="35.1" customHeight="1" x14ac:dyDescent="0.2"/>
    <row r="2052" customFormat="1" ht="35.1" customHeight="1" x14ac:dyDescent="0.2"/>
    <row r="2053" customFormat="1" ht="35.1" customHeight="1" x14ac:dyDescent="0.2"/>
    <row r="2054" customFormat="1" ht="35.1" customHeight="1" x14ac:dyDescent="0.2"/>
    <row r="2055" customFormat="1" ht="35.1" customHeight="1" x14ac:dyDescent="0.2"/>
    <row r="2056" customFormat="1" ht="35.1" customHeight="1" x14ac:dyDescent="0.2"/>
    <row r="2057" customFormat="1" ht="35.1" customHeight="1" x14ac:dyDescent="0.2"/>
    <row r="2058" customFormat="1" ht="35.1" customHeight="1" x14ac:dyDescent="0.2"/>
    <row r="2059" customFormat="1" ht="35.1" customHeight="1" x14ac:dyDescent="0.2"/>
    <row r="2060" customFormat="1" ht="35.1" customHeight="1" x14ac:dyDescent="0.2"/>
    <row r="2061" customFormat="1" ht="35.1" customHeight="1" x14ac:dyDescent="0.2"/>
    <row r="2062" customFormat="1" ht="35.1" customHeight="1" x14ac:dyDescent="0.2"/>
    <row r="2063" customFormat="1" ht="35.1" customHeight="1" x14ac:dyDescent="0.2"/>
    <row r="2064" customFormat="1" ht="35.1" customHeight="1" x14ac:dyDescent="0.2"/>
    <row r="2065" customFormat="1" ht="35.1" customHeight="1" x14ac:dyDescent="0.2"/>
    <row r="2066" customFormat="1" ht="35.1" customHeight="1" x14ac:dyDescent="0.2"/>
    <row r="2067" customFormat="1" ht="35.1" customHeight="1" x14ac:dyDescent="0.2"/>
    <row r="2068" customFormat="1" ht="35.1" customHeight="1" x14ac:dyDescent="0.2"/>
    <row r="2069" customFormat="1" ht="35.1" customHeight="1" x14ac:dyDescent="0.2"/>
    <row r="2070" customFormat="1" ht="35.1" customHeight="1" x14ac:dyDescent="0.2"/>
    <row r="2071" customFormat="1" ht="35.1" customHeight="1" x14ac:dyDescent="0.2"/>
    <row r="2072" customFormat="1" ht="35.1" customHeight="1" x14ac:dyDescent="0.2"/>
    <row r="2073" customFormat="1" ht="35.1" customHeight="1" x14ac:dyDescent="0.2"/>
    <row r="2074" customFormat="1" ht="35.1" customHeight="1" x14ac:dyDescent="0.2"/>
    <row r="2075" customFormat="1" ht="35.1" customHeight="1" x14ac:dyDescent="0.2"/>
    <row r="2076" customFormat="1" ht="35.1" customHeight="1" x14ac:dyDescent="0.2"/>
    <row r="2077" customFormat="1" ht="35.1" customHeight="1" x14ac:dyDescent="0.2"/>
    <row r="2078" customFormat="1" ht="35.1" customHeight="1" x14ac:dyDescent="0.2"/>
    <row r="2079" customFormat="1" ht="35.1" customHeight="1" x14ac:dyDescent="0.2"/>
    <row r="2080" customFormat="1" ht="35.1" customHeight="1" x14ac:dyDescent="0.2"/>
    <row r="2081" customFormat="1" ht="35.1" customHeight="1" x14ac:dyDescent="0.2"/>
    <row r="2082" customFormat="1" ht="35.1" customHeight="1" x14ac:dyDescent="0.2"/>
    <row r="2083" customFormat="1" ht="35.1" customHeight="1" x14ac:dyDescent="0.2"/>
    <row r="2084" customFormat="1" ht="35.1" customHeight="1" x14ac:dyDescent="0.2"/>
    <row r="2085" customFormat="1" ht="35.1" customHeight="1" x14ac:dyDescent="0.2"/>
    <row r="2086" customFormat="1" ht="35.1" customHeight="1" x14ac:dyDescent="0.2"/>
    <row r="2087" customFormat="1" ht="35.1" customHeight="1" x14ac:dyDescent="0.2"/>
    <row r="2088" customFormat="1" ht="35.1" customHeight="1" x14ac:dyDescent="0.2"/>
    <row r="2089" customFormat="1" ht="35.1" customHeight="1" x14ac:dyDescent="0.2"/>
    <row r="2090" customFormat="1" ht="35.1" customHeight="1" x14ac:dyDescent="0.2"/>
    <row r="2091" customFormat="1" ht="35.1" customHeight="1" x14ac:dyDescent="0.2"/>
    <row r="2092" customFormat="1" ht="35.1" customHeight="1" x14ac:dyDescent="0.2"/>
    <row r="2093" customFormat="1" ht="35.1" customHeight="1" x14ac:dyDescent="0.2"/>
    <row r="2094" customFormat="1" ht="35.1" customHeight="1" x14ac:dyDescent="0.2"/>
    <row r="2095" customFormat="1" ht="35.1" customHeight="1" x14ac:dyDescent="0.2"/>
    <row r="2096" customFormat="1" ht="35.1" customHeight="1" x14ac:dyDescent="0.2"/>
    <row r="2097" customFormat="1" ht="35.1" customHeight="1" x14ac:dyDescent="0.2"/>
    <row r="2098" customFormat="1" ht="35.1" customHeight="1" x14ac:dyDescent="0.2"/>
    <row r="2099" customFormat="1" ht="35.1" customHeight="1" x14ac:dyDescent="0.2"/>
    <row r="2100" customFormat="1" ht="35.1" customHeight="1" x14ac:dyDescent="0.2"/>
    <row r="2101" customFormat="1" ht="35.1" customHeight="1" x14ac:dyDescent="0.2"/>
    <row r="2102" customFormat="1" ht="35.1" customHeight="1" x14ac:dyDescent="0.2"/>
    <row r="2103" customFormat="1" ht="35.1" customHeight="1" x14ac:dyDescent="0.2"/>
    <row r="2104" customFormat="1" ht="35.1" customHeight="1" x14ac:dyDescent="0.2"/>
    <row r="2105" customFormat="1" ht="35.1" customHeight="1" x14ac:dyDescent="0.2"/>
    <row r="2106" customFormat="1" ht="35.1" customHeight="1" x14ac:dyDescent="0.2"/>
    <row r="2107" customFormat="1" ht="35.1" customHeight="1" x14ac:dyDescent="0.2"/>
    <row r="2108" customFormat="1" ht="35.1" customHeight="1" x14ac:dyDescent="0.2"/>
    <row r="2109" customFormat="1" ht="35.1" customHeight="1" x14ac:dyDescent="0.2"/>
    <row r="2110" customFormat="1" ht="35.1" customHeight="1" x14ac:dyDescent="0.2"/>
    <row r="2111" customFormat="1" ht="35.1" customHeight="1" x14ac:dyDescent="0.2"/>
    <row r="2112" customFormat="1" ht="35.1" customHeight="1" x14ac:dyDescent="0.2"/>
    <row r="2113" customFormat="1" ht="35.1" customHeight="1" x14ac:dyDescent="0.2"/>
    <row r="2114" customFormat="1" ht="35.1" customHeight="1" x14ac:dyDescent="0.2"/>
    <row r="2115" customFormat="1" ht="35.1" customHeight="1" x14ac:dyDescent="0.2"/>
    <row r="2116" customFormat="1" ht="35.1" customHeight="1" x14ac:dyDescent="0.2"/>
    <row r="2117" customFormat="1" ht="35.1" customHeight="1" x14ac:dyDescent="0.2"/>
    <row r="2118" customFormat="1" ht="35.1" customHeight="1" x14ac:dyDescent="0.2"/>
    <row r="2119" customFormat="1" ht="35.1" customHeight="1" x14ac:dyDescent="0.2"/>
    <row r="2120" customFormat="1" ht="35.1" customHeight="1" x14ac:dyDescent="0.2"/>
    <row r="2121" customFormat="1" ht="35.1" customHeight="1" x14ac:dyDescent="0.2"/>
    <row r="2122" customFormat="1" ht="35.1" customHeight="1" x14ac:dyDescent="0.2"/>
    <row r="2123" customFormat="1" ht="35.1" customHeight="1" x14ac:dyDescent="0.2"/>
    <row r="2124" customFormat="1" ht="35.1" customHeight="1" x14ac:dyDescent="0.2"/>
    <row r="2125" customFormat="1" ht="35.1" customHeight="1" x14ac:dyDescent="0.2"/>
    <row r="2126" customFormat="1" ht="35.1" customHeight="1" x14ac:dyDescent="0.2"/>
    <row r="2127" customFormat="1" ht="35.1" customHeight="1" x14ac:dyDescent="0.2"/>
    <row r="2128" customFormat="1" ht="35.1" customHeight="1" x14ac:dyDescent="0.2"/>
    <row r="2129" customFormat="1" ht="35.1" customHeight="1" x14ac:dyDescent="0.2"/>
    <row r="2130" customFormat="1" ht="35.1" customHeight="1" x14ac:dyDescent="0.2"/>
    <row r="2131" customFormat="1" ht="35.1" customHeight="1" x14ac:dyDescent="0.2"/>
    <row r="2132" customFormat="1" ht="35.1" customHeight="1" x14ac:dyDescent="0.2"/>
    <row r="2133" customFormat="1" ht="35.1" customHeight="1" x14ac:dyDescent="0.2"/>
    <row r="2134" customFormat="1" ht="35.1" customHeight="1" x14ac:dyDescent="0.2"/>
    <row r="2135" customFormat="1" ht="35.1" customHeight="1" x14ac:dyDescent="0.2"/>
    <row r="2136" customFormat="1" ht="35.1" customHeight="1" x14ac:dyDescent="0.2"/>
    <row r="2137" customFormat="1" ht="35.1" customHeight="1" x14ac:dyDescent="0.2"/>
    <row r="2138" customFormat="1" ht="35.1" customHeight="1" x14ac:dyDescent="0.2"/>
    <row r="2139" customFormat="1" ht="35.1" customHeight="1" x14ac:dyDescent="0.2"/>
    <row r="2140" customFormat="1" ht="35.1" customHeight="1" x14ac:dyDescent="0.2"/>
    <row r="2141" customFormat="1" ht="35.1" customHeight="1" x14ac:dyDescent="0.2"/>
    <row r="2142" customFormat="1" ht="35.1" customHeight="1" x14ac:dyDescent="0.2"/>
    <row r="2143" customFormat="1" ht="35.1" customHeight="1" x14ac:dyDescent="0.2"/>
    <row r="2144" customFormat="1" ht="35.1" customHeight="1" x14ac:dyDescent="0.2"/>
    <row r="2145" customFormat="1" ht="35.1" customHeight="1" x14ac:dyDescent="0.2"/>
    <row r="2146" customFormat="1" ht="35.1" customHeight="1" x14ac:dyDescent="0.2"/>
    <row r="2147" customFormat="1" ht="35.1" customHeight="1" x14ac:dyDescent="0.2"/>
    <row r="2148" customFormat="1" ht="35.1" customHeight="1" x14ac:dyDescent="0.2"/>
    <row r="2149" customFormat="1" ht="35.1" customHeight="1" x14ac:dyDescent="0.2"/>
    <row r="2150" customFormat="1" ht="35.1" customHeight="1" x14ac:dyDescent="0.2"/>
    <row r="2151" customFormat="1" ht="35.1" customHeight="1" x14ac:dyDescent="0.2"/>
    <row r="2152" customFormat="1" ht="35.1" customHeight="1" x14ac:dyDescent="0.2"/>
    <row r="2153" customFormat="1" ht="35.1" customHeight="1" x14ac:dyDescent="0.2"/>
    <row r="2154" customFormat="1" ht="35.1" customHeight="1" x14ac:dyDescent="0.2"/>
    <row r="2155" customFormat="1" ht="35.1" customHeight="1" x14ac:dyDescent="0.2"/>
    <row r="2156" customFormat="1" ht="35.1" customHeight="1" x14ac:dyDescent="0.2"/>
    <row r="2157" customFormat="1" ht="35.1" customHeight="1" x14ac:dyDescent="0.2"/>
    <row r="2158" customFormat="1" ht="35.1" customHeight="1" x14ac:dyDescent="0.2"/>
    <row r="2159" customFormat="1" ht="35.1" customHeight="1" x14ac:dyDescent="0.2"/>
    <row r="2160" customFormat="1" ht="35.1" customHeight="1" x14ac:dyDescent="0.2"/>
    <row r="2161" customFormat="1" ht="35.1" customHeight="1" x14ac:dyDescent="0.2"/>
    <row r="2162" customFormat="1" ht="35.1" customHeight="1" x14ac:dyDescent="0.2"/>
    <row r="2163" customFormat="1" ht="35.1" customHeight="1" x14ac:dyDescent="0.2"/>
    <row r="2164" customFormat="1" ht="35.1" customHeight="1" x14ac:dyDescent="0.2"/>
    <row r="2165" customFormat="1" ht="35.1" customHeight="1" x14ac:dyDescent="0.2"/>
    <row r="2166" customFormat="1" ht="35.1" customHeight="1" x14ac:dyDescent="0.2"/>
    <row r="2167" customFormat="1" ht="35.1" customHeight="1" x14ac:dyDescent="0.2"/>
    <row r="2168" customFormat="1" ht="35.1" customHeight="1" x14ac:dyDescent="0.2"/>
    <row r="2169" customFormat="1" ht="35.1" customHeight="1" x14ac:dyDescent="0.2"/>
    <row r="2170" customFormat="1" ht="35.1" customHeight="1" x14ac:dyDescent="0.2"/>
    <row r="2171" customFormat="1" ht="35.1" customHeight="1" x14ac:dyDescent="0.2"/>
    <row r="2172" customFormat="1" ht="35.1" customHeight="1" x14ac:dyDescent="0.2"/>
    <row r="2173" customFormat="1" ht="35.1" customHeight="1" x14ac:dyDescent="0.2"/>
    <row r="2174" customFormat="1" ht="35.1" customHeight="1" x14ac:dyDescent="0.2"/>
    <row r="2175" customFormat="1" ht="35.1" customHeight="1" x14ac:dyDescent="0.2"/>
    <row r="2176" customFormat="1" ht="35.1" customHeight="1" x14ac:dyDescent="0.2"/>
    <row r="2177" customFormat="1" ht="35.1" customHeight="1" x14ac:dyDescent="0.2"/>
    <row r="2178" customFormat="1" ht="35.1" customHeight="1" x14ac:dyDescent="0.2"/>
    <row r="2179" customFormat="1" ht="35.1" customHeight="1" x14ac:dyDescent="0.2"/>
    <row r="2180" customFormat="1" ht="35.1" customHeight="1" x14ac:dyDescent="0.2"/>
    <row r="2181" customFormat="1" ht="35.1" customHeight="1" x14ac:dyDescent="0.2"/>
    <row r="2182" customFormat="1" ht="35.1" customHeight="1" x14ac:dyDescent="0.2"/>
    <row r="2183" customFormat="1" ht="35.1" customHeight="1" x14ac:dyDescent="0.2"/>
    <row r="2184" customFormat="1" ht="35.1" customHeight="1" x14ac:dyDescent="0.2"/>
    <row r="2185" customFormat="1" ht="35.1" customHeight="1" x14ac:dyDescent="0.2"/>
    <row r="2186" customFormat="1" ht="35.1" customHeight="1" x14ac:dyDescent="0.2"/>
    <row r="2187" customFormat="1" ht="35.1" customHeight="1" x14ac:dyDescent="0.2"/>
    <row r="2188" customFormat="1" ht="35.1" customHeight="1" x14ac:dyDescent="0.2"/>
    <row r="2189" customFormat="1" ht="35.1" customHeight="1" x14ac:dyDescent="0.2"/>
    <row r="2190" customFormat="1" ht="35.1" customHeight="1" x14ac:dyDescent="0.2"/>
    <row r="2191" customFormat="1" ht="35.1" customHeight="1" x14ac:dyDescent="0.2"/>
    <row r="2192" customFormat="1" ht="35.1" customHeight="1" x14ac:dyDescent="0.2"/>
    <row r="2193" customFormat="1" ht="35.1" customHeight="1" x14ac:dyDescent="0.2"/>
    <row r="2194" customFormat="1" ht="35.1" customHeight="1" x14ac:dyDescent="0.2"/>
    <row r="2195" customFormat="1" ht="35.1" customHeight="1" x14ac:dyDescent="0.2"/>
    <row r="2196" customFormat="1" ht="35.1" customHeight="1" x14ac:dyDescent="0.2"/>
    <row r="2197" customFormat="1" ht="35.1" customHeight="1" x14ac:dyDescent="0.2"/>
    <row r="2198" customFormat="1" ht="35.1" customHeight="1" x14ac:dyDescent="0.2"/>
    <row r="2199" customFormat="1" ht="35.1" customHeight="1" x14ac:dyDescent="0.2"/>
    <row r="2200" customFormat="1" ht="35.1" customHeight="1" x14ac:dyDescent="0.2"/>
    <row r="2201" customFormat="1" ht="35.1" customHeight="1" x14ac:dyDescent="0.2"/>
    <row r="2202" customFormat="1" ht="35.1" customHeight="1" x14ac:dyDescent="0.2"/>
    <row r="2203" customFormat="1" ht="35.1" customHeight="1" x14ac:dyDescent="0.2"/>
    <row r="2204" customFormat="1" ht="35.1" customHeight="1" x14ac:dyDescent="0.2"/>
    <row r="2205" customFormat="1" ht="35.1" customHeight="1" x14ac:dyDescent="0.2"/>
    <row r="2206" customFormat="1" ht="35.1" customHeight="1" x14ac:dyDescent="0.2"/>
    <row r="2207" customFormat="1" ht="35.1" customHeight="1" x14ac:dyDescent="0.2"/>
    <row r="2208" customFormat="1" ht="35.1" customHeight="1" x14ac:dyDescent="0.2"/>
    <row r="2209" customFormat="1" ht="35.1" customHeight="1" x14ac:dyDescent="0.2"/>
    <row r="2210" customFormat="1" ht="35.1" customHeight="1" x14ac:dyDescent="0.2"/>
    <row r="2211" customFormat="1" ht="35.1" customHeight="1" x14ac:dyDescent="0.2"/>
    <row r="2212" customFormat="1" ht="35.1" customHeight="1" x14ac:dyDescent="0.2"/>
    <row r="2213" customFormat="1" ht="35.1" customHeight="1" x14ac:dyDescent="0.2"/>
    <row r="2214" customFormat="1" ht="35.1" customHeight="1" x14ac:dyDescent="0.2"/>
    <row r="2215" customFormat="1" ht="35.1" customHeight="1" x14ac:dyDescent="0.2"/>
    <row r="2216" customFormat="1" ht="35.1" customHeight="1" x14ac:dyDescent="0.2"/>
    <row r="2217" customFormat="1" ht="35.1" customHeight="1" x14ac:dyDescent="0.2"/>
    <row r="2218" customFormat="1" ht="35.1" customHeight="1" x14ac:dyDescent="0.2"/>
    <row r="2219" customFormat="1" ht="35.1" customHeight="1" x14ac:dyDescent="0.2"/>
    <row r="2220" customFormat="1" ht="35.1" customHeight="1" x14ac:dyDescent="0.2"/>
    <row r="2221" customFormat="1" ht="35.1" customHeight="1" x14ac:dyDescent="0.2"/>
    <row r="2222" customFormat="1" ht="35.1" customHeight="1" x14ac:dyDescent="0.2"/>
    <row r="2223" customFormat="1" ht="35.1" customHeight="1" x14ac:dyDescent="0.2"/>
    <row r="2224" customFormat="1" ht="35.1" customHeight="1" x14ac:dyDescent="0.2"/>
    <row r="2225" customFormat="1" ht="35.1" customHeight="1" x14ac:dyDescent="0.2"/>
    <row r="2226" customFormat="1" ht="35.1" customHeight="1" x14ac:dyDescent="0.2"/>
    <row r="2227" customFormat="1" ht="35.1" customHeight="1" x14ac:dyDescent="0.2"/>
    <row r="2228" customFormat="1" ht="35.1" customHeight="1" x14ac:dyDescent="0.2"/>
    <row r="2229" customFormat="1" ht="35.1" customHeight="1" x14ac:dyDescent="0.2"/>
    <row r="2230" customFormat="1" ht="35.1" customHeight="1" x14ac:dyDescent="0.2"/>
    <row r="2231" customFormat="1" ht="35.1" customHeight="1" x14ac:dyDescent="0.2"/>
    <row r="2232" customFormat="1" ht="35.1" customHeight="1" x14ac:dyDescent="0.2"/>
    <row r="2233" customFormat="1" ht="35.1" customHeight="1" x14ac:dyDescent="0.2"/>
    <row r="2234" customFormat="1" ht="35.1" customHeight="1" x14ac:dyDescent="0.2"/>
    <row r="2235" customFormat="1" ht="35.1" customHeight="1" x14ac:dyDescent="0.2"/>
    <row r="2236" customFormat="1" ht="35.1" customHeight="1" x14ac:dyDescent="0.2"/>
    <row r="2237" customFormat="1" ht="35.1" customHeight="1" x14ac:dyDescent="0.2"/>
    <row r="2238" customFormat="1" ht="35.1" customHeight="1" x14ac:dyDescent="0.2"/>
    <row r="2239" customFormat="1" ht="35.1" customHeight="1" x14ac:dyDescent="0.2"/>
    <row r="2240" customFormat="1" ht="35.1" customHeight="1" x14ac:dyDescent="0.2"/>
    <row r="2241" customFormat="1" ht="35.1" customHeight="1" x14ac:dyDescent="0.2"/>
    <row r="2242" customFormat="1" ht="35.1" customHeight="1" x14ac:dyDescent="0.2"/>
    <row r="2243" customFormat="1" ht="35.1" customHeight="1" x14ac:dyDescent="0.2"/>
    <row r="2244" customFormat="1" ht="35.1" customHeight="1" x14ac:dyDescent="0.2"/>
    <row r="2245" customFormat="1" ht="35.1" customHeight="1" x14ac:dyDescent="0.2"/>
    <row r="2246" customFormat="1" ht="35.1" customHeight="1" x14ac:dyDescent="0.2"/>
    <row r="2247" customFormat="1" ht="35.1" customHeight="1" x14ac:dyDescent="0.2"/>
    <row r="2248" customFormat="1" ht="35.1" customHeight="1" x14ac:dyDescent="0.2"/>
    <row r="2249" customFormat="1" ht="35.1" customHeight="1" x14ac:dyDescent="0.2"/>
    <row r="2250" customFormat="1" ht="35.1" customHeight="1" x14ac:dyDescent="0.2"/>
    <row r="2251" customFormat="1" ht="35.1" customHeight="1" x14ac:dyDescent="0.2"/>
    <row r="2252" customFormat="1" ht="35.1" customHeight="1" x14ac:dyDescent="0.2"/>
    <row r="2253" customFormat="1" ht="35.1" customHeight="1" x14ac:dyDescent="0.2"/>
    <row r="2254" customFormat="1" ht="35.1" customHeight="1" x14ac:dyDescent="0.2"/>
    <row r="2255" customFormat="1" ht="35.1" customHeight="1" x14ac:dyDescent="0.2"/>
    <row r="2256" customFormat="1" ht="35.1" customHeight="1" x14ac:dyDescent="0.2"/>
    <row r="2257" customFormat="1" ht="35.1" customHeight="1" x14ac:dyDescent="0.2"/>
    <row r="2258" customFormat="1" ht="35.1" customHeight="1" x14ac:dyDescent="0.2"/>
    <row r="2259" customFormat="1" ht="35.1" customHeight="1" x14ac:dyDescent="0.2"/>
    <row r="2260" customFormat="1" ht="35.1" customHeight="1" x14ac:dyDescent="0.2"/>
    <row r="2261" customFormat="1" ht="35.1" customHeight="1" x14ac:dyDescent="0.2"/>
    <row r="2262" customFormat="1" ht="35.1" customHeight="1" x14ac:dyDescent="0.2"/>
    <row r="2263" customFormat="1" ht="35.1" customHeight="1" x14ac:dyDescent="0.2"/>
    <row r="2264" customFormat="1" ht="35.1" customHeight="1" x14ac:dyDescent="0.2"/>
    <row r="2265" customFormat="1" ht="35.1" customHeight="1" x14ac:dyDescent="0.2"/>
    <row r="2266" customFormat="1" ht="35.1" customHeight="1" x14ac:dyDescent="0.2"/>
    <row r="2267" customFormat="1" ht="35.1" customHeight="1" x14ac:dyDescent="0.2"/>
    <row r="2268" customFormat="1" ht="35.1" customHeight="1" x14ac:dyDescent="0.2"/>
    <row r="2269" customFormat="1" ht="35.1" customHeight="1" x14ac:dyDescent="0.2"/>
    <row r="2270" customFormat="1" ht="35.1" customHeight="1" x14ac:dyDescent="0.2"/>
    <row r="2271" customFormat="1" ht="35.1" customHeight="1" x14ac:dyDescent="0.2"/>
    <row r="2272" customFormat="1" ht="35.1" customHeight="1" x14ac:dyDescent="0.2"/>
    <row r="2273" customFormat="1" ht="35.1" customHeight="1" x14ac:dyDescent="0.2"/>
    <row r="2274" customFormat="1" ht="35.1" customHeight="1" x14ac:dyDescent="0.2"/>
    <row r="2275" customFormat="1" ht="35.1" customHeight="1" x14ac:dyDescent="0.2"/>
    <row r="2276" customFormat="1" ht="35.1" customHeight="1" x14ac:dyDescent="0.2"/>
    <row r="2277" customFormat="1" ht="35.1" customHeight="1" x14ac:dyDescent="0.2"/>
    <row r="2278" customFormat="1" ht="35.1" customHeight="1" x14ac:dyDescent="0.2"/>
    <row r="2279" customFormat="1" ht="35.1" customHeight="1" x14ac:dyDescent="0.2"/>
    <row r="2280" customFormat="1" ht="35.1" customHeight="1" x14ac:dyDescent="0.2"/>
    <row r="2281" customFormat="1" ht="35.1" customHeight="1" x14ac:dyDescent="0.2"/>
    <row r="2282" customFormat="1" ht="35.1" customHeight="1" x14ac:dyDescent="0.2"/>
    <row r="2283" customFormat="1" ht="35.1" customHeight="1" x14ac:dyDescent="0.2"/>
    <row r="2284" customFormat="1" ht="35.1" customHeight="1" x14ac:dyDescent="0.2"/>
    <row r="2285" customFormat="1" ht="35.1" customHeight="1" x14ac:dyDescent="0.2"/>
    <row r="2286" customFormat="1" ht="35.1" customHeight="1" x14ac:dyDescent="0.2"/>
    <row r="2287" customFormat="1" ht="35.1" customHeight="1" x14ac:dyDescent="0.2"/>
    <row r="2288" customFormat="1" ht="35.1" customHeight="1" x14ac:dyDescent="0.2"/>
    <row r="2289" customFormat="1" ht="35.1" customHeight="1" x14ac:dyDescent="0.2"/>
    <row r="2290" customFormat="1" ht="35.1" customHeight="1" x14ac:dyDescent="0.2"/>
    <row r="2291" customFormat="1" ht="35.1" customHeight="1" x14ac:dyDescent="0.2"/>
    <row r="2292" customFormat="1" ht="35.1" customHeight="1" x14ac:dyDescent="0.2"/>
    <row r="2293" customFormat="1" ht="35.1" customHeight="1" x14ac:dyDescent="0.2"/>
    <row r="2294" customFormat="1" ht="35.1" customHeight="1" x14ac:dyDescent="0.2"/>
    <row r="2295" customFormat="1" ht="35.1" customHeight="1" x14ac:dyDescent="0.2"/>
    <row r="2296" customFormat="1" ht="35.1" customHeight="1" x14ac:dyDescent="0.2"/>
    <row r="2297" customFormat="1" ht="35.1" customHeight="1" x14ac:dyDescent="0.2"/>
    <row r="2298" customFormat="1" ht="35.1" customHeight="1" x14ac:dyDescent="0.2"/>
    <row r="2299" customFormat="1" ht="35.1" customHeight="1" x14ac:dyDescent="0.2"/>
    <row r="2300" customFormat="1" ht="35.1" customHeight="1" x14ac:dyDescent="0.2"/>
    <row r="2301" customFormat="1" ht="35.1" customHeight="1" x14ac:dyDescent="0.2"/>
    <row r="2302" customFormat="1" ht="35.1" customHeight="1" x14ac:dyDescent="0.2"/>
    <row r="2303" customFormat="1" ht="35.1" customHeight="1" x14ac:dyDescent="0.2"/>
    <row r="2304" customFormat="1" ht="35.1" customHeight="1" x14ac:dyDescent="0.2"/>
    <row r="2305" customFormat="1" ht="35.1" customHeight="1" x14ac:dyDescent="0.2"/>
    <row r="2306" customFormat="1" ht="35.1" customHeight="1" x14ac:dyDescent="0.2"/>
    <row r="2307" customFormat="1" ht="35.1" customHeight="1" x14ac:dyDescent="0.2"/>
    <row r="2308" customFormat="1" ht="35.1" customHeight="1" x14ac:dyDescent="0.2"/>
    <row r="2309" customFormat="1" ht="35.1" customHeight="1" x14ac:dyDescent="0.2"/>
    <row r="2310" customFormat="1" ht="35.1" customHeight="1" x14ac:dyDescent="0.2"/>
    <row r="2311" customFormat="1" ht="35.1" customHeight="1" x14ac:dyDescent="0.2"/>
    <row r="2312" customFormat="1" ht="35.1" customHeight="1" x14ac:dyDescent="0.2"/>
    <row r="2313" customFormat="1" ht="35.1" customHeight="1" x14ac:dyDescent="0.2"/>
    <row r="2314" customFormat="1" ht="35.1" customHeight="1" x14ac:dyDescent="0.2"/>
    <row r="2315" customFormat="1" ht="35.1" customHeight="1" x14ac:dyDescent="0.2"/>
    <row r="2316" customFormat="1" ht="35.1" customHeight="1" x14ac:dyDescent="0.2"/>
    <row r="2317" customFormat="1" ht="35.1" customHeight="1" x14ac:dyDescent="0.2"/>
    <row r="2318" customFormat="1" ht="35.1" customHeight="1" x14ac:dyDescent="0.2"/>
    <row r="2319" customFormat="1" ht="35.1" customHeight="1" x14ac:dyDescent="0.2"/>
    <row r="2320" customFormat="1" ht="35.1" customHeight="1" x14ac:dyDescent="0.2"/>
    <row r="2321" customFormat="1" ht="35.1" customHeight="1" x14ac:dyDescent="0.2"/>
    <row r="2322" customFormat="1" ht="35.1" customHeight="1" x14ac:dyDescent="0.2"/>
    <row r="2323" customFormat="1" ht="35.1" customHeight="1" x14ac:dyDescent="0.2"/>
    <row r="2324" customFormat="1" ht="35.1" customHeight="1" x14ac:dyDescent="0.2"/>
    <row r="2325" customFormat="1" ht="35.1" customHeight="1" x14ac:dyDescent="0.2"/>
    <row r="2326" customFormat="1" ht="35.1" customHeight="1" x14ac:dyDescent="0.2"/>
    <row r="2327" customFormat="1" ht="35.1" customHeight="1" x14ac:dyDescent="0.2"/>
    <row r="2328" customFormat="1" ht="35.1" customHeight="1" x14ac:dyDescent="0.2"/>
    <row r="2329" customFormat="1" ht="35.1" customHeight="1" x14ac:dyDescent="0.2"/>
    <row r="2330" customFormat="1" ht="35.1" customHeight="1" x14ac:dyDescent="0.2"/>
    <row r="2331" customFormat="1" ht="35.1" customHeight="1" x14ac:dyDescent="0.2"/>
    <row r="2332" customFormat="1" ht="35.1" customHeight="1" x14ac:dyDescent="0.2"/>
    <row r="2333" customFormat="1" ht="35.1" customHeight="1" x14ac:dyDescent="0.2"/>
    <row r="2334" customFormat="1" ht="35.1" customHeight="1" x14ac:dyDescent="0.2"/>
    <row r="2335" customFormat="1" ht="35.1" customHeight="1" x14ac:dyDescent="0.2"/>
    <row r="2336" customFormat="1" ht="35.1" customHeight="1" x14ac:dyDescent="0.2"/>
    <row r="2337" customFormat="1" ht="35.1" customHeight="1" x14ac:dyDescent="0.2"/>
    <row r="2338" customFormat="1" ht="35.1" customHeight="1" x14ac:dyDescent="0.2"/>
    <row r="2339" customFormat="1" ht="35.1" customHeight="1" x14ac:dyDescent="0.2"/>
    <row r="2340" customFormat="1" ht="35.1" customHeight="1" x14ac:dyDescent="0.2"/>
    <row r="2341" customFormat="1" ht="35.1" customHeight="1" x14ac:dyDescent="0.2"/>
    <row r="2342" customFormat="1" ht="35.1" customHeight="1" x14ac:dyDescent="0.2"/>
    <row r="2343" customFormat="1" ht="35.1" customHeight="1" x14ac:dyDescent="0.2"/>
    <row r="2344" customFormat="1" ht="35.1" customHeight="1" x14ac:dyDescent="0.2"/>
    <row r="2345" customFormat="1" ht="35.1" customHeight="1" x14ac:dyDescent="0.2"/>
    <row r="2346" customFormat="1" ht="35.1" customHeight="1" x14ac:dyDescent="0.2"/>
    <row r="2347" customFormat="1" ht="35.1" customHeight="1" x14ac:dyDescent="0.2"/>
    <row r="2348" customFormat="1" ht="35.1" customHeight="1" x14ac:dyDescent="0.2"/>
    <row r="2349" customFormat="1" ht="35.1" customHeight="1" x14ac:dyDescent="0.2"/>
    <row r="2350" customFormat="1" ht="35.1" customHeight="1" x14ac:dyDescent="0.2"/>
    <row r="2351" customFormat="1" ht="35.1" customHeight="1" x14ac:dyDescent="0.2"/>
    <row r="2352" customFormat="1" ht="35.1" customHeight="1" x14ac:dyDescent="0.2"/>
    <row r="2353" customFormat="1" ht="35.1" customHeight="1" x14ac:dyDescent="0.2"/>
    <row r="2354" customFormat="1" ht="35.1" customHeight="1" x14ac:dyDescent="0.2"/>
    <row r="2355" customFormat="1" ht="35.1" customHeight="1" x14ac:dyDescent="0.2"/>
    <row r="2356" customFormat="1" ht="35.1" customHeight="1" x14ac:dyDescent="0.2"/>
    <row r="2357" customFormat="1" ht="35.1" customHeight="1" x14ac:dyDescent="0.2"/>
    <row r="2358" customFormat="1" ht="35.1" customHeight="1" x14ac:dyDescent="0.2"/>
    <row r="2359" customFormat="1" ht="35.1" customHeight="1" x14ac:dyDescent="0.2"/>
    <row r="2360" customFormat="1" ht="35.1" customHeight="1" x14ac:dyDescent="0.2"/>
    <row r="2361" customFormat="1" ht="35.1" customHeight="1" x14ac:dyDescent="0.2"/>
    <row r="2362" customFormat="1" ht="35.1" customHeight="1" x14ac:dyDescent="0.2"/>
    <row r="2363" customFormat="1" ht="35.1" customHeight="1" x14ac:dyDescent="0.2"/>
    <row r="2364" customFormat="1" ht="35.1" customHeight="1" x14ac:dyDescent="0.2"/>
    <row r="2365" customFormat="1" ht="35.1" customHeight="1" x14ac:dyDescent="0.2"/>
    <row r="2366" customFormat="1" ht="35.1" customHeight="1" x14ac:dyDescent="0.2"/>
    <row r="2367" customFormat="1" ht="35.1" customHeight="1" x14ac:dyDescent="0.2"/>
    <row r="2368" customFormat="1" ht="35.1" customHeight="1" x14ac:dyDescent="0.2"/>
    <row r="2369" customFormat="1" ht="35.1" customHeight="1" x14ac:dyDescent="0.2"/>
    <row r="2370" customFormat="1" ht="35.1" customHeight="1" x14ac:dyDescent="0.2"/>
    <row r="2371" customFormat="1" ht="35.1" customHeight="1" x14ac:dyDescent="0.2"/>
    <row r="2372" customFormat="1" ht="35.1" customHeight="1" x14ac:dyDescent="0.2"/>
    <row r="2373" customFormat="1" ht="35.1" customHeight="1" x14ac:dyDescent="0.2"/>
    <row r="2374" customFormat="1" ht="35.1" customHeight="1" x14ac:dyDescent="0.2"/>
    <row r="2375" customFormat="1" ht="35.1" customHeight="1" x14ac:dyDescent="0.2"/>
    <row r="2376" customFormat="1" ht="35.1" customHeight="1" x14ac:dyDescent="0.2"/>
    <row r="2377" customFormat="1" ht="35.1" customHeight="1" x14ac:dyDescent="0.2"/>
    <row r="2378" customFormat="1" ht="35.1" customHeight="1" x14ac:dyDescent="0.2"/>
    <row r="2379" customFormat="1" ht="35.1" customHeight="1" x14ac:dyDescent="0.2"/>
    <row r="2380" customFormat="1" ht="35.1" customHeight="1" x14ac:dyDescent="0.2"/>
    <row r="2381" customFormat="1" ht="35.1" customHeight="1" x14ac:dyDescent="0.2"/>
    <row r="2382" customFormat="1" ht="35.1" customHeight="1" x14ac:dyDescent="0.2"/>
    <row r="2383" customFormat="1" ht="35.1" customHeight="1" x14ac:dyDescent="0.2"/>
    <row r="2384" customFormat="1" ht="35.1" customHeight="1" x14ac:dyDescent="0.2"/>
    <row r="2385" customFormat="1" ht="35.1" customHeight="1" x14ac:dyDescent="0.2"/>
    <row r="2386" customFormat="1" ht="35.1" customHeight="1" x14ac:dyDescent="0.2"/>
    <row r="2387" customFormat="1" ht="35.1" customHeight="1" x14ac:dyDescent="0.2"/>
    <row r="2388" customFormat="1" ht="35.1" customHeight="1" x14ac:dyDescent="0.2"/>
    <row r="2389" customFormat="1" ht="35.1" customHeight="1" x14ac:dyDescent="0.2"/>
    <row r="2390" customFormat="1" ht="35.1" customHeight="1" x14ac:dyDescent="0.2"/>
    <row r="2391" customFormat="1" ht="35.1" customHeight="1" x14ac:dyDescent="0.2"/>
    <row r="2392" customFormat="1" ht="35.1" customHeight="1" x14ac:dyDescent="0.2"/>
    <row r="2393" customFormat="1" ht="35.1" customHeight="1" x14ac:dyDescent="0.2"/>
    <row r="2394" customFormat="1" ht="35.1" customHeight="1" x14ac:dyDescent="0.2"/>
    <row r="2395" customFormat="1" ht="35.1" customHeight="1" x14ac:dyDescent="0.2"/>
    <row r="2396" customFormat="1" ht="35.1" customHeight="1" x14ac:dyDescent="0.2"/>
    <row r="2397" customFormat="1" ht="35.1" customHeight="1" x14ac:dyDescent="0.2"/>
    <row r="2398" customFormat="1" ht="35.1" customHeight="1" x14ac:dyDescent="0.2"/>
    <row r="2399" customFormat="1" ht="35.1" customHeight="1" x14ac:dyDescent="0.2"/>
    <row r="2400" customFormat="1" ht="35.1" customHeight="1" x14ac:dyDescent="0.2"/>
    <row r="2401" customFormat="1" ht="35.1" customHeight="1" x14ac:dyDescent="0.2"/>
    <row r="2402" customFormat="1" ht="35.1" customHeight="1" x14ac:dyDescent="0.2"/>
    <row r="2403" customFormat="1" ht="35.1" customHeight="1" x14ac:dyDescent="0.2"/>
    <row r="2404" customFormat="1" ht="35.1" customHeight="1" x14ac:dyDescent="0.2"/>
    <row r="2405" customFormat="1" ht="35.1" customHeight="1" x14ac:dyDescent="0.2"/>
    <row r="2406" customFormat="1" ht="35.1" customHeight="1" x14ac:dyDescent="0.2"/>
    <row r="2407" customFormat="1" ht="35.1" customHeight="1" x14ac:dyDescent="0.2"/>
    <row r="2408" customFormat="1" ht="35.1" customHeight="1" x14ac:dyDescent="0.2"/>
    <row r="2409" customFormat="1" ht="35.1" customHeight="1" x14ac:dyDescent="0.2"/>
    <row r="2410" customFormat="1" ht="35.1" customHeight="1" x14ac:dyDescent="0.2"/>
    <row r="2411" customFormat="1" ht="35.1" customHeight="1" x14ac:dyDescent="0.2"/>
    <row r="2412" customFormat="1" ht="35.1" customHeight="1" x14ac:dyDescent="0.2"/>
    <row r="2413" customFormat="1" ht="35.1" customHeight="1" x14ac:dyDescent="0.2"/>
    <row r="2414" customFormat="1" ht="35.1" customHeight="1" x14ac:dyDescent="0.2"/>
    <row r="2415" customFormat="1" ht="35.1" customHeight="1" x14ac:dyDescent="0.2"/>
    <row r="2416" customFormat="1" ht="35.1" customHeight="1" x14ac:dyDescent="0.2"/>
    <row r="2417" customFormat="1" ht="35.1" customHeight="1" x14ac:dyDescent="0.2"/>
    <row r="2418" customFormat="1" ht="35.1" customHeight="1" x14ac:dyDescent="0.2"/>
    <row r="2419" customFormat="1" ht="35.1" customHeight="1" x14ac:dyDescent="0.2"/>
    <row r="2420" customFormat="1" ht="35.1" customHeight="1" x14ac:dyDescent="0.2"/>
    <row r="2421" customFormat="1" ht="35.1" customHeight="1" x14ac:dyDescent="0.2"/>
    <row r="2422" customFormat="1" ht="35.1" customHeight="1" x14ac:dyDescent="0.2"/>
    <row r="2423" customFormat="1" ht="35.1" customHeight="1" x14ac:dyDescent="0.2"/>
    <row r="2424" customFormat="1" ht="35.1" customHeight="1" x14ac:dyDescent="0.2"/>
    <row r="2425" customFormat="1" ht="35.1" customHeight="1" x14ac:dyDescent="0.2"/>
    <row r="2426" customFormat="1" ht="35.1" customHeight="1" x14ac:dyDescent="0.2"/>
    <row r="2427" customFormat="1" ht="35.1" customHeight="1" x14ac:dyDescent="0.2"/>
    <row r="2428" customFormat="1" ht="35.1" customHeight="1" x14ac:dyDescent="0.2"/>
    <row r="2429" customFormat="1" ht="35.1" customHeight="1" x14ac:dyDescent="0.2"/>
    <row r="2430" customFormat="1" ht="35.1" customHeight="1" x14ac:dyDescent="0.2"/>
    <row r="2431" customFormat="1" ht="35.1" customHeight="1" x14ac:dyDescent="0.2"/>
    <row r="2432" customFormat="1" ht="35.1" customHeight="1" x14ac:dyDescent="0.2"/>
    <row r="2433" customFormat="1" ht="35.1" customHeight="1" x14ac:dyDescent="0.2"/>
    <row r="2434" customFormat="1" ht="35.1" customHeight="1" x14ac:dyDescent="0.2"/>
    <row r="2435" customFormat="1" ht="35.1" customHeight="1" x14ac:dyDescent="0.2"/>
    <row r="2436" customFormat="1" ht="35.1" customHeight="1" x14ac:dyDescent="0.2"/>
    <row r="2437" customFormat="1" ht="35.1" customHeight="1" x14ac:dyDescent="0.2"/>
    <row r="2438" customFormat="1" ht="35.1" customHeight="1" x14ac:dyDescent="0.2"/>
    <row r="2439" customFormat="1" ht="35.1" customHeight="1" x14ac:dyDescent="0.2"/>
    <row r="2440" customFormat="1" ht="35.1" customHeight="1" x14ac:dyDescent="0.2"/>
    <row r="2441" customFormat="1" ht="35.1" customHeight="1" x14ac:dyDescent="0.2"/>
    <row r="2442" customFormat="1" ht="35.1" customHeight="1" x14ac:dyDescent="0.2"/>
    <row r="2443" customFormat="1" ht="35.1" customHeight="1" x14ac:dyDescent="0.2"/>
    <row r="2444" customFormat="1" ht="35.1" customHeight="1" x14ac:dyDescent="0.2"/>
    <row r="2445" customFormat="1" ht="35.1" customHeight="1" x14ac:dyDescent="0.2"/>
    <row r="2446" customFormat="1" ht="35.1" customHeight="1" x14ac:dyDescent="0.2"/>
    <row r="2447" customFormat="1" ht="35.1" customHeight="1" x14ac:dyDescent="0.2"/>
    <row r="2448" customFormat="1" ht="35.1" customHeight="1" x14ac:dyDescent="0.2"/>
    <row r="2449" customFormat="1" ht="35.1" customHeight="1" x14ac:dyDescent="0.2"/>
    <row r="2450" customFormat="1" ht="35.1" customHeight="1" x14ac:dyDescent="0.2"/>
    <row r="2451" customFormat="1" ht="35.1" customHeight="1" x14ac:dyDescent="0.2"/>
    <row r="2452" customFormat="1" ht="35.1" customHeight="1" x14ac:dyDescent="0.2"/>
    <row r="2453" customFormat="1" ht="35.1" customHeight="1" x14ac:dyDescent="0.2"/>
    <row r="2454" customFormat="1" ht="35.1" customHeight="1" x14ac:dyDescent="0.2"/>
    <row r="2455" customFormat="1" ht="35.1" customHeight="1" x14ac:dyDescent="0.2"/>
    <row r="2456" customFormat="1" ht="35.1" customHeight="1" x14ac:dyDescent="0.2"/>
    <row r="2457" customFormat="1" ht="35.1" customHeight="1" x14ac:dyDescent="0.2"/>
    <row r="2458" customFormat="1" ht="35.1" customHeight="1" x14ac:dyDescent="0.2"/>
    <row r="2459" customFormat="1" ht="35.1" customHeight="1" x14ac:dyDescent="0.2"/>
    <row r="2460" customFormat="1" ht="35.1" customHeight="1" x14ac:dyDescent="0.2"/>
    <row r="2461" customFormat="1" ht="35.1" customHeight="1" x14ac:dyDescent="0.2"/>
    <row r="2462" customFormat="1" ht="35.1" customHeight="1" x14ac:dyDescent="0.2"/>
    <row r="2463" customFormat="1" ht="35.1" customHeight="1" x14ac:dyDescent="0.2"/>
    <row r="2464" customFormat="1" ht="35.1" customHeight="1" x14ac:dyDescent="0.2"/>
    <row r="2465" customFormat="1" ht="35.1" customHeight="1" x14ac:dyDescent="0.2"/>
    <row r="2466" customFormat="1" ht="35.1" customHeight="1" x14ac:dyDescent="0.2"/>
    <row r="2467" customFormat="1" ht="35.1" customHeight="1" x14ac:dyDescent="0.2"/>
    <row r="2468" customFormat="1" ht="35.1" customHeight="1" x14ac:dyDescent="0.2"/>
    <row r="2469" customFormat="1" ht="35.1" customHeight="1" x14ac:dyDescent="0.2"/>
    <row r="2470" customFormat="1" ht="35.1" customHeight="1" x14ac:dyDescent="0.2"/>
    <row r="2471" customFormat="1" ht="35.1" customHeight="1" x14ac:dyDescent="0.2"/>
    <row r="2472" customFormat="1" ht="35.1" customHeight="1" x14ac:dyDescent="0.2"/>
    <row r="2473" customFormat="1" ht="35.1" customHeight="1" x14ac:dyDescent="0.2"/>
    <row r="2474" customFormat="1" ht="35.1" customHeight="1" x14ac:dyDescent="0.2"/>
    <row r="2475" customFormat="1" ht="35.1" customHeight="1" x14ac:dyDescent="0.2"/>
    <row r="2476" customFormat="1" ht="35.1" customHeight="1" x14ac:dyDescent="0.2"/>
    <row r="2477" customFormat="1" ht="35.1" customHeight="1" x14ac:dyDescent="0.2"/>
    <row r="2478" customFormat="1" ht="35.1" customHeight="1" x14ac:dyDescent="0.2"/>
    <row r="2479" customFormat="1" ht="35.1" customHeight="1" x14ac:dyDescent="0.2"/>
    <row r="2480" customFormat="1" ht="35.1" customHeight="1" x14ac:dyDescent="0.2"/>
    <row r="2481" customFormat="1" ht="35.1" customHeight="1" x14ac:dyDescent="0.2"/>
    <row r="2482" customFormat="1" ht="35.1" customHeight="1" x14ac:dyDescent="0.2"/>
    <row r="2483" customFormat="1" ht="35.1" customHeight="1" x14ac:dyDescent="0.2"/>
    <row r="2484" customFormat="1" ht="35.1" customHeight="1" x14ac:dyDescent="0.2"/>
    <row r="2485" customFormat="1" ht="35.1" customHeight="1" x14ac:dyDescent="0.2"/>
    <row r="2486" customFormat="1" ht="35.1" customHeight="1" x14ac:dyDescent="0.2"/>
    <row r="2487" customFormat="1" ht="35.1" customHeight="1" x14ac:dyDescent="0.2"/>
    <row r="2488" customFormat="1" ht="35.1" customHeight="1" x14ac:dyDescent="0.2"/>
    <row r="2489" customFormat="1" ht="35.1" customHeight="1" x14ac:dyDescent="0.2"/>
    <row r="2490" customFormat="1" ht="35.1" customHeight="1" x14ac:dyDescent="0.2"/>
    <row r="2491" customFormat="1" ht="35.1" customHeight="1" x14ac:dyDescent="0.2"/>
    <row r="2492" customFormat="1" ht="35.1" customHeight="1" x14ac:dyDescent="0.2"/>
    <row r="2493" customFormat="1" ht="35.1" customHeight="1" x14ac:dyDescent="0.2"/>
    <row r="2494" customFormat="1" ht="35.1" customHeight="1" x14ac:dyDescent="0.2"/>
    <row r="2495" customFormat="1" ht="35.1" customHeight="1" x14ac:dyDescent="0.2"/>
    <row r="2496" customFormat="1" ht="35.1" customHeight="1" x14ac:dyDescent="0.2"/>
    <row r="2497" customFormat="1" ht="35.1" customHeight="1" x14ac:dyDescent="0.2"/>
    <row r="2498" customFormat="1" ht="35.1" customHeight="1" x14ac:dyDescent="0.2"/>
    <row r="2499" customFormat="1" ht="35.1" customHeight="1" x14ac:dyDescent="0.2"/>
    <row r="2500" customFormat="1" ht="35.1" customHeight="1" x14ac:dyDescent="0.2"/>
    <row r="2501" customFormat="1" ht="35.1" customHeight="1" x14ac:dyDescent="0.2"/>
    <row r="2502" customFormat="1" ht="35.1" customHeight="1" x14ac:dyDescent="0.2"/>
    <row r="2503" customFormat="1" ht="35.1" customHeight="1" x14ac:dyDescent="0.2"/>
    <row r="2504" customFormat="1" ht="35.1" customHeight="1" x14ac:dyDescent="0.2"/>
    <row r="2505" customFormat="1" ht="35.1" customHeight="1" x14ac:dyDescent="0.2"/>
    <row r="2506" customFormat="1" ht="35.1" customHeight="1" x14ac:dyDescent="0.2"/>
    <row r="2507" customFormat="1" ht="35.1" customHeight="1" x14ac:dyDescent="0.2"/>
    <row r="2508" customFormat="1" ht="35.1" customHeight="1" x14ac:dyDescent="0.2"/>
    <row r="2509" customFormat="1" ht="35.1" customHeight="1" x14ac:dyDescent="0.2"/>
    <row r="2510" customFormat="1" ht="35.1" customHeight="1" x14ac:dyDescent="0.2"/>
    <row r="2511" customFormat="1" ht="35.1" customHeight="1" x14ac:dyDescent="0.2"/>
    <row r="2512" customFormat="1" ht="35.1" customHeight="1" x14ac:dyDescent="0.2"/>
    <row r="2513" customFormat="1" ht="35.1" customHeight="1" x14ac:dyDescent="0.2"/>
    <row r="2514" customFormat="1" ht="35.1" customHeight="1" x14ac:dyDescent="0.2"/>
    <row r="2515" customFormat="1" ht="35.1" customHeight="1" x14ac:dyDescent="0.2"/>
    <row r="2516" customFormat="1" ht="35.1" customHeight="1" x14ac:dyDescent="0.2"/>
    <row r="2517" customFormat="1" ht="35.1" customHeight="1" x14ac:dyDescent="0.2"/>
    <row r="2518" customFormat="1" ht="35.1" customHeight="1" x14ac:dyDescent="0.2"/>
    <row r="2519" customFormat="1" ht="35.1" customHeight="1" x14ac:dyDescent="0.2"/>
    <row r="2520" customFormat="1" ht="35.1" customHeight="1" x14ac:dyDescent="0.2"/>
    <row r="2521" customFormat="1" ht="35.1" customHeight="1" x14ac:dyDescent="0.2"/>
    <row r="2522" customFormat="1" ht="35.1" customHeight="1" x14ac:dyDescent="0.2"/>
    <row r="2523" customFormat="1" ht="35.1" customHeight="1" x14ac:dyDescent="0.2"/>
    <row r="2524" customFormat="1" ht="35.1" customHeight="1" x14ac:dyDescent="0.2"/>
    <row r="2525" customFormat="1" ht="35.1" customHeight="1" x14ac:dyDescent="0.2"/>
    <row r="2526" customFormat="1" ht="35.1" customHeight="1" x14ac:dyDescent="0.2"/>
    <row r="2527" customFormat="1" ht="35.1" customHeight="1" x14ac:dyDescent="0.2"/>
    <row r="2528" customFormat="1" ht="35.1" customHeight="1" x14ac:dyDescent="0.2"/>
    <row r="2529" customFormat="1" ht="35.1" customHeight="1" x14ac:dyDescent="0.2"/>
    <row r="2530" customFormat="1" ht="35.1" customHeight="1" x14ac:dyDescent="0.2"/>
    <row r="2531" customFormat="1" ht="35.1" customHeight="1" x14ac:dyDescent="0.2"/>
    <row r="2532" customFormat="1" ht="35.1" customHeight="1" x14ac:dyDescent="0.2"/>
    <row r="2533" customFormat="1" ht="35.1" customHeight="1" x14ac:dyDescent="0.2"/>
    <row r="2534" customFormat="1" ht="35.1" customHeight="1" x14ac:dyDescent="0.2"/>
    <row r="2535" customFormat="1" ht="35.1" customHeight="1" x14ac:dyDescent="0.2"/>
    <row r="2536" customFormat="1" ht="35.1" customHeight="1" x14ac:dyDescent="0.2"/>
    <row r="2537" customFormat="1" ht="35.1" customHeight="1" x14ac:dyDescent="0.2"/>
    <row r="2538" customFormat="1" ht="35.1" customHeight="1" x14ac:dyDescent="0.2"/>
    <row r="2539" customFormat="1" ht="35.1" customHeight="1" x14ac:dyDescent="0.2"/>
    <row r="2540" customFormat="1" ht="35.1" customHeight="1" x14ac:dyDescent="0.2"/>
    <row r="2541" customFormat="1" ht="35.1" customHeight="1" x14ac:dyDescent="0.2"/>
    <row r="2542" customFormat="1" ht="35.1" customHeight="1" x14ac:dyDescent="0.2"/>
    <row r="2543" customFormat="1" ht="35.1" customHeight="1" x14ac:dyDescent="0.2"/>
    <row r="2544" customFormat="1" ht="35.1" customHeight="1" x14ac:dyDescent="0.2"/>
    <row r="2545" customFormat="1" ht="35.1" customHeight="1" x14ac:dyDescent="0.2"/>
    <row r="2546" customFormat="1" ht="35.1" customHeight="1" x14ac:dyDescent="0.2"/>
    <row r="2547" customFormat="1" ht="35.1" customHeight="1" x14ac:dyDescent="0.2"/>
    <row r="2548" customFormat="1" ht="35.1" customHeight="1" x14ac:dyDescent="0.2"/>
    <row r="2549" customFormat="1" ht="35.1" customHeight="1" x14ac:dyDescent="0.2"/>
    <row r="2550" customFormat="1" ht="35.1" customHeight="1" x14ac:dyDescent="0.2"/>
    <row r="2551" customFormat="1" ht="35.1" customHeight="1" x14ac:dyDescent="0.2"/>
    <row r="2552" customFormat="1" ht="35.1" customHeight="1" x14ac:dyDescent="0.2"/>
    <row r="2553" customFormat="1" ht="35.1" customHeight="1" x14ac:dyDescent="0.2"/>
    <row r="2554" customFormat="1" ht="35.1" customHeight="1" x14ac:dyDescent="0.2"/>
    <row r="2555" customFormat="1" ht="35.1" customHeight="1" x14ac:dyDescent="0.2"/>
    <row r="2556" customFormat="1" ht="35.1" customHeight="1" x14ac:dyDescent="0.2"/>
    <row r="2557" customFormat="1" ht="35.1" customHeight="1" x14ac:dyDescent="0.2"/>
    <row r="2558" customFormat="1" ht="35.1" customHeight="1" x14ac:dyDescent="0.2"/>
    <row r="2559" customFormat="1" ht="35.1" customHeight="1" x14ac:dyDescent="0.2"/>
    <row r="2560" customFormat="1" ht="35.1" customHeight="1" x14ac:dyDescent="0.2"/>
    <row r="2561" customFormat="1" ht="35.1" customHeight="1" x14ac:dyDescent="0.2"/>
    <row r="2562" customFormat="1" ht="35.1" customHeight="1" x14ac:dyDescent="0.2"/>
    <row r="2563" customFormat="1" ht="35.1" customHeight="1" x14ac:dyDescent="0.2"/>
    <row r="2564" customFormat="1" ht="35.1" customHeight="1" x14ac:dyDescent="0.2"/>
    <row r="2565" customFormat="1" ht="35.1" customHeight="1" x14ac:dyDescent="0.2"/>
    <row r="2566" customFormat="1" ht="35.1" customHeight="1" x14ac:dyDescent="0.2"/>
    <row r="2567" customFormat="1" ht="35.1" customHeight="1" x14ac:dyDescent="0.2"/>
    <row r="2568" customFormat="1" ht="35.1" customHeight="1" x14ac:dyDescent="0.2"/>
    <row r="2569" customFormat="1" ht="35.1" customHeight="1" x14ac:dyDescent="0.2"/>
    <row r="2570" customFormat="1" ht="35.1" customHeight="1" x14ac:dyDescent="0.2"/>
    <row r="2571" customFormat="1" ht="35.1" customHeight="1" x14ac:dyDescent="0.2"/>
    <row r="2572" customFormat="1" ht="35.1" customHeight="1" x14ac:dyDescent="0.2"/>
    <row r="2573" customFormat="1" ht="35.1" customHeight="1" x14ac:dyDescent="0.2"/>
    <row r="2574" customFormat="1" ht="35.1" customHeight="1" x14ac:dyDescent="0.2"/>
    <row r="2575" customFormat="1" ht="35.1" customHeight="1" x14ac:dyDescent="0.2"/>
    <row r="2576" customFormat="1" ht="35.1" customHeight="1" x14ac:dyDescent="0.2"/>
    <row r="2577" customFormat="1" ht="35.1" customHeight="1" x14ac:dyDescent="0.2"/>
    <row r="2578" customFormat="1" ht="35.1" customHeight="1" x14ac:dyDescent="0.2"/>
    <row r="2579" customFormat="1" ht="35.1" customHeight="1" x14ac:dyDescent="0.2"/>
    <row r="2580" customFormat="1" ht="35.1" customHeight="1" x14ac:dyDescent="0.2"/>
    <row r="2581" customFormat="1" ht="35.1" customHeight="1" x14ac:dyDescent="0.2"/>
    <row r="2582" customFormat="1" ht="35.1" customHeight="1" x14ac:dyDescent="0.2"/>
    <row r="2583" customFormat="1" ht="35.1" customHeight="1" x14ac:dyDescent="0.2"/>
    <row r="2584" customFormat="1" ht="35.1" customHeight="1" x14ac:dyDescent="0.2"/>
    <row r="2585" customFormat="1" ht="35.1" customHeight="1" x14ac:dyDescent="0.2"/>
    <row r="2586" customFormat="1" ht="35.1" customHeight="1" x14ac:dyDescent="0.2"/>
    <row r="2587" customFormat="1" ht="35.1" customHeight="1" x14ac:dyDescent="0.2"/>
    <row r="2588" customFormat="1" ht="35.1" customHeight="1" x14ac:dyDescent="0.2"/>
    <row r="2589" customFormat="1" ht="35.1" customHeight="1" x14ac:dyDescent="0.2"/>
    <row r="2590" customFormat="1" ht="35.1" customHeight="1" x14ac:dyDescent="0.2"/>
    <row r="2591" customFormat="1" ht="35.1" customHeight="1" x14ac:dyDescent="0.2"/>
    <row r="2592" customFormat="1" ht="35.1" customHeight="1" x14ac:dyDescent="0.2"/>
    <row r="2593" customFormat="1" ht="35.1" customHeight="1" x14ac:dyDescent="0.2"/>
    <row r="2594" customFormat="1" ht="35.1" customHeight="1" x14ac:dyDescent="0.2"/>
    <row r="2595" customFormat="1" ht="35.1" customHeight="1" x14ac:dyDescent="0.2"/>
    <row r="2596" customFormat="1" ht="35.1" customHeight="1" x14ac:dyDescent="0.2"/>
    <row r="2597" customFormat="1" ht="35.1" customHeight="1" x14ac:dyDescent="0.2"/>
    <row r="2598" customFormat="1" ht="35.1" customHeight="1" x14ac:dyDescent="0.2"/>
    <row r="2599" customFormat="1" ht="35.1" customHeight="1" x14ac:dyDescent="0.2"/>
    <row r="2600" customFormat="1" ht="35.1" customHeight="1" x14ac:dyDescent="0.2"/>
    <row r="2601" customFormat="1" ht="35.1" customHeight="1" x14ac:dyDescent="0.2"/>
    <row r="2602" customFormat="1" ht="35.1" customHeight="1" x14ac:dyDescent="0.2"/>
    <row r="2603" customFormat="1" ht="35.1" customHeight="1" x14ac:dyDescent="0.2"/>
    <row r="2604" customFormat="1" ht="35.1" customHeight="1" x14ac:dyDescent="0.2"/>
    <row r="2605" customFormat="1" ht="35.1" customHeight="1" x14ac:dyDescent="0.2"/>
    <row r="2606" customFormat="1" ht="35.1" customHeight="1" x14ac:dyDescent="0.2"/>
    <row r="2607" customFormat="1" ht="35.1" customHeight="1" x14ac:dyDescent="0.2"/>
    <row r="2608" customFormat="1" ht="35.1" customHeight="1" x14ac:dyDescent="0.2"/>
    <row r="2609" customFormat="1" ht="35.1" customHeight="1" x14ac:dyDescent="0.2"/>
    <row r="2610" customFormat="1" ht="35.1" customHeight="1" x14ac:dyDescent="0.2"/>
    <row r="2611" customFormat="1" ht="35.1" customHeight="1" x14ac:dyDescent="0.2"/>
    <row r="2612" customFormat="1" ht="35.1" customHeight="1" x14ac:dyDescent="0.2"/>
    <row r="2613" customFormat="1" ht="35.1" customHeight="1" x14ac:dyDescent="0.2"/>
    <row r="2614" customFormat="1" ht="35.1" customHeight="1" x14ac:dyDescent="0.2"/>
    <row r="2615" customFormat="1" ht="35.1" customHeight="1" x14ac:dyDescent="0.2"/>
    <row r="2616" customFormat="1" ht="35.1" customHeight="1" x14ac:dyDescent="0.2"/>
    <row r="2617" customFormat="1" ht="35.1" customHeight="1" x14ac:dyDescent="0.2"/>
    <row r="2618" customFormat="1" ht="35.1" customHeight="1" x14ac:dyDescent="0.2"/>
    <row r="2619" customFormat="1" ht="35.1" customHeight="1" x14ac:dyDescent="0.2"/>
    <row r="2620" customFormat="1" ht="35.1" customHeight="1" x14ac:dyDescent="0.2"/>
    <row r="2621" customFormat="1" ht="35.1" customHeight="1" x14ac:dyDescent="0.2"/>
    <row r="2622" customFormat="1" ht="35.1" customHeight="1" x14ac:dyDescent="0.2"/>
    <row r="2623" customFormat="1" ht="35.1" customHeight="1" x14ac:dyDescent="0.2"/>
    <row r="2624" customFormat="1" ht="35.1" customHeight="1" x14ac:dyDescent="0.2"/>
    <row r="2625" customFormat="1" ht="35.1" customHeight="1" x14ac:dyDescent="0.2"/>
    <row r="2626" customFormat="1" ht="35.1" customHeight="1" x14ac:dyDescent="0.2"/>
    <row r="2627" customFormat="1" ht="35.1" customHeight="1" x14ac:dyDescent="0.2"/>
    <row r="2628" customFormat="1" ht="35.1" customHeight="1" x14ac:dyDescent="0.2"/>
    <row r="2629" customFormat="1" ht="35.1" customHeight="1" x14ac:dyDescent="0.2"/>
    <row r="2630" customFormat="1" ht="35.1" customHeight="1" x14ac:dyDescent="0.2"/>
    <row r="2631" customFormat="1" ht="35.1" customHeight="1" x14ac:dyDescent="0.2"/>
    <row r="2632" customFormat="1" ht="35.1" customHeight="1" x14ac:dyDescent="0.2"/>
    <row r="2633" customFormat="1" ht="35.1" customHeight="1" x14ac:dyDescent="0.2"/>
    <row r="2634" customFormat="1" ht="35.1" customHeight="1" x14ac:dyDescent="0.2"/>
    <row r="2635" customFormat="1" ht="35.1" customHeight="1" x14ac:dyDescent="0.2"/>
    <row r="2636" customFormat="1" ht="35.1" customHeight="1" x14ac:dyDescent="0.2"/>
    <row r="2637" customFormat="1" ht="35.1" customHeight="1" x14ac:dyDescent="0.2"/>
    <row r="2638" customFormat="1" ht="35.1" customHeight="1" x14ac:dyDescent="0.2"/>
    <row r="2639" customFormat="1" ht="35.1" customHeight="1" x14ac:dyDescent="0.2"/>
    <row r="2640" customFormat="1" ht="35.1" customHeight="1" x14ac:dyDescent="0.2"/>
    <row r="2641" customFormat="1" ht="35.1" customHeight="1" x14ac:dyDescent="0.2"/>
    <row r="2642" customFormat="1" ht="35.1" customHeight="1" x14ac:dyDescent="0.2"/>
    <row r="2643" customFormat="1" ht="35.1" customHeight="1" x14ac:dyDescent="0.2"/>
    <row r="2644" customFormat="1" ht="35.1" customHeight="1" x14ac:dyDescent="0.2"/>
    <row r="2645" customFormat="1" ht="35.1" customHeight="1" x14ac:dyDescent="0.2"/>
    <row r="2646" customFormat="1" ht="35.1" customHeight="1" x14ac:dyDescent="0.2"/>
    <row r="2647" customFormat="1" ht="35.1" customHeight="1" x14ac:dyDescent="0.2"/>
    <row r="2648" customFormat="1" ht="35.1" customHeight="1" x14ac:dyDescent="0.2"/>
    <row r="2649" customFormat="1" ht="35.1" customHeight="1" x14ac:dyDescent="0.2"/>
    <row r="2650" customFormat="1" ht="35.1" customHeight="1" x14ac:dyDescent="0.2"/>
    <row r="2651" customFormat="1" ht="35.1" customHeight="1" x14ac:dyDescent="0.2"/>
    <row r="2652" customFormat="1" ht="35.1" customHeight="1" x14ac:dyDescent="0.2"/>
    <row r="2653" customFormat="1" ht="35.1" customHeight="1" x14ac:dyDescent="0.2"/>
    <row r="2654" customFormat="1" ht="35.1" customHeight="1" x14ac:dyDescent="0.2"/>
    <row r="2655" customFormat="1" ht="35.1" customHeight="1" x14ac:dyDescent="0.2"/>
    <row r="2656" customFormat="1" ht="35.1" customHeight="1" x14ac:dyDescent="0.2"/>
    <row r="2657" customFormat="1" ht="35.1" customHeight="1" x14ac:dyDescent="0.2"/>
    <row r="2658" customFormat="1" ht="35.1" customHeight="1" x14ac:dyDescent="0.2"/>
    <row r="2659" customFormat="1" ht="35.1" customHeight="1" x14ac:dyDescent="0.2"/>
    <row r="2660" customFormat="1" ht="35.1" customHeight="1" x14ac:dyDescent="0.2"/>
    <row r="2661" customFormat="1" ht="35.1" customHeight="1" x14ac:dyDescent="0.2"/>
    <row r="2662" customFormat="1" ht="35.1" customHeight="1" x14ac:dyDescent="0.2"/>
    <row r="2663" customFormat="1" ht="35.1" customHeight="1" x14ac:dyDescent="0.2"/>
    <row r="2664" customFormat="1" ht="35.1" customHeight="1" x14ac:dyDescent="0.2"/>
    <row r="2665" customFormat="1" ht="35.1" customHeight="1" x14ac:dyDescent="0.2"/>
    <row r="2666" customFormat="1" ht="35.1" customHeight="1" x14ac:dyDescent="0.2"/>
    <row r="2667" customFormat="1" ht="35.1" customHeight="1" x14ac:dyDescent="0.2"/>
    <row r="2668" customFormat="1" ht="35.1" customHeight="1" x14ac:dyDescent="0.2"/>
    <row r="2669" customFormat="1" ht="35.1" customHeight="1" x14ac:dyDescent="0.2"/>
    <row r="2670" customFormat="1" ht="35.1" customHeight="1" x14ac:dyDescent="0.2"/>
    <row r="2671" customFormat="1" ht="35.1" customHeight="1" x14ac:dyDescent="0.2"/>
    <row r="2672" customFormat="1" ht="35.1" customHeight="1" x14ac:dyDescent="0.2"/>
    <row r="2673" customFormat="1" ht="35.1" customHeight="1" x14ac:dyDescent="0.2"/>
    <row r="2674" customFormat="1" ht="35.1" customHeight="1" x14ac:dyDescent="0.2"/>
    <row r="2675" customFormat="1" ht="35.1" customHeight="1" x14ac:dyDescent="0.2"/>
    <row r="2676" customFormat="1" ht="35.1" customHeight="1" x14ac:dyDescent="0.2"/>
    <row r="2677" customFormat="1" ht="35.1" customHeight="1" x14ac:dyDescent="0.2"/>
    <row r="2678" customFormat="1" ht="35.1" customHeight="1" x14ac:dyDescent="0.2"/>
    <row r="2679" customFormat="1" ht="35.1" customHeight="1" x14ac:dyDescent="0.2"/>
    <row r="2680" customFormat="1" ht="35.1" customHeight="1" x14ac:dyDescent="0.2"/>
    <row r="2681" customFormat="1" ht="35.1" customHeight="1" x14ac:dyDescent="0.2"/>
    <row r="2682" customFormat="1" ht="35.1" customHeight="1" x14ac:dyDescent="0.2"/>
    <row r="2683" customFormat="1" ht="35.1" customHeight="1" x14ac:dyDescent="0.2"/>
    <row r="2684" customFormat="1" ht="35.1" customHeight="1" x14ac:dyDescent="0.2"/>
    <row r="2685" customFormat="1" ht="35.1" customHeight="1" x14ac:dyDescent="0.2"/>
    <row r="2686" customFormat="1" ht="35.1" customHeight="1" x14ac:dyDescent="0.2"/>
    <row r="2687" customFormat="1" ht="35.1" customHeight="1" x14ac:dyDescent="0.2"/>
    <row r="2688" customFormat="1" ht="35.1" customHeight="1" x14ac:dyDescent="0.2"/>
    <row r="2689" customFormat="1" ht="35.1" customHeight="1" x14ac:dyDescent="0.2"/>
    <row r="2690" customFormat="1" ht="35.1" customHeight="1" x14ac:dyDescent="0.2"/>
    <row r="2691" customFormat="1" ht="35.1" customHeight="1" x14ac:dyDescent="0.2"/>
    <row r="2692" customFormat="1" ht="35.1" customHeight="1" x14ac:dyDescent="0.2"/>
    <row r="2693" customFormat="1" ht="35.1" customHeight="1" x14ac:dyDescent="0.2"/>
    <row r="2694" customFormat="1" ht="35.1" customHeight="1" x14ac:dyDescent="0.2"/>
    <row r="2695" customFormat="1" ht="35.1" customHeight="1" x14ac:dyDescent="0.2"/>
    <row r="2696" customFormat="1" ht="35.1" customHeight="1" x14ac:dyDescent="0.2"/>
    <row r="2697" customFormat="1" ht="35.1" customHeight="1" x14ac:dyDescent="0.2"/>
    <row r="2698" customFormat="1" ht="35.1" customHeight="1" x14ac:dyDescent="0.2"/>
    <row r="2699" customFormat="1" ht="35.1" customHeight="1" x14ac:dyDescent="0.2"/>
    <row r="2700" customFormat="1" ht="35.1" customHeight="1" x14ac:dyDescent="0.2"/>
    <row r="2701" customFormat="1" ht="35.1" customHeight="1" x14ac:dyDescent="0.2"/>
    <row r="2702" customFormat="1" ht="35.1" customHeight="1" x14ac:dyDescent="0.2"/>
    <row r="2703" customFormat="1" ht="35.1" customHeight="1" x14ac:dyDescent="0.2"/>
    <row r="2704" customFormat="1" ht="35.1" customHeight="1" x14ac:dyDescent="0.2"/>
    <row r="2705" customFormat="1" ht="35.1" customHeight="1" x14ac:dyDescent="0.2"/>
    <row r="2706" customFormat="1" ht="35.1" customHeight="1" x14ac:dyDescent="0.2"/>
    <row r="2707" customFormat="1" ht="35.1" customHeight="1" x14ac:dyDescent="0.2"/>
    <row r="2708" customFormat="1" ht="35.1" customHeight="1" x14ac:dyDescent="0.2"/>
    <row r="2709" customFormat="1" ht="35.1" customHeight="1" x14ac:dyDescent="0.2"/>
    <row r="2710" customFormat="1" ht="35.1" customHeight="1" x14ac:dyDescent="0.2"/>
    <row r="2711" customFormat="1" ht="35.1" customHeight="1" x14ac:dyDescent="0.2"/>
    <row r="2712" customFormat="1" ht="35.1" customHeight="1" x14ac:dyDescent="0.2"/>
    <row r="2713" customFormat="1" ht="35.1" customHeight="1" x14ac:dyDescent="0.2"/>
    <row r="2714" customFormat="1" ht="35.1" customHeight="1" x14ac:dyDescent="0.2"/>
    <row r="2715" customFormat="1" ht="35.1" customHeight="1" x14ac:dyDescent="0.2"/>
    <row r="2716" customFormat="1" ht="35.1" customHeight="1" x14ac:dyDescent="0.2"/>
    <row r="2717" customFormat="1" ht="35.1" customHeight="1" x14ac:dyDescent="0.2"/>
    <row r="2718" customFormat="1" ht="35.1" customHeight="1" x14ac:dyDescent="0.2"/>
    <row r="2719" customFormat="1" ht="35.1" customHeight="1" x14ac:dyDescent="0.2"/>
    <row r="2720" customFormat="1" ht="35.1" customHeight="1" x14ac:dyDescent="0.2"/>
    <row r="2721" customFormat="1" ht="35.1" customHeight="1" x14ac:dyDescent="0.2"/>
    <row r="2722" customFormat="1" ht="35.1" customHeight="1" x14ac:dyDescent="0.2"/>
    <row r="2723" customFormat="1" ht="35.1" customHeight="1" x14ac:dyDescent="0.2"/>
    <row r="2724" customFormat="1" ht="35.1" customHeight="1" x14ac:dyDescent="0.2"/>
    <row r="2725" customFormat="1" ht="35.1" customHeight="1" x14ac:dyDescent="0.2"/>
    <row r="2726" customFormat="1" ht="35.1" customHeight="1" x14ac:dyDescent="0.2"/>
    <row r="2727" customFormat="1" ht="35.1" customHeight="1" x14ac:dyDescent="0.2"/>
    <row r="2728" customFormat="1" ht="35.1" customHeight="1" x14ac:dyDescent="0.2"/>
    <row r="2729" customFormat="1" ht="35.1" customHeight="1" x14ac:dyDescent="0.2"/>
    <row r="2730" customFormat="1" ht="35.1" customHeight="1" x14ac:dyDescent="0.2"/>
    <row r="2731" customFormat="1" ht="35.1" customHeight="1" x14ac:dyDescent="0.2"/>
    <row r="2732" customFormat="1" ht="35.1" customHeight="1" x14ac:dyDescent="0.2"/>
    <row r="2733" customFormat="1" ht="35.1" customHeight="1" x14ac:dyDescent="0.2"/>
    <row r="2734" customFormat="1" ht="35.1" customHeight="1" x14ac:dyDescent="0.2"/>
    <row r="2735" customFormat="1" ht="35.1" customHeight="1" x14ac:dyDescent="0.2"/>
    <row r="2736" customFormat="1" ht="35.1" customHeight="1" x14ac:dyDescent="0.2"/>
    <row r="2737" customFormat="1" ht="35.1" customHeight="1" x14ac:dyDescent="0.2"/>
    <row r="2738" customFormat="1" ht="35.1" customHeight="1" x14ac:dyDescent="0.2"/>
    <row r="2739" customFormat="1" ht="35.1" customHeight="1" x14ac:dyDescent="0.2"/>
    <row r="2740" customFormat="1" ht="35.1" customHeight="1" x14ac:dyDescent="0.2"/>
    <row r="2741" customFormat="1" ht="35.1" customHeight="1" x14ac:dyDescent="0.2"/>
    <row r="2742" customFormat="1" ht="35.1" customHeight="1" x14ac:dyDescent="0.2"/>
    <row r="2743" customFormat="1" ht="35.1" customHeight="1" x14ac:dyDescent="0.2"/>
    <row r="2744" customFormat="1" ht="35.1" customHeight="1" x14ac:dyDescent="0.2"/>
    <row r="2745" customFormat="1" ht="35.1" customHeight="1" x14ac:dyDescent="0.2"/>
    <row r="2746" customFormat="1" ht="35.1" customHeight="1" x14ac:dyDescent="0.2"/>
    <row r="2747" customFormat="1" ht="35.1" customHeight="1" x14ac:dyDescent="0.2"/>
    <row r="2748" customFormat="1" ht="35.1" customHeight="1" x14ac:dyDescent="0.2"/>
    <row r="2749" customFormat="1" ht="35.1" customHeight="1" x14ac:dyDescent="0.2"/>
    <row r="2750" customFormat="1" ht="35.1" customHeight="1" x14ac:dyDescent="0.2"/>
    <row r="2751" customFormat="1" ht="35.1" customHeight="1" x14ac:dyDescent="0.2"/>
    <row r="2752" customFormat="1" ht="35.1" customHeight="1" x14ac:dyDescent="0.2"/>
    <row r="2753" customFormat="1" ht="35.1" customHeight="1" x14ac:dyDescent="0.2"/>
    <row r="2754" customFormat="1" ht="35.1" customHeight="1" x14ac:dyDescent="0.2"/>
    <row r="2755" customFormat="1" ht="35.1" customHeight="1" x14ac:dyDescent="0.2"/>
    <row r="2756" customFormat="1" ht="35.1" customHeight="1" x14ac:dyDescent="0.2"/>
    <row r="2757" customFormat="1" ht="35.1" customHeight="1" x14ac:dyDescent="0.2"/>
    <row r="2758" customFormat="1" ht="35.1" customHeight="1" x14ac:dyDescent="0.2"/>
    <row r="2759" customFormat="1" ht="35.1" customHeight="1" x14ac:dyDescent="0.2"/>
    <row r="2760" customFormat="1" ht="35.1" customHeight="1" x14ac:dyDescent="0.2"/>
    <row r="2761" customFormat="1" ht="35.1" customHeight="1" x14ac:dyDescent="0.2"/>
    <row r="2762" customFormat="1" ht="35.1" customHeight="1" x14ac:dyDescent="0.2"/>
    <row r="2763" customFormat="1" ht="35.1" customHeight="1" x14ac:dyDescent="0.2"/>
    <row r="2764" customFormat="1" ht="35.1" customHeight="1" x14ac:dyDescent="0.2"/>
    <row r="2765" customFormat="1" ht="35.1" customHeight="1" x14ac:dyDescent="0.2"/>
    <row r="2766" customFormat="1" ht="35.1" customHeight="1" x14ac:dyDescent="0.2"/>
    <row r="2767" customFormat="1" ht="35.1" customHeight="1" x14ac:dyDescent="0.2"/>
    <row r="2768" customFormat="1" ht="35.1" customHeight="1" x14ac:dyDescent="0.2"/>
    <row r="2769" customFormat="1" ht="35.1" customHeight="1" x14ac:dyDescent="0.2"/>
    <row r="2770" customFormat="1" ht="35.1" customHeight="1" x14ac:dyDescent="0.2"/>
    <row r="2771" customFormat="1" ht="35.1" customHeight="1" x14ac:dyDescent="0.2"/>
    <row r="2772" customFormat="1" ht="35.1" customHeight="1" x14ac:dyDescent="0.2"/>
    <row r="2773" customFormat="1" ht="35.1" customHeight="1" x14ac:dyDescent="0.2"/>
    <row r="2774" customFormat="1" ht="35.1" customHeight="1" x14ac:dyDescent="0.2"/>
    <row r="2775" customFormat="1" ht="35.1" customHeight="1" x14ac:dyDescent="0.2"/>
    <row r="2776" customFormat="1" ht="35.1" customHeight="1" x14ac:dyDescent="0.2"/>
    <row r="2777" customFormat="1" ht="35.1" customHeight="1" x14ac:dyDescent="0.2"/>
    <row r="2778" customFormat="1" ht="35.1" customHeight="1" x14ac:dyDescent="0.2"/>
    <row r="2779" customFormat="1" ht="35.1" customHeight="1" x14ac:dyDescent="0.2"/>
    <row r="2780" customFormat="1" ht="35.1" customHeight="1" x14ac:dyDescent="0.2"/>
    <row r="2781" customFormat="1" ht="35.1" customHeight="1" x14ac:dyDescent="0.2"/>
    <row r="2782" customFormat="1" ht="35.1" customHeight="1" x14ac:dyDescent="0.2"/>
    <row r="2783" customFormat="1" ht="35.1" customHeight="1" x14ac:dyDescent="0.2"/>
    <row r="2784" customFormat="1" ht="35.1" customHeight="1" x14ac:dyDescent="0.2"/>
    <row r="2785" customFormat="1" ht="35.1" customHeight="1" x14ac:dyDescent="0.2"/>
    <row r="2786" customFormat="1" ht="35.1" customHeight="1" x14ac:dyDescent="0.2"/>
    <row r="2787" customFormat="1" ht="35.1" customHeight="1" x14ac:dyDescent="0.2"/>
    <row r="2788" customFormat="1" ht="35.1" customHeight="1" x14ac:dyDescent="0.2"/>
    <row r="2789" customFormat="1" ht="35.1" customHeight="1" x14ac:dyDescent="0.2"/>
    <row r="2790" customFormat="1" ht="35.1" customHeight="1" x14ac:dyDescent="0.2"/>
    <row r="2791" customFormat="1" ht="35.1" customHeight="1" x14ac:dyDescent="0.2"/>
    <row r="2792" customFormat="1" ht="35.1" customHeight="1" x14ac:dyDescent="0.2"/>
    <row r="2793" customFormat="1" ht="35.1" customHeight="1" x14ac:dyDescent="0.2"/>
    <row r="2794" customFormat="1" ht="35.1" customHeight="1" x14ac:dyDescent="0.2"/>
    <row r="2795" customFormat="1" ht="35.1" customHeight="1" x14ac:dyDescent="0.2"/>
  </sheetData>
  <autoFilter ref="A1:AD65" xr:uid="{39D1C33C-79D7-4DD9-8E6E-C7296F206FC1}"/>
  <sortState xmlns:xlrd2="http://schemas.microsoft.com/office/spreadsheetml/2017/richdata2" ref="A2:AD138">
    <sortCondition sortBy="cellColor" ref="E1:E500" dxfId="26"/>
  </sortState>
  <conditionalFormatting sqref="AD1:AD65">
    <cfRule type="cellIs" dxfId="25" priority="6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35.1" customHeight="1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5.1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9" customFormat="1" ht="35.1" customHeight="1" x14ac:dyDescent="0.2">
      <c r="A2" s="9" t="s">
        <v>29</v>
      </c>
      <c r="B2" s="10">
        <v>46070</v>
      </c>
      <c r="C2" s="10">
        <v>46070</v>
      </c>
      <c r="D2" s="11" t="s">
        <v>146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1" si="0">IF(N2="PRG","",IF(I2&gt;=E2,IF(I2&lt;=F2,"","NO"),"NO"))</f>
        <v/>
      </c>
    </row>
    <row r="3" spans="1:49" s="9" customFormat="1" ht="35.1" customHeight="1" x14ac:dyDescent="0.25">
      <c r="A3" s="9" t="s">
        <v>39</v>
      </c>
      <c r="B3" s="10">
        <v>46070</v>
      </c>
      <c r="C3" s="10">
        <v>46070</v>
      </c>
      <c r="D3" s="11" t="s">
        <v>146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L3" s="14">
        <v>1</v>
      </c>
      <c r="M3" s="14">
        <v>1</v>
      </c>
      <c r="N3" s="9" t="s">
        <v>33</v>
      </c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49" s="9" customFormat="1" ht="35.1" customHeight="1" x14ac:dyDescent="0.2">
      <c r="A4" s="17" t="s">
        <v>56</v>
      </c>
      <c r="B4" s="18">
        <v>46070</v>
      </c>
      <c r="C4" s="18">
        <v>46070</v>
      </c>
      <c r="D4" s="17" t="s">
        <v>146</v>
      </c>
      <c r="E4" s="19">
        <v>0.25</v>
      </c>
      <c r="F4" s="19">
        <v>0.875</v>
      </c>
      <c r="G4" s="19">
        <v>1.7361111111111109E-4</v>
      </c>
      <c r="H4" s="17" t="s">
        <v>57</v>
      </c>
      <c r="I4" s="20">
        <v>0.25989583333333333</v>
      </c>
      <c r="J4" s="17" t="s">
        <v>41</v>
      </c>
      <c r="K4" s="17" t="s">
        <v>40</v>
      </c>
      <c r="L4" s="21">
        <v>1</v>
      </c>
      <c r="M4" s="21">
        <v>71977</v>
      </c>
      <c r="N4" s="17" t="s">
        <v>58</v>
      </c>
      <c r="O4" s="21" t="s">
        <v>59</v>
      </c>
      <c r="P4" s="22">
        <v>0</v>
      </c>
      <c r="Q4" s="21"/>
      <c r="R4" s="22">
        <v>90</v>
      </c>
      <c r="S4" s="23">
        <v>46054</v>
      </c>
      <c r="T4" s="22">
        <v>0</v>
      </c>
      <c r="U4" s="24">
        <v>4</v>
      </c>
      <c r="V4" s="22">
        <v>0</v>
      </c>
      <c r="W4" s="17" t="s">
        <v>48</v>
      </c>
      <c r="X4" s="17" t="s">
        <v>49</v>
      </c>
      <c r="Y4" s="17" t="s">
        <v>36</v>
      </c>
      <c r="Z4" s="17" t="s">
        <v>43</v>
      </c>
      <c r="AA4" s="17" t="s">
        <v>50</v>
      </c>
      <c r="AB4" s="17" t="s">
        <v>60</v>
      </c>
      <c r="AC4" s="17" t="s">
        <v>38</v>
      </c>
      <c r="AD4" s="7" t="str">
        <f t="shared" si="0"/>
        <v/>
      </c>
    </row>
    <row r="5" spans="1:49" s="9" customFormat="1" ht="35.1" customHeight="1" x14ac:dyDescent="0.2">
      <c r="A5" s="17" t="s">
        <v>56</v>
      </c>
      <c r="B5" s="18">
        <v>46070</v>
      </c>
      <c r="C5" s="18">
        <v>46070</v>
      </c>
      <c r="D5" s="17" t="s">
        <v>146</v>
      </c>
      <c r="E5" s="19">
        <v>0.25</v>
      </c>
      <c r="F5" s="19">
        <v>0.875</v>
      </c>
      <c r="G5" s="19">
        <v>1.7361111111111109E-4</v>
      </c>
      <c r="H5" s="17" t="s">
        <v>57</v>
      </c>
      <c r="I5" s="20">
        <v>0.26846064814814813</v>
      </c>
      <c r="J5" s="17" t="s">
        <v>41</v>
      </c>
      <c r="K5" s="17" t="s">
        <v>40</v>
      </c>
      <c r="L5" s="21">
        <v>1</v>
      </c>
      <c r="M5" s="21">
        <v>71977</v>
      </c>
      <c r="N5" s="17" t="s">
        <v>58</v>
      </c>
      <c r="O5" s="21" t="s">
        <v>59</v>
      </c>
      <c r="P5" s="22">
        <v>0</v>
      </c>
      <c r="Q5" s="21"/>
      <c r="R5" s="22">
        <v>90</v>
      </c>
      <c r="S5" s="23">
        <v>46054</v>
      </c>
      <c r="T5" s="22">
        <v>0</v>
      </c>
      <c r="U5" s="24">
        <v>4</v>
      </c>
      <c r="V5" s="22">
        <v>0</v>
      </c>
      <c r="W5" s="17" t="s">
        <v>48</v>
      </c>
      <c r="X5" s="17" t="s">
        <v>49</v>
      </c>
      <c r="Y5" s="17" t="s">
        <v>36</v>
      </c>
      <c r="Z5" s="17" t="s">
        <v>43</v>
      </c>
      <c r="AA5" s="17" t="s">
        <v>50</v>
      </c>
      <c r="AB5" s="17" t="s">
        <v>60</v>
      </c>
      <c r="AC5" s="17" t="s">
        <v>38</v>
      </c>
      <c r="AD5" s="7" t="str">
        <f t="shared" si="0"/>
        <v/>
      </c>
    </row>
    <row r="6" spans="1:49" s="9" customFormat="1" ht="35.1" customHeight="1" x14ac:dyDescent="0.25">
      <c r="A6" s="17" t="s">
        <v>52</v>
      </c>
      <c r="B6" s="18">
        <v>46070</v>
      </c>
      <c r="C6" s="18">
        <v>46070</v>
      </c>
      <c r="D6" s="17" t="s">
        <v>146</v>
      </c>
      <c r="E6" s="19">
        <v>0.25</v>
      </c>
      <c r="F6" s="19">
        <v>0.99930555555555556</v>
      </c>
      <c r="G6" s="19">
        <v>3.4722222222222218E-4</v>
      </c>
      <c r="H6" s="17" t="s">
        <v>53</v>
      </c>
      <c r="I6" s="20">
        <v>0.29085648148148147</v>
      </c>
      <c r="J6" s="17" t="s">
        <v>41</v>
      </c>
      <c r="K6" s="17" t="s">
        <v>40</v>
      </c>
      <c r="L6" s="21">
        <v>1</v>
      </c>
      <c r="M6" s="21">
        <v>70964</v>
      </c>
      <c r="N6" s="17" t="s">
        <v>46</v>
      </c>
      <c r="O6" s="21" t="str">
        <f>AC6</f>
        <v>SFO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54</v>
      </c>
      <c r="AC6" s="17" t="s">
        <v>38</v>
      </c>
      <c r="AD6" s="7" t="str">
        <f t="shared" si="0"/>
        <v/>
      </c>
      <c r="AE6" s="25"/>
      <c r="AF6" s="25"/>
      <c r="AG6" s="25"/>
      <c r="AH6" s="25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</row>
    <row r="7" spans="1:49" s="9" customFormat="1" ht="35.1" customHeight="1" x14ac:dyDescent="0.2">
      <c r="A7" s="9" t="s">
        <v>61</v>
      </c>
      <c r="B7" s="10">
        <v>46070</v>
      </c>
      <c r="C7" s="10">
        <v>46070</v>
      </c>
      <c r="D7" s="11" t="s">
        <v>146</v>
      </c>
      <c r="E7" s="12">
        <v>0.29166666666666669</v>
      </c>
      <c r="F7" s="12">
        <v>0.3125</v>
      </c>
      <c r="G7" s="12">
        <v>2.0833333333333332E-2</v>
      </c>
      <c r="H7" s="9" t="s">
        <v>147</v>
      </c>
      <c r="I7" s="13" t="s">
        <v>63</v>
      </c>
      <c r="J7" s="9" t="s">
        <v>41</v>
      </c>
      <c r="L7" s="14">
        <v>1</v>
      </c>
      <c r="M7" s="14">
        <v>1</v>
      </c>
      <c r="N7" s="9" t="s">
        <v>33</v>
      </c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</row>
    <row r="8" spans="1:49" s="9" customFormat="1" ht="35.1" customHeight="1" x14ac:dyDescent="0.25">
      <c r="A8" s="9" t="s">
        <v>61</v>
      </c>
      <c r="B8" s="10">
        <v>46070</v>
      </c>
      <c r="C8" s="10">
        <v>46070</v>
      </c>
      <c r="D8" s="11" t="s">
        <v>146</v>
      </c>
      <c r="E8" s="12">
        <v>0.3125</v>
      </c>
      <c r="F8" s="12">
        <v>0.33333333333333331</v>
      </c>
      <c r="G8" s="12">
        <v>2.0833333333333332E-2</v>
      </c>
      <c r="H8" s="9" t="s">
        <v>147</v>
      </c>
      <c r="I8" s="13" t="s">
        <v>63</v>
      </c>
      <c r="J8" s="9" t="s">
        <v>41</v>
      </c>
      <c r="L8" s="14">
        <v>1</v>
      </c>
      <c r="M8" s="14">
        <v>1</v>
      </c>
      <c r="N8" s="9" t="s">
        <v>33</v>
      </c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</row>
    <row r="9" spans="1:49" s="9" customFormat="1" ht="35.1" customHeight="1" x14ac:dyDescent="0.2">
      <c r="A9" s="9" t="s">
        <v>64</v>
      </c>
      <c r="B9" s="10">
        <v>46070</v>
      </c>
      <c r="C9" s="10">
        <v>46070</v>
      </c>
      <c r="D9" s="11" t="s">
        <v>146</v>
      </c>
      <c r="E9" s="12">
        <v>0.33333333333333331</v>
      </c>
      <c r="F9" s="12">
        <v>0.375</v>
      </c>
      <c r="G9" s="12">
        <v>4.1666666666666664E-2</v>
      </c>
      <c r="H9" s="9" t="s">
        <v>65</v>
      </c>
      <c r="I9" s="13"/>
      <c r="J9" s="9" t="s">
        <v>66</v>
      </c>
      <c r="L9" s="14">
        <v>1</v>
      </c>
      <c r="M9" s="14">
        <v>1</v>
      </c>
      <c r="N9" s="9" t="s">
        <v>33</v>
      </c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</row>
    <row r="10" spans="1:49" s="9" customFormat="1" ht="35.1" customHeight="1" x14ac:dyDescent="0.2">
      <c r="A10" s="9" t="s">
        <v>64</v>
      </c>
      <c r="B10" s="10">
        <v>46070</v>
      </c>
      <c r="C10" s="10">
        <v>46070</v>
      </c>
      <c r="D10" s="11" t="s">
        <v>146</v>
      </c>
      <c r="E10" s="12">
        <v>0.375</v>
      </c>
      <c r="F10" s="12">
        <v>0.41666666666666669</v>
      </c>
      <c r="G10" s="12">
        <v>4.1666666666666664E-2</v>
      </c>
      <c r="H10" s="9" t="s">
        <v>68</v>
      </c>
      <c r="I10" s="13"/>
      <c r="J10" s="9" t="s">
        <v>66</v>
      </c>
      <c r="L10" s="14">
        <v>1</v>
      </c>
      <c r="M10" s="14">
        <v>1</v>
      </c>
      <c r="N10" s="9" t="s">
        <v>33</v>
      </c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</row>
    <row r="11" spans="1:49" s="9" customFormat="1" ht="35.1" customHeight="1" x14ac:dyDescent="0.2">
      <c r="A11" s="9" t="s">
        <v>69</v>
      </c>
      <c r="B11" s="10">
        <v>46070</v>
      </c>
      <c r="C11" s="10">
        <v>46070</v>
      </c>
      <c r="D11" s="11" t="s">
        <v>146</v>
      </c>
      <c r="E11" s="12">
        <v>0.41666666666666669</v>
      </c>
      <c r="F11" s="12">
        <v>0.45833333333333331</v>
      </c>
      <c r="G11" s="12">
        <v>4.1666666666666664E-2</v>
      </c>
      <c r="H11" s="9" t="s">
        <v>70</v>
      </c>
      <c r="I11" s="13"/>
      <c r="J11" s="9" t="s">
        <v>71</v>
      </c>
      <c r="L11" s="14">
        <v>1</v>
      </c>
      <c r="M11" s="14">
        <v>1</v>
      </c>
      <c r="N11" s="9" t="s">
        <v>33</v>
      </c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</row>
    <row r="12" spans="1:49" s="9" customFormat="1" ht="35.1" customHeight="1" x14ac:dyDescent="0.25">
      <c r="A12" s="17" t="s">
        <v>69</v>
      </c>
      <c r="B12" s="18">
        <v>46070</v>
      </c>
      <c r="C12" s="18">
        <v>46070</v>
      </c>
      <c r="D12" s="17" t="s">
        <v>146</v>
      </c>
      <c r="E12" s="19">
        <v>0.41666666666666669</v>
      </c>
      <c r="F12" s="19">
        <v>0.45833333333333331</v>
      </c>
      <c r="G12" s="19">
        <v>3.4722222222222224E-4</v>
      </c>
      <c r="H12" s="17" t="s">
        <v>148</v>
      </c>
      <c r="I12" s="20">
        <v>0.42370370370370369</v>
      </c>
      <c r="J12" s="17" t="s">
        <v>71</v>
      </c>
      <c r="K12" s="17" t="s">
        <v>69</v>
      </c>
      <c r="L12" s="21">
        <v>1</v>
      </c>
      <c r="M12" s="21">
        <v>3</v>
      </c>
      <c r="N12" s="17" t="s">
        <v>58</v>
      </c>
      <c r="O12" s="21"/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34</v>
      </c>
      <c r="X12" s="17" t="s">
        <v>35</v>
      </c>
      <c r="Y12" s="17" t="s">
        <v>36</v>
      </c>
      <c r="Z12" s="17" t="s">
        <v>73</v>
      </c>
      <c r="AA12" s="17" t="s">
        <v>50</v>
      </c>
      <c r="AB12" s="17">
        <v>1109</v>
      </c>
      <c r="AC12" s="17" t="s">
        <v>38</v>
      </c>
      <c r="AD12" s="7" t="str">
        <f>IF(N12="PRG","",IF(I12&gt;=E12,IF(I12&lt;=F12,"","NO"),"NO"))</f>
        <v/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9" customFormat="1" ht="35.1" customHeight="1" x14ac:dyDescent="0.25">
      <c r="A13" s="17" t="s">
        <v>69</v>
      </c>
      <c r="B13" s="18">
        <v>46070</v>
      </c>
      <c r="C13" s="18">
        <v>46070</v>
      </c>
      <c r="D13" s="17" t="s">
        <v>146</v>
      </c>
      <c r="E13" s="19">
        <v>0.41666666666666669</v>
      </c>
      <c r="F13" s="19">
        <v>0.45833333333333331</v>
      </c>
      <c r="G13" s="19">
        <v>3.4722222222222224E-4</v>
      </c>
      <c r="H13" s="17" t="s">
        <v>149</v>
      </c>
      <c r="I13" s="20">
        <v>0.42405092592592591</v>
      </c>
      <c r="J13" s="17" t="s">
        <v>71</v>
      </c>
      <c r="K13" s="17" t="s">
        <v>69</v>
      </c>
      <c r="L13" s="21">
        <v>1</v>
      </c>
      <c r="M13" s="21">
        <v>3</v>
      </c>
      <c r="N13" s="17" t="s">
        <v>58</v>
      </c>
      <c r="O13" s="21"/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34</v>
      </c>
      <c r="X13" s="17" t="s">
        <v>35</v>
      </c>
      <c r="Y13" s="17" t="s">
        <v>36</v>
      </c>
      <c r="Z13" s="17" t="s">
        <v>73</v>
      </c>
      <c r="AA13" s="17" t="s">
        <v>50</v>
      </c>
      <c r="AB13" s="17">
        <v>1109</v>
      </c>
      <c r="AC13" s="17" t="s">
        <v>38</v>
      </c>
      <c r="AD13" s="7" t="str">
        <f>IF(N13="PRG","",IF(I13&gt;=E13,IF(I13&lt;=F13,"","NO"),"NO"))</f>
        <v/>
      </c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</row>
    <row r="14" spans="1:49" s="9" customFormat="1" ht="35.1" customHeight="1" x14ac:dyDescent="0.25">
      <c r="A14" s="9" t="s">
        <v>76</v>
      </c>
      <c r="B14" s="10">
        <v>46070</v>
      </c>
      <c r="C14" s="10">
        <v>46070</v>
      </c>
      <c r="D14" s="11" t="s">
        <v>146</v>
      </c>
      <c r="E14" s="12">
        <v>0.45833333333333331</v>
      </c>
      <c r="F14" s="12">
        <v>0.47916666666666669</v>
      </c>
      <c r="G14" s="12">
        <v>2.0833333333333332E-2</v>
      </c>
      <c r="H14" s="9" t="s">
        <v>150</v>
      </c>
      <c r="I14" s="13"/>
      <c r="J14" s="9" t="s">
        <v>81</v>
      </c>
      <c r="L14" s="14">
        <v>1</v>
      </c>
      <c r="M14" s="14">
        <v>1</v>
      </c>
      <c r="N14" s="9" t="s">
        <v>33</v>
      </c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9" customFormat="1" ht="35.1" customHeight="1" x14ac:dyDescent="0.25">
      <c r="A15" s="17" t="s">
        <v>84</v>
      </c>
      <c r="B15" s="18">
        <v>46070</v>
      </c>
      <c r="C15" s="18">
        <v>46070</v>
      </c>
      <c r="D15" s="17" t="s">
        <v>146</v>
      </c>
      <c r="E15" s="19">
        <v>0.45833333333333331</v>
      </c>
      <c r="F15" s="19">
        <v>0.5</v>
      </c>
      <c r="G15" s="19">
        <v>3.4722222222222218E-4</v>
      </c>
      <c r="H15" s="17" t="s">
        <v>89</v>
      </c>
      <c r="I15" s="20">
        <v>0.46856481481481482</v>
      </c>
      <c r="J15" s="17" t="s">
        <v>81</v>
      </c>
      <c r="K15" s="17" t="s">
        <v>150</v>
      </c>
      <c r="L15" s="21">
        <v>1</v>
      </c>
      <c r="M15" s="21">
        <v>71446</v>
      </c>
      <c r="N15" s="17" t="s">
        <v>58</v>
      </c>
      <c r="O15" s="21" t="s">
        <v>86</v>
      </c>
      <c r="P15" s="22">
        <v>94.117647058823522</v>
      </c>
      <c r="Q15" s="21"/>
      <c r="R15" s="22">
        <v>94.117647058823522</v>
      </c>
      <c r="S15" s="23">
        <v>46070</v>
      </c>
      <c r="T15" s="22">
        <v>14.117647058823527</v>
      </c>
      <c r="U15" s="24">
        <v>4</v>
      </c>
      <c r="V15" s="22">
        <v>80</v>
      </c>
      <c r="W15" s="17" t="s">
        <v>48</v>
      </c>
      <c r="X15" s="17" t="s">
        <v>49</v>
      </c>
      <c r="Y15" s="17" t="s">
        <v>87</v>
      </c>
      <c r="Z15" s="17" t="s">
        <v>9</v>
      </c>
      <c r="AA15" s="17" t="s">
        <v>50</v>
      </c>
      <c r="AB15" s="17" t="s">
        <v>88</v>
      </c>
      <c r="AC15" s="17" t="s">
        <v>38</v>
      </c>
      <c r="AD15" s="7" t="str">
        <f t="shared" si="0"/>
        <v/>
      </c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</row>
    <row r="16" spans="1:49" s="9" customFormat="1" ht="35.1" customHeight="1" x14ac:dyDescent="0.25">
      <c r="A16" s="17" t="s">
        <v>79</v>
      </c>
      <c r="B16" s="18">
        <v>46070</v>
      </c>
      <c r="C16" s="18">
        <v>46070</v>
      </c>
      <c r="D16" s="17" t="s">
        <v>146</v>
      </c>
      <c r="E16" s="19">
        <v>0.45833333333333331</v>
      </c>
      <c r="F16" s="19">
        <v>0.47916666666666669</v>
      </c>
      <c r="G16" s="19">
        <v>1.7361111111111109E-4</v>
      </c>
      <c r="H16" s="17" t="s">
        <v>91</v>
      </c>
      <c r="I16" s="20">
        <v>0.46839120370370368</v>
      </c>
      <c r="J16" s="17" t="s">
        <v>81</v>
      </c>
      <c r="K16" s="17" t="s">
        <v>150</v>
      </c>
      <c r="L16" s="21">
        <v>1</v>
      </c>
      <c r="M16" s="21">
        <v>70008</v>
      </c>
      <c r="N16" s="17" t="s">
        <v>58</v>
      </c>
      <c r="O16" s="21" t="s">
        <v>82</v>
      </c>
      <c r="P16" s="22">
        <v>64.709999999999994</v>
      </c>
      <c r="Q16" s="21"/>
      <c r="R16" s="22">
        <v>64.709999999999994</v>
      </c>
      <c r="S16" s="23">
        <v>46054</v>
      </c>
      <c r="T16" s="22">
        <v>9.7064999999999984</v>
      </c>
      <c r="U16" s="24">
        <v>4</v>
      </c>
      <c r="V16" s="22">
        <v>55.003499999999995</v>
      </c>
      <c r="W16" s="17" t="s">
        <v>48</v>
      </c>
      <c r="X16" s="17" t="s">
        <v>49</v>
      </c>
      <c r="Y16" s="17" t="s">
        <v>36</v>
      </c>
      <c r="Z16" s="17" t="s">
        <v>9</v>
      </c>
      <c r="AA16" s="17" t="s">
        <v>50</v>
      </c>
      <c r="AB16" s="17" t="s">
        <v>83</v>
      </c>
      <c r="AC16" s="17" t="s">
        <v>38</v>
      </c>
      <c r="AD16" s="7" t="str">
        <f t="shared" si="0"/>
        <v/>
      </c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9" customFormat="1" ht="35.1" customHeight="1" x14ac:dyDescent="0.25">
      <c r="A17" s="17" t="s">
        <v>52</v>
      </c>
      <c r="B17" s="18">
        <v>46070</v>
      </c>
      <c r="C17" s="18">
        <v>46070</v>
      </c>
      <c r="D17" s="17" t="s">
        <v>146</v>
      </c>
      <c r="E17" s="19">
        <v>0.45833333333333331</v>
      </c>
      <c r="F17" s="19">
        <v>0.5</v>
      </c>
      <c r="G17" s="19">
        <v>3.4722222222222218E-4</v>
      </c>
      <c r="H17" s="17" t="s">
        <v>151</v>
      </c>
      <c r="I17" s="20">
        <v>0.46925925925925926</v>
      </c>
      <c r="J17" s="17" t="s">
        <v>81</v>
      </c>
      <c r="K17" s="17" t="s">
        <v>150</v>
      </c>
      <c r="L17" s="21">
        <v>1</v>
      </c>
      <c r="M17" s="21">
        <v>70974</v>
      </c>
      <c r="N17" s="17" t="s">
        <v>58</v>
      </c>
      <c r="O17" s="21" t="str">
        <f>AC17</f>
        <v>SFO</v>
      </c>
      <c r="P17" s="22">
        <v>117.65</v>
      </c>
      <c r="Q17" s="21"/>
      <c r="R17" s="22">
        <v>117.65</v>
      </c>
      <c r="S17" s="23">
        <v>46054</v>
      </c>
      <c r="T17" s="22">
        <v>8.8237500000000004</v>
      </c>
      <c r="U17" s="24">
        <v>4</v>
      </c>
      <c r="V17" s="22">
        <v>108.82625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54</v>
      </c>
      <c r="AC17" s="17" t="s">
        <v>38</v>
      </c>
      <c r="AD17" s="7" t="str">
        <f t="shared" si="0"/>
        <v/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s="9" customFormat="1" ht="35.1" customHeight="1" x14ac:dyDescent="0.25">
      <c r="A18" s="17" t="s">
        <v>92</v>
      </c>
      <c r="B18" s="18">
        <v>46070</v>
      </c>
      <c r="C18" s="18">
        <v>46070</v>
      </c>
      <c r="D18" s="17" t="s">
        <v>146</v>
      </c>
      <c r="E18" s="19">
        <v>0.45833333333333331</v>
      </c>
      <c r="F18" s="19">
        <v>0.47916666666666669</v>
      </c>
      <c r="G18" s="19">
        <v>1.7361111111111109E-4</v>
      </c>
      <c r="H18" s="17" t="s">
        <v>93</v>
      </c>
      <c r="I18" s="20">
        <v>0.47768518518518521</v>
      </c>
      <c r="J18" s="17" t="s">
        <v>81</v>
      </c>
      <c r="K18" s="17" t="s">
        <v>150</v>
      </c>
      <c r="L18" s="21">
        <v>1</v>
      </c>
      <c r="M18" s="21">
        <v>71172</v>
      </c>
      <c r="N18" s="17" t="s">
        <v>58</v>
      </c>
      <c r="O18" s="21" t="s">
        <v>94</v>
      </c>
      <c r="P18" s="22">
        <v>70</v>
      </c>
      <c r="Q18" s="21"/>
      <c r="R18" s="22">
        <v>70</v>
      </c>
      <c r="S18" s="23">
        <v>46070</v>
      </c>
      <c r="T18" s="22">
        <v>10.5</v>
      </c>
      <c r="U18" s="24">
        <v>4</v>
      </c>
      <c r="V18" s="22">
        <v>59.5</v>
      </c>
      <c r="W18" s="17" t="s">
        <v>48</v>
      </c>
      <c r="X18" s="17" t="s">
        <v>49</v>
      </c>
      <c r="Y18" s="17" t="s">
        <v>87</v>
      </c>
      <c r="Z18" s="17" t="s">
        <v>9</v>
      </c>
      <c r="AA18" s="17" t="s">
        <v>50</v>
      </c>
      <c r="AB18" s="17" t="s">
        <v>95</v>
      </c>
      <c r="AC18" s="17" t="s">
        <v>38</v>
      </c>
      <c r="AD18" s="7" t="str">
        <f t="shared" si="0"/>
        <v/>
      </c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</row>
    <row r="19" spans="1:49" s="9" customFormat="1" ht="35.1" customHeight="1" x14ac:dyDescent="0.25">
      <c r="A19" s="17" t="s">
        <v>56</v>
      </c>
      <c r="B19" s="18">
        <v>46070</v>
      </c>
      <c r="C19" s="18">
        <v>46070</v>
      </c>
      <c r="D19" s="17" t="s">
        <v>146</v>
      </c>
      <c r="E19" s="19">
        <v>0.45833333333333331</v>
      </c>
      <c r="F19" s="19">
        <v>0.5</v>
      </c>
      <c r="G19" s="19">
        <v>1.7361111111111109E-4</v>
      </c>
      <c r="H19" s="17" t="s">
        <v>90</v>
      </c>
      <c r="I19" s="20">
        <v>0.47803240740740743</v>
      </c>
      <c r="J19" s="17" t="s">
        <v>81</v>
      </c>
      <c r="K19" s="17" t="s">
        <v>150</v>
      </c>
      <c r="L19" s="21">
        <v>1</v>
      </c>
      <c r="M19" s="21">
        <v>71978</v>
      </c>
      <c r="N19" s="17" t="s">
        <v>58</v>
      </c>
      <c r="O19" s="21" t="s">
        <v>59</v>
      </c>
      <c r="P19" s="22">
        <v>0</v>
      </c>
      <c r="Q19" s="21"/>
      <c r="R19" s="22">
        <v>90</v>
      </c>
      <c r="S19" s="23">
        <v>46054</v>
      </c>
      <c r="T19" s="22">
        <v>0</v>
      </c>
      <c r="U19" s="24">
        <v>4</v>
      </c>
      <c r="V19" s="22">
        <v>0</v>
      </c>
      <c r="W19" s="17" t="s">
        <v>48</v>
      </c>
      <c r="X19" s="17" t="s">
        <v>49</v>
      </c>
      <c r="Y19" s="17" t="s">
        <v>36</v>
      </c>
      <c r="Z19" s="17" t="s">
        <v>43</v>
      </c>
      <c r="AA19" s="17" t="s">
        <v>50</v>
      </c>
      <c r="AB19" s="17" t="s">
        <v>60</v>
      </c>
      <c r="AC19" s="17" t="s">
        <v>38</v>
      </c>
      <c r="AD19" s="7" t="str">
        <f t="shared" si="0"/>
        <v/>
      </c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</row>
    <row r="20" spans="1:49" s="9" customFormat="1" ht="35.1" customHeight="1" x14ac:dyDescent="0.2">
      <c r="A20" s="9" t="s">
        <v>76</v>
      </c>
      <c r="B20" s="10">
        <v>46070</v>
      </c>
      <c r="C20" s="10">
        <v>46070</v>
      </c>
      <c r="D20" s="11" t="s">
        <v>146</v>
      </c>
      <c r="E20" s="12">
        <v>0.47916666666666669</v>
      </c>
      <c r="F20" s="12">
        <v>0.5</v>
      </c>
      <c r="G20" s="12">
        <v>2.0833333333333332E-2</v>
      </c>
      <c r="H20" s="9" t="s">
        <v>152</v>
      </c>
      <c r="I20" s="13"/>
      <c r="J20" s="9" t="s">
        <v>81</v>
      </c>
      <c r="L20" s="14">
        <v>1</v>
      </c>
      <c r="M20" s="14">
        <v>1</v>
      </c>
      <c r="N20" s="9" t="s">
        <v>33</v>
      </c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</row>
    <row r="21" spans="1:49" s="9" customFormat="1" ht="35.1" customHeight="1" x14ac:dyDescent="0.2">
      <c r="A21" s="17" t="s">
        <v>92</v>
      </c>
      <c r="B21" s="18">
        <v>46070</v>
      </c>
      <c r="C21" s="18">
        <v>46070</v>
      </c>
      <c r="D21" s="17" t="s">
        <v>146</v>
      </c>
      <c r="E21" s="19">
        <v>0.47916666666666669</v>
      </c>
      <c r="F21" s="19">
        <v>0.5</v>
      </c>
      <c r="G21" s="19">
        <v>1.7361111111111109E-4</v>
      </c>
      <c r="H21" s="17" t="s">
        <v>98</v>
      </c>
      <c r="I21" s="20">
        <v>0.48730324074074072</v>
      </c>
      <c r="J21" s="17" t="s">
        <v>81</v>
      </c>
      <c r="K21" s="17" t="s">
        <v>137</v>
      </c>
      <c r="L21" s="21">
        <v>1</v>
      </c>
      <c r="M21" s="21">
        <v>71178</v>
      </c>
      <c r="N21" s="17" t="s">
        <v>58</v>
      </c>
      <c r="O21" s="21" t="s">
        <v>94</v>
      </c>
      <c r="P21" s="22">
        <v>70</v>
      </c>
      <c r="Q21" s="21"/>
      <c r="R21" s="22">
        <v>70</v>
      </c>
      <c r="S21" s="23">
        <v>46070</v>
      </c>
      <c r="T21" s="22">
        <v>10.5</v>
      </c>
      <c r="U21" s="24">
        <v>4</v>
      </c>
      <c r="V21" s="22">
        <v>59.5</v>
      </c>
      <c r="W21" s="17" t="s">
        <v>48</v>
      </c>
      <c r="X21" s="17" t="s">
        <v>49</v>
      </c>
      <c r="Y21" s="17" t="s">
        <v>87</v>
      </c>
      <c r="Z21" s="17" t="s">
        <v>9</v>
      </c>
      <c r="AA21" s="17" t="s">
        <v>50</v>
      </c>
      <c r="AB21" s="17" t="s">
        <v>95</v>
      </c>
      <c r="AC21" s="17" t="s">
        <v>38</v>
      </c>
      <c r="AD21" s="7" t="str">
        <f t="shared" si="0"/>
        <v/>
      </c>
    </row>
    <row r="22" spans="1:49" s="9" customFormat="1" ht="35.1" customHeight="1" x14ac:dyDescent="0.2">
      <c r="A22" s="17" t="s">
        <v>92</v>
      </c>
      <c r="B22" s="18">
        <v>46070</v>
      </c>
      <c r="C22" s="18">
        <v>46070</v>
      </c>
      <c r="D22" s="17" t="s">
        <v>146</v>
      </c>
      <c r="E22" s="19">
        <v>0.47916666666666669</v>
      </c>
      <c r="F22" s="19">
        <v>0.5</v>
      </c>
      <c r="G22" s="19">
        <v>5.7870370370370373E-5</v>
      </c>
      <c r="H22" s="17" t="s">
        <v>153</v>
      </c>
      <c r="I22" s="20">
        <v>0.48724537037037036</v>
      </c>
      <c r="J22" s="17" t="s">
        <v>81</v>
      </c>
      <c r="K22" s="17" t="s">
        <v>137</v>
      </c>
      <c r="L22" s="21">
        <v>1</v>
      </c>
      <c r="M22" s="21">
        <v>71837</v>
      </c>
      <c r="N22" s="17" t="s">
        <v>58</v>
      </c>
      <c r="O22" s="21" t="s">
        <v>154</v>
      </c>
      <c r="P22" s="22">
        <v>41.025641025641029</v>
      </c>
      <c r="Q22" s="21"/>
      <c r="R22" s="22">
        <v>41.025641025641029</v>
      </c>
      <c r="S22" s="23">
        <v>46070</v>
      </c>
      <c r="T22" s="22">
        <v>6.1538461538461542</v>
      </c>
      <c r="U22" s="24">
        <v>4</v>
      </c>
      <c r="V22" s="22">
        <v>34.871794871794876</v>
      </c>
      <c r="W22" s="17" t="s">
        <v>48</v>
      </c>
      <c r="X22" s="17" t="s">
        <v>49</v>
      </c>
      <c r="Y22" s="17" t="s">
        <v>87</v>
      </c>
      <c r="Z22" s="17" t="s">
        <v>9</v>
      </c>
      <c r="AA22" s="17" t="s">
        <v>50</v>
      </c>
      <c r="AB22" s="17" t="s">
        <v>155</v>
      </c>
      <c r="AC22" s="17" t="s">
        <v>38</v>
      </c>
      <c r="AD22" s="7" t="str">
        <f t="shared" si="0"/>
        <v/>
      </c>
    </row>
    <row r="23" spans="1:49" s="9" customFormat="1" ht="35.1" customHeight="1" x14ac:dyDescent="0.2">
      <c r="A23" s="17" t="s">
        <v>84</v>
      </c>
      <c r="B23" s="18">
        <v>46070</v>
      </c>
      <c r="C23" s="18">
        <v>46070</v>
      </c>
      <c r="D23" s="17" t="s">
        <v>146</v>
      </c>
      <c r="E23" s="19">
        <v>0.45833333333333331</v>
      </c>
      <c r="F23" s="19">
        <v>0.5</v>
      </c>
      <c r="G23" s="19">
        <v>3.4722222222222218E-4</v>
      </c>
      <c r="H23" s="17" t="s">
        <v>96</v>
      </c>
      <c r="I23" s="20">
        <v>0.49849537037037039</v>
      </c>
      <c r="J23" s="17" t="s">
        <v>81</v>
      </c>
      <c r="K23" s="17" t="s">
        <v>137</v>
      </c>
      <c r="L23" s="21">
        <v>1</v>
      </c>
      <c r="M23" s="21">
        <v>71445</v>
      </c>
      <c r="N23" s="17" t="s">
        <v>58</v>
      </c>
      <c r="O23" s="21" t="s">
        <v>86</v>
      </c>
      <c r="P23" s="22">
        <v>94.117647058823522</v>
      </c>
      <c r="Q23" s="21"/>
      <c r="R23" s="22">
        <v>94.117647058823522</v>
      </c>
      <c r="S23" s="23">
        <v>46070</v>
      </c>
      <c r="T23" s="22">
        <v>14.117647058823527</v>
      </c>
      <c r="U23" s="24">
        <v>4</v>
      </c>
      <c r="V23" s="22">
        <v>80</v>
      </c>
      <c r="W23" s="17" t="s">
        <v>48</v>
      </c>
      <c r="X23" s="17" t="s">
        <v>49</v>
      </c>
      <c r="Y23" s="17" t="s">
        <v>87</v>
      </c>
      <c r="Z23" s="17" t="s">
        <v>9</v>
      </c>
      <c r="AA23" s="17" t="s">
        <v>50</v>
      </c>
      <c r="AB23" s="17" t="s">
        <v>88</v>
      </c>
      <c r="AC23" s="17" t="s">
        <v>38</v>
      </c>
      <c r="AD23" s="7" t="str">
        <f t="shared" si="0"/>
        <v/>
      </c>
    </row>
    <row r="24" spans="1:49" s="9" customFormat="1" ht="35.1" customHeight="1" x14ac:dyDescent="0.2">
      <c r="A24" s="17" t="s">
        <v>79</v>
      </c>
      <c r="B24" s="18">
        <v>46070</v>
      </c>
      <c r="C24" s="18">
        <v>46070</v>
      </c>
      <c r="D24" s="17" t="s">
        <v>146</v>
      </c>
      <c r="E24" s="19">
        <v>0.47916666666666669</v>
      </c>
      <c r="F24" s="19">
        <v>0.5</v>
      </c>
      <c r="G24" s="19">
        <v>1.7361111111111109E-4</v>
      </c>
      <c r="H24" s="17" t="s">
        <v>80</v>
      </c>
      <c r="I24" s="20">
        <v>0.49832175925925926</v>
      </c>
      <c r="J24" s="17" t="s">
        <v>81</v>
      </c>
      <c r="K24" s="17" t="s">
        <v>137</v>
      </c>
      <c r="L24" s="21">
        <v>1</v>
      </c>
      <c r="M24" s="21">
        <v>70009</v>
      </c>
      <c r="N24" s="17" t="s">
        <v>58</v>
      </c>
      <c r="O24" s="21" t="s">
        <v>82</v>
      </c>
      <c r="P24" s="22">
        <v>64.709999999999994</v>
      </c>
      <c r="Q24" s="21"/>
      <c r="R24" s="22">
        <v>64.709999999999994</v>
      </c>
      <c r="S24" s="23">
        <v>46054</v>
      </c>
      <c r="T24" s="22">
        <v>9.7064999999999984</v>
      </c>
      <c r="U24" s="24">
        <v>4</v>
      </c>
      <c r="V24" s="22">
        <v>55.003499999999995</v>
      </c>
      <c r="W24" s="17" t="s">
        <v>48</v>
      </c>
      <c r="X24" s="17" t="s">
        <v>49</v>
      </c>
      <c r="Y24" s="17" t="s">
        <v>36</v>
      </c>
      <c r="Z24" s="17" t="s">
        <v>9</v>
      </c>
      <c r="AA24" s="17" t="s">
        <v>50</v>
      </c>
      <c r="AB24" s="17" t="s">
        <v>83</v>
      </c>
      <c r="AC24" s="17" t="s">
        <v>38</v>
      </c>
      <c r="AD24" s="7" t="str">
        <f t="shared" si="0"/>
        <v/>
      </c>
    </row>
    <row r="25" spans="1:49" s="9" customFormat="1" ht="35.1" customHeight="1" x14ac:dyDescent="0.2">
      <c r="A25" s="9" t="s">
        <v>99</v>
      </c>
      <c r="B25" s="10">
        <v>46070</v>
      </c>
      <c r="C25" s="10">
        <v>46070</v>
      </c>
      <c r="D25" s="11" t="s">
        <v>146</v>
      </c>
      <c r="E25" s="12">
        <v>0.5</v>
      </c>
      <c r="F25" s="12">
        <v>0.54166666666666663</v>
      </c>
      <c r="G25" s="12">
        <v>4.1666666666666664E-2</v>
      </c>
      <c r="H25" s="9" t="s">
        <v>100</v>
      </c>
      <c r="I25" s="13"/>
      <c r="J25" s="9" t="s">
        <v>81</v>
      </c>
      <c r="L25" s="14">
        <v>1</v>
      </c>
      <c r="M25" s="14">
        <v>1</v>
      </c>
      <c r="N25" s="9" t="s">
        <v>33</v>
      </c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</row>
    <row r="26" spans="1:49" s="9" customFormat="1" ht="35.1" customHeight="1" x14ac:dyDescent="0.2">
      <c r="A26" s="17" t="s">
        <v>79</v>
      </c>
      <c r="B26" s="18">
        <v>46070</v>
      </c>
      <c r="C26" s="18">
        <v>46070</v>
      </c>
      <c r="D26" s="17" t="s">
        <v>146</v>
      </c>
      <c r="E26" s="19">
        <v>0.45833333333333331</v>
      </c>
      <c r="F26" s="19">
        <v>0.54166666666666663</v>
      </c>
      <c r="G26" s="19">
        <v>1.7361111111111109E-4</v>
      </c>
      <c r="H26" s="17" t="s">
        <v>91</v>
      </c>
      <c r="I26" s="20">
        <v>0.51412037037037039</v>
      </c>
      <c r="J26" s="17" t="s">
        <v>81</v>
      </c>
      <c r="K26" s="17" t="s">
        <v>138</v>
      </c>
      <c r="L26" s="21">
        <v>1</v>
      </c>
      <c r="M26" s="21">
        <v>70037</v>
      </c>
      <c r="N26" s="17" t="s">
        <v>46</v>
      </c>
      <c r="O26" s="21" t="s">
        <v>82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48</v>
      </c>
      <c r="X26" s="17" t="s">
        <v>49</v>
      </c>
      <c r="Y26" s="17" t="s">
        <v>36</v>
      </c>
      <c r="Z26" s="17" t="s">
        <v>9</v>
      </c>
      <c r="AA26" s="17" t="s">
        <v>50</v>
      </c>
      <c r="AB26" s="17" t="s">
        <v>83</v>
      </c>
      <c r="AC26" s="17" t="s">
        <v>38</v>
      </c>
      <c r="AD26" s="7" t="str">
        <f t="shared" si="0"/>
        <v/>
      </c>
    </row>
    <row r="27" spans="1:49" s="9" customFormat="1" ht="35.1" customHeight="1" x14ac:dyDescent="0.25">
      <c r="A27" s="17" t="s">
        <v>52</v>
      </c>
      <c r="B27" s="18">
        <v>46070</v>
      </c>
      <c r="C27" s="18">
        <v>46070</v>
      </c>
      <c r="D27" s="17" t="s">
        <v>146</v>
      </c>
      <c r="E27" s="19">
        <v>0.45833333333333331</v>
      </c>
      <c r="F27" s="19">
        <v>0.54166666666666663</v>
      </c>
      <c r="G27" s="19">
        <v>3.4722222222222218E-4</v>
      </c>
      <c r="H27" s="17" t="s">
        <v>151</v>
      </c>
      <c r="I27" s="20">
        <v>0.52009259259259255</v>
      </c>
      <c r="J27" s="17" t="s">
        <v>81</v>
      </c>
      <c r="K27" s="17" t="s">
        <v>138</v>
      </c>
      <c r="L27" s="21">
        <v>1</v>
      </c>
      <c r="M27" s="21">
        <v>70976</v>
      </c>
      <c r="N27" s="17" t="s">
        <v>46</v>
      </c>
      <c r="O27" s="21" t="str">
        <f>AC27</f>
        <v>SFO</v>
      </c>
      <c r="P27" s="22">
        <v>0</v>
      </c>
      <c r="Q27" s="21"/>
      <c r="R27" s="22">
        <v>0</v>
      </c>
      <c r="S27" s="23">
        <v>46054</v>
      </c>
      <c r="T27" s="22">
        <v>0</v>
      </c>
      <c r="U27" s="24">
        <v>4</v>
      </c>
      <c r="V27" s="22">
        <v>0</v>
      </c>
      <c r="W27" s="17" t="s">
        <v>48</v>
      </c>
      <c r="X27" s="17" t="s">
        <v>49</v>
      </c>
      <c r="Y27" s="17" t="s">
        <v>36</v>
      </c>
      <c r="Z27" s="17" t="s">
        <v>9</v>
      </c>
      <c r="AA27" s="17" t="s">
        <v>50</v>
      </c>
      <c r="AB27" s="17" t="s">
        <v>54</v>
      </c>
      <c r="AC27" s="17" t="s">
        <v>38</v>
      </c>
      <c r="AD27" s="7" t="str">
        <f t="shared" si="0"/>
        <v/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</row>
    <row r="28" spans="1:49" s="9" customFormat="1" ht="35.1" customHeight="1" x14ac:dyDescent="0.25">
      <c r="A28" s="17" t="s">
        <v>92</v>
      </c>
      <c r="B28" s="18">
        <v>46070</v>
      </c>
      <c r="C28" s="18">
        <v>46070</v>
      </c>
      <c r="D28" s="17" t="s">
        <v>146</v>
      </c>
      <c r="E28" s="19">
        <v>0.5</v>
      </c>
      <c r="F28" s="19">
        <v>0.54166666666666663</v>
      </c>
      <c r="G28" s="19">
        <v>1.7361111111111109E-4</v>
      </c>
      <c r="H28" s="17" t="s">
        <v>93</v>
      </c>
      <c r="I28" s="20">
        <v>0.53723379629629631</v>
      </c>
      <c r="J28" s="17" t="s">
        <v>81</v>
      </c>
      <c r="K28" s="17" t="s">
        <v>138</v>
      </c>
      <c r="L28" s="21">
        <v>1</v>
      </c>
      <c r="M28" s="21">
        <v>71191</v>
      </c>
      <c r="N28" s="17" t="s">
        <v>58</v>
      </c>
      <c r="O28" s="21" t="s">
        <v>94</v>
      </c>
      <c r="P28" s="22">
        <v>70</v>
      </c>
      <c r="Q28" s="21"/>
      <c r="R28" s="22">
        <v>70</v>
      </c>
      <c r="S28" s="23">
        <v>46070</v>
      </c>
      <c r="T28" s="22">
        <v>10.5</v>
      </c>
      <c r="U28" s="24">
        <v>4</v>
      </c>
      <c r="V28" s="22">
        <v>59.5</v>
      </c>
      <c r="W28" s="17" t="s">
        <v>48</v>
      </c>
      <c r="X28" s="17" t="s">
        <v>49</v>
      </c>
      <c r="Y28" s="17" t="s">
        <v>87</v>
      </c>
      <c r="Z28" s="17" t="s">
        <v>9</v>
      </c>
      <c r="AA28" s="17" t="s">
        <v>50</v>
      </c>
      <c r="AB28" s="17" t="s">
        <v>95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9" customFormat="1" ht="35.1" customHeight="1" x14ac:dyDescent="0.2">
      <c r="A29" s="17" t="s">
        <v>79</v>
      </c>
      <c r="B29" s="18">
        <v>46070</v>
      </c>
      <c r="C29" s="18">
        <v>46070</v>
      </c>
      <c r="D29" s="17" t="s">
        <v>146</v>
      </c>
      <c r="E29" s="19">
        <v>0.5</v>
      </c>
      <c r="F29" s="19">
        <v>0.54166666666666663</v>
      </c>
      <c r="G29" s="19">
        <v>1.7361111111111109E-4</v>
      </c>
      <c r="H29" s="17" t="s">
        <v>80</v>
      </c>
      <c r="I29" s="20">
        <v>0.53706018518518517</v>
      </c>
      <c r="J29" s="17" t="s">
        <v>81</v>
      </c>
      <c r="K29" s="17" t="s">
        <v>138</v>
      </c>
      <c r="L29" s="21">
        <v>1</v>
      </c>
      <c r="M29" s="21">
        <v>70011</v>
      </c>
      <c r="N29" s="17" t="s">
        <v>58</v>
      </c>
      <c r="O29" s="21" t="s">
        <v>82</v>
      </c>
      <c r="P29" s="22">
        <v>64.709999999999994</v>
      </c>
      <c r="Q29" s="21"/>
      <c r="R29" s="22">
        <v>64.709999999999994</v>
      </c>
      <c r="S29" s="23">
        <v>46054</v>
      </c>
      <c r="T29" s="22">
        <v>9.7064999999999984</v>
      </c>
      <c r="U29" s="24">
        <v>4</v>
      </c>
      <c r="V29" s="22">
        <v>55.003499999999995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83</v>
      </c>
      <c r="AC29" s="17" t="s">
        <v>38</v>
      </c>
      <c r="AD29" s="7" t="str">
        <f t="shared" si="0"/>
        <v/>
      </c>
    </row>
    <row r="30" spans="1:49" s="9" customFormat="1" ht="35.1" customHeight="1" x14ac:dyDescent="0.2">
      <c r="A30" s="9" t="s">
        <v>101</v>
      </c>
      <c r="B30" s="10">
        <v>46070</v>
      </c>
      <c r="C30" s="10">
        <v>46070</v>
      </c>
      <c r="D30" s="11" t="s">
        <v>146</v>
      </c>
      <c r="E30" s="12">
        <v>0.54166666666666663</v>
      </c>
      <c r="F30" s="12">
        <v>0.5625</v>
      </c>
      <c r="G30" s="12">
        <v>2.0833333333333332E-2</v>
      </c>
      <c r="H30" s="9" t="s">
        <v>102</v>
      </c>
      <c r="I30" s="13"/>
      <c r="J30" s="9" t="s">
        <v>103</v>
      </c>
      <c r="L30" s="14">
        <v>1</v>
      </c>
      <c r="M30" s="14">
        <v>1</v>
      </c>
      <c r="N30" s="9" t="s">
        <v>33</v>
      </c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</row>
    <row r="31" spans="1:49" s="9" customFormat="1" ht="35.1" customHeight="1" x14ac:dyDescent="0.25">
      <c r="A31" s="17" t="s">
        <v>79</v>
      </c>
      <c r="B31" s="18">
        <v>46070</v>
      </c>
      <c r="C31" s="18">
        <v>46070</v>
      </c>
      <c r="D31" s="17" t="s">
        <v>146</v>
      </c>
      <c r="E31" s="19">
        <v>0.54166666666666663</v>
      </c>
      <c r="F31" s="19">
        <v>0.5625</v>
      </c>
      <c r="G31" s="19">
        <v>1.7361111111111109E-4</v>
      </c>
      <c r="H31" s="17" t="s">
        <v>107</v>
      </c>
      <c r="I31" s="20">
        <v>0.55462962962962958</v>
      </c>
      <c r="J31" s="17" t="s">
        <v>103</v>
      </c>
      <c r="K31" s="17" t="s">
        <v>139</v>
      </c>
      <c r="L31" s="21">
        <v>1</v>
      </c>
      <c r="M31" s="21">
        <v>69976</v>
      </c>
      <c r="N31" s="17" t="s">
        <v>58</v>
      </c>
      <c r="O31" s="21" t="s">
        <v>105</v>
      </c>
      <c r="P31" s="22">
        <v>64.709999999999994</v>
      </c>
      <c r="Q31" s="21"/>
      <c r="R31" s="22">
        <v>64.709999999999994</v>
      </c>
      <c r="S31" s="23">
        <v>46054</v>
      </c>
      <c r="T31" s="22">
        <v>9.7064999999999984</v>
      </c>
      <c r="U31" s="24">
        <v>4</v>
      </c>
      <c r="V31" s="22">
        <v>55.003499999999995</v>
      </c>
      <c r="W31" s="17" t="s">
        <v>48</v>
      </c>
      <c r="X31" s="17" t="s">
        <v>49</v>
      </c>
      <c r="Y31" s="17" t="s">
        <v>36</v>
      </c>
      <c r="Z31" s="17" t="s">
        <v>9</v>
      </c>
      <c r="AA31" s="17" t="s">
        <v>50</v>
      </c>
      <c r="AB31" s="17" t="s">
        <v>106</v>
      </c>
      <c r="AC31" s="17" t="s">
        <v>38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9" customFormat="1" ht="35.1" customHeight="1" x14ac:dyDescent="0.2">
      <c r="A32" s="9" t="s">
        <v>101</v>
      </c>
      <c r="B32" s="10">
        <v>46070</v>
      </c>
      <c r="C32" s="10">
        <v>46070</v>
      </c>
      <c r="D32" s="11" t="s">
        <v>146</v>
      </c>
      <c r="E32" s="12">
        <v>0.5625</v>
      </c>
      <c r="F32" s="12">
        <v>0.58333333333333337</v>
      </c>
      <c r="G32" s="12">
        <v>2.0833333333333332E-2</v>
      </c>
      <c r="H32" s="9" t="s">
        <v>108</v>
      </c>
      <c r="I32" s="13"/>
      <c r="J32" s="9" t="s">
        <v>103</v>
      </c>
      <c r="L32" s="14">
        <v>1</v>
      </c>
      <c r="M32" s="14">
        <v>1</v>
      </c>
      <c r="N32" s="9" t="s">
        <v>33</v>
      </c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</row>
    <row r="33" spans="1:49" s="9" customFormat="1" ht="35.1" customHeight="1" x14ac:dyDescent="0.25">
      <c r="A33" s="17" t="s">
        <v>79</v>
      </c>
      <c r="B33" s="18">
        <v>46070</v>
      </c>
      <c r="C33" s="18">
        <v>46070</v>
      </c>
      <c r="D33" s="17" t="s">
        <v>146</v>
      </c>
      <c r="E33" s="19">
        <v>0.5625</v>
      </c>
      <c r="F33" s="19">
        <v>0.58333333333333337</v>
      </c>
      <c r="G33" s="19">
        <v>1.7361111111111109E-4</v>
      </c>
      <c r="H33" s="17" t="s">
        <v>104</v>
      </c>
      <c r="I33" s="20">
        <v>0.58233796296296292</v>
      </c>
      <c r="J33" s="17" t="s">
        <v>103</v>
      </c>
      <c r="K33" s="17" t="s">
        <v>140</v>
      </c>
      <c r="L33" s="21">
        <v>1</v>
      </c>
      <c r="M33" s="21">
        <v>69977</v>
      </c>
      <c r="N33" s="17" t="s">
        <v>58</v>
      </c>
      <c r="O33" s="21" t="s">
        <v>105</v>
      </c>
      <c r="P33" s="22">
        <v>64.709999999999994</v>
      </c>
      <c r="Q33" s="21"/>
      <c r="R33" s="22">
        <v>64.709999999999994</v>
      </c>
      <c r="S33" s="23">
        <v>46054</v>
      </c>
      <c r="T33" s="22">
        <v>9.7064999999999984</v>
      </c>
      <c r="U33" s="24">
        <v>4</v>
      </c>
      <c r="V33" s="22">
        <v>55.003499999999995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106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</row>
    <row r="34" spans="1:49" s="9" customFormat="1" ht="35.1" customHeight="1" x14ac:dyDescent="0.2">
      <c r="A34" s="9" t="s">
        <v>109</v>
      </c>
      <c r="B34" s="10">
        <v>46070</v>
      </c>
      <c r="C34" s="10">
        <v>46070</v>
      </c>
      <c r="D34" s="11" t="s">
        <v>146</v>
      </c>
      <c r="E34" s="12">
        <v>0.58333333333333337</v>
      </c>
      <c r="F34" s="12">
        <v>0.625</v>
      </c>
      <c r="G34" s="12">
        <v>4.1666666666666664E-2</v>
      </c>
      <c r="H34" s="9" t="s">
        <v>110</v>
      </c>
      <c r="I34" s="13"/>
      <c r="J34" s="9" t="s">
        <v>111</v>
      </c>
      <c r="L34" s="14">
        <v>1</v>
      </c>
      <c r="M34" s="14">
        <v>1</v>
      </c>
      <c r="N34" s="9" t="s">
        <v>33</v>
      </c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</row>
    <row r="35" spans="1:49" s="9" customFormat="1" ht="35.1" customHeight="1" x14ac:dyDescent="0.25">
      <c r="A35" s="17" t="s">
        <v>79</v>
      </c>
      <c r="B35" s="18">
        <v>46070</v>
      </c>
      <c r="C35" s="18">
        <v>46070</v>
      </c>
      <c r="D35" s="17" t="s">
        <v>146</v>
      </c>
      <c r="E35" s="19">
        <v>0.54166666666666663</v>
      </c>
      <c r="F35" s="19">
        <v>0.66666666666666663</v>
      </c>
      <c r="G35" s="19">
        <v>1.7361111111111109E-4</v>
      </c>
      <c r="H35" s="17" t="s">
        <v>107</v>
      </c>
      <c r="I35" s="20">
        <v>0.60013888888888889</v>
      </c>
      <c r="J35" s="17" t="s">
        <v>103</v>
      </c>
      <c r="K35" s="17" t="s">
        <v>141</v>
      </c>
      <c r="L35" s="21">
        <v>1</v>
      </c>
      <c r="M35" s="21">
        <v>70033</v>
      </c>
      <c r="N35" s="17" t="s">
        <v>46</v>
      </c>
      <c r="O35" s="21" t="s">
        <v>105</v>
      </c>
      <c r="P35" s="22">
        <v>0</v>
      </c>
      <c r="Q35" s="21"/>
      <c r="R35" s="22">
        <v>0</v>
      </c>
      <c r="S35" s="23">
        <v>46054</v>
      </c>
      <c r="T35" s="22">
        <v>0</v>
      </c>
      <c r="U35" s="24">
        <v>4</v>
      </c>
      <c r="V35" s="22">
        <v>0</v>
      </c>
      <c r="W35" s="17" t="s">
        <v>48</v>
      </c>
      <c r="X35" s="17" t="s">
        <v>49</v>
      </c>
      <c r="Y35" s="17" t="s">
        <v>36</v>
      </c>
      <c r="Z35" s="17" t="s">
        <v>9</v>
      </c>
      <c r="AA35" s="17" t="s">
        <v>50</v>
      </c>
      <c r="AB35" s="17" t="s">
        <v>106</v>
      </c>
      <c r="AC35" s="17" t="s">
        <v>38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9" customFormat="1" ht="35.1" customHeight="1" x14ac:dyDescent="0.25">
      <c r="A36" s="9" t="s">
        <v>109</v>
      </c>
      <c r="B36" s="10">
        <v>46070</v>
      </c>
      <c r="C36" s="10">
        <v>46070</v>
      </c>
      <c r="D36" s="11" t="s">
        <v>146</v>
      </c>
      <c r="E36" s="12">
        <v>0.625</v>
      </c>
      <c r="F36" s="12">
        <v>0.64583333333333337</v>
      </c>
      <c r="G36" s="12">
        <v>2.0833333333333332E-2</v>
      </c>
      <c r="H36" s="9" t="s">
        <v>112</v>
      </c>
      <c r="I36" s="13"/>
      <c r="J36" s="9" t="s">
        <v>111</v>
      </c>
      <c r="L36" s="14">
        <v>1</v>
      </c>
      <c r="M36" s="14">
        <v>1</v>
      </c>
      <c r="N36" s="9" t="s">
        <v>33</v>
      </c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9" customFormat="1" ht="35.1" customHeight="1" x14ac:dyDescent="0.25">
      <c r="A37" s="9" t="s">
        <v>109</v>
      </c>
      <c r="B37" s="10">
        <v>46070</v>
      </c>
      <c r="C37" s="10">
        <v>46070</v>
      </c>
      <c r="D37" s="11" t="s">
        <v>146</v>
      </c>
      <c r="E37" s="12">
        <v>0.64583333333333337</v>
      </c>
      <c r="F37" s="12">
        <v>0.66666666666666663</v>
      </c>
      <c r="G37" s="12">
        <v>2.0833333333333332E-2</v>
      </c>
      <c r="H37" s="9" t="s">
        <v>113</v>
      </c>
      <c r="I37" s="13"/>
      <c r="J37" s="9" t="s">
        <v>111</v>
      </c>
      <c r="L37" s="14">
        <v>1</v>
      </c>
      <c r="M37" s="14">
        <v>1</v>
      </c>
      <c r="N37" s="9" t="s">
        <v>33</v>
      </c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9" customFormat="1" ht="35.1" customHeight="1" x14ac:dyDescent="0.25">
      <c r="A38" s="17" t="s">
        <v>79</v>
      </c>
      <c r="B38" s="18">
        <v>46070</v>
      </c>
      <c r="C38" s="18">
        <v>46070</v>
      </c>
      <c r="D38" s="17" t="s">
        <v>146</v>
      </c>
      <c r="E38" s="19">
        <v>0.58333333333333337</v>
      </c>
      <c r="F38" s="19">
        <v>0.66666666666666663</v>
      </c>
      <c r="G38" s="19">
        <v>1.7361111111111109E-4</v>
      </c>
      <c r="H38" s="17" t="s">
        <v>104</v>
      </c>
      <c r="I38" s="20">
        <v>0.65613425925925928</v>
      </c>
      <c r="J38" s="17" t="s">
        <v>103</v>
      </c>
      <c r="K38" s="17" t="s">
        <v>141</v>
      </c>
      <c r="L38" s="21">
        <v>1</v>
      </c>
      <c r="M38" s="21">
        <v>69978</v>
      </c>
      <c r="N38" s="17" t="s">
        <v>58</v>
      </c>
      <c r="O38" s="21" t="s">
        <v>105</v>
      </c>
      <c r="P38" s="22">
        <v>64.709999999999994</v>
      </c>
      <c r="Q38" s="21"/>
      <c r="R38" s="22">
        <v>64.709999999999994</v>
      </c>
      <c r="S38" s="23">
        <v>46054</v>
      </c>
      <c r="T38" s="22">
        <v>9.7064999999999984</v>
      </c>
      <c r="U38" s="24">
        <v>4</v>
      </c>
      <c r="V38" s="22">
        <v>55.003499999999995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106</v>
      </c>
      <c r="AC38" s="17" t="s">
        <v>38</v>
      </c>
      <c r="AD38" s="7" t="str">
        <f t="shared" si="0"/>
        <v/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9" customFormat="1" ht="35.1" customHeight="1" x14ac:dyDescent="0.25">
      <c r="A39" s="9" t="s">
        <v>114</v>
      </c>
      <c r="B39" s="10">
        <v>46070</v>
      </c>
      <c r="C39" s="10">
        <v>46070</v>
      </c>
      <c r="D39" s="11" t="s">
        <v>146</v>
      </c>
      <c r="E39" s="12">
        <v>0.66666666666666663</v>
      </c>
      <c r="F39" s="12">
        <v>0.6875</v>
      </c>
      <c r="G39" s="12">
        <v>2.0833333333333332E-2</v>
      </c>
      <c r="H39" s="9" t="s">
        <v>115</v>
      </c>
      <c r="I39" s="13"/>
      <c r="J39" s="9" t="s">
        <v>116</v>
      </c>
      <c r="L39" s="14">
        <v>1</v>
      </c>
      <c r="M39" s="14">
        <v>1</v>
      </c>
      <c r="N39" s="9" t="s">
        <v>33</v>
      </c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</row>
    <row r="40" spans="1:49" s="9" customFormat="1" ht="35.1" customHeight="1" x14ac:dyDescent="0.2">
      <c r="A40" s="9" t="s">
        <v>118</v>
      </c>
      <c r="B40" s="10">
        <v>46070</v>
      </c>
      <c r="C40" s="10">
        <v>46070</v>
      </c>
      <c r="D40" s="11" t="s">
        <v>146</v>
      </c>
      <c r="E40" s="12">
        <v>0.6875</v>
      </c>
      <c r="F40" s="12">
        <v>0.70833333333333337</v>
      </c>
      <c r="G40" s="12">
        <v>2.0833333333333332E-2</v>
      </c>
      <c r="H40" s="9" t="s">
        <v>119</v>
      </c>
      <c r="I40" s="13"/>
      <c r="J40" s="9" t="s">
        <v>116</v>
      </c>
      <c r="L40" s="14">
        <v>1</v>
      </c>
      <c r="M40" s="14">
        <v>1</v>
      </c>
      <c r="N40" s="9" t="s">
        <v>33</v>
      </c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</row>
    <row r="41" spans="1:49" s="9" customFormat="1" ht="35.1" customHeight="1" x14ac:dyDescent="0.25">
      <c r="A41" s="9" t="s">
        <v>114</v>
      </c>
      <c r="B41" s="10">
        <v>46070</v>
      </c>
      <c r="C41" s="10">
        <v>46070</v>
      </c>
      <c r="D41" s="11" t="s">
        <v>146</v>
      </c>
      <c r="E41" s="12">
        <v>0.70833333333333337</v>
      </c>
      <c r="F41" s="12">
        <v>0.75</v>
      </c>
      <c r="G41" s="12">
        <v>4.1666666666666664E-2</v>
      </c>
      <c r="H41" s="9" t="s">
        <v>159</v>
      </c>
      <c r="I41" s="13"/>
      <c r="J41" s="9" t="s">
        <v>116</v>
      </c>
      <c r="L41" s="14">
        <v>1</v>
      </c>
      <c r="M41" s="14">
        <v>1</v>
      </c>
      <c r="N41" s="9" t="s">
        <v>33</v>
      </c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s="9" customFormat="1" ht="35.1" customHeight="1" x14ac:dyDescent="0.25">
      <c r="A42" s="17" t="s">
        <v>84</v>
      </c>
      <c r="B42" s="18">
        <v>46070</v>
      </c>
      <c r="C42" s="18">
        <v>46070</v>
      </c>
      <c r="D42" s="17" t="s">
        <v>146</v>
      </c>
      <c r="E42" s="19">
        <v>0.66666666666666663</v>
      </c>
      <c r="F42" s="19">
        <v>0.79166666666666663</v>
      </c>
      <c r="G42" s="19">
        <v>3.4722222222222218E-4</v>
      </c>
      <c r="H42" s="17" t="s">
        <v>156</v>
      </c>
      <c r="I42" s="20">
        <v>0.71233796296296292</v>
      </c>
      <c r="J42" s="17" t="s">
        <v>116</v>
      </c>
      <c r="K42" s="17" t="s">
        <v>159</v>
      </c>
      <c r="L42" s="21">
        <v>1</v>
      </c>
      <c r="M42" s="21">
        <v>71441</v>
      </c>
      <c r="N42" s="17" t="s">
        <v>46</v>
      </c>
      <c r="O42" s="21" t="s">
        <v>157</v>
      </c>
      <c r="P42" s="22">
        <v>0</v>
      </c>
      <c r="Q42" s="21"/>
      <c r="R42" s="22">
        <v>0</v>
      </c>
      <c r="S42" s="23">
        <v>46070</v>
      </c>
      <c r="T42" s="22">
        <v>0</v>
      </c>
      <c r="U42" s="24">
        <v>4</v>
      </c>
      <c r="V42" s="22">
        <v>0</v>
      </c>
      <c r="W42" s="17" t="s">
        <v>48</v>
      </c>
      <c r="X42" s="17" t="s">
        <v>49</v>
      </c>
      <c r="Y42" s="17" t="s">
        <v>87</v>
      </c>
      <c r="Z42" s="17" t="s">
        <v>9</v>
      </c>
      <c r="AA42" s="17" t="s">
        <v>50</v>
      </c>
      <c r="AB42" s="17" t="s">
        <v>158</v>
      </c>
      <c r="AC42" s="17" t="s">
        <v>38</v>
      </c>
      <c r="AD42" s="7" t="str">
        <f t="shared" si="0"/>
        <v/>
      </c>
      <c r="AE42" s="25"/>
      <c r="AF42" s="25"/>
      <c r="AG42" s="25"/>
      <c r="AH42" s="25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9" customFormat="1" ht="35.1" customHeight="1" x14ac:dyDescent="0.2">
      <c r="A43" s="9" t="s">
        <v>118</v>
      </c>
      <c r="B43" s="10">
        <v>46070</v>
      </c>
      <c r="C43" s="10">
        <v>46070</v>
      </c>
      <c r="D43" s="11" t="s">
        <v>146</v>
      </c>
      <c r="E43" s="12">
        <v>0.75</v>
      </c>
      <c r="F43" s="12">
        <v>0.77083333333333337</v>
      </c>
      <c r="G43" s="12">
        <v>2.0833333333333332E-2</v>
      </c>
      <c r="H43" s="9" t="s">
        <v>121</v>
      </c>
      <c r="I43" s="13"/>
      <c r="J43" s="9" t="s">
        <v>116</v>
      </c>
      <c r="L43" s="14">
        <v>1</v>
      </c>
      <c r="M43" s="14">
        <v>1</v>
      </c>
      <c r="N43" s="9" t="s">
        <v>33</v>
      </c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</row>
    <row r="44" spans="1:49" s="9" customFormat="1" ht="35.1" customHeight="1" x14ac:dyDescent="0.25">
      <c r="A44" s="9" t="s">
        <v>118</v>
      </c>
      <c r="B44" s="10">
        <v>46070</v>
      </c>
      <c r="C44" s="10">
        <v>46070</v>
      </c>
      <c r="D44" s="11" t="s">
        <v>146</v>
      </c>
      <c r="E44" s="12">
        <v>0.77083333333333337</v>
      </c>
      <c r="F44" s="12">
        <v>0.79166666666666663</v>
      </c>
      <c r="G44" s="12">
        <v>2.0833333333333332E-2</v>
      </c>
      <c r="H44" s="9" t="s">
        <v>119</v>
      </c>
      <c r="I44" s="13"/>
      <c r="J44" s="9" t="s">
        <v>116</v>
      </c>
      <c r="L44" s="14">
        <v>1</v>
      </c>
      <c r="M44" s="14">
        <v>1</v>
      </c>
      <c r="N44" s="9" t="s">
        <v>33</v>
      </c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9" customFormat="1" ht="35.1" customHeight="1" x14ac:dyDescent="0.25">
      <c r="A45" s="9" t="s">
        <v>39</v>
      </c>
      <c r="B45" s="10">
        <v>46070</v>
      </c>
      <c r="C45" s="10">
        <v>46070</v>
      </c>
      <c r="D45" s="11" t="s">
        <v>146</v>
      </c>
      <c r="E45" s="12">
        <v>0.79166666666666663</v>
      </c>
      <c r="F45" s="12">
        <v>0.8125</v>
      </c>
      <c r="G45" s="12">
        <v>2.0833333333333332E-2</v>
      </c>
      <c r="H45" s="9" t="s">
        <v>122</v>
      </c>
      <c r="I45" s="13"/>
      <c r="J45" s="9" t="s">
        <v>123</v>
      </c>
      <c r="L45" s="14">
        <v>1</v>
      </c>
      <c r="M45" s="14">
        <v>1</v>
      </c>
      <c r="N45" s="9" t="s">
        <v>33</v>
      </c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9" customFormat="1" ht="35.1" customHeight="1" x14ac:dyDescent="0.25">
      <c r="A46" s="17" t="s">
        <v>125</v>
      </c>
      <c r="B46" s="18">
        <v>46070</v>
      </c>
      <c r="C46" s="18">
        <v>46070</v>
      </c>
      <c r="D46" s="17" t="s">
        <v>146</v>
      </c>
      <c r="E46" s="19">
        <v>0.79166666666666663</v>
      </c>
      <c r="F46" s="19">
        <v>0.83333333333333337</v>
      </c>
      <c r="G46" s="19">
        <v>1.7361111111111109E-4</v>
      </c>
      <c r="H46" s="17" t="s">
        <v>126</v>
      </c>
      <c r="I46" s="20">
        <v>0.80483796296296295</v>
      </c>
      <c r="J46" s="17" t="s">
        <v>123</v>
      </c>
      <c r="K46" s="17" t="s">
        <v>122</v>
      </c>
      <c r="L46" s="21">
        <v>1</v>
      </c>
      <c r="M46" s="21">
        <v>71281</v>
      </c>
      <c r="N46" s="17" t="s">
        <v>58</v>
      </c>
      <c r="O46" s="21" t="s">
        <v>38</v>
      </c>
      <c r="P46" s="22">
        <v>90</v>
      </c>
      <c r="Q46" s="21"/>
      <c r="R46" s="22">
        <v>90</v>
      </c>
      <c r="S46" s="23">
        <v>46070</v>
      </c>
      <c r="T46" s="22">
        <v>13.5</v>
      </c>
      <c r="U46" s="24">
        <v>4</v>
      </c>
      <c r="V46" s="22">
        <v>76.5</v>
      </c>
      <c r="W46" s="17" t="s">
        <v>48</v>
      </c>
      <c r="X46" s="17" t="s">
        <v>49</v>
      </c>
      <c r="Y46" s="17" t="s">
        <v>87</v>
      </c>
      <c r="Z46" s="17" t="s">
        <v>9</v>
      </c>
      <c r="AA46" s="17" t="s">
        <v>50</v>
      </c>
      <c r="AB46" s="17" t="s">
        <v>127</v>
      </c>
      <c r="AC46" s="17" t="s">
        <v>38</v>
      </c>
      <c r="AD46" s="7" t="str">
        <f t="shared" si="0"/>
        <v/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9" customFormat="1" ht="35.1" customHeight="1" x14ac:dyDescent="0.25">
      <c r="A47" s="17" t="s">
        <v>44</v>
      </c>
      <c r="B47" s="18">
        <v>46070</v>
      </c>
      <c r="C47" s="18">
        <v>46070</v>
      </c>
      <c r="D47" s="17" t="s">
        <v>146</v>
      </c>
      <c r="E47" s="19">
        <v>0.25</v>
      </c>
      <c r="F47" s="19">
        <v>0.99930555555555556</v>
      </c>
      <c r="G47" s="19">
        <v>1.7361111111111109E-4</v>
      </c>
      <c r="H47" s="17" t="s">
        <v>124</v>
      </c>
      <c r="I47" s="20">
        <v>0.81178240740740737</v>
      </c>
      <c r="J47" s="17" t="s">
        <v>41</v>
      </c>
      <c r="K47" s="17" t="s">
        <v>122</v>
      </c>
      <c r="L47" s="21">
        <v>1</v>
      </c>
      <c r="M47" s="21">
        <v>66852</v>
      </c>
      <c r="N47" s="17" t="s">
        <v>46</v>
      </c>
      <c r="O47" s="21" t="s">
        <v>47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48</v>
      </c>
      <c r="X47" s="17" t="s">
        <v>49</v>
      </c>
      <c r="Y47" s="17" t="s">
        <v>36</v>
      </c>
      <c r="Z47" s="17" t="s">
        <v>9</v>
      </c>
      <c r="AA47" s="17" t="s">
        <v>50</v>
      </c>
      <c r="AB47" s="17" t="s">
        <v>51</v>
      </c>
      <c r="AC47" s="17" t="s">
        <v>38</v>
      </c>
      <c r="AD47" s="7" t="str">
        <f t="shared" si="0"/>
        <v/>
      </c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</row>
    <row r="48" spans="1:49" s="9" customFormat="1" ht="35.1" customHeight="1" x14ac:dyDescent="0.25">
      <c r="A48" s="9" t="s">
        <v>39</v>
      </c>
      <c r="B48" s="10">
        <v>46070</v>
      </c>
      <c r="C48" s="10">
        <v>46070</v>
      </c>
      <c r="D48" s="11" t="s">
        <v>146</v>
      </c>
      <c r="E48" s="12">
        <v>0.8125</v>
      </c>
      <c r="F48" s="12">
        <v>0.83333333333333337</v>
      </c>
      <c r="G48" s="12">
        <v>2.0833333333333332E-2</v>
      </c>
      <c r="H48" s="9" t="s">
        <v>130</v>
      </c>
      <c r="I48" s="13"/>
      <c r="J48" s="9" t="s">
        <v>123</v>
      </c>
      <c r="L48" s="14">
        <v>1</v>
      </c>
      <c r="M48" s="14">
        <v>1</v>
      </c>
      <c r="N48" s="9" t="s">
        <v>33</v>
      </c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9" customFormat="1" ht="35.1" customHeight="1" x14ac:dyDescent="0.25">
      <c r="A49" s="17" t="s">
        <v>92</v>
      </c>
      <c r="B49" s="18">
        <v>46070</v>
      </c>
      <c r="C49" s="18">
        <v>46070</v>
      </c>
      <c r="D49" s="17" t="s">
        <v>146</v>
      </c>
      <c r="E49" s="19">
        <v>0.8125</v>
      </c>
      <c r="F49" s="19">
        <v>0.83333333333333337</v>
      </c>
      <c r="G49" s="19">
        <v>5.7870370370370373E-5</v>
      </c>
      <c r="H49" s="17" t="s">
        <v>160</v>
      </c>
      <c r="I49" s="20">
        <v>0.82243055555555555</v>
      </c>
      <c r="J49" s="17" t="s">
        <v>123</v>
      </c>
      <c r="K49" s="17" t="s">
        <v>143</v>
      </c>
      <c r="L49" s="21">
        <v>1</v>
      </c>
      <c r="M49" s="21">
        <v>71832</v>
      </c>
      <c r="N49" s="17" t="s">
        <v>58</v>
      </c>
      <c r="O49" s="21" t="s">
        <v>154</v>
      </c>
      <c r="P49" s="22">
        <v>41.025641025641029</v>
      </c>
      <c r="Q49" s="21"/>
      <c r="R49" s="22">
        <v>41.025641025641029</v>
      </c>
      <c r="S49" s="23">
        <v>46070</v>
      </c>
      <c r="T49" s="22">
        <v>6.1538461538461542</v>
      </c>
      <c r="U49" s="24">
        <v>4</v>
      </c>
      <c r="V49" s="22">
        <v>34.871794871794876</v>
      </c>
      <c r="W49" s="17" t="s">
        <v>48</v>
      </c>
      <c r="X49" s="17" t="s">
        <v>49</v>
      </c>
      <c r="Y49" s="17" t="s">
        <v>87</v>
      </c>
      <c r="Z49" s="17" t="s">
        <v>9</v>
      </c>
      <c r="AA49" s="17" t="s">
        <v>50</v>
      </c>
      <c r="AB49" s="17" t="s">
        <v>155</v>
      </c>
      <c r="AC49" s="17" t="s">
        <v>38</v>
      </c>
      <c r="AD49" s="7" t="str">
        <f t="shared" si="0"/>
        <v/>
      </c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</row>
    <row r="50" spans="1:49" s="9" customFormat="1" ht="35.1" customHeight="1" x14ac:dyDescent="0.2">
      <c r="A50" s="17" t="s">
        <v>44</v>
      </c>
      <c r="B50" s="18">
        <v>46070</v>
      </c>
      <c r="C50" s="18">
        <v>46070</v>
      </c>
      <c r="D50" s="17" t="s">
        <v>146</v>
      </c>
      <c r="E50" s="19">
        <v>0.79166666666666663</v>
      </c>
      <c r="F50" s="19">
        <v>0.99930555555555556</v>
      </c>
      <c r="G50" s="19">
        <v>1.6203703703703701E-4</v>
      </c>
      <c r="H50" s="17" t="s">
        <v>129</v>
      </c>
      <c r="I50" s="20">
        <v>0.83246527777777779</v>
      </c>
      <c r="J50" s="17" t="s">
        <v>123</v>
      </c>
      <c r="K50" s="17" t="s">
        <v>143</v>
      </c>
      <c r="L50" s="21">
        <v>1</v>
      </c>
      <c r="M50" s="21">
        <v>66849</v>
      </c>
      <c r="N50" s="17" t="s">
        <v>58</v>
      </c>
      <c r="O50" s="21" t="s">
        <v>47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59.5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51</v>
      </c>
      <c r="AC50" s="17" t="s">
        <v>38</v>
      </c>
      <c r="AD50" s="7" t="str">
        <f t="shared" si="0"/>
        <v/>
      </c>
    </row>
    <row r="51" spans="1:49" s="9" customFormat="1" ht="35.1" customHeight="1" x14ac:dyDescent="0.2">
      <c r="A51" s="9" t="s">
        <v>131</v>
      </c>
      <c r="B51" s="10">
        <v>46070</v>
      </c>
      <c r="C51" s="10">
        <v>46070</v>
      </c>
      <c r="D51" s="11" t="s">
        <v>146</v>
      </c>
      <c r="E51" s="12">
        <v>0.83333333333333337</v>
      </c>
      <c r="F51" s="12">
        <v>0.875</v>
      </c>
      <c r="G51" s="12">
        <v>4.1666666666666664E-2</v>
      </c>
      <c r="H51" s="9" t="s">
        <v>132</v>
      </c>
      <c r="I51" s="13"/>
      <c r="J51" s="9" t="s">
        <v>41</v>
      </c>
      <c r="L51" s="14">
        <v>1</v>
      </c>
      <c r="M51" s="14">
        <v>1</v>
      </c>
      <c r="N51" s="9" t="s">
        <v>33</v>
      </c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</row>
    <row r="52" spans="1:49" s="9" customFormat="1" ht="35.1" customHeight="1" x14ac:dyDescent="0.25">
      <c r="A52" s="17" t="s">
        <v>56</v>
      </c>
      <c r="B52" s="18">
        <v>46070</v>
      </c>
      <c r="C52" s="18">
        <v>46070</v>
      </c>
      <c r="D52" s="17" t="s">
        <v>146</v>
      </c>
      <c r="E52" s="19">
        <v>0.25</v>
      </c>
      <c r="F52" s="19">
        <v>0.875</v>
      </c>
      <c r="G52" s="19">
        <v>1.7361111111111109E-4</v>
      </c>
      <c r="H52" s="17" t="s">
        <v>57</v>
      </c>
      <c r="I52" s="20">
        <v>0.84444444444444444</v>
      </c>
      <c r="J52" s="17" t="s">
        <v>41</v>
      </c>
      <c r="K52" s="17" t="s">
        <v>144</v>
      </c>
      <c r="L52" s="21">
        <v>1</v>
      </c>
      <c r="M52" s="21">
        <v>71977</v>
      </c>
      <c r="N52" s="17" t="s">
        <v>58</v>
      </c>
      <c r="O52" s="21" t="s">
        <v>59</v>
      </c>
      <c r="P52" s="22">
        <v>0</v>
      </c>
      <c r="Q52" s="21"/>
      <c r="R52" s="22">
        <v>90</v>
      </c>
      <c r="S52" s="23">
        <v>46054</v>
      </c>
      <c r="T52" s="22">
        <v>0</v>
      </c>
      <c r="U52" s="24">
        <v>4</v>
      </c>
      <c r="V52" s="22">
        <v>0</v>
      </c>
      <c r="W52" s="17" t="s">
        <v>48</v>
      </c>
      <c r="X52" s="17" t="s">
        <v>49</v>
      </c>
      <c r="Y52" s="17" t="s">
        <v>36</v>
      </c>
      <c r="Z52" s="17" t="s">
        <v>43</v>
      </c>
      <c r="AA52" s="17" t="s">
        <v>50</v>
      </c>
      <c r="AB52" s="17" t="s">
        <v>60</v>
      </c>
      <c r="AC52" s="17" t="s">
        <v>38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9" customFormat="1" ht="35.1" customHeight="1" x14ac:dyDescent="0.25">
      <c r="A53" s="17" t="s">
        <v>44</v>
      </c>
      <c r="B53" s="18">
        <v>46070</v>
      </c>
      <c r="C53" s="18">
        <v>46070</v>
      </c>
      <c r="D53" s="17" t="s">
        <v>146</v>
      </c>
      <c r="E53" s="19">
        <v>0.83333333333333337</v>
      </c>
      <c r="F53" s="19">
        <v>0.875</v>
      </c>
      <c r="G53" s="19">
        <v>1.6203703703703701E-4</v>
      </c>
      <c r="H53" s="17" t="s">
        <v>45</v>
      </c>
      <c r="I53" s="20">
        <v>0.84461805555555558</v>
      </c>
      <c r="J53" s="17" t="s">
        <v>41</v>
      </c>
      <c r="K53" s="17" t="s">
        <v>144</v>
      </c>
      <c r="L53" s="21">
        <v>1</v>
      </c>
      <c r="M53" s="21">
        <v>66850</v>
      </c>
      <c r="N53" s="17" t="s">
        <v>58</v>
      </c>
      <c r="O53" s="21" t="s">
        <v>47</v>
      </c>
      <c r="P53" s="22">
        <v>0</v>
      </c>
      <c r="Q53" s="21"/>
      <c r="R53" s="22">
        <v>0</v>
      </c>
      <c r="S53" s="23">
        <v>46054</v>
      </c>
      <c r="T53" s="22">
        <v>0</v>
      </c>
      <c r="U53" s="24">
        <v>4</v>
      </c>
      <c r="V53" s="22">
        <v>59.5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 t="s">
        <v>51</v>
      </c>
      <c r="AC53" s="17" t="s">
        <v>38</v>
      </c>
      <c r="AD53" s="7" t="str">
        <f t="shared" si="0"/>
        <v/>
      </c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1:49" s="9" customFormat="1" ht="35.1" customHeight="1" x14ac:dyDescent="0.25">
      <c r="A54" s="17" t="s">
        <v>44</v>
      </c>
      <c r="B54" s="18">
        <v>46070</v>
      </c>
      <c r="C54" s="18">
        <v>46070</v>
      </c>
      <c r="D54" s="17" t="s">
        <v>146</v>
      </c>
      <c r="E54" s="19">
        <v>0.83333333333333337</v>
      </c>
      <c r="F54" s="19">
        <v>0.875</v>
      </c>
      <c r="G54" s="19">
        <v>1.7361111111111109E-4</v>
      </c>
      <c r="H54" s="17" t="s">
        <v>55</v>
      </c>
      <c r="I54" s="20">
        <v>0.87472222222222218</v>
      </c>
      <c r="J54" s="17" t="s">
        <v>41</v>
      </c>
      <c r="K54" s="17" t="s">
        <v>144</v>
      </c>
      <c r="L54" s="21">
        <v>1</v>
      </c>
      <c r="M54" s="21">
        <v>66850</v>
      </c>
      <c r="N54" s="17" t="s">
        <v>58</v>
      </c>
      <c r="O54" s="21" t="s">
        <v>47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59.5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51</v>
      </c>
      <c r="AC54" s="17" t="s">
        <v>38</v>
      </c>
      <c r="AD54" s="7" t="str">
        <f t="shared" si="0"/>
        <v/>
      </c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</row>
    <row r="55" spans="1:49" s="9" customFormat="1" ht="35.1" customHeight="1" x14ac:dyDescent="0.25">
      <c r="A55" s="9" t="s">
        <v>133</v>
      </c>
      <c r="B55" s="10">
        <v>46070</v>
      </c>
      <c r="C55" s="10">
        <v>46070</v>
      </c>
      <c r="D55" s="11" t="s">
        <v>146</v>
      </c>
      <c r="E55" s="12">
        <v>0.875</v>
      </c>
      <c r="F55" s="12">
        <v>0.91666666666666663</v>
      </c>
      <c r="G55" s="12">
        <v>4.1666666666666664E-2</v>
      </c>
      <c r="H55" s="9" t="s">
        <v>134</v>
      </c>
      <c r="I55" s="13"/>
      <c r="J55" s="9" t="s">
        <v>41</v>
      </c>
      <c r="L55" s="14">
        <v>1</v>
      </c>
      <c r="M55" s="14">
        <v>1</v>
      </c>
      <c r="N55" s="9" t="s">
        <v>33</v>
      </c>
      <c r="P55" s="16">
        <v>0</v>
      </c>
      <c r="Q55" s="14"/>
      <c r="R55" s="16">
        <v>0</v>
      </c>
      <c r="S55" s="9">
        <v>46054</v>
      </c>
      <c r="T55" s="16">
        <v>0</v>
      </c>
      <c r="U55" s="14">
        <v>2</v>
      </c>
      <c r="V55" s="16">
        <v>0</v>
      </c>
      <c r="W55" s="9" t="s">
        <v>34</v>
      </c>
      <c r="X55" s="9" t="s">
        <v>42</v>
      </c>
      <c r="Y55" s="9" t="s">
        <v>36</v>
      </c>
      <c r="Z55" s="9" t="s">
        <v>43</v>
      </c>
      <c r="AA55" s="9" t="s">
        <v>37</v>
      </c>
      <c r="AB55" s="9" t="s">
        <v>37</v>
      </c>
      <c r="AC55" s="9" t="s">
        <v>38</v>
      </c>
      <c r="AD55" s="7" t="str">
        <f t="shared" si="0"/>
        <v/>
      </c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1:49" s="9" customFormat="1" ht="35.1" customHeight="1" x14ac:dyDescent="0.2">
      <c r="A56" s="17" t="s">
        <v>125</v>
      </c>
      <c r="B56" s="18">
        <v>46070</v>
      </c>
      <c r="C56" s="18">
        <v>46070</v>
      </c>
      <c r="D56" s="17" t="s">
        <v>146</v>
      </c>
      <c r="E56" s="19">
        <v>0.83333333333333337</v>
      </c>
      <c r="F56" s="19">
        <v>0.91666666666666663</v>
      </c>
      <c r="G56" s="19">
        <v>1.7361111111111112E-4</v>
      </c>
      <c r="H56" s="17" t="s">
        <v>161</v>
      </c>
      <c r="I56" s="20">
        <v>0.90026620370370369</v>
      </c>
      <c r="J56" s="17" t="s">
        <v>41</v>
      </c>
      <c r="K56" s="17" t="s">
        <v>134</v>
      </c>
      <c r="L56" s="21">
        <v>1</v>
      </c>
      <c r="M56" s="21">
        <v>71282</v>
      </c>
      <c r="N56" s="17" t="s">
        <v>58</v>
      </c>
      <c r="O56" s="21" t="s">
        <v>38</v>
      </c>
      <c r="P56" s="22">
        <v>90</v>
      </c>
      <c r="Q56" s="21"/>
      <c r="R56" s="22">
        <v>90</v>
      </c>
      <c r="S56" s="23">
        <v>46070</v>
      </c>
      <c r="T56" s="22">
        <v>13.5</v>
      </c>
      <c r="U56" s="24">
        <v>4</v>
      </c>
      <c r="V56" s="22">
        <v>76.5</v>
      </c>
      <c r="W56" s="17" t="s">
        <v>48</v>
      </c>
      <c r="X56" s="17" t="s">
        <v>49</v>
      </c>
      <c r="Y56" s="17" t="s">
        <v>87</v>
      </c>
      <c r="Z56" s="17" t="s">
        <v>9</v>
      </c>
      <c r="AA56" s="17" t="s">
        <v>50</v>
      </c>
      <c r="AB56" s="17" t="s">
        <v>127</v>
      </c>
      <c r="AC56" s="17" t="s">
        <v>38</v>
      </c>
      <c r="AD56" s="7" t="str">
        <f t="shared" si="0"/>
        <v/>
      </c>
    </row>
    <row r="57" spans="1:49" s="9" customFormat="1" ht="35.1" customHeight="1" x14ac:dyDescent="0.25">
      <c r="A57" s="17" t="s">
        <v>92</v>
      </c>
      <c r="B57" s="18">
        <v>46070</v>
      </c>
      <c r="C57" s="18">
        <v>46070</v>
      </c>
      <c r="D57" s="17" t="s">
        <v>146</v>
      </c>
      <c r="E57" s="19">
        <v>0.875</v>
      </c>
      <c r="F57" s="19">
        <v>0.91666666666666663</v>
      </c>
      <c r="G57" s="19">
        <v>5.7870370370370373E-5</v>
      </c>
      <c r="H57" s="17" t="s">
        <v>162</v>
      </c>
      <c r="I57" s="20">
        <v>0.91527777777777775</v>
      </c>
      <c r="J57" s="17" t="s">
        <v>41</v>
      </c>
      <c r="K57" s="17" t="s">
        <v>134</v>
      </c>
      <c r="L57" s="21">
        <v>1</v>
      </c>
      <c r="M57" s="21">
        <v>71822</v>
      </c>
      <c r="N57" s="17" t="s">
        <v>58</v>
      </c>
      <c r="O57" s="21" t="s">
        <v>154</v>
      </c>
      <c r="P57" s="22">
        <v>41.025641025641029</v>
      </c>
      <c r="Q57" s="21"/>
      <c r="R57" s="22">
        <v>41.025641025641029</v>
      </c>
      <c r="S57" s="23">
        <v>46070</v>
      </c>
      <c r="T57" s="22">
        <v>6.1538461538461542</v>
      </c>
      <c r="U57" s="24">
        <v>4</v>
      </c>
      <c r="V57" s="22">
        <v>34.871794871794876</v>
      </c>
      <c r="W57" s="17" t="s">
        <v>48</v>
      </c>
      <c r="X57" s="17" t="s">
        <v>49</v>
      </c>
      <c r="Y57" s="17" t="s">
        <v>87</v>
      </c>
      <c r="Z57" s="17" t="s">
        <v>9</v>
      </c>
      <c r="AA57" s="17" t="s">
        <v>50</v>
      </c>
      <c r="AB57" s="17" t="s">
        <v>155</v>
      </c>
      <c r="AC57" s="17" t="s">
        <v>38</v>
      </c>
      <c r="AD57" s="7" t="str">
        <f t="shared" si="0"/>
        <v/>
      </c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</row>
    <row r="58" spans="1:49" s="9" customFormat="1" ht="35.1" customHeight="1" x14ac:dyDescent="0.2">
      <c r="A58" s="9" t="s">
        <v>133</v>
      </c>
      <c r="B58" s="10">
        <v>46070</v>
      </c>
      <c r="C58" s="10">
        <v>46070</v>
      </c>
      <c r="D58" s="11" t="s">
        <v>146</v>
      </c>
      <c r="E58" s="12">
        <v>0.91666666666666663</v>
      </c>
      <c r="F58" s="12">
        <v>0.97916666666666663</v>
      </c>
      <c r="G58" s="12">
        <v>6.25E-2</v>
      </c>
      <c r="H58" s="9" t="s">
        <v>163</v>
      </c>
      <c r="I58" s="13"/>
      <c r="J58" s="9" t="s">
        <v>41</v>
      </c>
      <c r="L58" s="14">
        <v>1</v>
      </c>
      <c r="M58" s="14">
        <v>1</v>
      </c>
      <c r="N58" s="9" t="s">
        <v>33</v>
      </c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</row>
    <row r="59" spans="1:49" s="9" customFormat="1" ht="35.1" customHeight="1" x14ac:dyDescent="0.25">
      <c r="A59" s="17" t="s">
        <v>44</v>
      </c>
      <c r="B59" s="18">
        <v>46070</v>
      </c>
      <c r="C59" s="18">
        <v>46070</v>
      </c>
      <c r="D59" s="17" t="s">
        <v>146</v>
      </c>
      <c r="E59" s="19">
        <v>0.25</v>
      </c>
      <c r="F59" s="19">
        <v>0.99930555555555556</v>
      </c>
      <c r="G59" s="19">
        <v>1.6203703703703701E-4</v>
      </c>
      <c r="H59" s="17" t="s">
        <v>45</v>
      </c>
      <c r="I59" s="20">
        <v>0.94719907407407411</v>
      </c>
      <c r="J59" s="17" t="s">
        <v>41</v>
      </c>
      <c r="K59" s="17" t="s">
        <v>163</v>
      </c>
      <c r="L59" s="21">
        <v>1</v>
      </c>
      <c r="M59" s="21">
        <v>66852</v>
      </c>
      <c r="N59" s="17" t="s">
        <v>46</v>
      </c>
      <c r="O59" s="21" t="s">
        <v>47</v>
      </c>
      <c r="P59" s="22">
        <v>0</v>
      </c>
      <c r="Q59" s="21"/>
      <c r="R59" s="22">
        <v>0</v>
      </c>
      <c r="S59" s="23">
        <v>46054</v>
      </c>
      <c r="T59" s="22">
        <v>0</v>
      </c>
      <c r="U59" s="24">
        <v>4</v>
      </c>
      <c r="V59" s="22">
        <v>0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 t="s">
        <v>51</v>
      </c>
      <c r="AC59" s="17" t="s">
        <v>38</v>
      </c>
      <c r="AD59" s="7" t="str">
        <f t="shared" si="0"/>
        <v/>
      </c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</row>
    <row r="60" spans="1:49" s="9" customFormat="1" ht="35.1" customHeight="1" x14ac:dyDescent="0.2">
      <c r="A60" s="9" t="s">
        <v>39</v>
      </c>
      <c r="B60" s="10">
        <v>46070</v>
      </c>
      <c r="C60" s="10">
        <v>46070</v>
      </c>
      <c r="D60" s="11" t="s">
        <v>146</v>
      </c>
      <c r="E60" s="12">
        <v>0.97916666666666663</v>
      </c>
      <c r="F60" s="12">
        <v>1</v>
      </c>
      <c r="G60" s="12">
        <v>2.0833333333333332E-2</v>
      </c>
      <c r="H60" s="9" t="s">
        <v>136</v>
      </c>
      <c r="I60" s="13"/>
      <c r="J60" s="9" t="s">
        <v>123</v>
      </c>
      <c r="L60" s="14">
        <v>1</v>
      </c>
      <c r="M60" s="14">
        <v>1</v>
      </c>
      <c r="N60" s="9" t="s">
        <v>33</v>
      </c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</row>
    <row r="61" spans="1:49" s="9" customFormat="1" ht="35.1" customHeight="1" x14ac:dyDescent="0.2">
      <c r="A61" s="17" t="s">
        <v>44</v>
      </c>
      <c r="B61" s="18">
        <v>46070</v>
      </c>
      <c r="C61" s="18">
        <v>46070</v>
      </c>
      <c r="D61" s="17" t="s">
        <v>146</v>
      </c>
      <c r="E61" s="19">
        <v>0.79166666666666663</v>
      </c>
      <c r="F61" s="19">
        <v>0.99930555555555556</v>
      </c>
      <c r="G61" s="19">
        <v>1.6203703703703701E-4</v>
      </c>
      <c r="H61" s="17" t="s">
        <v>129</v>
      </c>
      <c r="I61" s="20">
        <v>0.99089120370370365</v>
      </c>
      <c r="J61" s="17" t="s">
        <v>123</v>
      </c>
      <c r="K61" s="17" t="s">
        <v>136</v>
      </c>
      <c r="L61" s="21">
        <v>1</v>
      </c>
      <c r="M61" s="21">
        <v>66849</v>
      </c>
      <c r="N61" s="17" t="s">
        <v>58</v>
      </c>
      <c r="O61" s="21" t="s">
        <v>47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59.5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51</v>
      </c>
      <c r="AC61" s="17" t="s">
        <v>38</v>
      </c>
      <c r="AD61" s="7" t="str">
        <f t="shared" si="0"/>
        <v/>
      </c>
    </row>
    <row r="65" customFormat="1" ht="35.1" customHeight="1" x14ac:dyDescent="0.2"/>
    <row r="66" customFormat="1" ht="35.1" customHeight="1" x14ac:dyDescent="0.2"/>
    <row r="67" customFormat="1" ht="35.1" customHeight="1" x14ac:dyDescent="0.2"/>
    <row r="68" customFormat="1" ht="35.1" customHeight="1" x14ac:dyDescent="0.2"/>
    <row r="69" customFormat="1" ht="35.1" customHeight="1" x14ac:dyDescent="0.2"/>
    <row r="70" customFormat="1" ht="35.1" customHeight="1" x14ac:dyDescent="0.2"/>
    <row r="71" customFormat="1" ht="35.1" customHeight="1" x14ac:dyDescent="0.2"/>
    <row r="72" customFormat="1" ht="35.1" customHeight="1" x14ac:dyDescent="0.2"/>
    <row r="73" customFormat="1" ht="35.1" customHeight="1" x14ac:dyDescent="0.2"/>
    <row r="74" customFormat="1" ht="35.1" customHeight="1" x14ac:dyDescent="0.2"/>
    <row r="75" customFormat="1" ht="35.1" customHeight="1" x14ac:dyDescent="0.2"/>
    <row r="76" customFormat="1" ht="35.1" customHeight="1" x14ac:dyDescent="0.2"/>
    <row r="77" customFormat="1" ht="35.1" customHeight="1" x14ac:dyDescent="0.2"/>
    <row r="78" customFormat="1" ht="35.1" customHeight="1" x14ac:dyDescent="0.2"/>
    <row r="79" customFormat="1" ht="35.1" customHeight="1" x14ac:dyDescent="0.2"/>
    <row r="80" customFormat="1" ht="35.1" customHeight="1" x14ac:dyDescent="0.2"/>
    <row r="81" customFormat="1" ht="35.1" customHeight="1" x14ac:dyDescent="0.2"/>
    <row r="82" customFormat="1" ht="35.1" customHeight="1" x14ac:dyDescent="0.2"/>
    <row r="83" customFormat="1" ht="35.1" customHeight="1" x14ac:dyDescent="0.2"/>
    <row r="84" customFormat="1" ht="35.1" customHeight="1" x14ac:dyDescent="0.2"/>
    <row r="85" customFormat="1" ht="35.1" customHeight="1" x14ac:dyDescent="0.2"/>
    <row r="86" customFormat="1" ht="35.1" customHeight="1" x14ac:dyDescent="0.2"/>
    <row r="87" customFormat="1" ht="35.1" customHeight="1" x14ac:dyDescent="0.2"/>
    <row r="88" customFormat="1" ht="35.1" customHeight="1" x14ac:dyDescent="0.2"/>
    <row r="89" customFormat="1" ht="35.1" customHeight="1" x14ac:dyDescent="0.2"/>
    <row r="90" customFormat="1" ht="35.1" customHeight="1" x14ac:dyDescent="0.2"/>
    <row r="91" customFormat="1" ht="35.1" customHeight="1" x14ac:dyDescent="0.2"/>
    <row r="92" customFormat="1" ht="35.1" customHeight="1" x14ac:dyDescent="0.2"/>
    <row r="93" customFormat="1" ht="35.1" customHeight="1" x14ac:dyDescent="0.2"/>
    <row r="94" customFormat="1" ht="35.1" customHeight="1" x14ac:dyDescent="0.2"/>
    <row r="95" customFormat="1" ht="35.1" customHeight="1" x14ac:dyDescent="0.2"/>
    <row r="96" customFormat="1" ht="35.1" customHeight="1" x14ac:dyDescent="0.2"/>
    <row r="97" customFormat="1" ht="35.1" customHeight="1" x14ac:dyDescent="0.2"/>
    <row r="98" customFormat="1" ht="35.1" customHeight="1" x14ac:dyDescent="0.2"/>
    <row r="99" customFormat="1" ht="35.1" customHeight="1" x14ac:dyDescent="0.2"/>
    <row r="100" customFormat="1" ht="35.1" customHeight="1" x14ac:dyDescent="0.2"/>
    <row r="101" customFormat="1" ht="35.1" customHeight="1" x14ac:dyDescent="0.2"/>
    <row r="102" customFormat="1" ht="35.1" customHeight="1" x14ac:dyDescent="0.2"/>
    <row r="103" customFormat="1" ht="35.1" customHeight="1" x14ac:dyDescent="0.2"/>
    <row r="104" customFormat="1" ht="35.1" customHeight="1" x14ac:dyDescent="0.2"/>
    <row r="105" customFormat="1" ht="35.1" customHeight="1" x14ac:dyDescent="0.2"/>
    <row r="106" customFormat="1" ht="35.1" customHeight="1" x14ac:dyDescent="0.2"/>
    <row r="107" customFormat="1" ht="35.1" customHeight="1" x14ac:dyDescent="0.2"/>
    <row r="108" customFormat="1" ht="35.1" customHeight="1" x14ac:dyDescent="0.2"/>
    <row r="109" customFormat="1" ht="35.1" customHeight="1" x14ac:dyDescent="0.2"/>
    <row r="110" customFormat="1" ht="35.1" customHeight="1" x14ac:dyDescent="0.2"/>
    <row r="111" customFormat="1" ht="35.1" customHeight="1" x14ac:dyDescent="0.2"/>
    <row r="112" customFormat="1" ht="35.1" customHeight="1" x14ac:dyDescent="0.2"/>
    <row r="113" customFormat="1" ht="35.1" customHeight="1" x14ac:dyDescent="0.2"/>
    <row r="114" customFormat="1" ht="35.1" customHeight="1" x14ac:dyDescent="0.2"/>
    <row r="115" customFormat="1" ht="35.1" customHeight="1" x14ac:dyDescent="0.2"/>
    <row r="116" customFormat="1" ht="35.1" customHeight="1" x14ac:dyDescent="0.2"/>
    <row r="117" customFormat="1" ht="35.1" customHeight="1" x14ac:dyDescent="0.2"/>
    <row r="118" customFormat="1" ht="35.1" customHeight="1" x14ac:dyDescent="0.2"/>
    <row r="119" customFormat="1" ht="35.1" customHeight="1" x14ac:dyDescent="0.2"/>
    <row r="120" customFormat="1" ht="35.1" customHeight="1" x14ac:dyDescent="0.2"/>
    <row r="121" customFormat="1" ht="35.1" customHeight="1" x14ac:dyDescent="0.2"/>
    <row r="122" customFormat="1" ht="35.1" customHeight="1" x14ac:dyDescent="0.2"/>
    <row r="123" customFormat="1" ht="35.1" customHeight="1" x14ac:dyDescent="0.2"/>
    <row r="124" customFormat="1" ht="35.1" customHeight="1" x14ac:dyDescent="0.2"/>
    <row r="125" customFormat="1" ht="35.1" customHeight="1" x14ac:dyDescent="0.2"/>
    <row r="126" customFormat="1" ht="35.1" customHeight="1" x14ac:dyDescent="0.2"/>
    <row r="127" customFormat="1" ht="35.1" customHeight="1" x14ac:dyDescent="0.2"/>
    <row r="128" customFormat="1" ht="35.1" customHeight="1" x14ac:dyDescent="0.2"/>
    <row r="129" customFormat="1" ht="35.1" customHeight="1" x14ac:dyDescent="0.2"/>
    <row r="130" customFormat="1" ht="35.1" customHeight="1" x14ac:dyDescent="0.2"/>
    <row r="131" customFormat="1" ht="35.1" customHeight="1" x14ac:dyDescent="0.2"/>
    <row r="132" customFormat="1" ht="35.1" customHeight="1" x14ac:dyDescent="0.2"/>
    <row r="133" customFormat="1" ht="35.1" customHeight="1" x14ac:dyDescent="0.2"/>
    <row r="134" customFormat="1" ht="35.1" customHeight="1" x14ac:dyDescent="0.2"/>
    <row r="135" customFormat="1" ht="35.1" customHeight="1" x14ac:dyDescent="0.2"/>
    <row r="136" customFormat="1" ht="35.1" customHeight="1" x14ac:dyDescent="0.2"/>
    <row r="137" customFormat="1" ht="35.1" customHeight="1" x14ac:dyDescent="0.2"/>
    <row r="138" customFormat="1" ht="35.1" customHeight="1" x14ac:dyDescent="0.2"/>
    <row r="139" customFormat="1" ht="35.1" customHeight="1" x14ac:dyDescent="0.2"/>
    <row r="140" customFormat="1" ht="35.1" customHeight="1" x14ac:dyDescent="0.2"/>
    <row r="141" customFormat="1" ht="35.1" customHeight="1" x14ac:dyDescent="0.2"/>
    <row r="142" customFormat="1" ht="35.1" customHeight="1" x14ac:dyDescent="0.2"/>
    <row r="143" customFormat="1" ht="35.1" customHeight="1" x14ac:dyDescent="0.2"/>
    <row r="144" customFormat="1" ht="35.1" customHeight="1" x14ac:dyDescent="0.2"/>
    <row r="145" customFormat="1" ht="35.1" customHeight="1" x14ac:dyDescent="0.2"/>
    <row r="146" customFormat="1" ht="35.1" customHeight="1" x14ac:dyDescent="0.2"/>
    <row r="147" customFormat="1" ht="35.1" customHeight="1" x14ac:dyDescent="0.2"/>
    <row r="148" customFormat="1" ht="35.1" customHeight="1" x14ac:dyDescent="0.2"/>
    <row r="149" customFormat="1" ht="35.1" customHeight="1" x14ac:dyDescent="0.2"/>
    <row r="150" customFormat="1" ht="35.1" customHeight="1" x14ac:dyDescent="0.2"/>
    <row r="151" customFormat="1" ht="35.1" customHeight="1" x14ac:dyDescent="0.2"/>
    <row r="152" customFormat="1" ht="35.1" customHeight="1" x14ac:dyDescent="0.2"/>
    <row r="153" customFormat="1" ht="35.1" customHeight="1" x14ac:dyDescent="0.2"/>
    <row r="154" customFormat="1" ht="35.1" customHeight="1" x14ac:dyDescent="0.2"/>
    <row r="155" customFormat="1" ht="35.1" customHeight="1" x14ac:dyDescent="0.2"/>
    <row r="156" customFormat="1" ht="35.1" customHeight="1" x14ac:dyDescent="0.2"/>
    <row r="157" customFormat="1" ht="35.1" customHeight="1" x14ac:dyDescent="0.2"/>
    <row r="158" customFormat="1" ht="35.1" customHeight="1" x14ac:dyDescent="0.2"/>
    <row r="159" customFormat="1" ht="35.1" customHeight="1" x14ac:dyDescent="0.2"/>
    <row r="160" customFormat="1" ht="35.1" customHeight="1" x14ac:dyDescent="0.2"/>
    <row r="161" customFormat="1" ht="35.1" customHeight="1" x14ac:dyDescent="0.2"/>
    <row r="162" customFormat="1" ht="35.1" customHeight="1" x14ac:dyDescent="0.2"/>
    <row r="163" customFormat="1" ht="35.1" customHeight="1" x14ac:dyDescent="0.2"/>
    <row r="164" customFormat="1" ht="35.1" customHeight="1" x14ac:dyDescent="0.2"/>
    <row r="165" customFormat="1" ht="35.1" customHeight="1" x14ac:dyDescent="0.2"/>
    <row r="166" customFormat="1" ht="35.1" customHeight="1" x14ac:dyDescent="0.2"/>
    <row r="167" customFormat="1" ht="35.1" customHeight="1" x14ac:dyDescent="0.2"/>
    <row r="168" customFormat="1" ht="35.1" customHeight="1" x14ac:dyDescent="0.2"/>
    <row r="169" customFormat="1" ht="35.1" customHeight="1" x14ac:dyDescent="0.2"/>
    <row r="170" customFormat="1" ht="35.1" customHeight="1" x14ac:dyDescent="0.2"/>
    <row r="171" customFormat="1" ht="35.1" customHeight="1" x14ac:dyDescent="0.2"/>
    <row r="172" customFormat="1" ht="35.1" customHeight="1" x14ac:dyDescent="0.2"/>
    <row r="173" customFormat="1" ht="35.1" customHeight="1" x14ac:dyDescent="0.2"/>
    <row r="174" customFormat="1" ht="35.1" customHeight="1" x14ac:dyDescent="0.2"/>
    <row r="175" customFormat="1" ht="35.1" customHeight="1" x14ac:dyDescent="0.2"/>
    <row r="176" customFormat="1" ht="35.1" customHeight="1" x14ac:dyDescent="0.2"/>
    <row r="177" customFormat="1" ht="35.1" customHeight="1" x14ac:dyDescent="0.2"/>
    <row r="178" customFormat="1" ht="35.1" customHeight="1" x14ac:dyDescent="0.2"/>
    <row r="179" customFormat="1" ht="35.1" customHeight="1" x14ac:dyDescent="0.2"/>
    <row r="180" customFormat="1" ht="35.1" customHeight="1" x14ac:dyDescent="0.2"/>
    <row r="181" customFormat="1" ht="35.1" customHeight="1" x14ac:dyDescent="0.2"/>
    <row r="182" customFormat="1" ht="35.1" customHeight="1" x14ac:dyDescent="0.2"/>
    <row r="183" customFormat="1" ht="35.1" customHeight="1" x14ac:dyDescent="0.2"/>
    <row r="184" customFormat="1" ht="35.1" customHeight="1" x14ac:dyDescent="0.2"/>
    <row r="185" customFormat="1" ht="35.1" customHeight="1" x14ac:dyDescent="0.2"/>
    <row r="186" customFormat="1" ht="35.1" customHeight="1" x14ac:dyDescent="0.2"/>
    <row r="187" customFormat="1" ht="35.1" customHeight="1" x14ac:dyDescent="0.2"/>
    <row r="188" customFormat="1" ht="35.1" customHeight="1" x14ac:dyDescent="0.2"/>
    <row r="189" customFormat="1" ht="35.1" customHeight="1" x14ac:dyDescent="0.2"/>
    <row r="190" customFormat="1" ht="35.1" customHeight="1" x14ac:dyDescent="0.2"/>
    <row r="191" customFormat="1" ht="35.1" customHeight="1" x14ac:dyDescent="0.2"/>
    <row r="192" customFormat="1" ht="35.1" customHeight="1" x14ac:dyDescent="0.2"/>
    <row r="193" customFormat="1" ht="35.1" customHeight="1" x14ac:dyDescent="0.2"/>
    <row r="194" customFormat="1" ht="35.1" customHeight="1" x14ac:dyDescent="0.2"/>
    <row r="195" customFormat="1" ht="35.1" customHeight="1" x14ac:dyDescent="0.2"/>
    <row r="196" customFormat="1" ht="35.1" customHeight="1" x14ac:dyDescent="0.2"/>
    <row r="197" customFormat="1" ht="35.1" customHeight="1" x14ac:dyDescent="0.2"/>
    <row r="198" customFormat="1" ht="35.1" customHeight="1" x14ac:dyDescent="0.2"/>
    <row r="199" customFormat="1" ht="35.1" customHeight="1" x14ac:dyDescent="0.2"/>
    <row r="200" customFormat="1" ht="35.1" customHeight="1" x14ac:dyDescent="0.2"/>
    <row r="201" customFormat="1" ht="35.1" customHeight="1" x14ac:dyDescent="0.2"/>
    <row r="202" customFormat="1" ht="35.1" customHeight="1" x14ac:dyDescent="0.2"/>
    <row r="203" customFormat="1" ht="35.1" customHeight="1" x14ac:dyDescent="0.2"/>
    <row r="204" customFormat="1" ht="35.1" customHeight="1" x14ac:dyDescent="0.2"/>
    <row r="205" customFormat="1" ht="35.1" customHeight="1" x14ac:dyDescent="0.2"/>
    <row r="206" customFormat="1" ht="35.1" customHeight="1" x14ac:dyDescent="0.2"/>
    <row r="207" customFormat="1" ht="35.1" customHeight="1" x14ac:dyDescent="0.2"/>
    <row r="208" customFormat="1" ht="35.1" customHeight="1" x14ac:dyDescent="0.2"/>
    <row r="209" customFormat="1" ht="35.1" customHeight="1" x14ac:dyDescent="0.2"/>
    <row r="210" customFormat="1" ht="35.1" customHeight="1" x14ac:dyDescent="0.2"/>
    <row r="211" customFormat="1" ht="35.1" customHeight="1" x14ac:dyDescent="0.2"/>
    <row r="212" customFormat="1" ht="35.1" customHeight="1" x14ac:dyDescent="0.2"/>
    <row r="213" customFormat="1" ht="35.1" customHeight="1" x14ac:dyDescent="0.2"/>
    <row r="214" customFormat="1" ht="35.1" customHeight="1" x14ac:dyDescent="0.2"/>
    <row r="215" customFormat="1" ht="35.1" customHeight="1" x14ac:dyDescent="0.2"/>
    <row r="216" customFormat="1" ht="35.1" customHeight="1" x14ac:dyDescent="0.2"/>
    <row r="217" customFormat="1" ht="35.1" customHeight="1" x14ac:dyDescent="0.2"/>
    <row r="218" customFormat="1" ht="35.1" customHeight="1" x14ac:dyDescent="0.2"/>
    <row r="219" customFormat="1" ht="35.1" customHeight="1" x14ac:dyDescent="0.2"/>
    <row r="220" customFormat="1" ht="35.1" customHeight="1" x14ac:dyDescent="0.2"/>
    <row r="221" customFormat="1" ht="35.1" customHeight="1" x14ac:dyDescent="0.2"/>
    <row r="222" customFormat="1" ht="35.1" customHeight="1" x14ac:dyDescent="0.2"/>
    <row r="223" customFormat="1" ht="35.1" customHeight="1" x14ac:dyDescent="0.2"/>
    <row r="224" customFormat="1" ht="35.1" customHeight="1" x14ac:dyDescent="0.2"/>
    <row r="225" customFormat="1" ht="35.1" customHeight="1" x14ac:dyDescent="0.2"/>
    <row r="226" customFormat="1" ht="35.1" customHeight="1" x14ac:dyDescent="0.2"/>
    <row r="227" customFormat="1" ht="35.1" customHeight="1" x14ac:dyDescent="0.2"/>
    <row r="228" customFormat="1" ht="35.1" customHeight="1" x14ac:dyDescent="0.2"/>
    <row r="229" customFormat="1" ht="35.1" customHeight="1" x14ac:dyDescent="0.2"/>
    <row r="230" customFormat="1" ht="35.1" customHeight="1" x14ac:dyDescent="0.2"/>
    <row r="231" customFormat="1" ht="35.1" customHeight="1" x14ac:dyDescent="0.2"/>
    <row r="232" customFormat="1" ht="35.1" customHeight="1" x14ac:dyDescent="0.2"/>
    <row r="233" customFormat="1" ht="35.1" customHeight="1" x14ac:dyDescent="0.2"/>
    <row r="234" customFormat="1" ht="35.1" customHeight="1" x14ac:dyDescent="0.2"/>
    <row r="235" customFormat="1" ht="35.1" customHeight="1" x14ac:dyDescent="0.2"/>
    <row r="236" customFormat="1" ht="35.1" customHeight="1" x14ac:dyDescent="0.2"/>
    <row r="237" customFormat="1" ht="35.1" customHeight="1" x14ac:dyDescent="0.2"/>
    <row r="238" customFormat="1" ht="35.1" customHeight="1" x14ac:dyDescent="0.2"/>
    <row r="239" customFormat="1" ht="35.1" customHeight="1" x14ac:dyDescent="0.2"/>
    <row r="240" customFormat="1" ht="35.1" customHeight="1" x14ac:dyDescent="0.2"/>
    <row r="241" customFormat="1" ht="35.1" customHeight="1" x14ac:dyDescent="0.2"/>
    <row r="242" customFormat="1" ht="35.1" customHeight="1" x14ac:dyDescent="0.2"/>
    <row r="243" customFormat="1" ht="35.1" customHeight="1" x14ac:dyDescent="0.2"/>
    <row r="244" customFormat="1" ht="35.1" customHeight="1" x14ac:dyDescent="0.2"/>
    <row r="245" customFormat="1" ht="35.1" customHeight="1" x14ac:dyDescent="0.2"/>
    <row r="246" customFormat="1" ht="35.1" customHeight="1" x14ac:dyDescent="0.2"/>
    <row r="247" customFormat="1" ht="35.1" customHeight="1" x14ac:dyDescent="0.2"/>
    <row r="248" customFormat="1" ht="35.1" customHeight="1" x14ac:dyDescent="0.2"/>
    <row r="249" customFormat="1" ht="35.1" customHeight="1" x14ac:dyDescent="0.2"/>
    <row r="250" customFormat="1" ht="35.1" customHeight="1" x14ac:dyDescent="0.2"/>
    <row r="251" customFormat="1" ht="35.1" customHeight="1" x14ac:dyDescent="0.2"/>
    <row r="252" customFormat="1" ht="35.1" customHeight="1" x14ac:dyDescent="0.2"/>
    <row r="253" customFormat="1" ht="35.1" customHeight="1" x14ac:dyDescent="0.2"/>
    <row r="254" customFormat="1" ht="35.1" customHeight="1" x14ac:dyDescent="0.2"/>
    <row r="255" customFormat="1" ht="35.1" customHeight="1" x14ac:dyDescent="0.2"/>
    <row r="256" customFormat="1" ht="35.1" customHeight="1" x14ac:dyDescent="0.2"/>
    <row r="257" customFormat="1" ht="35.1" customHeight="1" x14ac:dyDescent="0.2"/>
    <row r="258" customFormat="1" ht="35.1" customHeight="1" x14ac:dyDescent="0.2"/>
    <row r="259" customFormat="1" ht="35.1" customHeight="1" x14ac:dyDescent="0.2"/>
    <row r="260" customFormat="1" ht="35.1" customHeight="1" x14ac:dyDescent="0.2"/>
    <row r="261" customFormat="1" ht="35.1" customHeight="1" x14ac:dyDescent="0.2"/>
    <row r="262" customFormat="1" ht="35.1" customHeight="1" x14ac:dyDescent="0.2"/>
    <row r="263" customFormat="1" ht="35.1" customHeight="1" x14ac:dyDescent="0.2"/>
    <row r="264" customFormat="1" ht="35.1" customHeight="1" x14ac:dyDescent="0.2"/>
    <row r="265" customFormat="1" ht="35.1" customHeight="1" x14ac:dyDescent="0.2"/>
    <row r="266" customFormat="1" ht="35.1" customHeight="1" x14ac:dyDescent="0.2"/>
    <row r="267" customFormat="1" ht="35.1" customHeight="1" x14ac:dyDescent="0.2"/>
    <row r="268" customFormat="1" ht="35.1" customHeight="1" x14ac:dyDescent="0.2"/>
    <row r="269" customFormat="1" ht="35.1" customHeight="1" x14ac:dyDescent="0.2"/>
    <row r="270" customFormat="1" ht="35.1" customHeight="1" x14ac:dyDescent="0.2"/>
    <row r="271" customFormat="1" ht="35.1" customHeight="1" x14ac:dyDescent="0.2"/>
    <row r="272" customFormat="1" ht="35.1" customHeight="1" x14ac:dyDescent="0.2"/>
    <row r="273" customFormat="1" ht="35.1" customHeight="1" x14ac:dyDescent="0.2"/>
    <row r="274" customFormat="1" ht="35.1" customHeight="1" x14ac:dyDescent="0.2"/>
    <row r="275" customFormat="1" ht="35.1" customHeight="1" x14ac:dyDescent="0.2"/>
    <row r="276" customFormat="1" ht="35.1" customHeight="1" x14ac:dyDescent="0.2"/>
    <row r="277" customFormat="1" ht="35.1" customHeight="1" x14ac:dyDescent="0.2"/>
    <row r="278" customFormat="1" ht="35.1" customHeight="1" x14ac:dyDescent="0.2"/>
    <row r="279" customFormat="1" ht="35.1" customHeight="1" x14ac:dyDescent="0.2"/>
    <row r="280" customFormat="1" ht="35.1" customHeight="1" x14ac:dyDescent="0.2"/>
    <row r="281" customFormat="1" ht="35.1" customHeight="1" x14ac:dyDescent="0.2"/>
    <row r="282" customFormat="1" ht="35.1" customHeight="1" x14ac:dyDescent="0.2"/>
    <row r="283" customFormat="1" ht="35.1" customHeight="1" x14ac:dyDescent="0.2"/>
    <row r="284" customFormat="1" ht="35.1" customHeight="1" x14ac:dyDescent="0.2"/>
    <row r="285" customFormat="1" ht="35.1" customHeight="1" x14ac:dyDescent="0.2"/>
    <row r="286" customFormat="1" ht="35.1" customHeight="1" x14ac:dyDescent="0.2"/>
    <row r="287" customFormat="1" ht="35.1" customHeight="1" x14ac:dyDescent="0.2"/>
    <row r="288" customFormat="1" ht="35.1" customHeight="1" x14ac:dyDescent="0.2"/>
    <row r="289" customFormat="1" ht="35.1" customHeight="1" x14ac:dyDescent="0.2"/>
    <row r="290" customFormat="1" ht="35.1" customHeight="1" x14ac:dyDescent="0.2"/>
    <row r="291" customFormat="1" ht="35.1" customHeight="1" x14ac:dyDescent="0.2"/>
    <row r="292" customFormat="1" ht="35.1" customHeight="1" x14ac:dyDescent="0.2"/>
    <row r="293" customFormat="1" ht="35.1" customHeight="1" x14ac:dyDescent="0.2"/>
    <row r="294" customFormat="1" ht="35.1" customHeight="1" x14ac:dyDescent="0.2"/>
    <row r="295" customFormat="1" ht="35.1" customHeight="1" x14ac:dyDescent="0.2"/>
    <row r="296" customFormat="1" ht="35.1" customHeight="1" x14ac:dyDescent="0.2"/>
    <row r="297" customFormat="1" ht="35.1" customHeight="1" x14ac:dyDescent="0.2"/>
    <row r="298" customFormat="1" ht="35.1" customHeight="1" x14ac:dyDescent="0.2"/>
    <row r="299" customFormat="1" ht="35.1" customHeight="1" x14ac:dyDescent="0.2"/>
    <row r="300" customFormat="1" ht="35.1" customHeight="1" x14ac:dyDescent="0.2"/>
    <row r="301" customFormat="1" ht="35.1" customHeight="1" x14ac:dyDescent="0.2"/>
    <row r="302" customFormat="1" ht="35.1" customHeight="1" x14ac:dyDescent="0.2"/>
    <row r="303" customFormat="1" ht="35.1" customHeight="1" x14ac:dyDescent="0.2"/>
    <row r="304" customFormat="1" ht="35.1" customHeight="1" x14ac:dyDescent="0.2"/>
    <row r="305" customFormat="1" ht="35.1" customHeight="1" x14ac:dyDescent="0.2"/>
    <row r="306" customFormat="1" ht="35.1" customHeight="1" x14ac:dyDescent="0.2"/>
    <row r="307" customFormat="1" ht="35.1" customHeight="1" x14ac:dyDescent="0.2"/>
    <row r="308" customFormat="1" ht="35.1" customHeight="1" x14ac:dyDescent="0.2"/>
    <row r="309" customFormat="1" ht="35.1" customHeight="1" x14ac:dyDescent="0.2"/>
    <row r="310" customFormat="1" ht="35.1" customHeight="1" x14ac:dyDescent="0.2"/>
    <row r="311" customFormat="1" ht="35.1" customHeight="1" x14ac:dyDescent="0.2"/>
    <row r="312" customFormat="1" ht="35.1" customHeight="1" x14ac:dyDescent="0.2"/>
    <row r="313" customFormat="1" ht="35.1" customHeight="1" x14ac:dyDescent="0.2"/>
    <row r="314" customFormat="1" ht="35.1" customHeight="1" x14ac:dyDescent="0.2"/>
    <row r="315" customFormat="1" ht="35.1" customHeight="1" x14ac:dyDescent="0.2"/>
    <row r="316" customFormat="1" ht="35.1" customHeight="1" x14ac:dyDescent="0.2"/>
    <row r="317" customFormat="1" ht="35.1" customHeight="1" x14ac:dyDescent="0.2"/>
    <row r="318" customFormat="1" ht="35.1" customHeight="1" x14ac:dyDescent="0.2"/>
    <row r="319" customFormat="1" ht="35.1" customHeight="1" x14ac:dyDescent="0.2"/>
    <row r="320" customFormat="1" ht="35.1" customHeight="1" x14ac:dyDescent="0.2"/>
    <row r="321" customFormat="1" ht="35.1" customHeight="1" x14ac:dyDescent="0.2"/>
    <row r="322" customFormat="1" ht="35.1" customHeight="1" x14ac:dyDescent="0.2"/>
    <row r="323" customFormat="1" ht="35.1" customHeight="1" x14ac:dyDescent="0.2"/>
    <row r="324" customFormat="1" ht="35.1" customHeight="1" x14ac:dyDescent="0.2"/>
    <row r="325" customFormat="1" ht="35.1" customHeight="1" x14ac:dyDescent="0.2"/>
    <row r="326" customFormat="1" ht="35.1" customHeight="1" x14ac:dyDescent="0.2"/>
    <row r="327" customFormat="1" ht="35.1" customHeight="1" x14ac:dyDescent="0.2"/>
    <row r="328" customFormat="1" ht="35.1" customHeight="1" x14ac:dyDescent="0.2"/>
    <row r="329" customFormat="1" ht="35.1" customHeight="1" x14ac:dyDescent="0.2"/>
    <row r="330" customFormat="1" ht="35.1" customHeight="1" x14ac:dyDescent="0.2"/>
    <row r="331" customFormat="1" ht="35.1" customHeight="1" x14ac:dyDescent="0.2"/>
    <row r="332" customFormat="1" ht="35.1" customHeight="1" x14ac:dyDescent="0.2"/>
    <row r="333" customFormat="1" ht="35.1" customHeight="1" x14ac:dyDescent="0.2"/>
    <row r="334" customFormat="1" ht="35.1" customHeight="1" x14ac:dyDescent="0.2"/>
    <row r="335" customFormat="1" ht="35.1" customHeight="1" x14ac:dyDescent="0.2"/>
    <row r="336" customFormat="1" ht="35.1" customHeight="1" x14ac:dyDescent="0.2"/>
    <row r="337" customFormat="1" ht="35.1" customHeight="1" x14ac:dyDescent="0.2"/>
    <row r="338" customFormat="1" ht="35.1" customHeight="1" x14ac:dyDescent="0.2"/>
    <row r="339" customFormat="1" ht="35.1" customHeight="1" x14ac:dyDescent="0.2"/>
    <row r="340" customFormat="1" ht="35.1" customHeight="1" x14ac:dyDescent="0.2"/>
    <row r="341" customFormat="1" ht="35.1" customHeight="1" x14ac:dyDescent="0.2"/>
    <row r="342" customFormat="1" ht="35.1" customHeight="1" x14ac:dyDescent="0.2"/>
    <row r="343" customFormat="1" ht="35.1" customHeight="1" x14ac:dyDescent="0.2"/>
    <row r="344" customFormat="1" ht="35.1" customHeight="1" x14ac:dyDescent="0.2"/>
    <row r="345" customFormat="1" ht="35.1" customHeight="1" x14ac:dyDescent="0.2"/>
    <row r="346" customFormat="1" ht="35.1" customHeight="1" x14ac:dyDescent="0.2"/>
    <row r="347" customFormat="1" ht="35.1" customHeight="1" x14ac:dyDescent="0.2"/>
    <row r="348" customFormat="1" ht="35.1" customHeight="1" x14ac:dyDescent="0.2"/>
    <row r="349" customFormat="1" ht="35.1" customHeight="1" x14ac:dyDescent="0.2"/>
    <row r="350" customFormat="1" ht="35.1" customHeight="1" x14ac:dyDescent="0.2"/>
    <row r="351" customFormat="1" ht="35.1" customHeight="1" x14ac:dyDescent="0.2"/>
    <row r="352" customFormat="1" ht="35.1" customHeight="1" x14ac:dyDescent="0.2"/>
    <row r="353" customFormat="1" ht="35.1" customHeight="1" x14ac:dyDescent="0.2"/>
    <row r="354" customFormat="1" ht="35.1" customHeight="1" x14ac:dyDescent="0.2"/>
    <row r="355" customFormat="1" ht="35.1" customHeight="1" x14ac:dyDescent="0.2"/>
    <row r="356" customFormat="1" ht="35.1" customHeight="1" x14ac:dyDescent="0.2"/>
    <row r="357" customFormat="1" ht="35.1" customHeight="1" x14ac:dyDescent="0.2"/>
    <row r="358" customFormat="1" ht="35.1" customHeight="1" x14ac:dyDescent="0.2"/>
    <row r="359" customFormat="1" ht="35.1" customHeight="1" x14ac:dyDescent="0.2"/>
    <row r="360" customFormat="1" ht="35.1" customHeight="1" x14ac:dyDescent="0.2"/>
    <row r="361" customFormat="1" ht="35.1" customHeight="1" x14ac:dyDescent="0.2"/>
    <row r="362" customFormat="1" ht="35.1" customHeight="1" x14ac:dyDescent="0.2"/>
    <row r="363" customFormat="1" ht="35.1" customHeight="1" x14ac:dyDescent="0.2"/>
    <row r="364" customFormat="1" ht="35.1" customHeight="1" x14ac:dyDescent="0.2"/>
    <row r="365" customFormat="1" ht="35.1" customHeight="1" x14ac:dyDescent="0.2"/>
    <row r="366" customFormat="1" ht="35.1" customHeight="1" x14ac:dyDescent="0.2"/>
    <row r="367" customFormat="1" ht="35.1" customHeight="1" x14ac:dyDescent="0.2"/>
    <row r="368" customFormat="1" ht="35.1" customHeight="1" x14ac:dyDescent="0.2"/>
    <row r="369" customFormat="1" ht="35.1" customHeight="1" x14ac:dyDescent="0.2"/>
    <row r="370" customFormat="1" ht="35.1" customHeight="1" x14ac:dyDescent="0.2"/>
    <row r="371" customFormat="1" ht="35.1" customHeight="1" x14ac:dyDescent="0.2"/>
    <row r="372" customFormat="1" ht="35.1" customHeight="1" x14ac:dyDescent="0.2"/>
    <row r="373" customFormat="1" ht="35.1" customHeight="1" x14ac:dyDescent="0.2"/>
    <row r="374" customFormat="1" ht="35.1" customHeight="1" x14ac:dyDescent="0.2"/>
    <row r="375" customFormat="1" ht="35.1" customHeight="1" x14ac:dyDescent="0.2"/>
    <row r="376" customFormat="1" ht="35.1" customHeight="1" x14ac:dyDescent="0.2"/>
    <row r="377" customFormat="1" ht="35.1" customHeight="1" x14ac:dyDescent="0.2"/>
    <row r="378" customFormat="1" ht="35.1" customHeight="1" x14ac:dyDescent="0.2"/>
    <row r="379" customFormat="1" ht="35.1" customHeight="1" x14ac:dyDescent="0.2"/>
    <row r="380" customFormat="1" ht="35.1" customHeight="1" x14ac:dyDescent="0.2"/>
    <row r="381" customFormat="1" ht="35.1" customHeight="1" x14ac:dyDescent="0.2"/>
    <row r="382" customFormat="1" ht="35.1" customHeight="1" x14ac:dyDescent="0.2"/>
    <row r="383" customFormat="1" ht="35.1" customHeight="1" x14ac:dyDescent="0.2"/>
    <row r="384" customFormat="1" ht="35.1" customHeight="1" x14ac:dyDescent="0.2"/>
    <row r="385" customFormat="1" ht="35.1" customHeight="1" x14ac:dyDescent="0.2"/>
    <row r="386" customFormat="1" ht="35.1" customHeight="1" x14ac:dyDescent="0.2"/>
    <row r="387" customFormat="1" ht="35.1" customHeight="1" x14ac:dyDescent="0.2"/>
    <row r="388" customFormat="1" ht="35.1" customHeight="1" x14ac:dyDescent="0.2"/>
    <row r="389" customFormat="1" ht="35.1" customHeight="1" x14ac:dyDescent="0.2"/>
    <row r="390" customFormat="1" ht="35.1" customHeight="1" x14ac:dyDescent="0.2"/>
    <row r="391" customFormat="1" ht="35.1" customHeight="1" x14ac:dyDescent="0.2"/>
    <row r="392" customFormat="1" ht="35.1" customHeight="1" x14ac:dyDescent="0.2"/>
    <row r="393" customFormat="1" ht="35.1" customHeight="1" x14ac:dyDescent="0.2"/>
    <row r="394" customFormat="1" ht="35.1" customHeight="1" x14ac:dyDescent="0.2"/>
    <row r="395" customFormat="1" ht="35.1" customHeight="1" x14ac:dyDescent="0.2"/>
    <row r="396" customFormat="1" ht="35.1" customHeight="1" x14ac:dyDescent="0.2"/>
    <row r="397" customFormat="1" ht="35.1" customHeight="1" x14ac:dyDescent="0.2"/>
    <row r="398" customFormat="1" ht="35.1" customHeight="1" x14ac:dyDescent="0.2"/>
    <row r="399" customFormat="1" ht="35.1" customHeight="1" x14ac:dyDescent="0.2"/>
    <row r="400" customFormat="1" ht="35.1" customHeight="1" x14ac:dyDescent="0.2"/>
    <row r="401" customFormat="1" ht="35.1" customHeight="1" x14ac:dyDescent="0.2"/>
  </sheetData>
  <autoFilter ref="A1:AD61" xr:uid="{A2366463-82ED-4C0B-BCA1-21B77611FCD9}"/>
  <sortState xmlns:xlrd2="http://schemas.microsoft.com/office/spreadsheetml/2017/richdata2" ref="A2:AD326">
    <sortCondition sortBy="cellColor" ref="E1:E500" dxfId="24"/>
  </sortState>
  <conditionalFormatting sqref="AD1:AD61">
    <cfRule type="cellIs" dxfId="23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">
      <c r="A2" s="9" t="s">
        <v>29</v>
      </c>
      <c r="B2" s="10">
        <v>46071</v>
      </c>
      <c r="C2" s="10">
        <v>46071</v>
      </c>
      <c r="D2" s="11" t="s">
        <v>164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1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0" customFormat="1" ht="35.1" customHeight="1" x14ac:dyDescent="0.25">
      <c r="A3" s="9" t="s">
        <v>39</v>
      </c>
      <c r="B3" s="10">
        <v>46071</v>
      </c>
      <c r="C3" s="10">
        <v>46071</v>
      </c>
      <c r="D3" s="11" t="s">
        <v>164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25"/>
      <c r="AF3" s="25"/>
      <c r="AG3" s="25"/>
      <c r="AH3" s="25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</row>
    <row r="4" spans="1:49" s="30" customFormat="1" ht="35.1" customHeight="1" x14ac:dyDescent="0.25">
      <c r="A4" s="9" t="s">
        <v>61</v>
      </c>
      <c r="B4" s="10">
        <v>46071</v>
      </c>
      <c r="C4" s="10">
        <v>46071</v>
      </c>
      <c r="D4" s="11" t="s">
        <v>164</v>
      </c>
      <c r="E4" s="12">
        <v>0.29166666666666669</v>
      </c>
      <c r="F4" s="12">
        <v>0.3125</v>
      </c>
      <c r="G4" s="12">
        <v>2.0833333333333332E-2</v>
      </c>
      <c r="H4" s="9" t="s">
        <v>165</v>
      </c>
      <c r="I4" s="13" t="s">
        <v>63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</row>
    <row r="5" spans="1:49" s="30" customFormat="1" ht="35.1" customHeight="1" x14ac:dyDescent="0.25">
      <c r="A5" s="9" t="s">
        <v>61</v>
      </c>
      <c r="B5" s="10">
        <v>46071</v>
      </c>
      <c r="C5" s="10">
        <v>46071</v>
      </c>
      <c r="D5" s="11" t="s">
        <v>164</v>
      </c>
      <c r="E5" s="12">
        <v>0.3125</v>
      </c>
      <c r="F5" s="12">
        <v>0.33333333333333331</v>
      </c>
      <c r="G5" s="12">
        <v>2.0833333333333332E-2</v>
      </c>
      <c r="H5" s="9" t="s">
        <v>165</v>
      </c>
      <c r="I5" s="13" t="s">
        <v>63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5"/>
      <c r="AF5" s="25"/>
      <c r="AG5" s="25"/>
      <c r="AH5" s="25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</row>
    <row r="6" spans="1:49" s="30" customFormat="1" ht="35.1" customHeight="1" x14ac:dyDescent="0.2">
      <c r="A6" s="9" t="s">
        <v>64</v>
      </c>
      <c r="B6" s="10">
        <v>46071</v>
      </c>
      <c r="C6" s="10">
        <v>46071</v>
      </c>
      <c r="D6" s="11" t="s">
        <v>164</v>
      </c>
      <c r="E6" s="12">
        <v>0.33333333333333331</v>
      </c>
      <c r="F6" s="12">
        <v>0.375</v>
      </c>
      <c r="G6" s="12">
        <v>4.1666666666666664E-2</v>
      </c>
      <c r="H6" s="9" t="s">
        <v>65</v>
      </c>
      <c r="I6" s="13"/>
      <c r="J6" s="9" t="s">
        <v>66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">
      <c r="A7" s="17" t="s">
        <v>52</v>
      </c>
      <c r="B7" s="18">
        <v>46071</v>
      </c>
      <c r="C7" s="18">
        <v>46071</v>
      </c>
      <c r="D7" s="17" t="s">
        <v>164</v>
      </c>
      <c r="E7" s="19">
        <v>0.33333333333333331</v>
      </c>
      <c r="F7" s="19">
        <v>0.41666666666666669</v>
      </c>
      <c r="G7" s="19">
        <v>3.4722222222222218E-4</v>
      </c>
      <c r="H7" s="17" t="s">
        <v>67</v>
      </c>
      <c r="I7" s="20">
        <v>0.34577546296296297</v>
      </c>
      <c r="J7" s="17" t="s">
        <v>66</v>
      </c>
      <c r="K7" s="17" t="s">
        <v>65</v>
      </c>
      <c r="L7" s="21">
        <v>1</v>
      </c>
      <c r="M7" s="21">
        <v>70970</v>
      </c>
      <c r="N7" s="17" t="s">
        <v>58</v>
      </c>
      <c r="O7" s="21" t="str">
        <f>AC7</f>
        <v>SFO</v>
      </c>
      <c r="P7" s="22">
        <v>117.65</v>
      </c>
      <c r="Q7" s="21"/>
      <c r="R7" s="22">
        <v>117.65</v>
      </c>
      <c r="S7" s="23">
        <v>46054</v>
      </c>
      <c r="T7" s="22">
        <v>8.8237500000000004</v>
      </c>
      <c r="U7" s="24">
        <v>4</v>
      </c>
      <c r="V7" s="22">
        <v>108.82625</v>
      </c>
      <c r="W7" s="17" t="s">
        <v>48</v>
      </c>
      <c r="X7" s="17" t="s">
        <v>49</v>
      </c>
      <c r="Y7" s="17" t="s">
        <v>36</v>
      </c>
      <c r="Z7" s="17" t="s">
        <v>9</v>
      </c>
      <c r="AA7" s="17" t="s">
        <v>50</v>
      </c>
      <c r="AB7" s="17" t="s">
        <v>54</v>
      </c>
      <c r="AC7" s="17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0" customFormat="1" ht="35.1" customHeight="1" x14ac:dyDescent="0.2">
      <c r="A8" s="9" t="s">
        <v>64</v>
      </c>
      <c r="B8" s="10">
        <v>46071</v>
      </c>
      <c r="C8" s="10">
        <v>46071</v>
      </c>
      <c r="D8" s="11" t="s">
        <v>164</v>
      </c>
      <c r="E8" s="12">
        <v>0.375</v>
      </c>
      <c r="F8" s="12">
        <v>0.41666666666666669</v>
      </c>
      <c r="G8" s="12">
        <v>4.1666666666666664E-2</v>
      </c>
      <c r="H8" s="9" t="s">
        <v>68</v>
      </c>
      <c r="I8" s="13"/>
      <c r="J8" s="9" t="s">
        <v>66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">
      <c r="A9" s="9" t="s">
        <v>69</v>
      </c>
      <c r="B9" s="10">
        <v>46071</v>
      </c>
      <c r="C9" s="10">
        <v>46071</v>
      </c>
      <c r="D9" s="11" t="s">
        <v>164</v>
      </c>
      <c r="E9" s="12">
        <v>0.41666666666666669</v>
      </c>
      <c r="F9" s="12">
        <v>0.45833333333333331</v>
      </c>
      <c r="G9" s="12">
        <v>4.1666666666666664E-2</v>
      </c>
      <c r="H9" s="9" t="s">
        <v>70</v>
      </c>
      <c r="I9" s="13"/>
      <c r="J9" s="9" t="s">
        <v>71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17" t="s">
        <v>69</v>
      </c>
      <c r="B10" s="18">
        <v>46071</v>
      </c>
      <c r="C10" s="18">
        <v>46071</v>
      </c>
      <c r="D10" s="17" t="s">
        <v>164</v>
      </c>
      <c r="E10" s="19">
        <v>0.41666666666666669</v>
      </c>
      <c r="F10" s="19">
        <v>0.45833333333333331</v>
      </c>
      <c r="G10" s="19">
        <v>3.4722222222222224E-4</v>
      </c>
      <c r="H10" s="17" t="s">
        <v>166</v>
      </c>
      <c r="I10" s="20">
        <v>0.42425925925925928</v>
      </c>
      <c r="J10" s="17" t="s">
        <v>71</v>
      </c>
      <c r="K10" s="17" t="s">
        <v>69</v>
      </c>
      <c r="L10" s="21">
        <v>1</v>
      </c>
      <c r="M10" s="21">
        <v>3</v>
      </c>
      <c r="N10" s="17" t="s">
        <v>58</v>
      </c>
      <c r="O10" s="21"/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34</v>
      </c>
      <c r="X10" s="17" t="s">
        <v>35</v>
      </c>
      <c r="Y10" s="17" t="s">
        <v>36</v>
      </c>
      <c r="Z10" s="17" t="s">
        <v>73</v>
      </c>
      <c r="AA10" s="17" t="s">
        <v>50</v>
      </c>
      <c r="AB10" s="17">
        <v>1109</v>
      </c>
      <c r="AC10" s="17" t="s">
        <v>38</v>
      </c>
      <c r="AD10" s="7" t="str">
        <f>IF(N10="PRG","",IF(I10&gt;=E10,IF(I10&lt;=F10,"","NO"),"NO"))</f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30" customFormat="1" ht="35.1" customHeight="1" x14ac:dyDescent="0.2">
      <c r="A11" s="17" t="s">
        <v>69</v>
      </c>
      <c r="B11" s="18">
        <v>46071</v>
      </c>
      <c r="C11" s="18">
        <v>46071</v>
      </c>
      <c r="D11" s="17" t="s">
        <v>164</v>
      </c>
      <c r="E11" s="19">
        <v>0.41666666666666669</v>
      </c>
      <c r="F11" s="19">
        <v>0.45833333333333331</v>
      </c>
      <c r="G11" s="19">
        <v>3.4722222222222224E-4</v>
      </c>
      <c r="H11" s="17" t="s">
        <v>167</v>
      </c>
      <c r="I11" s="20">
        <v>0.4246064814814815</v>
      </c>
      <c r="J11" s="17" t="s">
        <v>71</v>
      </c>
      <c r="K11" s="17" t="s">
        <v>69</v>
      </c>
      <c r="L11" s="21">
        <v>1</v>
      </c>
      <c r="M11" s="21">
        <v>3</v>
      </c>
      <c r="N11" s="17" t="s">
        <v>58</v>
      </c>
      <c r="O11" s="21"/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34</v>
      </c>
      <c r="X11" s="17" t="s">
        <v>35</v>
      </c>
      <c r="Y11" s="17" t="s">
        <v>36</v>
      </c>
      <c r="Z11" s="17" t="s">
        <v>73</v>
      </c>
      <c r="AA11" s="17" t="s">
        <v>50</v>
      </c>
      <c r="AB11" s="17">
        <v>1109</v>
      </c>
      <c r="AC11" s="17" t="s">
        <v>38</v>
      </c>
      <c r="AD11" s="7" t="str">
        <f>IF(N11="PRG","",IF(I11&gt;=E11,IF(I11&lt;=F11,"","NO"),"NO"))</f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0" customFormat="1" ht="35.1" customHeight="1" x14ac:dyDescent="0.2">
      <c r="A12" s="17" t="s">
        <v>69</v>
      </c>
      <c r="B12" s="18">
        <v>46071</v>
      </c>
      <c r="C12" s="18">
        <v>46071</v>
      </c>
      <c r="D12" s="17" t="s">
        <v>164</v>
      </c>
      <c r="E12" s="19">
        <v>0.41666666666666669</v>
      </c>
      <c r="F12" s="19">
        <v>0.45833333333333331</v>
      </c>
      <c r="G12" s="19">
        <v>3.4722222222222224E-4</v>
      </c>
      <c r="H12" s="17" t="s">
        <v>168</v>
      </c>
      <c r="I12" s="20">
        <v>0.42495370370370372</v>
      </c>
      <c r="J12" s="17" t="s">
        <v>71</v>
      </c>
      <c r="K12" s="17" t="s">
        <v>69</v>
      </c>
      <c r="L12" s="21">
        <v>1</v>
      </c>
      <c r="M12" s="21">
        <v>3</v>
      </c>
      <c r="N12" s="17" t="s">
        <v>58</v>
      </c>
      <c r="O12" s="21"/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34</v>
      </c>
      <c r="X12" s="17" t="s">
        <v>35</v>
      </c>
      <c r="Y12" s="17" t="s">
        <v>36</v>
      </c>
      <c r="Z12" s="17" t="s">
        <v>73</v>
      </c>
      <c r="AA12" s="17" t="s">
        <v>50</v>
      </c>
      <c r="AB12" s="17">
        <v>1109</v>
      </c>
      <c r="AC12" s="17" t="s">
        <v>38</v>
      </c>
      <c r="AD12" s="7" t="str">
        <f>IF(N12="PRG","",IF(I12&gt;=E12,IF(I12&lt;=F12,"","NO"),"NO"))</f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76</v>
      </c>
      <c r="B13" s="10">
        <v>46071</v>
      </c>
      <c r="C13" s="10">
        <v>46071</v>
      </c>
      <c r="D13" s="11" t="s">
        <v>164</v>
      </c>
      <c r="E13" s="12">
        <v>0.45833333333333331</v>
      </c>
      <c r="F13" s="12">
        <v>0.47916666666666669</v>
      </c>
      <c r="G13" s="12">
        <v>2.0833333333333332E-2</v>
      </c>
      <c r="H13" s="9" t="s">
        <v>150</v>
      </c>
      <c r="I13" s="13"/>
      <c r="J13" s="9" t="s">
        <v>81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17" t="s">
        <v>92</v>
      </c>
      <c r="B14" s="18">
        <v>46071</v>
      </c>
      <c r="C14" s="18">
        <v>46071</v>
      </c>
      <c r="D14" s="17" t="s">
        <v>164</v>
      </c>
      <c r="E14" s="19">
        <v>0.45833333333333331</v>
      </c>
      <c r="F14" s="19">
        <v>0.47916666666666669</v>
      </c>
      <c r="G14" s="19">
        <v>1.7361111111111109E-4</v>
      </c>
      <c r="H14" s="17" t="s">
        <v>93</v>
      </c>
      <c r="I14" s="20">
        <v>0.46434027777777775</v>
      </c>
      <c r="J14" s="17" t="s">
        <v>81</v>
      </c>
      <c r="K14" s="17" t="s">
        <v>150</v>
      </c>
      <c r="L14" s="21">
        <v>1</v>
      </c>
      <c r="M14" s="21">
        <v>71172</v>
      </c>
      <c r="N14" s="17" t="s">
        <v>58</v>
      </c>
      <c r="O14" s="21" t="s">
        <v>94</v>
      </c>
      <c r="P14" s="22">
        <v>70</v>
      </c>
      <c r="Q14" s="21"/>
      <c r="R14" s="22">
        <v>70</v>
      </c>
      <c r="S14" s="23">
        <v>46071</v>
      </c>
      <c r="T14" s="22">
        <v>10.5</v>
      </c>
      <c r="U14" s="24">
        <v>4</v>
      </c>
      <c r="V14" s="22">
        <v>59.5</v>
      </c>
      <c r="W14" s="17" t="s">
        <v>48</v>
      </c>
      <c r="X14" s="17" t="s">
        <v>49</v>
      </c>
      <c r="Y14" s="17" t="s">
        <v>87</v>
      </c>
      <c r="Z14" s="17" t="s">
        <v>9</v>
      </c>
      <c r="AA14" s="17" t="s">
        <v>50</v>
      </c>
      <c r="AB14" s="17" t="s">
        <v>95</v>
      </c>
      <c r="AC14" s="17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">
      <c r="A15" s="17" t="s">
        <v>79</v>
      </c>
      <c r="B15" s="18">
        <v>46071</v>
      </c>
      <c r="C15" s="18">
        <v>46071</v>
      </c>
      <c r="D15" s="17" t="s">
        <v>164</v>
      </c>
      <c r="E15" s="19">
        <v>0.45833333333333331</v>
      </c>
      <c r="F15" s="19">
        <v>0.54166666666666663</v>
      </c>
      <c r="G15" s="19">
        <v>1.7361111111111109E-4</v>
      </c>
      <c r="H15" s="17" t="s">
        <v>91</v>
      </c>
      <c r="I15" s="20">
        <v>0.46451388888888889</v>
      </c>
      <c r="J15" s="17" t="s">
        <v>81</v>
      </c>
      <c r="K15" s="17" t="s">
        <v>150</v>
      </c>
      <c r="L15" s="21">
        <v>1</v>
      </c>
      <c r="M15" s="21">
        <v>70037</v>
      </c>
      <c r="N15" s="17" t="s">
        <v>46</v>
      </c>
      <c r="O15" s="21" t="s">
        <v>82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83</v>
      </c>
      <c r="AC15" s="17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0" customFormat="1" ht="35.1" customHeight="1" x14ac:dyDescent="0.2">
      <c r="A16" s="17" t="s">
        <v>92</v>
      </c>
      <c r="B16" s="18">
        <v>46071</v>
      </c>
      <c r="C16" s="18">
        <v>46071</v>
      </c>
      <c r="D16" s="17" t="s">
        <v>164</v>
      </c>
      <c r="E16" s="19">
        <v>0.45833333333333331</v>
      </c>
      <c r="F16" s="19">
        <v>0.47916666666666669</v>
      </c>
      <c r="G16" s="19">
        <v>1.7361111111111109E-4</v>
      </c>
      <c r="H16" s="17" t="s">
        <v>169</v>
      </c>
      <c r="I16" s="20">
        <v>0.47768518518518521</v>
      </c>
      <c r="J16" s="17" t="s">
        <v>81</v>
      </c>
      <c r="K16" s="17" t="s">
        <v>150</v>
      </c>
      <c r="L16" s="21">
        <v>1</v>
      </c>
      <c r="M16" s="21">
        <v>71244</v>
      </c>
      <c r="N16" s="17" t="s">
        <v>58</v>
      </c>
      <c r="O16" s="21" t="s">
        <v>170</v>
      </c>
      <c r="P16" s="22">
        <v>70</v>
      </c>
      <c r="Q16" s="21"/>
      <c r="R16" s="22">
        <v>70</v>
      </c>
      <c r="S16" s="23">
        <v>46071</v>
      </c>
      <c r="T16" s="22">
        <v>10.5</v>
      </c>
      <c r="U16" s="24">
        <v>4</v>
      </c>
      <c r="V16" s="22">
        <v>59.5</v>
      </c>
      <c r="W16" s="17" t="s">
        <v>48</v>
      </c>
      <c r="X16" s="17" t="s">
        <v>49</v>
      </c>
      <c r="Y16" s="17" t="s">
        <v>87</v>
      </c>
      <c r="Z16" s="17" t="s">
        <v>9</v>
      </c>
      <c r="AA16" s="17" t="s">
        <v>50</v>
      </c>
      <c r="AB16" s="17" t="s">
        <v>171</v>
      </c>
      <c r="AC16" s="17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0" customFormat="1" ht="35.1" customHeight="1" x14ac:dyDescent="0.2">
      <c r="A17" s="17" t="s">
        <v>79</v>
      </c>
      <c r="B17" s="18">
        <v>46071</v>
      </c>
      <c r="C17" s="18">
        <v>46071</v>
      </c>
      <c r="D17" s="17" t="s">
        <v>164</v>
      </c>
      <c r="E17" s="19">
        <v>0.45833333333333331</v>
      </c>
      <c r="F17" s="19">
        <v>0.47916666666666669</v>
      </c>
      <c r="G17" s="19">
        <v>1.7361111111111109E-4</v>
      </c>
      <c r="H17" s="17" t="s">
        <v>80</v>
      </c>
      <c r="I17" s="20">
        <v>0.4778587962962963</v>
      </c>
      <c r="J17" s="17" t="s">
        <v>81</v>
      </c>
      <c r="K17" s="17" t="s">
        <v>150</v>
      </c>
      <c r="L17" s="21">
        <v>1</v>
      </c>
      <c r="M17" s="21">
        <v>70008</v>
      </c>
      <c r="N17" s="17" t="s">
        <v>58</v>
      </c>
      <c r="O17" s="21" t="s">
        <v>82</v>
      </c>
      <c r="P17" s="22">
        <v>64.709999999999994</v>
      </c>
      <c r="Q17" s="21"/>
      <c r="R17" s="22">
        <v>64.709999999999994</v>
      </c>
      <c r="S17" s="23">
        <v>46054</v>
      </c>
      <c r="T17" s="22">
        <v>9.7064999999999984</v>
      </c>
      <c r="U17" s="24">
        <v>4</v>
      </c>
      <c r="V17" s="22">
        <v>55.003499999999995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83</v>
      </c>
      <c r="AC17" s="17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9" t="s">
        <v>76</v>
      </c>
      <c r="B18" s="10">
        <v>46071</v>
      </c>
      <c r="C18" s="10">
        <v>46071</v>
      </c>
      <c r="D18" s="11" t="s">
        <v>164</v>
      </c>
      <c r="E18" s="12">
        <v>0.47916666666666669</v>
      </c>
      <c r="F18" s="12">
        <v>0.5</v>
      </c>
      <c r="G18" s="12">
        <v>2.0833333333333332E-2</v>
      </c>
      <c r="H18" s="9" t="s">
        <v>172</v>
      </c>
      <c r="I18" s="13"/>
      <c r="J18" s="9" t="s">
        <v>81</v>
      </c>
      <c r="K18" s="9"/>
      <c r="L18" s="14">
        <v>1</v>
      </c>
      <c r="M18" s="14">
        <v>1</v>
      </c>
      <c r="N18" s="9" t="s">
        <v>33</v>
      </c>
      <c r="O18" s="9"/>
      <c r="P18" s="16">
        <v>0</v>
      </c>
      <c r="Q18" s="14"/>
      <c r="R18" s="16">
        <v>0</v>
      </c>
      <c r="S18" s="9">
        <v>46054</v>
      </c>
      <c r="T18" s="16">
        <v>0</v>
      </c>
      <c r="U18" s="14">
        <v>2</v>
      </c>
      <c r="V18" s="16">
        <v>0</v>
      </c>
      <c r="W18" s="9" t="s">
        <v>34</v>
      </c>
      <c r="X18" s="9" t="s">
        <v>42</v>
      </c>
      <c r="Y18" s="9" t="s">
        <v>36</v>
      </c>
      <c r="Z18" s="9" t="s">
        <v>43</v>
      </c>
      <c r="AA18" s="9" t="s">
        <v>37</v>
      </c>
      <c r="AB18" s="9" t="s">
        <v>37</v>
      </c>
      <c r="AC18" s="9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5">
      <c r="A19" s="17" t="s">
        <v>52</v>
      </c>
      <c r="B19" s="18">
        <v>46071</v>
      </c>
      <c r="C19" s="18">
        <v>46071</v>
      </c>
      <c r="D19" s="17" t="s">
        <v>164</v>
      </c>
      <c r="E19" s="19">
        <v>0.45833333333333331</v>
      </c>
      <c r="F19" s="19">
        <v>0.5</v>
      </c>
      <c r="G19" s="19">
        <v>3.4722222222222218E-4</v>
      </c>
      <c r="H19" s="17" t="s">
        <v>151</v>
      </c>
      <c r="I19" s="20">
        <v>0.4904513888888889</v>
      </c>
      <c r="J19" s="17" t="s">
        <v>81</v>
      </c>
      <c r="K19" s="17" t="s">
        <v>137</v>
      </c>
      <c r="L19" s="21">
        <v>1</v>
      </c>
      <c r="M19" s="21">
        <v>70974</v>
      </c>
      <c r="N19" s="17" t="s">
        <v>58</v>
      </c>
      <c r="O19" s="21" t="str">
        <f>AC19</f>
        <v>SFO</v>
      </c>
      <c r="P19" s="22">
        <v>117.65</v>
      </c>
      <c r="Q19" s="21"/>
      <c r="R19" s="22">
        <v>117.65</v>
      </c>
      <c r="S19" s="23">
        <v>46054</v>
      </c>
      <c r="T19" s="22">
        <v>8.8237500000000004</v>
      </c>
      <c r="U19" s="24">
        <v>4</v>
      </c>
      <c r="V19" s="22">
        <v>108.82625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54</v>
      </c>
      <c r="AC19" s="17" t="s">
        <v>38</v>
      </c>
      <c r="AD19" s="7" t="str">
        <f t="shared" si="0"/>
        <v/>
      </c>
      <c r="AE19" s="25"/>
      <c r="AF19" s="25"/>
      <c r="AG19" s="25"/>
      <c r="AH19" s="25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0" spans="1:49" s="30" customFormat="1" ht="35.1" customHeight="1" x14ac:dyDescent="0.2">
      <c r="A20" s="17" t="s">
        <v>84</v>
      </c>
      <c r="B20" s="18">
        <v>46071</v>
      </c>
      <c r="C20" s="18">
        <v>46071</v>
      </c>
      <c r="D20" s="17" t="s">
        <v>164</v>
      </c>
      <c r="E20" s="19">
        <v>0.45833333333333331</v>
      </c>
      <c r="F20" s="19">
        <v>0.5</v>
      </c>
      <c r="G20" s="19">
        <v>3.4722222222222218E-4</v>
      </c>
      <c r="H20" s="17" t="s">
        <v>96</v>
      </c>
      <c r="I20" s="20">
        <v>0.49879629629629629</v>
      </c>
      <c r="J20" s="17" t="s">
        <v>81</v>
      </c>
      <c r="K20" s="17" t="s">
        <v>137</v>
      </c>
      <c r="L20" s="21">
        <v>1</v>
      </c>
      <c r="M20" s="21">
        <v>71445</v>
      </c>
      <c r="N20" s="17" t="s">
        <v>58</v>
      </c>
      <c r="O20" s="21" t="s">
        <v>86</v>
      </c>
      <c r="P20" s="22">
        <v>94.117647058823522</v>
      </c>
      <c r="Q20" s="21"/>
      <c r="R20" s="22">
        <v>94.117647058823522</v>
      </c>
      <c r="S20" s="23">
        <v>46071</v>
      </c>
      <c r="T20" s="22">
        <v>14.117647058823527</v>
      </c>
      <c r="U20" s="24">
        <v>4</v>
      </c>
      <c r="V20" s="22">
        <v>80</v>
      </c>
      <c r="W20" s="17" t="s">
        <v>48</v>
      </c>
      <c r="X20" s="17" t="s">
        <v>49</v>
      </c>
      <c r="Y20" s="17" t="s">
        <v>87</v>
      </c>
      <c r="Z20" s="17" t="s">
        <v>9</v>
      </c>
      <c r="AA20" s="17" t="s">
        <v>50</v>
      </c>
      <c r="AB20" s="17" t="s">
        <v>88</v>
      </c>
      <c r="AC20" s="17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">
      <c r="A21" s="17" t="s">
        <v>92</v>
      </c>
      <c r="B21" s="18">
        <v>46071</v>
      </c>
      <c r="C21" s="18">
        <v>46071</v>
      </c>
      <c r="D21" s="17" t="s">
        <v>164</v>
      </c>
      <c r="E21" s="19">
        <v>0.47916666666666669</v>
      </c>
      <c r="F21" s="19">
        <v>0.5</v>
      </c>
      <c r="G21" s="19">
        <v>1.7361111111111109E-4</v>
      </c>
      <c r="H21" s="17" t="s">
        <v>98</v>
      </c>
      <c r="I21" s="20">
        <v>0.49827546296296299</v>
      </c>
      <c r="J21" s="17" t="s">
        <v>81</v>
      </c>
      <c r="K21" s="17" t="s">
        <v>137</v>
      </c>
      <c r="L21" s="21">
        <v>1</v>
      </c>
      <c r="M21" s="21">
        <v>71178</v>
      </c>
      <c r="N21" s="17" t="s">
        <v>58</v>
      </c>
      <c r="O21" s="21" t="s">
        <v>94</v>
      </c>
      <c r="P21" s="22">
        <v>70</v>
      </c>
      <c r="Q21" s="21"/>
      <c r="R21" s="22">
        <v>70</v>
      </c>
      <c r="S21" s="23">
        <v>46071</v>
      </c>
      <c r="T21" s="22">
        <v>10.5</v>
      </c>
      <c r="U21" s="24">
        <v>4</v>
      </c>
      <c r="V21" s="22">
        <v>59.5</v>
      </c>
      <c r="W21" s="17" t="s">
        <v>48</v>
      </c>
      <c r="X21" s="17" t="s">
        <v>49</v>
      </c>
      <c r="Y21" s="17" t="s">
        <v>87</v>
      </c>
      <c r="Z21" s="17" t="s">
        <v>9</v>
      </c>
      <c r="AA21" s="17" t="s">
        <v>50</v>
      </c>
      <c r="AB21" s="17" t="s">
        <v>95</v>
      </c>
      <c r="AC21" s="17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">
      <c r="A22" s="17" t="s">
        <v>92</v>
      </c>
      <c r="B22" s="18">
        <v>46071</v>
      </c>
      <c r="C22" s="18">
        <v>46071</v>
      </c>
      <c r="D22" s="17" t="s">
        <v>164</v>
      </c>
      <c r="E22" s="19">
        <v>0.47916666666666669</v>
      </c>
      <c r="F22" s="19">
        <v>0.5</v>
      </c>
      <c r="G22" s="19">
        <v>1.7361111111111109E-4</v>
      </c>
      <c r="H22" s="31" t="s">
        <v>169</v>
      </c>
      <c r="I22" s="20">
        <v>0.48958333333333331</v>
      </c>
      <c r="J22" s="17" t="s">
        <v>81</v>
      </c>
      <c r="K22" s="17" t="s">
        <v>137</v>
      </c>
      <c r="L22" s="21">
        <v>1</v>
      </c>
      <c r="M22" s="21">
        <v>71246</v>
      </c>
      <c r="N22" s="17" t="s">
        <v>58</v>
      </c>
      <c r="O22" s="21" t="s">
        <v>170</v>
      </c>
      <c r="P22" s="22">
        <v>70</v>
      </c>
      <c r="Q22" s="21"/>
      <c r="R22" s="22">
        <v>70</v>
      </c>
      <c r="S22" s="23">
        <v>46071</v>
      </c>
      <c r="T22" s="22">
        <v>10.5</v>
      </c>
      <c r="U22" s="24">
        <v>4</v>
      </c>
      <c r="V22" s="22">
        <v>59.5</v>
      </c>
      <c r="W22" s="17" t="s">
        <v>48</v>
      </c>
      <c r="X22" s="17" t="s">
        <v>49</v>
      </c>
      <c r="Y22" s="17" t="s">
        <v>87</v>
      </c>
      <c r="Z22" s="17" t="s">
        <v>9</v>
      </c>
      <c r="AA22" s="17" t="s">
        <v>50</v>
      </c>
      <c r="AB22" s="17" t="s">
        <v>171</v>
      </c>
      <c r="AC22" s="17" t="s">
        <v>38</v>
      </c>
      <c r="AD22" s="7" t="str">
        <f>IF(N22="PRG","",IF(I22&gt;=E22,IF(I22&lt;=F22,"","NO"),"NO"))</f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0" customFormat="1" ht="35.1" customHeight="1" x14ac:dyDescent="0.25">
      <c r="A23" s="9" t="s">
        <v>99</v>
      </c>
      <c r="B23" s="10">
        <v>46071</v>
      </c>
      <c r="C23" s="10">
        <v>46071</v>
      </c>
      <c r="D23" s="11" t="s">
        <v>164</v>
      </c>
      <c r="E23" s="12">
        <v>0.5</v>
      </c>
      <c r="F23" s="12">
        <v>0.54166666666666663</v>
      </c>
      <c r="G23" s="12">
        <v>4.1666666666666664E-2</v>
      </c>
      <c r="H23" s="9" t="s">
        <v>100</v>
      </c>
      <c r="I23" s="13"/>
      <c r="J23" s="9" t="s">
        <v>81</v>
      </c>
      <c r="K23" s="9"/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46054</v>
      </c>
      <c r="T23" s="16">
        <v>0</v>
      </c>
      <c r="U23" s="14">
        <v>2</v>
      </c>
      <c r="V23" s="16">
        <v>0</v>
      </c>
      <c r="W23" s="9" t="s">
        <v>34</v>
      </c>
      <c r="X23" s="9" t="s">
        <v>42</v>
      </c>
      <c r="Y23" s="9" t="s">
        <v>36</v>
      </c>
      <c r="Z23" s="9" t="s">
        <v>43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25"/>
      <c r="AF23" s="25"/>
      <c r="AG23" s="25"/>
      <c r="AH23" s="25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</row>
    <row r="24" spans="1:49" s="30" customFormat="1" ht="35.1" customHeight="1" x14ac:dyDescent="0.25">
      <c r="A24" s="17" t="s">
        <v>92</v>
      </c>
      <c r="B24" s="18">
        <v>46071</v>
      </c>
      <c r="C24" s="18">
        <v>46071</v>
      </c>
      <c r="D24" s="17" t="s">
        <v>164</v>
      </c>
      <c r="E24" s="19">
        <v>0.5</v>
      </c>
      <c r="F24" s="19">
        <v>0.54166666666666663</v>
      </c>
      <c r="G24" s="19">
        <v>1.7361111111111109E-4</v>
      </c>
      <c r="H24" s="17" t="s">
        <v>169</v>
      </c>
      <c r="I24" s="20">
        <v>0.50491898148148151</v>
      </c>
      <c r="J24" s="17" t="s">
        <v>81</v>
      </c>
      <c r="K24" s="17" t="s">
        <v>138</v>
      </c>
      <c r="L24" s="21">
        <v>1</v>
      </c>
      <c r="M24" s="21">
        <v>71249</v>
      </c>
      <c r="N24" s="17" t="s">
        <v>58</v>
      </c>
      <c r="O24" s="21" t="s">
        <v>170</v>
      </c>
      <c r="P24" s="22">
        <v>70</v>
      </c>
      <c r="Q24" s="21"/>
      <c r="R24" s="22">
        <v>70</v>
      </c>
      <c r="S24" s="23">
        <v>46071</v>
      </c>
      <c r="T24" s="22">
        <v>10.5</v>
      </c>
      <c r="U24" s="24">
        <v>4</v>
      </c>
      <c r="V24" s="22">
        <v>59.5</v>
      </c>
      <c r="W24" s="17" t="s">
        <v>48</v>
      </c>
      <c r="X24" s="17" t="s">
        <v>49</v>
      </c>
      <c r="Y24" s="17" t="s">
        <v>87</v>
      </c>
      <c r="Z24" s="17" t="s">
        <v>9</v>
      </c>
      <c r="AA24" s="17" t="s">
        <v>50</v>
      </c>
      <c r="AB24" s="17" t="s">
        <v>171</v>
      </c>
      <c r="AC24" s="17" t="s">
        <v>38</v>
      </c>
      <c r="AD24" s="7" t="str">
        <f t="shared" si="0"/>
        <v/>
      </c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</row>
    <row r="25" spans="1:49" s="30" customFormat="1" ht="35.1" customHeight="1" x14ac:dyDescent="0.25">
      <c r="A25" s="17" t="s">
        <v>84</v>
      </c>
      <c r="B25" s="18">
        <v>46071</v>
      </c>
      <c r="C25" s="18">
        <v>46071</v>
      </c>
      <c r="D25" s="17" t="s">
        <v>164</v>
      </c>
      <c r="E25" s="19">
        <v>0.45833333333333331</v>
      </c>
      <c r="F25" s="19">
        <v>0.54166666666666663</v>
      </c>
      <c r="G25" s="19">
        <v>3.4722222222222218E-4</v>
      </c>
      <c r="H25" s="17" t="s">
        <v>85</v>
      </c>
      <c r="I25" s="20">
        <v>0.51143518518518516</v>
      </c>
      <c r="J25" s="17" t="s">
        <v>81</v>
      </c>
      <c r="K25" s="17" t="s">
        <v>138</v>
      </c>
      <c r="L25" s="21">
        <v>1</v>
      </c>
      <c r="M25" s="21">
        <v>71448</v>
      </c>
      <c r="N25" s="17" t="s">
        <v>46</v>
      </c>
      <c r="O25" s="21" t="s">
        <v>86</v>
      </c>
      <c r="P25" s="22">
        <v>0</v>
      </c>
      <c r="Q25" s="21"/>
      <c r="R25" s="22">
        <v>0</v>
      </c>
      <c r="S25" s="23">
        <v>46071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87</v>
      </c>
      <c r="Z25" s="17" t="s">
        <v>9</v>
      </c>
      <c r="AA25" s="17" t="s">
        <v>50</v>
      </c>
      <c r="AB25" s="17" t="s">
        <v>88</v>
      </c>
      <c r="AC25" s="17" t="s">
        <v>38</v>
      </c>
      <c r="AD25" s="7" t="str">
        <f t="shared" si="0"/>
        <v/>
      </c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</row>
    <row r="26" spans="1:49" s="30" customFormat="1" ht="35.1" customHeight="1" x14ac:dyDescent="0.25">
      <c r="A26" s="17" t="s">
        <v>92</v>
      </c>
      <c r="B26" s="18">
        <v>46071</v>
      </c>
      <c r="C26" s="18">
        <v>46071</v>
      </c>
      <c r="D26" s="17" t="s">
        <v>164</v>
      </c>
      <c r="E26" s="19">
        <v>0.5</v>
      </c>
      <c r="F26" s="19">
        <v>0.54166666666666663</v>
      </c>
      <c r="G26" s="19">
        <v>1.7361111111111109E-4</v>
      </c>
      <c r="H26" s="17" t="s">
        <v>93</v>
      </c>
      <c r="I26" s="20">
        <v>0.52028935185185188</v>
      </c>
      <c r="J26" s="17" t="s">
        <v>81</v>
      </c>
      <c r="K26" s="17" t="s">
        <v>138</v>
      </c>
      <c r="L26" s="21">
        <v>1</v>
      </c>
      <c r="M26" s="21">
        <v>71191</v>
      </c>
      <c r="N26" s="17" t="s">
        <v>58</v>
      </c>
      <c r="O26" s="21" t="s">
        <v>94</v>
      </c>
      <c r="P26" s="22">
        <v>70</v>
      </c>
      <c r="Q26" s="21"/>
      <c r="R26" s="22">
        <v>70</v>
      </c>
      <c r="S26" s="23">
        <v>46071</v>
      </c>
      <c r="T26" s="22">
        <v>10.5</v>
      </c>
      <c r="U26" s="24">
        <v>4</v>
      </c>
      <c r="V26" s="22">
        <v>59.5</v>
      </c>
      <c r="W26" s="17" t="s">
        <v>48</v>
      </c>
      <c r="X26" s="17" t="s">
        <v>49</v>
      </c>
      <c r="Y26" s="17" t="s">
        <v>87</v>
      </c>
      <c r="Z26" s="17" t="s">
        <v>9</v>
      </c>
      <c r="AA26" s="17" t="s">
        <v>50</v>
      </c>
      <c r="AB26" s="17" t="s">
        <v>95</v>
      </c>
      <c r="AC26" s="17" t="s">
        <v>38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30" customFormat="1" ht="35.1" customHeight="1" x14ac:dyDescent="0.2">
      <c r="A27" s="17" t="s">
        <v>79</v>
      </c>
      <c r="B27" s="18">
        <v>46071</v>
      </c>
      <c r="C27" s="18">
        <v>46071</v>
      </c>
      <c r="D27" s="17" t="s">
        <v>164</v>
      </c>
      <c r="E27" s="19">
        <v>0.5</v>
      </c>
      <c r="F27" s="19">
        <v>0.54166666666666663</v>
      </c>
      <c r="G27" s="19">
        <v>1.7361111111111109E-4</v>
      </c>
      <c r="H27" s="17" t="s">
        <v>91</v>
      </c>
      <c r="I27" s="20">
        <v>0.52908564814814818</v>
      </c>
      <c r="J27" s="17" t="s">
        <v>81</v>
      </c>
      <c r="K27" s="17" t="s">
        <v>138</v>
      </c>
      <c r="L27" s="21">
        <v>1</v>
      </c>
      <c r="M27" s="21">
        <v>70011</v>
      </c>
      <c r="N27" s="17" t="s">
        <v>58</v>
      </c>
      <c r="O27" s="21" t="s">
        <v>82</v>
      </c>
      <c r="P27" s="22">
        <v>64.709999999999994</v>
      </c>
      <c r="Q27" s="21"/>
      <c r="R27" s="22">
        <v>64.709999999999994</v>
      </c>
      <c r="S27" s="23">
        <v>46054</v>
      </c>
      <c r="T27" s="22">
        <v>9.7064999999999984</v>
      </c>
      <c r="U27" s="24">
        <v>4</v>
      </c>
      <c r="V27" s="22">
        <v>55.003499999999995</v>
      </c>
      <c r="W27" s="17" t="s">
        <v>48</v>
      </c>
      <c r="X27" s="17" t="s">
        <v>49</v>
      </c>
      <c r="Y27" s="17" t="s">
        <v>36</v>
      </c>
      <c r="Z27" s="17" t="s">
        <v>9</v>
      </c>
      <c r="AA27" s="17" t="s">
        <v>50</v>
      </c>
      <c r="AB27" s="17" t="s">
        <v>83</v>
      </c>
      <c r="AC27" s="17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5.1" customHeight="1" x14ac:dyDescent="0.25">
      <c r="A28" s="9" t="s">
        <v>101</v>
      </c>
      <c r="B28" s="10">
        <v>46071</v>
      </c>
      <c r="C28" s="10">
        <v>46071</v>
      </c>
      <c r="D28" s="11" t="s">
        <v>164</v>
      </c>
      <c r="E28" s="12">
        <v>0.54166666666666663</v>
      </c>
      <c r="F28" s="12">
        <v>0.5625</v>
      </c>
      <c r="G28" s="12">
        <v>2.0833333333333332E-2</v>
      </c>
      <c r="H28" s="9" t="s">
        <v>102</v>
      </c>
      <c r="I28" s="13"/>
      <c r="J28" s="9" t="s">
        <v>103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30" customFormat="1" ht="35.1" customHeight="1" x14ac:dyDescent="0.25">
      <c r="A29" s="17" t="s">
        <v>79</v>
      </c>
      <c r="B29" s="18">
        <v>46071</v>
      </c>
      <c r="C29" s="18">
        <v>46071</v>
      </c>
      <c r="D29" s="17" t="s">
        <v>164</v>
      </c>
      <c r="E29" s="19">
        <v>0.54166666666666663</v>
      </c>
      <c r="F29" s="19">
        <v>0.5625</v>
      </c>
      <c r="G29" s="19">
        <v>1.7361111111111109E-4</v>
      </c>
      <c r="H29" s="17" t="s">
        <v>107</v>
      </c>
      <c r="I29" s="20">
        <v>0.54748842592592595</v>
      </c>
      <c r="J29" s="17" t="s">
        <v>103</v>
      </c>
      <c r="K29" s="17" t="s">
        <v>139</v>
      </c>
      <c r="L29" s="21">
        <v>1</v>
      </c>
      <c r="M29" s="21">
        <v>69976</v>
      </c>
      <c r="N29" s="17" t="s">
        <v>58</v>
      </c>
      <c r="O29" s="21" t="s">
        <v>105</v>
      </c>
      <c r="P29" s="22">
        <v>64.709999999999994</v>
      </c>
      <c r="Q29" s="21"/>
      <c r="R29" s="22">
        <v>64.709999999999994</v>
      </c>
      <c r="S29" s="23">
        <v>46054</v>
      </c>
      <c r="T29" s="22">
        <v>9.7064999999999984</v>
      </c>
      <c r="U29" s="24">
        <v>4</v>
      </c>
      <c r="V29" s="22">
        <v>55.003499999999995</v>
      </c>
      <c r="W29" s="17" t="s">
        <v>48</v>
      </c>
      <c r="X29" s="17" t="s">
        <v>49</v>
      </c>
      <c r="Y29" s="17" t="s">
        <v>36</v>
      </c>
      <c r="Z29" s="17" t="s">
        <v>9</v>
      </c>
      <c r="AA29" s="17" t="s">
        <v>50</v>
      </c>
      <c r="AB29" s="17" t="s">
        <v>106</v>
      </c>
      <c r="AC29" s="17" t="s">
        <v>38</v>
      </c>
      <c r="AD29" s="7" t="str">
        <f t="shared" si="0"/>
        <v/>
      </c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</row>
    <row r="30" spans="1:49" s="30" customFormat="1" ht="35.1" customHeight="1" x14ac:dyDescent="0.25">
      <c r="A30" s="9" t="s">
        <v>101</v>
      </c>
      <c r="B30" s="10">
        <v>46071</v>
      </c>
      <c r="C30" s="10">
        <v>46071</v>
      </c>
      <c r="D30" s="11" t="s">
        <v>164</v>
      </c>
      <c r="E30" s="12">
        <v>0.5625</v>
      </c>
      <c r="F30" s="12">
        <v>0.58333333333333337</v>
      </c>
      <c r="G30" s="12">
        <v>2.0833333333333332E-2</v>
      </c>
      <c r="H30" s="9" t="s">
        <v>108</v>
      </c>
      <c r="I30" s="13"/>
      <c r="J30" s="9" t="s">
        <v>103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</row>
    <row r="31" spans="1:49" s="30" customFormat="1" ht="35.1" customHeight="1" x14ac:dyDescent="0.25">
      <c r="A31" s="17" t="s">
        <v>79</v>
      </c>
      <c r="B31" s="18">
        <v>46071</v>
      </c>
      <c r="C31" s="18">
        <v>46071</v>
      </c>
      <c r="D31" s="17" t="s">
        <v>164</v>
      </c>
      <c r="E31" s="19">
        <v>0.5625</v>
      </c>
      <c r="F31" s="19">
        <v>0.58333333333333337</v>
      </c>
      <c r="G31" s="19">
        <v>1.7361111111111109E-4</v>
      </c>
      <c r="H31" s="17" t="s">
        <v>104</v>
      </c>
      <c r="I31" s="20">
        <v>0.57626157407407408</v>
      </c>
      <c r="J31" s="17" t="s">
        <v>103</v>
      </c>
      <c r="K31" s="17" t="s">
        <v>140</v>
      </c>
      <c r="L31" s="21">
        <v>1</v>
      </c>
      <c r="M31" s="21">
        <v>69977</v>
      </c>
      <c r="N31" s="17" t="s">
        <v>58</v>
      </c>
      <c r="O31" s="21" t="s">
        <v>105</v>
      </c>
      <c r="P31" s="22">
        <v>64.709999999999994</v>
      </c>
      <c r="Q31" s="21"/>
      <c r="R31" s="22">
        <v>64.709999999999994</v>
      </c>
      <c r="S31" s="23">
        <v>46054</v>
      </c>
      <c r="T31" s="22">
        <v>9.7064999999999984</v>
      </c>
      <c r="U31" s="24">
        <v>4</v>
      </c>
      <c r="V31" s="22">
        <v>55.003499999999995</v>
      </c>
      <c r="W31" s="17" t="s">
        <v>48</v>
      </c>
      <c r="X31" s="17" t="s">
        <v>49</v>
      </c>
      <c r="Y31" s="17" t="s">
        <v>36</v>
      </c>
      <c r="Z31" s="17" t="s">
        <v>9</v>
      </c>
      <c r="AA31" s="17" t="s">
        <v>50</v>
      </c>
      <c r="AB31" s="17" t="s">
        <v>106</v>
      </c>
      <c r="AC31" s="17" t="s">
        <v>38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30" customFormat="1" ht="35.1" customHeight="1" x14ac:dyDescent="0.25">
      <c r="A32" s="9" t="s">
        <v>109</v>
      </c>
      <c r="B32" s="10">
        <v>46071</v>
      </c>
      <c r="C32" s="10">
        <v>46071</v>
      </c>
      <c r="D32" s="11" t="s">
        <v>164</v>
      </c>
      <c r="E32" s="12">
        <v>0.58333333333333337</v>
      </c>
      <c r="F32" s="12">
        <v>0.625</v>
      </c>
      <c r="G32" s="12">
        <v>4.1666666666666664E-2</v>
      </c>
      <c r="H32" s="9" t="s">
        <v>110</v>
      </c>
      <c r="I32" s="13"/>
      <c r="J32" s="9" t="s">
        <v>111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</row>
    <row r="33" spans="1:49" s="30" customFormat="1" ht="35.1" customHeight="1" x14ac:dyDescent="0.25">
      <c r="A33" s="17" t="s">
        <v>79</v>
      </c>
      <c r="B33" s="18">
        <v>46071</v>
      </c>
      <c r="C33" s="18">
        <v>46071</v>
      </c>
      <c r="D33" s="17" t="s">
        <v>164</v>
      </c>
      <c r="E33" s="19">
        <v>0.54166666666666663</v>
      </c>
      <c r="F33" s="19">
        <v>0.66666666666666663</v>
      </c>
      <c r="G33" s="19">
        <v>1.7361111111111109E-4</v>
      </c>
      <c r="H33" s="17" t="s">
        <v>107</v>
      </c>
      <c r="I33" s="20">
        <v>0.60871527777777779</v>
      </c>
      <c r="J33" s="17" t="s">
        <v>103</v>
      </c>
      <c r="K33" s="17" t="s">
        <v>141</v>
      </c>
      <c r="L33" s="21">
        <v>1</v>
      </c>
      <c r="M33" s="21">
        <v>70033</v>
      </c>
      <c r="N33" s="17" t="s">
        <v>46</v>
      </c>
      <c r="O33" s="21" t="s">
        <v>105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106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0" customFormat="1" ht="35.1" customHeight="1" x14ac:dyDescent="0.25">
      <c r="A34" s="17" t="s">
        <v>79</v>
      </c>
      <c r="B34" s="18">
        <v>46071</v>
      </c>
      <c r="C34" s="18">
        <v>46071</v>
      </c>
      <c r="D34" s="17" t="s">
        <v>164</v>
      </c>
      <c r="E34" s="19">
        <v>0.58333333333333337</v>
      </c>
      <c r="F34" s="19">
        <v>0.66666666666666663</v>
      </c>
      <c r="G34" s="19">
        <v>1.7361111111111109E-4</v>
      </c>
      <c r="H34" s="17" t="s">
        <v>104</v>
      </c>
      <c r="I34" s="20">
        <v>0.61793981481481486</v>
      </c>
      <c r="J34" s="17" t="s">
        <v>103</v>
      </c>
      <c r="K34" s="17" t="s">
        <v>141</v>
      </c>
      <c r="L34" s="21">
        <v>1</v>
      </c>
      <c r="M34" s="21">
        <v>69978</v>
      </c>
      <c r="N34" s="17" t="s">
        <v>58</v>
      </c>
      <c r="O34" s="21" t="s">
        <v>105</v>
      </c>
      <c r="P34" s="22">
        <v>64.709999999999994</v>
      </c>
      <c r="Q34" s="21"/>
      <c r="R34" s="22">
        <v>64.709999999999994</v>
      </c>
      <c r="S34" s="23">
        <v>46054</v>
      </c>
      <c r="T34" s="22">
        <v>9.7064999999999984</v>
      </c>
      <c r="U34" s="24">
        <v>4</v>
      </c>
      <c r="V34" s="22">
        <v>55.003499999999995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106</v>
      </c>
      <c r="AC34" s="17" t="s">
        <v>38</v>
      </c>
      <c r="AD34" s="7" t="str">
        <f t="shared" si="0"/>
        <v/>
      </c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</row>
    <row r="35" spans="1:49" s="30" customFormat="1" ht="35.1" customHeight="1" x14ac:dyDescent="0.2">
      <c r="A35" s="9" t="s">
        <v>109</v>
      </c>
      <c r="B35" s="10">
        <v>46071</v>
      </c>
      <c r="C35" s="10">
        <v>46071</v>
      </c>
      <c r="D35" s="11" t="s">
        <v>164</v>
      </c>
      <c r="E35" s="12">
        <v>0.625</v>
      </c>
      <c r="F35" s="12">
        <v>0.64583333333333337</v>
      </c>
      <c r="G35" s="12">
        <v>2.0833333333333332E-2</v>
      </c>
      <c r="H35" s="9" t="s">
        <v>112</v>
      </c>
      <c r="I35" s="13"/>
      <c r="J35" s="9" t="s">
        <v>111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0" customFormat="1" ht="35.1" customHeight="1" x14ac:dyDescent="0.25">
      <c r="A36" s="9" t="s">
        <v>109</v>
      </c>
      <c r="B36" s="10">
        <v>46071</v>
      </c>
      <c r="C36" s="10">
        <v>46071</v>
      </c>
      <c r="D36" s="11" t="s">
        <v>164</v>
      </c>
      <c r="E36" s="12">
        <v>0.64583333333333337</v>
      </c>
      <c r="F36" s="12">
        <v>0.66666666666666663</v>
      </c>
      <c r="G36" s="12">
        <v>2.0833333333333332E-2</v>
      </c>
      <c r="H36" s="9" t="s">
        <v>113</v>
      </c>
      <c r="I36" s="13"/>
      <c r="J36" s="9" t="s">
        <v>111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s="30" customFormat="1" ht="35.1" customHeight="1" x14ac:dyDescent="0.2">
      <c r="A37" s="9" t="s">
        <v>114</v>
      </c>
      <c r="B37" s="10">
        <v>46071</v>
      </c>
      <c r="C37" s="10">
        <v>46071</v>
      </c>
      <c r="D37" s="11" t="s">
        <v>164</v>
      </c>
      <c r="E37" s="12">
        <v>0.66666666666666663</v>
      </c>
      <c r="F37" s="12">
        <v>0.6875</v>
      </c>
      <c r="G37" s="12">
        <v>2.0833333333333332E-2</v>
      </c>
      <c r="H37" s="9" t="s">
        <v>115</v>
      </c>
      <c r="I37" s="13"/>
      <c r="J37" s="9" t="s">
        <v>116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</row>
    <row r="38" spans="1:49" s="30" customFormat="1" ht="35.1" customHeight="1" x14ac:dyDescent="0.25">
      <c r="A38" s="9" t="s">
        <v>118</v>
      </c>
      <c r="B38" s="10">
        <v>46071</v>
      </c>
      <c r="C38" s="10">
        <v>46071</v>
      </c>
      <c r="D38" s="11" t="s">
        <v>164</v>
      </c>
      <c r="E38" s="12">
        <v>0.6875</v>
      </c>
      <c r="F38" s="12">
        <v>0.70833333333333337</v>
      </c>
      <c r="G38" s="12">
        <v>2.0833333333333332E-2</v>
      </c>
      <c r="H38" s="9" t="s">
        <v>119</v>
      </c>
      <c r="I38" s="13"/>
      <c r="J38" s="9" t="s">
        <v>116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30" customFormat="1" ht="35.1" customHeight="1" x14ac:dyDescent="0.25">
      <c r="A39" s="9" t="s">
        <v>114</v>
      </c>
      <c r="B39" s="10">
        <v>46071</v>
      </c>
      <c r="C39" s="10">
        <v>46071</v>
      </c>
      <c r="D39" s="11" t="s">
        <v>164</v>
      </c>
      <c r="E39" s="12">
        <v>0.70833333333333337</v>
      </c>
      <c r="F39" s="12">
        <v>0.75</v>
      </c>
      <c r="G39" s="12">
        <v>4.1666666666666664E-2</v>
      </c>
      <c r="H39" s="9" t="s">
        <v>174</v>
      </c>
      <c r="I39" s="13"/>
      <c r="J39" s="9" t="s">
        <v>116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25"/>
      <c r="AF39" s="25"/>
      <c r="AG39" s="25"/>
      <c r="AH39" s="25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</row>
    <row r="40" spans="1:49" s="30" customFormat="1" ht="35.1" customHeight="1" x14ac:dyDescent="0.25">
      <c r="A40" s="17" t="s">
        <v>52</v>
      </c>
      <c r="B40" s="18">
        <v>46071</v>
      </c>
      <c r="C40" s="18">
        <v>46071</v>
      </c>
      <c r="D40" s="17" t="s">
        <v>164</v>
      </c>
      <c r="E40" s="19">
        <v>0.66666666666666663</v>
      </c>
      <c r="F40" s="19">
        <v>0.79166666666666663</v>
      </c>
      <c r="G40" s="19">
        <v>3.4722222222222218E-4</v>
      </c>
      <c r="H40" s="17" t="s">
        <v>117</v>
      </c>
      <c r="I40" s="20">
        <v>0.71324074074074073</v>
      </c>
      <c r="J40" s="17" t="s">
        <v>116</v>
      </c>
      <c r="K40" s="17" t="s">
        <v>174</v>
      </c>
      <c r="L40" s="21">
        <v>1</v>
      </c>
      <c r="M40" s="21">
        <v>70968</v>
      </c>
      <c r="N40" s="17" t="s">
        <v>46</v>
      </c>
      <c r="O40" s="21" t="str">
        <f>AC40</f>
        <v>SFO</v>
      </c>
      <c r="P40" s="22">
        <v>0</v>
      </c>
      <c r="Q40" s="21"/>
      <c r="R40" s="22">
        <v>0</v>
      </c>
      <c r="S40" s="23">
        <v>46054</v>
      </c>
      <c r="T40" s="22">
        <v>0</v>
      </c>
      <c r="U40" s="24">
        <v>4</v>
      </c>
      <c r="V40" s="22">
        <v>0</v>
      </c>
      <c r="W40" s="17" t="s">
        <v>48</v>
      </c>
      <c r="X40" s="17" t="s">
        <v>49</v>
      </c>
      <c r="Y40" s="17" t="s">
        <v>36</v>
      </c>
      <c r="Z40" s="17" t="s">
        <v>9</v>
      </c>
      <c r="AA40" s="17" t="s">
        <v>50</v>
      </c>
      <c r="AB40" s="17" t="s">
        <v>54</v>
      </c>
      <c r="AC40" s="17" t="s">
        <v>38</v>
      </c>
      <c r="AD40" s="7" t="str">
        <f t="shared" si="0"/>
        <v/>
      </c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</row>
    <row r="41" spans="1:49" s="30" customFormat="1" ht="35.1" customHeight="1" x14ac:dyDescent="0.25">
      <c r="A41" s="17" t="s">
        <v>84</v>
      </c>
      <c r="B41" s="18">
        <v>46071</v>
      </c>
      <c r="C41" s="18">
        <v>46071</v>
      </c>
      <c r="D41" s="17" t="s">
        <v>164</v>
      </c>
      <c r="E41" s="19">
        <v>0.66666666666666663</v>
      </c>
      <c r="F41" s="19">
        <v>0.79166666666666663</v>
      </c>
      <c r="G41" s="19">
        <v>3.4722222222222218E-4</v>
      </c>
      <c r="H41" s="17" t="s">
        <v>173</v>
      </c>
      <c r="I41" s="20">
        <v>0.7201157407407407</v>
      </c>
      <c r="J41" s="17" t="s">
        <v>116</v>
      </c>
      <c r="K41" s="17" t="s">
        <v>174</v>
      </c>
      <c r="L41" s="21">
        <v>1</v>
      </c>
      <c r="M41" s="21">
        <v>71439</v>
      </c>
      <c r="N41" s="17" t="s">
        <v>58</v>
      </c>
      <c r="O41" s="21" t="s">
        <v>157</v>
      </c>
      <c r="P41" s="22">
        <v>105.88235294117646</v>
      </c>
      <c r="Q41" s="21"/>
      <c r="R41" s="22">
        <v>105.88235294117646</v>
      </c>
      <c r="S41" s="23">
        <v>46071</v>
      </c>
      <c r="T41" s="22">
        <v>15.882352941176469</v>
      </c>
      <c r="U41" s="24">
        <v>4</v>
      </c>
      <c r="V41" s="22">
        <v>90</v>
      </c>
      <c r="W41" s="17" t="s">
        <v>48</v>
      </c>
      <c r="X41" s="17" t="s">
        <v>49</v>
      </c>
      <c r="Y41" s="17" t="s">
        <v>87</v>
      </c>
      <c r="Z41" s="17" t="s">
        <v>9</v>
      </c>
      <c r="AA41" s="17" t="s">
        <v>50</v>
      </c>
      <c r="AB41" s="17" t="s">
        <v>158</v>
      </c>
      <c r="AC41" s="17" t="s">
        <v>38</v>
      </c>
      <c r="AD41" s="7" t="str">
        <f t="shared" si="0"/>
        <v/>
      </c>
      <c r="AE41" s="25"/>
      <c r="AF41" s="25"/>
      <c r="AG41" s="25"/>
      <c r="AH41" s="25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</row>
    <row r="42" spans="1:49" s="30" customFormat="1" ht="35.1" customHeight="1" x14ac:dyDescent="0.25">
      <c r="A42" s="9" t="s">
        <v>118</v>
      </c>
      <c r="B42" s="10">
        <v>46071</v>
      </c>
      <c r="C42" s="10">
        <v>46071</v>
      </c>
      <c r="D42" s="11" t="s">
        <v>164</v>
      </c>
      <c r="E42" s="12">
        <v>0.75</v>
      </c>
      <c r="F42" s="12">
        <v>0.77083333333333337</v>
      </c>
      <c r="G42" s="12">
        <v>2.0833333333333332E-2</v>
      </c>
      <c r="H42" s="9" t="s">
        <v>121</v>
      </c>
      <c r="I42" s="13"/>
      <c r="J42" s="9" t="s">
        <v>116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s="30" customFormat="1" ht="35.1" customHeight="1" x14ac:dyDescent="0.25">
      <c r="A43" s="17" t="s">
        <v>52</v>
      </c>
      <c r="B43" s="18">
        <v>46071</v>
      </c>
      <c r="C43" s="18">
        <v>46071</v>
      </c>
      <c r="D43" s="17" t="s">
        <v>164</v>
      </c>
      <c r="E43" s="19">
        <v>0.66666666666666663</v>
      </c>
      <c r="F43" s="19">
        <v>0.79166666666666663</v>
      </c>
      <c r="G43" s="19">
        <v>3.4722222222222218E-4</v>
      </c>
      <c r="H43" s="17" t="s">
        <v>117</v>
      </c>
      <c r="I43" s="20">
        <v>0.765625</v>
      </c>
      <c r="J43" s="17" t="s">
        <v>116</v>
      </c>
      <c r="K43" s="17" t="s">
        <v>176</v>
      </c>
      <c r="L43" s="21">
        <v>1</v>
      </c>
      <c r="M43" s="21">
        <v>70966</v>
      </c>
      <c r="N43" s="17" t="s">
        <v>58</v>
      </c>
      <c r="O43" s="21" t="str">
        <f>AC43</f>
        <v>SFO</v>
      </c>
      <c r="P43" s="22">
        <v>117.65</v>
      </c>
      <c r="Q43" s="21"/>
      <c r="R43" s="22">
        <v>117.65</v>
      </c>
      <c r="S43" s="23">
        <v>46054</v>
      </c>
      <c r="T43" s="22">
        <v>8.8237500000000004</v>
      </c>
      <c r="U43" s="24">
        <v>4</v>
      </c>
      <c r="V43" s="22">
        <v>108.82625</v>
      </c>
      <c r="W43" s="17" t="s">
        <v>48</v>
      </c>
      <c r="X43" s="17" t="s">
        <v>49</v>
      </c>
      <c r="Y43" s="17" t="s">
        <v>36</v>
      </c>
      <c r="Z43" s="17" t="s">
        <v>9</v>
      </c>
      <c r="AA43" s="17" t="s">
        <v>50</v>
      </c>
      <c r="AB43" s="17" t="s">
        <v>54</v>
      </c>
      <c r="AC43" s="17" t="s">
        <v>38</v>
      </c>
      <c r="AD43" s="7" t="str">
        <f t="shared" si="0"/>
        <v/>
      </c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</row>
    <row r="44" spans="1:49" s="30" customFormat="1" ht="35.1" customHeight="1" x14ac:dyDescent="0.25">
      <c r="A44" s="9" t="s">
        <v>118</v>
      </c>
      <c r="B44" s="10">
        <v>46071</v>
      </c>
      <c r="C44" s="10">
        <v>46071</v>
      </c>
      <c r="D44" s="11" t="s">
        <v>164</v>
      </c>
      <c r="E44" s="12">
        <v>0.77083333333333337</v>
      </c>
      <c r="F44" s="12">
        <v>0.79166666666666663</v>
      </c>
      <c r="G44" s="12">
        <v>2.0833333333333332E-2</v>
      </c>
      <c r="H44" s="9" t="s">
        <v>119</v>
      </c>
      <c r="I44" s="13"/>
      <c r="J44" s="9" t="s">
        <v>116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</row>
    <row r="45" spans="1:49" s="30" customFormat="1" ht="35.1" customHeight="1" x14ac:dyDescent="0.25">
      <c r="A45" s="9" t="s">
        <v>39</v>
      </c>
      <c r="B45" s="10">
        <v>46071</v>
      </c>
      <c r="C45" s="10">
        <v>46071</v>
      </c>
      <c r="D45" s="11" t="s">
        <v>164</v>
      </c>
      <c r="E45" s="12">
        <v>0.79166666666666663</v>
      </c>
      <c r="F45" s="12">
        <v>0.8125</v>
      </c>
      <c r="G45" s="12">
        <v>2.0833333333333332E-2</v>
      </c>
      <c r="H45" s="9" t="s">
        <v>122</v>
      </c>
      <c r="I45" s="13"/>
      <c r="J45" s="9" t="s">
        <v>123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30" customFormat="1" ht="35.1" customHeight="1" x14ac:dyDescent="0.2">
      <c r="A46" s="17" t="s">
        <v>52</v>
      </c>
      <c r="B46" s="18">
        <v>46071</v>
      </c>
      <c r="C46" s="18">
        <v>46071</v>
      </c>
      <c r="D46" s="17" t="s">
        <v>164</v>
      </c>
      <c r="E46" s="19">
        <v>0.79166666666666663</v>
      </c>
      <c r="F46" s="19">
        <v>0.83333333333333337</v>
      </c>
      <c r="G46" s="19">
        <v>3.4722222222222218E-4</v>
      </c>
      <c r="H46" s="17" t="s">
        <v>128</v>
      </c>
      <c r="I46" s="20">
        <v>0.81160879629629634</v>
      </c>
      <c r="J46" s="17" t="s">
        <v>123</v>
      </c>
      <c r="K46" s="17" t="s">
        <v>122</v>
      </c>
      <c r="L46" s="21">
        <v>1</v>
      </c>
      <c r="M46" s="21">
        <v>70960</v>
      </c>
      <c r="N46" s="17" t="s">
        <v>58</v>
      </c>
      <c r="O46" s="21" t="str">
        <f>AC46</f>
        <v>SFO</v>
      </c>
      <c r="P46" s="22">
        <v>117.65</v>
      </c>
      <c r="Q46" s="21"/>
      <c r="R46" s="22">
        <v>117.65</v>
      </c>
      <c r="S46" s="23">
        <v>46054</v>
      </c>
      <c r="T46" s="22">
        <v>8.8237500000000004</v>
      </c>
      <c r="U46" s="24">
        <v>4</v>
      </c>
      <c r="V46" s="22">
        <v>108.82625</v>
      </c>
      <c r="W46" s="17" t="s">
        <v>48</v>
      </c>
      <c r="X46" s="17" t="s">
        <v>49</v>
      </c>
      <c r="Y46" s="17" t="s">
        <v>36</v>
      </c>
      <c r="Z46" s="17" t="s">
        <v>9</v>
      </c>
      <c r="AA46" s="17" t="s">
        <v>50</v>
      </c>
      <c r="AB46" s="17" t="s">
        <v>54</v>
      </c>
      <c r="AC46" s="17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0" customFormat="1" ht="35.1" customHeight="1" x14ac:dyDescent="0.2">
      <c r="A47" s="9" t="s">
        <v>39</v>
      </c>
      <c r="B47" s="10">
        <v>46071</v>
      </c>
      <c r="C47" s="10">
        <v>46071</v>
      </c>
      <c r="D47" s="11" t="s">
        <v>164</v>
      </c>
      <c r="E47" s="12">
        <v>0.8125</v>
      </c>
      <c r="F47" s="12">
        <v>0.83333333333333337</v>
      </c>
      <c r="G47" s="12">
        <v>2.0833333333333332E-2</v>
      </c>
      <c r="H47" s="9" t="s">
        <v>130</v>
      </c>
      <c r="I47" s="13"/>
      <c r="J47" s="9" t="s">
        <v>123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</row>
    <row r="48" spans="1:49" s="30" customFormat="1" ht="35.1" customHeight="1" x14ac:dyDescent="0.25">
      <c r="A48" s="17" t="s">
        <v>92</v>
      </c>
      <c r="B48" s="18">
        <v>46071</v>
      </c>
      <c r="C48" s="18">
        <v>46071</v>
      </c>
      <c r="D48" s="17" t="s">
        <v>164</v>
      </c>
      <c r="E48" s="19">
        <v>0.8125</v>
      </c>
      <c r="F48" s="19">
        <v>0.83333333333333337</v>
      </c>
      <c r="G48" s="19">
        <v>5.7870370370370373E-5</v>
      </c>
      <c r="H48" s="17" t="s">
        <v>160</v>
      </c>
      <c r="I48" s="20">
        <v>0.81636574074074075</v>
      </c>
      <c r="J48" s="17" t="s">
        <v>123</v>
      </c>
      <c r="K48" s="17" t="s">
        <v>143</v>
      </c>
      <c r="L48" s="21">
        <v>1</v>
      </c>
      <c r="M48" s="21">
        <v>71832</v>
      </c>
      <c r="N48" s="17" t="s">
        <v>58</v>
      </c>
      <c r="O48" s="21" t="s">
        <v>154</v>
      </c>
      <c r="P48" s="22">
        <v>41.025641025641029</v>
      </c>
      <c r="Q48" s="21"/>
      <c r="R48" s="22">
        <v>41.025641025641029</v>
      </c>
      <c r="S48" s="23">
        <v>46071</v>
      </c>
      <c r="T48" s="22">
        <v>6.1538461538461542</v>
      </c>
      <c r="U48" s="24">
        <v>4</v>
      </c>
      <c r="V48" s="22">
        <v>34.871794871794876</v>
      </c>
      <c r="W48" s="17" t="s">
        <v>48</v>
      </c>
      <c r="X48" s="17" t="s">
        <v>49</v>
      </c>
      <c r="Y48" s="17" t="s">
        <v>87</v>
      </c>
      <c r="Z48" s="17" t="s">
        <v>9</v>
      </c>
      <c r="AA48" s="17" t="s">
        <v>50</v>
      </c>
      <c r="AB48" s="17" t="s">
        <v>155</v>
      </c>
      <c r="AC48" s="17" t="s">
        <v>38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0" customFormat="1" ht="35.1" customHeight="1" x14ac:dyDescent="0.2">
      <c r="A49" s="17" t="s">
        <v>44</v>
      </c>
      <c r="B49" s="18">
        <v>46071</v>
      </c>
      <c r="C49" s="18">
        <v>46071</v>
      </c>
      <c r="D49" s="17" t="s">
        <v>164</v>
      </c>
      <c r="E49" s="19">
        <v>0.79166666666666663</v>
      </c>
      <c r="F49" s="19">
        <v>0.99930555555555556</v>
      </c>
      <c r="G49" s="19">
        <v>1.7361111111111109E-4</v>
      </c>
      <c r="H49" s="17" t="s">
        <v>124</v>
      </c>
      <c r="I49" s="20">
        <v>0.82179398148148153</v>
      </c>
      <c r="J49" s="17" t="s">
        <v>123</v>
      </c>
      <c r="K49" s="17" t="s">
        <v>143</v>
      </c>
      <c r="L49" s="21">
        <v>1</v>
      </c>
      <c r="M49" s="21">
        <v>66849</v>
      </c>
      <c r="N49" s="17" t="s">
        <v>58</v>
      </c>
      <c r="O49" s="21" t="s">
        <v>47</v>
      </c>
      <c r="P49" s="22">
        <v>0</v>
      </c>
      <c r="Q49" s="21"/>
      <c r="R49" s="22">
        <v>0</v>
      </c>
      <c r="S49" s="23">
        <v>46054</v>
      </c>
      <c r="T49" s="22">
        <v>0</v>
      </c>
      <c r="U49" s="24">
        <v>4</v>
      </c>
      <c r="V49" s="22">
        <v>59.5</v>
      </c>
      <c r="W49" s="17" t="s">
        <v>48</v>
      </c>
      <c r="X49" s="17" t="s">
        <v>49</v>
      </c>
      <c r="Y49" s="17" t="s">
        <v>36</v>
      </c>
      <c r="Z49" s="17" t="s">
        <v>9</v>
      </c>
      <c r="AA49" s="17" t="s">
        <v>50</v>
      </c>
      <c r="AB49" s="17" t="s">
        <v>51</v>
      </c>
      <c r="AC49" s="17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0" customFormat="1" ht="35.1" customHeight="1" x14ac:dyDescent="0.25">
      <c r="A50" s="17" t="s">
        <v>125</v>
      </c>
      <c r="B50" s="18">
        <v>46071</v>
      </c>
      <c r="C50" s="18">
        <v>46071</v>
      </c>
      <c r="D50" s="17" t="s">
        <v>164</v>
      </c>
      <c r="E50" s="19">
        <v>0.79166666666666663</v>
      </c>
      <c r="F50" s="19">
        <v>0.83333333333333337</v>
      </c>
      <c r="G50" s="19">
        <v>1.7361111111111109E-4</v>
      </c>
      <c r="H50" s="17" t="s">
        <v>126</v>
      </c>
      <c r="I50" s="20">
        <v>0.83230324074074069</v>
      </c>
      <c r="J50" s="17" t="s">
        <v>123</v>
      </c>
      <c r="K50" s="17" t="s">
        <v>143</v>
      </c>
      <c r="L50" s="21">
        <v>1</v>
      </c>
      <c r="M50" s="21">
        <v>71281</v>
      </c>
      <c r="N50" s="17" t="s">
        <v>58</v>
      </c>
      <c r="O50" s="21" t="s">
        <v>38</v>
      </c>
      <c r="P50" s="22">
        <v>90</v>
      </c>
      <c r="Q50" s="21"/>
      <c r="R50" s="22">
        <v>90</v>
      </c>
      <c r="S50" s="23">
        <v>46071</v>
      </c>
      <c r="T50" s="22">
        <v>13.5</v>
      </c>
      <c r="U50" s="24">
        <v>4</v>
      </c>
      <c r="V50" s="22">
        <v>76.5</v>
      </c>
      <c r="W50" s="17" t="s">
        <v>48</v>
      </c>
      <c r="X50" s="17" t="s">
        <v>49</v>
      </c>
      <c r="Y50" s="17" t="s">
        <v>87</v>
      </c>
      <c r="Z50" s="17" t="s">
        <v>9</v>
      </c>
      <c r="AA50" s="17" t="s">
        <v>50</v>
      </c>
      <c r="AB50" s="17" t="s">
        <v>127</v>
      </c>
      <c r="AC50" s="17" t="s">
        <v>38</v>
      </c>
      <c r="AD50" s="7" t="str">
        <f t="shared" si="0"/>
        <v/>
      </c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</row>
    <row r="51" spans="1:49" s="30" customFormat="1" ht="35.1" customHeight="1" x14ac:dyDescent="0.25">
      <c r="A51" s="9" t="s">
        <v>131</v>
      </c>
      <c r="B51" s="10">
        <v>46071</v>
      </c>
      <c r="C51" s="10">
        <v>46071</v>
      </c>
      <c r="D51" s="11" t="s">
        <v>164</v>
      </c>
      <c r="E51" s="12">
        <v>0.83333333333333337</v>
      </c>
      <c r="F51" s="12">
        <v>0.875</v>
      </c>
      <c r="G51" s="12">
        <v>4.1666666666666664E-2</v>
      </c>
      <c r="H51" s="9" t="s">
        <v>132</v>
      </c>
      <c r="I51" s="13"/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1:49" s="30" customFormat="1" ht="35.1" customHeight="1" x14ac:dyDescent="0.25">
      <c r="A52" s="17" t="s">
        <v>44</v>
      </c>
      <c r="B52" s="18">
        <v>46071</v>
      </c>
      <c r="C52" s="18">
        <v>46071</v>
      </c>
      <c r="D52" s="17" t="s">
        <v>164</v>
      </c>
      <c r="E52" s="19">
        <v>0.83333333333333337</v>
      </c>
      <c r="F52" s="19">
        <v>0.875</v>
      </c>
      <c r="G52" s="19">
        <v>1.7361111111111109E-4</v>
      </c>
      <c r="H52" s="17" t="s">
        <v>55</v>
      </c>
      <c r="I52" s="20">
        <v>0.84474537037037034</v>
      </c>
      <c r="J52" s="17" t="s">
        <v>41</v>
      </c>
      <c r="K52" s="17" t="s">
        <v>144</v>
      </c>
      <c r="L52" s="21">
        <v>1</v>
      </c>
      <c r="M52" s="21">
        <v>66850</v>
      </c>
      <c r="N52" s="17" t="s">
        <v>58</v>
      </c>
      <c r="O52" s="21" t="s">
        <v>47</v>
      </c>
      <c r="P52" s="22">
        <v>0</v>
      </c>
      <c r="Q52" s="21"/>
      <c r="R52" s="22">
        <v>0</v>
      </c>
      <c r="S52" s="23">
        <v>46054</v>
      </c>
      <c r="T52" s="22">
        <v>0</v>
      </c>
      <c r="U52" s="24">
        <v>4</v>
      </c>
      <c r="V52" s="22">
        <v>59.5</v>
      </c>
      <c r="W52" s="17" t="s">
        <v>48</v>
      </c>
      <c r="X52" s="17" t="s">
        <v>49</v>
      </c>
      <c r="Y52" s="17" t="s">
        <v>36</v>
      </c>
      <c r="Z52" s="17" t="s">
        <v>9</v>
      </c>
      <c r="AA52" s="17" t="s">
        <v>50</v>
      </c>
      <c r="AB52" s="17" t="s">
        <v>51</v>
      </c>
      <c r="AC52" s="17" t="s">
        <v>38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30" customFormat="1" ht="35.1" customHeight="1" x14ac:dyDescent="0.25">
      <c r="A53" s="17" t="s">
        <v>52</v>
      </c>
      <c r="B53" s="18">
        <v>46071</v>
      </c>
      <c r="C53" s="18">
        <v>46071</v>
      </c>
      <c r="D53" s="17" t="s">
        <v>164</v>
      </c>
      <c r="E53" s="19">
        <v>0.83333333333333337</v>
      </c>
      <c r="F53" s="19">
        <v>0.875</v>
      </c>
      <c r="G53" s="19">
        <v>3.4722222222222218E-4</v>
      </c>
      <c r="H53" s="17" t="s">
        <v>53</v>
      </c>
      <c r="I53" s="20">
        <v>0.84491898148148148</v>
      </c>
      <c r="J53" s="17" t="s">
        <v>41</v>
      </c>
      <c r="K53" s="17" t="s">
        <v>144</v>
      </c>
      <c r="L53" s="21">
        <v>1</v>
      </c>
      <c r="M53" s="21">
        <v>70962</v>
      </c>
      <c r="N53" s="17" t="s">
        <v>58</v>
      </c>
      <c r="O53" s="21" t="str">
        <f>AC53</f>
        <v>SFO</v>
      </c>
      <c r="P53" s="22">
        <v>117.65</v>
      </c>
      <c r="Q53" s="21"/>
      <c r="R53" s="22">
        <v>117.65</v>
      </c>
      <c r="S53" s="23">
        <v>46054</v>
      </c>
      <c r="T53" s="22">
        <v>8.8237500000000004</v>
      </c>
      <c r="U53" s="24">
        <v>4</v>
      </c>
      <c r="V53" s="22">
        <v>108.82625</v>
      </c>
      <c r="W53" s="17" t="s">
        <v>48</v>
      </c>
      <c r="X53" s="17" t="s">
        <v>49</v>
      </c>
      <c r="Y53" s="17" t="s">
        <v>36</v>
      </c>
      <c r="Z53" s="17" t="s">
        <v>9</v>
      </c>
      <c r="AA53" s="17" t="s">
        <v>50</v>
      </c>
      <c r="AB53" s="17" t="s">
        <v>54</v>
      </c>
      <c r="AC53" s="17" t="s">
        <v>38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30" customFormat="1" ht="35.1" customHeight="1" x14ac:dyDescent="0.2">
      <c r="A54" s="17" t="s">
        <v>44</v>
      </c>
      <c r="B54" s="18">
        <v>46071</v>
      </c>
      <c r="C54" s="18">
        <v>46071</v>
      </c>
      <c r="D54" s="17" t="s">
        <v>164</v>
      </c>
      <c r="E54" s="19">
        <v>0.83333333333333337</v>
      </c>
      <c r="F54" s="19">
        <v>0.875</v>
      </c>
      <c r="G54" s="19">
        <v>1.6203703703703701E-4</v>
      </c>
      <c r="H54" s="17" t="s">
        <v>45</v>
      </c>
      <c r="I54" s="20">
        <v>0.85309027777777779</v>
      </c>
      <c r="J54" s="17" t="s">
        <v>41</v>
      </c>
      <c r="K54" s="17" t="s">
        <v>144</v>
      </c>
      <c r="L54" s="21">
        <v>1</v>
      </c>
      <c r="M54" s="21">
        <v>66850</v>
      </c>
      <c r="N54" s="17" t="s">
        <v>58</v>
      </c>
      <c r="O54" s="21" t="s">
        <v>47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59.5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51</v>
      </c>
      <c r="AC54" s="17" t="s">
        <v>38</v>
      </c>
      <c r="AD54" s="7" t="str">
        <f t="shared" si="0"/>
        <v/>
      </c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</row>
    <row r="55" spans="1:49" s="30" customFormat="1" ht="35.1" customHeight="1" x14ac:dyDescent="0.25">
      <c r="A55" s="17" t="s">
        <v>44</v>
      </c>
      <c r="B55" s="18">
        <v>46071</v>
      </c>
      <c r="C55" s="18">
        <v>46071</v>
      </c>
      <c r="D55" s="17" t="s">
        <v>164</v>
      </c>
      <c r="E55" s="19">
        <v>0.83333333333333337</v>
      </c>
      <c r="F55" s="19">
        <v>0.875</v>
      </c>
      <c r="G55" s="19">
        <v>1.7361111111111109E-4</v>
      </c>
      <c r="H55" s="17" t="s">
        <v>55</v>
      </c>
      <c r="I55" s="20">
        <v>0.86597222222222225</v>
      </c>
      <c r="J55" s="17" t="s">
        <v>41</v>
      </c>
      <c r="K55" s="17" t="s">
        <v>144</v>
      </c>
      <c r="L55" s="21">
        <v>1</v>
      </c>
      <c r="M55" s="21">
        <v>66850</v>
      </c>
      <c r="N55" s="17" t="s">
        <v>58</v>
      </c>
      <c r="O55" s="21" t="s">
        <v>47</v>
      </c>
      <c r="P55" s="22">
        <v>0</v>
      </c>
      <c r="Q55" s="21"/>
      <c r="R55" s="22">
        <v>0</v>
      </c>
      <c r="S55" s="23">
        <v>46054</v>
      </c>
      <c r="T55" s="22">
        <v>0</v>
      </c>
      <c r="U55" s="24">
        <v>4</v>
      </c>
      <c r="V55" s="22">
        <v>59.5</v>
      </c>
      <c r="W55" s="17" t="s">
        <v>48</v>
      </c>
      <c r="X55" s="17" t="s">
        <v>49</v>
      </c>
      <c r="Y55" s="17" t="s">
        <v>36</v>
      </c>
      <c r="Z55" s="17" t="s">
        <v>9</v>
      </c>
      <c r="AA55" s="17" t="s">
        <v>50</v>
      </c>
      <c r="AB55" s="17" t="s">
        <v>51</v>
      </c>
      <c r="AC55" s="17" t="s">
        <v>38</v>
      </c>
      <c r="AD55" s="7" t="str">
        <f t="shared" si="0"/>
        <v/>
      </c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</row>
    <row r="56" spans="1:49" s="30" customFormat="1" ht="35.1" customHeight="1" x14ac:dyDescent="0.2">
      <c r="A56" s="9" t="s">
        <v>133</v>
      </c>
      <c r="B56" s="10">
        <v>46071</v>
      </c>
      <c r="C56" s="10">
        <v>46071</v>
      </c>
      <c r="D56" s="11" t="s">
        <v>164</v>
      </c>
      <c r="E56" s="12">
        <v>0.875</v>
      </c>
      <c r="F56" s="12">
        <v>0.91666666666666663</v>
      </c>
      <c r="G56" s="12">
        <v>4.1666666666666664E-2</v>
      </c>
      <c r="H56" s="9" t="s">
        <v>134</v>
      </c>
      <c r="I56" s="13"/>
      <c r="J56" s="9" t="s">
        <v>41</v>
      </c>
      <c r="K56" s="9"/>
      <c r="L56" s="14">
        <v>1</v>
      </c>
      <c r="M56" s="14">
        <v>1</v>
      </c>
      <c r="N56" s="9" t="s">
        <v>33</v>
      </c>
      <c r="O56" s="9"/>
      <c r="P56" s="16">
        <v>0</v>
      </c>
      <c r="Q56" s="14"/>
      <c r="R56" s="16">
        <v>0</v>
      </c>
      <c r="S56" s="9">
        <v>46054</v>
      </c>
      <c r="T56" s="16">
        <v>0</v>
      </c>
      <c r="U56" s="14">
        <v>2</v>
      </c>
      <c r="V56" s="16">
        <v>0</v>
      </c>
      <c r="W56" s="9" t="s">
        <v>34</v>
      </c>
      <c r="X56" s="9" t="s">
        <v>42</v>
      </c>
      <c r="Y56" s="9" t="s">
        <v>36</v>
      </c>
      <c r="Z56" s="9" t="s">
        <v>43</v>
      </c>
      <c r="AA56" s="9" t="s">
        <v>37</v>
      </c>
      <c r="AB56" s="9" t="s">
        <v>37</v>
      </c>
      <c r="AC56" s="9" t="s">
        <v>38</v>
      </c>
      <c r="AD56" s="7" t="str">
        <f t="shared" si="0"/>
        <v/>
      </c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</row>
    <row r="57" spans="1:49" s="30" customFormat="1" ht="35.1" customHeight="1" x14ac:dyDescent="0.25">
      <c r="A57" s="17" t="s">
        <v>125</v>
      </c>
      <c r="B57" s="18">
        <v>46071</v>
      </c>
      <c r="C57" s="18">
        <v>46071</v>
      </c>
      <c r="D57" s="17" t="s">
        <v>164</v>
      </c>
      <c r="E57" s="19">
        <v>0.83333333333333337</v>
      </c>
      <c r="F57" s="19">
        <v>0.91666666666666663</v>
      </c>
      <c r="G57" s="19">
        <v>1.7361111111111109E-4</v>
      </c>
      <c r="H57" s="17" t="s">
        <v>161</v>
      </c>
      <c r="I57" s="20">
        <v>0.87936342592592598</v>
      </c>
      <c r="J57" s="17" t="s">
        <v>41</v>
      </c>
      <c r="K57" s="17" t="s">
        <v>134</v>
      </c>
      <c r="L57" s="21">
        <v>1</v>
      </c>
      <c r="M57" s="21">
        <v>71282</v>
      </c>
      <c r="N57" s="17" t="s">
        <v>58</v>
      </c>
      <c r="O57" s="21" t="s">
        <v>38</v>
      </c>
      <c r="P57" s="22">
        <v>90</v>
      </c>
      <c r="Q57" s="21"/>
      <c r="R57" s="22">
        <v>90</v>
      </c>
      <c r="S57" s="23">
        <v>46071</v>
      </c>
      <c r="T57" s="22">
        <v>13.5</v>
      </c>
      <c r="U57" s="24">
        <v>4</v>
      </c>
      <c r="V57" s="22">
        <v>76.5</v>
      </c>
      <c r="W57" s="17" t="s">
        <v>48</v>
      </c>
      <c r="X57" s="17" t="s">
        <v>49</v>
      </c>
      <c r="Y57" s="17" t="s">
        <v>87</v>
      </c>
      <c r="Z57" s="17" t="s">
        <v>9</v>
      </c>
      <c r="AA57" s="17" t="s">
        <v>50</v>
      </c>
      <c r="AB57" s="17" t="s">
        <v>127</v>
      </c>
      <c r="AC57" s="17" t="s">
        <v>38</v>
      </c>
      <c r="AD57" s="7" t="str">
        <f t="shared" si="0"/>
        <v/>
      </c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</row>
    <row r="58" spans="1:49" s="30" customFormat="1" ht="35.1" customHeight="1" x14ac:dyDescent="0.2">
      <c r="A58" s="17" t="s">
        <v>92</v>
      </c>
      <c r="B58" s="18">
        <v>46071</v>
      </c>
      <c r="C58" s="18">
        <v>46071</v>
      </c>
      <c r="D58" s="17" t="s">
        <v>164</v>
      </c>
      <c r="E58" s="19">
        <v>0.875</v>
      </c>
      <c r="F58" s="19">
        <v>0.91666666666666663</v>
      </c>
      <c r="G58" s="19">
        <v>5.7870370370370373E-5</v>
      </c>
      <c r="H58" s="17" t="s">
        <v>162</v>
      </c>
      <c r="I58" s="20">
        <v>0.88850694444444445</v>
      </c>
      <c r="J58" s="17" t="s">
        <v>41</v>
      </c>
      <c r="K58" s="17" t="s">
        <v>134</v>
      </c>
      <c r="L58" s="21">
        <v>1</v>
      </c>
      <c r="M58" s="21">
        <v>71822</v>
      </c>
      <c r="N58" s="17" t="s">
        <v>58</v>
      </c>
      <c r="O58" s="21" t="s">
        <v>154</v>
      </c>
      <c r="P58" s="22">
        <v>41.025641025641029</v>
      </c>
      <c r="Q58" s="21"/>
      <c r="R58" s="22">
        <v>41.025641025641029</v>
      </c>
      <c r="S58" s="23">
        <v>46071</v>
      </c>
      <c r="T58" s="22">
        <v>6.1538461538461542</v>
      </c>
      <c r="U58" s="24">
        <v>4</v>
      </c>
      <c r="V58" s="22">
        <v>34.871794871794876</v>
      </c>
      <c r="W58" s="17" t="s">
        <v>48</v>
      </c>
      <c r="X58" s="17" t="s">
        <v>49</v>
      </c>
      <c r="Y58" s="17" t="s">
        <v>87</v>
      </c>
      <c r="Z58" s="17" t="s">
        <v>9</v>
      </c>
      <c r="AA58" s="17" t="s">
        <v>50</v>
      </c>
      <c r="AB58" s="17" t="s">
        <v>155</v>
      </c>
      <c r="AC58" s="17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0" customFormat="1" ht="35.1" customHeight="1" x14ac:dyDescent="0.2">
      <c r="A59" s="9" t="s">
        <v>133</v>
      </c>
      <c r="B59" s="10">
        <v>46071</v>
      </c>
      <c r="C59" s="10">
        <v>46071</v>
      </c>
      <c r="D59" s="11" t="s">
        <v>164</v>
      </c>
      <c r="E59" s="12">
        <v>0.91666666666666663</v>
      </c>
      <c r="F59" s="12">
        <v>0.97916666666666663</v>
      </c>
      <c r="G59" s="12">
        <v>6.25E-2</v>
      </c>
      <c r="H59" s="9" t="s">
        <v>175</v>
      </c>
      <c r="I59" s="13"/>
      <c r="J59" s="9" t="s">
        <v>41</v>
      </c>
      <c r="K59" s="9"/>
      <c r="L59" s="14">
        <v>1</v>
      </c>
      <c r="M59" s="14">
        <v>1</v>
      </c>
      <c r="N59" s="9" t="s">
        <v>33</v>
      </c>
      <c r="O59" s="9"/>
      <c r="P59" s="16">
        <v>0</v>
      </c>
      <c r="Q59" s="14"/>
      <c r="R59" s="16">
        <v>0</v>
      </c>
      <c r="S59" s="9">
        <v>46054</v>
      </c>
      <c r="T59" s="16">
        <v>0</v>
      </c>
      <c r="U59" s="14">
        <v>2</v>
      </c>
      <c r="V59" s="16">
        <v>0</v>
      </c>
      <c r="W59" s="9" t="s">
        <v>34</v>
      </c>
      <c r="X59" s="9" t="s">
        <v>42</v>
      </c>
      <c r="Y59" s="9" t="s">
        <v>36</v>
      </c>
      <c r="Z59" s="9" t="s">
        <v>43</v>
      </c>
      <c r="AA59" s="9" t="s">
        <v>37</v>
      </c>
      <c r="AB59" s="9" t="s">
        <v>37</v>
      </c>
      <c r="AC59" s="9" t="s">
        <v>38</v>
      </c>
      <c r="AD59" s="7" t="str">
        <f t="shared" si="0"/>
        <v/>
      </c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</row>
    <row r="60" spans="1:49" s="30" customFormat="1" ht="35.1" customHeight="1" x14ac:dyDescent="0.25">
      <c r="A60" s="9" t="s">
        <v>39</v>
      </c>
      <c r="B60" s="10">
        <v>46071</v>
      </c>
      <c r="C60" s="10">
        <v>46071</v>
      </c>
      <c r="D60" s="11" t="s">
        <v>164</v>
      </c>
      <c r="E60" s="12">
        <v>0.97916666666666663</v>
      </c>
      <c r="F60" s="12">
        <v>1</v>
      </c>
      <c r="G60" s="12">
        <v>2.0833333333333332E-2</v>
      </c>
      <c r="H60" s="9" t="s">
        <v>136</v>
      </c>
      <c r="I60" s="13"/>
      <c r="J60" s="9" t="s">
        <v>123</v>
      </c>
      <c r="K60" s="9"/>
      <c r="L60" s="14">
        <v>1</v>
      </c>
      <c r="M60" s="14">
        <v>1</v>
      </c>
      <c r="N60" s="9" t="s">
        <v>33</v>
      </c>
      <c r="O60" s="9"/>
      <c r="P60" s="16">
        <v>0</v>
      </c>
      <c r="Q60" s="14"/>
      <c r="R60" s="16">
        <v>0</v>
      </c>
      <c r="S60" s="9">
        <v>46054</v>
      </c>
      <c r="T60" s="16">
        <v>0</v>
      </c>
      <c r="U60" s="14">
        <v>2</v>
      </c>
      <c r="V60" s="16">
        <v>0</v>
      </c>
      <c r="W60" s="9" t="s">
        <v>34</v>
      </c>
      <c r="X60" s="9" t="s">
        <v>42</v>
      </c>
      <c r="Y60" s="9" t="s">
        <v>36</v>
      </c>
      <c r="Z60" s="9" t="s">
        <v>43</v>
      </c>
      <c r="AA60" s="9" t="s">
        <v>37</v>
      </c>
      <c r="AB60" s="9" t="s">
        <v>37</v>
      </c>
      <c r="AC60" s="9" t="s">
        <v>38</v>
      </c>
      <c r="AD60" s="7" t="str">
        <f t="shared" si="0"/>
        <v/>
      </c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</row>
    <row r="61" spans="1:49" s="30" customFormat="1" ht="35.1" customHeight="1" x14ac:dyDescent="0.25">
      <c r="A61" s="17" t="s">
        <v>44</v>
      </c>
      <c r="B61" s="18">
        <v>46071</v>
      </c>
      <c r="C61" s="18">
        <v>46071</v>
      </c>
      <c r="D61" s="17" t="s">
        <v>164</v>
      </c>
      <c r="E61" s="19">
        <v>0.79166666666666663</v>
      </c>
      <c r="F61" s="19">
        <v>0.99930555555555556</v>
      </c>
      <c r="G61" s="19">
        <v>1.7361111111111109E-4</v>
      </c>
      <c r="H61" s="17" t="s">
        <v>124</v>
      </c>
      <c r="I61" s="20">
        <v>0.98640046296296291</v>
      </c>
      <c r="J61" s="17" t="s">
        <v>123</v>
      </c>
      <c r="K61" s="17" t="s">
        <v>136</v>
      </c>
      <c r="L61" s="21">
        <v>1</v>
      </c>
      <c r="M61" s="21">
        <v>66849</v>
      </c>
      <c r="N61" s="17" t="s">
        <v>58</v>
      </c>
      <c r="O61" s="21" t="s">
        <v>47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59.5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51</v>
      </c>
      <c r="AC61" s="17" t="s">
        <v>38</v>
      </c>
      <c r="AD61" s="7" t="str">
        <f t="shared" si="0"/>
        <v/>
      </c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</row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1" xr:uid="{F99A2123-D123-4759-87BC-035A54FA15AD}"/>
  <sortState xmlns:xlrd2="http://schemas.microsoft.com/office/spreadsheetml/2017/richdata2" ref="A2:AD326">
    <sortCondition sortBy="cellColor" ref="E1:E500" dxfId="22"/>
  </sortState>
  <conditionalFormatting sqref="AD1:AD61">
    <cfRule type="cellIs" dxfId="21" priority="2" operator="equal">
      <formula>"NO"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46072</v>
      </c>
      <c r="C2" s="10">
        <v>46072</v>
      </c>
      <c r="D2" s="11" t="s">
        <v>177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63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30" customFormat="1" ht="35.1" customHeight="1" x14ac:dyDescent="0.2">
      <c r="A3" s="9" t="s">
        <v>39</v>
      </c>
      <c r="B3" s="10">
        <v>46072</v>
      </c>
      <c r="C3" s="10">
        <v>46072</v>
      </c>
      <c r="D3" s="11" t="s">
        <v>177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">
      <c r="A4" s="9" t="s">
        <v>61</v>
      </c>
      <c r="B4" s="10">
        <v>46072</v>
      </c>
      <c r="C4" s="10">
        <v>46072</v>
      </c>
      <c r="D4" s="11" t="s">
        <v>177</v>
      </c>
      <c r="E4" s="12">
        <v>0.29166666666666669</v>
      </c>
      <c r="F4" s="12">
        <v>0.3125</v>
      </c>
      <c r="G4" s="12">
        <v>2.0833333333333332E-2</v>
      </c>
      <c r="H4" s="9" t="s">
        <v>178</v>
      </c>
      <c r="I4" s="13" t="s">
        <v>179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">
      <c r="A5" s="9" t="s">
        <v>61</v>
      </c>
      <c r="B5" s="10">
        <v>46072</v>
      </c>
      <c r="C5" s="10">
        <v>46072</v>
      </c>
      <c r="D5" s="11" t="s">
        <v>177</v>
      </c>
      <c r="E5" s="12">
        <v>0.3125</v>
      </c>
      <c r="F5" s="12">
        <v>0.33333333333333331</v>
      </c>
      <c r="G5" s="12">
        <v>2.0833333333333332E-2</v>
      </c>
      <c r="H5" s="9" t="s">
        <v>178</v>
      </c>
      <c r="I5" s="13" t="s">
        <v>179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0" customFormat="1" ht="35.1" customHeight="1" x14ac:dyDescent="0.2">
      <c r="A6" s="17" t="s">
        <v>44</v>
      </c>
      <c r="B6" s="18">
        <v>46072</v>
      </c>
      <c r="C6" s="18">
        <v>46072</v>
      </c>
      <c r="D6" s="17" t="s">
        <v>177</v>
      </c>
      <c r="E6" s="19">
        <v>0.25</v>
      </c>
      <c r="F6" s="19">
        <v>0.99930555555555556</v>
      </c>
      <c r="G6" s="19">
        <v>1.7361111111111109E-4</v>
      </c>
      <c r="H6" s="17" t="s">
        <v>55</v>
      </c>
      <c r="I6" s="20">
        <v>0.32341435185185186</v>
      </c>
      <c r="J6" s="17" t="s">
        <v>41</v>
      </c>
      <c r="K6" s="17" t="s">
        <v>178</v>
      </c>
      <c r="L6" s="21">
        <v>1</v>
      </c>
      <c r="M6" s="21">
        <v>66852</v>
      </c>
      <c r="N6" s="17" t="s">
        <v>46</v>
      </c>
      <c r="O6" s="21" t="s">
        <v>47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51</v>
      </c>
      <c r="AC6" s="17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5">
      <c r="A7" s="9" t="s">
        <v>64</v>
      </c>
      <c r="B7" s="10">
        <v>46072</v>
      </c>
      <c r="C7" s="10">
        <v>46072</v>
      </c>
      <c r="D7" s="11" t="s">
        <v>177</v>
      </c>
      <c r="E7" s="12">
        <v>0.33333333333333331</v>
      </c>
      <c r="F7" s="12">
        <v>0.375</v>
      </c>
      <c r="G7" s="12">
        <v>4.1666666666666664E-2</v>
      </c>
      <c r="H7" s="9" t="s">
        <v>65</v>
      </c>
      <c r="I7" s="13"/>
      <c r="J7" s="9" t="s">
        <v>66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5"/>
      <c r="AF7" s="25"/>
      <c r="AG7" s="25"/>
      <c r="AH7" s="25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</row>
    <row r="8" spans="1:49" s="30" customFormat="1" ht="35.1" customHeight="1" x14ac:dyDescent="0.2">
      <c r="A8" s="17" t="s">
        <v>52</v>
      </c>
      <c r="B8" s="18">
        <v>46072</v>
      </c>
      <c r="C8" s="18">
        <v>46072</v>
      </c>
      <c r="D8" s="17" t="s">
        <v>177</v>
      </c>
      <c r="E8" s="19">
        <v>0.33333333333333331</v>
      </c>
      <c r="F8" s="19">
        <v>0.41666666666666669</v>
      </c>
      <c r="G8" s="19">
        <v>3.4722222222222218E-4</v>
      </c>
      <c r="H8" s="17" t="s">
        <v>67</v>
      </c>
      <c r="I8" s="20">
        <v>0.35638888888888887</v>
      </c>
      <c r="J8" s="17" t="s">
        <v>66</v>
      </c>
      <c r="K8" s="17" t="s">
        <v>65</v>
      </c>
      <c r="L8" s="21">
        <v>1</v>
      </c>
      <c r="M8" s="21">
        <v>70972</v>
      </c>
      <c r="N8" s="17" t="s">
        <v>46</v>
      </c>
      <c r="O8" s="21" t="str">
        <f>AC8</f>
        <v>SFO</v>
      </c>
      <c r="P8" s="22">
        <v>0</v>
      </c>
      <c r="Q8" s="21"/>
      <c r="R8" s="22">
        <v>0</v>
      </c>
      <c r="S8" s="23">
        <v>46054</v>
      </c>
      <c r="T8" s="22">
        <v>0</v>
      </c>
      <c r="U8" s="24">
        <v>4</v>
      </c>
      <c r="V8" s="22">
        <v>0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54</v>
      </c>
      <c r="AC8" s="17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5">
      <c r="A9" s="9" t="s">
        <v>64</v>
      </c>
      <c r="B9" s="10">
        <v>46072</v>
      </c>
      <c r="C9" s="10">
        <v>46072</v>
      </c>
      <c r="D9" s="11" t="s">
        <v>177</v>
      </c>
      <c r="E9" s="12">
        <v>0.375</v>
      </c>
      <c r="F9" s="12">
        <v>0.41666666666666669</v>
      </c>
      <c r="G9" s="12">
        <v>4.1666666666666664E-2</v>
      </c>
      <c r="H9" s="9" t="s">
        <v>68</v>
      </c>
      <c r="I9" s="13"/>
      <c r="J9" s="9" t="s">
        <v>66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25"/>
      <c r="AF9" s="25"/>
      <c r="AG9" s="25"/>
      <c r="AH9" s="25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49" s="30" customFormat="1" ht="35.1" customHeight="1" x14ac:dyDescent="0.25">
      <c r="A10" s="17" t="s">
        <v>52</v>
      </c>
      <c r="B10" s="18">
        <v>46072</v>
      </c>
      <c r="C10" s="18">
        <v>46072</v>
      </c>
      <c r="D10" s="17" t="s">
        <v>177</v>
      </c>
      <c r="E10" s="19">
        <v>0.33333333333333331</v>
      </c>
      <c r="F10" s="19">
        <v>0.41666666666666669</v>
      </c>
      <c r="G10" s="19">
        <v>3.4722222222222218E-4</v>
      </c>
      <c r="H10" s="17" t="s">
        <v>67</v>
      </c>
      <c r="I10" s="20">
        <v>0.4073148148148148</v>
      </c>
      <c r="J10" s="17" t="s">
        <v>66</v>
      </c>
      <c r="K10" s="17" t="s">
        <v>68</v>
      </c>
      <c r="L10" s="21">
        <v>1</v>
      </c>
      <c r="M10" s="21">
        <v>70970</v>
      </c>
      <c r="N10" s="17" t="s">
        <v>58</v>
      </c>
      <c r="O10" s="21" t="str">
        <f>AC10</f>
        <v>SFO</v>
      </c>
      <c r="P10" s="22">
        <v>117.65</v>
      </c>
      <c r="Q10" s="21"/>
      <c r="R10" s="22">
        <v>117.65</v>
      </c>
      <c r="S10" s="23">
        <v>46054</v>
      </c>
      <c r="T10" s="22">
        <v>8.8237500000000004</v>
      </c>
      <c r="U10" s="24">
        <v>4</v>
      </c>
      <c r="V10" s="22">
        <v>108.82625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54</v>
      </c>
      <c r="AC10" s="17" t="s">
        <v>38</v>
      </c>
      <c r="AD10" s="7" t="str">
        <f t="shared" si="0"/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30" customFormat="1" ht="35.1" customHeight="1" x14ac:dyDescent="0.25">
      <c r="A11" s="9" t="s">
        <v>69</v>
      </c>
      <c r="B11" s="10">
        <v>46072</v>
      </c>
      <c r="C11" s="10">
        <v>46072</v>
      </c>
      <c r="D11" s="11" t="s">
        <v>177</v>
      </c>
      <c r="E11" s="12">
        <v>0.41666666666666669</v>
      </c>
      <c r="F11" s="12">
        <v>0.45833333333333331</v>
      </c>
      <c r="G11" s="12">
        <v>4.1666666666666664E-2</v>
      </c>
      <c r="H11" s="9" t="s">
        <v>70</v>
      </c>
      <c r="I11" s="13"/>
      <c r="J11" s="9" t="s">
        <v>71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</row>
    <row r="12" spans="1:49" s="30" customFormat="1" ht="35.1" customHeight="1" x14ac:dyDescent="0.25">
      <c r="A12" s="17" t="s">
        <v>69</v>
      </c>
      <c r="B12" s="18">
        <v>46072</v>
      </c>
      <c r="C12" s="18">
        <v>46072</v>
      </c>
      <c r="D12" s="17" t="s">
        <v>177</v>
      </c>
      <c r="E12" s="19">
        <v>0.41666666666666669</v>
      </c>
      <c r="F12" s="19">
        <v>0.45833333333333331</v>
      </c>
      <c r="G12" s="19">
        <v>3.4722222222222224E-4</v>
      </c>
      <c r="H12" s="17" t="s">
        <v>180</v>
      </c>
      <c r="I12" s="20">
        <v>0.42243055555555553</v>
      </c>
      <c r="J12" s="17" t="s">
        <v>71</v>
      </c>
      <c r="K12" s="17" t="s">
        <v>69</v>
      </c>
      <c r="L12" s="21">
        <v>1</v>
      </c>
      <c r="M12" s="21">
        <v>3</v>
      </c>
      <c r="N12" s="17" t="s">
        <v>58</v>
      </c>
      <c r="O12" s="21"/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34</v>
      </c>
      <c r="X12" s="17" t="s">
        <v>35</v>
      </c>
      <c r="Y12" s="17" t="s">
        <v>36</v>
      </c>
      <c r="Z12" s="17" t="s">
        <v>73</v>
      </c>
      <c r="AA12" s="17" t="s">
        <v>50</v>
      </c>
      <c r="AB12" s="17">
        <v>1109</v>
      </c>
      <c r="AC12" s="17" t="s">
        <v>38</v>
      </c>
      <c r="AD12" s="7" t="str">
        <f>IF(N12="PRG","",IF(I12&gt;=E12,IF(I12&lt;=F12,"","NO"),"NO"))</f>
        <v/>
      </c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</row>
    <row r="13" spans="1:49" s="30" customFormat="1" ht="35.1" customHeight="1" x14ac:dyDescent="0.2">
      <c r="A13" s="17" t="s">
        <v>69</v>
      </c>
      <c r="B13" s="18">
        <v>46072</v>
      </c>
      <c r="C13" s="18">
        <v>46072</v>
      </c>
      <c r="D13" s="17" t="s">
        <v>177</v>
      </c>
      <c r="E13" s="19">
        <v>0.41666666666666669</v>
      </c>
      <c r="F13" s="19">
        <v>0.45833333333333331</v>
      </c>
      <c r="G13" s="19">
        <v>3.4722222222222224E-4</v>
      </c>
      <c r="H13" s="17" t="s">
        <v>181</v>
      </c>
      <c r="I13" s="20">
        <v>0.42277777777777775</v>
      </c>
      <c r="J13" s="17" t="s">
        <v>71</v>
      </c>
      <c r="K13" s="17" t="s">
        <v>69</v>
      </c>
      <c r="L13" s="21">
        <v>1</v>
      </c>
      <c r="M13" s="21">
        <v>3</v>
      </c>
      <c r="N13" s="17" t="s">
        <v>58</v>
      </c>
      <c r="O13" s="21"/>
      <c r="P13" s="22">
        <v>0</v>
      </c>
      <c r="Q13" s="21"/>
      <c r="R13" s="22">
        <v>0</v>
      </c>
      <c r="S13" s="23">
        <v>46054</v>
      </c>
      <c r="T13" s="22">
        <v>0</v>
      </c>
      <c r="U13" s="24">
        <v>4</v>
      </c>
      <c r="V13" s="22">
        <v>0</v>
      </c>
      <c r="W13" s="17" t="s">
        <v>34</v>
      </c>
      <c r="X13" s="17" t="s">
        <v>35</v>
      </c>
      <c r="Y13" s="17" t="s">
        <v>36</v>
      </c>
      <c r="Z13" s="17" t="s">
        <v>73</v>
      </c>
      <c r="AA13" s="17" t="s">
        <v>50</v>
      </c>
      <c r="AB13" s="17">
        <v>1109</v>
      </c>
      <c r="AC13" s="17" t="s">
        <v>38</v>
      </c>
      <c r="AD13" s="7" t="str">
        <f>IF(N13="PRG","",IF(I13&gt;=E13,IF(I13&lt;=F13,"","NO"),"NO"))</f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9" t="s">
        <v>76</v>
      </c>
      <c r="B14" s="10">
        <v>46072</v>
      </c>
      <c r="C14" s="10">
        <v>46072</v>
      </c>
      <c r="D14" s="11" t="s">
        <v>177</v>
      </c>
      <c r="E14" s="12">
        <v>0.45833333333333331</v>
      </c>
      <c r="F14" s="12">
        <v>0.47916666666666669</v>
      </c>
      <c r="G14" s="12">
        <v>2.0833333333333332E-2</v>
      </c>
      <c r="H14" s="9" t="s">
        <v>150</v>
      </c>
      <c r="I14" s="13"/>
      <c r="J14" s="9" t="s">
        <v>81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17" t="s">
        <v>92</v>
      </c>
      <c r="B15" s="18">
        <v>46072</v>
      </c>
      <c r="C15" s="18">
        <v>46072</v>
      </c>
      <c r="D15" s="17" t="s">
        <v>177</v>
      </c>
      <c r="E15" s="19">
        <v>0.45833333333333331</v>
      </c>
      <c r="F15" s="19">
        <v>0.47916666666666669</v>
      </c>
      <c r="G15" s="19">
        <v>1.7361111111111109E-4</v>
      </c>
      <c r="H15" s="17" t="s">
        <v>169</v>
      </c>
      <c r="I15" s="20">
        <v>0.46587962962962964</v>
      </c>
      <c r="J15" s="17" t="s">
        <v>81</v>
      </c>
      <c r="K15" s="17" t="s">
        <v>150</v>
      </c>
      <c r="L15" s="21">
        <v>1</v>
      </c>
      <c r="M15" s="21">
        <v>71244</v>
      </c>
      <c r="N15" s="17" t="s">
        <v>58</v>
      </c>
      <c r="O15" s="21" t="s">
        <v>170</v>
      </c>
      <c r="P15" s="22">
        <v>70</v>
      </c>
      <c r="Q15" s="21"/>
      <c r="R15" s="22">
        <v>70</v>
      </c>
      <c r="S15" s="23">
        <v>46072</v>
      </c>
      <c r="T15" s="22">
        <v>10.5</v>
      </c>
      <c r="U15" s="24">
        <v>4</v>
      </c>
      <c r="V15" s="22">
        <v>59.5</v>
      </c>
      <c r="W15" s="17" t="s">
        <v>48</v>
      </c>
      <c r="X15" s="17" t="s">
        <v>49</v>
      </c>
      <c r="Y15" s="17" t="s">
        <v>87</v>
      </c>
      <c r="Z15" s="17" t="s">
        <v>9</v>
      </c>
      <c r="AA15" s="17" t="s">
        <v>50</v>
      </c>
      <c r="AB15" s="17" t="s">
        <v>171</v>
      </c>
      <c r="AC15" s="17" t="s">
        <v>38</v>
      </c>
      <c r="AD15" s="7" t="str">
        <f t="shared" si="0"/>
        <v/>
      </c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</row>
    <row r="16" spans="1:49" s="30" customFormat="1" ht="35.1" customHeight="1" x14ac:dyDescent="0.25">
      <c r="A16" s="17" t="s">
        <v>92</v>
      </c>
      <c r="B16" s="18">
        <v>46072</v>
      </c>
      <c r="C16" s="18">
        <v>46072</v>
      </c>
      <c r="D16" s="17" t="s">
        <v>177</v>
      </c>
      <c r="E16" s="19">
        <v>0.45833333333333331</v>
      </c>
      <c r="F16" s="19">
        <v>0.47916666666666669</v>
      </c>
      <c r="G16" s="19">
        <v>1.7361111111111109E-4</v>
      </c>
      <c r="H16" s="17" t="s">
        <v>93</v>
      </c>
      <c r="I16" s="20">
        <v>0.47262731481481479</v>
      </c>
      <c r="J16" s="17" t="s">
        <v>81</v>
      </c>
      <c r="K16" s="17" t="s">
        <v>150</v>
      </c>
      <c r="L16" s="21">
        <v>1</v>
      </c>
      <c r="M16" s="21">
        <v>71172</v>
      </c>
      <c r="N16" s="17" t="s">
        <v>58</v>
      </c>
      <c r="O16" s="21" t="s">
        <v>94</v>
      </c>
      <c r="P16" s="22">
        <v>70</v>
      </c>
      <c r="Q16" s="21"/>
      <c r="R16" s="22">
        <v>70</v>
      </c>
      <c r="S16" s="23">
        <v>46072</v>
      </c>
      <c r="T16" s="22">
        <v>10.5</v>
      </c>
      <c r="U16" s="24">
        <v>4</v>
      </c>
      <c r="V16" s="22">
        <v>59.5</v>
      </c>
      <c r="W16" s="17" t="s">
        <v>48</v>
      </c>
      <c r="X16" s="17" t="s">
        <v>49</v>
      </c>
      <c r="Y16" s="17" t="s">
        <v>87</v>
      </c>
      <c r="Z16" s="17" t="s">
        <v>9</v>
      </c>
      <c r="AA16" s="17" t="s">
        <v>50</v>
      </c>
      <c r="AB16" s="17" t="s">
        <v>95</v>
      </c>
      <c r="AC16" s="17" t="s">
        <v>38</v>
      </c>
      <c r="AD16" s="7" t="str">
        <f t="shared" si="0"/>
        <v/>
      </c>
      <c r="AE16" s="25"/>
      <c r="AF16" s="25"/>
      <c r="AG16" s="25"/>
      <c r="AH16" s="25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</row>
    <row r="17" spans="1:49" s="30" customFormat="1" ht="35.1" customHeight="1" x14ac:dyDescent="0.2">
      <c r="A17" s="17" t="s">
        <v>52</v>
      </c>
      <c r="B17" s="18">
        <v>46072</v>
      </c>
      <c r="C17" s="18">
        <v>46072</v>
      </c>
      <c r="D17" s="17" t="s">
        <v>177</v>
      </c>
      <c r="E17" s="19">
        <v>0.45833333333333331</v>
      </c>
      <c r="F17" s="19">
        <v>0.5</v>
      </c>
      <c r="G17" s="19">
        <v>3.4722222222222218E-4</v>
      </c>
      <c r="H17" s="17" t="s">
        <v>151</v>
      </c>
      <c r="I17" s="20">
        <v>0.47314814814814815</v>
      </c>
      <c r="J17" s="17" t="s">
        <v>81</v>
      </c>
      <c r="K17" s="17" t="s">
        <v>150</v>
      </c>
      <c r="L17" s="21">
        <v>1</v>
      </c>
      <c r="M17" s="21">
        <v>70974</v>
      </c>
      <c r="N17" s="17" t="s">
        <v>58</v>
      </c>
      <c r="O17" s="21" t="str">
        <f>AC17</f>
        <v>SFO</v>
      </c>
      <c r="P17" s="22">
        <v>117.65</v>
      </c>
      <c r="Q17" s="21"/>
      <c r="R17" s="22">
        <v>117.65</v>
      </c>
      <c r="S17" s="23">
        <v>46054</v>
      </c>
      <c r="T17" s="22">
        <v>8.8237500000000004</v>
      </c>
      <c r="U17" s="24">
        <v>4</v>
      </c>
      <c r="V17" s="22">
        <v>108.82625</v>
      </c>
      <c r="W17" s="17" t="s">
        <v>48</v>
      </c>
      <c r="X17" s="17" t="s">
        <v>49</v>
      </c>
      <c r="Y17" s="17" t="s">
        <v>36</v>
      </c>
      <c r="Z17" s="17" t="s">
        <v>9</v>
      </c>
      <c r="AA17" s="17" t="s">
        <v>50</v>
      </c>
      <c r="AB17" s="17" t="s">
        <v>54</v>
      </c>
      <c r="AC17" s="17" t="s">
        <v>38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0" customFormat="1" ht="35.1" customHeight="1" x14ac:dyDescent="0.2">
      <c r="A18" s="17" t="s">
        <v>79</v>
      </c>
      <c r="B18" s="18">
        <v>46072</v>
      </c>
      <c r="C18" s="18">
        <v>46072</v>
      </c>
      <c r="D18" s="17" t="s">
        <v>177</v>
      </c>
      <c r="E18" s="19">
        <v>0.45833333333333331</v>
      </c>
      <c r="F18" s="19">
        <v>0.47916666666666669</v>
      </c>
      <c r="G18" s="19">
        <v>1.7361111111111109E-4</v>
      </c>
      <c r="H18" s="17" t="s">
        <v>80</v>
      </c>
      <c r="I18" s="20">
        <v>0.47280092592592593</v>
      </c>
      <c r="J18" s="17" t="s">
        <v>81</v>
      </c>
      <c r="K18" s="17" t="s">
        <v>150</v>
      </c>
      <c r="L18" s="21">
        <v>1</v>
      </c>
      <c r="M18" s="21">
        <v>70008</v>
      </c>
      <c r="N18" s="17" t="s">
        <v>58</v>
      </c>
      <c r="O18" s="21" t="s">
        <v>82</v>
      </c>
      <c r="P18" s="22">
        <v>64.709999999999994</v>
      </c>
      <c r="Q18" s="21"/>
      <c r="R18" s="22">
        <v>64.709999999999994</v>
      </c>
      <c r="S18" s="23">
        <v>46054</v>
      </c>
      <c r="T18" s="22">
        <v>9.7064999999999984</v>
      </c>
      <c r="U18" s="24">
        <v>4</v>
      </c>
      <c r="V18" s="22">
        <v>55.003499999999995</v>
      </c>
      <c r="W18" s="17" t="s">
        <v>48</v>
      </c>
      <c r="X18" s="17" t="s">
        <v>49</v>
      </c>
      <c r="Y18" s="17" t="s">
        <v>36</v>
      </c>
      <c r="Z18" s="17" t="s">
        <v>9</v>
      </c>
      <c r="AA18" s="17" t="s">
        <v>50</v>
      </c>
      <c r="AB18" s="17" t="s">
        <v>83</v>
      </c>
      <c r="AC18" s="17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0" customFormat="1" ht="35.1" customHeight="1" x14ac:dyDescent="0.2">
      <c r="A19" s="9" t="s">
        <v>76</v>
      </c>
      <c r="B19" s="10">
        <v>46072</v>
      </c>
      <c r="C19" s="10">
        <v>46072</v>
      </c>
      <c r="D19" s="11" t="s">
        <v>177</v>
      </c>
      <c r="E19" s="12">
        <v>0.47916666666666669</v>
      </c>
      <c r="F19" s="12">
        <v>0.5</v>
      </c>
      <c r="G19" s="12">
        <v>2.0833333333333332E-2</v>
      </c>
      <c r="H19" s="9" t="s">
        <v>182</v>
      </c>
      <c r="I19" s="13"/>
      <c r="J19" s="9" t="s">
        <v>81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17" t="s">
        <v>84</v>
      </c>
      <c r="B20" s="18">
        <v>46072</v>
      </c>
      <c r="C20" s="18">
        <v>46072</v>
      </c>
      <c r="D20" s="17" t="s">
        <v>177</v>
      </c>
      <c r="E20" s="19">
        <v>0.45833333333333331</v>
      </c>
      <c r="F20" s="19">
        <v>0.5</v>
      </c>
      <c r="G20" s="19">
        <v>3.4722222222222218E-4</v>
      </c>
      <c r="H20" s="17" t="s">
        <v>96</v>
      </c>
      <c r="I20" s="20">
        <v>0.48658564814814814</v>
      </c>
      <c r="J20" s="17" t="s">
        <v>81</v>
      </c>
      <c r="K20" s="17" t="s">
        <v>137</v>
      </c>
      <c r="L20" s="21">
        <v>1</v>
      </c>
      <c r="M20" s="21">
        <v>71445</v>
      </c>
      <c r="N20" s="17" t="s">
        <v>58</v>
      </c>
      <c r="O20" s="21" t="s">
        <v>86</v>
      </c>
      <c r="P20" s="22">
        <v>94.117647058823522</v>
      </c>
      <c r="Q20" s="21"/>
      <c r="R20" s="22">
        <v>94.117647058823522</v>
      </c>
      <c r="S20" s="23">
        <v>46072</v>
      </c>
      <c r="T20" s="22">
        <v>14.117647058823527</v>
      </c>
      <c r="U20" s="24">
        <v>4</v>
      </c>
      <c r="V20" s="22">
        <v>80</v>
      </c>
      <c r="W20" s="17" t="s">
        <v>48</v>
      </c>
      <c r="X20" s="17" t="s">
        <v>49</v>
      </c>
      <c r="Y20" s="17" t="s">
        <v>87</v>
      </c>
      <c r="Z20" s="17" t="s">
        <v>9</v>
      </c>
      <c r="AA20" s="17" t="s">
        <v>50</v>
      </c>
      <c r="AB20" s="17" t="s">
        <v>88</v>
      </c>
      <c r="AC20" s="17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5">
      <c r="A21" s="17" t="s">
        <v>92</v>
      </c>
      <c r="B21" s="18">
        <v>46072</v>
      </c>
      <c r="C21" s="18">
        <v>46072</v>
      </c>
      <c r="D21" s="17" t="s">
        <v>177</v>
      </c>
      <c r="E21" s="19">
        <v>0.47916666666666669</v>
      </c>
      <c r="F21" s="19">
        <v>0.5</v>
      </c>
      <c r="G21" s="19">
        <v>5.7870370370370373E-5</v>
      </c>
      <c r="H21" s="17" t="s">
        <v>153</v>
      </c>
      <c r="I21" s="20">
        <v>0.48652777777777778</v>
      </c>
      <c r="J21" s="17" t="s">
        <v>81</v>
      </c>
      <c r="K21" s="17" t="s">
        <v>137</v>
      </c>
      <c r="L21" s="21">
        <v>1</v>
      </c>
      <c r="M21" s="21">
        <v>71837</v>
      </c>
      <c r="N21" s="17" t="s">
        <v>58</v>
      </c>
      <c r="O21" s="21" t="s">
        <v>154</v>
      </c>
      <c r="P21" s="22">
        <v>41.025641025641029</v>
      </c>
      <c r="Q21" s="21"/>
      <c r="R21" s="22">
        <v>41.025641025641029</v>
      </c>
      <c r="S21" s="23">
        <v>46072</v>
      </c>
      <c r="T21" s="22">
        <v>6.1538461538461542</v>
      </c>
      <c r="U21" s="24">
        <v>4</v>
      </c>
      <c r="V21" s="22">
        <v>34.871794871794876</v>
      </c>
      <c r="W21" s="17" t="s">
        <v>48</v>
      </c>
      <c r="X21" s="17" t="s">
        <v>49</v>
      </c>
      <c r="Y21" s="17" t="s">
        <v>87</v>
      </c>
      <c r="Z21" s="17" t="s">
        <v>9</v>
      </c>
      <c r="AA21" s="17" t="s">
        <v>50</v>
      </c>
      <c r="AB21" s="17" t="s">
        <v>155</v>
      </c>
      <c r="AC21" s="17" t="s">
        <v>38</v>
      </c>
      <c r="AD21" s="7" t="str">
        <f t="shared" si="0"/>
        <v/>
      </c>
      <c r="AE21" s="25"/>
      <c r="AF21" s="25"/>
      <c r="AG21" s="25"/>
      <c r="AH21" s="25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</row>
    <row r="22" spans="1:49" s="30" customFormat="1" ht="35.1" customHeight="1" x14ac:dyDescent="0.25">
      <c r="A22" s="17" t="s">
        <v>92</v>
      </c>
      <c r="B22" s="18">
        <v>46072</v>
      </c>
      <c r="C22" s="18">
        <v>46072</v>
      </c>
      <c r="D22" s="17" t="s">
        <v>177</v>
      </c>
      <c r="E22" s="19">
        <v>0.47916666666666669</v>
      </c>
      <c r="F22" s="19">
        <v>0.5</v>
      </c>
      <c r="G22" s="19">
        <v>1.7361111111111109E-4</v>
      </c>
      <c r="H22" s="17" t="s">
        <v>183</v>
      </c>
      <c r="I22" s="20">
        <v>0.49739583333333331</v>
      </c>
      <c r="J22" s="17" t="s">
        <v>81</v>
      </c>
      <c r="K22" s="17" t="s">
        <v>137</v>
      </c>
      <c r="L22" s="21">
        <v>1</v>
      </c>
      <c r="M22" s="21">
        <v>71178</v>
      </c>
      <c r="N22" s="17" t="s">
        <v>58</v>
      </c>
      <c r="O22" s="21" t="s">
        <v>94</v>
      </c>
      <c r="P22" s="22">
        <v>70</v>
      </c>
      <c r="Q22" s="21"/>
      <c r="R22" s="22">
        <v>70</v>
      </c>
      <c r="S22" s="23">
        <v>46072</v>
      </c>
      <c r="T22" s="22">
        <v>10.5</v>
      </c>
      <c r="U22" s="24">
        <v>4</v>
      </c>
      <c r="V22" s="22">
        <v>59.5</v>
      </c>
      <c r="W22" s="17" t="s">
        <v>48</v>
      </c>
      <c r="X22" s="17" t="s">
        <v>49</v>
      </c>
      <c r="Y22" s="17" t="s">
        <v>87</v>
      </c>
      <c r="Z22" s="17" t="s">
        <v>9</v>
      </c>
      <c r="AA22" s="17" t="s">
        <v>50</v>
      </c>
      <c r="AB22" s="17" t="s">
        <v>95</v>
      </c>
      <c r="AC22" s="17" t="s">
        <v>38</v>
      </c>
      <c r="AD22" s="7" t="str">
        <f t="shared" si="0"/>
        <v/>
      </c>
      <c r="AE22" s="25"/>
      <c r="AF22" s="25"/>
      <c r="AG22" s="25"/>
      <c r="AH22" s="25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</row>
    <row r="23" spans="1:49" s="30" customFormat="1" ht="35.1" customHeight="1" x14ac:dyDescent="0.2">
      <c r="A23" s="17" t="s">
        <v>79</v>
      </c>
      <c r="B23" s="18">
        <v>46072</v>
      </c>
      <c r="C23" s="18">
        <v>46072</v>
      </c>
      <c r="D23" s="17" t="s">
        <v>177</v>
      </c>
      <c r="E23" s="19">
        <v>0.47916666666666669</v>
      </c>
      <c r="F23" s="19">
        <v>0.5</v>
      </c>
      <c r="G23" s="19">
        <v>1.7361111111111109E-4</v>
      </c>
      <c r="H23" s="17" t="s">
        <v>91</v>
      </c>
      <c r="I23" s="20">
        <v>0.49756944444444445</v>
      </c>
      <c r="J23" s="17" t="s">
        <v>81</v>
      </c>
      <c r="K23" s="17" t="s">
        <v>137</v>
      </c>
      <c r="L23" s="21">
        <v>1</v>
      </c>
      <c r="M23" s="21">
        <v>70009</v>
      </c>
      <c r="N23" s="17" t="s">
        <v>58</v>
      </c>
      <c r="O23" s="21" t="s">
        <v>82</v>
      </c>
      <c r="P23" s="22">
        <v>64.709999999999994</v>
      </c>
      <c r="Q23" s="21"/>
      <c r="R23" s="22">
        <v>64.709999999999994</v>
      </c>
      <c r="S23" s="23">
        <v>46054</v>
      </c>
      <c r="T23" s="22">
        <v>9.7064999999999984</v>
      </c>
      <c r="U23" s="24">
        <v>4</v>
      </c>
      <c r="V23" s="22">
        <v>55.003499999999995</v>
      </c>
      <c r="W23" s="17" t="s">
        <v>48</v>
      </c>
      <c r="X23" s="17" t="s">
        <v>49</v>
      </c>
      <c r="Y23" s="17" t="s">
        <v>36</v>
      </c>
      <c r="Z23" s="17" t="s">
        <v>9</v>
      </c>
      <c r="AA23" s="17" t="s">
        <v>50</v>
      </c>
      <c r="AB23" s="17" t="s">
        <v>83</v>
      </c>
      <c r="AC23" s="17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5">
      <c r="A24" s="17" t="s">
        <v>92</v>
      </c>
      <c r="B24" s="18">
        <v>46072</v>
      </c>
      <c r="C24" s="18">
        <v>46072</v>
      </c>
      <c r="D24" s="17" t="s">
        <v>177</v>
      </c>
      <c r="E24" s="19">
        <v>0.47916666666666669</v>
      </c>
      <c r="F24" s="19">
        <v>0.5</v>
      </c>
      <c r="G24" s="19">
        <v>1.7361111111111109E-4</v>
      </c>
      <c r="H24" s="31" t="s">
        <v>169</v>
      </c>
      <c r="I24" s="20">
        <v>0.48936342592592591</v>
      </c>
      <c r="J24" s="17" t="s">
        <v>81</v>
      </c>
      <c r="K24" s="17" t="s">
        <v>137</v>
      </c>
      <c r="L24" s="21">
        <v>1</v>
      </c>
      <c r="M24" s="21">
        <v>71246</v>
      </c>
      <c r="N24" s="17" t="s">
        <v>58</v>
      </c>
      <c r="O24" s="21" t="s">
        <v>170</v>
      </c>
      <c r="P24" s="22">
        <v>70</v>
      </c>
      <c r="Q24" s="21"/>
      <c r="R24" s="22">
        <v>70</v>
      </c>
      <c r="S24" s="23">
        <v>46072</v>
      </c>
      <c r="T24" s="22">
        <v>10.5</v>
      </c>
      <c r="U24" s="24">
        <v>4</v>
      </c>
      <c r="V24" s="22">
        <v>59.5</v>
      </c>
      <c r="W24" s="17" t="s">
        <v>48</v>
      </c>
      <c r="X24" s="17" t="s">
        <v>49</v>
      </c>
      <c r="Y24" s="17" t="s">
        <v>87</v>
      </c>
      <c r="Z24" s="17" t="s">
        <v>9</v>
      </c>
      <c r="AA24" s="17" t="s">
        <v>50</v>
      </c>
      <c r="AB24" s="17" t="s">
        <v>171</v>
      </c>
      <c r="AC24" s="17" t="s">
        <v>38</v>
      </c>
      <c r="AD24" s="7" t="str">
        <f>IF(N24="PRG","",IF(I24&gt;=E24,IF(I24&lt;=F24,"","NO"),"NO"))</f>
        <v/>
      </c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</row>
    <row r="25" spans="1:49" s="30" customFormat="1" ht="35.1" customHeight="1" x14ac:dyDescent="0.2">
      <c r="A25" s="9" t="s">
        <v>99</v>
      </c>
      <c r="B25" s="10">
        <v>46072</v>
      </c>
      <c r="C25" s="10">
        <v>46072</v>
      </c>
      <c r="D25" s="11" t="s">
        <v>177</v>
      </c>
      <c r="E25" s="12">
        <v>0.5</v>
      </c>
      <c r="F25" s="12">
        <v>0.54166666666666663</v>
      </c>
      <c r="G25" s="12">
        <v>4.1666666666666664E-2</v>
      </c>
      <c r="H25" s="9" t="s">
        <v>100</v>
      </c>
      <c r="I25" s="13"/>
      <c r="J25" s="9" t="s">
        <v>81</v>
      </c>
      <c r="K25" s="9"/>
      <c r="L25" s="14">
        <v>1</v>
      </c>
      <c r="M25" s="14">
        <v>1</v>
      </c>
      <c r="N25" s="9" t="s">
        <v>33</v>
      </c>
      <c r="O25" s="9"/>
      <c r="P25" s="16">
        <v>0</v>
      </c>
      <c r="Q25" s="14"/>
      <c r="R25" s="16">
        <v>0</v>
      </c>
      <c r="S25" s="9">
        <v>46054</v>
      </c>
      <c r="T25" s="16">
        <v>0</v>
      </c>
      <c r="U25" s="14">
        <v>2</v>
      </c>
      <c r="V25" s="16">
        <v>0</v>
      </c>
      <c r="W25" s="9" t="s">
        <v>34</v>
      </c>
      <c r="X25" s="9" t="s">
        <v>42</v>
      </c>
      <c r="Y25" s="9" t="s">
        <v>36</v>
      </c>
      <c r="Z25" s="9" t="s">
        <v>43</v>
      </c>
      <c r="AA25" s="9" t="s">
        <v>37</v>
      </c>
      <c r="AB25" s="9" t="s">
        <v>37</v>
      </c>
      <c r="AC25" s="9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">
      <c r="A26" s="17" t="s">
        <v>52</v>
      </c>
      <c r="B26" s="18">
        <v>46072</v>
      </c>
      <c r="C26" s="18">
        <v>46072</v>
      </c>
      <c r="D26" s="17" t="s">
        <v>177</v>
      </c>
      <c r="E26" s="19">
        <v>0.45833333333333331</v>
      </c>
      <c r="F26" s="19">
        <v>0.54166666666666663</v>
      </c>
      <c r="G26" s="19">
        <v>3.4722222222222218E-4</v>
      </c>
      <c r="H26" s="17" t="s">
        <v>151</v>
      </c>
      <c r="I26" s="20">
        <v>0.51435185185185184</v>
      </c>
      <c r="J26" s="17" t="s">
        <v>81</v>
      </c>
      <c r="K26" s="17" t="s">
        <v>138</v>
      </c>
      <c r="L26" s="21">
        <v>1</v>
      </c>
      <c r="M26" s="21">
        <v>70976</v>
      </c>
      <c r="N26" s="17" t="s">
        <v>46</v>
      </c>
      <c r="O26" s="21" t="str">
        <f>AC26</f>
        <v>SFO</v>
      </c>
      <c r="P26" s="22">
        <v>0</v>
      </c>
      <c r="Q26" s="21"/>
      <c r="R26" s="22">
        <v>0</v>
      </c>
      <c r="S26" s="23">
        <v>46054</v>
      </c>
      <c r="T26" s="22">
        <v>0</v>
      </c>
      <c r="U26" s="24">
        <v>4</v>
      </c>
      <c r="V26" s="22">
        <v>0</v>
      </c>
      <c r="W26" s="17" t="s">
        <v>48</v>
      </c>
      <c r="X26" s="17" t="s">
        <v>49</v>
      </c>
      <c r="Y26" s="17" t="s">
        <v>36</v>
      </c>
      <c r="Z26" s="17" t="s">
        <v>9</v>
      </c>
      <c r="AA26" s="17" t="s">
        <v>50</v>
      </c>
      <c r="AB26" s="17" t="s">
        <v>54</v>
      </c>
      <c r="AC26" s="17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0" customFormat="1" ht="35.1" customHeight="1" x14ac:dyDescent="0.25">
      <c r="A27" s="17" t="s">
        <v>92</v>
      </c>
      <c r="B27" s="18">
        <v>46072</v>
      </c>
      <c r="C27" s="18">
        <v>46072</v>
      </c>
      <c r="D27" s="17" t="s">
        <v>177</v>
      </c>
      <c r="E27" s="19">
        <v>0.5</v>
      </c>
      <c r="F27" s="19">
        <v>0.54166666666666663</v>
      </c>
      <c r="G27" s="19">
        <v>1.7361111111111109E-4</v>
      </c>
      <c r="H27" s="17" t="s">
        <v>93</v>
      </c>
      <c r="I27" s="20">
        <v>0.5141782407407407</v>
      </c>
      <c r="J27" s="17" t="s">
        <v>81</v>
      </c>
      <c r="K27" s="17" t="s">
        <v>138</v>
      </c>
      <c r="L27" s="21">
        <v>1</v>
      </c>
      <c r="M27" s="21">
        <v>71191</v>
      </c>
      <c r="N27" s="17" t="s">
        <v>58</v>
      </c>
      <c r="O27" s="21" t="s">
        <v>94</v>
      </c>
      <c r="P27" s="22">
        <v>70</v>
      </c>
      <c r="Q27" s="21"/>
      <c r="R27" s="22">
        <v>70</v>
      </c>
      <c r="S27" s="23">
        <v>46072</v>
      </c>
      <c r="T27" s="22">
        <v>10.5</v>
      </c>
      <c r="U27" s="24">
        <v>4</v>
      </c>
      <c r="V27" s="22">
        <v>59.5</v>
      </c>
      <c r="W27" s="17" t="s">
        <v>48</v>
      </c>
      <c r="X27" s="17" t="s">
        <v>49</v>
      </c>
      <c r="Y27" s="17" t="s">
        <v>87</v>
      </c>
      <c r="Z27" s="17" t="s">
        <v>9</v>
      </c>
      <c r="AA27" s="17" t="s">
        <v>50</v>
      </c>
      <c r="AB27" s="17" t="s">
        <v>95</v>
      </c>
      <c r="AC27" s="17" t="s">
        <v>38</v>
      </c>
      <c r="AD27" s="7" t="str">
        <f t="shared" si="0"/>
        <v/>
      </c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</row>
    <row r="28" spans="1:49" s="30" customFormat="1" ht="35.1" customHeight="1" x14ac:dyDescent="0.25">
      <c r="A28" s="17" t="s">
        <v>79</v>
      </c>
      <c r="B28" s="18">
        <v>46072</v>
      </c>
      <c r="C28" s="18">
        <v>46072</v>
      </c>
      <c r="D28" s="17" t="s">
        <v>177</v>
      </c>
      <c r="E28" s="19">
        <v>0.45833333333333331</v>
      </c>
      <c r="F28" s="19">
        <v>0.54166666666666663</v>
      </c>
      <c r="G28" s="19">
        <v>1.7361111111111109E-4</v>
      </c>
      <c r="H28" s="17" t="s">
        <v>80</v>
      </c>
      <c r="I28" s="20">
        <v>0.52077546296296295</v>
      </c>
      <c r="J28" s="17" t="s">
        <v>81</v>
      </c>
      <c r="K28" s="17" t="s">
        <v>138</v>
      </c>
      <c r="L28" s="21">
        <v>1</v>
      </c>
      <c r="M28" s="21">
        <v>70037</v>
      </c>
      <c r="N28" s="17" t="s">
        <v>46</v>
      </c>
      <c r="O28" s="21" t="s">
        <v>82</v>
      </c>
      <c r="P28" s="22">
        <v>0</v>
      </c>
      <c r="Q28" s="21"/>
      <c r="R28" s="22">
        <v>0</v>
      </c>
      <c r="S28" s="23">
        <v>46054</v>
      </c>
      <c r="T28" s="22">
        <v>0</v>
      </c>
      <c r="U28" s="24">
        <v>4</v>
      </c>
      <c r="V28" s="22">
        <v>0</v>
      </c>
      <c r="W28" s="17" t="s">
        <v>48</v>
      </c>
      <c r="X28" s="17" t="s">
        <v>49</v>
      </c>
      <c r="Y28" s="17" t="s">
        <v>36</v>
      </c>
      <c r="Z28" s="17" t="s">
        <v>9</v>
      </c>
      <c r="AA28" s="17" t="s">
        <v>50</v>
      </c>
      <c r="AB28" s="17" t="s">
        <v>83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30" customFormat="1" ht="35.1" customHeight="1" x14ac:dyDescent="0.2">
      <c r="A29" s="17" t="s">
        <v>92</v>
      </c>
      <c r="B29" s="18">
        <v>46072</v>
      </c>
      <c r="C29" s="18">
        <v>46072</v>
      </c>
      <c r="D29" s="17" t="s">
        <v>177</v>
      </c>
      <c r="E29" s="19">
        <v>0.5</v>
      </c>
      <c r="F29" s="19">
        <v>0.54166666666666663</v>
      </c>
      <c r="G29" s="19">
        <v>1.7361111111111109E-4</v>
      </c>
      <c r="H29" s="17" t="s">
        <v>169</v>
      </c>
      <c r="I29" s="20">
        <v>0.52534722222222219</v>
      </c>
      <c r="J29" s="17" t="s">
        <v>81</v>
      </c>
      <c r="K29" s="17" t="s">
        <v>138</v>
      </c>
      <c r="L29" s="21">
        <v>1</v>
      </c>
      <c r="M29" s="21">
        <v>71249</v>
      </c>
      <c r="N29" s="17" t="s">
        <v>58</v>
      </c>
      <c r="O29" s="21" t="s">
        <v>170</v>
      </c>
      <c r="P29" s="22">
        <v>70</v>
      </c>
      <c r="Q29" s="21"/>
      <c r="R29" s="22">
        <v>70</v>
      </c>
      <c r="S29" s="23">
        <v>46072</v>
      </c>
      <c r="T29" s="22">
        <v>10.5</v>
      </c>
      <c r="U29" s="24">
        <v>4</v>
      </c>
      <c r="V29" s="22">
        <v>59.5</v>
      </c>
      <c r="W29" s="17" t="s">
        <v>48</v>
      </c>
      <c r="X29" s="17" t="s">
        <v>49</v>
      </c>
      <c r="Y29" s="17" t="s">
        <v>87</v>
      </c>
      <c r="Z29" s="17" t="s">
        <v>9</v>
      </c>
      <c r="AA29" s="17" t="s">
        <v>50</v>
      </c>
      <c r="AB29" s="17" t="s">
        <v>171</v>
      </c>
      <c r="AC29" s="17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1" customHeight="1" x14ac:dyDescent="0.25">
      <c r="A30" s="17" t="s">
        <v>84</v>
      </c>
      <c r="B30" s="18">
        <v>46072</v>
      </c>
      <c r="C30" s="18">
        <v>46072</v>
      </c>
      <c r="D30" s="17" t="s">
        <v>177</v>
      </c>
      <c r="E30" s="19">
        <v>0.45833333333333331</v>
      </c>
      <c r="F30" s="19">
        <v>0.54166666666666663</v>
      </c>
      <c r="G30" s="19">
        <v>3.4722222222222218E-4</v>
      </c>
      <c r="H30" s="17" t="s">
        <v>85</v>
      </c>
      <c r="I30" s="20">
        <v>0.53238425925925925</v>
      </c>
      <c r="J30" s="17" t="s">
        <v>81</v>
      </c>
      <c r="K30" s="17" t="s">
        <v>138</v>
      </c>
      <c r="L30" s="21">
        <v>1</v>
      </c>
      <c r="M30" s="21">
        <v>71448</v>
      </c>
      <c r="N30" s="17" t="s">
        <v>46</v>
      </c>
      <c r="O30" s="21" t="s">
        <v>86</v>
      </c>
      <c r="P30" s="22">
        <v>0</v>
      </c>
      <c r="Q30" s="21"/>
      <c r="R30" s="22">
        <v>0</v>
      </c>
      <c r="S30" s="23">
        <v>46072</v>
      </c>
      <c r="T30" s="22">
        <v>0</v>
      </c>
      <c r="U30" s="24">
        <v>4</v>
      </c>
      <c r="V30" s="22">
        <v>0</v>
      </c>
      <c r="W30" s="17" t="s">
        <v>48</v>
      </c>
      <c r="X30" s="17" t="s">
        <v>49</v>
      </c>
      <c r="Y30" s="17" t="s">
        <v>87</v>
      </c>
      <c r="Z30" s="17" t="s">
        <v>9</v>
      </c>
      <c r="AA30" s="17" t="s">
        <v>50</v>
      </c>
      <c r="AB30" s="17" t="s">
        <v>88</v>
      </c>
      <c r="AC30" s="17" t="s">
        <v>38</v>
      </c>
      <c r="AD30" s="7" t="str">
        <f t="shared" si="0"/>
        <v/>
      </c>
      <c r="AE30" s="25"/>
      <c r="AF30" s="25"/>
      <c r="AG30" s="25"/>
      <c r="AH30" s="25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</row>
    <row r="31" spans="1:49" s="30" customFormat="1" ht="35.1" customHeight="1" x14ac:dyDescent="0.25">
      <c r="A31" s="17" t="s">
        <v>79</v>
      </c>
      <c r="B31" s="18">
        <v>46072</v>
      </c>
      <c r="C31" s="18">
        <v>46072</v>
      </c>
      <c r="D31" s="17" t="s">
        <v>177</v>
      </c>
      <c r="E31" s="19">
        <v>0.5</v>
      </c>
      <c r="F31" s="19">
        <v>0.54166666666666663</v>
      </c>
      <c r="G31" s="19">
        <v>1.7361111111111109E-4</v>
      </c>
      <c r="H31" s="17" t="s">
        <v>91</v>
      </c>
      <c r="I31" s="20">
        <v>0.53221064814814811</v>
      </c>
      <c r="J31" s="17" t="s">
        <v>81</v>
      </c>
      <c r="K31" s="17" t="s">
        <v>138</v>
      </c>
      <c r="L31" s="21">
        <v>1</v>
      </c>
      <c r="M31" s="21">
        <v>70011</v>
      </c>
      <c r="N31" s="17" t="s">
        <v>58</v>
      </c>
      <c r="O31" s="21" t="s">
        <v>82</v>
      </c>
      <c r="P31" s="22">
        <v>64.709999999999994</v>
      </c>
      <c r="Q31" s="21"/>
      <c r="R31" s="22">
        <v>64.709999999999994</v>
      </c>
      <c r="S31" s="23">
        <v>46054</v>
      </c>
      <c r="T31" s="22">
        <v>9.7064999999999984</v>
      </c>
      <c r="U31" s="24">
        <v>4</v>
      </c>
      <c r="V31" s="22">
        <v>55.003499999999995</v>
      </c>
      <c r="W31" s="17" t="s">
        <v>48</v>
      </c>
      <c r="X31" s="17" t="s">
        <v>49</v>
      </c>
      <c r="Y31" s="17" t="s">
        <v>36</v>
      </c>
      <c r="Z31" s="17" t="s">
        <v>9</v>
      </c>
      <c r="AA31" s="17" t="s">
        <v>50</v>
      </c>
      <c r="AB31" s="17" t="s">
        <v>83</v>
      </c>
      <c r="AC31" s="17" t="s">
        <v>38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30" customFormat="1" ht="35.1" customHeight="1" x14ac:dyDescent="0.2">
      <c r="A32" s="9" t="s">
        <v>101</v>
      </c>
      <c r="B32" s="10">
        <v>46072</v>
      </c>
      <c r="C32" s="10">
        <v>46072</v>
      </c>
      <c r="D32" s="11" t="s">
        <v>177</v>
      </c>
      <c r="E32" s="12">
        <v>0.54166666666666663</v>
      </c>
      <c r="F32" s="12">
        <v>0.5625</v>
      </c>
      <c r="G32" s="12">
        <v>2.0833333333333332E-2</v>
      </c>
      <c r="H32" s="9" t="s">
        <v>102</v>
      </c>
      <c r="I32" s="13"/>
      <c r="J32" s="9" t="s">
        <v>103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5">
      <c r="A33" s="17" t="s">
        <v>79</v>
      </c>
      <c r="B33" s="18">
        <v>46072</v>
      </c>
      <c r="C33" s="18">
        <v>46072</v>
      </c>
      <c r="D33" s="17" t="s">
        <v>177</v>
      </c>
      <c r="E33" s="19">
        <v>0.54166666666666663</v>
      </c>
      <c r="F33" s="19">
        <v>0.5625</v>
      </c>
      <c r="G33" s="19">
        <v>1.7361111111111109E-4</v>
      </c>
      <c r="H33" s="17" t="s">
        <v>107</v>
      </c>
      <c r="I33" s="20">
        <v>0.55641203703703701</v>
      </c>
      <c r="J33" s="17" t="s">
        <v>103</v>
      </c>
      <c r="K33" s="17" t="s">
        <v>139</v>
      </c>
      <c r="L33" s="21">
        <v>1</v>
      </c>
      <c r="M33" s="21">
        <v>69976</v>
      </c>
      <c r="N33" s="17" t="s">
        <v>58</v>
      </c>
      <c r="O33" s="21" t="s">
        <v>105</v>
      </c>
      <c r="P33" s="22">
        <v>64.709999999999994</v>
      </c>
      <c r="Q33" s="21"/>
      <c r="R33" s="22">
        <v>64.709999999999994</v>
      </c>
      <c r="S33" s="23">
        <v>46054</v>
      </c>
      <c r="T33" s="22">
        <v>9.7064999999999984</v>
      </c>
      <c r="U33" s="24">
        <v>4</v>
      </c>
      <c r="V33" s="22">
        <v>55.003499999999995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106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0" customFormat="1" ht="35.1" customHeight="1" x14ac:dyDescent="0.2">
      <c r="A34" s="9" t="s">
        <v>101</v>
      </c>
      <c r="B34" s="10">
        <v>46072</v>
      </c>
      <c r="C34" s="10">
        <v>46072</v>
      </c>
      <c r="D34" s="11" t="s">
        <v>177</v>
      </c>
      <c r="E34" s="12">
        <v>0.5625</v>
      </c>
      <c r="F34" s="12">
        <v>0.58333333333333337</v>
      </c>
      <c r="G34" s="12">
        <v>2.0833333333333332E-2</v>
      </c>
      <c r="H34" s="9" t="s">
        <v>108</v>
      </c>
      <c r="I34" s="13"/>
      <c r="J34" s="9" t="s">
        <v>103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0" customFormat="1" ht="35.1" customHeight="1" x14ac:dyDescent="0.25">
      <c r="A35" s="17" t="s">
        <v>79</v>
      </c>
      <c r="B35" s="18">
        <v>46072</v>
      </c>
      <c r="C35" s="18">
        <v>46072</v>
      </c>
      <c r="D35" s="17" t="s">
        <v>177</v>
      </c>
      <c r="E35" s="19">
        <v>0.5625</v>
      </c>
      <c r="F35" s="19">
        <v>0.58333333333333337</v>
      </c>
      <c r="G35" s="19">
        <v>1.7361111111111109E-4</v>
      </c>
      <c r="H35" s="17" t="s">
        <v>104</v>
      </c>
      <c r="I35" s="20">
        <v>0.58303240740740736</v>
      </c>
      <c r="J35" s="17" t="s">
        <v>103</v>
      </c>
      <c r="K35" s="17" t="s">
        <v>140</v>
      </c>
      <c r="L35" s="21">
        <v>1</v>
      </c>
      <c r="M35" s="21">
        <v>69977</v>
      </c>
      <c r="N35" s="17" t="s">
        <v>58</v>
      </c>
      <c r="O35" s="21" t="s">
        <v>105</v>
      </c>
      <c r="P35" s="22">
        <v>64.709999999999994</v>
      </c>
      <c r="Q35" s="21"/>
      <c r="R35" s="22">
        <v>64.709999999999994</v>
      </c>
      <c r="S35" s="23">
        <v>46054</v>
      </c>
      <c r="T35" s="22">
        <v>9.7064999999999984</v>
      </c>
      <c r="U35" s="24">
        <v>4</v>
      </c>
      <c r="V35" s="22">
        <v>55.003499999999995</v>
      </c>
      <c r="W35" s="17" t="s">
        <v>48</v>
      </c>
      <c r="X35" s="17" t="s">
        <v>49</v>
      </c>
      <c r="Y35" s="17" t="s">
        <v>36</v>
      </c>
      <c r="Z35" s="17" t="s">
        <v>9</v>
      </c>
      <c r="AA35" s="17" t="s">
        <v>50</v>
      </c>
      <c r="AB35" s="17" t="s">
        <v>106</v>
      </c>
      <c r="AC35" s="17" t="s">
        <v>38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30" customFormat="1" ht="35.1" customHeight="1" x14ac:dyDescent="0.25">
      <c r="A36" s="9" t="s">
        <v>109</v>
      </c>
      <c r="B36" s="10">
        <v>46072</v>
      </c>
      <c r="C36" s="10">
        <v>46072</v>
      </c>
      <c r="D36" s="11" t="s">
        <v>177</v>
      </c>
      <c r="E36" s="12">
        <v>0.58333333333333337</v>
      </c>
      <c r="F36" s="12">
        <v>0.625</v>
      </c>
      <c r="G36" s="12">
        <v>4.1666666666666664E-2</v>
      </c>
      <c r="H36" s="9" t="s">
        <v>110</v>
      </c>
      <c r="I36" s="13"/>
      <c r="J36" s="9" t="s">
        <v>111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30" customFormat="1" ht="35.1" customHeight="1" x14ac:dyDescent="0.25">
      <c r="A37" s="9" t="s">
        <v>109</v>
      </c>
      <c r="B37" s="10">
        <v>46072</v>
      </c>
      <c r="C37" s="10">
        <v>46072</v>
      </c>
      <c r="D37" s="11" t="s">
        <v>177</v>
      </c>
      <c r="E37" s="12">
        <v>0.625</v>
      </c>
      <c r="F37" s="12">
        <v>0.64583333333333337</v>
      </c>
      <c r="G37" s="12">
        <v>2.0833333333333332E-2</v>
      </c>
      <c r="H37" s="9" t="s">
        <v>112</v>
      </c>
      <c r="I37" s="13"/>
      <c r="J37" s="9" t="s">
        <v>111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30" customFormat="1" ht="35.1" customHeight="1" x14ac:dyDescent="0.25">
      <c r="A38" s="9" t="s">
        <v>109</v>
      </c>
      <c r="B38" s="10">
        <v>46072</v>
      </c>
      <c r="C38" s="10">
        <v>46072</v>
      </c>
      <c r="D38" s="11" t="s">
        <v>177</v>
      </c>
      <c r="E38" s="12">
        <v>0.64583333333333337</v>
      </c>
      <c r="F38" s="12">
        <v>0.66666666666666663</v>
      </c>
      <c r="G38" s="12">
        <v>2.0833333333333332E-2</v>
      </c>
      <c r="H38" s="9" t="s">
        <v>113</v>
      </c>
      <c r="I38" s="13"/>
      <c r="J38" s="9" t="s">
        <v>111</v>
      </c>
      <c r="K38" s="9"/>
      <c r="L38" s="14">
        <v>1</v>
      </c>
      <c r="M38" s="14">
        <v>1</v>
      </c>
      <c r="N38" s="9" t="s">
        <v>33</v>
      </c>
      <c r="O38" s="9"/>
      <c r="P38" s="16">
        <v>0</v>
      </c>
      <c r="Q38" s="14"/>
      <c r="R38" s="16">
        <v>0</v>
      </c>
      <c r="S38" s="9">
        <v>46054</v>
      </c>
      <c r="T38" s="16">
        <v>0</v>
      </c>
      <c r="U38" s="14">
        <v>2</v>
      </c>
      <c r="V38" s="16">
        <v>0</v>
      </c>
      <c r="W38" s="9" t="s">
        <v>34</v>
      </c>
      <c r="X38" s="9" t="s">
        <v>42</v>
      </c>
      <c r="Y38" s="9" t="s">
        <v>36</v>
      </c>
      <c r="Z38" s="9" t="s">
        <v>43</v>
      </c>
      <c r="AA38" s="9" t="s">
        <v>37</v>
      </c>
      <c r="AB38" s="9" t="s">
        <v>37</v>
      </c>
      <c r="AC38" s="9" t="s">
        <v>38</v>
      </c>
      <c r="AD38" s="7" t="str">
        <f t="shared" si="0"/>
        <v/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30" customFormat="1" ht="35.1" customHeight="1" x14ac:dyDescent="0.25">
      <c r="A39" s="17" t="s">
        <v>79</v>
      </c>
      <c r="B39" s="18">
        <v>46072</v>
      </c>
      <c r="C39" s="18">
        <v>46072</v>
      </c>
      <c r="D39" s="17" t="s">
        <v>177</v>
      </c>
      <c r="E39" s="19">
        <v>0.58333333333333337</v>
      </c>
      <c r="F39" s="19">
        <v>0.66666666666666663</v>
      </c>
      <c r="G39" s="19">
        <v>1.7361111111111109E-4</v>
      </c>
      <c r="H39" s="17" t="s">
        <v>107</v>
      </c>
      <c r="I39" s="20">
        <v>0.64996527777777779</v>
      </c>
      <c r="J39" s="17" t="s">
        <v>103</v>
      </c>
      <c r="K39" s="17" t="s">
        <v>141</v>
      </c>
      <c r="L39" s="21">
        <v>1</v>
      </c>
      <c r="M39" s="21">
        <v>69978</v>
      </c>
      <c r="N39" s="17" t="s">
        <v>58</v>
      </c>
      <c r="O39" s="21" t="s">
        <v>105</v>
      </c>
      <c r="P39" s="22">
        <v>64.709999999999994</v>
      </c>
      <c r="Q39" s="21"/>
      <c r="R39" s="22">
        <v>64.709999999999994</v>
      </c>
      <c r="S39" s="23">
        <v>46054</v>
      </c>
      <c r="T39" s="22">
        <v>9.7064999999999984</v>
      </c>
      <c r="U39" s="24">
        <v>4</v>
      </c>
      <c r="V39" s="22">
        <v>55.003499999999995</v>
      </c>
      <c r="W39" s="17" t="s">
        <v>48</v>
      </c>
      <c r="X39" s="17" t="s">
        <v>49</v>
      </c>
      <c r="Y39" s="17" t="s">
        <v>36</v>
      </c>
      <c r="Z39" s="17" t="s">
        <v>9</v>
      </c>
      <c r="AA39" s="17" t="s">
        <v>50</v>
      </c>
      <c r="AB39" s="17" t="s">
        <v>106</v>
      </c>
      <c r="AC39" s="17" t="s">
        <v>38</v>
      </c>
      <c r="AD39" s="7" t="str">
        <f t="shared" si="0"/>
        <v/>
      </c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</row>
    <row r="40" spans="1:49" s="30" customFormat="1" ht="35.1" customHeight="1" x14ac:dyDescent="0.25">
      <c r="A40" s="9" t="s">
        <v>114</v>
      </c>
      <c r="B40" s="10">
        <v>46072</v>
      </c>
      <c r="C40" s="10">
        <v>46072</v>
      </c>
      <c r="D40" s="11" t="s">
        <v>177</v>
      </c>
      <c r="E40" s="12">
        <v>0.66666666666666663</v>
      </c>
      <c r="F40" s="12">
        <v>0.6875</v>
      </c>
      <c r="G40" s="12">
        <v>2.0833333333333332E-2</v>
      </c>
      <c r="H40" s="9" t="s">
        <v>115</v>
      </c>
      <c r="I40" s="13"/>
      <c r="J40" s="9" t="s">
        <v>116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25"/>
      <c r="AF40" s="25"/>
      <c r="AG40" s="25"/>
      <c r="AH40" s="25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</row>
    <row r="41" spans="1:49" s="30" customFormat="1" ht="35.1" customHeight="1" x14ac:dyDescent="0.25">
      <c r="A41" s="9" t="s">
        <v>118</v>
      </c>
      <c r="B41" s="10">
        <v>46072</v>
      </c>
      <c r="C41" s="10">
        <v>46072</v>
      </c>
      <c r="D41" s="11" t="s">
        <v>177</v>
      </c>
      <c r="E41" s="12">
        <v>0.6875</v>
      </c>
      <c r="F41" s="12">
        <v>0.70833333333333337</v>
      </c>
      <c r="G41" s="12">
        <v>2.0833333333333332E-2</v>
      </c>
      <c r="H41" s="9" t="s">
        <v>119</v>
      </c>
      <c r="I41" s="13"/>
      <c r="J41" s="9" t="s">
        <v>116</v>
      </c>
      <c r="K41" s="9"/>
      <c r="L41" s="14">
        <v>1</v>
      </c>
      <c r="M41" s="14">
        <v>1</v>
      </c>
      <c r="N41" s="9" t="s">
        <v>33</v>
      </c>
      <c r="O41" s="9"/>
      <c r="P41" s="16">
        <v>0</v>
      </c>
      <c r="Q41" s="14"/>
      <c r="R41" s="16">
        <v>0</v>
      </c>
      <c r="S41" s="9">
        <v>46054</v>
      </c>
      <c r="T41" s="16">
        <v>0</v>
      </c>
      <c r="U41" s="14">
        <v>2</v>
      </c>
      <c r="V41" s="16">
        <v>0</v>
      </c>
      <c r="W41" s="9" t="s">
        <v>34</v>
      </c>
      <c r="X41" s="9" t="s">
        <v>42</v>
      </c>
      <c r="Y41" s="9" t="s">
        <v>36</v>
      </c>
      <c r="Z41" s="9" t="s">
        <v>43</v>
      </c>
      <c r="AA41" s="9" t="s">
        <v>37</v>
      </c>
      <c r="AB41" s="9" t="s">
        <v>37</v>
      </c>
      <c r="AC41" s="9" t="s">
        <v>38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30" customFormat="1" ht="35.1" customHeight="1" x14ac:dyDescent="0.25">
      <c r="A42" s="17" t="s">
        <v>52</v>
      </c>
      <c r="B42" s="18">
        <v>46072</v>
      </c>
      <c r="C42" s="18">
        <v>46072</v>
      </c>
      <c r="D42" s="17" t="s">
        <v>177</v>
      </c>
      <c r="E42" s="19">
        <v>0.66666666666666663</v>
      </c>
      <c r="F42" s="19">
        <v>0.79166666666666663</v>
      </c>
      <c r="G42" s="19">
        <v>3.4722222222222218E-4</v>
      </c>
      <c r="H42" s="17" t="s">
        <v>117</v>
      </c>
      <c r="I42" s="20">
        <v>0.70725694444444442</v>
      </c>
      <c r="J42" s="17" t="s">
        <v>116</v>
      </c>
      <c r="K42" s="17" t="s">
        <v>142</v>
      </c>
      <c r="L42" s="21">
        <v>1</v>
      </c>
      <c r="M42" s="21">
        <v>70966</v>
      </c>
      <c r="N42" s="17" t="s">
        <v>58</v>
      </c>
      <c r="O42" s="21" t="str">
        <f>AC42</f>
        <v>SFO</v>
      </c>
      <c r="P42" s="22">
        <v>117.65</v>
      </c>
      <c r="Q42" s="21"/>
      <c r="R42" s="22">
        <v>117.65</v>
      </c>
      <c r="S42" s="23">
        <v>46054</v>
      </c>
      <c r="T42" s="22">
        <v>8.8237500000000004</v>
      </c>
      <c r="U42" s="24">
        <v>4</v>
      </c>
      <c r="V42" s="22">
        <v>108.82625</v>
      </c>
      <c r="W42" s="17" t="s">
        <v>48</v>
      </c>
      <c r="X42" s="17" t="s">
        <v>49</v>
      </c>
      <c r="Y42" s="17" t="s">
        <v>36</v>
      </c>
      <c r="Z42" s="17" t="s">
        <v>9</v>
      </c>
      <c r="AA42" s="17" t="s">
        <v>50</v>
      </c>
      <c r="AB42" s="17" t="s">
        <v>54</v>
      </c>
      <c r="AC42" s="17" t="s">
        <v>38</v>
      </c>
      <c r="AD42" s="7" t="str">
        <f t="shared" si="0"/>
        <v/>
      </c>
      <c r="AE42" s="25"/>
      <c r="AF42" s="25"/>
      <c r="AG42" s="25"/>
      <c r="AH42" s="25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</row>
    <row r="43" spans="1:49" s="30" customFormat="1" ht="35.1" customHeight="1" x14ac:dyDescent="0.2">
      <c r="A43" s="9" t="s">
        <v>114</v>
      </c>
      <c r="B43" s="10">
        <v>46072</v>
      </c>
      <c r="C43" s="10">
        <v>46072</v>
      </c>
      <c r="D43" s="11" t="s">
        <v>177</v>
      </c>
      <c r="E43" s="12">
        <v>0.70833333333333337</v>
      </c>
      <c r="F43" s="12">
        <v>0.75</v>
      </c>
      <c r="G43" s="12">
        <v>4.1666666666666664E-2</v>
      </c>
      <c r="H43" s="9" t="s">
        <v>184</v>
      </c>
      <c r="I43" s="13"/>
      <c r="J43" s="9" t="s">
        <v>116</v>
      </c>
      <c r="K43" s="9"/>
      <c r="L43" s="14">
        <v>1</v>
      </c>
      <c r="M43" s="14">
        <v>1</v>
      </c>
      <c r="N43" s="9" t="s">
        <v>33</v>
      </c>
      <c r="O43" s="9"/>
      <c r="P43" s="16">
        <v>0</v>
      </c>
      <c r="Q43" s="14"/>
      <c r="R43" s="16">
        <v>0</v>
      </c>
      <c r="S43" s="9">
        <v>46054</v>
      </c>
      <c r="T43" s="16">
        <v>0</v>
      </c>
      <c r="U43" s="14">
        <v>2</v>
      </c>
      <c r="V43" s="16">
        <v>0</v>
      </c>
      <c r="W43" s="9" t="s">
        <v>34</v>
      </c>
      <c r="X43" s="9" t="s">
        <v>42</v>
      </c>
      <c r="Y43" s="9" t="s">
        <v>36</v>
      </c>
      <c r="Z43" s="9" t="s">
        <v>43</v>
      </c>
      <c r="AA43" s="9" t="s">
        <v>37</v>
      </c>
      <c r="AB43" s="9" t="s">
        <v>37</v>
      </c>
      <c r="AC43" s="9" t="s">
        <v>38</v>
      </c>
      <c r="AD43" s="7" t="str">
        <f t="shared" si="0"/>
        <v/>
      </c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</row>
    <row r="44" spans="1:49" s="30" customFormat="1" ht="35.1" customHeight="1" x14ac:dyDescent="0.25">
      <c r="A44" s="17" t="s">
        <v>84</v>
      </c>
      <c r="B44" s="18">
        <v>46072</v>
      </c>
      <c r="C44" s="18">
        <v>46072</v>
      </c>
      <c r="D44" s="17" t="s">
        <v>177</v>
      </c>
      <c r="E44" s="19">
        <v>0.66666666666666663</v>
      </c>
      <c r="F44" s="19">
        <v>0.79166666666666663</v>
      </c>
      <c r="G44" s="19">
        <v>3.4722222222222218E-4</v>
      </c>
      <c r="H44" s="17" t="s">
        <v>173</v>
      </c>
      <c r="I44" s="20">
        <v>0.71598379629629627</v>
      </c>
      <c r="J44" s="17" t="s">
        <v>116</v>
      </c>
      <c r="K44" s="17" t="s">
        <v>188</v>
      </c>
      <c r="L44" s="21">
        <v>1</v>
      </c>
      <c r="M44" s="21">
        <v>71439</v>
      </c>
      <c r="N44" s="17" t="s">
        <v>58</v>
      </c>
      <c r="O44" s="21" t="s">
        <v>157</v>
      </c>
      <c r="P44" s="22">
        <v>105.88235294117646</v>
      </c>
      <c r="Q44" s="21"/>
      <c r="R44" s="22">
        <v>105.88235294117646</v>
      </c>
      <c r="S44" s="23">
        <v>46072</v>
      </c>
      <c r="T44" s="22">
        <v>15.882352941176469</v>
      </c>
      <c r="U44" s="24">
        <v>4</v>
      </c>
      <c r="V44" s="22">
        <v>90</v>
      </c>
      <c r="W44" s="17" t="s">
        <v>48</v>
      </c>
      <c r="X44" s="17" t="s">
        <v>49</v>
      </c>
      <c r="Y44" s="17" t="s">
        <v>87</v>
      </c>
      <c r="Z44" s="17" t="s">
        <v>9</v>
      </c>
      <c r="AA44" s="17" t="s">
        <v>50</v>
      </c>
      <c r="AB44" s="17" t="s">
        <v>158</v>
      </c>
      <c r="AC44" s="17" t="s">
        <v>38</v>
      </c>
      <c r="AD44" s="7" t="str">
        <f t="shared" si="0"/>
        <v/>
      </c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</row>
    <row r="45" spans="1:49" s="30" customFormat="1" ht="35.1" customHeight="1" x14ac:dyDescent="0.2">
      <c r="A45" s="9" t="s">
        <v>118</v>
      </c>
      <c r="B45" s="10">
        <v>46072</v>
      </c>
      <c r="C45" s="10">
        <v>46072</v>
      </c>
      <c r="D45" s="11" t="s">
        <v>177</v>
      </c>
      <c r="E45" s="12">
        <v>0.75</v>
      </c>
      <c r="F45" s="12">
        <v>0.77083333333333337</v>
      </c>
      <c r="G45" s="12">
        <v>2.0833333333333332E-2</v>
      </c>
      <c r="H45" s="9" t="s">
        <v>121</v>
      </c>
      <c r="I45" s="13"/>
      <c r="J45" s="9" t="s">
        <v>116</v>
      </c>
      <c r="K45" s="9"/>
      <c r="L45" s="14">
        <v>1</v>
      </c>
      <c r="M45" s="14">
        <v>1</v>
      </c>
      <c r="N45" s="9" t="s">
        <v>33</v>
      </c>
      <c r="O45" s="9"/>
      <c r="P45" s="16">
        <v>0</v>
      </c>
      <c r="Q45" s="14"/>
      <c r="R45" s="16">
        <v>0</v>
      </c>
      <c r="S45" s="9">
        <v>46054</v>
      </c>
      <c r="T45" s="16">
        <v>0</v>
      </c>
      <c r="U45" s="14">
        <v>2</v>
      </c>
      <c r="V45" s="16">
        <v>0</v>
      </c>
      <c r="W45" s="9" t="s">
        <v>34</v>
      </c>
      <c r="X45" s="9" t="s">
        <v>42</v>
      </c>
      <c r="Y45" s="9" t="s">
        <v>36</v>
      </c>
      <c r="Z45" s="9" t="s">
        <v>43</v>
      </c>
      <c r="AA45" s="9" t="s">
        <v>37</v>
      </c>
      <c r="AB45" s="9" t="s">
        <v>37</v>
      </c>
      <c r="AC45" s="9" t="s">
        <v>38</v>
      </c>
      <c r="AD45" s="7" t="str">
        <f t="shared" si="0"/>
        <v/>
      </c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</row>
    <row r="46" spans="1:49" s="30" customFormat="1" ht="35.1" customHeight="1" x14ac:dyDescent="0.25">
      <c r="A46" s="9" t="s">
        <v>118</v>
      </c>
      <c r="B46" s="10">
        <v>46072</v>
      </c>
      <c r="C46" s="10">
        <v>46072</v>
      </c>
      <c r="D46" s="11" t="s">
        <v>177</v>
      </c>
      <c r="E46" s="12">
        <v>0.77083333333333337</v>
      </c>
      <c r="F46" s="12">
        <v>0.79166666666666663</v>
      </c>
      <c r="G46" s="12">
        <v>2.0833333333333332E-2</v>
      </c>
      <c r="H46" s="9" t="s">
        <v>119</v>
      </c>
      <c r="I46" s="13"/>
      <c r="J46" s="9" t="s">
        <v>116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</row>
    <row r="47" spans="1:49" s="30" customFormat="1" ht="35.1" customHeight="1" x14ac:dyDescent="0.25">
      <c r="A47" s="17" t="s">
        <v>52</v>
      </c>
      <c r="B47" s="18">
        <v>46072</v>
      </c>
      <c r="C47" s="18">
        <v>46072</v>
      </c>
      <c r="D47" s="17" t="s">
        <v>177</v>
      </c>
      <c r="E47" s="19">
        <v>0.66666666666666663</v>
      </c>
      <c r="F47" s="19">
        <v>0.79166666666666663</v>
      </c>
      <c r="G47" s="19">
        <v>3.4722222222222218E-4</v>
      </c>
      <c r="H47" s="17" t="s">
        <v>117</v>
      </c>
      <c r="I47" s="20">
        <v>0.78601851851851856</v>
      </c>
      <c r="J47" s="17" t="s">
        <v>116</v>
      </c>
      <c r="K47" s="17" t="s">
        <v>142</v>
      </c>
      <c r="L47" s="21">
        <v>1</v>
      </c>
      <c r="M47" s="21">
        <v>70968</v>
      </c>
      <c r="N47" s="17" t="s">
        <v>46</v>
      </c>
      <c r="O47" s="21" t="str">
        <f>AC47</f>
        <v>SFO</v>
      </c>
      <c r="P47" s="22">
        <v>0</v>
      </c>
      <c r="Q47" s="21"/>
      <c r="R47" s="22">
        <v>0</v>
      </c>
      <c r="S47" s="23">
        <v>46054</v>
      </c>
      <c r="T47" s="22">
        <v>0</v>
      </c>
      <c r="U47" s="24">
        <v>4</v>
      </c>
      <c r="V47" s="22">
        <v>0</v>
      </c>
      <c r="W47" s="17" t="s">
        <v>48</v>
      </c>
      <c r="X47" s="17" t="s">
        <v>49</v>
      </c>
      <c r="Y47" s="17" t="s">
        <v>36</v>
      </c>
      <c r="Z47" s="17" t="s">
        <v>9</v>
      </c>
      <c r="AA47" s="17" t="s">
        <v>50</v>
      </c>
      <c r="AB47" s="17" t="s">
        <v>54</v>
      </c>
      <c r="AC47" s="17" t="s">
        <v>38</v>
      </c>
      <c r="AD47" s="7" t="str">
        <f t="shared" si="0"/>
        <v/>
      </c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</row>
    <row r="48" spans="1:49" s="30" customFormat="1" ht="35.1" customHeight="1" x14ac:dyDescent="0.25">
      <c r="A48" s="9" t="s">
        <v>39</v>
      </c>
      <c r="B48" s="10">
        <v>46072</v>
      </c>
      <c r="C48" s="10">
        <v>46072</v>
      </c>
      <c r="D48" s="11" t="s">
        <v>177</v>
      </c>
      <c r="E48" s="12">
        <v>0.79166666666666663</v>
      </c>
      <c r="F48" s="12">
        <v>0.8125</v>
      </c>
      <c r="G48" s="12">
        <v>2.0833333333333332E-2</v>
      </c>
      <c r="H48" s="9" t="s">
        <v>122</v>
      </c>
      <c r="I48" s="13"/>
      <c r="J48" s="9" t="s">
        <v>123</v>
      </c>
      <c r="K48" s="9"/>
      <c r="L48" s="14">
        <v>1</v>
      </c>
      <c r="M48" s="14">
        <v>1</v>
      </c>
      <c r="N48" s="9" t="s">
        <v>33</v>
      </c>
      <c r="O48" s="9"/>
      <c r="P48" s="16">
        <v>0</v>
      </c>
      <c r="Q48" s="14"/>
      <c r="R48" s="16">
        <v>0</v>
      </c>
      <c r="S48" s="9">
        <v>46054</v>
      </c>
      <c r="T48" s="16">
        <v>0</v>
      </c>
      <c r="U48" s="14">
        <v>2</v>
      </c>
      <c r="V48" s="16">
        <v>0</v>
      </c>
      <c r="W48" s="9" t="s">
        <v>34</v>
      </c>
      <c r="X48" s="9" t="s">
        <v>42</v>
      </c>
      <c r="Y48" s="9" t="s">
        <v>36</v>
      </c>
      <c r="Z48" s="9" t="s">
        <v>43</v>
      </c>
      <c r="AA48" s="9" t="s">
        <v>37</v>
      </c>
      <c r="AB48" s="9" t="s">
        <v>37</v>
      </c>
      <c r="AC48" s="9" t="s">
        <v>38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0" customFormat="1" ht="35.1" customHeight="1" x14ac:dyDescent="0.2">
      <c r="A49" s="17" t="s">
        <v>125</v>
      </c>
      <c r="B49" s="18">
        <v>46072</v>
      </c>
      <c r="C49" s="18">
        <v>46072</v>
      </c>
      <c r="D49" s="17" t="s">
        <v>177</v>
      </c>
      <c r="E49" s="19">
        <v>0.79166666666666663</v>
      </c>
      <c r="F49" s="19">
        <v>0.83333333333333337</v>
      </c>
      <c r="G49" s="19">
        <v>1.7361111111111109E-4</v>
      </c>
      <c r="H49" s="17" t="s">
        <v>126</v>
      </c>
      <c r="I49" s="20">
        <v>0.79682870370370373</v>
      </c>
      <c r="J49" s="17" t="s">
        <v>123</v>
      </c>
      <c r="K49" s="17" t="s">
        <v>122</v>
      </c>
      <c r="L49" s="21">
        <v>1</v>
      </c>
      <c r="M49" s="21">
        <v>71281</v>
      </c>
      <c r="N49" s="17" t="s">
        <v>58</v>
      </c>
      <c r="O49" s="21" t="s">
        <v>38</v>
      </c>
      <c r="P49" s="22">
        <v>90</v>
      </c>
      <c r="Q49" s="21"/>
      <c r="R49" s="22">
        <v>90</v>
      </c>
      <c r="S49" s="23">
        <v>46072</v>
      </c>
      <c r="T49" s="22">
        <v>13.5</v>
      </c>
      <c r="U49" s="24">
        <v>4</v>
      </c>
      <c r="V49" s="22">
        <v>76.5</v>
      </c>
      <c r="W49" s="17" t="s">
        <v>48</v>
      </c>
      <c r="X49" s="17" t="s">
        <v>49</v>
      </c>
      <c r="Y49" s="17" t="s">
        <v>87</v>
      </c>
      <c r="Z49" s="17" t="s">
        <v>9</v>
      </c>
      <c r="AA49" s="17" t="s">
        <v>50</v>
      </c>
      <c r="AB49" s="17" t="s">
        <v>127</v>
      </c>
      <c r="AC49" s="17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0" customFormat="1" ht="35.1" customHeight="1" x14ac:dyDescent="0.25">
      <c r="A50" s="17" t="s">
        <v>44</v>
      </c>
      <c r="B50" s="18">
        <v>46072</v>
      </c>
      <c r="C50" s="18">
        <v>46072</v>
      </c>
      <c r="D50" s="17" t="s">
        <v>177</v>
      </c>
      <c r="E50" s="19">
        <v>0.79166666666666663</v>
      </c>
      <c r="F50" s="19">
        <v>0.99930555555555556</v>
      </c>
      <c r="G50" s="19">
        <v>1.6203703703703701E-4</v>
      </c>
      <c r="H50" s="17" t="s">
        <v>129</v>
      </c>
      <c r="I50" s="20">
        <v>0.80251157407407403</v>
      </c>
      <c r="J50" s="17" t="s">
        <v>123</v>
      </c>
      <c r="K50" s="17" t="s">
        <v>122</v>
      </c>
      <c r="L50" s="21">
        <v>1</v>
      </c>
      <c r="M50" s="21">
        <v>66849</v>
      </c>
      <c r="N50" s="17" t="s">
        <v>58</v>
      </c>
      <c r="O50" s="21" t="s">
        <v>47</v>
      </c>
      <c r="P50" s="22">
        <v>0</v>
      </c>
      <c r="Q50" s="21"/>
      <c r="R50" s="22">
        <v>0</v>
      </c>
      <c r="S50" s="23">
        <v>46054</v>
      </c>
      <c r="T50" s="22">
        <v>0</v>
      </c>
      <c r="U50" s="24">
        <v>4</v>
      </c>
      <c r="V50" s="22">
        <v>59.5</v>
      </c>
      <c r="W50" s="17" t="s">
        <v>48</v>
      </c>
      <c r="X50" s="17" t="s">
        <v>49</v>
      </c>
      <c r="Y50" s="17" t="s">
        <v>36</v>
      </c>
      <c r="Z50" s="17" t="s">
        <v>9</v>
      </c>
      <c r="AA50" s="17" t="s">
        <v>50</v>
      </c>
      <c r="AB50" s="17" t="s">
        <v>51</v>
      </c>
      <c r="AC50" s="17" t="s">
        <v>38</v>
      </c>
      <c r="AD50" s="7" t="str">
        <f t="shared" si="0"/>
        <v/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1:49" s="30" customFormat="1" ht="35.1" customHeight="1" x14ac:dyDescent="0.25">
      <c r="A51" s="9" t="s">
        <v>39</v>
      </c>
      <c r="B51" s="10">
        <v>46072</v>
      </c>
      <c r="C51" s="10">
        <v>46072</v>
      </c>
      <c r="D51" s="11" t="s">
        <v>177</v>
      </c>
      <c r="E51" s="12">
        <v>0.8125</v>
      </c>
      <c r="F51" s="12">
        <v>0.83333333333333337</v>
      </c>
      <c r="G51" s="12">
        <v>2.0833333333333332E-2</v>
      </c>
      <c r="H51" s="9" t="s">
        <v>186</v>
      </c>
      <c r="I51" s="13"/>
      <c r="J51" s="9" t="s">
        <v>123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</row>
    <row r="52" spans="1:49" s="30" customFormat="1" ht="35.1" customHeight="1" x14ac:dyDescent="0.25">
      <c r="A52" s="17" t="s">
        <v>52</v>
      </c>
      <c r="B52" s="18">
        <v>46072</v>
      </c>
      <c r="C52" s="18">
        <v>46072</v>
      </c>
      <c r="D52" s="17" t="s">
        <v>177</v>
      </c>
      <c r="E52" s="19">
        <v>0.79166666666666663</v>
      </c>
      <c r="F52" s="19">
        <v>0.83333333333333337</v>
      </c>
      <c r="G52" s="19">
        <v>3.4722222222222218E-4</v>
      </c>
      <c r="H52" s="17" t="s">
        <v>128</v>
      </c>
      <c r="I52" s="20">
        <v>0.8319212962962963</v>
      </c>
      <c r="J52" s="17" t="s">
        <v>123</v>
      </c>
      <c r="K52" s="17" t="s">
        <v>186</v>
      </c>
      <c r="L52" s="21">
        <v>1</v>
      </c>
      <c r="M52" s="21">
        <v>70960</v>
      </c>
      <c r="N52" s="17" t="s">
        <v>58</v>
      </c>
      <c r="O52" s="21" t="str">
        <f>AC52</f>
        <v>SFO</v>
      </c>
      <c r="P52" s="22">
        <v>117.65</v>
      </c>
      <c r="Q52" s="21"/>
      <c r="R52" s="22">
        <v>117.65</v>
      </c>
      <c r="S52" s="23">
        <v>46054</v>
      </c>
      <c r="T52" s="22">
        <v>8.8237500000000004</v>
      </c>
      <c r="U52" s="24">
        <v>4</v>
      </c>
      <c r="V52" s="22">
        <v>108.82625</v>
      </c>
      <c r="W52" s="17" t="s">
        <v>48</v>
      </c>
      <c r="X52" s="17" t="s">
        <v>49</v>
      </c>
      <c r="Y52" s="17" t="s">
        <v>36</v>
      </c>
      <c r="Z52" s="17" t="s">
        <v>9</v>
      </c>
      <c r="AA52" s="17" t="s">
        <v>50</v>
      </c>
      <c r="AB52" s="17" t="s">
        <v>54</v>
      </c>
      <c r="AC52" s="17" t="s">
        <v>38</v>
      </c>
      <c r="AD52" s="7" t="str">
        <f t="shared" si="0"/>
        <v/>
      </c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</row>
    <row r="53" spans="1:49" s="30" customFormat="1" ht="35.1" customHeight="1" x14ac:dyDescent="0.2">
      <c r="A53" s="9" t="s">
        <v>131</v>
      </c>
      <c r="B53" s="10">
        <v>46072</v>
      </c>
      <c r="C53" s="10">
        <v>46072</v>
      </c>
      <c r="D53" s="11" t="s">
        <v>177</v>
      </c>
      <c r="E53" s="12">
        <v>0.83333333333333337</v>
      </c>
      <c r="F53" s="12">
        <v>0.875</v>
      </c>
      <c r="G53" s="12">
        <v>4.1666666666666664E-2</v>
      </c>
      <c r="H53" s="9" t="s">
        <v>132</v>
      </c>
      <c r="I53" s="13"/>
      <c r="J53" s="9" t="s">
        <v>41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</row>
    <row r="54" spans="1:49" s="30" customFormat="1" ht="35.1" customHeight="1" x14ac:dyDescent="0.25">
      <c r="A54" s="17" t="s">
        <v>44</v>
      </c>
      <c r="B54" s="18">
        <v>46072</v>
      </c>
      <c r="C54" s="18">
        <v>46072</v>
      </c>
      <c r="D54" s="17" t="s">
        <v>177</v>
      </c>
      <c r="E54" s="19">
        <v>0.83333333333333337</v>
      </c>
      <c r="F54" s="19">
        <v>0.875</v>
      </c>
      <c r="G54" s="19">
        <v>1.6203703703703701E-4</v>
      </c>
      <c r="H54" s="17" t="s">
        <v>45</v>
      </c>
      <c r="I54" s="20">
        <v>0.84209490740740744</v>
      </c>
      <c r="J54" s="17" t="s">
        <v>41</v>
      </c>
      <c r="K54" s="17" t="s">
        <v>144</v>
      </c>
      <c r="L54" s="21">
        <v>1</v>
      </c>
      <c r="M54" s="21">
        <v>66850</v>
      </c>
      <c r="N54" s="17" t="s">
        <v>58</v>
      </c>
      <c r="O54" s="21" t="s">
        <v>47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59.5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51</v>
      </c>
      <c r="AC54" s="17" t="s">
        <v>38</v>
      </c>
      <c r="AD54" s="7" t="str">
        <f t="shared" si="0"/>
        <v/>
      </c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</row>
    <row r="55" spans="1:49" s="30" customFormat="1" ht="35.1" customHeight="1" x14ac:dyDescent="0.2">
      <c r="A55" s="17" t="s">
        <v>44</v>
      </c>
      <c r="B55" s="18">
        <v>46072</v>
      </c>
      <c r="C55" s="18">
        <v>46072</v>
      </c>
      <c r="D55" s="17" t="s">
        <v>177</v>
      </c>
      <c r="E55" s="19">
        <v>0.83333333333333337</v>
      </c>
      <c r="F55" s="19">
        <v>0.875</v>
      </c>
      <c r="G55" s="19">
        <v>1.7361111111111109E-4</v>
      </c>
      <c r="H55" s="17" t="s">
        <v>55</v>
      </c>
      <c r="I55" s="20">
        <v>0.8653819444444445</v>
      </c>
      <c r="J55" s="17" t="s">
        <v>41</v>
      </c>
      <c r="K55" s="17" t="s">
        <v>144</v>
      </c>
      <c r="L55" s="21">
        <v>1</v>
      </c>
      <c r="M55" s="21">
        <v>66850</v>
      </c>
      <c r="N55" s="17" t="s">
        <v>58</v>
      </c>
      <c r="O55" s="21" t="s">
        <v>47</v>
      </c>
      <c r="P55" s="22">
        <v>0</v>
      </c>
      <c r="Q55" s="21"/>
      <c r="R55" s="22">
        <v>0</v>
      </c>
      <c r="S55" s="23">
        <v>46054</v>
      </c>
      <c r="T55" s="22">
        <v>0</v>
      </c>
      <c r="U55" s="24">
        <v>4</v>
      </c>
      <c r="V55" s="22">
        <v>59.5</v>
      </c>
      <c r="W55" s="17" t="s">
        <v>48</v>
      </c>
      <c r="X55" s="17" t="s">
        <v>49</v>
      </c>
      <c r="Y55" s="17" t="s">
        <v>36</v>
      </c>
      <c r="Z55" s="17" t="s">
        <v>9</v>
      </c>
      <c r="AA55" s="17" t="s">
        <v>50</v>
      </c>
      <c r="AB55" s="17" t="s">
        <v>51</v>
      </c>
      <c r="AC55" s="17" t="s">
        <v>38</v>
      </c>
      <c r="AD55" s="7" t="str">
        <f t="shared" si="0"/>
        <v/>
      </c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</row>
    <row r="56" spans="1:49" s="30" customFormat="1" ht="35.1" customHeight="1" x14ac:dyDescent="0.25">
      <c r="A56" s="17" t="s">
        <v>44</v>
      </c>
      <c r="B56" s="18">
        <v>46072</v>
      </c>
      <c r="C56" s="18">
        <v>46072</v>
      </c>
      <c r="D56" s="17" t="s">
        <v>177</v>
      </c>
      <c r="E56" s="19">
        <v>0.83333333333333337</v>
      </c>
      <c r="F56" s="19">
        <v>0.875</v>
      </c>
      <c r="G56" s="19">
        <v>1.6203703703703701E-4</v>
      </c>
      <c r="H56" s="17" t="s">
        <v>45</v>
      </c>
      <c r="I56" s="20">
        <v>0.87400462962962966</v>
      </c>
      <c r="J56" s="17" t="s">
        <v>41</v>
      </c>
      <c r="K56" s="17" t="s">
        <v>144</v>
      </c>
      <c r="L56" s="21">
        <v>1</v>
      </c>
      <c r="M56" s="21">
        <v>66850</v>
      </c>
      <c r="N56" s="17" t="s">
        <v>58</v>
      </c>
      <c r="O56" s="21" t="s">
        <v>47</v>
      </c>
      <c r="P56" s="22">
        <v>0</v>
      </c>
      <c r="Q56" s="21"/>
      <c r="R56" s="22">
        <v>0</v>
      </c>
      <c r="S56" s="23">
        <v>46054</v>
      </c>
      <c r="T56" s="22">
        <v>0</v>
      </c>
      <c r="U56" s="24">
        <v>4</v>
      </c>
      <c r="V56" s="22">
        <v>59.5</v>
      </c>
      <c r="W56" s="17" t="s">
        <v>48</v>
      </c>
      <c r="X56" s="17" t="s">
        <v>49</v>
      </c>
      <c r="Y56" s="17" t="s">
        <v>36</v>
      </c>
      <c r="Z56" s="17" t="s">
        <v>9</v>
      </c>
      <c r="AA56" s="17" t="s">
        <v>50</v>
      </c>
      <c r="AB56" s="17" t="s">
        <v>51</v>
      </c>
      <c r="AC56" s="17" t="s">
        <v>38</v>
      </c>
      <c r="AD56" s="7" t="str">
        <f t="shared" si="0"/>
        <v/>
      </c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</row>
    <row r="57" spans="1:49" s="30" customFormat="1" ht="35.1" customHeight="1" x14ac:dyDescent="0.2">
      <c r="A57" s="9" t="s">
        <v>133</v>
      </c>
      <c r="B57" s="10">
        <v>46072</v>
      </c>
      <c r="C57" s="10">
        <v>46072</v>
      </c>
      <c r="D57" s="11" t="s">
        <v>177</v>
      </c>
      <c r="E57" s="12">
        <v>0.875</v>
      </c>
      <c r="F57" s="12">
        <v>0.91666666666666663</v>
      </c>
      <c r="G57" s="12">
        <v>4.1666666666666664E-2</v>
      </c>
      <c r="H57" s="9" t="s">
        <v>134</v>
      </c>
      <c r="I57" s="13"/>
      <c r="J57" s="9" t="s">
        <v>41</v>
      </c>
      <c r="K57" s="9"/>
      <c r="L57" s="14">
        <v>1</v>
      </c>
      <c r="M57" s="14">
        <v>1</v>
      </c>
      <c r="N57" s="9" t="s">
        <v>33</v>
      </c>
      <c r="O57" s="9"/>
      <c r="P57" s="16">
        <v>0</v>
      </c>
      <c r="Q57" s="14"/>
      <c r="R57" s="16">
        <v>0</v>
      </c>
      <c r="S57" s="9">
        <v>46054</v>
      </c>
      <c r="T57" s="16">
        <v>0</v>
      </c>
      <c r="U57" s="14">
        <v>2</v>
      </c>
      <c r="V57" s="16">
        <v>0</v>
      </c>
      <c r="W57" s="9" t="s">
        <v>34</v>
      </c>
      <c r="X57" s="9" t="s">
        <v>42</v>
      </c>
      <c r="Y57" s="9" t="s">
        <v>36</v>
      </c>
      <c r="Z57" s="9" t="s">
        <v>43</v>
      </c>
      <c r="AA57" s="9" t="s">
        <v>37</v>
      </c>
      <c r="AB57" s="9" t="s">
        <v>37</v>
      </c>
      <c r="AC57" s="9" t="s">
        <v>38</v>
      </c>
      <c r="AD57" s="7" t="str">
        <f t="shared" si="0"/>
        <v/>
      </c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</row>
    <row r="58" spans="1:49" s="30" customFormat="1" ht="35.1" customHeight="1" x14ac:dyDescent="0.2">
      <c r="A58" s="9" t="s">
        <v>133</v>
      </c>
      <c r="B58" s="10">
        <v>46072</v>
      </c>
      <c r="C58" s="10">
        <v>46072</v>
      </c>
      <c r="D58" s="11" t="s">
        <v>177</v>
      </c>
      <c r="E58" s="12">
        <v>0.91666666666666663</v>
      </c>
      <c r="F58" s="12">
        <v>0.97916666666666663</v>
      </c>
      <c r="G58" s="12">
        <v>6.25E-2</v>
      </c>
      <c r="H58" s="9" t="s">
        <v>187</v>
      </c>
      <c r="I58" s="13"/>
      <c r="J58" s="9" t="s">
        <v>41</v>
      </c>
      <c r="K58" s="9"/>
      <c r="L58" s="14">
        <v>1</v>
      </c>
      <c r="M58" s="14">
        <v>1</v>
      </c>
      <c r="N58" s="9" t="s">
        <v>33</v>
      </c>
      <c r="O58" s="9"/>
      <c r="P58" s="16">
        <v>0</v>
      </c>
      <c r="Q58" s="14"/>
      <c r="R58" s="16">
        <v>0</v>
      </c>
      <c r="S58" s="9">
        <v>46054</v>
      </c>
      <c r="T58" s="16">
        <v>0</v>
      </c>
      <c r="U58" s="14">
        <v>2</v>
      </c>
      <c r="V58" s="16">
        <v>0</v>
      </c>
      <c r="W58" s="9" t="s">
        <v>34</v>
      </c>
      <c r="X58" s="9" t="s">
        <v>42</v>
      </c>
      <c r="Y58" s="9" t="s">
        <v>36</v>
      </c>
      <c r="Z58" s="9" t="s">
        <v>43</v>
      </c>
      <c r="AA58" s="9" t="s">
        <v>37</v>
      </c>
      <c r="AB58" s="9" t="s">
        <v>37</v>
      </c>
      <c r="AC58" s="9" t="s">
        <v>38</v>
      </c>
      <c r="AD58" s="7" t="str">
        <f t="shared" si="0"/>
        <v/>
      </c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</row>
    <row r="59" spans="1:49" s="30" customFormat="1" ht="35.1" customHeight="1" x14ac:dyDescent="0.25">
      <c r="A59" s="17" t="s">
        <v>44</v>
      </c>
      <c r="B59" s="18">
        <v>46072</v>
      </c>
      <c r="C59" s="18">
        <v>46072</v>
      </c>
      <c r="D59" s="17" t="s">
        <v>177</v>
      </c>
      <c r="E59" s="19">
        <v>0.25</v>
      </c>
      <c r="F59" s="19">
        <v>0.99930555555555556</v>
      </c>
      <c r="G59" s="19">
        <v>1.7361111111111109E-4</v>
      </c>
      <c r="H59" s="17" t="s">
        <v>55</v>
      </c>
      <c r="I59" s="20">
        <v>0.92347222222222225</v>
      </c>
      <c r="J59" s="17" t="s">
        <v>41</v>
      </c>
      <c r="K59" s="17" t="s">
        <v>187</v>
      </c>
      <c r="L59" s="21">
        <v>1</v>
      </c>
      <c r="M59" s="21">
        <v>66852</v>
      </c>
      <c r="N59" s="17" t="s">
        <v>46</v>
      </c>
      <c r="O59" s="21" t="s">
        <v>47</v>
      </c>
      <c r="P59" s="22">
        <v>0</v>
      </c>
      <c r="Q59" s="21"/>
      <c r="R59" s="22">
        <v>0</v>
      </c>
      <c r="S59" s="23">
        <v>46054</v>
      </c>
      <c r="T59" s="22">
        <v>0</v>
      </c>
      <c r="U59" s="24">
        <v>4</v>
      </c>
      <c r="V59" s="22">
        <v>0</v>
      </c>
      <c r="W59" s="17" t="s">
        <v>48</v>
      </c>
      <c r="X59" s="17" t="s">
        <v>49</v>
      </c>
      <c r="Y59" s="17" t="s">
        <v>36</v>
      </c>
      <c r="Z59" s="17" t="s">
        <v>9</v>
      </c>
      <c r="AA59" s="17" t="s">
        <v>50</v>
      </c>
      <c r="AB59" s="17" t="s">
        <v>51</v>
      </c>
      <c r="AC59" s="17" t="s">
        <v>38</v>
      </c>
      <c r="AD59" s="7" t="str">
        <f t="shared" si="0"/>
        <v/>
      </c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</row>
    <row r="60" spans="1:49" s="30" customFormat="1" ht="35.1" customHeight="1" x14ac:dyDescent="0.25">
      <c r="A60" s="17" t="s">
        <v>125</v>
      </c>
      <c r="B60" s="18">
        <v>46072</v>
      </c>
      <c r="C60" s="18">
        <v>46072</v>
      </c>
      <c r="D60" s="17" t="s">
        <v>177</v>
      </c>
      <c r="E60" s="19">
        <v>0.79166666666666663</v>
      </c>
      <c r="F60" s="19">
        <v>0.99930555555555556</v>
      </c>
      <c r="G60" s="19">
        <v>1.7361111111111109E-4</v>
      </c>
      <c r="H60" s="17" t="s">
        <v>161</v>
      </c>
      <c r="I60" s="20">
        <v>0.93204861111111115</v>
      </c>
      <c r="J60" s="17" t="s">
        <v>185</v>
      </c>
      <c r="K60" s="17" t="s">
        <v>187</v>
      </c>
      <c r="L60" s="21">
        <v>1</v>
      </c>
      <c r="M60" s="21">
        <v>71283</v>
      </c>
      <c r="N60" s="17" t="s">
        <v>46</v>
      </c>
      <c r="O60" s="21" t="s">
        <v>38</v>
      </c>
      <c r="P60" s="22">
        <v>0</v>
      </c>
      <c r="Q60" s="21"/>
      <c r="R60" s="22">
        <v>0</v>
      </c>
      <c r="S60" s="23">
        <v>46072</v>
      </c>
      <c r="T60" s="22">
        <v>0</v>
      </c>
      <c r="U60" s="24">
        <v>4</v>
      </c>
      <c r="V60" s="22">
        <v>0</v>
      </c>
      <c r="W60" s="17" t="s">
        <v>48</v>
      </c>
      <c r="X60" s="17" t="s">
        <v>49</v>
      </c>
      <c r="Y60" s="17" t="s">
        <v>87</v>
      </c>
      <c r="Z60" s="17" t="s">
        <v>9</v>
      </c>
      <c r="AA60" s="17" t="s">
        <v>50</v>
      </c>
      <c r="AB60" s="17" t="s">
        <v>127</v>
      </c>
      <c r="AC60" s="17" t="s">
        <v>38</v>
      </c>
      <c r="AD60" s="7" t="str">
        <f t="shared" si="0"/>
        <v/>
      </c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</row>
    <row r="61" spans="1:49" s="30" customFormat="1" ht="35.1" customHeight="1" x14ac:dyDescent="0.2">
      <c r="A61" s="17" t="s">
        <v>52</v>
      </c>
      <c r="B61" s="18">
        <v>46072</v>
      </c>
      <c r="C61" s="18">
        <v>46072</v>
      </c>
      <c r="D61" s="17" t="s">
        <v>177</v>
      </c>
      <c r="E61" s="19">
        <v>0.25</v>
      </c>
      <c r="F61" s="19">
        <v>0.99930555555555556</v>
      </c>
      <c r="G61" s="19">
        <v>3.4722222222222218E-4</v>
      </c>
      <c r="H61" s="17" t="s">
        <v>53</v>
      </c>
      <c r="I61" s="20">
        <v>0.93239583333333331</v>
      </c>
      <c r="J61" s="17" t="s">
        <v>41</v>
      </c>
      <c r="K61" s="17" t="s">
        <v>187</v>
      </c>
      <c r="L61" s="21">
        <v>1</v>
      </c>
      <c r="M61" s="21">
        <v>70964</v>
      </c>
      <c r="N61" s="17" t="s">
        <v>46</v>
      </c>
      <c r="O61" s="21" t="str">
        <f>AC61</f>
        <v>SFO</v>
      </c>
      <c r="P61" s="22">
        <v>0</v>
      </c>
      <c r="Q61" s="21"/>
      <c r="R61" s="22">
        <v>0</v>
      </c>
      <c r="S61" s="23">
        <v>46054</v>
      </c>
      <c r="T61" s="22">
        <v>0</v>
      </c>
      <c r="U61" s="24">
        <v>4</v>
      </c>
      <c r="V61" s="22">
        <v>0</v>
      </c>
      <c r="W61" s="17" t="s">
        <v>48</v>
      </c>
      <c r="X61" s="17" t="s">
        <v>49</v>
      </c>
      <c r="Y61" s="17" t="s">
        <v>36</v>
      </c>
      <c r="Z61" s="17" t="s">
        <v>9</v>
      </c>
      <c r="AA61" s="17" t="s">
        <v>50</v>
      </c>
      <c r="AB61" s="17" t="s">
        <v>54</v>
      </c>
      <c r="AC61" s="17" t="s">
        <v>38</v>
      </c>
      <c r="AD61" s="7" t="str">
        <f t="shared" si="0"/>
        <v/>
      </c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</row>
    <row r="62" spans="1:49" s="30" customFormat="1" ht="35.1" customHeight="1" x14ac:dyDescent="0.25">
      <c r="A62" s="9" t="s">
        <v>39</v>
      </c>
      <c r="B62" s="10">
        <v>46072</v>
      </c>
      <c r="C62" s="10">
        <v>46072</v>
      </c>
      <c r="D62" s="11" t="s">
        <v>177</v>
      </c>
      <c r="E62" s="12">
        <v>0.97916666666666663</v>
      </c>
      <c r="F62" s="12">
        <v>1</v>
      </c>
      <c r="G62" s="12">
        <v>2.0833333333333332E-2</v>
      </c>
      <c r="H62" s="9" t="s">
        <v>136</v>
      </c>
      <c r="I62" s="13"/>
      <c r="J62" s="9" t="s">
        <v>123</v>
      </c>
      <c r="K62" s="9"/>
      <c r="L62" s="14">
        <v>1</v>
      </c>
      <c r="M62" s="14">
        <v>1</v>
      </c>
      <c r="N62" s="9" t="s">
        <v>33</v>
      </c>
      <c r="O62" s="9"/>
      <c r="P62" s="16">
        <v>0</v>
      </c>
      <c r="Q62" s="14"/>
      <c r="R62" s="16">
        <v>0</v>
      </c>
      <c r="S62" s="9">
        <v>46054</v>
      </c>
      <c r="T62" s="16">
        <v>0</v>
      </c>
      <c r="U62" s="14">
        <v>2</v>
      </c>
      <c r="V62" s="16">
        <v>0</v>
      </c>
      <c r="W62" s="9" t="s">
        <v>34</v>
      </c>
      <c r="X62" s="9" t="s">
        <v>42</v>
      </c>
      <c r="Y62" s="9" t="s">
        <v>36</v>
      </c>
      <c r="Z62" s="9" t="s">
        <v>43</v>
      </c>
      <c r="AA62" s="9" t="s">
        <v>37</v>
      </c>
      <c r="AB62" s="9" t="s">
        <v>37</v>
      </c>
      <c r="AC62" s="9" t="s">
        <v>38</v>
      </c>
      <c r="AD62" s="7" t="str">
        <f t="shared" si="0"/>
        <v/>
      </c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</row>
    <row r="63" spans="1:49" s="30" customFormat="1" ht="35.1" customHeight="1" x14ac:dyDescent="0.2">
      <c r="A63" s="17" t="s">
        <v>44</v>
      </c>
      <c r="B63" s="18">
        <v>46072</v>
      </c>
      <c r="C63" s="18">
        <v>46072</v>
      </c>
      <c r="D63" s="17" t="s">
        <v>177</v>
      </c>
      <c r="E63" s="19">
        <v>0.79166666666666663</v>
      </c>
      <c r="F63" s="19">
        <v>0.99930555555555556</v>
      </c>
      <c r="G63" s="19">
        <v>1.6203703703703701E-4</v>
      </c>
      <c r="H63" s="17" t="s">
        <v>129</v>
      </c>
      <c r="I63" s="20">
        <v>0.99836805555555552</v>
      </c>
      <c r="J63" s="17" t="s">
        <v>123</v>
      </c>
      <c r="K63" s="17" t="s">
        <v>136</v>
      </c>
      <c r="L63" s="21">
        <v>1</v>
      </c>
      <c r="M63" s="21">
        <v>66849</v>
      </c>
      <c r="N63" s="17" t="s">
        <v>58</v>
      </c>
      <c r="O63" s="21" t="s">
        <v>47</v>
      </c>
      <c r="P63" s="22">
        <v>0</v>
      </c>
      <c r="Q63" s="21"/>
      <c r="R63" s="22">
        <v>0</v>
      </c>
      <c r="S63" s="23">
        <v>46054</v>
      </c>
      <c r="T63" s="22">
        <v>0</v>
      </c>
      <c r="U63" s="24">
        <v>4</v>
      </c>
      <c r="V63" s="22">
        <v>59.5</v>
      </c>
      <c r="W63" s="17" t="s">
        <v>48</v>
      </c>
      <c r="X63" s="17" t="s">
        <v>49</v>
      </c>
      <c r="Y63" s="17" t="s">
        <v>36</v>
      </c>
      <c r="Z63" s="17" t="s">
        <v>9</v>
      </c>
      <c r="AA63" s="17" t="s">
        <v>50</v>
      </c>
      <c r="AB63" s="17" t="s">
        <v>51</v>
      </c>
      <c r="AC63" s="17" t="s">
        <v>38</v>
      </c>
      <c r="AD63" s="7" t="str">
        <f t="shared" si="0"/>
        <v/>
      </c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</row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63" xr:uid="{D8002233-7EB2-4D60-8A20-F032840B89A4}"/>
  <sortState xmlns:xlrd2="http://schemas.microsoft.com/office/spreadsheetml/2017/richdata2" ref="A2:AD326">
    <sortCondition sortBy="cellColor" ref="E1:E500" dxfId="20"/>
  </sortState>
  <conditionalFormatting sqref="AD1:AD63">
    <cfRule type="cellIs" dxfId="19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0" customFormat="1" ht="35.1" customHeight="1" x14ac:dyDescent="0.25">
      <c r="A2" s="9" t="s">
        <v>29</v>
      </c>
      <c r="B2" s="10">
        <v>46073</v>
      </c>
      <c r="C2" s="10">
        <v>46073</v>
      </c>
      <c r="D2" s="11" t="s">
        <v>189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54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30" customFormat="1" ht="35.1" customHeight="1" x14ac:dyDescent="0.2">
      <c r="A3" s="9" t="s">
        <v>39</v>
      </c>
      <c r="B3" s="10">
        <v>46073</v>
      </c>
      <c r="C3" s="10">
        <v>46073</v>
      </c>
      <c r="D3" s="11" t="s">
        <v>189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0" customFormat="1" ht="35.1" customHeight="1" x14ac:dyDescent="0.2">
      <c r="A4" s="17" t="s">
        <v>52</v>
      </c>
      <c r="B4" s="18">
        <v>46073</v>
      </c>
      <c r="C4" s="18">
        <v>46073</v>
      </c>
      <c r="D4" s="17" t="s">
        <v>189</v>
      </c>
      <c r="E4" s="19">
        <v>0.25</v>
      </c>
      <c r="F4" s="19">
        <v>0.99930555555555556</v>
      </c>
      <c r="G4" s="19">
        <v>3.4722222222222218E-4</v>
      </c>
      <c r="H4" s="17" t="s">
        <v>53</v>
      </c>
      <c r="I4" s="20">
        <v>0.27331018518518518</v>
      </c>
      <c r="J4" s="17" t="s">
        <v>41</v>
      </c>
      <c r="K4" s="17" t="s">
        <v>40</v>
      </c>
      <c r="L4" s="21">
        <v>1</v>
      </c>
      <c r="M4" s="21">
        <v>70964</v>
      </c>
      <c r="N4" s="17" t="s">
        <v>46</v>
      </c>
      <c r="O4" s="21" t="str">
        <f>AC4</f>
        <v>SFO</v>
      </c>
      <c r="P4" s="22">
        <v>0</v>
      </c>
      <c r="Q4" s="21"/>
      <c r="R4" s="22">
        <v>0</v>
      </c>
      <c r="S4" s="23">
        <v>46054</v>
      </c>
      <c r="T4" s="22">
        <v>0</v>
      </c>
      <c r="U4" s="24">
        <v>4</v>
      </c>
      <c r="V4" s="22">
        <v>0</v>
      </c>
      <c r="W4" s="17" t="s">
        <v>48</v>
      </c>
      <c r="X4" s="17" t="s">
        <v>49</v>
      </c>
      <c r="Y4" s="17" t="s">
        <v>36</v>
      </c>
      <c r="Z4" s="17" t="s">
        <v>9</v>
      </c>
      <c r="AA4" s="17" t="s">
        <v>50</v>
      </c>
      <c r="AB4" s="17" t="s">
        <v>54</v>
      </c>
      <c r="AC4" s="17" t="s">
        <v>38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0" customFormat="1" ht="35.1" customHeight="1" x14ac:dyDescent="0.25">
      <c r="A5" s="9" t="s">
        <v>61</v>
      </c>
      <c r="B5" s="10">
        <v>46073</v>
      </c>
      <c r="C5" s="10">
        <v>46073</v>
      </c>
      <c r="D5" s="11" t="s">
        <v>189</v>
      </c>
      <c r="E5" s="12">
        <v>0.29166666666666669</v>
      </c>
      <c r="F5" s="12">
        <v>0.3125</v>
      </c>
      <c r="G5" s="12">
        <v>2.0833333333333332E-2</v>
      </c>
      <c r="H5" s="9" t="s">
        <v>190</v>
      </c>
      <c r="I5" s="13" t="s">
        <v>179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</row>
    <row r="6" spans="1:49" s="30" customFormat="1" ht="35.1" customHeight="1" x14ac:dyDescent="0.2">
      <c r="A6" s="9" t="s">
        <v>61</v>
      </c>
      <c r="B6" s="10">
        <v>46073</v>
      </c>
      <c r="C6" s="10">
        <v>46073</v>
      </c>
      <c r="D6" s="11" t="s">
        <v>189</v>
      </c>
      <c r="E6" s="12">
        <v>0.3125</v>
      </c>
      <c r="F6" s="12">
        <v>0.33333333333333331</v>
      </c>
      <c r="G6" s="12">
        <v>2.0833333333333332E-2</v>
      </c>
      <c r="H6" s="9" t="s">
        <v>190</v>
      </c>
      <c r="I6" s="13" t="s">
        <v>179</v>
      </c>
      <c r="J6" s="9" t="s">
        <v>41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0" customFormat="1" ht="35.1" customHeight="1" x14ac:dyDescent="0.25">
      <c r="A7" s="9" t="s">
        <v>64</v>
      </c>
      <c r="B7" s="10">
        <v>46073</v>
      </c>
      <c r="C7" s="10">
        <v>46073</v>
      </c>
      <c r="D7" s="11" t="s">
        <v>189</v>
      </c>
      <c r="E7" s="12">
        <v>0.33333333333333331</v>
      </c>
      <c r="F7" s="12">
        <v>0.375</v>
      </c>
      <c r="G7" s="12">
        <v>4.1666666666666664E-2</v>
      </c>
      <c r="H7" s="9" t="s">
        <v>65</v>
      </c>
      <c r="I7" s="13"/>
      <c r="J7" s="9" t="s">
        <v>66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30" customFormat="1" ht="35.1" customHeight="1" x14ac:dyDescent="0.2">
      <c r="A8" s="9" t="s">
        <v>64</v>
      </c>
      <c r="B8" s="10">
        <v>46073</v>
      </c>
      <c r="C8" s="10">
        <v>46073</v>
      </c>
      <c r="D8" s="11" t="s">
        <v>189</v>
      </c>
      <c r="E8" s="12">
        <v>0.375</v>
      </c>
      <c r="F8" s="12">
        <v>0.41666666666666669</v>
      </c>
      <c r="G8" s="12">
        <v>4.1666666666666664E-2</v>
      </c>
      <c r="H8" s="9" t="s">
        <v>68</v>
      </c>
      <c r="I8" s="13"/>
      <c r="J8" s="9" t="s">
        <v>66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0" customFormat="1" ht="35.1" customHeight="1" x14ac:dyDescent="0.2">
      <c r="A9" s="9" t="s">
        <v>69</v>
      </c>
      <c r="B9" s="10">
        <v>46073</v>
      </c>
      <c r="C9" s="10">
        <v>46073</v>
      </c>
      <c r="D9" s="11" t="s">
        <v>189</v>
      </c>
      <c r="E9" s="12">
        <v>0.41666666666666669</v>
      </c>
      <c r="F9" s="12">
        <v>0.45833333333333331</v>
      </c>
      <c r="G9" s="12">
        <v>4.1666666666666664E-2</v>
      </c>
      <c r="H9" s="9" t="s">
        <v>70</v>
      </c>
      <c r="I9" s="13"/>
      <c r="J9" s="9" t="s">
        <v>71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2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0" customFormat="1" ht="35.1" customHeight="1" x14ac:dyDescent="0.25">
      <c r="A10" s="17" t="s">
        <v>69</v>
      </c>
      <c r="B10" s="18">
        <v>46073</v>
      </c>
      <c r="C10" s="18">
        <v>46073</v>
      </c>
      <c r="D10" s="17" t="s">
        <v>189</v>
      </c>
      <c r="E10" s="19">
        <v>0.41666666666666669</v>
      </c>
      <c r="F10" s="19">
        <v>0.45833333333333331</v>
      </c>
      <c r="G10" s="19">
        <v>3.4722222222222224E-4</v>
      </c>
      <c r="H10" s="17" t="s">
        <v>191</v>
      </c>
      <c r="I10" s="20">
        <v>0.42300925925925925</v>
      </c>
      <c r="J10" s="17" t="s">
        <v>71</v>
      </c>
      <c r="K10" s="17" t="s">
        <v>69</v>
      </c>
      <c r="L10" s="21">
        <v>1</v>
      </c>
      <c r="M10" s="21">
        <v>3</v>
      </c>
      <c r="N10" s="17" t="s">
        <v>58</v>
      </c>
      <c r="O10" s="21"/>
      <c r="P10" s="22">
        <v>0</v>
      </c>
      <c r="Q10" s="21"/>
      <c r="R10" s="22">
        <v>0</v>
      </c>
      <c r="S10" s="23">
        <v>46054</v>
      </c>
      <c r="T10" s="22">
        <v>0</v>
      </c>
      <c r="U10" s="24">
        <v>4</v>
      </c>
      <c r="V10" s="22">
        <v>0</v>
      </c>
      <c r="W10" s="17" t="s">
        <v>34</v>
      </c>
      <c r="X10" s="17" t="s">
        <v>35</v>
      </c>
      <c r="Y10" s="17" t="s">
        <v>36</v>
      </c>
      <c r="Z10" s="17" t="s">
        <v>73</v>
      </c>
      <c r="AA10" s="17" t="s">
        <v>50</v>
      </c>
      <c r="AB10" s="17">
        <v>1109</v>
      </c>
      <c r="AC10" s="17" t="s">
        <v>38</v>
      </c>
      <c r="AD10" s="7" t="str">
        <f>IF(N10="PRG","",IF(I10&gt;=E10,IF(I10&lt;=F10,"","NO"),"NO"))</f>
        <v/>
      </c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s="30" customFormat="1" ht="35.1" customHeight="1" x14ac:dyDescent="0.25">
      <c r="A11" s="17" t="s">
        <v>69</v>
      </c>
      <c r="B11" s="18">
        <v>46073</v>
      </c>
      <c r="C11" s="18">
        <v>46073</v>
      </c>
      <c r="D11" s="17" t="s">
        <v>189</v>
      </c>
      <c r="E11" s="19">
        <v>0.41666666666666669</v>
      </c>
      <c r="F11" s="19">
        <v>0.45833333333333331</v>
      </c>
      <c r="G11" s="19">
        <v>3.4722222222222224E-4</v>
      </c>
      <c r="H11" s="17" t="s">
        <v>192</v>
      </c>
      <c r="I11" s="20">
        <v>0.42335648148148147</v>
      </c>
      <c r="J11" s="17" t="s">
        <v>71</v>
      </c>
      <c r="K11" s="17" t="s">
        <v>69</v>
      </c>
      <c r="L11" s="21">
        <v>1</v>
      </c>
      <c r="M11" s="21">
        <v>3</v>
      </c>
      <c r="N11" s="17" t="s">
        <v>58</v>
      </c>
      <c r="O11" s="21"/>
      <c r="P11" s="22">
        <v>0</v>
      </c>
      <c r="Q11" s="21"/>
      <c r="R11" s="22">
        <v>0</v>
      </c>
      <c r="S11" s="23">
        <v>46054</v>
      </c>
      <c r="T11" s="22">
        <v>0</v>
      </c>
      <c r="U11" s="24">
        <v>4</v>
      </c>
      <c r="V11" s="22">
        <v>0</v>
      </c>
      <c r="W11" s="17" t="s">
        <v>34</v>
      </c>
      <c r="X11" s="17" t="s">
        <v>35</v>
      </c>
      <c r="Y11" s="17" t="s">
        <v>36</v>
      </c>
      <c r="Z11" s="17" t="s">
        <v>73</v>
      </c>
      <c r="AA11" s="17" t="s">
        <v>50</v>
      </c>
      <c r="AB11" s="17">
        <v>1109</v>
      </c>
      <c r="AC11" s="17" t="s">
        <v>38</v>
      </c>
      <c r="AD11" s="7" t="str">
        <f>IF(N11="PRG","",IF(I11&gt;=E11,IF(I11&lt;=F11,"","NO"),"NO"))</f>
        <v/>
      </c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</row>
    <row r="12" spans="1:49" s="30" customFormat="1" ht="35.1" customHeight="1" x14ac:dyDescent="0.2">
      <c r="A12" s="17" t="s">
        <v>69</v>
      </c>
      <c r="B12" s="18">
        <v>46073</v>
      </c>
      <c r="C12" s="18">
        <v>46073</v>
      </c>
      <c r="D12" s="17" t="s">
        <v>189</v>
      </c>
      <c r="E12" s="19">
        <v>0.41666666666666669</v>
      </c>
      <c r="F12" s="19">
        <v>0.45833333333333331</v>
      </c>
      <c r="G12" s="19">
        <v>3.4722222222222224E-4</v>
      </c>
      <c r="H12" s="17" t="s">
        <v>72</v>
      </c>
      <c r="I12" s="20">
        <v>0.42370370370370369</v>
      </c>
      <c r="J12" s="17" t="s">
        <v>71</v>
      </c>
      <c r="K12" s="17" t="s">
        <v>69</v>
      </c>
      <c r="L12" s="21">
        <v>1</v>
      </c>
      <c r="M12" s="21">
        <v>3</v>
      </c>
      <c r="N12" s="17" t="s">
        <v>58</v>
      </c>
      <c r="O12" s="21"/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34</v>
      </c>
      <c r="X12" s="17" t="s">
        <v>35</v>
      </c>
      <c r="Y12" s="17" t="s">
        <v>36</v>
      </c>
      <c r="Z12" s="17" t="s">
        <v>73</v>
      </c>
      <c r="AA12" s="17" t="s">
        <v>50</v>
      </c>
      <c r="AB12" s="17">
        <v>1109</v>
      </c>
      <c r="AC12" s="17" t="s">
        <v>38</v>
      </c>
      <c r="AD12" s="7" t="str">
        <f>IF(N12="PRG","",IF(I12&gt;=E12,IF(I12&lt;=F12,"","NO"),"NO"))</f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0" customFormat="1" ht="35.1" customHeight="1" x14ac:dyDescent="0.2">
      <c r="A13" s="9" t="s">
        <v>76</v>
      </c>
      <c r="B13" s="10">
        <v>46073</v>
      </c>
      <c r="C13" s="10">
        <v>46073</v>
      </c>
      <c r="D13" s="11" t="s">
        <v>189</v>
      </c>
      <c r="E13" s="12">
        <v>0.45833333333333331</v>
      </c>
      <c r="F13" s="12">
        <v>0.47916666666666669</v>
      </c>
      <c r="G13" s="12">
        <v>2.0833333333333332E-2</v>
      </c>
      <c r="H13" s="9" t="s">
        <v>150</v>
      </c>
      <c r="I13" s="13"/>
      <c r="J13" s="9" t="s">
        <v>81</v>
      </c>
      <c r="K13" s="9"/>
      <c r="L13" s="14">
        <v>1</v>
      </c>
      <c r="M13" s="14">
        <v>1</v>
      </c>
      <c r="N13" s="9" t="s">
        <v>33</v>
      </c>
      <c r="O13" s="9"/>
      <c r="P13" s="16">
        <v>0</v>
      </c>
      <c r="Q13" s="14"/>
      <c r="R13" s="16">
        <v>0</v>
      </c>
      <c r="S13" s="9">
        <v>46054</v>
      </c>
      <c r="T13" s="16">
        <v>0</v>
      </c>
      <c r="U13" s="14">
        <v>2</v>
      </c>
      <c r="V13" s="16">
        <v>0</v>
      </c>
      <c r="W13" s="9" t="s">
        <v>34</v>
      </c>
      <c r="X13" s="9" t="s">
        <v>42</v>
      </c>
      <c r="Y13" s="9" t="s">
        <v>36</v>
      </c>
      <c r="Z13" s="9" t="s">
        <v>43</v>
      </c>
      <c r="AA13" s="9" t="s">
        <v>37</v>
      </c>
      <c r="AB13" s="9" t="s">
        <v>37</v>
      </c>
      <c r="AC13" s="9" t="s">
        <v>38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0" customFormat="1" ht="35.1" customHeight="1" x14ac:dyDescent="0.2">
      <c r="A14" s="17" t="s">
        <v>92</v>
      </c>
      <c r="B14" s="18">
        <v>46073</v>
      </c>
      <c r="C14" s="18">
        <v>46073</v>
      </c>
      <c r="D14" s="17" t="s">
        <v>189</v>
      </c>
      <c r="E14" s="19">
        <v>0.45833333333333331</v>
      </c>
      <c r="F14" s="19">
        <v>0.47916666666666669</v>
      </c>
      <c r="G14" s="19">
        <v>1.7361111111111109E-4</v>
      </c>
      <c r="H14" s="17" t="s">
        <v>169</v>
      </c>
      <c r="I14" s="20">
        <v>0.47113425925925928</v>
      </c>
      <c r="J14" s="17" t="s">
        <v>81</v>
      </c>
      <c r="K14" s="17" t="s">
        <v>150</v>
      </c>
      <c r="L14" s="21">
        <v>1</v>
      </c>
      <c r="M14" s="21">
        <v>71244</v>
      </c>
      <c r="N14" s="17" t="s">
        <v>58</v>
      </c>
      <c r="O14" s="21" t="s">
        <v>170</v>
      </c>
      <c r="P14" s="22">
        <v>70</v>
      </c>
      <c r="Q14" s="21"/>
      <c r="R14" s="22">
        <v>70</v>
      </c>
      <c r="S14" s="23">
        <v>46073</v>
      </c>
      <c r="T14" s="22">
        <v>10.5</v>
      </c>
      <c r="U14" s="24">
        <v>4</v>
      </c>
      <c r="V14" s="22">
        <v>59.5</v>
      </c>
      <c r="W14" s="17" t="s">
        <v>48</v>
      </c>
      <c r="X14" s="17" t="s">
        <v>49</v>
      </c>
      <c r="Y14" s="17" t="s">
        <v>87</v>
      </c>
      <c r="Z14" s="17" t="s">
        <v>9</v>
      </c>
      <c r="AA14" s="17" t="s">
        <v>50</v>
      </c>
      <c r="AB14" s="17" t="s">
        <v>171</v>
      </c>
      <c r="AC14" s="17" t="s">
        <v>38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0" customFormat="1" ht="35.1" customHeight="1" x14ac:dyDescent="0.25">
      <c r="A15" s="17" t="s">
        <v>92</v>
      </c>
      <c r="B15" s="18">
        <v>46073</v>
      </c>
      <c r="C15" s="18">
        <v>46073</v>
      </c>
      <c r="D15" s="17" t="s">
        <v>189</v>
      </c>
      <c r="E15" s="19">
        <v>0.45833333333333331</v>
      </c>
      <c r="F15" s="19">
        <v>0.47916666666666669</v>
      </c>
      <c r="G15" s="19">
        <v>1.7361111111111109E-4</v>
      </c>
      <c r="H15" s="17" t="s">
        <v>93</v>
      </c>
      <c r="I15" s="20">
        <v>0.47749999999999998</v>
      </c>
      <c r="J15" s="17" t="s">
        <v>81</v>
      </c>
      <c r="K15" s="17" t="s">
        <v>150</v>
      </c>
      <c r="L15" s="21">
        <v>1</v>
      </c>
      <c r="M15" s="21">
        <v>71172</v>
      </c>
      <c r="N15" s="17" t="s">
        <v>58</v>
      </c>
      <c r="O15" s="21" t="s">
        <v>94</v>
      </c>
      <c r="P15" s="22">
        <v>70</v>
      </c>
      <c r="Q15" s="21"/>
      <c r="R15" s="22">
        <v>70</v>
      </c>
      <c r="S15" s="23">
        <v>46073</v>
      </c>
      <c r="T15" s="22">
        <v>10.5</v>
      </c>
      <c r="U15" s="24">
        <v>4</v>
      </c>
      <c r="V15" s="22">
        <v>59.5</v>
      </c>
      <c r="W15" s="17" t="s">
        <v>48</v>
      </c>
      <c r="X15" s="17" t="s">
        <v>49</v>
      </c>
      <c r="Y15" s="17" t="s">
        <v>87</v>
      </c>
      <c r="Z15" s="17" t="s">
        <v>9</v>
      </c>
      <c r="AA15" s="17" t="s">
        <v>50</v>
      </c>
      <c r="AB15" s="17" t="s">
        <v>95</v>
      </c>
      <c r="AC15" s="17" t="s">
        <v>38</v>
      </c>
      <c r="AD15" s="7" t="str">
        <f t="shared" si="0"/>
        <v/>
      </c>
      <c r="AE15" s="25"/>
      <c r="AF15" s="25"/>
      <c r="AG15" s="25"/>
      <c r="AH15" s="25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49" s="30" customFormat="1" ht="35.1" customHeight="1" x14ac:dyDescent="0.25">
      <c r="A16" s="17" t="s">
        <v>84</v>
      </c>
      <c r="B16" s="18">
        <v>46073</v>
      </c>
      <c r="C16" s="18">
        <v>46073</v>
      </c>
      <c r="D16" s="17" t="s">
        <v>189</v>
      </c>
      <c r="E16" s="19">
        <v>0.45833333333333331</v>
      </c>
      <c r="F16" s="19">
        <v>0.5</v>
      </c>
      <c r="G16" s="19">
        <v>3.4722222222222218E-4</v>
      </c>
      <c r="H16" s="17" t="s">
        <v>96</v>
      </c>
      <c r="I16" s="20">
        <v>0.47715277777777776</v>
      </c>
      <c r="J16" s="17" t="s">
        <v>81</v>
      </c>
      <c r="K16" s="17" t="s">
        <v>150</v>
      </c>
      <c r="L16" s="21">
        <v>1</v>
      </c>
      <c r="M16" s="21">
        <v>71445</v>
      </c>
      <c r="N16" s="17" t="s">
        <v>58</v>
      </c>
      <c r="O16" s="21" t="s">
        <v>86</v>
      </c>
      <c r="P16" s="22">
        <v>94.117647058823522</v>
      </c>
      <c r="Q16" s="21"/>
      <c r="R16" s="22">
        <v>94.117647058823522</v>
      </c>
      <c r="S16" s="23">
        <v>46073</v>
      </c>
      <c r="T16" s="22">
        <v>14.117647058823527</v>
      </c>
      <c r="U16" s="24">
        <v>4</v>
      </c>
      <c r="V16" s="22">
        <v>80</v>
      </c>
      <c r="W16" s="17" t="s">
        <v>48</v>
      </c>
      <c r="X16" s="17" t="s">
        <v>49</v>
      </c>
      <c r="Y16" s="17" t="s">
        <v>87</v>
      </c>
      <c r="Z16" s="17" t="s">
        <v>9</v>
      </c>
      <c r="AA16" s="17" t="s">
        <v>50</v>
      </c>
      <c r="AB16" s="17" t="s">
        <v>88</v>
      </c>
      <c r="AC16" s="17" t="s">
        <v>38</v>
      </c>
      <c r="AD16" s="7" t="str">
        <f t="shared" si="0"/>
        <v/>
      </c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30" customFormat="1" ht="35.1" customHeight="1" x14ac:dyDescent="0.25">
      <c r="A17" s="9" t="s">
        <v>76</v>
      </c>
      <c r="B17" s="10">
        <v>46073</v>
      </c>
      <c r="C17" s="10">
        <v>46073</v>
      </c>
      <c r="D17" s="11" t="s">
        <v>189</v>
      </c>
      <c r="E17" s="12">
        <v>0.47916666666666669</v>
      </c>
      <c r="F17" s="12">
        <v>0.5</v>
      </c>
      <c r="G17" s="12">
        <v>2.0833333333333332E-2</v>
      </c>
      <c r="H17" s="9" t="s">
        <v>193</v>
      </c>
      <c r="I17" s="13"/>
      <c r="J17" s="9" t="s">
        <v>81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5"/>
      <c r="AF17" s="25"/>
      <c r="AG17" s="25"/>
      <c r="AH17" s="25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</row>
    <row r="18" spans="1:49" s="30" customFormat="1" ht="35.1" customHeight="1" x14ac:dyDescent="0.25">
      <c r="A18" s="17" t="s">
        <v>79</v>
      </c>
      <c r="B18" s="18">
        <v>46073</v>
      </c>
      <c r="C18" s="18">
        <v>46073</v>
      </c>
      <c r="D18" s="17" t="s">
        <v>189</v>
      </c>
      <c r="E18" s="19">
        <v>0.47916666666666669</v>
      </c>
      <c r="F18" s="19">
        <v>0.5</v>
      </c>
      <c r="G18" s="19">
        <v>1.7361111111111109E-4</v>
      </c>
      <c r="H18" s="17" t="s">
        <v>80</v>
      </c>
      <c r="I18" s="20">
        <v>0.48741898148148149</v>
      </c>
      <c r="J18" s="17" t="s">
        <v>81</v>
      </c>
      <c r="K18" s="17" t="s">
        <v>137</v>
      </c>
      <c r="L18" s="21">
        <v>1</v>
      </c>
      <c r="M18" s="21">
        <v>70009</v>
      </c>
      <c r="N18" s="17" t="s">
        <v>58</v>
      </c>
      <c r="O18" s="21" t="s">
        <v>82</v>
      </c>
      <c r="P18" s="22">
        <v>64.709999999999994</v>
      </c>
      <c r="Q18" s="21"/>
      <c r="R18" s="22">
        <v>64.709999999999994</v>
      </c>
      <c r="S18" s="23">
        <v>46054</v>
      </c>
      <c r="T18" s="22">
        <v>9.7064999999999984</v>
      </c>
      <c r="U18" s="24">
        <v>4</v>
      </c>
      <c r="V18" s="22">
        <v>55.003499999999995</v>
      </c>
      <c r="W18" s="17" t="s">
        <v>48</v>
      </c>
      <c r="X18" s="17" t="s">
        <v>49</v>
      </c>
      <c r="Y18" s="17" t="s">
        <v>36</v>
      </c>
      <c r="Z18" s="17" t="s">
        <v>9</v>
      </c>
      <c r="AA18" s="17" t="s">
        <v>50</v>
      </c>
      <c r="AB18" s="17" t="s">
        <v>83</v>
      </c>
      <c r="AC18" s="17" t="s">
        <v>38</v>
      </c>
      <c r="AD18" s="7" t="str">
        <f t="shared" si="0"/>
        <v/>
      </c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</row>
    <row r="19" spans="1:49" s="30" customFormat="1" ht="35.1" customHeight="1" x14ac:dyDescent="0.2">
      <c r="A19" s="17" t="s">
        <v>92</v>
      </c>
      <c r="B19" s="18">
        <v>46073</v>
      </c>
      <c r="C19" s="18">
        <v>46073</v>
      </c>
      <c r="D19" s="17" t="s">
        <v>189</v>
      </c>
      <c r="E19" s="19">
        <v>0.47916666666666669</v>
      </c>
      <c r="F19" s="19">
        <v>0.5</v>
      </c>
      <c r="G19" s="19">
        <v>5.7870370370370373E-5</v>
      </c>
      <c r="H19" s="17" t="s">
        <v>153</v>
      </c>
      <c r="I19" s="20">
        <v>0.48736111111111113</v>
      </c>
      <c r="J19" s="17" t="s">
        <v>81</v>
      </c>
      <c r="K19" s="17" t="s">
        <v>137</v>
      </c>
      <c r="L19" s="21">
        <v>1</v>
      </c>
      <c r="M19" s="21">
        <v>71837</v>
      </c>
      <c r="N19" s="17" t="s">
        <v>58</v>
      </c>
      <c r="O19" s="21" t="s">
        <v>154</v>
      </c>
      <c r="P19" s="22">
        <v>41.025641025641029</v>
      </c>
      <c r="Q19" s="21"/>
      <c r="R19" s="22">
        <v>41.025641025641029</v>
      </c>
      <c r="S19" s="23">
        <v>46073</v>
      </c>
      <c r="T19" s="22">
        <v>6.1538461538461542</v>
      </c>
      <c r="U19" s="24">
        <v>4</v>
      </c>
      <c r="V19" s="22">
        <v>34.871794871794876</v>
      </c>
      <c r="W19" s="17" t="s">
        <v>48</v>
      </c>
      <c r="X19" s="17" t="s">
        <v>49</v>
      </c>
      <c r="Y19" s="17" t="s">
        <v>87</v>
      </c>
      <c r="Z19" s="17" t="s">
        <v>9</v>
      </c>
      <c r="AA19" s="17" t="s">
        <v>50</v>
      </c>
      <c r="AB19" s="17" t="s">
        <v>155</v>
      </c>
      <c r="AC19" s="17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0" customFormat="1" ht="35.1" customHeight="1" x14ac:dyDescent="0.2">
      <c r="A20" s="17" t="s">
        <v>92</v>
      </c>
      <c r="B20" s="18">
        <v>46073</v>
      </c>
      <c r="C20" s="18">
        <v>46073</v>
      </c>
      <c r="D20" s="17" t="s">
        <v>189</v>
      </c>
      <c r="E20" s="19">
        <v>0.47916666666666669</v>
      </c>
      <c r="F20" s="19">
        <v>0.5</v>
      </c>
      <c r="G20" s="19">
        <v>1.7361111111111109E-4</v>
      </c>
      <c r="H20" s="17" t="s">
        <v>169</v>
      </c>
      <c r="I20" s="20">
        <v>0.48898148148148146</v>
      </c>
      <c r="J20" s="17" t="s">
        <v>81</v>
      </c>
      <c r="K20" s="17" t="s">
        <v>137</v>
      </c>
      <c r="L20" s="21">
        <v>1</v>
      </c>
      <c r="M20" s="21">
        <v>71246</v>
      </c>
      <c r="N20" s="17" t="s">
        <v>58</v>
      </c>
      <c r="O20" s="21" t="s">
        <v>170</v>
      </c>
      <c r="P20" s="22">
        <v>70</v>
      </c>
      <c r="Q20" s="21"/>
      <c r="R20" s="22">
        <v>70</v>
      </c>
      <c r="S20" s="23">
        <v>46073</v>
      </c>
      <c r="T20" s="22">
        <v>10.5</v>
      </c>
      <c r="U20" s="24">
        <v>4</v>
      </c>
      <c r="V20" s="22">
        <v>59.5</v>
      </c>
      <c r="W20" s="17" t="s">
        <v>48</v>
      </c>
      <c r="X20" s="17" t="s">
        <v>49</v>
      </c>
      <c r="Y20" s="17" t="s">
        <v>87</v>
      </c>
      <c r="Z20" s="17" t="s">
        <v>9</v>
      </c>
      <c r="AA20" s="17" t="s">
        <v>50</v>
      </c>
      <c r="AB20" s="17" t="s">
        <v>171</v>
      </c>
      <c r="AC20" s="17" t="s">
        <v>38</v>
      </c>
      <c r="AD20" s="7" t="str">
        <f>IF(N20="PRG","",IF(I20&gt;=E20,IF(I20&lt;=F20,"","NO"),"NO"))</f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0" customFormat="1" ht="35.1" customHeight="1" x14ac:dyDescent="0.2">
      <c r="A21" s="17" t="s">
        <v>92</v>
      </c>
      <c r="B21" s="18">
        <v>46073</v>
      </c>
      <c r="C21" s="18">
        <v>46073</v>
      </c>
      <c r="D21" s="17" t="s">
        <v>189</v>
      </c>
      <c r="E21" s="19">
        <v>0.47916666666666669</v>
      </c>
      <c r="F21" s="19">
        <v>0.5</v>
      </c>
      <c r="G21" s="19">
        <v>1.7361111111111109E-4</v>
      </c>
      <c r="H21" s="17" t="s">
        <v>183</v>
      </c>
      <c r="I21" s="20">
        <v>0.49755787037037036</v>
      </c>
      <c r="J21" s="17" t="s">
        <v>81</v>
      </c>
      <c r="K21" s="17" t="s">
        <v>137</v>
      </c>
      <c r="L21" s="21">
        <v>1</v>
      </c>
      <c r="M21" s="21">
        <v>71178</v>
      </c>
      <c r="N21" s="17" t="s">
        <v>58</v>
      </c>
      <c r="O21" s="21" t="s">
        <v>94</v>
      </c>
      <c r="P21" s="22">
        <v>70</v>
      </c>
      <c r="Q21" s="21"/>
      <c r="R21" s="22">
        <v>70</v>
      </c>
      <c r="S21" s="23">
        <v>46073</v>
      </c>
      <c r="T21" s="22">
        <v>10.5</v>
      </c>
      <c r="U21" s="24">
        <v>4</v>
      </c>
      <c r="V21" s="22">
        <v>59.5</v>
      </c>
      <c r="W21" s="17" t="s">
        <v>48</v>
      </c>
      <c r="X21" s="17" t="s">
        <v>49</v>
      </c>
      <c r="Y21" s="17" t="s">
        <v>87</v>
      </c>
      <c r="Z21" s="17" t="s">
        <v>9</v>
      </c>
      <c r="AA21" s="17" t="s">
        <v>50</v>
      </c>
      <c r="AB21" s="17" t="s">
        <v>95</v>
      </c>
      <c r="AC21" s="17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0" customFormat="1" ht="35.1" customHeight="1" x14ac:dyDescent="0.25">
      <c r="A22" s="9" t="s">
        <v>99</v>
      </c>
      <c r="B22" s="10">
        <v>46073</v>
      </c>
      <c r="C22" s="10">
        <v>46073</v>
      </c>
      <c r="D22" s="11" t="s">
        <v>189</v>
      </c>
      <c r="E22" s="12">
        <v>0.5</v>
      </c>
      <c r="F22" s="12">
        <v>0.54166666666666663</v>
      </c>
      <c r="G22" s="12">
        <v>4.1666666666666664E-2</v>
      </c>
      <c r="H22" s="9" t="s">
        <v>100</v>
      </c>
      <c r="I22" s="13"/>
      <c r="J22" s="9" t="s">
        <v>81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46054</v>
      </c>
      <c r="T22" s="16">
        <v>0</v>
      </c>
      <c r="U22" s="14">
        <v>2</v>
      </c>
      <c r="V22" s="16">
        <v>0</v>
      </c>
      <c r="W22" s="9" t="s">
        <v>34</v>
      </c>
      <c r="X22" s="9" t="s">
        <v>42</v>
      </c>
      <c r="Y22" s="9" t="s">
        <v>36</v>
      </c>
      <c r="Z22" s="9" t="s">
        <v>43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</row>
    <row r="23" spans="1:49" s="30" customFormat="1" ht="35.1" customHeight="1" x14ac:dyDescent="0.2">
      <c r="A23" s="17" t="s">
        <v>92</v>
      </c>
      <c r="B23" s="18">
        <v>46073</v>
      </c>
      <c r="C23" s="18">
        <v>46073</v>
      </c>
      <c r="D23" s="17" t="s">
        <v>189</v>
      </c>
      <c r="E23" s="19">
        <v>0.5</v>
      </c>
      <c r="F23" s="19">
        <v>0.54166666666666663</v>
      </c>
      <c r="G23" s="19">
        <v>1.7361111111111109E-4</v>
      </c>
      <c r="H23" s="17" t="s">
        <v>93</v>
      </c>
      <c r="I23" s="20">
        <v>0.50717592592592597</v>
      </c>
      <c r="J23" s="17" t="s">
        <v>81</v>
      </c>
      <c r="K23" s="17" t="s">
        <v>138</v>
      </c>
      <c r="L23" s="21">
        <v>1</v>
      </c>
      <c r="M23" s="21">
        <v>71191</v>
      </c>
      <c r="N23" s="17" t="s">
        <v>58</v>
      </c>
      <c r="O23" s="21" t="s">
        <v>94</v>
      </c>
      <c r="P23" s="22">
        <v>70</v>
      </c>
      <c r="Q23" s="21"/>
      <c r="R23" s="22">
        <v>70</v>
      </c>
      <c r="S23" s="23">
        <v>46073</v>
      </c>
      <c r="T23" s="22">
        <v>10.5</v>
      </c>
      <c r="U23" s="24">
        <v>4</v>
      </c>
      <c r="V23" s="22">
        <v>59.5</v>
      </c>
      <c r="W23" s="17" t="s">
        <v>48</v>
      </c>
      <c r="X23" s="17" t="s">
        <v>49</v>
      </c>
      <c r="Y23" s="17" t="s">
        <v>87</v>
      </c>
      <c r="Z23" s="17" t="s">
        <v>9</v>
      </c>
      <c r="AA23" s="17" t="s">
        <v>50</v>
      </c>
      <c r="AB23" s="17" t="s">
        <v>95</v>
      </c>
      <c r="AC23" s="17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0" customFormat="1" ht="35.1" customHeight="1" x14ac:dyDescent="0.2">
      <c r="A24" s="17" t="s">
        <v>84</v>
      </c>
      <c r="B24" s="18">
        <v>46073</v>
      </c>
      <c r="C24" s="18">
        <v>46073</v>
      </c>
      <c r="D24" s="17" t="s">
        <v>189</v>
      </c>
      <c r="E24" s="19">
        <v>0.45833333333333331</v>
      </c>
      <c r="F24" s="19">
        <v>0.54166666666666663</v>
      </c>
      <c r="G24" s="19">
        <v>3.4722222222222218E-4</v>
      </c>
      <c r="H24" s="17" t="s">
        <v>85</v>
      </c>
      <c r="I24" s="20">
        <v>0.52399305555555553</v>
      </c>
      <c r="J24" s="17" t="s">
        <v>81</v>
      </c>
      <c r="K24" s="17" t="s">
        <v>138</v>
      </c>
      <c r="L24" s="21">
        <v>1</v>
      </c>
      <c r="M24" s="21">
        <v>71448</v>
      </c>
      <c r="N24" s="17" t="s">
        <v>46</v>
      </c>
      <c r="O24" s="21" t="s">
        <v>86</v>
      </c>
      <c r="P24" s="22">
        <v>0</v>
      </c>
      <c r="Q24" s="21"/>
      <c r="R24" s="22">
        <v>0</v>
      </c>
      <c r="S24" s="23">
        <v>46073</v>
      </c>
      <c r="T24" s="22">
        <v>0</v>
      </c>
      <c r="U24" s="24">
        <v>4</v>
      </c>
      <c r="V24" s="22">
        <v>0</v>
      </c>
      <c r="W24" s="17" t="s">
        <v>48</v>
      </c>
      <c r="X24" s="17" t="s">
        <v>49</v>
      </c>
      <c r="Y24" s="17" t="s">
        <v>87</v>
      </c>
      <c r="Z24" s="17" t="s">
        <v>9</v>
      </c>
      <c r="AA24" s="17" t="s">
        <v>50</v>
      </c>
      <c r="AB24" s="17" t="s">
        <v>88</v>
      </c>
      <c r="AC24" s="17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0" customFormat="1" ht="35.1" customHeight="1" x14ac:dyDescent="0.2">
      <c r="A25" s="17" t="s">
        <v>79</v>
      </c>
      <c r="B25" s="18">
        <v>46073</v>
      </c>
      <c r="C25" s="18">
        <v>46073</v>
      </c>
      <c r="D25" s="17" t="s">
        <v>189</v>
      </c>
      <c r="E25" s="19">
        <v>0.45833333333333331</v>
      </c>
      <c r="F25" s="19">
        <v>0.54166666666666663</v>
      </c>
      <c r="G25" s="19">
        <v>1.7361111111111109E-4</v>
      </c>
      <c r="H25" s="17" t="s">
        <v>91</v>
      </c>
      <c r="I25" s="20">
        <v>0.53506944444444449</v>
      </c>
      <c r="J25" s="17" t="s">
        <v>81</v>
      </c>
      <c r="K25" s="17" t="s">
        <v>138</v>
      </c>
      <c r="L25" s="21">
        <v>1</v>
      </c>
      <c r="M25" s="21">
        <v>70037</v>
      </c>
      <c r="N25" s="17" t="s">
        <v>46</v>
      </c>
      <c r="O25" s="21" t="s">
        <v>82</v>
      </c>
      <c r="P25" s="22">
        <v>0</v>
      </c>
      <c r="Q25" s="21"/>
      <c r="R25" s="22">
        <v>0</v>
      </c>
      <c r="S25" s="23">
        <v>46054</v>
      </c>
      <c r="T25" s="22">
        <v>0</v>
      </c>
      <c r="U25" s="24">
        <v>4</v>
      </c>
      <c r="V25" s="22">
        <v>0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83</v>
      </c>
      <c r="AC25" s="17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0" customFormat="1" ht="35.1" customHeight="1" x14ac:dyDescent="0.25">
      <c r="A26" s="17" t="s">
        <v>92</v>
      </c>
      <c r="B26" s="18">
        <v>46073</v>
      </c>
      <c r="C26" s="18">
        <v>46073</v>
      </c>
      <c r="D26" s="17" t="s">
        <v>189</v>
      </c>
      <c r="E26" s="19">
        <v>0.5</v>
      </c>
      <c r="F26" s="19">
        <v>0.54166666666666663</v>
      </c>
      <c r="G26" s="19">
        <v>1.7361111111111109E-4</v>
      </c>
      <c r="H26" s="17" t="s">
        <v>169</v>
      </c>
      <c r="I26" s="20">
        <v>0.54085648148148147</v>
      </c>
      <c r="J26" s="17" t="s">
        <v>81</v>
      </c>
      <c r="K26" s="17" t="s">
        <v>138</v>
      </c>
      <c r="L26" s="21">
        <v>1</v>
      </c>
      <c r="M26" s="21">
        <v>71249</v>
      </c>
      <c r="N26" s="17" t="s">
        <v>58</v>
      </c>
      <c r="O26" s="21" t="s">
        <v>170</v>
      </c>
      <c r="P26" s="22">
        <v>70</v>
      </c>
      <c r="Q26" s="21"/>
      <c r="R26" s="22">
        <v>70</v>
      </c>
      <c r="S26" s="23">
        <v>46073</v>
      </c>
      <c r="T26" s="22">
        <v>10.5</v>
      </c>
      <c r="U26" s="24">
        <v>4</v>
      </c>
      <c r="V26" s="22">
        <v>59.5</v>
      </c>
      <c r="W26" s="17" t="s">
        <v>48</v>
      </c>
      <c r="X26" s="17" t="s">
        <v>49</v>
      </c>
      <c r="Y26" s="17" t="s">
        <v>87</v>
      </c>
      <c r="Z26" s="17" t="s">
        <v>9</v>
      </c>
      <c r="AA26" s="17" t="s">
        <v>50</v>
      </c>
      <c r="AB26" s="17" t="s">
        <v>171</v>
      </c>
      <c r="AC26" s="17" t="s">
        <v>38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30" customFormat="1" ht="35.1" customHeight="1" x14ac:dyDescent="0.2">
      <c r="A27" s="9" t="s">
        <v>101</v>
      </c>
      <c r="B27" s="10">
        <v>46073</v>
      </c>
      <c r="C27" s="10">
        <v>46073</v>
      </c>
      <c r="D27" s="11" t="s">
        <v>189</v>
      </c>
      <c r="E27" s="12">
        <v>0.54166666666666663</v>
      </c>
      <c r="F27" s="12">
        <v>0.5625</v>
      </c>
      <c r="G27" s="12">
        <v>2.0833333333333332E-2</v>
      </c>
      <c r="H27" s="9" t="s">
        <v>102</v>
      </c>
      <c r="I27" s="13"/>
      <c r="J27" s="9" t="s">
        <v>103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0" customFormat="1" ht="35.1" customHeight="1" x14ac:dyDescent="0.25">
      <c r="A28" s="17" t="s">
        <v>79</v>
      </c>
      <c r="B28" s="18">
        <v>46073</v>
      </c>
      <c r="C28" s="18">
        <v>46073</v>
      </c>
      <c r="D28" s="17" t="s">
        <v>189</v>
      </c>
      <c r="E28" s="19">
        <v>0.54166666666666663</v>
      </c>
      <c r="F28" s="19">
        <v>0.5625</v>
      </c>
      <c r="G28" s="19">
        <v>1.7361111111111109E-4</v>
      </c>
      <c r="H28" s="17" t="s">
        <v>104</v>
      </c>
      <c r="I28" s="20">
        <v>0.54803240740740744</v>
      </c>
      <c r="J28" s="17" t="s">
        <v>103</v>
      </c>
      <c r="K28" s="17" t="s">
        <v>139</v>
      </c>
      <c r="L28" s="21">
        <v>1</v>
      </c>
      <c r="M28" s="21">
        <v>69976</v>
      </c>
      <c r="N28" s="17" t="s">
        <v>58</v>
      </c>
      <c r="O28" s="21" t="s">
        <v>105</v>
      </c>
      <c r="P28" s="22">
        <v>64.709999999999994</v>
      </c>
      <c r="Q28" s="21"/>
      <c r="R28" s="22">
        <v>64.709999999999994</v>
      </c>
      <c r="S28" s="23">
        <v>46054</v>
      </c>
      <c r="T28" s="22">
        <v>9.7064999999999984</v>
      </c>
      <c r="U28" s="24">
        <v>4</v>
      </c>
      <c r="V28" s="22">
        <v>55.003499999999995</v>
      </c>
      <c r="W28" s="17" t="s">
        <v>48</v>
      </c>
      <c r="X28" s="17" t="s">
        <v>49</v>
      </c>
      <c r="Y28" s="17" t="s">
        <v>36</v>
      </c>
      <c r="Z28" s="17" t="s">
        <v>9</v>
      </c>
      <c r="AA28" s="17" t="s">
        <v>50</v>
      </c>
      <c r="AB28" s="17" t="s">
        <v>106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30" customFormat="1" ht="35.1" customHeight="1" x14ac:dyDescent="0.2">
      <c r="A29" s="9" t="s">
        <v>101</v>
      </c>
      <c r="B29" s="10">
        <v>46073</v>
      </c>
      <c r="C29" s="10">
        <v>46073</v>
      </c>
      <c r="D29" s="11" t="s">
        <v>189</v>
      </c>
      <c r="E29" s="12">
        <v>0.5625</v>
      </c>
      <c r="F29" s="12">
        <v>0.58333333333333337</v>
      </c>
      <c r="G29" s="12">
        <v>2.0833333333333332E-2</v>
      </c>
      <c r="H29" s="9" t="s">
        <v>108</v>
      </c>
      <c r="I29" s="13"/>
      <c r="J29" s="9" t="s">
        <v>103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0" customFormat="1" ht="35.1" customHeight="1" x14ac:dyDescent="0.25">
      <c r="A30" s="17" t="s">
        <v>79</v>
      </c>
      <c r="B30" s="18">
        <v>46073</v>
      </c>
      <c r="C30" s="18">
        <v>46073</v>
      </c>
      <c r="D30" s="17" t="s">
        <v>189</v>
      </c>
      <c r="E30" s="19">
        <v>0.5625</v>
      </c>
      <c r="F30" s="19">
        <v>0.58333333333333337</v>
      </c>
      <c r="G30" s="19">
        <v>1.7361111111111109E-4</v>
      </c>
      <c r="H30" s="17" t="s">
        <v>107</v>
      </c>
      <c r="I30" s="20">
        <v>0.57665509259259262</v>
      </c>
      <c r="J30" s="17" t="s">
        <v>103</v>
      </c>
      <c r="K30" s="17" t="s">
        <v>140</v>
      </c>
      <c r="L30" s="21">
        <v>1</v>
      </c>
      <c r="M30" s="21">
        <v>69977</v>
      </c>
      <c r="N30" s="17" t="s">
        <v>58</v>
      </c>
      <c r="O30" s="21" t="s">
        <v>105</v>
      </c>
      <c r="P30" s="22">
        <v>64.709999999999994</v>
      </c>
      <c r="Q30" s="21"/>
      <c r="R30" s="22">
        <v>64.709999999999994</v>
      </c>
      <c r="S30" s="23">
        <v>46054</v>
      </c>
      <c r="T30" s="22">
        <v>9.7064999999999984</v>
      </c>
      <c r="U30" s="24">
        <v>4</v>
      </c>
      <c r="V30" s="22">
        <v>55.003499999999995</v>
      </c>
      <c r="W30" s="17" t="s">
        <v>48</v>
      </c>
      <c r="X30" s="17" t="s">
        <v>49</v>
      </c>
      <c r="Y30" s="17" t="s">
        <v>36</v>
      </c>
      <c r="Z30" s="17" t="s">
        <v>9</v>
      </c>
      <c r="AA30" s="17" t="s">
        <v>50</v>
      </c>
      <c r="AB30" s="17" t="s">
        <v>106</v>
      </c>
      <c r="AC30" s="17" t="s">
        <v>38</v>
      </c>
      <c r="AD30" s="7" t="str">
        <f t="shared" si="0"/>
        <v/>
      </c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</row>
    <row r="31" spans="1:49" s="30" customFormat="1" ht="35.1" customHeight="1" x14ac:dyDescent="0.2">
      <c r="A31" s="9" t="s">
        <v>109</v>
      </c>
      <c r="B31" s="10">
        <v>46073</v>
      </c>
      <c r="C31" s="10">
        <v>46073</v>
      </c>
      <c r="D31" s="11" t="s">
        <v>189</v>
      </c>
      <c r="E31" s="12">
        <v>0.58333333333333337</v>
      </c>
      <c r="F31" s="12">
        <v>0.625</v>
      </c>
      <c r="G31" s="12">
        <v>4.1666666666666664E-2</v>
      </c>
      <c r="H31" s="9" t="s">
        <v>110</v>
      </c>
      <c r="I31" s="13"/>
      <c r="J31" s="9" t="s">
        <v>111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0" customFormat="1" ht="35.1" customHeight="1" x14ac:dyDescent="0.2">
      <c r="A32" s="9" t="s">
        <v>109</v>
      </c>
      <c r="B32" s="10">
        <v>46073</v>
      </c>
      <c r="C32" s="10">
        <v>46073</v>
      </c>
      <c r="D32" s="11" t="s">
        <v>189</v>
      </c>
      <c r="E32" s="12">
        <v>0.625</v>
      </c>
      <c r="F32" s="12">
        <v>0.64583333333333337</v>
      </c>
      <c r="G32" s="12">
        <v>2.0833333333333332E-2</v>
      </c>
      <c r="H32" s="9" t="s">
        <v>112</v>
      </c>
      <c r="I32" s="13"/>
      <c r="J32" s="9" t="s">
        <v>111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0" customFormat="1" ht="35.1" customHeight="1" x14ac:dyDescent="0.2">
      <c r="A33" s="17" t="s">
        <v>79</v>
      </c>
      <c r="B33" s="18">
        <v>46073</v>
      </c>
      <c r="C33" s="18">
        <v>46073</v>
      </c>
      <c r="D33" s="17" t="s">
        <v>189</v>
      </c>
      <c r="E33" s="19">
        <v>0.58333333333333337</v>
      </c>
      <c r="F33" s="19">
        <v>0.66666666666666663</v>
      </c>
      <c r="G33" s="19">
        <v>1.7361111111111109E-4</v>
      </c>
      <c r="H33" s="17" t="s">
        <v>104</v>
      </c>
      <c r="I33" s="20">
        <v>0.64467592592592593</v>
      </c>
      <c r="J33" s="17" t="s">
        <v>103</v>
      </c>
      <c r="K33" s="17" t="s">
        <v>141</v>
      </c>
      <c r="L33" s="21">
        <v>1</v>
      </c>
      <c r="M33" s="21">
        <v>69978</v>
      </c>
      <c r="N33" s="17" t="s">
        <v>58</v>
      </c>
      <c r="O33" s="21" t="s">
        <v>105</v>
      </c>
      <c r="P33" s="22">
        <v>64.709999999999994</v>
      </c>
      <c r="Q33" s="21"/>
      <c r="R33" s="22">
        <v>64.709999999999994</v>
      </c>
      <c r="S33" s="23">
        <v>46054</v>
      </c>
      <c r="T33" s="22">
        <v>9.7064999999999984</v>
      </c>
      <c r="U33" s="24">
        <v>4</v>
      </c>
      <c r="V33" s="22">
        <v>55.003499999999995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106</v>
      </c>
      <c r="AC33" s="17" t="s">
        <v>38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s="30" customFormat="1" ht="35.1" customHeight="1" x14ac:dyDescent="0.2">
      <c r="A34" s="9" t="s">
        <v>109</v>
      </c>
      <c r="B34" s="10">
        <v>46073</v>
      </c>
      <c r="C34" s="10">
        <v>46073</v>
      </c>
      <c r="D34" s="11" t="s">
        <v>189</v>
      </c>
      <c r="E34" s="12">
        <v>0.64583333333333337</v>
      </c>
      <c r="F34" s="12">
        <v>0.66666666666666663</v>
      </c>
      <c r="G34" s="12">
        <v>2.0833333333333332E-2</v>
      </c>
      <c r="H34" s="9" t="s">
        <v>113</v>
      </c>
      <c r="I34" s="13"/>
      <c r="J34" s="9" t="s">
        <v>111</v>
      </c>
      <c r="K34" s="9"/>
      <c r="L34" s="14">
        <v>1</v>
      </c>
      <c r="M34" s="14">
        <v>1</v>
      </c>
      <c r="N34" s="9" t="s">
        <v>33</v>
      </c>
      <c r="O34" s="9"/>
      <c r="P34" s="16">
        <v>0</v>
      </c>
      <c r="Q34" s="14"/>
      <c r="R34" s="16">
        <v>0</v>
      </c>
      <c r="S34" s="9">
        <v>46054</v>
      </c>
      <c r="T34" s="16">
        <v>0</v>
      </c>
      <c r="U34" s="14">
        <v>2</v>
      </c>
      <c r="V34" s="16">
        <v>0</v>
      </c>
      <c r="W34" s="9" t="s">
        <v>34</v>
      </c>
      <c r="X34" s="9" t="s">
        <v>42</v>
      </c>
      <c r="Y34" s="9" t="s">
        <v>36</v>
      </c>
      <c r="Z34" s="9" t="s">
        <v>43</v>
      </c>
      <c r="AA34" s="9" t="s">
        <v>37</v>
      </c>
      <c r="AB34" s="9" t="s">
        <v>37</v>
      </c>
      <c r="AC34" s="9" t="s">
        <v>38</v>
      </c>
      <c r="AD34" s="7" t="str">
        <f t="shared" si="0"/>
        <v/>
      </c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</row>
    <row r="35" spans="1:49" s="30" customFormat="1" ht="35.1" customHeight="1" x14ac:dyDescent="0.25">
      <c r="A35" s="9" t="s">
        <v>114</v>
      </c>
      <c r="B35" s="10">
        <v>46073</v>
      </c>
      <c r="C35" s="10">
        <v>46073</v>
      </c>
      <c r="D35" s="11" t="s">
        <v>189</v>
      </c>
      <c r="E35" s="12">
        <v>0.66666666666666663</v>
      </c>
      <c r="F35" s="12">
        <v>0.6875</v>
      </c>
      <c r="G35" s="12">
        <v>2.0833333333333332E-2</v>
      </c>
      <c r="H35" s="9" t="s">
        <v>115</v>
      </c>
      <c r="I35" s="13"/>
      <c r="J35" s="9" t="s">
        <v>116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</row>
    <row r="36" spans="1:49" s="30" customFormat="1" ht="35.1" customHeight="1" x14ac:dyDescent="0.25">
      <c r="A36" s="9" t="s">
        <v>118</v>
      </c>
      <c r="B36" s="10">
        <v>46073</v>
      </c>
      <c r="C36" s="10">
        <v>46073</v>
      </c>
      <c r="D36" s="11" t="s">
        <v>189</v>
      </c>
      <c r="E36" s="12">
        <v>0.6875</v>
      </c>
      <c r="F36" s="12">
        <v>0.70833333333333337</v>
      </c>
      <c r="G36" s="12">
        <v>2.0833333333333332E-2</v>
      </c>
      <c r="H36" s="9" t="s">
        <v>119</v>
      </c>
      <c r="I36" s="13"/>
      <c r="J36" s="9" t="s">
        <v>116</v>
      </c>
      <c r="K36" s="9"/>
      <c r="L36" s="14">
        <v>1</v>
      </c>
      <c r="M36" s="14">
        <v>1</v>
      </c>
      <c r="N36" s="9" t="s">
        <v>33</v>
      </c>
      <c r="O36" s="9"/>
      <c r="P36" s="16">
        <v>0</v>
      </c>
      <c r="Q36" s="14"/>
      <c r="R36" s="16">
        <v>0</v>
      </c>
      <c r="S36" s="9">
        <v>46054</v>
      </c>
      <c r="T36" s="16">
        <v>0</v>
      </c>
      <c r="U36" s="14">
        <v>2</v>
      </c>
      <c r="V36" s="16">
        <v>0</v>
      </c>
      <c r="W36" s="9" t="s">
        <v>34</v>
      </c>
      <c r="X36" s="9" t="s">
        <v>42</v>
      </c>
      <c r="Y36" s="9" t="s">
        <v>36</v>
      </c>
      <c r="Z36" s="9" t="s">
        <v>43</v>
      </c>
      <c r="AA36" s="9" t="s">
        <v>37</v>
      </c>
      <c r="AB36" s="9" t="s">
        <v>37</v>
      </c>
      <c r="AC36" s="9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s="30" customFormat="1" ht="35.1" customHeight="1" x14ac:dyDescent="0.25">
      <c r="A37" s="9" t="s">
        <v>114</v>
      </c>
      <c r="B37" s="10">
        <v>46073</v>
      </c>
      <c r="C37" s="10">
        <v>46073</v>
      </c>
      <c r="D37" s="11" t="s">
        <v>189</v>
      </c>
      <c r="E37" s="12">
        <v>0.70833333333333337</v>
      </c>
      <c r="F37" s="12">
        <v>0.75</v>
      </c>
      <c r="G37" s="12">
        <v>4.1666666666666664E-2</v>
      </c>
      <c r="H37" s="9" t="s">
        <v>194</v>
      </c>
      <c r="I37" s="13"/>
      <c r="J37" s="9" t="s">
        <v>116</v>
      </c>
      <c r="K37" s="9"/>
      <c r="L37" s="14">
        <v>1</v>
      </c>
      <c r="M37" s="14">
        <v>1</v>
      </c>
      <c r="N37" s="9" t="s">
        <v>33</v>
      </c>
      <c r="O37" s="9"/>
      <c r="P37" s="16">
        <v>0</v>
      </c>
      <c r="Q37" s="14"/>
      <c r="R37" s="16">
        <v>0</v>
      </c>
      <c r="S37" s="9">
        <v>46054</v>
      </c>
      <c r="T37" s="16">
        <v>0</v>
      </c>
      <c r="U37" s="14">
        <v>2</v>
      </c>
      <c r="V37" s="16">
        <v>0</v>
      </c>
      <c r="W37" s="9" t="s">
        <v>34</v>
      </c>
      <c r="X37" s="9" t="s">
        <v>42</v>
      </c>
      <c r="Y37" s="9" t="s">
        <v>36</v>
      </c>
      <c r="Z37" s="9" t="s">
        <v>43</v>
      </c>
      <c r="AA37" s="9" t="s">
        <v>37</v>
      </c>
      <c r="AB37" s="9" t="s">
        <v>37</v>
      </c>
      <c r="AC37" s="9" t="s">
        <v>38</v>
      </c>
      <c r="AD37" s="7" t="str">
        <f t="shared" si="0"/>
        <v/>
      </c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</row>
    <row r="38" spans="1:49" s="30" customFormat="1" ht="35.1" customHeight="1" x14ac:dyDescent="0.25">
      <c r="A38" s="17" t="s">
        <v>52</v>
      </c>
      <c r="B38" s="18">
        <v>46073</v>
      </c>
      <c r="C38" s="18">
        <v>46073</v>
      </c>
      <c r="D38" s="17" t="s">
        <v>189</v>
      </c>
      <c r="E38" s="19">
        <v>0.66666666666666663</v>
      </c>
      <c r="F38" s="19">
        <v>0.79166666666666663</v>
      </c>
      <c r="G38" s="19">
        <v>3.4722222222222218E-4</v>
      </c>
      <c r="H38" s="17" t="s">
        <v>117</v>
      </c>
      <c r="I38" s="20">
        <v>0.71866898148148151</v>
      </c>
      <c r="J38" s="17" t="s">
        <v>116</v>
      </c>
      <c r="K38" s="17" t="s">
        <v>194</v>
      </c>
      <c r="L38" s="21">
        <v>1</v>
      </c>
      <c r="M38" s="21">
        <v>70968</v>
      </c>
      <c r="N38" s="17" t="s">
        <v>46</v>
      </c>
      <c r="O38" s="21" t="str">
        <f>AC38</f>
        <v>SFO</v>
      </c>
      <c r="P38" s="22">
        <v>0</v>
      </c>
      <c r="Q38" s="21"/>
      <c r="R38" s="22">
        <v>0</v>
      </c>
      <c r="S38" s="23">
        <v>46054</v>
      </c>
      <c r="T38" s="22">
        <v>0</v>
      </c>
      <c r="U38" s="24">
        <v>4</v>
      </c>
      <c r="V38" s="22">
        <v>0</v>
      </c>
      <c r="W38" s="17" t="s">
        <v>48</v>
      </c>
      <c r="X38" s="17" t="s">
        <v>49</v>
      </c>
      <c r="Y38" s="17" t="s">
        <v>36</v>
      </c>
      <c r="Z38" s="17" t="s">
        <v>9</v>
      </c>
      <c r="AA38" s="17" t="s">
        <v>50</v>
      </c>
      <c r="AB38" s="17" t="s">
        <v>54</v>
      </c>
      <c r="AC38" s="17" t="s">
        <v>38</v>
      </c>
      <c r="AD38" s="7" t="str">
        <f t="shared" si="0"/>
        <v/>
      </c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</row>
    <row r="39" spans="1:49" s="30" customFormat="1" ht="35.1" customHeight="1" x14ac:dyDescent="0.2">
      <c r="A39" s="9" t="s">
        <v>118</v>
      </c>
      <c r="B39" s="10">
        <v>46073</v>
      </c>
      <c r="C39" s="10">
        <v>46073</v>
      </c>
      <c r="D39" s="11" t="s">
        <v>189</v>
      </c>
      <c r="E39" s="12">
        <v>0.75</v>
      </c>
      <c r="F39" s="12">
        <v>0.77083333333333337</v>
      </c>
      <c r="G39" s="12">
        <v>2.0833333333333332E-2</v>
      </c>
      <c r="H39" s="9" t="s">
        <v>121</v>
      </c>
      <c r="I39" s="13"/>
      <c r="J39" s="9" t="s">
        <v>116</v>
      </c>
      <c r="K39" s="9"/>
      <c r="L39" s="14">
        <v>1</v>
      </c>
      <c r="M39" s="14">
        <v>1</v>
      </c>
      <c r="N39" s="9" t="s">
        <v>33</v>
      </c>
      <c r="O39" s="9"/>
      <c r="P39" s="16">
        <v>0</v>
      </c>
      <c r="Q39" s="14"/>
      <c r="R39" s="16">
        <v>0</v>
      </c>
      <c r="S39" s="9">
        <v>46054</v>
      </c>
      <c r="T39" s="16">
        <v>0</v>
      </c>
      <c r="U39" s="14">
        <v>2</v>
      </c>
      <c r="V39" s="16">
        <v>0</v>
      </c>
      <c r="W39" s="9" t="s">
        <v>34</v>
      </c>
      <c r="X39" s="9" t="s">
        <v>42</v>
      </c>
      <c r="Y39" s="9" t="s">
        <v>36</v>
      </c>
      <c r="Z39" s="9" t="s">
        <v>43</v>
      </c>
      <c r="AA39" s="9" t="s">
        <v>37</v>
      </c>
      <c r="AB39" s="9" t="s">
        <v>37</v>
      </c>
      <c r="AC39" s="9" t="s">
        <v>38</v>
      </c>
      <c r="AD39" s="7" t="str">
        <f t="shared" si="0"/>
        <v/>
      </c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</row>
    <row r="40" spans="1:49" s="30" customFormat="1" ht="35.1" customHeight="1" x14ac:dyDescent="0.2">
      <c r="A40" s="9" t="s">
        <v>118</v>
      </c>
      <c r="B40" s="10">
        <v>46073</v>
      </c>
      <c r="C40" s="10">
        <v>46073</v>
      </c>
      <c r="D40" s="11" t="s">
        <v>189</v>
      </c>
      <c r="E40" s="12">
        <v>0.77083333333333337</v>
      </c>
      <c r="F40" s="12">
        <v>0.79166666666666663</v>
      </c>
      <c r="G40" s="12">
        <v>2.0833333333333332E-2</v>
      </c>
      <c r="H40" s="9" t="s">
        <v>119</v>
      </c>
      <c r="I40" s="13"/>
      <c r="J40" s="9" t="s">
        <v>116</v>
      </c>
      <c r="K40" s="9"/>
      <c r="L40" s="14">
        <v>1</v>
      </c>
      <c r="M40" s="14">
        <v>1</v>
      </c>
      <c r="N40" s="9" t="s">
        <v>33</v>
      </c>
      <c r="O40" s="9"/>
      <c r="P40" s="16">
        <v>0</v>
      </c>
      <c r="Q40" s="14"/>
      <c r="R40" s="16">
        <v>0</v>
      </c>
      <c r="S40" s="9">
        <v>46054</v>
      </c>
      <c r="T40" s="16">
        <v>0</v>
      </c>
      <c r="U40" s="14">
        <v>2</v>
      </c>
      <c r="V40" s="16">
        <v>0</v>
      </c>
      <c r="W40" s="9" t="s">
        <v>34</v>
      </c>
      <c r="X40" s="9" t="s">
        <v>42</v>
      </c>
      <c r="Y40" s="9" t="s">
        <v>36</v>
      </c>
      <c r="Z40" s="9" t="s">
        <v>43</v>
      </c>
      <c r="AA40" s="9" t="s">
        <v>37</v>
      </c>
      <c r="AB40" s="9" t="s">
        <v>37</v>
      </c>
      <c r="AC40" s="9" t="s">
        <v>38</v>
      </c>
      <c r="AD40" s="7" t="str">
        <f t="shared" si="0"/>
        <v/>
      </c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</row>
    <row r="41" spans="1:49" s="30" customFormat="1" ht="35.1" customHeight="1" x14ac:dyDescent="0.25">
      <c r="A41" s="17" t="s">
        <v>84</v>
      </c>
      <c r="B41" s="18">
        <v>46073</v>
      </c>
      <c r="C41" s="18">
        <v>46073</v>
      </c>
      <c r="D41" s="17" t="s">
        <v>189</v>
      </c>
      <c r="E41" s="19">
        <v>0.66666666666666663</v>
      </c>
      <c r="F41" s="19">
        <v>0.79166666666666663</v>
      </c>
      <c r="G41" s="19">
        <v>3.4722222222222218E-4</v>
      </c>
      <c r="H41" s="17" t="s">
        <v>173</v>
      </c>
      <c r="I41" s="20">
        <v>0.79068287037037033</v>
      </c>
      <c r="J41" s="17" t="s">
        <v>116</v>
      </c>
      <c r="K41" s="17" t="s">
        <v>142</v>
      </c>
      <c r="L41" s="21">
        <v>1</v>
      </c>
      <c r="M41" s="21">
        <v>71439</v>
      </c>
      <c r="N41" s="17" t="s">
        <v>58</v>
      </c>
      <c r="O41" s="21" t="s">
        <v>157</v>
      </c>
      <c r="P41" s="22">
        <v>105.88235294117646</v>
      </c>
      <c r="Q41" s="21"/>
      <c r="R41" s="22">
        <v>105.88235294117646</v>
      </c>
      <c r="S41" s="23">
        <v>46073</v>
      </c>
      <c r="T41" s="22">
        <v>15.882352941176469</v>
      </c>
      <c r="U41" s="24">
        <v>4</v>
      </c>
      <c r="V41" s="22">
        <v>90</v>
      </c>
      <c r="W41" s="17" t="s">
        <v>48</v>
      </c>
      <c r="X41" s="17" t="s">
        <v>49</v>
      </c>
      <c r="Y41" s="17" t="s">
        <v>87</v>
      </c>
      <c r="Z41" s="17" t="s">
        <v>9</v>
      </c>
      <c r="AA41" s="17" t="s">
        <v>50</v>
      </c>
      <c r="AB41" s="17" t="s">
        <v>158</v>
      </c>
      <c r="AC41" s="17" t="s">
        <v>38</v>
      </c>
      <c r="AD41" s="7" t="str">
        <f t="shared" si="0"/>
        <v/>
      </c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</row>
    <row r="42" spans="1:49" s="30" customFormat="1" ht="35.1" customHeight="1" x14ac:dyDescent="0.25">
      <c r="A42" s="9" t="s">
        <v>39</v>
      </c>
      <c r="B42" s="10">
        <v>46073</v>
      </c>
      <c r="C42" s="10">
        <v>46073</v>
      </c>
      <c r="D42" s="11" t="s">
        <v>189</v>
      </c>
      <c r="E42" s="12">
        <v>0.79166666666666663</v>
      </c>
      <c r="F42" s="12">
        <v>0.8125</v>
      </c>
      <c r="G42" s="12">
        <v>2.0833333333333332E-2</v>
      </c>
      <c r="H42" s="9" t="s">
        <v>122</v>
      </c>
      <c r="I42" s="13"/>
      <c r="J42" s="9" t="s">
        <v>123</v>
      </c>
      <c r="K42" s="9"/>
      <c r="L42" s="14">
        <v>1</v>
      </c>
      <c r="M42" s="14">
        <v>1</v>
      </c>
      <c r="N42" s="9" t="s">
        <v>33</v>
      </c>
      <c r="O42" s="9"/>
      <c r="P42" s="16">
        <v>0</v>
      </c>
      <c r="Q42" s="14"/>
      <c r="R42" s="16">
        <v>0</v>
      </c>
      <c r="S42" s="9">
        <v>46054</v>
      </c>
      <c r="T42" s="16">
        <v>0</v>
      </c>
      <c r="U42" s="14">
        <v>2</v>
      </c>
      <c r="V42" s="16">
        <v>0</v>
      </c>
      <c r="W42" s="9" t="s">
        <v>34</v>
      </c>
      <c r="X42" s="9" t="s">
        <v>42</v>
      </c>
      <c r="Y42" s="9" t="s">
        <v>36</v>
      </c>
      <c r="Z42" s="9" t="s">
        <v>43</v>
      </c>
      <c r="AA42" s="9" t="s">
        <v>37</v>
      </c>
      <c r="AB42" s="9" t="s">
        <v>37</v>
      </c>
      <c r="AC42" s="9" t="s">
        <v>38</v>
      </c>
      <c r="AD42" s="7" t="str">
        <f t="shared" si="0"/>
        <v/>
      </c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</row>
    <row r="43" spans="1:49" s="30" customFormat="1" ht="35.1" customHeight="1" x14ac:dyDescent="0.25">
      <c r="A43" s="17" t="s">
        <v>44</v>
      </c>
      <c r="B43" s="18">
        <v>46073</v>
      </c>
      <c r="C43" s="18">
        <v>46073</v>
      </c>
      <c r="D43" s="17" t="s">
        <v>189</v>
      </c>
      <c r="E43" s="19">
        <v>0.79166666666666663</v>
      </c>
      <c r="F43" s="19">
        <v>0.99930555555555556</v>
      </c>
      <c r="G43" s="19">
        <v>1.7361111111111109E-4</v>
      </c>
      <c r="H43" s="17" t="s">
        <v>124</v>
      </c>
      <c r="I43" s="20">
        <v>0.81108796296296293</v>
      </c>
      <c r="J43" s="17" t="s">
        <v>123</v>
      </c>
      <c r="K43" s="17" t="s">
        <v>122</v>
      </c>
      <c r="L43" s="21">
        <v>1</v>
      </c>
      <c r="M43" s="21">
        <v>66849</v>
      </c>
      <c r="N43" s="17" t="s">
        <v>58</v>
      </c>
      <c r="O43" s="21" t="s">
        <v>47</v>
      </c>
      <c r="P43" s="22">
        <v>0</v>
      </c>
      <c r="Q43" s="21"/>
      <c r="R43" s="22">
        <v>0</v>
      </c>
      <c r="S43" s="23">
        <v>46054</v>
      </c>
      <c r="T43" s="22">
        <v>0</v>
      </c>
      <c r="U43" s="24">
        <v>4</v>
      </c>
      <c r="V43" s="22">
        <v>59.5</v>
      </c>
      <c r="W43" s="17" t="s">
        <v>48</v>
      </c>
      <c r="X43" s="17" t="s">
        <v>49</v>
      </c>
      <c r="Y43" s="17" t="s">
        <v>36</v>
      </c>
      <c r="Z43" s="17" t="s">
        <v>9</v>
      </c>
      <c r="AA43" s="17" t="s">
        <v>50</v>
      </c>
      <c r="AB43" s="17" t="s">
        <v>51</v>
      </c>
      <c r="AC43" s="17" t="s">
        <v>38</v>
      </c>
      <c r="AD43" s="7" t="str">
        <f t="shared" si="0"/>
        <v/>
      </c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</row>
    <row r="44" spans="1:49" s="30" customFormat="1" ht="35.1" customHeight="1" x14ac:dyDescent="0.2">
      <c r="A44" s="9" t="s">
        <v>39</v>
      </c>
      <c r="B44" s="10">
        <v>46073</v>
      </c>
      <c r="C44" s="10">
        <v>46073</v>
      </c>
      <c r="D44" s="11" t="s">
        <v>189</v>
      </c>
      <c r="E44" s="12">
        <v>0.8125</v>
      </c>
      <c r="F44" s="12">
        <v>0.83333333333333337</v>
      </c>
      <c r="G44" s="12">
        <v>2.0833333333333332E-2</v>
      </c>
      <c r="H44" s="9" t="s">
        <v>195</v>
      </c>
      <c r="I44" s="13"/>
      <c r="J44" s="9" t="s">
        <v>123</v>
      </c>
      <c r="K44" s="9"/>
      <c r="L44" s="14">
        <v>1</v>
      </c>
      <c r="M44" s="14">
        <v>1</v>
      </c>
      <c r="N44" s="9" t="s">
        <v>33</v>
      </c>
      <c r="O44" s="9"/>
      <c r="P44" s="16">
        <v>0</v>
      </c>
      <c r="Q44" s="14"/>
      <c r="R44" s="16">
        <v>0</v>
      </c>
      <c r="S44" s="9">
        <v>46054</v>
      </c>
      <c r="T44" s="16">
        <v>0</v>
      </c>
      <c r="U44" s="14">
        <v>2</v>
      </c>
      <c r="V44" s="16">
        <v>0</v>
      </c>
      <c r="W44" s="9" t="s">
        <v>34</v>
      </c>
      <c r="X44" s="9" t="s">
        <v>42</v>
      </c>
      <c r="Y44" s="9" t="s">
        <v>36</v>
      </c>
      <c r="Z44" s="9" t="s">
        <v>43</v>
      </c>
      <c r="AA44" s="9" t="s">
        <v>37</v>
      </c>
      <c r="AB44" s="9" t="s">
        <v>37</v>
      </c>
      <c r="AC44" s="9" t="s">
        <v>38</v>
      </c>
      <c r="AD44" s="7" t="str">
        <f t="shared" si="0"/>
        <v/>
      </c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</row>
    <row r="45" spans="1:49" s="30" customFormat="1" ht="35.1" customHeight="1" x14ac:dyDescent="0.25">
      <c r="A45" s="17" t="s">
        <v>125</v>
      </c>
      <c r="B45" s="18">
        <v>46073</v>
      </c>
      <c r="C45" s="18">
        <v>46073</v>
      </c>
      <c r="D45" s="17" t="s">
        <v>189</v>
      </c>
      <c r="E45" s="19">
        <v>0.79166666666666663</v>
      </c>
      <c r="F45" s="19">
        <v>0.83333333333333337</v>
      </c>
      <c r="G45" s="19">
        <v>1.7361111111111109E-4</v>
      </c>
      <c r="H45" s="17" t="s">
        <v>126</v>
      </c>
      <c r="I45" s="20">
        <v>0.83253472222222225</v>
      </c>
      <c r="J45" s="17" t="s">
        <v>123</v>
      </c>
      <c r="K45" s="17" t="s">
        <v>195</v>
      </c>
      <c r="L45" s="21">
        <v>1</v>
      </c>
      <c r="M45" s="21">
        <v>71281</v>
      </c>
      <c r="N45" s="17" t="s">
        <v>58</v>
      </c>
      <c r="O45" s="21" t="s">
        <v>38</v>
      </c>
      <c r="P45" s="22">
        <v>90</v>
      </c>
      <c r="Q45" s="21"/>
      <c r="R45" s="22">
        <v>90</v>
      </c>
      <c r="S45" s="23">
        <v>46073</v>
      </c>
      <c r="T45" s="22">
        <v>13.5</v>
      </c>
      <c r="U45" s="24">
        <v>4</v>
      </c>
      <c r="V45" s="22">
        <v>76.5</v>
      </c>
      <c r="W45" s="17" t="s">
        <v>48</v>
      </c>
      <c r="X45" s="17" t="s">
        <v>49</v>
      </c>
      <c r="Y45" s="17" t="s">
        <v>87</v>
      </c>
      <c r="Z45" s="17" t="s">
        <v>9</v>
      </c>
      <c r="AA45" s="17" t="s">
        <v>50</v>
      </c>
      <c r="AB45" s="17" t="s">
        <v>127</v>
      </c>
      <c r="AC45" s="17" t="s">
        <v>38</v>
      </c>
      <c r="AD45" s="7" t="str">
        <f t="shared" si="0"/>
        <v/>
      </c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</row>
    <row r="46" spans="1:49" s="30" customFormat="1" ht="35.1" customHeight="1" x14ac:dyDescent="0.2">
      <c r="A46" s="9" t="s">
        <v>131</v>
      </c>
      <c r="B46" s="10">
        <v>46073</v>
      </c>
      <c r="C46" s="10">
        <v>46073</v>
      </c>
      <c r="D46" s="11" t="s">
        <v>189</v>
      </c>
      <c r="E46" s="12">
        <v>0.83333333333333337</v>
      </c>
      <c r="F46" s="12">
        <v>0.875</v>
      </c>
      <c r="G46" s="12">
        <v>4.1666666666666664E-2</v>
      </c>
      <c r="H46" s="9" t="s">
        <v>132</v>
      </c>
      <c r="I46" s="13"/>
      <c r="J46" s="9" t="s">
        <v>41</v>
      </c>
      <c r="K46" s="9"/>
      <c r="L46" s="14">
        <v>1</v>
      </c>
      <c r="M46" s="14">
        <v>1</v>
      </c>
      <c r="N46" s="9" t="s">
        <v>33</v>
      </c>
      <c r="O46" s="9"/>
      <c r="P46" s="16">
        <v>0</v>
      </c>
      <c r="Q46" s="14"/>
      <c r="R46" s="16">
        <v>0</v>
      </c>
      <c r="S46" s="9">
        <v>46054</v>
      </c>
      <c r="T46" s="16">
        <v>0</v>
      </c>
      <c r="U46" s="14">
        <v>2</v>
      </c>
      <c r="V46" s="16">
        <v>0</v>
      </c>
      <c r="W46" s="9" t="s">
        <v>34</v>
      </c>
      <c r="X46" s="9" t="s">
        <v>42</v>
      </c>
      <c r="Y46" s="9" t="s">
        <v>36</v>
      </c>
      <c r="Z46" s="9" t="s">
        <v>43</v>
      </c>
      <c r="AA46" s="9" t="s">
        <v>37</v>
      </c>
      <c r="AB46" s="9" t="s">
        <v>37</v>
      </c>
      <c r="AC46" s="9" t="s">
        <v>38</v>
      </c>
      <c r="AD46" s="7" t="str">
        <f t="shared" si="0"/>
        <v/>
      </c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</row>
    <row r="47" spans="1:49" s="30" customFormat="1" ht="35.1" customHeight="1" x14ac:dyDescent="0.25">
      <c r="A47" s="9" t="s">
        <v>133</v>
      </c>
      <c r="B47" s="10">
        <v>46073</v>
      </c>
      <c r="C47" s="10">
        <v>46073</v>
      </c>
      <c r="D47" s="11" t="s">
        <v>189</v>
      </c>
      <c r="E47" s="12">
        <v>0.875</v>
      </c>
      <c r="F47" s="12">
        <v>0.91666666666666663</v>
      </c>
      <c r="G47" s="12">
        <v>4.1666666666666664E-2</v>
      </c>
      <c r="H47" s="9" t="s">
        <v>134</v>
      </c>
      <c r="I47" s="13"/>
      <c r="J47" s="9" t="s">
        <v>41</v>
      </c>
      <c r="K47" s="9"/>
      <c r="L47" s="14">
        <v>1</v>
      </c>
      <c r="M47" s="14">
        <v>1</v>
      </c>
      <c r="N47" s="9" t="s">
        <v>33</v>
      </c>
      <c r="O47" s="9"/>
      <c r="P47" s="16">
        <v>0</v>
      </c>
      <c r="Q47" s="14"/>
      <c r="R47" s="16">
        <v>0</v>
      </c>
      <c r="S47" s="9">
        <v>46054</v>
      </c>
      <c r="T47" s="16">
        <v>0</v>
      </c>
      <c r="U47" s="14">
        <v>2</v>
      </c>
      <c r="V47" s="16">
        <v>0</v>
      </c>
      <c r="W47" s="9" t="s">
        <v>34</v>
      </c>
      <c r="X47" s="9" t="s">
        <v>42</v>
      </c>
      <c r="Y47" s="9" t="s">
        <v>36</v>
      </c>
      <c r="Z47" s="9" t="s">
        <v>43</v>
      </c>
      <c r="AA47" s="9" t="s">
        <v>37</v>
      </c>
      <c r="AB47" s="9" t="s">
        <v>37</v>
      </c>
      <c r="AC47" s="9" t="s">
        <v>38</v>
      </c>
      <c r="AD47" s="7" t="str">
        <f t="shared" si="0"/>
        <v/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s="30" customFormat="1" ht="35.1" customHeight="1" x14ac:dyDescent="0.25">
      <c r="A48" s="17" t="s">
        <v>44</v>
      </c>
      <c r="B48" s="18">
        <v>46073</v>
      </c>
      <c r="C48" s="18">
        <v>46073</v>
      </c>
      <c r="D48" s="17" t="s">
        <v>189</v>
      </c>
      <c r="E48" s="19">
        <v>0.25</v>
      </c>
      <c r="F48" s="19">
        <v>0.99930555555555556</v>
      </c>
      <c r="G48" s="19">
        <v>1.6203703703703701E-4</v>
      </c>
      <c r="H48" s="17" t="s">
        <v>45</v>
      </c>
      <c r="I48" s="20">
        <v>0.88671296296296298</v>
      </c>
      <c r="J48" s="17" t="s">
        <v>41</v>
      </c>
      <c r="K48" s="17" t="s">
        <v>134</v>
      </c>
      <c r="L48" s="21">
        <v>1</v>
      </c>
      <c r="M48" s="21">
        <v>66852</v>
      </c>
      <c r="N48" s="17" t="s">
        <v>46</v>
      </c>
      <c r="O48" s="21" t="s">
        <v>47</v>
      </c>
      <c r="P48" s="22">
        <v>0</v>
      </c>
      <c r="Q48" s="21"/>
      <c r="R48" s="22">
        <v>0</v>
      </c>
      <c r="S48" s="23">
        <v>46054</v>
      </c>
      <c r="T48" s="22">
        <v>0</v>
      </c>
      <c r="U48" s="24">
        <v>4</v>
      </c>
      <c r="V48" s="22">
        <v>0</v>
      </c>
      <c r="W48" s="17" t="s">
        <v>48</v>
      </c>
      <c r="X48" s="17" t="s">
        <v>49</v>
      </c>
      <c r="Y48" s="17" t="s">
        <v>36</v>
      </c>
      <c r="Z48" s="17" t="s">
        <v>9</v>
      </c>
      <c r="AA48" s="17" t="s">
        <v>50</v>
      </c>
      <c r="AB48" s="17" t="s">
        <v>51</v>
      </c>
      <c r="AC48" s="17" t="s">
        <v>38</v>
      </c>
      <c r="AD48" s="7" t="str">
        <f t="shared" si="0"/>
        <v/>
      </c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</row>
    <row r="49" spans="1:49" s="30" customFormat="1" ht="35.1" customHeight="1" x14ac:dyDescent="0.2">
      <c r="A49" s="17" t="s">
        <v>44</v>
      </c>
      <c r="B49" s="18">
        <v>46073</v>
      </c>
      <c r="C49" s="18">
        <v>46073</v>
      </c>
      <c r="D49" s="17" t="s">
        <v>189</v>
      </c>
      <c r="E49" s="19">
        <v>0.25</v>
      </c>
      <c r="F49" s="19">
        <v>0.99930555555555556</v>
      </c>
      <c r="G49" s="19">
        <v>1.7361111111111109E-4</v>
      </c>
      <c r="H49" s="17" t="s">
        <v>55</v>
      </c>
      <c r="I49" s="20">
        <v>0.9086805555555556</v>
      </c>
      <c r="J49" s="17" t="s">
        <v>41</v>
      </c>
      <c r="K49" s="17" t="s">
        <v>134</v>
      </c>
      <c r="L49" s="21">
        <v>1</v>
      </c>
      <c r="M49" s="21">
        <v>66852</v>
      </c>
      <c r="N49" s="17" t="s">
        <v>46</v>
      </c>
      <c r="O49" s="21" t="s">
        <v>47</v>
      </c>
      <c r="P49" s="22">
        <v>0</v>
      </c>
      <c r="Q49" s="21"/>
      <c r="R49" s="22">
        <v>0</v>
      </c>
      <c r="S49" s="23">
        <v>46054</v>
      </c>
      <c r="T49" s="22">
        <v>0</v>
      </c>
      <c r="U49" s="24">
        <v>4</v>
      </c>
      <c r="V49" s="22">
        <v>0</v>
      </c>
      <c r="W49" s="17" t="s">
        <v>48</v>
      </c>
      <c r="X49" s="17" t="s">
        <v>49</v>
      </c>
      <c r="Y49" s="17" t="s">
        <v>36</v>
      </c>
      <c r="Z49" s="17" t="s">
        <v>9</v>
      </c>
      <c r="AA49" s="17" t="s">
        <v>50</v>
      </c>
      <c r="AB49" s="17" t="s">
        <v>51</v>
      </c>
      <c r="AC49" s="17" t="s">
        <v>38</v>
      </c>
      <c r="AD49" s="7" t="str">
        <f t="shared" si="0"/>
        <v/>
      </c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</row>
    <row r="50" spans="1:49" s="30" customFormat="1" ht="35.1" customHeight="1" x14ac:dyDescent="0.25">
      <c r="A50" s="17" t="s">
        <v>125</v>
      </c>
      <c r="B50" s="18">
        <v>46073</v>
      </c>
      <c r="C50" s="18">
        <v>46073</v>
      </c>
      <c r="D50" s="17" t="s">
        <v>189</v>
      </c>
      <c r="E50" s="19">
        <v>0.83333333333333337</v>
      </c>
      <c r="F50" s="19">
        <v>0.91666666666666663</v>
      </c>
      <c r="G50" s="19">
        <v>1.7361111111111109E-4</v>
      </c>
      <c r="H50" s="17" t="s">
        <v>161</v>
      </c>
      <c r="I50" s="20">
        <v>0.90902777777777777</v>
      </c>
      <c r="J50" s="17" t="s">
        <v>41</v>
      </c>
      <c r="K50" s="17" t="s">
        <v>134</v>
      </c>
      <c r="L50" s="21">
        <v>1</v>
      </c>
      <c r="M50" s="21">
        <v>71282</v>
      </c>
      <c r="N50" s="17" t="s">
        <v>58</v>
      </c>
      <c r="O50" s="21" t="s">
        <v>38</v>
      </c>
      <c r="P50" s="22">
        <v>90</v>
      </c>
      <c r="Q50" s="21"/>
      <c r="R50" s="22">
        <v>90</v>
      </c>
      <c r="S50" s="23">
        <v>46073</v>
      </c>
      <c r="T50" s="22">
        <v>13.5</v>
      </c>
      <c r="U50" s="24">
        <v>4</v>
      </c>
      <c r="V50" s="22">
        <v>76.5</v>
      </c>
      <c r="W50" s="17" t="s">
        <v>48</v>
      </c>
      <c r="X50" s="17" t="s">
        <v>49</v>
      </c>
      <c r="Y50" s="17" t="s">
        <v>87</v>
      </c>
      <c r="Z50" s="17" t="s">
        <v>9</v>
      </c>
      <c r="AA50" s="17" t="s">
        <v>50</v>
      </c>
      <c r="AB50" s="17" t="s">
        <v>127</v>
      </c>
      <c r="AC50" s="17" t="s">
        <v>38</v>
      </c>
      <c r="AD50" s="7" t="str">
        <f t="shared" si="0"/>
        <v/>
      </c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</row>
    <row r="51" spans="1:49" s="30" customFormat="1" ht="35.1" customHeight="1" x14ac:dyDescent="0.2">
      <c r="A51" s="9" t="s">
        <v>133</v>
      </c>
      <c r="B51" s="10">
        <v>46073</v>
      </c>
      <c r="C51" s="10">
        <v>46073</v>
      </c>
      <c r="D51" s="11" t="s">
        <v>189</v>
      </c>
      <c r="E51" s="12">
        <v>0.91666666666666663</v>
      </c>
      <c r="F51" s="12">
        <v>0.97916666666666663</v>
      </c>
      <c r="G51" s="12">
        <v>6.25E-2</v>
      </c>
      <c r="H51" s="9" t="s">
        <v>196</v>
      </c>
      <c r="I51" s="13"/>
      <c r="J51" s="9" t="s">
        <v>41</v>
      </c>
      <c r="K51" s="9"/>
      <c r="L51" s="14">
        <v>1</v>
      </c>
      <c r="M51" s="14">
        <v>1</v>
      </c>
      <c r="N51" s="9" t="s">
        <v>33</v>
      </c>
      <c r="O51" s="9"/>
      <c r="P51" s="16">
        <v>0</v>
      </c>
      <c r="Q51" s="14"/>
      <c r="R51" s="16">
        <v>0</v>
      </c>
      <c r="S51" s="9">
        <v>46054</v>
      </c>
      <c r="T51" s="16">
        <v>0</v>
      </c>
      <c r="U51" s="14">
        <v>2</v>
      </c>
      <c r="V51" s="16">
        <v>0</v>
      </c>
      <c r="W51" s="9" t="s">
        <v>34</v>
      </c>
      <c r="X51" s="9" t="s">
        <v>42</v>
      </c>
      <c r="Y51" s="9" t="s">
        <v>36</v>
      </c>
      <c r="Z51" s="9" t="s">
        <v>43</v>
      </c>
      <c r="AA51" s="9" t="s">
        <v>37</v>
      </c>
      <c r="AB51" s="9" t="s">
        <v>37</v>
      </c>
      <c r="AC51" s="9" t="s">
        <v>38</v>
      </c>
      <c r="AD51" s="7" t="str">
        <f t="shared" si="0"/>
        <v/>
      </c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</row>
    <row r="52" spans="1:49" s="30" customFormat="1" ht="35.1" customHeight="1" x14ac:dyDescent="0.25">
      <c r="A52" s="17" t="s">
        <v>92</v>
      </c>
      <c r="B52" s="18">
        <v>46073</v>
      </c>
      <c r="C52" s="18">
        <v>46073</v>
      </c>
      <c r="D52" s="17" t="s">
        <v>189</v>
      </c>
      <c r="E52" s="19">
        <v>0.91666666666666663</v>
      </c>
      <c r="F52" s="19">
        <v>0.97916666666666663</v>
      </c>
      <c r="G52" s="19">
        <v>5.7870370370370373E-5</v>
      </c>
      <c r="H52" s="17" t="s">
        <v>162</v>
      </c>
      <c r="I52" s="20">
        <v>0.93123842592592587</v>
      </c>
      <c r="J52" s="17" t="s">
        <v>41</v>
      </c>
      <c r="K52" s="17" t="s">
        <v>196</v>
      </c>
      <c r="L52" s="21">
        <v>1</v>
      </c>
      <c r="M52" s="21">
        <v>71827</v>
      </c>
      <c r="N52" s="17" t="s">
        <v>58</v>
      </c>
      <c r="O52" s="21" t="s">
        <v>154</v>
      </c>
      <c r="P52" s="22">
        <v>41.025641025641029</v>
      </c>
      <c r="Q52" s="21"/>
      <c r="R52" s="22">
        <v>41.025641025641029</v>
      </c>
      <c r="S52" s="23">
        <v>46073</v>
      </c>
      <c r="T52" s="22">
        <v>6.1538461538461542</v>
      </c>
      <c r="U52" s="24">
        <v>4</v>
      </c>
      <c r="V52" s="22">
        <v>34.871794871794876</v>
      </c>
      <c r="W52" s="17" t="s">
        <v>48</v>
      </c>
      <c r="X52" s="17" t="s">
        <v>49</v>
      </c>
      <c r="Y52" s="17" t="s">
        <v>87</v>
      </c>
      <c r="Z52" s="17" t="s">
        <v>9</v>
      </c>
      <c r="AA52" s="17" t="s">
        <v>50</v>
      </c>
      <c r="AB52" s="17" t="s">
        <v>155</v>
      </c>
      <c r="AC52" s="17" t="s">
        <v>38</v>
      </c>
      <c r="AD52" s="7" t="str">
        <f t="shared" si="0"/>
        <v/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1:49" s="30" customFormat="1" ht="35.1" customHeight="1" x14ac:dyDescent="0.25">
      <c r="A53" s="9" t="s">
        <v>39</v>
      </c>
      <c r="B53" s="10">
        <v>46073</v>
      </c>
      <c r="C53" s="10">
        <v>46073</v>
      </c>
      <c r="D53" s="11" t="s">
        <v>189</v>
      </c>
      <c r="E53" s="12">
        <v>0.97916666666666663</v>
      </c>
      <c r="F53" s="12">
        <v>1</v>
      </c>
      <c r="G53" s="12">
        <v>2.0833333333333332E-2</v>
      </c>
      <c r="H53" s="9" t="s">
        <v>136</v>
      </c>
      <c r="I53" s="13"/>
      <c r="J53" s="9" t="s">
        <v>123</v>
      </c>
      <c r="K53" s="9"/>
      <c r="L53" s="14">
        <v>1</v>
      </c>
      <c r="M53" s="14">
        <v>1</v>
      </c>
      <c r="N53" s="9" t="s">
        <v>33</v>
      </c>
      <c r="O53" s="9"/>
      <c r="P53" s="16">
        <v>0</v>
      </c>
      <c r="Q53" s="14"/>
      <c r="R53" s="16">
        <v>0</v>
      </c>
      <c r="S53" s="9">
        <v>46054</v>
      </c>
      <c r="T53" s="16">
        <v>0</v>
      </c>
      <c r="U53" s="14">
        <v>2</v>
      </c>
      <c r="V53" s="16">
        <v>0</v>
      </c>
      <c r="W53" s="9" t="s">
        <v>34</v>
      </c>
      <c r="X53" s="9" t="s">
        <v>42</v>
      </c>
      <c r="Y53" s="9" t="s">
        <v>36</v>
      </c>
      <c r="Z53" s="9" t="s">
        <v>43</v>
      </c>
      <c r="AA53" s="9" t="s">
        <v>37</v>
      </c>
      <c r="AB53" s="9" t="s">
        <v>37</v>
      </c>
      <c r="AC53" s="9" t="s">
        <v>38</v>
      </c>
      <c r="AD53" s="7" t="str">
        <f t="shared" si="0"/>
        <v/>
      </c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</row>
    <row r="54" spans="1:49" s="30" customFormat="1" ht="35.1" customHeight="1" x14ac:dyDescent="0.25">
      <c r="A54" s="17" t="s">
        <v>44</v>
      </c>
      <c r="B54" s="18">
        <v>46073</v>
      </c>
      <c r="C54" s="18">
        <v>46073</v>
      </c>
      <c r="D54" s="17" t="s">
        <v>189</v>
      </c>
      <c r="E54" s="19">
        <v>0.79166666666666663</v>
      </c>
      <c r="F54" s="19">
        <v>0.99930555555555556</v>
      </c>
      <c r="G54" s="19">
        <v>1.7361111111111109E-4</v>
      </c>
      <c r="H54" s="17" t="s">
        <v>124</v>
      </c>
      <c r="I54" s="20">
        <v>0.98230324074074071</v>
      </c>
      <c r="J54" s="17" t="s">
        <v>123</v>
      </c>
      <c r="K54" s="17" t="s">
        <v>136</v>
      </c>
      <c r="L54" s="21">
        <v>1</v>
      </c>
      <c r="M54" s="21">
        <v>66849</v>
      </c>
      <c r="N54" s="17" t="s">
        <v>58</v>
      </c>
      <c r="O54" s="21" t="s">
        <v>47</v>
      </c>
      <c r="P54" s="22">
        <v>0</v>
      </c>
      <c r="Q54" s="21"/>
      <c r="R54" s="22">
        <v>0</v>
      </c>
      <c r="S54" s="23">
        <v>46054</v>
      </c>
      <c r="T54" s="22">
        <v>0</v>
      </c>
      <c r="U54" s="24">
        <v>4</v>
      </c>
      <c r="V54" s="22">
        <v>59.5</v>
      </c>
      <c r="W54" s="17" t="s">
        <v>48</v>
      </c>
      <c r="X54" s="17" t="s">
        <v>49</v>
      </c>
      <c r="Y54" s="17" t="s">
        <v>36</v>
      </c>
      <c r="Z54" s="17" t="s">
        <v>9</v>
      </c>
      <c r="AA54" s="17" t="s">
        <v>50</v>
      </c>
      <c r="AB54" s="17" t="s">
        <v>51</v>
      </c>
      <c r="AC54" s="17" t="s">
        <v>38</v>
      </c>
      <c r="AD54" s="7" t="str">
        <f t="shared" si="0"/>
        <v/>
      </c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</row>
    <row r="55" spans="1:49" ht="44.25" customHeight="1" x14ac:dyDescent="0.2"/>
    <row r="56" spans="1:49" ht="44.25" customHeight="1" x14ac:dyDescent="0.2"/>
    <row r="57" spans="1:49" ht="44.25" customHeight="1" x14ac:dyDescent="0.2"/>
    <row r="58" spans="1:49" ht="44.25" customHeight="1" x14ac:dyDescent="0.2"/>
    <row r="59" spans="1:49" ht="44.25" customHeight="1" x14ac:dyDescent="0.2"/>
    <row r="60" spans="1:49" ht="44.25" customHeight="1" x14ac:dyDescent="0.2"/>
    <row r="61" spans="1:49" ht="44.25" customHeight="1" x14ac:dyDescent="0.2"/>
    <row r="62" spans="1:49" ht="44.25" customHeight="1" x14ac:dyDescent="0.2"/>
    <row r="63" spans="1:49" ht="44.25" customHeight="1" x14ac:dyDescent="0.2"/>
    <row r="64" spans="1:49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54" xr:uid="{424754EB-77D4-44AC-A729-202F74AF0C24}"/>
  <sortState xmlns:xlrd2="http://schemas.microsoft.com/office/spreadsheetml/2017/richdata2" ref="A2:AD326">
    <sortCondition sortBy="cellColor" ref="E1:E500" dxfId="18"/>
  </sortState>
  <conditionalFormatting sqref="AD1:AD54">
    <cfRule type="cellIs" dxfId="17" priority="2" operator="equal">
      <formula>"NO"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46074</v>
      </c>
      <c r="C2" s="10">
        <v>46074</v>
      </c>
      <c r="D2" s="11" t="s">
        <v>197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6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32" customFormat="1" ht="35.1" customHeight="1" x14ac:dyDescent="0.25">
      <c r="A3" s="9" t="s">
        <v>39</v>
      </c>
      <c r="B3" s="10">
        <v>46074</v>
      </c>
      <c r="C3" s="10">
        <v>46074</v>
      </c>
      <c r="D3" s="11" t="s">
        <v>197</v>
      </c>
      <c r="E3" s="12">
        <v>0.25</v>
      </c>
      <c r="F3" s="12">
        <v>0.29166666666666669</v>
      </c>
      <c r="G3" s="12">
        <v>4.1666666666666664E-2</v>
      </c>
      <c r="H3" s="9" t="s">
        <v>40</v>
      </c>
      <c r="I3" s="13"/>
      <c r="J3" s="9" t="s">
        <v>41</v>
      </c>
      <c r="K3" s="9"/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5">
        <v>0</v>
      </c>
      <c r="S3" s="9">
        <v>46054</v>
      </c>
      <c r="T3" s="15">
        <v>0</v>
      </c>
      <c r="U3" s="14">
        <v>2</v>
      </c>
      <c r="V3" s="15">
        <v>0</v>
      </c>
      <c r="W3" s="9" t="s">
        <v>34</v>
      </c>
      <c r="X3" s="9" t="s">
        <v>42</v>
      </c>
      <c r="Y3" s="9" t="s">
        <v>36</v>
      </c>
      <c r="Z3" s="9" t="s">
        <v>43</v>
      </c>
      <c r="AA3" s="9" t="s">
        <v>37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61</v>
      </c>
      <c r="B4" s="10">
        <v>46074</v>
      </c>
      <c r="C4" s="10">
        <v>46074</v>
      </c>
      <c r="D4" s="11" t="s">
        <v>197</v>
      </c>
      <c r="E4" s="12">
        <v>0.29166666666666669</v>
      </c>
      <c r="F4" s="12">
        <v>0.3125</v>
      </c>
      <c r="G4" s="12">
        <v>2.0833333333333332E-2</v>
      </c>
      <c r="H4" s="9" t="s">
        <v>62</v>
      </c>
      <c r="I4" s="13" t="s">
        <v>198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</row>
    <row r="5" spans="1:49" s="32" customFormat="1" ht="35.1" customHeight="1" x14ac:dyDescent="0.25">
      <c r="A5" s="9" t="s">
        <v>61</v>
      </c>
      <c r="B5" s="10">
        <v>46074</v>
      </c>
      <c r="C5" s="10">
        <v>46074</v>
      </c>
      <c r="D5" s="11" t="s">
        <v>197</v>
      </c>
      <c r="E5" s="12">
        <v>0.3125</v>
      </c>
      <c r="F5" s="12">
        <v>0.33333333333333331</v>
      </c>
      <c r="G5" s="12">
        <v>2.0833333333333332E-2</v>
      </c>
      <c r="H5" s="9" t="s">
        <v>62</v>
      </c>
      <c r="I5" s="13" t="s">
        <v>198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</row>
    <row r="6" spans="1:49" s="32" customFormat="1" ht="35.1" customHeight="1" x14ac:dyDescent="0.25">
      <c r="A6" s="17" t="s">
        <v>52</v>
      </c>
      <c r="B6" s="18">
        <v>46074</v>
      </c>
      <c r="C6" s="18">
        <v>46074</v>
      </c>
      <c r="D6" s="17" t="s">
        <v>197</v>
      </c>
      <c r="E6" s="19">
        <v>0.25</v>
      </c>
      <c r="F6" s="19">
        <v>0.99930555555555556</v>
      </c>
      <c r="G6" s="19">
        <v>3.4722222222222218E-4</v>
      </c>
      <c r="H6" s="17" t="s">
        <v>53</v>
      </c>
      <c r="I6" s="20">
        <v>0.31714120370370369</v>
      </c>
      <c r="J6" s="17" t="s">
        <v>41</v>
      </c>
      <c r="K6" s="17" t="s">
        <v>61</v>
      </c>
      <c r="L6" s="21">
        <v>1</v>
      </c>
      <c r="M6" s="21">
        <v>70964</v>
      </c>
      <c r="N6" s="17" t="s">
        <v>46</v>
      </c>
      <c r="O6" s="21" t="str">
        <f>AC6</f>
        <v>SFO</v>
      </c>
      <c r="P6" s="22">
        <v>0</v>
      </c>
      <c r="Q6" s="21"/>
      <c r="R6" s="22">
        <v>0</v>
      </c>
      <c r="S6" s="23">
        <v>46054</v>
      </c>
      <c r="T6" s="22">
        <v>0</v>
      </c>
      <c r="U6" s="24">
        <v>4</v>
      </c>
      <c r="V6" s="22">
        <v>0</v>
      </c>
      <c r="W6" s="17" t="s">
        <v>48</v>
      </c>
      <c r="X6" s="17" t="s">
        <v>49</v>
      </c>
      <c r="Y6" s="17" t="s">
        <v>36</v>
      </c>
      <c r="Z6" s="17" t="s">
        <v>9</v>
      </c>
      <c r="AA6" s="17" t="s">
        <v>50</v>
      </c>
      <c r="AB6" s="17" t="s">
        <v>54</v>
      </c>
      <c r="AC6" s="17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64</v>
      </c>
      <c r="B7" s="10">
        <v>46074</v>
      </c>
      <c r="C7" s="10">
        <v>46074</v>
      </c>
      <c r="D7" s="11" t="s">
        <v>197</v>
      </c>
      <c r="E7" s="12">
        <v>0.33333333333333331</v>
      </c>
      <c r="F7" s="12">
        <v>0.41666666666666669</v>
      </c>
      <c r="G7" s="12">
        <v>8.3333333333333329E-2</v>
      </c>
      <c r="H7" s="9" t="s">
        <v>68</v>
      </c>
      <c r="I7" s="13" t="s">
        <v>199</v>
      </c>
      <c r="J7" s="9" t="s">
        <v>66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2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2" customFormat="1" ht="35.1" customHeight="1" x14ac:dyDescent="0.25">
      <c r="A8" s="17" t="s">
        <v>52</v>
      </c>
      <c r="B8" s="18">
        <v>46074</v>
      </c>
      <c r="C8" s="18">
        <v>46074</v>
      </c>
      <c r="D8" s="17" t="s">
        <v>197</v>
      </c>
      <c r="E8" s="19">
        <v>0.33333333333333331</v>
      </c>
      <c r="F8" s="19">
        <v>0.41666666666666669</v>
      </c>
      <c r="G8" s="19">
        <v>3.4722222222222218E-4</v>
      </c>
      <c r="H8" s="17" t="s">
        <v>67</v>
      </c>
      <c r="I8" s="20">
        <v>0.38612268518518517</v>
      </c>
      <c r="J8" s="17" t="s">
        <v>66</v>
      </c>
      <c r="K8" s="17" t="s">
        <v>68</v>
      </c>
      <c r="L8" s="21">
        <v>1</v>
      </c>
      <c r="M8" s="21">
        <v>70970</v>
      </c>
      <c r="N8" s="17" t="s">
        <v>58</v>
      </c>
      <c r="O8" s="21" t="str">
        <f>AC8</f>
        <v>SFO</v>
      </c>
      <c r="P8" s="22">
        <v>117.65</v>
      </c>
      <c r="Q8" s="21"/>
      <c r="R8" s="22">
        <v>117.65</v>
      </c>
      <c r="S8" s="23">
        <v>46054</v>
      </c>
      <c r="T8" s="22">
        <v>8.8237500000000004</v>
      </c>
      <c r="U8" s="24">
        <v>4</v>
      </c>
      <c r="V8" s="22">
        <v>108.82625</v>
      </c>
      <c r="W8" s="17" t="s">
        <v>48</v>
      </c>
      <c r="X8" s="17" t="s">
        <v>49</v>
      </c>
      <c r="Y8" s="17" t="s">
        <v>36</v>
      </c>
      <c r="Z8" s="17" t="s">
        <v>9</v>
      </c>
      <c r="AA8" s="17" t="s">
        <v>50</v>
      </c>
      <c r="AB8" s="17" t="s">
        <v>54</v>
      </c>
      <c r="AC8" s="17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9" t="s">
        <v>99</v>
      </c>
      <c r="B9" s="10">
        <v>46074</v>
      </c>
      <c r="C9" s="10">
        <v>46074</v>
      </c>
      <c r="D9" s="11" t="s">
        <v>197</v>
      </c>
      <c r="E9" s="12">
        <v>0.41666666666666669</v>
      </c>
      <c r="F9" s="12">
        <v>0.45833333333333331</v>
      </c>
      <c r="G9" s="12">
        <v>4.1666666666666664E-2</v>
      </c>
      <c r="H9" s="9" t="s">
        <v>200</v>
      </c>
      <c r="I9" s="13"/>
      <c r="J9" s="9" t="s">
        <v>32</v>
      </c>
      <c r="K9" s="9"/>
      <c r="L9" s="14">
        <v>1</v>
      </c>
      <c r="M9" s="14">
        <v>1</v>
      </c>
      <c r="N9" s="9" t="s">
        <v>33</v>
      </c>
      <c r="O9" s="9"/>
      <c r="P9" s="16">
        <v>0</v>
      </c>
      <c r="Q9" s="14"/>
      <c r="R9" s="16">
        <v>0</v>
      </c>
      <c r="S9" s="9">
        <v>46054</v>
      </c>
      <c r="T9" s="16">
        <v>0</v>
      </c>
      <c r="U9" s="14">
        <v>1</v>
      </c>
      <c r="V9" s="16">
        <v>0</v>
      </c>
      <c r="W9" s="9" t="s">
        <v>34</v>
      </c>
      <c r="X9" s="9" t="s">
        <v>42</v>
      </c>
      <c r="Y9" s="9" t="s">
        <v>36</v>
      </c>
      <c r="Z9" s="9" t="s">
        <v>43</v>
      </c>
      <c r="AA9" s="9" t="s">
        <v>37</v>
      </c>
      <c r="AB9" s="9" t="s">
        <v>37</v>
      </c>
      <c r="AC9" s="9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9" t="s">
        <v>76</v>
      </c>
      <c r="B10" s="10">
        <v>46074</v>
      </c>
      <c r="C10" s="10">
        <v>46074</v>
      </c>
      <c r="D10" s="11" t="s">
        <v>197</v>
      </c>
      <c r="E10" s="12">
        <v>0.45833333333333331</v>
      </c>
      <c r="F10" s="12">
        <v>0.47916666666666669</v>
      </c>
      <c r="G10" s="12">
        <v>2.0833333333333332E-2</v>
      </c>
      <c r="H10" s="9" t="s">
        <v>150</v>
      </c>
      <c r="I10" s="13"/>
      <c r="J10" s="9" t="s">
        <v>81</v>
      </c>
      <c r="K10" s="9"/>
      <c r="L10" s="14">
        <v>1</v>
      </c>
      <c r="M10" s="14">
        <v>1</v>
      </c>
      <c r="N10" s="9" t="s">
        <v>33</v>
      </c>
      <c r="O10" s="9"/>
      <c r="P10" s="16">
        <v>0</v>
      </c>
      <c r="Q10" s="14"/>
      <c r="R10" s="16">
        <v>0</v>
      </c>
      <c r="S10" s="9">
        <v>46054</v>
      </c>
      <c r="T10" s="16">
        <v>0</v>
      </c>
      <c r="U10" s="14">
        <v>2</v>
      </c>
      <c r="V10" s="16">
        <v>0</v>
      </c>
      <c r="W10" s="9" t="s">
        <v>34</v>
      </c>
      <c r="X10" s="9" t="s">
        <v>42</v>
      </c>
      <c r="Y10" s="9" t="s">
        <v>36</v>
      </c>
      <c r="Z10" s="9" t="s">
        <v>43</v>
      </c>
      <c r="AA10" s="9" t="s">
        <v>37</v>
      </c>
      <c r="AB10" s="9" t="s">
        <v>37</v>
      </c>
      <c r="AC10" s="9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17" t="s">
        <v>84</v>
      </c>
      <c r="B11" s="18">
        <v>46074</v>
      </c>
      <c r="C11" s="18">
        <v>46074</v>
      </c>
      <c r="D11" s="17" t="s">
        <v>197</v>
      </c>
      <c r="E11" s="19">
        <v>0.45833333333333331</v>
      </c>
      <c r="F11" s="19">
        <v>0.54166666666666663</v>
      </c>
      <c r="G11" s="19">
        <v>3.4722222222222218E-4</v>
      </c>
      <c r="H11" s="17" t="s">
        <v>85</v>
      </c>
      <c r="I11" s="20">
        <v>0.46968749999999998</v>
      </c>
      <c r="J11" s="17" t="s">
        <v>81</v>
      </c>
      <c r="K11" s="17" t="s">
        <v>150</v>
      </c>
      <c r="L11" s="21">
        <v>1</v>
      </c>
      <c r="M11" s="21">
        <v>71448</v>
      </c>
      <c r="N11" s="17" t="s">
        <v>46</v>
      </c>
      <c r="O11" s="21" t="s">
        <v>86</v>
      </c>
      <c r="P11" s="22">
        <v>0</v>
      </c>
      <c r="Q11" s="21"/>
      <c r="R11" s="22">
        <v>0</v>
      </c>
      <c r="S11" s="23">
        <v>46074</v>
      </c>
      <c r="T11" s="22">
        <v>0</v>
      </c>
      <c r="U11" s="24">
        <v>4</v>
      </c>
      <c r="V11" s="22">
        <v>0</v>
      </c>
      <c r="W11" s="17" t="s">
        <v>48</v>
      </c>
      <c r="X11" s="17" t="s">
        <v>49</v>
      </c>
      <c r="Y11" s="17" t="s">
        <v>87</v>
      </c>
      <c r="Z11" s="17" t="s">
        <v>9</v>
      </c>
      <c r="AA11" s="17" t="s">
        <v>50</v>
      </c>
      <c r="AB11" s="17" t="s">
        <v>88</v>
      </c>
      <c r="AC11" s="17" t="s">
        <v>38</v>
      </c>
      <c r="AD11" s="7" t="str">
        <f t="shared" si="0"/>
        <v/>
      </c>
      <c r="AE11" s="25"/>
      <c r="AF11" s="25"/>
      <c r="AG11" s="25"/>
      <c r="AH11" s="25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49" s="32" customFormat="1" ht="35.1" customHeight="1" x14ac:dyDescent="0.25">
      <c r="A12" s="17" t="s">
        <v>92</v>
      </c>
      <c r="B12" s="18">
        <v>46074</v>
      </c>
      <c r="C12" s="18">
        <v>46074</v>
      </c>
      <c r="D12" s="17" t="s">
        <v>197</v>
      </c>
      <c r="E12" s="19">
        <v>0.45833333333333331</v>
      </c>
      <c r="F12" s="19">
        <v>0.5</v>
      </c>
      <c r="G12" s="19">
        <v>1.7361111111111109E-4</v>
      </c>
      <c r="H12" s="17" t="s">
        <v>169</v>
      </c>
      <c r="I12" s="20">
        <v>0.4700347222222222</v>
      </c>
      <c r="J12" s="17" t="s">
        <v>81</v>
      </c>
      <c r="K12" s="17" t="s">
        <v>150</v>
      </c>
      <c r="L12" s="21">
        <v>1</v>
      </c>
      <c r="M12" s="21">
        <v>71248</v>
      </c>
      <c r="N12" s="17" t="s">
        <v>58</v>
      </c>
      <c r="O12" s="21" t="s">
        <v>170</v>
      </c>
      <c r="P12" s="22">
        <v>70</v>
      </c>
      <c r="Q12" s="21"/>
      <c r="R12" s="22">
        <v>70</v>
      </c>
      <c r="S12" s="23">
        <v>46074</v>
      </c>
      <c r="T12" s="22">
        <v>10.5</v>
      </c>
      <c r="U12" s="24">
        <v>4</v>
      </c>
      <c r="V12" s="22">
        <v>59.5</v>
      </c>
      <c r="W12" s="17" t="s">
        <v>48</v>
      </c>
      <c r="X12" s="17" t="s">
        <v>49</v>
      </c>
      <c r="Y12" s="17" t="s">
        <v>87</v>
      </c>
      <c r="Z12" s="17" t="s">
        <v>9</v>
      </c>
      <c r="AA12" s="17" t="s">
        <v>50</v>
      </c>
      <c r="AB12" s="17" t="s">
        <v>171</v>
      </c>
      <c r="AC12" s="17" t="s">
        <v>38</v>
      </c>
      <c r="AD12" s="7" t="str">
        <f t="shared" si="0"/>
        <v/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32" customFormat="1" ht="35.1" customHeight="1" x14ac:dyDescent="0.25">
      <c r="A13" s="17" t="s">
        <v>92</v>
      </c>
      <c r="B13" s="18">
        <v>46074</v>
      </c>
      <c r="C13" s="18">
        <v>46074</v>
      </c>
      <c r="D13" s="17" t="s">
        <v>197</v>
      </c>
      <c r="E13" s="19">
        <v>0.45833333333333331</v>
      </c>
      <c r="F13" s="19">
        <v>0.5</v>
      </c>
      <c r="G13" s="19">
        <v>1.7361111111111109E-4</v>
      </c>
      <c r="H13" s="17" t="s">
        <v>98</v>
      </c>
      <c r="I13" s="20">
        <v>0.47797453703703702</v>
      </c>
      <c r="J13" s="17" t="s">
        <v>81</v>
      </c>
      <c r="K13" s="17" t="s">
        <v>150</v>
      </c>
      <c r="L13" s="21">
        <v>1</v>
      </c>
      <c r="M13" s="21">
        <v>71183</v>
      </c>
      <c r="N13" s="17" t="s">
        <v>58</v>
      </c>
      <c r="O13" s="21" t="s">
        <v>94</v>
      </c>
      <c r="P13" s="22">
        <v>70</v>
      </c>
      <c r="Q13" s="21"/>
      <c r="R13" s="22">
        <v>70</v>
      </c>
      <c r="S13" s="23">
        <v>46074</v>
      </c>
      <c r="T13" s="22">
        <v>10.5</v>
      </c>
      <c r="U13" s="24">
        <v>4</v>
      </c>
      <c r="V13" s="22">
        <v>59.5</v>
      </c>
      <c r="W13" s="17" t="s">
        <v>48</v>
      </c>
      <c r="X13" s="17" t="s">
        <v>49</v>
      </c>
      <c r="Y13" s="17" t="s">
        <v>87</v>
      </c>
      <c r="Z13" s="17" t="s">
        <v>9</v>
      </c>
      <c r="AA13" s="17" t="s">
        <v>50</v>
      </c>
      <c r="AB13" s="17" t="s">
        <v>95</v>
      </c>
      <c r="AC13" s="17" t="s">
        <v>38</v>
      </c>
      <c r="AD13" s="7" t="str">
        <f t="shared" si="0"/>
        <v/>
      </c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</row>
    <row r="14" spans="1:49" s="32" customFormat="1" ht="35.1" customHeight="1" x14ac:dyDescent="0.25">
      <c r="A14" s="9" t="s">
        <v>76</v>
      </c>
      <c r="B14" s="10">
        <v>46074</v>
      </c>
      <c r="C14" s="10">
        <v>46074</v>
      </c>
      <c r="D14" s="11" t="s">
        <v>197</v>
      </c>
      <c r="E14" s="12">
        <v>0.47916666666666669</v>
      </c>
      <c r="F14" s="12">
        <v>0.48958333333333331</v>
      </c>
      <c r="G14" s="12">
        <v>1.0416666666666666E-2</v>
      </c>
      <c r="H14" s="9" t="s">
        <v>201</v>
      </c>
      <c r="I14" s="13"/>
      <c r="J14" s="9" t="s">
        <v>81</v>
      </c>
      <c r="K14" s="9"/>
      <c r="L14" s="14">
        <v>1</v>
      </c>
      <c r="M14" s="14">
        <v>1</v>
      </c>
      <c r="N14" s="9" t="s">
        <v>33</v>
      </c>
      <c r="O14" s="9"/>
      <c r="P14" s="16">
        <v>0</v>
      </c>
      <c r="Q14" s="14"/>
      <c r="R14" s="16">
        <v>0</v>
      </c>
      <c r="S14" s="9">
        <v>46054</v>
      </c>
      <c r="T14" s="16">
        <v>0</v>
      </c>
      <c r="U14" s="14">
        <v>2</v>
      </c>
      <c r="V14" s="16">
        <v>0</v>
      </c>
      <c r="W14" s="9" t="s">
        <v>34</v>
      </c>
      <c r="X14" s="9" t="s">
        <v>42</v>
      </c>
      <c r="Y14" s="9" t="s">
        <v>36</v>
      </c>
      <c r="Z14" s="9" t="s">
        <v>43</v>
      </c>
      <c r="AA14" s="9" t="s">
        <v>37</v>
      </c>
      <c r="AB14" s="9" t="s">
        <v>37</v>
      </c>
      <c r="AC14" s="9" t="s">
        <v>38</v>
      </c>
      <c r="AD14" s="7" t="str">
        <f t="shared" si="0"/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32" customFormat="1" ht="35.1" customHeight="1" x14ac:dyDescent="0.25">
      <c r="A15" s="17" t="s">
        <v>79</v>
      </c>
      <c r="B15" s="18">
        <v>46074</v>
      </c>
      <c r="C15" s="18">
        <v>46074</v>
      </c>
      <c r="D15" s="17" t="s">
        <v>197</v>
      </c>
      <c r="E15" s="19">
        <v>0.47916666666666669</v>
      </c>
      <c r="F15" s="19">
        <v>0.5</v>
      </c>
      <c r="G15" s="19">
        <v>1.7361111111111109E-4</v>
      </c>
      <c r="H15" s="17" t="s">
        <v>80</v>
      </c>
      <c r="I15" s="20">
        <v>0.48942129629629627</v>
      </c>
      <c r="J15" s="17" t="s">
        <v>81</v>
      </c>
      <c r="K15" s="17" t="s">
        <v>201</v>
      </c>
      <c r="L15" s="21">
        <v>1</v>
      </c>
      <c r="M15" s="21">
        <v>70034</v>
      </c>
      <c r="N15" s="17" t="s">
        <v>58</v>
      </c>
      <c r="O15" s="21" t="s">
        <v>82</v>
      </c>
      <c r="P15" s="22">
        <v>44.71</v>
      </c>
      <c r="Q15" s="21"/>
      <c r="R15" s="22">
        <v>44.71</v>
      </c>
      <c r="S15" s="23">
        <v>46054</v>
      </c>
      <c r="T15" s="22">
        <v>6.7065000000000001</v>
      </c>
      <c r="U15" s="24">
        <v>4</v>
      </c>
      <c r="V15" s="22">
        <v>38.003500000000003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83</v>
      </c>
      <c r="AC15" s="17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17" t="s">
        <v>92</v>
      </c>
      <c r="B16" s="18">
        <v>46074</v>
      </c>
      <c r="C16" s="18">
        <v>46074</v>
      </c>
      <c r="D16" s="17" t="s">
        <v>197</v>
      </c>
      <c r="E16" s="19">
        <v>0.47916666666666669</v>
      </c>
      <c r="F16" s="19">
        <v>0.5</v>
      </c>
      <c r="G16" s="19">
        <v>5.7870370370370373E-5</v>
      </c>
      <c r="H16" s="17" t="s">
        <v>153</v>
      </c>
      <c r="I16" s="20">
        <v>0.49342592592592593</v>
      </c>
      <c r="J16" s="17" t="s">
        <v>81</v>
      </c>
      <c r="K16" s="17" t="s">
        <v>201</v>
      </c>
      <c r="L16" s="21">
        <v>1</v>
      </c>
      <c r="M16" s="21">
        <v>71842</v>
      </c>
      <c r="N16" s="17" t="s">
        <v>58</v>
      </c>
      <c r="O16" s="21" t="s">
        <v>154</v>
      </c>
      <c r="P16" s="22">
        <v>41.025641025641029</v>
      </c>
      <c r="Q16" s="21"/>
      <c r="R16" s="22">
        <v>41.025641025641029</v>
      </c>
      <c r="S16" s="23">
        <v>46074</v>
      </c>
      <c r="T16" s="22">
        <v>6.1538461538461542</v>
      </c>
      <c r="U16" s="24">
        <v>4</v>
      </c>
      <c r="V16" s="22">
        <v>34.871794871794876</v>
      </c>
      <c r="W16" s="17" t="s">
        <v>48</v>
      </c>
      <c r="X16" s="17" t="s">
        <v>49</v>
      </c>
      <c r="Y16" s="17" t="s">
        <v>87</v>
      </c>
      <c r="Z16" s="17" t="s">
        <v>9</v>
      </c>
      <c r="AA16" s="17" t="s">
        <v>50</v>
      </c>
      <c r="AB16" s="17" t="s">
        <v>155</v>
      </c>
      <c r="AC16" s="17" t="s">
        <v>38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2" customFormat="1" ht="35.1" customHeight="1" x14ac:dyDescent="0.25">
      <c r="A17" s="9" t="s">
        <v>76</v>
      </c>
      <c r="B17" s="10">
        <v>46074</v>
      </c>
      <c r="C17" s="10">
        <v>46074</v>
      </c>
      <c r="D17" s="11" t="s">
        <v>197</v>
      </c>
      <c r="E17" s="12">
        <v>0.48958333333333331</v>
      </c>
      <c r="F17" s="12">
        <v>0.5</v>
      </c>
      <c r="G17" s="12">
        <v>1.0416666666666666E-2</v>
      </c>
      <c r="H17" s="9" t="s">
        <v>202</v>
      </c>
      <c r="I17" s="13"/>
      <c r="J17" s="9" t="s">
        <v>81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</row>
    <row r="18" spans="1:49" s="32" customFormat="1" ht="35.1" customHeight="1" x14ac:dyDescent="0.25">
      <c r="A18" s="17" t="s">
        <v>92</v>
      </c>
      <c r="B18" s="18">
        <v>46074</v>
      </c>
      <c r="C18" s="18">
        <v>46074</v>
      </c>
      <c r="D18" s="17" t="s">
        <v>197</v>
      </c>
      <c r="E18" s="19">
        <v>0.45833333333333331</v>
      </c>
      <c r="F18" s="19">
        <v>0.5</v>
      </c>
      <c r="G18" s="19">
        <v>1.7361111111111109E-4</v>
      </c>
      <c r="H18" s="17" t="s">
        <v>98</v>
      </c>
      <c r="I18" s="20">
        <v>0.49341435185185184</v>
      </c>
      <c r="J18" s="17" t="s">
        <v>81</v>
      </c>
      <c r="K18" s="17" t="s">
        <v>137</v>
      </c>
      <c r="L18" s="21">
        <v>1</v>
      </c>
      <c r="M18" s="21">
        <v>71183</v>
      </c>
      <c r="N18" s="17" t="s">
        <v>58</v>
      </c>
      <c r="O18" s="21" t="s">
        <v>94</v>
      </c>
      <c r="P18" s="22">
        <v>70</v>
      </c>
      <c r="Q18" s="21"/>
      <c r="R18" s="22">
        <v>70</v>
      </c>
      <c r="S18" s="23">
        <v>46074</v>
      </c>
      <c r="T18" s="22">
        <v>10.5</v>
      </c>
      <c r="U18" s="24">
        <v>4</v>
      </c>
      <c r="V18" s="22">
        <v>59.5</v>
      </c>
      <c r="W18" s="17" t="s">
        <v>48</v>
      </c>
      <c r="X18" s="17" t="s">
        <v>49</v>
      </c>
      <c r="Y18" s="17" t="s">
        <v>87</v>
      </c>
      <c r="Z18" s="17" t="s">
        <v>9</v>
      </c>
      <c r="AA18" s="17" t="s">
        <v>50</v>
      </c>
      <c r="AB18" s="17" t="s">
        <v>95</v>
      </c>
      <c r="AC18" s="17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9" t="s">
        <v>76</v>
      </c>
      <c r="B19" s="10">
        <v>46074</v>
      </c>
      <c r="C19" s="10">
        <v>46074</v>
      </c>
      <c r="D19" s="11" t="s">
        <v>197</v>
      </c>
      <c r="E19" s="12">
        <v>0.5</v>
      </c>
      <c r="F19" s="12">
        <v>0.54166666666666663</v>
      </c>
      <c r="G19" s="12">
        <v>4.1666666666666664E-2</v>
      </c>
      <c r="H19" s="9" t="s">
        <v>203</v>
      </c>
      <c r="I19" s="13"/>
      <c r="J19" s="9" t="s">
        <v>81</v>
      </c>
      <c r="K19" s="9"/>
      <c r="L19" s="14">
        <v>1</v>
      </c>
      <c r="M19" s="14">
        <v>1</v>
      </c>
      <c r="N19" s="9" t="s">
        <v>33</v>
      </c>
      <c r="O19" s="9"/>
      <c r="P19" s="16">
        <v>0</v>
      </c>
      <c r="Q19" s="14"/>
      <c r="R19" s="16">
        <v>0</v>
      </c>
      <c r="S19" s="9">
        <v>46054</v>
      </c>
      <c r="T19" s="16">
        <v>0</v>
      </c>
      <c r="U19" s="14">
        <v>2</v>
      </c>
      <c r="V19" s="16">
        <v>0</v>
      </c>
      <c r="W19" s="9" t="s">
        <v>34</v>
      </c>
      <c r="X19" s="9" t="s">
        <v>42</v>
      </c>
      <c r="Y19" s="9" t="s">
        <v>36</v>
      </c>
      <c r="Z19" s="9" t="s">
        <v>43</v>
      </c>
      <c r="AA19" s="9" t="s">
        <v>37</v>
      </c>
      <c r="AB19" s="9" t="s">
        <v>37</v>
      </c>
      <c r="AC19" s="9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17" t="s">
        <v>79</v>
      </c>
      <c r="B20" s="18">
        <v>46074</v>
      </c>
      <c r="C20" s="18">
        <v>46074</v>
      </c>
      <c r="D20" s="17" t="s">
        <v>197</v>
      </c>
      <c r="E20" s="19">
        <v>0.45833333333333331</v>
      </c>
      <c r="F20" s="19">
        <v>0.54166666666666663</v>
      </c>
      <c r="G20" s="19">
        <v>1.7361111111111109E-4</v>
      </c>
      <c r="H20" s="17" t="s">
        <v>91</v>
      </c>
      <c r="I20" s="20">
        <v>0.53196759259259263</v>
      </c>
      <c r="J20" s="17" t="s">
        <v>81</v>
      </c>
      <c r="K20" s="17" t="s">
        <v>138</v>
      </c>
      <c r="L20" s="21">
        <v>1</v>
      </c>
      <c r="M20" s="21">
        <v>70037</v>
      </c>
      <c r="N20" s="17" t="s">
        <v>46</v>
      </c>
      <c r="O20" s="21" t="s">
        <v>82</v>
      </c>
      <c r="P20" s="22">
        <v>0</v>
      </c>
      <c r="Q20" s="21"/>
      <c r="R20" s="22">
        <v>0</v>
      </c>
      <c r="S20" s="23">
        <v>46054</v>
      </c>
      <c r="T20" s="22">
        <v>0</v>
      </c>
      <c r="U20" s="24">
        <v>4</v>
      </c>
      <c r="V20" s="22">
        <v>0</v>
      </c>
      <c r="W20" s="17" t="s">
        <v>48</v>
      </c>
      <c r="X20" s="17" t="s">
        <v>49</v>
      </c>
      <c r="Y20" s="17" t="s">
        <v>36</v>
      </c>
      <c r="Z20" s="17" t="s">
        <v>9</v>
      </c>
      <c r="AA20" s="17" t="s">
        <v>50</v>
      </c>
      <c r="AB20" s="17" t="s">
        <v>83</v>
      </c>
      <c r="AC20" s="17" t="s">
        <v>38</v>
      </c>
      <c r="AD20" s="7" t="str">
        <f t="shared" si="0"/>
        <v/>
      </c>
      <c r="AE20" s="25"/>
      <c r="AF20" s="25"/>
      <c r="AG20" s="25"/>
      <c r="AH20" s="25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</row>
    <row r="21" spans="1:49" s="32" customFormat="1" ht="35.1" customHeight="1" x14ac:dyDescent="0.25">
      <c r="A21" s="9" t="s">
        <v>204</v>
      </c>
      <c r="B21" s="10">
        <v>46074</v>
      </c>
      <c r="C21" s="10">
        <v>46074</v>
      </c>
      <c r="D21" s="11" t="s">
        <v>197</v>
      </c>
      <c r="E21" s="12">
        <v>0.54166666666666663</v>
      </c>
      <c r="F21" s="12">
        <v>0.58333333333333337</v>
      </c>
      <c r="G21" s="12">
        <v>4.1666666666666664E-2</v>
      </c>
      <c r="H21" s="33" t="s">
        <v>204</v>
      </c>
      <c r="I21" s="13"/>
      <c r="J21" s="9" t="s">
        <v>103</v>
      </c>
      <c r="K21" s="9" t="s">
        <v>205</v>
      </c>
      <c r="L21" s="14">
        <v>1</v>
      </c>
      <c r="M21" s="14">
        <v>1</v>
      </c>
      <c r="N21" s="9" t="s">
        <v>33</v>
      </c>
      <c r="O21" s="9"/>
      <c r="P21" s="16">
        <v>0</v>
      </c>
      <c r="Q21" s="14"/>
      <c r="R21" s="16">
        <v>0</v>
      </c>
      <c r="S21" s="9">
        <v>46054</v>
      </c>
      <c r="T21" s="16">
        <v>0</v>
      </c>
      <c r="U21" s="14">
        <v>1</v>
      </c>
      <c r="V21" s="16">
        <v>0</v>
      </c>
      <c r="W21" s="9" t="s">
        <v>34</v>
      </c>
      <c r="X21" s="9" t="s">
        <v>35</v>
      </c>
      <c r="Y21" s="9" t="s">
        <v>36</v>
      </c>
      <c r="Z21" s="9" t="s">
        <v>73</v>
      </c>
      <c r="AA21" s="9" t="s">
        <v>37</v>
      </c>
      <c r="AB21" s="9" t="s">
        <v>37</v>
      </c>
      <c r="AC21" s="9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206</v>
      </c>
      <c r="B22" s="10">
        <v>46074</v>
      </c>
      <c r="C22" s="10">
        <v>46074</v>
      </c>
      <c r="D22" s="11" t="s">
        <v>197</v>
      </c>
      <c r="E22" s="12">
        <v>0.58333333333333337</v>
      </c>
      <c r="F22" s="12">
        <v>0.625</v>
      </c>
      <c r="G22" s="12">
        <v>4.1666666666666664E-2</v>
      </c>
      <c r="H22" s="9" t="s">
        <v>207</v>
      </c>
      <c r="I22" s="13"/>
      <c r="J22" s="9" t="s">
        <v>103</v>
      </c>
      <c r="K22" s="9" t="s">
        <v>208</v>
      </c>
      <c r="L22" s="14">
        <v>1</v>
      </c>
      <c r="M22" s="14">
        <v>1</v>
      </c>
      <c r="N22" s="9" t="s">
        <v>33</v>
      </c>
      <c r="O22" s="9"/>
      <c r="P22" s="15">
        <v>0</v>
      </c>
      <c r="Q22" s="14"/>
      <c r="R22" s="16">
        <v>0</v>
      </c>
      <c r="S22" s="9">
        <v>46054</v>
      </c>
      <c r="T22" s="16">
        <v>0</v>
      </c>
      <c r="U22" s="14">
        <v>1</v>
      </c>
      <c r="V22" s="16">
        <v>0</v>
      </c>
      <c r="W22" s="9" t="s">
        <v>34</v>
      </c>
      <c r="X22" s="9" t="s">
        <v>35</v>
      </c>
      <c r="Y22" s="9" t="s">
        <v>36</v>
      </c>
      <c r="Z22" s="9" t="s">
        <v>73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9" t="s">
        <v>209</v>
      </c>
      <c r="B23" s="10">
        <v>46074</v>
      </c>
      <c r="C23" s="10">
        <v>46074</v>
      </c>
      <c r="D23" s="11" t="s">
        <v>197</v>
      </c>
      <c r="E23" s="12">
        <v>0.625</v>
      </c>
      <c r="F23" s="12">
        <v>0.66666666666666663</v>
      </c>
      <c r="G23" s="12">
        <v>4.1666666666666664E-2</v>
      </c>
      <c r="H23" s="9" t="s">
        <v>209</v>
      </c>
      <c r="I23" s="13"/>
      <c r="J23" s="9" t="s">
        <v>103</v>
      </c>
      <c r="K23" s="9" t="s">
        <v>209</v>
      </c>
      <c r="L23" s="14">
        <v>1</v>
      </c>
      <c r="M23" s="14">
        <v>1</v>
      </c>
      <c r="N23" s="9" t="s">
        <v>33</v>
      </c>
      <c r="O23" s="9"/>
      <c r="P23" s="16">
        <v>0</v>
      </c>
      <c r="Q23" s="14"/>
      <c r="R23" s="16">
        <v>0</v>
      </c>
      <c r="S23" s="9">
        <v>46074</v>
      </c>
      <c r="T23" s="16">
        <v>0</v>
      </c>
      <c r="U23" s="14">
        <v>1</v>
      </c>
      <c r="V23" s="16">
        <v>0</v>
      </c>
      <c r="W23" s="9" t="s">
        <v>34</v>
      </c>
      <c r="X23" s="9" t="s">
        <v>42</v>
      </c>
      <c r="Y23" s="9" t="s">
        <v>87</v>
      </c>
      <c r="Z23" s="9" t="s">
        <v>73</v>
      </c>
      <c r="AA23" s="9" t="s">
        <v>37</v>
      </c>
      <c r="AB23" s="9" t="s">
        <v>37</v>
      </c>
      <c r="AC23" s="9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17" t="s">
        <v>79</v>
      </c>
      <c r="B24" s="18">
        <v>46074</v>
      </c>
      <c r="C24" s="18">
        <v>46074</v>
      </c>
      <c r="D24" s="17" t="s">
        <v>197</v>
      </c>
      <c r="E24" s="19">
        <v>0.54166666666666663</v>
      </c>
      <c r="F24" s="19">
        <v>0.66666666666666663</v>
      </c>
      <c r="G24" s="19">
        <v>1.7361111111111109E-4</v>
      </c>
      <c r="H24" s="17" t="s">
        <v>107</v>
      </c>
      <c r="I24" s="20">
        <v>0.64366898148148144</v>
      </c>
      <c r="J24" s="17" t="s">
        <v>103</v>
      </c>
      <c r="K24" s="17" t="s">
        <v>214</v>
      </c>
      <c r="L24" s="21">
        <v>1</v>
      </c>
      <c r="M24" s="21">
        <v>70030</v>
      </c>
      <c r="N24" s="17" t="s">
        <v>58</v>
      </c>
      <c r="O24" s="21" t="s">
        <v>105</v>
      </c>
      <c r="P24" s="22">
        <v>44.71</v>
      </c>
      <c r="Q24" s="21"/>
      <c r="R24" s="22">
        <v>44.71</v>
      </c>
      <c r="S24" s="23">
        <v>46054</v>
      </c>
      <c r="T24" s="22">
        <v>6.7065000000000001</v>
      </c>
      <c r="U24" s="24">
        <v>4</v>
      </c>
      <c r="V24" s="22">
        <v>38.003500000000003</v>
      </c>
      <c r="W24" s="17" t="s">
        <v>48</v>
      </c>
      <c r="X24" s="17" t="s">
        <v>49</v>
      </c>
      <c r="Y24" s="17" t="s">
        <v>36</v>
      </c>
      <c r="Z24" s="17" t="s">
        <v>9</v>
      </c>
      <c r="AA24" s="17" t="s">
        <v>50</v>
      </c>
      <c r="AB24" s="17" t="s">
        <v>106</v>
      </c>
      <c r="AC24" s="17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17" t="s">
        <v>79</v>
      </c>
      <c r="B25" s="18">
        <v>46074</v>
      </c>
      <c r="C25" s="18">
        <v>46074</v>
      </c>
      <c r="D25" s="17" t="s">
        <v>197</v>
      </c>
      <c r="E25" s="19">
        <v>0.54166666666666663</v>
      </c>
      <c r="F25" s="19">
        <v>0.66666666666666663</v>
      </c>
      <c r="G25" s="19">
        <v>1.7361111111111109E-4</v>
      </c>
      <c r="H25" s="17" t="s">
        <v>104</v>
      </c>
      <c r="I25" s="20">
        <v>0.66546296296296292</v>
      </c>
      <c r="J25" s="17" t="s">
        <v>103</v>
      </c>
      <c r="K25" s="17" t="s">
        <v>214</v>
      </c>
      <c r="L25" s="21">
        <v>1</v>
      </c>
      <c r="M25" s="21">
        <v>70030</v>
      </c>
      <c r="N25" s="17" t="s">
        <v>58</v>
      </c>
      <c r="O25" s="21" t="s">
        <v>105</v>
      </c>
      <c r="P25" s="22">
        <v>44.71</v>
      </c>
      <c r="Q25" s="21"/>
      <c r="R25" s="22">
        <v>44.71</v>
      </c>
      <c r="S25" s="23">
        <v>46054</v>
      </c>
      <c r="T25" s="22">
        <v>6.7065000000000001</v>
      </c>
      <c r="U25" s="24">
        <v>4</v>
      </c>
      <c r="V25" s="22">
        <v>38.003500000000003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106</v>
      </c>
      <c r="AC25" s="17" t="s">
        <v>38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2" customFormat="1" ht="35.1" customHeight="1" x14ac:dyDescent="0.25">
      <c r="A26" s="9" t="s">
        <v>114</v>
      </c>
      <c r="B26" s="10">
        <v>46074</v>
      </c>
      <c r="C26" s="10">
        <v>46074</v>
      </c>
      <c r="D26" s="11" t="s">
        <v>197</v>
      </c>
      <c r="E26" s="12">
        <v>0.66666666666666663</v>
      </c>
      <c r="F26" s="12">
        <v>0.70833333333333337</v>
      </c>
      <c r="G26" s="12">
        <v>4.1666666666666664E-2</v>
      </c>
      <c r="H26" s="9" t="s">
        <v>120</v>
      </c>
      <c r="I26" s="13" t="s">
        <v>199</v>
      </c>
      <c r="J26" s="9" t="s">
        <v>116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5">
      <c r="A27" s="9" t="s">
        <v>118</v>
      </c>
      <c r="B27" s="10">
        <v>46074</v>
      </c>
      <c r="C27" s="10">
        <v>46074</v>
      </c>
      <c r="D27" s="11" t="s">
        <v>197</v>
      </c>
      <c r="E27" s="12">
        <v>0.70833333333333337</v>
      </c>
      <c r="F27" s="12">
        <v>0.75</v>
      </c>
      <c r="G27" s="12">
        <v>4.1666666666666664E-2</v>
      </c>
      <c r="H27" s="9" t="s">
        <v>159</v>
      </c>
      <c r="I27" s="13" t="s">
        <v>199</v>
      </c>
      <c r="J27" s="9" t="s">
        <v>116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5.1" customHeight="1" x14ac:dyDescent="0.25">
      <c r="A28" s="9" t="s">
        <v>210</v>
      </c>
      <c r="B28" s="10">
        <v>46074</v>
      </c>
      <c r="C28" s="10">
        <v>46074</v>
      </c>
      <c r="D28" s="11" t="s">
        <v>197</v>
      </c>
      <c r="E28" s="12">
        <v>0.75</v>
      </c>
      <c r="F28" s="12">
        <v>0.79166666666666663</v>
      </c>
      <c r="G28" s="12">
        <v>4.1666666666666664E-2</v>
      </c>
      <c r="H28" s="9" t="s">
        <v>211</v>
      </c>
      <c r="I28" s="13"/>
      <c r="J28" s="9" t="s">
        <v>212</v>
      </c>
      <c r="K28" s="9"/>
      <c r="L28" s="14">
        <v>1</v>
      </c>
      <c r="M28" s="14">
        <v>1</v>
      </c>
      <c r="N28" s="9" t="s">
        <v>33</v>
      </c>
      <c r="O28" s="9"/>
      <c r="P28" s="16">
        <v>0</v>
      </c>
      <c r="Q28" s="14"/>
      <c r="R28" s="16">
        <v>0</v>
      </c>
      <c r="S28" s="9">
        <v>46054</v>
      </c>
      <c r="T28" s="16">
        <v>0</v>
      </c>
      <c r="U28" s="14">
        <v>2</v>
      </c>
      <c r="V28" s="16">
        <v>0</v>
      </c>
      <c r="W28" s="9" t="s">
        <v>34</v>
      </c>
      <c r="X28" s="9" t="s">
        <v>42</v>
      </c>
      <c r="Y28" s="9" t="s">
        <v>36</v>
      </c>
      <c r="Z28" s="9" t="s">
        <v>43</v>
      </c>
      <c r="AA28" s="9" t="s">
        <v>37</v>
      </c>
      <c r="AB28" s="9" t="s">
        <v>37</v>
      </c>
      <c r="AC28" s="9" t="s">
        <v>38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2" customFormat="1" ht="35.1" customHeight="1" x14ac:dyDescent="0.25">
      <c r="A29" s="9" t="s">
        <v>210</v>
      </c>
      <c r="B29" s="10">
        <v>46074</v>
      </c>
      <c r="C29" s="10">
        <v>46074</v>
      </c>
      <c r="D29" s="11" t="s">
        <v>197</v>
      </c>
      <c r="E29" s="12">
        <v>0.79166666666666663</v>
      </c>
      <c r="F29" s="12">
        <v>0.83333333333333337</v>
      </c>
      <c r="G29" s="12">
        <v>4.1666666666666664E-2</v>
      </c>
      <c r="H29" s="9" t="s">
        <v>213</v>
      </c>
      <c r="I29" s="13"/>
      <c r="J29" s="9" t="s">
        <v>212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25"/>
      <c r="AF29" s="25"/>
      <c r="AG29" s="25"/>
      <c r="AH29" s="25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</row>
    <row r="30" spans="1:49" s="32" customFormat="1" ht="35.1" customHeight="1" x14ac:dyDescent="0.25">
      <c r="A30" s="9" t="s">
        <v>131</v>
      </c>
      <c r="B30" s="10">
        <v>46074</v>
      </c>
      <c r="C30" s="10">
        <v>46074</v>
      </c>
      <c r="D30" s="11" t="s">
        <v>197</v>
      </c>
      <c r="E30" s="12">
        <v>0.83333333333333337</v>
      </c>
      <c r="F30" s="12">
        <v>0.875</v>
      </c>
      <c r="G30" s="12">
        <v>4.1666666666666664E-2</v>
      </c>
      <c r="H30" s="9" t="s">
        <v>132</v>
      </c>
      <c r="I30" s="13"/>
      <c r="J30" s="9" t="s">
        <v>41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2" customFormat="1" ht="35.1" customHeight="1" x14ac:dyDescent="0.25">
      <c r="A31" s="17" t="s">
        <v>52</v>
      </c>
      <c r="B31" s="18">
        <v>46074</v>
      </c>
      <c r="C31" s="18">
        <v>46074</v>
      </c>
      <c r="D31" s="17" t="s">
        <v>197</v>
      </c>
      <c r="E31" s="19">
        <v>0.83333333333333337</v>
      </c>
      <c r="F31" s="19">
        <v>0.875</v>
      </c>
      <c r="G31" s="19">
        <v>3.4722222222222218E-4</v>
      </c>
      <c r="H31" s="17" t="s">
        <v>53</v>
      </c>
      <c r="I31" s="20">
        <v>0.86862268518518515</v>
      </c>
      <c r="J31" s="17" t="s">
        <v>41</v>
      </c>
      <c r="K31" s="17" t="s">
        <v>144</v>
      </c>
      <c r="L31" s="21">
        <v>1</v>
      </c>
      <c r="M31" s="21">
        <v>70962</v>
      </c>
      <c r="N31" s="17" t="s">
        <v>58</v>
      </c>
      <c r="O31" s="21" t="str">
        <f>AC31</f>
        <v>SFO</v>
      </c>
      <c r="P31" s="22">
        <v>117.65</v>
      </c>
      <c r="Q31" s="21"/>
      <c r="R31" s="22">
        <v>117.65</v>
      </c>
      <c r="S31" s="23">
        <v>46054</v>
      </c>
      <c r="T31" s="22">
        <v>8.8237500000000004</v>
      </c>
      <c r="U31" s="24">
        <v>4</v>
      </c>
      <c r="V31" s="22">
        <v>108.82625</v>
      </c>
      <c r="W31" s="17" t="s">
        <v>48</v>
      </c>
      <c r="X31" s="17" t="s">
        <v>49</v>
      </c>
      <c r="Y31" s="17" t="s">
        <v>36</v>
      </c>
      <c r="Z31" s="17" t="s">
        <v>9</v>
      </c>
      <c r="AA31" s="17" t="s">
        <v>50</v>
      </c>
      <c r="AB31" s="17" t="s">
        <v>54</v>
      </c>
      <c r="AC31" s="17" t="s">
        <v>38</v>
      </c>
      <c r="AD31" s="7" t="str">
        <f t="shared" si="0"/>
        <v/>
      </c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</row>
    <row r="32" spans="1:49" s="32" customFormat="1" ht="35.1" customHeight="1" x14ac:dyDescent="0.25">
      <c r="A32" s="17" t="s">
        <v>44</v>
      </c>
      <c r="B32" s="18">
        <v>46074</v>
      </c>
      <c r="C32" s="18">
        <v>46074</v>
      </c>
      <c r="D32" s="17" t="s">
        <v>197</v>
      </c>
      <c r="E32" s="19">
        <v>0.25</v>
      </c>
      <c r="F32" s="19">
        <v>0.99930555555555556</v>
      </c>
      <c r="G32" s="19">
        <v>1.6203703703703701E-4</v>
      </c>
      <c r="H32" s="17" t="s">
        <v>45</v>
      </c>
      <c r="I32" s="20">
        <v>0.87445601851851851</v>
      </c>
      <c r="J32" s="17" t="s">
        <v>41</v>
      </c>
      <c r="K32" s="17" t="s">
        <v>144</v>
      </c>
      <c r="L32" s="21">
        <v>1</v>
      </c>
      <c r="M32" s="21">
        <v>66852</v>
      </c>
      <c r="N32" s="17" t="s">
        <v>46</v>
      </c>
      <c r="O32" s="21" t="s">
        <v>47</v>
      </c>
      <c r="P32" s="22">
        <v>0</v>
      </c>
      <c r="Q32" s="21"/>
      <c r="R32" s="22">
        <v>0</v>
      </c>
      <c r="S32" s="23">
        <v>46054</v>
      </c>
      <c r="T32" s="22">
        <v>0</v>
      </c>
      <c r="U32" s="24">
        <v>4</v>
      </c>
      <c r="V32" s="22">
        <v>0</v>
      </c>
      <c r="W32" s="17" t="s">
        <v>48</v>
      </c>
      <c r="X32" s="17" t="s">
        <v>49</v>
      </c>
      <c r="Y32" s="17" t="s">
        <v>36</v>
      </c>
      <c r="Z32" s="17" t="s">
        <v>9</v>
      </c>
      <c r="AA32" s="17" t="s">
        <v>50</v>
      </c>
      <c r="AB32" s="17" t="s">
        <v>51</v>
      </c>
      <c r="AC32" s="17" t="s">
        <v>38</v>
      </c>
      <c r="AD32" s="7" t="str">
        <f t="shared" si="0"/>
        <v/>
      </c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</row>
    <row r="33" spans="1:49" s="32" customFormat="1" ht="35.1" customHeight="1" x14ac:dyDescent="0.25">
      <c r="A33" s="9" t="s">
        <v>133</v>
      </c>
      <c r="B33" s="10">
        <v>46074</v>
      </c>
      <c r="C33" s="10">
        <v>46074</v>
      </c>
      <c r="D33" s="11" t="s">
        <v>197</v>
      </c>
      <c r="E33" s="12">
        <v>0.875</v>
      </c>
      <c r="F33" s="12">
        <v>0.9375</v>
      </c>
      <c r="G33" s="12">
        <v>6.25E-2</v>
      </c>
      <c r="H33" s="9" t="s">
        <v>135</v>
      </c>
      <c r="I33" s="13" t="s">
        <v>199</v>
      </c>
      <c r="J33" s="9" t="s">
        <v>41</v>
      </c>
      <c r="K33" s="9"/>
      <c r="L33" s="14">
        <v>1</v>
      </c>
      <c r="M33" s="14">
        <v>1</v>
      </c>
      <c r="N33" s="9" t="s">
        <v>33</v>
      </c>
      <c r="O33" s="9"/>
      <c r="P33" s="16">
        <v>0</v>
      </c>
      <c r="Q33" s="14"/>
      <c r="R33" s="16">
        <v>0</v>
      </c>
      <c r="S33" s="9">
        <v>46054</v>
      </c>
      <c r="T33" s="16">
        <v>0</v>
      </c>
      <c r="U33" s="14">
        <v>2</v>
      </c>
      <c r="V33" s="16">
        <v>0</v>
      </c>
      <c r="W33" s="9" t="s">
        <v>34</v>
      </c>
      <c r="X33" s="9" t="s">
        <v>42</v>
      </c>
      <c r="Y33" s="9" t="s">
        <v>36</v>
      </c>
      <c r="Z33" s="9" t="s">
        <v>43</v>
      </c>
      <c r="AA33" s="9" t="s">
        <v>37</v>
      </c>
      <c r="AB33" s="9" t="s">
        <v>37</v>
      </c>
      <c r="AC33" s="9" t="s">
        <v>38</v>
      </c>
      <c r="AD33" s="7" t="str">
        <f t="shared" si="0"/>
        <v/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s="32" customFormat="1" ht="35.1" customHeight="1" x14ac:dyDescent="0.25">
      <c r="A34" s="17" t="s">
        <v>92</v>
      </c>
      <c r="B34" s="18">
        <v>46074</v>
      </c>
      <c r="C34" s="18">
        <v>46074</v>
      </c>
      <c r="D34" s="17" t="s">
        <v>197</v>
      </c>
      <c r="E34" s="19">
        <v>0.91666666666666663</v>
      </c>
      <c r="F34" s="19">
        <v>0.97916666666666663</v>
      </c>
      <c r="G34" s="19">
        <v>5.7870370370370373E-5</v>
      </c>
      <c r="H34" s="17" t="s">
        <v>162</v>
      </c>
      <c r="I34" s="20">
        <v>0.93392361111111111</v>
      </c>
      <c r="J34" s="17" t="s">
        <v>41</v>
      </c>
      <c r="K34" s="17" t="s">
        <v>145</v>
      </c>
      <c r="L34" s="21">
        <v>1</v>
      </c>
      <c r="M34" s="21">
        <v>71827</v>
      </c>
      <c r="N34" s="17" t="s">
        <v>58</v>
      </c>
      <c r="O34" s="21" t="s">
        <v>154</v>
      </c>
      <c r="P34" s="22">
        <v>41.025641025641029</v>
      </c>
      <c r="Q34" s="21"/>
      <c r="R34" s="22">
        <v>41.025641025641029</v>
      </c>
      <c r="S34" s="23">
        <v>46074</v>
      </c>
      <c r="T34" s="22">
        <v>6.1538461538461542</v>
      </c>
      <c r="U34" s="24">
        <v>4</v>
      </c>
      <c r="V34" s="22">
        <v>34.871794871794876</v>
      </c>
      <c r="W34" s="17" t="s">
        <v>48</v>
      </c>
      <c r="X34" s="17" t="s">
        <v>49</v>
      </c>
      <c r="Y34" s="17" t="s">
        <v>87</v>
      </c>
      <c r="Z34" s="17" t="s">
        <v>9</v>
      </c>
      <c r="AA34" s="17" t="s">
        <v>50</v>
      </c>
      <c r="AB34" s="17" t="s">
        <v>155</v>
      </c>
      <c r="AC34" s="17" t="s">
        <v>38</v>
      </c>
      <c r="AD34" s="7" t="str">
        <f t="shared" si="0"/>
        <v/>
      </c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</row>
    <row r="35" spans="1:49" s="32" customFormat="1" ht="35.1" customHeight="1" x14ac:dyDescent="0.25">
      <c r="A35" s="9" t="s">
        <v>133</v>
      </c>
      <c r="B35" s="10">
        <v>46074</v>
      </c>
      <c r="C35" s="10">
        <v>46074</v>
      </c>
      <c r="D35" s="11" t="s">
        <v>197</v>
      </c>
      <c r="E35" s="12">
        <v>0.9375</v>
      </c>
      <c r="F35" s="12">
        <v>1</v>
      </c>
      <c r="G35" s="12">
        <v>6.25E-2</v>
      </c>
      <c r="H35" s="9" t="s">
        <v>175</v>
      </c>
      <c r="I35" s="13" t="s">
        <v>199</v>
      </c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2" customFormat="1" ht="35.1" customHeight="1" x14ac:dyDescent="0.25">
      <c r="A36" s="17" t="s">
        <v>44</v>
      </c>
      <c r="B36" s="18">
        <v>46074</v>
      </c>
      <c r="C36" s="18">
        <v>46074</v>
      </c>
      <c r="D36" s="17" t="s">
        <v>197</v>
      </c>
      <c r="E36" s="19">
        <v>0.25</v>
      </c>
      <c r="F36" s="19">
        <v>0.99930555555555556</v>
      </c>
      <c r="G36" s="19">
        <v>1.7361111111111109E-4</v>
      </c>
      <c r="H36" s="17" t="s">
        <v>55</v>
      </c>
      <c r="I36" s="20">
        <v>0.99723379629629627</v>
      </c>
      <c r="J36" s="17" t="s">
        <v>41</v>
      </c>
      <c r="K36" s="17" t="s">
        <v>175</v>
      </c>
      <c r="L36" s="21">
        <v>1</v>
      </c>
      <c r="M36" s="21">
        <v>66852</v>
      </c>
      <c r="N36" s="17" t="s">
        <v>46</v>
      </c>
      <c r="O36" s="21" t="s">
        <v>47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48</v>
      </c>
      <c r="X36" s="17" t="s">
        <v>49</v>
      </c>
      <c r="Y36" s="17" t="s">
        <v>36</v>
      </c>
      <c r="Z36" s="17" t="s">
        <v>9</v>
      </c>
      <c r="AA36" s="17" t="s">
        <v>50</v>
      </c>
      <c r="AB36" s="17" t="s">
        <v>51</v>
      </c>
      <c r="AC36" s="17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6" xr:uid="{4087B828-5BCE-491D-B547-64578E04FAFC}"/>
  <sortState xmlns:xlrd2="http://schemas.microsoft.com/office/spreadsheetml/2017/richdata2" ref="A2:AD326">
    <sortCondition sortBy="cellColor" ref="E1:E500" dxfId="16"/>
  </sortState>
  <conditionalFormatting sqref="AD1:AD36">
    <cfRule type="cellIs" dxfId="15" priority="3" operator="equal">
      <formula>"NO"</formula>
    </cfRule>
  </conditionalFormatting>
  <conditionalFormatting sqref="E2:F36">
    <cfRule type="timePeriod" dxfId="1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5">
      <c r="A2" s="9" t="s">
        <v>29</v>
      </c>
      <c r="B2" s="10">
        <v>46075</v>
      </c>
      <c r="C2" s="10">
        <v>46075</v>
      </c>
      <c r="D2" s="11" t="s">
        <v>215</v>
      </c>
      <c r="E2" s="12">
        <v>0</v>
      </c>
      <c r="F2" s="12">
        <v>0.25</v>
      </c>
      <c r="G2" s="12">
        <v>0.25</v>
      </c>
      <c r="H2" s="9" t="s">
        <v>31</v>
      </c>
      <c r="I2" s="13"/>
      <c r="J2" s="9" t="s">
        <v>32</v>
      </c>
      <c r="K2" s="9" t="s">
        <v>31</v>
      </c>
      <c r="L2" s="14">
        <v>1</v>
      </c>
      <c r="M2" s="14">
        <v>1</v>
      </c>
      <c r="N2" s="9" t="s">
        <v>33</v>
      </c>
      <c r="O2" s="9"/>
      <c r="P2" s="15">
        <v>0</v>
      </c>
      <c r="Q2" s="14"/>
      <c r="R2" s="15">
        <v>0</v>
      </c>
      <c r="S2" s="9">
        <v>46054</v>
      </c>
      <c r="T2" s="16">
        <v>0</v>
      </c>
      <c r="U2" s="14">
        <v>1</v>
      </c>
      <c r="V2" s="16">
        <v>0</v>
      </c>
      <c r="W2" s="9" t="s">
        <v>34</v>
      </c>
      <c r="X2" s="9" t="s">
        <v>35</v>
      </c>
      <c r="Y2" s="9" t="s">
        <v>36</v>
      </c>
      <c r="Z2" s="9" t="s">
        <v>9</v>
      </c>
      <c r="AA2" s="9" t="s">
        <v>37</v>
      </c>
      <c r="AB2" s="9" t="s">
        <v>37</v>
      </c>
      <c r="AC2" s="9" t="s">
        <v>38</v>
      </c>
      <c r="AD2" s="7" t="str">
        <f t="shared" ref="AD2:AD36" si="0">IF(N2="PRG","",IF(I2&gt;=E2,IF(I2&lt;=F2,"","NO"),"NO"))</f>
        <v/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s="32" customFormat="1" ht="35.1" customHeight="1" x14ac:dyDescent="0.25">
      <c r="A3" s="9" t="s">
        <v>216</v>
      </c>
      <c r="B3" s="10">
        <v>46075</v>
      </c>
      <c r="C3" s="10">
        <v>46075</v>
      </c>
      <c r="D3" s="11" t="s">
        <v>215</v>
      </c>
      <c r="E3" s="12">
        <v>0.25</v>
      </c>
      <c r="F3" s="12">
        <v>0.29166666666666669</v>
      </c>
      <c r="G3" s="12">
        <v>4.1666666666666664E-2</v>
      </c>
      <c r="H3" s="9" t="s">
        <v>217</v>
      </c>
      <c r="I3" s="13"/>
      <c r="J3" s="9" t="s">
        <v>32</v>
      </c>
      <c r="K3" s="9" t="s">
        <v>217</v>
      </c>
      <c r="L3" s="14">
        <v>1</v>
      </c>
      <c r="M3" s="14">
        <v>1</v>
      </c>
      <c r="N3" s="9" t="s">
        <v>33</v>
      </c>
      <c r="O3" s="9"/>
      <c r="P3" s="15">
        <v>0</v>
      </c>
      <c r="Q3" s="14"/>
      <c r="R3" s="16">
        <v>0</v>
      </c>
      <c r="S3" s="9">
        <v>46054</v>
      </c>
      <c r="T3" s="16">
        <v>0</v>
      </c>
      <c r="U3" s="14">
        <v>1</v>
      </c>
      <c r="V3" s="16">
        <v>0</v>
      </c>
      <c r="W3" s="9" t="s">
        <v>218</v>
      </c>
      <c r="X3" s="9" t="s">
        <v>35</v>
      </c>
      <c r="Y3" s="9" t="s">
        <v>36</v>
      </c>
      <c r="Z3" s="9" t="s">
        <v>9</v>
      </c>
      <c r="AA3" s="9" t="s">
        <v>50</v>
      </c>
      <c r="AB3" s="9" t="s">
        <v>37</v>
      </c>
      <c r="AC3" s="9" t="s">
        <v>38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2" customFormat="1" ht="35.1" customHeight="1" x14ac:dyDescent="0.25">
      <c r="A4" s="9" t="s">
        <v>61</v>
      </c>
      <c r="B4" s="10">
        <v>46075</v>
      </c>
      <c r="C4" s="10">
        <v>46075</v>
      </c>
      <c r="D4" s="11" t="s">
        <v>215</v>
      </c>
      <c r="E4" s="12">
        <v>0.29166666666666669</v>
      </c>
      <c r="F4" s="12">
        <v>0.3125</v>
      </c>
      <c r="G4" s="12">
        <v>2.0833333333333332E-2</v>
      </c>
      <c r="H4" s="9" t="s">
        <v>165</v>
      </c>
      <c r="I4" s="13" t="s">
        <v>198</v>
      </c>
      <c r="J4" s="9" t="s">
        <v>41</v>
      </c>
      <c r="K4" s="9"/>
      <c r="L4" s="14">
        <v>1</v>
      </c>
      <c r="M4" s="14">
        <v>1</v>
      </c>
      <c r="N4" s="9" t="s">
        <v>33</v>
      </c>
      <c r="O4" s="9"/>
      <c r="P4" s="16">
        <v>0</v>
      </c>
      <c r="Q4" s="14"/>
      <c r="R4" s="16">
        <v>0</v>
      </c>
      <c r="S4" s="9">
        <v>46054</v>
      </c>
      <c r="T4" s="16">
        <v>0</v>
      </c>
      <c r="U4" s="14">
        <v>2</v>
      </c>
      <c r="V4" s="16">
        <v>0</v>
      </c>
      <c r="W4" s="9" t="s">
        <v>34</v>
      </c>
      <c r="X4" s="9" t="s">
        <v>42</v>
      </c>
      <c r="Y4" s="9" t="s">
        <v>36</v>
      </c>
      <c r="Z4" s="9" t="s">
        <v>43</v>
      </c>
      <c r="AA4" s="9" t="s">
        <v>37</v>
      </c>
      <c r="AB4" s="9" t="s">
        <v>37</v>
      </c>
      <c r="AC4" s="9" t="s">
        <v>38</v>
      </c>
      <c r="AD4" s="7" t="str">
        <f t="shared" si="0"/>
        <v/>
      </c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</row>
    <row r="5" spans="1:49" s="32" customFormat="1" ht="35.1" customHeight="1" x14ac:dyDescent="0.25">
      <c r="A5" s="9" t="s">
        <v>61</v>
      </c>
      <c r="B5" s="10">
        <v>46075</v>
      </c>
      <c r="C5" s="10">
        <v>46075</v>
      </c>
      <c r="D5" s="11" t="s">
        <v>215</v>
      </c>
      <c r="E5" s="12">
        <v>0.3125</v>
      </c>
      <c r="F5" s="12">
        <v>0.33333333333333331</v>
      </c>
      <c r="G5" s="12">
        <v>2.0833333333333332E-2</v>
      </c>
      <c r="H5" s="9" t="s">
        <v>165</v>
      </c>
      <c r="I5" s="13" t="s">
        <v>198</v>
      </c>
      <c r="J5" s="9" t="s">
        <v>41</v>
      </c>
      <c r="K5" s="9"/>
      <c r="L5" s="14">
        <v>1</v>
      </c>
      <c r="M5" s="14">
        <v>1</v>
      </c>
      <c r="N5" s="9" t="s">
        <v>33</v>
      </c>
      <c r="O5" s="9"/>
      <c r="P5" s="16">
        <v>0</v>
      </c>
      <c r="Q5" s="14"/>
      <c r="R5" s="16">
        <v>0</v>
      </c>
      <c r="S5" s="9">
        <v>46054</v>
      </c>
      <c r="T5" s="16">
        <v>0</v>
      </c>
      <c r="U5" s="14">
        <v>2</v>
      </c>
      <c r="V5" s="16">
        <v>0</v>
      </c>
      <c r="W5" s="9" t="s">
        <v>34</v>
      </c>
      <c r="X5" s="9" t="s">
        <v>42</v>
      </c>
      <c r="Y5" s="9" t="s">
        <v>36</v>
      </c>
      <c r="Z5" s="9" t="s">
        <v>43</v>
      </c>
      <c r="AA5" s="9" t="s">
        <v>37</v>
      </c>
      <c r="AB5" s="9" t="s">
        <v>37</v>
      </c>
      <c r="AC5" s="9" t="s">
        <v>38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2" customFormat="1" ht="35.1" customHeight="1" x14ac:dyDescent="0.25">
      <c r="A6" s="9" t="s">
        <v>64</v>
      </c>
      <c r="B6" s="10">
        <v>46075</v>
      </c>
      <c r="C6" s="10">
        <v>46075</v>
      </c>
      <c r="D6" s="11" t="s">
        <v>215</v>
      </c>
      <c r="E6" s="12">
        <v>0.33333333333333331</v>
      </c>
      <c r="F6" s="12">
        <v>0.41666666666666669</v>
      </c>
      <c r="G6" s="12">
        <v>8.3333333333333329E-2</v>
      </c>
      <c r="H6" s="9" t="s">
        <v>68</v>
      </c>
      <c r="I6" s="13" t="s">
        <v>199</v>
      </c>
      <c r="J6" s="9" t="s">
        <v>66</v>
      </c>
      <c r="K6" s="9"/>
      <c r="L6" s="14">
        <v>1</v>
      </c>
      <c r="M6" s="14">
        <v>1</v>
      </c>
      <c r="N6" s="9" t="s">
        <v>33</v>
      </c>
      <c r="O6" s="9"/>
      <c r="P6" s="16">
        <v>0</v>
      </c>
      <c r="Q6" s="14"/>
      <c r="R6" s="16">
        <v>0</v>
      </c>
      <c r="S6" s="9">
        <v>46054</v>
      </c>
      <c r="T6" s="16">
        <v>0</v>
      </c>
      <c r="U6" s="14">
        <v>2</v>
      </c>
      <c r="V6" s="16">
        <v>0</v>
      </c>
      <c r="W6" s="9" t="s">
        <v>34</v>
      </c>
      <c r="X6" s="9" t="s">
        <v>42</v>
      </c>
      <c r="Y6" s="9" t="s">
        <v>36</v>
      </c>
      <c r="Z6" s="9" t="s">
        <v>43</v>
      </c>
      <c r="AA6" s="9" t="s">
        <v>37</v>
      </c>
      <c r="AB6" s="9" t="s">
        <v>37</v>
      </c>
      <c r="AC6" s="9" t="s">
        <v>38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2" customFormat="1" ht="35.1" customHeight="1" x14ac:dyDescent="0.25">
      <c r="A7" s="9" t="s">
        <v>99</v>
      </c>
      <c r="B7" s="10">
        <v>46075</v>
      </c>
      <c r="C7" s="10">
        <v>46075</v>
      </c>
      <c r="D7" s="11" t="s">
        <v>215</v>
      </c>
      <c r="E7" s="12">
        <v>0.41666666666666669</v>
      </c>
      <c r="F7" s="12">
        <v>0.45833333333333331</v>
      </c>
      <c r="G7" s="12">
        <v>4.1666666666666664E-2</v>
      </c>
      <c r="H7" s="9" t="s">
        <v>200</v>
      </c>
      <c r="I7" s="13"/>
      <c r="J7" s="9" t="s">
        <v>32</v>
      </c>
      <c r="K7" s="9"/>
      <c r="L7" s="14">
        <v>1</v>
      </c>
      <c r="M7" s="14">
        <v>1</v>
      </c>
      <c r="N7" s="9" t="s">
        <v>33</v>
      </c>
      <c r="O7" s="9"/>
      <c r="P7" s="16">
        <v>0</v>
      </c>
      <c r="Q7" s="14"/>
      <c r="R7" s="16">
        <v>0</v>
      </c>
      <c r="S7" s="9">
        <v>46054</v>
      </c>
      <c r="T7" s="16">
        <v>0</v>
      </c>
      <c r="U7" s="14">
        <v>1</v>
      </c>
      <c r="V7" s="16">
        <v>0</v>
      </c>
      <c r="W7" s="9" t="s">
        <v>34</v>
      </c>
      <c r="X7" s="9" t="s">
        <v>42</v>
      </c>
      <c r="Y7" s="9" t="s">
        <v>36</v>
      </c>
      <c r="Z7" s="9" t="s">
        <v>43</v>
      </c>
      <c r="AA7" s="9" t="s">
        <v>37</v>
      </c>
      <c r="AB7" s="9" t="s">
        <v>37</v>
      </c>
      <c r="AC7" s="9" t="s">
        <v>38</v>
      </c>
      <c r="AD7" s="7" t="str">
        <f t="shared" si="0"/>
        <v/>
      </c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s="32" customFormat="1" ht="35.1" customHeight="1" x14ac:dyDescent="0.25">
      <c r="A8" s="9" t="s">
        <v>76</v>
      </c>
      <c r="B8" s="10">
        <v>46075</v>
      </c>
      <c r="C8" s="10">
        <v>46075</v>
      </c>
      <c r="D8" s="11" t="s">
        <v>215</v>
      </c>
      <c r="E8" s="12">
        <v>0.45833333333333331</v>
      </c>
      <c r="F8" s="12">
        <v>0.47916666666666669</v>
      </c>
      <c r="G8" s="12">
        <v>2.0833333333333332E-2</v>
      </c>
      <c r="H8" s="9" t="s">
        <v>77</v>
      </c>
      <c r="I8" s="13"/>
      <c r="J8" s="9" t="s">
        <v>81</v>
      </c>
      <c r="K8" s="9"/>
      <c r="L8" s="14">
        <v>1</v>
      </c>
      <c r="M8" s="14">
        <v>1</v>
      </c>
      <c r="N8" s="9" t="s">
        <v>33</v>
      </c>
      <c r="O8" s="9"/>
      <c r="P8" s="16">
        <v>0</v>
      </c>
      <c r="Q8" s="14"/>
      <c r="R8" s="16">
        <v>0</v>
      </c>
      <c r="S8" s="9">
        <v>46054</v>
      </c>
      <c r="T8" s="16">
        <v>0</v>
      </c>
      <c r="U8" s="14">
        <v>2</v>
      </c>
      <c r="V8" s="16">
        <v>0</v>
      </c>
      <c r="W8" s="9" t="s">
        <v>34</v>
      </c>
      <c r="X8" s="9" t="s">
        <v>42</v>
      </c>
      <c r="Y8" s="9" t="s">
        <v>36</v>
      </c>
      <c r="Z8" s="9" t="s">
        <v>43</v>
      </c>
      <c r="AA8" s="9" t="s">
        <v>37</v>
      </c>
      <c r="AB8" s="9" t="s">
        <v>37</v>
      </c>
      <c r="AC8" s="9" t="s">
        <v>38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2" customFormat="1" ht="35.1" customHeight="1" x14ac:dyDescent="0.25">
      <c r="A9" s="17" t="s">
        <v>92</v>
      </c>
      <c r="B9" s="18">
        <v>46075</v>
      </c>
      <c r="C9" s="18">
        <v>46075</v>
      </c>
      <c r="D9" s="17" t="s">
        <v>215</v>
      </c>
      <c r="E9" s="19">
        <v>0.45833333333333331</v>
      </c>
      <c r="F9" s="19">
        <v>0.5</v>
      </c>
      <c r="G9" s="19">
        <v>1.7361111111111109E-4</v>
      </c>
      <c r="H9" s="17" t="s">
        <v>98</v>
      </c>
      <c r="I9" s="20">
        <v>0.46491898148148147</v>
      </c>
      <c r="J9" s="17" t="s">
        <v>81</v>
      </c>
      <c r="K9" s="17" t="s">
        <v>77</v>
      </c>
      <c r="L9" s="21">
        <v>1</v>
      </c>
      <c r="M9" s="21">
        <v>71184</v>
      </c>
      <c r="N9" s="17" t="s">
        <v>58</v>
      </c>
      <c r="O9" s="21" t="s">
        <v>94</v>
      </c>
      <c r="P9" s="22">
        <v>70</v>
      </c>
      <c r="Q9" s="21"/>
      <c r="R9" s="22">
        <v>70</v>
      </c>
      <c r="S9" s="23">
        <v>46075</v>
      </c>
      <c r="T9" s="22">
        <v>10.5</v>
      </c>
      <c r="U9" s="24">
        <v>4</v>
      </c>
      <c r="V9" s="22">
        <v>59.5</v>
      </c>
      <c r="W9" s="17" t="s">
        <v>48</v>
      </c>
      <c r="X9" s="17" t="s">
        <v>49</v>
      </c>
      <c r="Y9" s="17" t="s">
        <v>87</v>
      </c>
      <c r="Z9" s="17" t="s">
        <v>9</v>
      </c>
      <c r="AA9" s="17" t="s">
        <v>50</v>
      </c>
      <c r="AB9" s="17" t="s">
        <v>95</v>
      </c>
      <c r="AC9" s="17" t="s">
        <v>38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2" customFormat="1" ht="35.1" customHeight="1" x14ac:dyDescent="0.25">
      <c r="A10" s="17" t="s">
        <v>79</v>
      </c>
      <c r="B10" s="18">
        <v>46075</v>
      </c>
      <c r="C10" s="18">
        <v>46075</v>
      </c>
      <c r="D10" s="17" t="s">
        <v>215</v>
      </c>
      <c r="E10" s="19">
        <v>0.45833333333333331</v>
      </c>
      <c r="F10" s="19">
        <v>0.47916666666666669</v>
      </c>
      <c r="G10" s="19">
        <v>1.7361111111111109E-4</v>
      </c>
      <c r="H10" s="17" t="s">
        <v>80</v>
      </c>
      <c r="I10" s="20">
        <v>0.47780092592592593</v>
      </c>
      <c r="J10" s="17" t="s">
        <v>81</v>
      </c>
      <c r="K10" s="17" t="s">
        <v>77</v>
      </c>
      <c r="L10" s="21">
        <v>1</v>
      </c>
      <c r="M10" s="21">
        <v>70012</v>
      </c>
      <c r="N10" s="17" t="s">
        <v>58</v>
      </c>
      <c r="O10" s="21" t="s">
        <v>82</v>
      </c>
      <c r="P10" s="22">
        <v>44.71</v>
      </c>
      <c r="Q10" s="21"/>
      <c r="R10" s="22">
        <v>44.71</v>
      </c>
      <c r="S10" s="23">
        <v>46054</v>
      </c>
      <c r="T10" s="22">
        <v>6.7065000000000001</v>
      </c>
      <c r="U10" s="24">
        <v>4</v>
      </c>
      <c r="V10" s="22">
        <v>38.003500000000003</v>
      </c>
      <c r="W10" s="17" t="s">
        <v>48</v>
      </c>
      <c r="X10" s="17" t="s">
        <v>49</v>
      </c>
      <c r="Y10" s="17" t="s">
        <v>36</v>
      </c>
      <c r="Z10" s="17" t="s">
        <v>9</v>
      </c>
      <c r="AA10" s="17" t="s">
        <v>50</v>
      </c>
      <c r="AB10" s="17" t="s">
        <v>83</v>
      </c>
      <c r="AC10" s="17" t="s">
        <v>38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2" customFormat="1" ht="35.1" customHeight="1" x14ac:dyDescent="0.25">
      <c r="A11" s="9" t="s">
        <v>76</v>
      </c>
      <c r="B11" s="10">
        <v>46075</v>
      </c>
      <c r="C11" s="10">
        <v>46075</v>
      </c>
      <c r="D11" s="11" t="s">
        <v>215</v>
      </c>
      <c r="E11" s="12">
        <v>0.47916666666666669</v>
      </c>
      <c r="F11" s="12">
        <v>0.48958333333333331</v>
      </c>
      <c r="G11" s="12">
        <v>1.0416666666666666E-2</v>
      </c>
      <c r="H11" s="9" t="s">
        <v>219</v>
      </c>
      <c r="I11" s="13"/>
      <c r="J11" s="9" t="s">
        <v>81</v>
      </c>
      <c r="K11" s="9"/>
      <c r="L11" s="14">
        <v>1</v>
      </c>
      <c r="M11" s="14">
        <v>1</v>
      </c>
      <c r="N11" s="9" t="s">
        <v>33</v>
      </c>
      <c r="O11" s="9"/>
      <c r="P11" s="16">
        <v>0</v>
      </c>
      <c r="Q11" s="14"/>
      <c r="R11" s="16">
        <v>0</v>
      </c>
      <c r="S11" s="9">
        <v>46054</v>
      </c>
      <c r="T11" s="16">
        <v>0</v>
      </c>
      <c r="U11" s="14">
        <v>2</v>
      </c>
      <c r="V11" s="16">
        <v>0</v>
      </c>
      <c r="W11" s="9" t="s">
        <v>34</v>
      </c>
      <c r="X11" s="9" t="s">
        <v>42</v>
      </c>
      <c r="Y11" s="9" t="s">
        <v>36</v>
      </c>
      <c r="Z11" s="9" t="s">
        <v>43</v>
      </c>
      <c r="AA11" s="9" t="s">
        <v>37</v>
      </c>
      <c r="AB11" s="9" t="s">
        <v>37</v>
      </c>
      <c r="AC11" s="9" t="s">
        <v>38</v>
      </c>
      <c r="AD11" s="7" t="str">
        <f t="shared" si="0"/>
        <v/>
      </c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</row>
    <row r="12" spans="1:49" s="32" customFormat="1" ht="35.1" customHeight="1" x14ac:dyDescent="0.25">
      <c r="A12" s="17" t="s">
        <v>52</v>
      </c>
      <c r="B12" s="18">
        <v>46075</v>
      </c>
      <c r="C12" s="18">
        <v>46075</v>
      </c>
      <c r="D12" s="17" t="s">
        <v>215</v>
      </c>
      <c r="E12" s="19">
        <v>0.45833333333333331</v>
      </c>
      <c r="F12" s="19">
        <v>0.54166666666666663</v>
      </c>
      <c r="G12" s="19">
        <v>3.4722222222222218E-4</v>
      </c>
      <c r="H12" s="17" t="s">
        <v>151</v>
      </c>
      <c r="I12" s="20">
        <v>0.48351851851851851</v>
      </c>
      <c r="J12" s="17" t="s">
        <v>81</v>
      </c>
      <c r="K12" s="17" t="s">
        <v>137</v>
      </c>
      <c r="L12" s="21">
        <v>1</v>
      </c>
      <c r="M12" s="21">
        <v>70976</v>
      </c>
      <c r="N12" s="17" t="s">
        <v>46</v>
      </c>
      <c r="O12" s="21" t="str">
        <f>AC12</f>
        <v>SFO</v>
      </c>
      <c r="P12" s="22">
        <v>0</v>
      </c>
      <c r="Q12" s="21"/>
      <c r="R12" s="22">
        <v>0</v>
      </c>
      <c r="S12" s="23">
        <v>46054</v>
      </c>
      <c r="T12" s="22">
        <v>0</v>
      </c>
      <c r="U12" s="24">
        <v>4</v>
      </c>
      <c r="V12" s="22">
        <v>0</v>
      </c>
      <c r="W12" s="17" t="s">
        <v>48</v>
      </c>
      <c r="X12" s="17" t="s">
        <v>49</v>
      </c>
      <c r="Y12" s="17" t="s">
        <v>36</v>
      </c>
      <c r="Z12" s="17" t="s">
        <v>9</v>
      </c>
      <c r="AA12" s="17" t="s">
        <v>50</v>
      </c>
      <c r="AB12" s="17" t="s">
        <v>54</v>
      </c>
      <c r="AC12" s="17" t="s">
        <v>38</v>
      </c>
      <c r="AD12" s="7" t="str">
        <f t="shared" si="0"/>
        <v/>
      </c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s="32" customFormat="1" ht="35.1" customHeight="1" x14ac:dyDescent="0.25">
      <c r="A13" s="17" t="s">
        <v>92</v>
      </c>
      <c r="B13" s="18">
        <v>46075</v>
      </c>
      <c r="C13" s="18">
        <v>46075</v>
      </c>
      <c r="D13" s="17" t="s">
        <v>215</v>
      </c>
      <c r="E13" s="19">
        <v>0.45833333333333331</v>
      </c>
      <c r="F13" s="19">
        <v>0.5</v>
      </c>
      <c r="G13" s="19">
        <v>1.7361111111111109E-4</v>
      </c>
      <c r="H13" s="17" t="s">
        <v>169</v>
      </c>
      <c r="I13" s="20">
        <v>0.48311342592592593</v>
      </c>
      <c r="J13" s="17" t="s">
        <v>81</v>
      </c>
      <c r="K13" s="17" t="s">
        <v>137</v>
      </c>
      <c r="L13" s="21">
        <v>1</v>
      </c>
      <c r="M13" s="21">
        <v>71248</v>
      </c>
      <c r="N13" s="17" t="s">
        <v>58</v>
      </c>
      <c r="O13" s="21" t="s">
        <v>170</v>
      </c>
      <c r="P13" s="22">
        <v>70</v>
      </c>
      <c r="Q13" s="21"/>
      <c r="R13" s="22">
        <v>70</v>
      </c>
      <c r="S13" s="23">
        <v>46075</v>
      </c>
      <c r="T13" s="22">
        <v>10.5</v>
      </c>
      <c r="U13" s="24">
        <v>4</v>
      </c>
      <c r="V13" s="22">
        <v>59.5</v>
      </c>
      <c r="W13" s="17" t="s">
        <v>48</v>
      </c>
      <c r="X13" s="17" t="s">
        <v>49</v>
      </c>
      <c r="Y13" s="17" t="s">
        <v>87</v>
      </c>
      <c r="Z13" s="17" t="s">
        <v>9</v>
      </c>
      <c r="AA13" s="17" t="s">
        <v>50</v>
      </c>
      <c r="AB13" s="17" t="s">
        <v>171</v>
      </c>
      <c r="AC13" s="17" t="s">
        <v>38</v>
      </c>
      <c r="AD13" s="7" t="str">
        <f t="shared" si="0"/>
        <v/>
      </c>
      <c r="AE13" s="25"/>
      <c r="AF13" s="25"/>
      <c r="AG13" s="25"/>
      <c r="AH13" s="25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49" s="32" customFormat="1" ht="35.1" customHeight="1" x14ac:dyDescent="0.25">
      <c r="A14" s="17" t="s">
        <v>92</v>
      </c>
      <c r="B14" s="18">
        <v>46075</v>
      </c>
      <c r="C14" s="18">
        <v>46075</v>
      </c>
      <c r="D14" s="17" t="s">
        <v>215</v>
      </c>
      <c r="E14" s="19">
        <v>0.47916666666666669</v>
      </c>
      <c r="F14" s="19">
        <v>0.5</v>
      </c>
      <c r="G14" s="19">
        <v>5.7870370370370373E-5</v>
      </c>
      <c r="H14" s="17" t="s">
        <v>153</v>
      </c>
      <c r="I14" s="20">
        <v>0.48386574074074074</v>
      </c>
      <c r="J14" s="17" t="s">
        <v>81</v>
      </c>
      <c r="K14" s="17" t="s">
        <v>137</v>
      </c>
      <c r="L14" s="21">
        <v>1</v>
      </c>
      <c r="M14" s="21">
        <v>71842</v>
      </c>
      <c r="N14" s="17" t="s">
        <v>58</v>
      </c>
      <c r="O14" s="21" t="s">
        <v>154</v>
      </c>
      <c r="P14" s="22">
        <v>41.025641025641029</v>
      </c>
      <c r="Q14" s="21"/>
      <c r="R14" s="22">
        <v>41.025641025641029</v>
      </c>
      <c r="S14" s="23">
        <v>46075</v>
      </c>
      <c r="T14" s="22">
        <v>6.1538461538461542</v>
      </c>
      <c r="U14" s="24">
        <v>4</v>
      </c>
      <c r="V14" s="22">
        <v>34.871794871794876</v>
      </c>
      <c r="W14" s="17" t="s">
        <v>48</v>
      </c>
      <c r="X14" s="17" t="s">
        <v>49</v>
      </c>
      <c r="Y14" s="17" t="s">
        <v>87</v>
      </c>
      <c r="Z14" s="17" t="s">
        <v>9</v>
      </c>
      <c r="AA14" s="17" t="s">
        <v>50</v>
      </c>
      <c r="AB14" s="17" t="s">
        <v>155</v>
      </c>
      <c r="AC14" s="17" t="s">
        <v>38</v>
      </c>
      <c r="AD14" s="7" t="str">
        <f t="shared" si="0"/>
        <v/>
      </c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s="32" customFormat="1" ht="35.1" customHeight="1" x14ac:dyDescent="0.25">
      <c r="A15" s="17" t="s">
        <v>79</v>
      </c>
      <c r="B15" s="18">
        <v>46075</v>
      </c>
      <c r="C15" s="18">
        <v>46075</v>
      </c>
      <c r="D15" s="17" t="s">
        <v>215</v>
      </c>
      <c r="E15" s="19">
        <v>0.45833333333333331</v>
      </c>
      <c r="F15" s="19">
        <v>0.54166666666666663</v>
      </c>
      <c r="G15" s="19">
        <v>1.7361111111111109E-4</v>
      </c>
      <c r="H15" s="17" t="s">
        <v>91</v>
      </c>
      <c r="I15" s="20">
        <v>0.48826388888888889</v>
      </c>
      <c r="J15" s="17" t="s">
        <v>81</v>
      </c>
      <c r="K15" s="17" t="s">
        <v>137</v>
      </c>
      <c r="L15" s="21">
        <v>1</v>
      </c>
      <c r="M15" s="21">
        <v>70037</v>
      </c>
      <c r="N15" s="17" t="s">
        <v>46</v>
      </c>
      <c r="O15" s="21" t="s">
        <v>82</v>
      </c>
      <c r="P15" s="22">
        <v>0</v>
      </c>
      <c r="Q15" s="21"/>
      <c r="R15" s="22">
        <v>0</v>
      </c>
      <c r="S15" s="23">
        <v>46054</v>
      </c>
      <c r="T15" s="22">
        <v>0</v>
      </c>
      <c r="U15" s="24">
        <v>4</v>
      </c>
      <c r="V15" s="22">
        <v>0</v>
      </c>
      <c r="W15" s="17" t="s">
        <v>48</v>
      </c>
      <c r="X15" s="17" t="s">
        <v>49</v>
      </c>
      <c r="Y15" s="17" t="s">
        <v>36</v>
      </c>
      <c r="Z15" s="17" t="s">
        <v>9</v>
      </c>
      <c r="AA15" s="17" t="s">
        <v>50</v>
      </c>
      <c r="AB15" s="17" t="s">
        <v>83</v>
      </c>
      <c r="AC15" s="17" t="s">
        <v>38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2" customFormat="1" ht="35.1" customHeight="1" x14ac:dyDescent="0.25">
      <c r="A16" s="9" t="s">
        <v>76</v>
      </c>
      <c r="B16" s="10">
        <v>46075</v>
      </c>
      <c r="C16" s="10">
        <v>46075</v>
      </c>
      <c r="D16" s="11" t="s">
        <v>215</v>
      </c>
      <c r="E16" s="12">
        <v>0.48958333333333331</v>
      </c>
      <c r="F16" s="12">
        <v>0.5</v>
      </c>
      <c r="G16" s="12">
        <v>1.0416666666666666E-2</v>
      </c>
      <c r="H16" s="9" t="s">
        <v>220</v>
      </c>
      <c r="I16" s="13"/>
      <c r="J16" s="9" t="s">
        <v>81</v>
      </c>
      <c r="K16" s="9"/>
      <c r="L16" s="14">
        <v>1</v>
      </c>
      <c r="M16" s="14">
        <v>1</v>
      </c>
      <c r="N16" s="9" t="s">
        <v>33</v>
      </c>
      <c r="O16" s="9"/>
      <c r="P16" s="16">
        <v>0</v>
      </c>
      <c r="Q16" s="14"/>
      <c r="R16" s="16">
        <v>0</v>
      </c>
      <c r="S16" s="9">
        <v>46054</v>
      </c>
      <c r="T16" s="16">
        <v>0</v>
      </c>
      <c r="U16" s="14">
        <v>2</v>
      </c>
      <c r="V16" s="16">
        <v>0</v>
      </c>
      <c r="W16" s="9" t="s">
        <v>34</v>
      </c>
      <c r="X16" s="9" t="s">
        <v>42</v>
      </c>
      <c r="Y16" s="9" t="s">
        <v>36</v>
      </c>
      <c r="Z16" s="9" t="s">
        <v>43</v>
      </c>
      <c r="AA16" s="9" t="s">
        <v>37</v>
      </c>
      <c r="AB16" s="9" t="s">
        <v>37</v>
      </c>
      <c r="AC16" s="9" t="s">
        <v>38</v>
      </c>
      <c r="AD16" s="7" t="str">
        <f t="shared" si="0"/>
        <v/>
      </c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s="32" customFormat="1" ht="35.1" customHeight="1" x14ac:dyDescent="0.25">
      <c r="A17" s="9" t="s">
        <v>76</v>
      </c>
      <c r="B17" s="10">
        <v>46075</v>
      </c>
      <c r="C17" s="10">
        <v>46075</v>
      </c>
      <c r="D17" s="11" t="s">
        <v>215</v>
      </c>
      <c r="E17" s="12">
        <v>0.5</v>
      </c>
      <c r="F17" s="12">
        <v>0.54166666666666663</v>
      </c>
      <c r="G17" s="12">
        <v>4.1666666666666664E-2</v>
      </c>
      <c r="H17" s="9" t="s">
        <v>203</v>
      </c>
      <c r="I17" s="13"/>
      <c r="J17" s="9" t="s">
        <v>81</v>
      </c>
      <c r="K17" s="9"/>
      <c r="L17" s="14">
        <v>1</v>
      </c>
      <c r="M17" s="14">
        <v>1</v>
      </c>
      <c r="N17" s="9" t="s">
        <v>33</v>
      </c>
      <c r="O17" s="9"/>
      <c r="P17" s="16">
        <v>0</v>
      </c>
      <c r="Q17" s="14"/>
      <c r="R17" s="16">
        <v>0</v>
      </c>
      <c r="S17" s="9">
        <v>46054</v>
      </c>
      <c r="T17" s="16">
        <v>0</v>
      </c>
      <c r="U17" s="14">
        <v>2</v>
      </c>
      <c r="V17" s="16">
        <v>0</v>
      </c>
      <c r="W17" s="9" t="s">
        <v>34</v>
      </c>
      <c r="X17" s="9" t="s">
        <v>42</v>
      </c>
      <c r="Y17" s="9" t="s">
        <v>36</v>
      </c>
      <c r="Z17" s="9" t="s">
        <v>43</v>
      </c>
      <c r="AA17" s="9" t="s">
        <v>37</v>
      </c>
      <c r="AB17" s="9" t="s">
        <v>37</v>
      </c>
      <c r="AC17" s="9" t="s">
        <v>38</v>
      </c>
      <c r="AD17" s="7" t="str">
        <f t="shared" si="0"/>
        <v/>
      </c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s="32" customFormat="1" ht="35.1" customHeight="1" x14ac:dyDescent="0.25">
      <c r="A18" s="17" t="s">
        <v>84</v>
      </c>
      <c r="B18" s="18">
        <v>46075</v>
      </c>
      <c r="C18" s="18">
        <v>46075</v>
      </c>
      <c r="D18" s="17" t="s">
        <v>215</v>
      </c>
      <c r="E18" s="19">
        <v>0.45833333333333331</v>
      </c>
      <c r="F18" s="19">
        <v>0.54166666666666663</v>
      </c>
      <c r="G18" s="19">
        <v>3.4722222222222218E-4</v>
      </c>
      <c r="H18" s="17" t="s">
        <v>85</v>
      </c>
      <c r="I18" s="20">
        <v>0.54013888888888884</v>
      </c>
      <c r="J18" s="17" t="s">
        <v>81</v>
      </c>
      <c r="K18" s="17" t="s">
        <v>138</v>
      </c>
      <c r="L18" s="21">
        <v>1</v>
      </c>
      <c r="M18" s="21">
        <v>71448</v>
      </c>
      <c r="N18" s="17" t="s">
        <v>46</v>
      </c>
      <c r="O18" s="21" t="s">
        <v>86</v>
      </c>
      <c r="P18" s="22">
        <v>0</v>
      </c>
      <c r="Q18" s="21"/>
      <c r="R18" s="22">
        <v>0</v>
      </c>
      <c r="S18" s="23">
        <v>46075</v>
      </c>
      <c r="T18" s="22">
        <v>0</v>
      </c>
      <c r="U18" s="24">
        <v>4</v>
      </c>
      <c r="V18" s="22">
        <v>0</v>
      </c>
      <c r="W18" s="17" t="s">
        <v>48</v>
      </c>
      <c r="X18" s="17" t="s">
        <v>49</v>
      </c>
      <c r="Y18" s="17" t="s">
        <v>87</v>
      </c>
      <c r="Z18" s="17" t="s">
        <v>9</v>
      </c>
      <c r="AA18" s="17" t="s">
        <v>50</v>
      </c>
      <c r="AB18" s="17" t="s">
        <v>88</v>
      </c>
      <c r="AC18" s="17" t="s">
        <v>38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2" customFormat="1" ht="35.1" customHeight="1" x14ac:dyDescent="0.25">
      <c r="A19" s="17" t="s">
        <v>79</v>
      </c>
      <c r="B19" s="18">
        <v>46075</v>
      </c>
      <c r="C19" s="18">
        <v>46075</v>
      </c>
      <c r="D19" s="17" t="s">
        <v>215</v>
      </c>
      <c r="E19" s="19">
        <v>0.5</v>
      </c>
      <c r="F19" s="19">
        <v>0.54166666666666663</v>
      </c>
      <c r="G19" s="19">
        <v>1.7361111111111109E-4</v>
      </c>
      <c r="H19" s="17" t="s">
        <v>80</v>
      </c>
      <c r="I19" s="20">
        <v>0.54048611111111111</v>
      </c>
      <c r="J19" s="17" t="s">
        <v>81</v>
      </c>
      <c r="K19" s="17" t="s">
        <v>138</v>
      </c>
      <c r="L19" s="21">
        <v>1</v>
      </c>
      <c r="M19" s="21">
        <v>70035</v>
      </c>
      <c r="N19" s="17" t="s">
        <v>58</v>
      </c>
      <c r="O19" s="21" t="s">
        <v>82</v>
      </c>
      <c r="P19" s="22">
        <v>44.71</v>
      </c>
      <c r="Q19" s="21"/>
      <c r="R19" s="22">
        <v>44.71</v>
      </c>
      <c r="S19" s="23">
        <v>46054</v>
      </c>
      <c r="T19" s="22">
        <v>6.7065000000000001</v>
      </c>
      <c r="U19" s="24">
        <v>4</v>
      </c>
      <c r="V19" s="22">
        <v>38.003500000000003</v>
      </c>
      <c r="W19" s="17" t="s">
        <v>48</v>
      </c>
      <c r="X19" s="17" t="s">
        <v>49</v>
      </c>
      <c r="Y19" s="17" t="s">
        <v>36</v>
      </c>
      <c r="Z19" s="17" t="s">
        <v>9</v>
      </c>
      <c r="AA19" s="17" t="s">
        <v>50</v>
      </c>
      <c r="AB19" s="17" t="s">
        <v>83</v>
      </c>
      <c r="AC19" s="17" t="s">
        <v>38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2" customFormat="1" ht="35.1" customHeight="1" x14ac:dyDescent="0.25">
      <c r="A20" s="9" t="s">
        <v>221</v>
      </c>
      <c r="B20" s="10">
        <v>46075</v>
      </c>
      <c r="C20" s="10">
        <v>46075</v>
      </c>
      <c r="D20" s="11" t="s">
        <v>215</v>
      </c>
      <c r="E20" s="12">
        <v>0.54166666666666663</v>
      </c>
      <c r="F20" s="12">
        <v>0.58333333333333337</v>
      </c>
      <c r="G20" s="12">
        <v>4.1666666666666664E-2</v>
      </c>
      <c r="H20" s="9" t="s">
        <v>221</v>
      </c>
      <c r="I20" s="13"/>
      <c r="J20" s="9" t="s">
        <v>103</v>
      </c>
      <c r="K20" s="9"/>
      <c r="L20" s="14">
        <v>1</v>
      </c>
      <c r="M20" s="14">
        <v>1</v>
      </c>
      <c r="N20" s="9" t="s">
        <v>33</v>
      </c>
      <c r="O20" s="9"/>
      <c r="P20" s="16">
        <v>0</v>
      </c>
      <c r="Q20" s="14"/>
      <c r="R20" s="16">
        <v>0</v>
      </c>
      <c r="S20" s="9">
        <v>46054</v>
      </c>
      <c r="T20" s="16">
        <v>0</v>
      </c>
      <c r="U20" s="14">
        <v>2</v>
      </c>
      <c r="V20" s="16">
        <v>0</v>
      </c>
      <c r="W20" s="9" t="s">
        <v>34</v>
      </c>
      <c r="X20" s="9" t="s">
        <v>42</v>
      </c>
      <c r="Y20" s="9" t="s">
        <v>36</v>
      </c>
      <c r="Z20" s="9" t="s">
        <v>43</v>
      </c>
      <c r="AA20" s="9" t="s">
        <v>37</v>
      </c>
      <c r="AB20" s="9" t="s">
        <v>37</v>
      </c>
      <c r="AC20" s="9" t="s">
        <v>38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2" customFormat="1" ht="35.1" customHeight="1" x14ac:dyDescent="0.25">
      <c r="A21" s="17" t="s">
        <v>79</v>
      </c>
      <c r="B21" s="18">
        <v>46075</v>
      </c>
      <c r="C21" s="18">
        <v>46075</v>
      </c>
      <c r="D21" s="17" t="s">
        <v>215</v>
      </c>
      <c r="E21" s="19">
        <v>0.54166666666666663</v>
      </c>
      <c r="F21" s="19">
        <v>0.66666666666666663</v>
      </c>
      <c r="G21" s="19">
        <v>1.7361111111111109E-4</v>
      </c>
      <c r="H21" s="17" t="s">
        <v>107</v>
      </c>
      <c r="I21" s="20">
        <v>0.55978009259259254</v>
      </c>
      <c r="J21" s="17" t="s">
        <v>103</v>
      </c>
      <c r="K21" s="17" t="s">
        <v>214</v>
      </c>
      <c r="L21" s="21">
        <v>1</v>
      </c>
      <c r="M21" s="21">
        <v>70033</v>
      </c>
      <c r="N21" s="17" t="s">
        <v>46</v>
      </c>
      <c r="O21" s="21" t="s">
        <v>105</v>
      </c>
      <c r="P21" s="22">
        <v>0</v>
      </c>
      <c r="Q21" s="21"/>
      <c r="R21" s="22">
        <v>0</v>
      </c>
      <c r="S21" s="23">
        <v>46054</v>
      </c>
      <c r="T21" s="22">
        <v>0</v>
      </c>
      <c r="U21" s="24">
        <v>4</v>
      </c>
      <c r="V21" s="22">
        <v>0</v>
      </c>
      <c r="W21" s="17" t="s">
        <v>48</v>
      </c>
      <c r="X21" s="17" t="s">
        <v>49</v>
      </c>
      <c r="Y21" s="17" t="s">
        <v>36</v>
      </c>
      <c r="Z21" s="17" t="s">
        <v>9</v>
      </c>
      <c r="AA21" s="17" t="s">
        <v>50</v>
      </c>
      <c r="AB21" s="17" t="s">
        <v>106</v>
      </c>
      <c r="AC21" s="17" t="s">
        <v>38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2" customFormat="1" ht="35.1" customHeight="1" x14ac:dyDescent="0.25">
      <c r="A22" s="9" t="s">
        <v>222</v>
      </c>
      <c r="B22" s="10">
        <v>46075</v>
      </c>
      <c r="C22" s="10">
        <v>46075</v>
      </c>
      <c r="D22" s="11" t="s">
        <v>215</v>
      </c>
      <c r="E22" s="12">
        <v>0.58333333333333337</v>
      </c>
      <c r="F22" s="12">
        <v>0.625</v>
      </c>
      <c r="G22" s="12">
        <v>4.1666666666666664E-2</v>
      </c>
      <c r="H22" s="9" t="s">
        <v>222</v>
      </c>
      <c r="I22" s="13"/>
      <c r="J22" s="9" t="s">
        <v>103</v>
      </c>
      <c r="K22" s="9"/>
      <c r="L22" s="14">
        <v>1</v>
      </c>
      <c r="M22" s="14">
        <v>1</v>
      </c>
      <c r="N22" s="9" t="s">
        <v>33</v>
      </c>
      <c r="O22" s="9"/>
      <c r="P22" s="16">
        <v>0</v>
      </c>
      <c r="Q22" s="14"/>
      <c r="R22" s="16">
        <v>0</v>
      </c>
      <c r="S22" s="9">
        <v>46075</v>
      </c>
      <c r="T22" s="16">
        <v>0</v>
      </c>
      <c r="U22" s="14">
        <v>1</v>
      </c>
      <c r="V22" s="16">
        <v>0</v>
      </c>
      <c r="W22" s="9" t="s">
        <v>34</v>
      </c>
      <c r="X22" s="9" t="s">
        <v>35</v>
      </c>
      <c r="Y22" s="9" t="s">
        <v>87</v>
      </c>
      <c r="Z22" s="9" t="s">
        <v>73</v>
      </c>
      <c r="AA22" s="9" t="s">
        <v>37</v>
      </c>
      <c r="AB22" s="9" t="s">
        <v>37</v>
      </c>
      <c r="AC22" s="9" t="s">
        <v>38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5.1" customHeight="1" x14ac:dyDescent="0.25">
      <c r="A23" s="17" t="s">
        <v>79</v>
      </c>
      <c r="B23" s="18">
        <v>46075</v>
      </c>
      <c r="C23" s="18">
        <v>46075</v>
      </c>
      <c r="D23" s="17" t="s">
        <v>215</v>
      </c>
      <c r="E23" s="19">
        <v>0.54166666666666663</v>
      </c>
      <c r="F23" s="19">
        <v>0.66666666666666663</v>
      </c>
      <c r="G23" s="19">
        <v>1.7361111111111109E-4</v>
      </c>
      <c r="H23" s="17" t="s">
        <v>104</v>
      </c>
      <c r="I23" s="20">
        <v>0.60025462962962961</v>
      </c>
      <c r="J23" s="17" t="s">
        <v>103</v>
      </c>
      <c r="K23" s="17" t="s">
        <v>214</v>
      </c>
      <c r="L23" s="21">
        <v>1</v>
      </c>
      <c r="M23" s="21">
        <v>70031</v>
      </c>
      <c r="N23" s="17" t="s">
        <v>58</v>
      </c>
      <c r="O23" s="21" t="s">
        <v>105</v>
      </c>
      <c r="P23" s="22">
        <v>44.71</v>
      </c>
      <c r="Q23" s="21"/>
      <c r="R23" s="22">
        <v>44.71</v>
      </c>
      <c r="S23" s="23">
        <v>46054</v>
      </c>
      <c r="T23" s="22">
        <v>6.7065000000000001</v>
      </c>
      <c r="U23" s="24">
        <v>4</v>
      </c>
      <c r="V23" s="22">
        <v>38.003500000000003</v>
      </c>
      <c r="W23" s="17" t="s">
        <v>48</v>
      </c>
      <c r="X23" s="17" t="s">
        <v>49</v>
      </c>
      <c r="Y23" s="17" t="s">
        <v>36</v>
      </c>
      <c r="Z23" s="17" t="s">
        <v>9</v>
      </c>
      <c r="AA23" s="17" t="s">
        <v>50</v>
      </c>
      <c r="AB23" s="17" t="s">
        <v>106</v>
      </c>
      <c r="AC23" s="17" t="s">
        <v>38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2" customFormat="1" ht="35.1" customHeight="1" x14ac:dyDescent="0.25">
      <c r="A24" s="9" t="s">
        <v>223</v>
      </c>
      <c r="B24" s="10">
        <v>46075</v>
      </c>
      <c r="C24" s="10">
        <v>46075</v>
      </c>
      <c r="D24" s="11" t="s">
        <v>215</v>
      </c>
      <c r="E24" s="12">
        <v>0.625</v>
      </c>
      <c r="F24" s="12">
        <v>0.66666666666666663</v>
      </c>
      <c r="G24" s="12">
        <v>4.1666666666666664E-2</v>
      </c>
      <c r="H24" s="9" t="s">
        <v>224</v>
      </c>
      <c r="I24" s="13"/>
      <c r="J24" s="9" t="s">
        <v>103</v>
      </c>
      <c r="K24" s="9"/>
      <c r="L24" s="14">
        <v>1</v>
      </c>
      <c r="M24" s="14">
        <v>1</v>
      </c>
      <c r="N24" s="9" t="s">
        <v>33</v>
      </c>
      <c r="O24" s="9"/>
      <c r="P24" s="16">
        <v>0</v>
      </c>
      <c r="Q24" s="14"/>
      <c r="R24" s="16">
        <v>0</v>
      </c>
      <c r="S24" s="9">
        <v>46075</v>
      </c>
      <c r="T24" s="16">
        <v>0</v>
      </c>
      <c r="U24" s="14">
        <v>1</v>
      </c>
      <c r="V24" s="16">
        <v>0</v>
      </c>
      <c r="W24" s="9" t="s">
        <v>34</v>
      </c>
      <c r="X24" s="9" t="s">
        <v>42</v>
      </c>
      <c r="Y24" s="9" t="s">
        <v>87</v>
      </c>
      <c r="Z24" s="9" t="s">
        <v>73</v>
      </c>
      <c r="AA24" s="9" t="s">
        <v>37</v>
      </c>
      <c r="AB24" s="9" t="s">
        <v>37</v>
      </c>
      <c r="AC24" s="9" t="s">
        <v>38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2" customFormat="1" ht="35.1" customHeight="1" x14ac:dyDescent="0.25">
      <c r="A25" s="17" t="s">
        <v>79</v>
      </c>
      <c r="B25" s="18">
        <v>46075</v>
      </c>
      <c r="C25" s="18">
        <v>46075</v>
      </c>
      <c r="D25" s="17" t="s">
        <v>215</v>
      </c>
      <c r="E25" s="19">
        <v>0.54166666666666663</v>
      </c>
      <c r="F25" s="19">
        <v>0.66666666666666663</v>
      </c>
      <c r="G25" s="19">
        <v>1.7361111111111109E-4</v>
      </c>
      <c r="H25" s="17" t="s">
        <v>107</v>
      </c>
      <c r="I25" s="20">
        <v>0.64447916666666671</v>
      </c>
      <c r="J25" s="17" t="s">
        <v>103</v>
      </c>
      <c r="K25" s="17" t="s">
        <v>224</v>
      </c>
      <c r="L25" s="21">
        <v>1</v>
      </c>
      <c r="M25" s="21">
        <v>70031</v>
      </c>
      <c r="N25" s="17" t="s">
        <v>58</v>
      </c>
      <c r="O25" s="21" t="s">
        <v>105</v>
      </c>
      <c r="P25" s="22">
        <v>44.71</v>
      </c>
      <c r="Q25" s="21"/>
      <c r="R25" s="22">
        <v>44.71</v>
      </c>
      <c r="S25" s="23">
        <v>46054</v>
      </c>
      <c r="T25" s="22">
        <v>6.7065000000000001</v>
      </c>
      <c r="U25" s="24">
        <v>4</v>
      </c>
      <c r="V25" s="22">
        <v>38.003500000000003</v>
      </c>
      <c r="W25" s="17" t="s">
        <v>48</v>
      </c>
      <c r="X25" s="17" t="s">
        <v>49</v>
      </c>
      <c r="Y25" s="17" t="s">
        <v>36</v>
      </c>
      <c r="Z25" s="17" t="s">
        <v>9</v>
      </c>
      <c r="AA25" s="17" t="s">
        <v>50</v>
      </c>
      <c r="AB25" s="17" t="s">
        <v>106</v>
      </c>
      <c r="AC25" s="17" t="s">
        <v>38</v>
      </c>
      <c r="AD25" s="7" t="str">
        <f t="shared" si="0"/>
        <v/>
      </c>
      <c r="AE25" s="25"/>
      <c r="AF25" s="25"/>
      <c r="AG25" s="25"/>
      <c r="AH25" s="25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</row>
    <row r="26" spans="1:49" s="32" customFormat="1" ht="35.1" customHeight="1" x14ac:dyDescent="0.25">
      <c r="A26" s="9" t="s">
        <v>114</v>
      </c>
      <c r="B26" s="10">
        <v>46075</v>
      </c>
      <c r="C26" s="10">
        <v>46075</v>
      </c>
      <c r="D26" s="11" t="s">
        <v>215</v>
      </c>
      <c r="E26" s="12">
        <v>0.66666666666666663</v>
      </c>
      <c r="F26" s="12">
        <v>0.70833333333333337</v>
      </c>
      <c r="G26" s="12">
        <v>4.1666666666666664E-2</v>
      </c>
      <c r="H26" s="9" t="s">
        <v>174</v>
      </c>
      <c r="I26" s="13" t="s">
        <v>199</v>
      </c>
      <c r="J26" s="9" t="s">
        <v>116</v>
      </c>
      <c r="K26" s="9"/>
      <c r="L26" s="14">
        <v>1</v>
      </c>
      <c r="M26" s="14">
        <v>1</v>
      </c>
      <c r="N26" s="9" t="s">
        <v>33</v>
      </c>
      <c r="O26" s="9"/>
      <c r="P26" s="16">
        <v>0</v>
      </c>
      <c r="Q26" s="14"/>
      <c r="R26" s="16">
        <v>0</v>
      </c>
      <c r="S26" s="9">
        <v>46054</v>
      </c>
      <c r="T26" s="16">
        <v>0</v>
      </c>
      <c r="U26" s="14">
        <v>2</v>
      </c>
      <c r="V26" s="16">
        <v>0</v>
      </c>
      <c r="W26" s="9" t="s">
        <v>34</v>
      </c>
      <c r="X26" s="9" t="s">
        <v>42</v>
      </c>
      <c r="Y26" s="9" t="s">
        <v>36</v>
      </c>
      <c r="Z26" s="9" t="s">
        <v>43</v>
      </c>
      <c r="AA26" s="9" t="s">
        <v>37</v>
      </c>
      <c r="AB26" s="9" t="s">
        <v>37</v>
      </c>
      <c r="AC26" s="9" t="s">
        <v>38</v>
      </c>
      <c r="AD26" s="7" t="str">
        <f t="shared" si="0"/>
        <v/>
      </c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</row>
    <row r="27" spans="1:49" s="32" customFormat="1" ht="35.1" customHeight="1" x14ac:dyDescent="0.25">
      <c r="A27" s="9" t="s">
        <v>114</v>
      </c>
      <c r="B27" s="10">
        <v>46075</v>
      </c>
      <c r="C27" s="10">
        <v>46075</v>
      </c>
      <c r="D27" s="11" t="s">
        <v>215</v>
      </c>
      <c r="E27" s="12">
        <v>0.70833333333333337</v>
      </c>
      <c r="F27" s="12">
        <v>0.75</v>
      </c>
      <c r="G27" s="12">
        <v>4.1666666666666664E-2</v>
      </c>
      <c r="H27" s="9" t="s">
        <v>184</v>
      </c>
      <c r="I27" s="13" t="s">
        <v>199</v>
      </c>
      <c r="J27" s="9" t="s">
        <v>32</v>
      </c>
      <c r="K27" s="9"/>
      <c r="L27" s="14">
        <v>1</v>
      </c>
      <c r="M27" s="14">
        <v>1</v>
      </c>
      <c r="N27" s="9" t="s">
        <v>33</v>
      </c>
      <c r="O27" s="9"/>
      <c r="P27" s="16">
        <v>0</v>
      </c>
      <c r="Q27" s="14"/>
      <c r="R27" s="16">
        <v>0</v>
      </c>
      <c r="S27" s="9">
        <v>46054</v>
      </c>
      <c r="T27" s="16">
        <v>0</v>
      </c>
      <c r="U27" s="14">
        <v>2</v>
      </c>
      <c r="V27" s="16">
        <v>0</v>
      </c>
      <c r="W27" s="9" t="s">
        <v>34</v>
      </c>
      <c r="X27" s="9" t="s">
        <v>42</v>
      </c>
      <c r="Y27" s="9" t="s">
        <v>36</v>
      </c>
      <c r="Z27" s="9" t="s">
        <v>43</v>
      </c>
      <c r="AA27" s="9" t="s">
        <v>37</v>
      </c>
      <c r="AB27" s="9" t="s">
        <v>37</v>
      </c>
      <c r="AC27" s="9" t="s">
        <v>38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5.1" customHeight="1" x14ac:dyDescent="0.25">
      <c r="A28" s="17" t="s">
        <v>84</v>
      </c>
      <c r="B28" s="18">
        <v>46075</v>
      </c>
      <c r="C28" s="18">
        <v>46075</v>
      </c>
      <c r="D28" s="17" t="s">
        <v>215</v>
      </c>
      <c r="E28" s="19">
        <v>0.66666666666666663</v>
      </c>
      <c r="F28" s="19">
        <v>0.79166666666666663</v>
      </c>
      <c r="G28" s="19">
        <v>3.4722222222222218E-4</v>
      </c>
      <c r="H28" s="17" t="s">
        <v>156</v>
      </c>
      <c r="I28" s="20">
        <v>0.72177083333333336</v>
      </c>
      <c r="J28" s="17" t="s">
        <v>116</v>
      </c>
      <c r="K28" s="17" t="s">
        <v>188</v>
      </c>
      <c r="L28" s="21">
        <v>1</v>
      </c>
      <c r="M28" s="21">
        <v>71441</v>
      </c>
      <c r="N28" s="17" t="s">
        <v>46</v>
      </c>
      <c r="O28" s="21" t="s">
        <v>157</v>
      </c>
      <c r="P28" s="22">
        <v>0</v>
      </c>
      <c r="Q28" s="21"/>
      <c r="R28" s="22">
        <v>0</v>
      </c>
      <c r="S28" s="23">
        <v>46075</v>
      </c>
      <c r="T28" s="22">
        <v>0</v>
      </c>
      <c r="U28" s="24">
        <v>4</v>
      </c>
      <c r="V28" s="22">
        <v>0</v>
      </c>
      <c r="W28" s="17" t="s">
        <v>48</v>
      </c>
      <c r="X28" s="17" t="s">
        <v>49</v>
      </c>
      <c r="Y28" s="17" t="s">
        <v>87</v>
      </c>
      <c r="Z28" s="17" t="s">
        <v>9</v>
      </c>
      <c r="AA28" s="17" t="s">
        <v>50</v>
      </c>
      <c r="AB28" s="17" t="s">
        <v>158</v>
      </c>
      <c r="AC28" s="17" t="s">
        <v>38</v>
      </c>
      <c r="AD28" s="7" t="str">
        <f t="shared" si="0"/>
        <v/>
      </c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</row>
    <row r="29" spans="1:49" s="32" customFormat="1" ht="35.1" customHeight="1" x14ac:dyDescent="0.25">
      <c r="A29" s="9" t="s">
        <v>210</v>
      </c>
      <c r="B29" s="10">
        <v>46075</v>
      </c>
      <c r="C29" s="10">
        <v>46075</v>
      </c>
      <c r="D29" s="11" t="s">
        <v>215</v>
      </c>
      <c r="E29" s="12">
        <v>0.75</v>
      </c>
      <c r="F29" s="12">
        <v>0.79166666666666663</v>
      </c>
      <c r="G29" s="12">
        <v>4.1666666666666664E-2</v>
      </c>
      <c r="H29" s="9" t="s">
        <v>211</v>
      </c>
      <c r="I29" s="13"/>
      <c r="J29" s="9" t="s">
        <v>212</v>
      </c>
      <c r="K29" s="9"/>
      <c r="L29" s="14">
        <v>1</v>
      </c>
      <c r="M29" s="14">
        <v>1</v>
      </c>
      <c r="N29" s="9" t="s">
        <v>33</v>
      </c>
      <c r="O29" s="9"/>
      <c r="P29" s="16">
        <v>0</v>
      </c>
      <c r="Q29" s="14"/>
      <c r="R29" s="16">
        <v>0</v>
      </c>
      <c r="S29" s="9">
        <v>46054</v>
      </c>
      <c r="T29" s="16">
        <v>0</v>
      </c>
      <c r="U29" s="14">
        <v>2</v>
      </c>
      <c r="V29" s="16">
        <v>0</v>
      </c>
      <c r="W29" s="9" t="s">
        <v>34</v>
      </c>
      <c r="X29" s="9" t="s">
        <v>42</v>
      </c>
      <c r="Y29" s="9" t="s">
        <v>36</v>
      </c>
      <c r="Z29" s="9" t="s">
        <v>43</v>
      </c>
      <c r="AA29" s="9" t="s">
        <v>37</v>
      </c>
      <c r="AB29" s="9" t="s">
        <v>37</v>
      </c>
      <c r="AC29" s="9" t="s">
        <v>38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2" customFormat="1" ht="35.1" customHeight="1" x14ac:dyDescent="0.25">
      <c r="A30" s="9" t="s">
        <v>210</v>
      </c>
      <c r="B30" s="10">
        <v>46075</v>
      </c>
      <c r="C30" s="10">
        <v>46075</v>
      </c>
      <c r="D30" s="11" t="s">
        <v>215</v>
      </c>
      <c r="E30" s="12">
        <v>0.79166666666666663</v>
      </c>
      <c r="F30" s="12">
        <v>0.83333333333333337</v>
      </c>
      <c r="G30" s="12">
        <v>4.1666666666666664E-2</v>
      </c>
      <c r="H30" s="9" t="s">
        <v>213</v>
      </c>
      <c r="I30" s="13"/>
      <c r="J30" s="9" t="s">
        <v>212</v>
      </c>
      <c r="K30" s="9"/>
      <c r="L30" s="14">
        <v>1</v>
      </c>
      <c r="M30" s="14">
        <v>1</v>
      </c>
      <c r="N30" s="9" t="s">
        <v>33</v>
      </c>
      <c r="O30" s="9"/>
      <c r="P30" s="16">
        <v>0</v>
      </c>
      <c r="Q30" s="14"/>
      <c r="R30" s="16">
        <v>0</v>
      </c>
      <c r="S30" s="9">
        <v>46054</v>
      </c>
      <c r="T30" s="16">
        <v>0</v>
      </c>
      <c r="U30" s="14">
        <v>2</v>
      </c>
      <c r="V30" s="16">
        <v>0</v>
      </c>
      <c r="W30" s="9" t="s">
        <v>34</v>
      </c>
      <c r="X30" s="9" t="s">
        <v>42</v>
      </c>
      <c r="Y30" s="9" t="s">
        <v>36</v>
      </c>
      <c r="Z30" s="9" t="s">
        <v>43</v>
      </c>
      <c r="AA30" s="9" t="s">
        <v>37</v>
      </c>
      <c r="AB30" s="9" t="s">
        <v>37</v>
      </c>
      <c r="AC30" s="9" t="s">
        <v>38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2" customFormat="1" ht="35.1" customHeight="1" x14ac:dyDescent="0.25">
      <c r="A31" s="9" t="s">
        <v>131</v>
      </c>
      <c r="B31" s="10">
        <v>46075</v>
      </c>
      <c r="C31" s="10">
        <v>46075</v>
      </c>
      <c r="D31" s="11" t="s">
        <v>215</v>
      </c>
      <c r="E31" s="12">
        <v>0.83333333333333337</v>
      </c>
      <c r="F31" s="12">
        <v>0.875</v>
      </c>
      <c r="G31" s="12">
        <v>4.1666666666666664E-2</v>
      </c>
      <c r="H31" s="9" t="s">
        <v>132</v>
      </c>
      <c r="I31" s="13"/>
      <c r="J31" s="9" t="s">
        <v>41</v>
      </c>
      <c r="K31" s="9"/>
      <c r="L31" s="14">
        <v>1</v>
      </c>
      <c r="M31" s="14">
        <v>1</v>
      </c>
      <c r="N31" s="9" t="s">
        <v>33</v>
      </c>
      <c r="O31" s="9"/>
      <c r="P31" s="16">
        <v>0</v>
      </c>
      <c r="Q31" s="14"/>
      <c r="R31" s="16">
        <v>0</v>
      </c>
      <c r="S31" s="9">
        <v>46054</v>
      </c>
      <c r="T31" s="16">
        <v>0</v>
      </c>
      <c r="U31" s="14">
        <v>2</v>
      </c>
      <c r="V31" s="16">
        <v>0</v>
      </c>
      <c r="W31" s="9" t="s">
        <v>34</v>
      </c>
      <c r="X31" s="9" t="s">
        <v>42</v>
      </c>
      <c r="Y31" s="9" t="s">
        <v>36</v>
      </c>
      <c r="Z31" s="9" t="s">
        <v>43</v>
      </c>
      <c r="AA31" s="9" t="s">
        <v>37</v>
      </c>
      <c r="AB31" s="9" t="s">
        <v>37</v>
      </c>
      <c r="AC31" s="9" t="s">
        <v>38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2" customFormat="1" ht="35.1" customHeight="1" x14ac:dyDescent="0.25">
      <c r="A32" s="9" t="s">
        <v>133</v>
      </c>
      <c r="B32" s="10">
        <v>46075</v>
      </c>
      <c r="C32" s="10">
        <v>46075</v>
      </c>
      <c r="D32" s="11" t="s">
        <v>215</v>
      </c>
      <c r="E32" s="12">
        <v>0.875</v>
      </c>
      <c r="F32" s="12">
        <v>0.9375</v>
      </c>
      <c r="G32" s="12">
        <v>6.25E-2</v>
      </c>
      <c r="H32" s="9" t="s">
        <v>163</v>
      </c>
      <c r="I32" s="13" t="s">
        <v>199</v>
      </c>
      <c r="J32" s="9" t="s">
        <v>41</v>
      </c>
      <c r="K32" s="9"/>
      <c r="L32" s="14">
        <v>1</v>
      </c>
      <c r="M32" s="14">
        <v>1</v>
      </c>
      <c r="N32" s="9" t="s">
        <v>33</v>
      </c>
      <c r="O32" s="9"/>
      <c r="P32" s="16">
        <v>0</v>
      </c>
      <c r="Q32" s="14"/>
      <c r="R32" s="16">
        <v>0</v>
      </c>
      <c r="S32" s="9">
        <v>46054</v>
      </c>
      <c r="T32" s="16">
        <v>0</v>
      </c>
      <c r="U32" s="14">
        <v>2</v>
      </c>
      <c r="V32" s="16">
        <v>0</v>
      </c>
      <c r="W32" s="9" t="s">
        <v>34</v>
      </c>
      <c r="X32" s="9" t="s">
        <v>42</v>
      </c>
      <c r="Y32" s="9" t="s">
        <v>36</v>
      </c>
      <c r="Z32" s="9" t="s">
        <v>43</v>
      </c>
      <c r="AA32" s="9" t="s">
        <v>37</v>
      </c>
      <c r="AB32" s="9" t="s">
        <v>37</v>
      </c>
      <c r="AC32" s="9" t="s">
        <v>38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2" customFormat="1" ht="35.1" customHeight="1" x14ac:dyDescent="0.25">
      <c r="A33" s="17" t="s">
        <v>44</v>
      </c>
      <c r="B33" s="18">
        <v>46075</v>
      </c>
      <c r="C33" s="18">
        <v>46075</v>
      </c>
      <c r="D33" s="17" t="s">
        <v>215</v>
      </c>
      <c r="E33" s="19">
        <v>0.25</v>
      </c>
      <c r="F33" s="19">
        <v>0.99930555555555556</v>
      </c>
      <c r="G33" s="19">
        <v>1.7361111111111109E-4</v>
      </c>
      <c r="H33" s="17" t="s">
        <v>55</v>
      </c>
      <c r="I33" s="20">
        <v>0.92434027777777783</v>
      </c>
      <c r="J33" s="17" t="s">
        <v>41</v>
      </c>
      <c r="K33" s="17" t="s">
        <v>163</v>
      </c>
      <c r="L33" s="21">
        <v>1</v>
      </c>
      <c r="M33" s="21">
        <v>66852</v>
      </c>
      <c r="N33" s="17" t="s">
        <v>46</v>
      </c>
      <c r="O33" s="21" t="s">
        <v>47</v>
      </c>
      <c r="P33" s="22">
        <v>0</v>
      </c>
      <c r="Q33" s="21"/>
      <c r="R33" s="22">
        <v>0</v>
      </c>
      <c r="S33" s="23">
        <v>46054</v>
      </c>
      <c r="T33" s="22">
        <v>0</v>
      </c>
      <c r="U33" s="24">
        <v>4</v>
      </c>
      <c r="V33" s="22">
        <v>0</v>
      </c>
      <c r="W33" s="17" t="s">
        <v>48</v>
      </c>
      <c r="X33" s="17" t="s">
        <v>49</v>
      </c>
      <c r="Y33" s="17" t="s">
        <v>36</v>
      </c>
      <c r="Z33" s="17" t="s">
        <v>9</v>
      </c>
      <c r="AA33" s="17" t="s">
        <v>50</v>
      </c>
      <c r="AB33" s="17" t="s">
        <v>51</v>
      </c>
      <c r="AC33" s="17" t="s">
        <v>38</v>
      </c>
      <c r="AD33" s="7" t="str">
        <f t="shared" si="0"/>
        <v/>
      </c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</row>
    <row r="34" spans="1:49" s="32" customFormat="1" ht="35.1" customHeight="1" x14ac:dyDescent="0.25">
      <c r="A34" s="17" t="s">
        <v>52</v>
      </c>
      <c r="B34" s="18">
        <v>46075</v>
      </c>
      <c r="C34" s="18">
        <v>46075</v>
      </c>
      <c r="D34" s="17" t="s">
        <v>215</v>
      </c>
      <c r="E34" s="19">
        <v>0.25</v>
      </c>
      <c r="F34" s="19">
        <v>0.99930555555555556</v>
      </c>
      <c r="G34" s="19">
        <v>3.4722222222222218E-4</v>
      </c>
      <c r="H34" s="17" t="s">
        <v>53</v>
      </c>
      <c r="I34" s="20">
        <v>0.93619212962962961</v>
      </c>
      <c r="J34" s="17" t="s">
        <v>41</v>
      </c>
      <c r="K34" s="17" t="s">
        <v>163</v>
      </c>
      <c r="L34" s="21">
        <v>1</v>
      </c>
      <c r="M34" s="21">
        <v>70964</v>
      </c>
      <c r="N34" s="17" t="s">
        <v>46</v>
      </c>
      <c r="O34" s="21" t="str">
        <f>AC34</f>
        <v>SFO</v>
      </c>
      <c r="P34" s="22">
        <v>0</v>
      </c>
      <c r="Q34" s="21"/>
      <c r="R34" s="22">
        <v>0</v>
      </c>
      <c r="S34" s="23">
        <v>46054</v>
      </c>
      <c r="T34" s="22">
        <v>0</v>
      </c>
      <c r="U34" s="24">
        <v>4</v>
      </c>
      <c r="V34" s="22">
        <v>0</v>
      </c>
      <c r="W34" s="17" t="s">
        <v>48</v>
      </c>
      <c r="X34" s="17" t="s">
        <v>49</v>
      </c>
      <c r="Y34" s="17" t="s">
        <v>36</v>
      </c>
      <c r="Z34" s="17" t="s">
        <v>9</v>
      </c>
      <c r="AA34" s="17" t="s">
        <v>50</v>
      </c>
      <c r="AB34" s="17" t="s">
        <v>54</v>
      </c>
      <c r="AC34" s="17" t="s">
        <v>38</v>
      </c>
      <c r="AD34" s="7" t="str">
        <f t="shared" si="0"/>
        <v/>
      </c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</row>
    <row r="35" spans="1:49" s="32" customFormat="1" ht="35.1" customHeight="1" x14ac:dyDescent="0.25">
      <c r="A35" s="9" t="s">
        <v>133</v>
      </c>
      <c r="B35" s="10">
        <v>46075</v>
      </c>
      <c r="C35" s="10">
        <v>46075</v>
      </c>
      <c r="D35" s="11" t="s">
        <v>215</v>
      </c>
      <c r="E35" s="12">
        <v>0.9375</v>
      </c>
      <c r="F35" s="12">
        <v>1</v>
      </c>
      <c r="G35" s="12">
        <v>6.25E-2</v>
      </c>
      <c r="H35" s="9" t="s">
        <v>187</v>
      </c>
      <c r="I35" s="13" t="s">
        <v>199</v>
      </c>
      <c r="J35" s="9" t="s">
        <v>41</v>
      </c>
      <c r="K35" s="9"/>
      <c r="L35" s="14">
        <v>1</v>
      </c>
      <c r="M35" s="14">
        <v>1</v>
      </c>
      <c r="N35" s="9" t="s">
        <v>33</v>
      </c>
      <c r="O35" s="9"/>
      <c r="P35" s="16">
        <v>0</v>
      </c>
      <c r="Q35" s="14"/>
      <c r="R35" s="16">
        <v>0</v>
      </c>
      <c r="S35" s="9">
        <v>46054</v>
      </c>
      <c r="T35" s="16">
        <v>0</v>
      </c>
      <c r="U35" s="14">
        <v>2</v>
      </c>
      <c r="V35" s="16">
        <v>0</v>
      </c>
      <c r="W35" s="9" t="s">
        <v>34</v>
      </c>
      <c r="X35" s="9" t="s">
        <v>42</v>
      </c>
      <c r="Y35" s="9" t="s">
        <v>36</v>
      </c>
      <c r="Z35" s="9" t="s">
        <v>43</v>
      </c>
      <c r="AA35" s="9" t="s">
        <v>37</v>
      </c>
      <c r="AB35" s="9" t="s">
        <v>37</v>
      </c>
      <c r="AC35" s="9" t="s">
        <v>38</v>
      </c>
      <c r="AD35" s="7" t="str">
        <f t="shared" si="0"/>
        <v/>
      </c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</row>
    <row r="36" spans="1:49" s="32" customFormat="1" ht="35.1" customHeight="1" x14ac:dyDescent="0.25">
      <c r="A36" s="17" t="s">
        <v>44</v>
      </c>
      <c r="B36" s="18">
        <v>46075</v>
      </c>
      <c r="C36" s="18">
        <v>46075</v>
      </c>
      <c r="D36" s="17" t="s">
        <v>215</v>
      </c>
      <c r="E36" s="19">
        <v>0.25</v>
      </c>
      <c r="F36" s="19">
        <v>0.99930555555555556</v>
      </c>
      <c r="G36" s="19">
        <v>1.7361111111111109E-4</v>
      </c>
      <c r="H36" s="17" t="s">
        <v>45</v>
      </c>
      <c r="I36" s="20">
        <v>0.98076388888888888</v>
      </c>
      <c r="J36" s="17" t="s">
        <v>41</v>
      </c>
      <c r="K36" s="17" t="s">
        <v>187</v>
      </c>
      <c r="L36" s="21">
        <v>1</v>
      </c>
      <c r="M36" s="21">
        <v>66852</v>
      </c>
      <c r="N36" s="17" t="s">
        <v>46</v>
      </c>
      <c r="O36" s="21" t="s">
        <v>47</v>
      </c>
      <c r="P36" s="22">
        <v>0</v>
      </c>
      <c r="Q36" s="21"/>
      <c r="R36" s="22">
        <v>0</v>
      </c>
      <c r="S36" s="23">
        <v>46054</v>
      </c>
      <c r="T36" s="22">
        <v>0</v>
      </c>
      <c r="U36" s="24">
        <v>4</v>
      </c>
      <c r="V36" s="22">
        <v>0</v>
      </c>
      <c r="W36" s="17" t="s">
        <v>48</v>
      </c>
      <c r="X36" s="17" t="s">
        <v>49</v>
      </c>
      <c r="Y36" s="17" t="s">
        <v>36</v>
      </c>
      <c r="Z36" s="17" t="s">
        <v>9</v>
      </c>
      <c r="AA36" s="17" t="s">
        <v>50</v>
      </c>
      <c r="AB36" s="17" t="s">
        <v>51</v>
      </c>
      <c r="AC36" s="17" t="s">
        <v>38</v>
      </c>
      <c r="AD36" s="7" t="str">
        <f t="shared" si="0"/>
        <v/>
      </c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</row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36" xr:uid="{BEFFF80A-39D5-4F34-BB07-38FF121BCB6A}"/>
  <sortState xmlns:xlrd2="http://schemas.microsoft.com/office/spreadsheetml/2017/richdata2" ref="A2:AD326">
    <sortCondition sortBy="cellColor" ref="E1:E500" dxfId="13"/>
  </sortState>
  <conditionalFormatting sqref="AD1:AD36">
    <cfRule type="cellIs" dxfId="12" priority="3" operator="equal">
      <formula>"NO"</formula>
    </cfRule>
  </conditionalFormatting>
  <conditionalFormatting sqref="E2:F36">
    <cfRule type="timePeriod" dxfId="1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2026-02-23T02:23:44Z</dcterms:modified>
</cp:coreProperties>
</file>